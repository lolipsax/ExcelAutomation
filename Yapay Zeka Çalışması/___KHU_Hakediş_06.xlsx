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BuÇalışmaKitabı"/>
  <mc:AlternateContent xmlns:mc="http://schemas.openxmlformats.org/markup-compatibility/2006">
    <mc:Choice Requires="x15">
      <x15ac:absPath xmlns:x15ac="http://schemas.microsoft.com/office/spreadsheetml/2010/11/ac" url="C:\Users\rbasak\Desktop\Yapay Zeka Çalışması\"/>
    </mc:Choice>
  </mc:AlternateContent>
  <xr:revisionPtr revIDLastSave="0" documentId="13_ncr:1_{ED712783-710B-4B45-84B6-713487129AA3}" xr6:coauthVersionLast="47" xr6:coauthVersionMax="47" xr10:uidLastSave="{00000000-0000-0000-0000-000000000000}"/>
  <bookViews>
    <workbookView xWindow="-108" yWindow="-108" windowWidth="23256" windowHeight="13896" tabRatio="884" firstSheet="10" activeTab="27" xr2:uid="{00000000-000D-0000-FFFF-FFFF00000000}"/>
  </bookViews>
  <sheets>
    <sheet name="Para Yazdırma" sheetId="2" state="hidden" r:id="rId1"/>
    <sheet name="Veri" sheetId="1" r:id="rId2"/>
    <sheet name="İmza Matris" sheetId="12" state="hidden" r:id="rId3"/>
    <sheet name="İmza" sheetId="4" r:id="rId4"/>
    <sheet name="İmza (2)" sheetId="15" r:id="rId5"/>
    <sheet name="İndeks" sheetId="3" r:id="rId6"/>
    <sheet name="İmza Yetkilileri" sheetId="48" r:id="rId7"/>
    <sheet name="Ön Yazı" sheetId="49" r:id="rId8"/>
    <sheet name="NT Ksnt Tkp (Çıktı Alınmayacak)" sheetId="20" state="hidden" r:id="rId9"/>
    <sheet name="EFF Ksnt Tkp(Çıktı Alınmayacak)" sheetId="23" state="hidden" r:id="rId10"/>
    <sheet name="İşçi Alacak" sheetId="16" r:id="rId11"/>
    <sheet name="İlan" sheetId="17" r:id="rId12"/>
    <sheet name="Kapak" sheetId="5" r:id="rId13"/>
    <sheet name="İcmal" sheetId="8" r:id="rId14"/>
    <sheet name="Teminat Mektupları" sheetId="25" r:id="rId15"/>
    <sheet name="Teminat Mektupları (FF)" sheetId="26" r:id="rId16"/>
    <sheet name="Fiyat Farkı İcmal" sheetId="46" r:id="rId17"/>
    <sheet name="Fiyat Farkı İcmal (2)" sheetId="45" state="hidden" r:id="rId18"/>
    <sheet name="FF 2502" sheetId="18" state="hidden" r:id="rId19"/>
    <sheet name="FF 2503" sheetId="14" state="hidden" r:id="rId20"/>
    <sheet name="FF" sheetId="47" state="hidden" r:id="rId21"/>
    <sheet name="Y.İ. KAPAK" sheetId="39" state="hidden" r:id="rId22"/>
    <sheet name="Yapılan İşler Dönemsel" sheetId="36" state="hidden" r:id="rId23"/>
    <sheet name="Yapılan İşler İcmali" sheetId="13" r:id="rId24"/>
    <sheet name="Y.D.KAPAK İLK" sheetId="40" state="hidden" r:id="rId25"/>
    <sheet name="Yeşil Defter Kapak" sheetId="10" state="hidden" r:id="rId26"/>
    <sheet name="Yeşil Defter Dönemsel" sheetId="37" state="hidden" r:id="rId27"/>
    <sheet name="Yeşil Defter" sheetId="11" r:id="rId28"/>
    <sheet name="M.Ö.KAPAK" sheetId="41" r:id="rId29"/>
    <sheet name="Metraj Özeti" sheetId="38" r:id="rId30"/>
    <sheet name="İnce Sırtlık" sheetId="22" r:id="rId31"/>
    <sheet name="İnce Sırtlık (2)" sheetId="29" r:id="rId32"/>
    <sheet name="Yapılan İşler İcmali Malazgirt" sheetId="43" state="hidden" r:id="rId33"/>
    <sheet name="Yapılan İşler İcmali Barbaros" sheetId="44"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xlnm._FilterDatabase" localSheetId="29" hidden="1">'Metraj Özeti'!$A$13:$A$513</definedName>
    <definedName name="_xlnm._FilterDatabase" localSheetId="22" hidden="1">'Yapılan İşler Dönemsel'!$C$11:$U$513</definedName>
    <definedName name="_xlnm._FilterDatabase" localSheetId="23" hidden="1">'Yapılan İşler İcmali'!$T$1:$T$1172</definedName>
    <definedName name="_xlnm._FilterDatabase" localSheetId="33" hidden="1">'Yapılan İşler İcmali Barbaros'!$N$1:$N$1115</definedName>
    <definedName name="_xlnm._FilterDatabase" localSheetId="32" hidden="1">'Yapılan İşler İcmali Malazgirt'!$N$1:$N$1121</definedName>
    <definedName name="_xlnm._FilterDatabase" localSheetId="27" hidden="1">'Yeşil Defter'!$K$2:$K$1147</definedName>
    <definedName name="_xlnm.Print_Area" localSheetId="9">'EFF Ksnt Tkp(Çıktı Alınmayacak)'!$A$1:$K$57</definedName>
    <definedName name="_xlnm.Print_Area" localSheetId="20">FF!$A$1:$AD$54</definedName>
    <definedName name="_xlnm.Print_Area" localSheetId="18">'FF 2502'!$A$1:$AC$44</definedName>
    <definedName name="_xlnm.Print_Area" localSheetId="19">'FF 2503'!$A$1:$AC$44</definedName>
    <definedName name="_xlnm.Print_Area" localSheetId="16">'Fiyat Farkı İcmal'!$B$1:$T$65</definedName>
    <definedName name="_xlnm.Print_Area" localSheetId="17">'Fiyat Farkı İcmal (2)'!$A$1:$T$57</definedName>
    <definedName name="_xlnm.Print_Area" localSheetId="13">İcmal!$B$1:$AF$72</definedName>
    <definedName name="_xlnm.Print_Area" localSheetId="11">İlan!$B$3:$K$22</definedName>
    <definedName name="_xlnm.Print_Area" localSheetId="3">İmza!$A$1:$P$30</definedName>
    <definedName name="_xlnm.Print_Area" localSheetId="4">'İmza (2)'!$A$1:$N$57</definedName>
    <definedName name="_xlnm.Print_Area" localSheetId="6">'İmza Yetkilileri'!$A$1:$H$58</definedName>
    <definedName name="_xlnm.Print_Area" localSheetId="30">'İnce Sırtlık'!$A$1:$T$20</definedName>
    <definedName name="_xlnm.Print_Area" localSheetId="31">'İnce Sırtlık (2)'!$A$1:$U$20</definedName>
    <definedName name="_xlnm.Print_Area" localSheetId="5">İndeks!$A$1:$G$76</definedName>
    <definedName name="_xlnm.Print_Area" localSheetId="10">'İşçi Alacak'!$B$1:$P$37</definedName>
    <definedName name="_xlnm.Print_Area" localSheetId="12">Kapak!$B$1:$AG$77</definedName>
    <definedName name="_xlnm.Print_Area" localSheetId="29">'Metraj Özeti'!$C$1:$K$513</definedName>
    <definedName name="_xlnm.Print_Area" localSheetId="8">'NT Ksnt Tkp (Çıktı Alınmayacak)'!$A$1:$K$57</definedName>
    <definedName name="_xlnm.Print_Area" localSheetId="7">'Ön Yazı'!$A$1:$J$50</definedName>
    <definedName name="_xlnm.Print_Area" localSheetId="14">'Teminat Mektupları'!$A$1:$K$65</definedName>
    <definedName name="_xlnm.Print_Area" localSheetId="15">'Teminat Mektupları (FF)'!$A$1:$K$63</definedName>
    <definedName name="_xlnm.Print_Area" localSheetId="22">'Yapılan İşler Dönemsel'!$C$1:$U$535</definedName>
    <definedName name="_xlnm.Print_Area" localSheetId="23">'Yapılan İşler İcmali'!$C$1:$T$1072</definedName>
    <definedName name="_xlnm.Print_Area" localSheetId="33">'Yapılan İşler İcmali Barbaros'!$C$1:$T$1015</definedName>
    <definedName name="_xlnm.Print_Area" localSheetId="32">'Yapılan İşler İcmali Malazgirt'!$C$1:$T$1021</definedName>
    <definedName name="_xlnm.Print_Area" localSheetId="27">'Yeşil Defter'!$C$1:$M$1135</definedName>
    <definedName name="_xlnm.Print_Area" localSheetId="26">'Yeşil Defter Dönemsel'!$C$1:$K$535</definedName>
    <definedName name="_xlnm.Print_Titles" localSheetId="29">'Metraj Özeti'!$1:$12</definedName>
    <definedName name="_xlnm.Print_Titles" localSheetId="22">'Yapılan İşler Dönemsel'!$1:$13</definedName>
    <definedName name="_xlnm.Print_Titles" localSheetId="23">'Yapılan İşler İcmali'!$1:$11</definedName>
    <definedName name="_xlnm.Print_Titles" localSheetId="33">'Yapılan İşler İcmali Barbaros'!$1:$11</definedName>
    <definedName name="_xlnm.Print_Titles" localSheetId="32">'Yapılan İşler İcmali Malazgirt'!$1:$11</definedName>
    <definedName name="_xlnm.Print_Titles" localSheetId="27">'Yeşil Defter'!$1:$13</definedName>
    <definedName name="_xlnm.Print_Titles" localSheetId="26">'Yeşil Defter Dönemsel'!$1:$12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4" i="11" l="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13" i="11"/>
  <c r="A3" i="22"/>
  <c r="B3" i="22"/>
  <c r="B4" i="22"/>
  <c r="A5" i="22"/>
  <c r="B5" i="22"/>
  <c r="B6" i="22"/>
  <c r="A7" i="22"/>
  <c r="B7" i="22"/>
  <c r="B8" i="22"/>
  <c r="A9" i="22"/>
  <c r="B9" i="22"/>
  <c r="B10" i="22"/>
  <c r="A11" i="22"/>
  <c r="B11" i="22"/>
  <c r="B12" i="22"/>
  <c r="AC35" i="47" l="1"/>
  <c r="P41" i="46"/>
  <c r="R41" i="46" s="1"/>
  <c r="M41" i="46"/>
  <c r="N41" i="46" s="1"/>
  <c r="L41" i="46"/>
  <c r="K41" i="46"/>
  <c r="S54" i="36" l="1"/>
  <c r="S53" i="36"/>
  <c r="S52" i="36"/>
  <c r="S51" i="36"/>
  <c r="S50" i="36"/>
  <c r="S49" i="36"/>
  <c r="S48" i="36"/>
  <c r="S47" i="36"/>
  <c r="S46" i="36"/>
  <c r="S45" i="36"/>
  <c r="S44" i="36"/>
  <c r="S43" i="36"/>
  <c r="S42" i="36"/>
  <c r="S41" i="36"/>
  <c r="S40" i="36"/>
  <c r="S39" i="36"/>
  <c r="S38" i="36"/>
  <c r="S37" i="36"/>
  <c r="S36" i="36"/>
  <c r="S35" i="36"/>
  <c r="S34" i="36"/>
  <c r="S32" i="36"/>
  <c r="S31" i="36"/>
  <c r="S30" i="36"/>
  <c r="S29" i="36"/>
  <c r="S28" i="36"/>
  <c r="S27" i="36"/>
  <c r="S26" i="36"/>
  <c r="S25" i="36"/>
  <c r="S24" i="36"/>
  <c r="S23" i="36"/>
  <c r="S22" i="36"/>
  <c r="S21" i="36"/>
  <c r="S20" i="36"/>
  <c r="S19" i="36"/>
  <c r="S18" i="36"/>
  <c r="S17" i="36"/>
  <c r="P458" i="36"/>
  <c r="P457" i="36"/>
  <c r="P452" i="36"/>
  <c r="P442" i="36"/>
  <c r="P432" i="36"/>
  <c r="P392" i="36"/>
  <c r="P373" i="36"/>
  <c r="P292" i="36"/>
  <c r="P282" i="36"/>
  <c r="P205" i="36"/>
  <c r="P102" i="36"/>
  <c r="P98" i="36"/>
  <c r="P66" i="36"/>
  <c r="I33" i="37" l="1"/>
  <c r="J100" i="38"/>
  <c r="J99" i="38" l="1"/>
  <c r="I17" i="38" l="1"/>
  <c r="I17" i="37" s="1"/>
  <c r="I18" i="38"/>
  <c r="I18" i="37" s="1"/>
  <c r="I19" i="38"/>
  <c r="I19" i="37" s="1"/>
  <c r="I20" i="38"/>
  <c r="I20" i="37" s="1"/>
  <c r="I21" i="38"/>
  <c r="I21" i="37" s="1"/>
  <c r="I22" i="38"/>
  <c r="I22" i="37" s="1"/>
  <c r="I23" i="38"/>
  <c r="I23" i="37" s="1"/>
  <c r="I24" i="38"/>
  <c r="I24" i="37" s="1"/>
  <c r="I25" i="38"/>
  <c r="I25" i="37" s="1"/>
  <c r="I26" i="38"/>
  <c r="I26" i="37" s="1"/>
  <c r="I27" i="38"/>
  <c r="I27" i="37" s="1"/>
  <c r="I28" i="38"/>
  <c r="I28" i="37" s="1"/>
  <c r="I29" i="38"/>
  <c r="I29" i="37" s="1"/>
  <c r="I30" i="38"/>
  <c r="I30" i="37" s="1"/>
  <c r="I31" i="38"/>
  <c r="I31" i="37" s="1"/>
  <c r="I32" i="38"/>
  <c r="I32" i="37" s="1"/>
  <c r="I33" i="38"/>
  <c r="I34" i="38"/>
  <c r="I34" i="37" s="1"/>
  <c r="I35" i="38"/>
  <c r="I35" i="37" s="1"/>
  <c r="I36" i="38"/>
  <c r="I36" i="37" s="1"/>
  <c r="I37" i="38"/>
  <c r="I37" i="37" s="1"/>
  <c r="I38" i="38"/>
  <c r="I38" i="37" s="1"/>
  <c r="I39" i="38"/>
  <c r="I39" i="37" s="1"/>
  <c r="I40" i="38"/>
  <c r="I40" i="37" s="1"/>
  <c r="I41" i="38"/>
  <c r="I41" i="37" s="1"/>
  <c r="I42" i="38"/>
  <c r="I42" i="37" s="1"/>
  <c r="I43" i="38"/>
  <c r="I43" i="37" s="1"/>
  <c r="I44" i="38"/>
  <c r="I44" i="37" s="1"/>
  <c r="I45" i="38"/>
  <c r="I45" i="37" s="1"/>
  <c r="I46" i="38"/>
  <c r="I46" i="37" s="1"/>
  <c r="I47" i="38"/>
  <c r="I47" i="37" s="1"/>
  <c r="I48" i="38"/>
  <c r="I48" i="37" s="1"/>
  <c r="I49" i="38"/>
  <c r="I49" i="37" s="1"/>
  <c r="I50" i="38"/>
  <c r="I50" i="37" s="1"/>
  <c r="I51" i="38"/>
  <c r="I51" i="37" s="1"/>
  <c r="I52" i="38"/>
  <c r="I52" i="37" s="1"/>
  <c r="I53" i="38"/>
  <c r="I53" i="37" s="1"/>
  <c r="I54" i="38"/>
  <c r="I54" i="37" s="1"/>
  <c r="I55" i="38"/>
  <c r="I55" i="37" s="1"/>
  <c r="I56" i="38"/>
  <c r="I56" i="37" s="1"/>
  <c r="I57" i="38"/>
  <c r="I57" i="37" s="1"/>
  <c r="I58" i="38"/>
  <c r="I58" i="37" s="1"/>
  <c r="I59" i="38"/>
  <c r="I59" i="37" s="1"/>
  <c r="I60" i="38"/>
  <c r="I60" i="37" s="1"/>
  <c r="I61" i="38"/>
  <c r="I61" i="37" s="1"/>
  <c r="I62" i="38"/>
  <c r="I62" i="37" s="1"/>
  <c r="I63" i="38"/>
  <c r="I63" i="37" s="1"/>
  <c r="I64" i="38"/>
  <c r="I64" i="37" s="1"/>
  <c r="I65" i="38"/>
  <c r="I66" i="38"/>
  <c r="I66" i="37" s="1"/>
  <c r="I67" i="38"/>
  <c r="I67" i="37" s="1"/>
  <c r="I68" i="38"/>
  <c r="I68" i="37" s="1"/>
  <c r="I69" i="38"/>
  <c r="I69" i="37" s="1"/>
  <c r="I70" i="38"/>
  <c r="I70" i="37" s="1"/>
  <c r="I71" i="38"/>
  <c r="I71" i="37" s="1"/>
  <c r="I72" i="38"/>
  <c r="I72" i="37" s="1"/>
  <c r="I73" i="38"/>
  <c r="I73" i="37" s="1"/>
  <c r="I74" i="38"/>
  <c r="I74" i="37" s="1"/>
  <c r="I75" i="38"/>
  <c r="I75" i="37" s="1"/>
  <c r="I76" i="38"/>
  <c r="I76" i="37" s="1"/>
  <c r="I77" i="38"/>
  <c r="I77" i="37" s="1"/>
  <c r="I78" i="38"/>
  <c r="I78" i="37" s="1"/>
  <c r="I79" i="38"/>
  <c r="I79" i="37" s="1"/>
  <c r="I80" i="38"/>
  <c r="I80" i="37" s="1"/>
  <c r="I81" i="38"/>
  <c r="I81" i="37" s="1"/>
  <c r="I82" i="38"/>
  <c r="I82" i="37" s="1"/>
  <c r="I83" i="38"/>
  <c r="I83" i="37" s="1"/>
  <c r="I84" i="38"/>
  <c r="I84" i="37" s="1"/>
  <c r="I85" i="38"/>
  <c r="I85" i="37" s="1"/>
  <c r="I86" i="38"/>
  <c r="I86" i="37" s="1"/>
  <c r="I87" i="38"/>
  <c r="I87" i="37" s="1"/>
  <c r="I88" i="38"/>
  <c r="I88" i="37" s="1"/>
  <c r="I89" i="38"/>
  <c r="I89" i="37" s="1"/>
  <c r="I90" i="38"/>
  <c r="I90" i="37" s="1"/>
  <c r="I91" i="38"/>
  <c r="I91" i="37" s="1"/>
  <c r="I92" i="38"/>
  <c r="I92" i="37" s="1"/>
  <c r="I93" i="38"/>
  <c r="I93" i="37" s="1"/>
  <c r="I94" i="38"/>
  <c r="I94" i="37" s="1"/>
  <c r="I95" i="38"/>
  <c r="I95" i="37" s="1"/>
  <c r="I96" i="38"/>
  <c r="I96" i="37" s="1"/>
  <c r="I97" i="38"/>
  <c r="I98" i="38"/>
  <c r="I98" i="37" s="1"/>
  <c r="I99" i="38"/>
  <c r="I99" i="37" s="1"/>
  <c r="I100" i="38"/>
  <c r="I101" i="38"/>
  <c r="I102" i="38"/>
  <c r="I102" i="37" s="1"/>
  <c r="I103" i="38"/>
  <c r="I103" i="37" s="1"/>
  <c r="I104" i="38"/>
  <c r="I104" i="37" s="1"/>
  <c r="I105" i="38"/>
  <c r="I105" i="37" s="1"/>
  <c r="I106" i="38"/>
  <c r="I106" i="37" s="1"/>
  <c r="I107" i="38"/>
  <c r="I107" i="37" s="1"/>
  <c r="I108" i="38"/>
  <c r="I108" i="37" s="1"/>
  <c r="I109" i="38"/>
  <c r="I109" i="37" s="1"/>
  <c r="I110" i="38"/>
  <c r="I110" i="37" s="1"/>
  <c r="I111" i="38"/>
  <c r="I111" i="37" s="1"/>
  <c r="I112" i="38"/>
  <c r="I112" i="37" s="1"/>
  <c r="I113" i="38"/>
  <c r="I113" i="37" s="1"/>
  <c r="I114" i="38"/>
  <c r="I114" i="37" s="1"/>
  <c r="I115" i="38"/>
  <c r="I115" i="37" s="1"/>
  <c r="I116" i="38"/>
  <c r="I116" i="37" s="1"/>
  <c r="I117" i="38"/>
  <c r="I117" i="37" s="1"/>
  <c r="I118" i="38"/>
  <c r="I118" i="37" s="1"/>
  <c r="I119" i="38"/>
  <c r="I119" i="37" s="1"/>
  <c r="I120" i="38"/>
  <c r="I120" i="37" s="1"/>
  <c r="I121" i="38"/>
  <c r="I121" i="37" s="1"/>
  <c r="I122" i="38"/>
  <c r="I122" i="37" s="1"/>
  <c r="I123" i="38"/>
  <c r="I123" i="37" s="1"/>
  <c r="I124" i="38"/>
  <c r="I124" i="37" s="1"/>
  <c r="I125" i="38"/>
  <c r="I125" i="37" s="1"/>
  <c r="I126" i="38"/>
  <c r="I126" i="37" s="1"/>
  <c r="I127" i="38"/>
  <c r="I127" i="37" s="1"/>
  <c r="I128" i="38"/>
  <c r="I128" i="37" s="1"/>
  <c r="I129" i="38"/>
  <c r="I129" i="37" s="1"/>
  <c r="I130" i="38"/>
  <c r="I130" i="37" s="1"/>
  <c r="I131" i="38"/>
  <c r="I131" i="37" s="1"/>
  <c r="I132" i="38"/>
  <c r="I132" i="37" s="1"/>
  <c r="I133" i="38"/>
  <c r="I133" i="37" s="1"/>
  <c r="I134" i="38"/>
  <c r="I134" i="37" s="1"/>
  <c r="I135" i="38"/>
  <c r="I135" i="37" s="1"/>
  <c r="I136" i="38"/>
  <c r="I136" i="37" s="1"/>
  <c r="I137" i="38"/>
  <c r="I137" i="37" s="1"/>
  <c r="I138" i="38"/>
  <c r="I138" i="37" s="1"/>
  <c r="I139" i="38"/>
  <c r="I139" i="37" s="1"/>
  <c r="I140" i="38"/>
  <c r="I140" i="37" s="1"/>
  <c r="I141" i="38"/>
  <c r="I141" i="37" s="1"/>
  <c r="I142" i="38"/>
  <c r="I142" i="37" s="1"/>
  <c r="I143" i="38"/>
  <c r="I143" i="37" s="1"/>
  <c r="I144" i="38"/>
  <c r="I144" i="37" s="1"/>
  <c r="I145" i="38"/>
  <c r="I145" i="37" s="1"/>
  <c r="I146" i="38"/>
  <c r="I146" i="37" s="1"/>
  <c r="I147" i="38"/>
  <c r="I147" i="37" s="1"/>
  <c r="I148" i="38"/>
  <c r="I148" i="37" s="1"/>
  <c r="I149" i="38"/>
  <c r="I149" i="37" s="1"/>
  <c r="I150" i="38"/>
  <c r="I150" i="37" s="1"/>
  <c r="I151" i="38"/>
  <c r="I151" i="37" s="1"/>
  <c r="I152" i="38"/>
  <c r="I152" i="37" s="1"/>
  <c r="I153" i="38"/>
  <c r="I153" i="37" s="1"/>
  <c r="I154" i="38"/>
  <c r="I154" i="37" s="1"/>
  <c r="I155" i="38"/>
  <c r="I155" i="37" s="1"/>
  <c r="I156" i="38"/>
  <c r="I156" i="37" s="1"/>
  <c r="I157" i="38"/>
  <c r="I157" i="37" s="1"/>
  <c r="I158" i="38"/>
  <c r="I158" i="37" s="1"/>
  <c r="I159" i="38"/>
  <c r="I159" i="37" s="1"/>
  <c r="I160" i="38"/>
  <c r="I160" i="37" s="1"/>
  <c r="I161" i="38"/>
  <c r="I161" i="37" s="1"/>
  <c r="I162" i="38"/>
  <c r="I162" i="37" s="1"/>
  <c r="I163" i="38"/>
  <c r="I163" i="37" s="1"/>
  <c r="I164" i="38"/>
  <c r="I164" i="37" s="1"/>
  <c r="I165" i="38"/>
  <c r="I165" i="37" s="1"/>
  <c r="I166" i="38"/>
  <c r="I166" i="37" s="1"/>
  <c r="I167" i="38"/>
  <c r="I167" i="37" s="1"/>
  <c r="I168" i="38"/>
  <c r="I168" i="37" s="1"/>
  <c r="I169" i="38"/>
  <c r="I169" i="37" s="1"/>
  <c r="I170" i="38"/>
  <c r="I170" i="37" s="1"/>
  <c r="I171" i="38"/>
  <c r="I171" i="37" s="1"/>
  <c r="I172" i="38"/>
  <c r="I172" i="37" s="1"/>
  <c r="I173" i="38"/>
  <c r="I173" i="37" s="1"/>
  <c r="I174" i="38"/>
  <c r="I174" i="37" s="1"/>
  <c r="I175" i="38"/>
  <c r="I175" i="37" s="1"/>
  <c r="I176" i="38"/>
  <c r="I176" i="37" s="1"/>
  <c r="I177" i="38"/>
  <c r="I177" i="37" s="1"/>
  <c r="I178" i="38"/>
  <c r="I178" i="37" s="1"/>
  <c r="I179" i="38"/>
  <c r="I179" i="37" s="1"/>
  <c r="I180" i="38"/>
  <c r="I180" i="37" s="1"/>
  <c r="I181" i="38"/>
  <c r="I181" i="37" s="1"/>
  <c r="I182" i="38"/>
  <c r="I182" i="37" s="1"/>
  <c r="I183" i="38"/>
  <c r="I183" i="37" s="1"/>
  <c r="I184" i="38"/>
  <c r="I184" i="37" s="1"/>
  <c r="I185" i="38"/>
  <c r="I185" i="37" s="1"/>
  <c r="I186" i="38"/>
  <c r="I186" i="37" s="1"/>
  <c r="I187" i="38"/>
  <c r="I187" i="37" s="1"/>
  <c r="I188" i="38"/>
  <c r="I188" i="37" s="1"/>
  <c r="I189" i="38"/>
  <c r="I189" i="37" s="1"/>
  <c r="I190" i="38"/>
  <c r="I190" i="37" s="1"/>
  <c r="I191" i="38"/>
  <c r="I191" i="37" s="1"/>
  <c r="I192" i="38"/>
  <c r="I192" i="37" s="1"/>
  <c r="I193" i="38"/>
  <c r="I193" i="37" s="1"/>
  <c r="I194" i="38"/>
  <c r="I194" i="37" s="1"/>
  <c r="I195" i="38"/>
  <c r="I195" i="37" s="1"/>
  <c r="I196" i="38"/>
  <c r="I196" i="37" s="1"/>
  <c r="I197" i="38"/>
  <c r="I197" i="37" s="1"/>
  <c r="I198" i="38"/>
  <c r="I198" i="37" s="1"/>
  <c r="I199" i="38"/>
  <c r="I199" i="37" s="1"/>
  <c r="I200" i="38"/>
  <c r="I200" i="37" s="1"/>
  <c r="I201" i="38"/>
  <c r="I201" i="37" s="1"/>
  <c r="I202" i="38"/>
  <c r="I202" i="37" s="1"/>
  <c r="I203" i="38"/>
  <c r="I203" i="37" s="1"/>
  <c r="I204" i="38"/>
  <c r="I205" i="38"/>
  <c r="I205" i="37" s="1"/>
  <c r="I206" i="38"/>
  <c r="I206" i="37" s="1"/>
  <c r="I207" i="38"/>
  <c r="I207" i="37" s="1"/>
  <c r="I208" i="38"/>
  <c r="I208" i="37" s="1"/>
  <c r="I209" i="38"/>
  <c r="I209" i="37" s="1"/>
  <c r="I210" i="38"/>
  <c r="I210" i="37" s="1"/>
  <c r="I211" i="38"/>
  <c r="I211" i="37" s="1"/>
  <c r="I212" i="38"/>
  <c r="I212" i="37" s="1"/>
  <c r="I213" i="38"/>
  <c r="I213" i="37" s="1"/>
  <c r="I214" i="38"/>
  <c r="I214" i="37" s="1"/>
  <c r="I215" i="38"/>
  <c r="I215" i="37" s="1"/>
  <c r="I216" i="38"/>
  <c r="I216" i="37" s="1"/>
  <c r="I217" i="38"/>
  <c r="I217" i="37" s="1"/>
  <c r="I218" i="38"/>
  <c r="I218" i="37" s="1"/>
  <c r="I219" i="38"/>
  <c r="I219" i="37" s="1"/>
  <c r="I220" i="38"/>
  <c r="I220" i="37" s="1"/>
  <c r="I221" i="38"/>
  <c r="I221" i="37" s="1"/>
  <c r="I222" i="38"/>
  <c r="I222" i="37" s="1"/>
  <c r="I223" i="38"/>
  <c r="I223" i="37" s="1"/>
  <c r="I224" i="38"/>
  <c r="I224" i="37" s="1"/>
  <c r="I225" i="38"/>
  <c r="I225" i="37" s="1"/>
  <c r="I226" i="38"/>
  <c r="I226" i="37" s="1"/>
  <c r="I227" i="38"/>
  <c r="I227" i="37" s="1"/>
  <c r="I228" i="38"/>
  <c r="I228" i="37" s="1"/>
  <c r="I229" i="38"/>
  <c r="I229" i="37" s="1"/>
  <c r="I230" i="38"/>
  <c r="I230" i="37" s="1"/>
  <c r="I231" i="38"/>
  <c r="I231" i="37" s="1"/>
  <c r="I232" i="38"/>
  <c r="I232" i="37" s="1"/>
  <c r="I233" i="38"/>
  <c r="I233" i="37" s="1"/>
  <c r="I234" i="38"/>
  <c r="I234" i="37" s="1"/>
  <c r="I235" i="38"/>
  <c r="I235" i="37" s="1"/>
  <c r="I236" i="38"/>
  <c r="I236" i="37" s="1"/>
  <c r="I237" i="38"/>
  <c r="I237" i="37" s="1"/>
  <c r="I238" i="38"/>
  <c r="I238" i="37" s="1"/>
  <c r="I239" i="38"/>
  <c r="I239" i="37" s="1"/>
  <c r="I240" i="38"/>
  <c r="I240" i="37" s="1"/>
  <c r="I241" i="38"/>
  <c r="I241" i="37" s="1"/>
  <c r="I242" i="38"/>
  <c r="I242" i="37" s="1"/>
  <c r="I243" i="38"/>
  <c r="I243" i="37" s="1"/>
  <c r="I244" i="38"/>
  <c r="I244" i="37" s="1"/>
  <c r="I245" i="38"/>
  <c r="I245" i="37" s="1"/>
  <c r="I246" i="38"/>
  <c r="I246" i="37" s="1"/>
  <c r="I247" i="38"/>
  <c r="I247" i="37" s="1"/>
  <c r="I248" i="38"/>
  <c r="I248" i="37" s="1"/>
  <c r="I249" i="38"/>
  <c r="I249" i="37" s="1"/>
  <c r="I250" i="38"/>
  <c r="I250" i="37" s="1"/>
  <c r="I251" i="38"/>
  <c r="I251" i="37" s="1"/>
  <c r="I252" i="38"/>
  <c r="I252" i="37" s="1"/>
  <c r="I253" i="38"/>
  <c r="I253" i="37" s="1"/>
  <c r="I254" i="38"/>
  <c r="I254" i="37" s="1"/>
  <c r="I255" i="38"/>
  <c r="I255" i="37" s="1"/>
  <c r="I256" i="38"/>
  <c r="I256" i="37" s="1"/>
  <c r="I257" i="38"/>
  <c r="I257" i="37" s="1"/>
  <c r="I258" i="38"/>
  <c r="I258" i="37" s="1"/>
  <c r="I259" i="38"/>
  <c r="I259" i="37" s="1"/>
  <c r="I260" i="38"/>
  <c r="I260" i="37" s="1"/>
  <c r="I261" i="38"/>
  <c r="I261" i="37" s="1"/>
  <c r="I262" i="38"/>
  <c r="I262" i="37" s="1"/>
  <c r="I263" i="38"/>
  <c r="I263" i="37" s="1"/>
  <c r="I264" i="38"/>
  <c r="I264" i="37" s="1"/>
  <c r="I265" i="38"/>
  <c r="I265" i="37" s="1"/>
  <c r="I266" i="38"/>
  <c r="I266" i="37" s="1"/>
  <c r="I267" i="38"/>
  <c r="I267" i="37" s="1"/>
  <c r="I268" i="38"/>
  <c r="I268" i="37" s="1"/>
  <c r="I269" i="38"/>
  <c r="I269" i="37" s="1"/>
  <c r="I270" i="38"/>
  <c r="I270" i="37" s="1"/>
  <c r="I271" i="38"/>
  <c r="I271" i="37" s="1"/>
  <c r="I272" i="38"/>
  <c r="I272" i="37" s="1"/>
  <c r="I273" i="38"/>
  <c r="I273" i="37" s="1"/>
  <c r="I274" i="38"/>
  <c r="I274" i="37" s="1"/>
  <c r="I275" i="38"/>
  <c r="I275" i="37" s="1"/>
  <c r="I276" i="38"/>
  <c r="I276" i="37" s="1"/>
  <c r="I277" i="38"/>
  <c r="I277" i="37" s="1"/>
  <c r="I278" i="38"/>
  <c r="I278" i="37" s="1"/>
  <c r="I279" i="38"/>
  <c r="I279" i="37" s="1"/>
  <c r="I280" i="38"/>
  <c r="I280" i="37" s="1"/>
  <c r="I281" i="38"/>
  <c r="I282" i="38"/>
  <c r="I282" i="37" s="1"/>
  <c r="I283" i="38"/>
  <c r="I283" i="37" s="1"/>
  <c r="I284" i="38"/>
  <c r="I284" i="37" s="1"/>
  <c r="I285" i="38"/>
  <c r="I285" i="37" s="1"/>
  <c r="I286" i="38"/>
  <c r="I286" i="37" s="1"/>
  <c r="I287" i="38"/>
  <c r="I287" i="37" s="1"/>
  <c r="I288" i="38"/>
  <c r="I288" i="37" s="1"/>
  <c r="I289" i="38"/>
  <c r="I289" i="37" s="1"/>
  <c r="I290" i="38"/>
  <c r="I290" i="37" s="1"/>
  <c r="I291" i="38"/>
  <c r="I292" i="38"/>
  <c r="I292" i="37" s="1"/>
  <c r="I293" i="38"/>
  <c r="I293" i="37" s="1"/>
  <c r="I294" i="38"/>
  <c r="I294" i="37" s="1"/>
  <c r="I295" i="38"/>
  <c r="I295" i="37" s="1"/>
  <c r="I296" i="38"/>
  <c r="I296" i="37" s="1"/>
  <c r="I297" i="38"/>
  <c r="I297" i="37" s="1"/>
  <c r="I298" i="38"/>
  <c r="I298" i="37" s="1"/>
  <c r="I299" i="38"/>
  <c r="I299" i="37" s="1"/>
  <c r="I300" i="38"/>
  <c r="I300" i="37" s="1"/>
  <c r="I301" i="38"/>
  <c r="I301" i="37" s="1"/>
  <c r="I302" i="38"/>
  <c r="I302" i="37" s="1"/>
  <c r="I303" i="38"/>
  <c r="I303" i="37" s="1"/>
  <c r="I304" i="38"/>
  <c r="I304" i="37" s="1"/>
  <c r="I305" i="38"/>
  <c r="I305" i="37" s="1"/>
  <c r="I306" i="38"/>
  <c r="I306" i="37" s="1"/>
  <c r="I307" i="38"/>
  <c r="I307" i="37" s="1"/>
  <c r="I308" i="38"/>
  <c r="I308" i="37" s="1"/>
  <c r="I309" i="38"/>
  <c r="I309" i="37" s="1"/>
  <c r="I310" i="38"/>
  <c r="I310" i="37" s="1"/>
  <c r="I311" i="38"/>
  <c r="I311" i="37" s="1"/>
  <c r="I312" i="38"/>
  <c r="I312" i="37" s="1"/>
  <c r="I313" i="38"/>
  <c r="I313" i="37" s="1"/>
  <c r="I314" i="38"/>
  <c r="I314" i="37" s="1"/>
  <c r="I315" i="38"/>
  <c r="I315" i="37" s="1"/>
  <c r="I316" i="38"/>
  <c r="I316" i="37" s="1"/>
  <c r="I317" i="38"/>
  <c r="I317" i="37" s="1"/>
  <c r="I318" i="38"/>
  <c r="I318" i="37" s="1"/>
  <c r="I319" i="38"/>
  <c r="I319" i="37" s="1"/>
  <c r="I320" i="38"/>
  <c r="I320" i="37" s="1"/>
  <c r="I321" i="38"/>
  <c r="I321" i="37" s="1"/>
  <c r="I322" i="38"/>
  <c r="I322" i="37" s="1"/>
  <c r="I323" i="38"/>
  <c r="I323" i="37" s="1"/>
  <c r="I324" i="38"/>
  <c r="I324" i="37" s="1"/>
  <c r="I325" i="38"/>
  <c r="I325" i="37" s="1"/>
  <c r="I326" i="38"/>
  <c r="I326" i="37" s="1"/>
  <c r="I327" i="38"/>
  <c r="I327" i="37" s="1"/>
  <c r="I328" i="38"/>
  <c r="I328" i="37" s="1"/>
  <c r="I329" i="38"/>
  <c r="I329" i="37" s="1"/>
  <c r="I330" i="38"/>
  <c r="I330" i="37" s="1"/>
  <c r="I331" i="38"/>
  <c r="I331" i="37" s="1"/>
  <c r="I332" i="38"/>
  <c r="I332" i="37" s="1"/>
  <c r="I333" i="38"/>
  <c r="I333" i="37" s="1"/>
  <c r="I334" i="38"/>
  <c r="I334" i="37" s="1"/>
  <c r="I335" i="38"/>
  <c r="I335" i="37" s="1"/>
  <c r="I336" i="38"/>
  <c r="I336" i="37" s="1"/>
  <c r="I337" i="38"/>
  <c r="I337" i="37" s="1"/>
  <c r="I338" i="38"/>
  <c r="I338" i="37" s="1"/>
  <c r="I339" i="38"/>
  <c r="I339" i="37" s="1"/>
  <c r="I340" i="38"/>
  <c r="I340" i="37" s="1"/>
  <c r="I341" i="38"/>
  <c r="I341" i="37" s="1"/>
  <c r="I342" i="38"/>
  <c r="I342" i="37" s="1"/>
  <c r="I343" i="38"/>
  <c r="I343" i="37" s="1"/>
  <c r="I344" i="38"/>
  <c r="I344" i="37" s="1"/>
  <c r="I345" i="38"/>
  <c r="I345" i="37" s="1"/>
  <c r="I346" i="38"/>
  <c r="I346" i="37" s="1"/>
  <c r="I347" i="38"/>
  <c r="I347" i="37" s="1"/>
  <c r="I348" i="38"/>
  <c r="I348" i="37" s="1"/>
  <c r="I349" i="38"/>
  <c r="I349" i="37" s="1"/>
  <c r="I350" i="38"/>
  <c r="I350" i="37" s="1"/>
  <c r="I351" i="38"/>
  <c r="I351" i="37" s="1"/>
  <c r="I352" i="38"/>
  <c r="I352" i="37" s="1"/>
  <c r="I353" i="38"/>
  <c r="I353" i="37" s="1"/>
  <c r="I354" i="38"/>
  <c r="I354" i="37" s="1"/>
  <c r="I355" i="38"/>
  <c r="I355" i="37" s="1"/>
  <c r="I356" i="38"/>
  <c r="I356" i="37" s="1"/>
  <c r="I357" i="38"/>
  <c r="I357" i="37" s="1"/>
  <c r="I358" i="38"/>
  <c r="I358" i="37" s="1"/>
  <c r="I359" i="38"/>
  <c r="I359" i="37" s="1"/>
  <c r="I360" i="38"/>
  <c r="I360" i="37" s="1"/>
  <c r="I361" i="38"/>
  <c r="I361" i="37" s="1"/>
  <c r="I362" i="38"/>
  <c r="I362" i="37" s="1"/>
  <c r="I363" i="38"/>
  <c r="I363" i="37" s="1"/>
  <c r="I364" i="38"/>
  <c r="I364" i="37" s="1"/>
  <c r="I365" i="38"/>
  <c r="I365" i="37" s="1"/>
  <c r="I366" i="38"/>
  <c r="I366" i="37" s="1"/>
  <c r="I367" i="38"/>
  <c r="I367" i="37" s="1"/>
  <c r="I368" i="38"/>
  <c r="I368" i="37" s="1"/>
  <c r="I369" i="38"/>
  <c r="I369" i="37" s="1"/>
  <c r="I370" i="38"/>
  <c r="I370" i="37" s="1"/>
  <c r="I371" i="38"/>
  <c r="I371" i="37" s="1"/>
  <c r="I372" i="38"/>
  <c r="I373" i="38"/>
  <c r="I373" i="37" s="1"/>
  <c r="I374" i="38"/>
  <c r="I374" i="37" s="1"/>
  <c r="I375" i="38"/>
  <c r="I375" i="37" s="1"/>
  <c r="I376" i="38"/>
  <c r="I376" i="37" s="1"/>
  <c r="I377" i="38"/>
  <c r="I377" i="37" s="1"/>
  <c r="I378" i="38"/>
  <c r="I378" i="37" s="1"/>
  <c r="I379" i="38"/>
  <c r="I379" i="37" s="1"/>
  <c r="I380" i="38"/>
  <c r="I380" i="37" s="1"/>
  <c r="I381" i="38"/>
  <c r="I381" i="37" s="1"/>
  <c r="I382" i="38"/>
  <c r="I382" i="37" s="1"/>
  <c r="I383" i="38"/>
  <c r="I383" i="37" s="1"/>
  <c r="I384" i="38"/>
  <c r="I384" i="37" s="1"/>
  <c r="I385" i="38"/>
  <c r="I385" i="37" s="1"/>
  <c r="I386" i="38"/>
  <c r="I386" i="37" s="1"/>
  <c r="I387" i="38"/>
  <c r="I387" i="37" s="1"/>
  <c r="I388" i="38"/>
  <c r="I388" i="37" s="1"/>
  <c r="I389" i="38"/>
  <c r="I389" i="37" s="1"/>
  <c r="I390" i="38"/>
  <c r="I390" i="37" s="1"/>
  <c r="I391" i="38"/>
  <c r="I392" i="38"/>
  <c r="I392" i="37" s="1"/>
  <c r="I393" i="38"/>
  <c r="I393" i="37" s="1"/>
  <c r="I394" i="38"/>
  <c r="I394" i="37" s="1"/>
  <c r="I395" i="38"/>
  <c r="I395" i="37" s="1"/>
  <c r="I396" i="38"/>
  <c r="I396" i="37" s="1"/>
  <c r="I397" i="38"/>
  <c r="I397" i="37" s="1"/>
  <c r="I398" i="38"/>
  <c r="I398" i="37" s="1"/>
  <c r="I399" i="38"/>
  <c r="I399" i="37" s="1"/>
  <c r="I400" i="38"/>
  <c r="I400" i="37" s="1"/>
  <c r="I401" i="38"/>
  <c r="I401" i="37" s="1"/>
  <c r="I402" i="38"/>
  <c r="I402" i="37" s="1"/>
  <c r="I403" i="38"/>
  <c r="I403" i="37" s="1"/>
  <c r="I404" i="38"/>
  <c r="I404" i="37" s="1"/>
  <c r="I405" i="38"/>
  <c r="I405" i="37" s="1"/>
  <c r="I406" i="38"/>
  <c r="I406" i="37" s="1"/>
  <c r="I407" i="38"/>
  <c r="I407" i="37" s="1"/>
  <c r="I408" i="38"/>
  <c r="I408" i="37" s="1"/>
  <c r="I409" i="38"/>
  <c r="I409" i="37" s="1"/>
  <c r="I410" i="38"/>
  <c r="I410" i="37" s="1"/>
  <c r="I411" i="38"/>
  <c r="I411" i="37" s="1"/>
  <c r="I412" i="38"/>
  <c r="I412" i="37" s="1"/>
  <c r="I413" i="38"/>
  <c r="I413" i="37" s="1"/>
  <c r="I414" i="38"/>
  <c r="I414" i="37" s="1"/>
  <c r="I415" i="38"/>
  <c r="I415" i="37" s="1"/>
  <c r="I416" i="38"/>
  <c r="I416" i="37" s="1"/>
  <c r="I417" i="38"/>
  <c r="I417" i="37" s="1"/>
  <c r="I418" i="38"/>
  <c r="I418" i="37" s="1"/>
  <c r="I419" i="38"/>
  <c r="I419" i="37" s="1"/>
  <c r="I420" i="38"/>
  <c r="I420" i="37" s="1"/>
  <c r="I421" i="38"/>
  <c r="I421" i="37" s="1"/>
  <c r="I422" i="38"/>
  <c r="I422" i="37" s="1"/>
  <c r="I423" i="38"/>
  <c r="I423" i="37" s="1"/>
  <c r="I424" i="38"/>
  <c r="I424" i="37" s="1"/>
  <c r="I425" i="38"/>
  <c r="I425" i="37" s="1"/>
  <c r="I426" i="38"/>
  <c r="I426" i="37" s="1"/>
  <c r="I427" i="38"/>
  <c r="I427" i="37" s="1"/>
  <c r="I428" i="38"/>
  <c r="I428" i="37" s="1"/>
  <c r="I429" i="38"/>
  <c r="I429" i="37" s="1"/>
  <c r="I430" i="38"/>
  <c r="I430" i="37" s="1"/>
  <c r="I431" i="38"/>
  <c r="I432" i="38"/>
  <c r="I432" i="37" s="1"/>
  <c r="I433" i="38"/>
  <c r="I433" i="37" s="1"/>
  <c r="I434" i="38"/>
  <c r="I434" i="37" s="1"/>
  <c r="I435" i="38"/>
  <c r="I435" i="37" s="1"/>
  <c r="I436" i="38"/>
  <c r="I436" i="37" s="1"/>
  <c r="I437" i="38"/>
  <c r="I437" i="37" s="1"/>
  <c r="I438" i="38"/>
  <c r="I438" i="37" s="1"/>
  <c r="I439" i="38"/>
  <c r="I439" i="37" s="1"/>
  <c r="I440" i="38"/>
  <c r="I440" i="37" s="1"/>
  <c r="I441" i="38"/>
  <c r="I442" i="38"/>
  <c r="I442" i="37" s="1"/>
  <c r="I443" i="38"/>
  <c r="I443" i="37" s="1"/>
  <c r="I444" i="38"/>
  <c r="I444" i="37" s="1"/>
  <c r="I445" i="38"/>
  <c r="I445" i="37" s="1"/>
  <c r="I446" i="38"/>
  <c r="I446" i="37" s="1"/>
  <c r="I447" i="38"/>
  <c r="I447" i="37" s="1"/>
  <c r="I448" i="38"/>
  <c r="I448" i="37" s="1"/>
  <c r="I449" i="38"/>
  <c r="I449" i="37" s="1"/>
  <c r="I450" i="38"/>
  <c r="I450" i="37" s="1"/>
  <c r="I451" i="38"/>
  <c r="I452" i="38"/>
  <c r="I452" i="37" s="1"/>
  <c r="I453" i="38"/>
  <c r="I453" i="37" s="1"/>
  <c r="I454" i="38"/>
  <c r="I454" i="37" s="1"/>
  <c r="I455" i="38"/>
  <c r="I455" i="37" s="1"/>
  <c r="I456" i="38"/>
  <c r="I457" i="38"/>
  <c r="I458" i="38"/>
  <c r="I458" i="37" s="1"/>
  <c r="I459" i="38"/>
  <c r="I459" i="37" s="1"/>
  <c r="I460" i="38"/>
  <c r="I460" i="37" s="1"/>
  <c r="I461" i="38"/>
  <c r="I461" i="37" s="1"/>
  <c r="I462" i="38"/>
  <c r="I462" i="37" s="1"/>
  <c r="I463" i="38"/>
  <c r="I463" i="37" s="1"/>
  <c r="I464" i="38"/>
  <c r="I464" i="37" s="1"/>
  <c r="I465" i="38"/>
  <c r="I465" i="37" s="1"/>
  <c r="I466" i="38"/>
  <c r="I466" i="37" s="1"/>
  <c r="I467" i="38"/>
  <c r="I467" i="37" s="1"/>
  <c r="I468" i="38"/>
  <c r="I468" i="37" s="1"/>
  <c r="I469" i="38"/>
  <c r="I469" i="37" s="1"/>
  <c r="I470" i="38"/>
  <c r="I470" i="37" s="1"/>
  <c r="I471" i="38"/>
  <c r="I471" i="37" s="1"/>
  <c r="I472" i="38"/>
  <c r="I472" i="37" s="1"/>
  <c r="I473" i="38"/>
  <c r="I473" i="37" s="1"/>
  <c r="I474" i="38"/>
  <c r="I474" i="37" s="1"/>
  <c r="I475" i="38"/>
  <c r="I475" i="37" s="1"/>
  <c r="I476" i="38"/>
  <c r="I476" i="37" s="1"/>
  <c r="I477" i="38"/>
  <c r="I477" i="37" s="1"/>
  <c r="I478" i="38"/>
  <c r="I478" i="37" s="1"/>
  <c r="I479" i="38"/>
  <c r="I479" i="37" s="1"/>
  <c r="I480" i="38"/>
  <c r="I480" i="37" s="1"/>
  <c r="I481" i="38"/>
  <c r="I481" i="37" s="1"/>
  <c r="I482" i="38"/>
  <c r="I482" i="37" s="1"/>
  <c r="I483" i="38"/>
  <c r="I483" i="37" s="1"/>
  <c r="I484" i="38"/>
  <c r="I484" i="37" s="1"/>
  <c r="I485" i="38"/>
  <c r="I485" i="37" s="1"/>
  <c r="I486" i="38"/>
  <c r="I486" i="37" s="1"/>
  <c r="I487" i="38"/>
  <c r="I487" i="37" s="1"/>
  <c r="I488" i="38"/>
  <c r="I488" i="37" s="1"/>
  <c r="I489" i="38"/>
  <c r="I489" i="37" s="1"/>
  <c r="I490" i="38"/>
  <c r="I490" i="37" s="1"/>
  <c r="I491" i="38"/>
  <c r="I491" i="37" s="1"/>
  <c r="I492" i="38"/>
  <c r="I492" i="37" s="1"/>
  <c r="I493" i="38"/>
  <c r="I493" i="37" s="1"/>
  <c r="I494" i="38"/>
  <c r="I494" i="37" s="1"/>
  <c r="I495" i="38"/>
  <c r="I495" i="37" s="1"/>
  <c r="I496" i="38"/>
  <c r="I496" i="37" s="1"/>
  <c r="I497" i="38"/>
  <c r="I497" i="37" s="1"/>
  <c r="I498" i="38"/>
  <c r="I498" i="37" s="1"/>
  <c r="I499" i="38"/>
  <c r="I499" i="37" s="1"/>
  <c r="I500" i="38"/>
  <c r="I500" i="37" s="1"/>
  <c r="I501" i="38"/>
  <c r="I501" i="37" s="1"/>
  <c r="I502" i="38"/>
  <c r="I502" i="37" s="1"/>
  <c r="I503" i="38"/>
  <c r="I503" i="37" s="1"/>
  <c r="I504" i="38"/>
  <c r="I504" i="37" s="1"/>
  <c r="I505" i="38"/>
  <c r="I505" i="37" s="1"/>
  <c r="I506" i="38"/>
  <c r="I506" i="37" s="1"/>
  <c r="I507" i="38"/>
  <c r="I507" i="37" s="1"/>
  <c r="I508" i="38"/>
  <c r="I508" i="37" s="1"/>
  <c r="I509" i="38"/>
  <c r="I510" i="38"/>
  <c r="I510" i="37" s="1"/>
  <c r="I511" i="38"/>
  <c r="I512" i="38"/>
  <c r="I512" i="37" s="1"/>
  <c r="I513" i="38"/>
  <c r="I16" i="38"/>
  <c r="I16" i="37" s="1"/>
  <c r="K100" i="38" l="1"/>
  <c r="I100" i="37"/>
  <c r="J59" i="38"/>
  <c r="J58" i="38"/>
  <c r="J60" i="38"/>
  <c r="J61" i="38"/>
  <c r="J62" i="38"/>
  <c r="J63" i="38"/>
  <c r="J64" i="38"/>
  <c r="L18" i="3" l="1"/>
  <c r="N903" i="13"/>
  <c r="R903" i="13" s="1"/>
  <c r="O903" i="13"/>
  <c r="S903" i="13" s="1"/>
  <c r="P903" i="13"/>
  <c r="T903" i="13" s="1"/>
  <c r="P902" i="13"/>
  <c r="O902" i="13"/>
  <c r="N902" i="13"/>
  <c r="P922" i="13"/>
  <c r="N922" i="13"/>
  <c r="P921" i="13"/>
  <c r="N920" i="13"/>
  <c r="N919" i="13"/>
  <c r="P918" i="13"/>
  <c r="N918" i="13"/>
  <c r="P917" i="13"/>
  <c r="N917" i="13"/>
  <c r="P916" i="13"/>
  <c r="N916" i="13"/>
  <c r="P915" i="13"/>
  <c r="N915" i="13"/>
  <c r="N914" i="13"/>
  <c r="P913" i="13"/>
  <c r="N913" i="13"/>
  <c r="P912" i="13"/>
  <c r="N912" i="13"/>
  <c r="P911" i="13"/>
  <c r="T911" i="13" s="1"/>
  <c r="N910" i="13"/>
  <c r="R910" i="13" s="1"/>
  <c r="N909" i="13"/>
  <c r="R909" i="13" s="1"/>
  <c r="P908" i="13"/>
  <c r="T908" i="13" s="1"/>
  <c r="N908" i="13"/>
  <c r="R908" i="13" s="1"/>
  <c r="N907" i="13"/>
  <c r="R907" i="13" s="1"/>
  <c r="N906" i="13"/>
  <c r="N905" i="13"/>
  <c r="R905" i="13" s="1"/>
  <c r="N904" i="13"/>
  <c r="R904" i="13" s="1"/>
  <c r="L922" i="13"/>
  <c r="L921" i="13"/>
  <c r="L920" i="13"/>
  <c r="L919" i="13"/>
  <c r="L918" i="13"/>
  <c r="L917" i="13"/>
  <c r="L916" i="13"/>
  <c r="L915" i="13"/>
  <c r="L914" i="13"/>
  <c r="L913" i="13"/>
  <c r="L912" i="13"/>
  <c r="L911" i="13"/>
  <c r="L910" i="13"/>
  <c r="L909" i="13"/>
  <c r="L908" i="13"/>
  <c r="L907" i="13"/>
  <c r="L906" i="13"/>
  <c r="L905" i="13"/>
  <c r="L904" i="13"/>
  <c r="L903" i="13"/>
  <c r="L902" i="13"/>
  <c r="R906" i="13" l="1"/>
  <c r="R902" i="13"/>
  <c r="T902" i="13"/>
  <c r="S902" i="13"/>
  <c r="O921" i="13"/>
  <c r="O911" i="13"/>
  <c r="S911" i="13" s="1"/>
  <c r="O904" i="13"/>
  <c r="S904" i="13" s="1"/>
  <c r="O919" i="13"/>
  <c r="O910" i="13"/>
  <c r="S910" i="13" s="1"/>
  <c r="N911" i="13"/>
  <c r="R911" i="13" s="1"/>
  <c r="O907" i="13"/>
  <c r="S907" i="13" s="1"/>
  <c r="O920" i="13"/>
  <c r="O905" i="13"/>
  <c r="S905" i="13" s="1"/>
  <c r="P920" i="13"/>
  <c r="O909" i="13"/>
  <c r="S909" i="13" s="1"/>
  <c r="O912" i="13"/>
  <c r="O913" i="13"/>
  <c r="O914" i="13"/>
  <c r="P905" i="13"/>
  <c r="T905" i="13" s="1"/>
  <c r="O915" i="13"/>
  <c r="P914" i="13"/>
  <c r="O906" i="13"/>
  <c r="S906" i="13" s="1"/>
  <c r="N921" i="13"/>
  <c r="P907" i="13"/>
  <c r="T907" i="13" s="1"/>
  <c r="P904" i="13"/>
  <c r="T904" i="13" s="1"/>
  <c r="O917" i="13"/>
  <c r="O918" i="13"/>
  <c r="O922" i="13"/>
  <c r="P910" i="13"/>
  <c r="T910" i="13" s="1"/>
  <c r="O908" i="13"/>
  <c r="S908" i="13" s="1"/>
  <c r="P909" i="13"/>
  <c r="T909" i="13" s="1"/>
  <c r="P919" i="13"/>
  <c r="P906" i="13"/>
  <c r="T906" i="13" s="1"/>
  <c r="O916" i="13"/>
  <c r="J59" i="37"/>
  <c r="K60" i="36" l="1"/>
  <c r="N60" i="36" s="1"/>
  <c r="J66" i="36"/>
  <c r="K66" i="36"/>
  <c r="L66" i="36"/>
  <c r="R66" i="36" s="1"/>
  <c r="J98" i="36"/>
  <c r="K98" i="36"/>
  <c r="L98" i="36"/>
  <c r="R98" i="36" s="1"/>
  <c r="J102" i="36"/>
  <c r="K102" i="36"/>
  <c r="L102" i="36"/>
  <c r="R102" i="36" s="1"/>
  <c r="J205" i="36"/>
  <c r="K205" i="36"/>
  <c r="L205" i="36"/>
  <c r="R205" i="36" s="1"/>
  <c r="J282" i="36"/>
  <c r="K282" i="36"/>
  <c r="L282" i="36"/>
  <c r="R282" i="36" s="1"/>
  <c r="J292" i="36"/>
  <c r="K292" i="36"/>
  <c r="L292" i="36"/>
  <c r="R292" i="36" s="1"/>
  <c r="J373" i="36"/>
  <c r="K373" i="36"/>
  <c r="L373" i="36"/>
  <c r="R373" i="36" s="1"/>
  <c r="J392" i="36"/>
  <c r="K392" i="36"/>
  <c r="L392" i="36"/>
  <c r="R392" i="36" s="1"/>
  <c r="J432" i="36"/>
  <c r="K432" i="36"/>
  <c r="L432" i="36"/>
  <c r="R432" i="36" s="1"/>
  <c r="J442" i="36"/>
  <c r="K442" i="36"/>
  <c r="L442" i="36"/>
  <c r="R442" i="36" s="1"/>
  <c r="J452" i="36"/>
  <c r="K452" i="36"/>
  <c r="L452" i="36"/>
  <c r="R452" i="36" s="1"/>
  <c r="J457" i="36"/>
  <c r="K457" i="36"/>
  <c r="L457" i="36"/>
  <c r="R457" i="36" s="1"/>
  <c r="L513" i="36"/>
  <c r="O513" i="36" s="1"/>
  <c r="U513" i="36" s="1"/>
  <c r="K513" i="36"/>
  <c r="N513" i="36" s="1"/>
  <c r="N512" i="36" s="1"/>
  <c r="J513" i="36"/>
  <c r="M513" i="36" s="1"/>
  <c r="M512" i="36" s="1"/>
  <c r="L512" i="36"/>
  <c r="K512" i="36"/>
  <c r="J512" i="36"/>
  <c r="L511" i="36"/>
  <c r="O511" i="36" s="1"/>
  <c r="O510" i="36" s="1"/>
  <c r="U510" i="36" s="1"/>
  <c r="K511" i="36"/>
  <c r="N511" i="36" s="1"/>
  <c r="N510" i="36" s="1"/>
  <c r="J511" i="36"/>
  <c r="M511" i="36" s="1"/>
  <c r="M510" i="36" s="1"/>
  <c r="L510" i="36"/>
  <c r="K510" i="36"/>
  <c r="J510" i="36"/>
  <c r="L509" i="36"/>
  <c r="O509" i="36" s="1"/>
  <c r="U509" i="36" s="1"/>
  <c r="K509" i="36"/>
  <c r="N509" i="36" s="1"/>
  <c r="J509" i="36"/>
  <c r="M509" i="36" s="1"/>
  <c r="L508" i="36"/>
  <c r="O508" i="36" s="1"/>
  <c r="U508" i="36" s="1"/>
  <c r="K508" i="36"/>
  <c r="N508" i="36" s="1"/>
  <c r="J508" i="36"/>
  <c r="M508" i="36" s="1"/>
  <c r="L507" i="36"/>
  <c r="O507" i="36" s="1"/>
  <c r="U507" i="36" s="1"/>
  <c r="K507" i="36"/>
  <c r="N507" i="36" s="1"/>
  <c r="J507" i="36"/>
  <c r="M507" i="36" s="1"/>
  <c r="L506" i="36"/>
  <c r="O506" i="36" s="1"/>
  <c r="U506" i="36" s="1"/>
  <c r="K506" i="36"/>
  <c r="N506" i="36" s="1"/>
  <c r="J506" i="36"/>
  <c r="M506" i="36" s="1"/>
  <c r="L505" i="36"/>
  <c r="O505" i="36" s="1"/>
  <c r="U505" i="36" s="1"/>
  <c r="K505" i="36"/>
  <c r="N505" i="36" s="1"/>
  <c r="J505" i="36"/>
  <c r="M505" i="36" s="1"/>
  <c r="L504" i="36"/>
  <c r="O504" i="36" s="1"/>
  <c r="U504" i="36" s="1"/>
  <c r="K504" i="36"/>
  <c r="N504" i="36" s="1"/>
  <c r="J504" i="36"/>
  <c r="M504" i="36" s="1"/>
  <c r="L503" i="36"/>
  <c r="O503" i="36" s="1"/>
  <c r="U503" i="36" s="1"/>
  <c r="K503" i="36"/>
  <c r="N503" i="36" s="1"/>
  <c r="J503" i="36"/>
  <c r="M503" i="36" s="1"/>
  <c r="L502" i="36"/>
  <c r="O502" i="36" s="1"/>
  <c r="U502" i="36" s="1"/>
  <c r="K502" i="36"/>
  <c r="N502" i="36" s="1"/>
  <c r="J502" i="36"/>
  <c r="M502" i="36" s="1"/>
  <c r="L501" i="36"/>
  <c r="O501" i="36" s="1"/>
  <c r="U501" i="36" s="1"/>
  <c r="K501" i="36"/>
  <c r="N501" i="36" s="1"/>
  <c r="J501" i="36"/>
  <c r="M501" i="36" s="1"/>
  <c r="L500" i="36"/>
  <c r="O500" i="36" s="1"/>
  <c r="U500" i="36" s="1"/>
  <c r="K500" i="36"/>
  <c r="N500" i="36" s="1"/>
  <c r="J500" i="36"/>
  <c r="M500" i="36" s="1"/>
  <c r="L499" i="36"/>
  <c r="O499" i="36" s="1"/>
  <c r="U499" i="36" s="1"/>
  <c r="K499" i="36"/>
  <c r="N499" i="36" s="1"/>
  <c r="J499" i="36"/>
  <c r="M499" i="36" s="1"/>
  <c r="L498" i="36"/>
  <c r="O498" i="36" s="1"/>
  <c r="U498" i="36" s="1"/>
  <c r="K498" i="36"/>
  <c r="N498" i="36" s="1"/>
  <c r="J498" i="36"/>
  <c r="M498" i="36" s="1"/>
  <c r="L497" i="36"/>
  <c r="O497" i="36" s="1"/>
  <c r="U497" i="36" s="1"/>
  <c r="K497" i="36"/>
  <c r="N497" i="36" s="1"/>
  <c r="J497" i="36"/>
  <c r="M497" i="36" s="1"/>
  <c r="L496" i="36"/>
  <c r="O496" i="36" s="1"/>
  <c r="U496" i="36" s="1"/>
  <c r="K496" i="36"/>
  <c r="N496" i="36" s="1"/>
  <c r="J496" i="36"/>
  <c r="M496" i="36" s="1"/>
  <c r="L495" i="36"/>
  <c r="O495" i="36" s="1"/>
  <c r="U495" i="36" s="1"/>
  <c r="K495" i="36"/>
  <c r="N495" i="36" s="1"/>
  <c r="J495" i="36"/>
  <c r="M495" i="36" s="1"/>
  <c r="L494" i="36"/>
  <c r="O494" i="36" s="1"/>
  <c r="U494" i="36" s="1"/>
  <c r="K494" i="36"/>
  <c r="N494" i="36" s="1"/>
  <c r="J494" i="36"/>
  <c r="M494" i="36" s="1"/>
  <c r="L493" i="36"/>
  <c r="O493" i="36" s="1"/>
  <c r="U493" i="36" s="1"/>
  <c r="K493" i="36"/>
  <c r="N493" i="36" s="1"/>
  <c r="J493" i="36"/>
  <c r="M493" i="36" s="1"/>
  <c r="L492" i="36"/>
  <c r="O492" i="36" s="1"/>
  <c r="U492" i="36" s="1"/>
  <c r="K492" i="36"/>
  <c r="N492" i="36" s="1"/>
  <c r="J492" i="36"/>
  <c r="M492" i="36" s="1"/>
  <c r="L491" i="36"/>
  <c r="O491" i="36" s="1"/>
  <c r="U491" i="36" s="1"/>
  <c r="K491" i="36"/>
  <c r="N491" i="36" s="1"/>
  <c r="J491" i="36"/>
  <c r="M491" i="36" s="1"/>
  <c r="L490" i="36"/>
  <c r="O490" i="36" s="1"/>
  <c r="U490" i="36" s="1"/>
  <c r="K490" i="36"/>
  <c r="N490" i="36" s="1"/>
  <c r="J490" i="36"/>
  <c r="M490" i="36" s="1"/>
  <c r="L489" i="36"/>
  <c r="O489" i="36" s="1"/>
  <c r="U489" i="36" s="1"/>
  <c r="K489" i="36"/>
  <c r="N489" i="36" s="1"/>
  <c r="J489" i="36"/>
  <c r="M489" i="36" s="1"/>
  <c r="L488" i="36"/>
  <c r="O488" i="36" s="1"/>
  <c r="U488" i="36" s="1"/>
  <c r="K488" i="36"/>
  <c r="N488" i="36" s="1"/>
  <c r="J488" i="36"/>
  <c r="M488" i="36" s="1"/>
  <c r="L487" i="36"/>
  <c r="O487" i="36" s="1"/>
  <c r="U487" i="36" s="1"/>
  <c r="K487" i="36"/>
  <c r="N487" i="36" s="1"/>
  <c r="J487" i="36"/>
  <c r="M487" i="36" s="1"/>
  <c r="L486" i="36"/>
  <c r="O486" i="36" s="1"/>
  <c r="U486" i="36" s="1"/>
  <c r="K486" i="36"/>
  <c r="N486" i="36" s="1"/>
  <c r="J486" i="36"/>
  <c r="M486" i="36" s="1"/>
  <c r="L485" i="36"/>
  <c r="O485" i="36" s="1"/>
  <c r="U485" i="36" s="1"/>
  <c r="K485" i="36"/>
  <c r="N485" i="36" s="1"/>
  <c r="J485" i="36"/>
  <c r="M485" i="36" s="1"/>
  <c r="L484" i="36"/>
  <c r="O484" i="36" s="1"/>
  <c r="U484" i="36" s="1"/>
  <c r="K484" i="36"/>
  <c r="N484" i="36" s="1"/>
  <c r="J484" i="36"/>
  <c r="M484" i="36" s="1"/>
  <c r="L483" i="36"/>
  <c r="O483" i="36" s="1"/>
  <c r="U483" i="36" s="1"/>
  <c r="K483" i="36"/>
  <c r="N483" i="36" s="1"/>
  <c r="J483" i="36"/>
  <c r="M483" i="36" s="1"/>
  <c r="L482" i="36"/>
  <c r="O482" i="36" s="1"/>
  <c r="U482" i="36" s="1"/>
  <c r="K482" i="36"/>
  <c r="N482" i="36" s="1"/>
  <c r="J482" i="36"/>
  <c r="M482" i="36" s="1"/>
  <c r="L481" i="36"/>
  <c r="O481" i="36" s="1"/>
  <c r="U481" i="36" s="1"/>
  <c r="K481" i="36"/>
  <c r="N481" i="36" s="1"/>
  <c r="J481" i="36"/>
  <c r="M481" i="36" s="1"/>
  <c r="L480" i="36"/>
  <c r="O480" i="36" s="1"/>
  <c r="U480" i="36" s="1"/>
  <c r="K480" i="36"/>
  <c r="N480" i="36" s="1"/>
  <c r="J480" i="36"/>
  <c r="M480" i="36" s="1"/>
  <c r="L479" i="36"/>
  <c r="O479" i="36" s="1"/>
  <c r="U479" i="36" s="1"/>
  <c r="K479" i="36"/>
  <c r="N479" i="36" s="1"/>
  <c r="J479" i="36"/>
  <c r="M479" i="36" s="1"/>
  <c r="L478" i="36"/>
  <c r="O478" i="36" s="1"/>
  <c r="U478" i="36" s="1"/>
  <c r="K478" i="36"/>
  <c r="N478" i="36" s="1"/>
  <c r="J478" i="36"/>
  <c r="M478" i="36" s="1"/>
  <c r="L477" i="36"/>
  <c r="O477" i="36" s="1"/>
  <c r="U477" i="36" s="1"/>
  <c r="K477" i="36"/>
  <c r="N477" i="36" s="1"/>
  <c r="J477" i="36"/>
  <c r="M477" i="36" s="1"/>
  <c r="L476" i="36"/>
  <c r="O476" i="36" s="1"/>
  <c r="U476" i="36" s="1"/>
  <c r="K476" i="36"/>
  <c r="N476" i="36" s="1"/>
  <c r="J476" i="36"/>
  <c r="M476" i="36" s="1"/>
  <c r="L475" i="36"/>
  <c r="O475" i="36" s="1"/>
  <c r="U475" i="36" s="1"/>
  <c r="K475" i="36"/>
  <c r="N475" i="36" s="1"/>
  <c r="J475" i="36"/>
  <c r="M475" i="36" s="1"/>
  <c r="L474" i="36"/>
  <c r="O474" i="36" s="1"/>
  <c r="U474" i="36" s="1"/>
  <c r="K474" i="36"/>
  <c r="N474" i="36" s="1"/>
  <c r="J474" i="36"/>
  <c r="M474" i="36" s="1"/>
  <c r="L473" i="36"/>
  <c r="O473" i="36" s="1"/>
  <c r="U473" i="36" s="1"/>
  <c r="K473" i="36"/>
  <c r="N473" i="36" s="1"/>
  <c r="J473" i="36"/>
  <c r="M473" i="36" s="1"/>
  <c r="L472" i="36"/>
  <c r="O472" i="36" s="1"/>
  <c r="U472" i="36" s="1"/>
  <c r="K472" i="36"/>
  <c r="N472" i="36" s="1"/>
  <c r="J472" i="36"/>
  <c r="M472" i="36" s="1"/>
  <c r="L471" i="36"/>
  <c r="O471" i="36" s="1"/>
  <c r="U471" i="36" s="1"/>
  <c r="K471" i="36"/>
  <c r="N471" i="36" s="1"/>
  <c r="J471" i="36"/>
  <c r="M471" i="36" s="1"/>
  <c r="L470" i="36"/>
  <c r="O470" i="36" s="1"/>
  <c r="U470" i="36" s="1"/>
  <c r="K470" i="36"/>
  <c r="N470" i="36" s="1"/>
  <c r="J470" i="36"/>
  <c r="M470" i="36" s="1"/>
  <c r="L469" i="36"/>
  <c r="O469" i="36" s="1"/>
  <c r="U469" i="36" s="1"/>
  <c r="K469" i="36"/>
  <c r="N469" i="36" s="1"/>
  <c r="J469" i="36"/>
  <c r="M469" i="36" s="1"/>
  <c r="L468" i="36"/>
  <c r="O468" i="36" s="1"/>
  <c r="U468" i="36" s="1"/>
  <c r="K468" i="36"/>
  <c r="N468" i="36" s="1"/>
  <c r="J468" i="36"/>
  <c r="M468" i="36" s="1"/>
  <c r="L467" i="36"/>
  <c r="O467" i="36" s="1"/>
  <c r="U467" i="36" s="1"/>
  <c r="K467" i="36"/>
  <c r="N467" i="36" s="1"/>
  <c r="J467" i="36"/>
  <c r="M467" i="36" s="1"/>
  <c r="L466" i="36"/>
  <c r="O466" i="36" s="1"/>
  <c r="U466" i="36" s="1"/>
  <c r="K466" i="36"/>
  <c r="N466" i="36" s="1"/>
  <c r="J466" i="36"/>
  <c r="M466" i="36" s="1"/>
  <c r="L465" i="36"/>
  <c r="O465" i="36" s="1"/>
  <c r="U465" i="36" s="1"/>
  <c r="K465" i="36"/>
  <c r="N465" i="36" s="1"/>
  <c r="J465" i="36"/>
  <c r="M465" i="36" s="1"/>
  <c r="L464" i="36"/>
  <c r="O464" i="36" s="1"/>
  <c r="U464" i="36" s="1"/>
  <c r="K464" i="36"/>
  <c r="N464" i="36" s="1"/>
  <c r="J464" i="36"/>
  <c r="M464" i="36" s="1"/>
  <c r="L463" i="36"/>
  <c r="O463" i="36" s="1"/>
  <c r="U463" i="36" s="1"/>
  <c r="K463" i="36"/>
  <c r="N463" i="36" s="1"/>
  <c r="J463" i="36"/>
  <c r="M463" i="36" s="1"/>
  <c r="L462" i="36"/>
  <c r="O462" i="36" s="1"/>
  <c r="U462" i="36" s="1"/>
  <c r="K462" i="36"/>
  <c r="N462" i="36" s="1"/>
  <c r="J462" i="36"/>
  <c r="M462" i="36" s="1"/>
  <c r="L461" i="36"/>
  <c r="O461" i="36" s="1"/>
  <c r="U461" i="36" s="1"/>
  <c r="K461" i="36"/>
  <c r="N461" i="36" s="1"/>
  <c r="J461" i="36"/>
  <c r="M461" i="36" s="1"/>
  <c r="L460" i="36"/>
  <c r="O460" i="36" s="1"/>
  <c r="U460" i="36" s="1"/>
  <c r="K460" i="36"/>
  <c r="N460" i="36" s="1"/>
  <c r="J460" i="36"/>
  <c r="M460" i="36" s="1"/>
  <c r="L459" i="36"/>
  <c r="O459" i="36" s="1"/>
  <c r="U459" i="36" s="1"/>
  <c r="K459" i="36"/>
  <c r="N459" i="36" s="1"/>
  <c r="J459" i="36"/>
  <c r="M459" i="36" s="1"/>
  <c r="L54" i="36"/>
  <c r="O54" i="36" s="1"/>
  <c r="U54" i="36" s="1"/>
  <c r="K54" i="36"/>
  <c r="N54" i="36" s="1"/>
  <c r="J54" i="36"/>
  <c r="M54" i="36" s="1"/>
  <c r="L53" i="36"/>
  <c r="O53" i="36" s="1"/>
  <c r="U53" i="36" s="1"/>
  <c r="K53" i="36"/>
  <c r="N53" i="36" s="1"/>
  <c r="J53" i="36"/>
  <c r="M53" i="36" s="1"/>
  <c r="L52" i="36"/>
  <c r="O52" i="36" s="1"/>
  <c r="U52" i="36" s="1"/>
  <c r="K52" i="36"/>
  <c r="N52" i="36" s="1"/>
  <c r="J52" i="36"/>
  <c r="M52" i="36" s="1"/>
  <c r="L51" i="36"/>
  <c r="O51" i="36" s="1"/>
  <c r="U51" i="36" s="1"/>
  <c r="K51" i="36"/>
  <c r="N51" i="36" s="1"/>
  <c r="J51" i="36"/>
  <c r="M51" i="36" s="1"/>
  <c r="L50" i="36"/>
  <c r="O50" i="36" s="1"/>
  <c r="U50" i="36" s="1"/>
  <c r="K50" i="36"/>
  <c r="N50" i="36" s="1"/>
  <c r="J50" i="36"/>
  <c r="M50" i="36" s="1"/>
  <c r="L49" i="36"/>
  <c r="O49" i="36" s="1"/>
  <c r="U49" i="36" s="1"/>
  <c r="K49" i="36"/>
  <c r="N49" i="36" s="1"/>
  <c r="J49" i="36"/>
  <c r="M49" i="36" s="1"/>
  <c r="L48" i="36"/>
  <c r="O48" i="36" s="1"/>
  <c r="U48" i="36" s="1"/>
  <c r="K48" i="36"/>
  <c r="N48" i="36" s="1"/>
  <c r="J48" i="36"/>
  <c r="M48" i="36" s="1"/>
  <c r="L47" i="36"/>
  <c r="O47" i="36" s="1"/>
  <c r="U47" i="36" s="1"/>
  <c r="K47" i="36"/>
  <c r="N47" i="36" s="1"/>
  <c r="J47" i="36"/>
  <c r="M47" i="36" s="1"/>
  <c r="L46" i="36"/>
  <c r="O46" i="36" s="1"/>
  <c r="U46" i="36" s="1"/>
  <c r="K46" i="36"/>
  <c r="N46" i="36" s="1"/>
  <c r="J46" i="36"/>
  <c r="M46" i="36" s="1"/>
  <c r="L45" i="36"/>
  <c r="O45" i="36" s="1"/>
  <c r="U45" i="36" s="1"/>
  <c r="K45" i="36"/>
  <c r="N45" i="36" s="1"/>
  <c r="J45" i="36"/>
  <c r="M45" i="36" s="1"/>
  <c r="L44" i="36"/>
  <c r="O44" i="36" s="1"/>
  <c r="U44" i="36" s="1"/>
  <c r="K44" i="36"/>
  <c r="N44" i="36" s="1"/>
  <c r="J44" i="36"/>
  <c r="M44" i="36" s="1"/>
  <c r="L43" i="36"/>
  <c r="O43" i="36" s="1"/>
  <c r="U43" i="36" s="1"/>
  <c r="K43" i="36"/>
  <c r="N43" i="36" s="1"/>
  <c r="J43" i="36"/>
  <c r="M43" i="36" s="1"/>
  <c r="L42" i="36"/>
  <c r="O42" i="36" s="1"/>
  <c r="U42" i="36" s="1"/>
  <c r="K42" i="36"/>
  <c r="N42" i="36" s="1"/>
  <c r="J42" i="36"/>
  <c r="M42" i="36" s="1"/>
  <c r="L41" i="36"/>
  <c r="O41" i="36" s="1"/>
  <c r="U41" i="36" s="1"/>
  <c r="K41" i="36"/>
  <c r="N41" i="36" s="1"/>
  <c r="J41" i="36"/>
  <c r="M41" i="36" s="1"/>
  <c r="L40" i="36"/>
  <c r="O40" i="36" s="1"/>
  <c r="U40" i="36" s="1"/>
  <c r="K40" i="36"/>
  <c r="N40" i="36" s="1"/>
  <c r="J40" i="36"/>
  <c r="M40" i="36" s="1"/>
  <c r="L39" i="36"/>
  <c r="O39" i="36" s="1"/>
  <c r="U39" i="36" s="1"/>
  <c r="K39" i="36"/>
  <c r="N39" i="36" s="1"/>
  <c r="J39" i="36"/>
  <c r="M39" i="36" s="1"/>
  <c r="L38" i="36"/>
  <c r="O38" i="36" s="1"/>
  <c r="U38" i="36" s="1"/>
  <c r="K38" i="36"/>
  <c r="N38" i="36" s="1"/>
  <c r="J38" i="36"/>
  <c r="M38" i="36" s="1"/>
  <c r="L37" i="36"/>
  <c r="O37" i="36" s="1"/>
  <c r="U37" i="36" s="1"/>
  <c r="K37" i="36"/>
  <c r="N37" i="36" s="1"/>
  <c r="J37" i="36"/>
  <c r="M37" i="36" s="1"/>
  <c r="L36" i="36"/>
  <c r="O36" i="36" s="1"/>
  <c r="U36" i="36" s="1"/>
  <c r="K36" i="36"/>
  <c r="N36" i="36" s="1"/>
  <c r="J36" i="36"/>
  <c r="M36" i="36" s="1"/>
  <c r="L35" i="36"/>
  <c r="O35" i="36" s="1"/>
  <c r="U35" i="36" s="1"/>
  <c r="K35" i="36"/>
  <c r="N35" i="36" s="1"/>
  <c r="J35" i="36"/>
  <c r="M35" i="36" s="1"/>
  <c r="L34" i="36"/>
  <c r="O34" i="36" s="1"/>
  <c r="U34" i="36" s="1"/>
  <c r="K34" i="36"/>
  <c r="N34" i="36" s="1"/>
  <c r="J34" i="36"/>
  <c r="M34" i="36" s="1"/>
  <c r="L33" i="36"/>
  <c r="O33" i="36" s="1"/>
  <c r="U33" i="36" s="1"/>
  <c r="K33" i="36"/>
  <c r="N33" i="36" s="1"/>
  <c r="J33" i="36"/>
  <c r="M33" i="36" s="1"/>
  <c r="S33" i="36" s="1"/>
  <c r="L32" i="36"/>
  <c r="O32" i="36" s="1"/>
  <c r="U32" i="36" s="1"/>
  <c r="K32" i="36"/>
  <c r="N32" i="36" s="1"/>
  <c r="J32" i="36"/>
  <c r="M32" i="36" s="1"/>
  <c r="L31" i="36"/>
  <c r="O31" i="36" s="1"/>
  <c r="U31" i="36" s="1"/>
  <c r="K31" i="36"/>
  <c r="N31" i="36" s="1"/>
  <c r="J31" i="36"/>
  <c r="M31" i="36" s="1"/>
  <c r="L30" i="36"/>
  <c r="O30" i="36" s="1"/>
  <c r="U30" i="36" s="1"/>
  <c r="K30" i="36"/>
  <c r="N30" i="36" s="1"/>
  <c r="J30" i="36"/>
  <c r="M30" i="36" s="1"/>
  <c r="L29" i="36"/>
  <c r="O29" i="36" s="1"/>
  <c r="U29" i="36" s="1"/>
  <c r="K29" i="36"/>
  <c r="N29" i="36" s="1"/>
  <c r="J29" i="36"/>
  <c r="M29" i="36" s="1"/>
  <c r="L28" i="36"/>
  <c r="O28" i="36" s="1"/>
  <c r="U28" i="36" s="1"/>
  <c r="K28" i="36"/>
  <c r="N28" i="36" s="1"/>
  <c r="J28" i="36"/>
  <c r="M28" i="36" s="1"/>
  <c r="L27" i="36"/>
  <c r="O27" i="36" s="1"/>
  <c r="U27" i="36" s="1"/>
  <c r="K27" i="36"/>
  <c r="N27" i="36" s="1"/>
  <c r="J27" i="36"/>
  <c r="M27" i="36" s="1"/>
  <c r="L26" i="36"/>
  <c r="O26" i="36" s="1"/>
  <c r="U26" i="36" s="1"/>
  <c r="K26" i="36"/>
  <c r="N26" i="36" s="1"/>
  <c r="J26" i="36"/>
  <c r="M26" i="36" s="1"/>
  <c r="L25" i="36"/>
  <c r="O25" i="36" s="1"/>
  <c r="U25" i="36" s="1"/>
  <c r="K25" i="36"/>
  <c r="N25" i="36" s="1"/>
  <c r="J25" i="36"/>
  <c r="M25" i="36" s="1"/>
  <c r="L24" i="36"/>
  <c r="O24" i="36" s="1"/>
  <c r="U24" i="36" s="1"/>
  <c r="K24" i="36"/>
  <c r="N24" i="36" s="1"/>
  <c r="J24" i="36"/>
  <c r="M24" i="36" s="1"/>
  <c r="L23" i="36"/>
  <c r="O23" i="36" s="1"/>
  <c r="U23" i="36" s="1"/>
  <c r="K23" i="36"/>
  <c r="N23" i="36" s="1"/>
  <c r="J23" i="36"/>
  <c r="M23" i="36" s="1"/>
  <c r="L22" i="36"/>
  <c r="O22" i="36" s="1"/>
  <c r="U22" i="36" s="1"/>
  <c r="K22" i="36"/>
  <c r="N22" i="36" s="1"/>
  <c r="J22" i="36"/>
  <c r="M22" i="36" s="1"/>
  <c r="L21" i="36"/>
  <c r="O21" i="36" s="1"/>
  <c r="U21" i="36" s="1"/>
  <c r="K21" i="36"/>
  <c r="N21" i="36" s="1"/>
  <c r="J21" i="36"/>
  <c r="M21" i="36" s="1"/>
  <c r="L20" i="36"/>
  <c r="O20" i="36" s="1"/>
  <c r="U20" i="36" s="1"/>
  <c r="K20" i="36"/>
  <c r="N20" i="36" s="1"/>
  <c r="J20" i="36"/>
  <c r="M20" i="36" s="1"/>
  <c r="L19" i="36"/>
  <c r="O19" i="36" s="1"/>
  <c r="U19" i="36" s="1"/>
  <c r="K19" i="36"/>
  <c r="N19" i="36" s="1"/>
  <c r="J19" i="36"/>
  <c r="M19" i="36" s="1"/>
  <c r="L18" i="36"/>
  <c r="O18" i="36" s="1"/>
  <c r="U18" i="36" s="1"/>
  <c r="K18" i="36"/>
  <c r="N18" i="36" s="1"/>
  <c r="J18" i="36"/>
  <c r="M18" i="36" s="1"/>
  <c r="L17" i="36"/>
  <c r="O17" i="36" s="1"/>
  <c r="U17" i="36" s="1"/>
  <c r="K17" i="36"/>
  <c r="N17" i="36" s="1"/>
  <c r="J17" i="36"/>
  <c r="M17" i="36" s="1"/>
  <c r="U8" i="36"/>
  <c r="U9" i="36"/>
  <c r="O512" i="36" l="1"/>
  <c r="U512" i="36" s="1"/>
  <c r="U511" i="36"/>
  <c r="J96" i="38" l="1"/>
  <c r="J96" i="37" s="1"/>
  <c r="K97" i="36" s="1"/>
  <c r="N97" i="36" s="1"/>
  <c r="J457" i="37"/>
  <c r="K458" i="36" s="1"/>
  <c r="N458" i="36" s="1"/>
  <c r="N457" i="36" s="1"/>
  <c r="J422" i="37"/>
  <c r="K423" i="36" s="1"/>
  <c r="N423" i="36" s="1"/>
  <c r="J421" i="37"/>
  <c r="K422" i="36" s="1"/>
  <c r="N422" i="36" s="1"/>
  <c r="J394" i="37"/>
  <c r="K395" i="36" s="1"/>
  <c r="N395" i="36" s="1"/>
  <c r="J393" i="37"/>
  <c r="K394" i="36" s="1"/>
  <c r="N394" i="36" s="1"/>
  <c r="J389" i="37"/>
  <c r="K390" i="36" s="1"/>
  <c r="N390" i="36" s="1"/>
  <c r="J296" i="37"/>
  <c r="K297" i="36" s="1"/>
  <c r="N297" i="36" s="1"/>
  <c r="J295" i="37"/>
  <c r="K296" i="36" s="1"/>
  <c r="N296" i="36" s="1"/>
  <c r="J292" i="37"/>
  <c r="K293" i="36" s="1"/>
  <c r="N293" i="36" s="1"/>
  <c r="J290" i="37"/>
  <c r="K291" i="36" s="1"/>
  <c r="N291" i="36" s="1"/>
  <c r="J268" i="37"/>
  <c r="K269" i="36" s="1"/>
  <c r="N269" i="36" s="1"/>
  <c r="J267" i="37"/>
  <c r="K268" i="36" s="1"/>
  <c r="N268" i="36" s="1"/>
  <c r="K100" i="37"/>
  <c r="L101" i="36" s="1"/>
  <c r="K33" i="37"/>
  <c r="J33" i="37"/>
  <c r="K9" i="37"/>
  <c r="K8" i="37"/>
  <c r="J512" i="38"/>
  <c r="J512" i="37" s="1"/>
  <c r="J510" i="38"/>
  <c r="J510" i="37" s="1"/>
  <c r="J508" i="38"/>
  <c r="J508" i="37" s="1"/>
  <c r="J507" i="38"/>
  <c r="J507" i="37" s="1"/>
  <c r="J506" i="38"/>
  <c r="J506" i="37" s="1"/>
  <c r="J505" i="38"/>
  <c r="J505" i="37" s="1"/>
  <c r="J504" i="38"/>
  <c r="J504" i="37" s="1"/>
  <c r="J503" i="38"/>
  <c r="J503" i="37" s="1"/>
  <c r="J502" i="38"/>
  <c r="J502" i="37" s="1"/>
  <c r="J501" i="38"/>
  <c r="J501" i="37" s="1"/>
  <c r="J500" i="38"/>
  <c r="J500" i="37" s="1"/>
  <c r="J499" i="38"/>
  <c r="J499" i="37" s="1"/>
  <c r="J498" i="38"/>
  <c r="J498" i="37" s="1"/>
  <c r="J497" i="38"/>
  <c r="J497" i="37" s="1"/>
  <c r="J496" i="38"/>
  <c r="J496" i="37" s="1"/>
  <c r="J495" i="38"/>
  <c r="J495" i="37" s="1"/>
  <c r="J494" i="38"/>
  <c r="J494" i="37" s="1"/>
  <c r="J493" i="38"/>
  <c r="J493" i="37" s="1"/>
  <c r="J492" i="38"/>
  <c r="J492" i="37" s="1"/>
  <c r="J491" i="38"/>
  <c r="J491" i="37" s="1"/>
  <c r="J490" i="38"/>
  <c r="J490" i="37" s="1"/>
  <c r="J489" i="38"/>
  <c r="J489" i="37" s="1"/>
  <c r="J488" i="38"/>
  <c r="J488" i="37" s="1"/>
  <c r="J487" i="38"/>
  <c r="J487" i="37" s="1"/>
  <c r="J486" i="38"/>
  <c r="J486" i="37" s="1"/>
  <c r="J485" i="38"/>
  <c r="J485" i="37" s="1"/>
  <c r="J484" i="38"/>
  <c r="J484" i="37" s="1"/>
  <c r="J483" i="38"/>
  <c r="J483" i="37" s="1"/>
  <c r="J482" i="38"/>
  <c r="J482" i="37" s="1"/>
  <c r="J481" i="38"/>
  <c r="J481" i="37" s="1"/>
  <c r="J480" i="38"/>
  <c r="J480" i="37" s="1"/>
  <c r="J479" i="38"/>
  <c r="J479" i="37" s="1"/>
  <c r="J478" i="38"/>
  <c r="J478" i="37" s="1"/>
  <c r="J477" i="38"/>
  <c r="J477" i="37" s="1"/>
  <c r="J476" i="38"/>
  <c r="J476" i="37" s="1"/>
  <c r="J475" i="38"/>
  <c r="J475" i="37" s="1"/>
  <c r="J474" i="38"/>
  <c r="J474" i="37" s="1"/>
  <c r="J473" i="38"/>
  <c r="J473" i="37" s="1"/>
  <c r="J472" i="38"/>
  <c r="J472" i="37" s="1"/>
  <c r="J471" i="38"/>
  <c r="J471" i="37" s="1"/>
  <c r="J470" i="38"/>
  <c r="J470" i="37" s="1"/>
  <c r="J469" i="38"/>
  <c r="J469" i="37" s="1"/>
  <c r="J468" i="38"/>
  <c r="J468" i="37" s="1"/>
  <c r="J467" i="38"/>
  <c r="J467" i="37" s="1"/>
  <c r="J466" i="38"/>
  <c r="J466" i="37" s="1"/>
  <c r="J465" i="38"/>
  <c r="J465" i="37" s="1"/>
  <c r="J464" i="38"/>
  <c r="J464" i="37" s="1"/>
  <c r="J463" i="38"/>
  <c r="J463" i="37" s="1"/>
  <c r="J462" i="38"/>
  <c r="J462" i="37" s="1"/>
  <c r="J461" i="38"/>
  <c r="J461" i="37" s="1"/>
  <c r="J460" i="38"/>
  <c r="J460" i="37" s="1"/>
  <c r="J459" i="38"/>
  <c r="J459" i="37" s="1"/>
  <c r="J458" i="38"/>
  <c r="J458" i="37" s="1"/>
  <c r="J455" i="38"/>
  <c r="J455" i="37" s="1"/>
  <c r="K456" i="36" s="1"/>
  <c r="N456" i="36" s="1"/>
  <c r="J454" i="38"/>
  <c r="J454" i="37" s="1"/>
  <c r="K455" i="36" s="1"/>
  <c r="N455" i="36" s="1"/>
  <c r="J453" i="38"/>
  <c r="J453" i="37" s="1"/>
  <c r="K454" i="36" s="1"/>
  <c r="N454" i="36" s="1"/>
  <c r="J452" i="38"/>
  <c r="J452" i="37" s="1"/>
  <c r="K453" i="36" s="1"/>
  <c r="N453" i="36" s="1"/>
  <c r="J450" i="38"/>
  <c r="J450" i="37" s="1"/>
  <c r="K451" i="36" s="1"/>
  <c r="N451" i="36" s="1"/>
  <c r="J449" i="38"/>
  <c r="J449" i="37" s="1"/>
  <c r="K450" i="36" s="1"/>
  <c r="N450" i="36" s="1"/>
  <c r="J448" i="38"/>
  <c r="J448" i="37" s="1"/>
  <c r="K449" i="36" s="1"/>
  <c r="N449" i="36" s="1"/>
  <c r="J447" i="38"/>
  <c r="J447" i="37" s="1"/>
  <c r="K448" i="36" s="1"/>
  <c r="N448" i="36" s="1"/>
  <c r="J446" i="38"/>
  <c r="J446" i="37" s="1"/>
  <c r="K447" i="36" s="1"/>
  <c r="N447" i="36" s="1"/>
  <c r="J445" i="38"/>
  <c r="J445" i="37" s="1"/>
  <c r="K446" i="36" s="1"/>
  <c r="N446" i="36" s="1"/>
  <c r="J444" i="38"/>
  <c r="J444" i="37" s="1"/>
  <c r="K445" i="36" s="1"/>
  <c r="N445" i="36" s="1"/>
  <c r="J443" i="38"/>
  <c r="J443" i="37" s="1"/>
  <c r="K444" i="36" s="1"/>
  <c r="N444" i="36" s="1"/>
  <c r="J442" i="38"/>
  <c r="J442" i="37" s="1"/>
  <c r="K443" i="36" s="1"/>
  <c r="N443" i="36" s="1"/>
  <c r="J440" i="38"/>
  <c r="J440" i="37" s="1"/>
  <c r="K441" i="36" s="1"/>
  <c r="N441" i="36" s="1"/>
  <c r="J439" i="38"/>
  <c r="J439" i="37" s="1"/>
  <c r="K440" i="36" s="1"/>
  <c r="N440" i="36" s="1"/>
  <c r="J438" i="38"/>
  <c r="J438" i="37" s="1"/>
  <c r="K439" i="36" s="1"/>
  <c r="N439" i="36" s="1"/>
  <c r="J437" i="38"/>
  <c r="J437" i="37" s="1"/>
  <c r="K438" i="36" s="1"/>
  <c r="N438" i="36" s="1"/>
  <c r="J436" i="38"/>
  <c r="J436" i="37" s="1"/>
  <c r="K437" i="36" s="1"/>
  <c r="N437" i="36" s="1"/>
  <c r="J435" i="38"/>
  <c r="J435" i="37" s="1"/>
  <c r="K436" i="36" s="1"/>
  <c r="N436" i="36" s="1"/>
  <c r="J434" i="38"/>
  <c r="J434" i="37" s="1"/>
  <c r="K435" i="36" s="1"/>
  <c r="N435" i="36" s="1"/>
  <c r="J433" i="38"/>
  <c r="J433" i="37" s="1"/>
  <c r="K434" i="36" s="1"/>
  <c r="N434" i="36" s="1"/>
  <c r="J432" i="38"/>
  <c r="J432" i="37" s="1"/>
  <c r="K433" i="36" s="1"/>
  <c r="N433" i="36" s="1"/>
  <c r="J430" i="38"/>
  <c r="J430" i="37" s="1"/>
  <c r="K431" i="36" s="1"/>
  <c r="N431" i="36" s="1"/>
  <c r="J429" i="38"/>
  <c r="J429" i="37" s="1"/>
  <c r="K430" i="36" s="1"/>
  <c r="N430" i="36" s="1"/>
  <c r="J428" i="38"/>
  <c r="J428" i="37" s="1"/>
  <c r="K429" i="36" s="1"/>
  <c r="N429" i="36" s="1"/>
  <c r="J427" i="38"/>
  <c r="J427" i="37" s="1"/>
  <c r="K428" i="36" s="1"/>
  <c r="N428" i="36" s="1"/>
  <c r="J426" i="38"/>
  <c r="J426" i="37" s="1"/>
  <c r="K427" i="36" s="1"/>
  <c r="N427" i="36" s="1"/>
  <c r="J425" i="38"/>
  <c r="J425" i="37" s="1"/>
  <c r="K426" i="36" s="1"/>
  <c r="N426" i="36" s="1"/>
  <c r="J424" i="38"/>
  <c r="J424" i="37" s="1"/>
  <c r="K425" i="36" s="1"/>
  <c r="N425" i="36" s="1"/>
  <c r="J423" i="38"/>
  <c r="J423" i="37" s="1"/>
  <c r="K424" i="36" s="1"/>
  <c r="N424" i="36" s="1"/>
  <c r="J422" i="38"/>
  <c r="J421" i="38"/>
  <c r="J420" i="38"/>
  <c r="J420" i="37" s="1"/>
  <c r="K421" i="36" s="1"/>
  <c r="N421" i="36" s="1"/>
  <c r="J419" i="38"/>
  <c r="J419" i="37" s="1"/>
  <c r="K420" i="36" s="1"/>
  <c r="N420" i="36" s="1"/>
  <c r="J418" i="38"/>
  <c r="J418" i="37" s="1"/>
  <c r="K419" i="36" s="1"/>
  <c r="N419" i="36" s="1"/>
  <c r="J417" i="38"/>
  <c r="J417" i="37" s="1"/>
  <c r="K418" i="36" s="1"/>
  <c r="N418" i="36" s="1"/>
  <c r="J416" i="38"/>
  <c r="J416" i="37" s="1"/>
  <c r="K417" i="36" s="1"/>
  <c r="N417" i="36" s="1"/>
  <c r="J415" i="38"/>
  <c r="J415" i="37" s="1"/>
  <c r="K416" i="36" s="1"/>
  <c r="N416" i="36" s="1"/>
  <c r="J414" i="38"/>
  <c r="J414" i="37" s="1"/>
  <c r="K415" i="36" s="1"/>
  <c r="N415" i="36" s="1"/>
  <c r="J413" i="38"/>
  <c r="J413" i="37" s="1"/>
  <c r="K414" i="36" s="1"/>
  <c r="N414" i="36" s="1"/>
  <c r="J412" i="38"/>
  <c r="J412" i="37" s="1"/>
  <c r="K413" i="36" s="1"/>
  <c r="N413" i="36" s="1"/>
  <c r="J411" i="38"/>
  <c r="J411" i="37" s="1"/>
  <c r="K412" i="36" s="1"/>
  <c r="N412" i="36" s="1"/>
  <c r="J410" i="38"/>
  <c r="J410" i="37" s="1"/>
  <c r="K411" i="36" s="1"/>
  <c r="N411" i="36" s="1"/>
  <c r="J409" i="38"/>
  <c r="J409" i="37" s="1"/>
  <c r="K410" i="36" s="1"/>
  <c r="N410" i="36" s="1"/>
  <c r="J408" i="38"/>
  <c r="J408" i="37" s="1"/>
  <c r="K409" i="36" s="1"/>
  <c r="N409" i="36" s="1"/>
  <c r="J407" i="38"/>
  <c r="J407" i="37" s="1"/>
  <c r="K408" i="36" s="1"/>
  <c r="N408" i="36" s="1"/>
  <c r="J406" i="38"/>
  <c r="J406" i="37" s="1"/>
  <c r="K407" i="36" s="1"/>
  <c r="N407" i="36" s="1"/>
  <c r="J405" i="38"/>
  <c r="J405" i="37" s="1"/>
  <c r="K406" i="36" s="1"/>
  <c r="N406" i="36" s="1"/>
  <c r="J404" i="38"/>
  <c r="J404" i="37" s="1"/>
  <c r="K405" i="36" s="1"/>
  <c r="N405" i="36" s="1"/>
  <c r="J403" i="38"/>
  <c r="J403" i="37" s="1"/>
  <c r="K404" i="36" s="1"/>
  <c r="N404" i="36" s="1"/>
  <c r="J402" i="38"/>
  <c r="J402" i="37" s="1"/>
  <c r="K403" i="36" s="1"/>
  <c r="N403" i="36" s="1"/>
  <c r="J401" i="38"/>
  <c r="J401" i="37" s="1"/>
  <c r="K402" i="36" s="1"/>
  <c r="N402" i="36" s="1"/>
  <c r="J400" i="38"/>
  <c r="J400" i="37" s="1"/>
  <c r="K401" i="36" s="1"/>
  <c r="N401" i="36" s="1"/>
  <c r="J399" i="38"/>
  <c r="J399" i="37" s="1"/>
  <c r="K400" i="36" s="1"/>
  <c r="N400" i="36" s="1"/>
  <c r="J398" i="38"/>
  <c r="J398" i="37" s="1"/>
  <c r="K399" i="36" s="1"/>
  <c r="N399" i="36" s="1"/>
  <c r="J397" i="38"/>
  <c r="J397" i="37" s="1"/>
  <c r="K398" i="36" s="1"/>
  <c r="N398" i="36" s="1"/>
  <c r="J396" i="38"/>
  <c r="J396" i="37" s="1"/>
  <c r="K397" i="36" s="1"/>
  <c r="N397" i="36" s="1"/>
  <c r="J395" i="38"/>
  <c r="J395" i="37" s="1"/>
  <c r="K396" i="36" s="1"/>
  <c r="N396" i="36" s="1"/>
  <c r="J394" i="38"/>
  <c r="J393" i="38"/>
  <c r="J392" i="38"/>
  <c r="J392" i="37" s="1"/>
  <c r="K393" i="36" s="1"/>
  <c r="N393" i="36" s="1"/>
  <c r="J390" i="38"/>
  <c r="J390" i="37" s="1"/>
  <c r="K391" i="36" s="1"/>
  <c r="N391" i="36" s="1"/>
  <c r="J389" i="38"/>
  <c r="J388" i="38"/>
  <c r="J388" i="37" s="1"/>
  <c r="K389" i="36" s="1"/>
  <c r="N389" i="36" s="1"/>
  <c r="J387" i="38"/>
  <c r="J387" i="37" s="1"/>
  <c r="K388" i="36" s="1"/>
  <c r="N388" i="36" s="1"/>
  <c r="J386" i="38"/>
  <c r="J386" i="37" s="1"/>
  <c r="K387" i="36" s="1"/>
  <c r="N387" i="36" s="1"/>
  <c r="J385" i="38"/>
  <c r="J385" i="37" s="1"/>
  <c r="K386" i="36" s="1"/>
  <c r="N386" i="36" s="1"/>
  <c r="J384" i="38"/>
  <c r="J384" i="37" s="1"/>
  <c r="K385" i="36" s="1"/>
  <c r="N385" i="36" s="1"/>
  <c r="J383" i="38"/>
  <c r="J383" i="37" s="1"/>
  <c r="K384" i="36" s="1"/>
  <c r="N384" i="36" s="1"/>
  <c r="J382" i="38"/>
  <c r="J382" i="37" s="1"/>
  <c r="K383" i="36" s="1"/>
  <c r="N383" i="36" s="1"/>
  <c r="J381" i="38"/>
  <c r="J381" i="37" s="1"/>
  <c r="K382" i="36" s="1"/>
  <c r="N382" i="36" s="1"/>
  <c r="J380" i="38"/>
  <c r="J380" i="37" s="1"/>
  <c r="K381" i="36" s="1"/>
  <c r="N381" i="36" s="1"/>
  <c r="J379" i="38"/>
  <c r="J379" i="37" s="1"/>
  <c r="K380" i="36" s="1"/>
  <c r="N380" i="36" s="1"/>
  <c r="J378" i="38"/>
  <c r="J378" i="37" s="1"/>
  <c r="K379" i="36" s="1"/>
  <c r="N379" i="36" s="1"/>
  <c r="J377" i="38"/>
  <c r="J377" i="37" s="1"/>
  <c r="K378" i="36" s="1"/>
  <c r="N378" i="36" s="1"/>
  <c r="J376" i="38"/>
  <c r="J376" i="37" s="1"/>
  <c r="K377" i="36" s="1"/>
  <c r="N377" i="36" s="1"/>
  <c r="J375" i="38"/>
  <c r="J375" i="37" s="1"/>
  <c r="K376" i="36" s="1"/>
  <c r="N376" i="36" s="1"/>
  <c r="J374" i="38"/>
  <c r="J374" i="37" s="1"/>
  <c r="K375" i="36" s="1"/>
  <c r="N375" i="36" s="1"/>
  <c r="J373" i="38"/>
  <c r="J373" i="37" s="1"/>
  <c r="K374" i="36" s="1"/>
  <c r="N374" i="36" s="1"/>
  <c r="J371" i="38"/>
  <c r="J371" i="37" s="1"/>
  <c r="K372" i="36" s="1"/>
  <c r="N372" i="36" s="1"/>
  <c r="J370" i="38"/>
  <c r="J370" i="37" s="1"/>
  <c r="K371" i="36" s="1"/>
  <c r="N371" i="36" s="1"/>
  <c r="J369" i="38"/>
  <c r="J369" i="37" s="1"/>
  <c r="K370" i="36" s="1"/>
  <c r="N370" i="36" s="1"/>
  <c r="J368" i="38"/>
  <c r="J368" i="37" s="1"/>
  <c r="K369" i="36" s="1"/>
  <c r="N369" i="36" s="1"/>
  <c r="J367" i="38"/>
  <c r="J367" i="37" s="1"/>
  <c r="K368" i="36" s="1"/>
  <c r="N368" i="36" s="1"/>
  <c r="J366" i="38"/>
  <c r="J366" i="37" s="1"/>
  <c r="K367" i="36" s="1"/>
  <c r="N367" i="36" s="1"/>
  <c r="J365" i="38"/>
  <c r="J365" i="37" s="1"/>
  <c r="K366" i="36" s="1"/>
  <c r="N366" i="36" s="1"/>
  <c r="J364" i="38"/>
  <c r="J364" i="37" s="1"/>
  <c r="K365" i="36" s="1"/>
  <c r="N365" i="36" s="1"/>
  <c r="J363" i="38"/>
  <c r="J363" i="37" s="1"/>
  <c r="K364" i="36" s="1"/>
  <c r="N364" i="36" s="1"/>
  <c r="J362" i="38"/>
  <c r="J362" i="37" s="1"/>
  <c r="K363" i="36" s="1"/>
  <c r="N363" i="36" s="1"/>
  <c r="J361" i="38"/>
  <c r="J361" i="37" s="1"/>
  <c r="K362" i="36" s="1"/>
  <c r="N362" i="36" s="1"/>
  <c r="J360" i="38"/>
  <c r="J360" i="37" s="1"/>
  <c r="K361" i="36" s="1"/>
  <c r="N361" i="36" s="1"/>
  <c r="J359" i="38"/>
  <c r="J359" i="37" s="1"/>
  <c r="K360" i="36" s="1"/>
  <c r="N360" i="36" s="1"/>
  <c r="J358" i="38"/>
  <c r="J358" i="37" s="1"/>
  <c r="K359" i="36" s="1"/>
  <c r="N359" i="36" s="1"/>
  <c r="J357" i="38"/>
  <c r="J357" i="37" s="1"/>
  <c r="K358" i="36" s="1"/>
  <c r="N358" i="36" s="1"/>
  <c r="J356" i="38"/>
  <c r="J356" i="37" s="1"/>
  <c r="K357" i="36" s="1"/>
  <c r="N357" i="36" s="1"/>
  <c r="J355" i="38"/>
  <c r="J355" i="37" s="1"/>
  <c r="K356" i="36" s="1"/>
  <c r="N356" i="36" s="1"/>
  <c r="J354" i="38"/>
  <c r="J354" i="37" s="1"/>
  <c r="K355" i="36" s="1"/>
  <c r="N355" i="36" s="1"/>
  <c r="J353" i="38"/>
  <c r="J353" i="37" s="1"/>
  <c r="K354" i="36" s="1"/>
  <c r="N354" i="36" s="1"/>
  <c r="J352" i="38"/>
  <c r="J352" i="37" s="1"/>
  <c r="K353" i="36" s="1"/>
  <c r="N353" i="36" s="1"/>
  <c r="J351" i="38"/>
  <c r="J351" i="37" s="1"/>
  <c r="K352" i="36" s="1"/>
  <c r="N352" i="36" s="1"/>
  <c r="J350" i="38"/>
  <c r="J350" i="37" s="1"/>
  <c r="K351" i="36" s="1"/>
  <c r="N351" i="36" s="1"/>
  <c r="J349" i="38"/>
  <c r="J349" i="37" s="1"/>
  <c r="K350" i="36" s="1"/>
  <c r="N350" i="36" s="1"/>
  <c r="J348" i="38"/>
  <c r="J348" i="37" s="1"/>
  <c r="K349" i="36" s="1"/>
  <c r="N349" i="36" s="1"/>
  <c r="J347" i="38"/>
  <c r="J347" i="37" s="1"/>
  <c r="K348" i="36" s="1"/>
  <c r="N348" i="36" s="1"/>
  <c r="J346" i="38"/>
  <c r="J346" i="37" s="1"/>
  <c r="K347" i="36" s="1"/>
  <c r="N347" i="36" s="1"/>
  <c r="J345" i="38"/>
  <c r="J345" i="37" s="1"/>
  <c r="K346" i="36" s="1"/>
  <c r="N346" i="36" s="1"/>
  <c r="J344" i="38"/>
  <c r="J344" i="37" s="1"/>
  <c r="K345" i="36" s="1"/>
  <c r="N345" i="36" s="1"/>
  <c r="J343" i="38"/>
  <c r="J343" i="37" s="1"/>
  <c r="K344" i="36" s="1"/>
  <c r="N344" i="36" s="1"/>
  <c r="J342" i="38"/>
  <c r="J342" i="37" s="1"/>
  <c r="K343" i="36" s="1"/>
  <c r="N343" i="36" s="1"/>
  <c r="J341" i="38"/>
  <c r="J341" i="37" s="1"/>
  <c r="K342" i="36" s="1"/>
  <c r="N342" i="36" s="1"/>
  <c r="J340" i="38"/>
  <c r="J340" i="37" s="1"/>
  <c r="K341" i="36" s="1"/>
  <c r="N341" i="36" s="1"/>
  <c r="J339" i="38"/>
  <c r="J339" i="37" s="1"/>
  <c r="K340" i="36" s="1"/>
  <c r="N340" i="36" s="1"/>
  <c r="J338" i="38"/>
  <c r="J338" i="37" s="1"/>
  <c r="K339" i="36" s="1"/>
  <c r="N339" i="36" s="1"/>
  <c r="J337" i="38"/>
  <c r="J337" i="37" s="1"/>
  <c r="K338" i="36" s="1"/>
  <c r="N338" i="36" s="1"/>
  <c r="J336" i="38"/>
  <c r="J336" i="37" s="1"/>
  <c r="K337" i="36" s="1"/>
  <c r="N337" i="36" s="1"/>
  <c r="J335" i="38"/>
  <c r="J335" i="37" s="1"/>
  <c r="K336" i="36" s="1"/>
  <c r="N336" i="36" s="1"/>
  <c r="J334" i="38"/>
  <c r="J334" i="37" s="1"/>
  <c r="K335" i="36" s="1"/>
  <c r="N335" i="36" s="1"/>
  <c r="J333" i="38"/>
  <c r="J333" i="37" s="1"/>
  <c r="K334" i="36" s="1"/>
  <c r="N334" i="36" s="1"/>
  <c r="J332" i="38"/>
  <c r="J332" i="37" s="1"/>
  <c r="K333" i="36" s="1"/>
  <c r="N333" i="36" s="1"/>
  <c r="J331" i="38"/>
  <c r="J331" i="37" s="1"/>
  <c r="K332" i="36" s="1"/>
  <c r="N332" i="36" s="1"/>
  <c r="J330" i="38"/>
  <c r="J330" i="37" s="1"/>
  <c r="K331" i="36" s="1"/>
  <c r="N331" i="36" s="1"/>
  <c r="J329" i="38"/>
  <c r="J329" i="37" s="1"/>
  <c r="K330" i="36" s="1"/>
  <c r="N330" i="36" s="1"/>
  <c r="J328" i="38"/>
  <c r="J328" i="37" s="1"/>
  <c r="K329" i="36" s="1"/>
  <c r="N329" i="36" s="1"/>
  <c r="J327" i="38"/>
  <c r="J327" i="37" s="1"/>
  <c r="K328" i="36" s="1"/>
  <c r="N328" i="36" s="1"/>
  <c r="J326" i="38"/>
  <c r="J326" i="37" s="1"/>
  <c r="K327" i="36" s="1"/>
  <c r="N327" i="36" s="1"/>
  <c r="J325" i="38"/>
  <c r="J325" i="37" s="1"/>
  <c r="K326" i="36" s="1"/>
  <c r="N326" i="36" s="1"/>
  <c r="J324" i="38"/>
  <c r="J324" i="37" s="1"/>
  <c r="K325" i="36" s="1"/>
  <c r="N325" i="36" s="1"/>
  <c r="J323" i="38"/>
  <c r="J323" i="37" s="1"/>
  <c r="K324" i="36" s="1"/>
  <c r="N324" i="36" s="1"/>
  <c r="J322" i="38"/>
  <c r="J322" i="37" s="1"/>
  <c r="K323" i="36" s="1"/>
  <c r="N323" i="36" s="1"/>
  <c r="J321" i="38"/>
  <c r="J321" i="37" s="1"/>
  <c r="K322" i="36" s="1"/>
  <c r="N322" i="36" s="1"/>
  <c r="J320" i="38"/>
  <c r="J320" i="37" s="1"/>
  <c r="K321" i="36" s="1"/>
  <c r="N321" i="36" s="1"/>
  <c r="J319" i="38"/>
  <c r="J319" i="37" s="1"/>
  <c r="K320" i="36" s="1"/>
  <c r="N320" i="36" s="1"/>
  <c r="J318" i="38"/>
  <c r="J318" i="37" s="1"/>
  <c r="K319" i="36" s="1"/>
  <c r="N319" i="36" s="1"/>
  <c r="J317" i="38"/>
  <c r="J317" i="37" s="1"/>
  <c r="K318" i="36" s="1"/>
  <c r="N318" i="36" s="1"/>
  <c r="J316" i="38"/>
  <c r="J316" i="37" s="1"/>
  <c r="K317" i="36" s="1"/>
  <c r="N317" i="36" s="1"/>
  <c r="J315" i="38"/>
  <c r="J315" i="37" s="1"/>
  <c r="K316" i="36" s="1"/>
  <c r="N316" i="36" s="1"/>
  <c r="J314" i="38"/>
  <c r="J314" i="37" s="1"/>
  <c r="K315" i="36" s="1"/>
  <c r="N315" i="36" s="1"/>
  <c r="J313" i="38"/>
  <c r="J313" i="37" s="1"/>
  <c r="K314" i="36" s="1"/>
  <c r="N314" i="36" s="1"/>
  <c r="J312" i="38"/>
  <c r="J312" i="37" s="1"/>
  <c r="K313" i="36" s="1"/>
  <c r="N313" i="36" s="1"/>
  <c r="J311" i="38"/>
  <c r="J311" i="37" s="1"/>
  <c r="K312" i="36" s="1"/>
  <c r="N312" i="36" s="1"/>
  <c r="J310" i="38"/>
  <c r="J310" i="37" s="1"/>
  <c r="K311" i="36" s="1"/>
  <c r="N311" i="36" s="1"/>
  <c r="J309" i="38"/>
  <c r="J309" i="37" s="1"/>
  <c r="K310" i="36" s="1"/>
  <c r="N310" i="36" s="1"/>
  <c r="J308" i="38"/>
  <c r="J308" i="37" s="1"/>
  <c r="K309" i="36" s="1"/>
  <c r="N309" i="36" s="1"/>
  <c r="J307" i="38"/>
  <c r="J307" i="37" s="1"/>
  <c r="K308" i="36" s="1"/>
  <c r="N308" i="36" s="1"/>
  <c r="J306" i="38"/>
  <c r="J306" i="37" s="1"/>
  <c r="K307" i="36" s="1"/>
  <c r="N307" i="36" s="1"/>
  <c r="J305" i="38"/>
  <c r="J305" i="37" s="1"/>
  <c r="K306" i="36" s="1"/>
  <c r="N306" i="36" s="1"/>
  <c r="J304" i="38"/>
  <c r="J304" i="37" s="1"/>
  <c r="K305" i="36" s="1"/>
  <c r="N305" i="36" s="1"/>
  <c r="J303" i="38"/>
  <c r="J303" i="37" s="1"/>
  <c r="K304" i="36" s="1"/>
  <c r="N304" i="36" s="1"/>
  <c r="J302" i="38"/>
  <c r="J302" i="37" s="1"/>
  <c r="K303" i="36" s="1"/>
  <c r="N303" i="36" s="1"/>
  <c r="J301" i="38"/>
  <c r="J301" i="37" s="1"/>
  <c r="K302" i="36" s="1"/>
  <c r="N302" i="36" s="1"/>
  <c r="J300" i="38"/>
  <c r="J300" i="37" s="1"/>
  <c r="K301" i="36" s="1"/>
  <c r="N301" i="36" s="1"/>
  <c r="J299" i="38"/>
  <c r="J299" i="37" s="1"/>
  <c r="K300" i="36" s="1"/>
  <c r="N300" i="36" s="1"/>
  <c r="J298" i="38"/>
  <c r="J298" i="37" s="1"/>
  <c r="K299" i="36" s="1"/>
  <c r="N299" i="36" s="1"/>
  <c r="J297" i="38"/>
  <c r="J297" i="37" s="1"/>
  <c r="K298" i="36" s="1"/>
  <c r="N298" i="36" s="1"/>
  <c r="J296" i="38"/>
  <c r="J295" i="38"/>
  <c r="J294" i="38"/>
  <c r="J294" i="37" s="1"/>
  <c r="K295" i="36" s="1"/>
  <c r="N295" i="36" s="1"/>
  <c r="J293" i="38"/>
  <c r="J293" i="37" s="1"/>
  <c r="K294" i="36" s="1"/>
  <c r="N294" i="36" s="1"/>
  <c r="J292" i="38"/>
  <c r="J290" i="38"/>
  <c r="J289" i="38"/>
  <c r="J289" i="37" s="1"/>
  <c r="K290" i="36" s="1"/>
  <c r="N290" i="36" s="1"/>
  <c r="J288" i="38"/>
  <c r="J288" i="37" s="1"/>
  <c r="K289" i="36" s="1"/>
  <c r="N289" i="36" s="1"/>
  <c r="J287" i="38"/>
  <c r="J287" i="37" s="1"/>
  <c r="K288" i="36" s="1"/>
  <c r="N288" i="36" s="1"/>
  <c r="J286" i="38"/>
  <c r="J286" i="37" s="1"/>
  <c r="K287" i="36" s="1"/>
  <c r="N287" i="36" s="1"/>
  <c r="J285" i="38"/>
  <c r="J285" i="37" s="1"/>
  <c r="K286" i="36" s="1"/>
  <c r="N286" i="36" s="1"/>
  <c r="J284" i="38"/>
  <c r="J284" i="37" s="1"/>
  <c r="K285" i="36" s="1"/>
  <c r="N285" i="36" s="1"/>
  <c r="J283" i="38"/>
  <c r="J283" i="37" s="1"/>
  <c r="K284" i="36" s="1"/>
  <c r="N284" i="36" s="1"/>
  <c r="J282" i="38"/>
  <c r="J282" i="37" s="1"/>
  <c r="K283" i="36" s="1"/>
  <c r="N283" i="36" s="1"/>
  <c r="J280" i="38"/>
  <c r="J280" i="37" s="1"/>
  <c r="K281" i="36" s="1"/>
  <c r="N281" i="36" s="1"/>
  <c r="J279" i="38"/>
  <c r="J279" i="37" s="1"/>
  <c r="K280" i="36" s="1"/>
  <c r="N280" i="36" s="1"/>
  <c r="J278" i="38"/>
  <c r="J278" i="37" s="1"/>
  <c r="K279" i="36" s="1"/>
  <c r="N279" i="36" s="1"/>
  <c r="J277" i="38"/>
  <c r="J277" i="37" s="1"/>
  <c r="K278" i="36" s="1"/>
  <c r="N278" i="36" s="1"/>
  <c r="J276" i="38"/>
  <c r="J276" i="37" s="1"/>
  <c r="K277" i="36" s="1"/>
  <c r="N277" i="36" s="1"/>
  <c r="J275" i="38"/>
  <c r="J275" i="37" s="1"/>
  <c r="K276" i="36" s="1"/>
  <c r="N276" i="36" s="1"/>
  <c r="J274" i="38"/>
  <c r="J274" i="37" s="1"/>
  <c r="K275" i="36" s="1"/>
  <c r="N275" i="36" s="1"/>
  <c r="J273" i="38"/>
  <c r="J273" i="37" s="1"/>
  <c r="K274" i="36" s="1"/>
  <c r="N274" i="36" s="1"/>
  <c r="J272" i="38"/>
  <c r="J272" i="37" s="1"/>
  <c r="K273" i="36" s="1"/>
  <c r="N273" i="36" s="1"/>
  <c r="J271" i="38"/>
  <c r="J271" i="37" s="1"/>
  <c r="K272" i="36" s="1"/>
  <c r="N272" i="36" s="1"/>
  <c r="J270" i="38"/>
  <c r="J270" i="37" s="1"/>
  <c r="K271" i="36" s="1"/>
  <c r="N271" i="36" s="1"/>
  <c r="J269" i="38"/>
  <c r="J269" i="37" s="1"/>
  <c r="K270" i="36" s="1"/>
  <c r="N270" i="36" s="1"/>
  <c r="J268" i="38"/>
  <c r="J267" i="38"/>
  <c r="J266" i="38"/>
  <c r="J266" i="37" s="1"/>
  <c r="K267" i="36" s="1"/>
  <c r="N267" i="36" s="1"/>
  <c r="J265" i="38"/>
  <c r="J265" i="37" s="1"/>
  <c r="K266" i="36" s="1"/>
  <c r="N266" i="36" s="1"/>
  <c r="J264" i="38"/>
  <c r="J264" i="37" s="1"/>
  <c r="K265" i="36" s="1"/>
  <c r="N265" i="36" s="1"/>
  <c r="J263" i="38"/>
  <c r="J263" i="37" s="1"/>
  <c r="K264" i="36" s="1"/>
  <c r="N264" i="36" s="1"/>
  <c r="J262" i="38"/>
  <c r="J262" i="37" s="1"/>
  <c r="K263" i="36" s="1"/>
  <c r="N263" i="36" s="1"/>
  <c r="J261" i="38"/>
  <c r="J261" i="37" s="1"/>
  <c r="K262" i="36" s="1"/>
  <c r="N262" i="36" s="1"/>
  <c r="J260" i="38"/>
  <c r="J260" i="37" s="1"/>
  <c r="K261" i="36" s="1"/>
  <c r="N261" i="36" s="1"/>
  <c r="J259" i="38"/>
  <c r="J259" i="37" s="1"/>
  <c r="K260" i="36" s="1"/>
  <c r="N260" i="36" s="1"/>
  <c r="J258" i="38"/>
  <c r="J258" i="37" s="1"/>
  <c r="K259" i="36" s="1"/>
  <c r="N259" i="36" s="1"/>
  <c r="J257" i="38"/>
  <c r="J257" i="37" s="1"/>
  <c r="K258" i="36" s="1"/>
  <c r="N258" i="36" s="1"/>
  <c r="J256" i="38"/>
  <c r="J256" i="37" s="1"/>
  <c r="K257" i="36" s="1"/>
  <c r="N257" i="36" s="1"/>
  <c r="J255" i="38"/>
  <c r="J255" i="37" s="1"/>
  <c r="K256" i="36" s="1"/>
  <c r="N256" i="36" s="1"/>
  <c r="J254" i="38"/>
  <c r="J254" i="37" s="1"/>
  <c r="K255" i="36" s="1"/>
  <c r="N255" i="36" s="1"/>
  <c r="J253" i="38"/>
  <c r="J253" i="37" s="1"/>
  <c r="K254" i="36" s="1"/>
  <c r="N254" i="36" s="1"/>
  <c r="J252" i="38"/>
  <c r="J252" i="37" s="1"/>
  <c r="K253" i="36" s="1"/>
  <c r="N253" i="36" s="1"/>
  <c r="J251" i="38"/>
  <c r="J251" i="37" s="1"/>
  <c r="K252" i="36" s="1"/>
  <c r="N252" i="36" s="1"/>
  <c r="J250" i="38"/>
  <c r="J250" i="37" s="1"/>
  <c r="K251" i="36" s="1"/>
  <c r="N251" i="36" s="1"/>
  <c r="J249" i="38"/>
  <c r="J249" i="37" s="1"/>
  <c r="K250" i="36" s="1"/>
  <c r="N250" i="36" s="1"/>
  <c r="J248" i="38"/>
  <c r="J248" i="37" s="1"/>
  <c r="K249" i="36" s="1"/>
  <c r="N249" i="36" s="1"/>
  <c r="J247" i="38"/>
  <c r="J247" i="37" s="1"/>
  <c r="K248" i="36" s="1"/>
  <c r="N248" i="36" s="1"/>
  <c r="J246" i="38"/>
  <c r="J246" i="37" s="1"/>
  <c r="K247" i="36" s="1"/>
  <c r="N247" i="36" s="1"/>
  <c r="J245" i="38"/>
  <c r="J245" i="37" s="1"/>
  <c r="K246" i="36" s="1"/>
  <c r="N246" i="36" s="1"/>
  <c r="J244" i="38"/>
  <c r="J244" i="37" s="1"/>
  <c r="K245" i="36" s="1"/>
  <c r="N245" i="36" s="1"/>
  <c r="J243" i="38"/>
  <c r="J243" i="37" s="1"/>
  <c r="K244" i="36" s="1"/>
  <c r="N244" i="36" s="1"/>
  <c r="J242" i="38"/>
  <c r="J242" i="37" s="1"/>
  <c r="K243" i="36" s="1"/>
  <c r="N243" i="36" s="1"/>
  <c r="J241" i="38"/>
  <c r="J241" i="37" s="1"/>
  <c r="K242" i="36" s="1"/>
  <c r="N242" i="36" s="1"/>
  <c r="J240" i="38"/>
  <c r="J240" i="37" s="1"/>
  <c r="K241" i="36" s="1"/>
  <c r="N241" i="36" s="1"/>
  <c r="J239" i="38"/>
  <c r="J239" i="37" s="1"/>
  <c r="K240" i="36" s="1"/>
  <c r="N240" i="36" s="1"/>
  <c r="J238" i="38"/>
  <c r="J238" i="37" s="1"/>
  <c r="K239" i="36" s="1"/>
  <c r="N239" i="36" s="1"/>
  <c r="J237" i="38"/>
  <c r="J237" i="37" s="1"/>
  <c r="K238" i="36" s="1"/>
  <c r="N238" i="36" s="1"/>
  <c r="J236" i="38"/>
  <c r="J236" i="37" s="1"/>
  <c r="K237" i="36" s="1"/>
  <c r="N237" i="36" s="1"/>
  <c r="J235" i="38"/>
  <c r="J235" i="37" s="1"/>
  <c r="K236" i="36" s="1"/>
  <c r="N236" i="36" s="1"/>
  <c r="J234" i="38"/>
  <c r="J234" i="37" s="1"/>
  <c r="K235" i="36" s="1"/>
  <c r="N235" i="36" s="1"/>
  <c r="J233" i="38"/>
  <c r="J233" i="37" s="1"/>
  <c r="K234" i="36" s="1"/>
  <c r="N234" i="36" s="1"/>
  <c r="J232" i="38"/>
  <c r="J232" i="37" s="1"/>
  <c r="K233" i="36" s="1"/>
  <c r="N233" i="36" s="1"/>
  <c r="J231" i="38"/>
  <c r="J231" i="37" s="1"/>
  <c r="K232" i="36" s="1"/>
  <c r="N232" i="36" s="1"/>
  <c r="J230" i="38"/>
  <c r="J230" i="37" s="1"/>
  <c r="K231" i="36" s="1"/>
  <c r="N231" i="36" s="1"/>
  <c r="J229" i="38"/>
  <c r="J229" i="37" s="1"/>
  <c r="K230" i="36" s="1"/>
  <c r="N230" i="36" s="1"/>
  <c r="J228" i="38"/>
  <c r="J228" i="37" s="1"/>
  <c r="K229" i="36" s="1"/>
  <c r="N229" i="36" s="1"/>
  <c r="J227" i="38"/>
  <c r="J227" i="37" s="1"/>
  <c r="K228" i="36" s="1"/>
  <c r="N228" i="36" s="1"/>
  <c r="J226" i="38"/>
  <c r="J226" i="37" s="1"/>
  <c r="K227" i="36" s="1"/>
  <c r="N227" i="36" s="1"/>
  <c r="J225" i="38"/>
  <c r="J225" i="37" s="1"/>
  <c r="K226" i="36" s="1"/>
  <c r="N226" i="36" s="1"/>
  <c r="J224" i="38"/>
  <c r="J224" i="37" s="1"/>
  <c r="K225" i="36" s="1"/>
  <c r="N225" i="36" s="1"/>
  <c r="J223" i="38"/>
  <c r="J223" i="37" s="1"/>
  <c r="K224" i="36" s="1"/>
  <c r="N224" i="36" s="1"/>
  <c r="J222" i="38"/>
  <c r="J222" i="37" s="1"/>
  <c r="K223" i="36" s="1"/>
  <c r="N223" i="36" s="1"/>
  <c r="J221" i="38"/>
  <c r="J221" i="37" s="1"/>
  <c r="K222" i="36" s="1"/>
  <c r="N222" i="36" s="1"/>
  <c r="J220" i="38"/>
  <c r="J220" i="37" s="1"/>
  <c r="K221" i="36" s="1"/>
  <c r="N221" i="36" s="1"/>
  <c r="J219" i="38"/>
  <c r="J219" i="37" s="1"/>
  <c r="K220" i="36" s="1"/>
  <c r="N220" i="36" s="1"/>
  <c r="J218" i="38"/>
  <c r="J218" i="37" s="1"/>
  <c r="K219" i="36" s="1"/>
  <c r="N219" i="36" s="1"/>
  <c r="J217" i="38"/>
  <c r="J217" i="37" s="1"/>
  <c r="K218" i="36" s="1"/>
  <c r="N218" i="36" s="1"/>
  <c r="J216" i="38"/>
  <c r="J216" i="37" s="1"/>
  <c r="K217" i="36" s="1"/>
  <c r="N217" i="36" s="1"/>
  <c r="J215" i="38"/>
  <c r="J215" i="37" s="1"/>
  <c r="K216" i="36" s="1"/>
  <c r="N216" i="36" s="1"/>
  <c r="J214" i="38"/>
  <c r="J214" i="37" s="1"/>
  <c r="K215" i="36" s="1"/>
  <c r="N215" i="36" s="1"/>
  <c r="J213" i="38"/>
  <c r="J213" i="37" s="1"/>
  <c r="K214" i="36" s="1"/>
  <c r="N214" i="36" s="1"/>
  <c r="J212" i="38"/>
  <c r="J212" i="37" s="1"/>
  <c r="K213" i="36" s="1"/>
  <c r="N213" i="36" s="1"/>
  <c r="J211" i="38"/>
  <c r="J211" i="37" s="1"/>
  <c r="K212" i="36" s="1"/>
  <c r="N212" i="36" s="1"/>
  <c r="J210" i="38"/>
  <c r="J210" i="37" s="1"/>
  <c r="K211" i="36" s="1"/>
  <c r="N211" i="36" s="1"/>
  <c r="J209" i="38"/>
  <c r="J209" i="37" s="1"/>
  <c r="K210" i="36" s="1"/>
  <c r="N210" i="36" s="1"/>
  <c r="J208" i="38"/>
  <c r="J208" i="37" s="1"/>
  <c r="K209" i="36" s="1"/>
  <c r="N209" i="36" s="1"/>
  <c r="J207" i="38"/>
  <c r="J207" i="37" s="1"/>
  <c r="K208" i="36" s="1"/>
  <c r="N208" i="36" s="1"/>
  <c r="J206" i="38"/>
  <c r="J206" i="37" s="1"/>
  <c r="K207" i="36" s="1"/>
  <c r="N207" i="36" s="1"/>
  <c r="J205" i="38"/>
  <c r="J205" i="37" s="1"/>
  <c r="K206" i="36" s="1"/>
  <c r="N206" i="36" s="1"/>
  <c r="J203" i="38"/>
  <c r="J203" i="37" s="1"/>
  <c r="K204" i="36" s="1"/>
  <c r="N204" i="36" s="1"/>
  <c r="J202" i="38"/>
  <c r="J202" i="37" s="1"/>
  <c r="K203" i="36" s="1"/>
  <c r="N203" i="36" s="1"/>
  <c r="J201" i="38"/>
  <c r="J201" i="37" s="1"/>
  <c r="K202" i="36" s="1"/>
  <c r="N202" i="36" s="1"/>
  <c r="J200" i="38"/>
  <c r="J200" i="37" s="1"/>
  <c r="K201" i="36" s="1"/>
  <c r="N201" i="36" s="1"/>
  <c r="J199" i="38"/>
  <c r="J199" i="37" s="1"/>
  <c r="K200" i="36" s="1"/>
  <c r="N200" i="36" s="1"/>
  <c r="J198" i="38"/>
  <c r="J198" i="37" s="1"/>
  <c r="K199" i="36" s="1"/>
  <c r="N199" i="36" s="1"/>
  <c r="J197" i="38"/>
  <c r="J197" i="37" s="1"/>
  <c r="K198" i="36" s="1"/>
  <c r="N198" i="36" s="1"/>
  <c r="J196" i="38"/>
  <c r="J196" i="37" s="1"/>
  <c r="K197" i="36" s="1"/>
  <c r="N197" i="36" s="1"/>
  <c r="J195" i="38"/>
  <c r="J195" i="37" s="1"/>
  <c r="K196" i="36" s="1"/>
  <c r="N196" i="36" s="1"/>
  <c r="J194" i="38"/>
  <c r="J194" i="37" s="1"/>
  <c r="K195" i="36" s="1"/>
  <c r="N195" i="36" s="1"/>
  <c r="J193" i="38"/>
  <c r="J193" i="37" s="1"/>
  <c r="K194" i="36" s="1"/>
  <c r="N194" i="36" s="1"/>
  <c r="J192" i="38"/>
  <c r="J192" i="37" s="1"/>
  <c r="K193" i="36" s="1"/>
  <c r="N193" i="36" s="1"/>
  <c r="J191" i="38"/>
  <c r="J191" i="37" s="1"/>
  <c r="K192" i="36" s="1"/>
  <c r="N192" i="36" s="1"/>
  <c r="J190" i="38"/>
  <c r="J190" i="37" s="1"/>
  <c r="K191" i="36" s="1"/>
  <c r="N191" i="36" s="1"/>
  <c r="J189" i="38"/>
  <c r="J189" i="37" s="1"/>
  <c r="K190" i="36" s="1"/>
  <c r="N190" i="36" s="1"/>
  <c r="J188" i="38"/>
  <c r="J188" i="37" s="1"/>
  <c r="K189" i="36" s="1"/>
  <c r="N189" i="36" s="1"/>
  <c r="J187" i="38"/>
  <c r="J187" i="37" s="1"/>
  <c r="K188" i="36" s="1"/>
  <c r="N188" i="36" s="1"/>
  <c r="J186" i="38"/>
  <c r="J186" i="37" s="1"/>
  <c r="K187" i="36" s="1"/>
  <c r="N187" i="36" s="1"/>
  <c r="J185" i="38"/>
  <c r="J185" i="37" s="1"/>
  <c r="K186" i="36" s="1"/>
  <c r="N186" i="36" s="1"/>
  <c r="J184" i="38"/>
  <c r="J184" i="37" s="1"/>
  <c r="K185" i="36" s="1"/>
  <c r="N185" i="36" s="1"/>
  <c r="J183" i="38"/>
  <c r="J183" i="37" s="1"/>
  <c r="K184" i="36" s="1"/>
  <c r="N184" i="36" s="1"/>
  <c r="J182" i="38"/>
  <c r="J182" i="37" s="1"/>
  <c r="K183" i="36" s="1"/>
  <c r="N183" i="36" s="1"/>
  <c r="J181" i="38"/>
  <c r="J181" i="37" s="1"/>
  <c r="K182" i="36" s="1"/>
  <c r="N182" i="36" s="1"/>
  <c r="J180" i="38"/>
  <c r="J180" i="37" s="1"/>
  <c r="K181" i="36" s="1"/>
  <c r="N181" i="36" s="1"/>
  <c r="J179" i="38"/>
  <c r="J179" i="37" s="1"/>
  <c r="K180" i="36" s="1"/>
  <c r="N180" i="36" s="1"/>
  <c r="J178" i="38"/>
  <c r="J178" i="37" s="1"/>
  <c r="K179" i="36" s="1"/>
  <c r="N179" i="36" s="1"/>
  <c r="J177" i="38"/>
  <c r="J177" i="37" s="1"/>
  <c r="K178" i="36" s="1"/>
  <c r="N178" i="36" s="1"/>
  <c r="J176" i="38"/>
  <c r="J176" i="37" s="1"/>
  <c r="K177" i="36" s="1"/>
  <c r="N177" i="36" s="1"/>
  <c r="J175" i="38"/>
  <c r="J175" i="37" s="1"/>
  <c r="K176" i="36" s="1"/>
  <c r="N176" i="36" s="1"/>
  <c r="J174" i="38"/>
  <c r="J174" i="37" s="1"/>
  <c r="K175" i="36" s="1"/>
  <c r="N175" i="36" s="1"/>
  <c r="J173" i="38"/>
  <c r="J173" i="37" s="1"/>
  <c r="K174" i="36" s="1"/>
  <c r="N174" i="36" s="1"/>
  <c r="J172" i="38"/>
  <c r="J172" i="37" s="1"/>
  <c r="K173" i="36" s="1"/>
  <c r="N173" i="36" s="1"/>
  <c r="J171" i="38"/>
  <c r="J171" i="37" s="1"/>
  <c r="K172" i="36" s="1"/>
  <c r="N172" i="36" s="1"/>
  <c r="J170" i="38"/>
  <c r="J170" i="37" s="1"/>
  <c r="K171" i="36" s="1"/>
  <c r="N171" i="36" s="1"/>
  <c r="J169" i="38"/>
  <c r="J169" i="37" s="1"/>
  <c r="K170" i="36" s="1"/>
  <c r="N170" i="36" s="1"/>
  <c r="J168" i="38"/>
  <c r="J168" i="37" s="1"/>
  <c r="K169" i="36" s="1"/>
  <c r="N169" i="36" s="1"/>
  <c r="J167" i="38"/>
  <c r="J167" i="37" s="1"/>
  <c r="K168" i="36" s="1"/>
  <c r="N168" i="36" s="1"/>
  <c r="J166" i="38"/>
  <c r="J166" i="37" s="1"/>
  <c r="K167" i="36" s="1"/>
  <c r="N167" i="36" s="1"/>
  <c r="J165" i="38"/>
  <c r="J165" i="37" s="1"/>
  <c r="K166" i="36" s="1"/>
  <c r="N166" i="36" s="1"/>
  <c r="J164" i="38"/>
  <c r="J164" i="37" s="1"/>
  <c r="K165" i="36" s="1"/>
  <c r="N165" i="36" s="1"/>
  <c r="J163" i="38"/>
  <c r="J163" i="37" s="1"/>
  <c r="K164" i="36" s="1"/>
  <c r="N164" i="36" s="1"/>
  <c r="J162" i="38"/>
  <c r="J162" i="37" s="1"/>
  <c r="K163" i="36" s="1"/>
  <c r="N163" i="36" s="1"/>
  <c r="J161" i="38"/>
  <c r="J161" i="37" s="1"/>
  <c r="K162" i="36" s="1"/>
  <c r="N162" i="36" s="1"/>
  <c r="J160" i="38"/>
  <c r="J160" i="37" s="1"/>
  <c r="K161" i="36" s="1"/>
  <c r="N161" i="36" s="1"/>
  <c r="J159" i="38"/>
  <c r="J159" i="37" s="1"/>
  <c r="K160" i="36" s="1"/>
  <c r="N160" i="36" s="1"/>
  <c r="J158" i="38"/>
  <c r="J158" i="37" s="1"/>
  <c r="K159" i="36" s="1"/>
  <c r="N159" i="36" s="1"/>
  <c r="J157" i="38"/>
  <c r="J157" i="37" s="1"/>
  <c r="K158" i="36" s="1"/>
  <c r="N158" i="36" s="1"/>
  <c r="J156" i="38"/>
  <c r="J156" i="37" s="1"/>
  <c r="K157" i="36" s="1"/>
  <c r="N157" i="36" s="1"/>
  <c r="J155" i="38"/>
  <c r="J155" i="37" s="1"/>
  <c r="K156" i="36" s="1"/>
  <c r="N156" i="36" s="1"/>
  <c r="J154" i="38"/>
  <c r="J154" i="37" s="1"/>
  <c r="K155" i="36" s="1"/>
  <c r="N155" i="36" s="1"/>
  <c r="J153" i="38"/>
  <c r="J153" i="37" s="1"/>
  <c r="K154" i="36" s="1"/>
  <c r="N154" i="36" s="1"/>
  <c r="J152" i="38"/>
  <c r="J152" i="37" s="1"/>
  <c r="K153" i="36" s="1"/>
  <c r="N153" i="36" s="1"/>
  <c r="J151" i="38"/>
  <c r="J151" i="37" s="1"/>
  <c r="K152" i="36" s="1"/>
  <c r="N152" i="36" s="1"/>
  <c r="J150" i="38"/>
  <c r="J150" i="37" s="1"/>
  <c r="K151" i="36" s="1"/>
  <c r="N151" i="36" s="1"/>
  <c r="J149" i="38"/>
  <c r="J149" i="37" s="1"/>
  <c r="K150" i="36" s="1"/>
  <c r="N150" i="36" s="1"/>
  <c r="J148" i="38"/>
  <c r="J148" i="37" s="1"/>
  <c r="K149" i="36" s="1"/>
  <c r="N149" i="36" s="1"/>
  <c r="J147" i="38"/>
  <c r="J147" i="37" s="1"/>
  <c r="K148" i="36" s="1"/>
  <c r="N148" i="36" s="1"/>
  <c r="J146" i="38"/>
  <c r="J146" i="37" s="1"/>
  <c r="K147" i="36" s="1"/>
  <c r="N147" i="36" s="1"/>
  <c r="J145" i="38"/>
  <c r="J145" i="37" s="1"/>
  <c r="K146" i="36" s="1"/>
  <c r="N146" i="36" s="1"/>
  <c r="J144" i="38"/>
  <c r="J144" i="37" s="1"/>
  <c r="K145" i="36" s="1"/>
  <c r="N145" i="36" s="1"/>
  <c r="J143" i="38"/>
  <c r="J143" i="37" s="1"/>
  <c r="K144" i="36" s="1"/>
  <c r="N144" i="36" s="1"/>
  <c r="J142" i="38"/>
  <c r="J142" i="37" s="1"/>
  <c r="K143" i="36" s="1"/>
  <c r="N143" i="36" s="1"/>
  <c r="J141" i="38"/>
  <c r="J141" i="37" s="1"/>
  <c r="K142" i="36" s="1"/>
  <c r="N142" i="36" s="1"/>
  <c r="J140" i="38"/>
  <c r="J140" i="37" s="1"/>
  <c r="K141" i="36" s="1"/>
  <c r="N141" i="36" s="1"/>
  <c r="J139" i="38"/>
  <c r="J139" i="37" s="1"/>
  <c r="K140" i="36" s="1"/>
  <c r="N140" i="36" s="1"/>
  <c r="J138" i="38"/>
  <c r="J138" i="37" s="1"/>
  <c r="K139" i="36" s="1"/>
  <c r="N139" i="36" s="1"/>
  <c r="J137" i="38"/>
  <c r="J137" i="37" s="1"/>
  <c r="K138" i="36" s="1"/>
  <c r="N138" i="36" s="1"/>
  <c r="J136" i="38"/>
  <c r="J136" i="37" s="1"/>
  <c r="K137" i="36" s="1"/>
  <c r="N137" i="36" s="1"/>
  <c r="J135" i="38"/>
  <c r="J135" i="37" s="1"/>
  <c r="K136" i="36" s="1"/>
  <c r="N136" i="36" s="1"/>
  <c r="J134" i="38"/>
  <c r="J134" i="37" s="1"/>
  <c r="K135" i="36" s="1"/>
  <c r="N135" i="36" s="1"/>
  <c r="J133" i="38"/>
  <c r="J133" i="37" s="1"/>
  <c r="K134" i="36" s="1"/>
  <c r="N134" i="36" s="1"/>
  <c r="J132" i="38"/>
  <c r="J132" i="37" s="1"/>
  <c r="K133" i="36" s="1"/>
  <c r="N133" i="36" s="1"/>
  <c r="J131" i="38"/>
  <c r="J131" i="37" s="1"/>
  <c r="K132" i="36" s="1"/>
  <c r="N132" i="36" s="1"/>
  <c r="J130" i="38"/>
  <c r="J130" i="37" s="1"/>
  <c r="K131" i="36" s="1"/>
  <c r="N131" i="36" s="1"/>
  <c r="J129" i="38"/>
  <c r="J129" i="37" s="1"/>
  <c r="K130" i="36" s="1"/>
  <c r="N130" i="36" s="1"/>
  <c r="J128" i="38"/>
  <c r="J128" i="37" s="1"/>
  <c r="K129" i="36" s="1"/>
  <c r="N129" i="36" s="1"/>
  <c r="J127" i="38"/>
  <c r="J127" i="37" s="1"/>
  <c r="K128" i="36" s="1"/>
  <c r="N128" i="36" s="1"/>
  <c r="J126" i="38"/>
  <c r="J126" i="37" s="1"/>
  <c r="K127" i="36" s="1"/>
  <c r="N127" i="36" s="1"/>
  <c r="J125" i="38"/>
  <c r="J125" i="37" s="1"/>
  <c r="K126" i="36" s="1"/>
  <c r="N126" i="36" s="1"/>
  <c r="J124" i="38"/>
  <c r="J124" i="37" s="1"/>
  <c r="K125" i="36" s="1"/>
  <c r="N125" i="36" s="1"/>
  <c r="J123" i="38"/>
  <c r="J123" i="37" s="1"/>
  <c r="K124" i="36" s="1"/>
  <c r="N124" i="36" s="1"/>
  <c r="J122" i="38"/>
  <c r="J122" i="37" s="1"/>
  <c r="K123" i="36" s="1"/>
  <c r="N123" i="36" s="1"/>
  <c r="J121" i="38"/>
  <c r="J121" i="37" s="1"/>
  <c r="K122" i="36" s="1"/>
  <c r="N122" i="36" s="1"/>
  <c r="J120" i="38"/>
  <c r="J120" i="37" s="1"/>
  <c r="K121" i="36" s="1"/>
  <c r="N121" i="36" s="1"/>
  <c r="J119" i="38"/>
  <c r="J119" i="37" s="1"/>
  <c r="K120" i="36" s="1"/>
  <c r="N120" i="36" s="1"/>
  <c r="J118" i="38"/>
  <c r="J118" i="37" s="1"/>
  <c r="K119" i="36" s="1"/>
  <c r="N119" i="36" s="1"/>
  <c r="J117" i="38"/>
  <c r="J117" i="37" s="1"/>
  <c r="K118" i="36" s="1"/>
  <c r="N118" i="36" s="1"/>
  <c r="J116" i="38"/>
  <c r="J116" i="37" s="1"/>
  <c r="K117" i="36" s="1"/>
  <c r="N117" i="36" s="1"/>
  <c r="J115" i="38"/>
  <c r="J115" i="37" s="1"/>
  <c r="K116" i="36" s="1"/>
  <c r="N116" i="36" s="1"/>
  <c r="J114" i="38"/>
  <c r="J114" i="37" s="1"/>
  <c r="K115" i="36" s="1"/>
  <c r="N115" i="36" s="1"/>
  <c r="J113" i="38"/>
  <c r="J113" i="37" s="1"/>
  <c r="K114" i="36" s="1"/>
  <c r="N114" i="36" s="1"/>
  <c r="J112" i="38"/>
  <c r="J112" i="37" s="1"/>
  <c r="K113" i="36" s="1"/>
  <c r="N113" i="36" s="1"/>
  <c r="J111" i="38"/>
  <c r="J111" i="37" s="1"/>
  <c r="K112" i="36" s="1"/>
  <c r="N112" i="36" s="1"/>
  <c r="J110" i="38"/>
  <c r="J110" i="37" s="1"/>
  <c r="K111" i="36" s="1"/>
  <c r="N111" i="36" s="1"/>
  <c r="J109" i="38"/>
  <c r="J109" i="37" s="1"/>
  <c r="K110" i="36" s="1"/>
  <c r="N110" i="36" s="1"/>
  <c r="J108" i="38"/>
  <c r="J108" i="37" s="1"/>
  <c r="K109" i="36" s="1"/>
  <c r="N109" i="36" s="1"/>
  <c r="J107" i="38"/>
  <c r="J107" i="37" s="1"/>
  <c r="K108" i="36" s="1"/>
  <c r="N108" i="36" s="1"/>
  <c r="J106" i="38"/>
  <c r="J106" i="37" s="1"/>
  <c r="K107" i="36" s="1"/>
  <c r="N107" i="36" s="1"/>
  <c r="J105" i="38"/>
  <c r="J105" i="37" s="1"/>
  <c r="K106" i="36" s="1"/>
  <c r="N106" i="36" s="1"/>
  <c r="J104" i="38"/>
  <c r="J104" i="37" s="1"/>
  <c r="K105" i="36" s="1"/>
  <c r="N105" i="36" s="1"/>
  <c r="J103" i="38"/>
  <c r="J103" i="37" s="1"/>
  <c r="K104" i="36" s="1"/>
  <c r="N104" i="36" s="1"/>
  <c r="J102" i="38"/>
  <c r="J102" i="37" s="1"/>
  <c r="K103" i="36" s="1"/>
  <c r="N103" i="36" s="1"/>
  <c r="J99" i="37"/>
  <c r="K100" i="36" s="1"/>
  <c r="N100" i="36" s="1"/>
  <c r="J98" i="38"/>
  <c r="J98" i="37" s="1"/>
  <c r="K99" i="36" s="1"/>
  <c r="N99" i="36" s="1"/>
  <c r="J64" i="37"/>
  <c r="K65" i="36" s="1"/>
  <c r="N65" i="36" s="1"/>
  <c r="J63" i="37"/>
  <c r="K64" i="36" s="1"/>
  <c r="N64" i="36" s="1"/>
  <c r="J62" i="37"/>
  <c r="K63" i="36" s="1"/>
  <c r="N63" i="36" s="1"/>
  <c r="J61" i="37"/>
  <c r="K62" i="36" s="1"/>
  <c r="N62" i="36" s="1"/>
  <c r="J60" i="37"/>
  <c r="K61" i="36" s="1"/>
  <c r="N61" i="36" s="1"/>
  <c r="J58" i="37"/>
  <c r="K59" i="36" s="1"/>
  <c r="N59" i="36" s="1"/>
  <c r="J57" i="38"/>
  <c r="J57" i="37" s="1"/>
  <c r="K58" i="36" s="1"/>
  <c r="N58" i="36" s="1"/>
  <c r="J56" i="38"/>
  <c r="J56" i="37" s="1"/>
  <c r="K57" i="36" s="1"/>
  <c r="N57" i="36" s="1"/>
  <c r="J55" i="38"/>
  <c r="J55" i="37" s="1"/>
  <c r="K56" i="36" s="1"/>
  <c r="N56" i="36" s="1"/>
  <c r="J54" i="38"/>
  <c r="J54" i="37" s="1"/>
  <c r="K55" i="36" s="1"/>
  <c r="N55" i="36" s="1"/>
  <c r="J53" i="38"/>
  <c r="J53" i="37" s="1"/>
  <c r="J52" i="38"/>
  <c r="J52" i="37" s="1"/>
  <c r="J51" i="38"/>
  <c r="J51" i="37" s="1"/>
  <c r="J50" i="38"/>
  <c r="J50" i="37" s="1"/>
  <c r="J49" i="38"/>
  <c r="J49" i="37" s="1"/>
  <c r="J48" i="38"/>
  <c r="J48" i="37" s="1"/>
  <c r="J47" i="38"/>
  <c r="J47" i="37" s="1"/>
  <c r="J46" i="38"/>
  <c r="J46" i="37" s="1"/>
  <c r="J45" i="38"/>
  <c r="J45" i="37" s="1"/>
  <c r="J44" i="38"/>
  <c r="J44" i="37" s="1"/>
  <c r="J43" i="38"/>
  <c r="J43" i="37" s="1"/>
  <c r="J42" i="38"/>
  <c r="J42" i="37" s="1"/>
  <c r="J41" i="38"/>
  <c r="J41" i="37" s="1"/>
  <c r="J40" i="38"/>
  <c r="J40" i="37" s="1"/>
  <c r="J39" i="38"/>
  <c r="J39" i="37" s="1"/>
  <c r="J38" i="38"/>
  <c r="J38" i="37" s="1"/>
  <c r="J37" i="38"/>
  <c r="J37" i="37" s="1"/>
  <c r="J36" i="38"/>
  <c r="J36" i="37" s="1"/>
  <c r="J35" i="38"/>
  <c r="J35" i="37" s="1"/>
  <c r="J34" i="38"/>
  <c r="J34" i="37" s="1"/>
  <c r="J33" i="38"/>
  <c r="J32" i="38"/>
  <c r="J32" i="37" s="1"/>
  <c r="J31" i="38"/>
  <c r="J31" i="37" s="1"/>
  <c r="J30" i="38"/>
  <c r="J30" i="37" s="1"/>
  <c r="J29" i="38"/>
  <c r="J29" i="37" s="1"/>
  <c r="J28" i="38"/>
  <c r="J28" i="37" s="1"/>
  <c r="J27" i="38"/>
  <c r="J27" i="37" s="1"/>
  <c r="J26" i="38"/>
  <c r="J26" i="37" s="1"/>
  <c r="J25" i="38"/>
  <c r="J25" i="37" s="1"/>
  <c r="J24" i="38"/>
  <c r="J24" i="37" s="1"/>
  <c r="J23" i="38"/>
  <c r="J23" i="37" s="1"/>
  <c r="J22" i="38"/>
  <c r="J22" i="37" s="1"/>
  <c r="J21" i="38"/>
  <c r="J21" i="37" s="1"/>
  <c r="J20" i="38"/>
  <c r="J20" i="37" s="1"/>
  <c r="J19" i="38"/>
  <c r="J19" i="37" s="1"/>
  <c r="J18" i="38"/>
  <c r="J18" i="37" s="1"/>
  <c r="J17" i="38"/>
  <c r="J17" i="37" s="1"/>
  <c r="J16" i="38"/>
  <c r="J16" i="37" s="1"/>
  <c r="N452" i="36" l="1"/>
  <c r="N432" i="36"/>
  <c r="N373" i="36"/>
  <c r="N442" i="36"/>
  <c r="N392" i="36"/>
  <c r="N16" i="36"/>
  <c r="N292" i="36"/>
  <c r="N102" i="36"/>
  <c r="N282" i="36"/>
  <c r="N205" i="36"/>
  <c r="R101" i="36"/>
  <c r="O101" i="36"/>
  <c r="U101" i="36" s="1"/>
  <c r="AC34" i="47" l="1"/>
  <c r="W33" i="36"/>
  <c r="R33" i="36"/>
  <c r="P33" i="36"/>
  <c r="P33" i="13"/>
  <c r="T33" i="13" s="1"/>
  <c r="O33" i="13"/>
  <c r="N33" i="13"/>
  <c r="R33" i="13" s="1"/>
  <c r="L33" i="13"/>
  <c r="AC33" i="47"/>
  <c r="T33" i="36" l="1"/>
  <c r="Q33" i="36"/>
  <c r="K33" i="38"/>
  <c r="S33" i="13"/>
  <c r="Z562" i="36" l="1"/>
  <c r="AG561" i="36"/>
  <c r="AC561" i="36"/>
  <c r="Z561" i="36"/>
  <c r="X561" i="36"/>
  <c r="AE556" i="36"/>
  <c r="AC556" i="36"/>
  <c r="Z553" i="36"/>
  <c r="AI551" i="36"/>
  <c r="AE551" i="36"/>
  <c r="AC551" i="36"/>
  <c r="AI546" i="36"/>
  <c r="AE546" i="36"/>
  <c r="AC546" i="36"/>
  <c r="AI541" i="36"/>
  <c r="AE541" i="36"/>
  <c r="AC541" i="36"/>
  <c r="AD536" i="36"/>
  <c r="Z536" i="36"/>
  <c r="X536" i="36"/>
  <c r="B11" i="46" l="1"/>
  <c r="B11" i="47"/>
  <c r="R922" i="13" l="1"/>
  <c r="R921" i="13"/>
  <c r="R920" i="13"/>
  <c r="R919" i="13"/>
  <c r="R918" i="13"/>
  <c r="R917" i="13"/>
  <c r="R916" i="13"/>
  <c r="R915" i="13"/>
  <c r="R914" i="13"/>
  <c r="R913" i="13"/>
  <c r="R912" i="13"/>
  <c r="P1002" i="13"/>
  <c r="T1002" i="13" s="1"/>
  <c r="O1002" i="13"/>
  <c r="N1002" i="13"/>
  <c r="R1002" i="13" s="1"/>
  <c r="L1002" i="13"/>
  <c r="B2" i="48"/>
  <c r="B1" i="48"/>
  <c r="G23" i="3"/>
  <c r="A12" i="3"/>
  <c r="A13" i="3" s="1"/>
  <c r="A14" i="3" s="1"/>
  <c r="A15" i="3" s="1"/>
  <c r="A16" i="3" s="1"/>
  <c r="A17" i="3" s="1"/>
  <c r="A18" i="3" s="1"/>
  <c r="A19" i="3" s="1"/>
  <c r="A20" i="3" s="1"/>
  <c r="A21" i="3" s="1"/>
  <c r="A22" i="3" s="1"/>
  <c r="S1002" i="13" l="1"/>
  <c r="J100" i="37" l="1"/>
  <c r="K101" i="36" s="1"/>
  <c r="N101" i="36" s="1"/>
  <c r="N98" i="36" s="1"/>
  <c r="J101" i="36"/>
  <c r="M101" i="36" l="1"/>
  <c r="S101" i="36" s="1"/>
  <c r="P101" i="36"/>
  <c r="R510" i="36"/>
  <c r="R512" i="36"/>
  <c r="S512" i="36"/>
  <c r="T512" i="36" s="1"/>
  <c r="AC32" i="47" l="1"/>
  <c r="AC31" i="47"/>
  <c r="AC30" i="47"/>
  <c r="AC29" i="47"/>
  <c r="AC28" i="47"/>
  <c r="AC27" i="47"/>
  <c r="AC26" i="47"/>
  <c r="AC25" i="47"/>
  <c r="AC24" i="47"/>
  <c r="AC23" i="47"/>
  <c r="AC22" i="47"/>
  <c r="AC21" i="47"/>
  <c r="AC20" i="47"/>
  <c r="AC35" i="8"/>
  <c r="Z28" i="46"/>
  <c r="X20" i="46"/>
  <c r="X21" i="46" s="1"/>
  <c r="V21" i="46" s="1"/>
  <c r="V19" i="46"/>
  <c r="V18" i="46"/>
  <c r="V20" i="46" l="1"/>
  <c r="O29" i="45" l="1"/>
  <c r="M29" i="45"/>
  <c r="R28" i="45"/>
  <c r="P28" i="45"/>
  <c r="F28" i="45"/>
  <c r="V27" i="45"/>
  <c r="W27" i="45" s="1"/>
  <c r="E29" i="45" s="1"/>
  <c r="O27" i="45"/>
  <c r="M27" i="45"/>
  <c r="O26" i="45"/>
  <c r="N26" i="45"/>
  <c r="W26" i="45" s="1"/>
  <c r="X26" i="45" s="1"/>
  <c r="E27" i="45" s="1"/>
  <c r="M26" i="45"/>
  <c r="O25" i="45"/>
  <c r="N25" i="45"/>
  <c r="M25" i="45"/>
  <c r="R24" i="45"/>
  <c r="P24" i="45"/>
  <c r="O23" i="45"/>
  <c r="N23" i="45"/>
  <c r="M23" i="45"/>
  <c r="O22" i="45"/>
  <c r="N22" i="45"/>
  <c r="M22" i="45"/>
  <c r="R21" i="45"/>
  <c r="N21" i="45"/>
  <c r="L21" i="45"/>
  <c r="M21" i="45" s="1"/>
  <c r="G21" i="45"/>
  <c r="H21" i="45" s="1"/>
  <c r="F21" i="45"/>
  <c r="E21" i="45"/>
  <c r="O20" i="45"/>
  <c r="N20" i="45"/>
  <c r="X19" i="45"/>
  <c r="X20" i="45" s="1"/>
  <c r="V20" i="45" s="1"/>
  <c r="V21" i="45" s="1"/>
  <c r="V19" i="45"/>
  <c r="O19" i="45"/>
  <c r="N19" i="45"/>
  <c r="V18" i="45"/>
  <c r="O18" i="45"/>
  <c r="N18" i="45"/>
  <c r="V17" i="45"/>
  <c r="O17" i="45"/>
  <c r="N17" i="45"/>
  <c r="R16" i="45"/>
  <c r="R33" i="45" s="1"/>
  <c r="N16" i="45"/>
  <c r="G16" i="45"/>
  <c r="H16" i="45" s="1"/>
  <c r="E16" i="45"/>
  <c r="R11" i="45"/>
  <c r="R10" i="45"/>
  <c r="Q20" i="45" l="1"/>
  <c r="S20" i="45" s="1"/>
  <c r="Q17" i="45"/>
  <c r="Q19" i="45"/>
  <c r="S19" i="45" s="1"/>
  <c r="Q22" i="45"/>
  <c r="S22" i="45" s="1"/>
  <c r="Q23" i="45"/>
  <c r="S23" i="45" s="1"/>
  <c r="Q18" i="45"/>
  <c r="S18" i="45" s="1"/>
  <c r="Q25" i="45"/>
  <c r="S25" i="45" s="1"/>
  <c r="F24" i="45"/>
  <c r="E24" i="45"/>
  <c r="N24" i="45" s="1"/>
  <c r="N27" i="45"/>
  <c r="Q27" i="45" s="1"/>
  <c r="S27" i="45" s="1"/>
  <c r="S17" i="45"/>
  <c r="N29" i="45"/>
  <c r="Q29" i="45" s="1"/>
  <c r="E28" i="45"/>
  <c r="N28" i="45" s="1"/>
  <c r="Q26" i="45"/>
  <c r="S26" i="45" s="1"/>
  <c r="W21" i="45"/>
  <c r="K511" i="38"/>
  <c r="K509" i="38"/>
  <c r="K456" i="38"/>
  <c r="K451" i="38"/>
  <c r="K441" i="38"/>
  <c r="K431" i="38"/>
  <c r="K391" i="38"/>
  <c r="K372" i="38"/>
  <c r="K291" i="38"/>
  <c r="K281" i="38"/>
  <c r="K204" i="38"/>
  <c r="K101" i="38"/>
  <c r="S21" i="45" l="1"/>
  <c r="Q21" i="45"/>
  <c r="Q16" i="45"/>
  <c r="S16" i="45"/>
  <c r="S29" i="45"/>
  <c r="Q28" i="45"/>
  <c r="S28" i="45" s="1"/>
  <c r="Q24" i="45"/>
  <c r="S24" i="45" s="1"/>
  <c r="S33" i="45" l="1"/>
  <c r="Q33" i="45"/>
  <c r="N160" i="43" l="1"/>
  <c r="R160" i="43" s="1"/>
  <c r="N161" i="43"/>
  <c r="R161" i="43" s="1"/>
  <c r="N159" i="43"/>
  <c r="R159" i="43" s="1"/>
  <c r="N157" i="43"/>
  <c r="R157" i="43" s="1"/>
  <c r="N82" i="43"/>
  <c r="R82" i="43" s="1"/>
  <c r="N83" i="43"/>
  <c r="N84" i="43"/>
  <c r="R84" i="43" s="1"/>
  <c r="N85" i="43"/>
  <c r="N81" i="43"/>
  <c r="N48" i="43"/>
  <c r="N49" i="43"/>
  <c r="R49" i="43" s="1"/>
  <c r="N50" i="43"/>
  <c r="R50" i="43" s="1"/>
  <c r="N51" i="43"/>
  <c r="R51" i="43" s="1"/>
  <c r="N52" i="43"/>
  <c r="R52" i="43" s="1"/>
  <c r="N53" i="43"/>
  <c r="R53" i="43" s="1"/>
  <c r="N54" i="43"/>
  <c r="R54" i="43" s="1"/>
  <c r="N55" i="43"/>
  <c r="N56" i="43"/>
  <c r="R56" i="43" s="1"/>
  <c r="N57" i="43"/>
  <c r="R57" i="43" s="1"/>
  <c r="N58" i="43"/>
  <c r="R58" i="43" s="1"/>
  <c r="N59" i="43"/>
  <c r="R59" i="43" s="1"/>
  <c r="N60" i="43"/>
  <c r="R60" i="43" s="1"/>
  <c r="N61" i="43"/>
  <c r="R61" i="43" s="1"/>
  <c r="N62" i="43"/>
  <c r="R62" i="43" s="1"/>
  <c r="N63" i="43"/>
  <c r="R63" i="43" s="1"/>
  <c r="N64" i="43"/>
  <c r="R64" i="43" s="1"/>
  <c r="R65" i="43"/>
  <c r="N66" i="43"/>
  <c r="R66" i="43" s="1"/>
  <c r="N67" i="43"/>
  <c r="R67" i="43" s="1"/>
  <c r="N68" i="43"/>
  <c r="R68" i="43" s="1"/>
  <c r="N69" i="43"/>
  <c r="R69" i="43" s="1"/>
  <c r="N47" i="43"/>
  <c r="R47" i="43" s="1"/>
  <c r="N17" i="43"/>
  <c r="R17" i="43" s="1"/>
  <c r="N18" i="43"/>
  <c r="N19" i="43"/>
  <c r="R19" i="43" s="1"/>
  <c r="N20" i="43"/>
  <c r="R20" i="43" s="1"/>
  <c r="N21" i="43"/>
  <c r="R21" i="43" s="1"/>
  <c r="N22" i="43"/>
  <c r="R22" i="43" s="1"/>
  <c r="N23" i="43"/>
  <c r="N24" i="43"/>
  <c r="R24" i="43" s="1"/>
  <c r="N25" i="43"/>
  <c r="N26" i="43"/>
  <c r="N27" i="43"/>
  <c r="R27" i="43" s="1"/>
  <c r="N28" i="43"/>
  <c r="R28" i="43" s="1"/>
  <c r="N29" i="43"/>
  <c r="R29" i="43" s="1"/>
  <c r="N30" i="43"/>
  <c r="R30" i="43" s="1"/>
  <c r="N31" i="43"/>
  <c r="R31" i="43" s="1"/>
  <c r="N32" i="43"/>
  <c r="R32" i="43" s="1"/>
  <c r="N33" i="43"/>
  <c r="R33" i="43" s="1"/>
  <c r="N34" i="43"/>
  <c r="R34" i="43" s="1"/>
  <c r="N35" i="43"/>
  <c r="R35" i="43" s="1"/>
  <c r="N16" i="43"/>
  <c r="R16" i="43" s="1"/>
  <c r="O160" i="44"/>
  <c r="S160" i="44" s="1"/>
  <c r="O161" i="44"/>
  <c r="S161" i="44" s="1"/>
  <c r="O159" i="44"/>
  <c r="S159" i="44" s="1"/>
  <c r="O157" i="44"/>
  <c r="S157" i="44" s="1"/>
  <c r="O82" i="44"/>
  <c r="S82" i="44" s="1"/>
  <c r="O83" i="44"/>
  <c r="S83" i="44" s="1"/>
  <c r="O84" i="44"/>
  <c r="S84" i="44" s="1"/>
  <c r="O85" i="44"/>
  <c r="S85" i="44" s="1"/>
  <c r="O81" i="44"/>
  <c r="S81" i="44" s="1"/>
  <c r="O48" i="44"/>
  <c r="S48" i="44" s="1"/>
  <c r="O49" i="44"/>
  <c r="S49" i="44" s="1"/>
  <c r="O50" i="44"/>
  <c r="S50" i="44" s="1"/>
  <c r="O51" i="44"/>
  <c r="S51" i="44" s="1"/>
  <c r="O52" i="44"/>
  <c r="S52" i="44" s="1"/>
  <c r="O53" i="44"/>
  <c r="S53" i="44" s="1"/>
  <c r="O54" i="44"/>
  <c r="S54" i="44" s="1"/>
  <c r="O55" i="44"/>
  <c r="S55" i="44" s="1"/>
  <c r="O56" i="44"/>
  <c r="S56" i="44" s="1"/>
  <c r="O57" i="44"/>
  <c r="S57" i="44" s="1"/>
  <c r="O58" i="44"/>
  <c r="S58" i="44" s="1"/>
  <c r="O59" i="44"/>
  <c r="S59" i="44" s="1"/>
  <c r="O60" i="44"/>
  <c r="S60" i="44" s="1"/>
  <c r="O61" i="44"/>
  <c r="S61" i="44" s="1"/>
  <c r="O62" i="44"/>
  <c r="S62" i="44" s="1"/>
  <c r="O63" i="44"/>
  <c r="S63" i="44" s="1"/>
  <c r="S64" i="44"/>
  <c r="O65" i="44"/>
  <c r="S65" i="44" s="1"/>
  <c r="O66" i="44"/>
  <c r="S66" i="44" s="1"/>
  <c r="O67" i="44"/>
  <c r="S67" i="44" s="1"/>
  <c r="O68" i="44"/>
  <c r="S68" i="44" s="1"/>
  <c r="O69" i="44"/>
  <c r="S69" i="44" s="1"/>
  <c r="O47" i="44"/>
  <c r="S47" i="44" s="1"/>
  <c r="O17" i="44"/>
  <c r="S17" i="44" s="1"/>
  <c r="O18" i="44"/>
  <c r="S18" i="44" s="1"/>
  <c r="O19" i="44"/>
  <c r="S19" i="44" s="1"/>
  <c r="O20" i="44"/>
  <c r="S20" i="44" s="1"/>
  <c r="O21" i="44"/>
  <c r="S21" i="44" s="1"/>
  <c r="O22" i="44"/>
  <c r="S22" i="44" s="1"/>
  <c r="O23" i="44"/>
  <c r="S23" i="44" s="1"/>
  <c r="O24" i="44"/>
  <c r="S24" i="44" s="1"/>
  <c r="O25" i="44"/>
  <c r="S25" i="44" s="1"/>
  <c r="O26" i="44"/>
  <c r="S26" i="44" s="1"/>
  <c r="O27" i="44"/>
  <c r="S27" i="44" s="1"/>
  <c r="O28" i="44"/>
  <c r="S28" i="44" s="1"/>
  <c r="O29" i="44"/>
  <c r="S29" i="44" s="1"/>
  <c r="O30" i="44"/>
  <c r="S30" i="44" s="1"/>
  <c r="O31" i="44"/>
  <c r="S31" i="44" s="1"/>
  <c r="O32" i="44"/>
  <c r="S32" i="44" s="1"/>
  <c r="O33" i="44"/>
  <c r="S33" i="44" s="1"/>
  <c r="O34" i="44"/>
  <c r="S34" i="44" s="1"/>
  <c r="O35" i="44"/>
  <c r="S35" i="44" s="1"/>
  <c r="O16" i="44"/>
  <c r="S16" i="44" s="1"/>
  <c r="R26" i="43" l="1"/>
  <c r="R81" i="43"/>
  <c r="R48" i="43"/>
  <c r="R25" i="43"/>
  <c r="R85" i="43"/>
  <c r="R23" i="43"/>
  <c r="R55" i="43"/>
  <c r="R18" i="43"/>
  <c r="R83" i="43"/>
  <c r="N160" i="44"/>
  <c r="N161" i="44"/>
  <c r="N159" i="44"/>
  <c r="N157" i="44"/>
  <c r="N82" i="44"/>
  <c r="N83" i="44"/>
  <c r="N84" i="44"/>
  <c r="N85" i="44"/>
  <c r="N81" i="44"/>
  <c r="N48" i="44"/>
  <c r="N49" i="44"/>
  <c r="N50" i="44"/>
  <c r="N51" i="44"/>
  <c r="N52" i="44"/>
  <c r="N53" i="44"/>
  <c r="N54" i="44"/>
  <c r="N55" i="44"/>
  <c r="N56" i="44"/>
  <c r="N57" i="44"/>
  <c r="N58" i="44"/>
  <c r="N59" i="44"/>
  <c r="N60" i="44"/>
  <c r="N61" i="44"/>
  <c r="N62" i="44"/>
  <c r="N63" i="44"/>
  <c r="N65" i="44"/>
  <c r="N66" i="44"/>
  <c r="N67" i="44"/>
  <c r="N68" i="44"/>
  <c r="N69" i="44"/>
  <c r="N47" i="44"/>
  <c r="N17" i="44"/>
  <c r="N18" i="44"/>
  <c r="N19" i="44"/>
  <c r="N20" i="44"/>
  <c r="N21" i="44"/>
  <c r="N22" i="44"/>
  <c r="N23" i="44"/>
  <c r="N24" i="44"/>
  <c r="N25" i="44"/>
  <c r="N26" i="44"/>
  <c r="N27" i="44"/>
  <c r="N28" i="44"/>
  <c r="N29" i="44"/>
  <c r="N30" i="44"/>
  <c r="N31" i="44"/>
  <c r="N32" i="44"/>
  <c r="N33" i="44"/>
  <c r="N34" i="44"/>
  <c r="N35" i="44"/>
  <c r="N16" i="44"/>
  <c r="P16" i="44" s="1"/>
  <c r="T16" i="44" s="1"/>
  <c r="P69" i="44" l="1"/>
  <c r="T69" i="44" s="1"/>
  <c r="R69" i="44"/>
  <c r="R68" i="44"/>
  <c r="P68" i="44"/>
  <c r="T68" i="44" s="1"/>
  <c r="P62" i="44"/>
  <c r="T62" i="44" s="1"/>
  <c r="R62" i="44"/>
  <c r="R61" i="44"/>
  <c r="P61" i="44"/>
  <c r="T61" i="44" s="1"/>
  <c r="R60" i="44"/>
  <c r="P60" i="44"/>
  <c r="T60" i="44" s="1"/>
  <c r="R59" i="44"/>
  <c r="P59" i="44"/>
  <c r="T59" i="44" s="1"/>
  <c r="R18" i="44"/>
  <c r="P18" i="44"/>
  <c r="T18" i="44" s="1"/>
  <c r="R17" i="44"/>
  <c r="P17" i="44"/>
  <c r="T17" i="44" s="1"/>
  <c r="R47" i="44"/>
  <c r="P47" i="44"/>
  <c r="T47" i="44" s="1"/>
  <c r="R57" i="44"/>
  <c r="P57" i="44"/>
  <c r="T57" i="44" s="1"/>
  <c r="R34" i="44"/>
  <c r="P34" i="44"/>
  <c r="T34" i="44" s="1"/>
  <c r="P56" i="44"/>
  <c r="T56" i="44" s="1"/>
  <c r="R56" i="44"/>
  <c r="R54" i="44"/>
  <c r="P54" i="44"/>
  <c r="T54" i="44" s="1"/>
  <c r="R31" i="44"/>
  <c r="P31" i="44"/>
  <c r="T31" i="44" s="1"/>
  <c r="R30" i="44"/>
  <c r="P30" i="44"/>
  <c r="T30" i="44" s="1"/>
  <c r="R52" i="44"/>
  <c r="P52" i="44"/>
  <c r="T52" i="44" s="1"/>
  <c r="P29" i="44"/>
  <c r="T29" i="44" s="1"/>
  <c r="R29" i="44"/>
  <c r="R157" i="44"/>
  <c r="P157" i="44"/>
  <c r="T157" i="44" s="1"/>
  <c r="P50" i="44"/>
  <c r="T50" i="44" s="1"/>
  <c r="R50" i="44"/>
  <c r="R27" i="44"/>
  <c r="P27" i="44"/>
  <c r="T27" i="44" s="1"/>
  <c r="R48" i="44"/>
  <c r="P48" i="44"/>
  <c r="T48" i="44" s="1"/>
  <c r="R24" i="44"/>
  <c r="P24" i="44"/>
  <c r="T24" i="44" s="1"/>
  <c r="P85" i="44"/>
  <c r="T85" i="44" s="1"/>
  <c r="R85" i="44"/>
  <c r="R23" i="44"/>
  <c r="P23" i="44"/>
  <c r="T23" i="44" s="1"/>
  <c r="R82" i="44"/>
  <c r="P82" i="44"/>
  <c r="T82" i="44" s="1"/>
  <c r="R161" i="44"/>
  <c r="P161" i="44"/>
  <c r="T161" i="44" s="1"/>
  <c r="R67" i="44"/>
  <c r="P67" i="44"/>
  <c r="T67" i="44" s="1"/>
  <c r="R66" i="44"/>
  <c r="P66" i="44"/>
  <c r="T66" i="44" s="1"/>
  <c r="R65" i="44"/>
  <c r="P65" i="44"/>
  <c r="T65" i="44" s="1"/>
  <c r="P64" i="44"/>
  <c r="T64" i="44" s="1"/>
  <c r="R64" i="44"/>
  <c r="R63" i="44"/>
  <c r="P63" i="44"/>
  <c r="T63" i="44" s="1"/>
  <c r="R58" i="44"/>
  <c r="P58" i="44"/>
  <c r="T58" i="44" s="1"/>
  <c r="R35" i="44"/>
  <c r="P35" i="44"/>
  <c r="T35" i="44" s="1"/>
  <c r="R33" i="44"/>
  <c r="P33" i="44"/>
  <c r="T33" i="44" s="1"/>
  <c r="R55" i="44"/>
  <c r="P55" i="44"/>
  <c r="T55" i="44" s="1"/>
  <c r="R32" i="44"/>
  <c r="P32" i="44"/>
  <c r="T32" i="44" s="1"/>
  <c r="R53" i="44"/>
  <c r="P53" i="44"/>
  <c r="T53" i="44" s="1"/>
  <c r="R51" i="44"/>
  <c r="P51" i="44"/>
  <c r="T51" i="44" s="1"/>
  <c r="P28" i="44"/>
  <c r="T28" i="44" s="1"/>
  <c r="R28" i="44"/>
  <c r="R49" i="44"/>
  <c r="P49" i="44"/>
  <c r="T49" i="44" s="1"/>
  <c r="R26" i="44"/>
  <c r="P26" i="44"/>
  <c r="T26" i="44" s="1"/>
  <c r="R25" i="44"/>
  <c r="P25" i="44"/>
  <c r="T25" i="44" s="1"/>
  <c r="P81" i="44"/>
  <c r="T81" i="44" s="1"/>
  <c r="R81" i="44"/>
  <c r="R84" i="44"/>
  <c r="P84" i="44"/>
  <c r="T84" i="44" s="1"/>
  <c r="R22" i="44"/>
  <c r="P22" i="44"/>
  <c r="T22" i="44" s="1"/>
  <c r="R83" i="44"/>
  <c r="P83" i="44"/>
  <c r="T83" i="44" s="1"/>
  <c r="P21" i="44"/>
  <c r="T21" i="44" s="1"/>
  <c r="R21" i="44"/>
  <c r="P159" i="44"/>
  <c r="T159" i="44" s="1"/>
  <c r="R159" i="44"/>
  <c r="R20" i="44"/>
  <c r="P20" i="44"/>
  <c r="T20" i="44" s="1"/>
  <c r="R19" i="44"/>
  <c r="P19" i="44"/>
  <c r="T19" i="44" s="1"/>
  <c r="R160" i="44"/>
  <c r="P160" i="44"/>
  <c r="T160" i="44" s="1"/>
  <c r="L982" i="44" l="1"/>
  <c r="L981" i="44"/>
  <c r="L980" i="44"/>
  <c r="L979" i="44"/>
  <c r="L951" i="44"/>
  <c r="L950" i="44"/>
  <c r="L949" i="44"/>
  <c r="L948" i="44"/>
  <c r="L947" i="44"/>
  <c r="L946" i="44"/>
  <c r="L945" i="44"/>
  <c r="L933" i="44"/>
  <c r="L932" i="44"/>
  <c r="L931" i="44"/>
  <c r="L930" i="44"/>
  <c r="L929" i="44"/>
  <c r="L928" i="44"/>
  <c r="L927" i="44"/>
  <c r="L926" i="44"/>
  <c r="L925" i="44"/>
  <c r="L924" i="44"/>
  <c r="L923" i="44"/>
  <c r="L922" i="44"/>
  <c r="L921" i="44"/>
  <c r="L920" i="44"/>
  <c r="L919" i="44"/>
  <c r="L918" i="44"/>
  <c r="L917" i="44"/>
  <c r="L916" i="44"/>
  <c r="L915" i="44"/>
  <c r="L914" i="44"/>
  <c r="L913" i="44"/>
  <c r="L912" i="44"/>
  <c r="L911" i="44"/>
  <c r="L899" i="44"/>
  <c r="L898" i="44"/>
  <c r="L897" i="44"/>
  <c r="L896" i="44"/>
  <c r="L895" i="44"/>
  <c r="L894" i="44"/>
  <c r="L893" i="44"/>
  <c r="L892" i="44"/>
  <c r="L891" i="44"/>
  <c r="L890" i="44"/>
  <c r="L889" i="44"/>
  <c r="L888" i="44"/>
  <c r="L887" i="44"/>
  <c r="L886" i="44"/>
  <c r="L885" i="44"/>
  <c r="L884" i="44"/>
  <c r="L883" i="44"/>
  <c r="L882" i="44"/>
  <c r="L881" i="44"/>
  <c r="L880" i="44"/>
  <c r="L879" i="44"/>
  <c r="L878" i="44"/>
  <c r="L844" i="44"/>
  <c r="L843" i="44"/>
  <c r="L842" i="44"/>
  <c r="L841" i="44"/>
  <c r="L815" i="44"/>
  <c r="L814" i="44"/>
  <c r="L813" i="44"/>
  <c r="L812" i="44"/>
  <c r="L811" i="44"/>
  <c r="L810" i="44"/>
  <c r="L809" i="44"/>
  <c r="L808" i="44"/>
  <c r="L807" i="44"/>
  <c r="L781" i="44"/>
  <c r="L780" i="44"/>
  <c r="L779" i="44"/>
  <c r="L778" i="44"/>
  <c r="L777" i="44"/>
  <c r="L776" i="44"/>
  <c r="L775" i="44"/>
  <c r="L774" i="44"/>
  <c r="L773" i="44"/>
  <c r="L754" i="44"/>
  <c r="L753" i="44"/>
  <c r="L752" i="44"/>
  <c r="L751" i="44"/>
  <c r="L750" i="44"/>
  <c r="L749" i="44"/>
  <c r="L748" i="44"/>
  <c r="L747" i="44"/>
  <c r="L746" i="44"/>
  <c r="L745" i="44"/>
  <c r="L744" i="44"/>
  <c r="L743" i="44"/>
  <c r="L742" i="44"/>
  <c r="L741" i="44"/>
  <c r="L740" i="44"/>
  <c r="L739" i="44"/>
  <c r="L738" i="44"/>
  <c r="L726" i="44"/>
  <c r="L725" i="44"/>
  <c r="L724" i="44"/>
  <c r="L723" i="44"/>
  <c r="L722" i="44"/>
  <c r="L721" i="44"/>
  <c r="L720" i="44"/>
  <c r="L719" i="44"/>
  <c r="L718" i="44"/>
  <c r="L717" i="44"/>
  <c r="L716" i="44"/>
  <c r="L715" i="44"/>
  <c r="L714" i="44"/>
  <c r="L713" i="44"/>
  <c r="L712" i="44"/>
  <c r="L711" i="44"/>
  <c r="L710" i="44"/>
  <c r="L709" i="44"/>
  <c r="L708" i="44"/>
  <c r="L707" i="44"/>
  <c r="L706" i="44"/>
  <c r="L705" i="44"/>
  <c r="L688" i="44"/>
  <c r="L687" i="44"/>
  <c r="L686" i="44"/>
  <c r="L685" i="44"/>
  <c r="L684" i="44"/>
  <c r="L683" i="44"/>
  <c r="L682" i="44"/>
  <c r="L681" i="44"/>
  <c r="L680" i="44"/>
  <c r="L679" i="44"/>
  <c r="L678" i="44"/>
  <c r="L677" i="44"/>
  <c r="L676" i="44"/>
  <c r="L675" i="44"/>
  <c r="L674" i="44"/>
  <c r="L673" i="44"/>
  <c r="L672" i="44"/>
  <c r="L671" i="44"/>
  <c r="L647" i="44"/>
  <c r="L646" i="44"/>
  <c r="L645" i="44"/>
  <c r="L644" i="44"/>
  <c r="L643" i="44"/>
  <c r="L642" i="44"/>
  <c r="L641" i="44"/>
  <c r="L640" i="44"/>
  <c r="L639" i="44"/>
  <c r="L638" i="44"/>
  <c r="L637" i="44"/>
  <c r="L636" i="44"/>
  <c r="L624" i="44"/>
  <c r="L623" i="44"/>
  <c r="L622" i="44"/>
  <c r="L621" i="44"/>
  <c r="L620" i="44"/>
  <c r="L619" i="44"/>
  <c r="L618" i="44"/>
  <c r="L617" i="44"/>
  <c r="L616" i="44"/>
  <c r="L615" i="44"/>
  <c r="L614" i="44"/>
  <c r="L613" i="44"/>
  <c r="L612" i="44"/>
  <c r="L611" i="44"/>
  <c r="L610" i="44"/>
  <c r="L609" i="44"/>
  <c r="L608" i="44"/>
  <c r="L607" i="44"/>
  <c r="L606" i="44"/>
  <c r="L605" i="44"/>
  <c r="L604" i="44"/>
  <c r="L603" i="44"/>
  <c r="L602" i="44"/>
  <c r="L590" i="44"/>
  <c r="L589" i="44"/>
  <c r="L588" i="44"/>
  <c r="L587" i="44"/>
  <c r="L586" i="44"/>
  <c r="L585" i="44"/>
  <c r="L584" i="44"/>
  <c r="L583" i="44"/>
  <c r="L582" i="44"/>
  <c r="L581" i="44"/>
  <c r="L580" i="44"/>
  <c r="L579" i="44"/>
  <c r="L578" i="44"/>
  <c r="L577" i="44"/>
  <c r="L576" i="44"/>
  <c r="L575" i="44"/>
  <c r="L574" i="44"/>
  <c r="L573" i="44"/>
  <c r="L572" i="44"/>
  <c r="L571" i="44"/>
  <c r="L570" i="44"/>
  <c r="L569" i="44"/>
  <c r="L568" i="44"/>
  <c r="L556" i="44"/>
  <c r="L555" i="44"/>
  <c r="L554" i="44"/>
  <c r="L553" i="44"/>
  <c r="L552" i="44"/>
  <c r="L551" i="44"/>
  <c r="L550" i="44"/>
  <c r="L549" i="44"/>
  <c r="L548" i="44"/>
  <c r="L547" i="44"/>
  <c r="L546" i="44"/>
  <c r="L545" i="44"/>
  <c r="L544" i="44"/>
  <c r="L543" i="44"/>
  <c r="L542" i="44"/>
  <c r="L541" i="44"/>
  <c r="L540" i="44"/>
  <c r="L539" i="44"/>
  <c r="L538" i="44"/>
  <c r="L537" i="44"/>
  <c r="L536" i="44"/>
  <c r="L535" i="44"/>
  <c r="L509" i="44"/>
  <c r="L508" i="44"/>
  <c r="L507" i="44"/>
  <c r="L506" i="44"/>
  <c r="L505" i="44"/>
  <c r="L504" i="44"/>
  <c r="L503" i="44"/>
  <c r="L502" i="44"/>
  <c r="L501" i="44"/>
  <c r="L473" i="44"/>
  <c r="L472" i="44"/>
  <c r="L471" i="44"/>
  <c r="L470" i="44"/>
  <c r="L469" i="44"/>
  <c r="L468" i="44"/>
  <c r="L467" i="44"/>
  <c r="L466" i="44"/>
  <c r="L454" i="44"/>
  <c r="L453" i="44"/>
  <c r="L452" i="44"/>
  <c r="L451" i="44"/>
  <c r="L450" i="44"/>
  <c r="L449" i="44"/>
  <c r="L448" i="44"/>
  <c r="L447" i="44"/>
  <c r="L446" i="44"/>
  <c r="L445" i="44"/>
  <c r="L444" i="44"/>
  <c r="L443" i="44"/>
  <c r="L442" i="44"/>
  <c r="L441" i="44"/>
  <c r="L440" i="44"/>
  <c r="L439" i="44"/>
  <c r="L438" i="44"/>
  <c r="L437" i="44"/>
  <c r="L436" i="44"/>
  <c r="L435" i="44"/>
  <c r="L434" i="44"/>
  <c r="L433" i="44"/>
  <c r="L432" i="44"/>
  <c r="L420" i="44"/>
  <c r="L419" i="44"/>
  <c r="L418" i="44"/>
  <c r="L417" i="44"/>
  <c r="L416" i="44"/>
  <c r="L415" i="44"/>
  <c r="L414" i="44"/>
  <c r="L413" i="44"/>
  <c r="L412" i="44"/>
  <c r="L411" i="44"/>
  <c r="L410" i="44"/>
  <c r="L409" i="44"/>
  <c r="L408" i="44"/>
  <c r="L407" i="44"/>
  <c r="L406" i="44"/>
  <c r="L405" i="44"/>
  <c r="L404" i="44"/>
  <c r="L403" i="44"/>
  <c r="L402" i="44"/>
  <c r="L401" i="44"/>
  <c r="L400" i="44"/>
  <c r="L399" i="44"/>
  <c r="L398" i="44"/>
  <c r="L386" i="44"/>
  <c r="L385" i="44"/>
  <c r="L384" i="44"/>
  <c r="L383" i="44"/>
  <c r="L382" i="44"/>
  <c r="L381" i="44"/>
  <c r="L380" i="44"/>
  <c r="L379" i="44"/>
  <c r="L378" i="44"/>
  <c r="L377" i="44"/>
  <c r="L376" i="44"/>
  <c r="L375" i="44"/>
  <c r="L374" i="44"/>
  <c r="L373" i="44"/>
  <c r="L372" i="44"/>
  <c r="L371" i="44"/>
  <c r="L370" i="44"/>
  <c r="L369" i="44"/>
  <c r="L368" i="44"/>
  <c r="L367" i="44"/>
  <c r="L366" i="44"/>
  <c r="L365" i="44"/>
  <c r="L340" i="44"/>
  <c r="L339" i="44"/>
  <c r="L338" i="44"/>
  <c r="L337" i="44"/>
  <c r="L336" i="44"/>
  <c r="L335" i="44"/>
  <c r="L334" i="44"/>
  <c r="L333" i="44"/>
  <c r="L332" i="44"/>
  <c r="L331" i="44"/>
  <c r="L330" i="44"/>
  <c r="L318" i="44"/>
  <c r="L317" i="44"/>
  <c r="L316" i="44"/>
  <c r="L315" i="44"/>
  <c r="L314" i="44"/>
  <c r="L313" i="44"/>
  <c r="L312" i="44"/>
  <c r="L311" i="44"/>
  <c r="L310" i="44"/>
  <c r="L309" i="44"/>
  <c r="L308" i="44"/>
  <c r="L307" i="44"/>
  <c r="L306" i="44"/>
  <c r="L305" i="44"/>
  <c r="L304" i="44"/>
  <c r="L303" i="44"/>
  <c r="L302" i="44"/>
  <c r="L301" i="44"/>
  <c r="L300" i="44"/>
  <c r="L299" i="44"/>
  <c r="L298" i="44"/>
  <c r="L297" i="44"/>
  <c r="L296" i="44"/>
  <c r="L284" i="44"/>
  <c r="L283" i="44"/>
  <c r="L282" i="44"/>
  <c r="L281" i="44"/>
  <c r="L280" i="44"/>
  <c r="L279" i="44"/>
  <c r="L278" i="44"/>
  <c r="L277" i="44"/>
  <c r="L276" i="44"/>
  <c r="L275" i="44"/>
  <c r="L274" i="44"/>
  <c r="L273" i="44"/>
  <c r="L272" i="44"/>
  <c r="L271" i="44"/>
  <c r="L270" i="44"/>
  <c r="L269" i="44"/>
  <c r="L268" i="44"/>
  <c r="L267" i="44"/>
  <c r="L266" i="44"/>
  <c r="L265" i="44"/>
  <c r="L264" i="44"/>
  <c r="L263" i="44"/>
  <c r="L262" i="44"/>
  <c r="L250" i="44"/>
  <c r="L249" i="44"/>
  <c r="L248" i="44"/>
  <c r="L247" i="44"/>
  <c r="L246" i="44"/>
  <c r="L245" i="44"/>
  <c r="L244" i="44"/>
  <c r="L243" i="44"/>
  <c r="L242" i="44"/>
  <c r="L241" i="44"/>
  <c r="L240" i="44"/>
  <c r="L239" i="44"/>
  <c r="L238" i="44"/>
  <c r="L237" i="44"/>
  <c r="L236" i="44"/>
  <c r="L235" i="44"/>
  <c r="L234" i="44"/>
  <c r="L233" i="44"/>
  <c r="L232" i="44"/>
  <c r="L231" i="44"/>
  <c r="L230" i="44"/>
  <c r="L229" i="44"/>
  <c r="L228" i="44"/>
  <c r="L216" i="44"/>
  <c r="L215" i="44"/>
  <c r="L214" i="44"/>
  <c r="L213" i="44"/>
  <c r="L212" i="44"/>
  <c r="L211" i="44"/>
  <c r="L210" i="44"/>
  <c r="L209" i="44"/>
  <c r="L208" i="44"/>
  <c r="L207" i="44"/>
  <c r="L206" i="44"/>
  <c r="L205" i="44"/>
  <c r="L204" i="44"/>
  <c r="L203" i="44"/>
  <c r="L202" i="44"/>
  <c r="L201" i="44"/>
  <c r="L200" i="44"/>
  <c r="L199" i="44"/>
  <c r="L198" i="44"/>
  <c r="L197" i="44"/>
  <c r="L196" i="44"/>
  <c r="L195" i="44"/>
  <c r="L161" i="44"/>
  <c r="L160" i="44"/>
  <c r="L159" i="44"/>
  <c r="L158" i="44" s="1"/>
  <c r="L157" i="44"/>
  <c r="L156" i="44"/>
  <c r="L155" i="44"/>
  <c r="L154" i="44"/>
  <c r="L153" i="44"/>
  <c r="L152" i="44"/>
  <c r="L151" i="44"/>
  <c r="L150" i="44"/>
  <c r="L149" i="44"/>
  <c r="L137" i="44"/>
  <c r="L136" i="44"/>
  <c r="L135" i="44"/>
  <c r="L134" i="44"/>
  <c r="L133" i="44"/>
  <c r="L132" i="44"/>
  <c r="L131" i="44"/>
  <c r="L130" i="44"/>
  <c r="L129" i="44"/>
  <c r="L128" i="44"/>
  <c r="L127" i="44"/>
  <c r="L126" i="44"/>
  <c r="L125" i="44"/>
  <c r="L124" i="44"/>
  <c r="L123" i="44"/>
  <c r="L122" i="44"/>
  <c r="L121" i="44"/>
  <c r="L120" i="44"/>
  <c r="L119" i="44"/>
  <c r="L118" i="44"/>
  <c r="L117" i="44"/>
  <c r="L116" i="44"/>
  <c r="L85" i="44"/>
  <c r="L84" i="44"/>
  <c r="L83" i="44"/>
  <c r="L82" i="44"/>
  <c r="L81" i="44"/>
  <c r="L69" i="44"/>
  <c r="L68" i="44"/>
  <c r="L67" i="44"/>
  <c r="L66" i="44"/>
  <c r="L65" i="44"/>
  <c r="L64" i="44"/>
  <c r="L63" i="44"/>
  <c r="L62" i="44"/>
  <c r="L61" i="44"/>
  <c r="L60" i="44"/>
  <c r="L59" i="44"/>
  <c r="L58" i="44"/>
  <c r="L57" i="44"/>
  <c r="L56" i="44"/>
  <c r="L55" i="44"/>
  <c r="L54" i="44"/>
  <c r="L53" i="44"/>
  <c r="L52" i="44"/>
  <c r="L51" i="44"/>
  <c r="L50" i="44"/>
  <c r="L49" i="44"/>
  <c r="L48" i="44"/>
  <c r="L47" i="44"/>
  <c r="L35" i="44"/>
  <c r="L34" i="44"/>
  <c r="L33" i="44"/>
  <c r="L32" i="44"/>
  <c r="L31" i="44"/>
  <c r="L30" i="44"/>
  <c r="L29" i="44"/>
  <c r="L28" i="44"/>
  <c r="L27" i="44"/>
  <c r="L26" i="44"/>
  <c r="L25" i="44"/>
  <c r="L24" i="44"/>
  <c r="L23" i="44"/>
  <c r="L22" i="44"/>
  <c r="L21" i="44"/>
  <c r="L20" i="44"/>
  <c r="L19" i="44"/>
  <c r="L18" i="44"/>
  <c r="L17" i="44"/>
  <c r="L16" i="44"/>
  <c r="C9" i="44"/>
  <c r="L988" i="43"/>
  <c r="L987" i="43"/>
  <c r="L986" i="43"/>
  <c r="L985" i="43"/>
  <c r="L957" i="43"/>
  <c r="L956" i="43"/>
  <c r="L955" i="43"/>
  <c r="L954" i="43"/>
  <c r="L953" i="43"/>
  <c r="L952" i="43"/>
  <c r="L951" i="43"/>
  <c r="L939" i="43"/>
  <c r="L938" i="43"/>
  <c r="L937" i="43"/>
  <c r="L936" i="43"/>
  <c r="L935" i="43"/>
  <c r="L934" i="43"/>
  <c r="L933" i="43"/>
  <c r="L932" i="43"/>
  <c r="L931" i="43"/>
  <c r="L930" i="43"/>
  <c r="L929" i="43"/>
  <c r="L928" i="43"/>
  <c r="L927" i="43"/>
  <c r="L926" i="43"/>
  <c r="L925" i="43"/>
  <c r="L924" i="43"/>
  <c r="L923" i="43"/>
  <c r="L922" i="43"/>
  <c r="L921" i="43"/>
  <c r="L920" i="43"/>
  <c r="L919" i="43"/>
  <c r="L918" i="43"/>
  <c r="L917" i="43"/>
  <c r="L905" i="43"/>
  <c r="L904" i="43"/>
  <c r="L903" i="43"/>
  <c r="L902" i="43"/>
  <c r="L901" i="43"/>
  <c r="L900" i="43"/>
  <c r="L899" i="43"/>
  <c r="L898" i="43"/>
  <c r="L897" i="43"/>
  <c r="L896" i="43"/>
  <c r="L895" i="43"/>
  <c r="L894" i="43"/>
  <c r="L893" i="43"/>
  <c r="L892" i="43"/>
  <c r="L891" i="43"/>
  <c r="L890" i="43"/>
  <c r="L889" i="43"/>
  <c r="L888" i="43"/>
  <c r="L887" i="43"/>
  <c r="L886" i="43"/>
  <c r="L885" i="43"/>
  <c r="L884" i="43"/>
  <c r="L850" i="43"/>
  <c r="L849" i="43"/>
  <c r="L848" i="43"/>
  <c r="L847" i="43"/>
  <c r="L821" i="43"/>
  <c r="L820" i="43"/>
  <c r="L819" i="43"/>
  <c r="L818" i="43"/>
  <c r="L817" i="43"/>
  <c r="L816" i="43"/>
  <c r="L815" i="43"/>
  <c r="L814" i="43"/>
  <c r="L813" i="43"/>
  <c r="L787" i="43"/>
  <c r="L786" i="43"/>
  <c r="L785" i="43"/>
  <c r="L784" i="43"/>
  <c r="L783" i="43"/>
  <c r="L782" i="43"/>
  <c r="L781" i="43"/>
  <c r="L780" i="43"/>
  <c r="L779" i="43"/>
  <c r="L760" i="43"/>
  <c r="L759" i="43"/>
  <c r="L758" i="43"/>
  <c r="L757" i="43"/>
  <c r="L756" i="43"/>
  <c r="L755" i="43"/>
  <c r="L754" i="43"/>
  <c r="L753" i="43"/>
  <c r="L752" i="43"/>
  <c r="L751" i="43"/>
  <c r="L750" i="43"/>
  <c r="L749" i="43"/>
  <c r="L748" i="43"/>
  <c r="L747" i="43"/>
  <c r="L746" i="43"/>
  <c r="L745" i="43"/>
  <c r="L744" i="43"/>
  <c r="L732" i="43"/>
  <c r="L731" i="43"/>
  <c r="L730" i="43"/>
  <c r="L729" i="43"/>
  <c r="L728" i="43"/>
  <c r="L727" i="43"/>
  <c r="L726" i="43"/>
  <c r="L725" i="43"/>
  <c r="L724" i="43"/>
  <c r="L723" i="43"/>
  <c r="L722" i="43"/>
  <c r="L721" i="43"/>
  <c r="L720" i="43"/>
  <c r="L719" i="43"/>
  <c r="L718" i="43"/>
  <c r="L717" i="43"/>
  <c r="L716" i="43"/>
  <c r="L715" i="43"/>
  <c r="L714" i="43"/>
  <c r="L713" i="43"/>
  <c r="L712" i="43"/>
  <c r="L711" i="43"/>
  <c r="L694" i="43"/>
  <c r="L693" i="43"/>
  <c r="L692" i="43"/>
  <c r="L691" i="43"/>
  <c r="L690" i="43"/>
  <c r="L689" i="43"/>
  <c r="L688" i="43"/>
  <c r="L687" i="43"/>
  <c r="L686" i="43"/>
  <c r="L685" i="43"/>
  <c r="L684" i="43"/>
  <c r="L683" i="43"/>
  <c r="L682" i="43"/>
  <c r="L681" i="43"/>
  <c r="L680" i="43"/>
  <c r="L679" i="43"/>
  <c r="L678" i="43"/>
  <c r="L677" i="43"/>
  <c r="L653" i="43"/>
  <c r="L652" i="43"/>
  <c r="L651" i="43"/>
  <c r="L650" i="43"/>
  <c r="L649" i="43"/>
  <c r="L648" i="43"/>
  <c r="L647" i="43"/>
  <c r="L646" i="43"/>
  <c r="L645" i="43"/>
  <c r="L644" i="43"/>
  <c r="L643" i="43"/>
  <c r="L642" i="43"/>
  <c r="L630" i="43"/>
  <c r="L629" i="43"/>
  <c r="L628" i="43"/>
  <c r="L627" i="43"/>
  <c r="L626" i="43"/>
  <c r="L625" i="43"/>
  <c r="L624" i="43"/>
  <c r="L623" i="43"/>
  <c r="L622" i="43"/>
  <c r="L621" i="43"/>
  <c r="L620" i="43"/>
  <c r="L619" i="43"/>
  <c r="L618" i="43"/>
  <c r="L617" i="43"/>
  <c r="L616" i="43"/>
  <c r="L615" i="43"/>
  <c r="L614" i="43"/>
  <c r="L613" i="43"/>
  <c r="L612" i="43"/>
  <c r="L611" i="43"/>
  <c r="L610" i="43"/>
  <c r="L609" i="43"/>
  <c r="L608" i="43"/>
  <c r="L596" i="43"/>
  <c r="L595" i="43"/>
  <c r="L594" i="43"/>
  <c r="L593" i="43"/>
  <c r="L592" i="43"/>
  <c r="L591" i="43"/>
  <c r="L590" i="43"/>
  <c r="L589" i="43"/>
  <c r="L588" i="43"/>
  <c r="L587" i="43"/>
  <c r="L586" i="43"/>
  <c r="L585" i="43"/>
  <c r="L584" i="43"/>
  <c r="L583" i="43"/>
  <c r="L582" i="43"/>
  <c r="L581" i="43"/>
  <c r="L580" i="43"/>
  <c r="L579" i="43"/>
  <c r="L578" i="43"/>
  <c r="L577" i="43"/>
  <c r="L576" i="43"/>
  <c r="L575" i="43"/>
  <c r="L574" i="43"/>
  <c r="L562" i="43"/>
  <c r="L561" i="43"/>
  <c r="L560" i="43"/>
  <c r="L559" i="43"/>
  <c r="L558" i="43"/>
  <c r="L557" i="43"/>
  <c r="L556" i="43"/>
  <c r="L555" i="43"/>
  <c r="L554" i="43"/>
  <c r="L553" i="43"/>
  <c r="L552" i="43"/>
  <c r="L551" i="43"/>
  <c r="L550" i="43"/>
  <c r="L549" i="43"/>
  <c r="L548" i="43"/>
  <c r="L547" i="43"/>
  <c r="L546" i="43"/>
  <c r="L545" i="43"/>
  <c r="L544" i="43"/>
  <c r="L543" i="43"/>
  <c r="L542" i="43"/>
  <c r="L541" i="43"/>
  <c r="L515" i="43"/>
  <c r="L514" i="43"/>
  <c r="L513" i="43"/>
  <c r="L512" i="43"/>
  <c r="L511" i="43"/>
  <c r="L510" i="43"/>
  <c r="L509" i="43"/>
  <c r="L508" i="43"/>
  <c r="L507" i="43"/>
  <c r="L479" i="43"/>
  <c r="L478" i="43"/>
  <c r="L477" i="43"/>
  <c r="L476" i="43"/>
  <c r="L475" i="43"/>
  <c r="L474" i="43"/>
  <c r="L473" i="43"/>
  <c r="L472" i="43"/>
  <c r="L460" i="43"/>
  <c r="L459" i="43"/>
  <c r="L458" i="43"/>
  <c r="L457" i="43"/>
  <c r="L456" i="43"/>
  <c r="L455" i="43"/>
  <c r="L454" i="43"/>
  <c r="L453" i="43"/>
  <c r="L452" i="43"/>
  <c r="L451" i="43"/>
  <c r="L450" i="43"/>
  <c r="L449" i="43"/>
  <c r="L448" i="43"/>
  <c r="L447" i="43"/>
  <c r="L446" i="43"/>
  <c r="L445" i="43"/>
  <c r="L444" i="43"/>
  <c r="L443" i="43"/>
  <c r="L442" i="43"/>
  <c r="L441" i="43"/>
  <c r="L440" i="43"/>
  <c r="L439" i="43"/>
  <c r="L438" i="43"/>
  <c r="L426" i="43"/>
  <c r="L425" i="43"/>
  <c r="L424" i="43"/>
  <c r="L423" i="43"/>
  <c r="L422" i="43"/>
  <c r="L421" i="43"/>
  <c r="L420" i="43"/>
  <c r="L419" i="43"/>
  <c r="L418" i="43"/>
  <c r="L417" i="43"/>
  <c r="L416" i="43"/>
  <c r="L415" i="43"/>
  <c r="L414" i="43"/>
  <c r="L413" i="43"/>
  <c r="L412" i="43"/>
  <c r="L411" i="43"/>
  <c r="L410" i="43"/>
  <c r="L409" i="43"/>
  <c r="L408" i="43"/>
  <c r="L407" i="43"/>
  <c r="L406" i="43"/>
  <c r="L405" i="43"/>
  <c r="L404" i="43"/>
  <c r="L392" i="43"/>
  <c r="L391" i="43"/>
  <c r="L390" i="43"/>
  <c r="L389" i="43"/>
  <c r="L388" i="43"/>
  <c r="L387" i="43"/>
  <c r="L386" i="43"/>
  <c r="L385" i="43"/>
  <c r="L384" i="43"/>
  <c r="L383" i="43"/>
  <c r="L382" i="43"/>
  <c r="L381" i="43"/>
  <c r="L380" i="43"/>
  <c r="L379" i="43"/>
  <c r="L378" i="43"/>
  <c r="L377" i="43"/>
  <c r="L376" i="43"/>
  <c r="L375" i="43"/>
  <c r="L374" i="43"/>
  <c r="L373" i="43"/>
  <c r="L372" i="43"/>
  <c r="L371" i="43"/>
  <c r="L346" i="43"/>
  <c r="L345" i="43"/>
  <c r="L344" i="43"/>
  <c r="L343" i="43"/>
  <c r="L342" i="43"/>
  <c r="L341" i="43"/>
  <c r="L340" i="43"/>
  <c r="L339" i="43"/>
  <c r="L338" i="43"/>
  <c r="L337" i="43"/>
  <c r="L336" i="43"/>
  <c r="L324" i="43"/>
  <c r="L323" i="43"/>
  <c r="L322" i="43"/>
  <c r="L321" i="43"/>
  <c r="L320" i="43"/>
  <c r="L319" i="43"/>
  <c r="L318" i="43"/>
  <c r="L317" i="43"/>
  <c r="L316" i="43"/>
  <c r="L315" i="43"/>
  <c r="L314" i="43"/>
  <c r="L313" i="43"/>
  <c r="L312" i="43"/>
  <c r="L311" i="43"/>
  <c r="L310" i="43"/>
  <c r="L309" i="43"/>
  <c r="L308" i="43"/>
  <c r="L307" i="43"/>
  <c r="L306" i="43"/>
  <c r="L305" i="43"/>
  <c r="L304" i="43"/>
  <c r="L303" i="43"/>
  <c r="L302" i="43"/>
  <c r="L290" i="43"/>
  <c r="L289" i="43"/>
  <c r="L288" i="43"/>
  <c r="L287" i="43"/>
  <c r="L286" i="43"/>
  <c r="L285" i="43"/>
  <c r="L284" i="43"/>
  <c r="L283" i="43"/>
  <c r="L282" i="43"/>
  <c r="L281" i="43"/>
  <c r="L280" i="43"/>
  <c r="L279" i="43"/>
  <c r="L278" i="43"/>
  <c r="L277" i="43"/>
  <c r="L276" i="43"/>
  <c r="L275" i="43"/>
  <c r="L274" i="43"/>
  <c r="L273" i="43"/>
  <c r="L272" i="43"/>
  <c r="L271" i="43"/>
  <c r="L270" i="43"/>
  <c r="L269" i="43"/>
  <c r="L268" i="43"/>
  <c r="L256" i="43"/>
  <c r="L255" i="43"/>
  <c r="L254" i="43"/>
  <c r="L253" i="43"/>
  <c r="L252" i="43"/>
  <c r="L251" i="43"/>
  <c r="L250" i="43"/>
  <c r="L249" i="43"/>
  <c r="L248" i="43"/>
  <c r="L247" i="43"/>
  <c r="L246" i="43"/>
  <c r="L245" i="43"/>
  <c r="L244" i="43"/>
  <c r="L243" i="43"/>
  <c r="L242" i="43"/>
  <c r="L241" i="43"/>
  <c r="L240" i="43"/>
  <c r="L239" i="43"/>
  <c r="L238" i="43"/>
  <c r="L237" i="43"/>
  <c r="L236" i="43"/>
  <c r="L235" i="43"/>
  <c r="L234" i="43"/>
  <c r="L222" i="43"/>
  <c r="L221" i="43"/>
  <c r="L220" i="43"/>
  <c r="L219" i="43"/>
  <c r="L218" i="43"/>
  <c r="L217" i="43"/>
  <c r="L216" i="43"/>
  <c r="L215" i="43"/>
  <c r="L214" i="43"/>
  <c r="L213" i="43"/>
  <c r="L212" i="43"/>
  <c r="L211" i="43"/>
  <c r="L210" i="43"/>
  <c r="L209" i="43"/>
  <c r="L208" i="43"/>
  <c r="L207" i="43"/>
  <c r="L206" i="43"/>
  <c r="L205" i="43"/>
  <c r="L204" i="43"/>
  <c r="L203" i="43"/>
  <c r="L202" i="43"/>
  <c r="L201" i="43"/>
  <c r="L161" i="43"/>
  <c r="L160" i="43"/>
  <c r="L159" i="43"/>
  <c r="L157" i="43"/>
  <c r="L156" i="43"/>
  <c r="L155" i="43"/>
  <c r="L154" i="43"/>
  <c r="L153" i="43"/>
  <c r="L152" i="43"/>
  <c r="L151" i="43"/>
  <c r="L150" i="43"/>
  <c r="L149" i="43"/>
  <c r="L137" i="43"/>
  <c r="L136" i="43"/>
  <c r="L135" i="43"/>
  <c r="L134" i="43"/>
  <c r="L133" i="43"/>
  <c r="L132" i="43"/>
  <c r="L131" i="43"/>
  <c r="L130" i="43"/>
  <c r="L129" i="43"/>
  <c r="L128" i="43"/>
  <c r="L127" i="43"/>
  <c r="L126" i="43"/>
  <c r="L125" i="43"/>
  <c r="L124" i="43"/>
  <c r="L123" i="43"/>
  <c r="L122" i="43"/>
  <c r="L121" i="43"/>
  <c r="L120" i="43"/>
  <c r="L119" i="43"/>
  <c r="L118" i="43"/>
  <c r="L117" i="43"/>
  <c r="L116" i="43"/>
  <c r="L85" i="43"/>
  <c r="L84" i="43"/>
  <c r="L83" i="43"/>
  <c r="L82" i="43"/>
  <c r="L81" i="43"/>
  <c r="L69" i="43"/>
  <c r="L68" i="43"/>
  <c r="L67" i="43"/>
  <c r="L66" i="43"/>
  <c r="L65" i="43"/>
  <c r="L64" i="43"/>
  <c r="L63" i="43"/>
  <c r="L62" i="43"/>
  <c r="L61" i="43"/>
  <c r="L60" i="43"/>
  <c r="L59" i="43"/>
  <c r="L58" i="43"/>
  <c r="L57" i="43"/>
  <c r="L56" i="43"/>
  <c r="L55" i="43"/>
  <c r="L54" i="43"/>
  <c r="L53" i="43"/>
  <c r="L52" i="43"/>
  <c r="L51" i="43"/>
  <c r="L50" i="43"/>
  <c r="L49" i="43"/>
  <c r="L48" i="43"/>
  <c r="L47" i="43"/>
  <c r="L35" i="43"/>
  <c r="L34" i="43"/>
  <c r="L33" i="43"/>
  <c r="L32" i="43"/>
  <c r="L31" i="43"/>
  <c r="L30" i="43"/>
  <c r="L29" i="43"/>
  <c r="L28" i="43"/>
  <c r="L27" i="43"/>
  <c r="L26" i="43"/>
  <c r="L25" i="43"/>
  <c r="L24" i="43"/>
  <c r="L23" i="43"/>
  <c r="L22" i="43"/>
  <c r="L21" i="43"/>
  <c r="L20" i="43"/>
  <c r="L19" i="43"/>
  <c r="L18" i="43"/>
  <c r="L17" i="43"/>
  <c r="L16" i="43"/>
  <c r="C9" i="43"/>
  <c r="L772" i="44" l="1"/>
  <c r="L500" i="44"/>
  <c r="L846" i="43"/>
  <c r="L676" i="43"/>
  <c r="L158" i="43"/>
  <c r="L540" i="43"/>
  <c r="L778" i="43"/>
  <c r="L806" i="44"/>
  <c r="L194" i="44"/>
  <c r="L115" i="44"/>
  <c r="L534" i="44"/>
  <c r="L15" i="44"/>
  <c r="L364" i="44"/>
  <c r="L704" i="44"/>
  <c r="L877" i="44"/>
  <c r="L670" i="44"/>
  <c r="L840" i="44"/>
  <c r="L15" i="43"/>
  <c r="L200" i="43"/>
  <c r="L812" i="43"/>
  <c r="L115" i="43"/>
  <c r="L883" i="43"/>
  <c r="L506" i="43"/>
  <c r="L710" i="43"/>
  <c r="L370" i="43"/>
  <c r="M16" i="25"/>
  <c r="M21" i="26"/>
  <c r="L14" i="44" l="1"/>
  <c r="L13" i="44" s="1"/>
  <c r="L14" i="43"/>
  <c r="L13" i="43" s="1"/>
  <c r="W484" i="36"/>
  <c r="W483" i="36"/>
  <c r="W482" i="36"/>
  <c r="W481" i="36"/>
  <c r="W480" i="36"/>
  <c r="W479" i="36"/>
  <c r="W478" i="36"/>
  <c r="W477" i="36"/>
  <c r="W476" i="36"/>
  <c r="W475" i="36"/>
  <c r="W474" i="36"/>
  <c r="W473" i="36"/>
  <c r="W472" i="36"/>
  <c r="W471" i="36"/>
  <c r="W470" i="36"/>
  <c r="W469" i="36"/>
  <c r="W468" i="36"/>
  <c r="W467" i="36"/>
  <c r="W466" i="36"/>
  <c r="W465" i="36"/>
  <c r="W464" i="36"/>
  <c r="W463" i="36"/>
  <c r="W462" i="36"/>
  <c r="W461" i="36"/>
  <c r="W460" i="36"/>
  <c r="W459" i="36"/>
  <c r="W458" i="36"/>
  <c r="W457" i="36"/>
  <c r="W456" i="36"/>
  <c r="W455" i="36"/>
  <c r="W454" i="36"/>
  <c r="W453" i="36"/>
  <c r="W452" i="36"/>
  <c r="W451" i="36"/>
  <c r="W450" i="36"/>
  <c r="W449" i="36"/>
  <c r="W448" i="36"/>
  <c r="W447" i="36"/>
  <c r="W446" i="36"/>
  <c r="W445" i="36"/>
  <c r="W444" i="36"/>
  <c r="W443" i="36"/>
  <c r="W442" i="36"/>
  <c r="W441" i="36"/>
  <c r="W440" i="36"/>
  <c r="W439" i="36"/>
  <c r="W438" i="36"/>
  <c r="W437" i="36"/>
  <c r="W436" i="36"/>
  <c r="W435" i="36"/>
  <c r="W434" i="36"/>
  <c r="W433" i="36"/>
  <c r="W432" i="36"/>
  <c r="W431" i="36"/>
  <c r="W430" i="36"/>
  <c r="W429" i="36"/>
  <c r="W428" i="36"/>
  <c r="W427" i="36"/>
  <c r="W426" i="36"/>
  <c r="W425" i="36"/>
  <c r="W424" i="36"/>
  <c r="W423" i="36"/>
  <c r="W422" i="36"/>
  <c r="W421" i="36"/>
  <c r="W420" i="36"/>
  <c r="W419" i="36"/>
  <c r="W418" i="36"/>
  <c r="W417" i="36"/>
  <c r="W416" i="36"/>
  <c r="W415" i="36"/>
  <c r="W414" i="36"/>
  <c r="W413" i="36"/>
  <c r="W412" i="36"/>
  <c r="W411" i="36"/>
  <c r="W410" i="36"/>
  <c r="W409" i="36"/>
  <c r="W408" i="36"/>
  <c r="W407" i="36"/>
  <c r="W406" i="36"/>
  <c r="W405" i="36"/>
  <c r="W404" i="36"/>
  <c r="W403" i="36"/>
  <c r="W402" i="36"/>
  <c r="W401" i="36"/>
  <c r="W400" i="36"/>
  <c r="W399" i="36"/>
  <c r="W398" i="36"/>
  <c r="W397" i="36"/>
  <c r="W396" i="36"/>
  <c r="W395" i="36"/>
  <c r="W394" i="36"/>
  <c r="W393" i="36"/>
  <c r="W392" i="36"/>
  <c r="W391" i="36"/>
  <c r="W390" i="36"/>
  <c r="W389" i="36"/>
  <c r="W388" i="36"/>
  <c r="W387" i="36"/>
  <c r="W386" i="36"/>
  <c r="W385" i="36"/>
  <c r="W384" i="36"/>
  <c r="W383" i="36"/>
  <c r="W382" i="36"/>
  <c r="W381" i="36"/>
  <c r="W380" i="36"/>
  <c r="W379" i="36"/>
  <c r="W378" i="36"/>
  <c r="W377" i="36"/>
  <c r="W376" i="36"/>
  <c r="W375" i="36"/>
  <c r="W374" i="36"/>
  <c r="W373" i="36"/>
  <c r="W372" i="36"/>
  <c r="W371" i="36"/>
  <c r="W370" i="36"/>
  <c r="W369" i="36"/>
  <c r="W368" i="36"/>
  <c r="W367" i="36"/>
  <c r="W366" i="36"/>
  <c r="W365" i="36"/>
  <c r="W364" i="36"/>
  <c r="W363" i="36"/>
  <c r="W362" i="36"/>
  <c r="W361" i="36"/>
  <c r="W360" i="36"/>
  <c r="W359" i="36"/>
  <c r="W358" i="36"/>
  <c r="W357" i="36"/>
  <c r="W356" i="36"/>
  <c r="W355" i="36"/>
  <c r="W354" i="36"/>
  <c r="W353" i="36"/>
  <c r="W352" i="36"/>
  <c r="W351" i="36"/>
  <c r="W350" i="36"/>
  <c r="W349" i="36"/>
  <c r="W348" i="36"/>
  <c r="W347" i="36"/>
  <c r="W346" i="36"/>
  <c r="W345" i="36"/>
  <c r="W344" i="36"/>
  <c r="W343" i="36"/>
  <c r="W342" i="36"/>
  <c r="W341" i="36"/>
  <c r="W340" i="36"/>
  <c r="W339" i="36"/>
  <c r="W338" i="36"/>
  <c r="W337" i="36"/>
  <c r="W336" i="36"/>
  <c r="W335" i="36"/>
  <c r="W334" i="36"/>
  <c r="W333" i="36"/>
  <c r="W332" i="36"/>
  <c r="W331" i="36"/>
  <c r="W330" i="36"/>
  <c r="W329" i="36"/>
  <c r="W328" i="36"/>
  <c r="W327" i="36"/>
  <c r="W326" i="36"/>
  <c r="W325" i="36"/>
  <c r="W324" i="36"/>
  <c r="W323" i="36"/>
  <c r="W322" i="36"/>
  <c r="W321" i="36"/>
  <c r="W320" i="36"/>
  <c r="W319" i="36"/>
  <c r="W318" i="36"/>
  <c r="W317" i="36"/>
  <c r="W316" i="36"/>
  <c r="W315" i="36"/>
  <c r="W314" i="36"/>
  <c r="W313" i="36"/>
  <c r="W312" i="36"/>
  <c r="W311" i="36"/>
  <c r="W310" i="36"/>
  <c r="W309" i="36"/>
  <c r="W308" i="36"/>
  <c r="W307" i="36"/>
  <c r="W306" i="36"/>
  <c r="W305" i="36"/>
  <c r="W304" i="36"/>
  <c r="W303" i="36"/>
  <c r="W302" i="36"/>
  <c r="W301" i="36"/>
  <c r="W300" i="36"/>
  <c r="W299" i="36"/>
  <c r="W298" i="36"/>
  <c r="W297" i="36"/>
  <c r="W296" i="36"/>
  <c r="W295" i="36"/>
  <c r="W294" i="36"/>
  <c r="W293" i="36"/>
  <c r="W292" i="36"/>
  <c r="W291" i="36"/>
  <c r="W290" i="36"/>
  <c r="W289" i="36"/>
  <c r="W288" i="36"/>
  <c r="W287" i="36"/>
  <c r="W286" i="36"/>
  <c r="W285" i="36"/>
  <c r="W284" i="36"/>
  <c r="W283" i="36"/>
  <c r="W282" i="36"/>
  <c r="W281" i="36"/>
  <c r="W280" i="36"/>
  <c r="W279" i="36"/>
  <c r="W278" i="36"/>
  <c r="W277" i="36"/>
  <c r="W276" i="36"/>
  <c r="W275" i="36"/>
  <c r="W274" i="36"/>
  <c r="W273" i="36"/>
  <c r="W272" i="36"/>
  <c r="W271" i="36"/>
  <c r="W270" i="36"/>
  <c r="W269" i="36"/>
  <c r="W268" i="36"/>
  <c r="W267" i="36"/>
  <c r="W266" i="36"/>
  <c r="W265" i="36"/>
  <c r="W264" i="36"/>
  <c r="W263" i="36"/>
  <c r="W262" i="36"/>
  <c r="W261" i="36"/>
  <c r="W260" i="36"/>
  <c r="W259" i="36"/>
  <c r="W258" i="36"/>
  <c r="W257" i="36"/>
  <c r="W256" i="36"/>
  <c r="W255" i="36"/>
  <c r="W254" i="36"/>
  <c r="W253" i="36"/>
  <c r="W252" i="36"/>
  <c r="W251" i="36"/>
  <c r="W250" i="36"/>
  <c r="W249" i="36"/>
  <c r="W248" i="36"/>
  <c r="W247" i="36"/>
  <c r="W246" i="36"/>
  <c r="W245" i="36"/>
  <c r="W244" i="36"/>
  <c r="W243" i="36"/>
  <c r="W242" i="36"/>
  <c r="W241" i="36"/>
  <c r="W240" i="36"/>
  <c r="W239" i="36"/>
  <c r="W238" i="36"/>
  <c r="W237" i="36"/>
  <c r="W236" i="36"/>
  <c r="W235" i="36"/>
  <c r="W234" i="36"/>
  <c r="W233" i="36"/>
  <c r="W232" i="36"/>
  <c r="W231" i="36"/>
  <c r="W230" i="36"/>
  <c r="W229" i="36"/>
  <c r="W228" i="36"/>
  <c r="W227" i="36"/>
  <c r="W226" i="36"/>
  <c r="W225" i="36"/>
  <c r="W224" i="36"/>
  <c r="W223" i="36"/>
  <c r="W222" i="36"/>
  <c r="W221" i="36"/>
  <c r="W220" i="36"/>
  <c r="W219" i="36"/>
  <c r="W218" i="36"/>
  <c r="W217" i="36"/>
  <c r="W216" i="36"/>
  <c r="W215" i="36"/>
  <c r="W214" i="36"/>
  <c r="W213" i="36"/>
  <c r="W212" i="36"/>
  <c r="W211" i="36"/>
  <c r="W210" i="36"/>
  <c r="W209" i="36"/>
  <c r="W208" i="36"/>
  <c r="W207" i="36"/>
  <c r="W206" i="36"/>
  <c r="W205" i="36"/>
  <c r="W204" i="36"/>
  <c r="W203" i="36"/>
  <c r="W202" i="36"/>
  <c r="W201" i="36"/>
  <c r="W200" i="36"/>
  <c r="W199" i="36"/>
  <c r="W198" i="36"/>
  <c r="W197" i="36"/>
  <c r="W196" i="36"/>
  <c r="W195" i="36"/>
  <c r="W194" i="36"/>
  <c r="W193" i="36"/>
  <c r="W192" i="36"/>
  <c r="W191" i="36"/>
  <c r="W190" i="36"/>
  <c r="W189" i="36"/>
  <c r="W188" i="36"/>
  <c r="W187" i="36"/>
  <c r="W186" i="36"/>
  <c r="W185" i="36"/>
  <c r="W184" i="36"/>
  <c r="W183" i="36"/>
  <c r="W182" i="36"/>
  <c r="W181" i="36"/>
  <c r="W180" i="36"/>
  <c r="W179" i="36"/>
  <c r="W178" i="36"/>
  <c r="W177" i="36"/>
  <c r="W176" i="36"/>
  <c r="W175" i="36"/>
  <c r="W174" i="36"/>
  <c r="W173" i="36"/>
  <c r="W172" i="36"/>
  <c r="W171" i="36"/>
  <c r="W170" i="36"/>
  <c r="W169" i="36"/>
  <c r="W168" i="36"/>
  <c r="W167" i="36"/>
  <c r="W166" i="36"/>
  <c r="W165" i="36"/>
  <c r="W164" i="36"/>
  <c r="W163" i="36"/>
  <c r="W162" i="36"/>
  <c r="W161" i="36"/>
  <c r="W160" i="36"/>
  <c r="W159" i="36"/>
  <c r="W158" i="36"/>
  <c r="W157" i="36"/>
  <c r="W156" i="36"/>
  <c r="W155" i="36"/>
  <c r="W154" i="36"/>
  <c r="W153" i="36"/>
  <c r="W152" i="36"/>
  <c r="W151" i="36"/>
  <c r="W150" i="36"/>
  <c r="W149" i="36"/>
  <c r="W148" i="36"/>
  <c r="W147" i="36"/>
  <c r="W146" i="36"/>
  <c r="W145" i="36"/>
  <c r="W144" i="36"/>
  <c r="W143" i="36"/>
  <c r="W142" i="36"/>
  <c r="W141" i="36"/>
  <c r="W140" i="36"/>
  <c r="W139" i="36"/>
  <c r="W138" i="36"/>
  <c r="W137" i="36"/>
  <c r="W136" i="36"/>
  <c r="W135" i="36"/>
  <c r="W134" i="36"/>
  <c r="W133" i="36"/>
  <c r="W132" i="36"/>
  <c r="W131" i="36"/>
  <c r="W130" i="36"/>
  <c r="W129" i="36"/>
  <c r="W128" i="36"/>
  <c r="W127" i="36"/>
  <c r="W126" i="36"/>
  <c r="W125" i="36"/>
  <c r="W124" i="36"/>
  <c r="W123" i="36"/>
  <c r="W122" i="36"/>
  <c r="W121" i="36"/>
  <c r="W120" i="36"/>
  <c r="W119" i="36"/>
  <c r="W118" i="36"/>
  <c r="W117" i="36"/>
  <c r="W116" i="36"/>
  <c r="W115" i="36"/>
  <c r="W114" i="36"/>
  <c r="W113" i="36"/>
  <c r="W112" i="36"/>
  <c r="W111" i="36"/>
  <c r="W110" i="36"/>
  <c r="W109" i="36"/>
  <c r="W108" i="36"/>
  <c r="W107" i="36"/>
  <c r="W106" i="36"/>
  <c r="W105" i="36"/>
  <c r="W104" i="36"/>
  <c r="W103" i="36"/>
  <c r="W102" i="36"/>
  <c r="W101" i="36"/>
  <c r="W100" i="36"/>
  <c r="W99" i="36"/>
  <c r="W98" i="36"/>
  <c r="W97" i="36"/>
  <c r="W96" i="36"/>
  <c r="W95" i="36"/>
  <c r="W94" i="36"/>
  <c r="W93" i="36"/>
  <c r="W92" i="36"/>
  <c r="W91" i="36"/>
  <c r="W90" i="36"/>
  <c r="W89" i="36"/>
  <c r="W88" i="36"/>
  <c r="W87" i="36"/>
  <c r="W86" i="36"/>
  <c r="W85" i="36"/>
  <c r="W84" i="36"/>
  <c r="W83" i="36"/>
  <c r="W82" i="36"/>
  <c r="W81" i="36"/>
  <c r="W80" i="36"/>
  <c r="W79" i="36"/>
  <c r="W78" i="36"/>
  <c r="W77" i="36"/>
  <c r="W76" i="36"/>
  <c r="W75" i="36"/>
  <c r="W74" i="36"/>
  <c r="W73" i="36"/>
  <c r="W72" i="36"/>
  <c r="W71" i="36"/>
  <c r="W70" i="36"/>
  <c r="W69" i="36"/>
  <c r="W68" i="36"/>
  <c r="W67" i="36"/>
  <c r="W66" i="36"/>
  <c r="W65" i="36"/>
  <c r="W64" i="36"/>
  <c r="W63" i="36"/>
  <c r="W62" i="36"/>
  <c r="W61" i="36"/>
  <c r="W60" i="36"/>
  <c r="W59" i="36"/>
  <c r="W58" i="36"/>
  <c r="W57" i="36"/>
  <c r="W56" i="36"/>
  <c r="W55" i="36"/>
  <c r="W54" i="36"/>
  <c r="W53" i="36"/>
  <c r="W52" i="36"/>
  <c r="W51" i="36"/>
  <c r="W50" i="36"/>
  <c r="W49" i="36"/>
  <c r="W48" i="36"/>
  <c r="W47" i="36"/>
  <c r="W46" i="36"/>
  <c r="W45" i="36"/>
  <c r="W44" i="36"/>
  <c r="W43" i="36"/>
  <c r="W42" i="36"/>
  <c r="W41" i="36"/>
  <c r="W40" i="36"/>
  <c r="W39" i="36"/>
  <c r="W38" i="36"/>
  <c r="W37" i="36"/>
  <c r="W36" i="36"/>
  <c r="W35" i="36"/>
  <c r="W34" i="36"/>
  <c r="W32" i="36"/>
  <c r="W31" i="36"/>
  <c r="W30" i="36"/>
  <c r="W29" i="36"/>
  <c r="W28" i="36"/>
  <c r="W27" i="36"/>
  <c r="W26" i="36"/>
  <c r="W25" i="36"/>
  <c r="W24" i="36"/>
  <c r="W23" i="36"/>
  <c r="F30" i="41" l="1"/>
  <c r="A30" i="41"/>
  <c r="A27" i="41"/>
  <c r="F30" i="40"/>
  <c r="A30" i="40"/>
  <c r="A27" i="40"/>
  <c r="F30" i="39"/>
  <c r="A30" i="39"/>
  <c r="A27" i="39"/>
  <c r="C7" i="38" l="1"/>
  <c r="T912" i="13" l="1"/>
  <c r="N613" i="44" l="1"/>
  <c r="R613" i="44" s="1"/>
  <c r="N619" i="43"/>
  <c r="R619" i="43" s="1"/>
  <c r="N741" i="44"/>
  <c r="R741" i="44" s="1"/>
  <c r="N747" i="43"/>
  <c r="R747" i="43" s="1"/>
  <c r="P235" i="44"/>
  <c r="T235" i="44" s="1"/>
  <c r="P241" i="43"/>
  <c r="T241" i="43" s="1"/>
  <c r="N336" i="44"/>
  <c r="R336" i="44" s="1"/>
  <c r="N342" i="43"/>
  <c r="R342" i="43" s="1"/>
  <c r="N644" i="43"/>
  <c r="R644" i="43" s="1"/>
  <c r="N638" i="44"/>
  <c r="R638" i="44" s="1"/>
  <c r="P265" i="44"/>
  <c r="T265" i="44" s="1"/>
  <c r="P271" i="43"/>
  <c r="T271" i="43" s="1"/>
  <c r="P441" i="44"/>
  <c r="T441" i="44" s="1"/>
  <c r="P447" i="43"/>
  <c r="T447" i="43" s="1"/>
  <c r="N231" i="44"/>
  <c r="R231" i="44" s="1"/>
  <c r="N237" i="43"/>
  <c r="R237" i="43" s="1"/>
  <c r="N307" i="43"/>
  <c r="R307" i="43" s="1"/>
  <c r="N301" i="44"/>
  <c r="R301" i="44" s="1"/>
  <c r="N339" i="44"/>
  <c r="R339" i="44" s="1"/>
  <c r="N345" i="43"/>
  <c r="R345" i="43" s="1"/>
  <c r="N333" i="44"/>
  <c r="R333" i="44" s="1"/>
  <c r="N339" i="43"/>
  <c r="R339" i="43" s="1"/>
  <c r="N436" i="44"/>
  <c r="R436" i="44" s="1"/>
  <c r="N442" i="43"/>
  <c r="R442" i="43" s="1"/>
  <c r="N452" i="44"/>
  <c r="R452" i="44" s="1"/>
  <c r="N458" i="43"/>
  <c r="R458" i="43" s="1"/>
  <c r="N579" i="43"/>
  <c r="R579" i="43" s="1"/>
  <c r="N573" i="44"/>
  <c r="R573" i="44" s="1"/>
  <c r="N612" i="44"/>
  <c r="R612" i="44" s="1"/>
  <c r="N618" i="43"/>
  <c r="R618" i="43" s="1"/>
  <c r="N745" i="43"/>
  <c r="R745" i="43" s="1"/>
  <c r="N739" i="44"/>
  <c r="R739" i="44" s="1"/>
  <c r="N778" i="44"/>
  <c r="R778" i="44" s="1"/>
  <c r="N784" i="43"/>
  <c r="R784" i="43" s="1"/>
  <c r="P613" i="44"/>
  <c r="T613" i="44" s="1"/>
  <c r="P619" i="43"/>
  <c r="T619" i="43" s="1"/>
  <c r="N241" i="43"/>
  <c r="R241" i="43" s="1"/>
  <c r="N235" i="44"/>
  <c r="R235" i="44" s="1"/>
  <c r="P438" i="44"/>
  <c r="T438" i="44" s="1"/>
  <c r="P444" i="43"/>
  <c r="T444" i="43" s="1"/>
  <c r="N310" i="43"/>
  <c r="R310" i="43" s="1"/>
  <c r="N304" i="44"/>
  <c r="R304" i="44" s="1"/>
  <c r="P615" i="44"/>
  <c r="T615" i="44" s="1"/>
  <c r="P621" i="43"/>
  <c r="T621" i="43" s="1"/>
  <c r="N237" i="44"/>
  <c r="R237" i="44" s="1"/>
  <c r="N243" i="43"/>
  <c r="R243" i="43" s="1"/>
  <c r="P617" i="44"/>
  <c r="T617" i="44" s="1"/>
  <c r="P623" i="43"/>
  <c r="T623" i="43" s="1"/>
  <c r="P231" i="44"/>
  <c r="T231" i="44" s="1"/>
  <c r="P237" i="43"/>
  <c r="T237" i="43" s="1"/>
  <c r="P301" i="44"/>
  <c r="T301" i="44" s="1"/>
  <c r="P307" i="43"/>
  <c r="T307" i="43" s="1"/>
  <c r="P339" i="44"/>
  <c r="T339" i="44" s="1"/>
  <c r="P345" i="43"/>
  <c r="T345" i="43" s="1"/>
  <c r="P339" i="43"/>
  <c r="T339" i="43" s="1"/>
  <c r="P333" i="44"/>
  <c r="T333" i="44" s="1"/>
  <c r="P436" i="44"/>
  <c r="T436" i="44" s="1"/>
  <c r="P442" i="43"/>
  <c r="T442" i="43" s="1"/>
  <c r="P452" i="44"/>
  <c r="T452" i="44" s="1"/>
  <c r="P458" i="43"/>
  <c r="T458" i="43" s="1"/>
  <c r="P573" i="44"/>
  <c r="T573" i="44" s="1"/>
  <c r="P579" i="43"/>
  <c r="T579" i="43" s="1"/>
  <c r="P612" i="44"/>
  <c r="T612" i="44" s="1"/>
  <c r="P618" i="43"/>
  <c r="T618" i="43" s="1"/>
  <c r="P739" i="44"/>
  <c r="T739" i="44" s="1"/>
  <c r="P745" i="43"/>
  <c r="T745" i="43" s="1"/>
  <c r="P778" i="44"/>
  <c r="T778" i="44" s="1"/>
  <c r="P784" i="43"/>
  <c r="T784" i="43" s="1"/>
  <c r="N232" i="44"/>
  <c r="R232" i="44" s="1"/>
  <c r="N238" i="43"/>
  <c r="R238" i="43" s="1"/>
  <c r="P340" i="44"/>
  <c r="T340" i="44" s="1"/>
  <c r="P346" i="43"/>
  <c r="T346" i="43" s="1"/>
  <c r="N341" i="43"/>
  <c r="R341" i="43" s="1"/>
  <c r="N335" i="44"/>
  <c r="R335" i="44" s="1"/>
  <c r="P309" i="43"/>
  <c r="T309" i="43" s="1"/>
  <c r="P303" i="44"/>
  <c r="T303" i="44" s="1"/>
  <c r="N508" i="43"/>
  <c r="R508" i="43" s="1"/>
  <c r="N502" i="44"/>
  <c r="R502" i="44" s="1"/>
  <c r="P234" i="44"/>
  <c r="T234" i="44" s="1"/>
  <c r="P240" i="43"/>
  <c r="T240" i="43" s="1"/>
  <c r="N503" i="44"/>
  <c r="R503" i="44" s="1"/>
  <c r="N509" i="43"/>
  <c r="R509" i="43" s="1"/>
  <c r="N639" i="44"/>
  <c r="R639" i="44" s="1"/>
  <c r="N645" i="43"/>
  <c r="R645" i="43" s="1"/>
  <c r="N266" i="44"/>
  <c r="R266" i="44" s="1"/>
  <c r="N272" i="43"/>
  <c r="R272" i="43" s="1"/>
  <c r="N306" i="44"/>
  <c r="R306" i="44" s="1"/>
  <c r="N312" i="43"/>
  <c r="R312" i="43" s="1"/>
  <c r="N276" i="44"/>
  <c r="R276" i="44" s="1"/>
  <c r="N282" i="43"/>
  <c r="R282" i="43" s="1"/>
  <c r="N441" i="44"/>
  <c r="R441" i="44" s="1"/>
  <c r="N447" i="43"/>
  <c r="R447" i="43" s="1"/>
  <c r="N504" i="44"/>
  <c r="R504" i="44" s="1"/>
  <c r="N510" i="43"/>
  <c r="R510" i="43" s="1"/>
  <c r="N578" i="44"/>
  <c r="R578" i="44" s="1"/>
  <c r="N584" i="43"/>
  <c r="R584" i="43" s="1"/>
  <c r="N617" i="44"/>
  <c r="R617" i="44" s="1"/>
  <c r="N623" i="43"/>
  <c r="R623" i="43" s="1"/>
  <c r="N744" i="44"/>
  <c r="R744" i="44" s="1"/>
  <c r="N750" i="43"/>
  <c r="R750" i="43" s="1"/>
  <c r="N912" i="44"/>
  <c r="R912" i="44" s="1"/>
  <c r="N918" i="43"/>
  <c r="R918" i="43" s="1"/>
  <c r="N340" i="43"/>
  <c r="R340" i="43" s="1"/>
  <c r="N334" i="44"/>
  <c r="R334" i="44" s="1"/>
  <c r="P238" i="43"/>
  <c r="T238" i="43" s="1"/>
  <c r="P232" i="44"/>
  <c r="T232" i="44" s="1"/>
  <c r="N636" i="44"/>
  <c r="R636" i="44" s="1"/>
  <c r="N642" i="43"/>
  <c r="R642" i="43" s="1"/>
  <c r="N614" i="44"/>
  <c r="R614" i="44" s="1"/>
  <c r="N620" i="43"/>
  <c r="R620" i="43" s="1"/>
  <c r="P780" i="44"/>
  <c r="T780" i="44" s="1"/>
  <c r="P786" i="43"/>
  <c r="T786" i="43" s="1"/>
  <c r="N576" i="44"/>
  <c r="R576" i="44" s="1"/>
  <c r="N582" i="43"/>
  <c r="R582" i="43" s="1"/>
  <c r="P781" i="44"/>
  <c r="T781" i="44" s="1"/>
  <c r="P787" i="43"/>
  <c r="T787" i="43" s="1"/>
  <c r="N446" i="43"/>
  <c r="R446" i="43" s="1"/>
  <c r="N440" i="44"/>
  <c r="R440" i="44" s="1"/>
  <c r="P616" i="44"/>
  <c r="T616" i="44" s="1"/>
  <c r="P622" i="43"/>
  <c r="T622" i="43" s="1"/>
  <c r="P276" i="44"/>
  <c r="T276" i="44" s="1"/>
  <c r="P282" i="43"/>
  <c r="T282" i="43" s="1"/>
  <c r="N602" i="44"/>
  <c r="R602" i="44" s="1"/>
  <c r="N608" i="43"/>
  <c r="R608" i="43" s="1"/>
  <c r="P505" i="44"/>
  <c r="T505" i="44" s="1"/>
  <c r="P511" i="43"/>
  <c r="T511" i="43" s="1"/>
  <c r="N603" i="44"/>
  <c r="R603" i="44" s="1"/>
  <c r="N609" i="43"/>
  <c r="R609" i="43" s="1"/>
  <c r="P401" i="44"/>
  <c r="T401" i="44" s="1"/>
  <c r="P407" i="43"/>
  <c r="T407" i="43" s="1"/>
  <c r="P920" i="43"/>
  <c r="T920" i="43" s="1"/>
  <c r="P914" i="44"/>
  <c r="T914" i="44" s="1"/>
  <c r="N279" i="44"/>
  <c r="R279" i="44" s="1"/>
  <c r="N285" i="43"/>
  <c r="R285" i="43" s="1"/>
  <c r="P953" i="43"/>
  <c r="T953" i="43" s="1"/>
  <c r="P947" i="44"/>
  <c r="T947" i="44" s="1"/>
  <c r="P279" i="44"/>
  <c r="T279" i="44" s="1"/>
  <c r="P285" i="43"/>
  <c r="T285" i="43" s="1"/>
  <c r="N605" i="44"/>
  <c r="R605" i="44" s="1"/>
  <c r="N611" i="43"/>
  <c r="R611" i="43" s="1"/>
  <c r="P514" i="43"/>
  <c r="T514" i="43" s="1"/>
  <c r="P508" i="44"/>
  <c r="T508" i="44" s="1"/>
  <c r="P605" i="44"/>
  <c r="T605" i="44" s="1"/>
  <c r="P611" i="43"/>
  <c r="T611" i="43" s="1"/>
  <c r="P621" i="44"/>
  <c r="T621" i="44" s="1"/>
  <c r="P627" i="43"/>
  <c r="T627" i="43" s="1"/>
  <c r="P748" i="44"/>
  <c r="T748" i="44" s="1"/>
  <c r="P754" i="43"/>
  <c r="T754" i="43" s="1"/>
  <c r="P916" i="44"/>
  <c r="T916" i="44" s="1"/>
  <c r="P922" i="43"/>
  <c r="T922" i="43" s="1"/>
  <c r="N277" i="43"/>
  <c r="R277" i="43" s="1"/>
  <c r="N271" i="44"/>
  <c r="R271" i="44" s="1"/>
  <c r="N317" i="43"/>
  <c r="R317" i="43" s="1"/>
  <c r="N311" i="44"/>
  <c r="R311" i="44" s="1"/>
  <c r="N281" i="44"/>
  <c r="R281" i="44" s="1"/>
  <c r="N287" i="43"/>
  <c r="R287" i="43" s="1"/>
  <c r="N404" i="44"/>
  <c r="R404" i="44" s="1"/>
  <c r="N410" i="43"/>
  <c r="R410" i="43" s="1"/>
  <c r="N452" i="43"/>
  <c r="R452" i="43" s="1"/>
  <c r="N446" i="44"/>
  <c r="R446" i="44" s="1"/>
  <c r="N509" i="44"/>
  <c r="R509" i="44" s="1"/>
  <c r="N515" i="43"/>
  <c r="R515" i="43" s="1"/>
  <c r="N612" i="43"/>
  <c r="R612" i="43" s="1"/>
  <c r="N606" i="44"/>
  <c r="R606" i="44" s="1"/>
  <c r="N628" i="43"/>
  <c r="R628" i="43" s="1"/>
  <c r="N622" i="44"/>
  <c r="R622" i="44" s="1"/>
  <c r="N749" i="44"/>
  <c r="R749" i="44" s="1"/>
  <c r="N755" i="43"/>
  <c r="R755" i="43" s="1"/>
  <c r="N917" i="44"/>
  <c r="R917" i="44" s="1"/>
  <c r="N923" i="43"/>
  <c r="R923" i="43" s="1"/>
  <c r="P302" i="44"/>
  <c r="T302" i="44" s="1"/>
  <c r="P308" i="43"/>
  <c r="T308" i="43" s="1"/>
  <c r="P304" i="44"/>
  <c r="T304" i="44" s="1"/>
  <c r="P310" i="43"/>
  <c r="T310" i="43" s="1"/>
  <c r="N337" i="44"/>
  <c r="R337" i="44" s="1"/>
  <c r="N343" i="43"/>
  <c r="R343" i="43" s="1"/>
  <c r="P237" i="44"/>
  <c r="T237" i="44" s="1"/>
  <c r="P243" i="43"/>
  <c r="T243" i="43" s="1"/>
  <c r="P911" i="44"/>
  <c r="T911" i="44" s="1"/>
  <c r="P917" i="43"/>
  <c r="T917" i="43" s="1"/>
  <c r="N945" i="44"/>
  <c r="R945" i="44" s="1"/>
  <c r="N951" i="43"/>
  <c r="R951" i="43" s="1"/>
  <c r="P951" i="43"/>
  <c r="T951" i="43" s="1"/>
  <c r="P945" i="44"/>
  <c r="T945" i="44" s="1"/>
  <c r="N443" i="44"/>
  <c r="R443" i="44" s="1"/>
  <c r="N449" i="43"/>
  <c r="R449" i="43" s="1"/>
  <c r="P284" i="43"/>
  <c r="T284" i="43" s="1"/>
  <c r="P278" i="44"/>
  <c r="T278" i="44" s="1"/>
  <c r="N947" i="44"/>
  <c r="R947" i="44" s="1"/>
  <c r="N953" i="43"/>
  <c r="R953" i="43" s="1"/>
  <c r="N748" i="44"/>
  <c r="R748" i="44" s="1"/>
  <c r="N754" i="43"/>
  <c r="R754" i="43" s="1"/>
  <c r="P281" i="44"/>
  <c r="T281" i="44" s="1"/>
  <c r="P287" i="43"/>
  <c r="T287" i="43" s="1"/>
  <c r="N317" i="44"/>
  <c r="R317" i="44" s="1"/>
  <c r="N323" i="43"/>
  <c r="R323" i="43" s="1"/>
  <c r="P568" i="44"/>
  <c r="T568" i="44" s="1"/>
  <c r="P574" i="43"/>
  <c r="T574" i="43" s="1"/>
  <c r="P607" i="44"/>
  <c r="T607" i="44" s="1"/>
  <c r="P613" i="43"/>
  <c r="T613" i="43" s="1"/>
  <c r="P623" i="44"/>
  <c r="T623" i="44" s="1"/>
  <c r="P629" i="43"/>
  <c r="T629" i="43" s="1"/>
  <c r="P779" i="43"/>
  <c r="T779" i="43" s="1"/>
  <c r="P773" i="44"/>
  <c r="T773" i="44" s="1"/>
  <c r="P924" i="43"/>
  <c r="T924" i="43" s="1"/>
  <c r="P918" i="44"/>
  <c r="T918" i="44" s="1"/>
  <c r="N308" i="43"/>
  <c r="R308" i="43" s="1"/>
  <c r="N302" i="44"/>
  <c r="R302" i="44" s="1"/>
  <c r="P340" i="43"/>
  <c r="T340" i="43" s="1"/>
  <c r="P334" i="44"/>
  <c r="T334" i="44" s="1"/>
  <c r="N438" i="44"/>
  <c r="R438" i="44" s="1"/>
  <c r="N444" i="43"/>
  <c r="R444" i="43" s="1"/>
  <c r="P335" i="44"/>
  <c r="T335" i="44" s="1"/>
  <c r="P341" i="43"/>
  <c r="T341" i="43" s="1"/>
  <c r="N445" i="43"/>
  <c r="R445" i="43" s="1"/>
  <c r="N439" i="44"/>
  <c r="R439" i="44" s="1"/>
  <c r="P336" i="44"/>
  <c r="T336" i="44" s="1"/>
  <c r="P342" i="43"/>
  <c r="T342" i="43" s="1"/>
  <c r="N271" i="43"/>
  <c r="R271" i="43" s="1"/>
  <c r="N265" i="44"/>
  <c r="R265" i="44" s="1"/>
  <c r="P639" i="44"/>
  <c r="T639" i="44" s="1"/>
  <c r="P645" i="43"/>
  <c r="T645" i="43" s="1"/>
  <c r="N307" i="44"/>
  <c r="R307" i="44" s="1"/>
  <c r="N313" i="43"/>
  <c r="R313" i="43" s="1"/>
  <c r="P400" i="44"/>
  <c r="T400" i="44" s="1"/>
  <c r="P406" i="43"/>
  <c r="T406" i="43" s="1"/>
  <c r="N278" i="44"/>
  <c r="R278" i="44" s="1"/>
  <c r="N284" i="43"/>
  <c r="R284" i="43" s="1"/>
  <c r="P268" i="44"/>
  <c r="T268" i="44" s="1"/>
  <c r="P274" i="43"/>
  <c r="T274" i="43" s="1"/>
  <c r="N402" i="44"/>
  <c r="R402" i="44" s="1"/>
  <c r="N408" i="43"/>
  <c r="R408" i="43" s="1"/>
  <c r="P408" i="43"/>
  <c r="T408" i="43" s="1"/>
  <c r="P402" i="44"/>
  <c r="T402" i="44" s="1"/>
  <c r="N286" i="43"/>
  <c r="R286" i="43" s="1"/>
  <c r="N280" i="44"/>
  <c r="R280" i="44" s="1"/>
  <c r="P271" i="44"/>
  <c r="T271" i="44" s="1"/>
  <c r="P277" i="43"/>
  <c r="T277" i="43" s="1"/>
  <c r="P917" i="44"/>
  <c r="T917" i="44" s="1"/>
  <c r="P923" i="43"/>
  <c r="T923" i="43" s="1"/>
  <c r="N774" i="44"/>
  <c r="R774" i="44" s="1"/>
  <c r="N780" i="43"/>
  <c r="R780" i="43" s="1"/>
  <c r="N919" i="44"/>
  <c r="R919" i="44" s="1"/>
  <c r="N925" i="43"/>
  <c r="R925" i="43" s="1"/>
  <c r="N340" i="44"/>
  <c r="R340" i="44" s="1"/>
  <c r="N346" i="43"/>
  <c r="R346" i="43" s="1"/>
  <c r="P437" i="44"/>
  <c r="T437" i="44" s="1"/>
  <c r="P443" i="43"/>
  <c r="T443" i="43" s="1"/>
  <c r="N309" i="43"/>
  <c r="R309" i="43" s="1"/>
  <c r="N303" i="44"/>
  <c r="R303" i="44" s="1"/>
  <c r="P501" i="44"/>
  <c r="T501" i="44" s="1"/>
  <c r="P507" i="43"/>
  <c r="T507" i="43" s="1"/>
  <c r="N234" i="44"/>
  <c r="R234" i="44" s="1"/>
  <c r="N240" i="43"/>
  <c r="R240" i="43" s="1"/>
  <c r="P748" i="43"/>
  <c r="T748" i="43" s="1"/>
  <c r="P742" i="44"/>
  <c r="T742" i="44" s="1"/>
  <c r="P749" i="43"/>
  <c r="T749" i="43" s="1"/>
  <c r="P743" i="44"/>
  <c r="T743" i="44" s="1"/>
  <c r="N442" i="44"/>
  <c r="R442" i="44" s="1"/>
  <c r="N448" i="43"/>
  <c r="R448" i="43" s="1"/>
  <c r="P277" i="44"/>
  <c r="T277" i="44" s="1"/>
  <c r="P283" i="43"/>
  <c r="T283" i="43" s="1"/>
  <c r="N268" i="44"/>
  <c r="R268" i="44" s="1"/>
  <c r="N274" i="43"/>
  <c r="R274" i="43" s="1"/>
  <c r="P946" i="44"/>
  <c r="T946" i="44" s="1"/>
  <c r="P952" i="43"/>
  <c r="T952" i="43" s="1"/>
  <c r="N315" i="43"/>
  <c r="R315" i="43" s="1"/>
  <c r="N309" i="44"/>
  <c r="R309" i="44" s="1"/>
  <c r="P269" i="44"/>
  <c r="T269" i="44" s="1"/>
  <c r="P275" i="43"/>
  <c r="T275" i="43" s="1"/>
  <c r="N316" i="43"/>
  <c r="R316" i="43" s="1"/>
  <c r="N310" i="44"/>
  <c r="R310" i="44" s="1"/>
  <c r="P311" i="44"/>
  <c r="T311" i="44" s="1"/>
  <c r="P317" i="43"/>
  <c r="T317" i="43" s="1"/>
  <c r="N312" i="44"/>
  <c r="R312" i="44" s="1"/>
  <c r="N318" i="43"/>
  <c r="R318" i="43" s="1"/>
  <c r="N918" i="44"/>
  <c r="R918" i="44" s="1"/>
  <c r="N924" i="43"/>
  <c r="R924" i="43" s="1"/>
  <c r="N318" i="44"/>
  <c r="R318" i="44" s="1"/>
  <c r="N324" i="43"/>
  <c r="R324" i="43" s="1"/>
  <c r="P448" i="44"/>
  <c r="T448" i="44" s="1"/>
  <c r="P454" i="43"/>
  <c r="T454" i="43" s="1"/>
  <c r="P569" i="44"/>
  <c r="T569" i="44" s="1"/>
  <c r="P575" i="43"/>
  <c r="T575" i="43" s="1"/>
  <c r="P614" i="43"/>
  <c r="T614" i="43" s="1"/>
  <c r="P608" i="44"/>
  <c r="T608" i="44" s="1"/>
  <c r="P624" i="44"/>
  <c r="T624" i="44" s="1"/>
  <c r="P630" i="43"/>
  <c r="T630" i="43" s="1"/>
  <c r="P774" i="44"/>
  <c r="T774" i="44" s="1"/>
  <c r="P780" i="43"/>
  <c r="T780" i="43" s="1"/>
  <c r="P925" i="43"/>
  <c r="T925" i="43" s="1"/>
  <c r="P919" i="44"/>
  <c r="T919" i="44" s="1"/>
  <c r="N779" i="44"/>
  <c r="R779" i="44" s="1"/>
  <c r="N785" i="43"/>
  <c r="R785" i="43" s="1"/>
  <c r="N780" i="44"/>
  <c r="R780" i="44" s="1"/>
  <c r="N786" i="43"/>
  <c r="R786" i="43" s="1"/>
  <c r="P614" i="44"/>
  <c r="T614" i="44" s="1"/>
  <c r="P620" i="43"/>
  <c r="T620" i="43" s="1"/>
  <c r="N742" i="44"/>
  <c r="R742" i="44" s="1"/>
  <c r="N748" i="43"/>
  <c r="R748" i="43" s="1"/>
  <c r="P502" i="44"/>
  <c r="T502" i="44" s="1"/>
  <c r="P508" i="43"/>
  <c r="T508" i="43" s="1"/>
  <c r="N577" i="44"/>
  <c r="R577" i="44" s="1"/>
  <c r="N583" i="43"/>
  <c r="R583" i="43" s="1"/>
  <c r="P305" i="44"/>
  <c r="T305" i="44" s="1"/>
  <c r="P311" i="43"/>
  <c r="T311" i="43" s="1"/>
  <c r="P744" i="44"/>
  <c r="T744" i="44" s="1"/>
  <c r="P750" i="43"/>
  <c r="T750" i="43" s="1"/>
  <c r="N406" i="43"/>
  <c r="R406" i="43" s="1"/>
  <c r="N400" i="44"/>
  <c r="R400" i="44" s="1"/>
  <c r="P624" i="43"/>
  <c r="T624" i="43" s="1"/>
  <c r="P618" i="44"/>
  <c r="T618" i="44" s="1"/>
  <c r="N506" i="44"/>
  <c r="R506" i="44" s="1"/>
  <c r="N512" i="43"/>
  <c r="R512" i="43" s="1"/>
  <c r="P603" i="44"/>
  <c r="T603" i="44" s="1"/>
  <c r="P609" i="43"/>
  <c r="T609" i="43" s="1"/>
  <c r="N507" i="44"/>
  <c r="R507" i="44" s="1"/>
  <c r="N513" i="43"/>
  <c r="R513" i="43" s="1"/>
  <c r="P626" i="43"/>
  <c r="T626" i="43" s="1"/>
  <c r="P620" i="44"/>
  <c r="T620" i="44" s="1"/>
  <c r="N403" i="44"/>
  <c r="R403" i="44" s="1"/>
  <c r="N409" i="43"/>
  <c r="R409" i="43" s="1"/>
  <c r="P316" i="43"/>
  <c r="T316" i="43" s="1"/>
  <c r="P310" i="44"/>
  <c r="T310" i="44" s="1"/>
  <c r="P404" i="44"/>
  <c r="T404" i="44" s="1"/>
  <c r="P410" i="43"/>
  <c r="T410" i="43" s="1"/>
  <c r="N773" i="44"/>
  <c r="R773" i="44" s="1"/>
  <c r="N779" i="43"/>
  <c r="R779" i="43" s="1"/>
  <c r="N273" i="44"/>
  <c r="R273" i="44" s="1"/>
  <c r="N279" i="43"/>
  <c r="R279" i="43" s="1"/>
  <c r="N412" i="43"/>
  <c r="R412" i="43" s="1"/>
  <c r="N406" i="44"/>
  <c r="R406" i="44" s="1"/>
  <c r="P318" i="44"/>
  <c r="T318" i="44" s="1"/>
  <c r="P324" i="43"/>
  <c r="T324" i="43" s="1"/>
  <c r="N228" i="44"/>
  <c r="R228" i="44" s="1"/>
  <c r="N234" i="43"/>
  <c r="R234" i="43" s="1"/>
  <c r="N274" i="44"/>
  <c r="R274" i="44" s="1"/>
  <c r="N280" i="43"/>
  <c r="R280" i="43" s="1"/>
  <c r="N314" i="44"/>
  <c r="R314" i="44" s="1"/>
  <c r="N320" i="43"/>
  <c r="R320" i="43" s="1"/>
  <c r="N330" i="44"/>
  <c r="R330" i="44" s="1"/>
  <c r="N336" i="43"/>
  <c r="R336" i="43" s="1"/>
  <c r="N413" i="43"/>
  <c r="R413" i="43" s="1"/>
  <c r="N407" i="44"/>
  <c r="R407" i="44" s="1"/>
  <c r="N449" i="44"/>
  <c r="R449" i="44" s="1"/>
  <c r="N455" i="43"/>
  <c r="R455" i="43" s="1"/>
  <c r="N570" i="44"/>
  <c r="R570" i="44" s="1"/>
  <c r="N576" i="43"/>
  <c r="R576" i="43" s="1"/>
  <c r="N615" i="43"/>
  <c r="R615" i="43" s="1"/>
  <c r="N609" i="44"/>
  <c r="R609" i="44" s="1"/>
  <c r="N338" i="44"/>
  <c r="R338" i="44" s="1"/>
  <c r="N344" i="43"/>
  <c r="R344" i="43" s="1"/>
  <c r="N781" i="43"/>
  <c r="R781" i="43" s="1"/>
  <c r="N775" i="44"/>
  <c r="R775" i="44" s="1"/>
  <c r="N926" i="43"/>
  <c r="R926" i="43" s="1"/>
  <c r="N920" i="44"/>
  <c r="R920" i="44" s="1"/>
  <c r="N746" i="43"/>
  <c r="R746" i="43" s="1"/>
  <c r="N740" i="44"/>
  <c r="R740" i="44" s="1"/>
  <c r="P453" i="44"/>
  <c r="T453" i="44" s="1"/>
  <c r="P459" i="43"/>
  <c r="T459" i="43" s="1"/>
  <c r="N616" i="44"/>
  <c r="R616" i="44" s="1"/>
  <c r="N622" i="43"/>
  <c r="R622" i="43" s="1"/>
  <c r="P503" i="44"/>
  <c r="T503" i="44" s="1"/>
  <c r="P509" i="43"/>
  <c r="T509" i="43" s="1"/>
  <c r="P306" i="44"/>
  <c r="T306" i="44" s="1"/>
  <c r="P312" i="43"/>
  <c r="T312" i="43" s="1"/>
  <c r="P912" i="44"/>
  <c r="T912" i="44" s="1"/>
  <c r="P918" i="43"/>
  <c r="T918" i="43" s="1"/>
  <c r="N277" i="44"/>
  <c r="R277" i="44" s="1"/>
  <c r="N283" i="43"/>
  <c r="R283" i="43" s="1"/>
  <c r="P751" i="43"/>
  <c r="T751" i="43" s="1"/>
  <c r="P745" i="44"/>
  <c r="T745" i="44" s="1"/>
  <c r="N401" i="44"/>
  <c r="R401" i="44" s="1"/>
  <c r="N407" i="43"/>
  <c r="R407" i="43" s="1"/>
  <c r="P625" i="43"/>
  <c r="T625" i="43" s="1"/>
  <c r="P619" i="44"/>
  <c r="T619" i="44" s="1"/>
  <c r="N444" i="44"/>
  <c r="R444" i="44" s="1"/>
  <c r="N450" i="43"/>
  <c r="R450" i="43" s="1"/>
  <c r="P747" i="44"/>
  <c r="T747" i="44" s="1"/>
  <c r="P753" i="43"/>
  <c r="T753" i="43" s="1"/>
  <c r="N276" i="43"/>
  <c r="R276" i="43" s="1"/>
  <c r="N270" i="44"/>
  <c r="R270" i="44" s="1"/>
  <c r="P445" i="44"/>
  <c r="T445" i="44" s="1"/>
  <c r="P451" i="43"/>
  <c r="T451" i="43" s="1"/>
  <c r="P606" i="44"/>
  <c r="T606" i="44" s="1"/>
  <c r="P612" i="43"/>
  <c r="T612" i="43" s="1"/>
  <c r="N613" i="43"/>
  <c r="R613" i="43" s="1"/>
  <c r="N607" i="44"/>
  <c r="R607" i="44" s="1"/>
  <c r="P411" i="43"/>
  <c r="T411" i="43" s="1"/>
  <c r="P405" i="44"/>
  <c r="T405" i="44" s="1"/>
  <c r="N569" i="44"/>
  <c r="R569" i="44" s="1"/>
  <c r="N575" i="43"/>
  <c r="R575" i="43" s="1"/>
  <c r="P313" i="44"/>
  <c r="T313" i="44" s="1"/>
  <c r="P319" i="43"/>
  <c r="T319" i="43" s="1"/>
  <c r="P228" i="44"/>
  <c r="T228" i="44" s="1"/>
  <c r="P234" i="43"/>
  <c r="T234" i="43" s="1"/>
  <c r="P274" i="44"/>
  <c r="T274" i="44" s="1"/>
  <c r="P280" i="43"/>
  <c r="T280" i="43" s="1"/>
  <c r="P314" i="44"/>
  <c r="T314" i="44" s="1"/>
  <c r="P320" i="43"/>
  <c r="T320" i="43" s="1"/>
  <c r="P330" i="44"/>
  <c r="T330" i="44" s="1"/>
  <c r="P336" i="43"/>
  <c r="T336" i="43" s="1"/>
  <c r="P407" i="44"/>
  <c r="T407" i="44" s="1"/>
  <c r="P413" i="43"/>
  <c r="T413" i="43" s="1"/>
  <c r="P449" i="44"/>
  <c r="T449" i="44" s="1"/>
  <c r="P455" i="43"/>
  <c r="T455" i="43" s="1"/>
  <c r="P570" i="44"/>
  <c r="T570" i="44" s="1"/>
  <c r="P576" i="43"/>
  <c r="T576" i="43" s="1"/>
  <c r="P615" i="43"/>
  <c r="T615" i="43" s="1"/>
  <c r="P609" i="44"/>
  <c r="T609" i="44" s="1"/>
  <c r="P338" i="44"/>
  <c r="T338" i="44" s="1"/>
  <c r="P344" i="43"/>
  <c r="T344" i="43" s="1"/>
  <c r="P775" i="44"/>
  <c r="T775" i="44" s="1"/>
  <c r="P781" i="43"/>
  <c r="T781" i="43" s="1"/>
  <c r="P926" i="43"/>
  <c r="T926" i="43" s="1"/>
  <c r="P920" i="44"/>
  <c r="T920" i="44" s="1"/>
  <c r="N437" i="44"/>
  <c r="R437" i="44" s="1"/>
  <c r="N443" i="43"/>
  <c r="R443" i="43" s="1"/>
  <c r="P779" i="44"/>
  <c r="T779" i="44" s="1"/>
  <c r="P785" i="43"/>
  <c r="T785" i="43" s="1"/>
  <c r="N501" i="44"/>
  <c r="R501" i="44" s="1"/>
  <c r="N507" i="43"/>
  <c r="R507" i="43" s="1"/>
  <c r="P741" i="44"/>
  <c r="T741" i="44" s="1"/>
  <c r="P747" i="43"/>
  <c r="T747" i="43" s="1"/>
  <c r="N236" i="44"/>
  <c r="R236" i="44" s="1"/>
  <c r="N242" i="43"/>
  <c r="R242" i="43" s="1"/>
  <c r="P643" i="43"/>
  <c r="T643" i="43" s="1"/>
  <c r="P637" i="44"/>
  <c r="T637" i="44" s="1"/>
  <c r="P236" i="44"/>
  <c r="T236" i="44" s="1"/>
  <c r="P242" i="43"/>
  <c r="T242" i="43" s="1"/>
  <c r="N305" i="44"/>
  <c r="R305" i="44" s="1"/>
  <c r="N311" i="43"/>
  <c r="R311" i="43" s="1"/>
  <c r="N911" i="44"/>
  <c r="R911" i="44" s="1"/>
  <c r="N917" i="43"/>
  <c r="R917" i="43" s="1"/>
  <c r="P577" i="44"/>
  <c r="T577" i="44" s="1"/>
  <c r="P583" i="43"/>
  <c r="T583" i="43" s="1"/>
  <c r="P272" i="43"/>
  <c r="T272" i="43" s="1"/>
  <c r="P266" i="44"/>
  <c r="T266" i="44" s="1"/>
  <c r="N624" i="43"/>
  <c r="R624" i="43" s="1"/>
  <c r="N618" i="44"/>
  <c r="R618" i="44" s="1"/>
  <c r="P307" i="44"/>
  <c r="T307" i="44" s="1"/>
  <c r="P313" i="43"/>
  <c r="T313" i="43" s="1"/>
  <c r="P913" i="44"/>
  <c r="T913" i="44" s="1"/>
  <c r="P919" i="43"/>
  <c r="T919" i="43" s="1"/>
  <c r="N952" i="43"/>
  <c r="R952" i="43" s="1"/>
  <c r="N946" i="44"/>
  <c r="R946" i="44" s="1"/>
  <c r="P752" i="43"/>
  <c r="T752" i="43" s="1"/>
  <c r="P746" i="44"/>
  <c r="T746" i="44" s="1"/>
  <c r="N269" i="44"/>
  <c r="R269" i="44" s="1"/>
  <c r="N275" i="43"/>
  <c r="R275" i="43" s="1"/>
  <c r="N921" i="43"/>
  <c r="R921" i="43" s="1"/>
  <c r="N915" i="44"/>
  <c r="R915" i="44" s="1"/>
  <c r="P315" i="43"/>
  <c r="T315" i="43" s="1"/>
  <c r="P309" i="44"/>
  <c r="T309" i="44" s="1"/>
  <c r="N621" i="44"/>
  <c r="R621" i="44" s="1"/>
  <c r="N627" i="43"/>
  <c r="R627" i="43" s="1"/>
  <c r="P286" i="43"/>
  <c r="T286" i="43" s="1"/>
  <c r="P280" i="44"/>
  <c r="T280" i="44" s="1"/>
  <c r="P509" i="44"/>
  <c r="T509" i="44" s="1"/>
  <c r="P515" i="43"/>
  <c r="T515" i="43" s="1"/>
  <c r="N623" i="44"/>
  <c r="R623" i="44" s="1"/>
  <c r="N629" i="43"/>
  <c r="R629" i="43" s="1"/>
  <c r="P272" i="44"/>
  <c r="T272" i="44" s="1"/>
  <c r="P278" i="43"/>
  <c r="T278" i="43" s="1"/>
  <c r="N454" i="43"/>
  <c r="R454" i="43" s="1"/>
  <c r="N448" i="44"/>
  <c r="R448" i="44" s="1"/>
  <c r="P406" i="44"/>
  <c r="T406" i="44" s="1"/>
  <c r="P412" i="43"/>
  <c r="T412" i="43" s="1"/>
  <c r="N235" i="43"/>
  <c r="R235" i="43" s="1"/>
  <c r="N229" i="44"/>
  <c r="R229" i="44" s="1"/>
  <c r="N275" i="44"/>
  <c r="R275" i="44" s="1"/>
  <c r="N281" i="43"/>
  <c r="R281" i="43" s="1"/>
  <c r="N315" i="44"/>
  <c r="R315" i="44" s="1"/>
  <c r="N321" i="43"/>
  <c r="R321" i="43" s="1"/>
  <c r="N331" i="44"/>
  <c r="R331" i="44" s="1"/>
  <c r="N337" i="43"/>
  <c r="R337" i="43" s="1"/>
  <c r="N414" i="43"/>
  <c r="R414" i="43" s="1"/>
  <c r="N408" i="44"/>
  <c r="R408" i="44" s="1"/>
  <c r="N450" i="44"/>
  <c r="R450" i="44" s="1"/>
  <c r="N456" i="43"/>
  <c r="R456" i="43" s="1"/>
  <c r="N577" i="43"/>
  <c r="R577" i="43" s="1"/>
  <c r="N571" i="44"/>
  <c r="R571" i="44" s="1"/>
  <c r="N610" i="44"/>
  <c r="R610" i="44" s="1"/>
  <c r="N616" i="43"/>
  <c r="R616" i="43" s="1"/>
  <c r="N579" i="44"/>
  <c r="R579" i="44" s="1"/>
  <c r="N585" i="43"/>
  <c r="R585" i="43" s="1"/>
  <c r="N782" i="43"/>
  <c r="R782" i="43" s="1"/>
  <c r="N776" i="44"/>
  <c r="R776" i="44" s="1"/>
  <c r="N921" i="44"/>
  <c r="R921" i="44" s="1"/>
  <c r="N927" i="43"/>
  <c r="R927" i="43" s="1"/>
  <c r="N745" i="44"/>
  <c r="R745" i="44" s="1"/>
  <c r="N751" i="43"/>
  <c r="R751" i="43" s="1"/>
  <c r="P442" i="44"/>
  <c r="T442" i="44" s="1"/>
  <c r="P448" i="43"/>
  <c r="T448" i="43" s="1"/>
  <c r="N619" i="44"/>
  <c r="R619" i="44" s="1"/>
  <c r="N625" i="43"/>
  <c r="R625" i="43" s="1"/>
  <c r="P443" i="44"/>
  <c r="T443" i="44" s="1"/>
  <c r="P449" i="43"/>
  <c r="T449" i="43" s="1"/>
  <c r="N604" i="44"/>
  <c r="R604" i="44" s="1"/>
  <c r="N610" i="43"/>
  <c r="R610" i="43" s="1"/>
  <c r="P604" i="44"/>
  <c r="T604" i="44" s="1"/>
  <c r="P610" i="43"/>
  <c r="T610" i="43" s="1"/>
  <c r="P921" i="43"/>
  <c r="T921" i="43" s="1"/>
  <c r="P915" i="44"/>
  <c r="T915" i="44" s="1"/>
  <c r="N916" i="44"/>
  <c r="R916" i="44" s="1"/>
  <c r="N922" i="43"/>
  <c r="R922" i="43" s="1"/>
  <c r="P749" i="44"/>
  <c r="T749" i="44" s="1"/>
  <c r="P755" i="43"/>
  <c r="T755" i="43" s="1"/>
  <c r="N568" i="44"/>
  <c r="R568" i="44" s="1"/>
  <c r="N574" i="43"/>
  <c r="R574" i="43" s="1"/>
  <c r="P317" i="44"/>
  <c r="T317" i="44" s="1"/>
  <c r="P323" i="43"/>
  <c r="T323" i="43" s="1"/>
  <c r="N608" i="44"/>
  <c r="R608" i="44" s="1"/>
  <c r="N614" i="43"/>
  <c r="R614" i="43" s="1"/>
  <c r="P279" i="43"/>
  <c r="T279" i="43" s="1"/>
  <c r="P273" i="44"/>
  <c r="T273" i="44" s="1"/>
  <c r="P235" i="43"/>
  <c r="T235" i="43" s="1"/>
  <c r="P229" i="44"/>
  <c r="T229" i="44" s="1"/>
  <c r="P275" i="44"/>
  <c r="T275" i="44" s="1"/>
  <c r="P281" i="43"/>
  <c r="T281" i="43" s="1"/>
  <c r="P315" i="44"/>
  <c r="T315" i="44" s="1"/>
  <c r="P321" i="43"/>
  <c r="T321" i="43" s="1"/>
  <c r="P331" i="44"/>
  <c r="T331" i="44" s="1"/>
  <c r="P337" i="43"/>
  <c r="T337" i="43" s="1"/>
  <c r="P408" i="44"/>
  <c r="T408" i="44" s="1"/>
  <c r="P414" i="43"/>
  <c r="T414" i="43" s="1"/>
  <c r="P450" i="44"/>
  <c r="T450" i="44" s="1"/>
  <c r="P456" i="43"/>
  <c r="T456" i="43" s="1"/>
  <c r="P577" i="43"/>
  <c r="T577" i="43" s="1"/>
  <c r="P571" i="44"/>
  <c r="T571" i="44" s="1"/>
  <c r="P610" i="44"/>
  <c r="T610" i="44" s="1"/>
  <c r="P616" i="43"/>
  <c r="T616" i="43" s="1"/>
  <c r="P579" i="44"/>
  <c r="T579" i="44" s="1"/>
  <c r="P585" i="43"/>
  <c r="T585" i="43" s="1"/>
  <c r="P782" i="43"/>
  <c r="T782" i="43" s="1"/>
  <c r="P776" i="44"/>
  <c r="T776" i="44" s="1"/>
  <c r="P921" i="44"/>
  <c r="T921" i="44" s="1"/>
  <c r="P927" i="43"/>
  <c r="T927" i="43" s="1"/>
  <c r="N453" i="44"/>
  <c r="R453" i="44" s="1"/>
  <c r="N459" i="43"/>
  <c r="R459" i="43" s="1"/>
  <c r="P746" i="43"/>
  <c r="T746" i="43" s="1"/>
  <c r="P740" i="44"/>
  <c r="T740" i="44" s="1"/>
  <c r="N575" i="44"/>
  <c r="R575" i="44" s="1"/>
  <c r="N581" i="43"/>
  <c r="R581" i="43" s="1"/>
  <c r="P233" i="44"/>
  <c r="T233" i="44" s="1"/>
  <c r="P239" i="43"/>
  <c r="T239" i="43" s="1"/>
  <c r="N643" i="43"/>
  <c r="R643" i="43" s="1"/>
  <c r="N637" i="44"/>
  <c r="R637" i="44" s="1"/>
  <c r="N615" i="44"/>
  <c r="R615" i="44" s="1"/>
  <c r="N621" i="43"/>
  <c r="R621" i="43" s="1"/>
  <c r="P445" i="43"/>
  <c r="T445" i="43" s="1"/>
  <c r="P439" i="44"/>
  <c r="T439" i="44" s="1"/>
  <c r="N743" i="44"/>
  <c r="R743" i="44" s="1"/>
  <c r="N749" i="43"/>
  <c r="R749" i="43" s="1"/>
  <c r="P337" i="44"/>
  <c r="T337" i="44" s="1"/>
  <c r="P343" i="43"/>
  <c r="T343" i="43" s="1"/>
  <c r="P578" i="44"/>
  <c r="T578" i="44" s="1"/>
  <c r="P584" i="43"/>
  <c r="T584" i="43" s="1"/>
  <c r="N511" i="43"/>
  <c r="R511" i="43" s="1"/>
  <c r="N505" i="44"/>
  <c r="R505" i="44" s="1"/>
  <c r="P602" i="44"/>
  <c r="T602" i="44" s="1"/>
  <c r="P608" i="43"/>
  <c r="T608" i="43" s="1"/>
  <c r="N308" i="44"/>
  <c r="R308" i="44" s="1"/>
  <c r="N314" i="43"/>
  <c r="R314" i="43" s="1"/>
  <c r="N920" i="43"/>
  <c r="R920" i="43" s="1"/>
  <c r="N914" i="44"/>
  <c r="R914" i="44" s="1"/>
  <c r="P314" i="43"/>
  <c r="T314" i="43" s="1"/>
  <c r="P308" i="44"/>
  <c r="T308" i="44" s="1"/>
  <c r="N747" i="44"/>
  <c r="R747" i="44" s="1"/>
  <c r="N753" i="43"/>
  <c r="R753" i="43" s="1"/>
  <c r="P444" i="44"/>
  <c r="T444" i="44" s="1"/>
  <c r="P450" i="43"/>
  <c r="T450" i="43" s="1"/>
  <c r="N508" i="44"/>
  <c r="R508" i="44" s="1"/>
  <c r="N514" i="43"/>
  <c r="R514" i="43" s="1"/>
  <c r="P276" i="43"/>
  <c r="T276" i="43" s="1"/>
  <c r="P270" i="44"/>
  <c r="T270" i="44" s="1"/>
  <c r="P622" i="44"/>
  <c r="T622" i="44" s="1"/>
  <c r="P628" i="43"/>
  <c r="T628" i="43" s="1"/>
  <c r="N447" i="44"/>
  <c r="R447" i="44" s="1"/>
  <c r="N453" i="43"/>
  <c r="R453" i="43" s="1"/>
  <c r="P453" i="43"/>
  <c r="T453" i="43" s="1"/>
  <c r="P447" i="44"/>
  <c r="T447" i="44" s="1"/>
  <c r="N313" i="44"/>
  <c r="R313" i="44" s="1"/>
  <c r="N319" i="43"/>
  <c r="R319" i="43" s="1"/>
  <c r="N236" i="43"/>
  <c r="R236" i="43" s="1"/>
  <c r="N230" i="44"/>
  <c r="R230" i="44" s="1"/>
  <c r="N300" i="44"/>
  <c r="R300" i="44" s="1"/>
  <c r="N306" i="43"/>
  <c r="R306" i="43" s="1"/>
  <c r="N316" i="44"/>
  <c r="R316" i="44" s="1"/>
  <c r="N322" i="43"/>
  <c r="R322" i="43" s="1"/>
  <c r="N332" i="44"/>
  <c r="R332" i="44" s="1"/>
  <c r="N338" i="43"/>
  <c r="R338" i="43" s="1"/>
  <c r="N435" i="44"/>
  <c r="R435" i="44" s="1"/>
  <c r="N441" i="43"/>
  <c r="R441" i="43" s="1"/>
  <c r="N451" i="44"/>
  <c r="R451" i="44" s="1"/>
  <c r="N457" i="43"/>
  <c r="R457" i="43" s="1"/>
  <c r="N572" i="44"/>
  <c r="R572" i="44" s="1"/>
  <c r="N578" i="43"/>
  <c r="R578" i="43" s="1"/>
  <c r="N611" i="44"/>
  <c r="R611" i="44" s="1"/>
  <c r="N617" i="43"/>
  <c r="R617" i="43" s="1"/>
  <c r="N744" i="43"/>
  <c r="R744" i="43" s="1"/>
  <c r="N738" i="44"/>
  <c r="R738" i="44" s="1"/>
  <c r="N783" i="43"/>
  <c r="R783" i="43" s="1"/>
  <c r="N777" i="44"/>
  <c r="R777" i="44" s="1"/>
  <c r="N922" i="44"/>
  <c r="R922" i="44" s="1"/>
  <c r="N928" i="43"/>
  <c r="R928" i="43" s="1"/>
  <c r="N574" i="44"/>
  <c r="R574" i="44" s="1"/>
  <c r="N580" i="43"/>
  <c r="R580" i="43" s="1"/>
  <c r="P574" i="44"/>
  <c r="T574" i="44" s="1"/>
  <c r="P580" i="43"/>
  <c r="T580" i="43" s="1"/>
  <c r="N233" i="44"/>
  <c r="R233" i="44" s="1"/>
  <c r="N239" i="43"/>
  <c r="R239" i="43" s="1"/>
  <c r="P642" i="43"/>
  <c r="T642" i="43" s="1"/>
  <c r="P636" i="44"/>
  <c r="T636" i="44" s="1"/>
  <c r="P575" i="44"/>
  <c r="T575" i="44" s="1"/>
  <c r="P581" i="43"/>
  <c r="T581" i="43" s="1"/>
  <c r="N787" i="43"/>
  <c r="R787" i="43" s="1"/>
  <c r="N781" i="44"/>
  <c r="R781" i="44" s="1"/>
  <c r="P576" i="44"/>
  <c r="T576" i="44" s="1"/>
  <c r="P582" i="43"/>
  <c r="T582" i="43" s="1"/>
  <c r="P638" i="44"/>
  <c r="T638" i="44" s="1"/>
  <c r="P644" i="43"/>
  <c r="T644" i="43" s="1"/>
  <c r="P440" i="44"/>
  <c r="T440" i="44" s="1"/>
  <c r="P446" i="43"/>
  <c r="T446" i="43" s="1"/>
  <c r="P504" i="44"/>
  <c r="T504" i="44" s="1"/>
  <c r="P510" i="43"/>
  <c r="T510" i="43" s="1"/>
  <c r="N267" i="44"/>
  <c r="R267" i="44" s="1"/>
  <c r="N273" i="43"/>
  <c r="R273" i="43" s="1"/>
  <c r="N919" i="43"/>
  <c r="R919" i="43" s="1"/>
  <c r="N913" i="44"/>
  <c r="R913" i="44" s="1"/>
  <c r="P267" i="44"/>
  <c r="T267" i="44" s="1"/>
  <c r="P273" i="43"/>
  <c r="T273" i="43" s="1"/>
  <c r="N746" i="44"/>
  <c r="R746" i="44" s="1"/>
  <c r="N752" i="43"/>
  <c r="R752" i="43" s="1"/>
  <c r="P506" i="44"/>
  <c r="T506" i="44" s="1"/>
  <c r="P512" i="43"/>
  <c r="T512" i="43" s="1"/>
  <c r="N620" i="44"/>
  <c r="R620" i="44" s="1"/>
  <c r="N626" i="43"/>
  <c r="R626" i="43" s="1"/>
  <c r="P507" i="44"/>
  <c r="T507" i="44" s="1"/>
  <c r="P513" i="43"/>
  <c r="T513" i="43" s="1"/>
  <c r="N445" i="44"/>
  <c r="R445" i="44" s="1"/>
  <c r="N451" i="43"/>
  <c r="R451" i="43" s="1"/>
  <c r="P409" i="43"/>
  <c r="T409" i="43" s="1"/>
  <c r="P403" i="44"/>
  <c r="T403" i="44" s="1"/>
  <c r="P446" i="44"/>
  <c r="T446" i="44" s="1"/>
  <c r="P452" i="43"/>
  <c r="T452" i="43" s="1"/>
  <c r="N272" i="44"/>
  <c r="R272" i="44" s="1"/>
  <c r="N278" i="43"/>
  <c r="R278" i="43" s="1"/>
  <c r="N405" i="44"/>
  <c r="R405" i="44" s="1"/>
  <c r="N411" i="43"/>
  <c r="R411" i="43" s="1"/>
  <c r="P312" i="44"/>
  <c r="T312" i="44" s="1"/>
  <c r="P318" i="43"/>
  <c r="T318" i="43" s="1"/>
  <c r="N630" i="43"/>
  <c r="R630" i="43" s="1"/>
  <c r="N624" i="44"/>
  <c r="R624" i="44" s="1"/>
  <c r="P230" i="44"/>
  <c r="T230" i="44" s="1"/>
  <c r="P236" i="43"/>
  <c r="T236" i="43" s="1"/>
  <c r="P300" i="44"/>
  <c r="T300" i="44" s="1"/>
  <c r="P306" i="43"/>
  <c r="T306" i="43" s="1"/>
  <c r="P316" i="44"/>
  <c r="T316" i="44" s="1"/>
  <c r="P322" i="43"/>
  <c r="T322" i="43" s="1"/>
  <c r="P338" i="43"/>
  <c r="T338" i="43" s="1"/>
  <c r="P332" i="44"/>
  <c r="T332" i="44" s="1"/>
  <c r="P435" i="44"/>
  <c r="T435" i="44" s="1"/>
  <c r="P441" i="43"/>
  <c r="T441" i="43" s="1"/>
  <c r="P451" i="44"/>
  <c r="T451" i="44" s="1"/>
  <c r="P457" i="43"/>
  <c r="T457" i="43" s="1"/>
  <c r="P572" i="44"/>
  <c r="T572" i="44" s="1"/>
  <c r="P578" i="43"/>
  <c r="T578" i="43" s="1"/>
  <c r="P611" i="44"/>
  <c r="T611" i="44" s="1"/>
  <c r="P617" i="43"/>
  <c r="T617" i="43" s="1"/>
  <c r="P738" i="44"/>
  <c r="T738" i="44" s="1"/>
  <c r="P744" i="43"/>
  <c r="T744" i="43" s="1"/>
  <c r="P783" i="43"/>
  <c r="T783" i="43" s="1"/>
  <c r="P777" i="44"/>
  <c r="T777" i="44" s="1"/>
  <c r="P922" i="44"/>
  <c r="T922" i="44" s="1"/>
  <c r="P928" i="43"/>
  <c r="T928" i="43" s="1"/>
  <c r="N391" i="13"/>
  <c r="N736" i="13"/>
  <c r="P433" i="13"/>
  <c r="P609" i="13"/>
  <c r="N269" i="13"/>
  <c r="N737" i="13"/>
  <c r="P434" i="13"/>
  <c r="P610" i="13"/>
  <c r="N260" i="13"/>
  <c r="N498" i="13"/>
  <c r="N940" i="13"/>
  <c r="P486" i="36"/>
  <c r="P435" i="13"/>
  <c r="N626" i="13"/>
  <c r="N557" i="13"/>
  <c r="P301" i="13"/>
  <c r="P557" i="13"/>
  <c r="P941" i="13"/>
  <c r="N307" i="13"/>
  <c r="N613" i="13"/>
  <c r="P262" i="13"/>
  <c r="P558" i="13"/>
  <c r="P942" i="13"/>
  <c r="N319" i="13"/>
  <c r="N598" i="13"/>
  <c r="P263" i="13"/>
  <c r="P559" i="13"/>
  <c r="P764" i="13"/>
  <c r="P943" i="13"/>
  <c r="N968" i="13"/>
  <c r="P503" i="36"/>
  <c r="N218" i="13"/>
  <c r="N264" i="13"/>
  <c r="N304" i="13"/>
  <c r="N320" i="13"/>
  <c r="N397" i="13"/>
  <c r="N439" i="13"/>
  <c r="N560" i="13"/>
  <c r="N599" i="13"/>
  <c r="N568" i="13"/>
  <c r="N765" i="13"/>
  <c r="N944" i="13"/>
  <c r="P490" i="36"/>
  <c r="P968" i="13"/>
  <c r="P218" i="13"/>
  <c r="P264" i="13"/>
  <c r="P304" i="13"/>
  <c r="P320" i="13"/>
  <c r="P397" i="13"/>
  <c r="P439" i="13"/>
  <c r="P560" i="13"/>
  <c r="P599" i="13"/>
  <c r="P568" i="13"/>
  <c r="P765" i="13"/>
  <c r="P944" i="13"/>
  <c r="N969" i="13"/>
  <c r="P504" i="36"/>
  <c r="N219" i="13"/>
  <c r="N289" i="13"/>
  <c r="N305" i="13"/>
  <c r="N321" i="13"/>
  <c r="N424" i="13"/>
  <c r="N440" i="13"/>
  <c r="N561" i="13"/>
  <c r="N600" i="13"/>
  <c r="N727" i="13"/>
  <c r="N766" i="13"/>
  <c r="N945" i="13"/>
  <c r="P491" i="36"/>
  <c r="N268" i="13"/>
  <c r="N496" i="13"/>
  <c r="N938" i="13"/>
  <c r="P484" i="36"/>
  <c r="P298" i="13"/>
  <c r="P593" i="13"/>
  <c r="N259" i="13"/>
  <c r="N392" i="13"/>
  <c r="N594" i="13"/>
  <c r="P269" i="13"/>
  <c r="P594" i="13"/>
  <c r="P939" i="13"/>
  <c r="N393" i="13"/>
  <c r="N611" i="13"/>
  <c r="P300" i="13"/>
  <c r="P738" i="13"/>
  <c r="N394" i="13"/>
  <c r="N612" i="13"/>
  <c r="P612" i="13"/>
  <c r="N262" i="13"/>
  <c r="N558" i="13"/>
  <c r="N942" i="13"/>
  <c r="P488" i="36"/>
  <c r="P307" i="13"/>
  <c r="P613" i="13"/>
  <c r="N263" i="13"/>
  <c r="N764" i="13"/>
  <c r="P217" i="13"/>
  <c r="P319" i="13"/>
  <c r="P327" i="13"/>
  <c r="P305" i="13"/>
  <c r="P600" i="13"/>
  <c r="N970" i="13"/>
  <c r="P505" i="36"/>
  <c r="N322" i="13"/>
  <c r="N728" i="13"/>
  <c r="P220" i="13"/>
  <c r="P322" i="13"/>
  <c r="P601" i="13"/>
  <c r="N221" i="13"/>
  <c r="N426" i="13"/>
  <c r="N768" i="13"/>
  <c r="P323" i="13"/>
  <c r="P768" i="13"/>
  <c r="N427" i="13"/>
  <c r="N603" i="13"/>
  <c r="P292" i="13"/>
  <c r="P224" i="13"/>
  <c r="P769" i="13"/>
  <c r="N325" i="13"/>
  <c r="N731" i="13"/>
  <c r="P491" i="13"/>
  <c r="P565" i="13"/>
  <c r="N254" i="13"/>
  <c r="N226" i="13"/>
  <c r="N732" i="13"/>
  <c r="P254" i="13"/>
  <c r="P492" i="13"/>
  <c r="P934" i="13"/>
  <c r="N295" i="13"/>
  <c r="N567" i="13"/>
  <c r="P265" i="13"/>
  <c r="P567" i="13"/>
  <c r="N256" i="13"/>
  <c r="N296" i="13"/>
  <c r="N266" i="13"/>
  <c r="N389" i="13"/>
  <c r="N431" i="13"/>
  <c r="N494" i="13"/>
  <c r="N591" i="13"/>
  <c r="N607" i="13"/>
  <c r="N734" i="13"/>
  <c r="N936" i="13"/>
  <c r="P482" i="36"/>
  <c r="N300" i="13"/>
  <c r="N738" i="13"/>
  <c r="P270" i="13"/>
  <c r="P595" i="13"/>
  <c r="N261" i="13"/>
  <c r="N596" i="13"/>
  <c r="N941" i="13"/>
  <c r="P487" i="36"/>
  <c r="P436" i="13"/>
  <c r="N627" i="13"/>
  <c r="N437" i="13"/>
  <c r="P627" i="13"/>
  <c r="P437" i="13"/>
  <c r="N628" i="13"/>
  <c r="N396" i="13"/>
  <c r="P628" i="13"/>
  <c r="P598" i="13"/>
  <c r="P219" i="13"/>
  <c r="P424" i="13"/>
  <c r="P766" i="13"/>
  <c r="N220" i="13"/>
  <c r="N441" i="13"/>
  <c r="N767" i="13"/>
  <c r="P328" i="13"/>
  <c r="P728" i="13"/>
  <c r="N329" i="13"/>
  <c r="N563" i="13"/>
  <c r="P329" i="13"/>
  <c r="P602" i="13"/>
  <c r="N292" i="13"/>
  <c r="N224" i="13"/>
  <c r="N769" i="13"/>
  <c r="P490" i="13"/>
  <c r="P564" i="13"/>
  <c r="N293" i="13"/>
  <c r="N225" i="13"/>
  <c r="N770" i="13"/>
  <c r="P428" i="13"/>
  <c r="P604" i="13"/>
  <c r="N429" i="13"/>
  <c r="N566" i="13"/>
  <c r="P294" i="13"/>
  <c r="P226" i="13"/>
  <c r="P605" i="13"/>
  <c r="N255" i="13"/>
  <c r="N493" i="13"/>
  <c r="N935" i="13"/>
  <c r="P481" i="36"/>
  <c r="P430" i="13"/>
  <c r="P606" i="13"/>
  <c r="P256" i="13"/>
  <c r="P296" i="13"/>
  <c r="P266" i="13"/>
  <c r="P389" i="13"/>
  <c r="P431" i="13"/>
  <c r="P494" i="13"/>
  <c r="P591" i="13"/>
  <c r="P607" i="13"/>
  <c r="P734" i="13"/>
  <c r="P936" i="13"/>
  <c r="N258" i="13"/>
  <c r="N433" i="13"/>
  <c r="N609" i="13"/>
  <c r="P391" i="13"/>
  <c r="P736" i="13"/>
  <c r="N299" i="13"/>
  <c r="N497" i="13"/>
  <c r="N939" i="13"/>
  <c r="P485" i="36"/>
  <c r="P299" i="13"/>
  <c r="P497" i="13"/>
  <c r="N625" i="13"/>
  <c r="N270" i="13"/>
  <c r="N595" i="13"/>
  <c r="P260" i="13"/>
  <c r="P498" i="13"/>
  <c r="P940" i="13"/>
  <c r="N306" i="13"/>
  <c r="N762" i="13"/>
  <c r="P261" i="13"/>
  <c r="P394" i="13"/>
  <c r="P596" i="13"/>
  <c r="N395" i="13"/>
  <c r="N597" i="13"/>
  <c r="P395" i="13"/>
  <c r="P597" i="13"/>
  <c r="N303" i="13"/>
  <c r="N559" i="13"/>
  <c r="N943" i="13"/>
  <c r="P489" i="36"/>
  <c r="P396" i="13"/>
  <c r="P969" i="13"/>
  <c r="P321" i="13"/>
  <c r="P561" i="13"/>
  <c r="P945" i="13"/>
  <c r="N328" i="13"/>
  <c r="N562" i="13"/>
  <c r="P970" i="13"/>
  <c r="P441" i="13"/>
  <c r="P767" i="13"/>
  <c r="N323" i="13"/>
  <c r="N729" i="13"/>
  <c r="P221" i="13"/>
  <c r="P442" i="13"/>
  <c r="P563" i="13"/>
  <c r="N222" i="13"/>
  <c r="N324" i="13"/>
  <c r="N730" i="13"/>
  <c r="P427" i="13"/>
  <c r="P603" i="13"/>
  <c r="N223" i="13"/>
  <c r="N428" i="13"/>
  <c r="N604" i="13"/>
  <c r="P293" i="13"/>
  <c r="P225" i="13"/>
  <c r="P770" i="13"/>
  <c r="N326" i="13"/>
  <c r="N605" i="13"/>
  <c r="P429" i="13"/>
  <c r="P566" i="13"/>
  <c r="N430" i="13"/>
  <c r="N606" i="13"/>
  <c r="P295" i="13"/>
  <c r="P733" i="13"/>
  <c r="N257" i="13"/>
  <c r="N297" i="13"/>
  <c r="N267" i="13"/>
  <c r="N390" i="13"/>
  <c r="N432" i="13"/>
  <c r="N495" i="13"/>
  <c r="N592" i="13"/>
  <c r="N608" i="13"/>
  <c r="N735" i="13"/>
  <c r="N937" i="13"/>
  <c r="P483" i="36"/>
  <c r="N298" i="13"/>
  <c r="N593" i="13"/>
  <c r="P258" i="13"/>
  <c r="P268" i="13"/>
  <c r="P496" i="13"/>
  <c r="P938" i="13"/>
  <c r="N434" i="13"/>
  <c r="N610" i="13"/>
  <c r="P259" i="13"/>
  <c r="P392" i="13"/>
  <c r="P737" i="13"/>
  <c r="N435" i="13"/>
  <c r="P625" i="13"/>
  <c r="P393" i="13"/>
  <c r="P611" i="13"/>
  <c r="N301" i="13"/>
  <c r="N436" i="13"/>
  <c r="P626" i="13"/>
  <c r="P306" i="13"/>
  <c r="P762" i="13"/>
  <c r="N302" i="13"/>
  <c r="N763" i="13"/>
  <c r="P302" i="13"/>
  <c r="P763" i="13"/>
  <c r="N217" i="13"/>
  <c r="N438" i="13"/>
  <c r="N327" i="13"/>
  <c r="P303" i="13"/>
  <c r="P438" i="13"/>
  <c r="P289" i="13"/>
  <c r="P440" i="13"/>
  <c r="P727" i="13"/>
  <c r="N290" i="13"/>
  <c r="N425" i="13"/>
  <c r="N601" i="13"/>
  <c r="P290" i="13"/>
  <c r="P425" i="13"/>
  <c r="P562" i="13"/>
  <c r="N291" i="13"/>
  <c r="N442" i="13"/>
  <c r="N602" i="13"/>
  <c r="P291" i="13"/>
  <c r="P426" i="13"/>
  <c r="P729" i="13"/>
  <c r="N490" i="13"/>
  <c r="N564" i="13"/>
  <c r="P222" i="13"/>
  <c r="P324" i="13"/>
  <c r="P730" i="13"/>
  <c r="N491" i="13"/>
  <c r="N565" i="13"/>
  <c r="P223" i="13"/>
  <c r="P325" i="13"/>
  <c r="P731" i="13"/>
  <c r="N294" i="13"/>
  <c r="N492" i="13"/>
  <c r="N934" i="13"/>
  <c r="P480" i="36"/>
  <c r="P326" i="13"/>
  <c r="P732" i="13"/>
  <c r="N265" i="13"/>
  <c r="N733" i="13"/>
  <c r="P255" i="13"/>
  <c r="P493" i="13"/>
  <c r="P935" i="13"/>
  <c r="P257" i="13"/>
  <c r="P297" i="13"/>
  <c r="P267" i="13"/>
  <c r="P390" i="13"/>
  <c r="P432" i="13"/>
  <c r="P495" i="13"/>
  <c r="P592" i="13"/>
  <c r="P608" i="13"/>
  <c r="P735" i="13"/>
  <c r="P937" i="13"/>
  <c r="P53" i="13"/>
  <c r="P157" i="13"/>
  <c r="P51" i="13"/>
  <c r="P54" i="13"/>
  <c r="N51" i="13"/>
  <c r="P42" i="36"/>
  <c r="N157" i="13"/>
  <c r="N54" i="13"/>
  <c r="P45" i="36"/>
  <c r="N52" i="13"/>
  <c r="P43" i="36"/>
  <c r="P52" i="13"/>
  <c r="N53" i="13"/>
  <c r="P44" i="36"/>
  <c r="S912" i="13"/>
  <c r="L143" i="11"/>
  <c r="S443" i="43" l="1"/>
  <c r="S436" i="44"/>
  <c r="S284" i="43"/>
  <c r="S278" i="44"/>
  <c r="S336" i="44"/>
  <c r="S437" i="44"/>
  <c r="S407" i="43"/>
  <c r="S342" i="43"/>
  <c r="S622" i="43"/>
  <c r="S750" i="43"/>
  <c r="S317" i="44"/>
  <c r="S346" i="43"/>
  <c r="S448" i="43"/>
  <c r="S339" i="44"/>
  <c r="S241" i="43"/>
  <c r="S945" i="44"/>
  <c r="S303" i="44"/>
  <c r="S340" i="44"/>
  <c r="S509" i="44"/>
  <c r="S307" i="44"/>
  <c r="S233" i="44"/>
  <c r="S613" i="44"/>
  <c r="S454" i="43"/>
  <c r="S442" i="43"/>
  <c r="S339" i="43"/>
  <c r="S341" i="43"/>
  <c r="S918" i="43"/>
  <c r="S338" i="43"/>
  <c r="S237" i="43"/>
  <c r="S579" i="43"/>
  <c r="S343" i="43"/>
  <c r="S285" i="43"/>
  <c r="S408" i="43"/>
  <c r="S238" i="43"/>
  <c r="S609" i="43"/>
  <c r="S313" i="43"/>
  <c r="S612" i="43"/>
  <c r="S314" i="43"/>
  <c r="S754" i="43"/>
  <c r="S748" i="44"/>
  <c r="S581" i="43"/>
  <c r="S453" i="43"/>
  <c r="S779" i="44"/>
  <c r="S506" i="44"/>
  <c r="S913" i="44"/>
  <c r="S322" i="43"/>
  <c r="S583" i="43"/>
  <c r="S316" i="44"/>
  <c r="S751" i="43"/>
  <c r="S301" i="44"/>
  <c r="S414" i="43"/>
  <c r="S408" i="44"/>
  <c r="S514" i="43"/>
  <c r="S946" i="44"/>
  <c r="S331" i="44"/>
  <c r="S741" i="44"/>
  <c r="S574" i="43"/>
  <c r="S642" i="43"/>
  <c r="S928" i="43"/>
  <c r="S922" i="44"/>
  <c r="S409" i="43"/>
  <c r="S926" i="43"/>
  <c r="S337" i="43"/>
  <c r="S574" i="44"/>
  <c r="S584" i="43"/>
  <c r="S629" i="43"/>
  <c r="S627" i="43"/>
  <c r="S321" i="43"/>
  <c r="S923" i="43"/>
  <c r="S452" i="43"/>
  <c r="S281" i="43"/>
  <c r="S509" i="43"/>
  <c r="S624" i="43"/>
  <c r="S513" i="43"/>
  <c r="S410" i="43"/>
  <c r="S276" i="43"/>
  <c r="S235" i="43"/>
  <c r="S279" i="43"/>
  <c r="S315" i="43"/>
  <c r="S610" i="43"/>
  <c r="S953" i="43"/>
  <c r="S450" i="43"/>
  <c r="S755" i="43"/>
  <c r="S455" i="43"/>
  <c r="S441" i="43"/>
  <c r="S577" i="44"/>
  <c r="S442" i="44"/>
  <c r="S912" i="44"/>
  <c r="S228" i="44"/>
  <c r="S739" i="44"/>
  <c r="S603" i="44"/>
  <c r="S578" i="44"/>
  <c r="S332" i="44"/>
  <c r="S308" i="44"/>
  <c r="S618" i="44"/>
  <c r="S337" i="44"/>
  <c r="S604" i="44"/>
  <c r="S575" i="44"/>
  <c r="S315" i="44"/>
  <c r="S236" i="44"/>
  <c r="S446" i="44"/>
  <c r="S275" i="44"/>
  <c r="S280" i="44"/>
  <c r="S503" i="44"/>
  <c r="S234" i="44"/>
  <c r="S617" i="44"/>
  <c r="S606" i="44"/>
  <c r="S273" i="44"/>
  <c r="S309" i="44"/>
  <c r="S947" i="44"/>
  <c r="S740" i="44"/>
  <c r="S451" i="44"/>
  <c r="S444" i="44"/>
  <c r="S507" i="44"/>
  <c r="S610" i="44"/>
  <c r="S435" i="44"/>
  <c r="S267" i="44"/>
  <c r="S623" i="44"/>
  <c r="S334" i="44"/>
  <c r="S340" i="43"/>
  <c r="S302" i="44"/>
  <c r="S345" i="43"/>
  <c r="S738" i="44"/>
  <c r="S286" i="43"/>
  <c r="S643" i="43"/>
  <c r="S917" i="44"/>
  <c r="S576" i="44"/>
  <c r="S617" i="43"/>
  <c r="S628" i="43"/>
  <c r="S508" i="43"/>
  <c r="S275" i="43"/>
  <c r="S611" i="43"/>
  <c r="S786" i="43"/>
  <c r="S619" i="44"/>
  <c r="S407" i="44"/>
  <c r="S615" i="44"/>
  <c r="S921" i="44"/>
  <c r="S237" i="44"/>
  <c r="S744" i="43"/>
  <c r="S776" i="44"/>
  <c r="S611" i="44"/>
  <c r="S622" i="44"/>
  <c r="S502" i="44"/>
  <c r="S269" i="44"/>
  <c r="S304" i="44"/>
  <c r="S605" i="44"/>
  <c r="S780" i="44"/>
  <c r="S578" i="43"/>
  <c r="S270" i="44"/>
  <c r="S323" i="43"/>
  <c r="S459" i="43"/>
  <c r="S240" i="43"/>
  <c r="S623" i="43"/>
  <c r="S443" i="44"/>
  <c r="S636" i="44"/>
  <c r="S569" i="44"/>
  <c r="S453" i="44"/>
  <c r="S614" i="44"/>
  <c r="S457" i="43"/>
  <c r="S752" i="43"/>
  <c r="S952" i="43"/>
  <c r="S402" i="44"/>
  <c r="S607" i="44"/>
  <c r="S265" i="44"/>
  <c r="S273" i="43"/>
  <c r="S920" i="44"/>
  <c r="S644" i="43"/>
  <c r="S613" i="43"/>
  <c r="S274" i="43"/>
  <c r="O508" i="44"/>
  <c r="O514" i="43"/>
  <c r="O311" i="44"/>
  <c r="O317" i="43"/>
  <c r="O442" i="44"/>
  <c r="O448" i="43"/>
  <c r="S307" i="43"/>
  <c r="O437" i="44"/>
  <c r="O443" i="43"/>
  <c r="O570" i="44"/>
  <c r="O576" i="43"/>
  <c r="O738" i="44"/>
  <c r="O744" i="43"/>
  <c r="S412" i="43"/>
  <c r="S575" i="43"/>
  <c r="T506" i="43"/>
  <c r="S511" i="43"/>
  <c r="S618" i="43"/>
  <c r="O315" i="43"/>
  <c r="O309" i="44"/>
  <c r="O313" i="44"/>
  <c r="O319" i="43"/>
  <c r="O339" i="43"/>
  <c r="O333" i="44"/>
  <c r="O445" i="43"/>
  <c r="O439" i="44"/>
  <c r="O614" i="44"/>
  <c r="O620" i="43"/>
  <c r="S318" i="43"/>
  <c r="S582" i="43"/>
  <c r="O310" i="43"/>
  <c r="O304" i="44"/>
  <c r="O330" i="44"/>
  <c r="O336" i="43"/>
  <c r="O446" i="44"/>
  <c r="O452" i="43"/>
  <c r="O630" i="43"/>
  <c r="O624" i="44"/>
  <c r="O747" i="44"/>
  <c r="O753" i="43"/>
  <c r="S312" i="44"/>
  <c r="S450" i="44"/>
  <c r="S406" i="44"/>
  <c r="S625" i="43"/>
  <c r="S413" i="43"/>
  <c r="S501" i="44"/>
  <c r="T500" i="44"/>
  <c r="S505" i="44"/>
  <c r="S612" i="44"/>
  <c r="O306" i="44"/>
  <c r="O312" i="43"/>
  <c r="S449" i="43"/>
  <c r="S282" i="43"/>
  <c r="S458" i="43"/>
  <c r="S573" i="44"/>
  <c r="O639" i="44"/>
  <c r="O645" i="43"/>
  <c r="O308" i="43"/>
  <c r="O302" i="44"/>
  <c r="O408" i="44"/>
  <c r="O414" i="43"/>
  <c r="O503" i="44"/>
  <c r="O509" i="43"/>
  <c r="O607" i="44"/>
  <c r="O613" i="43"/>
  <c r="O925" i="43"/>
  <c r="O919" i="44"/>
  <c r="S951" i="43"/>
  <c r="S276" i="44"/>
  <c r="S452" i="44"/>
  <c r="O52" i="43"/>
  <c r="O346" i="43"/>
  <c r="O340" i="44"/>
  <c r="O404" i="44"/>
  <c r="O410" i="43"/>
  <c r="O510" i="43"/>
  <c r="O504" i="44"/>
  <c r="O620" i="44"/>
  <c r="O626" i="43"/>
  <c r="O921" i="44"/>
  <c r="O927" i="43"/>
  <c r="S777" i="44"/>
  <c r="S580" i="43"/>
  <c r="S242" i="43"/>
  <c r="S280" i="43"/>
  <c r="S312" i="43"/>
  <c r="S324" i="43"/>
  <c r="S311" i="43"/>
  <c r="S317" i="43"/>
  <c r="S243" i="43"/>
  <c r="S787" i="43"/>
  <c r="S272" i="43"/>
  <c r="O277" i="44"/>
  <c r="O283" i="43"/>
  <c r="S278" i="43"/>
  <c r="O501" i="44"/>
  <c r="O507" i="43"/>
  <c r="S330" i="44"/>
  <c r="O911" i="44"/>
  <c r="O917" i="43"/>
  <c r="O230" i="44"/>
  <c r="O236" i="43"/>
  <c r="S239" i="43"/>
  <c r="S319" i="43"/>
  <c r="S277" i="43"/>
  <c r="S918" i="44"/>
  <c r="O506" i="44"/>
  <c r="O512" i="43"/>
  <c r="O918" i="44"/>
  <c r="O924" i="43"/>
  <c r="S336" i="43"/>
  <c r="O926" i="43"/>
  <c r="O920" i="44"/>
  <c r="S272" i="44"/>
  <c r="O407" i="44"/>
  <c r="O413" i="43"/>
  <c r="O636" i="44"/>
  <c r="O642" i="43"/>
  <c r="O54" i="43"/>
  <c r="O316" i="44"/>
  <c r="O322" i="43"/>
  <c r="O400" i="44"/>
  <c r="O406" i="43"/>
  <c r="O917" i="44"/>
  <c r="O923" i="43"/>
  <c r="O453" i="44"/>
  <c r="O459" i="43"/>
  <c r="O458" i="43"/>
  <c r="O452" i="44"/>
  <c r="O444" i="44"/>
  <c r="O450" i="43"/>
  <c r="O745" i="44"/>
  <c r="O751" i="43"/>
  <c r="S456" i="43"/>
  <c r="S785" i="43"/>
  <c r="S621" i="43"/>
  <c r="S271" i="43"/>
  <c r="O777" i="44"/>
  <c r="O783" i="43"/>
  <c r="O579" i="44"/>
  <c r="O585" i="43"/>
  <c r="R778" i="43"/>
  <c r="O277" i="43"/>
  <c r="O271" i="44"/>
  <c r="O436" i="44"/>
  <c r="O442" i="43"/>
  <c r="O448" i="44"/>
  <c r="O454" i="43"/>
  <c r="S749" i="44"/>
  <c r="S309" i="43"/>
  <c r="O507" i="44"/>
  <c r="O513" i="43"/>
  <c r="O577" i="44"/>
  <c r="O583" i="43"/>
  <c r="O232" i="44"/>
  <c r="O238" i="43"/>
  <c r="O301" i="44"/>
  <c r="O307" i="43"/>
  <c r="O951" i="43"/>
  <c r="O945" i="44"/>
  <c r="O616" i="43"/>
  <c r="O610" i="44"/>
  <c r="O617" i="44"/>
  <c r="O623" i="43"/>
  <c r="O575" i="44"/>
  <c r="O581" i="43"/>
  <c r="S277" i="44"/>
  <c r="S268" i="44"/>
  <c r="S568" i="44"/>
  <c r="S310" i="43"/>
  <c r="O509" i="44"/>
  <c r="O515" i="43"/>
  <c r="O339" i="44"/>
  <c r="O345" i="43"/>
  <c r="S773" i="44"/>
  <c r="T772" i="44"/>
  <c r="O450" i="44"/>
  <c r="O456" i="43"/>
  <c r="O609" i="44"/>
  <c r="O615" i="43"/>
  <c r="S922" i="43"/>
  <c r="S451" i="43"/>
  <c r="S310" i="44"/>
  <c r="S919" i="44"/>
  <c r="S444" i="43"/>
  <c r="S917" i="43"/>
  <c r="O408" i="43"/>
  <c r="O402" i="44"/>
  <c r="S445" i="43"/>
  <c r="S306" i="44"/>
  <c r="O405" i="44"/>
  <c r="O411" i="43"/>
  <c r="O280" i="43"/>
  <c r="O274" i="44"/>
  <c r="O780" i="44"/>
  <c r="O786" i="43"/>
  <c r="O268" i="44"/>
  <c r="O274" i="43"/>
  <c r="O338" i="43"/>
  <c r="O332" i="44"/>
  <c r="O401" i="44"/>
  <c r="O407" i="43"/>
  <c r="O616" i="44"/>
  <c r="O622" i="43"/>
  <c r="O776" i="44"/>
  <c r="O782" i="43"/>
  <c r="S782" i="43"/>
  <c r="S916" i="44"/>
  <c r="S445" i="44"/>
  <c r="S316" i="43"/>
  <c r="S925" i="43"/>
  <c r="S279" i="44"/>
  <c r="S438" i="44"/>
  <c r="O621" i="43"/>
  <c r="O615" i="44"/>
  <c r="S266" i="44"/>
  <c r="O311" i="43"/>
  <c r="O305" i="44"/>
  <c r="O279" i="43"/>
  <c r="O273" i="44"/>
  <c r="O746" i="43"/>
  <c r="O740" i="44"/>
  <c r="S927" i="43"/>
  <c r="S746" i="44"/>
  <c r="O271" i="43"/>
  <c r="O265" i="44"/>
  <c r="O779" i="44"/>
  <c r="O785" i="43"/>
  <c r="S306" i="43"/>
  <c r="S510" i="43"/>
  <c r="S585" i="43"/>
  <c r="S919" i="43"/>
  <c r="S781" i="43"/>
  <c r="S780" i="43"/>
  <c r="S743" i="44"/>
  <c r="S406" i="43"/>
  <c r="S287" i="43"/>
  <c r="S515" i="43"/>
  <c r="S914" i="44"/>
  <c r="O314" i="44"/>
  <c r="O320" i="43"/>
  <c r="O622" i="44"/>
  <c r="O628" i="43"/>
  <c r="O612" i="43"/>
  <c r="O606" i="44"/>
  <c r="O53" i="43"/>
  <c r="O51" i="43"/>
  <c r="O922" i="44"/>
  <c r="O928" i="43"/>
  <c r="O748" i="44"/>
  <c r="O754" i="43"/>
  <c r="O577" i="43"/>
  <c r="O571" i="44"/>
  <c r="S405" i="44"/>
  <c r="S620" i="43"/>
  <c r="O272" i="44"/>
  <c r="O278" i="43"/>
  <c r="S441" i="44"/>
  <c r="O237" i="44"/>
  <c r="O243" i="43"/>
  <c r="O574" i="44"/>
  <c r="O580" i="43"/>
  <c r="O745" i="43"/>
  <c r="O739" i="44"/>
  <c r="O573" i="44"/>
  <c r="O579" i="43"/>
  <c r="O284" i="43"/>
  <c r="O278" i="44"/>
  <c r="S572" i="44"/>
  <c r="O235" i="43"/>
  <c r="O229" i="44"/>
  <c r="O307" i="44"/>
  <c r="O313" i="43"/>
  <c r="O449" i="44"/>
  <c r="O455" i="43"/>
  <c r="O603" i="44"/>
  <c r="O609" i="43"/>
  <c r="O779" i="43"/>
  <c r="O773" i="44"/>
  <c r="S300" i="44"/>
  <c r="S504" i="44"/>
  <c r="S579" i="44"/>
  <c r="S775" i="44"/>
  <c r="S403" i="44"/>
  <c r="S774" i="44"/>
  <c r="S749" i="43"/>
  <c r="S400" i="44"/>
  <c r="S281" i="44"/>
  <c r="S920" i="43"/>
  <c r="S744" i="44"/>
  <c r="S232" i="44"/>
  <c r="S235" i="44"/>
  <c r="O637" i="44"/>
  <c r="O643" i="43"/>
  <c r="O608" i="44"/>
  <c r="O614" i="43"/>
  <c r="O281" i="43"/>
  <c r="O275" i="44"/>
  <c r="S439" i="44"/>
  <c r="O276" i="43"/>
  <c r="O270" i="44"/>
  <c r="O611" i="44"/>
  <c r="O617" i="43"/>
  <c r="S447" i="44"/>
  <c r="S274" i="44"/>
  <c r="O921" i="43"/>
  <c r="O915" i="44"/>
  <c r="S308" i="43"/>
  <c r="S231" i="44"/>
  <c r="O444" i="43"/>
  <c r="O438" i="44"/>
  <c r="S507" i="43"/>
  <c r="R506" i="43"/>
  <c r="S447" i="43"/>
  <c r="O276" i="44"/>
  <c r="O282" i="43"/>
  <c r="O584" i="43"/>
  <c r="O578" i="44"/>
  <c r="S411" i="43"/>
  <c r="O748" i="43"/>
  <c r="O742" i="44"/>
  <c r="O272" i="43"/>
  <c r="O266" i="44"/>
  <c r="O337" i="44"/>
  <c r="O343" i="43"/>
  <c r="O441" i="44"/>
  <c r="O447" i="43"/>
  <c r="O787" i="43"/>
  <c r="O781" i="44"/>
  <c r="O237" i="43"/>
  <c r="O231" i="44"/>
  <c r="O323" i="43"/>
  <c r="O317" i="44"/>
  <c r="O453" i="43"/>
  <c r="O447" i="44"/>
  <c r="O602" i="44"/>
  <c r="O608" i="43"/>
  <c r="O741" i="44"/>
  <c r="O747" i="43"/>
  <c r="S236" i="43"/>
  <c r="S446" i="43"/>
  <c r="S616" i="43"/>
  <c r="S915" i="44"/>
  <c r="S344" i="43"/>
  <c r="S753" i="43"/>
  <c r="S576" i="43"/>
  <c r="S620" i="44"/>
  <c r="S630" i="43"/>
  <c r="S742" i="44"/>
  <c r="S747" i="43"/>
  <c r="O922" i="43"/>
  <c r="O916" i="44"/>
  <c r="O310" i="44"/>
  <c r="O316" i="43"/>
  <c r="S911" i="44"/>
  <c r="O919" i="43"/>
  <c r="O913" i="44"/>
  <c r="S318" i="44"/>
  <c r="S305" i="44"/>
  <c r="S311" i="44"/>
  <c r="S333" i="44"/>
  <c r="O157" i="43"/>
  <c r="O338" i="44"/>
  <c r="O344" i="43"/>
  <c r="O920" i="43"/>
  <c r="O914" i="44"/>
  <c r="O572" i="44"/>
  <c r="O578" i="43"/>
  <c r="O236" i="44"/>
  <c r="O242" i="43"/>
  <c r="S313" i="44"/>
  <c r="S924" i="43"/>
  <c r="O241" i="43"/>
  <c r="O235" i="44"/>
  <c r="O568" i="44"/>
  <c r="O574" i="43"/>
  <c r="S779" i="43"/>
  <c r="T778" i="43"/>
  <c r="S508" i="44"/>
  <c r="S746" i="43"/>
  <c r="O281" i="44"/>
  <c r="O287" i="43"/>
  <c r="S335" i="44"/>
  <c r="O451" i="43"/>
  <c r="O445" i="44"/>
  <c r="O409" i="43"/>
  <c r="O403" i="44"/>
  <c r="O267" i="44"/>
  <c r="O273" i="43"/>
  <c r="O775" i="44"/>
  <c r="O781" i="43"/>
  <c r="O300" i="44"/>
  <c r="O306" i="43"/>
  <c r="O341" i="43"/>
  <c r="O335" i="44"/>
  <c r="O457" i="43"/>
  <c r="O451" i="44"/>
  <c r="O627" i="43"/>
  <c r="O621" i="44"/>
  <c r="O744" i="44"/>
  <c r="O750" i="43"/>
  <c r="S230" i="44"/>
  <c r="S440" i="44"/>
  <c r="S921" i="43"/>
  <c r="S338" i="44"/>
  <c r="S747" i="44"/>
  <c r="S570" i="44"/>
  <c r="S626" i="43"/>
  <c r="S624" i="44"/>
  <c r="S748" i="43"/>
  <c r="S401" i="44"/>
  <c r="O502" i="44"/>
  <c r="O508" i="43"/>
  <c r="O625" i="43"/>
  <c r="O619" i="44"/>
  <c r="S745" i="44"/>
  <c r="O412" i="43"/>
  <c r="O406" i="44"/>
  <c r="S781" i="44"/>
  <c r="O576" i="44"/>
  <c r="O582" i="43"/>
  <c r="S234" i="43"/>
  <c r="O234" i="44"/>
  <c r="O240" i="43"/>
  <c r="O569" i="44"/>
  <c r="O575" i="43"/>
  <c r="S621" i="44"/>
  <c r="S616" i="44"/>
  <c r="O228" i="44"/>
  <c r="O234" i="43"/>
  <c r="S512" i="43"/>
  <c r="O286" i="43"/>
  <c r="O280" i="44"/>
  <c r="S783" i="43"/>
  <c r="O279" i="44"/>
  <c r="O285" i="43"/>
  <c r="S283" i="43"/>
  <c r="O331" i="44"/>
  <c r="O337" i="43"/>
  <c r="O443" i="44"/>
  <c r="O449" i="43"/>
  <c r="O613" i="44"/>
  <c r="O619" i="43"/>
  <c r="O312" i="44"/>
  <c r="O318" i="43"/>
  <c r="O318" i="44"/>
  <c r="O324" i="43"/>
  <c r="O435" i="44"/>
  <c r="O441" i="43"/>
  <c r="O605" i="44"/>
  <c r="O611" i="43"/>
  <c r="O784" i="43"/>
  <c r="O778" i="44"/>
  <c r="S608" i="43"/>
  <c r="S571" i="44"/>
  <c r="S229" i="44"/>
  <c r="S609" i="44"/>
  <c r="S608" i="44"/>
  <c r="S645" i="43"/>
  <c r="S745" i="43"/>
  <c r="S784" i="43"/>
  <c r="S619" i="43"/>
  <c r="O644" i="43"/>
  <c r="O638" i="44"/>
  <c r="O340" i="43"/>
  <c r="O334" i="44"/>
  <c r="O505" i="44"/>
  <c r="O511" i="43"/>
  <c r="O774" i="44"/>
  <c r="O780" i="43"/>
  <c r="S448" i="44"/>
  <c r="O952" i="43"/>
  <c r="O946" i="44"/>
  <c r="O947" i="44"/>
  <c r="O953" i="43"/>
  <c r="S320" i="43"/>
  <c r="O912" i="44"/>
  <c r="O918" i="43"/>
  <c r="S314" i="44"/>
  <c r="R772" i="44"/>
  <c r="S637" i="44"/>
  <c r="O314" i="43"/>
  <c r="O308" i="44"/>
  <c r="O604" i="44"/>
  <c r="O610" i="43"/>
  <c r="O749" i="44"/>
  <c r="O755" i="43"/>
  <c r="S271" i="44"/>
  <c r="O749" i="43"/>
  <c r="O743" i="44"/>
  <c r="R500" i="44"/>
  <c r="O233" i="44"/>
  <c r="O239" i="43"/>
  <c r="O623" i="44"/>
  <c r="O629" i="43"/>
  <c r="O269" i="44"/>
  <c r="O275" i="43"/>
  <c r="O336" i="44"/>
  <c r="O342" i="43"/>
  <c r="O612" i="44"/>
  <c r="O618" i="43"/>
  <c r="O315" i="44"/>
  <c r="O321" i="43"/>
  <c r="O309" i="43"/>
  <c r="O303" i="44"/>
  <c r="O446" i="43"/>
  <c r="O440" i="44"/>
  <c r="O624" i="43"/>
  <c r="O618" i="44"/>
  <c r="O752" i="43"/>
  <c r="O746" i="44"/>
  <c r="S638" i="44"/>
  <c r="S602" i="44"/>
  <c r="S577" i="43"/>
  <c r="S615" i="43"/>
  <c r="S449" i="44"/>
  <c r="S614" i="43"/>
  <c r="S639" i="44"/>
  <c r="S404" i="44"/>
  <c r="S778" i="44"/>
  <c r="O391" i="13"/>
  <c r="O935" i="13"/>
  <c r="O328" i="13"/>
  <c r="O566" i="13"/>
  <c r="O738" i="13"/>
  <c r="O262" i="13"/>
  <c r="O269" i="13"/>
  <c r="O433" i="13"/>
  <c r="O557" i="13"/>
  <c r="O268" i="13"/>
  <c r="O427" i="13"/>
  <c r="O560" i="13"/>
  <c r="O734" i="13"/>
  <c r="O261" i="13"/>
  <c r="O265" i="13"/>
  <c r="O439" i="13"/>
  <c r="O567" i="13"/>
  <c r="O729" i="13"/>
  <c r="O260" i="13"/>
  <c r="O226" i="13"/>
  <c r="O425" i="13"/>
  <c r="O563" i="13"/>
  <c r="O728" i="13"/>
  <c r="O437" i="13"/>
  <c r="O267" i="13"/>
  <c r="O257" i="13"/>
  <c r="O296" i="13"/>
  <c r="O592" i="13"/>
  <c r="O436" i="13"/>
  <c r="O324" i="13"/>
  <c r="O969" i="13"/>
  <c r="O613" i="13"/>
  <c r="O303" i="13"/>
  <c r="O323" i="13"/>
  <c r="O494" i="13"/>
  <c r="O611" i="13"/>
  <c r="O763" i="13"/>
  <c r="O259" i="13"/>
  <c r="O395" i="13"/>
  <c r="O936" i="13"/>
  <c r="O294" i="13"/>
  <c r="O394" i="13"/>
  <c r="O565" i="13"/>
  <c r="O327" i="13"/>
  <c r="O940" i="13"/>
  <c r="O263" i="13"/>
  <c r="O270" i="13"/>
  <c r="O255" i="13"/>
  <c r="O326" i="13"/>
  <c r="O430" i="13"/>
  <c r="O598" i="13"/>
  <c r="O770" i="13"/>
  <c r="O769" i="13"/>
  <c r="O258" i="13"/>
  <c r="O392" i="13"/>
  <c r="O601" i="13"/>
  <c r="O321" i="13"/>
  <c r="O610" i="13"/>
  <c r="O301" i="13"/>
  <c r="O307" i="13"/>
  <c r="O594" i="13"/>
  <c r="O767" i="13"/>
  <c r="O319" i="13"/>
  <c r="O600" i="13"/>
  <c r="O441" i="13"/>
  <c r="O224" i="13"/>
  <c r="O559" i="13"/>
  <c r="O737" i="13"/>
  <c r="O222" i="13"/>
  <c r="O562" i="13"/>
  <c r="O434" i="13"/>
  <c r="O325" i="13"/>
  <c r="O768" i="13"/>
  <c r="O440" i="13"/>
  <c r="O736" i="13"/>
  <c r="O295" i="13"/>
  <c r="O266" i="13"/>
  <c r="O495" i="13"/>
  <c r="O597" i="13"/>
  <c r="O766" i="13"/>
  <c r="O595" i="13"/>
  <c r="O291" i="13"/>
  <c r="O397" i="13"/>
  <c r="O492" i="13"/>
  <c r="O596" i="13"/>
  <c r="O942" i="13"/>
  <c r="O299" i="13"/>
  <c r="O396" i="13"/>
  <c r="O498" i="13"/>
  <c r="O599" i="13"/>
  <c r="O934" i="13"/>
  <c r="O497" i="13"/>
  <c r="O329" i="13"/>
  <c r="O393" i="13"/>
  <c r="O493" i="13"/>
  <c r="O609" i="13"/>
  <c r="O944" i="13"/>
  <c r="O221" i="13"/>
  <c r="O442" i="13"/>
  <c r="O564" i="13"/>
  <c r="O568" i="13"/>
  <c r="O219" i="13"/>
  <c r="O297" i="13"/>
  <c r="O431" i="13"/>
  <c r="O561" i="13"/>
  <c r="O593" i="13"/>
  <c r="O938" i="13"/>
  <c r="O225" i="13"/>
  <c r="O945" i="13"/>
  <c r="O217" i="13"/>
  <c r="O426" i="13"/>
  <c r="O732" i="13"/>
  <c r="O605" i="13"/>
  <c r="O218" i="13"/>
  <c r="O292" i="13"/>
  <c r="O735" i="13"/>
  <c r="O293" i="13"/>
  <c r="O298" i="13"/>
  <c r="O496" i="13"/>
  <c r="O941" i="13"/>
  <c r="O606" i="13"/>
  <c r="O300" i="13"/>
  <c r="O937" i="13"/>
  <c r="O223" i="13"/>
  <c r="O558" i="13"/>
  <c r="O731" i="13"/>
  <c r="O254" i="13"/>
  <c r="O612" i="13"/>
  <c r="O390" i="13"/>
  <c r="O765" i="13"/>
  <c r="O626" i="13"/>
  <c r="O256" i="13"/>
  <c r="O320" i="13"/>
  <c r="O432" i="13"/>
  <c r="O602" i="13"/>
  <c r="O764" i="13"/>
  <c r="O627" i="13"/>
  <c r="O438" i="13"/>
  <c r="O762" i="13"/>
  <c r="O625" i="13"/>
  <c r="O220" i="13"/>
  <c r="O306" i="13"/>
  <c r="O591" i="13"/>
  <c r="O730" i="13"/>
  <c r="O628" i="13"/>
  <c r="O289" i="13"/>
  <c r="O733" i="13"/>
  <c r="O424" i="13"/>
  <c r="O968" i="13"/>
  <c r="O304" i="13"/>
  <c r="O429" i="13"/>
  <c r="O607" i="13"/>
  <c r="O970" i="13"/>
  <c r="O302" i="13"/>
  <c r="O322" i="13"/>
  <c r="O428" i="13"/>
  <c r="O603" i="13"/>
  <c r="O727" i="13"/>
  <c r="O435" i="13"/>
  <c r="O290" i="13"/>
  <c r="O305" i="13"/>
  <c r="O491" i="13"/>
  <c r="O604" i="13"/>
  <c r="O939" i="13"/>
  <c r="O264" i="13"/>
  <c r="O389" i="13"/>
  <c r="O490" i="13"/>
  <c r="O608" i="13"/>
  <c r="O943" i="13"/>
  <c r="O54" i="13"/>
  <c r="O53" i="13"/>
  <c r="O51" i="13"/>
  <c r="O52" i="13"/>
  <c r="O157" i="13"/>
  <c r="C11" i="11"/>
  <c r="C9" i="13"/>
  <c r="T157" i="13"/>
  <c r="R51" i="13"/>
  <c r="T52" i="13"/>
  <c r="R53" i="13"/>
  <c r="R54" i="13"/>
  <c r="L22" i="13"/>
  <c r="B9" i="26"/>
  <c r="B10" i="25"/>
  <c r="U9" i="8"/>
  <c r="B8" i="8"/>
  <c r="S53" i="43" l="1"/>
  <c r="P53" i="43"/>
  <c r="T53" i="43" s="1"/>
  <c r="P51" i="43"/>
  <c r="T51" i="43" s="1"/>
  <c r="S51" i="43"/>
  <c r="S54" i="43"/>
  <c r="P54" i="43"/>
  <c r="T54" i="43" s="1"/>
  <c r="S157" i="43"/>
  <c r="P157" i="43"/>
  <c r="T157" i="43" s="1"/>
  <c r="S52" i="43"/>
  <c r="P52" i="43"/>
  <c r="T52" i="43" s="1"/>
  <c r="S772" i="44"/>
  <c r="S500" i="44"/>
  <c r="S506" i="43"/>
  <c r="S778" i="43"/>
  <c r="L21" i="13"/>
  <c r="T51" i="13"/>
  <c r="L23" i="13"/>
  <c r="R157" i="13"/>
  <c r="S157" i="13" s="1"/>
  <c r="T54" i="13"/>
  <c r="T53" i="13"/>
  <c r="R52" i="13"/>
  <c r="S52" i="13" s="1"/>
  <c r="L24" i="13"/>
  <c r="L20" i="13"/>
  <c r="L26" i="13"/>
  <c r="L25" i="13"/>
  <c r="L29" i="13"/>
  <c r="L17" i="13"/>
  <c r="L28" i="13"/>
  <c r="L27" i="13"/>
  <c r="L32" i="13"/>
  <c r="L31" i="13"/>
  <c r="L30" i="13"/>
  <c r="L18" i="13"/>
  <c r="L35" i="13"/>
  <c r="L19" i="13"/>
  <c r="L34" i="13"/>
  <c r="L16" i="13"/>
  <c r="N37" i="8"/>
  <c r="N39" i="8" s="1"/>
  <c r="N12" i="5" s="1"/>
  <c r="S53" i="13" l="1"/>
  <c r="S54" i="13"/>
  <c r="S51" i="13"/>
  <c r="J398" i="36" l="1"/>
  <c r="K397" i="38"/>
  <c r="K397" i="37" s="1"/>
  <c r="L398" i="36" s="1"/>
  <c r="J397" i="36"/>
  <c r="K396" i="38"/>
  <c r="K396" i="37" s="1"/>
  <c r="L397" i="36" s="1"/>
  <c r="J396" i="36"/>
  <c r="K395" i="38"/>
  <c r="K395" i="37" s="1"/>
  <c r="L396" i="36" s="1"/>
  <c r="J394" i="36"/>
  <c r="K393" i="38"/>
  <c r="K393" i="37" s="1"/>
  <c r="L394" i="36" s="1"/>
  <c r="K375" i="38"/>
  <c r="K375" i="37" s="1"/>
  <c r="L376" i="36" s="1"/>
  <c r="J376" i="36"/>
  <c r="J375" i="36"/>
  <c r="K374" i="38"/>
  <c r="K374" i="37" s="1"/>
  <c r="L375" i="36" s="1"/>
  <c r="D19" i="23"/>
  <c r="M375" i="36" l="1"/>
  <c r="S375" i="36" s="1"/>
  <c r="P375" i="36"/>
  <c r="M376" i="36"/>
  <c r="S376" i="36" s="1"/>
  <c r="P376" i="36"/>
  <c r="M394" i="36"/>
  <c r="S394" i="36" s="1"/>
  <c r="P394" i="36"/>
  <c r="M396" i="36"/>
  <c r="S396" i="36" s="1"/>
  <c r="P396" i="36"/>
  <c r="M397" i="36"/>
  <c r="S397" i="36" s="1"/>
  <c r="P397" i="36"/>
  <c r="M398" i="36"/>
  <c r="S398" i="36" s="1"/>
  <c r="P398" i="36"/>
  <c r="O375" i="36"/>
  <c r="U375" i="36" s="1"/>
  <c r="T375" i="36" s="1"/>
  <c r="R375" i="36"/>
  <c r="Q375" i="36" s="1"/>
  <c r="R376" i="36"/>
  <c r="Q376" i="36" s="1"/>
  <c r="O376" i="36"/>
  <c r="U376" i="36" s="1"/>
  <c r="T376" i="36" s="1"/>
  <c r="O394" i="36"/>
  <c r="U394" i="36" s="1"/>
  <c r="T394" i="36" s="1"/>
  <c r="R394" i="36"/>
  <c r="Q394" i="36" s="1"/>
  <c r="O397" i="36"/>
  <c r="U397" i="36" s="1"/>
  <c r="T397" i="36" s="1"/>
  <c r="R397" i="36"/>
  <c r="Q397" i="36" s="1"/>
  <c r="O398" i="36"/>
  <c r="U398" i="36" s="1"/>
  <c r="T398" i="36" s="1"/>
  <c r="R398" i="36"/>
  <c r="Q398" i="36" s="1"/>
  <c r="R396" i="36"/>
  <c r="Q396" i="36" s="1"/>
  <c r="O396" i="36"/>
  <c r="U396" i="36" s="1"/>
  <c r="T396" i="36" s="1"/>
  <c r="D18" i="20"/>
  <c r="D17" i="20"/>
  <c r="N699" i="13" l="1"/>
  <c r="N698" i="13"/>
  <c r="N697" i="13"/>
  <c r="N696" i="13"/>
  <c r="N695" i="13"/>
  <c r="N694" i="13"/>
  <c r="N16" i="13" l="1"/>
  <c r="R16" i="13" s="1"/>
  <c r="N17" i="13"/>
  <c r="R17" i="13" s="1"/>
  <c r="N896" i="43"/>
  <c r="R896" i="43" s="1"/>
  <c r="N890" i="44"/>
  <c r="R890" i="44" s="1"/>
  <c r="N419" i="44"/>
  <c r="R419" i="44" s="1"/>
  <c r="N425" i="43"/>
  <c r="R425" i="43" s="1"/>
  <c r="N466" i="44"/>
  <c r="R466" i="44" s="1"/>
  <c r="N454" i="44"/>
  <c r="R454" i="44" s="1"/>
  <c r="N472" i="43"/>
  <c r="R472" i="43" s="1"/>
  <c r="N460" i="43"/>
  <c r="R460" i="43" s="1"/>
  <c r="N475" i="43"/>
  <c r="R475" i="43" s="1"/>
  <c r="N469" i="44"/>
  <c r="R469" i="44" s="1"/>
  <c r="N241" i="44"/>
  <c r="R241" i="44" s="1"/>
  <c r="N247" i="43"/>
  <c r="R247" i="43" s="1"/>
  <c r="N204" i="44"/>
  <c r="R204" i="44" s="1"/>
  <c r="N210" i="43"/>
  <c r="R210" i="43" s="1"/>
  <c r="N296" i="44"/>
  <c r="R296" i="44" s="1"/>
  <c r="N302" i="43"/>
  <c r="R302" i="43" s="1"/>
  <c r="N413" i="44"/>
  <c r="R413" i="44" s="1"/>
  <c r="N419" i="43"/>
  <c r="R419" i="43" s="1"/>
  <c r="N547" i="44"/>
  <c r="R547" i="44" s="1"/>
  <c r="N553" i="43"/>
  <c r="R553" i="43" s="1"/>
  <c r="N674" i="44"/>
  <c r="R674" i="44" s="1"/>
  <c r="N680" i="43"/>
  <c r="R680" i="43" s="1"/>
  <c r="N722" i="44"/>
  <c r="R722" i="44" s="1"/>
  <c r="N728" i="43"/>
  <c r="R728" i="43" s="1"/>
  <c r="N887" i="44"/>
  <c r="R887" i="44" s="1"/>
  <c r="N893" i="43"/>
  <c r="R893" i="43" s="1"/>
  <c r="N730" i="43"/>
  <c r="R730" i="43" s="1"/>
  <c r="N724" i="44"/>
  <c r="R724" i="44" s="1"/>
  <c r="N680" i="44"/>
  <c r="R680" i="44" s="1"/>
  <c r="N686" i="43"/>
  <c r="R686" i="43" s="1"/>
  <c r="N212" i="44"/>
  <c r="R212" i="44" s="1"/>
  <c r="N218" i="43"/>
  <c r="R218" i="43" s="1"/>
  <c r="N205" i="44"/>
  <c r="R205" i="44" s="1"/>
  <c r="N211" i="43"/>
  <c r="R211" i="43" s="1"/>
  <c r="N297" i="44"/>
  <c r="R297" i="44" s="1"/>
  <c r="N303" i="43"/>
  <c r="R303" i="43" s="1"/>
  <c r="N420" i="43"/>
  <c r="R420" i="43" s="1"/>
  <c r="N414" i="44"/>
  <c r="R414" i="44" s="1"/>
  <c r="N548" i="44"/>
  <c r="R548" i="44" s="1"/>
  <c r="N554" i="43"/>
  <c r="R554" i="43" s="1"/>
  <c r="N675" i="44"/>
  <c r="R675" i="44" s="1"/>
  <c r="N681" i="43"/>
  <c r="R681" i="43" s="1"/>
  <c r="N723" i="44"/>
  <c r="R723" i="44" s="1"/>
  <c r="N729" i="43"/>
  <c r="R729" i="43" s="1"/>
  <c r="N888" i="44"/>
  <c r="R888" i="44" s="1"/>
  <c r="N894" i="43"/>
  <c r="R894" i="43" s="1"/>
  <c r="N682" i="43"/>
  <c r="R682" i="43" s="1"/>
  <c r="N676" i="44"/>
  <c r="R676" i="44" s="1"/>
  <c r="N558" i="43"/>
  <c r="R558" i="43" s="1"/>
  <c r="N552" i="44"/>
  <c r="R552" i="44" s="1"/>
  <c r="N211" i="44"/>
  <c r="R211" i="44" s="1"/>
  <c r="N217" i="43"/>
  <c r="R217" i="43" s="1"/>
  <c r="N754" i="44"/>
  <c r="R754" i="44" s="1"/>
  <c r="N760" i="43"/>
  <c r="R760" i="43" s="1"/>
  <c r="N896" i="44"/>
  <c r="R896" i="44" s="1"/>
  <c r="N902" i="43"/>
  <c r="R902" i="43" s="1"/>
  <c r="N220" i="43"/>
  <c r="R220" i="43" s="1"/>
  <c r="N214" i="44"/>
  <c r="R214" i="44" s="1"/>
  <c r="N371" i="44"/>
  <c r="R371" i="44" s="1"/>
  <c r="N377" i="43"/>
  <c r="R377" i="43" s="1"/>
  <c r="N434" i="44"/>
  <c r="R434" i="44" s="1"/>
  <c r="N440" i="43"/>
  <c r="R440" i="43" s="1"/>
  <c r="N586" i="43"/>
  <c r="R586" i="43" s="1"/>
  <c r="N580" i="44"/>
  <c r="R580" i="44" s="1"/>
  <c r="N684" i="44"/>
  <c r="R684" i="44" s="1"/>
  <c r="N690" i="43"/>
  <c r="R690" i="43" s="1"/>
  <c r="N813" i="43"/>
  <c r="R813" i="43" s="1"/>
  <c r="N807" i="44"/>
  <c r="R807" i="44" s="1"/>
  <c r="N903" i="43"/>
  <c r="R903" i="43" s="1"/>
  <c r="N897" i="44"/>
  <c r="R897" i="44" s="1"/>
  <c r="N550" i="44"/>
  <c r="R550" i="44" s="1"/>
  <c r="N556" i="43"/>
  <c r="R556" i="43" s="1"/>
  <c r="N208" i="44"/>
  <c r="R208" i="44" s="1"/>
  <c r="N214" i="43"/>
  <c r="R214" i="43" s="1"/>
  <c r="N418" i="44"/>
  <c r="R418" i="44" s="1"/>
  <c r="N424" i="43"/>
  <c r="R424" i="43" s="1"/>
  <c r="N893" i="44"/>
  <c r="R893" i="44" s="1"/>
  <c r="N899" i="43"/>
  <c r="R899" i="43" s="1"/>
  <c r="N432" i="44"/>
  <c r="R432" i="44" s="1"/>
  <c r="N438" i="43"/>
  <c r="R438" i="43" s="1"/>
  <c r="N370" i="44"/>
  <c r="R370" i="44" s="1"/>
  <c r="N376" i="43"/>
  <c r="R376" i="43" s="1"/>
  <c r="N215" i="44"/>
  <c r="R215" i="44" s="1"/>
  <c r="N221" i="43"/>
  <c r="R221" i="43" s="1"/>
  <c r="N216" i="44"/>
  <c r="R216" i="44" s="1"/>
  <c r="N222" i="43"/>
  <c r="R222" i="43" s="1"/>
  <c r="N583" i="44"/>
  <c r="R583" i="44" s="1"/>
  <c r="N589" i="43"/>
  <c r="R589" i="43" s="1"/>
  <c r="N239" i="44"/>
  <c r="R239" i="44" s="1"/>
  <c r="N245" i="43"/>
  <c r="R245" i="43" s="1"/>
  <c r="N470" i="44"/>
  <c r="R470" i="44" s="1"/>
  <c r="N476" i="43"/>
  <c r="R476" i="43" s="1"/>
  <c r="N820" i="43"/>
  <c r="R820" i="43" s="1"/>
  <c r="N814" i="44"/>
  <c r="R814" i="44" s="1"/>
  <c r="N709" i="44"/>
  <c r="R709" i="44" s="1"/>
  <c r="N715" i="43"/>
  <c r="R715" i="43" s="1"/>
  <c r="N929" i="44"/>
  <c r="R929" i="44" s="1"/>
  <c r="N935" i="43"/>
  <c r="R935" i="43" s="1"/>
  <c r="N245" i="44"/>
  <c r="R245" i="44" s="1"/>
  <c r="N251" i="43"/>
  <c r="R251" i="43" s="1"/>
  <c r="N381" i="44"/>
  <c r="R381" i="44" s="1"/>
  <c r="N387" i="43"/>
  <c r="R387" i="43" s="1"/>
  <c r="N535" i="44"/>
  <c r="R535" i="44" s="1"/>
  <c r="N541" i="43"/>
  <c r="R541" i="43" s="1"/>
  <c r="N590" i="44"/>
  <c r="R590" i="44" s="1"/>
  <c r="N596" i="43"/>
  <c r="R596" i="43" s="1"/>
  <c r="N710" i="44"/>
  <c r="R710" i="44" s="1"/>
  <c r="N716" i="43"/>
  <c r="R716" i="43" s="1"/>
  <c r="N842" i="44"/>
  <c r="R842" i="44" s="1"/>
  <c r="N848" i="43"/>
  <c r="R848" i="43" s="1"/>
  <c r="N930" i="44"/>
  <c r="R930" i="44" s="1"/>
  <c r="N936" i="43"/>
  <c r="R936" i="43" s="1"/>
  <c r="N551" i="44"/>
  <c r="R551" i="44" s="1"/>
  <c r="N557" i="43"/>
  <c r="R557" i="43" s="1"/>
  <c r="N682" i="44"/>
  <c r="R682" i="44" s="1"/>
  <c r="N688" i="43"/>
  <c r="R688" i="43" s="1"/>
  <c r="N378" i="43"/>
  <c r="R378" i="43" s="1"/>
  <c r="N372" i="44"/>
  <c r="R372" i="44" s="1"/>
  <c r="N688" i="44"/>
  <c r="R688" i="44" s="1"/>
  <c r="N694" i="43"/>
  <c r="R694" i="43" s="1"/>
  <c r="N377" i="44"/>
  <c r="R377" i="44" s="1"/>
  <c r="N383" i="43"/>
  <c r="R383" i="43" s="1"/>
  <c r="N248" i="43"/>
  <c r="R248" i="43" s="1"/>
  <c r="N242" i="44"/>
  <c r="R242" i="44" s="1"/>
  <c r="N243" i="44"/>
  <c r="R243" i="44" s="1"/>
  <c r="N249" i="43"/>
  <c r="R249" i="43" s="1"/>
  <c r="N250" i="43"/>
  <c r="R250" i="43" s="1"/>
  <c r="N244" i="44"/>
  <c r="R244" i="44" s="1"/>
  <c r="N647" i="43"/>
  <c r="R647" i="43" s="1"/>
  <c r="N641" i="44"/>
  <c r="R641" i="44" s="1"/>
  <c r="N718" i="43"/>
  <c r="R718" i="43" s="1"/>
  <c r="N712" i="44"/>
  <c r="R712" i="44" s="1"/>
  <c r="N850" i="43"/>
  <c r="R850" i="43" s="1"/>
  <c r="N844" i="44"/>
  <c r="R844" i="44" s="1"/>
  <c r="N938" i="43"/>
  <c r="R938" i="43" s="1"/>
  <c r="N932" i="44"/>
  <c r="R932" i="44" s="1"/>
  <c r="N415" i="44"/>
  <c r="R415" i="44" s="1"/>
  <c r="N421" i="43"/>
  <c r="R421" i="43" s="1"/>
  <c r="N758" i="43"/>
  <c r="R758" i="43" s="1"/>
  <c r="N752" i="44"/>
  <c r="R752" i="44" s="1"/>
  <c r="R16" i="44"/>
  <c r="N582" i="44"/>
  <c r="R582" i="44" s="1"/>
  <c r="N588" i="43"/>
  <c r="R588" i="43" s="1"/>
  <c r="N705" i="44"/>
  <c r="R705" i="44" s="1"/>
  <c r="N711" i="43"/>
  <c r="R711" i="43" s="1"/>
  <c r="N594" i="43"/>
  <c r="R594" i="43" s="1"/>
  <c r="N588" i="44"/>
  <c r="R588" i="44" s="1"/>
  <c r="N642" i="44"/>
  <c r="R642" i="44" s="1"/>
  <c r="N648" i="43"/>
  <c r="R648" i="43" s="1"/>
  <c r="N719" i="43"/>
  <c r="R719" i="43" s="1"/>
  <c r="N713" i="44"/>
  <c r="R713" i="44" s="1"/>
  <c r="N884" i="43"/>
  <c r="R884" i="43" s="1"/>
  <c r="N878" i="44"/>
  <c r="R878" i="44" s="1"/>
  <c r="N933" i="44"/>
  <c r="R933" i="44" s="1"/>
  <c r="N939" i="43"/>
  <c r="R939" i="43" s="1"/>
  <c r="N416" i="44"/>
  <c r="R416" i="44" s="1"/>
  <c r="N422" i="43"/>
  <c r="R422" i="43" s="1"/>
  <c r="N559" i="43"/>
  <c r="R559" i="43" s="1"/>
  <c r="N553" i="44"/>
  <c r="R553" i="44" s="1"/>
  <c r="N692" i="43"/>
  <c r="R692" i="43" s="1"/>
  <c r="N686" i="44"/>
  <c r="R686" i="44" s="1"/>
  <c r="N304" i="43"/>
  <c r="R304" i="43" s="1"/>
  <c r="N298" i="44"/>
  <c r="R298" i="44" s="1"/>
  <c r="N207" i="44"/>
  <c r="R207" i="44" s="1"/>
  <c r="N213" i="43"/>
  <c r="R213" i="43" s="1"/>
  <c r="N417" i="44"/>
  <c r="R417" i="44" s="1"/>
  <c r="N423" i="43"/>
  <c r="R423" i="43" s="1"/>
  <c r="N372" i="43"/>
  <c r="R372" i="43" s="1"/>
  <c r="N366" i="44"/>
  <c r="R366" i="44" s="1"/>
  <c r="N210" i="44"/>
  <c r="R210" i="44" s="1"/>
  <c r="N216" i="43"/>
  <c r="R216" i="43" s="1"/>
  <c r="N426" i="43"/>
  <c r="R426" i="43" s="1"/>
  <c r="N420" i="44"/>
  <c r="R420" i="44" s="1"/>
  <c r="N895" i="44"/>
  <c r="R895" i="44" s="1"/>
  <c r="N901" i="43"/>
  <c r="R901" i="43" s="1"/>
  <c r="N581" i="44"/>
  <c r="R581" i="44" s="1"/>
  <c r="N587" i="43"/>
  <c r="R587" i="43" s="1"/>
  <c r="N693" i="43"/>
  <c r="R693" i="43" s="1"/>
  <c r="N687" i="44"/>
  <c r="R687" i="44" s="1"/>
  <c r="N924" i="44"/>
  <c r="R924" i="44" s="1"/>
  <c r="N930" i="43"/>
  <c r="R930" i="43" s="1"/>
  <c r="N586" i="44"/>
  <c r="R586" i="44" s="1"/>
  <c r="N592" i="43"/>
  <c r="R592" i="43" s="1"/>
  <c r="N378" i="44"/>
  <c r="R378" i="44" s="1"/>
  <c r="N384" i="43"/>
  <c r="R384" i="43" s="1"/>
  <c r="N385" i="43"/>
  <c r="R385" i="43" s="1"/>
  <c r="N379" i="44"/>
  <c r="R379" i="44" s="1"/>
  <c r="N928" i="44"/>
  <c r="R928" i="44" s="1"/>
  <c r="N934" i="43"/>
  <c r="R934" i="43" s="1"/>
  <c r="N640" i="44"/>
  <c r="R640" i="44" s="1"/>
  <c r="N646" i="43"/>
  <c r="R646" i="43" s="1"/>
  <c r="N247" i="44"/>
  <c r="R247" i="44" s="1"/>
  <c r="N253" i="43"/>
  <c r="R253" i="43" s="1"/>
  <c r="N248" i="44"/>
  <c r="R248" i="44" s="1"/>
  <c r="N254" i="43"/>
  <c r="R254" i="43" s="1"/>
  <c r="N948" i="44"/>
  <c r="R948" i="44" s="1"/>
  <c r="N954" i="43"/>
  <c r="R954" i="43" s="1"/>
  <c r="N197" i="44"/>
  <c r="R197" i="44" s="1"/>
  <c r="N203" i="43"/>
  <c r="R203" i="43" s="1"/>
  <c r="N250" i="44"/>
  <c r="R250" i="44" s="1"/>
  <c r="N256" i="43"/>
  <c r="R256" i="43" s="1"/>
  <c r="N386" i="44"/>
  <c r="R386" i="44" s="1"/>
  <c r="N392" i="43"/>
  <c r="R392" i="43" s="1"/>
  <c r="N540" i="44"/>
  <c r="R540" i="44" s="1"/>
  <c r="N546" i="43"/>
  <c r="R546" i="43" s="1"/>
  <c r="N650" i="43"/>
  <c r="R650" i="43" s="1"/>
  <c r="N644" i="44"/>
  <c r="R644" i="44" s="1"/>
  <c r="N715" i="44"/>
  <c r="R715" i="44" s="1"/>
  <c r="N721" i="43"/>
  <c r="R721" i="43" s="1"/>
  <c r="N886" i="43"/>
  <c r="R886" i="43" s="1"/>
  <c r="N880" i="44"/>
  <c r="R880" i="44" s="1"/>
  <c r="N955" i="43"/>
  <c r="R955" i="43" s="1"/>
  <c r="N949" i="44"/>
  <c r="R949" i="44" s="1"/>
  <c r="N895" i="43"/>
  <c r="R895" i="43" s="1"/>
  <c r="N889" i="44"/>
  <c r="R889" i="44" s="1"/>
  <c r="N371" i="43"/>
  <c r="R371" i="43" s="1"/>
  <c r="N365" i="44"/>
  <c r="R365" i="44" s="1"/>
  <c r="N891" i="44"/>
  <c r="R891" i="44" s="1"/>
  <c r="N897" i="43"/>
  <c r="R897" i="43" s="1"/>
  <c r="N367" i="44"/>
  <c r="R367" i="44" s="1"/>
  <c r="N373" i="43"/>
  <c r="R373" i="43" s="1"/>
  <c r="N561" i="43"/>
  <c r="R561" i="43" s="1"/>
  <c r="N555" i="44"/>
  <c r="R555" i="44" s="1"/>
  <c r="N433" i="44"/>
  <c r="R433" i="44" s="1"/>
  <c r="N439" i="43"/>
  <c r="R439" i="43" s="1"/>
  <c r="N373" i="44"/>
  <c r="R373" i="44" s="1"/>
  <c r="N379" i="43"/>
  <c r="R379" i="43" s="1"/>
  <c r="N374" i="44"/>
  <c r="R374" i="44" s="1"/>
  <c r="N380" i="43"/>
  <c r="R380" i="43" s="1"/>
  <c r="N923" i="44"/>
  <c r="R923" i="44" s="1"/>
  <c r="N929" i="43"/>
  <c r="R929" i="43" s="1"/>
  <c r="N376" i="44"/>
  <c r="R376" i="44" s="1"/>
  <c r="N382" i="43"/>
  <c r="R382" i="43" s="1"/>
  <c r="N931" i="43"/>
  <c r="R931" i="43" s="1"/>
  <c r="N925" i="44"/>
  <c r="R925" i="44" s="1"/>
  <c r="N713" i="43"/>
  <c r="R713" i="43" s="1"/>
  <c r="N707" i="44"/>
  <c r="R707" i="44" s="1"/>
  <c r="N537" i="44"/>
  <c r="R537" i="44" s="1"/>
  <c r="N543" i="43"/>
  <c r="R543" i="43" s="1"/>
  <c r="N539" i="44"/>
  <c r="R539" i="44" s="1"/>
  <c r="N545" i="43"/>
  <c r="R545" i="43" s="1"/>
  <c r="N198" i="44"/>
  <c r="R198" i="44" s="1"/>
  <c r="N204" i="43"/>
  <c r="R204" i="43" s="1"/>
  <c r="N268" i="43"/>
  <c r="R268" i="43" s="1"/>
  <c r="N262" i="44"/>
  <c r="R262" i="44" s="1"/>
  <c r="N398" i="44"/>
  <c r="R398" i="44" s="1"/>
  <c r="N404" i="43"/>
  <c r="R404" i="43" s="1"/>
  <c r="N547" i="43"/>
  <c r="R547" i="43" s="1"/>
  <c r="N541" i="44"/>
  <c r="R541" i="44" s="1"/>
  <c r="N645" i="44"/>
  <c r="R645" i="44" s="1"/>
  <c r="N651" i="43"/>
  <c r="R651" i="43" s="1"/>
  <c r="N716" i="44"/>
  <c r="R716" i="44" s="1"/>
  <c r="N722" i="43"/>
  <c r="R722" i="43" s="1"/>
  <c r="N881" i="44"/>
  <c r="R881" i="44" s="1"/>
  <c r="N887" i="43"/>
  <c r="R887" i="43" s="1"/>
  <c r="N950" i="44"/>
  <c r="R950" i="44" s="1"/>
  <c r="N956" i="43"/>
  <c r="R956" i="43" s="1"/>
  <c r="N206" i="44"/>
  <c r="R206" i="44" s="1"/>
  <c r="N212" i="43"/>
  <c r="R212" i="43" s="1"/>
  <c r="N726" i="44"/>
  <c r="R726" i="44" s="1"/>
  <c r="N732" i="43"/>
  <c r="R732" i="43" s="1"/>
  <c r="N898" i="43"/>
  <c r="R898" i="43" s="1"/>
  <c r="N892" i="44"/>
  <c r="R892" i="44" s="1"/>
  <c r="N368" i="44"/>
  <c r="R368" i="44" s="1"/>
  <c r="N374" i="43"/>
  <c r="R374" i="43" s="1"/>
  <c r="N894" i="44"/>
  <c r="R894" i="44" s="1"/>
  <c r="N900" i="43"/>
  <c r="R900" i="43" s="1"/>
  <c r="N814" i="43"/>
  <c r="R814" i="43" s="1"/>
  <c r="N808" i="44"/>
  <c r="R808" i="44" s="1"/>
  <c r="N810" i="44"/>
  <c r="R810" i="44" s="1"/>
  <c r="N816" i="43"/>
  <c r="R816" i="43" s="1"/>
  <c r="N585" i="44"/>
  <c r="R585" i="44" s="1"/>
  <c r="N591" i="43"/>
  <c r="R591" i="43" s="1"/>
  <c r="N478" i="43"/>
  <c r="R478" i="43" s="1"/>
  <c r="N472" i="44"/>
  <c r="R472" i="44" s="1"/>
  <c r="N927" i="44"/>
  <c r="R927" i="44" s="1"/>
  <c r="N933" i="43"/>
  <c r="R933" i="43" s="1"/>
  <c r="N589" i="44"/>
  <c r="R589" i="44" s="1"/>
  <c r="N595" i="43"/>
  <c r="R595" i="43" s="1"/>
  <c r="N246" i="44"/>
  <c r="R246" i="44" s="1"/>
  <c r="N252" i="43"/>
  <c r="R252" i="43" s="1"/>
  <c r="N937" i="43"/>
  <c r="R937" i="43" s="1"/>
  <c r="N931" i="44"/>
  <c r="R931" i="44" s="1"/>
  <c r="N384" i="44"/>
  <c r="R384" i="44" s="1"/>
  <c r="N390" i="43"/>
  <c r="R390" i="43" s="1"/>
  <c r="N196" i="44"/>
  <c r="R196" i="44" s="1"/>
  <c r="N202" i="43"/>
  <c r="R202" i="43" s="1"/>
  <c r="N879" i="44"/>
  <c r="R879" i="44" s="1"/>
  <c r="N885" i="43"/>
  <c r="R885" i="43" s="1"/>
  <c r="N199" i="44"/>
  <c r="R199" i="44" s="1"/>
  <c r="N205" i="43"/>
  <c r="R205" i="43" s="1"/>
  <c r="N263" i="44"/>
  <c r="R263" i="44" s="1"/>
  <c r="N269" i="43"/>
  <c r="R269" i="43" s="1"/>
  <c r="N399" i="44"/>
  <c r="R399" i="44" s="1"/>
  <c r="N405" i="43"/>
  <c r="R405" i="43" s="1"/>
  <c r="N548" i="43"/>
  <c r="R548" i="43" s="1"/>
  <c r="N542" i="44"/>
  <c r="R542" i="44" s="1"/>
  <c r="N646" i="44"/>
  <c r="R646" i="44" s="1"/>
  <c r="N652" i="43"/>
  <c r="R652" i="43" s="1"/>
  <c r="N717" i="44"/>
  <c r="R717" i="44" s="1"/>
  <c r="N723" i="43"/>
  <c r="R723" i="43" s="1"/>
  <c r="N882" i="44"/>
  <c r="R882" i="44" s="1"/>
  <c r="N888" i="43"/>
  <c r="R888" i="43" s="1"/>
  <c r="N957" i="43"/>
  <c r="R957" i="43" s="1"/>
  <c r="N951" i="44"/>
  <c r="R951" i="44" s="1"/>
  <c r="N299" i="44"/>
  <c r="R299" i="44" s="1"/>
  <c r="N305" i="43"/>
  <c r="R305" i="43" s="1"/>
  <c r="N750" i="44"/>
  <c r="R750" i="44" s="1"/>
  <c r="N756" i="43"/>
  <c r="R756" i="43" s="1"/>
  <c r="N759" i="43"/>
  <c r="R759" i="43" s="1"/>
  <c r="N753" i="44"/>
  <c r="R753" i="44" s="1"/>
  <c r="N685" i="44"/>
  <c r="R685" i="44" s="1"/>
  <c r="N691" i="43"/>
  <c r="R691" i="43" s="1"/>
  <c r="N899" i="44"/>
  <c r="R899" i="44" s="1"/>
  <c r="N905" i="43"/>
  <c r="R905" i="43" s="1"/>
  <c r="N811" i="44"/>
  <c r="R811" i="44" s="1"/>
  <c r="N817" i="43"/>
  <c r="R817" i="43" s="1"/>
  <c r="N706" i="44"/>
  <c r="R706" i="44" s="1"/>
  <c r="N712" i="43"/>
  <c r="R712" i="43" s="1"/>
  <c r="N815" i="44"/>
  <c r="R815" i="44" s="1"/>
  <c r="N821" i="43"/>
  <c r="R821" i="43" s="1"/>
  <c r="N711" i="44"/>
  <c r="R711" i="44" s="1"/>
  <c r="N717" i="43"/>
  <c r="R717" i="43" s="1"/>
  <c r="N538" i="44"/>
  <c r="R538" i="44" s="1"/>
  <c r="N544" i="43"/>
  <c r="R544" i="43" s="1"/>
  <c r="N249" i="44"/>
  <c r="R249" i="44" s="1"/>
  <c r="N255" i="43"/>
  <c r="R255" i="43" s="1"/>
  <c r="N264" i="44"/>
  <c r="R264" i="44" s="1"/>
  <c r="N270" i="43"/>
  <c r="R270" i="43" s="1"/>
  <c r="N409" i="44"/>
  <c r="R409" i="44" s="1"/>
  <c r="N415" i="43"/>
  <c r="R415" i="43" s="1"/>
  <c r="N543" i="44"/>
  <c r="R543" i="44" s="1"/>
  <c r="N549" i="43"/>
  <c r="R549" i="43" s="1"/>
  <c r="N647" i="44"/>
  <c r="R647" i="44" s="1"/>
  <c r="N653" i="43"/>
  <c r="R653" i="43" s="1"/>
  <c r="N718" i="44"/>
  <c r="R718" i="44" s="1"/>
  <c r="N724" i="43"/>
  <c r="R724" i="43" s="1"/>
  <c r="N883" i="44"/>
  <c r="R883" i="44" s="1"/>
  <c r="N889" i="43"/>
  <c r="R889" i="43" s="1"/>
  <c r="N980" i="44"/>
  <c r="R980" i="44" s="1"/>
  <c r="R979" i="44" s="1"/>
  <c r="N986" i="43"/>
  <c r="R986" i="43" s="1"/>
  <c r="R985" i="43" s="1"/>
  <c r="N683" i="43"/>
  <c r="R683" i="43" s="1"/>
  <c r="N677" i="44"/>
  <c r="R677" i="44" s="1"/>
  <c r="N679" i="44"/>
  <c r="R679" i="44" s="1"/>
  <c r="N685" i="43"/>
  <c r="R685" i="43" s="1"/>
  <c r="N554" i="44"/>
  <c r="R554" i="44" s="1"/>
  <c r="N560" i="43"/>
  <c r="R560" i="43" s="1"/>
  <c r="N683" i="44"/>
  <c r="R683" i="44" s="1"/>
  <c r="N689" i="43"/>
  <c r="R689" i="43" s="1"/>
  <c r="N898" i="44"/>
  <c r="R898" i="44" s="1"/>
  <c r="N904" i="43"/>
  <c r="R904" i="43" s="1"/>
  <c r="N468" i="44"/>
  <c r="R468" i="44" s="1"/>
  <c r="N474" i="43"/>
  <c r="R474" i="43" s="1"/>
  <c r="N818" i="43"/>
  <c r="R818" i="43" s="1"/>
  <c r="N812" i="44"/>
  <c r="R812" i="44" s="1"/>
  <c r="N587" i="44"/>
  <c r="R587" i="44" s="1"/>
  <c r="N593" i="43"/>
  <c r="R593" i="43" s="1"/>
  <c r="N847" i="43"/>
  <c r="R847" i="43" s="1"/>
  <c r="N841" i="44"/>
  <c r="R841" i="44" s="1"/>
  <c r="N382" i="44"/>
  <c r="R382" i="44" s="1"/>
  <c r="N388" i="43"/>
  <c r="R388" i="43" s="1"/>
  <c r="N383" i="44"/>
  <c r="R383" i="44" s="1"/>
  <c r="N389" i="43"/>
  <c r="R389" i="43" s="1"/>
  <c r="N195" i="44"/>
  <c r="R195" i="44" s="1"/>
  <c r="N201" i="43"/>
  <c r="R201" i="43" s="1"/>
  <c r="N391" i="43"/>
  <c r="R391" i="43" s="1"/>
  <c r="N385" i="44"/>
  <c r="R385" i="44" s="1"/>
  <c r="N206" i="43"/>
  <c r="R206" i="43" s="1"/>
  <c r="N200" i="44"/>
  <c r="R200" i="44" s="1"/>
  <c r="N410" i="44"/>
  <c r="R410" i="44" s="1"/>
  <c r="N416" i="43"/>
  <c r="R416" i="43" s="1"/>
  <c r="N550" i="43"/>
  <c r="R550" i="43" s="1"/>
  <c r="N544" i="44"/>
  <c r="R544" i="44" s="1"/>
  <c r="N671" i="44"/>
  <c r="R671" i="44" s="1"/>
  <c r="N677" i="43"/>
  <c r="R677" i="43" s="1"/>
  <c r="N719" i="44"/>
  <c r="R719" i="44" s="1"/>
  <c r="N725" i="43"/>
  <c r="R725" i="43" s="1"/>
  <c r="N890" i="43"/>
  <c r="R890" i="43" s="1"/>
  <c r="N884" i="44"/>
  <c r="R884" i="44" s="1"/>
  <c r="N982" i="44"/>
  <c r="R982" i="44" s="1"/>
  <c r="R981" i="44" s="1"/>
  <c r="N988" i="43"/>
  <c r="R988" i="43" s="1"/>
  <c r="R987" i="43" s="1"/>
  <c r="N731" i="43"/>
  <c r="R731" i="43" s="1"/>
  <c r="N725" i="44"/>
  <c r="R725" i="44" s="1"/>
  <c r="N751" i="44"/>
  <c r="R751" i="44" s="1"/>
  <c r="N757" i="43"/>
  <c r="R757" i="43" s="1"/>
  <c r="N369" i="44"/>
  <c r="R369" i="44" s="1"/>
  <c r="N375" i="43"/>
  <c r="R375" i="43" s="1"/>
  <c r="N213" i="44"/>
  <c r="R213" i="44" s="1"/>
  <c r="N219" i="43"/>
  <c r="R219" i="43" s="1"/>
  <c r="N809" i="44"/>
  <c r="R809" i="44" s="1"/>
  <c r="N815" i="43"/>
  <c r="R815" i="43" s="1"/>
  <c r="N238" i="44"/>
  <c r="R238" i="44" s="1"/>
  <c r="N244" i="43"/>
  <c r="R244" i="43" s="1"/>
  <c r="N375" i="44"/>
  <c r="R375" i="44" s="1"/>
  <c r="N381" i="43"/>
  <c r="R381" i="43" s="1"/>
  <c r="N813" i="44"/>
  <c r="R813" i="44" s="1"/>
  <c r="N819" i="43"/>
  <c r="R819" i="43" s="1"/>
  <c r="N473" i="44"/>
  <c r="R473" i="44" s="1"/>
  <c r="N479" i="43"/>
  <c r="R479" i="43" s="1"/>
  <c r="N380" i="44"/>
  <c r="R380" i="44" s="1"/>
  <c r="N386" i="43"/>
  <c r="R386" i="43" s="1"/>
  <c r="N536" i="44"/>
  <c r="R536" i="44" s="1"/>
  <c r="N542" i="43"/>
  <c r="R542" i="43" s="1"/>
  <c r="N714" i="44"/>
  <c r="R714" i="44" s="1"/>
  <c r="N720" i="43"/>
  <c r="R720" i="43" s="1"/>
  <c r="N201" i="44"/>
  <c r="R201" i="44" s="1"/>
  <c r="N207" i="43"/>
  <c r="R207" i="43" s="1"/>
  <c r="N202" i="44"/>
  <c r="R202" i="44" s="1"/>
  <c r="N208" i="43"/>
  <c r="R208" i="43" s="1"/>
  <c r="N283" i="44"/>
  <c r="R283" i="44" s="1"/>
  <c r="N289" i="43"/>
  <c r="R289" i="43" s="1"/>
  <c r="N411" i="44"/>
  <c r="R411" i="44" s="1"/>
  <c r="N417" i="43"/>
  <c r="R417" i="43" s="1"/>
  <c r="N545" i="44"/>
  <c r="R545" i="44" s="1"/>
  <c r="N551" i="43"/>
  <c r="R551" i="43" s="1"/>
  <c r="N672" i="44"/>
  <c r="R672" i="44" s="1"/>
  <c r="N678" i="43"/>
  <c r="R678" i="43" s="1"/>
  <c r="N720" i="44"/>
  <c r="R720" i="44" s="1"/>
  <c r="N726" i="43"/>
  <c r="R726" i="43" s="1"/>
  <c r="N891" i="43"/>
  <c r="R891" i="43" s="1"/>
  <c r="N885" i="44"/>
  <c r="R885" i="44" s="1"/>
  <c r="N549" i="44"/>
  <c r="R549" i="44" s="1"/>
  <c r="N555" i="43"/>
  <c r="R555" i="43" s="1"/>
  <c r="N678" i="44"/>
  <c r="R678" i="44" s="1"/>
  <c r="N684" i="43"/>
  <c r="R684" i="43" s="1"/>
  <c r="N209" i="44"/>
  <c r="R209" i="44" s="1"/>
  <c r="N215" i="43"/>
  <c r="R215" i="43" s="1"/>
  <c r="N681" i="44"/>
  <c r="R681" i="44" s="1"/>
  <c r="N687" i="43"/>
  <c r="R687" i="43" s="1"/>
  <c r="N556" i="44"/>
  <c r="R556" i="44" s="1"/>
  <c r="N562" i="43"/>
  <c r="R562" i="43" s="1"/>
  <c r="N467" i="44"/>
  <c r="R467" i="44" s="1"/>
  <c r="N473" i="43"/>
  <c r="R473" i="43" s="1"/>
  <c r="N584" i="44"/>
  <c r="R584" i="44" s="1"/>
  <c r="N590" i="43"/>
  <c r="R590" i="43" s="1"/>
  <c r="N240" i="44"/>
  <c r="R240" i="44" s="1"/>
  <c r="N246" i="43"/>
  <c r="R246" i="43" s="1"/>
  <c r="N477" i="43"/>
  <c r="R477" i="43" s="1"/>
  <c r="N471" i="44"/>
  <c r="R471" i="44" s="1"/>
  <c r="N932" i="43"/>
  <c r="R932" i="43" s="1"/>
  <c r="N926" i="44"/>
  <c r="R926" i="44" s="1"/>
  <c r="N708" i="44"/>
  <c r="R708" i="44" s="1"/>
  <c r="N714" i="43"/>
  <c r="R714" i="43" s="1"/>
  <c r="N843" i="44"/>
  <c r="R843" i="44" s="1"/>
  <c r="N849" i="43"/>
  <c r="R849" i="43" s="1"/>
  <c r="N643" i="44"/>
  <c r="R643" i="44" s="1"/>
  <c r="N649" i="43"/>
  <c r="R649" i="43" s="1"/>
  <c r="N282" i="44"/>
  <c r="R282" i="44" s="1"/>
  <c r="N288" i="43"/>
  <c r="R288" i="43" s="1"/>
  <c r="N203" i="44"/>
  <c r="R203" i="44" s="1"/>
  <c r="N209" i="43"/>
  <c r="R209" i="43" s="1"/>
  <c r="N290" i="43"/>
  <c r="R290" i="43" s="1"/>
  <c r="N284" i="44"/>
  <c r="R284" i="44" s="1"/>
  <c r="N412" i="44"/>
  <c r="R412" i="44" s="1"/>
  <c r="N418" i="43"/>
  <c r="R418" i="43" s="1"/>
  <c r="N552" i="43"/>
  <c r="R552" i="43" s="1"/>
  <c r="N546" i="44"/>
  <c r="R546" i="44" s="1"/>
  <c r="N673" i="44"/>
  <c r="R673" i="44" s="1"/>
  <c r="N679" i="43"/>
  <c r="R679" i="43" s="1"/>
  <c r="N721" i="44"/>
  <c r="R721" i="44" s="1"/>
  <c r="N727" i="43"/>
  <c r="R727" i="43" s="1"/>
  <c r="N892" i="43"/>
  <c r="R892" i="43" s="1"/>
  <c r="N886" i="44"/>
  <c r="R886" i="44" s="1"/>
  <c r="N401" i="13"/>
  <c r="N402" i="13"/>
  <c r="N194" i="13"/>
  <c r="N404" i="13"/>
  <c r="N273" i="13"/>
  <c r="P466" i="36"/>
  <c r="N711" i="13"/>
  <c r="N712" i="13"/>
  <c r="N665" i="13"/>
  <c r="N714" i="13"/>
  <c r="N354" i="13"/>
  <c r="P471" i="36"/>
  <c r="N668" i="13"/>
  <c r="N199" i="13"/>
  <c r="N740" i="13"/>
  <c r="N741" i="13"/>
  <c r="N201" i="13"/>
  <c r="N421" i="13"/>
  <c r="N672" i="13"/>
  <c r="N203" i="13"/>
  <c r="N423" i="13"/>
  <c r="N798" i="13"/>
  <c r="N227" i="13"/>
  <c r="N457" i="13"/>
  <c r="N228" i="13"/>
  <c r="N458" i="13"/>
  <c r="N801" i="13"/>
  <c r="N369" i="13"/>
  <c r="N952" i="13"/>
  <c r="P498" i="36"/>
  <c r="N370" i="13"/>
  <c r="N953" i="13"/>
  <c r="P499" i="36"/>
  <c r="N371" i="13"/>
  <c r="N954" i="13"/>
  <c r="P500" i="36"/>
  <c r="N236" i="13"/>
  <c r="N526" i="13"/>
  <c r="N184" i="13"/>
  <c r="N702" i="13"/>
  <c r="N374" i="13"/>
  <c r="P459" i="36"/>
  <c r="N186" i="13"/>
  <c r="N529" i="13"/>
  <c r="N251" i="13"/>
  <c r="N387" i="13"/>
  <c r="N530" i="13"/>
  <c r="N634" i="13"/>
  <c r="N705" i="13"/>
  <c r="P461" i="36"/>
  <c r="N973" i="13"/>
  <c r="P508" i="36"/>
  <c r="N192" i="13"/>
  <c r="N535" i="13"/>
  <c r="N193" i="13"/>
  <c r="N285" i="13"/>
  <c r="P467" i="36"/>
  <c r="N403" i="13"/>
  <c r="P468" i="36"/>
  <c r="N713" i="13"/>
  <c r="N288" i="13"/>
  <c r="N539" i="13"/>
  <c r="N667" i="13"/>
  <c r="N198" i="13"/>
  <c r="N407" i="13"/>
  <c r="N669" i="13"/>
  <c r="P473" i="36"/>
  <c r="N670" i="13"/>
  <c r="N544" i="13"/>
  <c r="N202" i="13"/>
  <c r="N422" i="13"/>
  <c r="N796" i="13"/>
  <c r="N674" i="13"/>
  <c r="N571" i="13"/>
  <c r="N799" i="13"/>
  <c r="N800" i="13"/>
  <c r="N574" i="13"/>
  <c r="N230" i="13"/>
  <c r="N575" i="13"/>
  <c r="N231" i="13"/>
  <c r="N461" i="13"/>
  <c r="N804" i="13"/>
  <c r="N830" i="13"/>
  <c r="N234" i="13"/>
  <c r="N524" i="13"/>
  <c r="N700" i="13"/>
  <c r="N630" i="13"/>
  <c r="N631" i="13"/>
  <c r="N632" i="13"/>
  <c r="N633" i="13"/>
  <c r="N187" i="13"/>
  <c r="N188" i="13"/>
  <c r="N252" i="13"/>
  <c r="N388" i="13"/>
  <c r="N531" i="13"/>
  <c r="N635" i="13"/>
  <c r="N706" i="13"/>
  <c r="P462" i="36"/>
  <c r="P509" i="36"/>
  <c r="N662" i="13"/>
  <c r="N663" i="13"/>
  <c r="N664" i="13"/>
  <c r="N287" i="13"/>
  <c r="P469" i="36"/>
  <c r="N405" i="13"/>
  <c r="P470" i="36"/>
  <c r="N715" i="13"/>
  <c r="N355" i="13"/>
  <c r="P472" i="36"/>
  <c r="N542" i="13"/>
  <c r="N200" i="13"/>
  <c r="N543" i="13"/>
  <c r="N358" i="13"/>
  <c r="P475" i="36"/>
  <c r="N359" i="13"/>
  <c r="P476" i="36"/>
  <c r="N360" i="13"/>
  <c r="P477" i="36"/>
  <c r="N204" i="13"/>
  <c r="N570" i="13"/>
  <c r="N675" i="13"/>
  <c r="N572" i="13"/>
  <c r="N677" i="13"/>
  <c r="N229" i="13"/>
  <c r="N459" i="13"/>
  <c r="N802" i="13"/>
  <c r="N367" i="13"/>
  <c r="N950" i="13"/>
  <c r="P496" i="36"/>
  <c r="N368" i="13"/>
  <c r="N951" i="13"/>
  <c r="P497" i="36"/>
  <c r="N579" i="13"/>
  <c r="N629" i="13"/>
  <c r="N833" i="13"/>
  <c r="N867" i="13"/>
  <c r="N185" i="13"/>
  <c r="N528" i="13"/>
  <c r="N375" i="13"/>
  <c r="P460" i="36"/>
  <c r="N253" i="13"/>
  <c r="N398" i="13"/>
  <c r="N532" i="13"/>
  <c r="N636" i="13"/>
  <c r="N707" i="13"/>
  <c r="P463" i="36"/>
  <c r="N1037" i="13"/>
  <c r="N710" i="13"/>
  <c r="N536" i="13"/>
  <c r="N286" i="13"/>
  <c r="N537" i="13"/>
  <c r="N195" i="13"/>
  <c r="N538" i="13"/>
  <c r="N196" i="13"/>
  <c r="N666" i="13"/>
  <c r="N197" i="13"/>
  <c r="N406" i="13"/>
  <c r="N541" i="13"/>
  <c r="N408" i="13"/>
  <c r="N357" i="13"/>
  <c r="N409" i="13"/>
  <c r="N742" i="13"/>
  <c r="N545" i="13"/>
  <c r="N673" i="13"/>
  <c r="N361" i="13"/>
  <c r="P478" i="36"/>
  <c r="N362" i="13"/>
  <c r="P479" i="36"/>
  <c r="N676" i="13"/>
  <c r="N573" i="13"/>
  <c r="N460" i="13"/>
  <c r="N803" i="13"/>
  <c r="N577" i="13"/>
  <c r="N233" i="13"/>
  <c r="N578" i="13"/>
  <c r="N235" i="13"/>
  <c r="N525" i="13"/>
  <c r="N701" i="13"/>
  <c r="N373" i="13"/>
  <c r="N956" i="13"/>
  <c r="P502" i="36"/>
  <c r="N703" i="13"/>
  <c r="N704" i="13"/>
  <c r="N399" i="13"/>
  <c r="N533" i="13"/>
  <c r="N660" i="13"/>
  <c r="N708" i="13"/>
  <c r="P464" i="36"/>
  <c r="N1039" i="13"/>
  <c r="P513" i="36"/>
  <c r="N540" i="13"/>
  <c r="N739" i="13"/>
  <c r="N356" i="13"/>
  <c r="P474" i="36"/>
  <c r="N671" i="13"/>
  <c r="N743" i="13"/>
  <c r="N569" i="13"/>
  <c r="N797" i="13"/>
  <c r="N205" i="13"/>
  <c r="N456" i="13"/>
  <c r="N363" i="13"/>
  <c r="N946" i="13"/>
  <c r="P492" i="36"/>
  <c r="N364" i="13"/>
  <c r="N947" i="13"/>
  <c r="P493" i="36"/>
  <c r="N365" i="13"/>
  <c r="N948" i="13"/>
  <c r="P494" i="36"/>
  <c r="N366" i="13"/>
  <c r="N949" i="13"/>
  <c r="P495" i="36"/>
  <c r="N576" i="13"/>
  <c r="N232" i="13"/>
  <c r="N462" i="13"/>
  <c r="N831" i="13"/>
  <c r="N832" i="13"/>
  <c r="N372" i="13"/>
  <c r="N955" i="13"/>
  <c r="P501" i="36"/>
  <c r="N237" i="13"/>
  <c r="N527" i="13"/>
  <c r="N238" i="13"/>
  <c r="N971" i="13"/>
  <c r="P506" i="36"/>
  <c r="N239" i="13"/>
  <c r="N972" i="13"/>
  <c r="P507" i="36"/>
  <c r="N189" i="13"/>
  <c r="N190" i="13"/>
  <c r="N271" i="13"/>
  <c r="N191" i="13"/>
  <c r="N272" i="13"/>
  <c r="N400" i="13"/>
  <c r="N534" i="13"/>
  <c r="N661" i="13"/>
  <c r="N709" i="13"/>
  <c r="P465" i="36"/>
  <c r="W5" i="36"/>
  <c r="W6" i="36"/>
  <c r="W3" i="36"/>
  <c r="W7" i="36"/>
  <c r="W4" i="36"/>
  <c r="W2" i="36"/>
  <c r="W15" i="36"/>
  <c r="N29" i="13"/>
  <c r="R29" i="13" s="1"/>
  <c r="Y17" i="36"/>
  <c r="W17" i="36"/>
  <c r="N31" i="13"/>
  <c r="R31" i="13" s="1"/>
  <c r="W16" i="36"/>
  <c r="N30" i="13"/>
  <c r="R30" i="13" s="1"/>
  <c r="W18" i="36"/>
  <c r="N32" i="13"/>
  <c r="R32" i="13" s="1"/>
  <c r="N455" i="13"/>
  <c r="N443" i="13"/>
  <c r="W19" i="36"/>
  <c r="W20" i="36"/>
  <c r="N34" i="13"/>
  <c r="R34" i="13" s="1"/>
  <c r="W21" i="36"/>
  <c r="N35" i="13"/>
  <c r="R35" i="13" s="1"/>
  <c r="W22" i="36"/>
  <c r="N47" i="13"/>
  <c r="R47" i="13" s="1"/>
  <c r="W8" i="36"/>
  <c r="N22" i="13"/>
  <c r="R22" i="13" s="1"/>
  <c r="W11" i="36"/>
  <c r="N25" i="13"/>
  <c r="R25" i="13" s="1"/>
  <c r="W13" i="36"/>
  <c r="N27" i="13"/>
  <c r="R27" i="13" s="1"/>
  <c r="W9" i="36"/>
  <c r="N23" i="13"/>
  <c r="R23" i="13" s="1"/>
  <c r="W10" i="36"/>
  <c r="N24" i="13"/>
  <c r="R24" i="13" s="1"/>
  <c r="W12" i="36"/>
  <c r="N26" i="13"/>
  <c r="R26" i="13" s="1"/>
  <c r="W14" i="36"/>
  <c r="N28" i="13"/>
  <c r="R28" i="13" s="1"/>
  <c r="P32" i="36"/>
  <c r="P38" i="36"/>
  <c r="N57" i="13"/>
  <c r="R57" i="13" s="1"/>
  <c r="P48" i="36"/>
  <c r="N58" i="13"/>
  <c r="R58" i="13" s="1"/>
  <c r="P49" i="36"/>
  <c r="P36" i="36"/>
  <c r="P37" i="36"/>
  <c r="N56" i="13"/>
  <c r="R56" i="13" s="1"/>
  <c r="P47" i="36"/>
  <c r="N61" i="13"/>
  <c r="R61" i="13" s="1"/>
  <c r="P52" i="36"/>
  <c r="N63" i="13"/>
  <c r="R63" i="13" s="1"/>
  <c r="P54" i="36"/>
  <c r="N65" i="13"/>
  <c r="R65" i="13" s="1"/>
  <c r="N20" i="13"/>
  <c r="R20" i="13" s="1"/>
  <c r="P21" i="36"/>
  <c r="P24" i="36"/>
  <c r="N81" i="13"/>
  <c r="R81" i="13" s="1"/>
  <c r="P35" i="36"/>
  <c r="P18" i="36"/>
  <c r="N68" i="13"/>
  <c r="R68" i="13" s="1"/>
  <c r="P25" i="36"/>
  <c r="N82" i="13"/>
  <c r="R82" i="13" s="1"/>
  <c r="N48" i="13"/>
  <c r="R48" i="13" s="1"/>
  <c r="P39" i="36"/>
  <c r="N64" i="13"/>
  <c r="R64" i="13" s="1"/>
  <c r="N19" i="13"/>
  <c r="R19" i="13" s="1"/>
  <c r="P20" i="36"/>
  <c r="N160" i="13"/>
  <c r="R160" i="13" s="1"/>
  <c r="N67" i="13"/>
  <c r="R67" i="13" s="1"/>
  <c r="P26" i="36"/>
  <c r="N83" i="13"/>
  <c r="R83" i="13" s="1"/>
  <c r="N49" i="13"/>
  <c r="R49" i="13" s="1"/>
  <c r="P40" i="36"/>
  <c r="N59" i="13"/>
  <c r="R59" i="13" s="1"/>
  <c r="P50" i="36"/>
  <c r="N161" i="13"/>
  <c r="R161" i="13" s="1"/>
  <c r="P27" i="36"/>
  <c r="P31" i="36"/>
  <c r="P34" i="36"/>
  <c r="N60" i="13"/>
  <c r="R60" i="13" s="1"/>
  <c r="P51" i="36"/>
  <c r="N62" i="13"/>
  <c r="R62" i="13" s="1"/>
  <c r="P53" i="36"/>
  <c r="N18" i="13"/>
  <c r="R18" i="13" s="1"/>
  <c r="P19" i="36"/>
  <c r="N159" i="13"/>
  <c r="R159" i="13" s="1"/>
  <c r="N66" i="13"/>
  <c r="R66" i="13" s="1"/>
  <c r="N21" i="13"/>
  <c r="R21" i="13" s="1"/>
  <c r="P22" i="36"/>
  <c r="P23" i="36"/>
  <c r="N84" i="13"/>
  <c r="R84" i="13" s="1"/>
  <c r="P28" i="36"/>
  <c r="N85" i="13"/>
  <c r="R85" i="13" s="1"/>
  <c r="P30" i="36"/>
  <c r="N50" i="13"/>
  <c r="R50" i="13" s="1"/>
  <c r="P41" i="36"/>
  <c r="N55" i="13"/>
  <c r="R55" i="13" s="1"/>
  <c r="P46" i="36"/>
  <c r="P17" i="36"/>
  <c r="N69" i="13"/>
  <c r="R69" i="13" s="1"/>
  <c r="P29" i="36"/>
  <c r="T922" i="13"/>
  <c r="T921" i="13"/>
  <c r="T920" i="13"/>
  <c r="T919" i="13"/>
  <c r="T918" i="13"/>
  <c r="T917" i="13"/>
  <c r="T916" i="13"/>
  <c r="T915" i="13"/>
  <c r="T914" i="13"/>
  <c r="T913" i="13"/>
  <c r="P696" i="13"/>
  <c r="P16" i="13"/>
  <c r="Q101" i="36" l="1"/>
  <c r="R812" i="43"/>
  <c r="R540" i="43"/>
  <c r="R676" i="43"/>
  <c r="P586" i="44"/>
  <c r="T586" i="44" s="1"/>
  <c r="S586" i="44" s="1"/>
  <c r="P592" i="43"/>
  <c r="T592" i="43" s="1"/>
  <c r="S592" i="43" s="1"/>
  <c r="R158" i="43"/>
  <c r="P270" i="43"/>
  <c r="T270" i="43" s="1"/>
  <c r="S270" i="43" s="1"/>
  <c r="P264" i="44"/>
  <c r="T264" i="44" s="1"/>
  <c r="S264" i="44" s="1"/>
  <c r="P239" i="44"/>
  <c r="T239" i="44" s="1"/>
  <c r="S239" i="44" s="1"/>
  <c r="P245" i="43"/>
  <c r="T245" i="43" s="1"/>
  <c r="S245" i="43" s="1"/>
  <c r="P375" i="44"/>
  <c r="T375" i="44" s="1"/>
  <c r="S375" i="44" s="1"/>
  <c r="P381" i="43"/>
  <c r="T381" i="43" s="1"/>
  <c r="S381" i="43" s="1"/>
  <c r="P475" i="43"/>
  <c r="T475" i="43" s="1"/>
  <c r="S475" i="43" s="1"/>
  <c r="P469" i="44"/>
  <c r="T469" i="44" s="1"/>
  <c r="S469" i="44" s="1"/>
  <c r="P584" i="44"/>
  <c r="T584" i="44" s="1"/>
  <c r="S584" i="44" s="1"/>
  <c r="P590" i="43"/>
  <c r="T590" i="43" s="1"/>
  <c r="S590" i="43" s="1"/>
  <c r="P688" i="44"/>
  <c r="T688" i="44" s="1"/>
  <c r="S688" i="44" s="1"/>
  <c r="P694" i="43"/>
  <c r="T694" i="43" s="1"/>
  <c r="S694" i="43" s="1"/>
  <c r="P811" i="44"/>
  <c r="T811" i="44" s="1"/>
  <c r="S811" i="44" s="1"/>
  <c r="P817" i="43"/>
  <c r="T817" i="43" s="1"/>
  <c r="S817" i="43" s="1"/>
  <c r="P924" i="44"/>
  <c r="T924" i="44" s="1"/>
  <c r="S924" i="44" s="1"/>
  <c r="P930" i="43"/>
  <c r="T930" i="43" s="1"/>
  <c r="S930" i="43" s="1"/>
  <c r="P204" i="43"/>
  <c r="T204" i="43" s="1"/>
  <c r="S204" i="43" s="1"/>
  <c r="P198" i="44"/>
  <c r="T198" i="44" s="1"/>
  <c r="S198" i="44" s="1"/>
  <c r="P671" i="44"/>
  <c r="T671" i="44" s="1"/>
  <c r="P677" i="43"/>
  <c r="T677" i="43" s="1"/>
  <c r="P240" i="44"/>
  <c r="T240" i="44" s="1"/>
  <c r="S240" i="44" s="1"/>
  <c r="P246" i="43"/>
  <c r="T246" i="43" s="1"/>
  <c r="S246" i="43" s="1"/>
  <c r="P382" i="43"/>
  <c r="T382" i="43" s="1"/>
  <c r="S382" i="43" s="1"/>
  <c r="P376" i="44"/>
  <c r="T376" i="44" s="1"/>
  <c r="S376" i="44" s="1"/>
  <c r="P470" i="44"/>
  <c r="T470" i="44" s="1"/>
  <c r="S470" i="44" s="1"/>
  <c r="P476" i="43"/>
  <c r="T476" i="43" s="1"/>
  <c r="S476" i="43" s="1"/>
  <c r="P591" i="43"/>
  <c r="T591" i="43" s="1"/>
  <c r="S591" i="43" s="1"/>
  <c r="P585" i="44"/>
  <c r="T585" i="44" s="1"/>
  <c r="S585" i="44" s="1"/>
  <c r="P812" i="44"/>
  <c r="T812" i="44" s="1"/>
  <c r="S812" i="44" s="1"/>
  <c r="P818" i="43"/>
  <c r="T818" i="43" s="1"/>
  <c r="S818" i="43" s="1"/>
  <c r="P931" i="43"/>
  <c r="T931" i="43" s="1"/>
  <c r="S931" i="43" s="1"/>
  <c r="P925" i="44"/>
  <c r="T925" i="44" s="1"/>
  <c r="S925" i="44" s="1"/>
  <c r="P932" i="43"/>
  <c r="T932" i="43" s="1"/>
  <c r="S932" i="43" s="1"/>
  <c r="P926" i="44"/>
  <c r="T926" i="44" s="1"/>
  <c r="S926" i="44" s="1"/>
  <c r="P589" i="44"/>
  <c r="T589" i="44" s="1"/>
  <c r="S589" i="44" s="1"/>
  <c r="P595" i="43"/>
  <c r="T595" i="43" s="1"/>
  <c r="S595" i="43" s="1"/>
  <c r="P535" i="44"/>
  <c r="T535" i="44" s="1"/>
  <c r="P541" i="43"/>
  <c r="T541" i="43" s="1"/>
  <c r="P713" i="44"/>
  <c r="T713" i="44" s="1"/>
  <c r="S713" i="44" s="1"/>
  <c r="P719" i="43"/>
  <c r="T719" i="43" s="1"/>
  <c r="S719" i="43" s="1"/>
  <c r="P643" i="44"/>
  <c r="T643" i="44" s="1"/>
  <c r="S643" i="44" s="1"/>
  <c r="P649" i="43"/>
  <c r="T649" i="43" s="1"/>
  <c r="S649" i="43" s="1"/>
  <c r="P714" i="44"/>
  <c r="T714" i="44" s="1"/>
  <c r="S714" i="44" s="1"/>
  <c r="P720" i="43"/>
  <c r="T720" i="43" s="1"/>
  <c r="S720" i="43" s="1"/>
  <c r="P879" i="44"/>
  <c r="T879" i="44" s="1"/>
  <c r="S879" i="44" s="1"/>
  <c r="P885" i="43"/>
  <c r="T885" i="43" s="1"/>
  <c r="S885" i="43" s="1"/>
  <c r="P948" i="44"/>
  <c r="T948" i="44" s="1"/>
  <c r="S948" i="44" s="1"/>
  <c r="P954" i="43"/>
  <c r="T954" i="43" s="1"/>
  <c r="S954" i="43" s="1"/>
  <c r="R158" i="44"/>
  <c r="P248" i="43"/>
  <c r="T248" i="43" s="1"/>
  <c r="S248" i="43" s="1"/>
  <c r="P242" i="44"/>
  <c r="T242" i="44" s="1"/>
  <c r="S242" i="44" s="1"/>
  <c r="P245" i="44"/>
  <c r="T245" i="44" s="1"/>
  <c r="S245" i="44" s="1"/>
  <c r="P251" i="43"/>
  <c r="T251" i="43" s="1"/>
  <c r="S251" i="43" s="1"/>
  <c r="P538" i="44"/>
  <c r="T538" i="44" s="1"/>
  <c r="S538" i="44" s="1"/>
  <c r="P544" i="43"/>
  <c r="T544" i="43" s="1"/>
  <c r="S544" i="43" s="1"/>
  <c r="P715" i="44"/>
  <c r="T715" i="44" s="1"/>
  <c r="S715" i="44" s="1"/>
  <c r="P721" i="43"/>
  <c r="T721" i="43" s="1"/>
  <c r="S721" i="43" s="1"/>
  <c r="P399" i="44"/>
  <c r="T399" i="44" s="1"/>
  <c r="S399" i="44" s="1"/>
  <c r="P405" i="43"/>
  <c r="T405" i="43" s="1"/>
  <c r="S405" i="43" s="1"/>
  <c r="R806" i="44"/>
  <c r="P820" i="43"/>
  <c r="T820" i="43" s="1"/>
  <c r="S820" i="43" s="1"/>
  <c r="P814" i="44"/>
  <c r="T814" i="44" s="1"/>
  <c r="S814" i="44" s="1"/>
  <c r="P815" i="44"/>
  <c r="T815" i="44" s="1"/>
  <c r="S815" i="44" s="1"/>
  <c r="P821" i="43"/>
  <c r="T821" i="43" s="1"/>
  <c r="S821" i="43" s="1"/>
  <c r="R670" i="44"/>
  <c r="P930" i="44"/>
  <c r="T930" i="44" s="1"/>
  <c r="S930" i="44" s="1"/>
  <c r="P936" i="43"/>
  <c r="T936" i="43" s="1"/>
  <c r="S936" i="43" s="1"/>
  <c r="R370" i="43"/>
  <c r="P850" i="43"/>
  <c r="T850" i="43" s="1"/>
  <c r="S850" i="43" s="1"/>
  <c r="P844" i="44"/>
  <c r="T844" i="44" s="1"/>
  <c r="S844" i="44" s="1"/>
  <c r="P384" i="44"/>
  <c r="T384" i="44" s="1"/>
  <c r="S384" i="44" s="1"/>
  <c r="P390" i="43"/>
  <c r="T390" i="43" s="1"/>
  <c r="S390" i="43" s="1"/>
  <c r="P650" i="43"/>
  <c r="T650" i="43" s="1"/>
  <c r="S650" i="43" s="1"/>
  <c r="P644" i="44"/>
  <c r="T644" i="44" s="1"/>
  <c r="S644" i="44" s="1"/>
  <c r="P716" i="44"/>
  <c r="T716" i="44" s="1"/>
  <c r="S716" i="44" s="1"/>
  <c r="P722" i="43"/>
  <c r="T722" i="43" s="1"/>
  <c r="S722" i="43" s="1"/>
  <c r="P982" i="44"/>
  <c r="T982" i="44" s="1"/>
  <c r="P988" i="43"/>
  <c r="T988" i="43" s="1"/>
  <c r="R194" i="44"/>
  <c r="P722" i="44"/>
  <c r="T722" i="44" s="1"/>
  <c r="S722" i="44" s="1"/>
  <c r="P728" i="43"/>
  <c r="T728" i="43" s="1"/>
  <c r="S728" i="43" s="1"/>
  <c r="P548" i="44"/>
  <c r="T548" i="44" s="1"/>
  <c r="S548" i="44" s="1"/>
  <c r="P554" i="43"/>
  <c r="T554" i="43" s="1"/>
  <c r="S554" i="43" s="1"/>
  <c r="P675" i="44"/>
  <c r="T675" i="44" s="1"/>
  <c r="S675" i="44" s="1"/>
  <c r="P681" i="43"/>
  <c r="T681" i="43" s="1"/>
  <c r="S681" i="43" s="1"/>
  <c r="P723" i="44"/>
  <c r="T723" i="44" s="1"/>
  <c r="S723" i="44" s="1"/>
  <c r="P729" i="43"/>
  <c r="T729" i="43" s="1"/>
  <c r="S729" i="43" s="1"/>
  <c r="P888" i="44"/>
  <c r="T888" i="44" s="1"/>
  <c r="S888" i="44" s="1"/>
  <c r="P894" i="43"/>
  <c r="T894" i="43" s="1"/>
  <c r="S894" i="43" s="1"/>
  <c r="P206" i="44"/>
  <c r="T206" i="44" s="1"/>
  <c r="S206" i="44" s="1"/>
  <c r="P212" i="43"/>
  <c r="T212" i="43" s="1"/>
  <c r="S212" i="43" s="1"/>
  <c r="P304" i="43"/>
  <c r="T304" i="43" s="1"/>
  <c r="S304" i="43" s="1"/>
  <c r="P298" i="44"/>
  <c r="T298" i="44" s="1"/>
  <c r="S298" i="44" s="1"/>
  <c r="P415" i="44"/>
  <c r="T415" i="44" s="1"/>
  <c r="S415" i="44" s="1"/>
  <c r="P421" i="43"/>
  <c r="T421" i="43" s="1"/>
  <c r="S421" i="43" s="1"/>
  <c r="P549" i="44"/>
  <c r="T549" i="44" s="1"/>
  <c r="S549" i="44" s="1"/>
  <c r="P555" i="43"/>
  <c r="T555" i="43" s="1"/>
  <c r="S555" i="43" s="1"/>
  <c r="P676" i="44"/>
  <c r="T676" i="44" s="1"/>
  <c r="S676" i="44" s="1"/>
  <c r="P682" i="43"/>
  <c r="T682" i="43" s="1"/>
  <c r="S682" i="43" s="1"/>
  <c r="P730" i="43"/>
  <c r="T730" i="43" s="1"/>
  <c r="S730" i="43" s="1"/>
  <c r="P724" i="44"/>
  <c r="T724" i="44" s="1"/>
  <c r="S724" i="44" s="1"/>
  <c r="P889" i="44"/>
  <c r="T889" i="44" s="1"/>
  <c r="S889" i="44" s="1"/>
  <c r="P895" i="43"/>
  <c r="T895" i="43" s="1"/>
  <c r="S895" i="43" s="1"/>
  <c r="P243" i="44"/>
  <c r="T243" i="44" s="1"/>
  <c r="S243" i="44" s="1"/>
  <c r="P249" i="43"/>
  <c r="T249" i="43" s="1"/>
  <c r="S249" i="43" s="1"/>
  <c r="P380" i="44"/>
  <c r="T380" i="44" s="1"/>
  <c r="S380" i="44" s="1"/>
  <c r="P386" i="43"/>
  <c r="T386" i="43" s="1"/>
  <c r="S386" i="43" s="1"/>
  <c r="P718" i="43"/>
  <c r="T718" i="43" s="1"/>
  <c r="S718" i="43" s="1"/>
  <c r="P712" i="44"/>
  <c r="T712" i="44" s="1"/>
  <c r="S712" i="44" s="1"/>
  <c r="P205" i="43"/>
  <c r="T205" i="43" s="1"/>
  <c r="S205" i="43" s="1"/>
  <c r="P199" i="44"/>
  <c r="T199" i="44" s="1"/>
  <c r="S199" i="44" s="1"/>
  <c r="P411" i="44"/>
  <c r="T411" i="44" s="1"/>
  <c r="S411" i="44" s="1"/>
  <c r="P417" i="43"/>
  <c r="T417" i="43" s="1"/>
  <c r="S417" i="43" s="1"/>
  <c r="P419" i="43"/>
  <c r="T419" i="43" s="1"/>
  <c r="S419" i="43" s="1"/>
  <c r="P413" i="44"/>
  <c r="T413" i="44" s="1"/>
  <c r="S413" i="44" s="1"/>
  <c r="P550" i="44"/>
  <c r="T550" i="44" s="1"/>
  <c r="S550" i="44" s="1"/>
  <c r="P556" i="43"/>
  <c r="T556" i="43" s="1"/>
  <c r="S556" i="43" s="1"/>
  <c r="P683" i="43"/>
  <c r="T683" i="43" s="1"/>
  <c r="S683" i="43" s="1"/>
  <c r="P677" i="44"/>
  <c r="T677" i="44" s="1"/>
  <c r="S677" i="44" s="1"/>
  <c r="P725" i="44"/>
  <c r="T725" i="44" s="1"/>
  <c r="S725" i="44" s="1"/>
  <c r="P731" i="43"/>
  <c r="T731" i="43" s="1"/>
  <c r="S731" i="43" s="1"/>
  <c r="P896" i="43"/>
  <c r="T896" i="43" s="1"/>
  <c r="S896" i="43" s="1"/>
  <c r="P890" i="44"/>
  <c r="T890" i="44" s="1"/>
  <c r="S890" i="44" s="1"/>
  <c r="R840" i="44"/>
  <c r="P881" i="44"/>
  <c r="T881" i="44" s="1"/>
  <c r="S881" i="44" s="1"/>
  <c r="P887" i="43"/>
  <c r="T887" i="43" s="1"/>
  <c r="S887" i="43" s="1"/>
  <c r="P882" i="44"/>
  <c r="T882" i="44" s="1"/>
  <c r="S882" i="44" s="1"/>
  <c r="P888" i="43"/>
  <c r="T888" i="43" s="1"/>
  <c r="S888" i="43" s="1"/>
  <c r="P409" i="44"/>
  <c r="T409" i="44" s="1"/>
  <c r="S409" i="44" s="1"/>
  <c r="P415" i="43"/>
  <c r="T415" i="43" s="1"/>
  <c r="S415" i="43" s="1"/>
  <c r="P890" i="43"/>
  <c r="T890" i="43" s="1"/>
  <c r="S890" i="43" s="1"/>
  <c r="P884" i="44"/>
  <c r="T884" i="44" s="1"/>
  <c r="S884" i="44" s="1"/>
  <c r="P202" i="44"/>
  <c r="T202" i="44" s="1"/>
  <c r="S202" i="44" s="1"/>
  <c r="P208" i="43"/>
  <c r="T208" i="43" s="1"/>
  <c r="S208" i="43" s="1"/>
  <c r="P546" i="44"/>
  <c r="T546" i="44" s="1"/>
  <c r="S546" i="44" s="1"/>
  <c r="P552" i="43"/>
  <c r="T552" i="43" s="1"/>
  <c r="S552" i="43" s="1"/>
  <c r="P365" i="44"/>
  <c r="T365" i="44" s="1"/>
  <c r="P371" i="43"/>
  <c r="T371" i="43" s="1"/>
  <c r="P417" i="44"/>
  <c r="T417" i="44" s="1"/>
  <c r="S417" i="44" s="1"/>
  <c r="P423" i="43"/>
  <c r="T423" i="43" s="1"/>
  <c r="S423" i="43" s="1"/>
  <c r="P557" i="43"/>
  <c r="T557" i="43" s="1"/>
  <c r="S557" i="43" s="1"/>
  <c r="P551" i="44"/>
  <c r="T551" i="44" s="1"/>
  <c r="S551" i="44" s="1"/>
  <c r="P684" i="43"/>
  <c r="T684" i="43" s="1"/>
  <c r="S684" i="43" s="1"/>
  <c r="P678" i="44"/>
  <c r="T678" i="44" s="1"/>
  <c r="S678" i="44" s="1"/>
  <c r="P726" i="44"/>
  <c r="T726" i="44" s="1"/>
  <c r="S726" i="44" s="1"/>
  <c r="P732" i="43"/>
  <c r="T732" i="43" s="1"/>
  <c r="S732" i="43" s="1"/>
  <c r="P891" i="44"/>
  <c r="T891" i="44" s="1"/>
  <c r="S891" i="44" s="1"/>
  <c r="P897" i="43"/>
  <c r="T897" i="43" s="1"/>
  <c r="S897" i="43" s="1"/>
  <c r="R846" i="43"/>
  <c r="P381" i="44"/>
  <c r="T381" i="44" s="1"/>
  <c r="S381" i="44" s="1"/>
  <c r="P387" i="43"/>
  <c r="T387" i="43" s="1"/>
  <c r="S387" i="43" s="1"/>
  <c r="P382" i="44"/>
  <c r="T382" i="44" s="1"/>
  <c r="S382" i="44" s="1"/>
  <c r="P388" i="43"/>
  <c r="T388" i="43" s="1"/>
  <c r="S388" i="43" s="1"/>
  <c r="P262" i="44"/>
  <c r="T262" i="44" s="1"/>
  <c r="S262" i="44" s="1"/>
  <c r="P268" i="43"/>
  <c r="T268" i="43" s="1"/>
  <c r="S268" i="43" s="1"/>
  <c r="P951" i="44"/>
  <c r="T951" i="44" s="1"/>
  <c r="S951" i="44" s="1"/>
  <c r="P957" i="43"/>
  <c r="T957" i="43" s="1"/>
  <c r="S957" i="43" s="1"/>
  <c r="P205" i="44"/>
  <c r="T205" i="44" s="1"/>
  <c r="S205" i="44" s="1"/>
  <c r="P211" i="43"/>
  <c r="T211" i="43" s="1"/>
  <c r="S211" i="43" s="1"/>
  <c r="P215" i="43"/>
  <c r="T215" i="43" s="1"/>
  <c r="S215" i="43" s="1"/>
  <c r="P209" i="44"/>
  <c r="T209" i="44" s="1"/>
  <c r="S209" i="44" s="1"/>
  <c r="P679" i="44"/>
  <c r="T679" i="44" s="1"/>
  <c r="S679" i="44" s="1"/>
  <c r="P685" i="43"/>
  <c r="T685" i="43" s="1"/>
  <c r="S685" i="43" s="1"/>
  <c r="P756" i="43"/>
  <c r="T756" i="43" s="1"/>
  <c r="S756" i="43" s="1"/>
  <c r="P750" i="44"/>
  <c r="T750" i="44" s="1"/>
  <c r="S750" i="44" s="1"/>
  <c r="P892" i="44"/>
  <c r="T892" i="44" s="1"/>
  <c r="S892" i="44" s="1"/>
  <c r="P898" i="43"/>
  <c r="T898" i="43" s="1"/>
  <c r="S898" i="43" s="1"/>
  <c r="R710" i="43"/>
  <c r="P383" i="43"/>
  <c r="T383" i="43" s="1"/>
  <c r="S383" i="43" s="1"/>
  <c r="P377" i="44"/>
  <c r="T377" i="44" s="1"/>
  <c r="S377" i="44" s="1"/>
  <c r="P927" i="44"/>
  <c r="T927" i="44" s="1"/>
  <c r="S927" i="44" s="1"/>
  <c r="P933" i="43"/>
  <c r="T933" i="43" s="1"/>
  <c r="S933" i="43" s="1"/>
  <c r="R534" i="44"/>
  <c r="P640" i="44"/>
  <c r="T640" i="44" s="1"/>
  <c r="S640" i="44" s="1"/>
  <c r="P646" i="43"/>
  <c r="T646" i="43" s="1"/>
  <c r="S646" i="43" s="1"/>
  <c r="P939" i="43"/>
  <c r="T939" i="43" s="1"/>
  <c r="S939" i="43" s="1"/>
  <c r="P933" i="44"/>
  <c r="T933" i="44" s="1"/>
  <c r="S933" i="44" s="1"/>
  <c r="P202" i="43"/>
  <c r="T202" i="43" s="1"/>
  <c r="S202" i="43" s="1"/>
  <c r="P196" i="44"/>
  <c r="T196" i="44" s="1"/>
  <c r="S196" i="44" s="1"/>
  <c r="P547" i="44"/>
  <c r="T547" i="44" s="1"/>
  <c r="S547" i="44" s="1"/>
  <c r="P553" i="43"/>
  <c r="T553" i="43" s="1"/>
  <c r="S553" i="43" s="1"/>
  <c r="P757" i="43"/>
  <c r="T757" i="43" s="1"/>
  <c r="S757" i="43" s="1"/>
  <c r="P751" i="44"/>
  <c r="T751" i="44" s="1"/>
  <c r="S751" i="44" s="1"/>
  <c r="R704" i="44"/>
  <c r="P472" i="44"/>
  <c r="T472" i="44" s="1"/>
  <c r="S472" i="44" s="1"/>
  <c r="P478" i="43"/>
  <c r="T478" i="43" s="1"/>
  <c r="S478" i="43" s="1"/>
  <c r="P246" i="44"/>
  <c r="T246" i="44" s="1"/>
  <c r="S246" i="44" s="1"/>
  <c r="P252" i="43"/>
  <c r="T252" i="43" s="1"/>
  <c r="S252" i="43" s="1"/>
  <c r="P197" i="44"/>
  <c r="T197" i="44" s="1"/>
  <c r="S197" i="44" s="1"/>
  <c r="P203" i="43"/>
  <c r="T203" i="43" s="1"/>
  <c r="S203" i="43" s="1"/>
  <c r="P880" i="44"/>
  <c r="T880" i="44" s="1"/>
  <c r="S880" i="44" s="1"/>
  <c r="P886" i="43"/>
  <c r="T886" i="43" s="1"/>
  <c r="S886" i="43" s="1"/>
  <c r="P950" i="44"/>
  <c r="T950" i="44" s="1"/>
  <c r="S950" i="44" s="1"/>
  <c r="P956" i="43"/>
  <c r="T956" i="43" s="1"/>
  <c r="S956" i="43" s="1"/>
  <c r="P889" i="43"/>
  <c r="T889" i="43" s="1"/>
  <c r="S889" i="43" s="1"/>
  <c r="P883" i="44"/>
  <c r="T883" i="44" s="1"/>
  <c r="S883" i="44" s="1"/>
  <c r="P412" i="44"/>
  <c r="T412" i="44" s="1"/>
  <c r="S412" i="44" s="1"/>
  <c r="P418" i="43"/>
  <c r="T418" i="43" s="1"/>
  <c r="S418" i="43" s="1"/>
  <c r="P204" i="44"/>
  <c r="T204" i="44" s="1"/>
  <c r="S204" i="44" s="1"/>
  <c r="P210" i="43"/>
  <c r="T210" i="43" s="1"/>
  <c r="S210" i="43" s="1"/>
  <c r="P420" i="43"/>
  <c r="T420" i="43" s="1"/>
  <c r="S420" i="43" s="1"/>
  <c r="P414" i="44"/>
  <c r="T414" i="44" s="1"/>
  <c r="S414" i="44" s="1"/>
  <c r="P418" i="44"/>
  <c r="T418" i="44" s="1"/>
  <c r="S418" i="44" s="1"/>
  <c r="P424" i="43"/>
  <c r="T424" i="43" s="1"/>
  <c r="S424" i="43" s="1"/>
  <c r="P559" i="43"/>
  <c r="T559" i="43" s="1"/>
  <c r="S559" i="43" s="1"/>
  <c r="P553" i="44"/>
  <c r="T553" i="44" s="1"/>
  <c r="S553" i="44" s="1"/>
  <c r="P893" i="44"/>
  <c r="T893" i="44" s="1"/>
  <c r="S893" i="44" s="1"/>
  <c r="P899" i="43"/>
  <c r="T899" i="43" s="1"/>
  <c r="S899" i="43" s="1"/>
  <c r="P368" i="44"/>
  <c r="T368" i="44" s="1"/>
  <c r="S368" i="44" s="1"/>
  <c r="P374" i="43"/>
  <c r="T374" i="43" s="1"/>
  <c r="S374" i="43" s="1"/>
  <c r="P420" i="44"/>
  <c r="T420" i="44" s="1"/>
  <c r="S420" i="44" s="1"/>
  <c r="P426" i="43"/>
  <c r="T426" i="43" s="1"/>
  <c r="S426" i="43" s="1"/>
  <c r="P681" i="44"/>
  <c r="T681" i="44" s="1"/>
  <c r="S681" i="44" s="1"/>
  <c r="P687" i="43"/>
  <c r="T687" i="43" s="1"/>
  <c r="S687" i="43" s="1"/>
  <c r="P894" i="44"/>
  <c r="T894" i="44" s="1"/>
  <c r="S894" i="44" s="1"/>
  <c r="P900" i="43"/>
  <c r="T900" i="43" s="1"/>
  <c r="S900" i="43" s="1"/>
  <c r="P841" i="44"/>
  <c r="T841" i="44" s="1"/>
  <c r="P847" i="43"/>
  <c r="T847" i="43" s="1"/>
  <c r="P842" i="44"/>
  <c r="T842" i="44" s="1"/>
  <c r="S842" i="44" s="1"/>
  <c r="P848" i="43"/>
  <c r="T848" i="43" s="1"/>
  <c r="S848" i="43" s="1"/>
  <c r="P717" i="43"/>
  <c r="T717" i="43" s="1"/>
  <c r="S717" i="43" s="1"/>
  <c r="P711" i="44"/>
  <c r="T711" i="44" s="1"/>
  <c r="S711" i="44" s="1"/>
  <c r="P642" i="44"/>
  <c r="T642" i="44" s="1"/>
  <c r="S642" i="44" s="1"/>
  <c r="P648" i="43"/>
  <c r="T648" i="43" s="1"/>
  <c r="S648" i="43" s="1"/>
  <c r="P255" i="43"/>
  <c r="T255" i="43" s="1"/>
  <c r="S255" i="43" s="1"/>
  <c r="P249" i="44"/>
  <c r="T249" i="44" s="1"/>
  <c r="S249" i="44" s="1"/>
  <c r="P725" i="43"/>
  <c r="T725" i="43" s="1"/>
  <c r="S725" i="43" s="1"/>
  <c r="P719" i="44"/>
  <c r="T719" i="44" s="1"/>
  <c r="S719" i="44" s="1"/>
  <c r="P674" i="44"/>
  <c r="T674" i="44" s="1"/>
  <c r="S674" i="44" s="1"/>
  <c r="P680" i="43"/>
  <c r="T680" i="43" s="1"/>
  <c r="S680" i="43" s="1"/>
  <c r="P299" i="44"/>
  <c r="T299" i="44" s="1"/>
  <c r="S299" i="44" s="1"/>
  <c r="P305" i="43"/>
  <c r="T305" i="43" s="1"/>
  <c r="S305" i="43" s="1"/>
  <c r="P210" i="44"/>
  <c r="T210" i="44" s="1"/>
  <c r="S210" i="44" s="1"/>
  <c r="P216" i="43"/>
  <c r="T216" i="43" s="1"/>
  <c r="S216" i="43" s="1"/>
  <c r="P680" i="44"/>
  <c r="T680" i="44" s="1"/>
  <c r="S680" i="44" s="1"/>
  <c r="P686" i="43"/>
  <c r="T686" i="43" s="1"/>
  <c r="S686" i="43" s="1"/>
  <c r="P211" i="44"/>
  <c r="T211" i="44" s="1"/>
  <c r="S211" i="44" s="1"/>
  <c r="P217" i="43"/>
  <c r="T217" i="43" s="1"/>
  <c r="S217" i="43" s="1"/>
  <c r="P554" i="44"/>
  <c r="T554" i="44" s="1"/>
  <c r="S554" i="44" s="1"/>
  <c r="P560" i="43"/>
  <c r="T560" i="43" s="1"/>
  <c r="S560" i="43" s="1"/>
  <c r="P758" i="43"/>
  <c r="T758" i="43" s="1"/>
  <c r="S758" i="43" s="1"/>
  <c r="P752" i="44"/>
  <c r="T752" i="44" s="1"/>
  <c r="S752" i="44" s="1"/>
  <c r="P212" i="44"/>
  <c r="T212" i="44" s="1"/>
  <c r="S212" i="44" s="1"/>
  <c r="P218" i="43"/>
  <c r="T218" i="43" s="1"/>
  <c r="S218" i="43" s="1"/>
  <c r="P375" i="43"/>
  <c r="T375" i="43" s="1"/>
  <c r="S375" i="43" s="1"/>
  <c r="P369" i="44"/>
  <c r="T369" i="44" s="1"/>
  <c r="S369" i="44" s="1"/>
  <c r="P438" i="43"/>
  <c r="T438" i="43" s="1"/>
  <c r="S438" i="43" s="1"/>
  <c r="P432" i="44"/>
  <c r="T432" i="44" s="1"/>
  <c r="S432" i="44" s="1"/>
  <c r="P561" i="43"/>
  <c r="T561" i="43" s="1"/>
  <c r="S561" i="43" s="1"/>
  <c r="P555" i="44"/>
  <c r="T555" i="44" s="1"/>
  <c r="S555" i="44" s="1"/>
  <c r="P682" i="44"/>
  <c r="T682" i="44" s="1"/>
  <c r="S682" i="44" s="1"/>
  <c r="P688" i="43"/>
  <c r="T688" i="43" s="1"/>
  <c r="S688" i="43" s="1"/>
  <c r="P753" i="44"/>
  <c r="T753" i="44" s="1"/>
  <c r="S753" i="44" s="1"/>
  <c r="P759" i="43"/>
  <c r="T759" i="43" s="1"/>
  <c r="S759" i="43" s="1"/>
  <c r="P901" i="43"/>
  <c r="T901" i="43" s="1"/>
  <c r="S901" i="43" s="1"/>
  <c r="P895" i="44"/>
  <c r="T895" i="44" s="1"/>
  <c r="S895" i="44" s="1"/>
  <c r="R364" i="44"/>
  <c r="P398" i="44"/>
  <c r="T398" i="44" s="1"/>
  <c r="S398" i="44" s="1"/>
  <c r="P404" i="43"/>
  <c r="T404" i="43" s="1"/>
  <c r="S404" i="43" s="1"/>
  <c r="P646" i="44"/>
  <c r="T646" i="44" s="1"/>
  <c r="S646" i="44" s="1"/>
  <c r="P652" i="43"/>
  <c r="T652" i="43" s="1"/>
  <c r="S652" i="43" s="1"/>
  <c r="P986" i="43"/>
  <c r="T986" i="43" s="1"/>
  <c r="P980" i="44"/>
  <c r="T980" i="44" s="1"/>
  <c r="P721" i="44"/>
  <c r="T721" i="44" s="1"/>
  <c r="S721" i="44" s="1"/>
  <c r="P727" i="43"/>
  <c r="T727" i="43" s="1"/>
  <c r="S727" i="43" s="1"/>
  <c r="R15" i="43"/>
  <c r="P819" i="43"/>
  <c r="T819" i="43" s="1"/>
  <c r="S819" i="43" s="1"/>
  <c r="P813" i="44"/>
  <c r="T813" i="44" s="1"/>
  <c r="S813" i="44" s="1"/>
  <c r="P587" i="44"/>
  <c r="T587" i="44" s="1"/>
  <c r="S587" i="44" s="1"/>
  <c r="P593" i="43"/>
  <c r="T593" i="43" s="1"/>
  <c r="S593" i="43" s="1"/>
  <c r="P379" i="44"/>
  <c r="T379" i="44" s="1"/>
  <c r="S379" i="44" s="1"/>
  <c r="P385" i="43"/>
  <c r="T385" i="43" s="1"/>
  <c r="S385" i="43" s="1"/>
  <c r="P590" i="44"/>
  <c r="T590" i="44" s="1"/>
  <c r="S590" i="44" s="1"/>
  <c r="P596" i="43"/>
  <c r="T596" i="43" s="1"/>
  <c r="S596" i="43" s="1"/>
  <c r="P641" i="44"/>
  <c r="T641" i="44" s="1"/>
  <c r="S641" i="44" s="1"/>
  <c r="P647" i="43"/>
  <c r="T647" i="43" s="1"/>
  <c r="S647" i="43" s="1"/>
  <c r="P195" i="44"/>
  <c r="T195" i="44" s="1"/>
  <c r="P201" i="43"/>
  <c r="T201" i="43" s="1"/>
  <c r="P386" i="44"/>
  <c r="T386" i="44" s="1"/>
  <c r="S386" i="44" s="1"/>
  <c r="P392" i="43"/>
  <c r="T392" i="43" s="1"/>
  <c r="S392" i="43" s="1"/>
  <c r="P200" i="44"/>
  <c r="T200" i="44" s="1"/>
  <c r="S200" i="44" s="1"/>
  <c r="P206" i="43"/>
  <c r="T206" i="43" s="1"/>
  <c r="S206" i="43" s="1"/>
  <c r="P282" i="44"/>
  <c r="T282" i="44" s="1"/>
  <c r="S282" i="44" s="1"/>
  <c r="P288" i="43"/>
  <c r="T288" i="43" s="1"/>
  <c r="S288" i="43" s="1"/>
  <c r="P885" i="44"/>
  <c r="T885" i="44" s="1"/>
  <c r="S885" i="44" s="1"/>
  <c r="P891" i="43"/>
  <c r="T891" i="43" s="1"/>
  <c r="S891" i="43" s="1"/>
  <c r="P886" i="44"/>
  <c r="T886" i="44" s="1"/>
  <c r="S886" i="44" s="1"/>
  <c r="P892" i="43"/>
  <c r="T892" i="43" s="1"/>
  <c r="S892" i="43" s="1"/>
  <c r="P552" i="44"/>
  <c r="T552" i="44" s="1"/>
  <c r="S552" i="44" s="1"/>
  <c r="P558" i="43"/>
  <c r="T558" i="43" s="1"/>
  <c r="S558" i="43" s="1"/>
  <c r="P370" i="44"/>
  <c r="T370" i="44" s="1"/>
  <c r="S370" i="44" s="1"/>
  <c r="P376" i="43"/>
  <c r="T376" i="43" s="1"/>
  <c r="S376" i="43" s="1"/>
  <c r="P433" i="44"/>
  <c r="T433" i="44" s="1"/>
  <c r="S433" i="44" s="1"/>
  <c r="P439" i="43"/>
  <c r="T439" i="43" s="1"/>
  <c r="S439" i="43" s="1"/>
  <c r="P902" i="43"/>
  <c r="T902" i="43" s="1"/>
  <c r="S902" i="43" s="1"/>
  <c r="P896" i="44"/>
  <c r="T896" i="44" s="1"/>
  <c r="S896" i="44" s="1"/>
  <c r="P214" i="44"/>
  <c r="T214" i="44" s="1"/>
  <c r="S214" i="44" s="1"/>
  <c r="P220" i="43"/>
  <c r="T220" i="43" s="1"/>
  <c r="S220" i="43" s="1"/>
  <c r="P371" i="44"/>
  <c r="T371" i="44" s="1"/>
  <c r="S371" i="44" s="1"/>
  <c r="P377" i="43"/>
  <c r="T377" i="43" s="1"/>
  <c r="S377" i="43" s="1"/>
  <c r="P434" i="44"/>
  <c r="T434" i="44" s="1"/>
  <c r="S434" i="44" s="1"/>
  <c r="P440" i="43"/>
  <c r="T440" i="43" s="1"/>
  <c r="S440" i="43" s="1"/>
  <c r="P580" i="44"/>
  <c r="T580" i="44" s="1"/>
  <c r="S580" i="44" s="1"/>
  <c r="P586" i="43"/>
  <c r="T586" i="43" s="1"/>
  <c r="S586" i="43" s="1"/>
  <c r="P684" i="44"/>
  <c r="T684" i="44" s="1"/>
  <c r="S684" i="44" s="1"/>
  <c r="P690" i="43"/>
  <c r="T690" i="43" s="1"/>
  <c r="S690" i="43" s="1"/>
  <c r="P813" i="43"/>
  <c r="T813" i="43" s="1"/>
  <c r="S813" i="43" s="1"/>
  <c r="P807" i="44"/>
  <c r="T807" i="44" s="1"/>
  <c r="P897" i="44"/>
  <c r="T897" i="44" s="1"/>
  <c r="S897" i="44" s="1"/>
  <c r="P903" i="43"/>
  <c r="T903" i="43" s="1"/>
  <c r="S903" i="43" s="1"/>
  <c r="R15" i="44"/>
  <c r="P707" i="44"/>
  <c r="T707" i="44" s="1"/>
  <c r="S707" i="44" s="1"/>
  <c r="P713" i="43"/>
  <c r="T713" i="43" s="1"/>
  <c r="S713" i="43" s="1"/>
  <c r="P588" i="44"/>
  <c r="T588" i="44" s="1"/>
  <c r="S588" i="44" s="1"/>
  <c r="P594" i="43"/>
  <c r="T594" i="43" s="1"/>
  <c r="S594" i="43" s="1"/>
  <c r="P843" i="44"/>
  <c r="T843" i="44" s="1"/>
  <c r="S843" i="44" s="1"/>
  <c r="P849" i="43"/>
  <c r="T849" i="43" s="1"/>
  <c r="S849" i="43" s="1"/>
  <c r="P389" i="43"/>
  <c r="T389" i="43" s="1"/>
  <c r="S389" i="43" s="1"/>
  <c r="P383" i="44"/>
  <c r="T383" i="44" s="1"/>
  <c r="S383" i="44" s="1"/>
  <c r="P718" i="44"/>
  <c r="T718" i="44" s="1"/>
  <c r="S718" i="44" s="1"/>
  <c r="P724" i="43"/>
  <c r="T724" i="43" s="1"/>
  <c r="S724" i="43" s="1"/>
  <c r="P410" i="44"/>
  <c r="T410" i="44" s="1"/>
  <c r="S410" i="44" s="1"/>
  <c r="P416" i="43"/>
  <c r="T416" i="43" s="1"/>
  <c r="S416" i="43" s="1"/>
  <c r="P551" i="43"/>
  <c r="T551" i="43" s="1"/>
  <c r="S551" i="43" s="1"/>
  <c r="P545" i="44"/>
  <c r="T545" i="44" s="1"/>
  <c r="S545" i="44" s="1"/>
  <c r="P209" i="43"/>
  <c r="T209" i="43" s="1"/>
  <c r="S209" i="43" s="1"/>
  <c r="P203" i="44"/>
  <c r="T203" i="44" s="1"/>
  <c r="S203" i="44" s="1"/>
  <c r="P416" i="44"/>
  <c r="T416" i="44" s="1"/>
  <c r="S416" i="44" s="1"/>
  <c r="P422" i="43"/>
  <c r="T422" i="43" s="1"/>
  <c r="S422" i="43" s="1"/>
  <c r="P373" i="43"/>
  <c r="T373" i="43" s="1"/>
  <c r="S373" i="43" s="1"/>
  <c r="P367" i="44"/>
  <c r="T367" i="44" s="1"/>
  <c r="S367" i="44" s="1"/>
  <c r="P683" i="44"/>
  <c r="T683" i="44" s="1"/>
  <c r="S683" i="44" s="1"/>
  <c r="P689" i="43"/>
  <c r="T689" i="43" s="1"/>
  <c r="S689" i="43" s="1"/>
  <c r="P215" i="44"/>
  <c r="T215" i="44" s="1"/>
  <c r="S215" i="44" s="1"/>
  <c r="P221" i="43"/>
  <c r="T221" i="43" s="1"/>
  <c r="S221" i="43" s="1"/>
  <c r="P581" i="44"/>
  <c r="T581" i="44" s="1"/>
  <c r="S581" i="44" s="1"/>
  <c r="P587" i="43"/>
  <c r="T587" i="43" s="1"/>
  <c r="S587" i="43" s="1"/>
  <c r="P685" i="44"/>
  <c r="T685" i="44" s="1"/>
  <c r="S685" i="44" s="1"/>
  <c r="P691" i="43"/>
  <c r="T691" i="43" s="1"/>
  <c r="S691" i="43" s="1"/>
  <c r="P814" i="43"/>
  <c r="T814" i="43" s="1"/>
  <c r="S814" i="43" s="1"/>
  <c r="P808" i="44"/>
  <c r="T808" i="44" s="1"/>
  <c r="S808" i="44" s="1"/>
  <c r="P898" i="44"/>
  <c r="T898" i="44" s="1"/>
  <c r="S898" i="44" s="1"/>
  <c r="P904" i="43"/>
  <c r="T904" i="43" s="1"/>
  <c r="S904" i="43" s="1"/>
  <c r="P247" i="43"/>
  <c r="T247" i="43" s="1"/>
  <c r="S247" i="43" s="1"/>
  <c r="P241" i="44"/>
  <c r="T241" i="44" s="1"/>
  <c r="S241" i="44" s="1"/>
  <c r="P378" i="44"/>
  <c r="T378" i="44" s="1"/>
  <c r="S378" i="44" s="1"/>
  <c r="P384" i="43"/>
  <c r="T384" i="43" s="1"/>
  <c r="S384" i="43" s="1"/>
  <c r="P928" i="44"/>
  <c r="T928" i="44" s="1"/>
  <c r="S928" i="44" s="1"/>
  <c r="P934" i="43"/>
  <c r="T934" i="43" s="1"/>
  <c r="S934" i="43" s="1"/>
  <c r="P929" i="44"/>
  <c r="T929" i="44" s="1"/>
  <c r="S929" i="44" s="1"/>
  <c r="P935" i="43"/>
  <c r="T935" i="43" s="1"/>
  <c r="S935" i="43" s="1"/>
  <c r="P938" i="43"/>
  <c r="T938" i="43" s="1"/>
  <c r="S938" i="43" s="1"/>
  <c r="P932" i="44"/>
  <c r="T932" i="44" s="1"/>
  <c r="S932" i="44" s="1"/>
  <c r="P248" i="44"/>
  <c r="T248" i="44" s="1"/>
  <c r="S248" i="44" s="1"/>
  <c r="P254" i="43"/>
  <c r="T254" i="43" s="1"/>
  <c r="S254" i="43" s="1"/>
  <c r="P385" i="44"/>
  <c r="T385" i="44" s="1"/>
  <c r="S385" i="44" s="1"/>
  <c r="P391" i="43"/>
  <c r="T391" i="43" s="1"/>
  <c r="S391" i="43" s="1"/>
  <c r="P955" i="43"/>
  <c r="T955" i="43" s="1"/>
  <c r="S955" i="43" s="1"/>
  <c r="P949" i="44"/>
  <c r="T949" i="44" s="1"/>
  <c r="S949" i="44" s="1"/>
  <c r="P645" i="44"/>
  <c r="T645" i="44" s="1"/>
  <c r="S645" i="44" s="1"/>
  <c r="P651" i="43"/>
  <c r="T651" i="43" s="1"/>
  <c r="S651" i="43" s="1"/>
  <c r="P269" i="43"/>
  <c r="T269" i="43" s="1"/>
  <c r="S269" i="43" s="1"/>
  <c r="P263" i="44"/>
  <c r="T263" i="44" s="1"/>
  <c r="S263" i="44" s="1"/>
  <c r="R877" i="44"/>
  <c r="R883" i="43"/>
  <c r="P207" i="43"/>
  <c r="T207" i="43" s="1"/>
  <c r="S207" i="43" s="1"/>
  <c r="P201" i="44"/>
  <c r="T201" i="44" s="1"/>
  <c r="S201" i="44" s="1"/>
  <c r="P289" i="43"/>
  <c r="T289" i="43" s="1"/>
  <c r="S289" i="43" s="1"/>
  <c r="P283" i="44"/>
  <c r="T283" i="44" s="1"/>
  <c r="S283" i="44" s="1"/>
  <c r="P290" i="43"/>
  <c r="T290" i="43" s="1"/>
  <c r="S290" i="43" s="1"/>
  <c r="P284" i="44"/>
  <c r="T284" i="44" s="1"/>
  <c r="S284" i="44" s="1"/>
  <c r="P893" i="43"/>
  <c r="T893" i="43" s="1"/>
  <c r="S893" i="43" s="1"/>
  <c r="P887" i="44"/>
  <c r="T887" i="44" s="1"/>
  <c r="S887" i="44" s="1"/>
  <c r="P213" i="43"/>
  <c r="T213" i="43" s="1"/>
  <c r="S213" i="43" s="1"/>
  <c r="P207" i="44"/>
  <c r="T207" i="44" s="1"/>
  <c r="S207" i="44" s="1"/>
  <c r="P366" i="44"/>
  <c r="T366" i="44" s="1"/>
  <c r="S366" i="44" s="1"/>
  <c r="P372" i="43"/>
  <c r="T372" i="43" s="1"/>
  <c r="S372" i="43" s="1"/>
  <c r="P213" i="44"/>
  <c r="T213" i="44" s="1"/>
  <c r="S213" i="44" s="1"/>
  <c r="P219" i="43"/>
  <c r="T219" i="43" s="1"/>
  <c r="S219" i="43" s="1"/>
  <c r="P556" i="44"/>
  <c r="T556" i="44" s="1"/>
  <c r="S556" i="44" s="1"/>
  <c r="P562" i="43"/>
  <c r="T562" i="43" s="1"/>
  <c r="S562" i="43" s="1"/>
  <c r="P466" i="44"/>
  <c r="T466" i="44" s="1"/>
  <c r="S466" i="44" s="1"/>
  <c r="P454" i="44"/>
  <c r="T454" i="44" s="1"/>
  <c r="S454" i="44" s="1"/>
  <c r="P472" i="43"/>
  <c r="T472" i="43" s="1"/>
  <c r="S472" i="43" s="1"/>
  <c r="P460" i="43"/>
  <c r="T460" i="43" s="1"/>
  <c r="S460" i="43" s="1"/>
  <c r="P216" i="44"/>
  <c r="T216" i="44" s="1"/>
  <c r="S216" i="44" s="1"/>
  <c r="P222" i="43"/>
  <c r="T222" i="43" s="1"/>
  <c r="S222" i="43" s="1"/>
  <c r="P373" i="44"/>
  <c r="T373" i="44" s="1"/>
  <c r="S373" i="44" s="1"/>
  <c r="P379" i="43"/>
  <c r="T379" i="43" s="1"/>
  <c r="S379" i="43" s="1"/>
  <c r="P467" i="44"/>
  <c r="T467" i="44" s="1"/>
  <c r="S467" i="44" s="1"/>
  <c r="P473" i="43"/>
  <c r="T473" i="43" s="1"/>
  <c r="S473" i="43" s="1"/>
  <c r="P582" i="44"/>
  <c r="T582" i="44" s="1"/>
  <c r="S582" i="44" s="1"/>
  <c r="P588" i="43"/>
  <c r="T588" i="43" s="1"/>
  <c r="S588" i="43" s="1"/>
  <c r="P692" i="43"/>
  <c r="T692" i="43" s="1"/>
  <c r="S692" i="43" s="1"/>
  <c r="P686" i="44"/>
  <c r="T686" i="44" s="1"/>
  <c r="S686" i="44" s="1"/>
  <c r="P809" i="44"/>
  <c r="T809" i="44" s="1"/>
  <c r="S809" i="44" s="1"/>
  <c r="P815" i="43"/>
  <c r="T815" i="43" s="1"/>
  <c r="S815" i="43" s="1"/>
  <c r="P899" i="44"/>
  <c r="T899" i="44" s="1"/>
  <c r="S899" i="44" s="1"/>
  <c r="P905" i="43"/>
  <c r="T905" i="43" s="1"/>
  <c r="S905" i="43" s="1"/>
  <c r="P471" i="44"/>
  <c r="T471" i="44" s="1"/>
  <c r="S471" i="44" s="1"/>
  <c r="P477" i="43"/>
  <c r="T477" i="43" s="1"/>
  <c r="S477" i="43" s="1"/>
  <c r="P473" i="44"/>
  <c r="T473" i="44" s="1"/>
  <c r="S473" i="44" s="1"/>
  <c r="P479" i="43"/>
  <c r="T479" i="43" s="1"/>
  <c r="S479" i="43" s="1"/>
  <c r="P250" i="43"/>
  <c r="T250" i="43" s="1"/>
  <c r="S250" i="43" s="1"/>
  <c r="P244" i="44"/>
  <c r="T244" i="44" s="1"/>
  <c r="S244" i="44" s="1"/>
  <c r="P937" i="43"/>
  <c r="T937" i="43" s="1"/>
  <c r="S937" i="43" s="1"/>
  <c r="P931" i="44"/>
  <c r="T931" i="44" s="1"/>
  <c r="S931" i="44" s="1"/>
  <c r="P247" i="44"/>
  <c r="T247" i="44" s="1"/>
  <c r="S247" i="44" s="1"/>
  <c r="P253" i="43"/>
  <c r="T253" i="43" s="1"/>
  <c r="S253" i="43" s="1"/>
  <c r="P256" i="43"/>
  <c r="T256" i="43" s="1"/>
  <c r="S256" i="43" s="1"/>
  <c r="P250" i="44"/>
  <c r="T250" i="44" s="1"/>
  <c r="S250" i="44" s="1"/>
  <c r="P723" i="43"/>
  <c r="T723" i="43" s="1"/>
  <c r="S723" i="43" s="1"/>
  <c r="P717" i="44"/>
  <c r="T717" i="44" s="1"/>
  <c r="S717" i="44" s="1"/>
  <c r="P647" i="44"/>
  <c r="T647" i="44" s="1"/>
  <c r="S647" i="44" s="1"/>
  <c r="P653" i="43"/>
  <c r="T653" i="43" s="1"/>
  <c r="S653" i="43" s="1"/>
  <c r="P720" i="44"/>
  <c r="T720" i="44" s="1"/>
  <c r="S720" i="44" s="1"/>
  <c r="P726" i="43"/>
  <c r="T726" i="43" s="1"/>
  <c r="S726" i="43" s="1"/>
  <c r="P296" i="44"/>
  <c r="T296" i="44" s="1"/>
  <c r="S296" i="44" s="1"/>
  <c r="P302" i="43"/>
  <c r="T302" i="43" s="1"/>
  <c r="S302" i="43" s="1"/>
  <c r="P297" i="44"/>
  <c r="T297" i="44" s="1"/>
  <c r="S297" i="44" s="1"/>
  <c r="P303" i="43"/>
  <c r="T303" i="43" s="1"/>
  <c r="S303" i="43" s="1"/>
  <c r="P214" i="43"/>
  <c r="T214" i="43" s="1"/>
  <c r="S214" i="43" s="1"/>
  <c r="P208" i="44"/>
  <c r="T208" i="44" s="1"/>
  <c r="S208" i="44" s="1"/>
  <c r="P419" i="44"/>
  <c r="T419" i="44" s="1"/>
  <c r="S419" i="44" s="1"/>
  <c r="P425" i="43"/>
  <c r="T425" i="43" s="1"/>
  <c r="S425" i="43" s="1"/>
  <c r="P754" i="44"/>
  <c r="T754" i="44" s="1"/>
  <c r="S754" i="44" s="1"/>
  <c r="P760" i="43"/>
  <c r="T760" i="43" s="1"/>
  <c r="S760" i="43" s="1"/>
  <c r="P372" i="44"/>
  <c r="T372" i="44" s="1"/>
  <c r="S372" i="44" s="1"/>
  <c r="P378" i="43"/>
  <c r="T378" i="43" s="1"/>
  <c r="S378" i="43" s="1"/>
  <c r="P238" i="44"/>
  <c r="T238" i="44" s="1"/>
  <c r="S238" i="44" s="1"/>
  <c r="P244" i="43"/>
  <c r="T244" i="43" s="1"/>
  <c r="S244" i="43" s="1"/>
  <c r="P374" i="44"/>
  <c r="T374" i="44" s="1"/>
  <c r="S374" i="44" s="1"/>
  <c r="P380" i="43"/>
  <c r="T380" i="43" s="1"/>
  <c r="S380" i="43" s="1"/>
  <c r="P474" i="43"/>
  <c r="T474" i="43" s="1"/>
  <c r="S474" i="43" s="1"/>
  <c r="P468" i="44"/>
  <c r="T468" i="44" s="1"/>
  <c r="S468" i="44" s="1"/>
  <c r="P589" i="43"/>
  <c r="T589" i="43" s="1"/>
  <c r="S589" i="43" s="1"/>
  <c r="P583" i="44"/>
  <c r="T583" i="44" s="1"/>
  <c r="S583" i="44" s="1"/>
  <c r="P687" i="44"/>
  <c r="T687" i="44" s="1"/>
  <c r="S687" i="44" s="1"/>
  <c r="P693" i="43"/>
  <c r="T693" i="43" s="1"/>
  <c r="S693" i="43" s="1"/>
  <c r="P810" i="44"/>
  <c r="T810" i="44" s="1"/>
  <c r="S810" i="44" s="1"/>
  <c r="P816" i="43"/>
  <c r="T816" i="43" s="1"/>
  <c r="S816" i="43" s="1"/>
  <c r="P923" i="44"/>
  <c r="T923" i="44" s="1"/>
  <c r="S923" i="44" s="1"/>
  <c r="P929" i="43"/>
  <c r="T929" i="43" s="1"/>
  <c r="S929" i="43" s="1"/>
  <c r="P700" i="13"/>
  <c r="P372" i="13"/>
  <c r="P702" i="13"/>
  <c r="P971" i="13"/>
  <c r="P186" i="13"/>
  <c r="P972" i="13"/>
  <c r="P251" i="13"/>
  <c r="P635" i="13"/>
  <c r="P189" i="13"/>
  <c r="P707" i="13"/>
  <c r="P399" i="13"/>
  <c r="P660" i="13"/>
  <c r="P1039" i="13"/>
  <c r="P272" i="13"/>
  <c r="P534" i="13"/>
  <c r="P709" i="13"/>
  <c r="P192" i="13"/>
  <c r="P401" i="13"/>
  <c r="P193" i="13"/>
  <c r="P536" i="13"/>
  <c r="P579" i="13"/>
  <c r="P235" i="13"/>
  <c r="P701" i="13"/>
  <c r="P374" i="13"/>
  <c r="P239" i="13"/>
  <c r="P973" i="13"/>
  <c r="P636" i="13"/>
  <c r="P1037" i="13"/>
  <c r="P190" i="13"/>
  <c r="P271" i="13"/>
  <c r="P708" i="13"/>
  <c r="P191" i="13"/>
  <c r="P400" i="13"/>
  <c r="P273" i="13"/>
  <c r="P535" i="13"/>
  <c r="P710" i="13"/>
  <c r="P285" i="13"/>
  <c r="P402" i="13"/>
  <c r="P663" i="13"/>
  <c r="P711" i="13"/>
  <c r="P194" i="13"/>
  <c r="P286" i="13"/>
  <c r="P403" i="13"/>
  <c r="P537" i="13"/>
  <c r="P664" i="13"/>
  <c r="P712" i="13"/>
  <c r="P195" i="13"/>
  <c r="P287" i="13"/>
  <c r="P404" i="13"/>
  <c r="P538" i="13"/>
  <c r="P665" i="13"/>
  <c r="P713" i="13"/>
  <c r="P524" i="13"/>
  <c r="P629" i="13"/>
  <c r="P833" i="13"/>
  <c r="P631" i="13"/>
  <c r="P703" i="13"/>
  <c r="P704" i="13"/>
  <c r="P634" i="13"/>
  <c r="P539" i="13"/>
  <c r="P197" i="13"/>
  <c r="P354" i="13"/>
  <c r="P198" i="13"/>
  <c r="P355" i="13"/>
  <c r="P199" i="13"/>
  <c r="P408" i="13"/>
  <c r="P200" i="13"/>
  <c r="P357" i="13"/>
  <c r="P358" i="13"/>
  <c r="P202" i="13"/>
  <c r="P672" i="13"/>
  <c r="P569" i="13"/>
  <c r="P797" i="13"/>
  <c r="P571" i="13"/>
  <c r="P799" i="13"/>
  <c r="P458" i="13"/>
  <c r="P801" i="13"/>
  <c r="P948" i="13"/>
  <c r="P370" i="13"/>
  <c r="P630" i="13"/>
  <c r="P184" i="13"/>
  <c r="P375" i="13"/>
  <c r="P388" i="13"/>
  <c r="P405" i="13"/>
  <c r="P540" i="13"/>
  <c r="P739" i="13"/>
  <c r="P740" i="13"/>
  <c r="P409" i="13"/>
  <c r="P671" i="13"/>
  <c r="P359" i="13"/>
  <c r="P796" i="13"/>
  <c r="P361" i="13"/>
  <c r="P798" i="13"/>
  <c r="P227" i="13"/>
  <c r="P946" i="13"/>
  <c r="P573" i="13"/>
  <c r="P574" i="13"/>
  <c r="P366" i="13"/>
  <c r="P460" i="13"/>
  <c r="P575" i="13"/>
  <c r="P802" i="13"/>
  <c r="P949" i="13"/>
  <c r="P831" i="13"/>
  <c r="P371" i="13"/>
  <c r="P237" i="13"/>
  <c r="P956" i="13"/>
  <c r="P238" i="13"/>
  <c r="P387" i="13"/>
  <c r="P706" i="13"/>
  <c r="P253" i="13"/>
  <c r="P714" i="13"/>
  <c r="P667" i="13"/>
  <c r="P407" i="13"/>
  <c r="P669" i="13"/>
  <c r="P670" i="13"/>
  <c r="P201" i="13"/>
  <c r="P742" i="13"/>
  <c r="P545" i="13"/>
  <c r="P203" i="13"/>
  <c r="P673" i="13"/>
  <c r="P456" i="13"/>
  <c r="P363" i="13"/>
  <c r="P676" i="13"/>
  <c r="P800" i="13"/>
  <c r="P229" i="13"/>
  <c r="P230" i="13"/>
  <c r="P231" i="13"/>
  <c r="P576" i="13"/>
  <c r="P803" i="13"/>
  <c r="P953" i="13"/>
  <c r="P832" i="13"/>
  <c r="P955" i="13"/>
  <c r="P373" i="13"/>
  <c r="P185" i="13"/>
  <c r="P187" i="13"/>
  <c r="P252" i="13"/>
  <c r="P398" i="13"/>
  <c r="P666" i="13"/>
  <c r="P406" i="13"/>
  <c r="P668" i="13"/>
  <c r="P356" i="13"/>
  <c r="P543" i="13"/>
  <c r="P421" i="13"/>
  <c r="P743" i="13"/>
  <c r="P360" i="13"/>
  <c r="P204" i="13"/>
  <c r="P674" i="13"/>
  <c r="P205" i="13"/>
  <c r="P362" i="13"/>
  <c r="P572" i="13"/>
  <c r="P677" i="13"/>
  <c r="P459" i="13"/>
  <c r="P367" i="13"/>
  <c r="P461" i="13"/>
  <c r="P950" i="13"/>
  <c r="P232" i="13"/>
  <c r="P368" i="13"/>
  <c r="P462" i="13"/>
  <c r="P577" i="13"/>
  <c r="P804" i="13"/>
  <c r="P951" i="13"/>
  <c r="P234" i="13"/>
  <c r="P954" i="13"/>
  <c r="P236" i="13"/>
  <c r="P527" i="13"/>
  <c r="P632" i="13"/>
  <c r="P633" i="13"/>
  <c r="P705" i="13"/>
  <c r="P188" i="13"/>
  <c r="P196" i="13"/>
  <c r="P288" i="13"/>
  <c r="P715" i="13"/>
  <c r="P541" i="13"/>
  <c r="P542" i="13"/>
  <c r="P741" i="13"/>
  <c r="P544" i="13"/>
  <c r="P422" i="13"/>
  <c r="P423" i="13"/>
  <c r="P570" i="13"/>
  <c r="P675" i="13"/>
  <c r="P457" i="13"/>
  <c r="P228" i="13"/>
  <c r="P364" i="13"/>
  <c r="P947" i="13"/>
  <c r="P365" i="13"/>
  <c r="P233" i="13"/>
  <c r="P369" i="13"/>
  <c r="P578" i="13"/>
  <c r="P830" i="13"/>
  <c r="P952" i="13"/>
  <c r="P455" i="13"/>
  <c r="P443" i="13"/>
  <c r="P61" i="13"/>
  <c r="T61" i="13" s="1"/>
  <c r="T16" i="13"/>
  <c r="P19" i="13"/>
  <c r="T19" i="13" s="1"/>
  <c r="P23" i="13"/>
  <c r="T23" i="13" s="1"/>
  <c r="P81" i="13"/>
  <c r="T81" i="13" s="1"/>
  <c r="P29" i="13"/>
  <c r="T29" i="13" s="1"/>
  <c r="P30" i="13"/>
  <c r="T30" i="13" s="1"/>
  <c r="P31" i="13"/>
  <c r="T31" i="13" s="1"/>
  <c r="P60" i="13"/>
  <c r="T60" i="13" s="1"/>
  <c r="P24" i="13"/>
  <c r="T24" i="13" s="1"/>
  <c r="P48" i="13"/>
  <c r="T48" i="13" s="1"/>
  <c r="P22" i="13"/>
  <c r="T22" i="13" s="1"/>
  <c r="P34" i="13"/>
  <c r="T34" i="13" s="1"/>
  <c r="P49" i="13"/>
  <c r="T49" i="13" s="1"/>
  <c r="P63" i="13"/>
  <c r="T63" i="13" s="1"/>
  <c r="P159" i="13"/>
  <c r="T159" i="13" s="1"/>
  <c r="P21" i="13"/>
  <c r="T21" i="13" s="1"/>
  <c r="P83" i="13"/>
  <c r="T83" i="13" s="1"/>
  <c r="P26" i="13"/>
  <c r="T26" i="13" s="1"/>
  <c r="P28" i="13"/>
  <c r="T28" i="13" s="1"/>
  <c r="P50" i="13"/>
  <c r="T50" i="13" s="1"/>
  <c r="P18" i="13"/>
  <c r="T18" i="13" s="1"/>
  <c r="P82" i="13"/>
  <c r="T82" i="13" s="1"/>
  <c r="P85" i="13"/>
  <c r="T85" i="13" s="1"/>
  <c r="P35" i="13"/>
  <c r="T35" i="13" s="1"/>
  <c r="P62" i="13"/>
  <c r="T62" i="13" s="1"/>
  <c r="P20" i="13"/>
  <c r="T20" i="13" s="1"/>
  <c r="P47" i="13"/>
  <c r="T47" i="13" s="1"/>
  <c r="P56" i="13"/>
  <c r="T56" i="13" s="1"/>
  <c r="P25" i="13"/>
  <c r="T25" i="13" s="1"/>
  <c r="P27" i="13"/>
  <c r="T27" i="13" s="1"/>
  <c r="P32" i="13"/>
  <c r="T32" i="13" s="1"/>
  <c r="P59" i="13"/>
  <c r="T59" i="13" s="1"/>
  <c r="P17" i="13"/>
  <c r="T17" i="13" s="1"/>
  <c r="P84" i="13"/>
  <c r="T84" i="13" s="1"/>
  <c r="P55" i="13"/>
  <c r="T55" i="13" s="1"/>
  <c r="P57" i="13"/>
  <c r="T57" i="13" s="1"/>
  <c r="P58" i="13"/>
  <c r="T58" i="13" s="1"/>
  <c r="B12" i="29"/>
  <c r="B11" i="29"/>
  <c r="A11" i="29"/>
  <c r="B10" i="29"/>
  <c r="B9" i="29"/>
  <c r="A9" i="29"/>
  <c r="B8" i="29"/>
  <c r="B7" i="29"/>
  <c r="A7" i="29"/>
  <c r="B6" i="29"/>
  <c r="B5" i="29"/>
  <c r="A5" i="29"/>
  <c r="B4" i="29"/>
  <c r="B3" i="29"/>
  <c r="A3" i="29"/>
  <c r="B2" i="29"/>
  <c r="B1" i="29"/>
  <c r="A1" i="29"/>
  <c r="S85" i="13" l="1"/>
  <c r="S82" i="13"/>
  <c r="S50" i="13"/>
  <c r="S83" i="13"/>
  <c r="S159" i="13"/>
  <c r="S63" i="13"/>
  <c r="S49" i="13"/>
  <c r="S56" i="13"/>
  <c r="S47" i="13"/>
  <c r="S62" i="13"/>
  <c r="S35" i="13"/>
  <c r="S60" i="13"/>
  <c r="S84" i="13"/>
  <c r="S59" i="13"/>
  <c r="S48" i="13"/>
  <c r="S58" i="13"/>
  <c r="S57" i="13"/>
  <c r="S55" i="13"/>
  <c r="S81" i="13"/>
  <c r="S61" i="13"/>
  <c r="S28" i="13"/>
  <c r="S22" i="13"/>
  <c r="S31" i="13"/>
  <c r="S30" i="13"/>
  <c r="S26" i="13"/>
  <c r="S29" i="13"/>
  <c r="S19" i="13"/>
  <c r="S32" i="13"/>
  <c r="S34" i="13"/>
  <c r="S24" i="13"/>
  <c r="S23" i="13"/>
  <c r="S27" i="13"/>
  <c r="S20" i="13"/>
  <c r="S18" i="13"/>
  <c r="S21" i="13"/>
  <c r="S17" i="13"/>
  <c r="S25" i="13"/>
  <c r="S847" i="43"/>
  <c r="S846" i="43" s="1"/>
  <c r="T846" i="43"/>
  <c r="T840" i="44"/>
  <c r="S841" i="44"/>
  <c r="S840" i="44" s="1"/>
  <c r="S365" i="44"/>
  <c r="S364" i="44" s="1"/>
  <c r="T364" i="44"/>
  <c r="S371" i="43"/>
  <c r="S370" i="43" s="1"/>
  <c r="T370" i="43"/>
  <c r="S807" i="44"/>
  <c r="S806" i="44" s="1"/>
  <c r="T806" i="44"/>
  <c r="T812" i="43"/>
  <c r="S677" i="43"/>
  <c r="S812" i="43"/>
  <c r="S671" i="44"/>
  <c r="T979" i="44"/>
  <c r="S980" i="44"/>
  <c r="S979" i="44" s="1"/>
  <c r="T985" i="43"/>
  <c r="S986" i="43"/>
  <c r="S985" i="43" s="1"/>
  <c r="S541" i="43"/>
  <c r="S535" i="44"/>
  <c r="S158" i="44"/>
  <c r="T158" i="44"/>
  <c r="S195" i="44"/>
  <c r="S194" i="44" s="1"/>
  <c r="T194" i="44"/>
  <c r="S15" i="44"/>
  <c r="T15" i="44"/>
  <c r="S201" i="43"/>
  <c r="T987" i="43"/>
  <c r="S988" i="43"/>
  <c r="S987" i="43" s="1"/>
  <c r="S982" i="44"/>
  <c r="S981" i="44" s="1"/>
  <c r="T981" i="44"/>
  <c r="S513" i="36"/>
  <c r="D17" i="23"/>
  <c r="D18" i="23" s="1"/>
  <c r="D20" i="23" s="1"/>
  <c r="D21" i="23" s="1"/>
  <c r="D22" i="23" s="1"/>
  <c r="D23" i="23" s="1"/>
  <c r="D24" i="23" s="1"/>
  <c r="D25" i="23" s="1"/>
  <c r="D26" i="23" s="1"/>
  <c r="D27" i="23" s="1"/>
  <c r="R42" i="36" l="1"/>
  <c r="Q42" i="36" s="1"/>
  <c r="R45" i="36" l="1"/>
  <c r="Q45" i="36" s="1"/>
  <c r="R44" i="36"/>
  <c r="Q44" i="36" s="1"/>
  <c r="R43" i="36"/>
  <c r="Q43" i="36" s="1"/>
  <c r="F14" i="26"/>
  <c r="F13" i="26"/>
  <c r="C15" i="26" l="1"/>
  <c r="B38" i="26"/>
  <c r="B40" i="25"/>
  <c r="C36" i="5"/>
  <c r="C35" i="5"/>
  <c r="N17" i="5"/>
  <c r="J8" i="5"/>
  <c r="C15" i="5" s="1"/>
  <c r="AE37" i="8"/>
  <c r="AD37" i="8"/>
  <c r="AC37" i="8"/>
  <c r="D15" i="23"/>
  <c r="D16" i="23" s="1"/>
  <c r="D15" i="20"/>
  <c r="D16" i="20" s="1"/>
  <c r="B35" i="23"/>
  <c r="B34" i="23"/>
  <c r="B33" i="23"/>
  <c r="D30" i="23"/>
  <c r="F35" i="23" s="1"/>
  <c r="J12" i="23"/>
  <c r="J11" i="23"/>
  <c r="D30" i="20"/>
  <c r="F35" i="20" s="1"/>
  <c r="B33" i="20"/>
  <c r="B2" i="22"/>
  <c r="B1" i="22"/>
  <c r="A1" i="22"/>
  <c r="S482" i="36" l="1"/>
  <c r="S491" i="36"/>
  <c r="S919" i="13"/>
  <c r="S921" i="13"/>
  <c r="S920" i="13"/>
  <c r="S913" i="13"/>
  <c r="S915" i="13"/>
  <c r="O696" i="13"/>
  <c r="S917" i="13"/>
  <c r="S918" i="13"/>
  <c r="S922" i="13"/>
  <c r="S916" i="13"/>
  <c r="S914" i="13"/>
  <c r="B35" i="20"/>
  <c r="B34" i="20"/>
  <c r="J12" i="20"/>
  <c r="J11" i="20"/>
  <c r="R491" i="36" l="1"/>
  <c r="Q491" i="36" s="1"/>
  <c r="R482" i="36"/>
  <c r="Q482" i="36" s="1"/>
  <c r="S485" i="36"/>
  <c r="S489" i="36"/>
  <c r="S490" i="36"/>
  <c r="S484" i="36"/>
  <c r="S504" i="36"/>
  <c r="S503" i="36"/>
  <c r="S487" i="36"/>
  <c r="S483" i="36"/>
  <c r="S481" i="36"/>
  <c r="S480" i="36"/>
  <c r="S486" i="36"/>
  <c r="S505" i="36"/>
  <c r="S488" i="36"/>
  <c r="O254" i="43"/>
  <c r="O248" i="44"/>
  <c r="O239" i="44"/>
  <c r="O245" i="43"/>
  <c r="O375" i="43"/>
  <c r="O369" i="44"/>
  <c r="O55" i="43"/>
  <c r="O238" i="44"/>
  <c r="O244" i="43"/>
  <c r="O643" i="44"/>
  <c r="O649" i="43"/>
  <c r="O642" i="44"/>
  <c r="O648" i="43"/>
  <c r="O24" i="43"/>
  <c r="O689" i="43"/>
  <c r="O683" i="44"/>
  <c r="O685" i="43"/>
  <c r="O679" i="44"/>
  <c r="O262" i="44"/>
  <c r="O268" i="43"/>
  <c r="O927" i="44"/>
  <c r="O933" i="43"/>
  <c r="O676" i="44"/>
  <c r="O682" i="43"/>
  <c r="O589" i="44"/>
  <c r="O595" i="43"/>
  <c r="O890" i="43"/>
  <c r="O884" i="44"/>
  <c r="O204" i="44"/>
  <c r="O210" i="43"/>
  <c r="O409" i="44"/>
  <c r="O415" i="43"/>
  <c r="O587" i="44"/>
  <c r="O593" i="43"/>
  <c r="O902" i="43"/>
  <c r="O896" i="44"/>
  <c r="O712" i="44"/>
  <c r="O718" i="43"/>
  <c r="O247" i="43"/>
  <c r="O241" i="44"/>
  <c r="O683" i="43"/>
  <c r="O677" i="44"/>
  <c r="O850" i="43"/>
  <c r="O844" i="44"/>
  <c r="O891" i="44"/>
  <c r="O897" i="43"/>
  <c r="O923" i="44"/>
  <c r="O929" i="43"/>
  <c r="O205" i="43"/>
  <c r="O199" i="44"/>
  <c r="O724" i="44"/>
  <c r="O730" i="43"/>
  <c r="O750" i="44"/>
  <c r="O756" i="43"/>
  <c r="O716" i="44"/>
  <c r="O722" i="43"/>
  <c r="O548" i="44"/>
  <c r="O554" i="43"/>
  <c r="O538" i="44"/>
  <c r="O544" i="43"/>
  <c r="O980" i="44"/>
  <c r="O986" i="43"/>
  <c r="O373" i="44"/>
  <c r="O379" i="43"/>
  <c r="O247" i="44"/>
  <c r="O253" i="43"/>
  <c r="O299" i="44"/>
  <c r="O305" i="43"/>
  <c r="O201" i="44"/>
  <c r="O207" i="43"/>
  <c r="O215" i="44"/>
  <c r="O221" i="43"/>
  <c r="O728" i="43"/>
  <c r="O722" i="44"/>
  <c r="O50" i="43"/>
  <c r="O28" i="43"/>
  <c r="O411" i="44"/>
  <c r="O417" i="43"/>
  <c r="O27" i="43"/>
  <c r="O721" i="43"/>
  <c r="O715" i="44"/>
  <c r="O590" i="44"/>
  <c r="O596" i="43"/>
  <c r="O684" i="43"/>
  <c r="O678" i="44"/>
  <c r="O62" i="43"/>
  <c r="O211" i="44"/>
  <c r="O217" i="43"/>
  <c r="O725" i="43"/>
  <c r="O719" i="44"/>
  <c r="O202" i="44"/>
  <c r="O208" i="43"/>
  <c r="O650" i="43"/>
  <c r="O644" i="44"/>
  <c r="O887" i="44"/>
  <c r="O893" i="43"/>
  <c r="O686" i="43"/>
  <c r="O680" i="44"/>
  <c r="O929" i="44"/>
  <c r="O935" i="43"/>
  <c r="O818" i="43"/>
  <c r="O812" i="44"/>
  <c r="O384" i="44"/>
  <c r="O390" i="43"/>
  <c r="O898" i="44"/>
  <c r="O904" i="43"/>
  <c r="O418" i="44"/>
  <c r="O424" i="43"/>
  <c r="O386" i="44"/>
  <c r="O392" i="43"/>
  <c r="O582" i="44"/>
  <c r="O588" i="43"/>
  <c r="O263" i="44"/>
  <c r="O269" i="43"/>
  <c r="O23" i="43"/>
  <c r="O885" i="43"/>
  <c r="O879" i="44"/>
  <c r="O34" i="43"/>
  <c r="O881" i="44"/>
  <c r="O887" i="43"/>
  <c r="O933" i="44"/>
  <c r="O939" i="43"/>
  <c r="O892" i="43"/>
  <c r="O886" i="44"/>
  <c r="O85" i="43"/>
  <c r="O83" i="43"/>
  <c r="O586" i="44"/>
  <c r="O592" i="43"/>
  <c r="O367" i="44"/>
  <c r="O373" i="43"/>
  <c r="O416" i="44"/>
  <c r="O422" i="43"/>
  <c r="O84" i="43"/>
  <c r="O928" i="44"/>
  <c r="O934" i="43"/>
  <c r="O20" i="43"/>
  <c r="O646" i="44"/>
  <c r="O652" i="43"/>
  <c r="O810" i="44"/>
  <c r="O816" i="43"/>
  <c r="O580" i="44"/>
  <c r="O586" i="43"/>
  <c r="O433" i="44"/>
  <c r="O439" i="43"/>
  <c r="O552" i="43"/>
  <c r="O546" i="44"/>
  <c r="O405" i="43"/>
  <c r="O399" i="44"/>
  <c r="O951" i="44"/>
  <c r="O957" i="43"/>
  <c r="O35" i="43"/>
  <c r="O81" i="43"/>
  <c r="O982" i="44"/>
  <c r="O988" i="43"/>
  <c r="O880" i="44"/>
  <c r="O886" i="43"/>
  <c r="O216" i="44"/>
  <c r="O222" i="43"/>
  <c r="O384" i="43"/>
  <c r="O378" i="44"/>
  <c r="O892" i="44"/>
  <c r="O898" i="43"/>
  <c r="O640" i="44"/>
  <c r="O646" i="43"/>
  <c r="O468" i="44"/>
  <c r="O474" i="43"/>
  <c r="O811" i="44"/>
  <c r="O817" i="43"/>
  <c r="O413" i="44"/>
  <c r="O419" i="43"/>
  <c r="O950" i="44"/>
  <c r="O956" i="43"/>
  <c r="O725" i="44"/>
  <c r="O731" i="43"/>
  <c r="O478" i="43"/>
  <c r="O472" i="44"/>
  <c r="O22" i="43"/>
  <c r="O417" i="44"/>
  <c r="O423" i="43"/>
  <c r="O377" i="44"/>
  <c r="O383" i="43"/>
  <c r="O675" i="44"/>
  <c r="O681" i="43"/>
  <c r="O556" i="44"/>
  <c r="O562" i="43"/>
  <c r="O18" i="43"/>
  <c r="O647" i="44"/>
  <c r="O653" i="43"/>
  <c r="O59" i="43"/>
  <c r="O896" i="43"/>
  <c r="O890" i="44"/>
  <c r="O213" i="44"/>
  <c r="O219" i="43"/>
  <c r="O391" i="43"/>
  <c r="O385" i="44"/>
  <c r="O938" i="43"/>
  <c r="O932" i="44"/>
  <c r="O206" i="43"/>
  <c r="O200" i="44"/>
  <c r="O246" i="44"/>
  <c r="O252" i="43"/>
  <c r="O466" i="44"/>
  <c r="O454" i="44"/>
  <c r="O472" i="43"/>
  <c r="O460" i="43"/>
  <c r="O381" i="44"/>
  <c r="O387" i="43"/>
  <c r="O688" i="44"/>
  <c r="O694" i="43"/>
  <c r="O196" i="44"/>
  <c r="O202" i="43"/>
  <c r="O547" i="44"/>
  <c r="O553" i="43"/>
  <c r="O245" i="44"/>
  <c r="O251" i="43"/>
  <c r="O82" i="43"/>
  <c r="O937" i="43"/>
  <c r="O931" i="44"/>
  <c r="O754" i="44"/>
  <c r="O760" i="43"/>
  <c r="O26" i="43"/>
  <c r="O535" i="44"/>
  <c r="O541" i="43"/>
  <c r="O378" i="43"/>
  <c r="O372" i="44"/>
  <c r="O552" i="44"/>
  <c r="O558" i="43"/>
  <c r="O469" i="44"/>
  <c r="O475" i="43"/>
  <c r="O21" i="43"/>
  <c r="O561" i="43"/>
  <c r="O555" i="44"/>
  <c r="O249" i="44"/>
  <c r="O255" i="43"/>
  <c r="O61" i="43"/>
  <c r="O849" i="43"/>
  <c r="O843" i="44"/>
  <c r="O590" i="43"/>
  <c r="O584" i="44"/>
  <c r="O687" i="44"/>
  <c r="O693" i="43"/>
  <c r="O895" i="44"/>
  <c r="O901" i="43"/>
  <c r="O63" i="43"/>
  <c r="O925" i="44"/>
  <c r="O931" i="43"/>
  <c r="O383" i="44"/>
  <c r="O389" i="43"/>
  <c r="O374" i="44"/>
  <c r="O380" i="43"/>
  <c r="O842" i="44"/>
  <c r="O848" i="43"/>
  <c r="O249" i="43"/>
  <c r="O243" i="44"/>
  <c r="O717" i="43"/>
  <c r="O711" i="44"/>
  <c r="O720" i="43"/>
  <c r="O714" i="44"/>
  <c r="O841" i="44"/>
  <c r="O847" i="43"/>
  <c r="O807" i="44"/>
  <c r="O813" i="43"/>
  <c r="O815" i="44"/>
  <c r="O821" i="43"/>
  <c r="O57" i="43"/>
  <c r="O372" i="43"/>
  <c r="O366" i="44"/>
  <c r="O684" i="44"/>
  <c r="O690" i="43"/>
  <c r="O930" i="44"/>
  <c r="O936" i="43"/>
  <c r="O758" i="43"/>
  <c r="O752" i="44"/>
  <c r="O432" i="44"/>
  <c r="O438" i="43"/>
  <c r="O713" i="43"/>
  <c r="O707" i="44"/>
  <c r="O25" i="43"/>
  <c r="O375" i="44"/>
  <c r="O381" i="43"/>
  <c r="O924" i="44"/>
  <c r="O930" i="43"/>
  <c r="O290" i="43"/>
  <c r="O284" i="44"/>
  <c r="O198" i="44"/>
  <c r="O204" i="43"/>
  <c r="O370" i="44"/>
  <c r="O376" i="43"/>
  <c r="O814" i="43"/>
  <c r="O808" i="44"/>
  <c r="O215" i="43"/>
  <c r="O209" i="44"/>
  <c r="O554" i="44"/>
  <c r="O560" i="43"/>
  <c r="O206" i="44"/>
  <c r="O212" i="43"/>
  <c r="O589" i="43"/>
  <c r="O583" i="44"/>
  <c r="O49" i="43"/>
  <c r="O398" i="44"/>
  <c r="O404" i="43"/>
  <c r="O681" i="44"/>
  <c r="O687" i="43"/>
  <c r="O56" i="43"/>
  <c r="O421" i="43"/>
  <c r="O415" i="44"/>
  <c r="O210" i="44"/>
  <c r="O216" i="43"/>
  <c r="O685" i="44"/>
  <c r="O691" i="43"/>
  <c r="O686" i="44"/>
  <c r="O692" i="43"/>
  <c r="O677" i="43"/>
  <c r="O671" i="44"/>
  <c r="O545" i="44"/>
  <c r="O551" i="43"/>
  <c r="O47" i="43"/>
  <c r="O379" i="44"/>
  <c r="O385" i="43"/>
  <c r="O205" i="44"/>
  <c r="O211" i="43"/>
  <c r="O58" i="43"/>
  <c r="O751" i="44"/>
  <c r="O757" i="43"/>
  <c r="O420" i="44"/>
  <c r="O426" i="43"/>
  <c r="O371" i="43"/>
  <c r="O365" i="44"/>
  <c r="O208" i="44"/>
  <c r="O214" i="43"/>
  <c r="O882" i="44"/>
  <c r="O888" i="43"/>
  <c r="O895" i="43"/>
  <c r="O889" i="44"/>
  <c r="O382" i="44"/>
  <c r="O388" i="43"/>
  <c r="O894" i="44"/>
  <c r="O900" i="43"/>
  <c r="O682" i="44"/>
  <c r="O688" i="43"/>
  <c r="O30" i="43"/>
  <c r="O809" i="44"/>
  <c r="O815" i="43"/>
  <c r="O932" i="43"/>
  <c r="O926" i="44"/>
  <c r="O302" i="43"/>
  <c r="O296" i="44"/>
  <c r="O899" i="44"/>
  <c r="O905" i="43"/>
  <c r="O60" i="43"/>
  <c r="O885" i="44"/>
  <c r="O891" i="43"/>
  <c r="O955" i="43"/>
  <c r="O949" i="44"/>
  <c r="O721" i="44"/>
  <c r="O727" i="43"/>
  <c r="O33" i="43"/>
  <c r="O214" i="44"/>
  <c r="O220" i="43"/>
  <c r="O585" i="44"/>
  <c r="O591" i="43"/>
  <c r="O893" i="44"/>
  <c r="O899" i="43"/>
  <c r="O240" i="44"/>
  <c r="O246" i="43"/>
  <c r="O718" i="44"/>
  <c r="O724" i="43"/>
  <c r="O289" i="43"/>
  <c r="O283" i="44"/>
  <c r="O470" i="44"/>
  <c r="O476" i="43"/>
  <c r="O159" i="43"/>
  <c r="O270" i="43"/>
  <c r="O264" i="44"/>
  <c r="O473" i="44"/>
  <c r="O479" i="43"/>
  <c r="O382" i="43"/>
  <c r="O376" i="44"/>
  <c r="O819" i="43"/>
  <c r="O813" i="44"/>
  <c r="O549" i="44"/>
  <c r="O555" i="43"/>
  <c r="O201" i="43"/>
  <c r="O195" i="44"/>
  <c r="O550" i="44"/>
  <c r="O556" i="43"/>
  <c r="O717" i="44"/>
  <c r="O723" i="43"/>
  <c r="O551" i="44"/>
  <c r="O557" i="43"/>
  <c r="O380" i="44"/>
  <c r="O386" i="43"/>
  <c r="O17" i="43"/>
  <c r="O368" i="44"/>
  <c r="O374" i="43"/>
  <c r="O594" i="43"/>
  <c r="O588" i="44"/>
  <c r="O297" i="44"/>
  <c r="O303" i="43"/>
  <c r="O203" i="44"/>
  <c r="O209" i="43"/>
  <c r="O581" i="44"/>
  <c r="O587" i="43"/>
  <c r="O647" i="43"/>
  <c r="O641" i="44"/>
  <c r="O553" i="44"/>
  <c r="O559" i="43"/>
  <c r="O298" i="44"/>
  <c r="O304" i="43"/>
  <c r="O256" i="43"/>
  <c r="O250" i="44"/>
  <c r="O32" i="43"/>
  <c r="O719" i="43"/>
  <c r="O713" i="44"/>
  <c r="O888" i="44"/>
  <c r="O894" i="43"/>
  <c r="O31" i="43"/>
  <c r="O207" i="44"/>
  <c r="O213" i="43"/>
  <c r="O29" i="43"/>
  <c r="O410" i="44"/>
  <c r="O416" i="43"/>
  <c r="O753" i="44"/>
  <c r="O759" i="43"/>
  <c r="O244" i="44"/>
  <c r="O250" i="43"/>
  <c r="O820" i="43"/>
  <c r="O814" i="44"/>
  <c r="O720" i="44"/>
  <c r="O726" i="43"/>
  <c r="O723" i="44"/>
  <c r="O729" i="43"/>
  <c r="O434" i="44"/>
  <c r="O440" i="43"/>
  <c r="O889" i="43"/>
  <c r="O883" i="44"/>
  <c r="O948" i="44"/>
  <c r="O954" i="43"/>
  <c r="O48" i="43"/>
  <c r="O377" i="43"/>
  <c r="O371" i="44"/>
  <c r="O897" i="44"/>
  <c r="O903" i="43"/>
  <c r="O425" i="43"/>
  <c r="O419" i="44"/>
  <c r="O197" i="44"/>
  <c r="O203" i="43"/>
  <c r="O674" i="44"/>
  <c r="O680" i="43"/>
  <c r="O420" i="43"/>
  <c r="O414" i="44"/>
  <c r="O477" i="43"/>
  <c r="O471" i="44"/>
  <c r="O212" i="44"/>
  <c r="O218" i="43"/>
  <c r="O248" i="43"/>
  <c r="O242" i="44"/>
  <c r="O726" i="44"/>
  <c r="O732" i="43"/>
  <c r="O651" i="43"/>
  <c r="O645" i="44"/>
  <c r="O19" i="43"/>
  <c r="O467" i="44"/>
  <c r="O473" i="43"/>
  <c r="O282" i="44"/>
  <c r="O288" i="43"/>
  <c r="O412" i="44"/>
  <c r="O418" i="43"/>
  <c r="O973" i="13"/>
  <c r="O971" i="13"/>
  <c r="O524" i="13"/>
  <c r="O196" i="13"/>
  <c r="O203" i="13"/>
  <c r="O402" i="13"/>
  <c r="O797" i="13"/>
  <c r="O375" i="13"/>
  <c r="O664" i="13"/>
  <c r="O360" i="13"/>
  <c r="O399" i="13"/>
  <c r="O543" i="13"/>
  <c r="O252" i="13"/>
  <c r="O953" i="13"/>
  <c r="O545" i="13"/>
  <c r="O408" i="13"/>
  <c r="O462" i="13"/>
  <c r="O201" i="13"/>
  <c r="O571" i="13"/>
  <c r="O253" i="13"/>
  <c r="O288" i="13"/>
  <c r="O802" i="13"/>
  <c r="O204" i="13"/>
  <c r="O184" i="13"/>
  <c r="O191" i="13"/>
  <c r="O632" i="13"/>
  <c r="O674" i="13"/>
  <c r="O675" i="13"/>
  <c r="O631" i="13"/>
  <c r="O701" i="13"/>
  <c r="O363" i="13"/>
  <c r="O955" i="13"/>
  <c r="O676" i="13"/>
  <c r="O362" i="13"/>
  <c r="O227" i="13"/>
  <c r="O540" i="13"/>
  <c r="O668" i="13"/>
  <c r="O197" i="13"/>
  <c r="O947" i="13"/>
  <c r="O710" i="13"/>
  <c r="O457" i="13"/>
  <c r="O714" i="13"/>
  <c r="O400" i="13"/>
  <c r="O187" i="13"/>
  <c r="O574" i="13"/>
  <c r="O541" i="13"/>
  <c r="O712" i="13"/>
  <c r="O186" i="13"/>
  <c r="O273" i="13"/>
  <c r="O364" i="13"/>
  <c r="O460" i="13"/>
  <c r="O743" i="13"/>
  <c r="O387" i="13"/>
  <c r="O629" i="13"/>
  <c r="O199" i="13"/>
  <c r="O234" i="13"/>
  <c r="O634" i="13"/>
  <c r="O573" i="13"/>
  <c r="O539" i="13"/>
  <c r="O189" i="13"/>
  <c r="O456" i="13"/>
  <c r="O527" i="13"/>
  <c r="O705" i="13"/>
  <c r="O570" i="13"/>
  <c r="O537" i="13"/>
  <c r="O660" i="13"/>
  <c r="O831" i="13"/>
  <c r="O356" i="13"/>
  <c r="O956" i="13"/>
  <c r="O409" i="13"/>
  <c r="O704" i="13"/>
  <c r="O830" i="13"/>
  <c r="O354" i="13"/>
  <c r="O229" i="13"/>
  <c r="O700" i="13"/>
  <c r="O369" i="13"/>
  <c r="O804" i="13"/>
  <c r="O799" i="13"/>
  <c r="O193" i="13"/>
  <c r="O401" i="13"/>
  <c r="O1039" i="13"/>
  <c r="O185" i="13"/>
  <c r="O358" i="13"/>
  <c r="O633" i="13"/>
  <c r="O370" i="13"/>
  <c r="O367" i="13"/>
  <c r="O233" i="13"/>
  <c r="O287" i="13"/>
  <c r="O194" i="13"/>
  <c r="O461" i="13"/>
  <c r="O361" i="13"/>
  <c r="O739" i="13"/>
  <c r="O406" i="13"/>
  <c r="O236" i="13"/>
  <c r="O458" i="13"/>
  <c r="O572" i="13"/>
  <c r="O707" i="13"/>
  <c r="O459" i="13"/>
  <c r="O198" i="13"/>
  <c r="O403" i="13"/>
  <c r="O670" i="13"/>
  <c r="O371" i="13"/>
  <c r="O365" i="13"/>
  <c r="O404" i="13"/>
  <c r="O544" i="13"/>
  <c r="O231" i="13"/>
  <c r="O538" i="13"/>
  <c r="O636" i="13"/>
  <c r="O230" i="13"/>
  <c r="O715" i="13"/>
  <c r="O832" i="13"/>
  <c r="O663" i="13"/>
  <c r="O368" i="13"/>
  <c r="O706" i="13"/>
  <c r="O954" i="13"/>
  <c r="O577" i="13"/>
  <c r="O374" i="13"/>
  <c r="O359" i="13"/>
  <c r="O575" i="13"/>
  <c r="O238" i="13"/>
  <c r="O195" i="13"/>
  <c r="O1037" i="13"/>
  <c r="O235" i="13"/>
  <c r="O542" i="13"/>
  <c r="O192" i="13"/>
  <c r="O666" i="13"/>
  <c r="O677" i="13"/>
  <c r="O833" i="13"/>
  <c r="O665" i="13"/>
  <c r="O232" i="13"/>
  <c r="O630" i="13"/>
  <c r="O711" i="13"/>
  <c r="O388" i="13"/>
  <c r="O703" i="13"/>
  <c r="O366" i="13"/>
  <c r="O200" i="13"/>
  <c r="O536" i="13"/>
  <c r="O667" i="13"/>
  <c r="O950" i="13"/>
  <c r="O671" i="13"/>
  <c r="O422" i="13"/>
  <c r="O228" i="13"/>
  <c r="O202" i="13"/>
  <c r="O742" i="13"/>
  <c r="O673" i="13"/>
  <c r="O672" i="13"/>
  <c r="O949" i="13"/>
  <c r="O237" i="13"/>
  <c r="O205" i="13"/>
  <c r="O972" i="13"/>
  <c r="O373" i="13"/>
  <c r="O796" i="13"/>
  <c r="O407" i="13"/>
  <c r="O798" i="13"/>
  <c r="O286" i="13"/>
  <c r="O285" i="13"/>
  <c r="O357" i="13"/>
  <c r="O405" i="13"/>
  <c r="O952" i="13"/>
  <c r="O372" i="13"/>
  <c r="O740" i="13"/>
  <c r="O271" i="13"/>
  <c r="O635" i="13"/>
  <c r="O239" i="13"/>
  <c r="O569" i="13"/>
  <c r="O951" i="13"/>
  <c r="O948" i="13"/>
  <c r="O251" i="13"/>
  <c r="O534" i="13"/>
  <c r="O578" i="13"/>
  <c r="O188" i="13"/>
  <c r="O579" i="13"/>
  <c r="O272" i="13"/>
  <c r="O398" i="13"/>
  <c r="O535" i="13"/>
  <c r="O713" i="13"/>
  <c r="O355" i="13"/>
  <c r="O708" i="13"/>
  <c r="O946" i="13"/>
  <c r="O803" i="13"/>
  <c r="O576" i="13"/>
  <c r="O669" i="13"/>
  <c r="O741" i="13"/>
  <c r="O423" i="13"/>
  <c r="O421" i="13"/>
  <c r="O801" i="13"/>
  <c r="O190" i="13"/>
  <c r="O800" i="13"/>
  <c r="O709" i="13"/>
  <c r="O702" i="13"/>
  <c r="O443" i="13"/>
  <c r="O455" i="13"/>
  <c r="O159" i="13"/>
  <c r="O27" i="13"/>
  <c r="O23" i="13"/>
  <c r="O49" i="13"/>
  <c r="O20" i="13"/>
  <c r="O85" i="13"/>
  <c r="O34" i="13"/>
  <c r="O24" i="13"/>
  <c r="O29" i="13"/>
  <c r="O82" i="13"/>
  <c r="O81" i="13"/>
  <c r="O63" i="13"/>
  <c r="O57" i="13"/>
  <c r="O48" i="13"/>
  <c r="O47" i="13"/>
  <c r="O61" i="13"/>
  <c r="O59" i="13"/>
  <c r="O50" i="13"/>
  <c r="O22" i="13"/>
  <c r="O62" i="13"/>
  <c r="O18" i="13"/>
  <c r="O19" i="13"/>
  <c r="O21" i="13"/>
  <c r="O84" i="13"/>
  <c r="O32" i="13"/>
  <c r="O31" i="13"/>
  <c r="O58" i="13"/>
  <c r="O30" i="13"/>
  <c r="O60" i="13"/>
  <c r="O35" i="13"/>
  <c r="O55" i="13"/>
  <c r="O17" i="13"/>
  <c r="O56" i="13"/>
  <c r="O83" i="13"/>
  <c r="O26" i="13"/>
  <c r="O25" i="13"/>
  <c r="O28" i="13"/>
  <c r="B27" i="3"/>
  <c r="R504" i="36" l="1"/>
  <c r="Q504" i="36" s="1"/>
  <c r="R488" i="36"/>
  <c r="Q488" i="36" s="1"/>
  <c r="R490" i="36"/>
  <c r="Q490" i="36" s="1"/>
  <c r="R484" i="36"/>
  <c r="Q484" i="36" s="1"/>
  <c r="S57" i="43"/>
  <c r="P57" i="43"/>
  <c r="T57" i="43" s="1"/>
  <c r="S58" i="43"/>
  <c r="P58" i="43"/>
  <c r="T58" i="43" s="1"/>
  <c r="S60" i="43"/>
  <c r="P60" i="43"/>
  <c r="T60" i="43" s="1"/>
  <c r="S32" i="43"/>
  <c r="P32" i="43"/>
  <c r="T32" i="43" s="1"/>
  <c r="S34" i="43"/>
  <c r="P34" i="43"/>
  <c r="T34" i="43" s="1"/>
  <c r="S62" i="43"/>
  <c r="P62" i="43"/>
  <c r="T62" i="43" s="1"/>
  <c r="P61" i="43"/>
  <c r="T61" i="43" s="1"/>
  <c r="S61" i="43"/>
  <c r="P47" i="43"/>
  <c r="T47" i="43" s="1"/>
  <c r="S47" i="43"/>
  <c r="S27" i="43"/>
  <c r="P27" i="43"/>
  <c r="T27" i="43" s="1"/>
  <c r="S21" i="43"/>
  <c r="P21" i="43"/>
  <c r="T21" i="43" s="1"/>
  <c r="S159" i="43"/>
  <c r="P159" i="43"/>
  <c r="T159" i="43" s="1"/>
  <c r="S48" i="43"/>
  <c r="P48" i="43"/>
  <c r="T48" i="43" s="1"/>
  <c r="S19" i="43"/>
  <c r="P19" i="43"/>
  <c r="T19" i="43" s="1"/>
  <c r="P30" i="43"/>
  <c r="T30" i="43" s="1"/>
  <c r="S30" i="43"/>
  <c r="S161" i="43"/>
  <c r="P161" i="43"/>
  <c r="T161" i="43" s="1"/>
  <c r="S20" i="43"/>
  <c r="P20" i="43"/>
  <c r="T20" i="43" s="1"/>
  <c r="S25" i="43"/>
  <c r="P25" i="43"/>
  <c r="T25" i="43" s="1"/>
  <c r="S28" i="43"/>
  <c r="P28" i="43"/>
  <c r="T28" i="43" s="1"/>
  <c r="S50" i="43"/>
  <c r="P50" i="43"/>
  <c r="T50" i="43" s="1"/>
  <c r="S84" i="43"/>
  <c r="P84" i="43"/>
  <c r="T84" i="43" s="1"/>
  <c r="S24" i="43"/>
  <c r="P24" i="43"/>
  <c r="T24" i="43" s="1"/>
  <c r="S56" i="43"/>
  <c r="P56" i="43"/>
  <c r="T56" i="43" s="1"/>
  <c r="S26" i="43"/>
  <c r="P26" i="43"/>
  <c r="T26" i="43" s="1"/>
  <c r="S49" i="43"/>
  <c r="P49" i="43"/>
  <c r="T49" i="43" s="1"/>
  <c r="S82" i="43"/>
  <c r="P82" i="43"/>
  <c r="T82" i="43" s="1"/>
  <c r="S33" i="43"/>
  <c r="P33" i="43"/>
  <c r="T33" i="43" s="1"/>
  <c r="S29" i="43"/>
  <c r="P29" i="43"/>
  <c r="T29" i="43" s="1"/>
  <c r="S81" i="43"/>
  <c r="P81" i="43"/>
  <c r="T81" i="43" s="1"/>
  <c r="S35" i="43"/>
  <c r="P35" i="43"/>
  <c r="T35" i="43" s="1"/>
  <c r="S17" i="43"/>
  <c r="P17" i="43"/>
  <c r="T17" i="43" s="1"/>
  <c r="S83" i="43"/>
  <c r="P83" i="43"/>
  <c r="T83" i="43" s="1"/>
  <c r="S18" i="43"/>
  <c r="P18" i="43"/>
  <c r="T18" i="43" s="1"/>
  <c r="S85" i="43"/>
  <c r="P85" i="43"/>
  <c r="T85" i="43" s="1"/>
  <c r="S55" i="43"/>
  <c r="P55" i="43"/>
  <c r="T55" i="43" s="1"/>
  <c r="S63" i="43"/>
  <c r="P63" i="43"/>
  <c r="T63" i="43" s="1"/>
  <c r="P59" i="43"/>
  <c r="T59" i="43" s="1"/>
  <c r="S59" i="43"/>
  <c r="S22" i="43"/>
  <c r="P22" i="43"/>
  <c r="T22" i="43" s="1"/>
  <c r="S23" i="43"/>
  <c r="P23" i="43"/>
  <c r="T23" i="43" s="1"/>
  <c r="S31" i="43"/>
  <c r="P31" i="43"/>
  <c r="T31" i="43" s="1"/>
  <c r="AD18" i="14"/>
  <c r="AD18" i="18"/>
  <c r="E22" i="14"/>
  <c r="Z11" i="18"/>
  <c r="Z10" i="18"/>
  <c r="T482" i="36" l="1"/>
  <c r="T491" i="36"/>
  <c r="T42" i="36"/>
  <c r="R503" i="36"/>
  <c r="Q503" i="36" s="1"/>
  <c r="R486" i="36"/>
  <c r="Q486" i="36" s="1"/>
  <c r="R485" i="36"/>
  <c r="Q485" i="36" s="1"/>
  <c r="R480" i="36"/>
  <c r="Q480" i="36" s="1"/>
  <c r="R505" i="36"/>
  <c r="Q505" i="36" s="1"/>
  <c r="R481" i="36"/>
  <c r="Q481" i="36" s="1"/>
  <c r="R489" i="36"/>
  <c r="Q489" i="36" s="1"/>
  <c r="R487" i="36"/>
  <c r="Q487" i="36" s="1"/>
  <c r="R483" i="36"/>
  <c r="Q483" i="36" s="1"/>
  <c r="E22" i="18"/>
  <c r="T503" i="36" l="1"/>
  <c r="T489" i="36"/>
  <c r="J347" i="36"/>
  <c r="K346" i="38"/>
  <c r="K346" i="37" s="1"/>
  <c r="L347" i="36" s="1"/>
  <c r="J319" i="36"/>
  <c r="K318" i="38"/>
  <c r="K318" i="37" s="1"/>
  <c r="L319" i="36" s="1"/>
  <c r="J264" i="36"/>
  <c r="K263" i="38"/>
  <c r="K263" i="37" s="1"/>
  <c r="L264" i="36" s="1"/>
  <c r="T45" i="36"/>
  <c r="T44" i="36"/>
  <c r="J416" i="36"/>
  <c r="K415" i="38"/>
  <c r="K415" i="37" s="1"/>
  <c r="L416" i="36" s="1"/>
  <c r="T481" i="36"/>
  <c r="K339" i="38"/>
  <c r="K339" i="37" s="1"/>
  <c r="L340" i="36" s="1"/>
  <c r="J340" i="36"/>
  <c r="J152" i="36"/>
  <c r="K151" i="38"/>
  <c r="K151" i="37" s="1"/>
  <c r="L152" i="36" s="1"/>
  <c r="J194" i="36"/>
  <c r="K193" i="38"/>
  <c r="K193" i="37" s="1"/>
  <c r="L194" i="36" s="1"/>
  <c r="J125" i="36"/>
  <c r="K124" i="38"/>
  <c r="K124" i="37" s="1"/>
  <c r="L125" i="36" s="1"/>
  <c r="T485" i="36"/>
  <c r="T504" i="36"/>
  <c r="K199" i="38"/>
  <c r="K199" i="37" s="1"/>
  <c r="L200" i="36" s="1"/>
  <c r="J200" i="36"/>
  <c r="J363" i="36"/>
  <c r="K362" i="38"/>
  <c r="K362" i="37" s="1"/>
  <c r="L363" i="36" s="1"/>
  <c r="J230" i="36"/>
  <c r="K229" i="38"/>
  <c r="K229" i="37" s="1"/>
  <c r="L230" i="36" s="1"/>
  <c r="J128" i="36"/>
  <c r="K127" i="38"/>
  <c r="K127" i="37" s="1"/>
  <c r="L128" i="36" s="1"/>
  <c r="J183" i="36"/>
  <c r="K182" i="38"/>
  <c r="K182" i="37" s="1"/>
  <c r="L183" i="36" s="1"/>
  <c r="J268" i="36"/>
  <c r="K267" i="38"/>
  <c r="K267" i="37" s="1"/>
  <c r="L268" i="36" s="1"/>
  <c r="K481" i="38"/>
  <c r="K481" i="37" s="1"/>
  <c r="J422" i="36"/>
  <c r="K421" i="38"/>
  <c r="K421" i="37" s="1"/>
  <c r="L422" i="36" s="1"/>
  <c r="J357" i="36"/>
  <c r="K356" i="38"/>
  <c r="K356" i="37" s="1"/>
  <c r="L357" i="36" s="1"/>
  <c r="J287" i="36"/>
  <c r="K286" i="38"/>
  <c r="K286" i="37" s="1"/>
  <c r="L287" i="36" s="1"/>
  <c r="J437" i="36"/>
  <c r="K436" i="38"/>
  <c r="K436" i="37" s="1"/>
  <c r="L437" i="36" s="1"/>
  <c r="K41" i="38"/>
  <c r="K41" i="37" s="1"/>
  <c r="T505" i="36"/>
  <c r="T488" i="36"/>
  <c r="J323" i="36"/>
  <c r="K322" i="38"/>
  <c r="K322" i="37" s="1"/>
  <c r="L323" i="36" s="1"/>
  <c r="T490" i="36"/>
  <c r="J132" i="36"/>
  <c r="K131" i="38"/>
  <c r="K131" i="37" s="1"/>
  <c r="L132" i="36" s="1"/>
  <c r="T480" i="36"/>
  <c r="K490" i="38"/>
  <c r="K490" i="37" s="1"/>
  <c r="J196" i="36"/>
  <c r="K195" i="38"/>
  <c r="K195" i="37" s="1"/>
  <c r="L196" i="36" s="1"/>
  <c r="J424" i="36"/>
  <c r="K423" i="38"/>
  <c r="K423" i="37" s="1"/>
  <c r="L424" i="36" s="1"/>
  <c r="J263" i="36"/>
  <c r="K262" i="38"/>
  <c r="K262" i="37" s="1"/>
  <c r="L263" i="36" s="1"/>
  <c r="J197" i="36"/>
  <c r="K196" i="38"/>
  <c r="K196" i="37" s="1"/>
  <c r="L197" i="36" s="1"/>
  <c r="J353" i="36"/>
  <c r="K352" i="38"/>
  <c r="K352" i="37" s="1"/>
  <c r="L353" i="36" s="1"/>
  <c r="J185" i="36"/>
  <c r="K184" i="38"/>
  <c r="K184" i="37" s="1"/>
  <c r="L185" i="36" s="1"/>
  <c r="T487" i="36"/>
  <c r="T486" i="36"/>
  <c r="J439" i="36"/>
  <c r="K438" i="38"/>
  <c r="K438" i="37" s="1"/>
  <c r="L439" i="36" s="1"/>
  <c r="J288" i="36"/>
  <c r="K287" i="38"/>
  <c r="K287" i="37" s="1"/>
  <c r="L288" i="36" s="1"/>
  <c r="J435" i="36"/>
  <c r="K434" i="38"/>
  <c r="K434" i="37" s="1"/>
  <c r="L435" i="36" s="1"/>
  <c r="J261" i="36"/>
  <c r="K260" i="38"/>
  <c r="K260" i="37" s="1"/>
  <c r="L261" i="36" s="1"/>
  <c r="T43" i="36"/>
  <c r="T483" i="36"/>
  <c r="J180" i="36"/>
  <c r="K179" i="38"/>
  <c r="K179" i="37" s="1"/>
  <c r="L180" i="36" s="1"/>
  <c r="J289" i="36"/>
  <c r="K288" i="38"/>
  <c r="K288" i="37" s="1"/>
  <c r="L289" i="36" s="1"/>
  <c r="J236" i="36"/>
  <c r="K235" i="38"/>
  <c r="K235" i="37" s="1"/>
  <c r="L236" i="36" s="1"/>
  <c r="T484" i="36"/>
  <c r="J164" i="36"/>
  <c r="K163" i="38"/>
  <c r="K163" i="37" s="1"/>
  <c r="L164" i="36" s="1"/>
  <c r="J154" i="36"/>
  <c r="K153" i="38"/>
  <c r="K153" i="37" s="1"/>
  <c r="L154" i="36" s="1"/>
  <c r="M323" i="36" l="1"/>
  <c r="S323" i="36" s="1"/>
  <c r="P323" i="36"/>
  <c r="M152" i="36"/>
  <c r="S152" i="36" s="1"/>
  <c r="P152" i="36"/>
  <c r="M180" i="36"/>
  <c r="S180" i="36" s="1"/>
  <c r="P180" i="36"/>
  <c r="M340" i="36"/>
  <c r="S340" i="36" s="1"/>
  <c r="P340" i="36"/>
  <c r="M128" i="36"/>
  <c r="S128" i="36" s="1"/>
  <c r="P128" i="36"/>
  <c r="M197" i="36"/>
  <c r="S197" i="36" s="1"/>
  <c r="P197" i="36"/>
  <c r="M194" i="36"/>
  <c r="S194" i="36" s="1"/>
  <c r="P194" i="36"/>
  <c r="M289" i="36"/>
  <c r="S289" i="36" s="1"/>
  <c r="P289" i="36"/>
  <c r="M261" i="36"/>
  <c r="S261" i="36" s="1"/>
  <c r="P261" i="36"/>
  <c r="M416" i="36"/>
  <c r="S416" i="36" s="1"/>
  <c r="P416" i="36"/>
  <c r="M287" i="36"/>
  <c r="S287" i="36" s="1"/>
  <c r="P287" i="36"/>
  <c r="M183" i="36"/>
  <c r="S183" i="36" s="1"/>
  <c r="P183" i="36"/>
  <c r="M353" i="36"/>
  <c r="S353" i="36" s="1"/>
  <c r="P353" i="36"/>
  <c r="M424" i="36"/>
  <c r="S424" i="36" s="1"/>
  <c r="P424" i="36"/>
  <c r="M200" i="36"/>
  <c r="S200" i="36" s="1"/>
  <c r="P200" i="36"/>
  <c r="M154" i="36"/>
  <c r="S154" i="36" s="1"/>
  <c r="P154" i="36"/>
  <c r="M196" i="36"/>
  <c r="S196" i="36" s="1"/>
  <c r="P196" i="36"/>
  <c r="M125" i="36"/>
  <c r="S125" i="36" s="1"/>
  <c r="P125" i="36"/>
  <c r="M236" i="36"/>
  <c r="S236" i="36" s="1"/>
  <c r="P236" i="36"/>
  <c r="M132" i="36"/>
  <c r="S132" i="36" s="1"/>
  <c r="P132" i="36"/>
  <c r="M437" i="36"/>
  <c r="S437" i="36" s="1"/>
  <c r="P437" i="36"/>
  <c r="M288" i="36"/>
  <c r="S288" i="36" s="1"/>
  <c r="P288" i="36"/>
  <c r="M357" i="36"/>
  <c r="S357" i="36" s="1"/>
  <c r="P357" i="36"/>
  <c r="M264" i="36"/>
  <c r="S264" i="36" s="1"/>
  <c r="P264" i="36"/>
  <c r="M439" i="36"/>
  <c r="S439" i="36" s="1"/>
  <c r="P439" i="36"/>
  <c r="M422" i="36"/>
  <c r="S422" i="36" s="1"/>
  <c r="P422" i="36"/>
  <c r="M319" i="36"/>
  <c r="S319" i="36" s="1"/>
  <c r="P319" i="36"/>
  <c r="M347" i="36"/>
  <c r="S347" i="36" s="1"/>
  <c r="P347" i="36"/>
  <c r="M268" i="36"/>
  <c r="S268" i="36" s="1"/>
  <c r="P268" i="36"/>
  <c r="M230" i="36"/>
  <c r="S230" i="36" s="1"/>
  <c r="P230" i="36"/>
  <c r="M263" i="36"/>
  <c r="S263" i="36" s="1"/>
  <c r="P263" i="36"/>
  <c r="M363" i="36"/>
  <c r="S363" i="36" s="1"/>
  <c r="P363" i="36"/>
  <c r="M164" i="36"/>
  <c r="S164" i="36" s="1"/>
  <c r="P164" i="36"/>
  <c r="M435" i="36"/>
  <c r="S435" i="36" s="1"/>
  <c r="P435" i="36"/>
  <c r="M185" i="36"/>
  <c r="S185" i="36" s="1"/>
  <c r="P185" i="36"/>
  <c r="J186" i="36"/>
  <c r="K185" i="38"/>
  <c r="K185" i="37" s="1"/>
  <c r="L186" i="36" s="1"/>
  <c r="R185" i="36"/>
  <c r="Q185" i="36" s="1"/>
  <c r="O185" i="36"/>
  <c r="U185" i="36" s="1"/>
  <c r="T185" i="36" s="1"/>
  <c r="J341" i="36"/>
  <c r="K340" i="38"/>
  <c r="K340" i="37" s="1"/>
  <c r="L341" i="36" s="1"/>
  <c r="J359" i="36"/>
  <c r="K358" i="38"/>
  <c r="K358" i="37" s="1"/>
  <c r="L359" i="36" s="1"/>
  <c r="J179" i="36"/>
  <c r="K178" i="38"/>
  <c r="K178" i="37" s="1"/>
  <c r="L179" i="36" s="1"/>
  <c r="K483" i="38"/>
  <c r="K483" i="37" s="1"/>
  <c r="J193" i="36"/>
  <c r="K192" i="38"/>
  <c r="K192" i="37" s="1"/>
  <c r="L193" i="36" s="1"/>
  <c r="J272" i="36"/>
  <c r="K271" i="38"/>
  <c r="K271" i="37" s="1"/>
  <c r="L272" i="36" s="1"/>
  <c r="J433" i="36"/>
  <c r="K432" i="38"/>
  <c r="K432" i="37" s="1"/>
  <c r="L433" i="36" s="1"/>
  <c r="J234" i="36"/>
  <c r="K233" i="38"/>
  <c r="K233" i="37" s="1"/>
  <c r="L234" i="36" s="1"/>
  <c r="O424" i="36"/>
  <c r="U424" i="36" s="1"/>
  <c r="R424" i="36"/>
  <c r="J321" i="36"/>
  <c r="K320" i="38"/>
  <c r="K320" i="37" s="1"/>
  <c r="L321" i="36" s="1"/>
  <c r="J255" i="36"/>
  <c r="K254" i="38"/>
  <c r="K254" i="37" s="1"/>
  <c r="L255" i="36" s="1"/>
  <c r="O200" i="36"/>
  <c r="U200" i="36" s="1"/>
  <c r="T200" i="36" s="1"/>
  <c r="R200" i="36"/>
  <c r="O264" i="36"/>
  <c r="U264" i="36" s="1"/>
  <c r="R264" i="36"/>
  <c r="O154" i="36"/>
  <c r="U154" i="36" s="1"/>
  <c r="R154" i="36"/>
  <c r="O236" i="36"/>
  <c r="U236" i="36" s="1"/>
  <c r="R236" i="36"/>
  <c r="Q236" i="36" s="1"/>
  <c r="O268" i="36"/>
  <c r="U268" i="36" s="1"/>
  <c r="R268" i="36"/>
  <c r="J156" i="36"/>
  <c r="K155" i="38"/>
  <c r="K155" i="37" s="1"/>
  <c r="L156" i="36" s="1"/>
  <c r="J348" i="36"/>
  <c r="K347" i="38"/>
  <c r="K347" i="37" s="1"/>
  <c r="L348" i="36" s="1"/>
  <c r="J344" i="36"/>
  <c r="K343" i="38"/>
  <c r="K343" i="37" s="1"/>
  <c r="L344" i="36" s="1"/>
  <c r="K191" i="38"/>
  <c r="K191" i="37" s="1"/>
  <c r="L192" i="36" s="1"/>
  <c r="J192" i="36"/>
  <c r="O319" i="36"/>
  <c r="U319" i="36" s="1"/>
  <c r="R319" i="36"/>
  <c r="J231" i="36"/>
  <c r="K230" i="38"/>
  <c r="K230" i="37" s="1"/>
  <c r="L231" i="36" s="1"/>
  <c r="J204" i="36"/>
  <c r="K203" i="38"/>
  <c r="K203" i="37" s="1"/>
  <c r="L204" i="36" s="1"/>
  <c r="R197" i="36"/>
  <c r="Q197" i="36" s="1"/>
  <c r="O197" i="36"/>
  <c r="U197" i="36" s="1"/>
  <c r="T197" i="36" s="1"/>
  <c r="J418" i="36"/>
  <c r="K417" i="38"/>
  <c r="K417" i="37" s="1"/>
  <c r="L418" i="36" s="1"/>
  <c r="J265" i="36"/>
  <c r="K264" i="38"/>
  <c r="K264" i="37" s="1"/>
  <c r="L265" i="36" s="1"/>
  <c r="J425" i="36"/>
  <c r="K424" i="38"/>
  <c r="K424" i="37" s="1"/>
  <c r="L425" i="36" s="1"/>
  <c r="O180" i="36"/>
  <c r="U180" i="36" s="1"/>
  <c r="T180" i="36" s="1"/>
  <c r="R180" i="36"/>
  <c r="O164" i="36"/>
  <c r="U164" i="36" s="1"/>
  <c r="R164" i="36"/>
  <c r="Q164" i="36" s="1"/>
  <c r="J320" i="36"/>
  <c r="K319" i="38"/>
  <c r="K319" i="37" s="1"/>
  <c r="L320" i="36" s="1"/>
  <c r="J126" i="36"/>
  <c r="K125" i="38"/>
  <c r="K125" i="37" s="1"/>
  <c r="L126" i="36" s="1"/>
  <c r="O196" i="36"/>
  <c r="U196" i="36" s="1"/>
  <c r="R196" i="36"/>
  <c r="Q196" i="36" s="1"/>
  <c r="R132" i="36"/>
  <c r="Q132" i="36" s="1"/>
  <c r="O132" i="36"/>
  <c r="U132" i="36" s="1"/>
  <c r="T132" i="36" s="1"/>
  <c r="J326" i="36"/>
  <c r="K325" i="38"/>
  <c r="K325" i="37" s="1"/>
  <c r="L326" i="36" s="1"/>
  <c r="J290" i="36"/>
  <c r="K289" i="38"/>
  <c r="K289" i="37" s="1"/>
  <c r="L290" i="36" s="1"/>
  <c r="J364" i="36"/>
  <c r="K363" i="38"/>
  <c r="K363" i="37" s="1"/>
  <c r="L364" i="36" s="1"/>
  <c r="J157" i="36"/>
  <c r="K156" i="38"/>
  <c r="K156" i="37" s="1"/>
  <c r="L157" i="36" s="1"/>
  <c r="J262" i="36"/>
  <c r="K261" i="38"/>
  <c r="K261" i="37" s="1"/>
  <c r="L262" i="36" s="1"/>
  <c r="J159" i="36"/>
  <c r="K158" i="38"/>
  <c r="K158" i="37" s="1"/>
  <c r="L159" i="36" s="1"/>
  <c r="J254" i="36"/>
  <c r="K253" i="38"/>
  <c r="K253" i="37" s="1"/>
  <c r="L254" i="36" s="1"/>
  <c r="K43" i="38"/>
  <c r="K43" i="37" s="1"/>
  <c r="O289" i="36"/>
  <c r="U289" i="36" s="1"/>
  <c r="T289" i="36" s="1"/>
  <c r="R289" i="36"/>
  <c r="Q289" i="36" s="1"/>
  <c r="J203" i="36"/>
  <c r="K202" i="38"/>
  <c r="K202" i="37" s="1"/>
  <c r="L203" i="36" s="1"/>
  <c r="J256" i="36"/>
  <c r="K255" i="38"/>
  <c r="K255" i="37" s="1"/>
  <c r="L256" i="36" s="1"/>
  <c r="J188" i="36"/>
  <c r="K187" i="38"/>
  <c r="K187" i="37" s="1"/>
  <c r="L188" i="36" s="1"/>
  <c r="J267" i="36"/>
  <c r="K266" i="38"/>
  <c r="K266" i="37" s="1"/>
  <c r="L267" i="36" s="1"/>
  <c r="J178" i="36"/>
  <c r="K177" i="38"/>
  <c r="K177" i="37" s="1"/>
  <c r="L178" i="36" s="1"/>
  <c r="K130" i="38"/>
  <c r="K130" i="37" s="1"/>
  <c r="L131" i="36" s="1"/>
  <c r="J131" i="36"/>
  <c r="O416" i="36"/>
  <c r="U416" i="36" s="1"/>
  <c r="R416" i="36"/>
  <c r="O288" i="36"/>
  <c r="U288" i="36" s="1"/>
  <c r="T288" i="36" s="1"/>
  <c r="R288" i="36"/>
  <c r="J436" i="36"/>
  <c r="K435" i="38"/>
  <c r="K435" i="37" s="1"/>
  <c r="L436" i="36" s="1"/>
  <c r="J257" i="36"/>
  <c r="K256" i="38"/>
  <c r="K256" i="37" s="1"/>
  <c r="L257" i="36" s="1"/>
  <c r="J238" i="36"/>
  <c r="K237" i="38"/>
  <c r="K237" i="37" s="1"/>
  <c r="L238" i="36" s="1"/>
  <c r="K484" i="38"/>
  <c r="K484" i="37" s="1"/>
  <c r="J271" i="36"/>
  <c r="K270" i="38"/>
  <c r="K270" i="37" s="1"/>
  <c r="L271" i="36" s="1"/>
  <c r="J184" i="36"/>
  <c r="K183" i="38"/>
  <c r="K183" i="37" s="1"/>
  <c r="L184" i="36" s="1"/>
  <c r="J181" i="36"/>
  <c r="K180" i="38"/>
  <c r="K180" i="37" s="1"/>
  <c r="L181" i="36" s="1"/>
  <c r="J362" i="36"/>
  <c r="K361" i="38"/>
  <c r="K361" i="37" s="1"/>
  <c r="L362" i="36" s="1"/>
  <c r="J190" i="36"/>
  <c r="K189" i="38"/>
  <c r="K189" i="37" s="1"/>
  <c r="L190" i="36" s="1"/>
  <c r="O323" i="36"/>
  <c r="U323" i="36" s="1"/>
  <c r="T323" i="36" s="1"/>
  <c r="R323" i="36"/>
  <c r="Q323" i="36" s="1"/>
  <c r="J269" i="36"/>
  <c r="K268" i="38"/>
  <c r="K268" i="37" s="1"/>
  <c r="L269" i="36" s="1"/>
  <c r="K487" i="38"/>
  <c r="K487" i="37" s="1"/>
  <c r="O439" i="36"/>
  <c r="U439" i="36" s="1"/>
  <c r="R439" i="36"/>
  <c r="K482" i="38"/>
  <c r="K482" i="37" s="1"/>
  <c r="J325" i="36"/>
  <c r="K324" i="38"/>
  <c r="K324" i="37" s="1"/>
  <c r="L325" i="36" s="1"/>
  <c r="J339" i="36"/>
  <c r="K338" i="38"/>
  <c r="K338" i="37" s="1"/>
  <c r="L339" i="36" s="1"/>
  <c r="K350" i="38"/>
  <c r="K350" i="37" s="1"/>
  <c r="L351" i="36" s="1"/>
  <c r="J351" i="36"/>
  <c r="J338" i="36"/>
  <c r="K337" i="38"/>
  <c r="K337" i="37" s="1"/>
  <c r="L338" i="36" s="1"/>
  <c r="J419" i="36"/>
  <c r="K418" i="38"/>
  <c r="K418" i="37" s="1"/>
  <c r="L419" i="36" s="1"/>
  <c r="J350" i="36"/>
  <c r="K349" i="38"/>
  <c r="K349" i="37" s="1"/>
  <c r="L350" i="36" s="1"/>
  <c r="O183" i="36"/>
  <c r="U183" i="36" s="1"/>
  <c r="R183" i="36"/>
  <c r="J167" i="36"/>
  <c r="K166" i="38"/>
  <c r="K166" i="37" s="1"/>
  <c r="L167" i="36" s="1"/>
  <c r="J356" i="36"/>
  <c r="K355" i="38"/>
  <c r="K355" i="37" s="1"/>
  <c r="L356" i="36" s="1"/>
  <c r="J266" i="36"/>
  <c r="K265" i="38"/>
  <c r="K265" i="37" s="1"/>
  <c r="L266" i="36" s="1"/>
  <c r="J235" i="36"/>
  <c r="K234" i="38"/>
  <c r="K234" i="37" s="1"/>
  <c r="L235" i="36" s="1"/>
  <c r="J151" i="36"/>
  <c r="K150" i="38"/>
  <c r="K150" i="37" s="1"/>
  <c r="L151" i="36" s="1"/>
  <c r="J155" i="36"/>
  <c r="K154" i="38"/>
  <c r="K154" i="37" s="1"/>
  <c r="L155" i="36" s="1"/>
  <c r="K504" i="38"/>
  <c r="K504" i="37" s="1"/>
  <c r="K42" i="38"/>
  <c r="K42" i="37" s="1"/>
  <c r="O128" i="36"/>
  <c r="U128" i="36" s="1"/>
  <c r="R128" i="36"/>
  <c r="O422" i="36"/>
  <c r="U422" i="36" s="1"/>
  <c r="R422" i="36"/>
  <c r="K414" i="38"/>
  <c r="K414" i="37" s="1"/>
  <c r="L415" i="36" s="1"/>
  <c r="J415" i="36"/>
  <c r="O230" i="36"/>
  <c r="U230" i="36" s="1"/>
  <c r="R230" i="36"/>
  <c r="J133" i="36"/>
  <c r="K132" i="38"/>
  <c r="K132" i="37" s="1"/>
  <c r="L133" i="36" s="1"/>
  <c r="O435" i="36"/>
  <c r="U435" i="36" s="1"/>
  <c r="T435" i="36" s="1"/>
  <c r="R435" i="36"/>
  <c r="Q435" i="36" s="1"/>
  <c r="J201" i="36"/>
  <c r="K200" i="38"/>
  <c r="K200" i="37" s="1"/>
  <c r="L201" i="36" s="1"/>
  <c r="J176" i="36"/>
  <c r="K175" i="38"/>
  <c r="K175" i="37" s="1"/>
  <c r="L176" i="36" s="1"/>
  <c r="J191" i="36"/>
  <c r="K190" i="38"/>
  <c r="K190" i="37" s="1"/>
  <c r="L191" i="36" s="1"/>
  <c r="K197" i="38"/>
  <c r="K197" i="37" s="1"/>
  <c r="L198" i="36" s="1"/>
  <c r="J198" i="36"/>
  <c r="K502" i="38"/>
  <c r="K502" i="37" s="1"/>
  <c r="J153" i="36"/>
  <c r="K152" i="38"/>
  <c r="K152" i="37" s="1"/>
  <c r="L153" i="36" s="1"/>
  <c r="K194" i="38"/>
  <c r="K194" i="37" s="1"/>
  <c r="L195" i="36" s="1"/>
  <c r="J195" i="36"/>
  <c r="K485" i="38"/>
  <c r="K485" i="37" s="1"/>
  <c r="J187" i="36"/>
  <c r="K186" i="38"/>
  <c r="K186" i="37" s="1"/>
  <c r="L187" i="36" s="1"/>
  <c r="K480" i="38"/>
  <c r="K480" i="37" s="1"/>
  <c r="K479" i="38"/>
  <c r="K479" i="37" s="1"/>
  <c r="J360" i="36"/>
  <c r="K359" i="38"/>
  <c r="K359" i="37" s="1"/>
  <c r="L360" i="36" s="1"/>
  <c r="J233" i="36"/>
  <c r="K232" i="38"/>
  <c r="K232" i="37" s="1"/>
  <c r="L233" i="36" s="1"/>
  <c r="J160" i="36"/>
  <c r="K159" i="38"/>
  <c r="K159" i="37" s="1"/>
  <c r="L160" i="36" s="1"/>
  <c r="J318" i="36"/>
  <c r="K317" i="38"/>
  <c r="K317" i="37" s="1"/>
  <c r="L318" i="36" s="1"/>
  <c r="J182" i="36"/>
  <c r="K181" i="38"/>
  <c r="K181" i="37" s="1"/>
  <c r="L182" i="36" s="1"/>
  <c r="O347" i="36"/>
  <c r="U347" i="36" s="1"/>
  <c r="R347" i="36"/>
  <c r="J440" i="36"/>
  <c r="K439" i="38"/>
  <c r="K439" i="37" s="1"/>
  <c r="L440" i="36" s="1"/>
  <c r="J322" i="36"/>
  <c r="K321" i="38"/>
  <c r="K321" i="37" s="1"/>
  <c r="L322" i="36" s="1"/>
  <c r="J291" i="36"/>
  <c r="K290" i="38"/>
  <c r="K290" i="37" s="1"/>
  <c r="L291" i="36" s="1"/>
  <c r="O340" i="36"/>
  <c r="U340" i="36" s="1"/>
  <c r="R340" i="36"/>
  <c r="Q340" i="36" s="1"/>
  <c r="O261" i="36"/>
  <c r="U261" i="36" s="1"/>
  <c r="R261" i="36"/>
  <c r="J260" i="36"/>
  <c r="K259" i="38"/>
  <c r="K259" i="37" s="1"/>
  <c r="L260" i="36" s="1"/>
  <c r="J317" i="36"/>
  <c r="K316" i="38"/>
  <c r="K316" i="37" s="1"/>
  <c r="L317" i="36" s="1"/>
  <c r="J417" i="36"/>
  <c r="K416" i="38"/>
  <c r="K416" i="37" s="1"/>
  <c r="L417" i="36" s="1"/>
  <c r="J161" i="36"/>
  <c r="K160" i="38"/>
  <c r="K160" i="37" s="1"/>
  <c r="L161" i="36" s="1"/>
  <c r="J175" i="36"/>
  <c r="K174" i="38"/>
  <c r="K174" i="37" s="1"/>
  <c r="L175" i="36" s="1"/>
  <c r="J189" i="36"/>
  <c r="K188" i="38"/>
  <c r="K188" i="37" s="1"/>
  <c r="L189" i="36" s="1"/>
  <c r="O437" i="36"/>
  <c r="U437" i="36" s="1"/>
  <c r="R437" i="36"/>
  <c r="J324" i="36"/>
  <c r="K323" i="38"/>
  <c r="K323" i="37" s="1"/>
  <c r="L324" i="36" s="1"/>
  <c r="J349" i="36"/>
  <c r="K348" i="38"/>
  <c r="K348" i="37" s="1"/>
  <c r="L349" i="36" s="1"/>
  <c r="O353" i="36"/>
  <c r="U353" i="36" s="1"/>
  <c r="R353" i="36"/>
  <c r="J420" i="36"/>
  <c r="K419" i="38"/>
  <c r="K419" i="37" s="1"/>
  <c r="L420" i="36" s="1"/>
  <c r="J165" i="36"/>
  <c r="K164" i="38"/>
  <c r="K164" i="37" s="1"/>
  <c r="L165" i="36" s="1"/>
  <c r="K165" i="38"/>
  <c r="K165" i="37" s="1"/>
  <c r="L166" i="36" s="1"/>
  <c r="J166" i="36"/>
  <c r="K503" i="38"/>
  <c r="K503" i="37" s="1"/>
  <c r="J237" i="36"/>
  <c r="K236" i="38"/>
  <c r="K236" i="37" s="1"/>
  <c r="L237" i="36" s="1"/>
  <c r="K283" i="38"/>
  <c r="K283" i="37" s="1"/>
  <c r="L284" i="36" s="1"/>
  <c r="J284" i="36"/>
  <c r="J352" i="36"/>
  <c r="K351" i="38"/>
  <c r="K351" i="37" s="1"/>
  <c r="L352" i="36" s="1"/>
  <c r="J434" i="36"/>
  <c r="K433" i="38"/>
  <c r="K433" i="37" s="1"/>
  <c r="L434" i="36" s="1"/>
  <c r="J355" i="36"/>
  <c r="K354" i="38"/>
  <c r="K354" i="37" s="1"/>
  <c r="L355" i="36" s="1"/>
  <c r="J358" i="36"/>
  <c r="K357" i="38"/>
  <c r="K357" i="37" s="1"/>
  <c r="L358" i="36" s="1"/>
  <c r="J232" i="36"/>
  <c r="K231" i="38"/>
  <c r="K231" i="37" s="1"/>
  <c r="L232" i="36" s="1"/>
  <c r="O357" i="36"/>
  <c r="U357" i="36" s="1"/>
  <c r="T357" i="36" s="1"/>
  <c r="R357" i="36"/>
  <c r="Q357" i="36" s="1"/>
  <c r="J258" i="36"/>
  <c r="K257" i="38"/>
  <c r="K257" i="37" s="1"/>
  <c r="L258" i="36" s="1"/>
  <c r="J423" i="36"/>
  <c r="K422" i="38"/>
  <c r="K422" i="37" s="1"/>
  <c r="L423" i="36" s="1"/>
  <c r="K488" i="38"/>
  <c r="K488" i="37" s="1"/>
  <c r="J316" i="36"/>
  <c r="K315" i="38"/>
  <c r="K315" i="37" s="1"/>
  <c r="L316" i="36" s="1"/>
  <c r="J202" i="36"/>
  <c r="K201" i="38"/>
  <c r="K201" i="37" s="1"/>
  <c r="L202" i="36" s="1"/>
  <c r="J177" i="36"/>
  <c r="K176" i="38"/>
  <c r="K176" i="37" s="1"/>
  <c r="L177" i="36" s="1"/>
  <c r="K285" i="38"/>
  <c r="K285" i="37" s="1"/>
  <c r="L286" i="36" s="1"/>
  <c r="J286" i="36"/>
  <c r="J134" i="36"/>
  <c r="K133" i="38"/>
  <c r="K133" i="37" s="1"/>
  <c r="L134" i="36" s="1"/>
  <c r="J438" i="36"/>
  <c r="K437" i="38"/>
  <c r="K437" i="37" s="1"/>
  <c r="L438" i="36" s="1"/>
  <c r="K489" i="38"/>
  <c r="K489" i="37" s="1"/>
  <c r="J259" i="36"/>
  <c r="K258" i="38"/>
  <c r="K258" i="37" s="1"/>
  <c r="L259" i="36" s="1"/>
  <c r="J354" i="36"/>
  <c r="K353" i="38"/>
  <c r="K353" i="37" s="1"/>
  <c r="L354" i="36" s="1"/>
  <c r="J163" i="36"/>
  <c r="K162" i="38"/>
  <c r="K162" i="37" s="1"/>
  <c r="L163" i="36" s="1"/>
  <c r="O125" i="36"/>
  <c r="U125" i="36" s="1"/>
  <c r="T125" i="36" s="1"/>
  <c r="R125" i="36"/>
  <c r="Q125" i="36" s="1"/>
  <c r="O287" i="36"/>
  <c r="U287" i="36" s="1"/>
  <c r="T287" i="36" s="1"/>
  <c r="R287" i="36"/>
  <c r="Q287" i="36" s="1"/>
  <c r="J421" i="36"/>
  <c r="K420" i="38"/>
  <c r="K420" i="37" s="1"/>
  <c r="L421" i="36" s="1"/>
  <c r="K198" i="38"/>
  <c r="K198" i="37" s="1"/>
  <c r="L199" i="36" s="1"/>
  <c r="J199" i="36"/>
  <c r="J127" i="36"/>
  <c r="K126" i="38"/>
  <c r="K126" i="37" s="1"/>
  <c r="L127" i="36" s="1"/>
  <c r="J346" i="36"/>
  <c r="K345" i="38"/>
  <c r="K345" i="37" s="1"/>
  <c r="L346" i="36" s="1"/>
  <c r="J441" i="36"/>
  <c r="K440" i="38"/>
  <c r="K440" i="37" s="1"/>
  <c r="L441" i="36" s="1"/>
  <c r="K486" i="38"/>
  <c r="K486" i="37" s="1"/>
  <c r="J270" i="36"/>
  <c r="K269" i="38"/>
  <c r="K269" i="37" s="1"/>
  <c r="L270" i="36" s="1"/>
  <c r="K425" i="38"/>
  <c r="K425" i="37" s="1"/>
  <c r="L426" i="36" s="1"/>
  <c r="J426" i="36"/>
  <c r="J345" i="36"/>
  <c r="K344" i="38"/>
  <c r="K344" i="37" s="1"/>
  <c r="L345" i="36" s="1"/>
  <c r="J158" i="36"/>
  <c r="K157" i="38"/>
  <c r="K157" i="37" s="1"/>
  <c r="L158" i="36" s="1"/>
  <c r="J130" i="36"/>
  <c r="K129" i="38"/>
  <c r="K129" i="37" s="1"/>
  <c r="L130" i="36" s="1"/>
  <c r="J315" i="36"/>
  <c r="K314" i="38"/>
  <c r="K314" i="37" s="1"/>
  <c r="L315" i="36" s="1"/>
  <c r="R194" i="36"/>
  <c r="O194" i="36"/>
  <c r="U194" i="36" s="1"/>
  <c r="K284" i="38"/>
  <c r="K284" i="37" s="1"/>
  <c r="L285" i="36" s="1"/>
  <c r="J285" i="36"/>
  <c r="O152" i="36"/>
  <c r="U152" i="36" s="1"/>
  <c r="T152" i="36" s="1"/>
  <c r="R152" i="36"/>
  <c r="Q152" i="36" s="1"/>
  <c r="O263" i="36"/>
  <c r="U263" i="36" s="1"/>
  <c r="R263" i="36"/>
  <c r="J342" i="36"/>
  <c r="K341" i="38"/>
  <c r="K341" i="37" s="1"/>
  <c r="L342" i="36" s="1"/>
  <c r="K44" i="38"/>
  <c r="K44" i="37" s="1"/>
  <c r="J283" i="36"/>
  <c r="K282" i="38"/>
  <c r="K282" i="37" s="1"/>
  <c r="L283" i="36" s="1"/>
  <c r="J129" i="36"/>
  <c r="K128" i="38"/>
  <c r="K128" i="37" s="1"/>
  <c r="L129" i="36" s="1"/>
  <c r="O363" i="36"/>
  <c r="U363" i="36" s="1"/>
  <c r="R363" i="36"/>
  <c r="J343" i="36"/>
  <c r="K342" i="38"/>
  <c r="K342" i="37" s="1"/>
  <c r="L343" i="36" s="1"/>
  <c r="J361" i="36"/>
  <c r="K360" i="38"/>
  <c r="K360" i="37" s="1"/>
  <c r="L361" i="36" s="1"/>
  <c r="J162" i="36"/>
  <c r="K161" i="38"/>
  <c r="K161" i="37" s="1"/>
  <c r="L162" i="36" s="1"/>
  <c r="J97" i="36"/>
  <c r="K96" i="38"/>
  <c r="K96" i="37" s="1"/>
  <c r="L97" i="36" s="1"/>
  <c r="M8" i="17"/>
  <c r="C7" i="17" s="1"/>
  <c r="M14" i="17"/>
  <c r="C13" i="17" s="1"/>
  <c r="T340" i="36" l="1"/>
  <c r="T236" i="36"/>
  <c r="T196" i="36"/>
  <c r="T194" i="36"/>
  <c r="Q261" i="36"/>
  <c r="T164" i="36"/>
  <c r="Q194" i="36"/>
  <c r="T261" i="36"/>
  <c r="Q288" i="36"/>
  <c r="M342" i="36"/>
  <c r="S342" i="36" s="1"/>
  <c r="P342" i="36"/>
  <c r="M151" i="36"/>
  <c r="S151" i="36" s="1"/>
  <c r="P151" i="36"/>
  <c r="M355" i="36"/>
  <c r="S355" i="36" s="1"/>
  <c r="P355" i="36"/>
  <c r="M254" i="36"/>
  <c r="S254" i="36" s="1"/>
  <c r="P254" i="36"/>
  <c r="M260" i="36"/>
  <c r="S260" i="36" s="1"/>
  <c r="P260" i="36"/>
  <c r="T183" i="36"/>
  <c r="M238" i="36"/>
  <c r="S238" i="36" s="1"/>
  <c r="P238" i="36"/>
  <c r="M176" i="36"/>
  <c r="S176" i="36" s="1"/>
  <c r="P176" i="36"/>
  <c r="M350" i="36"/>
  <c r="S350" i="36" s="1"/>
  <c r="P350" i="36"/>
  <c r="M364" i="36"/>
  <c r="S364" i="36" s="1"/>
  <c r="P364" i="36"/>
  <c r="M158" i="36"/>
  <c r="S158" i="36" s="1"/>
  <c r="P158" i="36"/>
  <c r="M134" i="36"/>
  <c r="S134" i="36" s="1"/>
  <c r="P134" i="36"/>
  <c r="M322" i="36"/>
  <c r="S322" i="36" s="1"/>
  <c r="P322" i="36"/>
  <c r="M419" i="36"/>
  <c r="S419" i="36" s="1"/>
  <c r="P419" i="36"/>
  <c r="M344" i="36"/>
  <c r="S344" i="36" s="1"/>
  <c r="P344" i="36"/>
  <c r="M345" i="36"/>
  <c r="S345" i="36" s="1"/>
  <c r="P345" i="36"/>
  <c r="M165" i="36"/>
  <c r="S165" i="36" s="1"/>
  <c r="P165" i="36"/>
  <c r="M338" i="36"/>
  <c r="S338" i="36" s="1"/>
  <c r="P338" i="36"/>
  <c r="M326" i="36"/>
  <c r="S326" i="36" s="1"/>
  <c r="P326" i="36"/>
  <c r="M348" i="36"/>
  <c r="S348" i="36" s="1"/>
  <c r="P348" i="36"/>
  <c r="M97" i="36"/>
  <c r="S97" i="36" s="1"/>
  <c r="P97" i="36"/>
  <c r="M426" i="36"/>
  <c r="S426" i="36" s="1"/>
  <c r="P426" i="36"/>
  <c r="M351" i="36"/>
  <c r="S351" i="36" s="1"/>
  <c r="P351" i="36"/>
  <c r="M177" i="36"/>
  <c r="S177" i="36" s="1"/>
  <c r="P177" i="36"/>
  <c r="M420" i="36"/>
  <c r="S420" i="36" s="1"/>
  <c r="P420" i="36"/>
  <c r="M133" i="36"/>
  <c r="S133" i="36" s="1"/>
  <c r="P133" i="36"/>
  <c r="Q416" i="36"/>
  <c r="M156" i="36"/>
  <c r="S156" i="36" s="1"/>
  <c r="P156" i="36"/>
  <c r="Q353" i="36"/>
  <c r="T416" i="36"/>
  <c r="M202" i="36"/>
  <c r="S202" i="36" s="1"/>
  <c r="P202" i="36"/>
  <c r="T230" i="36"/>
  <c r="M131" i="36"/>
  <c r="S131" i="36" s="1"/>
  <c r="P131" i="36"/>
  <c r="M415" i="36"/>
  <c r="S415" i="36" s="1"/>
  <c r="P415" i="36"/>
  <c r="Q422" i="36"/>
  <c r="T422" i="36"/>
  <c r="T154" i="36"/>
  <c r="M360" i="36"/>
  <c r="S360" i="36" s="1"/>
  <c r="P360" i="36"/>
  <c r="M283" i="36"/>
  <c r="S283" i="36" s="1"/>
  <c r="P283" i="36"/>
  <c r="M256" i="36"/>
  <c r="S256" i="36" s="1"/>
  <c r="P256" i="36"/>
  <c r="M155" i="36"/>
  <c r="S155" i="36" s="1"/>
  <c r="P155" i="36"/>
  <c r="M203" i="36"/>
  <c r="S203" i="36" s="1"/>
  <c r="P203" i="36"/>
  <c r="M161" i="36"/>
  <c r="S161" i="36" s="1"/>
  <c r="P161" i="36"/>
  <c r="M195" i="36"/>
  <c r="S195" i="36" s="1"/>
  <c r="P195" i="36"/>
  <c r="M181" i="36"/>
  <c r="S181" i="36" s="1"/>
  <c r="P181" i="36"/>
  <c r="M356" i="36"/>
  <c r="S356" i="36" s="1"/>
  <c r="P356" i="36"/>
  <c r="M433" i="36"/>
  <c r="S433" i="36" s="1"/>
  <c r="P433" i="36"/>
  <c r="M284" i="36"/>
  <c r="S284" i="36" s="1"/>
  <c r="P284" i="36"/>
  <c r="M167" i="36"/>
  <c r="S167" i="36" s="1"/>
  <c r="P167" i="36"/>
  <c r="M271" i="36"/>
  <c r="S271" i="36" s="1"/>
  <c r="P271" i="36"/>
  <c r="M262" i="36"/>
  <c r="S262" i="36" s="1"/>
  <c r="P262" i="36"/>
  <c r="M231" i="36"/>
  <c r="S231" i="36" s="1"/>
  <c r="P231" i="36"/>
  <c r="M272" i="36"/>
  <c r="S272" i="36" s="1"/>
  <c r="P272" i="36"/>
  <c r="Q319" i="36"/>
  <c r="M192" i="36"/>
  <c r="S192" i="36" s="1"/>
  <c r="P192" i="36"/>
  <c r="M166" i="36"/>
  <c r="S166" i="36" s="1"/>
  <c r="P166" i="36"/>
  <c r="M179" i="36"/>
  <c r="S179" i="36" s="1"/>
  <c r="P179" i="36"/>
  <c r="M201" i="36"/>
  <c r="S201" i="36" s="1"/>
  <c r="P201" i="36"/>
  <c r="M286" i="36"/>
  <c r="S286" i="36" s="1"/>
  <c r="P286" i="36"/>
  <c r="M436" i="36"/>
  <c r="S436" i="36" s="1"/>
  <c r="P436" i="36"/>
  <c r="M359" i="36"/>
  <c r="S359" i="36" s="1"/>
  <c r="P359" i="36"/>
  <c r="T347" i="36"/>
  <c r="M270" i="36"/>
  <c r="S270" i="36" s="1"/>
  <c r="P270" i="36"/>
  <c r="M182" i="36"/>
  <c r="S182" i="36" s="1"/>
  <c r="P182" i="36"/>
  <c r="M339" i="36"/>
  <c r="S339" i="36" s="1"/>
  <c r="P339" i="36"/>
  <c r="T268" i="36"/>
  <c r="M349" i="36"/>
  <c r="S349" i="36" s="1"/>
  <c r="P349" i="36"/>
  <c r="M318" i="36"/>
  <c r="S318" i="36" s="1"/>
  <c r="P318" i="36"/>
  <c r="M325" i="36"/>
  <c r="S325" i="36" s="1"/>
  <c r="P325" i="36"/>
  <c r="Q128" i="36"/>
  <c r="T439" i="36"/>
  <c r="M267" i="36"/>
  <c r="S267" i="36" s="1"/>
  <c r="P267" i="36"/>
  <c r="Q264" i="36"/>
  <c r="M175" i="36"/>
  <c r="S175" i="36" s="1"/>
  <c r="P175" i="36"/>
  <c r="M425" i="36"/>
  <c r="S425" i="36" s="1"/>
  <c r="P425" i="36"/>
  <c r="M187" i="36"/>
  <c r="S187" i="36" s="1"/>
  <c r="P187" i="36"/>
  <c r="M190" i="36"/>
  <c r="S190" i="36" s="1"/>
  <c r="P190" i="36"/>
  <c r="M265" i="36"/>
  <c r="S265" i="36" s="1"/>
  <c r="P265" i="36"/>
  <c r="M321" i="36"/>
  <c r="S321" i="36" s="1"/>
  <c r="P321" i="36"/>
  <c r="Q263" i="36"/>
  <c r="M358" i="36"/>
  <c r="S358" i="36" s="1"/>
  <c r="P358" i="36"/>
  <c r="Q424" i="36"/>
  <c r="M235" i="36"/>
  <c r="S235" i="36" s="1"/>
  <c r="P235" i="36"/>
  <c r="M418" i="36"/>
  <c r="S418" i="36" s="1"/>
  <c r="P418" i="36"/>
  <c r="M317" i="36"/>
  <c r="S317" i="36" s="1"/>
  <c r="P317" i="36"/>
  <c r="M234" i="36"/>
  <c r="S234" i="36" s="1"/>
  <c r="P234" i="36"/>
  <c r="M184" i="36"/>
  <c r="S184" i="36" s="1"/>
  <c r="P184" i="36"/>
  <c r="M159" i="36"/>
  <c r="S159" i="36" s="1"/>
  <c r="P159" i="36"/>
  <c r="M204" i="36"/>
  <c r="S204" i="36" s="1"/>
  <c r="P204" i="36"/>
  <c r="M354" i="36"/>
  <c r="S354" i="36" s="1"/>
  <c r="P354" i="36"/>
  <c r="M352" i="36"/>
  <c r="S352" i="36" s="1"/>
  <c r="P352" i="36"/>
  <c r="M198" i="36"/>
  <c r="S198" i="36" s="1"/>
  <c r="P198" i="36"/>
  <c r="M259" i="36"/>
  <c r="S259" i="36" s="1"/>
  <c r="P259" i="36"/>
  <c r="Q183" i="36"/>
  <c r="M315" i="36"/>
  <c r="S315" i="36" s="1"/>
  <c r="P315" i="36"/>
  <c r="M157" i="36"/>
  <c r="S157" i="36" s="1"/>
  <c r="P157" i="36"/>
  <c r="M237" i="36"/>
  <c r="S237" i="36" s="1"/>
  <c r="P237" i="36"/>
  <c r="M257" i="36"/>
  <c r="S257" i="36" s="1"/>
  <c r="P257" i="36"/>
  <c r="M290" i="36"/>
  <c r="S290" i="36" s="1"/>
  <c r="P290" i="36"/>
  <c r="Q230" i="36"/>
  <c r="T353" i="36"/>
  <c r="M126" i="36"/>
  <c r="S126" i="36" s="1"/>
  <c r="P126" i="36"/>
  <c r="M441" i="36"/>
  <c r="S441" i="36" s="1"/>
  <c r="P441" i="36"/>
  <c r="T363" i="36"/>
  <c r="T437" i="36"/>
  <c r="M233" i="36"/>
  <c r="S233" i="36" s="1"/>
  <c r="P233" i="36"/>
  <c r="T128" i="36"/>
  <c r="T264" i="36"/>
  <c r="M199" i="36"/>
  <c r="S199" i="36" s="1"/>
  <c r="P199" i="36"/>
  <c r="M189" i="36"/>
  <c r="S189" i="36" s="1"/>
  <c r="P189" i="36"/>
  <c r="M269" i="36"/>
  <c r="S269" i="36" s="1"/>
  <c r="P269" i="36"/>
  <c r="M255" i="36"/>
  <c r="S255" i="36" s="1"/>
  <c r="P255" i="36"/>
  <c r="M421" i="36"/>
  <c r="S421" i="36" s="1"/>
  <c r="P421" i="36"/>
  <c r="M232" i="36"/>
  <c r="S232" i="36" s="1"/>
  <c r="P232" i="36"/>
  <c r="T263" i="36"/>
  <c r="M417" i="36"/>
  <c r="S417" i="36" s="1"/>
  <c r="P417" i="36"/>
  <c r="M362" i="36"/>
  <c r="S362" i="36" s="1"/>
  <c r="P362" i="36"/>
  <c r="T424" i="36"/>
  <c r="M266" i="36"/>
  <c r="S266" i="36" s="1"/>
  <c r="P266" i="36"/>
  <c r="M285" i="36"/>
  <c r="S285" i="36" s="1"/>
  <c r="P285" i="36"/>
  <c r="M163" i="36"/>
  <c r="S163" i="36" s="1"/>
  <c r="P163" i="36"/>
  <c r="M434" i="36"/>
  <c r="S434" i="36" s="1"/>
  <c r="P434" i="36"/>
  <c r="M153" i="36"/>
  <c r="S153" i="36" s="1"/>
  <c r="P153" i="36"/>
  <c r="M191" i="36"/>
  <c r="S191" i="36" s="1"/>
  <c r="P191" i="36"/>
  <c r="T319" i="36"/>
  <c r="M193" i="36"/>
  <c r="S193" i="36" s="1"/>
  <c r="P193" i="36"/>
  <c r="M130" i="36"/>
  <c r="S130" i="36" s="1"/>
  <c r="P130" i="36"/>
  <c r="M438" i="36"/>
  <c r="S438" i="36" s="1"/>
  <c r="P438" i="36"/>
  <c r="M291" i="36"/>
  <c r="S291" i="36" s="1"/>
  <c r="P291" i="36"/>
  <c r="M440" i="36"/>
  <c r="S440" i="36" s="1"/>
  <c r="P440" i="36"/>
  <c r="Q347" i="36"/>
  <c r="M341" i="36"/>
  <c r="S341" i="36" s="1"/>
  <c r="P341" i="36"/>
  <c r="M162" i="36"/>
  <c r="S162" i="36" s="1"/>
  <c r="P162" i="36"/>
  <c r="Q268" i="36"/>
  <c r="M361" i="36"/>
  <c r="S361" i="36" s="1"/>
  <c r="P361" i="36"/>
  <c r="M186" i="36"/>
  <c r="S186" i="36" s="1"/>
  <c r="P186" i="36"/>
  <c r="M316" i="36"/>
  <c r="S316" i="36" s="1"/>
  <c r="P316" i="36"/>
  <c r="M343" i="36"/>
  <c r="S343" i="36" s="1"/>
  <c r="P343" i="36"/>
  <c r="M178" i="36"/>
  <c r="S178" i="36" s="1"/>
  <c r="P178" i="36"/>
  <c r="Q154" i="36"/>
  <c r="Q363" i="36"/>
  <c r="M324" i="36"/>
  <c r="S324" i="36" s="1"/>
  <c r="P324" i="36"/>
  <c r="M160" i="36"/>
  <c r="S160" i="36" s="1"/>
  <c r="P160" i="36"/>
  <c r="Q439" i="36"/>
  <c r="M320" i="36"/>
  <c r="S320" i="36" s="1"/>
  <c r="P320" i="36"/>
  <c r="M346" i="36"/>
  <c r="S346" i="36" s="1"/>
  <c r="P346" i="36"/>
  <c r="M423" i="36"/>
  <c r="S423" i="36" s="1"/>
  <c r="P423" i="36"/>
  <c r="Q437" i="36"/>
  <c r="M129" i="36"/>
  <c r="S129" i="36" s="1"/>
  <c r="P129" i="36"/>
  <c r="M127" i="36"/>
  <c r="S127" i="36" s="1"/>
  <c r="P127" i="36"/>
  <c r="M258" i="36"/>
  <c r="S258" i="36" s="1"/>
  <c r="P258" i="36"/>
  <c r="M188" i="36"/>
  <c r="S188" i="36" s="1"/>
  <c r="P188" i="36"/>
  <c r="Q180" i="36"/>
  <c r="Q200" i="36"/>
  <c r="R426" i="36"/>
  <c r="O426" i="36"/>
  <c r="U426" i="36" s="1"/>
  <c r="T426" i="36" s="1"/>
  <c r="O351" i="36"/>
  <c r="U351" i="36" s="1"/>
  <c r="T351" i="36" s="1"/>
  <c r="R351" i="36"/>
  <c r="Q351" i="36" s="1"/>
  <c r="R344" i="36"/>
  <c r="O344" i="36"/>
  <c r="U344" i="36" s="1"/>
  <c r="O272" i="36"/>
  <c r="U272" i="36" s="1"/>
  <c r="R272" i="36"/>
  <c r="O283" i="36"/>
  <c r="R283" i="36"/>
  <c r="O270" i="36"/>
  <c r="U270" i="36" s="1"/>
  <c r="R270" i="36"/>
  <c r="O358" i="36"/>
  <c r="U358" i="36" s="1"/>
  <c r="R358" i="36"/>
  <c r="O195" i="36"/>
  <c r="U195" i="36" s="1"/>
  <c r="R195" i="36"/>
  <c r="R153" i="36"/>
  <c r="O153" i="36"/>
  <c r="U153" i="36" s="1"/>
  <c r="R271" i="36"/>
  <c r="O271" i="36"/>
  <c r="U271" i="36" s="1"/>
  <c r="O348" i="36"/>
  <c r="U348" i="36" s="1"/>
  <c r="T348" i="36" s="1"/>
  <c r="R348" i="36"/>
  <c r="Q348" i="36" s="1"/>
  <c r="O193" i="36"/>
  <c r="U193" i="36" s="1"/>
  <c r="T193" i="36" s="1"/>
  <c r="R193" i="36"/>
  <c r="Q193" i="36" s="1"/>
  <c r="O438" i="36"/>
  <c r="U438" i="36" s="1"/>
  <c r="T438" i="36" s="1"/>
  <c r="R438" i="36"/>
  <c r="O355" i="36"/>
  <c r="U355" i="36" s="1"/>
  <c r="R355" i="36"/>
  <c r="O155" i="36"/>
  <c r="U155" i="36" s="1"/>
  <c r="R155" i="36"/>
  <c r="O339" i="36"/>
  <c r="U339" i="36" s="1"/>
  <c r="R339" i="36"/>
  <c r="O156" i="36"/>
  <c r="U156" i="36" s="1"/>
  <c r="R156" i="36"/>
  <c r="O441" i="36"/>
  <c r="U441" i="36" s="1"/>
  <c r="R441" i="36"/>
  <c r="O134" i="36"/>
  <c r="U134" i="36" s="1"/>
  <c r="R134" i="36"/>
  <c r="O189" i="36"/>
  <c r="U189" i="36" s="1"/>
  <c r="R189" i="36"/>
  <c r="O325" i="36"/>
  <c r="U325" i="36" s="1"/>
  <c r="R325" i="36"/>
  <c r="R254" i="36"/>
  <c r="O254" i="36"/>
  <c r="U254" i="36" s="1"/>
  <c r="O342" i="36"/>
  <c r="U342" i="36" s="1"/>
  <c r="R342" i="36"/>
  <c r="O434" i="36"/>
  <c r="U434" i="36" s="1"/>
  <c r="R434" i="36"/>
  <c r="O182" i="36"/>
  <c r="U182" i="36" s="1"/>
  <c r="R182" i="36"/>
  <c r="O175" i="36"/>
  <c r="U175" i="36" s="1"/>
  <c r="R175" i="36"/>
  <c r="O238" i="36"/>
  <c r="U238" i="36" s="1"/>
  <c r="R238" i="36"/>
  <c r="O318" i="36"/>
  <c r="U318" i="36" s="1"/>
  <c r="R318" i="36"/>
  <c r="O198" i="36"/>
  <c r="U198" i="36" s="1"/>
  <c r="R198" i="36"/>
  <c r="O151" i="36"/>
  <c r="U151" i="36" s="1"/>
  <c r="T151" i="36" s="1"/>
  <c r="R151" i="36"/>
  <c r="Q151" i="36" s="1"/>
  <c r="O159" i="36"/>
  <c r="U159" i="36" s="1"/>
  <c r="R159" i="36"/>
  <c r="O177" i="36"/>
  <c r="U177" i="36" s="1"/>
  <c r="T177" i="36" s="1"/>
  <c r="R177" i="36"/>
  <c r="Q177" i="36" s="1"/>
  <c r="O161" i="36"/>
  <c r="U161" i="36" s="1"/>
  <c r="T161" i="36" s="1"/>
  <c r="R161" i="36"/>
  <c r="Q161" i="36" s="1"/>
  <c r="O257" i="36"/>
  <c r="U257" i="36" s="1"/>
  <c r="T257" i="36" s="1"/>
  <c r="R257" i="36"/>
  <c r="Q257" i="36" s="1"/>
  <c r="O127" i="36"/>
  <c r="U127" i="36" s="1"/>
  <c r="T127" i="36" s="1"/>
  <c r="R127" i="36"/>
  <c r="O191" i="36"/>
  <c r="U191" i="36" s="1"/>
  <c r="R191" i="36"/>
  <c r="O262" i="36"/>
  <c r="U262" i="36" s="1"/>
  <c r="R262" i="36"/>
  <c r="O237" i="36"/>
  <c r="U237" i="36" s="1"/>
  <c r="R237" i="36"/>
  <c r="O235" i="36"/>
  <c r="U235" i="36" s="1"/>
  <c r="R235" i="36"/>
  <c r="O436" i="36"/>
  <c r="U436" i="36" s="1"/>
  <c r="R436" i="36"/>
  <c r="O285" i="36"/>
  <c r="U285" i="36" s="1"/>
  <c r="R285" i="36"/>
  <c r="R199" i="36"/>
  <c r="Q199" i="36" s="1"/>
  <c r="O199" i="36"/>
  <c r="U199" i="36" s="1"/>
  <c r="O233" i="36"/>
  <c r="U233" i="36" s="1"/>
  <c r="R233" i="36"/>
  <c r="O176" i="36"/>
  <c r="U176" i="36" s="1"/>
  <c r="R176" i="36"/>
  <c r="O425" i="36"/>
  <c r="U425" i="36" s="1"/>
  <c r="R425" i="36"/>
  <c r="O284" i="36"/>
  <c r="U284" i="36" s="1"/>
  <c r="R284" i="36"/>
  <c r="O160" i="36"/>
  <c r="U160" i="36" s="1"/>
  <c r="R160" i="36"/>
  <c r="O421" i="36"/>
  <c r="U421" i="36" s="1"/>
  <c r="R421" i="36"/>
  <c r="O202" i="36"/>
  <c r="U202" i="36" s="1"/>
  <c r="R202" i="36"/>
  <c r="O417" i="36"/>
  <c r="U417" i="36" s="1"/>
  <c r="T417" i="36" s="1"/>
  <c r="R417" i="36"/>
  <c r="Q417" i="36" s="1"/>
  <c r="O157" i="36"/>
  <c r="U157" i="36" s="1"/>
  <c r="R157" i="36"/>
  <c r="O201" i="36"/>
  <c r="U201" i="36" s="1"/>
  <c r="R201" i="36"/>
  <c r="O266" i="36"/>
  <c r="U266" i="36" s="1"/>
  <c r="R266" i="36"/>
  <c r="O179" i="36"/>
  <c r="U179" i="36" s="1"/>
  <c r="R179" i="36"/>
  <c r="O286" i="36"/>
  <c r="U286" i="36" s="1"/>
  <c r="R286" i="36"/>
  <c r="O352" i="36"/>
  <c r="U352" i="36" s="1"/>
  <c r="R352" i="36"/>
  <c r="O265" i="36"/>
  <c r="U265" i="36" s="1"/>
  <c r="R265" i="36"/>
  <c r="O97" i="36"/>
  <c r="U97" i="36" s="1"/>
  <c r="R97" i="36"/>
  <c r="O315" i="36"/>
  <c r="U315" i="36" s="1"/>
  <c r="R315" i="36"/>
  <c r="O316" i="36"/>
  <c r="U316" i="36" s="1"/>
  <c r="R316" i="36"/>
  <c r="R364" i="36"/>
  <c r="O364" i="36"/>
  <c r="U364" i="36" s="1"/>
  <c r="O359" i="36"/>
  <c r="U359" i="36" s="1"/>
  <c r="R359" i="36"/>
  <c r="O360" i="36"/>
  <c r="U360" i="36" s="1"/>
  <c r="T360" i="36" s="1"/>
  <c r="R360" i="36"/>
  <c r="Q360" i="36" s="1"/>
  <c r="O356" i="36"/>
  <c r="U356" i="36" s="1"/>
  <c r="R356" i="36"/>
  <c r="O341" i="36"/>
  <c r="U341" i="36" s="1"/>
  <c r="R341" i="36"/>
  <c r="Q341" i="36" s="1"/>
  <c r="O162" i="36"/>
  <c r="U162" i="36" s="1"/>
  <c r="T162" i="36" s="1"/>
  <c r="R162" i="36"/>
  <c r="Q162" i="36" s="1"/>
  <c r="O260" i="36"/>
  <c r="U260" i="36" s="1"/>
  <c r="T260" i="36" s="1"/>
  <c r="R260" i="36"/>
  <c r="O130" i="36"/>
  <c r="U130" i="36" s="1"/>
  <c r="R130" i="36"/>
  <c r="O165" i="36"/>
  <c r="U165" i="36" s="1"/>
  <c r="R165" i="36"/>
  <c r="O133" i="36"/>
  <c r="U133" i="36" s="1"/>
  <c r="R133" i="36"/>
  <c r="R131" i="36"/>
  <c r="O131" i="36"/>
  <c r="U131" i="36" s="1"/>
  <c r="O290" i="36"/>
  <c r="U290" i="36" s="1"/>
  <c r="R290" i="36"/>
  <c r="R269" i="36"/>
  <c r="O269" i="36"/>
  <c r="U269" i="36" s="1"/>
  <c r="O190" i="36"/>
  <c r="U190" i="36" s="1"/>
  <c r="R190" i="36"/>
  <c r="O326" i="36"/>
  <c r="U326" i="36" s="1"/>
  <c r="T326" i="36" s="1"/>
  <c r="R326" i="36"/>
  <c r="Q326" i="36" s="1"/>
  <c r="R255" i="36"/>
  <c r="Q255" i="36" s="1"/>
  <c r="O255" i="36"/>
  <c r="U255" i="36" s="1"/>
  <c r="T255" i="36" s="1"/>
  <c r="O167" i="36"/>
  <c r="U167" i="36" s="1"/>
  <c r="R167" i="36"/>
  <c r="O178" i="36"/>
  <c r="U178" i="36" s="1"/>
  <c r="R178" i="36"/>
  <c r="R343" i="36"/>
  <c r="O343" i="36"/>
  <c r="U343" i="36" s="1"/>
  <c r="O158" i="36"/>
  <c r="U158" i="36" s="1"/>
  <c r="R158" i="36"/>
  <c r="O204" i="36"/>
  <c r="U204" i="36" s="1"/>
  <c r="T204" i="36" s="1"/>
  <c r="R204" i="36"/>
  <c r="Q204" i="36" s="1"/>
  <c r="R186" i="36"/>
  <c r="Q186" i="36" s="1"/>
  <c r="O186" i="36"/>
  <c r="U186" i="36" s="1"/>
  <c r="T186" i="36" s="1"/>
  <c r="O317" i="36"/>
  <c r="U317" i="36" s="1"/>
  <c r="R317" i="36"/>
  <c r="O418" i="36"/>
  <c r="U418" i="36" s="1"/>
  <c r="R418" i="36"/>
  <c r="O420" i="36"/>
  <c r="U420" i="36" s="1"/>
  <c r="R420" i="36"/>
  <c r="O423" i="36"/>
  <c r="U423" i="36" s="1"/>
  <c r="R423" i="36"/>
  <c r="O362" i="36"/>
  <c r="U362" i="36" s="1"/>
  <c r="R362" i="36"/>
  <c r="O267" i="36"/>
  <c r="U267" i="36" s="1"/>
  <c r="R267" i="36"/>
  <c r="R321" i="36"/>
  <c r="O321" i="36"/>
  <c r="U321" i="36" s="1"/>
  <c r="O346" i="36"/>
  <c r="U346" i="36" s="1"/>
  <c r="T346" i="36" s="1"/>
  <c r="R346" i="36"/>
  <c r="O350" i="36"/>
  <c r="U350" i="36" s="1"/>
  <c r="R350" i="36"/>
  <c r="O231" i="36"/>
  <c r="U231" i="36" s="1"/>
  <c r="R231" i="36"/>
  <c r="O163" i="36"/>
  <c r="U163" i="36" s="1"/>
  <c r="R163" i="36"/>
  <c r="O349" i="36"/>
  <c r="U349" i="36" s="1"/>
  <c r="R349" i="36"/>
  <c r="O291" i="36"/>
  <c r="U291" i="36" s="1"/>
  <c r="R291" i="36"/>
  <c r="O187" i="36"/>
  <c r="U187" i="36" s="1"/>
  <c r="R187" i="36"/>
  <c r="O415" i="36"/>
  <c r="U415" i="36" s="1"/>
  <c r="R415" i="36"/>
  <c r="O188" i="36"/>
  <c r="U188" i="36" s="1"/>
  <c r="T188" i="36" s="1"/>
  <c r="R188" i="36"/>
  <c r="Q188" i="36" s="1"/>
  <c r="O129" i="36"/>
  <c r="U129" i="36" s="1"/>
  <c r="T129" i="36" s="1"/>
  <c r="R129" i="36"/>
  <c r="R258" i="36"/>
  <c r="O258" i="36"/>
  <c r="U258" i="36" s="1"/>
  <c r="O419" i="36"/>
  <c r="U419" i="36" s="1"/>
  <c r="R419" i="36"/>
  <c r="O181" i="36"/>
  <c r="U181" i="36" s="1"/>
  <c r="R181" i="36"/>
  <c r="O354" i="36"/>
  <c r="U354" i="36" s="1"/>
  <c r="R354" i="36"/>
  <c r="R322" i="36"/>
  <c r="O322" i="36"/>
  <c r="U322" i="36" s="1"/>
  <c r="O256" i="36"/>
  <c r="U256" i="36" s="1"/>
  <c r="R256" i="36"/>
  <c r="O234" i="36"/>
  <c r="U234" i="36" s="1"/>
  <c r="R234" i="36"/>
  <c r="R345" i="36"/>
  <c r="O345" i="36"/>
  <c r="U345" i="36" s="1"/>
  <c r="O324" i="36"/>
  <c r="U324" i="36" s="1"/>
  <c r="R324" i="36"/>
  <c r="O338" i="36"/>
  <c r="U338" i="36" s="1"/>
  <c r="T338" i="36" s="1"/>
  <c r="R338" i="36"/>
  <c r="O126" i="36"/>
  <c r="U126" i="36" s="1"/>
  <c r="R126" i="36"/>
  <c r="O361" i="36"/>
  <c r="U361" i="36" s="1"/>
  <c r="R361" i="36"/>
  <c r="R184" i="36"/>
  <c r="O184" i="36"/>
  <c r="U184" i="36" s="1"/>
  <c r="O203" i="36"/>
  <c r="U203" i="36" s="1"/>
  <c r="T203" i="36" s="1"/>
  <c r="R203" i="36"/>
  <c r="Q203" i="36" s="1"/>
  <c r="R433" i="36"/>
  <c r="O433" i="36"/>
  <c r="O166" i="36"/>
  <c r="U166" i="36" s="1"/>
  <c r="T166" i="36" s="1"/>
  <c r="R166" i="36"/>
  <c r="O259" i="36"/>
  <c r="U259" i="36" s="1"/>
  <c r="R259" i="36"/>
  <c r="O232" i="36"/>
  <c r="U232" i="36" s="1"/>
  <c r="R232" i="36"/>
  <c r="O440" i="36"/>
  <c r="U440" i="36" s="1"/>
  <c r="R440" i="36"/>
  <c r="O320" i="36"/>
  <c r="U320" i="36" s="1"/>
  <c r="R320" i="36"/>
  <c r="O192" i="36"/>
  <c r="U192" i="36" s="1"/>
  <c r="R192" i="36"/>
  <c r="E11" i="16"/>
  <c r="E12" i="16"/>
  <c r="T259" i="36" l="1"/>
  <c r="Q258" i="36"/>
  <c r="T130" i="36"/>
  <c r="T201" i="36"/>
  <c r="T189" i="36"/>
  <c r="T272" i="36"/>
  <c r="Q166" i="36"/>
  <c r="Q157" i="36"/>
  <c r="T175" i="36"/>
  <c r="Q175" i="36"/>
  <c r="T199" i="36"/>
  <c r="Q346" i="36"/>
  <c r="Q259" i="36"/>
  <c r="T258" i="36"/>
  <c r="Q130" i="36"/>
  <c r="Q201" i="36"/>
  <c r="Q189" i="36"/>
  <c r="Q272" i="36"/>
  <c r="T157" i="36"/>
  <c r="T232" i="36"/>
  <c r="T419" i="36"/>
  <c r="T420" i="36"/>
  <c r="T418" i="36"/>
  <c r="Q129" i="36"/>
  <c r="Q260" i="36"/>
  <c r="Q127" i="36"/>
  <c r="Q134" i="36"/>
  <c r="T425" i="36"/>
  <c r="T198" i="36"/>
  <c r="T134" i="36"/>
  <c r="Q232" i="36"/>
  <c r="Q419" i="36"/>
  <c r="Q420" i="36"/>
  <c r="Q165" i="36"/>
  <c r="Q266" i="36"/>
  <c r="Q283" i="36"/>
  <c r="T320" i="36"/>
  <c r="T342" i="36"/>
  <c r="Q267" i="36"/>
  <c r="T267" i="36"/>
  <c r="T354" i="36"/>
  <c r="T440" i="36"/>
  <c r="T181" i="36"/>
  <c r="T423" i="36"/>
  <c r="T133" i="36"/>
  <c r="T179" i="36"/>
  <c r="T237" i="36"/>
  <c r="Q254" i="36"/>
  <c r="T270" i="36"/>
  <c r="T266" i="36"/>
  <c r="Q418" i="36"/>
  <c r="Q433" i="36"/>
  <c r="T176" i="36"/>
  <c r="Q315" i="36"/>
  <c r="Q350" i="36"/>
  <c r="T350" i="36"/>
  <c r="Q238" i="36"/>
  <c r="Q364" i="36"/>
  <c r="Q265" i="36"/>
  <c r="T265" i="36"/>
  <c r="T362" i="36"/>
  <c r="Q131" i="36"/>
  <c r="T286" i="36"/>
  <c r="T235" i="36"/>
  <c r="T358" i="36"/>
  <c r="Q176" i="36"/>
  <c r="T321" i="36"/>
  <c r="Q440" i="36"/>
  <c r="Q181" i="36"/>
  <c r="Q423" i="36"/>
  <c r="Q133" i="36"/>
  <c r="Q179" i="36"/>
  <c r="Q237" i="36"/>
  <c r="T254" i="36"/>
  <c r="Q270" i="36"/>
  <c r="T325" i="36"/>
  <c r="Q317" i="36"/>
  <c r="T344" i="36"/>
  <c r="Q202" i="36"/>
  <c r="Q156" i="36"/>
  <c r="T341" i="36"/>
  <c r="Q356" i="36"/>
  <c r="Q262" i="36"/>
  <c r="T165" i="36"/>
  <c r="Q191" i="36"/>
  <c r="T317" i="36"/>
  <c r="Q344" i="36"/>
  <c r="Q415" i="36"/>
  <c r="T415" i="36"/>
  <c r="T202" i="36"/>
  <c r="T156" i="36"/>
  <c r="Q426" i="36"/>
  <c r="T184" i="36"/>
  <c r="Q187" i="36"/>
  <c r="Q158" i="36"/>
  <c r="Q421" i="36"/>
  <c r="Q339" i="36"/>
  <c r="M282" i="36"/>
  <c r="S282" i="36" s="1"/>
  <c r="Q184" i="36"/>
  <c r="T187" i="36"/>
  <c r="T158" i="36"/>
  <c r="T356" i="36"/>
  <c r="T421" i="36"/>
  <c r="T339" i="36"/>
  <c r="Q361" i="36"/>
  <c r="Q291" i="36"/>
  <c r="T343" i="36"/>
  <c r="Q160" i="36"/>
  <c r="Q159" i="36"/>
  <c r="Q155" i="36"/>
  <c r="T361" i="36"/>
  <c r="T291" i="36"/>
  <c r="Q343" i="36"/>
  <c r="T160" i="36"/>
  <c r="T159" i="36"/>
  <c r="T155" i="36"/>
  <c r="Q126" i="36"/>
  <c r="Q349" i="36"/>
  <c r="Q178" i="36"/>
  <c r="Q359" i="36"/>
  <c r="Q284" i="36"/>
  <c r="Q355" i="36"/>
  <c r="T126" i="36"/>
  <c r="T349" i="36"/>
  <c r="T178" i="36"/>
  <c r="T359" i="36"/>
  <c r="T284" i="36"/>
  <c r="T355" i="36"/>
  <c r="Q338" i="36"/>
  <c r="Q163" i="36"/>
  <c r="Q167" i="36"/>
  <c r="T364" i="36"/>
  <c r="Q425" i="36"/>
  <c r="Q198" i="36"/>
  <c r="Q438" i="36"/>
  <c r="Q325" i="36"/>
  <c r="T262" i="36"/>
  <c r="Q441" i="36"/>
  <c r="T163" i="36"/>
  <c r="Q231" i="36"/>
  <c r="Q316" i="36"/>
  <c r="Q318" i="36"/>
  <c r="T324" i="36"/>
  <c r="T345" i="36"/>
  <c r="Q233" i="36"/>
  <c r="Q345" i="36"/>
  <c r="T233" i="36"/>
  <c r="Q234" i="36"/>
  <c r="Q97" i="36"/>
  <c r="T234" i="36"/>
  <c r="T190" i="36"/>
  <c r="Q271" i="36"/>
  <c r="T153" i="36"/>
  <c r="T256" i="36"/>
  <c r="Q269" i="36"/>
  <c r="T285" i="36"/>
  <c r="Q153" i="36"/>
  <c r="Q192" i="36"/>
  <c r="Q436" i="36"/>
  <c r="T195" i="36"/>
  <c r="T191" i="36"/>
  <c r="T441" i="36"/>
  <c r="T167" i="36"/>
  <c r="Q324" i="36"/>
  <c r="T231" i="36"/>
  <c r="T316" i="36"/>
  <c r="T318" i="36"/>
  <c r="T315" i="36"/>
  <c r="T238" i="36"/>
  <c r="Q190" i="36"/>
  <c r="T271" i="36"/>
  <c r="T97" i="36"/>
  <c r="Q256" i="36"/>
  <c r="T269" i="36"/>
  <c r="Q285" i="36"/>
  <c r="Q182" i="36"/>
  <c r="M432" i="36"/>
  <c r="S432" i="36" s="1"/>
  <c r="Q321" i="36"/>
  <c r="T182" i="36"/>
  <c r="T322" i="36"/>
  <c r="Q290" i="36"/>
  <c r="Q352" i="36"/>
  <c r="Q434" i="36"/>
  <c r="Q195" i="36"/>
  <c r="T192" i="36"/>
  <c r="Q322" i="36"/>
  <c r="T290" i="36"/>
  <c r="T352" i="36"/>
  <c r="T436" i="36"/>
  <c r="T434" i="36"/>
  <c r="Q320" i="36"/>
  <c r="Q354" i="36"/>
  <c r="Q362" i="36"/>
  <c r="T131" i="36"/>
  <c r="Q286" i="36"/>
  <c r="Q235" i="36"/>
  <c r="Q342" i="36"/>
  <c r="Q358" i="36"/>
  <c r="U283" i="36"/>
  <c r="T283" i="36" s="1"/>
  <c r="O282" i="36"/>
  <c r="U282" i="36" s="1"/>
  <c r="U433" i="36"/>
  <c r="T433" i="36" s="1"/>
  <c r="O432" i="36"/>
  <c r="U432" i="36" s="1"/>
  <c r="S19" i="16"/>
  <c r="C21" i="16" s="1"/>
  <c r="S13" i="16"/>
  <c r="C19" i="16" s="1"/>
  <c r="S9" i="16"/>
  <c r="S7" i="16"/>
  <c r="T282" i="36" l="1"/>
  <c r="T432" i="36"/>
  <c r="C15" i="16"/>
  <c r="Z11" i="14"/>
  <c r="Z10" i="14"/>
  <c r="R1039" i="13" l="1"/>
  <c r="L1039" i="13"/>
  <c r="L1038" i="13" s="1"/>
  <c r="R1037" i="13"/>
  <c r="R1036" i="13" s="1"/>
  <c r="AC27" i="8" s="1"/>
  <c r="L1037" i="13"/>
  <c r="L1036" i="13" s="1"/>
  <c r="L867" i="13"/>
  <c r="L833" i="13"/>
  <c r="L832" i="13"/>
  <c r="L831" i="13"/>
  <c r="L830" i="13"/>
  <c r="R804" i="13"/>
  <c r="L804" i="13"/>
  <c r="R803" i="13"/>
  <c r="L803" i="13"/>
  <c r="R802" i="13"/>
  <c r="L802" i="13"/>
  <c r="R801" i="13"/>
  <c r="L801" i="13"/>
  <c r="R800" i="13"/>
  <c r="L800" i="13"/>
  <c r="R799" i="13"/>
  <c r="L799" i="13"/>
  <c r="R798" i="13"/>
  <c r="L798" i="13"/>
  <c r="R797" i="13"/>
  <c r="L797" i="13"/>
  <c r="R796" i="13"/>
  <c r="L796" i="13"/>
  <c r="R766" i="13"/>
  <c r="L766" i="13"/>
  <c r="R765" i="13"/>
  <c r="L765" i="13"/>
  <c r="R764" i="13"/>
  <c r="L764" i="13"/>
  <c r="R763" i="13"/>
  <c r="L763" i="13"/>
  <c r="R762" i="13"/>
  <c r="L762" i="13"/>
  <c r="L696" i="13"/>
  <c r="L695" i="13"/>
  <c r="L694" i="13"/>
  <c r="R669" i="13"/>
  <c r="L669" i="13"/>
  <c r="R668" i="13"/>
  <c r="L668" i="13"/>
  <c r="R667" i="13"/>
  <c r="L667" i="13"/>
  <c r="R666" i="13"/>
  <c r="L666" i="13"/>
  <c r="R665" i="13"/>
  <c r="L665" i="13"/>
  <c r="R664" i="13"/>
  <c r="L664" i="13"/>
  <c r="R663" i="13"/>
  <c r="L663" i="13"/>
  <c r="L662" i="13"/>
  <c r="L661" i="13"/>
  <c r="L660" i="13"/>
  <c r="R535" i="13"/>
  <c r="L535" i="13"/>
  <c r="R534" i="13"/>
  <c r="L534" i="13"/>
  <c r="L533" i="13"/>
  <c r="L532" i="13"/>
  <c r="L531" i="13"/>
  <c r="L530" i="13"/>
  <c r="R530" i="13" s="1"/>
  <c r="L529" i="13"/>
  <c r="R529" i="13" s="1"/>
  <c r="L528" i="13"/>
  <c r="R528" i="13" s="1"/>
  <c r="L527" i="13"/>
  <c r="L526" i="13"/>
  <c r="R526" i="13" s="1"/>
  <c r="L525" i="13"/>
  <c r="R525" i="13" s="1"/>
  <c r="L524" i="13"/>
  <c r="R498" i="13"/>
  <c r="L498" i="13"/>
  <c r="R497" i="13"/>
  <c r="L497" i="13"/>
  <c r="R496" i="13"/>
  <c r="L496" i="13"/>
  <c r="R495" i="13"/>
  <c r="L495" i="13"/>
  <c r="R494" i="13"/>
  <c r="L494" i="13"/>
  <c r="R493" i="13"/>
  <c r="L493" i="13"/>
  <c r="R492" i="13"/>
  <c r="L492" i="13"/>
  <c r="R491" i="13"/>
  <c r="L491" i="13"/>
  <c r="R490" i="13"/>
  <c r="L490" i="13"/>
  <c r="L81" i="13"/>
  <c r="L82" i="13"/>
  <c r="L83" i="13"/>
  <c r="L84" i="13"/>
  <c r="R364" i="13"/>
  <c r="L364" i="13"/>
  <c r="R363" i="13"/>
  <c r="L363" i="13"/>
  <c r="R362" i="13"/>
  <c r="L362" i="13"/>
  <c r="R361" i="13"/>
  <c r="L361" i="13"/>
  <c r="R360" i="13"/>
  <c r="L360" i="13"/>
  <c r="R359" i="13"/>
  <c r="L359" i="13"/>
  <c r="R358" i="13"/>
  <c r="L358" i="13"/>
  <c r="R357" i="13"/>
  <c r="L357" i="13"/>
  <c r="R356" i="13"/>
  <c r="L356" i="13"/>
  <c r="R355" i="13"/>
  <c r="L355" i="13"/>
  <c r="R354" i="13"/>
  <c r="L354" i="13"/>
  <c r="R192" i="13"/>
  <c r="L192" i="13"/>
  <c r="R191" i="13"/>
  <c r="L191" i="13"/>
  <c r="R190" i="13"/>
  <c r="L190" i="13"/>
  <c r="R189" i="13"/>
  <c r="L189" i="13"/>
  <c r="R188" i="13"/>
  <c r="L188" i="13"/>
  <c r="R187" i="13"/>
  <c r="L187" i="13"/>
  <c r="R186" i="13"/>
  <c r="L186" i="13"/>
  <c r="R185" i="13"/>
  <c r="L185" i="13"/>
  <c r="R184" i="13"/>
  <c r="L184" i="13"/>
  <c r="L132" i="13"/>
  <c r="L131" i="13"/>
  <c r="L130" i="13"/>
  <c r="L129" i="13"/>
  <c r="L128" i="13"/>
  <c r="L127" i="13"/>
  <c r="L126" i="13"/>
  <c r="L125" i="13"/>
  <c r="L124" i="13"/>
  <c r="L123" i="13"/>
  <c r="L122" i="13"/>
  <c r="L121" i="13"/>
  <c r="L120" i="13"/>
  <c r="L119" i="13"/>
  <c r="L118" i="13"/>
  <c r="L117" i="13"/>
  <c r="L116" i="13"/>
  <c r="R973" i="13"/>
  <c r="R972" i="13"/>
  <c r="R971" i="13"/>
  <c r="R970" i="13"/>
  <c r="R969" i="13"/>
  <c r="R968" i="13"/>
  <c r="R956" i="13"/>
  <c r="R955" i="13"/>
  <c r="R954" i="13"/>
  <c r="R953" i="13"/>
  <c r="R952" i="13"/>
  <c r="R951" i="13"/>
  <c r="R950" i="13"/>
  <c r="R949" i="13"/>
  <c r="R948" i="13"/>
  <c r="R947" i="13"/>
  <c r="R946" i="13"/>
  <c r="R945" i="13"/>
  <c r="R944" i="13"/>
  <c r="R943" i="13"/>
  <c r="R942" i="13"/>
  <c r="R941" i="13"/>
  <c r="R940" i="13"/>
  <c r="R939" i="13"/>
  <c r="R938" i="13"/>
  <c r="R937" i="13"/>
  <c r="R936" i="13"/>
  <c r="R935" i="13"/>
  <c r="R934" i="13"/>
  <c r="R770" i="13"/>
  <c r="R769" i="13"/>
  <c r="R768" i="13"/>
  <c r="R767" i="13"/>
  <c r="R743" i="13"/>
  <c r="R742" i="13"/>
  <c r="R741" i="13"/>
  <c r="R740" i="13"/>
  <c r="R739" i="13"/>
  <c r="R738" i="13"/>
  <c r="R737" i="13"/>
  <c r="R736" i="13"/>
  <c r="R735" i="13"/>
  <c r="R734" i="13"/>
  <c r="R733" i="13"/>
  <c r="R732" i="13"/>
  <c r="R731" i="13"/>
  <c r="R730" i="13"/>
  <c r="R729" i="13"/>
  <c r="R728" i="13"/>
  <c r="R727" i="13"/>
  <c r="R715" i="13"/>
  <c r="R714" i="13"/>
  <c r="R713" i="13"/>
  <c r="R712" i="13"/>
  <c r="R711" i="13"/>
  <c r="R710" i="13"/>
  <c r="R709" i="13"/>
  <c r="R708" i="13"/>
  <c r="R707" i="13"/>
  <c r="R706" i="13"/>
  <c r="R705" i="13"/>
  <c r="R704" i="13"/>
  <c r="R703" i="13"/>
  <c r="R702" i="13"/>
  <c r="R701" i="13"/>
  <c r="R700" i="13"/>
  <c r="R677" i="13"/>
  <c r="R676" i="13"/>
  <c r="R675" i="13"/>
  <c r="R674" i="13"/>
  <c r="R673" i="13"/>
  <c r="R672" i="13"/>
  <c r="R671" i="13"/>
  <c r="R670" i="13"/>
  <c r="R636" i="13"/>
  <c r="R635" i="13"/>
  <c r="R634" i="13"/>
  <c r="R633" i="13"/>
  <c r="R632" i="13"/>
  <c r="R631" i="13"/>
  <c r="R630" i="13"/>
  <c r="R629" i="13"/>
  <c r="R628" i="13"/>
  <c r="R627" i="13"/>
  <c r="R626" i="13"/>
  <c r="R625" i="13"/>
  <c r="R613" i="13"/>
  <c r="R612" i="13"/>
  <c r="R611" i="13"/>
  <c r="R610" i="13"/>
  <c r="R609" i="13"/>
  <c r="R608" i="13"/>
  <c r="R607" i="13"/>
  <c r="R606" i="13"/>
  <c r="R605" i="13"/>
  <c r="R604" i="13"/>
  <c r="R603" i="13"/>
  <c r="R602" i="13"/>
  <c r="R601" i="13"/>
  <c r="R600" i="13"/>
  <c r="R599" i="13"/>
  <c r="R598" i="13"/>
  <c r="R597" i="13"/>
  <c r="R596" i="13"/>
  <c r="R595" i="13"/>
  <c r="R594" i="13"/>
  <c r="R593" i="13"/>
  <c r="R592" i="13"/>
  <c r="R591" i="13"/>
  <c r="R579" i="13"/>
  <c r="R578" i="13"/>
  <c r="R577" i="13"/>
  <c r="R576" i="13"/>
  <c r="R575" i="13"/>
  <c r="R574" i="13"/>
  <c r="R573" i="13"/>
  <c r="R572" i="13"/>
  <c r="R571" i="13"/>
  <c r="R570" i="13"/>
  <c r="R569" i="13"/>
  <c r="R568" i="13"/>
  <c r="R567" i="13"/>
  <c r="R566" i="13"/>
  <c r="R565" i="13"/>
  <c r="R564" i="13"/>
  <c r="R563" i="13"/>
  <c r="R562" i="13"/>
  <c r="R561" i="13"/>
  <c r="R560" i="13"/>
  <c r="R559" i="13"/>
  <c r="R558" i="13"/>
  <c r="R557" i="13"/>
  <c r="R545" i="13"/>
  <c r="R544" i="13"/>
  <c r="R543" i="13"/>
  <c r="R542" i="13"/>
  <c r="R541" i="13"/>
  <c r="R540" i="13"/>
  <c r="R539" i="13"/>
  <c r="R538" i="13"/>
  <c r="R537" i="13"/>
  <c r="R536" i="13"/>
  <c r="R462" i="13"/>
  <c r="R461" i="13"/>
  <c r="R460" i="13"/>
  <c r="R459" i="13"/>
  <c r="R458" i="13"/>
  <c r="R457" i="13"/>
  <c r="R456" i="13"/>
  <c r="R455" i="13"/>
  <c r="R443" i="13"/>
  <c r="R442" i="13"/>
  <c r="R441" i="13"/>
  <c r="R440" i="13"/>
  <c r="R439" i="13"/>
  <c r="R438" i="13"/>
  <c r="R437" i="13"/>
  <c r="R436" i="13"/>
  <c r="R435" i="13"/>
  <c r="R434" i="13"/>
  <c r="R433" i="13"/>
  <c r="R432" i="13"/>
  <c r="R431" i="13"/>
  <c r="R430" i="13"/>
  <c r="R429" i="13"/>
  <c r="R428" i="13"/>
  <c r="R427" i="13"/>
  <c r="R426" i="13"/>
  <c r="R425" i="13"/>
  <c r="R424" i="13"/>
  <c r="R423" i="13"/>
  <c r="R422" i="13"/>
  <c r="R421" i="13"/>
  <c r="R409" i="13"/>
  <c r="R408" i="13"/>
  <c r="R407" i="13"/>
  <c r="R406" i="13"/>
  <c r="R405" i="13"/>
  <c r="R404" i="13"/>
  <c r="R403" i="13"/>
  <c r="R402" i="13"/>
  <c r="R401" i="13"/>
  <c r="R400" i="13"/>
  <c r="R399" i="13"/>
  <c r="R398" i="13"/>
  <c r="R397" i="13"/>
  <c r="R396" i="13"/>
  <c r="R395" i="13"/>
  <c r="R394" i="13"/>
  <c r="R393" i="13"/>
  <c r="R392" i="13"/>
  <c r="R391" i="13"/>
  <c r="R390" i="13"/>
  <c r="R389" i="13"/>
  <c r="R388" i="13"/>
  <c r="R387" i="13"/>
  <c r="R375" i="13"/>
  <c r="R374" i="13"/>
  <c r="R373" i="13"/>
  <c r="R372" i="13"/>
  <c r="R371" i="13"/>
  <c r="R370" i="13"/>
  <c r="R369" i="13"/>
  <c r="R368" i="13"/>
  <c r="R367" i="13"/>
  <c r="R366" i="13"/>
  <c r="R365" i="13"/>
  <c r="R329" i="13"/>
  <c r="R328" i="13"/>
  <c r="R327" i="13"/>
  <c r="R326" i="13"/>
  <c r="R325" i="13"/>
  <c r="R324" i="13"/>
  <c r="R323" i="13"/>
  <c r="R322" i="13"/>
  <c r="R321" i="13"/>
  <c r="R320" i="13"/>
  <c r="R319" i="13"/>
  <c r="R307" i="13"/>
  <c r="R306" i="13"/>
  <c r="R305" i="13"/>
  <c r="R304" i="13"/>
  <c r="R303" i="13"/>
  <c r="R302" i="13"/>
  <c r="R301" i="13"/>
  <c r="R300" i="13"/>
  <c r="R299" i="13"/>
  <c r="R298" i="13"/>
  <c r="R297" i="13"/>
  <c r="R296" i="13"/>
  <c r="R295" i="13"/>
  <c r="R294" i="13"/>
  <c r="R293" i="13"/>
  <c r="R292" i="13"/>
  <c r="R291" i="13"/>
  <c r="R290" i="13"/>
  <c r="R289" i="13"/>
  <c r="R288" i="13"/>
  <c r="R287" i="13"/>
  <c r="R286" i="13"/>
  <c r="R285" i="13"/>
  <c r="R273" i="13"/>
  <c r="R272" i="13"/>
  <c r="R271" i="13"/>
  <c r="R270" i="13"/>
  <c r="R269" i="13"/>
  <c r="R268" i="13"/>
  <c r="R267" i="13"/>
  <c r="R266" i="13"/>
  <c r="R265" i="13"/>
  <c r="R264" i="13"/>
  <c r="R263" i="13"/>
  <c r="R262" i="13"/>
  <c r="R261" i="13"/>
  <c r="R260" i="13"/>
  <c r="R259" i="13"/>
  <c r="R258" i="13"/>
  <c r="R257" i="13"/>
  <c r="R256" i="13"/>
  <c r="R255" i="13"/>
  <c r="R254" i="13"/>
  <c r="R253" i="13"/>
  <c r="R252" i="13"/>
  <c r="R251" i="13"/>
  <c r="R239" i="13"/>
  <c r="R238" i="13"/>
  <c r="R237" i="13"/>
  <c r="R236" i="13"/>
  <c r="R235" i="13"/>
  <c r="R234" i="13"/>
  <c r="R233" i="13"/>
  <c r="R232" i="13"/>
  <c r="R231" i="13"/>
  <c r="R230" i="13"/>
  <c r="R229" i="13"/>
  <c r="R228" i="13"/>
  <c r="R227" i="13"/>
  <c r="R226" i="13"/>
  <c r="R225" i="13"/>
  <c r="R224" i="13"/>
  <c r="R223" i="13"/>
  <c r="R222" i="13"/>
  <c r="R221" i="13"/>
  <c r="R220" i="13"/>
  <c r="R219" i="13"/>
  <c r="R218" i="13"/>
  <c r="R217" i="13"/>
  <c r="R205" i="13"/>
  <c r="R204" i="13"/>
  <c r="R203" i="13"/>
  <c r="R202" i="13"/>
  <c r="R201" i="13"/>
  <c r="R200" i="13"/>
  <c r="R199" i="13"/>
  <c r="R198" i="13"/>
  <c r="R197" i="13"/>
  <c r="R196" i="13"/>
  <c r="R195" i="13"/>
  <c r="R194" i="13"/>
  <c r="R193" i="13"/>
  <c r="L973" i="13"/>
  <c r="L972" i="13"/>
  <c r="L971" i="13"/>
  <c r="L970" i="13"/>
  <c r="L969" i="13"/>
  <c r="L968" i="13"/>
  <c r="L956" i="13"/>
  <c r="L955" i="13"/>
  <c r="L954" i="13"/>
  <c r="L953" i="13"/>
  <c r="L952" i="13"/>
  <c r="L951" i="13"/>
  <c r="L950" i="13"/>
  <c r="L949" i="13"/>
  <c r="L948" i="13"/>
  <c r="L947" i="13"/>
  <c r="L946" i="13"/>
  <c r="L945" i="13"/>
  <c r="L944" i="13"/>
  <c r="L943" i="13"/>
  <c r="L942" i="13"/>
  <c r="L941" i="13"/>
  <c r="L940" i="13"/>
  <c r="L939" i="13"/>
  <c r="L938" i="13"/>
  <c r="L937" i="13"/>
  <c r="L936" i="13"/>
  <c r="L935" i="13"/>
  <c r="L934" i="13"/>
  <c r="L770" i="13"/>
  <c r="L769" i="13"/>
  <c r="L768" i="13"/>
  <c r="L767" i="13"/>
  <c r="L743" i="13"/>
  <c r="L742" i="13"/>
  <c r="L741" i="13"/>
  <c r="L740" i="13"/>
  <c r="L739" i="13"/>
  <c r="L738" i="13"/>
  <c r="L737" i="13"/>
  <c r="L736" i="13"/>
  <c r="L735" i="13"/>
  <c r="L734" i="13"/>
  <c r="L733" i="13"/>
  <c r="L732" i="13"/>
  <c r="L731" i="13"/>
  <c r="L730" i="13"/>
  <c r="L729" i="13"/>
  <c r="L728" i="13"/>
  <c r="L727" i="13"/>
  <c r="L715" i="13"/>
  <c r="L714" i="13"/>
  <c r="L713" i="13"/>
  <c r="L712" i="13"/>
  <c r="L711" i="13"/>
  <c r="L710" i="13"/>
  <c r="L709" i="13"/>
  <c r="L708" i="13"/>
  <c r="L707" i="13"/>
  <c r="L706" i="13"/>
  <c r="L705" i="13"/>
  <c r="L704" i="13"/>
  <c r="L703" i="13"/>
  <c r="L702" i="13"/>
  <c r="L701" i="13"/>
  <c r="L700" i="13"/>
  <c r="L699" i="13"/>
  <c r="L698" i="13"/>
  <c r="L697" i="13"/>
  <c r="L677" i="13"/>
  <c r="L676" i="13"/>
  <c r="L675" i="13"/>
  <c r="L674" i="13"/>
  <c r="L673" i="13"/>
  <c r="L672" i="13"/>
  <c r="L671" i="13"/>
  <c r="L670" i="13"/>
  <c r="L636" i="13"/>
  <c r="L635" i="13"/>
  <c r="L634" i="13"/>
  <c r="L633" i="13"/>
  <c r="L632" i="13"/>
  <c r="L631" i="13"/>
  <c r="L630" i="13"/>
  <c r="L629" i="13"/>
  <c r="L628" i="13"/>
  <c r="L627" i="13"/>
  <c r="L626" i="13"/>
  <c r="L625" i="13"/>
  <c r="L613" i="13"/>
  <c r="L612" i="13"/>
  <c r="L611" i="13"/>
  <c r="L610" i="13"/>
  <c r="L609" i="13"/>
  <c r="L608" i="13"/>
  <c r="L607" i="13"/>
  <c r="L606" i="13"/>
  <c r="L605" i="13"/>
  <c r="L604" i="13"/>
  <c r="L603" i="13"/>
  <c r="L602" i="13"/>
  <c r="L601" i="13"/>
  <c r="L600" i="13"/>
  <c r="L599" i="13"/>
  <c r="L598" i="13"/>
  <c r="L597" i="13"/>
  <c r="L596" i="13"/>
  <c r="L595" i="13"/>
  <c r="L594" i="13"/>
  <c r="L593" i="13"/>
  <c r="L592" i="13"/>
  <c r="L591" i="13"/>
  <c r="L579" i="13"/>
  <c r="L578" i="13"/>
  <c r="L577" i="13"/>
  <c r="L576" i="13"/>
  <c r="L575" i="13"/>
  <c r="L574" i="13"/>
  <c r="L573" i="13"/>
  <c r="L572" i="13"/>
  <c r="L571" i="13"/>
  <c r="L570" i="13"/>
  <c r="L569" i="13"/>
  <c r="L568" i="13"/>
  <c r="L567" i="13"/>
  <c r="L566" i="13"/>
  <c r="L565" i="13"/>
  <c r="L564" i="13"/>
  <c r="L563" i="13"/>
  <c r="L562" i="13"/>
  <c r="L561" i="13"/>
  <c r="L560" i="13"/>
  <c r="L559" i="13"/>
  <c r="L558" i="13"/>
  <c r="L557" i="13"/>
  <c r="L545" i="13"/>
  <c r="L544" i="13"/>
  <c r="L543" i="13"/>
  <c r="L542" i="13"/>
  <c r="L541" i="13"/>
  <c r="L540" i="13"/>
  <c r="L539" i="13"/>
  <c r="L538" i="13"/>
  <c r="L537" i="13"/>
  <c r="L536" i="13"/>
  <c r="L462" i="13"/>
  <c r="L461" i="13"/>
  <c r="L460" i="13"/>
  <c r="L459" i="13"/>
  <c r="L458" i="13"/>
  <c r="L457" i="13"/>
  <c r="L456" i="13"/>
  <c r="L455"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75" i="13"/>
  <c r="L374" i="13"/>
  <c r="L373" i="13"/>
  <c r="L372" i="13"/>
  <c r="L371" i="13"/>
  <c r="L370" i="13"/>
  <c r="L369" i="13"/>
  <c r="L368" i="13"/>
  <c r="L367" i="13"/>
  <c r="L366" i="13"/>
  <c r="L365" i="13"/>
  <c r="L329" i="13"/>
  <c r="L328" i="13"/>
  <c r="L327" i="13"/>
  <c r="L326" i="13"/>
  <c r="L325" i="13"/>
  <c r="L324" i="13"/>
  <c r="L323" i="13"/>
  <c r="L322" i="13"/>
  <c r="L321" i="13"/>
  <c r="L320" i="13"/>
  <c r="L319" i="13"/>
  <c r="L307" i="13"/>
  <c r="L306" i="13"/>
  <c r="L305" i="13"/>
  <c r="L304" i="13"/>
  <c r="L303" i="13"/>
  <c r="L302" i="13"/>
  <c r="L301" i="13"/>
  <c r="L300" i="13"/>
  <c r="L299" i="13"/>
  <c r="L298" i="13"/>
  <c r="L297" i="13"/>
  <c r="L296" i="13"/>
  <c r="L295" i="13"/>
  <c r="L294" i="13"/>
  <c r="L293" i="13"/>
  <c r="L292" i="13"/>
  <c r="L291" i="13"/>
  <c r="L290" i="13"/>
  <c r="L289" i="13"/>
  <c r="L288" i="13"/>
  <c r="L287" i="13"/>
  <c r="L286" i="13"/>
  <c r="L285"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05" i="13"/>
  <c r="L204" i="13"/>
  <c r="L203" i="13"/>
  <c r="L202" i="13"/>
  <c r="L201" i="13"/>
  <c r="L200" i="13"/>
  <c r="L199" i="13"/>
  <c r="L198" i="13"/>
  <c r="L197" i="13"/>
  <c r="L196" i="13"/>
  <c r="L195" i="13"/>
  <c r="L194" i="13"/>
  <c r="L193" i="13"/>
  <c r="L161" i="13"/>
  <c r="L160" i="13"/>
  <c r="L159" i="13"/>
  <c r="L157" i="13"/>
  <c r="L156" i="13"/>
  <c r="L155" i="13"/>
  <c r="L154" i="13"/>
  <c r="L153" i="13"/>
  <c r="L152" i="13"/>
  <c r="L151" i="13"/>
  <c r="L150" i="13"/>
  <c r="L149" i="13"/>
  <c r="L137" i="13"/>
  <c r="L136" i="13"/>
  <c r="L135" i="13"/>
  <c r="L134" i="13"/>
  <c r="L133" i="13"/>
  <c r="L85" i="13"/>
  <c r="L69" i="13"/>
  <c r="L68" i="13"/>
  <c r="L67" i="13"/>
  <c r="L66" i="13"/>
  <c r="L65" i="13"/>
  <c r="L64" i="13"/>
  <c r="L63" i="13"/>
  <c r="L62" i="13"/>
  <c r="L61" i="13"/>
  <c r="L60" i="13"/>
  <c r="L59" i="13"/>
  <c r="L58" i="13"/>
  <c r="L57" i="13"/>
  <c r="L56" i="13"/>
  <c r="L55" i="13"/>
  <c r="L54" i="13"/>
  <c r="L53" i="13"/>
  <c r="L52" i="13"/>
  <c r="L51" i="13"/>
  <c r="L50" i="13"/>
  <c r="L49" i="13"/>
  <c r="L48" i="13"/>
  <c r="L47" i="13"/>
  <c r="R531" i="13" l="1"/>
  <c r="R532" i="13"/>
  <c r="R533" i="13"/>
  <c r="R661" i="13"/>
  <c r="R662" i="13"/>
  <c r="R694" i="13"/>
  <c r="R695" i="13"/>
  <c r="R698" i="13"/>
  <c r="R699" i="13"/>
  <c r="R697" i="13"/>
  <c r="R867" i="13"/>
  <c r="R660" i="13"/>
  <c r="T660" i="13"/>
  <c r="S660" i="13"/>
  <c r="R832" i="13"/>
  <c r="T832" i="13"/>
  <c r="S832" i="13"/>
  <c r="R527" i="13"/>
  <c r="T527" i="13"/>
  <c r="S527" i="13"/>
  <c r="R830" i="13"/>
  <c r="T830" i="13"/>
  <c r="S830" i="13"/>
  <c r="R831" i="13"/>
  <c r="T831" i="13"/>
  <c r="S831" i="13"/>
  <c r="R833" i="13"/>
  <c r="T833" i="13"/>
  <c r="S833" i="13"/>
  <c r="R524" i="13"/>
  <c r="T524" i="13"/>
  <c r="S524" i="13"/>
  <c r="R696" i="13"/>
  <c r="T696" i="13"/>
  <c r="S696" i="13"/>
  <c r="R1038" i="13"/>
  <c r="AC28" i="8" s="1"/>
  <c r="L866" i="13"/>
  <c r="L829" i="13"/>
  <c r="L795" i="13"/>
  <c r="R795" i="13"/>
  <c r="AC24" i="8" s="1"/>
  <c r="L761" i="13"/>
  <c r="R761" i="13"/>
  <c r="AC23" i="8" s="1"/>
  <c r="L693" i="13"/>
  <c r="L659" i="13"/>
  <c r="L523" i="13"/>
  <c r="L489" i="13"/>
  <c r="R489" i="13"/>
  <c r="AC19" i="8" s="1"/>
  <c r="L353" i="13"/>
  <c r="R353" i="13"/>
  <c r="AC18" i="8" s="1"/>
  <c r="R158" i="13"/>
  <c r="AC16" i="8" s="1"/>
  <c r="L158" i="13"/>
  <c r="L115" i="13"/>
  <c r="R183" i="13"/>
  <c r="AC17" i="8" s="1"/>
  <c r="L183" i="13"/>
  <c r="R15" i="13"/>
  <c r="AC14" i="8" s="1"/>
  <c r="L15" i="13"/>
  <c r="R659" i="13" l="1"/>
  <c r="AC21" i="8" s="1"/>
  <c r="R693" i="13"/>
  <c r="AC22" i="8" s="1"/>
  <c r="R866" i="13"/>
  <c r="AC26" i="8" s="1"/>
  <c r="K59" i="38"/>
  <c r="J60" i="36"/>
  <c r="R523" i="13"/>
  <c r="AC20" i="8" s="1"/>
  <c r="J58" i="36"/>
  <c r="K57" i="38"/>
  <c r="J59" i="36"/>
  <c r="K58" i="38"/>
  <c r="K58" i="37" s="1"/>
  <c r="J57" i="36"/>
  <c r="K56" i="38"/>
  <c r="J56" i="36"/>
  <c r="K55" i="38"/>
  <c r="R829" i="13"/>
  <c r="AC25" i="8" s="1"/>
  <c r="R34" i="36"/>
  <c r="Q34" i="36" s="1"/>
  <c r="R27" i="36"/>
  <c r="Q27" i="36" s="1"/>
  <c r="R52" i="36"/>
  <c r="Q52" i="36" s="1"/>
  <c r="R50" i="36"/>
  <c r="Q50" i="36" s="1"/>
  <c r="R26" i="36"/>
  <c r="Q26" i="36" s="1"/>
  <c r="R39" i="36"/>
  <c r="Q39" i="36" s="1"/>
  <c r="R49" i="36"/>
  <c r="Q49" i="36" s="1"/>
  <c r="R47" i="36"/>
  <c r="Q47" i="36" s="1"/>
  <c r="R24" i="36"/>
  <c r="Q24" i="36" s="1"/>
  <c r="R36" i="36"/>
  <c r="Q36" i="36" s="1"/>
  <c r="R51" i="36"/>
  <c r="Q51" i="36" s="1"/>
  <c r="R29" i="36"/>
  <c r="Q29" i="36" s="1"/>
  <c r="R25" i="36"/>
  <c r="Q25" i="36" s="1"/>
  <c r="R22" i="36"/>
  <c r="Q22" i="36" s="1"/>
  <c r="R23" i="36"/>
  <c r="Q23" i="36" s="1"/>
  <c r="R38" i="36"/>
  <c r="Q38" i="36" s="1"/>
  <c r="R30" i="36"/>
  <c r="Q30" i="36" s="1"/>
  <c r="R35" i="36"/>
  <c r="Q35" i="36" s="1"/>
  <c r="R53" i="36"/>
  <c r="Q53" i="36" s="1"/>
  <c r="R41" i="36"/>
  <c r="Q41" i="36" s="1"/>
  <c r="R46" i="36"/>
  <c r="Q46" i="36" s="1"/>
  <c r="R54" i="36"/>
  <c r="Q54" i="36" s="1"/>
  <c r="R19" i="36"/>
  <c r="Q19" i="36" s="1"/>
  <c r="R28" i="36"/>
  <c r="Q28" i="36" s="1"/>
  <c r="R48" i="36"/>
  <c r="Q48" i="36" s="1"/>
  <c r="R37" i="36"/>
  <c r="Q37" i="36" s="1"/>
  <c r="R40" i="36"/>
  <c r="Q40" i="36" s="1"/>
  <c r="R18" i="36"/>
  <c r="Q18" i="36" s="1"/>
  <c r="R32" i="36"/>
  <c r="Q32" i="36" s="1"/>
  <c r="R20" i="36"/>
  <c r="Q20" i="36" s="1"/>
  <c r="R21" i="36"/>
  <c r="Q21" i="36" s="1"/>
  <c r="R31" i="36"/>
  <c r="Q31" i="36" s="1"/>
  <c r="L14" i="13"/>
  <c r="L13" i="13" s="1"/>
  <c r="T1039" i="13"/>
  <c r="T1037" i="13"/>
  <c r="T973" i="13"/>
  <c r="T972" i="13"/>
  <c r="T971" i="13"/>
  <c r="T969" i="13"/>
  <c r="T968" i="13"/>
  <c r="T956" i="13"/>
  <c r="T955" i="13"/>
  <c r="T954" i="13"/>
  <c r="T953" i="13"/>
  <c r="T952" i="13"/>
  <c r="T939" i="13"/>
  <c r="T938" i="13"/>
  <c r="T937" i="13"/>
  <c r="T936" i="13"/>
  <c r="T934" i="13"/>
  <c r="T799" i="13"/>
  <c r="T798" i="13"/>
  <c r="T770" i="13"/>
  <c r="T769" i="13"/>
  <c r="T768" i="13"/>
  <c r="T767" i="13"/>
  <c r="T766" i="13"/>
  <c r="T765" i="13"/>
  <c r="T764" i="13"/>
  <c r="T763" i="13"/>
  <c r="T762" i="13"/>
  <c r="T743" i="13"/>
  <c r="T742" i="13"/>
  <c r="T739" i="13"/>
  <c r="T737" i="13"/>
  <c r="T735" i="13"/>
  <c r="T733" i="13"/>
  <c r="T732" i="13"/>
  <c r="T731" i="13"/>
  <c r="T730" i="13"/>
  <c r="T729" i="13"/>
  <c r="T715" i="13"/>
  <c r="T714" i="13"/>
  <c r="T711" i="13"/>
  <c r="T710" i="13"/>
  <c r="T708" i="13"/>
  <c r="T707" i="13"/>
  <c r="T706" i="13"/>
  <c r="T702" i="13"/>
  <c r="T700" i="13"/>
  <c r="T636" i="13"/>
  <c r="T635" i="13"/>
  <c r="T634" i="13"/>
  <c r="T633" i="13"/>
  <c r="T632" i="13"/>
  <c r="T631" i="13"/>
  <c r="T630" i="13"/>
  <c r="T629" i="13"/>
  <c r="T609" i="13"/>
  <c r="T606" i="13"/>
  <c r="T604" i="13"/>
  <c r="T600" i="13"/>
  <c r="T592" i="13"/>
  <c r="T591" i="13"/>
  <c r="T578" i="13"/>
  <c r="T565" i="13"/>
  <c r="T564" i="13"/>
  <c r="T545" i="13"/>
  <c r="T544" i="13"/>
  <c r="T543" i="13"/>
  <c r="T496" i="13"/>
  <c r="T495" i="13"/>
  <c r="T491" i="13"/>
  <c r="T462" i="13"/>
  <c r="T461" i="13"/>
  <c r="T460" i="13"/>
  <c r="T459" i="13"/>
  <c r="T457" i="13"/>
  <c r="T455" i="13"/>
  <c r="T443" i="13"/>
  <c r="T439" i="13"/>
  <c r="T438" i="13"/>
  <c r="T437" i="13"/>
  <c r="T436" i="13"/>
  <c r="T435" i="13"/>
  <c r="T434" i="13"/>
  <c r="T433" i="13"/>
  <c r="T432" i="13"/>
  <c r="T430" i="13"/>
  <c r="T427" i="13"/>
  <c r="T421" i="13"/>
  <c r="T409" i="13"/>
  <c r="T398" i="13"/>
  <c r="T397" i="13"/>
  <c r="T395" i="13"/>
  <c r="T375" i="13"/>
  <c r="T374" i="13"/>
  <c r="T373" i="13"/>
  <c r="T372" i="13"/>
  <c r="T371" i="13"/>
  <c r="T370" i="13"/>
  <c r="T360" i="13"/>
  <c r="T358" i="13"/>
  <c r="T328" i="13"/>
  <c r="T327" i="13"/>
  <c r="T326" i="13"/>
  <c r="T325" i="13"/>
  <c r="T322" i="13"/>
  <c r="T320" i="13"/>
  <c r="T295" i="13"/>
  <c r="T294" i="13"/>
  <c r="T288" i="13"/>
  <c r="T286" i="13"/>
  <c r="T285" i="13"/>
  <c r="T273" i="13"/>
  <c r="T272" i="13"/>
  <c r="T271" i="13"/>
  <c r="T269" i="13"/>
  <c r="T268" i="13"/>
  <c r="T267" i="13"/>
  <c r="T266" i="13"/>
  <c r="T260" i="13"/>
  <c r="T259" i="13"/>
  <c r="T258" i="13"/>
  <c r="T257" i="13"/>
  <c r="T255" i="13"/>
  <c r="T239" i="13"/>
  <c r="T235" i="13"/>
  <c r="T234" i="13"/>
  <c r="T233" i="13"/>
  <c r="T232" i="13"/>
  <c r="T231" i="13"/>
  <c r="T223" i="13"/>
  <c r="T222" i="13"/>
  <c r="T219" i="13"/>
  <c r="T217" i="13"/>
  <c r="T205" i="13"/>
  <c r="T203" i="13"/>
  <c r="T202" i="13"/>
  <c r="T196" i="13"/>
  <c r="T192" i="13"/>
  <c r="T190" i="13"/>
  <c r="T188" i="13"/>
  <c r="T186" i="13"/>
  <c r="T184" i="13"/>
  <c r="U13" i="13" l="1"/>
  <c r="X17" i="13"/>
  <c r="X59" i="13"/>
  <c r="X187" i="13"/>
  <c r="X219" i="13"/>
  <c r="X251" i="13"/>
  <c r="X443" i="13"/>
  <c r="X539" i="13"/>
  <c r="X571" i="13"/>
  <c r="X603" i="13"/>
  <c r="X635" i="13"/>
  <c r="X667" i="13"/>
  <c r="X699" i="13"/>
  <c r="X731" i="13"/>
  <c r="X763" i="13"/>
  <c r="X795" i="13"/>
  <c r="X955" i="13"/>
  <c r="X18" i="13"/>
  <c r="X60" i="13"/>
  <c r="X156" i="13"/>
  <c r="X188" i="13"/>
  <c r="X220" i="13"/>
  <c r="X252" i="13"/>
  <c r="X540" i="13"/>
  <c r="X572" i="13"/>
  <c r="X604" i="13"/>
  <c r="X636" i="13"/>
  <c r="X668" i="13"/>
  <c r="X700" i="13"/>
  <c r="X732" i="13"/>
  <c r="X764" i="13"/>
  <c r="X796" i="13"/>
  <c r="X956" i="13"/>
  <c r="X19" i="13"/>
  <c r="X61" i="13"/>
  <c r="X157" i="13"/>
  <c r="X189" i="13"/>
  <c r="X221" i="13"/>
  <c r="X253" i="13"/>
  <c r="X285" i="13"/>
  <c r="X204" i="13"/>
  <c r="X239" i="13"/>
  <c r="X829" i="13"/>
  <c r="X20" i="13"/>
  <c r="X205" i="13"/>
  <c r="X830" i="13"/>
  <c r="X21" i="13"/>
  <c r="X489" i="13"/>
  <c r="X523" i="13"/>
  <c r="X557" i="13"/>
  <c r="X591" i="13"/>
  <c r="X625" i="13"/>
  <c r="X659" i="13"/>
  <c r="X727" i="13"/>
  <c r="X761" i="13"/>
  <c r="X223" i="13"/>
  <c r="X261" i="13"/>
  <c r="X299" i="13"/>
  <c r="X375" i="13"/>
  <c r="X457" i="13"/>
  <c r="X495" i="13"/>
  <c r="X569" i="13"/>
  <c r="X608" i="13"/>
  <c r="X797" i="13"/>
  <c r="X833" i="13"/>
  <c r="X905" i="13"/>
  <c r="X941" i="13"/>
  <c r="X69" i="13"/>
  <c r="X183" i="13"/>
  <c r="X224" i="13"/>
  <c r="X262" i="13"/>
  <c r="X300" i="13"/>
  <c r="X458" i="13"/>
  <c r="X496" i="13"/>
  <c r="X533" i="13"/>
  <c r="X570" i="13"/>
  <c r="X609" i="13"/>
  <c r="X798" i="13"/>
  <c r="X906" i="13"/>
  <c r="X942" i="13"/>
  <c r="X22" i="13"/>
  <c r="X184" i="13"/>
  <c r="X225" i="13"/>
  <c r="X263" i="13"/>
  <c r="X301" i="13"/>
  <c r="X421" i="13"/>
  <c r="X459" i="13"/>
  <c r="X497" i="13"/>
  <c r="X534" i="13"/>
  <c r="X573" i="13"/>
  <c r="X610" i="13"/>
  <c r="X799" i="13"/>
  <c r="X907" i="13"/>
  <c r="X943" i="13"/>
  <c r="X158" i="13"/>
  <c r="X199" i="13"/>
  <c r="X287" i="13"/>
  <c r="X328" i="13"/>
  <c r="X369" i="13"/>
  <c r="X460" i="13"/>
  <c r="X543" i="13"/>
  <c r="X626" i="13"/>
  <c r="X666" i="13"/>
  <c r="X708" i="13"/>
  <c r="X831" i="13"/>
  <c r="X912" i="13"/>
  <c r="X951" i="13"/>
  <c r="X23" i="13"/>
  <c r="X200" i="13"/>
  <c r="X288" i="13"/>
  <c r="X329" i="13"/>
  <c r="X370" i="13"/>
  <c r="X461" i="13"/>
  <c r="X544" i="13"/>
  <c r="X627" i="13"/>
  <c r="X669" i="13"/>
  <c r="X709" i="13"/>
  <c r="X832" i="13"/>
  <c r="X913" i="13"/>
  <c r="X952" i="13"/>
  <c r="X24" i="13"/>
  <c r="X201" i="13"/>
  <c r="X289" i="13"/>
  <c r="X371" i="13"/>
  <c r="X462" i="13"/>
  <c r="X545" i="13"/>
  <c r="X628" i="13"/>
  <c r="X670" i="13"/>
  <c r="X710" i="13"/>
  <c r="X914" i="13"/>
  <c r="X953" i="13"/>
  <c r="X25" i="13"/>
  <c r="X161" i="13"/>
  <c r="X202" i="13"/>
  <c r="X290" i="13"/>
  <c r="X372" i="13"/>
  <c r="X422" i="13"/>
  <c r="X629" i="13"/>
  <c r="X671" i="13"/>
  <c r="X711" i="13"/>
  <c r="X915" i="13"/>
  <c r="X954" i="13"/>
  <c r="X1036" i="13"/>
  <c r="X26" i="13"/>
  <c r="X203" i="13"/>
  <c r="X291" i="13"/>
  <c r="X373" i="13"/>
  <c r="X423" i="13"/>
  <c r="X630" i="13"/>
  <c r="X672" i="13"/>
  <c r="X712" i="13"/>
  <c r="X916" i="13"/>
  <c r="X1037" i="13"/>
  <c r="X27" i="13"/>
  <c r="X292" i="13"/>
  <c r="X374" i="13"/>
  <c r="X424" i="13"/>
  <c r="X631" i="13"/>
  <c r="X673" i="13"/>
  <c r="X713" i="13"/>
  <c r="X800" i="13"/>
  <c r="X917" i="13"/>
  <c r="X1038" i="13"/>
  <c r="X28" i="13"/>
  <c r="X293" i="13"/>
  <c r="X85" i="13"/>
  <c r="X193" i="13"/>
  <c r="X254" i="13"/>
  <c r="X305" i="13"/>
  <c r="X359" i="13"/>
  <c r="X407" i="13"/>
  <c r="X567" i="13"/>
  <c r="X675" i="13"/>
  <c r="X972" i="13"/>
  <c r="X194" i="13"/>
  <c r="X255" i="13"/>
  <c r="X306" i="13"/>
  <c r="X360" i="13"/>
  <c r="X408" i="13"/>
  <c r="X568" i="13"/>
  <c r="X676" i="13"/>
  <c r="X728" i="13"/>
  <c r="X973" i="13"/>
  <c r="X29" i="13"/>
  <c r="X195" i="13"/>
  <c r="X256" i="13"/>
  <c r="X307" i="13"/>
  <c r="X361" i="13"/>
  <c r="X409" i="13"/>
  <c r="X574" i="13"/>
  <c r="X677" i="13"/>
  <c r="X729" i="13"/>
  <c r="X30" i="13"/>
  <c r="X196" i="13"/>
  <c r="X257" i="13"/>
  <c r="X362" i="13"/>
  <c r="X425" i="13"/>
  <c r="X575" i="13"/>
  <c r="X730" i="13"/>
  <c r="X31" i="13"/>
  <c r="X197" i="13"/>
  <c r="X258" i="13"/>
  <c r="X363" i="13"/>
  <c r="X426" i="13"/>
  <c r="X576" i="13"/>
  <c r="X733" i="13"/>
  <c r="X32" i="13"/>
  <c r="X198" i="13"/>
  <c r="X259" i="13"/>
  <c r="X364" i="13"/>
  <c r="X427" i="13"/>
  <c r="X526" i="13"/>
  <c r="X577" i="13"/>
  <c r="X632" i="13"/>
  <c r="X734" i="13"/>
  <c r="X33" i="13"/>
  <c r="X260" i="13"/>
  <c r="X365" i="13"/>
  <c r="X428" i="13"/>
  <c r="X578" i="13"/>
  <c r="X633" i="13"/>
  <c r="X735" i="13"/>
  <c r="X34" i="13"/>
  <c r="X264" i="13"/>
  <c r="X366" i="13"/>
  <c r="X429" i="13"/>
  <c r="X579" i="13"/>
  <c r="X634" i="13"/>
  <c r="X736" i="13"/>
  <c r="X934" i="13"/>
  <c r="X35" i="13"/>
  <c r="X268" i="13"/>
  <c r="X402" i="13"/>
  <c r="X613" i="13"/>
  <c r="X949" i="13"/>
  <c r="X185" i="13"/>
  <c r="X269" i="13"/>
  <c r="X403" i="13"/>
  <c r="X950" i="13"/>
  <c r="X47" i="13"/>
  <c r="X186" i="13"/>
  <c r="X270" i="13"/>
  <c r="X404" i="13"/>
  <c r="X762" i="13"/>
  <c r="X48" i="13"/>
  <c r="X190" i="13"/>
  <c r="X271" i="13"/>
  <c r="X405" i="13"/>
  <c r="X695" i="13"/>
  <c r="X765" i="13"/>
  <c r="X49" i="13"/>
  <c r="X191" i="13"/>
  <c r="X272" i="13"/>
  <c r="X406" i="13"/>
  <c r="X490" i="13"/>
  <c r="X558" i="13"/>
  <c r="X766" i="13"/>
  <c r="X50" i="13"/>
  <c r="X192" i="13"/>
  <c r="X273" i="13"/>
  <c r="X430" i="13"/>
  <c r="X491" i="13"/>
  <c r="X559" i="13"/>
  <c r="X767" i="13"/>
  <c r="X51" i="13"/>
  <c r="X431" i="13"/>
  <c r="X492" i="13"/>
  <c r="X560" i="13"/>
  <c r="X768" i="13"/>
  <c r="X1039" i="13"/>
  <c r="X52" i="13"/>
  <c r="X353" i="13"/>
  <c r="X432" i="13"/>
  <c r="X493" i="13"/>
  <c r="X561" i="13"/>
  <c r="X701" i="13"/>
  <c r="X769" i="13"/>
  <c r="X53" i="13"/>
  <c r="X354" i="13"/>
  <c r="X433" i="13"/>
  <c r="X494" i="13"/>
  <c r="X562" i="13"/>
  <c r="X702" i="13"/>
  <c r="X770" i="13"/>
  <c r="X54" i="13"/>
  <c r="X355" i="13"/>
  <c r="X434" i="13"/>
  <c r="X498" i="13"/>
  <c r="X563" i="13"/>
  <c r="X703" i="13"/>
  <c r="X902" i="13"/>
  <c r="X968" i="13"/>
  <c r="X55" i="13"/>
  <c r="X356" i="13"/>
  <c r="X435" i="13"/>
  <c r="X564" i="13"/>
  <c r="X704" i="13"/>
  <c r="X903" i="13"/>
  <c r="X969" i="13"/>
  <c r="X56" i="13"/>
  <c r="X217" i="13"/>
  <c r="X357" i="13"/>
  <c r="X436" i="13"/>
  <c r="X565" i="13"/>
  <c r="X705" i="13"/>
  <c r="X904" i="13"/>
  <c r="X970" i="13"/>
  <c r="X57" i="13"/>
  <c r="X218" i="13"/>
  <c r="X286" i="13"/>
  <c r="X358" i="13"/>
  <c r="X437" i="13"/>
  <c r="X566" i="13"/>
  <c r="X706" i="13"/>
  <c r="X908" i="13"/>
  <c r="X971" i="13"/>
  <c r="X58" i="13"/>
  <c r="X137" i="13"/>
  <c r="X222" i="13"/>
  <c r="X294" i="13"/>
  <c r="X367" i="13"/>
  <c r="X438" i="13"/>
  <c r="X707" i="13"/>
  <c r="X909" i="13"/>
  <c r="X62" i="13"/>
  <c r="X226" i="13"/>
  <c r="X295" i="13"/>
  <c r="X368" i="13"/>
  <c r="X439" i="13"/>
  <c r="X714" i="13"/>
  <c r="X910" i="13"/>
  <c r="X227" i="13"/>
  <c r="X296" i="13"/>
  <c r="X440" i="13"/>
  <c r="X715" i="13"/>
  <c r="X911" i="13"/>
  <c r="X228" i="13"/>
  <c r="X297" i="13"/>
  <c r="X441" i="13"/>
  <c r="X592" i="13"/>
  <c r="X918" i="13"/>
  <c r="X229" i="13"/>
  <c r="X298" i="13"/>
  <c r="X387" i="13"/>
  <c r="X442" i="13"/>
  <c r="X593" i="13"/>
  <c r="X919" i="13"/>
  <c r="X230" i="13"/>
  <c r="X302" i="13"/>
  <c r="X388" i="13"/>
  <c r="X594" i="13"/>
  <c r="X801" i="13"/>
  <c r="X920" i="13"/>
  <c r="X231" i="13"/>
  <c r="X303" i="13"/>
  <c r="X389" i="13"/>
  <c r="X595" i="13"/>
  <c r="X802" i="13"/>
  <c r="X921" i="13"/>
  <c r="X81" i="13"/>
  <c r="X232" i="13"/>
  <c r="X304" i="13"/>
  <c r="X390" i="13"/>
  <c r="X596" i="13"/>
  <c r="X803" i="13"/>
  <c r="X922" i="13"/>
  <c r="X16" i="13"/>
  <c r="X82" i="13"/>
  <c r="X233" i="13"/>
  <c r="X319" i="13"/>
  <c r="X391" i="13"/>
  <c r="X320" i="13"/>
  <c r="X738" i="13"/>
  <c r="X935" i="13"/>
  <c r="X321" i="13"/>
  <c r="X535" i="13"/>
  <c r="X739" i="13"/>
  <c r="X936" i="13"/>
  <c r="X83" i="13"/>
  <c r="X322" i="13"/>
  <c r="X536" i="13"/>
  <c r="X740" i="13"/>
  <c r="X937" i="13"/>
  <c r="X84" i="13"/>
  <c r="X323" i="13"/>
  <c r="X537" i="13"/>
  <c r="X741" i="13"/>
  <c r="X938" i="13"/>
  <c r="X324" i="13"/>
  <c r="X538" i="13"/>
  <c r="X742" i="13"/>
  <c r="X939" i="13"/>
  <c r="X325" i="13"/>
  <c r="X541" i="13"/>
  <c r="X743" i="13"/>
  <c r="X940" i="13"/>
  <c r="X326" i="13"/>
  <c r="X542" i="13"/>
  <c r="X944" i="13"/>
  <c r="X327" i="13"/>
  <c r="X945" i="13"/>
  <c r="X946" i="13"/>
  <c r="X597" i="13"/>
  <c r="X947" i="13"/>
  <c r="X392" i="13"/>
  <c r="X598" i="13"/>
  <c r="X804" i="13"/>
  <c r="X948" i="13"/>
  <c r="X393" i="13"/>
  <c r="X599" i="13"/>
  <c r="X394" i="13"/>
  <c r="X600" i="13"/>
  <c r="X1002" i="13"/>
  <c r="X395" i="13"/>
  <c r="X601" i="13"/>
  <c r="X396" i="13"/>
  <c r="X602" i="13"/>
  <c r="X397" i="13"/>
  <c r="X605" i="13"/>
  <c r="X398" i="13"/>
  <c r="X606" i="13"/>
  <c r="X399" i="13"/>
  <c r="X607" i="13"/>
  <c r="X400" i="13"/>
  <c r="X611" i="13"/>
  <c r="X401" i="13"/>
  <c r="X612" i="13"/>
  <c r="X234" i="13"/>
  <c r="X455" i="13"/>
  <c r="X235" i="13"/>
  <c r="X456" i="13"/>
  <c r="X662" i="13"/>
  <c r="X236" i="13"/>
  <c r="X663" i="13"/>
  <c r="X237" i="13"/>
  <c r="X664" i="13"/>
  <c r="X238" i="13"/>
  <c r="X665" i="13"/>
  <c r="X674" i="13"/>
  <c r="X867" i="13"/>
  <c r="X265" i="13"/>
  <c r="X266" i="13"/>
  <c r="X267" i="13"/>
  <c r="X737" i="13"/>
  <c r="S934" i="13"/>
  <c r="S936" i="13"/>
  <c r="S937" i="13"/>
  <c r="S634" i="13"/>
  <c r="S635" i="13"/>
  <c r="S636" i="13"/>
  <c r="S702" i="13"/>
  <c r="S443" i="13"/>
  <c r="S706" i="13"/>
  <c r="S188" i="13"/>
  <c r="S294" i="13"/>
  <c r="S455" i="13"/>
  <c r="S707" i="13"/>
  <c r="S295" i="13"/>
  <c r="S708" i="13"/>
  <c r="S192" i="13"/>
  <c r="S710" i="13"/>
  <c r="S196" i="13"/>
  <c r="S711" i="13"/>
  <c r="S714" i="13"/>
  <c r="S715" i="13"/>
  <c r="S968" i="13"/>
  <c r="S969" i="13"/>
  <c r="S971" i="13"/>
  <c r="S972" i="13"/>
  <c r="S222" i="13"/>
  <c r="S973" i="13"/>
  <c r="S223" i="13"/>
  <c r="S370" i="13"/>
  <c r="S1037" i="13"/>
  <c r="S1036" i="13" s="1"/>
  <c r="S231" i="13"/>
  <c r="S371" i="13"/>
  <c r="S1039" i="13"/>
  <c r="S1038" i="13" s="1"/>
  <c r="S267" i="13"/>
  <c r="S631" i="13"/>
  <c r="S232" i="13"/>
  <c r="S372" i="13"/>
  <c r="S564" i="13"/>
  <c r="S233" i="13"/>
  <c r="S373" i="13"/>
  <c r="S565" i="13"/>
  <c r="S739" i="13"/>
  <c r="S591" i="13"/>
  <c r="S592" i="13"/>
  <c r="S600" i="13"/>
  <c r="S266" i="13"/>
  <c r="S630" i="13"/>
  <c r="S268" i="13"/>
  <c r="S632" i="13"/>
  <c r="S374" i="13"/>
  <c r="S742" i="13"/>
  <c r="S375" i="13"/>
  <c r="S743" i="13"/>
  <c r="S257" i="13"/>
  <c r="S258" i="13"/>
  <c r="S409" i="13"/>
  <c r="S259" i="13"/>
  <c r="S260" i="13"/>
  <c r="S629" i="13"/>
  <c r="S269" i="13"/>
  <c r="S633" i="13"/>
  <c r="S954" i="13"/>
  <c r="S955" i="13"/>
  <c r="S202" i="13"/>
  <c r="S735" i="13"/>
  <c r="S234" i="13"/>
  <c r="S235" i="13"/>
  <c r="S239" i="13"/>
  <c r="S395" i="13"/>
  <c r="S255" i="13"/>
  <c r="S397" i="13"/>
  <c r="S763" i="13"/>
  <c r="S398" i="13"/>
  <c r="S604" i="13"/>
  <c r="S764" i="13"/>
  <c r="S459" i="13"/>
  <c r="S325" i="13"/>
  <c r="S203" i="13"/>
  <c r="S328" i="13"/>
  <c r="S731" i="13"/>
  <c r="S360" i="13"/>
  <c r="S543" i="13"/>
  <c r="S732" i="13"/>
  <c r="S544" i="13"/>
  <c r="S733" i="13"/>
  <c r="S545" i="13"/>
  <c r="S737" i="13"/>
  <c r="S427" i="13"/>
  <c r="S273" i="13"/>
  <c r="S578" i="13"/>
  <c r="S606" i="13"/>
  <c r="S421" i="13"/>
  <c r="S767" i="13"/>
  <c r="S432" i="13"/>
  <c r="S434" i="13"/>
  <c r="S435" i="13"/>
  <c r="S272" i="13"/>
  <c r="S436" i="13"/>
  <c r="S437" i="13"/>
  <c r="S322" i="13"/>
  <c r="S326" i="13"/>
  <c r="S205" i="13"/>
  <c r="S327" i="13"/>
  <c r="S729" i="13"/>
  <c r="S217" i="13"/>
  <c r="S730" i="13"/>
  <c r="S219" i="13"/>
  <c r="S496" i="13"/>
  <c r="S609" i="13"/>
  <c r="S430" i="13"/>
  <c r="S768" i="13"/>
  <c r="S769" i="13"/>
  <c r="S285" i="13"/>
  <c r="S438" i="13"/>
  <c r="S700" i="13"/>
  <c r="S286" i="13"/>
  <c r="S439" i="13"/>
  <c r="S938" i="13"/>
  <c r="S952" i="13"/>
  <c r="S320" i="13"/>
  <c r="S460" i="13"/>
  <c r="S461" i="13"/>
  <c r="S956" i="13"/>
  <c r="S462" i="13"/>
  <c r="S433" i="13"/>
  <c r="S770" i="13"/>
  <c r="S271" i="13"/>
  <c r="S288" i="13"/>
  <c r="S939" i="13"/>
  <c r="S457" i="13"/>
  <c r="S953" i="13"/>
  <c r="M57" i="36"/>
  <c r="S57" i="36" s="1"/>
  <c r="P57" i="36"/>
  <c r="M56" i="36"/>
  <c r="S56" i="36" s="1"/>
  <c r="P56" i="36"/>
  <c r="M59" i="36"/>
  <c r="S59" i="36" s="1"/>
  <c r="P59" i="36"/>
  <c r="M58" i="36"/>
  <c r="S58" i="36" s="1"/>
  <c r="P58" i="36"/>
  <c r="M60" i="36"/>
  <c r="S60" i="36" s="1"/>
  <c r="P60" i="36"/>
  <c r="K56" i="37"/>
  <c r="L57" i="36" s="1"/>
  <c r="K57" i="37"/>
  <c r="L58" i="36" s="1"/>
  <c r="K55" i="37"/>
  <c r="L56" i="36" s="1"/>
  <c r="K59" i="37"/>
  <c r="L60" i="36" s="1"/>
  <c r="L59" i="36"/>
  <c r="R513" i="36"/>
  <c r="Q513" i="36" s="1"/>
  <c r="T513" i="36"/>
  <c r="T761" i="13"/>
  <c r="T800" i="13"/>
  <c r="T354" i="13"/>
  <c r="T802" i="13"/>
  <c r="S799" i="13"/>
  <c r="S798" i="13"/>
  <c r="T803" i="13"/>
  <c r="O16" i="13"/>
  <c r="T490" i="13"/>
  <c r="S184" i="13"/>
  <c r="S762" i="13"/>
  <c r="S491" i="13"/>
  <c r="T667" i="13"/>
  <c r="S186" i="13"/>
  <c r="S766" i="13"/>
  <c r="S495" i="13"/>
  <c r="S358" i="13"/>
  <c r="T494" i="13"/>
  <c r="T1038" i="13"/>
  <c r="T829" i="13"/>
  <c r="T1036" i="13"/>
  <c r="T663" i="13"/>
  <c r="T493" i="13"/>
  <c r="T185" i="13"/>
  <c r="S190" i="13"/>
  <c r="T498" i="13"/>
  <c r="T797" i="13"/>
  <c r="T362" i="13"/>
  <c r="S829" i="13"/>
  <c r="T492" i="13"/>
  <c r="S765" i="13"/>
  <c r="S492" i="13" l="1"/>
  <c r="AE27" i="8"/>
  <c r="AD27" i="8" s="1"/>
  <c r="S185" i="13"/>
  <c r="AE28" i="8"/>
  <c r="AD28" i="8" s="1"/>
  <c r="AE23" i="8"/>
  <c r="AD23" i="8" s="1"/>
  <c r="S498" i="13"/>
  <c r="S493" i="13"/>
  <c r="S797" i="13"/>
  <c r="AE25" i="8"/>
  <c r="AD25" i="8" s="1"/>
  <c r="S800" i="13"/>
  <c r="S494" i="13"/>
  <c r="O56" i="36"/>
  <c r="U56" i="36" s="1"/>
  <c r="T56" i="36" s="1"/>
  <c r="R56" i="36"/>
  <c r="Q56" i="36" s="1"/>
  <c r="O60" i="36"/>
  <c r="U60" i="36" s="1"/>
  <c r="T60" i="36" s="1"/>
  <c r="R60" i="36"/>
  <c r="R58" i="36"/>
  <c r="Q58" i="36" s="1"/>
  <c r="O58" i="36"/>
  <c r="U58" i="36" s="1"/>
  <c r="T58" i="36" s="1"/>
  <c r="O57" i="36"/>
  <c r="U57" i="36" s="1"/>
  <c r="T57" i="36" s="1"/>
  <c r="R57" i="36"/>
  <c r="Q57" i="36" s="1"/>
  <c r="O59" i="36"/>
  <c r="U59" i="36" s="1"/>
  <c r="T59" i="36" s="1"/>
  <c r="R59" i="36"/>
  <c r="Q59" i="36" s="1"/>
  <c r="O16" i="43"/>
  <c r="S761" i="13"/>
  <c r="T935" i="13"/>
  <c r="S663" i="13"/>
  <c r="T674" i="13"/>
  <c r="T672" i="13"/>
  <c r="T392" i="13"/>
  <c r="T670" i="13"/>
  <c r="T741" i="13"/>
  <c r="S802" i="13"/>
  <c r="T199" i="13"/>
  <c r="T297" i="13"/>
  <c r="T198" i="13"/>
  <c r="T200" i="13"/>
  <c r="S667" i="13"/>
  <c r="T357" i="13"/>
  <c r="T579" i="13"/>
  <c r="T626" i="13"/>
  <c r="T704" i="13"/>
  <c r="T226" i="13"/>
  <c r="T254" i="13"/>
  <c r="T302" i="13"/>
  <c r="T301" i="13"/>
  <c r="T429" i="13"/>
  <c r="T705" i="13"/>
  <c r="T625" i="13"/>
  <c r="T599" i="13"/>
  <c r="T299" i="13"/>
  <c r="T570" i="13"/>
  <c r="T227" i="13"/>
  <c r="T576" i="13"/>
  <c r="T610" i="13"/>
  <c r="T307" i="13"/>
  <c r="T356" i="13"/>
  <c r="T664" i="13"/>
  <c r="T441" i="13"/>
  <c r="T256" i="13"/>
  <c r="T391" i="13"/>
  <c r="T363" i="13"/>
  <c r="T191" i="13"/>
  <c r="T220" i="13"/>
  <c r="T403" i="13"/>
  <c r="T355" i="13"/>
  <c r="T566" i="13"/>
  <c r="T304" i="13"/>
  <c r="T265" i="13"/>
  <c r="T365" i="13"/>
  <c r="T236" i="13"/>
  <c r="T428" i="13"/>
  <c r="T597" i="13"/>
  <c r="T292" i="13"/>
  <c r="T394" i="13"/>
  <c r="T289" i="13"/>
  <c r="T559" i="13"/>
  <c r="T224" i="13"/>
  <c r="T596" i="13"/>
  <c r="T456" i="13"/>
  <c r="T262" i="13"/>
  <c r="T197" i="13"/>
  <c r="S490" i="13"/>
  <c r="T593" i="13"/>
  <c r="T422" i="13"/>
  <c r="T671" i="13"/>
  <c r="T189" i="13"/>
  <c r="T595" i="13"/>
  <c r="T541" i="13"/>
  <c r="T497" i="13"/>
  <c r="T458" i="13"/>
  <c r="S362" i="13"/>
  <c r="T399" i="13"/>
  <c r="T407" i="13"/>
  <c r="T405" i="13"/>
  <c r="T677" i="13"/>
  <c r="T323" i="13"/>
  <c r="T603" i="13"/>
  <c r="T193" i="13"/>
  <c r="T536" i="13"/>
  <c r="T940" i="13"/>
  <c r="T300" i="13"/>
  <c r="T627" i="13"/>
  <c r="T612" i="13"/>
  <c r="T668" i="13"/>
  <c r="T675" i="13"/>
  <c r="T540" i="13"/>
  <c r="T601" i="13"/>
  <c r="T561" i="13"/>
  <c r="T408" i="13"/>
  <c r="T673" i="13"/>
  <c r="T542" i="13"/>
  <c r="T538" i="13"/>
  <c r="T431" i="13"/>
  <c r="T558" i="13"/>
  <c r="T229" i="13"/>
  <c r="T329" i="13"/>
  <c r="T738" i="13"/>
  <c r="T290" i="13"/>
  <c r="T359" i="13"/>
  <c r="T361" i="13"/>
  <c r="T396" i="13"/>
  <c r="T225" i="13"/>
  <c r="T364" i="13"/>
  <c r="T557" i="13"/>
  <c r="T296" i="13"/>
  <c r="T305" i="13"/>
  <c r="T594" i="13"/>
  <c r="T264" i="13"/>
  <c r="T230" i="13"/>
  <c r="T605" i="13"/>
  <c r="T306" i="13"/>
  <c r="T270" i="13"/>
  <c r="T263" i="13"/>
  <c r="T251" i="13"/>
  <c r="T293" i="13"/>
  <c r="T801" i="13"/>
  <c r="T569" i="13"/>
  <c r="T941" i="13"/>
  <c r="T195" i="13"/>
  <c r="T665" i="13"/>
  <c r="T388" i="13"/>
  <c r="T194" i="13"/>
  <c r="T709" i="13"/>
  <c r="T571" i="13"/>
  <c r="T390" i="13"/>
  <c r="T669" i="13"/>
  <c r="T736" i="13"/>
  <c r="T402" i="13"/>
  <c r="T440" i="13"/>
  <c r="T611" i="13"/>
  <c r="T567" i="13"/>
  <c r="T221" i="13"/>
  <c r="T368" i="13"/>
  <c r="T298" i="13"/>
  <c r="T387" i="13"/>
  <c r="T204" i="13"/>
  <c r="T712" i="13"/>
  <c r="T366" i="13"/>
  <c r="T401" i="13"/>
  <c r="S354" i="13"/>
  <c r="T703" i="13"/>
  <c r="T218" i="13"/>
  <c r="T539" i="13"/>
  <c r="T740" i="13"/>
  <c r="T608" i="13"/>
  <c r="T560" i="13"/>
  <c r="T568" i="13"/>
  <c r="T303" i="13"/>
  <c r="T666" i="13"/>
  <c r="T389" i="13"/>
  <c r="T676" i="13"/>
  <c r="T201" i="13"/>
  <c r="T951" i="13"/>
  <c r="T562" i="13"/>
  <c r="T369" i="13"/>
  <c r="T613" i="13"/>
  <c r="T406" i="13"/>
  <c r="T945" i="13"/>
  <c r="T575" i="13"/>
  <c r="T261" i="13"/>
  <c r="T237" i="13"/>
  <c r="T946" i="13"/>
  <c r="T426" i="13"/>
  <c r="T796" i="13"/>
  <c r="T238" i="13"/>
  <c r="T728" i="13"/>
  <c r="T701" i="13"/>
  <c r="T602" i="13"/>
  <c r="T950" i="13"/>
  <c r="T400" i="13"/>
  <c r="T970" i="13"/>
  <c r="T423" i="13"/>
  <c r="T535" i="13"/>
  <c r="T287" i="13"/>
  <c r="T949" i="13"/>
  <c r="T947" i="13"/>
  <c r="T942" i="13"/>
  <c r="T537" i="13"/>
  <c r="T572" i="13"/>
  <c r="T944" i="13"/>
  <c r="T253" i="13"/>
  <c r="T321" i="13"/>
  <c r="T252" i="13"/>
  <c r="T442" i="13"/>
  <c r="T393" i="13"/>
  <c r="T607" i="13"/>
  <c r="T713" i="13"/>
  <c r="T573" i="13"/>
  <c r="T574" i="13"/>
  <c r="T943" i="13"/>
  <c r="T534" i="13"/>
  <c r="T324" i="13"/>
  <c r="T727" i="13"/>
  <c r="T734" i="13"/>
  <c r="T367" i="13"/>
  <c r="T187" i="13"/>
  <c r="T424" i="13"/>
  <c r="T404" i="13"/>
  <c r="T598" i="13"/>
  <c r="S803" i="13"/>
  <c r="T563" i="13"/>
  <c r="T319" i="13"/>
  <c r="T628" i="13"/>
  <c r="T804" i="13"/>
  <c r="T425" i="13"/>
  <c r="T291" i="13"/>
  <c r="T577" i="13"/>
  <c r="T948" i="13"/>
  <c r="T228" i="13"/>
  <c r="A8" i="10"/>
  <c r="A6" i="10"/>
  <c r="A3" i="3"/>
  <c r="AA14" i="5"/>
  <c r="AA16" i="5"/>
  <c r="H14" i="5"/>
  <c r="E14" i="5"/>
  <c r="B9" i="5"/>
  <c r="AB29" i="8"/>
  <c r="AB13" i="8"/>
  <c r="AA12" i="5"/>
  <c r="S935" i="13" l="1"/>
  <c r="S602" i="13"/>
  <c r="S701" i="13"/>
  <c r="S674" i="13"/>
  <c r="S298" i="13"/>
  <c r="S227" i="13"/>
  <c r="S669" i="13"/>
  <c r="S709" i="13"/>
  <c r="S442" i="13"/>
  <c r="S559" i="13"/>
  <c r="S195" i="13"/>
  <c r="S601" i="13"/>
  <c r="S226" i="13"/>
  <c r="S666" i="13"/>
  <c r="S704" i="13"/>
  <c r="S303" i="13"/>
  <c r="S597" i="13"/>
  <c r="S563" i="13"/>
  <c r="S712" i="13"/>
  <c r="S407" i="13"/>
  <c r="S598" i="13"/>
  <c r="S225" i="13"/>
  <c r="S664" i="13"/>
  <c r="S187" i="13"/>
  <c r="S221" i="13"/>
  <c r="S567" i="13"/>
  <c r="S307" i="13"/>
  <c r="S189" i="13"/>
  <c r="S593" i="13"/>
  <c r="S406" i="13"/>
  <c r="S369" i="13"/>
  <c r="S673" i="13"/>
  <c r="S224" i="13"/>
  <c r="S665" i="13"/>
  <c r="S302" i="13"/>
  <c r="S676" i="13"/>
  <c r="S668" i="13"/>
  <c r="S560" i="13"/>
  <c r="S627" i="13"/>
  <c r="S228" i="13"/>
  <c r="S263" i="13"/>
  <c r="S265" i="13"/>
  <c r="S306" i="13"/>
  <c r="S304" i="13"/>
  <c r="S193" i="13"/>
  <c r="S703" i="13"/>
  <c r="S230" i="13"/>
  <c r="S603" i="13"/>
  <c r="S296" i="13"/>
  <c r="S557" i="13"/>
  <c r="S672" i="13"/>
  <c r="S368" i="13"/>
  <c r="S356" i="13"/>
  <c r="S671" i="13"/>
  <c r="S261" i="13"/>
  <c r="S229" i="13"/>
  <c r="S599" i="13"/>
  <c r="S713" i="13"/>
  <c r="S705" i="13"/>
  <c r="S562" i="13"/>
  <c r="S301" i="13"/>
  <c r="S561" i="13"/>
  <c r="S300" i="13"/>
  <c r="S740" i="13"/>
  <c r="S270" i="13"/>
  <c r="S566" i="13"/>
  <c r="S297" i="13"/>
  <c r="S264" i="13"/>
  <c r="S628" i="13"/>
  <c r="S970" i="13"/>
  <c r="S594" i="13"/>
  <c r="S677" i="13"/>
  <c r="S220" i="13"/>
  <c r="S741" i="13"/>
  <c r="S595" i="13"/>
  <c r="S738" i="13"/>
  <c r="S558" i="13"/>
  <c r="S299" i="13"/>
  <c r="S197" i="13"/>
  <c r="S262" i="13"/>
  <c r="S194" i="13"/>
  <c r="S596" i="13"/>
  <c r="S408" i="13"/>
  <c r="S675" i="13"/>
  <c r="S305" i="13"/>
  <c r="S405" i="13"/>
  <c r="S191" i="13"/>
  <c r="S670" i="13"/>
  <c r="S319" i="13"/>
  <c r="S363" i="13"/>
  <c r="S404" i="13"/>
  <c r="S458" i="13"/>
  <c r="S424" i="13"/>
  <c r="S396" i="13"/>
  <c r="S367" i="13"/>
  <c r="S727" i="13"/>
  <c r="S329" i="13"/>
  <c r="S534" i="13"/>
  <c r="S945" i="13"/>
  <c r="S574" i="13"/>
  <c r="S431" i="13"/>
  <c r="S625" i="13"/>
  <c r="S429" i="13"/>
  <c r="S801" i="13"/>
  <c r="S946" i="13"/>
  <c r="S538" i="13"/>
  <c r="S542" i="13"/>
  <c r="S388" i="13"/>
  <c r="S540" i="13"/>
  <c r="S612" i="13"/>
  <c r="S251" i="13"/>
  <c r="S536" i="13"/>
  <c r="S198" i="13"/>
  <c r="S399" i="13"/>
  <c r="S361" i="13"/>
  <c r="S359" i="13"/>
  <c r="S290" i="13"/>
  <c r="S402" i="13"/>
  <c r="S456" i="13"/>
  <c r="S607" i="13"/>
  <c r="S199" i="13"/>
  <c r="S366" i="13"/>
  <c r="S364" i="13"/>
  <c r="S541" i="13"/>
  <c r="S611" i="13"/>
  <c r="S440" i="13"/>
  <c r="S576" i="13"/>
  <c r="S324" i="13"/>
  <c r="S736" i="13"/>
  <c r="S570" i="13"/>
  <c r="S943" i="13"/>
  <c r="S613" i="13"/>
  <c r="S393" i="13"/>
  <c r="S201" i="13"/>
  <c r="S252" i="13"/>
  <c r="S289" i="13"/>
  <c r="S941" i="13"/>
  <c r="S253" i="13"/>
  <c r="S569" i="13"/>
  <c r="S292" i="13"/>
  <c r="S944" i="13"/>
  <c r="S626" i="13"/>
  <c r="S572" i="13"/>
  <c r="S428" i="13"/>
  <c r="S942" i="13"/>
  <c r="S365" i="13"/>
  <c r="S947" i="13"/>
  <c r="S940" i="13"/>
  <c r="S949" i="13"/>
  <c r="S218" i="13"/>
  <c r="S425" i="13"/>
  <c r="S423" i="13"/>
  <c r="S323" i="13"/>
  <c r="S403" i="13"/>
  <c r="S400" i="13"/>
  <c r="S950" i="13"/>
  <c r="S392" i="13"/>
  <c r="S204" i="13"/>
  <c r="S391" i="13"/>
  <c r="S387" i="13"/>
  <c r="S256" i="13"/>
  <c r="S728" i="13"/>
  <c r="S441" i="13"/>
  <c r="S238" i="13"/>
  <c r="S497" i="13"/>
  <c r="S489" i="13" s="1"/>
  <c r="S426" i="13"/>
  <c r="S734" i="13"/>
  <c r="S610" i="13"/>
  <c r="S237" i="13"/>
  <c r="S422" i="13"/>
  <c r="S575" i="13"/>
  <c r="S390" i="13"/>
  <c r="S573" i="13"/>
  <c r="S571" i="13"/>
  <c r="S951" i="13"/>
  <c r="S254" i="13"/>
  <c r="S321" i="13"/>
  <c r="S389" i="13"/>
  <c r="S394" i="13"/>
  <c r="S568" i="13"/>
  <c r="S293" i="13"/>
  <c r="S579" i="13"/>
  <c r="S537" i="13"/>
  <c r="S236" i="13"/>
  <c r="S357" i="13"/>
  <c r="S608" i="13"/>
  <c r="S948" i="13"/>
  <c r="S200" i="13"/>
  <c r="S577" i="13"/>
  <c r="S539" i="13"/>
  <c r="S291" i="13"/>
  <c r="S287" i="13"/>
  <c r="S605" i="13"/>
  <c r="S535" i="13"/>
  <c r="S355" i="13"/>
  <c r="S804" i="13"/>
  <c r="S401" i="13"/>
  <c r="S500" i="36"/>
  <c r="S493" i="36"/>
  <c r="S476" i="36"/>
  <c r="S508" i="36"/>
  <c r="S468" i="36"/>
  <c r="S473" i="36"/>
  <c r="S511" i="36"/>
  <c r="S477" i="36"/>
  <c r="S464" i="36"/>
  <c r="S509" i="36"/>
  <c r="S497" i="36"/>
  <c r="S507" i="36"/>
  <c r="S475" i="36"/>
  <c r="S478" i="36"/>
  <c r="S479" i="36"/>
  <c r="S472" i="36"/>
  <c r="S462" i="36"/>
  <c r="S465" i="36"/>
  <c r="S459" i="36"/>
  <c r="S498" i="36"/>
  <c r="S467" i="36"/>
  <c r="S496" i="36"/>
  <c r="S501" i="36"/>
  <c r="S494" i="36"/>
  <c r="S461" i="36"/>
  <c r="S470" i="36"/>
  <c r="S474" i="36"/>
  <c r="S499" i="36"/>
  <c r="S492" i="36"/>
  <c r="S460" i="36"/>
  <c r="S502" i="36"/>
  <c r="S506" i="36"/>
  <c r="S469" i="36"/>
  <c r="S466" i="36"/>
  <c r="S471" i="36"/>
  <c r="S463" i="36"/>
  <c r="S495" i="36"/>
  <c r="P16" i="43"/>
  <c r="T16" i="43" s="1"/>
  <c r="S16" i="43"/>
  <c r="S16" i="13"/>
  <c r="T353" i="13"/>
  <c r="T795" i="13"/>
  <c r="S796" i="13"/>
  <c r="T489" i="13"/>
  <c r="T183" i="13"/>
  <c r="A2" i="3"/>
  <c r="S353" i="13" l="1"/>
  <c r="S183" i="13"/>
  <c r="AE19" i="8"/>
  <c r="AD19" i="8" s="1"/>
  <c r="AE17" i="8"/>
  <c r="AD17" i="8" s="1"/>
  <c r="AE24" i="8"/>
  <c r="AD24" i="8" s="1"/>
  <c r="S795" i="13"/>
  <c r="AE18" i="8"/>
  <c r="AD18" i="8" s="1"/>
  <c r="S510" i="36"/>
  <c r="R495" i="36"/>
  <c r="Q495" i="36" s="1"/>
  <c r="R474" i="36"/>
  <c r="Q474" i="36" s="1"/>
  <c r="R496" i="36"/>
  <c r="Q496" i="36" s="1"/>
  <c r="R508" i="36"/>
  <c r="Q508" i="36" s="1"/>
  <c r="R478" i="36"/>
  <c r="Q478" i="36" s="1"/>
  <c r="R470" i="36"/>
  <c r="Q470" i="36" s="1"/>
  <c r="R471" i="36"/>
  <c r="Q471" i="36" s="1"/>
  <c r="R501" i="36"/>
  <c r="Q501" i="36" s="1"/>
  <c r="R464" i="36"/>
  <c r="Q464" i="36" s="1"/>
  <c r="R459" i="36"/>
  <c r="Q459" i="36" s="1"/>
  <c r="R461" i="36"/>
  <c r="Q461" i="36" s="1"/>
  <c r="R467" i="36"/>
  <c r="Q467" i="36" s="1"/>
  <c r="R462" i="36"/>
  <c r="Q462" i="36" s="1"/>
  <c r="R476" i="36"/>
  <c r="Q476" i="36" s="1"/>
  <c r="R473" i="36"/>
  <c r="Q473" i="36" s="1"/>
  <c r="R472" i="36"/>
  <c r="Q472" i="36" s="1"/>
  <c r="R492" i="36"/>
  <c r="Q492" i="36" s="1"/>
  <c r="R499" i="36"/>
  <c r="Q499" i="36" s="1"/>
  <c r="AD31" i="8"/>
  <c r="J395" i="36" l="1"/>
  <c r="K394" i="38"/>
  <c r="K394" i="37" s="1"/>
  <c r="L395" i="36" s="1"/>
  <c r="R469" i="36"/>
  <c r="Q469" i="36" s="1"/>
  <c r="R497" i="36"/>
  <c r="Q497" i="36" s="1"/>
  <c r="R460" i="36"/>
  <c r="Q460" i="36" s="1"/>
  <c r="R507" i="36"/>
  <c r="Q507" i="36" s="1"/>
  <c r="R509" i="36"/>
  <c r="Q509" i="36" s="1"/>
  <c r="R500" i="36"/>
  <c r="Q500" i="36" s="1"/>
  <c r="R475" i="36"/>
  <c r="Q475" i="36" s="1"/>
  <c r="R506" i="36"/>
  <c r="Q506" i="36" s="1"/>
  <c r="R498" i="36"/>
  <c r="Q498" i="36" s="1"/>
  <c r="R468" i="36"/>
  <c r="Q468" i="36" s="1"/>
  <c r="R493" i="36"/>
  <c r="Q493" i="36" s="1"/>
  <c r="R479" i="36"/>
  <c r="Q479" i="36" s="1"/>
  <c r="R477" i="36"/>
  <c r="Q477" i="36" s="1"/>
  <c r="R463" i="36"/>
  <c r="Q463" i="36" s="1"/>
  <c r="R502" i="36"/>
  <c r="Q502" i="36" s="1"/>
  <c r="R494" i="36"/>
  <c r="Q494" i="36" s="1"/>
  <c r="R466" i="36"/>
  <c r="Q466" i="36" s="1"/>
  <c r="R511" i="36"/>
  <c r="R465" i="36"/>
  <c r="Q465" i="36" s="1"/>
  <c r="M395" i="36" l="1"/>
  <c r="S395" i="36" s="1"/>
  <c r="P395" i="36"/>
  <c r="T508" i="36"/>
  <c r="T31" i="36"/>
  <c r="T511" i="36"/>
  <c r="T499" i="36"/>
  <c r="T506" i="36"/>
  <c r="T470" i="36"/>
  <c r="T474" i="36"/>
  <c r="T52" i="36"/>
  <c r="T477" i="36"/>
  <c r="T18" i="36"/>
  <c r="T24" i="36"/>
  <c r="T472" i="36"/>
  <c r="T48" i="36"/>
  <c r="T35" i="36"/>
  <c r="T32" i="36"/>
  <c r="T27" i="36"/>
  <c r="T460" i="36"/>
  <c r="T25" i="36"/>
  <c r="T46" i="36"/>
  <c r="J99" i="36"/>
  <c r="K98" i="38"/>
  <c r="K98" i="37" s="1"/>
  <c r="L99" i="36" s="1"/>
  <c r="T493" i="36"/>
  <c r="T50" i="36"/>
  <c r="T29" i="36"/>
  <c r="T41" i="36"/>
  <c r="T37" i="36"/>
  <c r="J281" i="36"/>
  <c r="K280" i="38"/>
  <c r="K280" i="37" s="1"/>
  <c r="L281" i="36" s="1"/>
  <c r="T23" i="36"/>
  <c r="T466" i="36"/>
  <c r="T22" i="36"/>
  <c r="T479" i="36"/>
  <c r="T36" i="36"/>
  <c r="T501" i="36"/>
  <c r="J100" i="36"/>
  <c r="K99" i="38"/>
  <c r="K99" i="37" s="1"/>
  <c r="L100" i="36" s="1"/>
  <c r="T469" i="36"/>
  <c r="T39" i="36"/>
  <c r="T459" i="36"/>
  <c r="T495" i="36"/>
  <c r="T54" i="36"/>
  <c r="T500" i="36"/>
  <c r="T21" i="36"/>
  <c r="T464" i="36"/>
  <c r="T468" i="36"/>
  <c r="T30" i="36"/>
  <c r="T28" i="36"/>
  <c r="T496" i="36"/>
  <c r="T476" i="36"/>
  <c r="T38" i="36"/>
  <c r="T478" i="36"/>
  <c r="T502" i="36"/>
  <c r="T509" i="36"/>
  <c r="T34" i="36"/>
  <c r="T497" i="36"/>
  <c r="T467" i="36"/>
  <c r="T40" i="36"/>
  <c r="T461" i="36"/>
  <c r="T473" i="36"/>
  <c r="T49" i="36"/>
  <c r="T462" i="36"/>
  <c r="O395" i="36"/>
  <c r="U395" i="36" s="1"/>
  <c r="R395" i="36"/>
  <c r="T20" i="36"/>
  <c r="T463" i="36"/>
  <c r="T471" i="36"/>
  <c r="T475" i="36"/>
  <c r="T19" i="36"/>
  <c r="T47" i="36"/>
  <c r="T51" i="36"/>
  <c r="T53" i="36"/>
  <c r="T492" i="36"/>
  <c r="T507" i="36"/>
  <c r="T26" i="36"/>
  <c r="T498" i="36"/>
  <c r="T494" i="36"/>
  <c r="T465" i="36"/>
  <c r="T101" i="36"/>
  <c r="T395" i="36" l="1"/>
  <c r="Q395" i="36"/>
  <c r="M281" i="36"/>
  <c r="S281" i="36" s="1"/>
  <c r="P281" i="36"/>
  <c r="M100" i="36"/>
  <c r="S100" i="36" s="1"/>
  <c r="P100" i="36"/>
  <c r="M99" i="36"/>
  <c r="S99" i="36" s="1"/>
  <c r="P99" i="36"/>
  <c r="J337" i="36"/>
  <c r="K336" i="38"/>
  <c r="K336" i="37" s="1"/>
  <c r="L337" i="36" s="1"/>
  <c r="J150" i="36"/>
  <c r="K149" i="38"/>
  <c r="K149" i="37" s="1"/>
  <c r="L150" i="36" s="1"/>
  <c r="K106" i="38"/>
  <c r="K106" i="37" s="1"/>
  <c r="L107" i="36" s="1"/>
  <c r="J107" i="36"/>
  <c r="K386" i="38"/>
  <c r="K386" i="37" s="1"/>
  <c r="L387" i="36" s="1"/>
  <c r="J387" i="36"/>
  <c r="J412" i="36"/>
  <c r="K411" i="38"/>
  <c r="K411" i="37" s="1"/>
  <c r="L412" i="36" s="1"/>
  <c r="J221" i="36"/>
  <c r="K220" i="38"/>
  <c r="K220" i="37" s="1"/>
  <c r="L221" i="36" s="1"/>
  <c r="K31" i="38"/>
  <c r="K31" i="37" s="1"/>
  <c r="J123" i="36"/>
  <c r="K122" i="38"/>
  <c r="K122" i="37" s="1"/>
  <c r="L123" i="36" s="1"/>
  <c r="J124" i="36"/>
  <c r="K123" i="38"/>
  <c r="K123" i="37" s="1"/>
  <c r="L124" i="36" s="1"/>
  <c r="K118" i="38"/>
  <c r="K118" i="37" s="1"/>
  <c r="L119" i="36" s="1"/>
  <c r="J119" i="36"/>
  <c r="J371" i="36"/>
  <c r="K370" i="38"/>
  <c r="K370" i="37" s="1"/>
  <c r="L371" i="36" s="1"/>
  <c r="K464" i="38"/>
  <c r="K464" i="37" s="1"/>
  <c r="K491" i="38"/>
  <c r="K491" i="37" s="1"/>
  <c r="K46" i="38"/>
  <c r="K46" i="37" s="1"/>
  <c r="K19" i="38"/>
  <c r="K19" i="37" s="1"/>
  <c r="K48" i="38"/>
  <c r="K48" i="37" s="1"/>
  <c r="J276" i="36"/>
  <c r="K275" i="38"/>
  <c r="K275" i="37" s="1"/>
  <c r="L276" i="36" s="1"/>
  <c r="J409" i="36"/>
  <c r="K408" i="38"/>
  <c r="K408" i="37" s="1"/>
  <c r="L409" i="36" s="1"/>
  <c r="K426" i="38"/>
  <c r="K426" i="37" s="1"/>
  <c r="L427" i="36" s="1"/>
  <c r="J427" i="36"/>
  <c r="K272" i="38"/>
  <c r="K272" i="37" s="1"/>
  <c r="L273" i="36" s="1"/>
  <c r="J273" i="36"/>
  <c r="K35" i="38"/>
  <c r="K35" i="37" s="1"/>
  <c r="J334" i="36"/>
  <c r="K333" i="38"/>
  <c r="K333" i="37" s="1"/>
  <c r="L334" i="36" s="1"/>
  <c r="J208" i="36"/>
  <c r="K207" i="38"/>
  <c r="K207" i="37" s="1"/>
  <c r="L208" i="36" s="1"/>
  <c r="J227" i="36"/>
  <c r="K226" i="38"/>
  <c r="K226" i="37" s="1"/>
  <c r="L227" i="36" s="1"/>
  <c r="J213" i="36"/>
  <c r="K212" i="38"/>
  <c r="K212" i="37" s="1"/>
  <c r="L213" i="36" s="1"/>
  <c r="J64" i="36"/>
  <c r="K63" i="38"/>
  <c r="K63" i="37" s="1"/>
  <c r="L64" i="36" s="1"/>
  <c r="K473" i="38"/>
  <c r="K473" i="37" s="1"/>
  <c r="K510" i="38"/>
  <c r="K510" i="37" s="1"/>
  <c r="J445" i="36"/>
  <c r="K444" i="38"/>
  <c r="K444" i="37" s="1"/>
  <c r="L445" i="36" s="1"/>
  <c r="J390" i="36"/>
  <c r="K389" i="38"/>
  <c r="K389" i="37" s="1"/>
  <c r="L390" i="36" s="1"/>
  <c r="K240" i="38"/>
  <c r="K240" i="37" s="1"/>
  <c r="L241" i="36" s="1"/>
  <c r="J241" i="36"/>
  <c r="K273" i="38"/>
  <c r="K273" i="37" s="1"/>
  <c r="L274" i="36" s="1"/>
  <c r="J274" i="36"/>
  <c r="J381" i="36"/>
  <c r="K380" i="38"/>
  <c r="K380" i="37" s="1"/>
  <c r="L381" i="36" s="1"/>
  <c r="J280" i="36"/>
  <c r="K279" i="38"/>
  <c r="K279" i="37" s="1"/>
  <c r="L280" i="36" s="1"/>
  <c r="J400" i="36"/>
  <c r="K399" i="38"/>
  <c r="K399" i="37" s="1"/>
  <c r="L400" i="36" s="1"/>
  <c r="K462" i="38"/>
  <c r="K462" i="37" s="1"/>
  <c r="K501" i="38"/>
  <c r="K501" i="37" s="1"/>
  <c r="J408" i="36"/>
  <c r="K407" i="38"/>
  <c r="K407" i="37" s="1"/>
  <c r="L408" i="36" s="1"/>
  <c r="J314" i="36"/>
  <c r="K313" i="38"/>
  <c r="K313" i="37" s="1"/>
  <c r="L314" i="36" s="1"/>
  <c r="J328" i="36"/>
  <c r="K327" i="38"/>
  <c r="K327" i="37" s="1"/>
  <c r="L328" i="36" s="1"/>
  <c r="J245" i="36"/>
  <c r="K244" i="38"/>
  <c r="K244" i="37" s="1"/>
  <c r="L245" i="36" s="1"/>
  <c r="K427" i="38"/>
  <c r="K427" i="37" s="1"/>
  <c r="L428" i="36" s="1"/>
  <c r="J428" i="36"/>
  <c r="J216" i="36"/>
  <c r="K215" i="38"/>
  <c r="K215" i="37" s="1"/>
  <c r="L216" i="36" s="1"/>
  <c r="J379" i="36"/>
  <c r="K378" i="38"/>
  <c r="K378" i="37" s="1"/>
  <c r="L379" i="36" s="1"/>
  <c r="J220" i="36"/>
  <c r="K219" i="38"/>
  <c r="K219" i="37" s="1"/>
  <c r="L220" i="36" s="1"/>
  <c r="J229" i="36"/>
  <c r="K228" i="38"/>
  <c r="K228" i="37" s="1"/>
  <c r="L229" i="36" s="1"/>
  <c r="J372" i="36"/>
  <c r="K371" i="38"/>
  <c r="K371" i="37" s="1"/>
  <c r="L372" i="36" s="1"/>
  <c r="J405" i="36"/>
  <c r="K404" i="38"/>
  <c r="K404" i="37" s="1"/>
  <c r="L405" i="36" s="1"/>
  <c r="J444" i="36"/>
  <c r="K443" i="38"/>
  <c r="K443" i="37" s="1"/>
  <c r="L444" i="36" s="1"/>
  <c r="J142" i="36"/>
  <c r="K141" i="38"/>
  <c r="K141" i="37" s="1"/>
  <c r="L142" i="36" s="1"/>
  <c r="J303" i="36"/>
  <c r="K302" i="38"/>
  <c r="K302" i="37" s="1"/>
  <c r="L303" i="36" s="1"/>
  <c r="K17" i="38"/>
  <c r="K17" i="37" s="1"/>
  <c r="J149" i="36"/>
  <c r="K148" i="38"/>
  <c r="K148" i="37" s="1"/>
  <c r="L149" i="36" s="1"/>
  <c r="J249" i="36"/>
  <c r="K248" i="38"/>
  <c r="K248" i="37" s="1"/>
  <c r="L249" i="36" s="1"/>
  <c r="J450" i="36"/>
  <c r="K449" i="38"/>
  <c r="K449" i="37" s="1"/>
  <c r="L450" i="36" s="1"/>
  <c r="J429" i="36"/>
  <c r="K428" i="38"/>
  <c r="K428" i="37" s="1"/>
  <c r="L429" i="36" s="1"/>
  <c r="K45" i="38"/>
  <c r="K45" i="37" s="1"/>
  <c r="J137" i="36"/>
  <c r="K136" i="38"/>
  <c r="K136" i="37" s="1"/>
  <c r="L137" i="36" s="1"/>
  <c r="J329" i="36"/>
  <c r="K328" i="38"/>
  <c r="K328" i="37" s="1"/>
  <c r="L329" i="36" s="1"/>
  <c r="J209" i="36"/>
  <c r="K208" i="38"/>
  <c r="K208" i="37" s="1"/>
  <c r="L209" i="36" s="1"/>
  <c r="J378" i="36"/>
  <c r="K377" i="38"/>
  <c r="K377" i="37" s="1"/>
  <c r="L378" i="36" s="1"/>
  <c r="J327" i="36"/>
  <c r="K326" i="38"/>
  <c r="K326" i="37" s="1"/>
  <c r="L327" i="36" s="1"/>
  <c r="J111" i="36"/>
  <c r="K110" i="38"/>
  <c r="K110" i="37" s="1"/>
  <c r="L111" i="36" s="1"/>
  <c r="J106" i="36"/>
  <c r="K105" i="38"/>
  <c r="K105" i="37" s="1"/>
  <c r="L106" i="36" s="1"/>
  <c r="J404" i="36"/>
  <c r="K403" i="38"/>
  <c r="K403" i="37" s="1"/>
  <c r="L404" i="36" s="1"/>
  <c r="J369" i="36"/>
  <c r="K368" i="38"/>
  <c r="K368" i="37" s="1"/>
  <c r="L369" i="36" s="1"/>
  <c r="K28" i="38"/>
  <c r="K28" i="37" s="1"/>
  <c r="J407" i="36"/>
  <c r="K406" i="38"/>
  <c r="K406" i="37" s="1"/>
  <c r="L407" i="36" s="1"/>
  <c r="J109" i="36"/>
  <c r="K108" i="38"/>
  <c r="K108" i="37" s="1"/>
  <c r="L109" i="36" s="1"/>
  <c r="J277" i="36"/>
  <c r="K276" i="38"/>
  <c r="K276" i="37" s="1"/>
  <c r="L277" i="36" s="1"/>
  <c r="K460" i="38"/>
  <c r="K460" i="37" s="1"/>
  <c r="J244" i="36"/>
  <c r="K243" i="38"/>
  <c r="K243" i="37" s="1"/>
  <c r="L244" i="36" s="1"/>
  <c r="J214" i="36"/>
  <c r="K213" i="38"/>
  <c r="K213" i="37" s="1"/>
  <c r="L214" i="36" s="1"/>
  <c r="J374" i="36"/>
  <c r="K373" i="38"/>
  <c r="K373" i="37" s="1"/>
  <c r="L374" i="36" s="1"/>
  <c r="K458" i="38"/>
  <c r="K458" i="37" s="1"/>
  <c r="J210" i="36"/>
  <c r="K209" i="38"/>
  <c r="K209" i="37" s="1"/>
  <c r="L210" i="36" s="1"/>
  <c r="K493" i="38"/>
  <c r="K493" i="37" s="1"/>
  <c r="J172" i="36"/>
  <c r="K171" i="38"/>
  <c r="K171" i="37" s="1"/>
  <c r="L172" i="36" s="1"/>
  <c r="K34" i="38"/>
  <c r="K34" i="37" s="1"/>
  <c r="J253" i="36"/>
  <c r="K252" i="38"/>
  <c r="K252" i="37" s="1"/>
  <c r="L253" i="36" s="1"/>
  <c r="J296" i="36"/>
  <c r="K295" i="38"/>
  <c r="K295" i="37" s="1"/>
  <c r="L296" i="36" s="1"/>
  <c r="J275" i="36"/>
  <c r="K274" i="38"/>
  <c r="K274" i="37" s="1"/>
  <c r="L275" i="36" s="1"/>
  <c r="J104" i="36"/>
  <c r="K103" i="38"/>
  <c r="K103" i="37" s="1"/>
  <c r="L104" i="36" s="1"/>
  <c r="J333" i="36"/>
  <c r="K332" i="38"/>
  <c r="K332" i="37" s="1"/>
  <c r="L333" i="36" s="1"/>
  <c r="J110" i="36"/>
  <c r="K109" i="38"/>
  <c r="K109" i="37" s="1"/>
  <c r="L110" i="36" s="1"/>
  <c r="K39" i="38"/>
  <c r="K39" i="37" s="1"/>
  <c r="J413" i="36"/>
  <c r="K412" i="38"/>
  <c r="K412" i="37" s="1"/>
  <c r="L413" i="36" s="1"/>
  <c r="J61" i="36"/>
  <c r="K60" i="38"/>
  <c r="K60" i="37" s="1"/>
  <c r="L61" i="36" s="1"/>
  <c r="K27" i="38"/>
  <c r="K27" i="37" s="1"/>
  <c r="J310" i="36"/>
  <c r="K309" i="38"/>
  <c r="K309" i="37" s="1"/>
  <c r="L310" i="36" s="1"/>
  <c r="K468" i="38"/>
  <c r="K468" i="37" s="1"/>
  <c r="J145" i="36"/>
  <c r="K144" i="38"/>
  <c r="K144" i="37" s="1"/>
  <c r="L145" i="36" s="1"/>
  <c r="K47" i="38"/>
  <c r="K47" i="37" s="1"/>
  <c r="J121" i="36"/>
  <c r="K120" i="38"/>
  <c r="K120" i="37" s="1"/>
  <c r="L121" i="36" s="1"/>
  <c r="J279" i="36"/>
  <c r="K278" i="38"/>
  <c r="K278" i="37" s="1"/>
  <c r="L279" i="36" s="1"/>
  <c r="K30" i="38"/>
  <c r="K30" i="37" s="1"/>
  <c r="J120" i="36"/>
  <c r="K119" i="38"/>
  <c r="K119" i="37" s="1"/>
  <c r="L120" i="36" s="1"/>
  <c r="J143" i="36"/>
  <c r="K142" i="38"/>
  <c r="K142" i="37" s="1"/>
  <c r="L143" i="36" s="1"/>
  <c r="K52" i="38"/>
  <c r="K52" i="37" s="1"/>
  <c r="J368" i="36"/>
  <c r="K367" i="38"/>
  <c r="K367" i="37" s="1"/>
  <c r="L368" i="36" s="1"/>
  <c r="J173" i="36"/>
  <c r="K172" i="38"/>
  <c r="K172" i="37" s="1"/>
  <c r="L173" i="36" s="1"/>
  <c r="K472" i="38"/>
  <c r="K472" i="37" s="1"/>
  <c r="K477" i="38"/>
  <c r="K477" i="37" s="1"/>
  <c r="J278" i="36"/>
  <c r="K277" i="38"/>
  <c r="K277" i="37" s="1"/>
  <c r="L278" i="36" s="1"/>
  <c r="J212" i="36"/>
  <c r="K211" i="38"/>
  <c r="K211" i="37" s="1"/>
  <c r="L212" i="36" s="1"/>
  <c r="K494" i="38"/>
  <c r="K494" i="37" s="1"/>
  <c r="K478" i="38"/>
  <c r="K478" i="37" s="1"/>
  <c r="K40" i="38"/>
  <c r="K40" i="37" s="1"/>
  <c r="J103" i="36"/>
  <c r="K102" i="38"/>
  <c r="K102" i="37" s="1"/>
  <c r="L103" i="36" s="1"/>
  <c r="K18" i="38"/>
  <c r="K18" i="37" s="1"/>
  <c r="J443" i="36"/>
  <c r="K442" i="38"/>
  <c r="K442" i="37" s="1"/>
  <c r="L443" i="36" s="1"/>
  <c r="J243" i="36"/>
  <c r="K242" i="38"/>
  <c r="K242" i="37" s="1"/>
  <c r="L243" i="36" s="1"/>
  <c r="J456" i="36"/>
  <c r="K455" i="38"/>
  <c r="K455" i="37" s="1"/>
  <c r="L456" i="36" s="1"/>
  <c r="J382" i="36"/>
  <c r="K381" i="38"/>
  <c r="K381" i="37" s="1"/>
  <c r="L382" i="36" s="1"/>
  <c r="J65" i="36"/>
  <c r="K64" i="38"/>
  <c r="K64" i="37" s="1"/>
  <c r="L65" i="36" s="1"/>
  <c r="J306" i="36"/>
  <c r="K305" i="38"/>
  <c r="K305" i="37" s="1"/>
  <c r="L306" i="36" s="1"/>
  <c r="J386" i="36"/>
  <c r="K385" i="38"/>
  <c r="K385" i="37" s="1"/>
  <c r="L386" i="36" s="1"/>
  <c r="J414" i="36"/>
  <c r="K413" i="38"/>
  <c r="K413" i="37" s="1"/>
  <c r="L414" i="36" s="1"/>
  <c r="J122" i="36"/>
  <c r="K121" i="38"/>
  <c r="K121" i="37" s="1"/>
  <c r="L122" i="36" s="1"/>
  <c r="J207" i="36"/>
  <c r="K206" i="38"/>
  <c r="K206" i="37" s="1"/>
  <c r="L207" i="36" s="1"/>
  <c r="J170" i="36"/>
  <c r="K169" i="38"/>
  <c r="K169" i="37" s="1"/>
  <c r="L170" i="36" s="1"/>
  <c r="K495" i="38"/>
  <c r="K495" i="37" s="1"/>
  <c r="J222" i="36"/>
  <c r="K221" i="38"/>
  <c r="K221" i="37" s="1"/>
  <c r="L222" i="36" s="1"/>
  <c r="K465" i="38"/>
  <c r="K465" i="37" s="1"/>
  <c r="K21" i="38"/>
  <c r="K21" i="37" s="1"/>
  <c r="K38" i="38"/>
  <c r="K38" i="37" s="1"/>
  <c r="K62" i="38"/>
  <c r="K62" i="37" s="1"/>
  <c r="L63" i="36" s="1"/>
  <c r="J63" i="36"/>
  <c r="K50" i="38"/>
  <c r="K50" i="37" s="1"/>
  <c r="J399" i="36"/>
  <c r="K398" i="38"/>
  <c r="K398" i="37" s="1"/>
  <c r="L399" i="36" s="1"/>
  <c r="K497" i="38"/>
  <c r="K497" i="37" s="1"/>
  <c r="K387" i="38"/>
  <c r="K387" i="37" s="1"/>
  <c r="L388" i="36" s="1"/>
  <c r="J388" i="36"/>
  <c r="K474" i="38"/>
  <c r="K474" i="37" s="1"/>
  <c r="K134" i="38"/>
  <c r="K134" i="37" s="1"/>
  <c r="L135" i="36" s="1"/>
  <c r="J135" i="36"/>
  <c r="J174" i="36"/>
  <c r="K173" i="38"/>
  <c r="K173" i="37" s="1"/>
  <c r="L174" i="36" s="1"/>
  <c r="J366" i="36"/>
  <c r="K365" i="38"/>
  <c r="K365" i="37" s="1"/>
  <c r="L366" i="36" s="1"/>
  <c r="J115" i="36"/>
  <c r="K114" i="38"/>
  <c r="K114" i="37" s="1"/>
  <c r="L115" i="36" s="1"/>
  <c r="J330" i="36"/>
  <c r="K329" i="38"/>
  <c r="K329" i="37" s="1"/>
  <c r="L330" i="36" s="1"/>
  <c r="K476" i="38"/>
  <c r="K476" i="37" s="1"/>
  <c r="K29" i="38"/>
  <c r="K29" i="37" s="1"/>
  <c r="J224" i="36"/>
  <c r="K223" i="38"/>
  <c r="K223" i="37" s="1"/>
  <c r="L224" i="36" s="1"/>
  <c r="J385" i="36"/>
  <c r="K384" i="38"/>
  <c r="K384" i="37" s="1"/>
  <c r="L385" i="36" s="1"/>
  <c r="J239" i="36"/>
  <c r="K238" i="38"/>
  <c r="K238" i="37" s="1"/>
  <c r="L239" i="36" s="1"/>
  <c r="K308" i="38"/>
  <c r="K308" i="37" s="1"/>
  <c r="L309" i="36" s="1"/>
  <c r="J309" i="36"/>
  <c r="K466" i="38"/>
  <c r="K466" i="37" s="1"/>
  <c r="J108" i="36"/>
  <c r="K107" i="38"/>
  <c r="K107" i="37" s="1"/>
  <c r="L108" i="36" s="1"/>
  <c r="J448" i="36"/>
  <c r="K447" i="38"/>
  <c r="K447" i="37" s="1"/>
  <c r="L448" i="36" s="1"/>
  <c r="J169" i="36"/>
  <c r="K168" i="38"/>
  <c r="K168" i="37" s="1"/>
  <c r="L169" i="36" s="1"/>
  <c r="J247" i="36"/>
  <c r="K246" i="38"/>
  <c r="K246" i="37" s="1"/>
  <c r="L247" i="36" s="1"/>
  <c r="J401" i="36"/>
  <c r="K400" i="38"/>
  <c r="K400" i="37" s="1"/>
  <c r="L401" i="36" s="1"/>
  <c r="J62" i="36"/>
  <c r="K61" i="38"/>
  <c r="K61" i="37" s="1"/>
  <c r="L62" i="36" s="1"/>
  <c r="J391" i="36"/>
  <c r="K390" i="38"/>
  <c r="K390" i="37" s="1"/>
  <c r="L391" i="36" s="1"/>
  <c r="J411" i="36"/>
  <c r="K410" i="38"/>
  <c r="K410" i="37" s="1"/>
  <c r="L411" i="36" s="1"/>
  <c r="J312" i="36"/>
  <c r="K311" i="38"/>
  <c r="K311" i="37" s="1"/>
  <c r="L312" i="36" s="1"/>
  <c r="J446" i="36"/>
  <c r="K445" i="38"/>
  <c r="K445" i="37" s="1"/>
  <c r="L446" i="36" s="1"/>
  <c r="J406" i="36"/>
  <c r="K405" i="38"/>
  <c r="K405" i="37" s="1"/>
  <c r="L406" i="36" s="1"/>
  <c r="J144" i="36"/>
  <c r="K143" i="38"/>
  <c r="K143" i="37" s="1"/>
  <c r="L144" i="36" s="1"/>
  <c r="J206" i="36"/>
  <c r="K205" i="38"/>
  <c r="K205" i="37" s="1"/>
  <c r="L206" i="36" s="1"/>
  <c r="O100" i="36"/>
  <c r="U100" i="36" s="1"/>
  <c r="T100" i="36" s="1"/>
  <c r="R100" i="36"/>
  <c r="Q100" i="36" s="1"/>
  <c r="J336" i="36"/>
  <c r="K335" i="38"/>
  <c r="K335" i="37" s="1"/>
  <c r="L336" i="36" s="1"/>
  <c r="K459" i="38"/>
  <c r="K459" i="37" s="1"/>
  <c r="J410" i="36"/>
  <c r="K409" i="38"/>
  <c r="K409" i="37" s="1"/>
  <c r="L410" i="36" s="1"/>
  <c r="J449" i="36"/>
  <c r="K448" i="38"/>
  <c r="K448" i="37" s="1"/>
  <c r="L449" i="36" s="1"/>
  <c r="K498" i="38"/>
  <c r="K498" i="37" s="1"/>
  <c r="J148" i="36"/>
  <c r="K147" i="38"/>
  <c r="K147" i="37" s="1"/>
  <c r="L148" i="36" s="1"/>
  <c r="J215" i="36"/>
  <c r="K214" i="38"/>
  <c r="K214" i="37" s="1"/>
  <c r="L215" i="36" s="1"/>
  <c r="J451" i="36"/>
  <c r="K450" i="38"/>
  <c r="K450" i="37" s="1"/>
  <c r="L451" i="36" s="1"/>
  <c r="J389" i="36"/>
  <c r="K388" i="38"/>
  <c r="K388" i="37" s="1"/>
  <c r="L389" i="36" s="1"/>
  <c r="K37" i="38"/>
  <c r="K37" i="37" s="1"/>
  <c r="J331" i="36"/>
  <c r="K330" i="38"/>
  <c r="K330" i="37" s="1"/>
  <c r="L331" i="36" s="1"/>
  <c r="T510" i="36"/>
  <c r="J219" i="36"/>
  <c r="K218" i="38"/>
  <c r="K218" i="37" s="1"/>
  <c r="L219" i="36" s="1"/>
  <c r="K26" i="38"/>
  <c r="K26" i="37" s="1"/>
  <c r="K23" i="38"/>
  <c r="K23" i="37" s="1"/>
  <c r="J455" i="36"/>
  <c r="K454" i="38"/>
  <c r="K454" i="37" s="1"/>
  <c r="L455" i="36" s="1"/>
  <c r="J228" i="36"/>
  <c r="K227" i="38"/>
  <c r="K227" i="37" s="1"/>
  <c r="L228" i="36" s="1"/>
  <c r="K135" i="38"/>
  <c r="K135" i="37" s="1"/>
  <c r="L136" i="36" s="1"/>
  <c r="J136" i="36"/>
  <c r="K49" i="38"/>
  <c r="K49" i="37" s="1"/>
  <c r="J305" i="36"/>
  <c r="K304" i="38"/>
  <c r="K304" i="37" s="1"/>
  <c r="L305" i="36" s="1"/>
  <c r="K24" i="38"/>
  <c r="K24" i="37" s="1"/>
  <c r="K505" i="38"/>
  <c r="K505" i="37" s="1"/>
  <c r="J112" i="36"/>
  <c r="K111" i="38"/>
  <c r="K111" i="37" s="1"/>
  <c r="L112" i="36" s="1"/>
  <c r="J370" i="36"/>
  <c r="K369" i="38"/>
  <c r="K369" i="37" s="1"/>
  <c r="L370" i="36" s="1"/>
  <c r="J113" i="36"/>
  <c r="K112" i="38"/>
  <c r="K112" i="37" s="1"/>
  <c r="L113" i="36" s="1"/>
  <c r="J308" i="36"/>
  <c r="K307" i="38"/>
  <c r="K307" i="37" s="1"/>
  <c r="L308" i="36" s="1"/>
  <c r="J171" i="36"/>
  <c r="K170" i="38"/>
  <c r="K170" i="37" s="1"/>
  <c r="L171" i="36" s="1"/>
  <c r="K32" i="38"/>
  <c r="K32" i="37" s="1"/>
  <c r="K475" i="38"/>
  <c r="K475" i="37" s="1"/>
  <c r="K512" i="38"/>
  <c r="K512" i="37" s="1"/>
  <c r="K499" i="38"/>
  <c r="K499" i="37" s="1"/>
  <c r="K210" i="38"/>
  <c r="K210" i="37" s="1"/>
  <c r="L211" i="36" s="1"/>
  <c r="J211" i="36"/>
  <c r="R281" i="36"/>
  <c r="Q281" i="36" s="1"/>
  <c r="O281" i="36"/>
  <c r="U281" i="36" s="1"/>
  <c r="T281" i="36" s="1"/>
  <c r="J240" i="36"/>
  <c r="K239" i="38"/>
  <c r="K239" i="37" s="1"/>
  <c r="L240" i="36" s="1"/>
  <c r="J138" i="36"/>
  <c r="K137" i="38"/>
  <c r="K137" i="37" s="1"/>
  <c r="L138" i="36" s="1"/>
  <c r="J335" i="36"/>
  <c r="K334" i="38"/>
  <c r="K334" i="37" s="1"/>
  <c r="L335" i="36" s="1"/>
  <c r="K470" i="38"/>
  <c r="K470" i="37" s="1"/>
  <c r="K496" i="38"/>
  <c r="K496" i="37" s="1"/>
  <c r="J117" i="36"/>
  <c r="K116" i="38"/>
  <c r="K116" i="37" s="1"/>
  <c r="L117" i="36" s="1"/>
  <c r="K216" i="38"/>
  <c r="K216" i="37" s="1"/>
  <c r="L217" i="36" s="1"/>
  <c r="J217" i="36"/>
  <c r="O99" i="36"/>
  <c r="R99" i="36"/>
  <c r="Q99" i="36" s="1"/>
  <c r="J384" i="36"/>
  <c r="K383" i="38"/>
  <c r="K383" i="37" s="1"/>
  <c r="L384" i="36" s="1"/>
  <c r="J114" i="36"/>
  <c r="K113" i="38"/>
  <c r="K113" i="37" s="1"/>
  <c r="L114" i="36" s="1"/>
  <c r="J313" i="36"/>
  <c r="K312" i="38"/>
  <c r="K312" i="37" s="1"/>
  <c r="L313" i="36" s="1"/>
  <c r="J226" i="36"/>
  <c r="K225" i="38"/>
  <c r="K225" i="37" s="1"/>
  <c r="L226" i="36" s="1"/>
  <c r="K453" i="38"/>
  <c r="K453" i="37" s="1"/>
  <c r="L454" i="36" s="1"/>
  <c r="J454" i="36"/>
  <c r="J293" i="36"/>
  <c r="K292" i="38"/>
  <c r="K292" i="37" s="1"/>
  <c r="L293" i="36" s="1"/>
  <c r="J383" i="36"/>
  <c r="K382" i="38"/>
  <c r="K382" i="37" s="1"/>
  <c r="L383" i="36" s="1"/>
  <c r="K22" i="38"/>
  <c r="K22" i="37" s="1"/>
  <c r="K20" i="38"/>
  <c r="K20" i="37" s="1"/>
  <c r="K25" i="38"/>
  <c r="K25" i="37" s="1"/>
  <c r="J146" i="36"/>
  <c r="K145" i="38"/>
  <c r="K145" i="37" s="1"/>
  <c r="L146" i="36" s="1"/>
  <c r="J430" i="36"/>
  <c r="K429" i="38"/>
  <c r="K429" i="37" s="1"/>
  <c r="L430" i="36" s="1"/>
  <c r="J377" i="36"/>
  <c r="K376" i="38"/>
  <c r="K376" i="37" s="1"/>
  <c r="L377" i="36" s="1"/>
  <c r="J218" i="36"/>
  <c r="K217" i="38"/>
  <c r="K217" i="37" s="1"/>
  <c r="L218" i="36" s="1"/>
  <c r="J307" i="36"/>
  <c r="K306" i="38"/>
  <c r="K306" i="37" s="1"/>
  <c r="L307" i="36" s="1"/>
  <c r="K53" i="38"/>
  <c r="K53" i="37" s="1"/>
  <c r="J105" i="36"/>
  <c r="K104" i="38"/>
  <c r="K104" i="37" s="1"/>
  <c r="L105" i="36" s="1"/>
  <c r="K36" i="38"/>
  <c r="K36" i="37" s="1"/>
  <c r="M98" i="36"/>
  <c r="S98" i="36" s="1"/>
  <c r="K492" i="38"/>
  <c r="K492" i="37" s="1"/>
  <c r="J367" i="36"/>
  <c r="K366" i="38"/>
  <c r="K366" i="37" s="1"/>
  <c r="L367" i="36" s="1"/>
  <c r="K469" i="38"/>
  <c r="K469" i="37" s="1"/>
  <c r="J248" i="36"/>
  <c r="K247" i="38"/>
  <c r="K247" i="37" s="1"/>
  <c r="L248" i="36" s="1"/>
  <c r="J431" i="36"/>
  <c r="K430" i="38"/>
  <c r="K430" i="37" s="1"/>
  <c r="L431" i="36" s="1"/>
  <c r="K467" i="38"/>
  <c r="K467" i="37" s="1"/>
  <c r="K51" i="38"/>
  <c r="K51" i="37" s="1"/>
  <c r="J332" i="36"/>
  <c r="K331" i="38"/>
  <c r="K331" i="37" s="1"/>
  <c r="L332" i="36" s="1"/>
  <c r="J139" i="36"/>
  <c r="K138" i="38"/>
  <c r="K138" i="37" s="1"/>
  <c r="L139" i="36" s="1"/>
  <c r="J140" i="36"/>
  <c r="K139" i="38"/>
  <c r="K139" i="37" s="1"/>
  <c r="L140" i="36" s="1"/>
  <c r="J252" i="36"/>
  <c r="K251" i="38"/>
  <c r="K251" i="37" s="1"/>
  <c r="L252" i="36" s="1"/>
  <c r="J250" i="36"/>
  <c r="K249" i="38"/>
  <c r="K249" i="37" s="1"/>
  <c r="L250" i="36" s="1"/>
  <c r="J147" i="36"/>
  <c r="K146" i="38"/>
  <c r="K146" i="37" s="1"/>
  <c r="L147" i="36" s="1"/>
  <c r="J223" i="36"/>
  <c r="K222" i="38"/>
  <c r="K222" i="37" s="1"/>
  <c r="L223" i="36" s="1"/>
  <c r="J402" i="36"/>
  <c r="K401" i="38"/>
  <c r="K401" i="37" s="1"/>
  <c r="L402" i="36" s="1"/>
  <c r="J311" i="36"/>
  <c r="K310" i="38"/>
  <c r="K310" i="37" s="1"/>
  <c r="L311" i="36" s="1"/>
  <c r="J365" i="36"/>
  <c r="K364" i="38"/>
  <c r="K364" i="37" s="1"/>
  <c r="L365" i="36" s="1"/>
  <c r="K167" i="38"/>
  <c r="K167" i="37" s="1"/>
  <c r="L168" i="36" s="1"/>
  <c r="J168" i="36"/>
  <c r="K471" i="38"/>
  <c r="K471" i="37" s="1"/>
  <c r="J225" i="36"/>
  <c r="K224" i="38"/>
  <c r="K224" i="37" s="1"/>
  <c r="L225" i="36" s="1"/>
  <c r="K507" i="38"/>
  <c r="K507" i="37" s="1"/>
  <c r="J118" i="36"/>
  <c r="K117" i="38"/>
  <c r="K117" i="37" s="1"/>
  <c r="L118" i="36" s="1"/>
  <c r="J116" i="36"/>
  <c r="K115" i="38"/>
  <c r="K115" i="37" s="1"/>
  <c r="L116" i="36" s="1"/>
  <c r="J380" i="36"/>
  <c r="K379" i="38"/>
  <c r="K379" i="37" s="1"/>
  <c r="L380" i="36" s="1"/>
  <c r="J251" i="36"/>
  <c r="K250" i="38"/>
  <c r="K250" i="37" s="1"/>
  <c r="L251" i="36" s="1"/>
  <c r="J453" i="36"/>
  <c r="K452" i="38"/>
  <c r="K452" i="37" s="1"/>
  <c r="L453" i="36" s="1"/>
  <c r="K463" i="38"/>
  <c r="K463" i="37" s="1"/>
  <c r="K506" i="38"/>
  <c r="K506" i="37" s="1"/>
  <c r="J403" i="36"/>
  <c r="K402" i="38"/>
  <c r="K402" i="37" s="1"/>
  <c r="L403" i="36" s="1"/>
  <c r="J246" i="36"/>
  <c r="K245" i="38"/>
  <c r="K245" i="37" s="1"/>
  <c r="L246" i="36" s="1"/>
  <c r="K461" i="38"/>
  <c r="K461" i="37" s="1"/>
  <c r="K508" i="38"/>
  <c r="K508" i="37" s="1"/>
  <c r="J304" i="36"/>
  <c r="K303" i="38"/>
  <c r="K303" i="37" s="1"/>
  <c r="L304" i="36" s="1"/>
  <c r="K241" i="38"/>
  <c r="K241" i="37" s="1"/>
  <c r="L242" i="36" s="1"/>
  <c r="J242" i="36"/>
  <c r="J447" i="36"/>
  <c r="K446" i="38"/>
  <c r="K446" i="37" s="1"/>
  <c r="L447" i="36" s="1"/>
  <c r="K500" i="38"/>
  <c r="K500" i="37" s="1"/>
  <c r="J141" i="36"/>
  <c r="K140" i="38"/>
  <c r="K140" i="37" s="1"/>
  <c r="L141" i="36" s="1"/>
  <c r="C6" i="1"/>
  <c r="M114" i="36" l="1"/>
  <c r="S114" i="36" s="1"/>
  <c r="P114" i="36"/>
  <c r="M370" i="36"/>
  <c r="S370" i="36" s="1"/>
  <c r="P370" i="36"/>
  <c r="M449" i="36"/>
  <c r="S449" i="36" s="1"/>
  <c r="P449" i="36"/>
  <c r="M303" i="36"/>
  <c r="S303" i="36" s="1"/>
  <c r="P303" i="36"/>
  <c r="M407" i="36"/>
  <c r="S407" i="36" s="1"/>
  <c r="P407" i="36"/>
  <c r="M384" i="36"/>
  <c r="S384" i="36" s="1"/>
  <c r="P384" i="36"/>
  <c r="M112" i="36"/>
  <c r="S112" i="36" s="1"/>
  <c r="P112" i="36"/>
  <c r="M410" i="36"/>
  <c r="S410" i="36" s="1"/>
  <c r="P410" i="36"/>
  <c r="M309" i="36"/>
  <c r="S309" i="36" s="1"/>
  <c r="P309" i="36"/>
  <c r="M212" i="36"/>
  <c r="S212" i="36" s="1"/>
  <c r="P212" i="36"/>
  <c r="M274" i="36"/>
  <c r="S274" i="36" s="1"/>
  <c r="P274" i="36"/>
  <c r="M222" i="36"/>
  <c r="S222" i="36" s="1"/>
  <c r="P222" i="36"/>
  <c r="M170" i="36"/>
  <c r="S170" i="36" s="1"/>
  <c r="P170" i="36"/>
  <c r="M104" i="36"/>
  <c r="S104" i="36" s="1"/>
  <c r="P104" i="36"/>
  <c r="M106" i="36"/>
  <c r="S106" i="36" s="1"/>
  <c r="P106" i="36"/>
  <c r="M372" i="36"/>
  <c r="S372" i="36" s="1"/>
  <c r="P372" i="36"/>
  <c r="M390" i="36"/>
  <c r="S390" i="36" s="1"/>
  <c r="P390" i="36"/>
  <c r="M327" i="36"/>
  <c r="S327" i="36" s="1"/>
  <c r="P327" i="36"/>
  <c r="M123" i="36"/>
  <c r="S123" i="36" s="1"/>
  <c r="P123" i="36"/>
  <c r="M377" i="36"/>
  <c r="S377" i="36" s="1"/>
  <c r="P377" i="36"/>
  <c r="M253" i="36"/>
  <c r="S253" i="36" s="1"/>
  <c r="P253" i="36"/>
  <c r="M430" i="36"/>
  <c r="S430" i="36" s="1"/>
  <c r="P430" i="36"/>
  <c r="M221" i="36"/>
  <c r="S221" i="36" s="1"/>
  <c r="P221" i="36"/>
  <c r="M246" i="36"/>
  <c r="S246" i="36" s="1"/>
  <c r="P246" i="36"/>
  <c r="M250" i="36"/>
  <c r="S250" i="36" s="1"/>
  <c r="P250" i="36"/>
  <c r="M240" i="36"/>
  <c r="S240" i="36" s="1"/>
  <c r="P240" i="36"/>
  <c r="M115" i="36"/>
  <c r="S115" i="36" s="1"/>
  <c r="P115" i="36"/>
  <c r="M120" i="36"/>
  <c r="S120" i="36" s="1"/>
  <c r="P120" i="36"/>
  <c r="M216" i="36"/>
  <c r="S216" i="36" s="1"/>
  <c r="P216" i="36"/>
  <c r="M227" i="36"/>
  <c r="S227" i="36" s="1"/>
  <c r="P227" i="36"/>
  <c r="M387" i="36"/>
  <c r="S387" i="36" s="1"/>
  <c r="P387" i="36"/>
  <c r="M211" i="36"/>
  <c r="S211" i="36" s="1"/>
  <c r="P211" i="36"/>
  <c r="M245" i="36"/>
  <c r="S245" i="36" s="1"/>
  <c r="P245" i="36"/>
  <c r="M107" i="36"/>
  <c r="S107" i="36" s="1"/>
  <c r="P107" i="36"/>
  <c r="M453" i="36"/>
  <c r="S453" i="36" s="1"/>
  <c r="P453" i="36"/>
  <c r="M139" i="36"/>
  <c r="S139" i="36" s="1"/>
  <c r="P139" i="36"/>
  <c r="M383" i="36"/>
  <c r="S383" i="36" s="1"/>
  <c r="P383" i="36"/>
  <c r="M374" i="36"/>
  <c r="S374" i="36" s="1"/>
  <c r="P374" i="36"/>
  <c r="M328" i="36"/>
  <c r="S328" i="36" s="1"/>
  <c r="P328" i="36"/>
  <c r="M389" i="36"/>
  <c r="S389" i="36" s="1"/>
  <c r="P389" i="36"/>
  <c r="M251" i="36"/>
  <c r="S251" i="36" s="1"/>
  <c r="P251" i="36"/>
  <c r="M450" i="36"/>
  <c r="S450" i="36" s="1"/>
  <c r="P450" i="36"/>
  <c r="M215" i="36"/>
  <c r="S215" i="36" s="1"/>
  <c r="P215" i="36"/>
  <c r="M310" i="36"/>
  <c r="S310" i="36" s="1"/>
  <c r="P310" i="36"/>
  <c r="M217" i="36"/>
  <c r="S217" i="36" s="1"/>
  <c r="P217" i="36"/>
  <c r="M336" i="36"/>
  <c r="S336" i="36" s="1"/>
  <c r="P336" i="36"/>
  <c r="M278" i="36"/>
  <c r="S278" i="36" s="1"/>
  <c r="P278" i="36"/>
  <c r="M333" i="36"/>
  <c r="S333" i="36" s="1"/>
  <c r="P333" i="36"/>
  <c r="M241" i="36"/>
  <c r="S241" i="36" s="1"/>
  <c r="P241" i="36"/>
  <c r="M385" i="36"/>
  <c r="S385" i="36" s="1"/>
  <c r="P385" i="36"/>
  <c r="M111" i="36"/>
  <c r="S111" i="36" s="1"/>
  <c r="P111" i="36"/>
  <c r="M229" i="36"/>
  <c r="S229" i="36" s="1"/>
  <c r="P229" i="36"/>
  <c r="M445" i="36"/>
  <c r="S445" i="36" s="1"/>
  <c r="P445" i="36"/>
  <c r="M124" i="36"/>
  <c r="S124" i="36" s="1"/>
  <c r="P124" i="36"/>
  <c r="M122" i="36"/>
  <c r="S122" i="36" s="1"/>
  <c r="P122" i="36"/>
  <c r="M368" i="36"/>
  <c r="S368" i="36" s="1"/>
  <c r="P368" i="36"/>
  <c r="M296" i="36"/>
  <c r="S296" i="36" s="1"/>
  <c r="P296" i="36"/>
  <c r="M138" i="36"/>
  <c r="S138" i="36" s="1"/>
  <c r="P138" i="36"/>
  <c r="M378" i="36"/>
  <c r="S378" i="36" s="1"/>
  <c r="P378" i="36"/>
  <c r="M379" i="36"/>
  <c r="S379" i="36" s="1"/>
  <c r="P379" i="36"/>
  <c r="M64" i="36"/>
  <c r="S64" i="36" s="1"/>
  <c r="P64" i="36"/>
  <c r="M312" i="36"/>
  <c r="S312" i="36" s="1"/>
  <c r="P312" i="36"/>
  <c r="M412" i="36"/>
  <c r="S412" i="36" s="1"/>
  <c r="P412" i="36"/>
  <c r="M403" i="36"/>
  <c r="S403" i="36" s="1"/>
  <c r="P403" i="36"/>
  <c r="M252" i="36"/>
  <c r="S252" i="36" s="1"/>
  <c r="P252" i="36"/>
  <c r="M140" i="36"/>
  <c r="S140" i="36" s="1"/>
  <c r="P140" i="36"/>
  <c r="M208" i="36"/>
  <c r="S208" i="36" s="1"/>
  <c r="P208" i="36"/>
  <c r="M391" i="36"/>
  <c r="S391" i="36" s="1"/>
  <c r="P391" i="36"/>
  <c r="M121" i="36"/>
  <c r="S121" i="36" s="1"/>
  <c r="P121" i="36"/>
  <c r="M293" i="36"/>
  <c r="S293" i="36" s="1"/>
  <c r="P293" i="36"/>
  <c r="M243" i="36"/>
  <c r="S243" i="36" s="1"/>
  <c r="P243" i="36"/>
  <c r="M337" i="36"/>
  <c r="S337" i="36" s="1"/>
  <c r="P337" i="36"/>
  <c r="M244" i="36"/>
  <c r="S244" i="36" s="1"/>
  <c r="P244" i="36"/>
  <c r="M408" i="36"/>
  <c r="S408" i="36" s="1"/>
  <c r="P408" i="36"/>
  <c r="M247" i="36"/>
  <c r="S247" i="36" s="1"/>
  <c r="P247" i="36"/>
  <c r="M443" i="36"/>
  <c r="S443" i="36" s="1"/>
  <c r="P443" i="36"/>
  <c r="M116" i="36"/>
  <c r="S116" i="36" s="1"/>
  <c r="P116" i="36"/>
  <c r="M308" i="36"/>
  <c r="S308" i="36" s="1"/>
  <c r="P308" i="36"/>
  <c r="M148" i="36"/>
  <c r="S148" i="36" s="1"/>
  <c r="P148" i="36"/>
  <c r="M277" i="36"/>
  <c r="S277" i="36" s="1"/>
  <c r="P277" i="36"/>
  <c r="M409" i="36"/>
  <c r="S409" i="36" s="1"/>
  <c r="P409" i="36"/>
  <c r="M367" i="36"/>
  <c r="S367" i="36" s="1"/>
  <c r="P367" i="36"/>
  <c r="M110" i="36"/>
  <c r="S110" i="36" s="1"/>
  <c r="P110" i="36"/>
  <c r="M141" i="36"/>
  <c r="S141" i="36" s="1"/>
  <c r="P141" i="36"/>
  <c r="M239" i="36"/>
  <c r="S239" i="36" s="1"/>
  <c r="P239" i="36"/>
  <c r="M404" i="36"/>
  <c r="S404" i="36" s="1"/>
  <c r="P404" i="36"/>
  <c r="M405" i="36"/>
  <c r="S405" i="36" s="1"/>
  <c r="P405" i="36"/>
  <c r="M371" i="36"/>
  <c r="S371" i="36" s="1"/>
  <c r="P371" i="36"/>
  <c r="M119" i="36"/>
  <c r="S119" i="36" s="1"/>
  <c r="P119" i="36"/>
  <c r="M447" i="36"/>
  <c r="S447" i="36" s="1"/>
  <c r="P447" i="36"/>
  <c r="M311" i="36"/>
  <c r="S311" i="36" s="1"/>
  <c r="P311" i="36"/>
  <c r="M207" i="36"/>
  <c r="S207" i="36" s="1"/>
  <c r="P207" i="36"/>
  <c r="M173" i="36"/>
  <c r="S173" i="36" s="1"/>
  <c r="P173" i="36"/>
  <c r="M275" i="36"/>
  <c r="S275" i="36" s="1"/>
  <c r="P275" i="36"/>
  <c r="M304" i="36"/>
  <c r="S304" i="36" s="1"/>
  <c r="P304" i="36"/>
  <c r="M223" i="36"/>
  <c r="S223" i="36" s="1"/>
  <c r="P223" i="36"/>
  <c r="M220" i="36"/>
  <c r="S220" i="36" s="1"/>
  <c r="P220" i="36"/>
  <c r="M455" i="36"/>
  <c r="S455" i="36" s="1"/>
  <c r="P455" i="36"/>
  <c r="M406" i="36"/>
  <c r="S406" i="36" s="1"/>
  <c r="P406" i="36"/>
  <c r="M414" i="36"/>
  <c r="S414" i="36" s="1"/>
  <c r="P414" i="36"/>
  <c r="M147" i="36"/>
  <c r="S147" i="36" s="1"/>
  <c r="P147" i="36"/>
  <c r="M446" i="36"/>
  <c r="S446" i="36" s="1"/>
  <c r="P446" i="36"/>
  <c r="M386" i="36"/>
  <c r="S386" i="36" s="1"/>
  <c r="P386" i="36"/>
  <c r="M213" i="36"/>
  <c r="S213" i="36" s="1"/>
  <c r="P213" i="36"/>
  <c r="M306" i="36"/>
  <c r="S306" i="36" s="1"/>
  <c r="P306" i="36"/>
  <c r="M366" i="36"/>
  <c r="S366" i="36" s="1"/>
  <c r="P366" i="36"/>
  <c r="M329" i="36"/>
  <c r="S329" i="36" s="1"/>
  <c r="P329" i="36"/>
  <c r="M65" i="36"/>
  <c r="S65" i="36" s="1"/>
  <c r="P65" i="36"/>
  <c r="M279" i="36"/>
  <c r="S279" i="36" s="1"/>
  <c r="P279" i="36"/>
  <c r="M210" i="36"/>
  <c r="S210" i="36" s="1"/>
  <c r="P210" i="36"/>
  <c r="M334" i="36"/>
  <c r="S334" i="36" s="1"/>
  <c r="P334" i="36"/>
  <c r="M214" i="36"/>
  <c r="S214" i="36" s="1"/>
  <c r="P214" i="36"/>
  <c r="M454" i="36"/>
  <c r="S454" i="36" s="1"/>
  <c r="P454" i="36"/>
  <c r="M380" i="36"/>
  <c r="S380" i="36" s="1"/>
  <c r="P380" i="36"/>
  <c r="M249" i="36"/>
  <c r="S249" i="36" s="1"/>
  <c r="P249" i="36"/>
  <c r="M399" i="36"/>
  <c r="S399" i="36" s="1"/>
  <c r="P399" i="36"/>
  <c r="M169" i="36"/>
  <c r="S169" i="36" s="1"/>
  <c r="P169" i="36"/>
  <c r="M149" i="36"/>
  <c r="S149" i="36" s="1"/>
  <c r="P149" i="36"/>
  <c r="M118" i="36"/>
  <c r="S118" i="36" s="1"/>
  <c r="P118" i="36"/>
  <c r="M248" i="36"/>
  <c r="S248" i="36" s="1"/>
  <c r="P248" i="36"/>
  <c r="M313" i="36"/>
  <c r="S313" i="36" s="1"/>
  <c r="P313" i="36"/>
  <c r="M113" i="36"/>
  <c r="S113" i="36" s="1"/>
  <c r="P113" i="36"/>
  <c r="M63" i="36"/>
  <c r="S63" i="36" s="1"/>
  <c r="P63" i="36"/>
  <c r="M103" i="36"/>
  <c r="S103" i="36" s="1"/>
  <c r="P103" i="36"/>
  <c r="M61" i="36"/>
  <c r="S61" i="36" s="1"/>
  <c r="P61" i="36"/>
  <c r="M400" i="36"/>
  <c r="S400" i="36" s="1"/>
  <c r="P400" i="36"/>
  <c r="M413" i="36"/>
  <c r="S413" i="36" s="1"/>
  <c r="P413" i="36"/>
  <c r="M280" i="36"/>
  <c r="S280" i="36" s="1"/>
  <c r="P280" i="36"/>
  <c r="M225" i="36"/>
  <c r="S225" i="36" s="1"/>
  <c r="P225" i="36"/>
  <c r="M108" i="36"/>
  <c r="S108" i="36" s="1"/>
  <c r="P108" i="36"/>
  <c r="M142" i="36"/>
  <c r="S142" i="36" s="1"/>
  <c r="P142" i="36"/>
  <c r="M381" i="36"/>
  <c r="S381" i="36" s="1"/>
  <c r="P381" i="36"/>
  <c r="M168" i="36"/>
  <c r="S168" i="36" s="1"/>
  <c r="P168" i="36"/>
  <c r="M369" i="36"/>
  <c r="S369" i="36" s="1"/>
  <c r="P369" i="36"/>
  <c r="M444" i="36"/>
  <c r="S444" i="36" s="1"/>
  <c r="P444" i="36"/>
  <c r="M365" i="36"/>
  <c r="S365" i="36" s="1"/>
  <c r="P365" i="36"/>
  <c r="M105" i="36"/>
  <c r="S105" i="36" s="1"/>
  <c r="P105" i="36"/>
  <c r="M305" i="36"/>
  <c r="S305" i="36" s="1"/>
  <c r="P305" i="36"/>
  <c r="M117" i="36"/>
  <c r="S117" i="36" s="1"/>
  <c r="P117" i="36"/>
  <c r="M136" i="36"/>
  <c r="S136" i="36" s="1"/>
  <c r="P136" i="36"/>
  <c r="M242" i="36"/>
  <c r="S242" i="36" s="1"/>
  <c r="P242" i="36"/>
  <c r="M307" i="36"/>
  <c r="S307" i="36" s="1"/>
  <c r="P307" i="36"/>
  <c r="M206" i="36"/>
  <c r="S206" i="36" s="1"/>
  <c r="P206" i="36"/>
  <c r="M402" i="36"/>
  <c r="S402" i="36" s="1"/>
  <c r="P402" i="36"/>
  <c r="M224" i="36"/>
  <c r="S224" i="36" s="1"/>
  <c r="P224" i="36"/>
  <c r="M218" i="36"/>
  <c r="S218" i="36" s="1"/>
  <c r="P218" i="36"/>
  <c r="M228" i="36"/>
  <c r="S228" i="36" s="1"/>
  <c r="P228" i="36"/>
  <c r="M144" i="36"/>
  <c r="S144" i="36" s="1"/>
  <c r="P144" i="36"/>
  <c r="M335" i="36"/>
  <c r="S335" i="36" s="1"/>
  <c r="P335" i="36"/>
  <c r="M330" i="36"/>
  <c r="S330" i="36" s="1"/>
  <c r="P330" i="36"/>
  <c r="M143" i="36"/>
  <c r="S143" i="36" s="1"/>
  <c r="P143" i="36"/>
  <c r="M172" i="36"/>
  <c r="S172" i="36" s="1"/>
  <c r="P172" i="36"/>
  <c r="M209" i="36"/>
  <c r="S209" i="36" s="1"/>
  <c r="P209" i="36"/>
  <c r="M146" i="36"/>
  <c r="S146" i="36" s="1"/>
  <c r="P146" i="36"/>
  <c r="M219" i="36"/>
  <c r="S219" i="36" s="1"/>
  <c r="P219" i="36"/>
  <c r="M428" i="36"/>
  <c r="S428" i="36" s="1"/>
  <c r="P428" i="36"/>
  <c r="M411" i="36"/>
  <c r="S411" i="36" s="1"/>
  <c r="P411" i="36"/>
  <c r="M331" i="36"/>
  <c r="S331" i="36" s="1"/>
  <c r="P331" i="36"/>
  <c r="M174" i="36"/>
  <c r="S174" i="36" s="1"/>
  <c r="P174" i="36"/>
  <c r="M137" i="36"/>
  <c r="S137" i="36" s="1"/>
  <c r="P137" i="36"/>
  <c r="M135" i="36"/>
  <c r="S135" i="36" s="1"/>
  <c r="P135" i="36"/>
  <c r="M382" i="36"/>
  <c r="S382" i="36" s="1"/>
  <c r="P382" i="36"/>
  <c r="M62" i="36"/>
  <c r="S62" i="36" s="1"/>
  <c r="P62" i="36"/>
  <c r="M456" i="36"/>
  <c r="S456" i="36" s="1"/>
  <c r="P456" i="36"/>
  <c r="M429" i="36"/>
  <c r="S429" i="36" s="1"/>
  <c r="P429" i="36"/>
  <c r="M150" i="36"/>
  <c r="S150" i="36" s="1"/>
  <c r="P150" i="36"/>
  <c r="M332" i="36"/>
  <c r="S332" i="36" s="1"/>
  <c r="P332" i="36"/>
  <c r="M388" i="36"/>
  <c r="S388" i="36" s="1"/>
  <c r="P388" i="36"/>
  <c r="M145" i="36"/>
  <c r="S145" i="36" s="1"/>
  <c r="P145" i="36"/>
  <c r="M314" i="36"/>
  <c r="S314" i="36" s="1"/>
  <c r="P314" i="36"/>
  <c r="M273" i="36"/>
  <c r="S273" i="36" s="1"/>
  <c r="P273" i="36"/>
  <c r="M451" i="36"/>
  <c r="S451" i="36" s="1"/>
  <c r="P451" i="36"/>
  <c r="M401" i="36"/>
  <c r="S401" i="36" s="1"/>
  <c r="P401" i="36"/>
  <c r="M171" i="36"/>
  <c r="S171" i="36" s="1"/>
  <c r="P171" i="36"/>
  <c r="M427" i="36"/>
  <c r="S427" i="36" s="1"/>
  <c r="P427" i="36"/>
  <c r="M431" i="36"/>
  <c r="S431" i="36" s="1"/>
  <c r="P431" i="36"/>
  <c r="M226" i="36"/>
  <c r="S226" i="36" s="1"/>
  <c r="P226" i="36"/>
  <c r="M448" i="36"/>
  <c r="S448" i="36" s="1"/>
  <c r="P448" i="36"/>
  <c r="M109" i="36"/>
  <c r="S109" i="36" s="1"/>
  <c r="P109" i="36"/>
  <c r="M276" i="36"/>
  <c r="S276" i="36" s="1"/>
  <c r="P276" i="36"/>
  <c r="O239" i="36"/>
  <c r="U239" i="36" s="1"/>
  <c r="R239" i="36"/>
  <c r="O408" i="36"/>
  <c r="U408" i="36" s="1"/>
  <c r="R408" i="36"/>
  <c r="O110" i="36"/>
  <c r="U110" i="36" s="1"/>
  <c r="T110" i="36" s="1"/>
  <c r="R110" i="36"/>
  <c r="Q110" i="36" s="1"/>
  <c r="O277" i="36"/>
  <c r="U277" i="36" s="1"/>
  <c r="R277" i="36"/>
  <c r="O368" i="36"/>
  <c r="U368" i="36" s="1"/>
  <c r="R368" i="36"/>
  <c r="R103" i="36"/>
  <c r="O103" i="36"/>
  <c r="R378" i="36"/>
  <c r="O378" i="36"/>
  <c r="U378" i="36" s="1"/>
  <c r="T378" i="36" s="1"/>
  <c r="O371" i="36"/>
  <c r="U371" i="36" s="1"/>
  <c r="R371" i="36"/>
  <c r="O279" i="36"/>
  <c r="U279" i="36" s="1"/>
  <c r="R279" i="36"/>
  <c r="Q279" i="36" s="1"/>
  <c r="O333" i="36"/>
  <c r="U333" i="36" s="1"/>
  <c r="R333" i="36"/>
  <c r="O109" i="36"/>
  <c r="U109" i="36" s="1"/>
  <c r="T109" i="36" s="1"/>
  <c r="R109" i="36"/>
  <c r="Q109" i="36" s="1"/>
  <c r="O208" i="36"/>
  <c r="U208" i="36" s="1"/>
  <c r="T208" i="36" s="1"/>
  <c r="R208" i="36"/>
  <c r="O336" i="36"/>
  <c r="U336" i="36" s="1"/>
  <c r="R336" i="36"/>
  <c r="O211" i="36"/>
  <c r="U211" i="36" s="1"/>
  <c r="R211" i="36"/>
  <c r="O215" i="36"/>
  <c r="U215" i="36" s="1"/>
  <c r="R215" i="36"/>
  <c r="O406" i="36"/>
  <c r="U406" i="36" s="1"/>
  <c r="R406" i="36"/>
  <c r="Q406" i="36" s="1"/>
  <c r="O224" i="36"/>
  <c r="U224" i="36" s="1"/>
  <c r="T224" i="36" s="1"/>
  <c r="R224" i="36"/>
  <c r="Q224" i="36" s="1"/>
  <c r="O209" i="36"/>
  <c r="U209" i="36" s="1"/>
  <c r="R209" i="36"/>
  <c r="O385" i="36"/>
  <c r="U385" i="36" s="1"/>
  <c r="T385" i="36" s="1"/>
  <c r="R385" i="36"/>
  <c r="Q385" i="36" s="1"/>
  <c r="O119" i="36"/>
  <c r="U119" i="36" s="1"/>
  <c r="R119" i="36"/>
  <c r="O451" i="36"/>
  <c r="U451" i="36" s="1"/>
  <c r="R451" i="36"/>
  <c r="R377" i="36"/>
  <c r="Q377" i="36" s="1"/>
  <c r="O377" i="36"/>
  <c r="U377" i="36" s="1"/>
  <c r="T377" i="36" s="1"/>
  <c r="O329" i="36"/>
  <c r="U329" i="36" s="1"/>
  <c r="R329" i="36"/>
  <c r="O400" i="36"/>
  <c r="U400" i="36" s="1"/>
  <c r="R400" i="36"/>
  <c r="O124" i="36"/>
  <c r="U124" i="36" s="1"/>
  <c r="T124" i="36" s="1"/>
  <c r="R124" i="36"/>
  <c r="Q124" i="36" s="1"/>
  <c r="R141" i="36"/>
  <c r="Q141" i="36" s="1"/>
  <c r="O141" i="36"/>
  <c r="U141" i="36" s="1"/>
  <c r="T141" i="36" s="1"/>
  <c r="R431" i="36"/>
  <c r="O431" i="36"/>
  <c r="U431" i="36" s="1"/>
  <c r="R121" i="36"/>
  <c r="O121" i="36"/>
  <c r="U121" i="36" s="1"/>
  <c r="O104" i="36"/>
  <c r="U104" i="36" s="1"/>
  <c r="R104" i="36"/>
  <c r="O402" i="36"/>
  <c r="U402" i="36" s="1"/>
  <c r="R402" i="36"/>
  <c r="O446" i="36"/>
  <c r="U446" i="36" s="1"/>
  <c r="R446" i="36"/>
  <c r="O146" i="36"/>
  <c r="U146" i="36" s="1"/>
  <c r="R146" i="36"/>
  <c r="O207" i="36"/>
  <c r="U207" i="36" s="1"/>
  <c r="R207" i="36"/>
  <c r="O444" i="36"/>
  <c r="U444" i="36" s="1"/>
  <c r="R444" i="36"/>
  <c r="O138" i="36"/>
  <c r="U138" i="36" s="1"/>
  <c r="R138" i="36"/>
  <c r="O447" i="36"/>
  <c r="U447" i="36" s="1"/>
  <c r="R447" i="36"/>
  <c r="O174" i="36"/>
  <c r="U174" i="36" s="1"/>
  <c r="R174" i="36"/>
  <c r="O310" i="36"/>
  <c r="U310" i="36" s="1"/>
  <c r="R310" i="36"/>
  <c r="O245" i="36"/>
  <c r="U245" i="36" s="1"/>
  <c r="T245" i="36" s="1"/>
  <c r="R245" i="36"/>
  <c r="Q245" i="36" s="1"/>
  <c r="O168" i="36"/>
  <c r="U168" i="36" s="1"/>
  <c r="T168" i="36" s="1"/>
  <c r="R168" i="36"/>
  <c r="Q168" i="36" s="1"/>
  <c r="O114" i="36"/>
  <c r="U114" i="36" s="1"/>
  <c r="T114" i="36" s="1"/>
  <c r="R114" i="36"/>
  <c r="Q114" i="36" s="1"/>
  <c r="O218" i="36"/>
  <c r="U218" i="36" s="1"/>
  <c r="T218" i="36" s="1"/>
  <c r="R218" i="36"/>
  <c r="Q218" i="36" s="1"/>
  <c r="O384" i="36"/>
  <c r="U384" i="36" s="1"/>
  <c r="T384" i="36" s="1"/>
  <c r="R384" i="36"/>
  <c r="O144" i="36"/>
  <c r="U144" i="36" s="1"/>
  <c r="R144" i="36"/>
  <c r="O311" i="36"/>
  <c r="U311" i="36" s="1"/>
  <c r="R311" i="36"/>
  <c r="R430" i="36"/>
  <c r="O430" i="36"/>
  <c r="U430" i="36" s="1"/>
  <c r="U99" i="36"/>
  <c r="T99" i="36" s="1"/>
  <c r="O98" i="36"/>
  <c r="U98" i="36" s="1"/>
  <c r="T98" i="36" s="1"/>
  <c r="O170" i="36"/>
  <c r="U170" i="36" s="1"/>
  <c r="R170" i="36"/>
  <c r="R223" i="36"/>
  <c r="O223" i="36"/>
  <c r="U223" i="36" s="1"/>
  <c r="O248" i="36"/>
  <c r="U248" i="36" s="1"/>
  <c r="R248" i="36"/>
  <c r="O275" i="36"/>
  <c r="U275" i="36" s="1"/>
  <c r="R275" i="36"/>
  <c r="R137" i="36"/>
  <c r="O137" i="36"/>
  <c r="U137" i="36" s="1"/>
  <c r="R280" i="36"/>
  <c r="O280" i="36"/>
  <c r="U280" i="36" s="1"/>
  <c r="O123" i="36"/>
  <c r="U123" i="36" s="1"/>
  <c r="T123" i="36" s="1"/>
  <c r="R123" i="36"/>
  <c r="Q123" i="36" s="1"/>
  <c r="O140" i="36"/>
  <c r="U140" i="36" s="1"/>
  <c r="T140" i="36" s="1"/>
  <c r="R140" i="36"/>
  <c r="Q140" i="36" s="1"/>
  <c r="R247" i="36"/>
  <c r="Q247" i="36" s="1"/>
  <c r="O247" i="36"/>
  <c r="U247" i="36" s="1"/>
  <c r="T247" i="36" s="1"/>
  <c r="R312" i="36"/>
  <c r="O312" i="36"/>
  <c r="U312" i="36" s="1"/>
  <c r="R136" i="36"/>
  <c r="O136" i="36"/>
  <c r="U136" i="36" s="1"/>
  <c r="O122" i="36"/>
  <c r="U122" i="36" s="1"/>
  <c r="R122" i="36"/>
  <c r="O145" i="36"/>
  <c r="U145" i="36" s="1"/>
  <c r="R145" i="36"/>
  <c r="O407" i="36"/>
  <c r="U407" i="36" s="1"/>
  <c r="R407" i="36"/>
  <c r="O405" i="36"/>
  <c r="U405" i="36" s="1"/>
  <c r="R405" i="36"/>
  <c r="O334" i="36"/>
  <c r="U334" i="36" s="1"/>
  <c r="R334" i="36"/>
  <c r="O113" i="36"/>
  <c r="U113" i="36" s="1"/>
  <c r="R113" i="36"/>
  <c r="O219" i="36"/>
  <c r="U219" i="36" s="1"/>
  <c r="R219" i="36"/>
  <c r="O403" i="36"/>
  <c r="U403" i="36" s="1"/>
  <c r="R403" i="36"/>
  <c r="R365" i="36"/>
  <c r="O365" i="36"/>
  <c r="U365" i="36" s="1"/>
  <c r="R222" i="36"/>
  <c r="O222" i="36"/>
  <c r="U222" i="36" s="1"/>
  <c r="O147" i="36"/>
  <c r="U147" i="36" s="1"/>
  <c r="R147" i="36"/>
  <c r="R228" i="36"/>
  <c r="Q228" i="36" s="1"/>
  <c r="O228" i="36"/>
  <c r="U228" i="36" s="1"/>
  <c r="T228" i="36" s="1"/>
  <c r="R411" i="36"/>
  <c r="O411" i="36"/>
  <c r="U411" i="36" s="1"/>
  <c r="O63" i="36"/>
  <c r="U63" i="36" s="1"/>
  <c r="T63" i="36" s="1"/>
  <c r="R63" i="36"/>
  <c r="Q63" i="36" s="1"/>
  <c r="O296" i="36"/>
  <c r="U296" i="36" s="1"/>
  <c r="T296" i="36" s="1"/>
  <c r="R296" i="36"/>
  <c r="Q296" i="36" s="1"/>
  <c r="O381" i="36"/>
  <c r="U381" i="36" s="1"/>
  <c r="T381" i="36" s="1"/>
  <c r="R381" i="36"/>
  <c r="Q381" i="36" s="1"/>
  <c r="O305" i="36"/>
  <c r="U305" i="36" s="1"/>
  <c r="R305" i="36"/>
  <c r="R217" i="36"/>
  <c r="O217" i="36"/>
  <c r="U217" i="36" s="1"/>
  <c r="O117" i="36"/>
  <c r="U117" i="36" s="1"/>
  <c r="R117" i="36"/>
  <c r="O148" i="36"/>
  <c r="U148" i="36" s="1"/>
  <c r="R148" i="36"/>
  <c r="O330" i="36"/>
  <c r="U330" i="36" s="1"/>
  <c r="R330" i="36"/>
  <c r="O414" i="36"/>
  <c r="U414" i="36" s="1"/>
  <c r="R414" i="36"/>
  <c r="Q414" i="36" s="1"/>
  <c r="O372" i="36"/>
  <c r="U372" i="36" s="1"/>
  <c r="R372" i="36"/>
  <c r="O380" i="36"/>
  <c r="U380" i="36" s="1"/>
  <c r="T380" i="36" s="1"/>
  <c r="R380" i="36"/>
  <c r="Q380" i="36" s="1"/>
  <c r="O253" i="36"/>
  <c r="U253" i="36" s="1"/>
  <c r="R253" i="36"/>
  <c r="O221" i="36"/>
  <c r="U221" i="36" s="1"/>
  <c r="R221" i="36"/>
  <c r="O455" i="36"/>
  <c r="U455" i="36" s="1"/>
  <c r="T455" i="36" s="1"/>
  <c r="R455" i="36"/>
  <c r="Q455" i="36" s="1"/>
  <c r="O453" i="36"/>
  <c r="R453" i="36"/>
  <c r="Q453" i="36" s="1"/>
  <c r="O386" i="36"/>
  <c r="U386" i="36" s="1"/>
  <c r="R386" i="36"/>
  <c r="O212" i="36"/>
  <c r="U212" i="36" s="1"/>
  <c r="T212" i="36" s="1"/>
  <c r="R212" i="36"/>
  <c r="R229" i="36"/>
  <c r="Q229" i="36" s="1"/>
  <c r="O229" i="36"/>
  <c r="U229" i="36" s="1"/>
  <c r="T229" i="36" s="1"/>
  <c r="O274" i="36"/>
  <c r="U274" i="36" s="1"/>
  <c r="R274" i="36"/>
  <c r="O116" i="36"/>
  <c r="U116" i="36" s="1"/>
  <c r="R116" i="36"/>
  <c r="R366" i="36"/>
  <c r="O366" i="36"/>
  <c r="U366" i="36" s="1"/>
  <c r="O240" i="36"/>
  <c r="U240" i="36" s="1"/>
  <c r="R240" i="36"/>
  <c r="R250" i="36"/>
  <c r="O250" i="36"/>
  <c r="U250" i="36" s="1"/>
  <c r="O391" i="36"/>
  <c r="U391" i="36" s="1"/>
  <c r="R391" i="36"/>
  <c r="O252" i="36"/>
  <c r="U252" i="36" s="1"/>
  <c r="T252" i="36" s="1"/>
  <c r="R252" i="36"/>
  <c r="Q252" i="36" s="1"/>
  <c r="O308" i="36"/>
  <c r="U308" i="36" s="1"/>
  <c r="R308" i="36"/>
  <c r="O62" i="36"/>
  <c r="U62" i="36" s="1"/>
  <c r="T62" i="36" s="1"/>
  <c r="R62" i="36"/>
  <c r="Q62" i="36" s="1"/>
  <c r="O273" i="36"/>
  <c r="U273" i="36" s="1"/>
  <c r="R273" i="36"/>
  <c r="O293" i="36"/>
  <c r="R293" i="36"/>
  <c r="O367" i="36"/>
  <c r="U367" i="36" s="1"/>
  <c r="T367" i="36" s="1"/>
  <c r="R367" i="36"/>
  <c r="Q367" i="36" s="1"/>
  <c r="O171" i="36"/>
  <c r="U171" i="36" s="1"/>
  <c r="R171" i="36"/>
  <c r="O251" i="36"/>
  <c r="U251" i="36" s="1"/>
  <c r="T251" i="36" s="1"/>
  <c r="R251" i="36"/>
  <c r="Q251" i="36" s="1"/>
  <c r="O449" i="36"/>
  <c r="U449" i="36" s="1"/>
  <c r="T449" i="36" s="1"/>
  <c r="R449" i="36"/>
  <c r="Q449" i="36" s="1"/>
  <c r="O306" i="36"/>
  <c r="U306" i="36" s="1"/>
  <c r="T306" i="36" s="1"/>
  <c r="R306" i="36"/>
  <c r="Q306" i="36" s="1"/>
  <c r="O278" i="36"/>
  <c r="U278" i="36" s="1"/>
  <c r="R278" i="36"/>
  <c r="O220" i="36"/>
  <c r="U220" i="36" s="1"/>
  <c r="T220" i="36" s="1"/>
  <c r="R220" i="36"/>
  <c r="O241" i="36"/>
  <c r="U241" i="36" s="1"/>
  <c r="T241" i="36" s="1"/>
  <c r="R241" i="36"/>
  <c r="Q241" i="36" s="1"/>
  <c r="O172" i="36"/>
  <c r="U172" i="36" s="1"/>
  <c r="R172" i="36"/>
  <c r="O390" i="36"/>
  <c r="U390" i="36" s="1"/>
  <c r="T390" i="36" s="1"/>
  <c r="R390" i="36"/>
  <c r="Q390" i="36" s="1"/>
  <c r="R427" i="36"/>
  <c r="O427" i="36"/>
  <c r="U427" i="36" s="1"/>
  <c r="O383" i="36"/>
  <c r="U383" i="36" s="1"/>
  <c r="R383" i="36"/>
  <c r="O335" i="36"/>
  <c r="U335" i="36" s="1"/>
  <c r="T335" i="36" s="1"/>
  <c r="R335" i="36"/>
  <c r="Q335" i="36" s="1"/>
  <c r="R410" i="36"/>
  <c r="O410" i="36"/>
  <c r="U410" i="36" s="1"/>
  <c r="O401" i="36"/>
  <c r="U401" i="36" s="1"/>
  <c r="R401" i="36"/>
  <c r="O115" i="36"/>
  <c r="U115" i="36" s="1"/>
  <c r="R115" i="36"/>
  <c r="R429" i="36"/>
  <c r="O429" i="36"/>
  <c r="U429" i="36" s="1"/>
  <c r="O379" i="36"/>
  <c r="U379" i="36" s="1"/>
  <c r="R379" i="36"/>
  <c r="R409" i="36"/>
  <c r="Q409" i="36" s="1"/>
  <c r="O409" i="36"/>
  <c r="U409" i="36" s="1"/>
  <c r="T409" i="36" s="1"/>
  <c r="O445" i="36"/>
  <c r="U445" i="36" s="1"/>
  <c r="T445" i="36" s="1"/>
  <c r="R445" i="36"/>
  <c r="Q445" i="36" s="1"/>
  <c r="O412" i="36"/>
  <c r="U412" i="36" s="1"/>
  <c r="R412" i="36"/>
  <c r="R450" i="36"/>
  <c r="O450" i="36"/>
  <c r="U450" i="36" s="1"/>
  <c r="O216" i="36"/>
  <c r="U216" i="36" s="1"/>
  <c r="R216" i="36"/>
  <c r="O276" i="36"/>
  <c r="U276" i="36" s="1"/>
  <c r="R276" i="36"/>
  <c r="O369" i="36"/>
  <c r="U369" i="36" s="1"/>
  <c r="R369" i="36"/>
  <c r="O173" i="36"/>
  <c r="U173" i="36" s="1"/>
  <c r="R173" i="36"/>
  <c r="O210" i="36"/>
  <c r="U210" i="36" s="1"/>
  <c r="R210" i="36"/>
  <c r="O387" i="36"/>
  <c r="U387" i="36" s="1"/>
  <c r="R387" i="36"/>
  <c r="O370" i="36"/>
  <c r="U370" i="36" s="1"/>
  <c r="T370" i="36" s="1"/>
  <c r="R370" i="36"/>
  <c r="Q370" i="36" s="1"/>
  <c r="O118" i="36"/>
  <c r="U118" i="36" s="1"/>
  <c r="R118" i="36"/>
  <c r="O169" i="36"/>
  <c r="U169" i="36" s="1"/>
  <c r="R169" i="36"/>
  <c r="O65" i="36"/>
  <c r="U65" i="36" s="1"/>
  <c r="R65" i="36"/>
  <c r="O404" i="36"/>
  <c r="U404" i="36" s="1"/>
  <c r="R404" i="36"/>
  <c r="R249" i="36"/>
  <c r="Q249" i="36" s="1"/>
  <c r="O249" i="36"/>
  <c r="U249" i="36" s="1"/>
  <c r="T249" i="36" s="1"/>
  <c r="R428" i="36"/>
  <c r="O428" i="36"/>
  <c r="U428" i="36" s="1"/>
  <c r="O107" i="36"/>
  <c r="U107" i="36" s="1"/>
  <c r="T107" i="36" s="1"/>
  <c r="R107" i="36"/>
  <c r="Q107" i="36" s="1"/>
  <c r="O106" i="36"/>
  <c r="U106" i="36" s="1"/>
  <c r="R106" i="36"/>
  <c r="O149" i="36"/>
  <c r="U149" i="36" s="1"/>
  <c r="T149" i="36" s="1"/>
  <c r="R149" i="36"/>
  <c r="Q149" i="36" s="1"/>
  <c r="O150" i="36"/>
  <c r="U150" i="36" s="1"/>
  <c r="T150" i="36" s="1"/>
  <c r="R150" i="36"/>
  <c r="O382" i="36"/>
  <c r="U382" i="36" s="1"/>
  <c r="R382" i="36"/>
  <c r="O304" i="36"/>
  <c r="U304" i="36" s="1"/>
  <c r="R304" i="36"/>
  <c r="O64" i="36"/>
  <c r="U64" i="36" s="1"/>
  <c r="R64" i="36"/>
  <c r="O242" i="36"/>
  <c r="U242" i="36" s="1"/>
  <c r="R242" i="36"/>
  <c r="O456" i="36"/>
  <c r="U456" i="36" s="1"/>
  <c r="R456" i="36"/>
  <c r="Q456" i="36" s="1"/>
  <c r="O111" i="36"/>
  <c r="U111" i="36" s="1"/>
  <c r="T111" i="36" s="1"/>
  <c r="R111" i="36"/>
  <c r="Q111" i="36" s="1"/>
  <c r="O337" i="36"/>
  <c r="U337" i="36" s="1"/>
  <c r="R337" i="36"/>
  <c r="O112" i="36"/>
  <c r="U112" i="36" s="1"/>
  <c r="R112" i="36"/>
  <c r="O448" i="36"/>
  <c r="U448" i="36" s="1"/>
  <c r="T448" i="36" s="1"/>
  <c r="R448" i="36"/>
  <c r="Q448" i="36" s="1"/>
  <c r="O374" i="36"/>
  <c r="R374" i="36"/>
  <c r="O328" i="36"/>
  <c r="U328" i="36" s="1"/>
  <c r="R328" i="36"/>
  <c r="O225" i="36"/>
  <c r="U225" i="36" s="1"/>
  <c r="T225" i="36" s="1"/>
  <c r="R225" i="36"/>
  <c r="Q225" i="36" s="1"/>
  <c r="O108" i="36"/>
  <c r="U108" i="36" s="1"/>
  <c r="T108" i="36" s="1"/>
  <c r="R108" i="36"/>
  <c r="Q108" i="36" s="1"/>
  <c r="O143" i="36"/>
  <c r="U143" i="36" s="1"/>
  <c r="T143" i="36" s="1"/>
  <c r="R143" i="36"/>
  <c r="Q143" i="36" s="1"/>
  <c r="O61" i="36"/>
  <c r="U61" i="36" s="1"/>
  <c r="R61" i="36"/>
  <c r="O214" i="36"/>
  <c r="U214" i="36" s="1"/>
  <c r="R214" i="36"/>
  <c r="O314" i="36"/>
  <c r="U314" i="36" s="1"/>
  <c r="R314" i="36"/>
  <c r="O213" i="36"/>
  <c r="U213" i="36" s="1"/>
  <c r="R213" i="36"/>
  <c r="O332" i="36"/>
  <c r="U332" i="36" s="1"/>
  <c r="R332" i="36"/>
  <c r="O388" i="36"/>
  <c r="U388" i="36" s="1"/>
  <c r="R388" i="36"/>
  <c r="O243" i="36"/>
  <c r="U243" i="36" s="1"/>
  <c r="R243" i="36"/>
  <c r="O327" i="36"/>
  <c r="U327" i="36" s="1"/>
  <c r="T327" i="36" s="1"/>
  <c r="R327" i="36"/>
  <c r="Q327" i="36" s="1"/>
  <c r="R303" i="36"/>
  <c r="Q303" i="36" s="1"/>
  <c r="O303" i="36"/>
  <c r="U303" i="36" s="1"/>
  <c r="T303" i="36" s="1"/>
  <c r="R105" i="36"/>
  <c r="O105" i="36"/>
  <c r="U105" i="36" s="1"/>
  <c r="O413" i="36"/>
  <c r="U413" i="36" s="1"/>
  <c r="R413" i="36"/>
  <c r="O244" i="36"/>
  <c r="U244" i="36" s="1"/>
  <c r="T244" i="36" s="1"/>
  <c r="R244" i="36"/>
  <c r="Q244" i="36" s="1"/>
  <c r="O227" i="36"/>
  <c r="U227" i="36" s="1"/>
  <c r="R227" i="36"/>
  <c r="O139" i="36"/>
  <c r="U139" i="36" s="1"/>
  <c r="T139" i="36" s="1"/>
  <c r="R139" i="36"/>
  <c r="Q139" i="36" s="1"/>
  <c r="O454" i="36"/>
  <c r="U454" i="36" s="1"/>
  <c r="T454" i="36" s="1"/>
  <c r="R454" i="36"/>
  <c r="Q454" i="36" s="1"/>
  <c r="R226" i="36"/>
  <c r="Q226" i="36" s="1"/>
  <c r="O226" i="36"/>
  <c r="U226" i="36" s="1"/>
  <c r="T226" i="36" s="1"/>
  <c r="O389" i="36"/>
  <c r="U389" i="36" s="1"/>
  <c r="T389" i="36" s="1"/>
  <c r="R389" i="36"/>
  <c r="Q389" i="36" s="1"/>
  <c r="O313" i="36"/>
  <c r="U313" i="36" s="1"/>
  <c r="R313" i="36"/>
  <c r="O443" i="36"/>
  <c r="R443" i="36"/>
  <c r="O120" i="36"/>
  <c r="U120" i="36" s="1"/>
  <c r="R120" i="36"/>
  <c r="O142" i="36"/>
  <c r="U142" i="36" s="1"/>
  <c r="R142" i="36"/>
  <c r="O331" i="36"/>
  <c r="U331" i="36" s="1"/>
  <c r="R331" i="36"/>
  <c r="R135" i="36"/>
  <c r="Q135" i="36" s="1"/>
  <c r="O135" i="36"/>
  <c r="U135" i="36" s="1"/>
  <c r="T135" i="36" s="1"/>
  <c r="O246" i="36"/>
  <c r="U246" i="36" s="1"/>
  <c r="R246" i="36"/>
  <c r="O307" i="36"/>
  <c r="U307" i="36" s="1"/>
  <c r="R307" i="36"/>
  <c r="O206" i="36"/>
  <c r="R206" i="36"/>
  <c r="O309" i="36"/>
  <c r="U309" i="36" s="1"/>
  <c r="R309" i="36"/>
  <c r="O399" i="36"/>
  <c r="U399" i="36" s="1"/>
  <c r="T399" i="36" s="1"/>
  <c r="R399" i="36"/>
  <c r="Q399" i="36" s="1"/>
  <c r="A1" i="3"/>
  <c r="T329" i="36" l="1"/>
  <c r="Q212" i="36"/>
  <c r="Q239" i="36"/>
  <c r="T169" i="36"/>
  <c r="T253" i="36"/>
  <c r="T431" i="36"/>
  <c r="T312" i="36"/>
  <c r="T61" i="36"/>
  <c r="Q450" i="36"/>
  <c r="T274" i="36"/>
  <c r="Q136" i="36"/>
  <c r="T428" i="36"/>
  <c r="T279" i="36"/>
  <c r="Q329" i="36"/>
  <c r="Q220" i="36"/>
  <c r="Q122" i="36"/>
  <c r="Q384" i="36"/>
  <c r="T305" i="36"/>
  <c r="T122" i="36"/>
  <c r="Q378" i="36"/>
  <c r="T239" i="36"/>
  <c r="M452" i="36"/>
  <c r="S452" i="36" s="1"/>
  <c r="T456" i="36"/>
  <c r="T414" i="36"/>
  <c r="T406" i="36"/>
  <c r="T278" i="36"/>
  <c r="Q383" i="36"/>
  <c r="T383" i="36"/>
  <c r="T391" i="36"/>
  <c r="Q142" i="36"/>
  <c r="T216" i="36"/>
  <c r="T116" i="36"/>
  <c r="Q61" i="36"/>
  <c r="T450" i="36"/>
  <c r="Q278" i="36"/>
  <c r="Q274" i="36"/>
  <c r="T136" i="36"/>
  <c r="T105" i="36"/>
  <c r="T209" i="36"/>
  <c r="Q138" i="36"/>
  <c r="T138" i="36"/>
  <c r="Q118" i="36"/>
  <c r="Q444" i="36"/>
  <c r="T444" i="36"/>
  <c r="Q113" i="36"/>
  <c r="T146" i="36"/>
  <c r="Q391" i="36"/>
  <c r="Q309" i="36"/>
  <c r="Q365" i="36"/>
  <c r="T410" i="36"/>
  <c r="Q408" i="36"/>
  <c r="T219" i="36"/>
  <c r="T113" i="36"/>
  <c r="Q119" i="36"/>
  <c r="Q337" i="36"/>
  <c r="Q209" i="36"/>
  <c r="Q428" i="36"/>
  <c r="T273" i="36"/>
  <c r="T337" i="36"/>
  <c r="Q219" i="36"/>
  <c r="T207" i="36"/>
  <c r="Q146" i="36"/>
  <c r="Q250" i="36"/>
  <c r="T408" i="36"/>
  <c r="T250" i="36"/>
  <c r="T142" i="36"/>
  <c r="T309" i="36"/>
  <c r="T411" i="36"/>
  <c r="T119" i="36"/>
  <c r="T401" i="36"/>
  <c r="T118" i="36"/>
  <c r="Q207" i="36"/>
  <c r="Q106" i="36"/>
  <c r="Q312" i="36"/>
  <c r="Q400" i="36"/>
  <c r="Q386" i="36"/>
  <c r="T400" i="36"/>
  <c r="Q371" i="36"/>
  <c r="Q227" i="36"/>
  <c r="Q328" i="36"/>
  <c r="T386" i="36"/>
  <c r="Q411" i="36"/>
  <c r="T371" i="36"/>
  <c r="M442" i="36"/>
  <c r="S442" i="36" s="1"/>
  <c r="T227" i="36"/>
  <c r="T328" i="36"/>
  <c r="Q379" i="36"/>
  <c r="Q171" i="36"/>
  <c r="Q374" i="36"/>
  <c r="T379" i="36"/>
  <c r="T171" i="36"/>
  <c r="Q310" i="36"/>
  <c r="Q404" i="36"/>
  <c r="T429" i="36"/>
  <c r="Q147" i="36"/>
  <c r="T310" i="36"/>
  <c r="Q413" i="36"/>
  <c r="T404" i="36"/>
  <c r="Q429" i="36"/>
  <c r="T147" i="36"/>
  <c r="T280" i="36"/>
  <c r="Q174" i="36"/>
  <c r="Q451" i="36"/>
  <c r="Q103" i="36"/>
  <c r="T413" i="36"/>
  <c r="Q65" i="36"/>
  <c r="Q115" i="36"/>
  <c r="Q293" i="36"/>
  <c r="Q221" i="36"/>
  <c r="T222" i="36"/>
  <c r="Q280" i="36"/>
  <c r="T174" i="36"/>
  <c r="T451" i="36"/>
  <c r="Q368" i="36"/>
  <c r="Q206" i="36"/>
  <c r="Q112" i="36"/>
  <c r="T65" i="36"/>
  <c r="T115" i="36"/>
  <c r="T221" i="36"/>
  <c r="Q222" i="36"/>
  <c r="T137" i="36"/>
  <c r="Q447" i="36"/>
  <c r="T368" i="36"/>
  <c r="Q105" i="36"/>
  <c r="T112" i="36"/>
  <c r="Q169" i="36"/>
  <c r="Q401" i="36"/>
  <c r="Q273" i="36"/>
  <c r="Q253" i="36"/>
  <c r="T365" i="36"/>
  <c r="Q137" i="36"/>
  <c r="T447" i="36"/>
  <c r="Q277" i="36"/>
  <c r="Q403" i="36"/>
  <c r="T248" i="36"/>
  <c r="T372" i="36"/>
  <c r="Q223" i="36"/>
  <c r="Q431" i="36"/>
  <c r="Q333" i="36"/>
  <c r="T106" i="36"/>
  <c r="Q307" i="36"/>
  <c r="T277" i="36"/>
  <c r="T307" i="36"/>
  <c r="T275" i="36"/>
  <c r="Q246" i="36"/>
  <c r="Q410" i="36"/>
  <c r="T403" i="36"/>
  <c r="Q308" i="36"/>
  <c r="Q243" i="36"/>
  <c r="T308" i="36"/>
  <c r="T223" i="36"/>
  <c r="Q388" i="36"/>
  <c r="T387" i="36"/>
  <c r="Q170" i="36"/>
  <c r="T331" i="36"/>
  <c r="Q242" i="36"/>
  <c r="T427" i="36"/>
  <c r="Q330" i="36"/>
  <c r="T170" i="36"/>
  <c r="Q332" i="36"/>
  <c r="T210" i="36"/>
  <c r="Q215" i="36"/>
  <c r="T332" i="36"/>
  <c r="Q173" i="36"/>
  <c r="T334" i="36"/>
  <c r="T446" i="36"/>
  <c r="Q120" i="36"/>
  <c r="T64" i="36"/>
  <c r="T148" i="36"/>
  <c r="T430" i="36"/>
  <c r="Q402" i="36"/>
  <c r="T120" i="36"/>
  <c r="Q304" i="36"/>
  <c r="Q369" i="36"/>
  <c r="Q240" i="36"/>
  <c r="Q117" i="36"/>
  <c r="Q430" i="36"/>
  <c r="Q211" i="36"/>
  <c r="Q314" i="36"/>
  <c r="T172" i="36"/>
  <c r="T117" i="36"/>
  <c r="Q311" i="36"/>
  <c r="T211" i="36"/>
  <c r="Q382" i="36"/>
  <c r="Q276" i="36"/>
  <c r="T366" i="36"/>
  <c r="T407" i="36"/>
  <c r="T104" i="36"/>
  <c r="Q313" i="36"/>
  <c r="Q214" i="36"/>
  <c r="T382" i="36"/>
  <c r="T276" i="36"/>
  <c r="Q366" i="36"/>
  <c r="Q217" i="36"/>
  <c r="Q145" i="36"/>
  <c r="Q144" i="36"/>
  <c r="T121" i="36"/>
  <c r="T336" i="36"/>
  <c r="Q412" i="36"/>
  <c r="T412" i="36"/>
  <c r="T333" i="36"/>
  <c r="Q275" i="36"/>
  <c r="Q248" i="36"/>
  <c r="T246" i="36"/>
  <c r="Q372" i="36"/>
  <c r="M205" i="36"/>
  <c r="S205" i="36" s="1"/>
  <c r="M373" i="36"/>
  <c r="S373" i="36" s="1"/>
  <c r="T243" i="36"/>
  <c r="Q387" i="36"/>
  <c r="Q331" i="36"/>
  <c r="T388" i="36"/>
  <c r="Q210" i="36"/>
  <c r="T242" i="36"/>
  <c r="Q427" i="36"/>
  <c r="T330" i="36"/>
  <c r="Q334" i="36"/>
  <c r="Q446" i="36"/>
  <c r="Q64" i="36"/>
  <c r="Q148" i="36"/>
  <c r="T215" i="36"/>
  <c r="Q213" i="36"/>
  <c r="T173" i="36"/>
  <c r="Q405" i="36"/>
  <c r="M102" i="36"/>
  <c r="S102" i="36" s="1"/>
  <c r="T213" i="36"/>
  <c r="Q172" i="36"/>
  <c r="T405" i="36"/>
  <c r="T402" i="36"/>
  <c r="Q443" i="36"/>
  <c r="T304" i="36"/>
  <c r="T369" i="36"/>
  <c r="T240" i="36"/>
  <c r="Q407" i="36"/>
  <c r="Q104" i="36"/>
  <c r="T314" i="36"/>
  <c r="T217" i="36"/>
  <c r="T311" i="36"/>
  <c r="Q336" i="36"/>
  <c r="T313" i="36"/>
  <c r="T214" i="36"/>
  <c r="Q150" i="36"/>
  <c r="Q216" i="36"/>
  <c r="Q116" i="36"/>
  <c r="Q305" i="36"/>
  <c r="T145" i="36"/>
  <c r="T144" i="36"/>
  <c r="Q121" i="36"/>
  <c r="Q208" i="36"/>
  <c r="U453" i="36"/>
  <c r="T453" i="36" s="1"/>
  <c r="O452" i="36"/>
  <c r="U452" i="36" s="1"/>
  <c r="T452" i="36" s="1"/>
  <c r="U374" i="36"/>
  <c r="T374" i="36" s="1"/>
  <c r="O373" i="36"/>
  <c r="U373" i="36" s="1"/>
  <c r="U206" i="36"/>
  <c r="T206" i="36" s="1"/>
  <c r="O205" i="36"/>
  <c r="U205" i="36" s="1"/>
  <c r="U293" i="36"/>
  <c r="T293" i="36" s="1"/>
  <c r="U103" i="36"/>
  <c r="T103" i="36" s="1"/>
  <c r="O102" i="36"/>
  <c r="U102" i="36" s="1"/>
  <c r="U443" i="36"/>
  <c r="T443" i="36" s="1"/>
  <c r="O442" i="36"/>
  <c r="U442" i="36" s="1"/>
  <c r="T102" i="36" l="1"/>
  <c r="T205" i="36"/>
  <c r="T373" i="36"/>
  <c r="T442" i="36"/>
  <c r="R17" i="36"/>
  <c r="Q17" i="36" s="1"/>
  <c r="T17" i="36" l="1"/>
  <c r="K16" i="38" l="1"/>
  <c r="K16" i="37" s="1"/>
  <c r="O137" i="44" l="1"/>
  <c r="O118" i="44"/>
  <c r="O155" i="44"/>
  <c r="O125" i="44"/>
  <c r="O156" i="44"/>
  <c r="O149" i="44"/>
  <c r="O134" i="44"/>
  <c r="O131" i="44"/>
  <c r="O120" i="44"/>
  <c r="O128" i="44"/>
  <c r="O122" i="44"/>
  <c r="O135" i="44"/>
  <c r="O132" i="44"/>
  <c r="O121" i="44"/>
  <c r="O151" i="44"/>
  <c r="O136" i="44"/>
  <c r="O133" i="44"/>
  <c r="O124" i="44"/>
  <c r="O150" i="44"/>
  <c r="O117" i="44"/>
  <c r="S125" i="44" l="1"/>
  <c r="S117" i="44"/>
  <c r="S137" i="44"/>
  <c r="S120" i="44"/>
  <c r="S150" i="44"/>
  <c r="S136" i="44"/>
  <c r="S132" i="44"/>
  <c r="S131" i="44"/>
  <c r="S134" i="44"/>
  <c r="S155" i="44"/>
  <c r="S124" i="44"/>
  <c r="S151" i="44"/>
  <c r="S135" i="44"/>
  <c r="S122" i="44"/>
  <c r="S128" i="44"/>
  <c r="S149" i="44"/>
  <c r="S118" i="44"/>
  <c r="S133" i="44"/>
  <c r="S121" i="44"/>
  <c r="S156" i="44"/>
  <c r="O123" i="44"/>
  <c r="O126" i="44"/>
  <c r="S126" i="44" l="1"/>
  <c r="S123" i="44"/>
  <c r="O153" i="44" l="1"/>
  <c r="O152" i="44"/>
  <c r="S153" i="44" l="1"/>
  <c r="S152" i="44"/>
  <c r="O154" i="44" l="1"/>
  <c r="S154" i="44" l="1"/>
  <c r="O127" i="44"/>
  <c r="O130" i="44"/>
  <c r="S130" i="44" l="1"/>
  <c r="S127" i="44"/>
  <c r="O129" i="44"/>
  <c r="S129" i="44" l="1"/>
  <c r="O119" i="44"/>
  <c r="S119" i="44" l="1"/>
  <c r="O116" i="44" l="1"/>
  <c r="S116" i="44" l="1"/>
  <c r="S115" i="44" s="1"/>
  <c r="S14" i="44" s="1"/>
  <c r="S13" i="44" s="1"/>
  <c r="F33" i="23" l="1"/>
  <c r="F34" i="23" s="1"/>
  <c r="E36" i="23" l="1"/>
  <c r="M35" i="23"/>
  <c r="L33" i="23"/>
  <c r="B37" i="23" l="1"/>
  <c r="J458" i="36" l="1"/>
  <c r="M458" i="36" s="1"/>
  <c r="K457" i="38"/>
  <c r="K457" i="37" s="1"/>
  <c r="L458" i="36" s="1"/>
  <c r="M457" i="36" l="1"/>
  <c r="S457" i="36" s="1"/>
  <c r="S458" i="36"/>
  <c r="O458" i="36"/>
  <c r="R458" i="36"/>
  <c r="U458" i="36" l="1"/>
  <c r="T458" i="36" s="1"/>
  <c r="O457" i="36"/>
  <c r="U457" i="36" s="1"/>
  <c r="T457" i="36" s="1"/>
  <c r="J393" i="36" l="1"/>
  <c r="K392" i="38"/>
  <c r="K392" i="37" s="1"/>
  <c r="L393" i="36" s="1"/>
  <c r="J302" i="36"/>
  <c r="K301" i="38"/>
  <c r="K301" i="37" s="1"/>
  <c r="L302" i="36" s="1"/>
  <c r="J301" i="36"/>
  <c r="K300" i="38"/>
  <c r="K300" i="37" s="1"/>
  <c r="L301" i="36" s="1"/>
  <c r="J300" i="36"/>
  <c r="K299" i="38"/>
  <c r="K299" i="37" s="1"/>
  <c r="L300" i="36" s="1"/>
  <c r="J299" i="36"/>
  <c r="K298" i="38"/>
  <c r="K298" i="37" s="1"/>
  <c r="L299" i="36" s="1"/>
  <c r="J298" i="36"/>
  <c r="K297" i="38"/>
  <c r="K297" i="37" s="1"/>
  <c r="L298" i="36" s="1"/>
  <c r="K296" i="38"/>
  <c r="K296" i="37" s="1"/>
  <c r="L297" i="36" s="1"/>
  <c r="J297" i="36"/>
  <c r="J295" i="36"/>
  <c r="K294" i="38"/>
  <c r="K294" i="37" s="1"/>
  <c r="L295" i="36" s="1"/>
  <c r="J294" i="36"/>
  <c r="K293" i="38"/>
  <c r="K293" i="37" s="1"/>
  <c r="L294" i="36" s="1"/>
  <c r="N133" i="13"/>
  <c r="R133" i="13" s="1"/>
  <c r="N136" i="13"/>
  <c r="R136" i="13" s="1"/>
  <c r="N125" i="13"/>
  <c r="R125" i="13" s="1"/>
  <c r="N155" i="13"/>
  <c r="R155" i="13" s="1"/>
  <c r="N154" i="13"/>
  <c r="R154" i="13" s="1"/>
  <c r="N129" i="13"/>
  <c r="R129" i="13" s="1"/>
  <c r="N132" i="13"/>
  <c r="R132" i="13" s="1"/>
  <c r="N117" i="13"/>
  <c r="R117" i="13" s="1"/>
  <c r="N149" i="13"/>
  <c r="R149" i="13" s="1"/>
  <c r="N116" i="13"/>
  <c r="R116" i="13" s="1"/>
  <c r="N118" i="13"/>
  <c r="R118" i="13" s="1"/>
  <c r="N135" i="13"/>
  <c r="R135" i="13" s="1"/>
  <c r="N126" i="13"/>
  <c r="R126" i="13" s="1"/>
  <c r="N130" i="13"/>
  <c r="R130" i="13" s="1"/>
  <c r="N150" i="13"/>
  <c r="R150" i="13" s="1"/>
  <c r="N131" i="13"/>
  <c r="R131" i="13" s="1"/>
  <c r="N128" i="13"/>
  <c r="R128" i="13" s="1"/>
  <c r="N153" i="13"/>
  <c r="R153" i="13" s="1"/>
  <c r="N127" i="13"/>
  <c r="R127" i="13" s="1"/>
  <c r="N120" i="13"/>
  <c r="R120" i="13" s="1"/>
  <c r="N134" i="13"/>
  <c r="R134" i="13" s="1"/>
  <c r="N151" i="13"/>
  <c r="R151" i="13" s="1"/>
  <c r="N156" i="13"/>
  <c r="R156" i="13" s="1"/>
  <c r="N152" i="13"/>
  <c r="R152" i="13" s="1"/>
  <c r="N137" i="13"/>
  <c r="R137" i="13" s="1"/>
  <c r="N119" i="13"/>
  <c r="R119" i="13" s="1"/>
  <c r="N124" i="13"/>
  <c r="R124" i="13" s="1"/>
  <c r="N122" i="13"/>
  <c r="R122" i="13" s="1"/>
  <c r="N121" i="13"/>
  <c r="R121" i="13" s="1"/>
  <c r="M297" i="36" l="1"/>
  <c r="S297" i="36" s="1"/>
  <c r="P297" i="36"/>
  <c r="M301" i="36"/>
  <c r="S301" i="36" s="1"/>
  <c r="P301" i="36"/>
  <c r="M298" i="36"/>
  <c r="S298" i="36" s="1"/>
  <c r="P298" i="36"/>
  <c r="M299" i="36"/>
  <c r="S299" i="36" s="1"/>
  <c r="P299" i="36"/>
  <c r="M300" i="36"/>
  <c r="S300" i="36" s="1"/>
  <c r="P300" i="36"/>
  <c r="M302" i="36"/>
  <c r="S302" i="36" s="1"/>
  <c r="P302" i="36"/>
  <c r="M294" i="36"/>
  <c r="S294" i="36" s="1"/>
  <c r="P294" i="36"/>
  <c r="M295" i="36"/>
  <c r="S295" i="36" s="1"/>
  <c r="P295" i="36"/>
  <c r="M393" i="36"/>
  <c r="S393" i="36" s="1"/>
  <c r="P393" i="36"/>
  <c r="O294" i="36"/>
  <c r="R294" i="36"/>
  <c r="Q294" i="36" s="1"/>
  <c r="O297" i="36"/>
  <c r="U297" i="36" s="1"/>
  <c r="T297" i="36" s="1"/>
  <c r="R297" i="36"/>
  <c r="Q297" i="36" s="1"/>
  <c r="O295" i="36"/>
  <c r="U295" i="36" s="1"/>
  <c r="T295" i="36" s="1"/>
  <c r="R295" i="36"/>
  <c r="Q295" i="36" s="1"/>
  <c r="O299" i="36"/>
  <c r="U299" i="36" s="1"/>
  <c r="T299" i="36" s="1"/>
  <c r="R299" i="36"/>
  <c r="Q299" i="36" s="1"/>
  <c r="R302" i="36"/>
  <c r="Q302" i="36" s="1"/>
  <c r="O302" i="36"/>
  <c r="U302" i="36" s="1"/>
  <c r="T302" i="36" s="1"/>
  <c r="O300" i="36"/>
  <c r="U300" i="36" s="1"/>
  <c r="T300" i="36" s="1"/>
  <c r="R300" i="36"/>
  <c r="O298" i="36"/>
  <c r="U298" i="36" s="1"/>
  <c r="R298" i="36"/>
  <c r="O393" i="36"/>
  <c r="R393" i="36"/>
  <c r="O301" i="36"/>
  <c r="U301" i="36" s="1"/>
  <c r="T301" i="36" s="1"/>
  <c r="R301" i="36"/>
  <c r="Q301" i="36" s="1"/>
  <c r="N123" i="13"/>
  <c r="R123" i="13" s="1"/>
  <c r="M292" i="36" l="1"/>
  <c r="S292" i="36" s="1"/>
  <c r="M392" i="36"/>
  <c r="S392" i="36" s="1"/>
  <c r="T298" i="36"/>
  <c r="Q393" i="36"/>
  <c r="Q298" i="36"/>
  <c r="Q300" i="36"/>
  <c r="U393" i="36"/>
  <c r="T393" i="36" s="1"/>
  <c r="O392" i="36"/>
  <c r="U392" i="36" s="1"/>
  <c r="U294" i="36"/>
  <c r="T294" i="36" s="1"/>
  <c r="O292" i="36"/>
  <c r="U292" i="36" s="1"/>
  <c r="T292" i="36" s="1"/>
  <c r="R115" i="13"/>
  <c r="AC15" i="8" s="1"/>
  <c r="T392" i="36" l="1"/>
  <c r="R14" i="13"/>
  <c r="AC13" i="8" s="1"/>
  <c r="AC29" i="8"/>
  <c r="R13" i="13" l="1"/>
  <c r="AC41" i="8"/>
  <c r="N15" i="5" s="1"/>
  <c r="AC33" i="8"/>
  <c r="J55" i="36" l="1"/>
  <c r="K54" i="38"/>
  <c r="M55" i="36" l="1"/>
  <c r="P55" i="36"/>
  <c r="K54" i="37"/>
  <c r="L55" i="36" s="1"/>
  <c r="M16" i="36" l="1"/>
  <c r="S16" i="36" s="1"/>
  <c r="S55" i="36"/>
  <c r="O55" i="36"/>
  <c r="U55" i="36" s="1"/>
  <c r="T55" i="36" s="1"/>
  <c r="R55" i="36"/>
  <c r="Q55" i="36" s="1"/>
  <c r="O16" i="36" l="1"/>
  <c r="U16" i="36" s="1"/>
  <c r="T16" i="36" s="1"/>
  <c r="Q60" i="36" l="1"/>
  <c r="J96" i="36" l="1"/>
  <c r="J95" i="36"/>
  <c r="M95" i="36" l="1"/>
  <c r="S95" i="36" s="1"/>
  <c r="P95" i="36"/>
  <c r="M96" i="36"/>
  <c r="S96" i="36" s="1"/>
  <c r="P96" i="36"/>
  <c r="J87" i="36" l="1"/>
  <c r="J73" i="36"/>
  <c r="J70" i="36"/>
  <c r="J68" i="36"/>
  <c r="J71" i="36"/>
  <c r="J88" i="36"/>
  <c r="J86" i="36"/>
  <c r="J94" i="36"/>
  <c r="J69" i="36"/>
  <c r="J81" i="36"/>
  <c r="J89" i="36"/>
  <c r="J67" i="36"/>
  <c r="J84" i="36"/>
  <c r="J72" i="36"/>
  <c r="J80" i="36"/>
  <c r="J92" i="36"/>
  <c r="J91" i="36"/>
  <c r="J78" i="36"/>
  <c r="J83" i="36"/>
  <c r="J75" i="36"/>
  <c r="J82" i="36"/>
  <c r="J79" i="36"/>
  <c r="J74" i="36"/>
  <c r="J93" i="36"/>
  <c r="J90" i="36"/>
  <c r="J85" i="36"/>
  <c r="J77" i="36"/>
  <c r="J76" i="36"/>
  <c r="M92" i="36" l="1"/>
  <c r="S92" i="36" s="1"/>
  <c r="P92" i="36"/>
  <c r="M72" i="36"/>
  <c r="S72" i="36" s="1"/>
  <c r="P72" i="36"/>
  <c r="M88" i="36"/>
  <c r="S88" i="36" s="1"/>
  <c r="P88" i="36"/>
  <c r="M71" i="36"/>
  <c r="S71" i="36" s="1"/>
  <c r="P71" i="36"/>
  <c r="M79" i="36"/>
  <c r="S79" i="36" s="1"/>
  <c r="P79" i="36"/>
  <c r="M78" i="36"/>
  <c r="S78" i="36" s="1"/>
  <c r="P78" i="36"/>
  <c r="M73" i="36"/>
  <c r="S73" i="36" s="1"/>
  <c r="P73" i="36"/>
  <c r="M84" i="36"/>
  <c r="S84" i="36" s="1"/>
  <c r="P84" i="36"/>
  <c r="M76" i="36"/>
  <c r="S76" i="36" s="1"/>
  <c r="P76" i="36"/>
  <c r="M67" i="36"/>
  <c r="S67" i="36" s="1"/>
  <c r="P67" i="36"/>
  <c r="M85" i="36"/>
  <c r="S85" i="36" s="1"/>
  <c r="P85" i="36"/>
  <c r="M81" i="36"/>
  <c r="S81" i="36" s="1"/>
  <c r="P81" i="36"/>
  <c r="M90" i="36"/>
  <c r="S90" i="36" s="1"/>
  <c r="P90" i="36"/>
  <c r="M69" i="36"/>
  <c r="S69" i="36" s="1"/>
  <c r="P69" i="36"/>
  <c r="M74" i="36"/>
  <c r="S74" i="36" s="1"/>
  <c r="P74" i="36"/>
  <c r="M86" i="36"/>
  <c r="S86" i="36" s="1"/>
  <c r="P86" i="36"/>
  <c r="M82" i="36"/>
  <c r="S82" i="36" s="1"/>
  <c r="P82" i="36"/>
  <c r="M75" i="36"/>
  <c r="S75" i="36" s="1"/>
  <c r="P75" i="36"/>
  <c r="M68" i="36"/>
  <c r="S68" i="36" s="1"/>
  <c r="P68" i="36"/>
  <c r="M83" i="36"/>
  <c r="S83" i="36" s="1"/>
  <c r="P83" i="36"/>
  <c r="M70" i="36"/>
  <c r="S70" i="36" s="1"/>
  <c r="P70" i="36"/>
  <c r="M80" i="36"/>
  <c r="S80" i="36" s="1"/>
  <c r="P80" i="36"/>
  <c r="M77" i="36"/>
  <c r="S77" i="36" s="1"/>
  <c r="P77" i="36"/>
  <c r="M89" i="36"/>
  <c r="S89" i="36" s="1"/>
  <c r="P89" i="36"/>
  <c r="M93" i="36"/>
  <c r="S93" i="36" s="1"/>
  <c r="P93" i="36"/>
  <c r="M94" i="36"/>
  <c r="S94" i="36" s="1"/>
  <c r="P94" i="36"/>
  <c r="M91" i="36"/>
  <c r="S91" i="36" s="1"/>
  <c r="P91" i="36"/>
  <c r="M87" i="36"/>
  <c r="S87" i="36" s="1"/>
  <c r="P87" i="36"/>
  <c r="M66" i="36" l="1"/>
  <c r="M15" i="36" l="1"/>
  <c r="S15" i="36" s="1"/>
  <c r="S66" i="36"/>
  <c r="N156" i="43" l="1"/>
  <c r="N155" i="43"/>
  <c r="N149" i="43"/>
  <c r="N126" i="43"/>
  <c r="N150" i="43"/>
  <c r="N133" i="43"/>
  <c r="N127" i="43"/>
  <c r="N132" i="43"/>
  <c r="N125" i="43"/>
  <c r="N119" i="43"/>
  <c r="N120" i="43"/>
  <c r="N121" i="43"/>
  <c r="N131" i="43"/>
  <c r="N129" i="43"/>
  <c r="N124" i="43"/>
  <c r="N154" i="43"/>
  <c r="N137" i="43"/>
  <c r="N128" i="43"/>
  <c r="N123" i="43"/>
  <c r="N118" i="43"/>
  <c r="N135" i="43"/>
  <c r="N153" i="43"/>
  <c r="N152" i="43"/>
  <c r="N136" i="43"/>
  <c r="N122" i="43"/>
  <c r="N151" i="43"/>
  <c r="N134" i="43"/>
  <c r="N116" i="43"/>
  <c r="N117" i="43"/>
  <c r="N130" i="43"/>
  <c r="R154" i="43" l="1"/>
  <c r="R156" i="43"/>
  <c r="R128" i="43"/>
  <c r="R155" i="43"/>
  <c r="R120" i="43"/>
  <c r="R125" i="43"/>
  <c r="R127" i="43"/>
  <c r="R133" i="43"/>
  <c r="R132" i="43"/>
  <c r="R150" i="43"/>
  <c r="R137" i="43"/>
  <c r="R131" i="43"/>
  <c r="R119" i="43"/>
  <c r="R124" i="43"/>
  <c r="R117" i="43"/>
  <c r="R129" i="43"/>
  <c r="R151" i="43"/>
  <c r="R134" i="43"/>
  <c r="R149" i="43"/>
  <c r="R121" i="43"/>
  <c r="R116" i="43"/>
  <c r="R136" i="43"/>
  <c r="R153" i="43"/>
  <c r="R122" i="43"/>
  <c r="R126" i="43"/>
  <c r="R130" i="43"/>
  <c r="R135" i="43"/>
  <c r="R152" i="43"/>
  <c r="R118" i="43"/>
  <c r="R123" i="43"/>
  <c r="R115" i="43" l="1"/>
  <c r="R14" i="43" s="1"/>
  <c r="R13" i="43" s="1"/>
  <c r="F33" i="20" l="1"/>
  <c r="F34" i="20" s="1"/>
  <c r="L34" i="20" l="1"/>
  <c r="E36" i="20"/>
  <c r="M35" i="20"/>
  <c r="B37" i="20" s="1"/>
  <c r="P878" i="44" l="1"/>
  <c r="T878" i="44" s="1"/>
  <c r="P867" i="13"/>
  <c r="P884" i="43"/>
  <c r="T884" i="43" s="1"/>
  <c r="S884" i="43" l="1"/>
  <c r="S883" i="43" s="1"/>
  <c r="T883" i="43"/>
  <c r="O884" i="43"/>
  <c r="O867" i="13"/>
  <c r="S867" i="13" s="1"/>
  <c r="S866" i="13" s="1"/>
  <c r="O878" i="44"/>
  <c r="T867" i="13"/>
  <c r="T866" i="13" s="1"/>
  <c r="AE26" i="8" s="1"/>
  <c r="AD26" i="8" s="1"/>
  <c r="X866" i="13"/>
  <c r="T877" i="44"/>
  <c r="S878" i="44"/>
  <c r="S877" i="44" s="1"/>
  <c r="P66" i="13" l="1"/>
  <c r="P67" i="13"/>
  <c r="P68" i="13"/>
  <c r="P679" i="43"/>
  <c r="T679" i="43" s="1"/>
  <c r="S679" i="43" s="1"/>
  <c r="P673" i="44"/>
  <c r="T673" i="44" s="1"/>
  <c r="S673" i="44" s="1"/>
  <c r="P662" i="13"/>
  <c r="P64" i="13"/>
  <c r="P69" i="13"/>
  <c r="P528" i="13"/>
  <c r="P545" i="43"/>
  <c r="T545" i="43" s="1"/>
  <c r="S545" i="43" s="1"/>
  <c r="P539" i="44"/>
  <c r="T539" i="44" s="1"/>
  <c r="S539" i="44" s="1"/>
  <c r="P540" i="44"/>
  <c r="T540" i="44" s="1"/>
  <c r="S540" i="44" s="1"/>
  <c r="P529" i="13"/>
  <c r="P546" i="43"/>
  <c r="T546" i="43" s="1"/>
  <c r="S546" i="43" s="1"/>
  <c r="P706" i="44"/>
  <c r="T706" i="44" s="1"/>
  <c r="S706" i="44" s="1"/>
  <c r="P695" i="13"/>
  <c r="P712" i="43"/>
  <c r="T712" i="43" s="1"/>
  <c r="S712" i="43" s="1"/>
  <c r="P532" i="13"/>
  <c r="P543" i="44"/>
  <c r="T543" i="44" s="1"/>
  <c r="S543" i="44" s="1"/>
  <c r="P549" i="43"/>
  <c r="T549" i="43" s="1"/>
  <c r="S549" i="43" s="1"/>
  <c r="P550" i="43"/>
  <c r="T550" i="43" s="1"/>
  <c r="S550" i="43" s="1"/>
  <c r="P544" i="44"/>
  <c r="T544" i="44" s="1"/>
  <c r="S544" i="44" s="1"/>
  <c r="P533" i="13"/>
  <c r="P542" i="43"/>
  <c r="T542" i="43" s="1"/>
  <c r="P525" i="13"/>
  <c r="P536" i="44"/>
  <c r="T536" i="44" s="1"/>
  <c r="P548" i="43"/>
  <c r="T548" i="43" s="1"/>
  <c r="S548" i="43" s="1"/>
  <c r="P531" i="13"/>
  <c r="P542" i="44"/>
  <c r="T542" i="44" s="1"/>
  <c r="S542" i="44" s="1"/>
  <c r="P678" i="43"/>
  <c r="T678" i="43" s="1"/>
  <c r="P672" i="44"/>
  <c r="T672" i="44" s="1"/>
  <c r="P661" i="13"/>
  <c r="P711" i="43"/>
  <c r="T711" i="43" s="1"/>
  <c r="P705" i="44"/>
  <c r="T705" i="44" s="1"/>
  <c r="P694" i="13"/>
  <c r="P541" i="44"/>
  <c r="T541" i="44" s="1"/>
  <c r="S541" i="44" s="1"/>
  <c r="P547" i="43"/>
  <c r="T547" i="43" s="1"/>
  <c r="S547" i="43" s="1"/>
  <c r="P530" i="13"/>
  <c r="P526" i="13"/>
  <c r="P537" i="44"/>
  <c r="T537" i="44" s="1"/>
  <c r="S537" i="44" s="1"/>
  <c r="P543" i="43"/>
  <c r="T543" i="43" s="1"/>
  <c r="S543" i="43" s="1"/>
  <c r="P716" i="43"/>
  <c r="T716" i="43" s="1"/>
  <c r="S716" i="43" s="1"/>
  <c r="P710" i="44"/>
  <c r="T710" i="44" s="1"/>
  <c r="S710" i="44" s="1"/>
  <c r="P699" i="13"/>
  <c r="P715" i="43"/>
  <c r="T715" i="43" s="1"/>
  <c r="S715" i="43" s="1"/>
  <c r="P709" i="44"/>
  <c r="T709" i="44" s="1"/>
  <c r="S709" i="44" s="1"/>
  <c r="P698" i="13"/>
  <c r="P65" i="13"/>
  <c r="P697" i="13"/>
  <c r="P714" i="43"/>
  <c r="T714" i="43" s="1"/>
  <c r="S714" i="43" s="1"/>
  <c r="P708" i="44"/>
  <c r="T708" i="44" s="1"/>
  <c r="S708" i="44" s="1"/>
  <c r="X698" i="13" l="1"/>
  <c r="T699" i="13"/>
  <c r="O550" i="43"/>
  <c r="O544" i="44"/>
  <c r="O533" i="13"/>
  <c r="S533" i="13" s="1"/>
  <c r="O549" i="43"/>
  <c r="O543" i="44"/>
  <c r="O532" i="13"/>
  <c r="S532" i="13" s="1"/>
  <c r="S705" i="44"/>
  <c r="S704" i="44" s="1"/>
  <c r="T704" i="44"/>
  <c r="O705" i="44"/>
  <c r="O694" i="13"/>
  <c r="S694" i="13" s="1"/>
  <c r="O711" i="43"/>
  <c r="O530" i="13"/>
  <c r="S530" i="13" s="1"/>
  <c r="O547" i="43"/>
  <c r="O541" i="44"/>
  <c r="T670" i="44"/>
  <c r="S672" i="44"/>
  <c r="S670" i="44" s="1"/>
  <c r="T69" i="13"/>
  <c r="S69" i="13" s="1"/>
  <c r="X68" i="13"/>
  <c r="O678" i="43"/>
  <c r="O672" i="44"/>
  <c r="O661" i="13"/>
  <c r="S661" i="13" s="1"/>
  <c r="O542" i="44"/>
  <c r="O548" i="43"/>
  <c r="O531" i="13"/>
  <c r="S531" i="13" s="1"/>
  <c r="T694" i="13"/>
  <c r="X693" i="13"/>
  <c r="T710" i="43"/>
  <c r="S711" i="43"/>
  <c r="S710" i="43" s="1"/>
  <c r="O539" i="44"/>
  <c r="O545" i="43"/>
  <c r="O528" i="13"/>
  <c r="S528" i="13" s="1"/>
  <c r="X660" i="13"/>
  <c r="T661" i="13"/>
  <c r="T68" i="13"/>
  <c r="S68" i="13" s="1"/>
  <c r="X67" i="13"/>
  <c r="O712" i="43"/>
  <c r="O695" i="13"/>
  <c r="S695" i="13" s="1"/>
  <c r="O706" i="44"/>
  <c r="X527" i="13"/>
  <c r="T528" i="13"/>
  <c r="S678" i="43"/>
  <c r="S676" i="43" s="1"/>
  <c r="T676" i="43"/>
  <c r="S536" i="44"/>
  <c r="S534" i="44" s="1"/>
  <c r="T534" i="44"/>
  <c r="O68" i="13"/>
  <c r="O68" i="43"/>
  <c r="X694" i="13"/>
  <c r="T695" i="13"/>
  <c r="T530" i="13"/>
  <c r="X529" i="13"/>
  <c r="T64" i="13"/>
  <c r="X63" i="13"/>
  <c r="X530" i="13"/>
  <c r="T531" i="13"/>
  <c r="O714" i="43"/>
  <c r="O697" i="13"/>
  <c r="S697" i="13" s="1"/>
  <c r="O708" i="44"/>
  <c r="T525" i="13"/>
  <c r="X524" i="13"/>
  <c r="O67" i="13"/>
  <c r="O67" i="43"/>
  <c r="O546" i="43"/>
  <c r="O540" i="44"/>
  <c r="O529" i="13"/>
  <c r="S529" i="13" s="1"/>
  <c r="O64" i="13"/>
  <c r="O64" i="43"/>
  <c r="X64" i="13"/>
  <c r="T65" i="13"/>
  <c r="S65" i="13" s="1"/>
  <c r="S542" i="43"/>
  <c r="S540" i="43" s="1"/>
  <c r="T540" i="43"/>
  <c r="X66" i="13"/>
  <c r="T67" i="13"/>
  <c r="S67" i="13" s="1"/>
  <c r="O716" i="43"/>
  <c r="O710" i="44"/>
  <c r="O699" i="13"/>
  <c r="S699" i="13" s="1"/>
  <c r="X528" i="13"/>
  <c r="T529" i="13"/>
  <c r="O69" i="13"/>
  <c r="O69" i="43"/>
  <c r="O679" i="43"/>
  <c r="O673" i="44"/>
  <c r="O662" i="13"/>
  <c r="S662" i="13" s="1"/>
  <c r="X696" i="13"/>
  <c r="T697" i="13"/>
  <c r="O65" i="13"/>
  <c r="O65" i="43"/>
  <c r="O698" i="13"/>
  <c r="S698" i="13" s="1"/>
  <c r="O709" i="44"/>
  <c r="O715" i="43"/>
  <c r="T533" i="13"/>
  <c r="X532" i="13"/>
  <c r="T66" i="13"/>
  <c r="S66" i="13" s="1"/>
  <c r="X65" i="13"/>
  <c r="T532" i="13"/>
  <c r="X531" i="13"/>
  <c r="O543" i="43"/>
  <c r="O526" i="13"/>
  <c r="S526" i="13" s="1"/>
  <c r="O537" i="44"/>
  <c r="T526" i="13"/>
  <c r="X525" i="13"/>
  <c r="X661" i="13"/>
  <c r="T662" i="13"/>
  <c r="O525" i="13"/>
  <c r="S525" i="13" s="1"/>
  <c r="O536" i="44"/>
  <c r="O542" i="43"/>
  <c r="T698" i="13"/>
  <c r="X697" i="13"/>
  <c r="O66" i="43"/>
  <c r="O66" i="13"/>
  <c r="S659" i="13" l="1"/>
  <c r="T693" i="13"/>
  <c r="AE22" i="8" s="1"/>
  <c r="AD22" i="8" s="1"/>
  <c r="T523" i="13"/>
  <c r="AE20" i="8" s="1"/>
  <c r="AD20" i="8" s="1"/>
  <c r="S64" i="13"/>
  <c r="S15" i="13" s="1"/>
  <c r="T15" i="13"/>
  <c r="AE14" i="8" s="1"/>
  <c r="AD14" i="8" s="1"/>
  <c r="S67" i="43"/>
  <c r="P67" i="43"/>
  <c r="T67" i="43" s="1"/>
  <c r="P65" i="43"/>
  <c r="T65" i="43" s="1"/>
  <c r="S65" i="43"/>
  <c r="S693" i="13"/>
  <c r="P66" i="43"/>
  <c r="T66" i="43" s="1"/>
  <c r="S66" i="43"/>
  <c r="P64" i="43"/>
  <c r="T64" i="43" s="1"/>
  <c r="S64" i="43"/>
  <c r="S523" i="13"/>
  <c r="T659" i="13"/>
  <c r="AE21" i="8" s="1"/>
  <c r="AD21" i="8" s="1"/>
  <c r="P69" i="43"/>
  <c r="T69" i="43" s="1"/>
  <c r="S69" i="43"/>
  <c r="P68" i="43"/>
  <c r="T68" i="43" s="1"/>
  <c r="S68" i="43"/>
  <c r="S15" i="43" l="1"/>
  <c r="T15" i="43"/>
  <c r="P160" i="13" l="1"/>
  <c r="P161" i="13"/>
  <c r="O161" i="13"/>
  <c r="O160" i="13" l="1"/>
  <c r="O160" i="43"/>
  <c r="X160" i="13"/>
  <c r="T161" i="13"/>
  <c r="S161" i="13" s="1"/>
  <c r="X159" i="13"/>
  <c r="T160" i="13"/>
  <c r="S160" i="13" l="1"/>
  <c r="S158" i="13" s="1"/>
  <c r="T158" i="13"/>
  <c r="S160" i="43"/>
  <c r="S158" i="43" s="1"/>
  <c r="P160" i="43"/>
  <c r="T160" i="43" s="1"/>
  <c r="T158" i="43" s="1"/>
  <c r="AE16" i="8" l="1"/>
  <c r="AD16" i="8" l="1"/>
  <c r="J69" i="38" l="1"/>
  <c r="J76" i="38"/>
  <c r="J67" i="38"/>
  <c r="J81" i="38"/>
  <c r="J82" i="38"/>
  <c r="J78" i="38"/>
  <c r="J79" i="38"/>
  <c r="J68" i="38"/>
  <c r="J89" i="38"/>
  <c r="J80" i="38"/>
  <c r="J91" i="38" l="1"/>
  <c r="J92" i="38"/>
  <c r="K92" i="38" s="1"/>
  <c r="K92" i="37" s="1"/>
  <c r="L93" i="36" s="1"/>
  <c r="J71" i="38"/>
  <c r="J87" i="38"/>
  <c r="J75" i="38"/>
  <c r="J75" i="37" s="1"/>
  <c r="K76" i="36" s="1"/>
  <c r="N76" i="36" s="1"/>
  <c r="J88" i="38"/>
  <c r="J88" i="37" s="1"/>
  <c r="K89" i="36" s="1"/>
  <c r="N89" i="36" s="1"/>
  <c r="J72" i="38"/>
  <c r="J70" i="38"/>
  <c r="J85" i="38"/>
  <c r="J85" i="37" s="1"/>
  <c r="K86" i="36" s="1"/>
  <c r="N86" i="36" s="1"/>
  <c r="J90" i="38"/>
  <c r="J74" i="38"/>
  <c r="J74" i="37" s="1"/>
  <c r="K75" i="36" s="1"/>
  <c r="N75" i="36" s="1"/>
  <c r="J77" i="38"/>
  <c r="K77" i="38" s="1"/>
  <c r="K77" i="37" s="1"/>
  <c r="L78" i="36" s="1"/>
  <c r="J66" i="38"/>
  <c r="K66" i="38" s="1"/>
  <c r="K66" i="37" s="1"/>
  <c r="L67" i="36" s="1"/>
  <c r="J83" i="38"/>
  <c r="K83" i="38" s="1"/>
  <c r="K83" i="37" s="1"/>
  <c r="L84" i="36" s="1"/>
  <c r="J73" i="38"/>
  <c r="J73" i="37" s="1"/>
  <c r="K74" i="36" s="1"/>
  <c r="N74" i="36" s="1"/>
  <c r="J86" i="38"/>
  <c r="J86" i="37" s="1"/>
  <c r="K87" i="36" s="1"/>
  <c r="N87" i="36" s="1"/>
  <c r="J84" i="38"/>
  <c r="J93" i="38"/>
  <c r="K93" i="38" s="1"/>
  <c r="K93" i="37" s="1"/>
  <c r="L94" i="36" s="1"/>
  <c r="J78" i="37"/>
  <c r="K79" i="36" s="1"/>
  <c r="N79" i="36" s="1"/>
  <c r="K78" i="38"/>
  <c r="K78" i="37" s="1"/>
  <c r="L79" i="36" s="1"/>
  <c r="J68" i="37"/>
  <c r="K69" i="36" s="1"/>
  <c r="N69" i="36" s="1"/>
  <c r="K68" i="38"/>
  <c r="K68" i="37" s="1"/>
  <c r="L69" i="36" s="1"/>
  <c r="J89" i="37"/>
  <c r="K90" i="36" s="1"/>
  <c r="N90" i="36" s="1"/>
  <c r="K89" i="38"/>
  <c r="K89" i="37" s="1"/>
  <c r="L90" i="36" s="1"/>
  <c r="K67" i="38"/>
  <c r="K67" i="37" s="1"/>
  <c r="L68" i="36" s="1"/>
  <c r="J67" i="37"/>
  <c r="K68" i="36" s="1"/>
  <c r="N68" i="36" s="1"/>
  <c r="J79" i="37"/>
  <c r="K80" i="36" s="1"/>
  <c r="N80" i="36" s="1"/>
  <c r="K79" i="38"/>
  <c r="K79" i="37" s="1"/>
  <c r="L80" i="36" s="1"/>
  <c r="K80" i="38"/>
  <c r="K80" i="37" s="1"/>
  <c r="L81" i="36" s="1"/>
  <c r="J80" i="37"/>
  <c r="K81" i="36" s="1"/>
  <c r="N81" i="36" s="1"/>
  <c r="K82" i="38"/>
  <c r="K82" i="37" s="1"/>
  <c r="L83" i="36" s="1"/>
  <c r="J82" i="37"/>
  <c r="K83" i="36" s="1"/>
  <c r="N83" i="36" s="1"/>
  <c r="K81" i="38"/>
  <c r="K81" i="37" s="1"/>
  <c r="L82" i="36" s="1"/>
  <c r="J81" i="37"/>
  <c r="K82" i="36" s="1"/>
  <c r="N82" i="36" s="1"/>
  <c r="J76" i="37"/>
  <c r="K77" i="36" s="1"/>
  <c r="N77" i="36" s="1"/>
  <c r="K76" i="38"/>
  <c r="K76" i="37" s="1"/>
  <c r="L77" i="36" s="1"/>
  <c r="J69" i="37"/>
  <c r="K70" i="36" s="1"/>
  <c r="N70" i="36" s="1"/>
  <c r="K69" i="38"/>
  <c r="K69" i="37" s="1"/>
  <c r="L70" i="36" s="1"/>
  <c r="J92" i="37" l="1"/>
  <c r="K93" i="36" s="1"/>
  <c r="N93" i="36" s="1"/>
  <c r="J87" i="37"/>
  <c r="K88" i="36" s="1"/>
  <c r="N88" i="36" s="1"/>
  <c r="K87" i="38"/>
  <c r="K87" i="37" s="1"/>
  <c r="L88" i="36" s="1"/>
  <c r="K90" i="38"/>
  <c r="K90" i="37" s="1"/>
  <c r="L91" i="36" s="1"/>
  <c r="K71" i="38"/>
  <c r="K71" i="37" s="1"/>
  <c r="L72" i="36" s="1"/>
  <c r="J71" i="37"/>
  <c r="K72" i="36" s="1"/>
  <c r="N72" i="36" s="1"/>
  <c r="J90" i="37"/>
  <c r="K91" i="36" s="1"/>
  <c r="N91" i="36" s="1"/>
  <c r="K86" i="38"/>
  <c r="K86" i="37" s="1"/>
  <c r="L87" i="36" s="1"/>
  <c r="J91" i="37"/>
  <c r="K92" i="36" s="1"/>
  <c r="N92" i="36" s="1"/>
  <c r="K91" i="38"/>
  <c r="K91" i="37" s="1"/>
  <c r="L92" i="36" s="1"/>
  <c r="O92" i="36" s="1"/>
  <c r="U92" i="36" s="1"/>
  <c r="T92" i="36" s="1"/>
  <c r="K72" i="38"/>
  <c r="K72" i="37" s="1"/>
  <c r="L73" i="36" s="1"/>
  <c r="J84" i="37"/>
  <c r="K85" i="36" s="1"/>
  <c r="N85" i="36" s="1"/>
  <c r="K84" i="38"/>
  <c r="K84" i="37" s="1"/>
  <c r="L85" i="36" s="1"/>
  <c r="J72" i="37"/>
  <c r="K73" i="36" s="1"/>
  <c r="N73" i="36" s="1"/>
  <c r="J70" i="37"/>
  <c r="K71" i="36" s="1"/>
  <c r="N71" i="36" s="1"/>
  <c r="K70" i="38"/>
  <c r="K70" i="37" s="1"/>
  <c r="L71" i="36" s="1"/>
  <c r="J83" i="37"/>
  <c r="K84" i="36" s="1"/>
  <c r="N84" i="36" s="1"/>
  <c r="J77" i="37"/>
  <c r="K78" i="36" s="1"/>
  <c r="N78" i="36" s="1"/>
  <c r="K73" i="38"/>
  <c r="K73" i="37" s="1"/>
  <c r="L74" i="36" s="1"/>
  <c r="K85" i="38"/>
  <c r="K85" i="37" s="1"/>
  <c r="L86" i="36" s="1"/>
  <c r="K74" i="38"/>
  <c r="K74" i="37" s="1"/>
  <c r="L75" i="36" s="1"/>
  <c r="K75" i="38"/>
  <c r="K75" i="37" s="1"/>
  <c r="L76" i="36" s="1"/>
  <c r="K88" i="38"/>
  <c r="K88" i="37" s="1"/>
  <c r="L89" i="36" s="1"/>
  <c r="J93" i="37"/>
  <c r="K94" i="36" s="1"/>
  <c r="N94" i="36" s="1"/>
  <c r="J66" i="37"/>
  <c r="K67" i="36" s="1"/>
  <c r="N67" i="36" s="1"/>
  <c r="R67" i="36"/>
  <c r="Q67" i="36" s="1"/>
  <c r="O67" i="36"/>
  <c r="O83" i="36"/>
  <c r="U83" i="36" s="1"/>
  <c r="T83" i="36" s="1"/>
  <c r="R83" i="36"/>
  <c r="Q83" i="36" s="1"/>
  <c r="R77" i="36"/>
  <c r="Q77" i="36" s="1"/>
  <c r="O77" i="36"/>
  <c r="U77" i="36" s="1"/>
  <c r="T77" i="36" s="1"/>
  <c r="R93" i="36"/>
  <c r="Q93" i="36" s="1"/>
  <c r="O93" i="36"/>
  <c r="U93" i="36" s="1"/>
  <c r="T93" i="36" s="1"/>
  <c r="R80" i="36"/>
  <c r="Q80" i="36" s="1"/>
  <c r="O80" i="36"/>
  <c r="U80" i="36" s="1"/>
  <c r="T80" i="36" s="1"/>
  <c r="R82" i="36"/>
  <c r="Q82" i="36" s="1"/>
  <c r="O82" i="36"/>
  <c r="U82" i="36" s="1"/>
  <c r="T82" i="36" s="1"/>
  <c r="O90" i="36"/>
  <c r="U90" i="36" s="1"/>
  <c r="T90" i="36" s="1"/>
  <c r="R90" i="36"/>
  <c r="Q90" i="36" s="1"/>
  <c r="O68" i="36"/>
  <c r="U68" i="36" s="1"/>
  <c r="T68" i="36" s="1"/>
  <c r="R68" i="36"/>
  <c r="Q68" i="36" s="1"/>
  <c r="R84" i="36"/>
  <c r="Q84" i="36" s="1"/>
  <c r="O84" i="36"/>
  <c r="U84" i="36" s="1"/>
  <c r="T84" i="36" s="1"/>
  <c r="R79" i="36"/>
  <c r="Q79" i="36" s="1"/>
  <c r="O79" i="36"/>
  <c r="U79" i="36" s="1"/>
  <c r="T79" i="36" s="1"/>
  <c r="R69" i="36"/>
  <c r="Q69" i="36" s="1"/>
  <c r="O69" i="36"/>
  <c r="U69" i="36" s="1"/>
  <c r="T69" i="36" s="1"/>
  <c r="R70" i="36"/>
  <c r="Q70" i="36" s="1"/>
  <c r="O70" i="36"/>
  <c r="U70" i="36" s="1"/>
  <c r="T70" i="36" s="1"/>
  <c r="R94" i="36"/>
  <c r="Q94" i="36" s="1"/>
  <c r="O94" i="36"/>
  <c r="U94" i="36" s="1"/>
  <c r="T94" i="36" s="1"/>
  <c r="R81" i="36"/>
  <c r="Q81" i="36" s="1"/>
  <c r="O81" i="36"/>
  <c r="U81" i="36" s="1"/>
  <c r="T81" i="36" s="1"/>
  <c r="R78" i="36"/>
  <c r="Q78" i="36" s="1"/>
  <c r="O78" i="36"/>
  <c r="U78" i="36" s="1"/>
  <c r="T78" i="36" s="1"/>
  <c r="O88" i="36" l="1"/>
  <c r="U88" i="36" s="1"/>
  <c r="T88" i="36" s="1"/>
  <c r="R88" i="36"/>
  <c r="Q88" i="36" s="1"/>
  <c r="R72" i="36"/>
  <c r="Q72" i="36" s="1"/>
  <c r="O91" i="36"/>
  <c r="U91" i="36" s="1"/>
  <c r="T91" i="36" s="1"/>
  <c r="R91" i="36"/>
  <c r="Q91" i="36" s="1"/>
  <c r="O72" i="36"/>
  <c r="U72" i="36" s="1"/>
  <c r="T72" i="36" s="1"/>
  <c r="R92" i="36"/>
  <c r="Q92" i="36" s="1"/>
  <c r="O76" i="36"/>
  <c r="U76" i="36" s="1"/>
  <c r="T76" i="36" s="1"/>
  <c r="R76" i="36"/>
  <c r="Q76" i="36" s="1"/>
  <c r="R89" i="36"/>
  <c r="Q89" i="36" s="1"/>
  <c r="O89" i="36"/>
  <c r="U89" i="36" s="1"/>
  <c r="T89" i="36" s="1"/>
  <c r="O75" i="36"/>
  <c r="U75" i="36" s="1"/>
  <c r="T75" i="36" s="1"/>
  <c r="R75" i="36"/>
  <c r="Q75" i="36" s="1"/>
  <c r="R85" i="36"/>
  <c r="Q85" i="36" s="1"/>
  <c r="O85" i="36"/>
  <c r="U85" i="36" s="1"/>
  <c r="T85" i="36" s="1"/>
  <c r="R86" i="36"/>
  <c r="Q86" i="36" s="1"/>
  <c r="O86" i="36"/>
  <c r="U86" i="36" s="1"/>
  <c r="T86" i="36" s="1"/>
  <c r="O73" i="36"/>
  <c r="U73" i="36" s="1"/>
  <c r="T73" i="36" s="1"/>
  <c r="R73" i="36"/>
  <c r="Q73" i="36" s="1"/>
  <c r="R74" i="36"/>
  <c r="Q74" i="36" s="1"/>
  <c r="O74" i="36"/>
  <c r="U74" i="36" s="1"/>
  <c r="T74" i="36" s="1"/>
  <c r="R87" i="36"/>
  <c r="Q87" i="36" s="1"/>
  <c r="O87" i="36"/>
  <c r="U87" i="36" s="1"/>
  <c r="T87" i="36" s="1"/>
  <c r="O71" i="36"/>
  <c r="U71" i="36" s="1"/>
  <c r="T71" i="36" s="1"/>
  <c r="R71" i="36"/>
  <c r="Q71" i="36" s="1"/>
  <c r="U67" i="36"/>
  <c r="T67" i="36" s="1"/>
  <c r="N124" i="44" l="1"/>
  <c r="N135" i="44"/>
  <c r="N137" i="44"/>
  <c r="N136" i="44"/>
  <c r="N152" i="44"/>
  <c r="N153" i="44"/>
  <c r="N116" i="44"/>
  <c r="N129" i="44"/>
  <c r="N134" i="44"/>
  <c r="N118" i="44"/>
  <c r="N132" i="44"/>
  <c r="N155" i="44"/>
  <c r="N131" i="44"/>
  <c r="N151" i="44"/>
  <c r="N149" i="44"/>
  <c r="N154" i="44"/>
  <c r="N128" i="44"/>
  <c r="N133" i="44"/>
  <c r="N150" i="44"/>
  <c r="N120" i="44"/>
  <c r="N127" i="44"/>
  <c r="N119" i="44"/>
  <c r="N126" i="44"/>
  <c r="N123" i="44"/>
  <c r="N130" i="44"/>
  <c r="N122" i="44"/>
  <c r="N156" i="44"/>
  <c r="N117" i="44"/>
  <c r="N125" i="44"/>
  <c r="N121" i="44"/>
  <c r="P156" i="44" l="1"/>
  <c r="T156" i="44" s="1"/>
  <c r="R156" i="44"/>
  <c r="P130" i="44"/>
  <c r="T130" i="44" s="1"/>
  <c r="R130" i="44"/>
  <c r="R132" i="44"/>
  <c r="P132" i="44"/>
  <c r="T132" i="44" s="1"/>
  <c r="P123" i="44"/>
  <c r="T123" i="44" s="1"/>
  <c r="R123" i="44"/>
  <c r="R129" i="44"/>
  <c r="P129" i="44"/>
  <c r="T129" i="44" s="1"/>
  <c r="P127" i="44"/>
  <c r="T127" i="44" s="1"/>
  <c r="R127" i="44"/>
  <c r="R116" i="44"/>
  <c r="R115" i="44" s="1"/>
  <c r="R14" i="44" s="1"/>
  <c r="R13" i="44" s="1"/>
  <c r="P116" i="44"/>
  <c r="T116" i="44" s="1"/>
  <c r="T115" i="44" s="1"/>
  <c r="T14" i="44" s="1"/>
  <c r="T13" i="44" s="1"/>
  <c r="R126" i="44"/>
  <c r="P126" i="44"/>
  <c r="T126" i="44" s="1"/>
  <c r="R121" i="44"/>
  <c r="P121" i="44"/>
  <c r="T121" i="44" s="1"/>
  <c r="R153" i="44"/>
  <c r="P153" i="44"/>
  <c r="T153" i="44" s="1"/>
  <c r="R117" i="44"/>
  <c r="P117" i="44"/>
  <c r="T117" i="44" s="1"/>
  <c r="P131" i="44"/>
  <c r="T131" i="44" s="1"/>
  <c r="R131" i="44"/>
  <c r="R152" i="44"/>
  <c r="P152" i="44"/>
  <c r="T152" i="44" s="1"/>
  <c r="P119" i="44"/>
  <c r="T119" i="44" s="1"/>
  <c r="R119" i="44"/>
  <c r="P151" i="44"/>
  <c r="T151" i="44" s="1"/>
  <c r="R151" i="44"/>
  <c r="R118" i="44"/>
  <c r="P118" i="44"/>
  <c r="T118" i="44" s="1"/>
  <c r="R133" i="44"/>
  <c r="P133" i="44"/>
  <c r="T133" i="44" s="1"/>
  <c r="R136" i="44"/>
  <c r="P136" i="44"/>
  <c r="T136" i="44" s="1"/>
  <c r="P149" i="44"/>
  <c r="T149" i="44" s="1"/>
  <c r="R149" i="44"/>
  <c r="P122" i="44"/>
  <c r="T122" i="44" s="1"/>
  <c r="R122" i="44"/>
  <c r="P134" i="44"/>
  <c r="T134" i="44" s="1"/>
  <c r="R134" i="44"/>
  <c r="P125" i="44"/>
  <c r="T125" i="44" s="1"/>
  <c r="R125" i="44"/>
  <c r="P150" i="44"/>
  <c r="T150" i="44" s="1"/>
  <c r="R150" i="44"/>
  <c r="R137" i="44"/>
  <c r="P137" i="44"/>
  <c r="T137" i="44" s="1"/>
  <c r="P154" i="44"/>
  <c r="T154" i="44" s="1"/>
  <c r="R154" i="44"/>
  <c r="R155" i="44"/>
  <c r="P155" i="44"/>
  <c r="T155" i="44" s="1"/>
  <c r="P135" i="44"/>
  <c r="T135" i="44" s="1"/>
  <c r="R135" i="44"/>
  <c r="R120" i="44"/>
  <c r="P120" i="44"/>
  <c r="T120" i="44" s="1"/>
  <c r="R128" i="44"/>
  <c r="P128" i="44"/>
  <c r="T128" i="44" s="1"/>
  <c r="P124" i="44"/>
  <c r="T124" i="44" s="1"/>
  <c r="R124" i="44"/>
  <c r="P126" i="13" l="1"/>
  <c r="L116" i="11"/>
  <c r="P119" i="13"/>
  <c r="L115" i="11"/>
  <c r="P118" i="13"/>
  <c r="L114" i="11"/>
  <c r="P117" i="13"/>
  <c r="L133" i="11"/>
  <c r="P136" i="13"/>
  <c r="L122" i="11"/>
  <c r="P125" i="13"/>
  <c r="P121" i="13"/>
  <c r="L118" i="11"/>
  <c r="P124" i="13"/>
  <c r="L121" i="11"/>
  <c r="P149" i="13"/>
  <c r="T149" i="13" s="1"/>
  <c r="S149" i="13" s="1"/>
  <c r="L135" i="11"/>
  <c r="L123" i="11" l="1"/>
  <c r="L117" i="11"/>
  <c r="P120" i="13"/>
  <c r="P128" i="13"/>
  <c r="L125" i="11"/>
  <c r="P123" i="13"/>
  <c r="L120" i="11"/>
  <c r="P132" i="13"/>
  <c r="L129" i="11"/>
  <c r="P153" i="13"/>
  <c r="L139" i="11"/>
  <c r="O121" i="43"/>
  <c r="O121" i="13"/>
  <c r="P131" i="13"/>
  <c r="L128" i="11"/>
  <c r="O125" i="43"/>
  <c r="O125" i="13"/>
  <c r="P129" i="13"/>
  <c r="L126" i="11"/>
  <c r="P127" i="13"/>
  <c r="L124" i="11"/>
  <c r="O149" i="43"/>
  <c r="O149" i="13"/>
  <c r="O124" i="43"/>
  <c r="O124" i="13"/>
  <c r="X123" i="13"/>
  <c r="T124" i="13"/>
  <c r="S124" i="13" s="1"/>
  <c r="T121" i="13"/>
  <c r="S121" i="13" s="1"/>
  <c r="X120" i="13"/>
  <c r="T126" i="13"/>
  <c r="S126" i="13" s="1"/>
  <c r="X125" i="13"/>
  <c r="T117" i="13"/>
  <c r="S117" i="13" s="1"/>
  <c r="X116" i="13"/>
  <c r="P133" i="13"/>
  <c r="L130" i="11"/>
  <c r="T136" i="13"/>
  <c r="S136" i="13" s="1"/>
  <c r="X135" i="13"/>
  <c r="O117" i="43"/>
  <c r="O117" i="13"/>
  <c r="X118" i="13"/>
  <c r="T119" i="13"/>
  <c r="S119" i="13" s="1"/>
  <c r="L127" i="11"/>
  <c r="P130" i="13"/>
  <c r="P122" i="13"/>
  <c r="L119" i="11"/>
  <c r="T125" i="13"/>
  <c r="S125" i="13" s="1"/>
  <c r="X124" i="13"/>
  <c r="O136" i="13"/>
  <c r="O136" i="43"/>
  <c r="T118" i="13"/>
  <c r="S118" i="13" s="1"/>
  <c r="X117" i="13"/>
  <c r="O118" i="43"/>
  <c r="O118" i="13"/>
  <c r="O119" i="13"/>
  <c r="O119" i="43"/>
  <c r="O126" i="43" l="1"/>
  <c r="O126" i="13"/>
  <c r="O131" i="43"/>
  <c r="O131" i="13"/>
  <c r="P121" i="43"/>
  <c r="T121" i="43" s="1"/>
  <c r="S121" i="43"/>
  <c r="O130" i="43"/>
  <c r="O130" i="13"/>
  <c r="T153" i="13"/>
  <c r="S153" i="13" s="1"/>
  <c r="X152" i="13"/>
  <c r="S149" i="43"/>
  <c r="P149" i="43"/>
  <c r="T149" i="43" s="1"/>
  <c r="X126" i="13"/>
  <c r="T127" i="13"/>
  <c r="S127" i="13" s="1"/>
  <c r="T129" i="13"/>
  <c r="S129" i="13" s="1"/>
  <c r="X128" i="13"/>
  <c r="O128" i="43"/>
  <c r="O128" i="13"/>
  <c r="P116" i="13"/>
  <c r="L113" i="11"/>
  <c r="S119" i="43"/>
  <c r="P119" i="43"/>
  <c r="T119" i="43" s="1"/>
  <c r="S124" i="43"/>
  <c r="P124" i="43"/>
  <c r="T124" i="43" s="1"/>
  <c r="P118" i="43"/>
  <c r="T118" i="43" s="1"/>
  <c r="S118" i="43"/>
  <c r="T130" i="13"/>
  <c r="S130" i="13" s="1"/>
  <c r="X129" i="13"/>
  <c r="O153" i="13"/>
  <c r="O153" i="43"/>
  <c r="O132" i="43"/>
  <c r="O132" i="13"/>
  <c r="P136" i="43"/>
  <c r="T136" i="43" s="1"/>
  <c r="S136" i="43"/>
  <c r="P125" i="43"/>
  <c r="T125" i="43" s="1"/>
  <c r="S125" i="43"/>
  <c r="X131" i="13"/>
  <c r="T132" i="13"/>
  <c r="S132" i="13" s="1"/>
  <c r="S117" i="43"/>
  <c r="P117" i="43"/>
  <c r="T117" i="43" s="1"/>
  <c r="T120" i="13"/>
  <c r="S120" i="13" s="1"/>
  <c r="X119" i="13"/>
  <c r="O127" i="13"/>
  <c r="O127" i="43"/>
  <c r="O129" i="13"/>
  <c r="O129" i="43"/>
  <c r="X130" i="13"/>
  <c r="T131" i="13"/>
  <c r="S131" i="13" s="1"/>
  <c r="O122" i="13"/>
  <c r="O122" i="43"/>
  <c r="X121" i="13"/>
  <c r="T122" i="13"/>
  <c r="S122" i="13" s="1"/>
  <c r="O123" i="43"/>
  <c r="O123" i="13"/>
  <c r="T123" i="13"/>
  <c r="S123" i="13" s="1"/>
  <c r="X122" i="13"/>
  <c r="T128" i="13"/>
  <c r="S128" i="13" s="1"/>
  <c r="X127" i="13"/>
  <c r="O133" i="13"/>
  <c r="O133" i="43"/>
  <c r="X132" i="13"/>
  <c r="T133" i="13"/>
  <c r="S133" i="13" s="1"/>
  <c r="O120" i="13"/>
  <c r="O120" i="43"/>
  <c r="P126" i="43" l="1"/>
  <c r="T126" i="43" s="1"/>
  <c r="S126" i="43"/>
  <c r="S120" i="43"/>
  <c r="P120" i="43"/>
  <c r="T120" i="43" s="1"/>
  <c r="S132" i="43"/>
  <c r="P132" i="43"/>
  <c r="T132" i="43" s="1"/>
  <c r="S122" i="43"/>
  <c r="P122" i="43"/>
  <c r="T122" i="43" s="1"/>
  <c r="P123" i="43"/>
  <c r="T123" i="43" s="1"/>
  <c r="S123" i="43"/>
  <c r="P153" i="43"/>
  <c r="T153" i="43" s="1"/>
  <c r="S153" i="43"/>
  <c r="S130" i="43"/>
  <c r="P130" i="43"/>
  <c r="T130" i="43" s="1"/>
  <c r="O116" i="43"/>
  <c r="O116" i="13"/>
  <c r="P129" i="43"/>
  <c r="T129" i="43" s="1"/>
  <c r="S129" i="43"/>
  <c r="T116" i="13"/>
  <c r="X115" i="13"/>
  <c r="S127" i="43"/>
  <c r="P127" i="43"/>
  <c r="T127" i="43" s="1"/>
  <c r="P133" i="43"/>
  <c r="T133" i="43" s="1"/>
  <c r="S133" i="43"/>
  <c r="P128" i="43"/>
  <c r="T128" i="43" s="1"/>
  <c r="S128" i="43"/>
  <c r="S131" i="43"/>
  <c r="P131" i="43"/>
  <c r="T131" i="43" s="1"/>
  <c r="S116" i="13" l="1"/>
  <c r="P116" i="43"/>
  <c r="T116" i="43" s="1"/>
  <c r="S116" i="43"/>
  <c r="J95" i="38" l="1"/>
  <c r="J94" i="38"/>
  <c r="J95" i="37" l="1"/>
  <c r="K96" i="36" s="1"/>
  <c r="N96" i="36" s="1"/>
  <c r="K95" i="38"/>
  <c r="K95" i="37" s="1"/>
  <c r="L96" i="36" s="1"/>
  <c r="J94" i="37"/>
  <c r="K95" i="36" s="1"/>
  <c r="N95" i="36" s="1"/>
  <c r="N66" i="36" s="1"/>
  <c r="N15" i="36" s="1"/>
  <c r="K94" i="38"/>
  <c r="K94" i="37" s="1"/>
  <c r="L95" i="36" s="1"/>
  <c r="O95" i="36" l="1"/>
  <c r="R95" i="36"/>
  <c r="Q95" i="36" s="1"/>
  <c r="O96" i="36"/>
  <c r="U96" i="36" s="1"/>
  <c r="T96" i="36" s="1"/>
  <c r="R96" i="36"/>
  <c r="Q96" i="36" s="1"/>
  <c r="P134" i="13"/>
  <c r="L131" i="11"/>
  <c r="L134" i="11"/>
  <c r="P137" i="13"/>
  <c r="P150" i="13"/>
  <c r="L136" i="11"/>
  <c r="L140" i="11"/>
  <c r="P154" i="13"/>
  <c r="P156" i="13"/>
  <c r="L142" i="11"/>
  <c r="P155" i="13"/>
  <c r="L141" i="11"/>
  <c r="L132" i="11"/>
  <c r="P135" i="13"/>
  <c r="P151" i="13"/>
  <c r="L137" i="11"/>
  <c r="L138" i="11"/>
  <c r="P152" i="13"/>
  <c r="O66" i="36" l="1"/>
  <c r="U95" i="36"/>
  <c r="T95" i="36" s="1"/>
  <c r="O152" i="13"/>
  <c r="O152" i="43"/>
  <c r="O155" i="43"/>
  <c r="O155" i="13"/>
  <c r="T154" i="13"/>
  <c r="S154" i="13" s="1"/>
  <c r="X153" i="13"/>
  <c r="X134" i="13"/>
  <c r="T135" i="13"/>
  <c r="S135" i="13" s="1"/>
  <c r="O135" i="43"/>
  <c r="O135" i="13"/>
  <c r="O156" i="43"/>
  <c r="O156" i="13"/>
  <c r="T156" i="13"/>
  <c r="S156" i="13" s="1"/>
  <c r="X155" i="13"/>
  <c r="O154" i="43"/>
  <c r="O154" i="13"/>
  <c r="O150" i="13"/>
  <c r="O150" i="43"/>
  <c r="O134" i="13"/>
  <c r="O134" i="43"/>
  <c r="T152" i="13"/>
  <c r="S152" i="13" s="1"/>
  <c r="X151" i="13"/>
  <c r="O151" i="43"/>
  <c r="O151" i="13"/>
  <c r="X150" i="13"/>
  <c r="T151" i="13"/>
  <c r="S151" i="13" s="1"/>
  <c r="T155" i="13"/>
  <c r="S155" i="13" s="1"/>
  <c r="X154" i="13"/>
  <c r="T150" i="13"/>
  <c r="S150" i="13" s="1"/>
  <c r="X149" i="13"/>
  <c r="X136" i="13"/>
  <c r="T137" i="13"/>
  <c r="S137" i="13" s="1"/>
  <c r="O137" i="13"/>
  <c r="O137" i="43"/>
  <c r="X133" i="13"/>
  <c r="T134" i="13"/>
  <c r="X12" i="13" l="1"/>
  <c r="U66" i="36"/>
  <c r="T66" i="36" s="1"/>
  <c r="T15" i="36" s="1"/>
  <c r="O15" i="36"/>
  <c r="U15" i="36" s="1"/>
  <c r="S134" i="43"/>
  <c r="P134" i="43"/>
  <c r="T134" i="43" s="1"/>
  <c r="P156" i="43"/>
  <c r="T156" i="43" s="1"/>
  <c r="S156" i="43"/>
  <c r="P151" i="43"/>
  <c r="T151" i="43" s="1"/>
  <c r="S151" i="43"/>
  <c r="S135" i="43"/>
  <c r="P135" i="43"/>
  <c r="T135" i="43" s="1"/>
  <c r="S134" i="13"/>
  <c r="S115" i="13" s="1"/>
  <c r="T115" i="13"/>
  <c r="P155" i="43"/>
  <c r="T155" i="43" s="1"/>
  <c r="S155" i="43"/>
  <c r="S150" i="43"/>
  <c r="P150" i="43"/>
  <c r="T150" i="43" s="1"/>
  <c r="P154" i="43"/>
  <c r="T154" i="43" s="1"/>
  <c r="S154" i="43"/>
  <c r="P152" i="43"/>
  <c r="T152" i="43" s="1"/>
  <c r="S152" i="43"/>
  <c r="P137" i="43"/>
  <c r="T137" i="43" s="1"/>
  <c r="S137" i="43"/>
  <c r="S14" i="13" l="1"/>
  <c r="S13" i="13" s="1"/>
  <c r="E41" i="46"/>
  <c r="F41" i="46" s="1"/>
  <c r="O41" i="46" s="1"/>
  <c r="S41" i="46" s="1"/>
  <c r="S115" i="43"/>
  <c r="S14" i="43" s="1"/>
  <c r="S13" i="43" s="1"/>
  <c r="T115" i="43"/>
  <c r="T14" i="43" s="1"/>
  <c r="T13" i="43" s="1"/>
  <c r="AE15" i="8"/>
  <c r="T14" i="13"/>
  <c r="AE13" i="8" l="1"/>
  <c r="AD13" i="8" s="1"/>
  <c r="T13" i="13"/>
  <c r="AD15" i="8"/>
  <c r="AE29" i="8"/>
  <c r="N10" i="5" l="1"/>
  <c r="AE33" i="8"/>
  <c r="AD33" i="8" s="1"/>
  <c r="R43" i="46" s="1"/>
  <c r="AD29" i="8"/>
  <c r="AE35" i="8" l="1"/>
  <c r="Q43" i="46"/>
  <c r="AD35" i="8" s="1"/>
  <c r="AD41" i="8" s="1"/>
  <c r="C38" i="26"/>
  <c r="N11" i="5" l="1"/>
  <c r="N13" i="5" s="1"/>
  <c r="M19" i="26"/>
  <c r="M20" i="26" s="1"/>
  <c r="M22" i="26" s="1"/>
  <c r="AE41" i="8"/>
  <c r="C40" i="25" l="1"/>
  <c r="M14" i="25"/>
  <c r="M15" i="25" s="1"/>
  <c r="M17" i="25" s="1"/>
  <c r="N16" i="5"/>
  <c r="C29" i="5"/>
  <c r="N23" i="5" l="1"/>
  <c r="N32" i="5" s="1"/>
  <c r="N20" i="5"/>
  <c r="N21" i="5" s="1"/>
  <c r="N36" i="5" l="1"/>
  <c r="N22" i="5"/>
  <c r="N33" i="5" s="1"/>
  <c r="A1" i="2" l="1"/>
  <c r="A3" i="2" s="1"/>
  <c r="N35" i="5"/>
  <c r="C3" i="2" l="1"/>
  <c r="A4" i="2" l="1"/>
  <c r="D3" i="2"/>
  <c r="C4" i="2" l="1"/>
  <c r="D4" i="2" s="1"/>
  <c r="A5" i="2" l="1"/>
  <c r="C5" i="2" l="1"/>
  <c r="A6" i="2" s="1"/>
  <c r="C6" i="2" l="1"/>
  <c r="A7" i="2" s="1"/>
  <c r="D5" i="2"/>
  <c r="E5" i="2"/>
  <c r="C7" i="2" l="1"/>
  <c r="A8" i="2" s="1"/>
  <c r="D6" i="2"/>
  <c r="C8" i="2" l="1"/>
  <c r="A9" i="2" s="1"/>
  <c r="C9" i="2" s="1"/>
  <c r="D7" i="2"/>
  <c r="A10" i="2" l="1"/>
  <c r="D9" i="2"/>
  <c r="D8" i="2"/>
  <c r="E8" i="2"/>
  <c r="C10" i="2" l="1"/>
  <c r="A11" i="2" s="1"/>
  <c r="C11" i="2" s="1"/>
  <c r="A12" i="2" l="1"/>
  <c r="C12" i="2" s="1"/>
  <c r="D11" i="2"/>
  <c r="D10" i="2"/>
  <c r="E11" i="2"/>
  <c r="A13" i="2" l="1"/>
  <c r="C13" i="2" s="1"/>
  <c r="D12" i="2"/>
  <c r="A14" i="2" l="1"/>
  <c r="C14" i="2" s="1"/>
  <c r="D14" i="2" s="1"/>
  <c r="D13" i="2"/>
  <c r="E14" i="2" l="1"/>
  <c r="A15" i="2"/>
  <c r="C15" i="2" l="1"/>
  <c r="D15" i="2" l="1"/>
  <c r="A16" i="2"/>
  <c r="C16" i="2" s="1"/>
  <c r="D16" i="2" s="1"/>
  <c r="A17" i="2" l="1"/>
  <c r="C17" i="2" s="1"/>
  <c r="A18" i="2" s="1"/>
  <c r="C18" i="2" s="1"/>
  <c r="E17" i="2" l="1"/>
  <c r="D17" i="2"/>
  <c r="A19" i="2"/>
  <c r="C19" i="2" s="1"/>
  <c r="D19" i="2" s="1"/>
  <c r="D18" i="2"/>
  <c r="E19" i="2" l="1"/>
  <c r="B1" i="2" s="1"/>
  <c r="N3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tc={9FE2E356-C129-497E-A7EF-B5FB3263D30B}</author>
  </authors>
  <commentList>
    <comment ref="X20" authorId="0" shapeId="0" xr:uid="{9FE2E356-C129-497E-A7EF-B5FB3263D30B}">
      <text>
        <t>[Yorum yazışması]
Excel sürümünüz bu yorum yazışmasını okumanıza izin veriyor, ancak dosya daha yeni bir Excel sürümünde açılırsa, yapılan düzenlemeler kaldırılır. Daha fazla bilgi: https://go.microsoft.com/fwlink/?linkid=870924.
Açıklama:
    Barbaros Uygulama Mart Sunumu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tc={69ACC122-5BE5-489D-BB41-8FFF1662C5DD}</author>
  </authors>
  <commentList>
    <comment ref="X19" authorId="0" shapeId="0" xr:uid="{69ACC122-5BE5-489D-BB41-8FFF1662C5DD}">
      <text>
        <t>[Yorum yazışması]
Excel sürümünüz bu yorum yazışmasını okumanıza izin veriyor, ancak dosya daha yeni bir Excel sürümünde açılırsa, yapılan düzenlemeler kaldırılır. Daha fazla bilgi: https://go.microsoft.com/fwlink/?linkid=870924.
Açıklama:
    Barbaros Uygulama Mart Sunumu</t>
      </text>
    </comment>
  </commentList>
</comments>
</file>

<file path=xl/sharedStrings.xml><?xml version="1.0" encoding="utf-8"?>
<sst xmlns="http://schemas.openxmlformats.org/spreadsheetml/2006/main" count="14957" uniqueCount="1561">
  <si>
    <t>GENEL BİLGİLER</t>
  </si>
  <si>
    <t>İşin Adı</t>
  </si>
  <si>
    <t>:</t>
  </si>
  <si>
    <t>İdare Genel Adı</t>
  </si>
  <si>
    <t>T.C. İstanbul Büyükşehir Belediyesi</t>
  </si>
  <si>
    <t>İdare Müdürlük</t>
  </si>
  <si>
    <t>İdare Tam Adı</t>
  </si>
  <si>
    <t>Danışman</t>
  </si>
  <si>
    <t xml:space="preserve">Yüklenici </t>
  </si>
  <si>
    <t>İhale Tarihi</t>
  </si>
  <si>
    <t>İhale Bedeli</t>
  </si>
  <si>
    <t>Sözleşme Tarihi ve No'su</t>
  </si>
  <si>
    <t>Sözleşmenin Noter'ce Tescil Tarihi No'su</t>
  </si>
  <si>
    <t>İşyeri Teslim Tarihi</t>
  </si>
  <si>
    <t>İşe Başlama Tarihi</t>
  </si>
  <si>
    <t>Sözleşmeye Göre İşin Süresi</t>
  </si>
  <si>
    <t>Sözleşmeye Göre İşin Bitim Tarihi</t>
  </si>
  <si>
    <t>Verilen Avanslar Toplamı</t>
  </si>
  <si>
    <t>Bir Önceki Hakediş No</t>
  </si>
  <si>
    <t>Bu Hakediş No</t>
  </si>
  <si>
    <t>Hakediş Tarihi</t>
  </si>
  <si>
    <t>-</t>
  </si>
  <si>
    <t>İDARE</t>
  </si>
  <si>
    <t>T.C. İSTANBUL BÜYÜKŞEHİR BELEDİYESİ</t>
  </si>
  <si>
    <t>Avrupa Yakası Raylı Sistem Müdürü</t>
  </si>
  <si>
    <t>Kontrol Mühendisi</t>
  </si>
  <si>
    <t>Hakan ARZU</t>
  </si>
  <si>
    <t>Atilla ALKAN</t>
  </si>
  <si>
    <t>Yavuz TAŞ</t>
  </si>
  <si>
    <t>DANIŞMAN</t>
  </si>
  <si>
    <t>İnşaat Kontrol Amiri</t>
  </si>
  <si>
    <t>Elektromekanik İşler Kontrol Amiri</t>
  </si>
  <si>
    <t>Aybüke YEĞEN</t>
  </si>
  <si>
    <t>YÜKLENİCİ</t>
  </si>
  <si>
    <t>Proje Müdürü</t>
  </si>
  <si>
    <t>Kemal YERLİ</t>
  </si>
  <si>
    <t>Teknik Ofis Müdürü</t>
  </si>
  <si>
    <t>Kirazlı-Halkalı Üniversite Metro Hattı İnşaat Ve Elektromekanik İşler İle M1 Hattı Elektromekanik Sistemleri Yapım İşi</t>
  </si>
  <si>
    <t>Yüksel Proje A.Ş.</t>
  </si>
  <si>
    <t>Kalyon-Özgün Metro İnşaatı Adi Ortaklığı Ticari İşletmesi</t>
  </si>
  <si>
    <t>21.982.861.000,00 TL + KDV</t>
  </si>
  <si>
    <t>1440 gün</t>
  </si>
  <si>
    <t>13.12.2024/59781</t>
  </si>
  <si>
    <t>13.12.2024-2024/1524796</t>
  </si>
  <si>
    <t>Raylı Sistem Daire Başkanı</t>
  </si>
  <si>
    <t>Ceyhun AVŞAR</t>
  </si>
  <si>
    <t>Ahmet ÖNAL</t>
  </si>
  <si>
    <t>İnşaat Müdür Yardımcısı</t>
  </si>
  <si>
    <t>Osman ŞAHİN</t>
  </si>
  <si>
    <t>E&amp;M Müdür Yardımcısı</t>
  </si>
  <si>
    <t>M.Zeki ERTÜRK</t>
  </si>
  <si>
    <t>Selçuk ŞİYHAN</t>
  </si>
  <si>
    <t>Ferhat KARAOĞLAN</t>
  </si>
  <si>
    <t>Uğur ERKEN</t>
  </si>
  <si>
    <t>Özkan SAĞIR</t>
  </si>
  <si>
    <t>Hasan Tecelli TEMÜZ</t>
  </si>
  <si>
    <t>Yasin YEŞİLDAĞ</t>
  </si>
  <si>
    <t>Ahmet Resul KESKİN</t>
  </si>
  <si>
    <t>Hakan KUK</t>
  </si>
  <si>
    <t>Hasan Fehmi KARACA</t>
  </si>
  <si>
    <t>Kontrol Teknikeri</t>
  </si>
  <si>
    <t>Osman Taha UYANIK</t>
  </si>
  <si>
    <t>YÜKSEL PROJE A.Ş.</t>
  </si>
  <si>
    <t>Fatih AYDIN</t>
  </si>
  <si>
    <t>KALYON-ÖZGÜN METRO İNŞAATI ADİ ORTAKLIĞI</t>
  </si>
  <si>
    <t>Serpil ÖZYILMAZ</t>
  </si>
  <si>
    <t>Bir</t>
  </si>
  <si>
    <t>İki</t>
  </si>
  <si>
    <t>Üç</t>
  </si>
  <si>
    <t>Dört</t>
  </si>
  <si>
    <t>Beş</t>
  </si>
  <si>
    <t>Altı</t>
  </si>
  <si>
    <t>Yedi</t>
  </si>
  <si>
    <t>Sekiz</t>
  </si>
  <si>
    <t>Dokuz</t>
  </si>
  <si>
    <t>On</t>
  </si>
  <si>
    <t>Yirmi</t>
  </si>
  <si>
    <t>Otuz</t>
  </si>
  <si>
    <t>Kırk</t>
  </si>
  <si>
    <t>Elli</t>
  </si>
  <si>
    <t>Altmış</t>
  </si>
  <si>
    <t>Yetmiş</t>
  </si>
  <si>
    <t>Seksen</t>
  </si>
  <si>
    <t>Doksan</t>
  </si>
  <si>
    <t>Yüz</t>
  </si>
  <si>
    <t>İkiyüz</t>
  </si>
  <si>
    <t>Üçyüz</t>
  </si>
  <si>
    <t>Dörtyüz</t>
  </si>
  <si>
    <t>Beşyüz</t>
  </si>
  <si>
    <t>Altıyüz</t>
  </si>
  <si>
    <t>Yediyüz</t>
  </si>
  <si>
    <t>Sekizyüz</t>
  </si>
  <si>
    <t>Dokuzyüz</t>
  </si>
  <si>
    <t>Proje Müdür Vekili</t>
  </si>
  <si>
    <t>Hakediş, Mukavele Takip, Kesin Hesap Kontrol Mühendisi</t>
  </si>
  <si>
    <t>DİZİ PUSULASI</t>
  </si>
  <si>
    <t>Sıra No</t>
  </si>
  <si>
    <t>Açıklama</t>
  </si>
  <si>
    <t>Sayfa Sayısı</t>
  </si>
  <si>
    <t>Bütçe Finansman ve Denetim Müdürlüğü'ne yazı</t>
  </si>
  <si>
    <t>Ödeme Emri Belgesi</t>
  </si>
  <si>
    <t>Fatura</t>
  </si>
  <si>
    <t>Vergi ve SGK Borcu Yoktur Yazıları</t>
  </si>
  <si>
    <t>Hakediş İtiraz Dilekçeleri</t>
  </si>
  <si>
    <t>Hakediş Raporu Kapağı ve İcmal</t>
  </si>
  <si>
    <t>İhtiyat ve Ek Kesin Teminat Kesintisi Yerine Verilen Teminat Mektupları Listesi, Avans Kesintisi Takip Tablosu</t>
  </si>
  <si>
    <t>Yeşil Defter Sayfaları</t>
  </si>
  <si>
    <t>Yüklenici Firmadan İşçi Alacağı Olmadığına Dair İlan Tutanağı</t>
  </si>
  <si>
    <t>All Risk Sigorta Poliçesi</t>
  </si>
  <si>
    <t>Vekaletname</t>
  </si>
  <si>
    <t>Yapılan İşler (İcmal Özet + İmalat)</t>
  </si>
  <si>
    <t>Metrajlar</t>
  </si>
  <si>
    <t>Uygulama Yılı</t>
  </si>
  <si>
    <t>Yapılan İşin Adı</t>
  </si>
  <si>
    <t>Yüklenici</t>
  </si>
  <si>
    <t>KALYON-ÖZGÜN METRO İNŞAATI ADİ ORTAKLIĞI TİCARİ İŞLETMESİ</t>
  </si>
  <si>
    <t xml:space="preserve">Kirazlı-Halkalı Üniversite Metro Hattı İnşaat Ve Elektromekanik İşler İle </t>
  </si>
  <si>
    <t>M1 Hattı Elektromekanik Sistemleri Yapım İşi</t>
  </si>
  <si>
    <t>T.C.</t>
  </si>
  <si>
    <t>İSTANBUL BÜYÜKŞEHİR BELEDİYESİ</t>
  </si>
  <si>
    <t>Raylı Sistem Daire Başkanlığı Avrupa Yakası Raylı Sistem Müdürlüğü</t>
  </si>
  <si>
    <t>İşverenin Adı</t>
  </si>
  <si>
    <t>Yüklenicinin Adı</t>
  </si>
  <si>
    <t>İhale Tenzilatı</t>
  </si>
  <si>
    <t>Sözleşme Tarihi</t>
  </si>
  <si>
    <t>Sözleşmeye Göre İşin Bitiş Tarihi</t>
  </si>
  <si>
    <t>Mahsubu Yapılan Avansın Miktarı</t>
  </si>
  <si>
    <t>En Son İlave Keşif Onayının Tarihi, No'su</t>
  </si>
  <si>
    <t>1440 Gün</t>
  </si>
  <si>
    <t>İlave Keşif  % 'si</t>
  </si>
  <si>
    <t>İlave Keşif Tutarı</t>
  </si>
  <si>
    <t>Toplam Keşif Bedeli</t>
  </si>
  <si>
    <t>Toplam İhale Bedeli</t>
  </si>
  <si>
    <t>Süre Uzatım Kararlarının</t>
  </si>
  <si>
    <t>Tarihi</t>
  </si>
  <si>
    <t>Sayısı</t>
  </si>
  <si>
    <t>Verilen Süre</t>
  </si>
  <si>
    <t>İSTANBUL BÜYÜKŞEHİR BELEDİYE BAŞKANLIĞI</t>
  </si>
  <si>
    <t>Diğer Kurum ve Kuruluşlarla İlgili İşler</t>
  </si>
  <si>
    <t>DİĞER KURUM VE KURULUŞLARLA İLGİLİ İŞLER</t>
  </si>
  <si>
    <t>HAKEDİŞ NO:</t>
  </si>
  <si>
    <t>A)</t>
  </si>
  <si>
    <t>TL</t>
  </si>
  <si>
    <t>İCMAL</t>
  </si>
  <si>
    <t>KABA ve İNCE İNŞAAT İŞLERİ</t>
  </si>
  <si>
    <t>Açıkta İnşaat İşleri</t>
  </si>
  <si>
    <t>Tünel İnşaat İşleri</t>
  </si>
  <si>
    <t>Jeoteknik Ölçümler</t>
  </si>
  <si>
    <t>İnce İnşaat İşleri</t>
  </si>
  <si>
    <t>ELEKTRİK İŞLERİ</t>
  </si>
  <si>
    <t>SİNYALİZASYON SİSTEMİ</t>
  </si>
  <si>
    <t>1.A</t>
  </si>
  <si>
    <t>1.B</t>
  </si>
  <si>
    <t>1.C</t>
  </si>
  <si>
    <t>1.D</t>
  </si>
  <si>
    <t>HABERLEŞME KONTROL VE SİSTEMLERİ</t>
  </si>
  <si>
    <t>ÇEVRESEL KONTROL SİSTEMİ</t>
  </si>
  <si>
    <t>YARDIMCI TESİSLER</t>
  </si>
  <si>
    <t>YÜRÜYEN MERDİVEN</t>
  </si>
  <si>
    <t>DEMİRYOLU İŞLERİ</t>
  </si>
  <si>
    <t>GENEL HİZMETLER</t>
  </si>
  <si>
    <t>M1A ve M1B İŞLERİ</t>
  </si>
  <si>
    <t>FATURALI GİDERLER</t>
  </si>
  <si>
    <t>SÖZLEŞME BEDELİ (TL)</t>
  </si>
  <si>
    <t>İMALAT İŞLERİ TOPLAMI</t>
  </si>
  <si>
    <t>İHZARAT İŞLERİ TOPLAMI</t>
  </si>
  <si>
    <t>B)</t>
  </si>
  <si>
    <t>İMALAT ve İHZARAT TUTARI</t>
  </si>
  <si>
    <t>C)</t>
  </si>
  <si>
    <t>D)</t>
  </si>
  <si>
    <t>E)</t>
  </si>
  <si>
    <t>TARİHLERİ ARASINDA YAPILAN İŞLERİN</t>
  </si>
  <si>
    <t>ile</t>
  </si>
  <si>
    <t>Bir Önceki Hakediş Tarihi</t>
  </si>
  <si>
    <t>Sosyal Sigortalar Kurumu Kesintisi</t>
  </si>
  <si>
    <t>İdare Makinası Kiraları</t>
  </si>
  <si>
    <t>Gecikme Cezası</t>
  </si>
  <si>
    <t>KDV Kanununa göre yapılacak Tevkifatlar</t>
  </si>
  <si>
    <t>Kesintiler Toplamı</t>
  </si>
  <si>
    <t>#</t>
  </si>
  <si>
    <t>Verilen Keşif Artışları</t>
  </si>
  <si>
    <t>Hakediş 
No</t>
  </si>
  <si>
    <t>Hakediş
Dönemi</t>
  </si>
  <si>
    <t>Hakediş Tutarı
( Aylık )</t>
  </si>
  <si>
    <t>Hakediş Tutarı
( Kümülatif )</t>
  </si>
  <si>
    <t>Avans
Kesintisi Tutarı</t>
  </si>
  <si>
    <t>Avans
Kesintisi Tutarı
( Kümülatif )</t>
  </si>
  <si>
    <t>İş Programı
Nakit Akış (Ay )</t>
  </si>
  <si>
    <t>İş Programı Nakit Akış
( Aylık )</t>
  </si>
  <si>
    <t>İş Programı Nakit Akış
( Kümülatif )</t>
  </si>
  <si>
    <t>İş Programı Nakit Akışına Göre
Hakediş Tutarı</t>
  </si>
  <si>
    <t>Fiyat Farkına
Tabi Tutar
( An )</t>
  </si>
  <si>
    <t>B=0,90</t>
  </si>
  <si>
    <t>Ödenmesi Gereken 
Fiyat Farkı Tutarı 
(F = An x B x ( Pn - 1 )</t>
  </si>
  <si>
    <t>Bir Önceki Hakediş Fiyat
Farkı Tutarı</t>
  </si>
  <si>
    <t>Bu Hakedişte
Ödenecek
Fiyat Farkı Tutarı</t>
  </si>
  <si>
    <t>a</t>
  </si>
  <si>
    <t>b</t>
  </si>
  <si>
    <t>d</t>
  </si>
  <si>
    <t>e</t>
  </si>
  <si>
    <t>f</t>
  </si>
  <si>
    <t>g</t>
  </si>
  <si>
    <t>m</t>
  </si>
  <si>
    <t>n</t>
  </si>
  <si>
    <t>o</t>
  </si>
  <si>
    <t>p = n - o</t>
  </si>
  <si>
    <t>h = g x % 15,00</t>
  </si>
  <si>
    <t>c = a x % 15,00</t>
  </si>
  <si>
    <t>Hakediş Tarihi :</t>
  </si>
  <si>
    <t>Hakediş No :</t>
  </si>
  <si>
    <t xml:space="preserve">İstanbul Büyükşehir Belediyesi </t>
  </si>
  <si>
    <t>FİYAT FARKI İCMALİ</t>
  </si>
  <si>
    <t>YEŞİL DEFTER</t>
  </si>
  <si>
    <t>Adı:</t>
  </si>
  <si>
    <t>İdare:</t>
  </si>
  <si>
    <t>T.C. İSTANBUL BÜYÜKŞEHİR BELEDİYESİ RAYLI SİSTEM DAİRE BAŞKANLIĞI AVRUPA YAKASI RAYLI SİSTEM MÜDÜRLÜĞÜ</t>
  </si>
  <si>
    <t>Danışman:</t>
  </si>
  <si>
    <t>Yüklenici:</t>
  </si>
  <si>
    <t>İhale Bedeli:</t>
  </si>
  <si>
    <t>İŞİN</t>
  </si>
  <si>
    <t>Tarih</t>
  </si>
  <si>
    <t>İmza</t>
  </si>
  <si>
    <t>Adı Soyadı</t>
  </si>
  <si>
    <t>001</t>
  </si>
  <si>
    <t>Binaların Yıkılması</t>
  </si>
  <si>
    <t>m²</t>
  </si>
  <si>
    <t>002.A</t>
  </si>
  <si>
    <t>Demirli ve Demirsiz Betonun Kompresörle Kırılması</t>
  </si>
  <si>
    <t>m³</t>
  </si>
  <si>
    <t>002.B</t>
  </si>
  <si>
    <t>Demirli ve Demirsiz Betonun Ekskavatör veya Benzeri İş Makinesi ile Kırılması</t>
  </si>
  <si>
    <t>002.C</t>
  </si>
  <si>
    <t>Karot Delme ve Beton Kesme Makineları ile Her Türlü Betonun Kesilmesi</t>
  </si>
  <si>
    <t>003</t>
  </si>
  <si>
    <t>Her tip zeminde ve kayada, her derinlikte kazı yapılması (nakliye, döküm ve kazı sırasındaki drenaj dahil) (Açık Alanda)</t>
  </si>
  <si>
    <t>004.A</t>
  </si>
  <si>
    <t>Kazıdan Çıkan veya Ariyetten Alınan Malzeme ile Dolgu Yapılması</t>
  </si>
  <si>
    <t>004.B</t>
  </si>
  <si>
    <t>Kum, Çakıl, Kırma Tas ve Benzeri Malzeme ile Dolgu Yapılması</t>
  </si>
  <si>
    <t>005</t>
  </si>
  <si>
    <t>Püskürtme Beton (Açık alanda)</t>
  </si>
  <si>
    <t>006.A</t>
  </si>
  <si>
    <t>125 mm Delik İçine 14 mm Kalınlığında S420a ile Zemin Çivisi Teşkili</t>
  </si>
  <si>
    <t>006.B</t>
  </si>
  <si>
    <t>125 mm Delik İçine 26 mm Kalınlığında S420a ile Zemin Çivisi Teşkili</t>
  </si>
  <si>
    <t>007.A</t>
  </si>
  <si>
    <t>L=3 m Kaya Bulonu</t>
  </si>
  <si>
    <t>adet</t>
  </si>
  <si>
    <t>007.B</t>
  </si>
  <si>
    <t>L=4 m Kaya Bulonu</t>
  </si>
  <si>
    <t>007.C</t>
  </si>
  <si>
    <t>L=5 m Kaya Bulonu</t>
  </si>
  <si>
    <t>007.D</t>
  </si>
  <si>
    <t>L=6 m Kaya Bulonu</t>
  </si>
  <si>
    <t>008</t>
  </si>
  <si>
    <t>Kalıp (Açık Alanda)</t>
  </si>
  <si>
    <t>009.A</t>
  </si>
  <si>
    <t>Demirsiz C16/C20 Beton İmali ve Dökülmesi</t>
  </si>
  <si>
    <t>009.B</t>
  </si>
  <si>
    <t>Demirli C30/37 Beton İmali ve Dökülmesi</t>
  </si>
  <si>
    <t>010.A</t>
  </si>
  <si>
    <t>Çelik Donatı (S420a)</t>
  </si>
  <si>
    <t>ton</t>
  </si>
  <si>
    <t>010.B</t>
  </si>
  <si>
    <t>Çelik hasır (S500)</t>
  </si>
  <si>
    <t>011.A</t>
  </si>
  <si>
    <t>Dikey yüzeylerde su yalıtımı uygulaması (dış yüzeye geotekstil keçe, 2 mm kalınlıklı PVC membran, uygulama yüzeyinin İdarenin uygun gördüğü malzeme ile düzeltilmesi dahil)</t>
  </si>
  <si>
    <t>011.B</t>
  </si>
  <si>
    <t>Temel döşemesinde su yalıtımı uygulaması (iç ve dış yüzeye geotekstil keçe, 2 mm kalınlıklı PVC membran ve hasır çelik donatılı koruma betonu dahil)</t>
  </si>
  <si>
    <t>011.C</t>
  </si>
  <si>
    <t>Üst döşemede su yalıtımı uygulaması (iç ve dış yüzeye geotekstil keçe, 2 mm kalınlıklı PVC membran ve hasır çelik donatılı koruma betonu dahil)</t>
  </si>
  <si>
    <t>012</t>
  </si>
  <si>
    <t>Su Tutucular (Açık Alanda)</t>
  </si>
  <si>
    <t>013.A</t>
  </si>
  <si>
    <t>Barbaros İst. İksa Yapılması</t>
  </si>
  <si>
    <t>013.B</t>
  </si>
  <si>
    <t>Malazgirt İst. İksa Yapılması</t>
  </si>
  <si>
    <t>013.C</t>
  </si>
  <si>
    <t>Fatih İst. İksa Yapılması</t>
  </si>
  <si>
    <t>013.D</t>
  </si>
  <si>
    <t>Halkalı Üniversite İst. İksa Yapılması</t>
  </si>
  <si>
    <t>013.E</t>
  </si>
  <si>
    <t>Şaftlarda İksa Yapılması</t>
  </si>
  <si>
    <t>013.F</t>
  </si>
  <si>
    <t>014.A</t>
  </si>
  <si>
    <t>Barbaros İstasyonunun Topraklama Tesisinin Temin ve Yerleştirilmesi</t>
  </si>
  <si>
    <t>set</t>
  </si>
  <si>
    <t>014.B</t>
  </si>
  <si>
    <t>Malazgirt İstasyonunun Topraklama Tesisinin Temin ve Yerleştirilmesi</t>
  </si>
  <si>
    <t>014.C</t>
  </si>
  <si>
    <t>Fatih İstasyonunun Topraklama Tesisinin Temin ve Yerleştirilmesi</t>
  </si>
  <si>
    <t>014.D</t>
  </si>
  <si>
    <t>Halkalı Üniversite İstasyonunun Topraklama Tesisinin Temin ve Yerleştirilmesi</t>
  </si>
  <si>
    <t>015.A</t>
  </si>
  <si>
    <t>Barbaros İstasyonu İnşaat Alanının Eski Haline Getirilmesi veya Yeniden Düzenlenmesi İşleri (IS-01)</t>
  </si>
  <si>
    <t>015.B</t>
  </si>
  <si>
    <t>Malazgirt İstasyonunun İnşaat Alanının Eski Haline Getirilmesi veya Yeniden Düzenlenmesi İşleri (IS-02)</t>
  </si>
  <si>
    <t>015.C</t>
  </si>
  <si>
    <t>Fatih İstasyonunun İnşaat Alanının Eski Haline Getirilmesi veya Yeniden Düzenlenmesi İşleri (IS-04)</t>
  </si>
  <si>
    <t>015.D</t>
  </si>
  <si>
    <t>Halkalı Üniversite İstasyonunun İnşaat Alanının Eski Haline Getirilmesi veya Yeniden Düzenlenmesi İşleri (IS-05)</t>
  </si>
  <si>
    <t>016.A</t>
  </si>
  <si>
    <t>Barbaros İstasyonu İnşaat İşleri Tasarım Hizmetleri</t>
  </si>
  <si>
    <t>016.B</t>
  </si>
  <si>
    <t>Malazgirt İstasyonu İnşaat İşleri Tasarım Hizmetleri</t>
  </si>
  <si>
    <t>016.C</t>
  </si>
  <si>
    <t>Mimar Sinan İstasyonu İnşaat İşleri Tasarım Hizmetleri</t>
  </si>
  <si>
    <t>016.D</t>
  </si>
  <si>
    <t>Fatih İstasyonu İnşaat İşleri Tasarım Hizmetleri</t>
  </si>
  <si>
    <t>016.E</t>
  </si>
  <si>
    <t>Halkalı Üniversite İstasyonu İnşaat İşleri Tasarım Hizmetleri</t>
  </si>
  <si>
    <t>016.F</t>
  </si>
  <si>
    <t>Kirazlı- Halkalı Üniversite Kuyruk Tüneli Arası Hat Yapıları İnşaat İşleri Tasarım Hizmetleri</t>
  </si>
  <si>
    <t>017.A</t>
  </si>
  <si>
    <t>Barbaros İstasyonu Mimari ve İnce İşleri Tasarım Hizmetleri</t>
  </si>
  <si>
    <t>017.B</t>
  </si>
  <si>
    <t>Malazgirt İstasyonu Mimari ve İnce İşleri Tasarım Hizmetleri</t>
  </si>
  <si>
    <t>017.C</t>
  </si>
  <si>
    <t>Mimar Sinan İstasyonu Mimari ve İnce İşleri Tasarım Hizmetleri</t>
  </si>
  <si>
    <t>017.D</t>
  </si>
  <si>
    <t>Fatih İstasyonu Mimari ve İnce İşleri Tasarım Hizmetleri</t>
  </si>
  <si>
    <t>017.E</t>
  </si>
  <si>
    <t>Halkalı Üniversite İstasyonu Mimari ve İnce İşleri Tasarım Hizmetleri</t>
  </si>
  <si>
    <t>018</t>
  </si>
  <si>
    <t>Geleneksel (NATM) Tünel Kazısı</t>
  </si>
  <si>
    <t>019.A</t>
  </si>
  <si>
    <t>Kazıdan çıkan veya Ariyetten alınan malzeme ile geri dolgu yapılması</t>
  </si>
  <si>
    <t>019.B</t>
  </si>
  <si>
    <t>020</t>
  </si>
  <si>
    <t>Püskürtme Beton (Tünel ve Şaftlarda)</t>
  </si>
  <si>
    <t>021.A</t>
  </si>
  <si>
    <t>Delgi boyu =&lt; 30m</t>
  </si>
  <si>
    <t>021.B</t>
  </si>
  <si>
    <t>Delgi boyu &gt; 30m</t>
  </si>
  <si>
    <t>022.A</t>
  </si>
  <si>
    <t>022.B</t>
  </si>
  <si>
    <t>022.C</t>
  </si>
  <si>
    <t>022.D</t>
  </si>
  <si>
    <t>022.E</t>
  </si>
  <si>
    <t>L=8 m Kaya Bulonu</t>
  </si>
  <si>
    <t>023.A</t>
  </si>
  <si>
    <t>023.B</t>
  </si>
  <si>
    <t>024</t>
  </si>
  <si>
    <t>Çelik İksa (Tünel ve Şaftlarda)</t>
  </si>
  <si>
    <t>025</t>
  </si>
  <si>
    <t>Umbrella Arch Yapılması</t>
  </si>
  <si>
    <t>026.A</t>
  </si>
  <si>
    <t>Tünel ve şaftlarda su yalıtımı, birim ağırlığı &gt;=500 g/metrekare geotekstil keçe</t>
  </si>
  <si>
    <t>026.B</t>
  </si>
  <si>
    <t>Tünel ve şaftlarda su yalıtımı, 2mm kalınlıklı PVC membran</t>
  </si>
  <si>
    <t>027</t>
  </si>
  <si>
    <t>Su Tutucular (Tünel ve Şaftlarda)</t>
  </si>
  <si>
    <t>028.A</t>
  </si>
  <si>
    <t>Kalıp (invert ve şaft için)</t>
  </si>
  <si>
    <t>028.B</t>
  </si>
  <si>
    <t>Kalıp (duvar ve kemer İçin)</t>
  </si>
  <si>
    <t>028.C</t>
  </si>
  <si>
    <t>Tip Kesit Dışı Konstrüksiyon Kalıbı, Tünel Alın Kalıbı</t>
  </si>
  <si>
    <t>029.A</t>
  </si>
  <si>
    <t>C16 Beton İmali ve Dökülmesi (Tünel ve Şaftlarda)</t>
  </si>
  <si>
    <t>029.B</t>
  </si>
  <si>
    <t>C30 Beton İmali ve Dökülmesi (Tünel ve Şaftlarda) Tünel kaplaması, invert ve şaftlardaki alt döşeme</t>
  </si>
  <si>
    <t>029.C</t>
  </si>
  <si>
    <t>C30 Beton İmali ve Dökülmesi (Tünel ve Şaftlarda) Yan duvarlar, kemer</t>
  </si>
  <si>
    <t>029.D</t>
  </si>
  <si>
    <t>Diğer Kesit Dışındaki Yapıların Betonu C30</t>
  </si>
  <si>
    <t>030.A</t>
  </si>
  <si>
    <t>Çelik Donatı (S220 )</t>
  </si>
  <si>
    <t>030.B</t>
  </si>
  <si>
    <t>Çelik Donatı (S420a )</t>
  </si>
  <si>
    <t>030.C</t>
  </si>
  <si>
    <t>Çelik hasır (S500 )</t>
  </si>
  <si>
    <t>030.D</t>
  </si>
  <si>
    <t>Paslanmaz Çelik Plaka</t>
  </si>
  <si>
    <t>kg</t>
  </si>
  <si>
    <t>030.E</t>
  </si>
  <si>
    <t>Block-out Kutusu</t>
  </si>
  <si>
    <t>031</t>
  </si>
  <si>
    <t>TBM/EPB Tünel İnşaatı</t>
  </si>
  <si>
    <t>032</t>
  </si>
  <si>
    <t>Araştırma Sondajı Yapılması ve Raporları</t>
  </si>
  <si>
    <t>033</t>
  </si>
  <si>
    <t>Geomekanik İzleme Aletleri temini ve montajı</t>
  </si>
  <si>
    <t>034</t>
  </si>
  <si>
    <t>Geomekanik İzleme için ölçümlerin okunması, işlenmesi, sunumu ve değerlendirilmesi</t>
  </si>
  <si>
    <t>101</t>
  </si>
  <si>
    <t>Çimento Esaslı Sürme Su Yalıtımı Yapılması</t>
  </si>
  <si>
    <t>102</t>
  </si>
  <si>
    <t>SCR.01 - Şap</t>
  </si>
  <si>
    <t>103</t>
  </si>
  <si>
    <t>Tesviye Tabakası Yapılması</t>
  </si>
  <si>
    <t>104.A</t>
  </si>
  <si>
    <t>PA.01 - 60x60 granit seramik zemin kaplama- Gri (RAL 7026)</t>
  </si>
  <si>
    <t>104.B</t>
  </si>
  <si>
    <t>PA.02 - 30x30 granit seramik zemin kaplama- Gri (RAL 7026)</t>
  </si>
  <si>
    <t>104.C</t>
  </si>
  <si>
    <t>PA.02B - 30x30 granit seramik duvar kaplama- Gri (RAL 7026)</t>
  </si>
  <si>
    <t>105.A</t>
  </si>
  <si>
    <t>PA.03 - 40x40cm Açık Gri Porselen Karo (Granit seramik)- Dur İkaz/uyarı karosu , Seramik Yapıştırma Harcı dahil</t>
  </si>
  <si>
    <t>105.B</t>
  </si>
  <si>
    <t>PA.04 - 40x40cm Açık Gri Porselen Karo (Granit seramik)- Klavuz/yönlendirme Seramik Yapıştırma Harcı</t>
  </si>
  <si>
    <t>106.A</t>
  </si>
  <si>
    <t>PA.03A - 40x40cm Açık çimento Porselen Karo (Granit seramik)- İkaz/uyarı - Seramik Yapıştırma Harcı</t>
  </si>
  <si>
    <t>106.B</t>
  </si>
  <si>
    <t>PA.04A - 40x40cm Açık çimento Porselen Karo (Granit seramik)- Klavuz/yönlendirme- Seramik Yapıştırma Harcı</t>
  </si>
  <si>
    <t>107.A</t>
  </si>
  <si>
    <t>PA.07 - "Aksaray Yaylak" granit zemin kaplama-mucertalı, 30cm*serbest boy (en az 60cm) *min3cm</t>
  </si>
  <si>
    <t>107.B</t>
  </si>
  <si>
    <t>PA.07 - Ankara Füme granit zemin kaplama-mucertalı, 30cm*serbest boy (en az 60cm) *min3cm</t>
  </si>
  <si>
    <t>107.C</t>
  </si>
  <si>
    <t>PA.07 - Hisar Gri granit zemin kaplama-mucertalı, 30cm*serbest boy (en az 60cm) *min3cm</t>
  </si>
  <si>
    <t>107.D</t>
  </si>
  <si>
    <t>PA.07A -"Aksaray Yaylak" granit merdiven basamak kaplama-mucertalı, 30cm*serbest boy (en az 60cm) *min3cm</t>
  </si>
  <si>
    <t>107.E</t>
  </si>
  <si>
    <t>PA.07A - Ankara Füme granit merdiven basamak kaplama-mucertalı, 30cm*serbest boy (en az 60cm) *min3cm</t>
  </si>
  <si>
    <t>107.F</t>
  </si>
  <si>
    <t>PA.07A - Hisar Gri granit merdiven basamak kaplama-mucertalı, 30cm*serbest boy (en az 60cm) *min3cm</t>
  </si>
  <si>
    <t>108</t>
  </si>
  <si>
    <t>PA.05 - Yükseltilmiş Döşeme</t>
  </si>
  <si>
    <t>109</t>
  </si>
  <si>
    <t>PA.06 - Ağır ekipmanlar için yükseltilmiş döşeme</t>
  </si>
  <si>
    <t>110</t>
  </si>
  <si>
    <t>PA.09 -Yüzey Sertleştiricili Beton Kaplama Yapılması</t>
  </si>
  <si>
    <t>111</t>
  </si>
  <si>
    <t>Hazır Beton Bordür Döşenmesi</t>
  </si>
  <si>
    <t>112</t>
  </si>
  <si>
    <t>Epoksi döşeme kaplaması yapılması</t>
  </si>
  <si>
    <t>113</t>
  </si>
  <si>
    <t>Prekast U Kanalı Yapılması</t>
  </si>
  <si>
    <t>114.A</t>
  </si>
  <si>
    <t>Duvarda dilatasyon profili</t>
  </si>
  <si>
    <t>114.B</t>
  </si>
  <si>
    <t>Tavanda dilatasyon profili</t>
  </si>
  <si>
    <t>114.C</t>
  </si>
  <si>
    <t>Döşemede dilatasyon profili</t>
  </si>
  <si>
    <t>115.A</t>
  </si>
  <si>
    <t>Metal Panel Asma Tavan Yapılması</t>
  </si>
  <si>
    <t>115.B</t>
  </si>
  <si>
    <t>Alüminyum Baffle Asma Tavan Yapılması (20x100 mm)</t>
  </si>
  <si>
    <t>116</t>
  </si>
  <si>
    <t>Akustik Elemanla Ses Yalıtımı</t>
  </si>
  <si>
    <t>117.A</t>
  </si>
  <si>
    <t>ALM.02 - Boyalı L forumda süpürgelik RAL7026</t>
  </si>
  <si>
    <t>117.B</t>
  </si>
  <si>
    <t>ALM.03 - Boyalı I formunda süpürgelik RAL7026</t>
  </si>
  <si>
    <t>118</t>
  </si>
  <si>
    <t>12 mm Çimento Esaslı Levhalarla iki yüz, Çift kat Tek iskeletli taş yünü levha dolgulu bölme duvar yapılması</t>
  </si>
  <si>
    <t>119.A</t>
  </si>
  <si>
    <t>ALM.01 - Gaz beton veya beton duvarlara monte edilecek konstrüksiyonlu Mat Aluminyum Paneller RAL 3002</t>
  </si>
  <si>
    <t>119.B</t>
  </si>
  <si>
    <t>ALM.01A - Döşemeye Asılan Konstrüksiyonlu Mat Aluminyum Paneller RAL 3002</t>
  </si>
  <si>
    <t>119.C</t>
  </si>
  <si>
    <t>ALM.01B - Döşeme Üzerine Monte Edilen Konstrüksiyonlu Mat Aluminyum Paneller RAL 3002</t>
  </si>
  <si>
    <t>119.D</t>
  </si>
  <si>
    <t>ALM.04 - Aluminyum bitiş aksesuarı</t>
  </si>
  <si>
    <t>120.A</t>
  </si>
  <si>
    <t>CL.01 - Çimento Esaslı Ahşap Lifli Paneller ile güçlendirilmiş Bükülebilir Düz Seramik Panel RAL7035 Kalınlık=5mm</t>
  </si>
  <si>
    <t>120.B</t>
  </si>
  <si>
    <t>CL.02 - Konstrüksiyonlu Bükülebilir Düz Seramik Panel RAL7035 Kalınlık=5mm</t>
  </si>
  <si>
    <t>120.C</t>
  </si>
  <si>
    <t>CL.03 - Tünel Tip İstasyonlarda Çimento Esaslı Ahşap Lifli Paneller ile güçlendirilmiş Bükülebilir Seramik Panel, RAL7035 Kalınlık=5mm Yarıçap=5m</t>
  </si>
  <si>
    <t>121.A</t>
  </si>
  <si>
    <t>PA.08 - "Aksaray Yaylak" granit duvar kaplama (yapıştırma)-mucertalı, 30cm*serbest boy (en az 60cm) *2cm</t>
  </si>
  <si>
    <t>121.B</t>
  </si>
  <si>
    <t>PA.08 - Ankara Füme granit duvar kaplama (yapıştırma)-mucertalı, 30cm*serbest boy (en az 60cm) *2cm</t>
  </si>
  <si>
    <t>121.C</t>
  </si>
  <si>
    <t>PA.08 - Hisar Gri granit duvar kaplama (yapıştırma)-mucertalı, 30cm*serbest boy (en az 60cm) *2cm</t>
  </si>
  <si>
    <t>122.A</t>
  </si>
  <si>
    <t>PA.08A - "Aksaray Yaylak" granit duvar kaplama (galvaniz çelik konstüksiyonlu)-mucertalı, 30cm*serbest boy (en az 60cm) *2cm</t>
  </si>
  <si>
    <t>122.B</t>
  </si>
  <si>
    <t>PA.08A - Ankara Füme granit duvar kaplama (galvaniz çelik konstüksiyonlu)-mucertalı, 30cm*serbest boy (en az 60cm) *2cm</t>
  </si>
  <si>
    <t>122.C</t>
  </si>
  <si>
    <t>PA.08A - Hisar Gri granit duvar kaplama (galvaniz çelik konstüksiyonlu)-mucertalı, 30cm*serbest boy (en az 60cm) *2cm</t>
  </si>
  <si>
    <t>123</t>
  </si>
  <si>
    <t>Aside Dayanıklı Granit Seramik Duvar Kaplaması Yapılması</t>
  </si>
  <si>
    <t>124</t>
  </si>
  <si>
    <t>Mat Granit Seramik Döşeme Kaplaması Yapılması (Aside Dayanıklı)</t>
  </si>
  <si>
    <t>125.A</t>
  </si>
  <si>
    <t>Granit Katkılı Terrazo Harpuşta Yapılması (4 cm kalınlıkta parapet üstü)</t>
  </si>
  <si>
    <t>125.B</t>
  </si>
  <si>
    <t>Granit Denizlik Yapılması (4 cm kalınlıkta, Bilet gişesi ve İst. Kontrol Odası Pencerelerinde)</t>
  </si>
  <si>
    <t>126.A</t>
  </si>
  <si>
    <t>8 cm kalınlıklı gaz beton duvar</t>
  </si>
  <si>
    <t>126.B</t>
  </si>
  <si>
    <t>20 cm kalınlıklı gaz beton duvar</t>
  </si>
  <si>
    <t>127</t>
  </si>
  <si>
    <t>İç mekan duvar sıvası</t>
  </si>
  <si>
    <t>128</t>
  </si>
  <si>
    <t>Dış mekan duvar sıvası</t>
  </si>
  <si>
    <t>129</t>
  </si>
  <si>
    <t>Su Dayanıklı Boya Yapılması</t>
  </si>
  <si>
    <t>130</t>
  </si>
  <si>
    <t>ST.01 - Cam Panel</t>
  </si>
  <si>
    <t>131</t>
  </si>
  <si>
    <t>ST.02 - Paslanmaz çelik (INOX) küpeşte</t>
  </si>
  <si>
    <t>132</t>
  </si>
  <si>
    <t>ST.03 - Paslanmaz çelik cam tutucu</t>
  </si>
  <si>
    <t>133</t>
  </si>
  <si>
    <t>ST.04 - Paslanmaz çelik korkuluk</t>
  </si>
  <si>
    <t>134</t>
  </si>
  <si>
    <t>Sarmal kepenkli giriş kapısı ve montajı</t>
  </si>
  <si>
    <t>135</t>
  </si>
  <si>
    <t>SE.01 - İç mekan oturma elemanları</t>
  </si>
  <si>
    <t>136</t>
  </si>
  <si>
    <t>SE.02 - Dış mekan oturma elemanları</t>
  </si>
  <si>
    <t>137.A</t>
  </si>
  <si>
    <t>Yön(1-2-3-4-5-6-7-10-11-12-13-14-15-16-17-18-20-21-22-23-80-81-82-83-84-85-86-87-88-89)</t>
  </si>
  <si>
    <t>137.B</t>
  </si>
  <si>
    <t>İstasyon İsmi(24-25)</t>
  </si>
  <si>
    <t>137.C</t>
  </si>
  <si>
    <t>Güzergah haritası(30-31-32-50)</t>
  </si>
  <si>
    <t>137.D</t>
  </si>
  <si>
    <t>Ayaklı bilgi panosu(33)</t>
  </si>
  <si>
    <t>137.E</t>
  </si>
  <si>
    <t>Acil durum(40-41-42-43)</t>
  </si>
  <si>
    <t>137.F</t>
  </si>
  <si>
    <t>Braille merdiven bilgisi(51)</t>
  </si>
  <si>
    <t>137.G</t>
  </si>
  <si>
    <t>Konum bilgisi(60-70)</t>
  </si>
  <si>
    <t>137.H</t>
  </si>
  <si>
    <t>Yön bilgisi(61-62-63-64-71-72-73-74-75-76)</t>
  </si>
  <si>
    <t>138.A</t>
  </si>
  <si>
    <t>Çift Kanatlı Yangına Dayanıklı Kapı (240x350cm)</t>
  </si>
  <si>
    <t>138.B</t>
  </si>
  <si>
    <t>Çift Kanatlı Yangına Dayanıklı Kapı (180x350cm)</t>
  </si>
  <si>
    <t>138.C</t>
  </si>
  <si>
    <t>Çift Kanatlı Yangına Dayanıklı Kapı (180x250cm)</t>
  </si>
  <si>
    <t>138.D</t>
  </si>
  <si>
    <t>Çift Kanatlı Yangına Dayanıklı Kapı (120x250cm)</t>
  </si>
  <si>
    <t>138.E</t>
  </si>
  <si>
    <t>Çift Kanatlı Yangına Dayanıklı Kapı (240x210cm)</t>
  </si>
  <si>
    <t>138.F</t>
  </si>
  <si>
    <t>Çift Kanatlı Yangına Dayanıklı Kapı (180x210cm)</t>
  </si>
  <si>
    <t>138.G</t>
  </si>
  <si>
    <t>Çift Kanatlı Yangına Dayanıklı Kapı (140x210cm)</t>
  </si>
  <si>
    <t>138.H</t>
  </si>
  <si>
    <t>Çift Kanatlı Yangına Dayanıklı Kapı (120x210cm)</t>
  </si>
  <si>
    <t>138.I</t>
  </si>
  <si>
    <t>Tek Kanatlı Yangına Dayanıklı Kapı (100x210cm)</t>
  </si>
  <si>
    <t>138.J</t>
  </si>
  <si>
    <t>Tek Kanatlı Yangına Dayanıklı Kapı (90x210cm)</t>
  </si>
  <si>
    <t>138.K</t>
  </si>
  <si>
    <t>Tek Kanatlı Yangına Dayanıklı Kapı (70x210cm)</t>
  </si>
  <si>
    <t>138.L</t>
  </si>
  <si>
    <t>Çift Kanatlı Yangına Dayanıklı Kapı (180x220cm) (ara geçiş tünelleri ve acil kaçış şaft kapılarında)</t>
  </si>
  <si>
    <t>139.A</t>
  </si>
  <si>
    <t>Tek Kanatlı Tuvalet Giriş Kapısı (70x200cm)</t>
  </si>
  <si>
    <t>140</t>
  </si>
  <si>
    <t>Alüminyum Doğrama İşleri</t>
  </si>
  <si>
    <t>141</t>
  </si>
  <si>
    <t>Pencere Camı</t>
  </si>
  <si>
    <t>142</t>
  </si>
  <si>
    <t>Paslanmaz Çelik Profillerle İmalat Yapılması</t>
  </si>
  <si>
    <t>143</t>
  </si>
  <si>
    <t>ST.08 - 12x12 cm Paslanmaz çelik (INOX) "L" profiller (köşebent)</t>
  </si>
  <si>
    <t>144</t>
  </si>
  <si>
    <t>ST.11 Cam Montajı için Paslanmaz Çelik (INOX) Ankraj (Asansör Kovalarında)</t>
  </si>
  <si>
    <t>145</t>
  </si>
  <si>
    <t>FLT.01 - Paslanmaz Çelik (INOX) etekler</t>
  </si>
  <si>
    <t>146</t>
  </si>
  <si>
    <t>FLT.02 - Paslanmaz Çelik (INOX) plakalar</t>
  </si>
  <si>
    <t>147</t>
  </si>
  <si>
    <t>BLD.01 - Paslanmaz çelik (INOX) mantar bariyerler</t>
  </si>
  <si>
    <t>148</t>
  </si>
  <si>
    <t>GRD.01 - Galvaniz Çelik Kaynaklı Izgara Panelleri</t>
  </si>
  <si>
    <t>149</t>
  </si>
  <si>
    <t>GRD.02 - Galvaniz Çelik Kaynaklı Panjur Panelleri</t>
  </si>
  <si>
    <t>150.A</t>
  </si>
  <si>
    <t>Izgara- Kaldırımda</t>
  </si>
  <si>
    <t>150.B</t>
  </si>
  <si>
    <t>Izgara- Yolda (ağır tip)</t>
  </si>
  <si>
    <t>151</t>
  </si>
  <si>
    <t>GRD.04 - Galvaniz Çelik Kare Rögar Kapağı</t>
  </si>
  <si>
    <t>152</t>
  </si>
  <si>
    <t>PP.01 - Delikli saç paneller</t>
  </si>
  <si>
    <t>153</t>
  </si>
  <si>
    <t>Kafesli sabit merdiven</t>
  </si>
  <si>
    <t>154</t>
  </si>
  <si>
    <t>Çeşitli Galvanizli Demir İşleri Yapılması</t>
  </si>
  <si>
    <t>155</t>
  </si>
  <si>
    <t>Çeşitli Demir İşleri Yapılması</t>
  </si>
  <si>
    <t>156</t>
  </si>
  <si>
    <t>Demir İmalata Yağlı Boya Yapılması</t>
  </si>
  <si>
    <t>157</t>
  </si>
  <si>
    <t>MSN.01 - İstasyon İsim Tabelası (Arkadan Aydınlatmalı)</t>
  </si>
  <si>
    <t>158</t>
  </si>
  <si>
    <t>MSN.02 - İstasyon Girişlerinde Metro Totemi Yapılması</t>
  </si>
  <si>
    <t>159</t>
  </si>
  <si>
    <t>MED.01 Acil çıkış kapısı - mekanik aksamlı, elle açılır</t>
  </si>
  <si>
    <t>201</t>
  </si>
  <si>
    <t>Güç Temini ve Cer Gücü Tasarımı</t>
  </si>
  <si>
    <t>202.A</t>
  </si>
  <si>
    <t>Barbaros İstasyonu - 34,5 kV Şalt Sistemi</t>
  </si>
  <si>
    <t>202.B</t>
  </si>
  <si>
    <t>Malazgirt İstasyonu - 34,5 kV Şalt Sistemi</t>
  </si>
  <si>
    <t>202.C</t>
  </si>
  <si>
    <t>Mimar Sinan İstasyonu - 34,5 kV Şalt Sistemi</t>
  </si>
  <si>
    <t>202.D</t>
  </si>
  <si>
    <t>Fatih İstasyonu - 34,5 kV Şalt Sistemi</t>
  </si>
  <si>
    <t>202.E</t>
  </si>
  <si>
    <t>Halkalı Üniversite İstasyonu - 34,5 kV Şalt Sistemi</t>
  </si>
  <si>
    <t>203.A</t>
  </si>
  <si>
    <t>Barbaros İstasyonu - 34.5 kV/0.4 kV Yardımcı Servis Trafoları</t>
  </si>
  <si>
    <t>203.B</t>
  </si>
  <si>
    <t>Malazgirt İstasyonu - 34.5 kV/0.4 kV Yardımcı Servis Trafoları</t>
  </si>
  <si>
    <t>203.C</t>
  </si>
  <si>
    <t>Mimar Sinan İstasyonu - 34.5 kV/0.4 kV Yardımcı Servis Trafoları</t>
  </si>
  <si>
    <t>203.D</t>
  </si>
  <si>
    <t>Fatih İstasyonu - 34.5 kV/0.4 kV Yardımcı Servis Trafoları</t>
  </si>
  <si>
    <t>203.E</t>
  </si>
  <si>
    <t>Halkalı Üniversite İstasyonu - 34.5 kV/0.4 kV Yardımcı Servis Trafoları</t>
  </si>
  <si>
    <t>204.A</t>
  </si>
  <si>
    <t>Barbaros İstasyonu - 0.4 kV Yardımcı Servis Panoları</t>
  </si>
  <si>
    <t>204.B</t>
  </si>
  <si>
    <t>Malazgirt İstasyonu - 0.4 kV Yardımcı Servis Panoları</t>
  </si>
  <si>
    <t>204.C</t>
  </si>
  <si>
    <t>Mimar Sinan İstasyonu - 0.4 kV Yardımcı Servis Panoları</t>
  </si>
  <si>
    <t>204.D</t>
  </si>
  <si>
    <t>Fatih İstasyonu - 0.4 kV Yardımcı Servis Panoları</t>
  </si>
  <si>
    <t>204.E</t>
  </si>
  <si>
    <t>Halkalı Üniversite İstasyonu - 0.4 kV Yardımcı Servis Panoları</t>
  </si>
  <si>
    <t>205.A</t>
  </si>
  <si>
    <t>Barbaros İstasyonu - Topraklama ve Topraklama Ağı Sistemi</t>
  </si>
  <si>
    <t>205.B</t>
  </si>
  <si>
    <t>Malazgirt İstasyonu - Topraklama ve Topraklama Ağı Sistemi</t>
  </si>
  <si>
    <t>205.C</t>
  </si>
  <si>
    <t>Mimar Sinan İstasyonu - Topraklama ve Topraklama Ağı Sistemi</t>
  </si>
  <si>
    <t>205.D</t>
  </si>
  <si>
    <t>Fatih İstasyonu - Topraklama ve Topraklama Ağı Sistemi</t>
  </si>
  <si>
    <t>205.E</t>
  </si>
  <si>
    <t>Halkalı Üniversite İstasyonu - Topraklama ve Topraklama Ağı Sistemi</t>
  </si>
  <si>
    <t>205.F</t>
  </si>
  <si>
    <t>Hat Tüneli - Topraklama ve Topraklama Ağı Sistemi</t>
  </si>
  <si>
    <t>206.A</t>
  </si>
  <si>
    <t>Barbaros İstasyonu - Kaçak Akım Toplama, İzleme ve Korozyon Kontrol Sistemi</t>
  </si>
  <si>
    <t>206.B</t>
  </si>
  <si>
    <t>Malazgirt İstasyonu - Kaçak AkımetreToplama, İzleme ve Korozyon Kontrol Sistemi</t>
  </si>
  <si>
    <t>206.C</t>
  </si>
  <si>
    <t>Mimar Sinan İstasyonu - Kaçak Akım Toplama, İzleme ve Korozyon Kontrol Sistemi</t>
  </si>
  <si>
    <t>206.D</t>
  </si>
  <si>
    <t>Fatih İstasyonu - Kaçak Akım Toplama, İzleme ve Korozyon Kontrol Sistemi</t>
  </si>
  <si>
    <t>206.E</t>
  </si>
  <si>
    <t>Halkalı Üniversite İstasyonu - Kaçak Akım Toplama, İzleme ve Korozyon Kontrol Sistemi</t>
  </si>
  <si>
    <t>206.F</t>
  </si>
  <si>
    <t>Hat Tüneli - Kaçak Akım Toplama, İzleme ve Korozyon Kontrol Sistemi</t>
  </si>
  <si>
    <t>207.A</t>
  </si>
  <si>
    <t>Barbaros İstasyonu - Alçak Gerilim Güç Dağıtım Sistemi</t>
  </si>
  <si>
    <t>207.B</t>
  </si>
  <si>
    <t>Malazgirt İstasyonu - Alçak Gerilim Güç Dağıtım Sistemi</t>
  </si>
  <si>
    <t>207.C</t>
  </si>
  <si>
    <t>Mimar Sinan İstasyonu - Alçak Gerilim Güç Dağıtım Sistemi</t>
  </si>
  <si>
    <t>207.D</t>
  </si>
  <si>
    <t>Fatih İstasyonu - Alçak Gerilim Güç Dağıtım Sistemi</t>
  </si>
  <si>
    <t>207.E</t>
  </si>
  <si>
    <t>Halkalı Üniversite İstasyonu - Alçak Gerilim Güç Dağıtım Sistemi</t>
  </si>
  <si>
    <t>207.F</t>
  </si>
  <si>
    <t>Hat Tüneli -Alçak Gerilim Güç Dağıtım Sistemi</t>
  </si>
  <si>
    <t>208.A</t>
  </si>
  <si>
    <t>Barbaros İstasyonu - Busbar Sistemi</t>
  </si>
  <si>
    <t>208.B</t>
  </si>
  <si>
    <t>Malazgirt İstasyonu - Busbar Sistemi</t>
  </si>
  <si>
    <t>208.C</t>
  </si>
  <si>
    <t>Mimar Sinan İstasyonu - Busbar Sistemi</t>
  </si>
  <si>
    <t>208.D</t>
  </si>
  <si>
    <t>Fatih İstasyonu - Busbar Sistemi</t>
  </si>
  <si>
    <t>208.E</t>
  </si>
  <si>
    <t>Halkalı Üniversite İstasyonu - Busbar Sistemi</t>
  </si>
  <si>
    <t>209.A</t>
  </si>
  <si>
    <t>Barbaros İstasyonu - Modüler UPS, Akü ve Akü Şarj Cihazları</t>
  </si>
  <si>
    <t>209.B</t>
  </si>
  <si>
    <t>Malazgirt İstasyonu - Modüler UPS, Akü ve Akü Şarj Cihazları</t>
  </si>
  <si>
    <t>209.C</t>
  </si>
  <si>
    <t>Mimar Sinan İstasyonu - Modüler UPS, Akü ve Akü Şarj Cihazları</t>
  </si>
  <si>
    <t>209.D</t>
  </si>
  <si>
    <t>Fatih İstasyonu - Modüler UPS, Akü ve Akü Şarj Cihazları</t>
  </si>
  <si>
    <t>209.E</t>
  </si>
  <si>
    <t>Halkalı Üniversiteİstasyonu - Modüler UPS, Akü ve Akü Şarj Cihazları</t>
  </si>
  <si>
    <t>210.A</t>
  </si>
  <si>
    <t>Barbaros İstasyonu - Kompanzasyon Sistemi</t>
  </si>
  <si>
    <t>210.B</t>
  </si>
  <si>
    <t>Malazgirt İstasyonu - Kompanzasyon Sistemi</t>
  </si>
  <si>
    <t>210.C</t>
  </si>
  <si>
    <t>Mimar Sinan İstasyonu - Kompanzasyon Sistemi</t>
  </si>
  <si>
    <t>210.D</t>
  </si>
  <si>
    <t>Fatih İstasyonu - Kompanzasyon Sistemi</t>
  </si>
  <si>
    <t>210.E</t>
  </si>
  <si>
    <t>Halkalı Üniversite İstasyonu - Kompanzasyon Sistemi</t>
  </si>
  <si>
    <t>211.A</t>
  </si>
  <si>
    <t>Barbaros İstasyonu-Alçak Gerilim Güç Dağıtım Kabloları ve Kablo Taşıma Sistemleri</t>
  </si>
  <si>
    <t>211.B</t>
  </si>
  <si>
    <t>Malazgirt İstasyonu-Alçak Gerilim Güç Dağıtım Kabloları ve Kablo Taşıma Sistemleri</t>
  </si>
  <si>
    <t>211.C</t>
  </si>
  <si>
    <t>Mimar Sinan İstasyonu-Alçak Gerilim Güç Dağıtım Kabloları ve Kablo Taşıma Sistemleri</t>
  </si>
  <si>
    <t>211.D</t>
  </si>
  <si>
    <t>Fatih İstasyonu-Alçak Gerilim Güç Dağıtım Kabloları ve Kablo Taşıma Sistemleri</t>
  </si>
  <si>
    <t>211.E</t>
  </si>
  <si>
    <t>Halkalı Üniversite İstasyonu-Alçak Gerilim Güç Dağıtım Kabloları ve Kablo Taşıma Sistemleri</t>
  </si>
  <si>
    <t>211.F</t>
  </si>
  <si>
    <t>Hat Tünelleri-Alçak Gerilim Güç Dağıtım Kabloları ve Kablo Taşıma Sistemleri</t>
  </si>
  <si>
    <t>212.A</t>
  </si>
  <si>
    <t>Barbaros İstasyonu Aydınlatma Sistemi</t>
  </si>
  <si>
    <t>212.B</t>
  </si>
  <si>
    <t>Malazgirt İstasyonu Aydınlatma Sistemi</t>
  </si>
  <si>
    <t>212.C</t>
  </si>
  <si>
    <t>Mimar Sinan İstasyonu Aydınlatma Sistemi</t>
  </si>
  <si>
    <t>212.D</t>
  </si>
  <si>
    <t>Fatih İstasyonu Aydınlatma Sistemi</t>
  </si>
  <si>
    <t>212.E</t>
  </si>
  <si>
    <t>Halkalı Üniversite İstasyonu Aydınlatma Sistemi</t>
  </si>
  <si>
    <t>212.F</t>
  </si>
  <si>
    <t>Hat Tüneli Aydınlatma Sistemi</t>
  </si>
  <si>
    <t>213.A</t>
  </si>
  <si>
    <t>Barbaros İstasyonu Cer Gücü Alt İstasyonu ve Katener Odaları</t>
  </si>
  <si>
    <t>213.B</t>
  </si>
  <si>
    <t>Malazgirt İstasyonu Cer Gücü Alt İstasyonu ve Katener Odaları</t>
  </si>
  <si>
    <t>213.C</t>
  </si>
  <si>
    <t>Mimar Sinan İstasyonu Cer Gücü Alt İstasyonu ve Katener Odaları</t>
  </si>
  <si>
    <t>213.D</t>
  </si>
  <si>
    <t>Fatih İstasyonu Cer Gücü Alt İstasyonu ve Katener Odaları</t>
  </si>
  <si>
    <t>213.E</t>
  </si>
  <si>
    <t>Halkalı Üniversite İstasyonu Cer Gücü Alt İstasyonu ve Katener Odaları</t>
  </si>
  <si>
    <t>214.A</t>
  </si>
  <si>
    <t>Barbaros İstasyonu-Doğru Akım (DC) Güç Kabloları</t>
  </si>
  <si>
    <t>214.B</t>
  </si>
  <si>
    <t>Malazgirt İstasyonu-Doğru Akım (DC) Güç Kabloları</t>
  </si>
  <si>
    <t>214.C</t>
  </si>
  <si>
    <t>Mimar Sinan İstasyonu-Doğru Akım (DC) Güç Kabloları</t>
  </si>
  <si>
    <t>214.D</t>
  </si>
  <si>
    <t>Fatih İstasyonu-Doğru Akım (DC) Güç Kabloları</t>
  </si>
  <si>
    <t>214.E</t>
  </si>
  <si>
    <t>Halkalı Üniversite İstasyonu-Doğru Akım (DC) Güç Kabloları</t>
  </si>
  <si>
    <t>214.F</t>
  </si>
  <si>
    <t>Hat Tüneli-Doğru Akım (DC) Güç Kabloları</t>
  </si>
  <si>
    <t>215.A</t>
  </si>
  <si>
    <t>Hat Tüneli Havai İletken Ray Sistemi OCRS</t>
  </si>
  <si>
    <t>216.A</t>
  </si>
  <si>
    <t>TEİAŞ Güneşli TİM ve Barbaros İstasyonu arası Yeraltı Enerji Kablosu Temini ve Döşenmesi</t>
  </si>
  <si>
    <t>217.A</t>
  </si>
  <si>
    <t>Tünel - 34.5 kV OG Ring Kablo Sistemi</t>
  </si>
  <si>
    <t>218.A</t>
  </si>
  <si>
    <t>Enerji YönetimetreSistemi Ve Enerji Kalitesi</t>
  </si>
  <si>
    <t>300</t>
  </si>
  <si>
    <t>Sinyalizasyon Sistemi Tasarımı</t>
  </si>
  <si>
    <t>takım</t>
  </si>
  <si>
    <t>301</t>
  </si>
  <si>
    <t>Sinyalizasyon Sistemi Merkezi Yazılımı ve Donanımı</t>
  </si>
  <si>
    <t>302</t>
  </si>
  <si>
    <t>Bakım ve Depo Sahası Sinyalizasyon Sistemi</t>
  </si>
  <si>
    <t>303.A</t>
  </si>
  <si>
    <t>M1A Havalimanı-Yenikapı ve M1B Kirazlı-Otogar Hatboyu ve İstasyonlar Sinyalizasyon Sistemi</t>
  </si>
  <si>
    <t>303.B</t>
  </si>
  <si>
    <t>Kirazlı-Halkalı Üniversite Hatboyu ve İstasyonlar Sinyalizasyon Sistemi</t>
  </si>
  <si>
    <t>304.A</t>
  </si>
  <si>
    <t>Mevcut Makas Makinelerinin Demontajı</t>
  </si>
  <si>
    <t>304.B</t>
  </si>
  <si>
    <t>Yeniden Kullanılması Planlanan Mevcut Makas Makinelerinin Montajı</t>
  </si>
  <si>
    <t>304.C</t>
  </si>
  <si>
    <t>Yeni Makas Makinesinin Temini ve Montajı</t>
  </si>
  <si>
    <t>305</t>
  </si>
  <si>
    <t>Araç Üstü Sinyalizasyon Sistemi Teçhizatı Temini</t>
  </si>
  <si>
    <t>401.A</t>
  </si>
  <si>
    <t>Sistem Kontrol ve Veri Toplama (SCADA) Tasarımı - İstasyonlar ve Hat Tünelleri</t>
  </si>
  <si>
    <t>401.B</t>
  </si>
  <si>
    <t>İletim Sistemi Tasarımı - İstasyonlar ve Hat Tünelleri</t>
  </si>
  <si>
    <t>401.C</t>
  </si>
  <si>
    <t>Telefon Sistemi Tasarımı - İstasyonlar ve Hat Tünelleri</t>
  </si>
  <si>
    <t>401.D</t>
  </si>
  <si>
    <t>Telsiz Sistemi Tasarımı - İstasyonlar ve Hat Tünelleri</t>
  </si>
  <si>
    <t>401.E</t>
  </si>
  <si>
    <t>Anons Sistemi Tasarımı - İstasyonlar</t>
  </si>
  <si>
    <t>401.F</t>
  </si>
  <si>
    <t>Kapalı Devre Televizyon (CCTV) Sistemi Tasarımı - İstasyonlar</t>
  </si>
  <si>
    <t>401.G</t>
  </si>
  <si>
    <t>Saat Sistemi Tasarımı - İstasyonlar</t>
  </si>
  <si>
    <t>401.H</t>
  </si>
  <si>
    <t>Erişim Kontrolü (Güvenlik) Sistem Tasarımı - İstasyonlar</t>
  </si>
  <si>
    <t>401.I</t>
  </si>
  <si>
    <t>Yolcu Bilgilendirme Sistem Tasarımı - İstasyonlar</t>
  </si>
  <si>
    <t>401.J</t>
  </si>
  <si>
    <t>Yolcu Geçiş ve Ücret Toplama Sistem Tasarımı - İstasyonlar</t>
  </si>
  <si>
    <t>402.A</t>
  </si>
  <si>
    <t>Barbaros İstasyonu Sistem Kontrol ve Veri Toplama (SCADA)</t>
  </si>
  <si>
    <t>402.B</t>
  </si>
  <si>
    <t>Malazgirt İstasyonu Sistem Kontrol ve Veri Toplama (SCADA)</t>
  </si>
  <si>
    <t>402.C</t>
  </si>
  <si>
    <t>Mimar Sinan İstasyonu Sistem Kontrol ve Veri Toplama (SCADA)</t>
  </si>
  <si>
    <t>402.D</t>
  </si>
  <si>
    <t>Fatih İstasyonu Sistem Kontrol ve Veri Toplama (SCADA)</t>
  </si>
  <si>
    <t>402.E</t>
  </si>
  <si>
    <t>Halkalı Üniversite İstasyonu Sistem Kontrol ve Veri Toplama (SCADA)</t>
  </si>
  <si>
    <t>402.F</t>
  </si>
  <si>
    <t>Hat Tüneli Sistem Kontrol ve Veri Toplama (SCADA)</t>
  </si>
  <si>
    <t>402.G</t>
  </si>
  <si>
    <t>Sistem Kontrol ve Veri Toplama Sisteminin (SCADA) Mevcut Hat ve Kumanda Merkeziyle Entegrasyonu</t>
  </si>
  <si>
    <t>403.A</t>
  </si>
  <si>
    <t>403.B</t>
  </si>
  <si>
    <t>403.C</t>
  </si>
  <si>
    <t>403.D</t>
  </si>
  <si>
    <t>403.E</t>
  </si>
  <si>
    <t>Halkalı Üniversite İstasyonu İletim Sistemi</t>
  </si>
  <si>
    <t>403.F</t>
  </si>
  <si>
    <t>İletim Sisteminin Mevcut Hat ve Kumanda Merkeziyle Entegrasyonu</t>
  </si>
  <si>
    <t>404.A</t>
  </si>
  <si>
    <t>404.B</t>
  </si>
  <si>
    <t>404.C</t>
  </si>
  <si>
    <t>404.D</t>
  </si>
  <si>
    <t>404.E</t>
  </si>
  <si>
    <t>Halkalı Üniversite İstasyonu Telefon Sistemi</t>
  </si>
  <si>
    <t>404.F</t>
  </si>
  <si>
    <t>Tünel Telefon Sistemi</t>
  </si>
  <si>
    <t>404.G</t>
  </si>
  <si>
    <t>Telefon Sisteminin Mevcut Hat ve Kumanda Merkeziyle Entegrasyonu</t>
  </si>
  <si>
    <t>405.A</t>
  </si>
  <si>
    <t>405.B</t>
  </si>
  <si>
    <t>405.C</t>
  </si>
  <si>
    <t>405.D</t>
  </si>
  <si>
    <t>405.E</t>
  </si>
  <si>
    <t>Halkalı Üniversite İstasyonu Telsiz Sistemi</t>
  </si>
  <si>
    <t>405.F</t>
  </si>
  <si>
    <t>Tünel Telsiz Sistemi</t>
  </si>
  <si>
    <t>405.G</t>
  </si>
  <si>
    <t>Telsiz Sisteminin Mevcut Hat ve Kumanda Merkeziyle Entegrasyonu</t>
  </si>
  <si>
    <t>406.A</t>
  </si>
  <si>
    <t>406.B</t>
  </si>
  <si>
    <t>406.C</t>
  </si>
  <si>
    <t>406.D</t>
  </si>
  <si>
    <t>406.E</t>
  </si>
  <si>
    <t>Halkalı Üniversite İstasyonu Anons Sistemi</t>
  </si>
  <si>
    <t>406.F</t>
  </si>
  <si>
    <t>Anons Sisteminin Mevcut Hat ve Kumanda Merkeziyle Entegrasyonu</t>
  </si>
  <si>
    <t>407.A</t>
  </si>
  <si>
    <t>407.B</t>
  </si>
  <si>
    <t>407.C</t>
  </si>
  <si>
    <t>407.D</t>
  </si>
  <si>
    <t>407.E</t>
  </si>
  <si>
    <t>Halkalı Üniversite İstasyonu KDTV Sistemi</t>
  </si>
  <si>
    <t>407.F</t>
  </si>
  <si>
    <t>Kapalı Devre Televizyon Sisteminin (CCTV) Mevcut Hat ve Kumanda Merkeziyle Entegrasyonu</t>
  </si>
  <si>
    <t>408.A</t>
  </si>
  <si>
    <t>408.B</t>
  </si>
  <si>
    <t>408.C</t>
  </si>
  <si>
    <t>408.D</t>
  </si>
  <si>
    <t>408.E</t>
  </si>
  <si>
    <t>Halkalı Üniversite İstasyonu Saat Sistemi</t>
  </si>
  <si>
    <t>408.F</t>
  </si>
  <si>
    <t>Saat Sisteminin Mevcut Hat ve Kumanda Merkeziyle Entegrasyonu</t>
  </si>
  <si>
    <t>409.A</t>
  </si>
  <si>
    <t>409.B</t>
  </si>
  <si>
    <t>409.C</t>
  </si>
  <si>
    <t>409.D</t>
  </si>
  <si>
    <t>409.E</t>
  </si>
  <si>
    <t>Halkalı Üniversite İstasyonu Erişim Kontrol Sistemi</t>
  </si>
  <si>
    <t>409.F</t>
  </si>
  <si>
    <t>Erişim Kontrol Sisteminin Mevcut Hat ve Kumanda Merkeziyle Entegrasyonu</t>
  </si>
  <si>
    <t>410.A</t>
  </si>
  <si>
    <t>410.B</t>
  </si>
  <si>
    <t>410.C</t>
  </si>
  <si>
    <t>410.D</t>
  </si>
  <si>
    <t>410.E</t>
  </si>
  <si>
    <t>Halkalı Üniversite İstasyonu Yolcu Bilgilendirme Sistemi</t>
  </si>
  <si>
    <t>410.F</t>
  </si>
  <si>
    <t>Yolcu Bilgilendirme Sisteminin Mevcut Hat ve Kumanda Merkeziyle Entegrasyonu</t>
  </si>
  <si>
    <t>411.A</t>
  </si>
  <si>
    <t>Yolcu Geçiş Kontrol (Ücret Toplama) Sistemi Giriş/Çıkış Turnikesi</t>
  </si>
  <si>
    <t>411.B</t>
  </si>
  <si>
    <t>Yolcu Geçiş Kontrol (Ücret Toplama) Sistemi Engelli Geçiş Turnikesi (Validatörlü)</t>
  </si>
  <si>
    <t>411.C</t>
  </si>
  <si>
    <t>Yolcu Geçiş Kontrol (Ücret Toplama) Sistemi İstasyonlar Donanımı ve Merkezi Yazılımı</t>
  </si>
  <si>
    <t>412</t>
  </si>
  <si>
    <t>Hatboyu İletim Sistemi ve Fiberoptik Ağı</t>
  </si>
  <si>
    <t>413</t>
  </si>
  <si>
    <t>İletim Sistemi Merkezi Donanımı ve Yazılımı</t>
  </si>
  <si>
    <t>414</t>
  </si>
  <si>
    <t>Telefon sistemi Merkezi Yazılımı ve Donanımı</t>
  </si>
  <si>
    <t>415</t>
  </si>
  <si>
    <t>Telsiz Sistemi Merkezi Donanımı ve Yazılımı</t>
  </si>
  <si>
    <t>416</t>
  </si>
  <si>
    <t>Anons Sistemi Merkezi Donanımı ve Yazılımı</t>
  </si>
  <si>
    <t>417</t>
  </si>
  <si>
    <t>Kapalı Devre Televizyon (CCTV) Sistemi Merkezi Donanımı ve Yazılımı</t>
  </si>
  <si>
    <t>418</t>
  </si>
  <si>
    <t>Saat Sistemi Merkezi Donanımı ve Yazılımı</t>
  </si>
  <si>
    <t>419</t>
  </si>
  <si>
    <t>Erişim Kontrol Sistemi Merkezi Donanımı ve Yazılımı</t>
  </si>
  <si>
    <t>420</t>
  </si>
  <si>
    <t>Sistem Kontrol ve Veri Toplama (SCADA) Sistemi Merkezi Donanımı ve Yazılımı</t>
  </si>
  <si>
    <t>421</t>
  </si>
  <si>
    <t>Yolcu Bilgilendirme Sistemi Merkezi Donanımı ve Yazılımı</t>
  </si>
  <si>
    <t>501.A</t>
  </si>
  <si>
    <t>Hat Tünelleri Havalandırma Sistemi Tasarımı</t>
  </si>
  <si>
    <t>501.B</t>
  </si>
  <si>
    <t>İstasyon, Arageçiş Tünelleri Havalandırma Sistemi Tasarımı</t>
  </si>
  <si>
    <t>501.C</t>
  </si>
  <si>
    <t>İklimlendirme Sistemi Tasarımı</t>
  </si>
  <si>
    <t>502.A</t>
  </si>
  <si>
    <t>Barbaros İstasyonuna Yerleştirilen Tünel Havalandırma Sistemi</t>
  </si>
  <si>
    <t>502.B</t>
  </si>
  <si>
    <t>Malazgirt İstasyonuna Yerleştirilen Tünel Havalandırma Sistemi</t>
  </si>
  <si>
    <t>502.C</t>
  </si>
  <si>
    <t>Mimar Sinan İstasyonuna Yerleştirilen Tünel Havalandırma Sistemi</t>
  </si>
  <si>
    <t>502.D</t>
  </si>
  <si>
    <t>Fatih İstasyonuna Yerleştirilen Tünel Havalandırma Sistemi</t>
  </si>
  <si>
    <t>502.E</t>
  </si>
  <si>
    <t>Halkalı Üniversite İstasyonuna Yerleştirilen Tünel Havalandırma Sistemi</t>
  </si>
  <si>
    <t>503.A</t>
  </si>
  <si>
    <t>Barbaros İstasyonu Havalandırma Sistemi</t>
  </si>
  <si>
    <t>503.B</t>
  </si>
  <si>
    <t>Malazgirt İstasyonu Havalandırma Sistemi</t>
  </si>
  <si>
    <t>503.C</t>
  </si>
  <si>
    <t>Mimar Sinan İstasyonu Havalandırma Sistemi</t>
  </si>
  <si>
    <t>503.D</t>
  </si>
  <si>
    <t>Fatih İstasyonu Havalandırma Sistemi</t>
  </si>
  <si>
    <t>503.E</t>
  </si>
  <si>
    <t>Halkalı Üniversite İstasyonu Havalandırma Sistemi</t>
  </si>
  <si>
    <t>504.A</t>
  </si>
  <si>
    <t>Barbaros İstasyonu İklimlendirme Sistemi</t>
  </si>
  <si>
    <t>504.B</t>
  </si>
  <si>
    <t>Malazgirt İstasyonu İklimlendirme Sistemi</t>
  </si>
  <si>
    <t>504.C</t>
  </si>
  <si>
    <t>Mimar Sinan İstasyonu İklimlendirme Sistemi</t>
  </si>
  <si>
    <t>504.D</t>
  </si>
  <si>
    <t>Fatih İstasyonu İklimlendirme Sistemi</t>
  </si>
  <si>
    <t>504.E</t>
  </si>
  <si>
    <t>Halkalı Üniversite İstasyonu İklimlendirme Sistemi</t>
  </si>
  <si>
    <t>601.A</t>
  </si>
  <si>
    <t>Yangın İhbar ve Kontrol sistemi tasarımı (istasyonlar, hat tünelleri)</t>
  </si>
  <si>
    <t>601.B</t>
  </si>
  <si>
    <t>Yangından Koruma ve Yangınla Mücadele Sistemi Tasarımı (istasyonlar, hat tünelleri)</t>
  </si>
  <si>
    <t>601.C</t>
  </si>
  <si>
    <t>Otomatik Gazlı Yangın Söndürme Sistemi Tasarımı (İstasyonlar)</t>
  </si>
  <si>
    <t>601.D</t>
  </si>
  <si>
    <t>Kullanım Suyu ve Sıhhi Tesisat Sistemi Tasarımı (istasyonlar)</t>
  </si>
  <si>
    <t>601.E</t>
  </si>
  <si>
    <t>Kanalizasyon Sistemi Tasarımı (istasyonlar)</t>
  </si>
  <si>
    <t>601.F</t>
  </si>
  <si>
    <t>Drenaj Sistemi Tasarımı (istasyonlar)</t>
  </si>
  <si>
    <t>602.A</t>
  </si>
  <si>
    <t>Barbaros İstasyonu Yangın İhbar ve Kontrol Sİstemi</t>
  </si>
  <si>
    <t>602.B</t>
  </si>
  <si>
    <t>Malazgirt İstasyonu Yangın İhbar ve Kontrol Sistemi</t>
  </si>
  <si>
    <t>602.C</t>
  </si>
  <si>
    <t>Mimar Sinan İstasyonu Yangın İhbar ve Kontrol Sistemi</t>
  </si>
  <si>
    <t>602.D</t>
  </si>
  <si>
    <t>Fatih İstasyonu Yangın İhbar ve Kontrol Sistemi</t>
  </si>
  <si>
    <t>602.E</t>
  </si>
  <si>
    <t>Halkalı Üniversite İstasyonu Yangın İhbar ve Kontrol Sistemi</t>
  </si>
  <si>
    <t>602.F</t>
  </si>
  <si>
    <t>Hat Tüneli Yangın İhbar ve Kontrol Sistemi</t>
  </si>
  <si>
    <t>603.A</t>
  </si>
  <si>
    <t>Barbaros İstasyonu Yangın Koruma ve Yangınla Mücadele Sistemi</t>
  </si>
  <si>
    <t>603.B</t>
  </si>
  <si>
    <t>Malazgirt İstasyonu Yangın Koruma ve Yangınla Mücadele Sistemi</t>
  </si>
  <si>
    <t>603.C</t>
  </si>
  <si>
    <t>Mimar Sinan İstasyonu Yangın Koruma ve Yangınla Mücadele Sistemi</t>
  </si>
  <si>
    <t>603.D</t>
  </si>
  <si>
    <t>Fatih İstasyonu Yangın Koruma ve Yangınla Mücadele Sistemi</t>
  </si>
  <si>
    <t>603.E</t>
  </si>
  <si>
    <t>Halkalı Üniversite İstasyonu Yangın Koruma ve Yangınla Mücadele Sistemi</t>
  </si>
  <si>
    <t>603.F</t>
  </si>
  <si>
    <t>Hat Tüneli Yangın Koruma ve Yangınla Mücadele Sistemi</t>
  </si>
  <si>
    <t>604.A</t>
  </si>
  <si>
    <t>Barbaros İstasyonu Otomatik Gazlı Yangın Söndürme Sistemi</t>
  </si>
  <si>
    <t>604.B</t>
  </si>
  <si>
    <t>Malazgirt İstasyonu Otomatik Gazlı Yangın Söndürme Sistemi</t>
  </si>
  <si>
    <t>604.C</t>
  </si>
  <si>
    <t>Mimar Sinan İstasyonu Otomatik Gazlı Yangın Söndürme Sistemi</t>
  </si>
  <si>
    <t>604.D</t>
  </si>
  <si>
    <t>Fatih İstasyonu Otomatik Gazlı Yangın Söndürme Sistemi</t>
  </si>
  <si>
    <t>604.E</t>
  </si>
  <si>
    <t>Halkalı Üniversite İstasyonu Otomatik Gazlı Yangın Söndürme Sistemi</t>
  </si>
  <si>
    <t>605.A</t>
  </si>
  <si>
    <t>Barbaros İstasyonu Kullanım Suyu ve Sıhhi Tesisat Sistemi</t>
  </si>
  <si>
    <t>605.B</t>
  </si>
  <si>
    <t>Malazgirt İstasyonu Kullanım Suyu ve Sıhhi Tesisat Sistemi</t>
  </si>
  <si>
    <t>605.C</t>
  </si>
  <si>
    <t>Mimar Sinan İstasyonu Kullanım Suyu ve Sıhhi Tesisat Sistemi</t>
  </si>
  <si>
    <t>605.D</t>
  </si>
  <si>
    <t>Fatih İstasyonu Kullanım Suyu ve Sıhhi Tesisat Sistemi</t>
  </si>
  <si>
    <t>605.E</t>
  </si>
  <si>
    <t>Halkalı Üniversite İstasyonu Kullanım Suyu ve Sıhhi Tesisat Sistemi</t>
  </si>
  <si>
    <t>606.A</t>
  </si>
  <si>
    <t>Barbaros İstasyonu Kanalizasyon sistemi</t>
  </si>
  <si>
    <t>606.B</t>
  </si>
  <si>
    <t>Malazgirt İstasyonu Kanalizasyon sistemi</t>
  </si>
  <si>
    <t>606.C</t>
  </si>
  <si>
    <t>Mimar Sinan İstasyonu Kanalizasyon sistemi</t>
  </si>
  <si>
    <t>606.D</t>
  </si>
  <si>
    <t>Fatih İstasyonu Kanalizasyon sistemi</t>
  </si>
  <si>
    <t>606.E</t>
  </si>
  <si>
    <t>Halkalı Üniversite İstasyonu Kanalizasyon sistemi</t>
  </si>
  <si>
    <t>607.A</t>
  </si>
  <si>
    <t>Barbaros İstasyonu Drenaj Sistemi</t>
  </si>
  <si>
    <t>607.B</t>
  </si>
  <si>
    <t>Malazgirt İstasyonu Drenaj Sistemi</t>
  </si>
  <si>
    <t>607.C</t>
  </si>
  <si>
    <t>Mimar Sinan İstasyonu Drenaj Sistemi</t>
  </si>
  <si>
    <t>607.D</t>
  </si>
  <si>
    <t>Fatih İstasyonu Drenaj Sistemi</t>
  </si>
  <si>
    <t>607.E</t>
  </si>
  <si>
    <t>Halkalı Üniversite İstasyonu Drenaj Sistemi</t>
  </si>
  <si>
    <t>607.F</t>
  </si>
  <si>
    <t>Hat Tüneli Drenaj Sistemi</t>
  </si>
  <si>
    <t>701</t>
  </si>
  <si>
    <t>Yürüyen Merdivenlerin ve Asansörlerin Tasarımı</t>
  </si>
  <si>
    <t>702.A</t>
  </si>
  <si>
    <t>Yürüyen Merdiven (5m- 7metre arası)</t>
  </si>
  <si>
    <t>702.B</t>
  </si>
  <si>
    <t>Yürüyen Merdiven (9m- 11metre arası)</t>
  </si>
  <si>
    <t>702.C</t>
  </si>
  <si>
    <t>Yürüyen Merdiven (11m- 13metre arası)</t>
  </si>
  <si>
    <t>703.A</t>
  </si>
  <si>
    <t>Asansör 2: 10m-15metre arası yükseklikte, tek kapılı ve 2 duraklı + 1 ara acil durak (15 yolcu)</t>
  </si>
  <si>
    <t>703.B</t>
  </si>
  <si>
    <t>Asansör 2: 15m-25metre arası yükseklikte, tek kapılı ve 2 duraklı + 1 ara acil durak (25 yolcu)</t>
  </si>
  <si>
    <t>703.C</t>
  </si>
  <si>
    <t>Asansör 2: 25m-30metre arası yükseklikte, tek kapılı ve 2 duraklı + 1 ara acil durak (25 yolcu)</t>
  </si>
  <si>
    <t>703.D</t>
  </si>
  <si>
    <t>Asansör 2: 35m-40metre arası yükseklikte, tek kapılı ve 2 duraklı + 1 ara acil durak (25 yolcu)</t>
  </si>
  <si>
    <t>703.E</t>
  </si>
  <si>
    <t>Asansör 2: 45m-50metre arası yükseklikte, tek kapılı ve 2 duraklı + 1 ara acil durak (25 yolcu)</t>
  </si>
  <si>
    <t>801</t>
  </si>
  <si>
    <t>Demiryolu İşleri Tasarım Hizmetleri</t>
  </si>
  <si>
    <t>802</t>
  </si>
  <si>
    <t>Tünel İçi Yaya Yürüme Yolu Yapılması</t>
  </si>
  <si>
    <t>803.A</t>
  </si>
  <si>
    <t>Doğrudan Tespitli Yol Yapılması</t>
  </si>
  <si>
    <t>804.A</t>
  </si>
  <si>
    <t>1/9 R=190 metre Basit Makas</t>
  </si>
  <si>
    <t>804.B</t>
  </si>
  <si>
    <t>1/9 R=300 metre Basit Makas</t>
  </si>
  <si>
    <t>805</t>
  </si>
  <si>
    <t>Kruvazman</t>
  </si>
  <si>
    <t>806</t>
  </si>
  <si>
    <t>Yol Sonu Bariyeri - Tampon</t>
  </si>
  <si>
    <t>807</t>
  </si>
  <si>
    <t>Tabela ve İşaretler</t>
  </si>
  <si>
    <t>808</t>
  </si>
  <si>
    <t>Yaya Hemzemin Geçişler</t>
  </si>
  <si>
    <t>901</t>
  </si>
  <si>
    <t>Eğitim Hizmetleri</t>
  </si>
  <si>
    <t>902</t>
  </si>
  <si>
    <t>İşletme ve Bakım Gözetim Hizmetleri</t>
  </si>
  <si>
    <t>903</t>
  </si>
  <si>
    <t>İstasyonlar Teknik Odalar için Mobilya</t>
  </si>
  <si>
    <t>904</t>
  </si>
  <si>
    <t>Yeterlilik, Test, Denetim ve Sistem Mühendisliği Hizmetleri</t>
  </si>
  <si>
    <t>1001</t>
  </si>
  <si>
    <t>Elektrifikasyon Sistemleri Tasarımı</t>
  </si>
  <si>
    <t>1002.A</t>
  </si>
  <si>
    <t>M1A Mevcut Otogar Trafo Merkezi 34.5 kV Şalt Sistemi İlave İşleri</t>
  </si>
  <si>
    <t>1002.B</t>
  </si>
  <si>
    <t>M1A Mevcut Mimarsinan Trafo Merkezi 34.5 kV Şalt Sistemi İlave İşleri</t>
  </si>
  <si>
    <t>1002.C</t>
  </si>
  <si>
    <t>M1A Mevcut Belpa Trafo Merkezi 34.5 kV Şalt Sistemi İlave İşleri</t>
  </si>
  <si>
    <t>1002.D</t>
  </si>
  <si>
    <t>M1A Mevcut Bahçelievler Trafo Merkezi 34.5 kV Şalt Sistemi İlave İşleri</t>
  </si>
  <si>
    <t>1002.E</t>
  </si>
  <si>
    <t>M1A Mevcut Yenibosna Trafo Merkezi 34.5 kV Şalt Sistemi İlave İşleri</t>
  </si>
  <si>
    <t>1002.F</t>
  </si>
  <si>
    <t>M1A Mevcut DTM Trafo Merkezi 34.5 kV Şalt Sistemi İlave İşleri</t>
  </si>
  <si>
    <t>1002.G</t>
  </si>
  <si>
    <t>M1A Mevcut Bakırköy Trafo Merkezi 34.5 kV Şalt Sistemi İlave İşleri</t>
  </si>
  <si>
    <t>1002.H</t>
  </si>
  <si>
    <t>M1A Mevcut Havalimanı Trafo Merkezi 34.5 kV Şalt Sistemi İlave İşleri</t>
  </si>
  <si>
    <t>1002.I</t>
  </si>
  <si>
    <t>M1A Mevcut Ferhatpaşa Trafo Merkezi 34.5 kV Şalt Sistemi İlave İşleri</t>
  </si>
  <si>
    <t>1002.J</t>
  </si>
  <si>
    <t>M1B Mevcut Kirazlı Trafo Merkezi 34.5 kV Şalt Sistemi İlave İşleri</t>
  </si>
  <si>
    <t>1002.K</t>
  </si>
  <si>
    <t>M1B Mevcut Sağmalcılar Trafo Merkezi 34.5 kV Şalt Sistemi İlave İşleri</t>
  </si>
  <si>
    <t>1002.L</t>
  </si>
  <si>
    <t>M1B Mevcut Yenikapı Trafo Merkezi 34.5 kV Şalt Sistemi İlave İşleri</t>
  </si>
  <si>
    <t>1003.A</t>
  </si>
  <si>
    <t>M1A Mevcut Aksaray Trafo Merkezi Cer Gücü sistemi İlave İşleri</t>
  </si>
  <si>
    <t>1003.B</t>
  </si>
  <si>
    <t>M1A Mevcut UlubatlıTrafo Merkezi Cer Gücü sistemi İlave İşleri</t>
  </si>
  <si>
    <t>1003.C</t>
  </si>
  <si>
    <t>M1A Mevcut Sağmalcılar Trafo Merkezi Cer Gücü sistemi İlave İşleri</t>
  </si>
  <si>
    <t>1003.D</t>
  </si>
  <si>
    <t>M1A Mevcut Mimarsinan Trafo Merkezi Cer Gücü sistemi İlave İşleri</t>
  </si>
  <si>
    <t>1003.E</t>
  </si>
  <si>
    <t>M1A Mevcut Belpa Trafo Merkezi Cer Gücü sistemi İlave İşleri</t>
  </si>
  <si>
    <t>1003.F</t>
  </si>
  <si>
    <t>M1A Mevcut Bahçelievler Trafo Merkezi Cer Gücü sistemi İlave İşleri</t>
  </si>
  <si>
    <t>1003.G</t>
  </si>
  <si>
    <t>M1A Mevcut Yenibosna Trafo Merkezi Cer Gücü sistemi İlave İşleri</t>
  </si>
  <si>
    <t>1003.H</t>
  </si>
  <si>
    <t>M1A Mevcut DTM Trafo Merkezi Cer Gücü sistemi İlave İşleri</t>
  </si>
  <si>
    <t>1003.I</t>
  </si>
  <si>
    <t>M1A Mevcut Otogar Trafo Merkezi Cer Gücü sistemi İlave İşleri</t>
  </si>
  <si>
    <t>1003.J</t>
  </si>
  <si>
    <t>M1A Mevcut Bakırköy Trafo Merkezi Cer Gücü sistemi İlave İşleri</t>
  </si>
  <si>
    <t>1003.K</t>
  </si>
  <si>
    <t>M1A Mevcut Havalimanı Trafo Merkezi Cer Gücü sistemi İlave İşleri</t>
  </si>
  <si>
    <t>1003.L</t>
  </si>
  <si>
    <t>M1B Mevcut Kirazlı Trafo Merkezi Cer Gücü sistemi İlave İşleri</t>
  </si>
  <si>
    <t>1003.M</t>
  </si>
  <si>
    <t>M1A Mevcut Ferhatpaşa Trafo Merkezi Cer Gücü sistemi İlave İşleri</t>
  </si>
  <si>
    <t>1003.N</t>
  </si>
  <si>
    <t>M1A Mevcut Esenler Trafo Merkezi Cer Gücü sistemi İlave İşleri</t>
  </si>
  <si>
    <t>1004.A</t>
  </si>
  <si>
    <t>M1A Mevcut Ulubatlı Trafo Merkezi DC ve AG Kabloları İlave İşleri</t>
  </si>
  <si>
    <t>1004.B</t>
  </si>
  <si>
    <t>M1A Mevcut Sağmalcılar Trafo Merkezi DC ve AG Kabloları İlave İşleri</t>
  </si>
  <si>
    <t>1004.C</t>
  </si>
  <si>
    <t>M1A Mevcut Mimarsinan Trafo Merkezi DC ve AG Kabloları İlave İşleri</t>
  </si>
  <si>
    <t>1004.D</t>
  </si>
  <si>
    <t>M1A Mevcut Belpa Trafo Merkezi DC ve AG Kabloları İlave İşleri</t>
  </si>
  <si>
    <t>1004.E</t>
  </si>
  <si>
    <t>M1A Mevcut Bahçelievler Trafo Merkezi DC ve AG Kabloları İlave İşleri</t>
  </si>
  <si>
    <t>1004.F</t>
  </si>
  <si>
    <t>M1A Mevcut Yenibosna Trafo Merkezi DC ve AG Kabloları İlave İşleri</t>
  </si>
  <si>
    <t>1004.G</t>
  </si>
  <si>
    <t>M1A Mevcut DTM Trafo Merkezi DC ve AG Kabloları İlave İşleri</t>
  </si>
  <si>
    <t>1004.H</t>
  </si>
  <si>
    <t>M1B Mevcut Kirazlı Trafo Merkezi DC ve AG Kabloları İlave İşleri</t>
  </si>
  <si>
    <t>1004.I</t>
  </si>
  <si>
    <t>M1A Mevcut Aksaray Trafo Merkezi DC ve AG Kabloları İlave İşleri</t>
  </si>
  <si>
    <t>1004.J</t>
  </si>
  <si>
    <t>M1A Mevcut Otogar Trafo Merkezi DC ve AG Kabloları İlave İşleri</t>
  </si>
  <si>
    <t>1005.A</t>
  </si>
  <si>
    <t>Mevcut Esenler Jeneratör Merkezi Sistem Kontrol ve Veri Toplama (SCADA) Sistemi</t>
  </si>
  <si>
    <t>1005.B</t>
  </si>
  <si>
    <t>Mevcut Kirazlı Jeneratör Merkezi Sistem Kontrol ve Veri Toplama (SCADA) Sistemi</t>
  </si>
  <si>
    <t>1005.C</t>
  </si>
  <si>
    <t>Mevcut Aksaray Trafo Merkezi Sistem Kontrol ve Veri Toplama (SCADA) Sistemi</t>
  </si>
  <si>
    <t>1005.D</t>
  </si>
  <si>
    <t>Mevcut Ulubatlı Trafo Merkezi Sistem Kontrol ve Veri Toplama (SCADA) Sistemi</t>
  </si>
  <si>
    <t>1005.E</t>
  </si>
  <si>
    <t>Mevcut Sağmalcılar Trafo Merkezi Sistem Kontrol ve Veri Toplama (SCADA) Sistemi</t>
  </si>
  <si>
    <t>1005.F</t>
  </si>
  <si>
    <t>Mevcut Otogar Trafo Merkezi Sistem Kontrol ve Veri Toplama (SCADA) Sistemi</t>
  </si>
  <si>
    <t>1005.G</t>
  </si>
  <si>
    <t>Mevcut Mimar Sinan Trafo Merkezi Sistem Kontrol ve Veri Toplama (SCADA) Sistemi</t>
  </si>
  <si>
    <t>1005.H</t>
  </si>
  <si>
    <t>Mevcut Belpa Trafo Merkezi Sistem Kontrol ve Veri Toplama (SCADA) Sistemi</t>
  </si>
  <si>
    <t>1005.I</t>
  </si>
  <si>
    <t>Mevcut Bakırköy Trafo Merkezi Sistem Kontrol ve Veri Toplama (SCADA) Sistemi</t>
  </si>
  <si>
    <t>1005.J</t>
  </si>
  <si>
    <t>Mevcut Bahçelievler Trafo Merkezi Sistem Kontrol ve Veri Toplama (SCADA) Sistemi</t>
  </si>
  <si>
    <t>1005.K</t>
  </si>
  <si>
    <t>Mevcut Yenibosna Trafo Merkezi Sistem Kontrol ve Veri Toplama (SCADA) Sistemi</t>
  </si>
  <si>
    <t>1005.L</t>
  </si>
  <si>
    <t>Mevcut DTmetreTrafo Merkezi Sistem Kontrol ve Veri Toplama (SCADA) Sistemi</t>
  </si>
  <si>
    <t>1005.M</t>
  </si>
  <si>
    <t>Mevcut AHL Trafo Merkezi Sistem Kontrol ve Veri Toplama (SCADA) Sistemi</t>
  </si>
  <si>
    <t>1005.N</t>
  </si>
  <si>
    <t>Mevcut Ferhatpaşa Trafo Merkezi Sistem Kontrol ve Veri Toplama (SCADA) Sistemi</t>
  </si>
  <si>
    <t>1006.A</t>
  </si>
  <si>
    <t>1100</t>
  </si>
  <si>
    <t>1200</t>
  </si>
  <si>
    <t>Faturalı Giderler</t>
  </si>
  <si>
    <t>M1A-M1B Mevcut Trafo Merkezleri Havalandırma ve Soğutma Tesisatı</t>
  </si>
  <si>
    <t>KEŞİF MİKTARI</t>
  </si>
  <si>
    <t>BİRİM</t>
  </si>
  <si>
    <t>BİRİM FİYAT ADI</t>
  </si>
  <si>
    <t>SIRA NO</t>
  </si>
  <si>
    <t>POZ NO</t>
  </si>
  <si>
    <t>ÖNCEKİ HAKEDİŞ</t>
  </si>
  <si>
    <t>BU HAKEDİŞ</t>
  </si>
  <si>
    <t>TOPLAM</t>
  </si>
  <si>
    <t xml:space="preserve">İSTANBUL BÜYÜKŞEHİR BELEDİYESİ </t>
  </si>
  <si>
    <t>Aç-Kapa Yapılarında İksa Yapılması</t>
  </si>
  <si>
    <t>Barbaros İstasyonu İletim Sistemi</t>
  </si>
  <si>
    <t>Barbaros İstasyonu Telefon Sistemi</t>
  </si>
  <si>
    <t>Barbaros İstasyonu Telsiz Sistemi</t>
  </si>
  <si>
    <t>Barbaros İstasyonu Anons Sistemi</t>
  </si>
  <si>
    <t>Barbaros İstasyonu KDTV Sistemi</t>
  </si>
  <si>
    <t>Barbaros İstasyonu Saat Sistemi</t>
  </si>
  <si>
    <t>Barbaros İstasyonu Erişim Kontrol Sistemi</t>
  </si>
  <si>
    <t>Barbaros İstasyonu Yolcu Bilgilendirme Sistemi</t>
  </si>
  <si>
    <t>Malazgirt İstasyonu İletim Sistemi</t>
  </si>
  <si>
    <t>Malazgirt İstasyonu Telefon Sistemi</t>
  </si>
  <si>
    <t>Malazgirt İstasyonu Telsiz Sistemi</t>
  </si>
  <si>
    <t>Malazgirt İstasyonu Anons Sistemi</t>
  </si>
  <si>
    <t>Malazgirt İstasyonu KDTV Sistemi</t>
  </si>
  <si>
    <t>Malazgirt İstasyonu Saat Sistemi</t>
  </si>
  <si>
    <t>Malazgirt İstasyonu Erişim Kontrol Sistemi</t>
  </si>
  <si>
    <t>Malazgirt İstasyonu Yolcu Bilgilendirme Sistemi</t>
  </si>
  <si>
    <t>Mimar Sinan İstasyonu İletime Sistemi</t>
  </si>
  <si>
    <t>Mimar Sinan İstasyonu Telefon Sistemi</t>
  </si>
  <si>
    <t>Mimar Sinan İstasyonu Telsiz Sistemi</t>
  </si>
  <si>
    <t>Mimar Sinan İstasyonu Anons Sistemi</t>
  </si>
  <si>
    <t>Mimar Sinan İstasyonu KDTV Sistemi</t>
  </si>
  <si>
    <t>Mimar Sinan İstasyonu Saat Sistemi</t>
  </si>
  <si>
    <t>Mimar Sinan İstasyonu Erişim Kontrol Sistemi</t>
  </si>
  <si>
    <t>Mimar Sinan İstasyonu Yolcu Bilgilendirme Sistemi</t>
  </si>
  <si>
    <t>Fatih İstasyonu İletim Sistemi</t>
  </si>
  <si>
    <t>Fatih İstasyonu Telefon Sistemi</t>
  </si>
  <si>
    <t>Fatih İstasyonu Telsiz Sistemi</t>
  </si>
  <si>
    <t>Fatih İstasyonu Anons Sistemi</t>
  </si>
  <si>
    <t>Fatih İstasyonu KDTV Sistemi</t>
  </si>
  <si>
    <t>Fatih İstasyonu Saat Sistemi</t>
  </si>
  <si>
    <t>Fatih İstasyonu Erişim Kontrol Sistemi</t>
  </si>
  <si>
    <t>Fatih İstasyonu Yolcu Bilgilendirme Sistemi</t>
  </si>
  <si>
    <t>Barbaros</t>
  </si>
  <si>
    <t>Malazgirt</t>
  </si>
  <si>
    <t>Mimar Sinan</t>
  </si>
  <si>
    <t>Fatih</t>
  </si>
  <si>
    <t>Halkalı</t>
  </si>
  <si>
    <t>Açıkta</t>
  </si>
  <si>
    <t>Tünel</t>
  </si>
  <si>
    <t>Jeo</t>
  </si>
  <si>
    <t>İnce</t>
  </si>
  <si>
    <t>Elektrik</t>
  </si>
  <si>
    <t>Sinyal</t>
  </si>
  <si>
    <t>Haberleşme</t>
  </si>
  <si>
    <t>Çevresel</t>
  </si>
  <si>
    <t>Yardımcı</t>
  </si>
  <si>
    <t>Demiryolu</t>
  </si>
  <si>
    <t>M1A-M1B</t>
  </si>
  <si>
    <t>Diğer Kurum</t>
  </si>
  <si>
    <t>Yürüyen Merdiven</t>
  </si>
  <si>
    <t>Genel</t>
  </si>
  <si>
    <t>Kalyon-Özgün Metro İnşaatı Adi Ortaklığı</t>
  </si>
  <si>
    <t>Kemal YERLİ
Proje Müdürü</t>
  </si>
  <si>
    <t>Aybüke YEĞEN
Hakediş, Mukavele Takip, Kesin Hesap Kontrol Mühendisi</t>
  </si>
  <si>
    <t>Osman ŞAHİN
İnşaat Müdür Yardımcısı</t>
  </si>
  <si>
    <t>Atilla Alkan</t>
  </si>
  <si>
    <t>Hakan ARZU
E&amp;M Müdür Yardımcısı</t>
  </si>
  <si>
    <t>Fatih AYDIN
Elektromekanik Kontrol Amiri</t>
  </si>
  <si>
    <t>BİRİM FİYAT
(TL)</t>
  </si>
  <si>
    <t>YAPILAN İMALAT MİKTARI</t>
  </si>
  <si>
    <t>1- KABA ve İNCE İNŞAAT İŞLERİ</t>
  </si>
  <si>
    <t>1.A-AÇIKTA İNŞAAT İŞLERİ</t>
  </si>
  <si>
    <t>1.B-TÜNEL İNŞAAT İŞLERİ</t>
  </si>
  <si>
    <t>1.C-JEOTEKNİK ÖLÇÜMLER</t>
  </si>
  <si>
    <t>1.D-İNCE İNŞAAT İŞLERİ</t>
  </si>
  <si>
    <t>KİRAZLI-HALKALI ÜNİVERSİTE METRO HATTI İNŞAAT VE ELEKTROMEKANİK İŞLER İLE M1 HATTI ELEKTROMEKANİK SİSTEMLERİ YAPIM İŞİ</t>
  </si>
  <si>
    <t>2-ELEKTRİK İŞLERİ</t>
  </si>
  <si>
    <t>3-SİNYALİZASYON SİSTEMİ</t>
  </si>
  <si>
    <t>4-HABERLEŞME KONTROL VE SİSTEMLERİ</t>
  </si>
  <si>
    <t>5-ÇEVRESEL KONTROL SİSTEMİ</t>
  </si>
  <si>
    <t>6-YARDIMCI TESİSLER</t>
  </si>
  <si>
    <t>7-YÜRÜYEN MERDİVEN</t>
  </si>
  <si>
    <t>8-DEMİRYOLU İŞLERİ</t>
  </si>
  <si>
    <t>9-GENEL HİZMETLER</t>
  </si>
  <si>
    <t>10-M1A ve M1B İŞLERİ</t>
  </si>
  <si>
    <t>11-DİĞER KURUM VE KURULUŞLARLA İLGİLİ İŞLER</t>
  </si>
  <si>
    <t>12-FATURALI GİDERLER</t>
  </si>
  <si>
    <t>B</t>
  </si>
  <si>
    <t>Filtre</t>
  </si>
  <si>
    <t>İ</t>
  </si>
  <si>
    <t>Osman ŞAHİN
E&amp;M Müdür Yardımcısı</t>
  </si>
  <si>
    <t>Mehmet Zeki ERTÜRK</t>
  </si>
  <si>
    <t>İn</t>
  </si>
  <si>
    <t>+</t>
  </si>
  <si>
    <t>b1</t>
  </si>
  <si>
    <t>Çn</t>
  </si>
  <si>
    <t>b2</t>
  </si>
  <si>
    <t>Dn</t>
  </si>
  <si>
    <t>b3</t>
  </si>
  <si>
    <t>Ayn</t>
  </si>
  <si>
    <t>b4</t>
  </si>
  <si>
    <t>Yn</t>
  </si>
  <si>
    <t>b5</t>
  </si>
  <si>
    <t>Kn</t>
  </si>
  <si>
    <t>b6</t>
  </si>
  <si>
    <t>Gn</t>
  </si>
  <si>
    <t>c</t>
  </si>
  <si>
    <t>Mn</t>
  </si>
  <si>
    <t>İo</t>
  </si>
  <si>
    <t>Ço</t>
  </si>
  <si>
    <t>Do</t>
  </si>
  <si>
    <t>Ayo</t>
  </si>
  <si>
    <t>Yo</t>
  </si>
  <si>
    <t>Ko</t>
  </si>
  <si>
    <t>Go</t>
  </si>
  <si>
    <t>Mo</t>
  </si>
  <si>
    <t>FİYAT FARKI HESABI</t>
  </si>
  <si>
    <t>=</t>
  </si>
  <si>
    <t>Pn</t>
  </si>
  <si>
    <t>İdare</t>
  </si>
  <si>
    <t>Tutanak Tarihi</t>
  </si>
  <si>
    <t>T.C. İstanbul Büyükşehir Belediyesi Raylı Sistem Daire Başkanlığı Avrupa Yakası Raylı Sistem Müdürlüğü</t>
  </si>
  <si>
    <t>Tutanak No'su</t>
  </si>
  <si>
    <t>İŞÇİ ALACAĞI OLMADIĞINA DAİR TUTANAK</t>
  </si>
  <si>
    <t xml:space="preserve">          T.C. İstanbul Büyükşehir Belediye Başkanlığı'nca ihale edilen, Yüklenici Kalyon-Özgün Metro İnşaatı Adi Ortaklığı Ticari İşletmesi'nin taahhüdü altında yapımı devam eden "Kirazlı-Halkalı Üniversite Metro Hattı İnşaat Ve Elektromekanik İşler İle M1 Hattı Elektromekanik Sistemleri Yapım İşi" ile ilgili </t>
  </si>
  <si>
    <t xml:space="preserve"> tarihi itibarı ile düzenlenecek hakediş için </t>
  </si>
  <si>
    <t xml:space="preserve"> tarihinde 4857 sayılı iş kanununun 36. maddesine göre işçi alacakları ile ilgili ilan yapılmıştır. </t>
  </si>
  <si>
    <t xml:space="preserve">          Buna göre, </t>
  </si>
  <si>
    <t xml:space="preserve"> tarihinde 6 nüsha olarak tanzim ve imza edilmiştir.  </t>
  </si>
  <si>
    <t xml:space="preserve"> tarihine kadar işçi alacakları ile ilgili herhangi bir müracaat yapılmamıştır. </t>
  </si>
  <si>
    <t xml:space="preserve">          İş bu tutanak taraflarca </t>
  </si>
  <si>
    <t>İŞÇİ TEMSİLCİSİ</t>
  </si>
  <si>
    <t xml:space="preserve"> tarihine kadar, alacakları olduğuna dair belgeleri ile Danışmanlığımıza müracaatları 4857 sayılı iş kanunun 36.maddesi gereği ilan olunur.</t>
  </si>
  <si>
    <t xml:space="preserve">İdare T.C. İSTANBUL BÜYÜKŞEHİR BELEDİYESİ Raylı Sistem Daire Başkanlığı Avrupa Yakası Raylı Sistem Müdürlüğü’nce ihale edilen, Yüklenici "KALYON-ÖZGÜN METRO İNŞAATI ADİ ORTAKLIĞI TİCARİ İŞLETMESİ"nin taahhüdü altında yapımı devam eden "Kirazlı-Halkalı Üniversite Metro Hattı İnşaat Ve Elektromekanik İşler İle M1 Hattı Elektromekanik Sistemleri Yapım İşi" 'nde </t>
  </si>
  <si>
    <t xml:space="preserve"> No’lu hakediş tanzim edilecektir.</t>
  </si>
  <si>
    <t xml:space="preserve">Adı geçen işte çalışıp, Yüklenici firmadan alacağı bulunan işçilerin, </t>
  </si>
  <si>
    <t>İLAN TUTANAĞI</t>
  </si>
  <si>
    <t>İS</t>
  </si>
  <si>
    <t>HAKEDİŞ  RAPORU</t>
  </si>
  <si>
    <t>İmalat
Dönemi</t>
  </si>
  <si>
    <t>MART 2025 DÖNEMİ HESAPLAMASI</t>
  </si>
  <si>
    <t>ŞUBAT 2025 DÖNEMİ HESAPLAMASI</t>
  </si>
  <si>
    <t>İş Programı Nakit Akış Diyagramında Bu Döneme Ait Ödenek Yer Almamaktadır.</t>
  </si>
  <si>
    <t>Yapılacak ilk iş programında ödenek dilimleri güncellenecektir.</t>
  </si>
  <si>
    <t>Geoteknik</t>
  </si>
  <si>
    <t>Tasarım</t>
  </si>
  <si>
    <t>NAKİT TEMİNAT KESİNTİ TAKİP TABLOSU</t>
  </si>
  <si>
    <t>Mektup Türü</t>
  </si>
  <si>
    <t>Mektup Değeri</t>
  </si>
  <si>
    <t>Alınış Tarihi</t>
  </si>
  <si>
    <t>Alındığı Banka</t>
  </si>
  <si>
    <t>Mektup No</t>
  </si>
  <si>
    <t xml:space="preserve"> TL TEMİNAT KESİNTİSİ YAPILACAKTIR.</t>
  </si>
  <si>
    <t>TEMİNAT KESİNTİSİ YAPILMAYACAKTIR.</t>
  </si>
  <si>
    <t>FİYAT FARKI EK KESİN TEMİNATI KESİNTİ TAKİP TABLOSU</t>
  </si>
  <si>
    <t>Fiyat Farkı Ek Kesin Teminat Mektubu</t>
  </si>
  <si>
    <t>TL (Sözleşme Madde 10.2.1 Toplam Fiyat Farkı Tutarının %6'sı)</t>
  </si>
  <si>
    <t>TL (Sözleşme Madde 30.2 Yapılan İmalatlara Ait Tutarın %5'i)</t>
  </si>
  <si>
    <t>Verilmesi Gereken Toplam Mektup Tutarı</t>
  </si>
  <si>
    <t>Verilen Toplam Mektup Tutarı olduğu için</t>
  </si>
  <si>
    <t>Fiyat Farkı İcmali ve Hesap Tabloları</t>
  </si>
  <si>
    <t>Elle</t>
  </si>
  <si>
    <t>Fiyat Farkı Ek Kesin Teminatı (Sözleşme Madde 10.2.1) (B x %6) (Teminat Mektubu Verildiğinden Uygulanmamıştır.)</t>
  </si>
  <si>
    <t>Fiyat Farkı Dönemi</t>
  </si>
  <si>
    <t>Ç</t>
  </si>
  <si>
    <t>D</t>
  </si>
  <si>
    <t>Ay</t>
  </si>
  <si>
    <t>Y</t>
  </si>
  <si>
    <t>K</t>
  </si>
  <si>
    <t>G</t>
  </si>
  <si>
    <t>M</t>
  </si>
  <si>
    <t>Kasım 2024 (o)</t>
  </si>
  <si>
    <t>Şubat 2025</t>
  </si>
  <si>
    <t>Ocak 2025</t>
  </si>
  <si>
    <t>Mart 2025</t>
  </si>
  <si>
    <t>T.C. İstanbul Büyükşehir Belediyesi 
Raylı Sistem Daire Başkanlığı Avrupa Yakası Raylı Sistem Müdürlüğü</t>
  </si>
  <si>
    <t>Kirazlı-Halkalı Üniversite Metro Hattı İnşaat Ve Elektromekanik İşler İle 
M1 Hattı Elektromekanik Sistemleri Yapım İşi
Kalyon-Özgün Metro İnşaatı Adi Ortaklığı Ticari İşletmesi</t>
  </si>
  <si>
    <t>Elektromekanik Kontrol Amiri</t>
  </si>
  <si>
    <t>Teminat Kümülatif Tutar</t>
  </si>
  <si>
    <t>Geçerlilik Tarihi</t>
  </si>
  <si>
    <t>Verildiği Hakediş No</t>
  </si>
  <si>
    <t>Toplam Metkup Tutarı:</t>
  </si>
  <si>
    <t>Abdulgafur TEKİN</t>
  </si>
  <si>
    <t>ONAY</t>
  </si>
  <si>
    <t>(1/1)</t>
  </si>
  <si>
    <t>Kesin Teminat Mektubu</t>
  </si>
  <si>
    <t>Halkbank</t>
  </si>
  <si>
    <t>0614MW028860</t>
  </si>
  <si>
    <t>1451MW016535</t>
  </si>
  <si>
    <t>Mektup Değeri
(TL)</t>
  </si>
  <si>
    <t>Teminat Kümülatif Tutar
(TL)</t>
  </si>
  <si>
    <t>0614MW028859</t>
  </si>
  <si>
    <t>1451MW016534</t>
  </si>
  <si>
    <t>Orhan KOCA</t>
  </si>
  <si>
    <t>YAPILAN İŞLER İCMALİ</t>
  </si>
  <si>
    <t>Orhan KOCA
Proje Müdürü</t>
  </si>
  <si>
    <t>No</t>
  </si>
  <si>
    <t>İş Bitim Tarihi</t>
  </si>
  <si>
    <t>Erman ERYILMAZ</t>
  </si>
  <si>
    <t>Raylı Sistem Daire Başkan V.</t>
  </si>
  <si>
    <t>01.1</t>
  </si>
  <si>
    <t>01.3</t>
  </si>
  <si>
    <t>01.4</t>
  </si>
  <si>
    <t>01.2</t>
  </si>
  <si>
    <t>02</t>
  </si>
  <si>
    <t>03</t>
  </si>
  <si>
    <t>04</t>
  </si>
  <si>
    <t>05</t>
  </si>
  <si>
    <t>06</t>
  </si>
  <si>
    <t>07</t>
  </si>
  <si>
    <t>08</t>
  </si>
  <si>
    <t>09</t>
  </si>
  <si>
    <t>10</t>
  </si>
  <si>
    <t>11</t>
  </si>
  <si>
    <t>12</t>
  </si>
  <si>
    <t>FİYAT FARKI (Fiyat Farkı Hesabı Sayfasından)</t>
  </si>
  <si>
    <t>KESİNTİLER</t>
  </si>
  <si>
    <t>SÖZLEŞME FİYATLARI İLE YAPILAN İŞİN TUTARLARI (TL)</t>
  </si>
  <si>
    <t>ÖNCEKİ HAKEDİŞ KÜMÜLATİF</t>
  </si>
  <si>
    <t>BU HAKEDİŞ KÜMÜLATİF</t>
  </si>
  <si>
    <t>İLGİLİ İDARE</t>
  </si>
  <si>
    <t>İŞİN CİNSİ</t>
  </si>
  <si>
    <t>FATURA TARİHİ</t>
  </si>
  <si>
    <t>TUTARI (TL)</t>
  </si>
  <si>
    <t>HAKEDİŞ NO</t>
  </si>
  <si>
    <t>D.1) Daha Önceki Hakedişlerde Yapılan Kesintiler</t>
  </si>
  <si>
    <t>D.2) Bu hakedişte Yapılan Kesintiler</t>
  </si>
  <si>
    <t>İhale Tenzilatına Tabi Ödemeler Tutarı (A+B+C)-D</t>
  </si>
  <si>
    <t>Yatırım Teşvik Kapsamında KDV İstisna Tutarı</t>
  </si>
  <si>
    <t>I.1) Yurt İçinden Temin Edilen Makina ve Teçhizat (KDV' siz)</t>
  </si>
  <si>
    <t>I.2) Yurt Dışından Temin Edilen Makina ve Teçhizat (KDV' siz)</t>
  </si>
  <si>
    <t>M)</t>
  </si>
  <si>
    <t xml:space="preserve">Gelir Vergisi Stopajı  (H - Avans Kesintisi) x % 1                                                                          </t>
  </si>
  <si>
    <t>Damga Vergisi (Muaf)</t>
  </si>
  <si>
    <t>Sözleşme Avans Mahsubu ( Hakediş ve Avans Kesintisi Takip Cetveli Sayfasından)</t>
  </si>
  <si>
    <t>A</t>
  </si>
  <si>
    <t>C</t>
  </si>
  <si>
    <t>E</t>
  </si>
  <si>
    <t>I</t>
  </si>
  <si>
    <t>J</t>
  </si>
  <si>
    <t>)Fiyat Farkı Tutarı (Fiyat Farkı Sayfasından)</t>
  </si>
  <si>
    <t>)Diğer İşler Tutarı</t>
  </si>
  <si>
    <t>N</t>
  </si>
  <si>
    <t>O</t>
  </si>
  <si>
    <t>TESLİM EDİLEN TEMİNAT MEKTUPLARI LİSTESİ (İhtiyat Kesintisi)</t>
  </si>
  <si>
    <t>Teminat Mektubu Sayısı</t>
  </si>
  <si>
    <t>Teminat Mektubu Tutarı</t>
  </si>
  <si>
    <t>Teminat Mektubu Kümülatif Tutarı</t>
  </si>
  <si>
    <t>Teminat Mektubunu Veren Banka</t>
  </si>
  <si>
    <t>TESLİM EDİLEN KESİN TEMİNAT MEKTUPLARI LİSTESİ</t>
  </si>
  <si>
    <t>Teminat Mektubu Tarihi</t>
  </si>
  <si>
    <t>Sözleşme Bedeli (Mektup Sayfasına Lazım)</t>
  </si>
  <si>
    <t>TESLİM EDİLEN KESİN TEMİNAT MEKTUPLARI LİSTESİ (Fiyat Farkı İçin)</t>
  </si>
  <si>
    <t>Sistem Müh</t>
  </si>
  <si>
    <t>Yılmaz SATI</t>
  </si>
  <si>
    <t>Ceyda Sena BALABAN</t>
  </si>
  <si>
    <t>Sinan GENÇTÜRK</t>
  </si>
  <si>
    <t>Ceyda Sena BALABAN
Proje Kontrol Mimarı</t>
  </si>
  <si>
    <t>Sinan GENÇTÜRK
NATM Tünel Şefi</t>
  </si>
  <si>
    <t>Selami IŞIK
Jeoteknik Ölçüm Değerlendirme Şefi</t>
  </si>
  <si>
    <t>İMZA YETKİLİLERİ LİSTESİ</t>
  </si>
  <si>
    <t>İmza Yetkilileri (İBB)</t>
  </si>
  <si>
    <t>İmza Yetkilileri (Müşavir)</t>
  </si>
  <si>
    <t>İmza Yetkilileri (Yüklenici)</t>
  </si>
  <si>
    <t>Hakediş Kapak ve İcmal</t>
  </si>
  <si>
    <t>Teminat Mektupları İcmalleri
Fiyat Farkı İcmali
Fiyat Farkı Hesabı
Avans Kesintisi Takip Tabloları</t>
  </si>
  <si>
    <t>Yapılan İşler İcmali</t>
  </si>
  <si>
    <t>Yeşil Defter</t>
  </si>
  <si>
    <t>Tüm Metrajlar</t>
  </si>
  <si>
    <t>İşçi Alacağı Tutanağı</t>
  </si>
  <si>
    <t>Sayfa Numaraları</t>
  </si>
  <si>
    <t>2024121300121256587</t>
  </si>
  <si>
    <t>2024121300121256627</t>
  </si>
  <si>
    <t>Nisan 2025</t>
  </si>
  <si>
    <t>Mayıs 2025</t>
  </si>
  <si>
    <t>NATM İmalat Tutanakları</t>
  </si>
  <si>
    <t>NATM İmalat Birim Miktarlar</t>
  </si>
  <si>
    <t>TEKLİF</t>
  </si>
  <si>
    <t>l</t>
  </si>
  <si>
    <t>Raylı Sistem Dairesi Başkanlığı Avrupa Yakası Raylı Sistem Şube Müdürlüğü</t>
  </si>
  <si>
    <t>NATM Tünel Şefi</t>
  </si>
  <si>
    <t>Raylı Sistem Dairesi Başkanlığı</t>
  </si>
  <si>
    <t>Avrupa Yakası Raylı Sistem Şube Müdürlüğü</t>
  </si>
  <si>
    <t>Haziran 2025</t>
  </si>
  <si>
    <t>T.C. İSTANBUL BÜYÜKŞEHİR BELEDİYESİ
Raylı Sistem Dairesi Başkanlığı
Avrupa Yakası Raylı Sistem Şube Müdürlüğü</t>
  </si>
  <si>
    <t>Düzenleyen</t>
  </si>
  <si>
    <t>İnceleyen</t>
  </si>
  <si>
    <t>İnceleyen/Kontrol Teknikeri</t>
  </si>
  <si>
    <t>İnceleyen/Kontrol Mühendisi</t>
  </si>
  <si>
    <t>0614MW029539</t>
  </si>
  <si>
    <t>1451MW017242</t>
  </si>
  <si>
    <t>0614MW029540</t>
  </si>
  <si>
    <t>1451MW017248</t>
  </si>
  <si>
    <t>Elle Girildi</t>
  </si>
  <si>
    <t>Elle girildi</t>
  </si>
  <si>
    <t>Raylı Sistem Daire Başkanlığı</t>
  </si>
  <si>
    <t>MİKTAR</t>
  </si>
  <si>
    <t>BİRİM FİYAT (₺)</t>
  </si>
  <si>
    <t>TUTAR (₺)</t>
  </si>
  <si>
    <t>İŞİN TUTARLARI (₺)</t>
  </si>
  <si>
    <t>TEKLİFE GÖRE</t>
  </si>
  <si>
    <t>H.No</t>
  </si>
  <si>
    <t>Yasin Yeşildağ</t>
  </si>
  <si>
    <t>Orhan KOCA 
Proje Müdürü</t>
  </si>
  <si>
    <t>İMALAT MİKTARLARI</t>
  </si>
  <si>
    <t>TUTAR (TL)</t>
  </si>
  <si>
    <t>ÖNCEKİ DÖNEM</t>
  </si>
  <si>
    <t>BU DEFA</t>
  </si>
  <si>
    <t>ÖNCEKİ DÖNEM (TL)</t>
  </si>
  <si>
    <t>BU DEFA (TL)</t>
  </si>
  <si>
    <t>TOPLAM (TL)</t>
  </si>
  <si>
    <t>i</t>
  </si>
  <si>
    <t>T.C. İSTANBUL BÜYÜKŞEHİR BELEDİYESİ
Raylı Sistem Dairesi Başkanlığı Avrupa Yakası Raylı Sistem Şube Müdürlüğü</t>
  </si>
  <si>
    <t>ÖNCEKİ</t>
  </si>
  <si>
    <t>METRAJ ÖZETİ</t>
  </si>
  <si>
    <t>YAPILAN İŞLER</t>
  </si>
  <si>
    <t>Verilecek</t>
  </si>
  <si>
    <t>Temmuz 2025</t>
  </si>
  <si>
    <t>İnş. Kontrol Mühendisi</t>
  </si>
  <si>
    <t>Mimar / Kontrol Mühendisi</t>
  </si>
  <si>
    <t>Mad. Kontrol Mühendisi</t>
  </si>
  <si>
    <t>MALAZGİRT İSTASYONU YAPILAN İŞLER İCMALİ</t>
  </si>
  <si>
    <t>BARBAROS İSTASYONU YAPILAN İŞLER İCMALİ</t>
  </si>
  <si>
    <t>ÖNCEKİ HAKEDİŞ MİKTARI</t>
  </si>
  <si>
    <t>BU HAKEDİŞ MİKTARI</t>
  </si>
  <si>
    <t>TOPLAM MİKTAR</t>
  </si>
  <si>
    <t>Maden Kontrol Mühendisi</t>
  </si>
  <si>
    <t>Önceki Hakediş Miktarı</t>
  </si>
  <si>
    <t>Bu Hakediş Miktarı</t>
  </si>
  <si>
    <t>Toplam Miktar</t>
  </si>
  <si>
    <t>Makine Kontrol Mühendisi</t>
  </si>
  <si>
    <t>İnşaat Kontrol Mühendisi</t>
  </si>
  <si>
    <t>Elektronik Kontrol Mühendisi</t>
  </si>
  <si>
    <t>Elektrik Kontrol Mühendisi</t>
  </si>
  <si>
    <t>Harita Kontrol Mühendisi</t>
  </si>
  <si>
    <t>İnşaat Kontrol Teknikeri</t>
  </si>
  <si>
    <t xml:space="preserve">FİYAT FARKI İCMALİ </t>
  </si>
  <si>
    <t xml:space="preserve">Önceki Hakediş Kümülatif </t>
  </si>
  <si>
    <t>Bu Hakediş</t>
  </si>
  <si>
    <t>Bu Hakediş Kümülatif</t>
  </si>
  <si>
    <t>Ağustos 2025</t>
  </si>
  <si>
    <t>Eylül 2025</t>
  </si>
  <si>
    <t>Ekim 2025</t>
  </si>
  <si>
    <t>Kasım 2025</t>
  </si>
  <si>
    <t>Aralık 2025</t>
  </si>
  <si>
    <t>Ocak 2026</t>
  </si>
  <si>
    <t>Kapak 4</t>
  </si>
  <si>
    <t>Kapak 2 - 4</t>
  </si>
  <si>
    <t>3 - 6</t>
  </si>
  <si>
    <t>Selami IŞIK</t>
  </si>
  <si>
    <t>Tutanaklar</t>
  </si>
  <si>
    <t>Sözleşmemiz Aylık Hakediş Raporları ve Düzenlenmesi 33.36 maddesine istinaden 12.12.2024 Tarihli Ortaklık Tespit Belgesinde yer alan bilgilerde bugüne kadar değişiklik olmadığını ve ortağımıza ait iş deneyimini gösteren belgelerin tamamını, başka bir tüzel kişiye kullandırılmadığını taahhüt ederiz.</t>
  </si>
  <si>
    <t>414655-450</t>
  </si>
  <si>
    <t>347 gün</t>
  </si>
  <si>
    <t>Yılmaz SATI
Hakediş, Mukavele Takip, Kesin Hesap Kontrol Mühendisi</t>
  </si>
  <si>
    <t>SÖZLEŞMEYE GÖRE</t>
  </si>
  <si>
    <t>Mehmet Ali AKGÜL</t>
  </si>
  <si>
    <t>Selami IŞIK
Jeoteknil Ölçüm Değerlendirme Şefi</t>
  </si>
  <si>
    <t>(2/2)</t>
  </si>
  <si>
    <t>Şubat 2026</t>
  </si>
  <si>
    <t>Mart 2026</t>
  </si>
  <si>
    <t>31.03.2026 İTİBARİYLE İMALAT MİKTARLARI</t>
  </si>
  <si>
    <t>B x (Pn-1)</t>
  </si>
  <si>
    <t>3 - 4</t>
  </si>
  <si>
    <t>5 - 6</t>
  </si>
  <si>
    <t>8 - 38</t>
  </si>
  <si>
    <t>8-38</t>
  </si>
  <si>
    <t>41 - 64</t>
  </si>
  <si>
    <t>Nisan 2026</t>
  </si>
  <si>
    <t>RBF</t>
  </si>
  <si>
    <t>01.04.2026</t>
  </si>
  <si>
    <t>)Sözleşme Fiyatlar İle Yapılan İşler Toplam Tutarı</t>
  </si>
  <si>
    <t>)Toplam Tutarı ( A + B + C )</t>
  </si>
  <si>
    <t>F)</t>
  </si>
  <si>
    <t>H</t>
  </si>
  <si>
    <t>Bu Hakedişin Tutarı ( D - E )</t>
  </si>
  <si>
    <t>)Bu Hakedişte KDV Uygulanacak Tutar  ( F - G )</t>
  </si>
  <si>
    <t>)K.D.V  Tutarı   ( H x %20 )</t>
  </si>
  <si>
    <t>)Tahakkuk Tutarı  ( H + I )</t>
  </si>
  <si>
    <t>K) KESİNTİLER ve MAHSUPLAR</t>
  </si>
  <si>
    <t>YÜKLENİCİYE ÖDENECEK TUTAR ( J - L )</t>
  </si>
  <si>
    <t>İşyeri Başlama Tarihi</t>
  </si>
  <si>
    <t>8 - 17 / 31 / 33</t>
  </si>
  <si>
    <t>19 - 30 /  32 - 38</t>
  </si>
  <si>
    <t>27-30 / 37</t>
  </si>
  <si>
    <t>8 - 10</t>
  </si>
  <si>
    <t>23 - 26 / 28</t>
  </si>
  <si>
    <t>18 - 23 / 26 / 33-36</t>
  </si>
  <si>
    <t>8 - 12</t>
  </si>
  <si>
    <t>8 - 10/ 31</t>
  </si>
  <si>
    <t>13 - 17 / 33</t>
  </si>
  <si>
    <t>11 - 12</t>
  </si>
  <si>
    <t>39-41</t>
  </si>
  <si>
    <t>39-42</t>
  </si>
  <si>
    <t>39-41/57</t>
  </si>
  <si>
    <t>39 / 42-43</t>
  </si>
  <si>
    <t>39 / 44-47/ 59</t>
  </si>
  <si>
    <t>39 / 58 / 63</t>
  </si>
  <si>
    <t>39</t>
  </si>
  <si>
    <t>39 / 54-56 / 62</t>
  </si>
  <si>
    <t>39 / 51-53 / 55</t>
  </si>
  <si>
    <t>39 / 48-51 / 53 
/ 59-61</t>
  </si>
  <si>
    <t>39 - 63</t>
  </si>
  <si>
    <t>48-63</t>
  </si>
  <si>
    <t>40-47/63</t>
  </si>
  <si>
    <t>41/43</t>
  </si>
  <si>
    <t>65-70</t>
  </si>
  <si>
    <t>72-186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</si>
</sst>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yyyy"/>
    <numFmt numFmtId="165" formatCode="dd/mm/yyyy\ &quot;TARİHİNE KADAR YAPILAN İŞLERİN&quot;"/>
    <numFmt numFmtId="166" formatCode="_-* #,##0.0000_-;\-* #,##0.0000_-;_-* &quot;-&quot;??_-;_-@_-"/>
    <numFmt numFmtId="167" formatCode="mmmm\ yy"/>
    <numFmt numFmtId="168" formatCode="0.00000"/>
    <numFmt numFmtId="169" formatCode="_-* #,##0.000000_-;\-* #,##0.000000_-;_-* &quot;-&quot;??_-;_-@_-"/>
    <numFmt numFmtId="170" formatCode="0.0000"/>
    <numFmt numFmtId="171" formatCode="#\ &quot;Nolu Hakediş İtibariyle Verilmesi Gereken Teminat Mektupları Toplam Tutarı:&quot;"/>
    <numFmt numFmtId="172" formatCode="#\ &quot;Nolu Hakediş İtibariyle Verilen Teminat Mektupları Toplam Tutarı:&quot;"/>
    <numFmt numFmtId="173" formatCode="#\ &quot;Nolu Hakediş İtibariyle Hesaplanan Fiyat Farkı Toplam Tutarı:&quot;"/>
    <numFmt numFmtId="174" formatCode="0.000000"/>
    <numFmt numFmtId="175" formatCode="&quot;Hakediş No: &quot;#"/>
    <numFmt numFmtId="176" formatCode="#\ &quot;Nolu Hakediş İtibariyle Sözleşme Fiyatları İle Yapılan İmalatların Tutarı:&quot;"/>
    <numFmt numFmtId="177" formatCode="dd/mm/yyyy"/>
    <numFmt numFmtId="178" formatCode="&quot;Bir Önceki Hakedişin Toplam Tutarı (Hakediş No:&quot;#&quot;)&quot;"/>
    <numFmt numFmtId="179" formatCode="&quot;) &quot;#\ &quot;No.lu Hakediş KREDİ'den TOPLAM ÖDENECEK&quot;"/>
    <numFmt numFmtId="180" formatCode="&quot;) &quot;#\ &quot;No.lu Hakediş ÖZKAYNAK'tan TOPLAM ÖDENECEK&quot;"/>
    <numFmt numFmtId="181" formatCode="#,##0.00\ &quot;₺&quot;"/>
    <numFmt numFmtId="182" formatCode="#,##0.00&quot; EUR&quot;"/>
    <numFmt numFmtId="183" formatCode="_-* #,##0.00\ _T_L_-;\-* #,##0.00\ _T_L_-;_-* &quot;-&quot;??\ _T_L_-;_-@_-"/>
    <numFmt numFmtId="184" formatCode="_-* #,##0.000_-;\-* #,##0.000_-;_-* &quot;-&quot;??_-;_-@_-"/>
    <numFmt numFmtId="185" formatCode="[$-41F]mmmm\ yy;@"/>
    <numFmt numFmtId="186" formatCode="&quot;HAKEDİŞ NO: &quot;#"/>
    <numFmt numFmtId="187" formatCode="&quot;₺&quot;#,##0.00"/>
    <numFmt numFmtId="188" formatCode="_-* #,##0.00_-;\-* #,##0.00_-;_-* &quot;-&quot;?????_-;_-@_-"/>
  </numFmts>
  <fonts count="7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scheme val="minor"/>
    </font>
    <font>
      <b/>
      <sz val="11"/>
      <color theme="1"/>
      <name val="Calibri"/>
      <family val="2"/>
      <charset val="162"/>
      <scheme val="minor"/>
    </font>
    <font>
      <sz val="10"/>
      <name val="Swis721 LtCn BT"/>
      <family val="2"/>
    </font>
    <font>
      <b/>
      <sz val="14"/>
      <name val="Calibri"/>
      <family val="2"/>
      <charset val="162"/>
      <scheme val="minor"/>
    </font>
    <font>
      <b/>
      <sz val="11"/>
      <name val="Calibri"/>
      <family val="2"/>
      <charset val="162"/>
      <scheme val="minor"/>
    </font>
    <font>
      <sz val="11"/>
      <name val="Calibri"/>
      <family val="2"/>
      <charset val="162"/>
      <scheme val="minor"/>
    </font>
    <font>
      <b/>
      <sz val="12"/>
      <color theme="1"/>
      <name val="Calibri"/>
      <family val="2"/>
      <scheme val="minor"/>
    </font>
    <font>
      <sz val="12"/>
      <color theme="1"/>
      <name val="Calibri"/>
      <family val="2"/>
      <scheme val="minor"/>
    </font>
    <font>
      <sz val="10"/>
      <name val="Arial"/>
      <family val="2"/>
      <charset val="162"/>
    </font>
    <font>
      <b/>
      <sz val="12"/>
      <name val="Calibri"/>
      <family val="2"/>
      <charset val="162"/>
      <scheme val="minor"/>
    </font>
    <font>
      <sz val="12"/>
      <name val="Calibri"/>
      <family val="2"/>
      <charset val="162"/>
      <scheme val="minor"/>
    </font>
    <font>
      <b/>
      <sz val="13"/>
      <name val="Calibri"/>
      <family val="2"/>
      <charset val="162"/>
      <scheme val="minor"/>
    </font>
    <font>
      <sz val="12"/>
      <color theme="1"/>
      <name val="Calibri"/>
      <family val="2"/>
      <charset val="162"/>
      <scheme val="minor"/>
    </font>
    <font>
      <i/>
      <sz val="12"/>
      <color theme="1"/>
      <name val="Calibri"/>
      <family val="2"/>
      <charset val="162"/>
      <scheme val="minor"/>
    </font>
    <font>
      <b/>
      <sz val="12"/>
      <color theme="1"/>
      <name val="Calibri"/>
      <family val="2"/>
      <charset val="162"/>
      <scheme val="minor"/>
    </font>
    <font>
      <sz val="10"/>
      <color theme="1"/>
      <name val="Calibri"/>
      <family val="2"/>
      <charset val="162"/>
      <scheme val="minor"/>
    </font>
    <font>
      <b/>
      <sz val="10"/>
      <color theme="1"/>
      <name val="Calibri"/>
      <family val="2"/>
      <charset val="162"/>
      <scheme val="minor"/>
    </font>
    <font>
      <sz val="10"/>
      <name val="Calibri"/>
      <family val="2"/>
      <charset val="162"/>
      <scheme val="minor"/>
    </font>
    <font>
      <b/>
      <sz val="10"/>
      <name val="Calibri"/>
      <family val="2"/>
      <charset val="162"/>
      <scheme val="minor"/>
    </font>
    <font>
      <b/>
      <sz val="12"/>
      <color theme="0" tint="-4.9989318521683403E-2"/>
      <name val="Calibri"/>
      <family val="2"/>
      <charset val="162"/>
      <scheme val="minor"/>
    </font>
    <font>
      <b/>
      <sz val="20"/>
      <name val="Calibri"/>
      <family val="2"/>
      <charset val="162"/>
      <scheme val="minor"/>
    </font>
    <font>
      <b/>
      <sz val="18"/>
      <color theme="1"/>
      <name val="Calibri"/>
      <family val="2"/>
      <charset val="162"/>
      <scheme val="minor"/>
    </font>
    <font>
      <b/>
      <sz val="14"/>
      <color theme="1"/>
      <name val="Calibri"/>
      <family val="2"/>
      <charset val="162"/>
      <scheme val="minor"/>
    </font>
    <font>
      <u/>
      <sz val="11"/>
      <color theme="1"/>
      <name val="Calibri"/>
      <family val="2"/>
      <scheme val="minor"/>
    </font>
    <font>
      <b/>
      <u/>
      <sz val="11"/>
      <color theme="1"/>
      <name val="Calibri"/>
      <family val="2"/>
      <charset val="162"/>
      <scheme val="minor"/>
    </font>
    <font>
      <u/>
      <sz val="11"/>
      <color theme="1"/>
      <name val="Calibri"/>
      <family val="2"/>
      <charset val="162"/>
      <scheme val="minor"/>
    </font>
    <font>
      <sz val="11"/>
      <color indexed="8"/>
      <name val="Calibri"/>
      <family val="2"/>
      <charset val="162"/>
      <scheme val="minor"/>
    </font>
    <font>
      <b/>
      <sz val="11"/>
      <color indexed="8"/>
      <name val="Calibri"/>
      <family val="2"/>
      <charset val="162"/>
      <scheme val="minor"/>
    </font>
    <font>
      <b/>
      <u/>
      <sz val="12"/>
      <color theme="1"/>
      <name val="Calibri"/>
      <family val="2"/>
      <scheme val="minor"/>
    </font>
    <font>
      <b/>
      <u/>
      <sz val="12"/>
      <color theme="1"/>
      <name val="Calibri"/>
      <family val="2"/>
      <charset val="162"/>
      <scheme val="minor"/>
    </font>
    <font>
      <sz val="9"/>
      <color theme="1"/>
      <name val="Calibri"/>
      <family val="2"/>
      <charset val="162"/>
      <scheme val="minor"/>
    </font>
    <font>
      <b/>
      <sz val="14"/>
      <color theme="1"/>
      <name val="Calibri"/>
      <family val="2"/>
      <scheme val="minor"/>
    </font>
    <font>
      <b/>
      <sz val="24"/>
      <color theme="1"/>
      <name val="Calibri"/>
      <family val="2"/>
      <charset val="162"/>
      <scheme val="minor"/>
    </font>
    <font>
      <sz val="18"/>
      <color theme="1"/>
      <name val="Calibri"/>
      <family val="2"/>
      <scheme val="minor"/>
    </font>
    <font>
      <sz val="11"/>
      <color rgb="FF0070C0"/>
      <name val="Calibri"/>
      <family val="2"/>
      <scheme val="minor"/>
    </font>
    <font>
      <sz val="7"/>
      <color theme="1"/>
      <name val="Calibri"/>
      <family val="2"/>
      <scheme val="minor"/>
    </font>
    <font>
      <b/>
      <sz val="11"/>
      <color rgb="FFFF0000"/>
      <name val="Calibri"/>
      <family val="2"/>
      <charset val="162"/>
      <scheme val="minor"/>
    </font>
    <font>
      <b/>
      <sz val="9"/>
      <color theme="1"/>
      <name val="Calibri"/>
      <family val="2"/>
      <charset val="162"/>
      <scheme val="minor"/>
    </font>
    <font>
      <b/>
      <sz val="7"/>
      <color theme="1"/>
      <name val="Calibri"/>
      <family val="2"/>
      <scheme val="minor"/>
    </font>
    <font>
      <b/>
      <sz val="11"/>
      <color indexed="8"/>
      <name val="Calibri"/>
      <family val="2"/>
      <scheme val="minor"/>
    </font>
    <font>
      <sz val="12"/>
      <name val="Calibri"/>
      <family val="2"/>
      <scheme val="minor"/>
    </font>
    <font>
      <sz val="14"/>
      <color theme="1"/>
      <name val="Calibri"/>
      <family val="2"/>
      <scheme val="minor"/>
    </font>
    <font>
      <b/>
      <sz val="8"/>
      <color theme="1"/>
      <name val="Calibri"/>
      <family val="2"/>
      <charset val="162"/>
      <scheme val="minor"/>
    </font>
    <font>
      <b/>
      <sz val="11"/>
      <color theme="1"/>
      <name val="Calibri"/>
      <family val="2"/>
      <scheme val="minor"/>
    </font>
    <font>
      <b/>
      <sz val="28"/>
      <color theme="1"/>
      <name val="Calibri"/>
      <family val="2"/>
      <scheme val="minor"/>
    </font>
    <font>
      <b/>
      <sz val="48"/>
      <color theme="1"/>
      <name val="Calibri"/>
      <family val="2"/>
      <scheme val="minor"/>
    </font>
    <font>
      <sz val="28"/>
      <color theme="1"/>
      <name val="Calibri"/>
      <family val="2"/>
      <scheme val="minor"/>
    </font>
    <font>
      <b/>
      <u/>
      <sz val="14"/>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14"/>
      <name val="Calibri"/>
      <family val="2"/>
      <scheme val="minor"/>
    </font>
    <font>
      <b/>
      <u/>
      <sz val="18"/>
      <color theme="1"/>
      <name val="Calibri"/>
      <family val="2"/>
      <scheme val="minor"/>
    </font>
    <font>
      <sz val="8"/>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s>
  <borders count="134">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auto="1"/>
      </left>
      <right/>
      <top/>
      <bottom/>
      <diagonal/>
    </border>
    <border>
      <left/>
      <right style="double">
        <color auto="1"/>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indexed="64"/>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top style="hair">
        <color auto="1"/>
      </top>
      <bottom style="thin">
        <color auto="1"/>
      </bottom>
      <diagonal/>
    </border>
    <border>
      <left style="double">
        <color auto="1"/>
      </left>
      <right/>
      <top/>
      <bottom style="thin">
        <color auto="1"/>
      </bottom>
      <diagonal/>
    </border>
    <border>
      <left/>
      <right style="double">
        <color auto="1"/>
      </right>
      <top/>
      <bottom style="thin">
        <color auto="1"/>
      </bottom>
      <diagonal/>
    </border>
    <border>
      <left style="double">
        <color auto="1"/>
      </left>
      <right style="thin">
        <color indexed="64"/>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double">
        <color auto="1"/>
      </left>
      <right style="thin">
        <color auto="1"/>
      </right>
      <top style="thin">
        <color auto="1"/>
      </top>
      <bottom style="hair">
        <color auto="1"/>
      </bottom>
      <diagonal/>
    </border>
    <border>
      <left style="thin">
        <color auto="1"/>
      </left>
      <right style="double">
        <color auto="1"/>
      </right>
      <top style="thin">
        <color auto="1"/>
      </top>
      <bottom/>
      <diagonal/>
    </border>
    <border>
      <left style="double">
        <color auto="1"/>
      </left>
      <right style="thin">
        <color auto="1"/>
      </right>
      <top/>
      <bottom style="hair">
        <color auto="1"/>
      </bottom>
      <diagonal/>
    </border>
    <border>
      <left style="thin">
        <color auto="1"/>
      </left>
      <right style="double">
        <color auto="1"/>
      </right>
      <top style="hair">
        <color auto="1"/>
      </top>
      <bottom/>
      <diagonal/>
    </border>
    <border>
      <left style="double">
        <color auto="1"/>
      </left>
      <right style="thin">
        <color auto="1"/>
      </right>
      <top/>
      <bottom style="thin">
        <color auto="1"/>
      </bottom>
      <diagonal/>
    </border>
    <border>
      <left style="double">
        <color auto="1"/>
      </left>
      <right/>
      <top style="thin">
        <color auto="1"/>
      </top>
      <bottom/>
      <diagonal/>
    </border>
    <border>
      <left/>
      <right style="double">
        <color auto="1"/>
      </right>
      <top style="thin">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bottom style="hair">
        <color auto="1"/>
      </bottom>
      <diagonal/>
    </border>
    <border>
      <left/>
      <right style="double">
        <color auto="1"/>
      </right>
      <top/>
      <bottom style="hair">
        <color auto="1"/>
      </bottom>
      <diagonal/>
    </border>
    <border>
      <left/>
      <right style="double">
        <color auto="1"/>
      </right>
      <top style="hair">
        <color auto="1"/>
      </top>
      <bottom style="hair">
        <color auto="1"/>
      </bottom>
      <diagonal/>
    </border>
    <border>
      <left style="double">
        <color auto="1"/>
      </left>
      <right/>
      <top style="hair">
        <color auto="1"/>
      </top>
      <bottom style="thin">
        <color auto="1"/>
      </bottom>
      <diagonal/>
    </border>
    <border>
      <left/>
      <right style="double">
        <color auto="1"/>
      </right>
      <top style="hair">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double">
        <color auto="1"/>
      </right>
      <top style="thin">
        <color auto="1"/>
      </top>
      <bottom style="hair">
        <color auto="1"/>
      </bottom>
      <diagonal/>
    </border>
    <border>
      <left/>
      <right style="thin">
        <color auto="1"/>
      </right>
      <top style="hair">
        <color auto="1"/>
      </top>
      <bottom style="hair">
        <color auto="1"/>
      </bottom>
      <diagonal/>
    </border>
    <border>
      <left style="double">
        <color auto="1"/>
      </left>
      <right style="thin">
        <color auto="1"/>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double">
        <color auto="1"/>
      </right>
      <top style="hair">
        <color auto="1"/>
      </top>
      <bottom/>
      <diagonal/>
    </border>
    <border>
      <left style="double">
        <color auto="1"/>
      </left>
      <right style="thin">
        <color auto="1"/>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double">
        <color auto="1"/>
      </left>
      <right style="hair">
        <color auto="1"/>
      </right>
      <top style="thin">
        <color auto="1"/>
      </top>
      <bottom style="hair">
        <color auto="1"/>
      </bottom>
      <diagonal/>
    </border>
    <border>
      <left style="double">
        <color auto="1"/>
      </left>
      <right style="hair">
        <color auto="1"/>
      </right>
      <top style="hair">
        <color auto="1"/>
      </top>
      <bottom style="hair">
        <color auto="1"/>
      </bottom>
      <diagonal/>
    </border>
    <border>
      <left style="double">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indexed="64"/>
      </left>
      <right style="thin">
        <color indexed="64"/>
      </right>
      <top style="hair">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style="thin">
        <color indexed="64"/>
      </top>
      <bottom style="thin">
        <color indexed="64"/>
      </bottom>
      <diagonal/>
    </border>
    <border>
      <left style="thin">
        <color auto="1"/>
      </left>
      <right/>
      <top style="hair">
        <color auto="1"/>
      </top>
      <bottom style="medium">
        <color indexed="64"/>
      </bottom>
      <diagonal/>
    </border>
    <border>
      <left/>
      <right/>
      <top style="hair">
        <color auto="1"/>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diagonal/>
    </border>
    <border diagonalUp="1" diagonalDown="1">
      <left style="thin">
        <color indexed="64"/>
      </left>
      <right style="thin">
        <color indexed="64"/>
      </right>
      <top style="thin">
        <color indexed="64"/>
      </top>
      <bottom style="thin">
        <color indexed="64"/>
      </bottom>
      <diagonal style="thin">
        <color indexed="64"/>
      </diagonal>
    </border>
    <border>
      <left style="medium">
        <color indexed="64"/>
      </left>
      <right/>
      <top/>
      <bottom style="thin">
        <color indexed="64"/>
      </bottom>
      <diagonal/>
    </border>
    <border>
      <left/>
      <right/>
      <top/>
      <bottom style="medium">
        <color auto="1"/>
      </bottom>
      <diagonal/>
    </border>
    <border>
      <left/>
      <right style="thin">
        <color indexed="64"/>
      </right>
      <top style="hair">
        <color indexed="64"/>
      </top>
      <bottom style="thin">
        <color indexed="64"/>
      </bottom>
      <diagonal/>
    </border>
    <border>
      <left style="double">
        <color auto="1"/>
      </left>
      <right/>
      <top style="hair">
        <color auto="1"/>
      </top>
      <bottom/>
      <diagonal/>
    </border>
    <border>
      <left style="double">
        <color auto="1"/>
      </left>
      <right/>
      <top/>
      <bottom style="hair">
        <color auto="1"/>
      </bottom>
      <diagonal/>
    </border>
    <border>
      <left style="double">
        <color auto="1"/>
      </left>
      <right/>
      <top style="hair">
        <color auto="1"/>
      </top>
      <bottom style="hair">
        <color auto="1"/>
      </bottom>
      <diagonal/>
    </border>
    <border>
      <left style="double">
        <color auto="1"/>
      </left>
      <right style="hair">
        <color auto="1"/>
      </right>
      <top/>
      <bottom style="hair">
        <color auto="1"/>
      </bottom>
      <diagonal/>
    </border>
    <border>
      <left style="hair">
        <color auto="1"/>
      </left>
      <right/>
      <top/>
      <bottom style="hair">
        <color auto="1"/>
      </bottom>
      <diagonal/>
    </border>
    <border>
      <left style="thin">
        <color indexed="64"/>
      </left>
      <right style="double">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auto="1"/>
      </left>
      <right style="thin">
        <color indexed="64"/>
      </right>
      <top/>
      <bottom style="double">
        <color indexed="64"/>
      </bottom>
      <diagonal/>
    </border>
    <border>
      <left style="double">
        <color auto="1"/>
      </left>
      <right style="thin">
        <color auto="1"/>
      </right>
      <top style="double">
        <color indexed="64"/>
      </top>
      <bottom/>
      <diagonal/>
    </border>
    <border>
      <left style="thin">
        <color auto="1"/>
      </left>
      <right style="thin">
        <color auto="1"/>
      </right>
      <top style="double">
        <color indexed="64"/>
      </top>
      <bottom style="hair">
        <color indexed="64"/>
      </bottom>
      <diagonal/>
    </border>
    <border>
      <left style="thin">
        <color auto="1"/>
      </left>
      <right style="double">
        <color indexed="64"/>
      </right>
      <top style="double">
        <color indexed="64"/>
      </top>
      <bottom style="hair">
        <color indexed="64"/>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style="thin">
        <color auto="1"/>
      </bottom>
      <diagonal/>
    </border>
    <border>
      <left style="thin">
        <color auto="1"/>
      </left>
      <right style="double">
        <color auto="1"/>
      </right>
      <top style="hair">
        <color auto="1"/>
      </top>
      <bottom style="thin">
        <color auto="1"/>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style="thin">
        <color indexed="64"/>
      </right>
      <top style="hair">
        <color indexed="64"/>
      </top>
      <bottom style="thin">
        <color indexed="64"/>
      </bottom>
      <diagonal/>
    </border>
    <border>
      <left style="medium">
        <color indexed="64"/>
      </left>
      <right/>
      <top/>
      <bottom/>
      <diagonal/>
    </border>
    <border>
      <left style="double">
        <color indexed="64"/>
      </left>
      <right/>
      <top/>
      <bottom style="medium">
        <color indexed="64"/>
      </bottom>
      <diagonal/>
    </border>
    <border>
      <left/>
      <right style="double">
        <color indexed="64"/>
      </right>
      <top/>
      <bottom style="medium">
        <color indexed="64"/>
      </bottom>
      <diagonal/>
    </border>
    <border>
      <left style="double">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right style="medium">
        <color indexed="64"/>
      </right>
      <top/>
      <bottom style="thin">
        <color indexed="64"/>
      </bottom>
      <diagonal/>
    </border>
    <border>
      <left style="thin">
        <color indexed="64"/>
      </left>
      <right style="hair">
        <color auto="1"/>
      </right>
      <top style="thin">
        <color indexed="64"/>
      </top>
      <bottom style="hair">
        <color indexed="64"/>
      </bottom>
      <diagonal/>
    </border>
    <border>
      <left style="hair">
        <color indexed="64"/>
      </left>
      <right style="hair">
        <color indexed="64"/>
      </right>
      <top/>
      <bottom style="hair">
        <color auto="1"/>
      </bottom>
      <diagonal/>
    </border>
    <border>
      <left style="thin">
        <color auto="1"/>
      </left>
      <right style="hair">
        <color indexed="64"/>
      </right>
      <top style="hair">
        <color indexed="64"/>
      </top>
      <bottom style="hair">
        <color indexed="64"/>
      </bottom>
      <diagonal/>
    </border>
    <border>
      <left style="hair">
        <color indexed="64"/>
      </left>
      <right style="thin">
        <color auto="1"/>
      </right>
      <top style="hair">
        <color auto="1"/>
      </top>
      <bottom style="hair">
        <color auto="1"/>
      </bottom>
      <diagonal/>
    </border>
    <border>
      <left style="hair">
        <color indexed="64"/>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auto="1"/>
      </right>
      <top style="hair">
        <color auto="1"/>
      </top>
      <bottom style="thin">
        <color auto="1"/>
      </bottom>
      <diagonal/>
    </border>
    <border>
      <left style="double">
        <color auto="1"/>
      </left>
      <right style="double">
        <color auto="1"/>
      </right>
      <top style="double">
        <color auto="1"/>
      </top>
      <bottom style="double">
        <color auto="1"/>
      </bottom>
      <diagonal/>
    </border>
    <border>
      <left/>
      <right style="thin">
        <color auto="1"/>
      </right>
      <top style="double">
        <color indexed="64"/>
      </top>
      <bottom style="hair">
        <color indexed="64"/>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indexed="64"/>
      </right>
      <top style="double">
        <color auto="1"/>
      </top>
      <bottom style="double">
        <color auto="1"/>
      </bottom>
      <diagonal/>
    </border>
    <border>
      <left style="thin">
        <color auto="1"/>
      </left>
      <right style="double">
        <color auto="1"/>
      </right>
      <top/>
      <bottom style="hair">
        <color auto="1"/>
      </bottom>
      <diagonal/>
    </border>
    <border>
      <left style="thin">
        <color auto="1"/>
      </left>
      <right style="double">
        <color auto="1"/>
      </right>
      <top/>
      <bottom/>
      <diagonal/>
    </border>
  </borders>
  <cellStyleXfs count="9">
    <xf numFmtId="0" fontId="0" fillId="0" borderId="0"/>
    <xf numFmtId="43" fontId="18" fillId="0" borderId="0" applyFont="0" applyFill="0" applyBorder="0" applyAlignment="0" applyProtection="0"/>
    <xf numFmtId="0" fontId="17" fillId="0" borderId="0"/>
    <xf numFmtId="0" fontId="20" fillId="0" borderId="0"/>
    <xf numFmtId="0" fontId="26" fillId="0" borderId="0" applyNumberFormat="0"/>
    <xf numFmtId="0" fontId="26" fillId="0" borderId="0"/>
    <xf numFmtId="9" fontId="18" fillId="0" borderId="0" applyFont="0" applyFill="0" applyBorder="0" applyAlignment="0" applyProtection="0"/>
    <xf numFmtId="183" fontId="13" fillId="0" borderId="0" applyFont="0" applyFill="0" applyBorder="0" applyAlignment="0" applyProtection="0"/>
    <xf numFmtId="0" fontId="18" fillId="0" borderId="0"/>
  </cellStyleXfs>
  <cellXfs count="1411">
    <xf numFmtId="0" fontId="0" fillId="0" borderId="0" xfId="0"/>
    <xf numFmtId="0" fontId="22" fillId="2" borderId="0" xfId="3" applyFont="1" applyFill="1" applyAlignment="1">
      <alignment horizontal="center" vertical="center"/>
    </xf>
    <xf numFmtId="0" fontId="22" fillId="2" borderId="0" xfId="3" applyFont="1" applyFill="1" applyAlignment="1">
      <alignment horizontal="left" vertical="center"/>
    </xf>
    <xf numFmtId="0" fontId="22" fillId="0" borderId="0" xfId="3" applyFont="1" applyAlignment="1">
      <alignment horizontal="center" vertical="center"/>
    </xf>
    <xf numFmtId="0" fontId="23" fillId="0" borderId="0" xfId="3" applyFont="1" applyAlignment="1">
      <alignment vertical="center"/>
    </xf>
    <xf numFmtId="0" fontId="23" fillId="0" borderId="0" xfId="3" applyFont="1" applyAlignment="1">
      <alignment horizontal="left" vertical="center"/>
    </xf>
    <xf numFmtId="0" fontId="22" fillId="4" borderId="0" xfId="3" applyFont="1" applyFill="1" applyAlignment="1">
      <alignment horizontal="center" vertical="center"/>
    </xf>
    <xf numFmtId="0" fontId="22" fillId="5" borderId="0" xfId="3" applyFont="1" applyFill="1" applyAlignment="1">
      <alignment horizontal="center" vertical="center"/>
    </xf>
    <xf numFmtId="0" fontId="22" fillId="5" borderId="0" xfId="3" applyFont="1" applyFill="1" applyAlignment="1">
      <alignment horizontal="left" vertical="center"/>
    </xf>
    <xf numFmtId="0" fontId="22" fillId="6" borderId="0" xfId="3" applyFont="1" applyFill="1" applyAlignment="1">
      <alignment horizontal="center" vertical="center"/>
    </xf>
    <xf numFmtId="0" fontId="22" fillId="6" borderId="0" xfId="3" applyFont="1" applyFill="1" applyAlignment="1">
      <alignment horizontal="left" vertical="center"/>
    </xf>
    <xf numFmtId="0" fontId="0" fillId="0" borderId="0" xfId="0" applyAlignment="1">
      <alignment vertical="center"/>
    </xf>
    <xf numFmtId="0" fontId="21" fillId="2" borderId="0" xfId="3" applyFont="1" applyFill="1" applyAlignment="1">
      <alignment horizontal="left" vertical="center"/>
    </xf>
    <xf numFmtId="0" fontId="23" fillId="0" borderId="0" xfId="3" applyFont="1" applyAlignment="1">
      <alignment horizontal="right" vertical="center"/>
    </xf>
    <xf numFmtId="0" fontId="21" fillId="4" borderId="0" xfId="3" applyFont="1" applyFill="1" applyAlignment="1">
      <alignment horizontal="left" vertical="center"/>
    </xf>
    <xf numFmtId="0" fontId="21" fillId="5" borderId="0" xfId="3" applyFont="1" applyFill="1" applyAlignment="1">
      <alignment horizontal="left" vertical="center"/>
    </xf>
    <xf numFmtId="0" fontId="21" fillId="6" borderId="0" xfId="3" applyFont="1" applyFill="1" applyAlignment="1">
      <alignment horizontal="left" vertical="center"/>
    </xf>
    <xf numFmtId="14" fontId="23" fillId="0" borderId="0" xfId="3" applyNumberFormat="1" applyFont="1" applyAlignment="1">
      <alignment horizontal="left" vertical="center"/>
    </xf>
    <xf numFmtId="14" fontId="0" fillId="0" borderId="0" xfId="0" applyNumberFormat="1" applyAlignment="1">
      <alignment vertical="center"/>
    </xf>
    <xf numFmtId="43" fontId="0" fillId="0" borderId="0" xfId="1" applyFont="1" applyAlignment="1">
      <alignment vertical="center"/>
    </xf>
    <xf numFmtId="0" fontId="0" fillId="0" borderId="6" xfId="0" applyBorder="1" applyAlignment="1">
      <alignment vertical="center"/>
    </xf>
    <xf numFmtId="43" fontId="0" fillId="0" borderId="6" xfId="1" applyFont="1" applyBorder="1" applyAlignment="1">
      <alignment vertical="center"/>
    </xf>
    <xf numFmtId="43" fontId="0" fillId="0" borderId="6" xfId="0" applyNumberFormat="1" applyBorder="1" applyAlignment="1">
      <alignment vertical="center"/>
    </xf>
    <xf numFmtId="0" fontId="0" fillId="0" borderId="6" xfId="0" applyBorder="1" applyAlignment="1">
      <alignment horizontal="center" vertical="center"/>
    </xf>
    <xf numFmtId="0" fontId="0" fillId="0" borderId="9" xfId="0" applyBorder="1" applyAlignment="1">
      <alignment vertical="center"/>
    </xf>
    <xf numFmtId="0" fontId="0" fillId="0" borderId="9" xfId="0" applyBorder="1" applyAlignment="1">
      <alignment horizontal="center" vertical="center"/>
    </xf>
    <xf numFmtId="0" fontId="0" fillId="0" borderId="7" xfId="0" applyBorder="1" applyAlignment="1">
      <alignment vertical="center"/>
    </xf>
    <xf numFmtId="0" fontId="19" fillId="0" borderId="0" xfId="0" applyFont="1" applyAlignment="1">
      <alignment horizontal="center" vertical="center"/>
    </xf>
    <xf numFmtId="0" fontId="0" fillId="0" borderId="0" xfId="0" applyAlignment="1">
      <alignment horizontal="center" vertical="center"/>
    </xf>
    <xf numFmtId="0" fontId="19" fillId="0" borderId="0" xfId="0" applyFont="1" applyAlignment="1">
      <alignment vertical="center"/>
    </xf>
    <xf numFmtId="164" fontId="0" fillId="0" borderId="0" xfId="0" applyNumberFormat="1" applyAlignment="1">
      <alignment horizontal="left" vertical="center"/>
    </xf>
    <xf numFmtId="0" fontId="0" fillId="0" borderId="10" xfId="0" applyBorder="1" applyAlignment="1">
      <alignment vertical="center"/>
    </xf>
    <xf numFmtId="0" fontId="0" fillId="0" borderId="11" xfId="0" applyBorder="1" applyAlignment="1">
      <alignment vertical="center"/>
    </xf>
    <xf numFmtId="0" fontId="0" fillId="0" borderId="14" xfId="0" applyBorder="1" applyAlignment="1">
      <alignment vertical="center"/>
    </xf>
    <xf numFmtId="0" fontId="24" fillId="0" borderId="9" xfId="0" applyFont="1" applyBorder="1" applyAlignment="1">
      <alignment horizontal="center" vertical="center"/>
    </xf>
    <xf numFmtId="0" fontId="24" fillId="0" borderId="0" xfId="0" applyFont="1" applyAlignment="1">
      <alignment horizontal="center" vertical="center"/>
    </xf>
    <xf numFmtId="0" fontId="28" fillId="0" borderId="11" xfId="4" applyFont="1" applyBorder="1" applyAlignment="1">
      <alignment horizontal="centerContinuous" vertical="center" wrapText="1"/>
    </xf>
    <xf numFmtId="0" fontId="27" fillId="0" borderId="16" xfId="4" applyFont="1" applyBorder="1" applyAlignment="1">
      <alignment horizontal="left" vertical="center" indent="2"/>
    </xf>
    <xf numFmtId="0" fontId="27" fillId="0" borderId="17" xfId="4" applyFont="1" applyBorder="1" applyAlignment="1">
      <alignment vertical="center"/>
    </xf>
    <xf numFmtId="0" fontId="27" fillId="0" borderId="17" xfId="4" applyFont="1" applyBorder="1" applyAlignment="1">
      <alignment horizontal="center" vertical="center"/>
    </xf>
    <xf numFmtId="0" fontId="27" fillId="0" borderId="18" xfId="4" applyFont="1" applyBorder="1" applyAlignment="1">
      <alignment horizontal="center" vertical="center"/>
    </xf>
    <xf numFmtId="0" fontId="30" fillId="0" borderId="14" xfId="4" applyFont="1" applyBorder="1" applyAlignment="1">
      <alignment horizontal="left" vertical="center" indent="1"/>
    </xf>
    <xf numFmtId="0" fontId="30" fillId="0" borderId="15" xfId="4" applyFont="1" applyBorder="1" applyAlignment="1">
      <alignment horizontal="left" vertical="center"/>
    </xf>
    <xf numFmtId="0" fontId="30" fillId="0" borderId="21" xfId="4" applyFont="1" applyBorder="1" applyAlignment="1">
      <alignment horizontal="left" vertical="center" indent="1"/>
    </xf>
    <xf numFmtId="0" fontId="30" fillId="0" borderId="22" xfId="4" applyFont="1" applyBorder="1" applyAlignment="1">
      <alignment horizontal="left" vertical="center"/>
    </xf>
    <xf numFmtId="0" fontId="31" fillId="3" borderId="19" xfId="4" applyFont="1" applyFill="1" applyBorder="1" applyAlignment="1">
      <alignment horizontal="left" vertical="center" indent="2"/>
    </xf>
    <xf numFmtId="0" fontId="31" fillId="3" borderId="20" xfId="4" applyFont="1" applyFill="1" applyBorder="1" applyAlignment="1">
      <alignment horizontal="left" vertical="center" indent="2"/>
    </xf>
    <xf numFmtId="0" fontId="30" fillId="3" borderId="21" xfId="4" applyFont="1" applyFill="1" applyBorder="1" applyAlignment="1">
      <alignment horizontal="left" vertical="center" indent="1"/>
    </xf>
    <xf numFmtId="0" fontId="30" fillId="3" borderId="22" xfId="4" applyFont="1" applyFill="1" applyBorder="1" applyAlignment="1">
      <alignment horizontal="left" vertical="center"/>
    </xf>
    <xf numFmtId="0" fontId="31" fillId="7" borderId="19" xfId="4" applyFont="1" applyFill="1" applyBorder="1" applyAlignment="1">
      <alignment horizontal="left" vertical="center" indent="2"/>
    </xf>
    <xf numFmtId="0" fontId="31" fillId="7" borderId="20" xfId="4" applyFont="1" applyFill="1" applyBorder="1" applyAlignment="1">
      <alignment horizontal="left" vertical="center" indent="2"/>
    </xf>
    <xf numFmtId="0" fontId="30" fillId="7" borderId="21" xfId="4" applyFont="1" applyFill="1" applyBorder="1" applyAlignment="1">
      <alignment horizontal="left" vertical="center" indent="1"/>
    </xf>
    <xf numFmtId="0" fontId="30" fillId="7" borderId="22" xfId="4" applyFont="1" applyFill="1" applyBorder="1" applyAlignment="1">
      <alignment horizontal="left" vertical="center"/>
    </xf>
    <xf numFmtId="0" fontId="33" fillId="0" borderId="21" xfId="4" applyFont="1" applyBorder="1" applyAlignment="1">
      <alignment horizontal="left" vertical="center"/>
    </xf>
    <xf numFmtId="0" fontId="17" fillId="0" borderId="22" xfId="4" applyFont="1" applyBorder="1" applyAlignment="1">
      <alignment horizontal="left" vertical="center"/>
    </xf>
    <xf numFmtId="0" fontId="33" fillId="0" borderId="22" xfId="4" applyFont="1" applyBorder="1" applyAlignment="1">
      <alignment horizontal="left" vertical="center"/>
    </xf>
    <xf numFmtId="0" fontId="32" fillId="7" borderId="19" xfId="4" quotePrefix="1" applyFont="1" applyFill="1" applyBorder="1" applyAlignment="1">
      <alignment horizontal="left" vertical="center" indent="1"/>
    </xf>
    <xf numFmtId="0" fontId="32" fillId="7" borderId="21" xfId="4" quotePrefix="1" applyFont="1" applyFill="1" applyBorder="1" applyAlignment="1">
      <alignment horizontal="left" vertical="center"/>
    </xf>
    <xf numFmtId="0" fontId="34" fillId="7" borderId="21" xfId="4" quotePrefix="1" applyFont="1" applyFill="1" applyBorder="1" applyAlignment="1">
      <alignment horizontal="left" vertical="center"/>
    </xf>
    <xf numFmtId="0" fontId="34" fillId="7" borderId="22" xfId="4" quotePrefix="1" applyFont="1" applyFill="1" applyBorder="1" applyAlignment="1">
      <alignment horizontal="left" vertical="center"/>
    </xf>
    <xf numFmtId="0" fontId="27" fillId="0" borderId="19" xfId="4" quotePrefix="1" applyFont="1" applyBorder="1" applyAlignment="1">
      <alignment horizontal="left" vertical="center"/>
    </xf>
    <xf numFmtId="0" fontId="27" fillId="0" borderId="21" xfId="4" quotePrefix="1" applyFont="1" applyBorder="1" applyAlignment="1">
      <alignment horizontal="left" vertical="center"/>
    </xf>
    <xf numFmtId="0" fontId="36" fillId="0" borderId="21" xfId="4" quotePrefix="1" applyFont="1" applyBorder="1" applyAlignment="1">
      <alignment horizontal="left" vertical="center"/>
    </xf>
    <xf numFmtId="0" fontId="36" fillId="0" borderId="22" xfId="4" quotePrefix="1" applyFont="1" applyBorder="1" applyAlignment="1">
      <alignment horizontal="left" vertical="center"/>
    </xf>
    <xf numFmtId="0" fontId="36" fillId="0" borderId="19" xfId="4" quotePrefix="1" applyFont="1" applyBorder="1" applyAlignment="1">
      <alignment horizontal="left" vertical="center"/>
    </xf>
    <xf numFmtId="0" fontId="27" fillId="0" borderId="1" xfId="4" applyFont="1" applyBorder="1" applyAlignment="1">
      <alignment horizontal="centerContinuous" vertical="center" wrapText="1"/>
    </xf>
    <xf numFmtId="0" fontId="27" fillId="0" borderId="2" xfId="4" applyFont="1" applyBorder="1" applyAlignment="1">
      <alignment horizontal="centerContinuous" vertical="center" wrapText="1"/>
    </xf>
    <xf numFmtId="0" fontId="27" fillId="0" borderId="3" xfId="4" applyFont="1" applyBorder="1" applyAlignment="1">
      <alignment horizontal="centerContinuous" vertical="center" wrapText="1"/>
    </xf>
    <xf numFmtId="0" fontId="28" fillId="0" borderId="0" xfId="4" applyFont="1" applyAlignment="1">
      <alignment horizontal="centerContinuous" vertical="center" wrapText="1"/>
    </xf>
    <xf numFmtId="0" fontId="28" fillId="0" borderId="5" xfId="4" applyFont="1" applyBorder="1" applyAlignment="1">
      <alignment horizontal="centerContinuous" vertical="center" wrapText="1"/>
    </xf>
    <xf numFmtId="0" fontId="27" fillId="0" borderId="25" xfId="4" applyFont="1" applyBorder="1" applyAlignment="1">
      <alignment horizontal="centerContinuous" vertical="center" wrapText="1"/>
    </xf>
    <xf numFmtId="0" fontId="28" fillId="0" borderId="26" xfId="4" applyFont="1" applyBorder="1" applyAlignment="1">
      <alignment horizontal="centerContinuous" vertical="center" wrapText="1"/>
    </xf>
    <xf numFmtId="0" fontId="29" fillId="0" borderId="25" xfId="4" applyFont="1" applyBorder="1" applyAlignment="1">
      <alignment horizontal="centerContinuous" vertical="center" wrapText="1"/>
    </xf>
    <xf numFmtId="0" fontId="27" fillId="0" borderId="27" xfId="4" applyFont="1" applyBorder="1" applyAlignment="1">
      <alignment horizontal="center" vertical="center" wrapText="1"/>
    </xf>
    <xf numFmtId="0" fontId="27" fillId="0" borderId="28" xfId="4" applyFont="1" applyBorder="1" applyAlignment="1">
      <alignment horizontal="center" vertical="center" wrapText="1"/>
    </xf>
    <xf numFmtId="0" fontId="30" fillId="0" borderId="29" xfId="4" applyFont="1" applyBorder="1" applyAlignment="1">
      <alignment horizontal="center" vertical="center"/>
    </xf>
    <xf numFmtId="0" fontId="32" fillId="0" borderId="30" xfId="4" applyFont="1" applyBorder="1" applyAlignment="1">
      <alignment horizontal="center" vertical="center"/>
    </xf>
    <xf numFmtId="0" fontId="30" fillId="0" borderId="31" xfId="4" applyFont="1" applyBorder="1" applyAlignment="1">
      <alignment horizontal="center" vertical="center"/>
    </xf>
    <xf numFmtId="0" fontId="32" fillId="0" borderId="32" xfId="4" applyFont="1" applyBorder="1" applyAlignment="1">
      <alignment horizontal="center" vertical="center"/>
    </xf>
    <xf numFmtId="0" fontId="32" fillId="3" borderId="32" xfId="4" applyFont="1" applyFill="1" applyBorder="1" applyAlignment="1">
      <alignment horizontal="center" vertical="center"/>
    </xf>
    <xf numFmtId="0" fontId="30" fillId="7" borderId="31" xfId="4" applyFont="1" applyFill="1" applyBorder="1" applyAlignment="1">
      <alignment horizontal="center" vertical="center"/>
    </xf>
    <xf numFmtId="0" fontId="32" fillId="7" borderId="32" xfId="4" applyFont="1" applyFill="1" applyBorder="1" applyAlignment="1">
      <alignment horizontal="center" vertical="center"/>
    </xf>
    <xf numFmtId="0" fontId="32" fillId="0" borderId="31" xfId="4" applyFont="1" applyBorder="1" applyAlignment="1">
      <alignment horizontal="center" vertical="center"/>
    </xf>
    <xf numFmtId="0" fontId="37" fillId="7" borderId="32" xfId="4" applyFont="1" applyFill="1" applyBorder="1" applyAlignment="1">
      <alignment horizontal="center" vertical="center"/>
    </xf>
    <xf numFmtId="0" fontId="17" fillId="0" borderId="31" xfId="4" applyFont="1" applyBorder="1" applyAlignment="1">
      <alignment horizontal="center" vertical="center"/>
    </xf>
    <xf numFmtId="0" fontId="34" fillId="0" borderId="32" xfId="4" applyFont="1" applyBorder="1" applyAlignment="1">
      <alignment horizontal="center" vertical="center"/>
    </xf>
    <xf numFmtId="0" fontId="33" fillId="7" borderId="31" xfId="4" applyFont="1" applyFill="1" applyBorder="1" applyAlignment="1">
      <alignment horizontal="center" vertical="center"/>
    </xf>
    <xf numFmtId="0" fontId="34" fillId="7" borderId="32" xfId="4" applyFont="1" applyFill="1" applyBorder="1" applyAlignment="1">
      <alignment horizontal="center" vertical="center"/>
    </xf>
    <xf numFmtId="0" fontId="35" fillId="0" borderId="31" xfId="4" applyFont="1" applyBorder="1" applyAlignment="1">
      <alignment horizontal="center" vertical="center"/>
    </xf>
    <xf numFmtId="0" fontId="33" fillId="0" borderId="32" xfId="4" applyFont="1" applyBorder="1" applyAlignment="1">
      <alignment horizontal="center" vertical="center"/>
    </xf>
    <xf numFmtId="0" fontId="35" fillId="0" borderId="32" xfId="4" applyFont="1" applyBorder="1" applyAlignment="1">
      <alignment horizontal="center" vertical="center"/>
    </xf>
    <xf numFmtId="0" fontId="0" fillId="0" borderId="4" xfId="0" applyBorder="1"/>
    <xf numFmtId="0" fontId="0" fillId="0" borderId="5" xfId="0" applyBorder="1"/>
    <xf numFmtId="0" fontId="0" fillId="0" borderId="36" xfId="0" applyBorder="1"/>
    <xf numFmtId="0" fontId="0" fillId="0" borderId="37" xfId="0" applyBorder="1"/>
    <xf numFmtId="0" fontId="0" fillId="0" borderId="38" xfId="0" applyBorder="1"/>
    <xf numFmtId="0" fontId="38" fillId="0" borderId="4" xfId="3" applyFont="1" applyBorder="1" applyAlignment="1">
      <alignment vertical="center"/>
    </xf>
    <xf numFmtId="0" fontId="38" fillId="0" borderId="0" xfId="3" applyFont="1" applyAlignment="1">
      <alignment vertical="center"/>
    </xf>
    <xf numFmtId="0" fontId="38" fillId="0" borderId="5" xfId="3" applyFont="1"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0" xfId="0" applyAlignment="1">
      <alignment horizontal="left" vertical="center"/>
    </xf>
    <xf numFmtId="0" fontId="0" fillId="0" borderId="36"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164"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19" fillId="0" borderId="0" xfId="0" applyFont="1" applyAlignment="1">
      <alignment horizontal="right" vertical="center"/>
    </xf>
    <xf numFmtId="0" fontId="32" fillId="0" borderId="0" xfId="0" applyFont="1" applyAlignment="1">
      <alignment vertical="center"/>
    </xf>
    <xf numFmtId="0" fontId="39" fillId="0" borderId="0" xfId="0" applyFont="1" applyAlignment="1">
      <alignment vertical="center"/>
    </xf>
    <xf numFmtId="0" fontId="39" fillId="0" borderId="4" xfId="0" applyFont="1" applyBorder="1" applyAlignment="1">
      <alignment vertical="center"/>
    </xf>
    <xf numFmtId="0" fontId="32" fillId="0" borderId="4" xfId="0" applyFont="1" applyBorder="1" applyAlignment="1">
      <alignment vertical="center"/>
    </xf>
    <xf numFmtId="0" fontId="32" fillId="0" borderId="5" xfId="0" applyFont="1" applyBorder="1" applyAlignment="1">
      <alignment vertical="center"/>
    </xf>
    <xf numFmtId="0" fontId="19" fillId="0" borderId="4" xfId="0" applyFont="1" applyBorder="1" applyAlignment="1">
      <alignment vertical="center"/>
    </xf>
    <xf numFmtId="0" fontId="0" fillId="0" borderId="35" xfId="0" applyBorder="1" applyAlignment="1">
      <alignment vertical="center"/>
    </xf>
    <xf numFmtId="0" fontId="0" fillId="0" borderId="26" xfId="0" applyBorder="1" applyAlignment="1">
      <alignment vertical="center"/>
    </xf>
    <xf numFmtId="0" fontId="0" fillId="0" borderId="39" xfId="0" applyBorder="1" applyAlignment="1">
      <alignment vertical="center"/>
    </xf>
    <xf numFmtId="0" fontId="0" fillId="0" borderId="20" xfId="0" applyBorder="1" applyAlignment="1">
      <alignment vertical="center"/>
    </xf>
    <xf numFmtId="0" fontId="19" fillId="0" borderId="20" xfId="0" applyFont="1" applyBorder="1" applyAlignment="1">
      <alignment horizontal="right" vertical="center"/>
    </xf>
    <xf numFmtId="0" fontId="19" fillId="0" borderId="20" xfId="0" applyFont="1" applyBorder="1" applyAlignment="1">
      <alignment vertical="center"/>
    </xf>
    <xf numFmtId="0" fontId="19" fillId="0" borderId="20" xfId="0" applyFont="1"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41" fillId="0" borderId="0" xfId="0" applyFont="1" applyAlignment="1">
      <alignment horizontal="center" vertical="center"/>
    </xf>
    <xf numFmtId="0" fontId="41" fillId="0" borderId="0" xfId="0" applyFont="1" applyAlignment="1">
      <alignment vertical="center"/>
    </xf>
    <xf numFmtId="0" fontId="19" fillId="0" borderId="0" xfId="0" applyFont="1"/>
    <xf numFmtId="0" fontId="42" fillId="0" borderId="20" xfId="0" applyFont="1" applyBorder="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0" fillId="0" borderId="25" xfId="0" applyBorder="1" applyAlignment="1">
      <alignment vertical="center"/>
    </xf>
    <xf numFmtId="0" fontId="0" fillId="0" borderId="34" xfId="0" applyBorder="1" applyAlignment="1">
      <alignment vertical="center"/>
    </xf>
    <xf numFmtId="0" fontId="19" fillId="0" borderId="6" xfId="0" applyFont="1" applyBorder="1" applyAlignment="1">
      <alignment horizontal="center" vertical="center"/>
    </xf>
    <xf numFmtId="0" fontId="0" fillId="0" borderId="50" xfId="0" applyBorder="1" applyAlignment="1">
      <alignment vertical="center"/>
    </xf>
    <xf numFmtId="0" fontId="0" fillId="0" borderId="19" xfId="0" applyBorder="1" applyAlignment="1">
      <alignment vertical="center"/>
    </xf>
    <xf numFmtId="0" fontId="0" fillId="0" borderId="23" xfId="0" applyBorder="1" applyAlignment="1">
      <alignment vertical="center"/>
    </xf>
    <xf numFmtId="0" fontId="35" fillId="0" borderId="60" xfId="4" applyFont="1" applyBorder="1" applyAlignment="1">
      <alignment horizontal="center" vertical="center"/>
    </xf>
    <xf numFmtId="0" fontId="36" fillId="0" borderId="58" xfId="4" quotePrefix="1" applyFont="1" applyBorder="1" applyAlignment="1">
      <alignment horizontal="left" vertical="center"/>
    </xf>
    <xf numFmtId="0" fontId="35" fillId="0" borderId="34" xfId="4" applyFont="1" applyBorder="1" applyAlignment="1">
      <alignment horizontal="center" vertical="center"/>
    </xf>
    <xf numFmtId="0" fontId="36" fillId="0" borderId="14" xfId="4" quotePrefix="1" applyFont="1" applyBorder="1" applyAlignment="1">
      <alignment horizontal="left" vertical="center"/>
    </xf>
    <xf numFmtId="0" fontId="35" fillId="0" borderId="14" xfId="4" applyFont="1" applyBorder="1" applyAlignment="1">
      <alignment horizontal="center" vertical="center"/>
    </xf>
    <xf numFmtId="0" fontId="35" fillId="0" borderId="4" xfId="4" applyFont="1" applyBorder="1" applyAlignment="1">
      <alignment horizontal="center" vertical="center"/>
    </xf>
    <xf numFmtId="0" fontId="35" fillId="0" borderId="0" xfId="4" quotePrefix="1" applyFont="1" applyAlignment="1">
      <alignment horizontal="left" vertical="center"/>
    </xf>
    <xf numFmtId="0" fontId="35" fillId="0" borderId="0" xfId="4" applyFont="1" applyAlignment="1">
      <alignment horizontal="center" vertical="center"/>
    </xf>
    <xf numFmtId="0" fontId="36" fillId="0" borderId="0" xfId="4" quotePrefix="1" applyFont="1" applyAlignment="1">
      <alignment horizontal="left" vertical="center"/>
    </xf>
    <xf numFmtId="0" fontId="19" fillId="0" borderId="11" xfId="0" applyFont="1" applyBorder="1" applyAlignment="1">
      <alignment horizontal="right" vertical="center"/>
    </xf>
    <xf numFmtId="0" fontId="19" fillId="0" borderId="11" xfId="0" applyFont="1" applyBorder="1" applyAlignment="1">
      <alignment horizontal="left" vertical="center"/>
    </xf>
    <xf numFmtId="0" fontId="42" fillId="0" borderId="4" xfId="0" applyFont="1" applyBorder="1" applyAlignment="1">
      <alignment vertical="center"/>
    </xf>
    <xf numFmtId="0" fontId="42" fillId="0" borderId="5" xfId="0" applyFont="1" applyBorder="1" applyAlignment="1">
      <alignment vertical="center"/>
    </xf>
    <xf numFmtId="0" fontId="41" fillId="0" borderId="0" xfId="0" applyFont="1" applyAlignment="1">
      <alignment vertical="center" wrapText="1"/>
    </xf>
    <xf numFmtId="0" fontId="22" fillId="0" borderId="0" xfId="3" applyFont="1" applyAlignment="1">
      <alignment vertical="center"/>
    </xf>
    <xf numFmtId="0" fontId="38" fillId="0" borderId="20" xfId="3" applyFont="1" applyBorder="1" applyAlignment="1">
      <alignment vertical="center"/>
    </xf>
    <xf numFmtId="0" fontId="19" fillId="0" borderId="17" xfId="0" applyFont="1" applyBorder="1" applyAlignment="1">
      <alignment horizontal="center" vertical="center"/>
    </xf>
    <xf numFmtId="0" fontId="19" fillId="0" borderId="17" xfId="0" applyFont="1" applyBorder="1" applyAlignment="1">
      <alignment vertical="center"/>
    </xf>
    <xf numFmtId="0" fontId="38" fillId="0" borderId="51" xfId="3" applyFont="1" applyBorder="1" applyAlignment="1">
      <alignment vertical="center"/>
    </xf>
    <xf numFmtId="0" fontId="19" fillId="0" borderId="51" xfId="0" applyFont="1" applyBorder="1" applyAlignment="1">
      <alignment horizontal="right" vertical="center"/>
    </xf>
    <xf numFmtId="0" fontId="19" fillId="0" borderId="51" xfId="0" applyFont="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43" fontId="0" fillId="0" borderId="61" xfId="1" applyFont="1" applyBorder="1" applyAlignment="1">
      <alignment horizontal="center" vertical="center"/>
    </xf>
    <xf numFmtId="43" fontId="0" fillId="0" borderId="62" xfId="1" applyFont="1" applyBorder="1" applyAlignment="1">
      <alignment horizontal="center" vertical="center"/>
    </xf>
    <xf numFmtId="43" fontId="0" fillId="0" borderId="63" xfId="1" applyFont="1" applyBorder="1" applyAlignment="1">
      <alignment horizontal="center" vertical="center"/>
    </xf>
    <xf numFmtId="0" fontId="19" fillId="2" borderId="16" xfId="0" applyFont="1" applyFill="1" applyBorder="1" applyAlignment="1">
      <alignment horizontal="right" vertical="center"/>
    </xf>
    <xf numFmtId="0" fontId="19" fillId="2" borderId="17" xfId="0" applyFont="1" applyFill="1" applyBorder="1" applyAlignment="1">
      <alignment vertical="center"/>
    </xf>
    <xf numFmtId="0" fontId="0" fillId="2" borderId="17" xfId="0" applyFill="1" applyBorder="1" applyAlignment="1">
      <alignment vertical="center"/>
    </xf>
    <xf numFmtId="0" fontId="19" fillId="2" borderId="18" xfId="0" applyFont="1" applyFill="1" applyBorder="1" applyAlignment="1">
      <alignment horizontal="center" vertical="center"/>
    </xf>
    <xf numFmtId="43" fontId="19" fillId="2" borderId="6" xfId="0" applyNumberFormat="1" applyFont="1" applyFill="1" applyBorder="1" applyAlignment="1">
      <alignment vertical="center"/>
    </xf>
    <xf numFmtId="0" fontId="19" fillId="2" borderId="17" xfId="0" applyFont="1" applyFill="1" applyBorder="1" applyAlignment="1">
      <alignment horizontal="center" vertical="center"/>
    </xf>
    <xf numFmtId="43" fontId="19" fillId="2" borderId="18" xfId="0" applyNumberFormat="1" applyFont="1" applyFill="1" applyBorder="1" applyAlignment="1">
      <alignment vertical="center"/>
    </xf>
    <xf numFmtId="0" fontId="19" fillId="2" borderId="17" xfId="0" applyFont="1" applyFill="1" applyBorder="1" applyAlignment="1">
      <alignment horizontal="right" vertical="center"/>
    </xf>
    <xf numFmtId="0" fontId="19" fillId="0" borderId="44" xfId="0" applyFont="1" applyBorder="1" applyAlignment="1">
      <alignment horizontal="right" vertical="center"/>
    </xf>
    <xf numFmtId="0" fontId="22" fillId="8" borderId="0" xfId="3" applyFont="1" applyFill="1" applyAlignment="1">
      <alignment horizontal="left" vertical="center"/>
    </xf>
    <xf numFmtId="14" fontId="22" fillId="8" borderId="0" xfId="3" quotePrefix="1" applyNumberFormat="1" applyFont="1" applyFill="1" applyAlignment="1">
      <alignment horizontal="left" vertical="center"/>
    </xf>
    <xf numFmtId="0" fontId="19" fillId="0" borderId="45" xfId="0" applyFont="1" applyBorder="1" applyAlignment="1">
      <alignment vertical="center"/>
    </xf>
    <xf numFmtId="0" fontId="19" fillId="0" borderId="51" xfId="0" applyFont="1" applyBorder="1" applyAlignment="1">
      <alignment vertical="center"/>
    </xf>
    <xf numFmtId="0" fontId="19" fillId="0" borderId="53" xfId="0" applyFont="1" applyBorder="1" applyAlignment="1">
      <alignment vertical="center"/>
    </xf>
    <xf numFmtId="0" fontId="16" fillId="0" borderId="20" xfId="0" applyFont="1" applyBorder="1" applyAlignment="1">
      <alignment vertical="center"/>
    </xf>
    <xf numFmtId="43" fontId="16" fillId="0" borderId="20" xfId="0" applyNumberFormat="1" applyFont="1" applyBorder="1" applyAlignment="1">
      <alignment vertical="center"/>
    </xf>
    <xf numFmtId="0" fontId="16" fillId="0" borderId="41" xfId="0" applyFont="1" applyBorder="1" applyAlignment="1">
      <alignment vertical="center"/>
    </xf>
    <xf numFmtId="0" fontId="19" fillId="0" borderId="41" xfId="0" applyFont="1" applyBorder="1" applyAlignment="1">
      <alignment vertical="center"/>
    </xf>
    <xf numFmtId="0" fontId="19" fillId="0" borderId="24" xfId="0" applyFont="1" applyBorder="1" applyAlignment="1">
      <alignment vertical="center"/>
    </xf>
    <xf numFmtId="43" fontId="19" fillId="0" borderId="24" xfId="0" applyNumberFormat="1" applyFont="1" applyBorder="1" applyAlignment="1">
      <alignment vertical="center"/>
    </xf>
    <xf numFmtId="0" fontId="19" fillId="0" borderId="43" xfId="0" applyFont="1" applyBorder="1" applyAlignment="1">
      <alignment vertical="center"/>
    </xf>
    <xf numFmtId="43" fontId="19" fillId="0" borderId="51" xfId="0" applyNumberFormat="1" applyFont="1" applyBorder="1" applyAlignment="1">
      <alignment vertical="center"/>
    </xf>
    <xf numFmtId="14" fontId="19" fillId="0" borderId="20" xfId="0" applyNumberFormat="1" applyFont="1" applyBorder="1" applyAlignment="1">
      <alignment vertical="center"/>
    </xf>
    <xf numFmtId="43" fontId="19" fillId="0" borderId="20" xfId="1" applyFont="1" applyBorder="1" applyAlignment="1">
      <alignment vertical="center"/>
    </xf>
    <xf numFmtId="0" fontId="16" fillId="0" borderId="51" xfId="0" applyFont="1" applyBorder="1" applyAlignment="1">
      <alignment vertical="center"/>
    </xf>
    <xf numFmtId="0" fontId="16" fillId="0" borderId="53" xfId="0" applyFont="1" applyBorder="1" applyAlignment="1">
      <alignment vertical="center"/>
    </xf>
    <xf numFmtId="0" fontId="19" fillId="0" borderId="66" xfId="0" applyFont="1" applyBorder="1" applyAlignment="1">
      <alignment horizontal="right" vertical="center"/>
    </xf>
    <xf numFmtId="0" fontId="19" fillId="0" borderId="64" xfId="0" applyFont="1" applyBorder="1" applyAlignment="1">
      <alignment vertical="center"/>
    </xf>
    <xf numFmtId="0" fontId="19" fillId="0" borderId="67" xfId="0" applyFont="1" applyBorder="1" applyAlignment="1">
      <alignment horizontal="right" vertical="center"/>
    </xf>
    <xf numFmtId="0" fontId="19" fillId="0" borderId="65" xfId="0" applyFont="1" applyBorder="1" applyAlignment="1">
      <alignment vertical="center"/>
    </xf>
    <xf numFmtId="0" fontId="19" fillId="0" borderId="68" xfId="0" applyFont="1" applyBorder="1" applyAlignment="1">
      <alignment horizontal="right" vertical="center"/>
    </xf>
    <xf numFmtId="0" fontId="16" fillId="0" borderId="68" xfId="0" applyFont="1" applyBorder="1" applyAlignment="1">
      <alignment horizontal="right" vertical="center"/>
    </xf>
    <xf numFmtId="0" fontId="16" fillId="0" borderId="67" xfId="0" applyFont="1" applyBorder="1" applyAlignment="1">
      <alignment horizontal="right" vertical="center"/>
    </xf>
    <xf numFmtId="0" fontId="19" fillId="0" borderId="69" xfId="0" applyFont="1" applyBorder="1" applyAlignment="1">
      <alignment vertical="center"/>
    </xf>
    <xf numFmtId="43" fontId="19" fillId="0" borderId="24" xfId="1" applyFont="1" applyBorder="1" applyAlignment="1">
      <alignment vertical="center"/>
    </xf>
    <xf numFmtId="43" fontId="16" fillId="0" borderId="51" xfId="1" applyFont="1" applyBorder="1" applyAlignment="1">
      <alignment vertical="center"/>
    </xf>
    <xf numFmtId="43" fontId="16" fillId="0" borderId="20" xfId="1" applyFont="1" applyBorder="1" applyAlignment="1">
      <alignment vertical="center"/>
    </xf>
    <xf numFmtId="14" fontId="16" fillId="0" borderId="20" xfId="0" applyNumberFormat="1" applyFont="1" applyBorder="1" applyAlignment="1">
      <alignment vertical="center"/>
    </xf>
    <xf numFmtId="0" fontId="16" fillId="0" borderId="20" xfId="0" applyFont="1" applyBorder="1" applyAlignment="1">
      <alignment horizontal="center" vertical="center"/>
    </xf>
    <xf numFmtId="0" fontId="42" fillId="0" borderId="39" xfId="0" applyFont="1" applyBorder="1" applyAlignment="1">
      <alignment horizontal="center" vertical="center"/>
    </xf>
    <xf numFmtId="0" fontId="42" fillId="0" borderId="14" xfId="0" applyFont="1" applyBorder="1" applyAlignment="1">
      <alignment vertical="center"/>
    </xf>
    <xf numFmtId="0" fontId="44" fillId="3" borderId="6" xfId="0" applyFont="1" applyFill="1" applyBorder="1" applyAlignment="1">
      <alignment horizontal="center" vertical="center" wrapText="1"/>
    </xf>
    <xf numFmtId="0" fontId="44" fillId="3" borderId="6" xfId="0" applyFont="1" applyFill="1" applyBorder="1" applyAlignment="1">
      <alignment horizontal="center" vertical="center"/>
    </xf>
    <xf numFmtId="0" fontId="19" fillId="7" borderId="6" xfId="0" applyFont="1" applyFill="1" applyBorder="1" applyAlignment="1">
      <alignment horizontal="center" vertical="center" wrapText="1"/>
    </xf>
    <xf numFmtId="0" fontId="19" fillId="7" borderId="6" xfId="0" applyFont="1" applyFill="1" applyBorder="1" applyAlignment="1">
      <alignment horizontal="center" vertical="center"/>
    </xf>
    <xf numFmtId="0" fontId="0" fillId="0" borderId="61" xfId="0" quotePrefix="1" applyBorder="1" applyAlignment="1">
      <alignment horizontal="center" vertical="center"/>
    </xf>
    <xf numFmtId="43" fontId="0" fillId="0" borderId="61" xfId="1" applyFont="1" applyBorder="1" applyAlignment="1">
      <alignment vertical="center"/>
    </xf>
    <xf numFmtId="43" fontId="0" fillId="0" borderId="62" xfId="1" applyFont="1" applyBorder="1" applyAlignment="1">
      <alignment vertical="center"/>
    </xf>
    <xf numFmtId="0" fontId="0" fillId="0" borderId="62" xfId="0" quotePrefix="1" applyBorder="1" applyAlignment="1">
      <alignment horizontal="center" vertical="center"/>
    </xf>
    <xf numFmtId="43" fontId="0" fillId="0" borderId="0" xfId="1" applyFont="1" applyBorder="1" applyAlignment="1">
      <alignment vertical="center"/>
    </xf>
    <xf numFmtId="0" fontId="23" fillId="9" borderId="0" xfId="3" applyFont="1" applyFill="1" applyAlignment="1">
      <alignment vertical="center"/>
    </xf>
    <xf numFmtId="0" fontId="25" fillId="0" borderId="9" xfId="0" applyFont="1" applyBorder="1" applyAlignment="1">
      <alignment horizontal="center" vertical="center"/>
    </xf>
    <xf numFmtId="0" fontId="19" fillId="7" borderId="17" xfId="0" applyFont="1" applyFill="1" applyBorder="1" applyAlignment="1">
      <alignment horizontal="center" vertical="center"/>
    </xf>
    <xf numFmtId="0" fontId="0" fillId="0" borderId="70" xfId="0" applyBorder="1" applyAlignment="1">
      <alignment horizontal="center" vertical="center"/>
    </xf>
    <xf numFmtId="0" fontId="0" fillId="0" borderId="70" xfId="0" quotePrefix="1" applyBorder="1" applyAlignment="1">
      <alignment horizontal="center" vertical="center"/>
    </xf>
    <xf numFmtId="43" fontId="0" fillId="0" borderId="70" xfId="1" applyFont="1" applyBorder="1" applyAlignment="1">
      <alignment vertical="center"/>
    </xf>
    <xf numFmtId="0" fontId="0" fillId="0" borderId="15" xfId="0" applyBorder="1" applyAlignment="1">
      <alignment vertical="center"/>
    </xf>
    <xf numFmtId="0" fontId="25" fillId="0" borderId="0" xfId="0" applyFont="1" applyAlignment="1">
      <alignment vertical="center"/>
    </xf>
    <xf numFmtId="0" fontId="25" fillId="0" borderId="7" xfId="0" applyFont="1" applyBorder="1" applyAlignment="1">
      <alignment vertical="center"/>
    </xf>
    <xf numFmtId="43" fontId="0" fillId="0" borderId="61" xfId="0" applyNumberFormat="1" applyBorder="1" applyAlignment="1">
      <alignment vertical="center"/>
    </xf>
    <xf numFmtId="43" fontId="0" fillId="0" borderId="62" xfId="0" applyNumberFormat="1" applyBorder="1" applyAlignment="1">
      <alignment vertical="center"/>
    </xf>
    <xf numFmtId="166" fontId="0" fillId="0" borderId="62" xfId="1" applyNumberFormat="1" applyFont="1" applyBorder="1" applyAlignment="1">
      <alignment vertical="center"/>
    </xf>
    <xf numFmtId="166" fontId="0" fillId="0" borderId="62" xfId="0" applyNumberFormat="1" applyBorder="1" applyAlignment="1">
      <alignment vertical="center"/>
    </xf>
    <xf numFmtId="0" fontId="25" fillId="0" borderId="0" xfId="0" applyFont="1" applyAlignment="1">
      <alignment horizontal="center" vertical="center"/>
    </xf>
    <xf numFmtId="0" fontId="32" fillId="0" borderId="0" xfId="0" applyFont="1" applyAlignment="1">
      <alignment horizontal="center" vertical="center"/>
    </xf>
    <xf numFmtId="14" fontId="0" fillId="0" borderId="0" xfId="0" applyNumberFormat="1" applyAlignment="1">
      <alignment horizontal="center" vertical="center"/>
    </xf>
    <xf numFmtId="0" fontId="19" fillId="7" borderId="17" xfId="0" applyFont="1" applyFill="1" applyBorder="1" applyAlignment="1">
      <alignment horizontal="center" vertical="center" wrapText="1"/>
    </xf>
    <xf numFmtId="0" fontId="19" fillId="7" borderId="17" xfId="0" applyFont="1" applyFill="1" applyBorder="1" applyAlignment="1">
      <alignment horizontal="left" vertical="center"/>
    </xf>
    <xf numFmtId="0" fontId="19" fillId="3" borderId="17" xfId="0" applyFont="1" applyFill="1" applyBorder="1" applyAlignment="1">
      <alignment horizontal="left" vertical="center"/>
    </xf>
    <xf numFmtId="0" fontId="19" fillId="3" borderId="17" xfId="0" applyFont="1" applyFill="1" applyBorder="1" applyAlignment="1">
      <alignment horizontal="center" vertical="center"/>
    </xf>
    <xf numFmtId="0" fontId="19" fillId="3" borderId="17" xfId="0" applyFont="1" applyFill="1" applyBorder="1" applyAlignment="1">
      <alignment horizontal="center" vertical="center" wrapText="1"/>
    </xf>
    <xf numFmtId="43" fontId="0" fillId="0" borderId="73" xfId="1" applyFont="1" applyBorder="1" applyAlignment="1">
      <alignment vertical="center"/>
    </xf>
    <xf numFmtId="43" fontId="0" fillId="0" borderId="75" xfId="1" applyFont="1" applyBorder="1" applyAlignment="1">
      <alignment vertical="center"/>
    </xf>
    <xf numFmtId="43" fontId="0" fillId="0" borderId="77" xfId="0" applyNumberFormat="1" applyBorder="1" applyAlignment="1">
      <alignment vertical="center"/>
    </xf>
    <xf numFmtId="43" fontId="0" fillId="0" borderId="78" xfId="1" applyFont="1" applyBorder="1" applyAlignment="1">
      <alignment vertical="center"/>
    </xf>
    <xf numFmtId="43" fontId="0" fillId="0" borderId="77" xfId="1" applyFont="1" applyBorder="1" applyAlignment="1">
      <alignment vertical="center"/>
    </xf>
    <xf numFmtId="0" fontId="19" fillId="7" borderId="80" xfId="0" applyFont="1" applyFill="1" applyBorder="1" applyAlignment="1">
      <alignment horizontal="center" vertical="center"/>
    </xf>
    <xf numFmtId="0" fontId="19" fillId="3" borderId="80" xfId="0" applyFont="1" applyFill="1" applyBorder="1" applyAlignment="1">
      <alignment horizontal="center" vertical="center"/>
    </xf>
    <xf numFmtId="0" fontId="0" fillId="0" borderId="72" xfId="0" applyBorder="1" applyAlignment="1">
      <alignment horizontal="center" vertical="center"/>
    </xf>
    <xf numFmtId="0" fontId="0" fillId="0" borderId="74" xfId="0" applyBorder="1" applyAlignment="1">
      <alignment horizontal="center" vertical="center"/>
    </xf>
    <xf numFmtId="0" fontId="0" fillId="0" borderId="76" xfId="0" applyBorder="1" applyAlignment="1">
      <alignment horizontal="center" vertical="center"/>
    </xf>
    <xf numFmtId="0" fontId="0" fillId="0" borderId="77" xfId="0" quotePrefix="1" applyBorder="1" applyAlignment="1">
      <alignment horizontal="center" vertical="center"/>
    </xf>
    <xf numFmtId="43" fontId="0" fillId="0" borderId="84" xfId="0" applyNumberFormat="1" applyBorder="1" applyAlignment="1">
      <alignment vertical="center"/>
    </xf>
    <xf numFmtId="43" fontId="0" fillId="0" borderId="85" xfId="1" applyFont="1" applyBorder="1" applyAlignment="1">
      <alignment vertical="center"/>
    </xf>
    <xf numFmtId="43" fontId="19" fillId="3" borderId="6" xfId="1" applyFont="1" applyFill="1" applyBorder="1" applyAlignment="1">
      <alignment horizontal="center" vertical="center" wrapText="1"/>
    </xf>
    <xf numFmtId="43" fontId="19" fillId="3" borderId="71" xfId="1" applyFont="1" applyFill="1" applyBorder="1" applyAlignment="1">
      <alignment horizontal="center" vertical="center" wrapText="1"/>
    </xf>
    <xf numFmtId="43" fontId="19" fillId="7" borderId="6" xfId="1" applyFont="1" applyFill="1" applyBorder="1" applyAlignment="1">
      <alignment horizontal="center" vertical="center" wrapText="1"/>
    </xf>
    <xf numFmtId="43" fontId="19" fillId="7" borderId="71" xfId="1" applyFont="1" applyFill="1" applyBorder="1" applyAlignment="1">
      <alignment horizontal="center" vertical="center" wrapText="1"/>
    </xf>
    <xf numFmtId="0" fontId="0" fillId="0" borderId="86" xfId="0" applyBorder="1" applyAlignment="1">
      <alignment horizontal="center" vertical="center"/>
    </xf>
    <xf numFmtId="43" fontId="0" fillId="0" borderId="70" xfId="0" applyNumberFormat="1" applyBorder="1" applyAlignment="1">
      <alignment vertical="center"/>
    </xf>
    <xf numFmtId="0" fontId="0" fillId="0" borderId="83" xfId="0" applyBorder="1" applyAlignment="1">
      <alignment horizontal="center" vertical="center"/>
    </xf>
    <xf numFmtId="0" fontId="0" fillId="0" borderId="84" xfId="0" applyBorder="1" applyAlignment="1">
      <alignment horizontal="center" vertical="center"/>
    </xf>
    <xf numFmtId="43" fontId="0" fillId="0" borderId="84" xfId="1" applyFont="1" applyBorder="1" applyAlignment="1">
      <alignment vertical="center"/>
    </xf>
    <xf numFmtId="0" fontId="25" fillId="0" borderId="14" xfId="0" applyFont="1" applyBorder="1" applyAlignment="1">
      <alignment horizontal="center" vertical="center"/>
    </xf>
    <xf numFmtId="0" fontId="25" fillId="0" borderId="7" xfId="0" applyFont="1" applyBorder="1" applyAlignment="1">
      <alignment vertical="center" wrapText="1"/>
    </xf>
    <xf numFmtId="43" fontId="25" fillId="0" borderId="0" xfId="1" applyFont="1" applyBorder="1" applyAlignment="1">
      <alignment vertical="center"/>
    </xf>
    <xf numFmtId="0" fontId="25" fillId="0" borderId="0" xfId="0" applyFont="1" applyAlignment="1">
      <alignment vertical="center" wrapText="1"/>
    </xf>
    <xf numFmtId="0" fontId="0" fillId="0" borderId="87" xfId="0" applyBorder="1" applyAlignment="1">
      <alignment horizontal="center" vertical="center"/>
    </xf>
    <xf numFmtId="0" fontId="19" fillId="7" borderId="17" xfId="0" applyFont="1" applyFill="1" applyBorder="1" applyAlignment="1">
      <alignment vertical="center"/>
    </xf>
    <xf numFmtId="0" fontId="0" fillId="0" borderId="62" xfId="0" applyBorder="1" applyAlignment="1">
      <alignment vertical="center"/>
    </xf>
    <xf numFmtId="0" fontId="0" fillId="0" borderId="63" xfId="0" applyBorder="1" applyAlignment="1">
      <alignment vertical="center"/>
    </xf>
    <xf numFmtId="0" fontId="0" fillId="0" borderId="89" xfId="0" applyBorder="1" applyAlignment="1">
      <alignment horizontal="center" vertical="center"/>
    </xf>
    <xf numFmtId="169" fontId="0" fillId="0" borderId="61" xfId="1" applyNumberFormat="1" applyFont="1" applyBorder="1" applyAlignment="1">
      <alignment vertical="center"/>
    </xf>
    <xf numFmtId="43" fontId="0" fillId="0" borderId="61" xfId="0" applyNumberFormat="1" applyBorder="1" applyAlignment="1">
      <alignment horizontal="center" vertical="center"/>
    </xf>
    <xf numFmtId="43" fontId="0" fillId="0" borderId="62" xfId="0" applyNumberFormat="1" applyBorder="1" applyAlignment="1">
      <alignment horizontal="center" vertical="center"/>
    </xf>
    <xf numFmtId="43" fontId="0" fillId="0" borderId="63" xfId="0" applyNumberFormat="1" applyBorder="1" applyAlignment="1">
      <alignment horizontal="center" vertical="center"/>
    </xf>
    <xf numFmtId="43" fontId="19" fillId="2" borderId="6" xfId="1" applyFont="1" applyFill="1" applyBorder="1" applyAlignment="1">
      <alignment vertical="center"/>
    </xf>
    <xf numFmtId="43" fontId="19" fillId="2" borderId="6" xfId="1" applyFont="1" applyFill="1" applyBorder="1" applyAlignment="1">
      <alignment vertical="center" wrapText="1"/>
    </xf>
    <xf numFmtId="168" fontId="0" fillId="0" borderId="0" xfId="0" applyNumberFormat="1" applyAlignment="1">
      <alignment vertical="center"/>
    </xf>
    <xf numFmtId="0" fontId="0" fillId="0" borderId="0" xfId="0" applyAlignment="1">
      <alignment horizontal="right" vertical="center"/>
    </xf>
    <xf numFmtId="0" fontId="48" fillId="0" borderId="0" xfId="0" applyFont="1" applyAlignment="1">
      <alignment vertical="center"/>
    </xf>
    <xf numFmtId="0" fontId="48" fillId="0" borderId="0" xfId="0" applyFont="1"/>
    <xf numFmtId="0" fontId="19" fillId="7" borderId="47" xfId="0" applyFont="1" applyFill="1" applyBorder="1" applyAlignment="1">
      <alignment horizontal="center" vertical="center"/>
    </xf>
    <xf numFmtId="0" fontId="22" fillId="7" borderId="13" xfId="3" applyFont="1" applyFill="1" applyBorder="1" applyAlignment="1">
      <alignment vertical="center"/>
    </xf>
    <xf numFmtId="0" fontId="0" fillId="7" borderId="14" xfId="0" applyFill="1" applyBorder="1" applyAlignment="1">
      <alignment vertical="center"/>
    </xf>
    <xf numFmtId="43" fontId="19" fillId="7" borderId="47" xfId="1" applyFont="1" applyFill="1" applyBorder="1" applyAlignment="1">
      <alignment horizontal="center" vertical="center"/>
    </xf>
    <xf numFmtId="0" fontId="22" fillId="7" borderId="10" xfId="3" applyFont="1" applyFill="1" applyBorder="1" applyAlignment="1">
      <alignment vertical="center"/>
    </xf>
    <xf numFmtId="0" fontId="0" fillId="7" borderId="11" xfId="0" applyFill="1" applyBorder="1" applyAlignment="1">
      <alignment vertical="center"/>
    </xf>
    <xf numFmtId="0" fontId="0" fillId="7" borderId="11" xfId="0" applyFill="1" applyBorder="1" applyAlignment="1">
      <alignment horizontal="right" vertical="center"/>
    </xf>
    <xf numFmtId="0" fontId="0" fillId="7" borderId="11" xfId="0" applyFill="1" applyBorder="1" applyAlignment="1">
      <alignment horizontal="center" vertical="center"/>
    </xf>
    <xf numFmtId="43" fontId="19" fillId="7" borderId="48" xfId="1" applyFont="1" applyFill="1" applyBorder="1" applyAlignment="1">
      <alignment horizontal="center" vertical="center"/>
    </xf>
    <xf numFmtId="43" fontId="19" fillId="7" borderId="48" xfId="0" applyNumberFormat="1" applyFont="1" applyFill="1" applyBorder="1" applyAlignment="1">
      <alignment horizontal="center" vertical="center"/>
    </xf>
    <xf numFmtId="0" fontId="22" fillId="7" borderId="16" xfId="3" applyFont="1" applyFill="1" applyBorder="1" applyAlignment="1">
      <alignment vertical="center"/>
    </xf>
    <xf numFmtId="0" fontId="19" fillId="7" borderId="17" xfId="0" applyFont="1" applyFill="1" applyBorder="1" applyAlignment="1">
      <alignment horizontal="right" vertical="center"/>
    </xf>
    <xf numFmtId="0" fontId="0" fillId="7" borderId="17" xfId="0" applyFill="1" applyBorder="1" applyAlignment="1">
      <alignment horizontal="center" vertical="center"/>
    </xf>
    <xf numFmtId="0" fontId="0" fillId="7" borderId="17" xfId="0" applyFill="1" applyBorder="1" applyAlignment="1">
      <alignment vertical="center"/>
    </xf>
    <xf numFmtId="43" fontId="19" fillId="7" borderId="6" xfId="1" applyFont="1" applyFill="1" applyBorder="1" applyAlignment="1">
      <alignment horizontal="center" vertical="center"/>
    </xf>
    <xf numFmtId="43" fontId="19" fillId="7" borderId="6" xfId="0" applyNumberFormat="1" applyFont="1" applyFill="1" applyBorder="1" applyAlignment="1">
      <alignment horizontal="center" vertical="center"/>
    </xf>
    <xf numFmtId="14" fontId="0" fillId="7" borderId="17" xfId="0" applyNumberFormat="1" applyFill="1" applyBorder="1" applyAlignment="1">
      <alignment vertical="center"/>
    </xf>
    <xf numFmtId="0" fontId="19" fillId="7" borderId="16" xfId="0" applyFont="1" applyFill="1" applyBorder="1" applyAlignment="1">
      <alignment vertical="center"/>
    </xf>
    <xf numFmtId="0" fontId="24" fillId="0" borderId="0" xfId="0" applyFont="1" applyAlignment="1">
      <alignment vertical="center"/>
    </xf>
    <xf numFmtId="0" fontId="24" fillId="0" borderId="0" xfId="0" applyFont="1" applyAlignment="1">
      <alignment horizontal="right" vertical="center"/>
    </xf>
    <xf numFmtId="0" fontId="25" fillId="0" borderId="0" xfId="0" applyFont="1" applyAlignment="1">
      <alignment horizontal="left" vertical="center"/>
    </xf>
    <xf numFmtId="14" fontId="25" fillId="0" borderId="0" xfId="0" applyNumberFormat="1" applyFont="1" applyAlignment="1">
      <alignment vertical="center"/>
    </xf>
    <xf numFmtId="0" fontId="34" fillId="0" borderId="0" xfId="0" applyFont="1" applyAlignment="1">
      <alignment vertical="center"/>
    </xf>
    <xf numFmtId="14" fontId="19" fillId="0" borderId="0" xfId="0" applyNumberFormat="1" applyFont="1" applyAlignment="1">
      <alignment horizontal="right" vertical="center"/>
    </xf>
    <xf numFmtId="43" fontId="0" fillId="0" borderId="47" xfId="1" applyFont="1" applyBorder="1" applyAlignment="1">
      <alignment vertical="center"/>
    </xf>
    <xf numFmtId="43" fontId="0" fillId="0" borderId="63" xfId="1" applyFont="1" applyBorder="1" applyAlignment="1">
      <alignment vertical="center"/>
    </xf>
    <xf numFmtId="167" fontId="0" fillId="0" borderId="61" xfId="0" applyNumberFormat="1" applyBorder="1" applyAlignment="1">
      <alignment horizontal="right" vertical="center" indent="2"/>
    </xf>
    <xf numFmtId="167" fontId="0" fillId="0" borderId="62" xfId="0" applyNumberFormat="1" applyBorder="1" applyAlignment="1">
      <alignment horizontal="right" vertical="center" indent="2"/>
    </xf>
    <xf numFmtId="167" fontId="0" fillId="0" borderId="63" xfId="0" applyNumberFormat="1" applyBorder="1" applyAlignment="1">
      <alignment horizontal="right" vertical="center" indent="2"/>
    </xf>
    <xf numFmtId="0" fontId="45" fillId="2" borderId="6" xfId="0" applyFont="1" applyFill="1" applyBorder="1" applyAlignment="1">
      <alignment horizontal="center" vertical="center" wrapText="1"/>
    </xf>
    <xf numFmtId="43" fontId="0" fillId="0" borderId="0" xfId="0" applyNumberFormat="1" applyAlignment="1">
      <alignment vertical="center"/>
    </xf>
    <xf numFmtId="169" fontId="0" fillId="0" borderId="62" xfId="1" applyNumberFormat="1" applyFont="1" applyBorder="1" applyAlignment="1">
      <alignment vertical="center"/>
    </xf>
    <xf numFmtId="0" fontId="19" fillId="7" borderId="62" xfId="0" applyFont="1" applyFill="1" applyBorder="1" applyAlignment="1">
      <alignment vertical="center"/>
    </xf>
    <xf numFmtId="43" fontId="19" fillId="7" borderId="62" xfId="0" applyNumberFormat="1" applyFont="1" applyFill="1" applyBorder="1" applyAlignment="1">
      <alignment vertical="center"/>
    </xf>
    <xf numFmtId="43" fontId="19" fillId="7" borderId="62" xfId="1" applyFont="1" applyFill="1" applyBorder="1" applyAlignment="1">
      <alignment vertical="center"/>
    </xf>
    <xf numFmtId="2" fontId="0" fillId="0" borderId="89" xfId="0" applyNumberFormat="1" applyBorder="1" applyAlignment="1">
      <alignment horizontal="center" vertical="center"/>
    </xf>
    <xf numFmtId="170" fontId="0" fillId="0" borderId="89" xfId="0" applyNumberFormat="1" applyBorder="1" applyAlignment="1">
      <alignment horizontal="center" vertical="center"/>
    </xf>
    <xf numFmtId="14" fontId="0" fillId="0" borderId="0" xfId="0" applyNumberFormat="1" applyAlignment="1">
      <alignment horizontal="left" vertical="center"/>
    </xf>
    <xf numFmtId="0" fontId="32" fillId="0" borderId="7" xfId="0" applyFont="1" applyBorder="1" applyAlignment="1">
      <alignment horizontal="center" vertical="center"/>
    </xf>
    <xf numFmtId="0" fontId="0" fillId="0" borderId="14" xfId="0" applyBorder="1" applyAlignment="1">
      <alignment horizontal="center" vertical="center"/>
    </xf>
    <xf numFmtId="0" fontId="30" fillId="0" borderId="0" xfId="0" applyFont="1" applyAlignment="1">
      <alignment horizontal="center" vertical="center"/>
    </xf>
    <xf numFmtId="0" fontId="47" fillId="0" borderId="0" xfId="0" applyFont="1" applyAlignment="1">
      <alignment vertical="center"/>
    </xf>
    <xf numFmtId="0" fontId="25" fillId="0" borderId="9" xfId="0" applyFont="1" applyBorder="1" applyAlignment="1">
      <alignment vertical="center" wrapText="1"/>
    </xf>
    <xf numFmtId="0" fontId="0" fillId="0" borderId="13" xfId="0" applyBorder="1" applyAlignment="1">
      <alignment vertical="center"/>
    </xf>
    <xf numFmtId="0" fontId="0" fillId="0" borderId="12" xfId="0" applyBorder="1" applyAlignment="1">
      <alignment vertical="center"/>
    </xf>
    <xf numFmtId="0" fontId="40" fillId="0" borderId="7" xfId="0" applyFont="1" applyBorder="1" applyAlignment="1">
      <alignment horizontal="center" vertical="center"/>
    </xf>
    <xf numFmtId="0" fontId="30" fillId="0" borderId="7" xfId="0" applyFont="1" applyBorder="1" applyAlignment="1">
      <alignment horizontal="center" vertical="center"/>
    </xf>
    <xf numFmtId="170" fontId="0" fillId="0" borderId="0" xfId="0" applyNumberFormat="1" applyAlignment="1">
      <alignment horizontal="center" vertical="center"/>
    </xf>
    <xf numFmtId="43" fontId="0" fillId="0" borderId="0" xfId="1" applyFont="1"/>
    <xf numFmtId="43" fontId="52" fillId="0" borderId="0" xfId="1" applyFont="1" applyAlignment="1">
      <alignment vertical="center"/>
    </xf>
    <xf numFmtId="43" fontId="0" fillId="0" borderId="0" xfId="0" applyNumberFormat="1"/>
    <xf numFmtId="0" fontId="0" fillId="10" borderId="16" xfId="0" applyFill="1" applyBorder="1" applyAlignment="1">
      <alignment vertical="center"/>
    </xf>
    <xf numFmtId="0" fontId="0" fillId="10" borderId="17" xfId="0" applyFill="1" applyBorder="1" applyAlignment="1">
      <alignment vertical="center"/>
    </xf>
    <xf numFmtId="0" fontId="0" fillId="10" borderId="18" xfId="0" applyFill="1" applyBorder="1" applyAlignment="1">
      <alignment vertical="center"/>
    </xf>
    <xf numFmtId="0" fontId="40" fillId="0" borderId="0" xfId="0" applyFont="1" applyAlignment="1">
      <alignment vertical="center"/>
    </xf>
    <xf numFmtId="0" fontId="30" fillId="0" borderId="0" xfId="0" applyFont="1" applyAlignment="1">
      <alignment vertical="center"/>
    </xf>
    <xf numFmtId="43" fontId="45" fillId="2" borderId="6" xfId="1" applyFont="1" applyFill="1" applyBorder="1" applyAlignment="1">
      <alignment horizontal="center" vertical="center" wrapText="1"/>
    </xf>
    <xf numFmtId="171" fontId="19" fillId="0" borderId="0" xfId="0" applyNumberFormat="1" applyFont="1" applyAlignment="1">
      <alignment horizontal="right" vertical="center"/>
    </xf>
    <xf numFmtId="172" fontId="19" fillId="0" borderId="0" xfId="0" applyNumberFormat="1" applyFont="1" applyAlignment="1">
      <alignment horizontal="right" vertical="center"/>
    </xf>
    <xf numFmtId="172" fontId="15" fillId="0" borderId="0" xfId="0" applyNumberFormat="1" applyFont="1" applyAlignment="1">
      <alignment horizontal="right" vertical="center"/>
    </xf>
    <xf numFmtId="43" fontId="45" fillId="0" borderId="0" xfId="1" applyFont="1" applyFill="1" applyBorder="1" applyAlignment="1">
      <alignment horizontal="center" vertical="center" wrapText="1"/>
    </xf>
    <xf numFmtId="0" fontId="0" fillId="0" borderId="52" xfId="0" applyBorder="1" applyAlignment="1">
      <alignment vertical="center"/>
    </xf>
    <xf numFmtId="0" fontId="0" fillId="0" borderId="54" xfId="0" applyBorder="1" applyAlignment="1">
      <alignment vertical="center"/>
    </xf>
    <xf numFmtId="43" fontId="0" fillId="0" borderId="56" xfId="1" applyFont="1" applyBorder="1" applyAlignment="1">
      <alignment vertical="center"/>
    </xf>
    <xf numFmtId="43" fontId="0" fillId="0" borderId="19" xfId="1" applyFont="1" applyBorder="1" applyAlignment="1">
      <alignment vertical="center"/>
    </xf>
    <xf numFmtId="43" fontId="0" fillId="0" borderId="23" xfId="1" applyFont="1" applyBorder="1" applyAlignment="1">
      <alignment vertical="center"/>
    </xf>
    <xf numFmtId="43" fontId="0" fillId="0" borderId="87" xfId="0" applyNumberFormat="1" applyBorder="1" applyAlignment="1">
      <alignment vertical="center"/>
    </xf>
    <xf numFmtId="0" fontId="0" fillId="0" borderId="87" xfId="0" applyBorder="1" applyAlignment="1">
      <alignment vertical="center"/>
    </xf>
    <xf numFmtId="0" fontId="40" fillId="0" borderId="0" xfId="0" applyFont="1" applyAlignment="1">
      <alignment horizontal="center" vertical="center"/>
    </xf>
    <xf numFmtId="0" fontId="14" fillId="0" borderId="20" xfId="0" applyFont="1" applyBorder="1" applyAlignment="1">
      <alignment vertical="center"/>
    </xf>
    <xf numFmtId="2" fontId="0" fillId="0" borderId="61" xfId="0" applyNumberFormat="1" applyBorder="1" applyAlignment="1">
      <alignment horizontal="center" vertical="center"/>
    </xf>
    <xf numFmtId="2" fontId="0" fillId="0" borderId="62" xfId="0" applyNumberFormat="1" applyBorder="1" applyAlignment="1">
      <alignment horizontal="center" vertical="center"/>
    </xf>
    <xf numFmtId="170" fontId="0" fillId="0" borderId="50" xfId="0" applyNumberFormat="1" applyBorder="1" applyAlignment="1">
      <alignment vertical="center"/>
    </xf>
    <xf numFmtId="174" fontId="0" fillId="0" borderId="61" xfId="0" applyNumberFormat="1" applyBorder="1" applyAlignment="1">
      <alignment horizontal="left" vertical="center" indent="1"/>
    </xf>
    <xf numFmtId="2" fontId="0" fillId="0" borderId="19" xfId="0" applyNumberFormat="1" applyBorder="1" applyAlignment="1">
      <alignment vertical="center"/>
    </xf>
    <xf numFmtId="0" fontId="0" fillId="0" borderId="62" xfId="0" applyBorder="1" applyAlignment="1">
      <alignment horizontal="left" vertical="center" indent="1"/>
    </xf>
    <xf numFmtId="170" fontId="0" fillId="0" borderId="19" xfId="0" applyNumberFormat="1" applyBorder="1" applyAlignment="1">
      <alignment vertical="center"/>
    </xf>
    <xf numFmtId="0" fontId="0" fillId="0" borderId="58" xfId="0" applyBorder="1" applyAlignment="1">
      <alignment vertical="center"/>
    </xf>
    <xf numFmtId="0" fontId="0" fillId="0" borderId="22" xfId="0" applyBorder="1" applyAlignment="1">
      <alignment vertical="center"/>
    </xf>
    <xf numFmtId="2" fontId="0" fillId="0" borderId="70" xfId="0" applyNumberFormat="1" applyBorder="1" applyAlignment="1">
      <alignment horizontal="center" vertical="center"/>
    </xf>
    <xf numFmtId="2" fontId="0" fillId="0" borderId="58" xfId="0" applyNumberFormat="1" applyBorder="1" applyAlignment="1">
      <alignment vertical="center"/>
    </xf>
    <xf numFmtId="0" fontId="0" fillId="0" borderId="70" xfId="0" applyBorder="1" applyAlignment="1">
      <alignment horizontal="left" vertical="center" indent="1"/>
    </xf>
    <xf numFmtId="2" fontId="0" fillId="0" borderId="14" xfId="0" applyNumberFormat="1" applyBorder="1" applyAlignment="1">
      <alignment horizontal="center" vertical="center"/>
    </xf>
    <xf numFmtId="2" fontId="0" fillId="0" borderId="14" xfId="0" applyNumberFormat="1" applyBorder="1" applyAlignment="1">
      <alignment vertical="center"/>
    </xf>
    <xf numFmtId="0" fontId="0" fillId="0" borderId="14" xfId="0" applyBorder="1" applyAlignment="1">
      <alignment horizontal="left" vertical="center" indent="1"/>
    </xf>
    <xf numFmtId="0" fontId="0" fillId="0" borderId="13" xfId="0" applyBorder="1"/>
    <xf numFmtId="0" fontId="0" fillId="0" borderId="15" xfId="0" applyBorder="1"/>
    <xf numFmtId="0" fontId="0" fillId="0" borderId="10" xfId="0" applyBorder="1"/>
    <xf numFmtId="0" fontId="0" fillId="0" borderId="12" xfId="0" applyBorder="1"/>
    <xf numFmtId="14" fontId="56" fillId="0" borderId="15" xfId="0" applyNumberFormat="1" applyFont="1" applyBorder="1" applyAlignment="1">
      <alignment horizontal="center" vertical="center" textRotation="180"/>
    </xf>
    <xf numFmtId="14" fontId="56" fillId="0" borderId="12" xfId="0" applyNumberFormat="1" applyFont="1" applyBorder="1" applyAlignment="1">
      <alignment horizontal="center" vertical="center" textRotation="180"/>
    </xf>
    <xf numFmtId="0" fontId="53" fillId="0" borderId="0" xfId="0" applyFont="1" applyAlignment="1">
      <alignment vertical="center"/>
    </xf>
    <xf numFmtId="10" fontId="0" fillId="0" borderId="0" xfId="6" applyNumberFormat="1" applyFont="1" applyAlignment="1">
      <alignment vertical="center"/>
    </xf>
    <xf numFmtId="0" fontId="57" fillId="2" borderId="6" xfId="0" applyFont="1" applyFill="1" applyBorder="1" applyAlignment="1">
      <alignment horizontal="center" vertical="center" wrapText="1"/>
    </xf>
    <xf numFmtId="0" fontId="57" fillId="2" borderId="16" xfId="0" applyFont="1" applyFill="1" applyBorder="1" applyAlignment="1">
      <alignment horizontal="center" vertical="center" wrapText="1"/>
    </xf>
    <xf numFmtId="0" fontId="0" fillId="0" borderId="90" xfId="0" applyBorder="1" applyAlignment="1">
      <alignment vertical="center"/>
    </xf>
    <xf numFmtId="173" fontId="19" fillId="0" borderId="0" xfId="0" applyNumberFormat="1" applyFont="1" applyAlignment="1">
      <alignment vertical="center"/>
    </xf>
    <xf numFmtId="0" fontId="34" fillId="0" borderId="47" xfId="0" applyFont="1" applyBorder="1" applyAlignment="1">
      <alignment horizontal="center" vertical="center" textRotation="180" wrapText="1"/>
    </xf>
    <xf numFmtId="0" fontId="34" fillId="0" borderId="48" xfId="0" applyFont="1" applyBorder="1" applyAlignment="1">
      <alignment horizontal="center" vertical="center" textRotation="180" wrapText="1"/>
    </xf>
    <xf numFmtId="177" fontId="0" fillId="0" borderId="84" xfId="0" applyNumberFormat="1" applyBorder="1" applyAlignment="1">
      <alignment horizontal="center" vertical="center"/>
    </xf>
    <xf numFmtId="14" fontId="0" fillId="0" borderId="62" xfId="0" applyNumberFormat="1" applyBorder="1" applyAlignment="1">
      <alignment horizontal="center" vertical="center"/>
    </xf>
    <xf numFmtId="0" fontId="41" fillId="0" borderId="0" xfId="0" applyFont="1" applyAlignment="1">
      <alignment horizontal="center" vertical="center" wrapText="1"/>
    </xf>
    <xf numFmtId="0" fontId="0" fillId="0" borderId="39" xfId="0" applyBorder="1" applyAlignment="1">
      <alignment horizontal="center" vertical="center"/>
    </xf>
    <xf numFmtId="0" fontId="43" fillId="0" borderId="0" xfId="0" applyFont="1" applyAlignment="1">
      <alignment horizontal="center" vertical="center"/>
    </xf>
    <xf numFmtId="0" fontId="19" fillId="0" borderId="34" xfId="0" applyFont="1" applyBorder="1" applyAlignment="1">
      <alignment vertical="center"/>
    </xf>
    <xf numFmtId="0" fontId="19" fillId="0" borderId="14" xfId="0" applyFont="1" applyBorder="1" applyAlignment="1">
      <alignment horizontal="right" vertical="center"/>
    </xf>
    <xf numFmtId="0" fontId="19" fillId="0" borderId="14" xfId="0" applyFont="1" applyBorder="1" applyAlignment="1">
      <alignment horizontal="center" vertical="center"/>
    </xf>
    <xf numFmtId="14" fontId="0" fillId="0" borderId="14" xfId="0" applyNumberFormat="1" applyBorder="1" applyAlignment="1">
      <alignment vertical="center"/>
    </xf>
    <xf numFmtId="14" fontId="19" fillId="0" borderId="14" xfId="0" applyNumberFormat="1" applyFont="1" applyBorder="1" applyAlignment="1">
      <alignment horizontal="right" vertical="center"/>
    </xf>
    <xf numFmtId="0" fontId="19" fillId="0" borderId="91" xfId="0" applyFont="1" applyBorder="1" applyAlignment="1">
      <alignment vertical="center"/>
    </xf>
    <xf numFmtId="0" fontId="0" fillId="0" borderId="21" xfId="0" applyBorder="1" applyAlignment="1">
      <alignment vertical="center"/>
    </xf>
    <xf numFmtId="0" fontId="19" fillId="0" borderId="21" xfId="0" applyFont="1" applyBorder="1" applyAlignment="1">
      <alignment horizontal="right" vertical="center"/>
    </xf>
    <xf numFmtId="0" fontId="19" fillId="0" borderId="21" xfId="0" applyFont="1" applyBorder="1" applyAlignment="1">
      <alignment horizontal="center" vertical="center"/>
    </xf>
    <xf numFmtId="14" fontId="0" fillId="0" borderId="21" xfId="0" applyNumberFormat="1" applyBorder="1" applyAlignment="1">
      <alignment vertical="center"/>
    </xf>
    <xf numFmtId="14" fontId="19" fillId="0" borderId="21" xfId="0" applyNumberFormat="1" applyFont="1" applyBorder="1" applyAlignment="1">
      <alignment horizontal="right" vertical="center"/>
    </xf>
    <xf numFmtId="0" fontId="0" fillId="0" borderId="59" xfId="0" applyBorder="1" applyAlignment="1">
      <alignment vertical="center"/>
    </xf>
    <xf numFmtId="0" fontId="0" fillId="0" borderId="92" xfId="0" applyBorder="1" applyAlignment="1">
      <alignment vertical="center"/>
    </xf>
    <xf numFmtId="0" fontId="19" fillId="0" borderId="39" xfId="0" applyFont="1" applyBorder="1" applyAlignment="1">
      <alignment horizontal="right" vertical="center"/>
    </xf>
    <xf numFmtId="0" fontId="19" fillId="0" borderId="39" xfId="0" applyFont="1" applyBorder="1" applyAlignment="1">
      <alignment horizontal="center" vertical="center"/>
    </xf>
    <xf numFmtId="0" fontId="0" fillId="0" borderId="39" xfId="0" applyBorder="1" applyAlignment="1">
      <alignment vertical="center" wrapText="1"/>
    </xf>
    <xf numFmtId="0" fontId="0" fillId="0" borderId="40" xfId="0" applyBorder="1" applyAlignment="1">
      <alignment vertical="center"/>
    </xf>
    <xf numFmtId="0" fontId="19" fillId="0" borderId="21" xfId="0" applyFont="1" applyBorder="1" applyAlignment="1">
      <alignment vertical="center"/>
    </xf>
    <xf numFmtId="0" fontId="19" fillId="0" borderId="92" xfId="0" applyFont="1" applyBorder="1" applyAlignment="1">
      <alignment vertical="center"/>
    </xf>
    <xf numFmtId="14" fontId="0" fillId="0" borderId="39" xfId="0" applyNumberFormat="1" applyBorder="1" applyAlignment="1">
      <alignment vertical="center"/>
    </xf>
    <xf numFmtId="16" fontId="0" fillId="0" borderId="61" xfId="0" quotePrefix="1" applyNumberFormat="1" applyBorder="1" applyAlignment="1">
      <alignment horizontal="center" vertical="center"/>
    </xf>
    <xf numFmtId="16" fontId="0" fillId="0" borderId="62" xfId="0" quotePrefix="1" applyNumberFormat="1" applyBorder="1" applyAlignment="1">
      <alignment horizontal="center" vertical="center"/>
    </xf>
    <xf numFmtId="16" fontId="0" fillId="0" borderId="70" xfId="0" quotePrefix="1" applyNumberFormat="1" applyBorder="1" applyAlignment="1">
      <alignment horizontal="center" vertical="center"/>
    </xf>
    <xf numFmtId="0" fontId="19" fillId="7" borderId="6" xfId="0" quotePrefix="1" applyFont="1" applyFill="1" applyBorder="1" applyAlignment="1">
      <alignment horizontal="center" vertical="center"/>
    </xf>
    <xf numFmtId="43" fontId="19" fillId="0" borderId="0" xfId="0" applyNumberFormat="1" applyFont="1" applyAlignment="1">
      <alignment vertical="center"/>
    </xf>
    <xf numFmtId="43" fontId="19" fillId="0" borderId="0" xfId="1" applyFont="1" applyFill="1" applyBorder="1" applyAlignment="1">
      <alignment vertical="center"/>
    </xf>
    <xf numFmtId="43" fontId="19" fillId="0" borderId="0" xfId="1" applyFont="1" applyFill="1" applyBorder="1" applyAlignment="1">
      <alignment vertical="center" wrapText="1"/>
    </xf>
    <xf numFmtId="0" fontId="19" fillId="0" borderId="16" xfId="0" applyFont="1" applyBorder="1" applyAlignment="1">
      <alignment horizontal="right" vertical="center"/>
    </xf>
    <xf numFmtId="0" fontId="0" fillId="0" borderId="17" xfId="0" applyBorder="1" applyAlignment="1">
      <alignment vertical="center"/>
    </xf>
    <xf numFmtId="43" fontId="19" fillId="0" borderId="18" xfId="0" applyNumberFormat="1" applyFont="1" applyBorder="1" applyAlignment="1">
      <alignment vertical="center"/>
    </xf>
    <xf numFmtId="43" fontId="19" fillId="0" borderId="6" xfId="1" applyFont="1" applyFill="1" applyBorder="1" applyAlignment="1">
      <alignment vertical="center"/>
    </xf>
    <xf numFmtId="43" fontId="19" fillId="0" borderId="6" xfId="1" applyFont="1" applyFill="1" applyBorder="1" applyAlignment="1">
      <alignment vertical="center" wrapText="1"/>
    </xf>
    <xf numFmtId="0" fontId="19" fillId="0" borderId="0" xfId="0" applyFont="1" applyAlignment="1">
      <alignment horizontal="left" vertical="center"/>
    </xf>
    <xf numFmtId="0" fontId="13" fillId="0" borderId="65" xfId="0" applyFont="1" applyBorder="1" applyAlignment="1">
      <alignment vertical="center"/>
    </xf>
    <xf numFmtId="0" fontId="13" fillId="0" borderId="51" xfId="0" applyFont="1" applyBorder="1" applyAlignment="1">
      <alignment vertical="center"/>
    </xf>
    <xf numFmtId="0" fontId="13" fillId="0" borderId="67" xfId="0" applyFont="1" applyBorder="1" applyAlignment="1">
      <alignment horizontal="right" vertical="center"/>
    </xf>
    <xf numFmtId="0" fontId="13" fillId="0" borderId="20" xfId="0" applyFont="1" applyBorder="1" applyAlignment="1">
      <alignment vertical="center"/>
    </xf>
    <xf numFmtId="43" fontId="13" fillId="0" borderId="20" xfId="0" applyNumberFormat="1" applyFont="1" applyBorder="1" applyAlignment="1">
      <alignment vertical="center"/>
    </xf>
    <xf numFmtId="0" fontId="13" fillId="0" borderId="41" xfId="0" applyFont="1" applyBorder="1" applyAlignment="1">
      <alignment vertical="center"/>
    </xf>
    <xf numFmtId="43" fontId="13" fillId="0" borderId="20" xfId="1" applyFont="1" applyBorder="1" applyAlignment="1">
      <alignment vertical="center"/>
    </xf>
    <xf numFmtId="0" fontId="13" fillId="0" borderId="68" xfId="0" applyFont="1" applyBorder="1" applyAlignment="1">
      <alignment horizontal="right" vertical="center"/>
    </xf>
    <xf numFmtId="0" fontId="13" fillId="0" borderId="43" xfId="0" applyFont="1" applyBorder="1" applyAlignment="1">
      <alignment vertical="center"/>
    </xf>
    <xf numFmtId="0" fontId="13" fillId="0" borderId="69" xfId="0" applyFont="1" applyBorder="1" applyAlignment="1">
      <alignment vertical="center"/>
    </xf>
    <xf numFmtId="43" fontId="0" fillId="0" borderId="24" xfId="1" applyFont="1" applyBorder="1" applyAlignment="1">
      <alignment vertical="center"/>
    </xf>
    <xf numFmtId="0" fontId="13" fillId="0" borderId="94" xfId="0" applyFont="1" applyBorder="1" applyAlignment="1">
      <alignment horizontal="right" vertical="center"/>
    </xf>
    <xf numFmtId="0" fontId="13" fillId="0" borderId="39" xfId="0" applyFont="1" applyBorder="1" applyAlignment="1">
      <alignment vertical="center"/>
    </xf>
    <xf numFmtId="43" fontId="13" fillId="0" borderId="39" xfId="1" applyFont="1" applyBorder="1" applyAlignment="1">
      <alignment vertical="center"/>
    </xf>
    <xf numFmtId="0" fontId="13" fillId="0" borderId="40" xfId="0" applyFont="1" applyBorder="1" applyAlignment="1">
      <alignment vertical="center"/>
    </xf>
    <xf numFmtId="0" fontId="13" fillId="0" borderId="24" xfId="0" applyFont="1" applyBorder="1" applyAlignment="1">
      <alignment vertical="center"/>
    </xf>
    <xf numFmtId="43" fontId="13" fillId="0" borderId="24" xfId="1" applyFont="1" applyBorder="1" applyAlignment="1">
      <alignment vertical="center"/>
    </xf>
    <xf numFmtId="0" fontId="19" fillId="0" borderId="24" xfId="0" applyFont="1" applyBorder="1" applyAlignment="1">
      <alignment horizontal="right" vertical="center"/>
    </xf>
    <xf numFmtId="0" fontId="42" fillId="0" borderId="0" xfId="0" applyFont="1" applyAlignment="1">
      <alignment horizontal="center" vertical="center"/>
    </xf>
    <xf numFmtId="0" fontId="42" fillId="0" borderId="4" xfId="0" applyFont="1" applyBorder="1" applyAlignment="1">
      <alignment horizontal="left" vertical="center"/>
    </xf>
    <xf numFmtId="0" fontId="42" fillId="0" borderId="0" xfId="0" applyFont="1" applyAlignment="1">
      <alignment horizontal="left" vertical="center"/>
    </xf>
    <xf numFmtId="0" fontId="42" fillId="0" borderId="5" xfId="0" applyFont="1" applyBorder="1" applyAlignment="1">
      <alignment horizontal="left" vertical="center"/>
    </xf>
    <xf numFmtId="0" fontId="0" fillId="0" borderId="44" xfId="0" applyBorder="1" applyAlignment="1">
      <alignment vertical="center"/>
    </xf>
    <xf numFmtId="0" fontId="0" fillId="0" borderId="17" xfId="0" applyBorder="1" applyAlignment="1">
      <alignment horizontal="right" vertical="center"/>
    </xf>
    <xf numFmtId="0" fontId="0" fillId="0" borderId="45" xfId="0" applyBorder="1" applyAlignment="1">
      <alignment vertical="center"/>
    </xf>
    <xf numFmtId="0" fontId="0" fillId="0" borderId="14" xfId="0" applyBorder="1" applyAlignment="1">
      <alignment horizontal="right" vertical="center"/>
    </xf>
    <xf numFmtId="0" fontId="19" fillId="0" borderId="44" xfId="0" applyFont="1" applyBorder="1" applyAlignment="1">
      <alignment vertical="center"/>
    </xf>
    <xf numFmtId="0" fontId="19" fillId="0" borderId="17" xfId="0" applyFont="1" applyBorder="1" applyAlignment="1">
      <alignment horizontal="right" vertical="center"/>
    </xf>
    <xf numFmtId="43" fontId="19" fillId="0" borderId="17" xfId="0" applyNumberFormat="1" applyFont="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14" fontId="13" fillId="0" borderId="0" xfId="0" applyNumberFormat="1" applyFont="1" applyAlignment="1">
      <alignment horizontal="center" vertical="center"/>
    </xf>
    <xf numFmtId="182" fontId="13" fillId="0" borderId="0" xfId="0" applyNumberFormat="1" applyFont="1" applyAlignment="1">
      <alignment horizontal="center" vertical="center"/>
    </xf>
    <xf numFmtId="43" fontId="13" fillId="0" borderId="0" xfId="0" applyNumberFormat="1" applyFont="1" applyAlignment="1">
      <alignment vertical="center"/>
    </xf>
    <xf numFmtId="183" fontId="13" fillId="0" borderId="0" xfId="7" applyFont="1" applyFill="1" applyAlignment="1">
      <alignment vertical="center"/>
    </xf>
    <xf numFmtId="0" fontId="30" fillId="0" borderId="0" xfId="0" applyFont="1" applyAlignment="1">
      <alignment vertical="center" wrapText="1"/>
    </xf>
    <xf numFmtId="182" fontId="13" fillId="0" borderId="0" xfId="0" applyNumberFormat="1" applyFont="1" applyAlignment="1">
      <alignment vertical="center"/>
    </xf>
    <xf numFmtId="0" fontId="13" fillId="0" borderId="0" xfId="0" applyFont="1" applyAlignment="1" applyProtection="1">
      <alignment vertical="center"/>
      <protection locked="0"/>
    </xf>
    <xf numFmtId="0" fontId="13" fillId="0" borderId="0" xfId="0" applyFont="1" applyAlignment="1">
      <alignment horizontal="center" vertical="center" wrapText="1"/>
    </xf>
    <xf numFmtId="14" fontId="13" fillId="0" borderId="0" xfId="0" applyNumberFormat="1" applyFont="1" applyAlignment="1">
      <alignment horizontal="center" vertical="center" wrapText="1"/>
    </xf>
    <xf numFmtId="181" fontId="13" fillId="0" borderId="0" xfId="0" applyNumberFormat="1" applyFont="1" applyAlignment="1">
      <alignment horizontal="right" vertical="center"/>
    </xf>
    <xf numFmtId="0" fontId="13" fillId="0" borderId="62" xfId="0" applyFont="1" applyBorder="1" applyAlignment="1">
      <alignment horizontal="center" vertical="center"/>
    </xf>
    <xf numFmtId="14" fontId="13" fillId="0" borderId="62" xfId="0" applyNumberFormat="1" applyFont="1" applyBorder="1" applyAlignment="1">
      <alignment horizontal="center" vertical="center"/>
    </xf>
    <xf numFmtId="181" fontId="13" fillId="0" borderId="62" xfId="0" applyNumberFormat="1" applyFont="1" applyBorder="1" applyAlignment="1">
      <alignment horizontal="right" vertical="center"/>
    </xf>
    <xf numFmtId="182" fontId="13" fillId="0" borderId="62" xfId="0" applyNumberFormat="1" applyFont="1" applyBorder="1" applyAlignment="1">
      <alignment horizontal="center" vertical="center"/>
    </xf>
    <xf numFmtId="14" fontId="13" fillId="0" borderId="62" xfId="0" applyNumberFormat="1" applyFont="1" applyBorder="1" applyAlignment="1">
      <alignment horizontal="center" vertical="center" wrapText="1"/>
    </xf>
    <xf numFmtId="0" fontId="13" fillId="0" borderId="84" xfId="0" applyFont="1" applyBorder="1" applyAlignment="1">
      <alignment horizontal="center" vertical="center"/>
    </xf>
    <xf numFmtId="14" fontId="13" fillId="0" borderId="84" xfId="0" applyNumberFormat="1" applyFont="1" applyBorder="1" applyAlignment="1">
      <alignment horizontal="center" vertical="center"/>
    </xf>
    <xf numFmtId="181" fontId="13" fillId="0" borderId="84" xfId="0" applyNumberFormat="1" applyFont="1" applyBorder="1" applyAlignment="1">
      <alignment horizontal="right" vertical="center"/>
    </xf>
    <xf numFmtId="182" fontId="13" fillId="0" borderId="84" xfId="0" applyNumberFormat="1" applyFont="1" applyBorder="1" applyAlignment="1">
      <alignment horizontal="center" vertical="center"/>
    </xf>
    <xf numFmtId="14" fontId="13" fillId="0" borderId="84" xfId="0" applyNumberFormat="1" applyFont="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181" fontId="19" fillId="0" borderId="6" xfId="0" applyNumberFormat="1" applyFont="1" applyBorder="1" applyAlignment="1">
      <alignment horizontal="center" vertical="center" wrapText="1"/>
    </xf>
    <xf numFmtId="182" fontId="19" fillId="0" borderId="6" xfId="0" applyNumberFormat="1" applyFont="1" applyBorder="1" applyAlignment="1">
      <alignment horizontal="center" vertical="center" wrapText="1"/>
    </xf>
    <xf numFmtId="182" fontId="13" fillId="0" borderId="50" xfId="0" applyNumberFormat="1" applyFont="1" applyBorder="1" applyAlignment="1">
      <alignment horizontal="center" vertical="center"/>
    </xf>
    <xf numFmtId="0" fontId="13" fillId="0" borderId="52" xfId="0" applyFont="1" applyBorder="1" applyAlignment="1">
      <alignment horizontal="center" vertical="center" wrapText="1"/>
    </xf>
    <xf numFmtId="182" fontId="13" fillId="0" borderId="19" xfId="0" applyNumberFormat="1" applyFont="1" applyBorder="1" applyAlignment="1">
      <alignment horizontal="center" vertical="center"/>
    </xf>
    <xf numFmtId="0" fontId="13" fillId="0" borderId="54" xfId="0" applyFont="1" applyBorder="1" applyAlignment="1">
      <alignment horizontal="center" vertical="center" wrapText="1"/>
    </xf>
    <xf numFmtId="0" fontId="13" fillId="0" borderId="70" xfId="0" applyFont="1" applyBorder="1" applyAlignment="1">
      <alignment horizontal="center" vertical="center"/>
    </xf>
    <xf numFmtId="14" fontId="13" fillId="0" borderId="70" xfId="0" applyNumberFormat="1" applyFont="1" applyBorder="1" applyAlignment="1">
      <alignment horizontal="center" vertical="center"/>
    </xf>
    <xf numFmtId="181" fontId="13" fillId="0" borderId="70" xfId="0" applyNumberFormat="1" applyFont="1" applyBorder="1" applyAlignment="1">
      <alignment horizontal="right" vertical="center"/>
    </xf>
    <xf numFmtId="182" fontId="13" fillId="0" borderId="70" xfId="0" applyNumberFormat="1" applyFont="1" applyBorder="1" applyAlignment="1">
      <alignment horizontal="center" vertical="center"/>
    </xf>
    <xf numFmtId="182" fontId="13" fillId="0" borderId="58" xfId="0" applyNumberFormat="1" applyFont="1" applyBorder="1" applyAlignment="1">
      <alignment horizontal="center" vertical="center"/>
    </xf>
    <xf numFmtId="0" fontId="13" fillId="0" borderId="22" xfId="0" applyFont="1" applyBorder="1" applyAlignment="1">
      <alignment horizontal="center" vertical="center" wrapText="1"/>
    </xf>
    <xf numFmtId="14" fontId="13" fillId="0" borderId="70" xfId="0" applyNumberFormat="1" applyFont="1" applyBorder="1" applyAlignment="1">
      <alignment horizontal="center" vertical="center" wrapText="1"/>
    </xf>
    <xf numFmtId="14" fontId="13" fillId="0" borderId="17" xfId="0" applyNumberFormat="1" applyFont="1" applyBorder="1" applyAlignment="1">
      <alignment horizontal="left" vertical="center"/>
    </xf>
    <xf numFmtId="0" fontId="13" fillId="0" borderId="17" xfId="0" applyFont="1" applyBorder="1" applyAlignment="1">
      <alignment horizontal="left" vertical="center"/>
    </xf>
    <xf numFmtId="181" fontId="13" fillId="0" borderId="17" xfId="0" applyNumberFormat="1" applyFont="1" applyBorder="1" applyAlignment="1">
      <alignment horizontal="left" vertical="center"/>
    </xf>
    <xf numFmtId="182" fontId="13" fillId="0" borderId="17" xfId="0" applyNumberFormat="1" applyFont="1" applyBorder="1" applyAlignment="1">
      <alignment horizontal="left" vertical="center"/>
    </xf>
    <xf numFmtId="0" fontId="13" fillId="0" borderId="17" xfId="0" applyFont="1" applyBorder="1" applyAlignment="1">
      <alignment horizontal="left" vertical="center" wrapText="1"/>
    </xf>
    <xf numFmtId="14" fontId="13" fillId="0" borderId="18" xfId="0" applyNumberFormat="1" applyFont="1" applyBorder="1" applyAlignment="1">
      <alignment horizontal="left" vertical="center" wrapText="1"/>
    </xf>
    <xf numFmtId="0" fontId="13" fillId="0" borderId="16" xfId="0" applyFont="1" applyBorder="1" applyAlignment="1">
      <alignment vertical="center"/>
    </xf>
    <xf numFmtId="0" fontId="17" fillId="0" borderId="0" xfId="2" applyAlignment="1">
      <alignment horizontal="left" vertical="center"/>
    </xf>
    <xf numFmtId="0" fontId="0" fillId="0" borderId="0" xfId="2" applyFont="1" applyAlignment="1">
      <alignment horizontal="right" vertical="center"/>
    </xf>
    <xf numFmtId="166" fontId="0" fillId="0" borderId="61" xfId="1" applyNumberFormat="1" applyFont="1" applyBorder="1" applyAlignment="1">
      <alignment vertical="center"/>
    </xf>
    <xf numFmtId="166" fontId="0" fillId="0" borderId="61" xfId="0" applyNumberFormat="1" applyBorder="1" applyAlignment="1">
      <alignment vertical="center"/>
    </xf>
    <xf numFmtId="0" fontId="0" fillId="0" borderId="5" xfId="0" applyBorder="1" applyAlignment="1">
      <alignment horizontal="center" vertical="center"/>
    </xf>
    <xf numFmtId="0" fontId="25" fillId="0" borderId="9" xfId="0" applyFont="1" applyBorder="1" applyAlignment="1">
      <alignment horizontal="center" vertical="center" wrapText="1"/>
    </xf>
    <xf numFmtId="0" fontId="23" fillId="11" borderId="0" xfId="3" applyFont="1" applyFill="1" applyAlignment="1">
      <alignment vertical="center"/>
    </xf>
    <xf numFmtId="43" fontId="25" fillId="0" borderId="0" xfId="1" applyFont="1" applyFill="1" applyBorder="1" applyAlignment="1">
      <alignment vertical="center"/>
    </xf>
    <xf numFmtId="43" fontId="0" fillId="0" borderId="61" xfId="1" applyFont="1" applyFill="1" applyBorder="1" applyAlignment="1">
      <alignment vertical="center"/>
    </xf>
    <xf numFmtId="0" fontId="25" fillId="0" borderId="0" xfId="0" applyFont="1"/>
    <xf numFmtId="0" fontId="25" fillId="0" borderId="9" xfId="0" applyFont="1" applyBorder="1"/>
    <xf numFmtId="0" fontId="24" fillId="0" borderId="9" xfId="0" applyFont="1" applyBorder="1" applyAlignment="1">
      <alignment vertical="center"/>
    </xf>
    <xf numFmtId="0" fontId="25" fillId="0" borderId="0" xfId="0" applyFont="1" applyAlignment="1">
      <alignment horizontal="right" vertical="center"/>
    </xf>
    <xf numFmtId="0" fontId="25" fillId="0" borderId="7" xfId="0" applyFont="1" applyBorder="1"/>
    <xf numFmtId="0" fontId="19" fillId="2" borderId="34" xfId="0" applyFont="1" applyFill="1" applyBorder="1" applyAlignment="1">
      <alignment vertical="center"/>
    </xf>
    <xf numFmtId="0" fontId="19" fillId="2" borderId="25" xfId="0" applyFont="1" applyFill="1" applyBorder="1" applyAlignment="1">
      <alignment vertical="center"/>
    </xf>
    <xf numFmtId="0" fontId="0" fillId="2" borderId="14" xfId="0" applyFill="1" applyBorder="1" applyAlignment="1">
      <alignment vertical="center"/>
    </xf>
    <xf numFmtId="0" fontId="19" fillId="2" borderId="14" xfId="0" applyFont="1" applyFill="1" applyBorder="1" applyAlignment="1">
      <alignment vertical="center"/>
    </xf>
    <xf numFmtId="0" fontId="19" fillId="2" borderId="15" xfId="0" applyFont="1" applyFill="1" applyBorder="1" applyAlignment="1">
      <alignment vertical="center"/>
    </xf>
    <xf numFmtId="0" fontId="19" fillId="2" borderId="11" xfId="0" applyFont="1" applyFill="1" applyBorder="1" applyAlignment="1">
      <alignment vertical="center"/>
    </xf>
    <xf numFmtId="0" fontId="19" fillId="2" borderId="26" xfId="0" applyFont="1" applyFill="1" applyBorder="1" applyAlignment="1">
      <alignment vertical="center"/>
    </xf>
    <xf numFmtId="0" fontId="12" fillId="0" borderId="84" xfId="0" quotePrefix="1" applyFont="1" applyBorder="1" applyAlignment="1">
      <alignment horizontal="center" vertical="center"/>
    </xf>
    <xf numFmtId="182" fontId="12" fillId="0" borderId="62" xfId="0" applyNumberFormat="1" applyFont="1" applyBorder="1" applyAlignment="1">
      <alignment horizontal="center" vertical="center"/>
    </xf>
    <xf numFmtId="0" fontId="12" fillId="0" borderId="62" xfId="0" quotePrefix="1" applyFont="1" applyBorder="1" applyAlignment="1">
      <alignment horizontal="center" vertical="center"/>
    </xf>
    <xf numFmtId="184" fontId="0" fillId="0" borderId="62" xfId="1" applyNumberFormat="1" applyFont="1" applyBorder="1" applyAlignment="1">
      <alignment vertical="center"/>
    </xf>
    <xf numFmtId="184" fontId="0" fillId="0" borderId="62" xfId="0" applyNumberFormat="1" applyBorder="1" applyAlignment="1">
      <alignment vertical="center"/>
    </xf>
    <xf numFmtId="184" fontId="0" fillId="0" borderId="61" xfId="1" applyNumberFormat="1" applyFont="1" applyBorder="1" applyAlignment="1">
      <alignment vertical="center"/>
    </xf>
    <xf numFmtId="184" fontId="0" fillId="0" borderId="61" xfId="0" applyNumberFormat="1" applyBorder="1" applyAlignment="1">
      <alignment vertical="center"/>
    </xf>
    <xf numFmtId="169" fontId="0" fillId="0" borderId="63" xfId="1" applyNumberFormat="1" applyFont="1" applyBorder="1" applyAlignment="1">
      <alignment vertical="center"/>
    </xf>
    <xf numFmtId="166" fontId="0" fillId="0" borderId="0" xfId="0" applyNumberFormat="1" applyAlignment="1">
      <alignment vertical="center"/>
    </xf>
    <xf numFmtId="43" fontId="0" fillId="11" borderId="56" xfId="1" applyFont="1" applyFill="1" applyBorder="1" applyAlignment="1">
      <alignment horizontal="center" vertical="center"/>
    </xf>
    <xf numFmtId="43" fontId="0" fillId="11" borderId="19" xfId="1" applyFont="1" applyFill="1" applyBorder="1" applyAlignment="1">
      <alignment vertical="center"/>
    </xf>
    <xf numFmtId="0" fontId="0" fillId="11" borderId="19" xfId="0" applyFill="1" applyBorder="1" applyAlignment="1">
      <alignment vertical="center"/>
    </xf>
    <xf numFmtId="0" fontId="0" fillId="11" borderId="23" xfId="0" applyFill="1" applyBorder="1" applyAlignment="1">
      <alignment vertical="center"/>
    </xf>
    <xf numFmtId="43" fontId="16" fillId="0" borderId="20" xfId="1" applyFont="1" applyFill="1" applyBorder="1" applyAlignment="1">
      <alignment vertical="center"/>
    </xf>
    <xf numFmtId="43" fontId="0" fillId="0" borderId="63" xfId="0" applyNumberFormat="1" applyBorder="1" applyAlignment="1">
      <alignment vertical="center"/>
    </xf>
    <xf numFmtId="0" fontId="19" fillId="7" borderId="6" xfId="0" applyFont="1" applyFill="1" applyBorder="1" applyAlignment="1">
      <alignment vertical="center"/>
    </xf>
    <xf numFmtId="43" fontId="19" fillId="7" borderId="6" xfId="0" applyNumberFormat="1" applyFont="1" applyFill="1" applyBorder="1" applyAlignment="1">
      <alignment vertical="center"/>
    </xf>
    <xf numFmtId="43" fontId="19" fillId="7" borderId="6" xfId="1" applyFont="1" applyFill="1" applyBorder="1" applyAlignment="1">
      <alignment vertical="center"/>
    </xf>
    <xf numFmtId="169" fontId="19" fillId="7" borderId="6" xfId="1" applyNumberFormat="1" applyFont="1" applyFill="1" applyBorder="1" applyAlignment="1">
      <alignment vertical="center"/>
    </xf>
    <xf numFmtId="43" fontId="19" fillId="7" borderId="63" xfId="0" applyNumberFormat="1" applyFont="1" applyFill="1" applyBorder="1" applyAlignment="1">
      <alignment vertical="center"/>
    </xf>
    <xf numFmtId="167" fontId="19" fillId="7" borderId="61" xfId="0" applyNumberFormat="1" applyFont="1" applyFill="1" applyBorder="1" applyAlignment="1">
      <alignment horizontal="right" vertical="center" indent="2"/>
    </xf>
    <xf numFmtId="0" fontId="0" fillId="0" borderId="47" xfId="0" applyBorder="1" applyAlignment="1">
      <alignment horizontal="center" vertical="center"/>
    </xf>
    <xf numFmtId="43" fontId="0" fillId="0" borderId="56" xfId="1" applyFont="1" applyFill="1" applyBorder="1" applyAlignment="1">
      <alignment horizontal="center" vertical="center"/>
    </xf>
    <xf numFmtId="43" fontId="0" fillId="0" borderId="19" xfId="1" applyFont="1" applyFill="1" applyBorder="1" applyAlignment="1">
      <alignment vertical="center"/>
    </xf>
    <xf numFmtId="43" fontId="0" fillId="11" borderId="56" xfId="1" applyFont="1" applyFill="1" applyBorder="1" applyAlignment="1">
      <alignment vertical="center"/>
    </xf>
    <xf numFmtId="43" fontId="0" fillId="11" borderId="23" xfId="1" applyFont="1" applyFill="1" applyBorder="1" applyAlignment="1">
      <alignment vertical="center"/>
    </xf>
    <xf numFmtId="14" fontId="10" fillId="0" borderId="84" xfId="0" applyNumberFormat="1" applyFont="1" applyBorder="1" applyAlignment="1">
      <alignment horizontal="center" vertical="center"/>
    </xf>
    <xf numFmtId="0" fontId="10" fillId="0" borderId="84" xfId="0" applyFont="1" applyBorder="1" applyAlignment="1">
      <alignment horizontal="center" vertical="center"/>
    </xf>
    <xf numFmtId="181" fontId="10" fillId="0" borderId="84" xfId="0" applyNumberFormat="1" applyFont="1" applyBorder="1" applyAlignment="1">
      <alignment horizontal="right" vertical="center"/>
    </xf>
    <xf numFmtId="182" fontId="10" fillId="0" borderId="84" xfId="0" applyNumberFormat="1" applyFont="1" applyBorder="1" applyAlignment="1">
      <alignment horizontal="center" vertical="center"/>
    </xf>
    <xf numFmtId="14" fontId="10" fillId="0" borderId="84" xfId="0" applyNumberFormat="1" applyFont="1" applyBorder="1" applyAlignment="1">
      <alignment horizontal="center" vertical="center" wrapText="1"/>
    </xf>
    <xf numFmtId="14" fontId="10" fillId="0" borderId="62" xfId="0" applyNumberFormat="1" applyFont="1" applyBorder="1" applyAlignment="1">
      <alignment horizontal="center" vertical="center"/>
    </xf>
    <xf numFmtId="0" fontId="10" fillId="0" borderId="62" xfId="0" applyFont="1" applyBorder="1" applyAlignment="1">
      <alignment horizontal="center" vertical="center"/>
    </xf>
    <xf numFmtId="181" fontId="10" fillId="0" borderId="62" xfId="0" applyNumberFormat="1" applyFont="1" applyBorder="1" applyAlignment="1">
      <alignment horizontal="right" vertical="center"/>
    </xf>
    <xf numFmtId="182" fontId="10" fillId="0" borderId="62" xfId="0" applyNumberFormat="1" applyFont="1" applyBorder="1" applyAlignment="1">
      <alignment horizontal="center" vertical="center"/>
    </xf>
    <xf numFmtId="14" fontId="10" fillId="0" borderId="62" xfId="0" applyNumberFormat="1" applyFont="1" applyBorder="1" applyAlignment="1">
      <alignment horizontal="center" vertical="center" wrapText="1"/>
    </xf>
    <xf numFmtId="0" fontId="0" fillId="0" borderId="19" xfId="0" applyBorder="1" applyAlignment="1">
      <alignment horizontal="center" vertical="center"/>
    </xf>
    <xf numFmtId="0" fontId="0" fillId="0" borderId="58" xfId="0" applyBorder="1" applyAlignment="1">
      <alignment horizontal="center" vertical="center"/>
    </xf>
    <xf numFmtId="0" fontId="0" fillId="0" borderId="56" xfId="0" applyBorder="1" applyAlignment="1">
      <alignment horizontal="center" vertical="center"/>
    </xf>
    <xf numFmtId="43" fontId="25" fillId="0" borderId="0" xfId="1" applyFont="1" applyBorder="1" applyAlignment="1">
      <alignment horizontal="center" vertical="center"/>
    </xf>
    <xf numFmtId="43" fontId="25" fillId="0" borderId="0" xfId="1" applyFont="1" applyBorder="1" applyAlignment="1">
      <alignment horizontal="center" vertical="center" wrapText="1"/>
    </xf>
    <xf numFmtId="0" fontId="46" fillId="0" borderId="14" xfId="0" applyFont="1" applyBorder="1" applyAlignment="1">
      <alignment horizontal="center"/>
    </xf>
    <xf numFmtId="43" fontId="25" fillId="0" borderId="0" xfId="1" applyFont="1" applyFill="1" applyBorder="1" applyAlignment="1">
      <alignment horizontal="center" vertical="center"/>
    </xf>
    <xf numFmtId="0" fontId="32" fillId="0" borderId="11" xfId="0" applyFont="1" applyBorder="1" applyAlignment="1">
      <alignment vertical="center"/>
    </xf>
    <xf numFmtId="0" fontId="32" fillId="0" borderId="26" xfId="0" applyFont="1" applyBorder="1" applyAlignment="1">
      <alignment vertical="center"/>
    </xf>
    <xf numFmtId="0" fontId="60" fillId="0" borderId="25" xfId="0" applyFont="1" applyBorder="1" applyAlignment="1">
      <alignment vertical="center"/>
    </xf>
    <xf numFmtId="0" fontId="60" fillId="0" borderId="11" xfId="0" applyFont="1" applyBorder="1" applyAlignment="1">
      <alignment vertical="center"/>
    </xf>
    <xf numFmtId="14" fontId="60" fillId="0" borderId="11" xfId="0" applyNumberFormat="1" applyFont="1" applyBorder="1" applyAlignment="1">
      <alignment vertical="center"/>
    </xf>
    <xf numFmtId="0" fontId="60" fillId="0" borderId="11" xfId="0" applyFont="1" applyBorder="1" applyAlignment="1">
      <alignment horizontal="left" vertical="center"/>
    </xf>
    <xf numFmtId="0" fontId="22" fillId="4" borderId="0" xfId="3" applyFont="1" applyFill="1" applyAlignment="1">
      <alignment horizontal="left" vertical="center" wrapText="1"/>
    </xf>
    <xf numFmtId="0" fontId="27" fillId="0" borderId="0" xfId="4" applyFont="1" applyAlignment="1">
      <alignment horizontal="centerContinuous" vertical="center" wrapText="1"/>
    </xf>
    <xf numFmtId="0" fontId="27" fillId="0" borderId="4" xfId="4" applyFont="1" applyBorder="1" applyAlignment="1">
      <alignment horizontal="centerContinuous" vertical="center" wrapText="1"/>
    </xf>
    <xf numFmtId="0" fontId="19" fillId="0" borderId="0" xfId="0" applyFont="1" applyAlignment="1">
      <alignment horizontal="center" vertical="center" wrapText="1"/>
    </xf>
    <xf numFmtId="0" fontId="25" fillId="0" borderId="0" xfId="0" applyFont="1" applyAlignment="1">
      <alignment horizontal="left" vertical="center" wrapText="1"/>
    </xf>
    <xf numFmtId="0" fontId="25" fillId="0" borderId="0" xfId="0" applyFont="1" applyAlignment="1">
      <alignment horizontal="center" vertical="center" wrapText="1"/>
    </xf>
    <xf numFmtId="0" fontId="19" fillId="7" borderId="8" xfId="0" applyFont="1" applyFill="1" applyBorder="1" applyAlignment="1">
      <alignment horizontal="center"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54" xfId="0" applyBorder="1" applyAlignment="1">
      <alignment horizontal="left" vertical="center" wrapText="1"/>
    </xf>
    <xf numFmtId="0" fontId="60" fillId="0" borderId="0" xfId="0" applyFont="1" applyAlignment="1">
      <alignment vertical="center"/>
    </xf>
    <xf numFmtId="0" fontId="60" fillId="0" borderId="0" xfId="0" applyFont="1" applyAlignment="1">
      <alignment horizontal="left" vertical="center"/>
    </xf>
    <xf numFmtId="0" fontId="34" fillId="0" borderId="9" xfId="0" applyFont="1" applyBorder="1" applyAlignment="1">
      <alignment horizontal="center" vertical="center"/>
    </xf>
    <xf numFmtId="0" fontId="13" fillId="0" borderId="7" xfId="0" applyFont="1" applyBorder="1" applyAlignment="1">
      <alignment horizontal="center" vertical="center"/>
    </xf>
    <xf numFmtId="0" fontId="13" fillId="0" borderId="10" xfId="0" applyFont="1" applyBorder="1" applyAlignment="1">
      <alignment horizontal="center" vertical="center"/>
    </xf>
    <xf numFmtId="14" fontId="13" fillId="0" borderId="11" xfId="0" applyNumberFormat="1" applyFont="1" applyBorder="1" applyAlignment="1">
      <alignment horizontal="center" vertical="center"/>
    </xf>
    <xf numFmtId="0" fontId="13" fillId="0" borderId="11" xfId="0" applyFont="1" applyBorder="1" applyAlignment="1">
      <alignment horizontal="center" vertical="center"/>
    </xf>
    <xf numFmtId="181" fontId="13" fillId="0" borderId="11" xfId="0" applyNumberFormat="1" applyFont="1" applyBorder="1" applyAlignment="1">
      <alignment horizontal="right" vertical="center"/>
    </xf>
    <xf numFmtId="182" fontId="13" fillId="0" borderId="11" xfId="0" applyNumberFormat="1" applyFont="1" applyBorder="1" applyAlignment="1">
      <alignment horizontal="center" vertical="center"/>
    </xf>
    <xf numFmtId="0" fontId="13" fillId="0" borderId="11" xfId="0" applyFont="1" applyBorder="1" applyAlignment="1">
      <alignment horizontal="center" vertical="center" wrapText="1"/>
    </xf>
    <xf numFmtId="14" fontId="13" fillId="0" borderId="12" xfId="0" applyNumberFormat="1" applyFont="1" applyBorder="1" applyAlignment="1">
      <alignment horizontal="center" vertical="center" wrapText="1"/>
    </xf>
    <xf numFmtId="0" fontId="13" fillId="0" borderId="13" xfId="0" applyFont="1" applyBorder="1" applyAlignment="1">
      <alignment horizontal="center" vertical="center"/>
    </xf>
    <xf numFmtId="14"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181" fontId="13" fillId="0" borderId="14" xfId="0" applyNumberFormat="1" applyFont="1" applyBorder="1" applyAlignment="1">
      <alignment horizontal="right" vertical="center"/>
    </xf>
    <xf numFmtId="182" fontId="13" fillId="0" borderId="14" xfId="0" applyNumberFormat="1" applyFont="1" applyBorder="1" applyAlignment="1">
      <alignment horizontal="center" vertical="center"/>
    </xf>
    <xf numFmtId="0" fontId="34" fillId="0" borderId="14" xfId="0" applyFont="1" applyBorder="1" applyAlignment="1">
      <alignment horizontal="right" vertical="center" wrapText="1"/>
    </xf>
    <xf numFmtId="1" fontId="33" fillId="0" borderId="15" xfId="0" applyNumberFormat="1" applyFont="1" applyBorder="1" applyAlignment="1">
      <alignment horizontal="center" vertical="center" wrapText="1"/>
    </xf>
    <xf numFmtId="0" fontId="13" fillId="0" borderId="9" xfId="0" applyFont="1" applyBorder="1" applyAlignment="1">
      <alignment horizontal="center" vertical="center"/>
    </xf>
    <xf numFmtId="0" fontId="34" fillId="0" borderId="0" xfId="0" applyFont="1" applyAlignment="1">
      <alignment horizontal="right" vertical="center" wrapText="1"/>
    </xf>
    <xf numFmtId="14" fontId="33" fillId="0" borderId="7" xfId="0" applyNumberFormat="1" applyFont="1" applyBorder="1" applyAlignment="1">
      <alignment horizontal="center" vertical="center" wrapText="1"/>
    </xf>
    <xf numFmtId="14" fontId="13" fillId="0" borderId="7" xfId="0" applyNumberFormat="1" applyFont="1" applyBorder="1" applyAlignment="1">
      <alignment horizontal="center" vertical="center" wrapText="1"/>
    </xf>
    <xf numFmtId="0" fontId="60" fillId="0" borderId="4" xfId="0" applyFont="1" applyBorder="1" applyAlignment="1">
      <alignment vertical="center"/>
    </xf>
    <xf numFmtId="14" fontId="60" fillId="0" borderId="0" xfId="0" applyNumberFormat="1" applyFont="1" applyAlignment="1">
      <alignment vertical="center"/>
    </xf>
    <xf numFmtId="14" fontId="13" fillId="0" borderId="0" xfId="0" applyNumberFormat="1" applyFont="1" applyAlignment="1">
      <alignment horizontal="right" vertical="center"/>
    </xf>
    <xf numFmtId="0" fontId="34" fillId="0" borderId="9" xfId="0" applyFont="1" applyBorder="1" applyAlignment="1">
      <alignment horizontal="left" vertical="center"/>
    </xf>
    <xf numFmtId="0" fontId="19" fillId="0" borderId="48" xfId="0" applyFont="1" applyBorder="1" applyAlignment="1">
      <alignment horizontal="center" vertical="center" wrapText="1"/>
    </xf>
    <xf numFmtId="14" fontId="19" fillId="0" borderId="48" xfId="0" applyNumberFormat="1" applyFont="1" applyBorder="1" applyAlignment="1">
      <alignment horizontal="center" vertical="center" wrapText="1"/>
    </xf>
    <xf numFmtId="181" fontId="19" fillId="0" borderId="48" xfId="0" applyNumberFormat="1" applyFont="1" applyBorder="1" applyAlignment="1">
      <alignment horizontal="center" vertical="center" wrapText="1"/>
    </xf>
    <xf numFmtId="182" fontId="19" fillId="0" borderId="48" xfId="0" applyNumberFormat="1" applyFont="1" applyBorder="1" applyAlignment="1">
      <alignment horizontal="center" vertical="center" wrapText="1"/>
    </xf>
    <xf numFmtId="43" fontId="0" fillId="0" borderId="81" xfId="1" applyFont="1" applyBorder="1" applyAlignment="1">
      <alignment vertical="center"/>
    </xf>
    <xf numFmtId="14" fontId="19" fillId="0" borderId="0" xfId="0" applyNumberFormat="1" applyFont="1" applyAlignment="1">
      <alignment horizontal="left" vertical="center"/>
    </xf>
    <xf numFmtId="43" fontId="19" fillId="7" borderId="17" xfId="0" applyNumberFormat="1" applyFont="1" applyFill="1" applyBorder="1" applyAlignment="1">
      <alignment horizontal="center" vertical="center" wrapText="1"/>
    </xf>
    <xf numFmtId="43" fontId="19" fillId="3" borderId="17" xfId="0" applyNumberFormat="1" applyFont="1" applyFill="1" applyBorder="1" applyAlignment="1">
      <alignment horizontal="center" vertical="center" wrapText="1"/>
    </xf>
    <xf numFmtId="43" fontId="0" fillId="0" borderId="51" xfId="1" applyFont="1" applyBorder="1" applyAlignment="1">
      <alignment vertical="center"/>
    </xf>
    <xf numFmtId="43" fontId="0" fillId="0" borderId="20" xfId="1" applyFont="1" applyBorder="1" applyAlignment="1">
      <alignment vertical="center"/>
    </xf>
    <xf numFmtId="43" fontId="0" fillId="0" borderId="39" xfId="1" applyFont="1" applyBorder="1" applyAlignment="1">
      <alignment vertical="center"/>
    </xf>
    <xf numFmtId="0" fontId="0" fillId="0" borderId="50" xfId="0" applyBorder="1" applyAlignment="1">
      <alignment horizontal="center" vertical="center"/>
    </xf>
    <xf numFmtId="43" fontId="0" fillId="0" borderId="54" xfId="1" applyFont="1" applyBorder="1" applyAlignment="1">
      <alignment vertical="center"/>
    </xf>
    <xf numFmtId="43" fontId="0" fillId="0" borderId="57" xfId="1" applyFont="1" applyBorder="1" applyAlignment="1">
      <alignment vertical="center"/>
    </xf>
    <xf numFmtId="43" fontId="0" fillId="0" borderId="52" xfId="1" applyFont="1" applyBorder="1" applyAlignment="1">
      <alignment vertical="center"/>
    </xf>
    <xf numFmtId="43" fontId="0" fillId="0" borderId="79" xfId="1" applyFont="1" applyBorder="1" applyAlignment="1">
      <alignment vertical="center"/>
    </xf>
    <xf numFmtId="0" fontId="0" fillId="0" borderId="8" xfId="0" applyBorder="1" applyAlignment="1">
      <alignment vertical="center"/>
    </xf>
    <xf numFmtId="43" fontId="19" fillId="2" borderId="6" xfId="1" applyFont="1" applyFill="1" applyBorder="1" applyAlignment="1">
      <alignment horizontal="center" vertical="center" wrapText="1"/>
    </xf>
    <xf numFmtId="0" fontId="19" fillId="7" borderId="48" xfId="0" applyFont="1" applyFill="1" applyBorder="1" applyAlignment="1">
      <alignment horizontal="center" vertical="center" wrapText="1"/>
    </xf>
    <xf numFmtId="184" fontId="0" fillId="0" borderId="84" xfId="1" applyNumberFormat="1" applyFont="1" applyBorder="1" applyAlignment="1">
      <alignment vertical="center"/>
    </xf>
    <xf numFmtId="1" fontId="0" fillId="0" borderId="0" xfId="0" applyNumberFormat="1" applyAlignment="1">
      <alignment horizontal="center" vertical="center"/>
    </xf>
    <xf numFmtId="1" fontId="32" fillId="0" borderId="0" xfId="0" applyNumberFormat="1" applyFont="1" applyAlignment="1">
      <alignment horizontal="center" vertical="center"/>
    </xf>
    <xf numFmtId="1" fontId="19" fillId="7" borderId="6" xfId="0" applyNumberFormat="1" applyFont="1" applyFill="1" applyBorder="1" applyAlignment="1">
      <alignment horizontal="center" vertical="center" wrapText="1"/>
    </xf>
    <xf numFmtId="1" fontId="0" fillId="0" borderId="61" xfId="1" applyNumberFormat="1" applyFont="1" applyBorder="1" applyAlignment="1">
      <alignment horizontal="center" vertical="center"/>
    </xf>
    <xf numFmtId="1" fontId="0" fillId="0" borderId="62" xfId="1" applyNumberFormat="1" applyFont="1" applyBorder="1" applyAlignment="1">
      <alignment horizontal="center" vertical="center"/>
    </xf>
    <xf numFmtId="1" fontId="0" fillId="0" borderId="0" xfId="1" applyNumberFormat="1" applyFont="1" applyBorder="1" applyAlignment="1">
      <alignment horizontal="center" vertical="center"/>
    </xf>
    <xf numFmtId="1" fontId="0" fillId="0" borderId="84" xfId="1" applyNumberFormat="1" applyFont="1" applyBorder="1" applyAlignment="1">
      <alignment horizontal="center" vertical="center"/>
    </xf>
    <xf numFmtId="1" fontId="0" fillId="0" borderId="70" xfId="1" applyNumberFormat="1" applyFont="1" applyBorder="1" applyAlignment="1">
      <alignment horizontal="center" vertical="center"/>
    </xf>
    <xf numFmtId="1" fontId="54" fillId="0" borderId="62" xfId="1" applyNumberFormat="1" applyFont="1" applyBorder="1" applyAlignment="1">
      <alignment horizontal="center" vertical="center"/>
    </xf>
    <xf numFmtId="1" fontId="54" fillId="0" borderId="61" xfId="1" applyNumberFormat="1" applyFont="1" applyBorder="1" applyAlignment="1">
      <alignment horizontal="center" vertical="center"/>
    </xf>
    <xf numFmtId="0" fontId="25" fillId="0" borderId="0" xfId="0" applyFont="1" applyAlignment="1">
      <alignment horizontal="center" vertical="top" wrapText="1"/>
    </xf>
    <xf numFmtId="43" fontId="25" fillId="0" borderId="0" xfId="0" applyNumberFormat="1" applyFont="1" applyAlignment="1">
      <alignment vertical="center"/>
    </xf>
    <xf numFmtId="0" fontId="19" fillId="7" borderId="88" xfId="0" applyFont="1" applyFill="1" applyBorder="1" applyAlignment="1">
      <alignment horizontal="center" vertical="center"/>
    </xf>
    <xf numFmtId="0" fontId="22" fillId="7" borderId="11" xfId="3" applyFont="1" applyFill="1" applyBorder="1" applyAlignment="1">
      <alignment vertical="center"/>
    </xf>
    <xf numFmtId="0" fontId="19" fillId="7" borderId="11" xfId="0" applyFont="1" applyFill="1" applyBorder="1" applyAlignment="1">
      <alignment horizontal="center" vertical="center"/>
    </xf>
    <xf numFmtId="0" fontId="19" fillId="7" borderId="11" xfId="0" applyFont="1" applyFill="1" applyBorder="1" applyAlignment="1">
      <alignment horizontal="center" vertical="center" wrapText="1"/>
    </xf>
    <xf numFmtId="43" fontId="19" fillId="7" borderId="11" xfId="0" applyNumberFormat="1" applyFont="1" applyFill="1" applyBorder="1" applyAlignment="1">
      <alignment horizontal="center" vertical="center" wrapText="1"/>
    </xf>
    <xf numFmtId="43" fontId="19" fillId="7" borderId="48" xfId="1" applyFont="1" applyFill="1" applyBorder="1" applyAlignment="1">
      <alignment horizontal="center" vertical="center" wrapText="1"/>
    </xf>
    <xf numFmtId="43" fontId="19" fillId="7" borderId="110" xfId="1" applyFont="1" applyFill="1" applyBorder="1" applyAlignment="1">
      <alignment horizontal="center" vertical="center" wrapText="1"/>
    </xf>
    <xf numFmtId="0" fontId="0" fillId="0" borderId="84" xfId="0" quotePrefix="1" applyBorder="1" applyAlignment="1">
      <alignment horizontal="center" vertical="center"/>
    </xf>
    <xf numFmtId="0" fontId="19" fillId="3" borderId="88" xfId="0" applyFont="1" applyFill="1" applyBorder="1" applyAlignment="1">
      <alignment horizontal="center" vertical="center"/>
    </xf>
    <xf numFmtId="0" fontId="19" fillId="3" borderId="11" xfId="0" applyFont="1" applyFill="1" applyBorder="1" applyAlignment="1">
      <alignment horizontal="left" vertical="center"/>
    </xf>
    <xf numFmtId="0" fontId="19" fillId="3" borderId="11" xfId="0" applyFont="1" applyFill="1" applyBorder="1" applyAlignment="1">
      <alignment horizontal="center" vertical="center"/>
    </xf>
    <xf numFmtId="0" fontId="19" fillId="3" borderId="11" xfId="0" applyFont="1" applyFill="1" applyBorder="1" applyAlignment="1">
      <alignment horizontal="center" vertical="center" wrapText="1"/>
    </xf>
    <xf numFmtId="43" fontId="19" fillId="3" borderId="11" xfId="0" applyNumberFormat="1" applyFont="1" applyFill="1" applyBorder="1" applyAlignment="1">
      <alignment horizontal="center" vertical="center" wrapText="1"/>
    </xf>
    <xf numFmtId="43" fontId="19" fillId="3" borderId="48" xfId="1" applyFont="1" applyFill="1" applyBorder="1" applyAlignment="1">
      <alignment horizontal="center" vertical="center" wrapText="1"/>
    </xf>
    <xf numFmtId="43" fontId="19" fillId="3" borderId="110" xfId="1" applyFont="1" applyFill="1" applyBorder="1" applyAlignment="1">
      <alignment horizontal="center" vertical="center" wrapText="1"/>
    </xf>
    <xf numFmtId="0" fontId="19" fillId="2" borderId="16" xfId="0" applyFont="1" applyFill="1" applyBorder="1" applyAlignment="1">
      <alignment vertical="center"/>
    </xf>
    <xf numFmtId="43" fontId="19" fillId="7" borderId="18" xfId="0" applyNumberFormat="1" applyFont="1" applyFill="1" applyBorder="1" applyAlignment="1">
      <alignment horizontal="center" vertical="center" wrapText="1"/>
    </xf>
    <xf numFmtId="43" fontId="19" fillId="3" borderId="18" xfId="0" applyNumberFormat="1" applyFont="1" applyFill="1" applyBorder="1" applyAlignment="1">
      <alignment horizontal="center" vertical="center" wrapText="1"/>
    </xf>
    <xf numFmtId="43" fontId="19" fillId="3" borderId="12" xfId="0" applyNumberFormat="1" applyFont="1" applyFill="1" applyBorder="1" applyAlignment="1">
      <alignment horizontal="center" vertical="center" wrapText="1"/>
    </xf>
    <xf numFmtId="43" fontId="19" fillId="7" borderId="12" xfId="0" applyNumberFormat="1" applyFont="1" applyFill="1" applyBorder="1" applyAlignment="1">
      <alignment horizontal="center" vertical="center" wrapText="1"/>
    </xf>
    <xf numFmtId="0" fontId="19" fillId="7" borderId="16"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7" borderId="10" xfId="0" applyFont="1" applyFill="1" applyBorder="1" applyAlignment="1">
      <alignment horizontal="center" vertical="center" wrapText="1"/>
    </xf>
    <xf numFmtId="43" fontId="19" fillId="3" borderId="12" xfId="1" applyFont="1" applyFill="1" applyBorder="1" applyAlignment="1">
      <alignment horizontal="center" vertical="center" wrapText="1"/>
    </xf>
    <xf numFmtId="43" fontId="19" fillId="3" borderId="18" xfId="1" applyFont="1" applyFill="1" applyBorder="1" applyAlignment="1">
      <alignment horizontal="center" vertical="center" wrapText="1"/>
    </xf>
    <xf numFmtId="43" fontId="19" fillId="7" borderId="12" xfId="1" applyFont="1" applyFill="1" applyBorder="1" applyAlignment="1">
      <alignment horizontal="center" vertical="center" wrapText="1"/>
    </xf>
    <xf numFmtId="43" fontId="19" fillId="7" borderId="18" xfId="1" applyFont="1" applyFill="1" applyBorder="1" applyAlignment="1">
      <alignment horizontal="center" vertical="center" wrapText="1"/>
    </xf>
    <xf numFmtId="0" fontId="19" fillId="7" borderId="47" xfId="0" applyFont="1" applyFill="1" applyBorder="1" applyAlignment="1">
      <alignment horizontal="center" vertical="center" wrapText="1"/>
    </xf>
    <xf numFmtId="0" fontId="19" fillId="3" borderId="48" xfId="0" applyFont="1" applyFill="1" applyBorder="1" applyAlignment="1">
      <alignment horizontal="center" vertical="center" wrapText="1"/>
    </xf>
    <xf numFmtId="0" fontId="19" fillId="3" borderId="6" xfId="0" applyFont="1" applyFill="1" applyBorder="1" applyAlignment="1">
      <alignment horizontal="center" vertical="center" wrapText="1"/>
    </xf>
    <xf numFmtId="43" fontId="19" fillId="2" borderId="6" xfId="0" applyNumberFormat="1" applyFont="1" applyFill="1" applyBorder="1" applyAlignment="1">
      <alignment horizontal="center" vertical="center" wrapText="1"/>
    </xf>
    <xf numFmtId="166" fontId="0" fillId="0" borderId="54" xfId="1" applyNumberFormat="1" applyFont="1" applyBorder="1" applyAlignment="1">
      <alignment vertical="center"/>
    </xf>
    <xf numFmtId="0" fontId="0" fillId="0" borderId="63" xfId="0" applyBorder="1" applyAlignment="1">
      <alignment horizontal="center" vertical="center"/>
    </xf>
    <xf numFmtId="0" fontId="0" fillId="0" borderId="77" xfId="0" applyBorder="1" applyAlignment="1">
      <alignment horizontal="center" vertical="center"/>
    </xf>
    <xf numFmtId="0" fontId="19" fillId="7" borderId="13" xfId="0" applyFont="1" applyFill="1" applyBorder="1" applyAlignment="1">
      <alignment horizontal="center" vertical="center"/>
    </xf>
    <xf numFmtId="0" fontId="19" fillId="7" borderId="14" xfId="0" applyFont="1" applyFill="1" applyBorder="1" applyAlignment="1">
      <alignment horizontal="center" vertical="center"/>
    </xf>
    <xf numFmtId="0" fontId="19" fillId="7" borderId="15" xfId="0" applyFont="1" applyFill="1" applyBorder="1" applyAlignment="1">
      <alignment horizontal="center" vertical="center"/>
    </xf>
    <xf numFmtId="1" fontId="19" fillId="7" borderId="47" xfId="0" applyNumberFormat="1" applyFont="1" applyFill="1" applyBorder="1" applyAlignment="1">
      <alignment horizontal="center" vertical="center" wrapText="1"/>
    </xf>
    <xf numFmtId="0" fontId="19" fillId="7" borderId="47" xfId="0" applyFont="1" applyFill="1" applyBorder="1" applyAlignment="1">
      <alignment horizontal="left" vertical="center"/>
    </xf>
    <xf numFmtId="0" fontId="22" fillId="7" borderId="6" xfId="3" applyFont="1" applyFill="1" applyBorder="1" applyAlignment="1">
      <alignment vertical="center"/>
    </xf>
    <xf numFmtId="0" fontId="0" fillId="0" borderId="0" xfId="0" applyAlignment="1">
      <alignment horizontal="left" vertical="center" wrapText="1"/>
    </xf>
    <xf numFmtId="1" fontId="0" fillId="0" borderId="0" xfId="0" applyNumberFormat="1" applyAlignment="1">
      <alignment horizontal="center" vertical="center" wrapText="1"/>
    </xf>
    <xf numFmtId="0" fontId="19" fillId="7" borderId="8" xfId="0" applyFont="1" applyFill="1" applyBorder="1" applyAlignment="1">
      <alignment horizontal="left" vertical="center"/>
    </xf>
    <xf numFmtId="0" fontId="19" fillId="7" borderId="9" xfId="0" applyFont="1" applyFill="1" applyBorder="1" applyAlignment="1">
      <alignment horizontal="center" vertical="center"/>
    </xf>
    <xf numFmtId="0" fontId="19" fillId="7" borderId="0" xfId="0" applyFont="1" applyFill="1" applyAlignment="1">
      <alignment horizontal="center" vertical="center"/>
    </xf>
    <xf numFmtId="0" fontId="19" fillId="7" borderId="7" xfId="0" applyFont="1" applyFill="1" applyBorder="1" applyAlignment="1">
      <alignment horizontal="center" vertical="center"/>
    </xf>
    <xf numFmtId="0" fontId="19" fillId="7" borderId="8" xfId="0" applyFont="1" applyFill="1" applyBorder="1" applyAlignment="1">
      <alignment horizontal="center" vertical="center" wrapText="1"/>
    </xf>
    <xf numFmtId="1" fontId="19" fillId="7" borderId="8" xfId="0" applyNumberFormat="1" applyFont="1" applyFill="1" applyBorder="1" applyAlignment="1">
      <alignment horizontal="center" vertical="center" wrapText="1"/>
    </xf>
    <xf numFmtId="0" fontId="22" fillId="7" borderId="48" xfId="3" applyFont="1" applyFill="1" applyBorder="1" applyAlignment="1">
      <alignment vertical="center"/>
    </xf>
    <xf numFmtId="166" fontId="0" fillId="0" borderId="84" xfId="1" applyNumberFormat="1" applyFont="1" applyBorder="1" applyAlignment="1">
      <alignment vertical="center"/>
    </xf>
    <xf numFmtId="166" fontId="0" fillId="0" borderId="9" xfId="0" applyNumberFormat="1" applyBorder="1" applyAlignment="1">
      <alignment vertical="center"/>
    </xf>
    <xf numFmtId="0" fontId="0" fillId="0" borderId="13" xfId="0" applyBorder="1" applyAlignment="1">
      <alignment horizontal="center" vertical="center"/>
    </xf>
    <xf numFmtId="0" fontId="19" fillId="7" borderId="16" xfId="0" applyFont="1" applyFill="1" applyBorder="1" applyAlignment="1">
      <alignment horizontal="center" vertical="center"/>
    </xf>
    <xf numFmtId="166" fontId="0" fillId="0" borderId="84" xfId="0" applyNumberFormat="1" applyBorder="1" applyAlignment="1">
      <alignment vertical="center"/>
    </xf>
    <xf numFmtId="1" fontId="19" fillId="7" borderId="48" xfId="0" applyNumberFormat="1" applyFont="1" applyFill="1" applyBorder="1" applyAlignment="1">
      <alignment horizontal="center" vertical="center" wrapText="1"/>
    </xf>
    <xf numFmtId="0" fontId="19" fillId="2" borderId="48" xfId="0" applyFont="1" applyFill="1" applyBorder="1" applyAlignment="1">
      <alignment horizontal="left" vertical="center" indent="3"/>
    </xf>
    <xf numFmtId="0" fontId="19" fillId="2" borderId="0" xfId="0" applyFont="1" applyFill="1" applyAlignment="1">
      <alignment horizontal="center" vertical="center"/>
    </xf>
    <xf numFmtId="0" fontId="19" fillId="2" borderId="111" xfId="0" applyFont="1" applyFill="1" applyBorder="1" applyAlignment="1">
      <alignment horizontal="center" vertical="center"/>
    </xf>
    <xf numFmtId="43" fontId="19" fillId="2" borderId="15" xfId="1" applyFont="1" applyFill="1" applyBorder="1" applyAlignment="1">
      <alignment horizontal="center" vertical="center" wrapText="1"/>
    </xf>
    <xf numFmtId="188" fontId="19" fillId="7" borderId="6" xfId="0" applyNumberFormat="1" applyFont="1" applyFill="1" applyBorder="1" applyAlignment="1">
      <alignment horizontal="center" vertical="center" wrapText="1"/>
    </xf>
    <xf numFmtId="0" fontId="19" fillId="3" borderId="16" xfId="0" applyFont="1" applyFill="1" applyBorder="1" applyAlignment="1">
      <alignment horizontal="center" vertical="center"/>
    </xf>
    <xf numFmtId="166" fontId="0" fillId="0" borderId="63" xfId="1" applyNumberFormat="1" applyFont="1" applyBorder="1" applyAlignment="1">
      <alignment vertical="center"/>
    </xf>
    <xf numFmtId="166" fontId="19" fillId="3" borderId="17" xfId="0" applyNumberFormat="1" applyFont="1" applyFill="1" applyBorder="1" applyAlignment="1">
      <alignment horizontal="center" vertical="center" wrapText="1"/>
    </xf>
    <xf numFmtId="0" fontId="0" fillId="0" borderId="63" xfId="0" quotePrefix="1" applyBorder="1" applyAlignment="1">
      <alignment horizontal="center" vertical="center"/>
    </xf>
    <xf numFmtId="0" fontId="22" fillId="7" borderId="17" xfId="3" applyFont="1" applyFill="1" applyBorder="1" applyAlignment="1">
      <alignment vertical="center"/>
    </xf>
    <xf numFmtId="166" fontId="19" fillId="7" borderId="17" xfId="0" applyNumberFormat="1" applyFont="1" applyFill="1" applyBorder="1" applyAlignment="1">
      <alignment horizontal="center" vertical="center" wrapText="1"/>
    </xf>
    <xf numFmtId="43" fontId="19" fillId="7" borderId="6" xfId="0" applyNumberFormat="1" applyFont="1" applyFill="1" applyBorder="1" applyAlignment="1">
      <alignment horizontal="center" vertical="center" wrapText="1"/>
    </xf>
    <xf numFmtId="0" fontId="0" fillId="0" borderId="112" xfId="0" applyBorder="1" applyAlignment="1">
      <alignment horizontal="center" vertical="center"/>
    </xf>
    <xf numFmtId="0" fontId="0" fillId="0" borderId="8" xfId="0" quotePrefix="1" applyBorder="1" applyAlignment="1">
      <alignment horizontal="center" vertical="center"/>
    </xf>
    <xf numFmtId="166" fontId="0" fillId="0" borderId="6" xfId="1" applyNumberFormat="1" applyFont="1" applyBorder="1" applyAlignment="1">
      <alignment vertical="center"/>
    </xf>
    <xf numFmtId="0" fontId="0" fillId="0" borderId="48" xfId="0" quotePrefix="1" applyBorder="1" applyAlignment="1">
      <alignment horizontal="center" vertical="center"/>
    </xf>
    <xf numFmtId="0" fontId="0" fillId="0" borderId="10" xfId="0" applyBorder="1" applyAlignment="1">
      <alignment horizontal="center" vertical="center"/>
    </xf>
    <xf numFmtId="166" fontId="0" fillId="0" borderId="14" xfId="1" applyNumberFormat="1" applyFont="1" applyBorder="1" applyAlignment="1">
      <alignment vertical="center"/>
    </xf>
    <xf numFmtId="0" fontId="19" fillId="2" borderId="113" xfId="0" applyFont="1" applyFill="1" applyBorder="1" applyAlignment="1">
      <alignment horizontal="center" vertical="center" wrapText="1"/>
    </xf>
    <xf numFmtId="0" fontId="19" fillId="10" borderId="6" xfId="0" applyFont="1" applyFill="1" applyBorder="1" applyAlignment="1">
      <alignment horizontal="center" vertical="center"/>
    </xf>
    <xf numFmtId="0" fontId="19" fillId="10" borderId="18" xfId="0" applyFont="1" applyFill="1" applyBorder="1" applyAlignment="1">
      <alignment horizontal="center" vertical="center"/>
    </xf>
    <xf numFmtId="0" fontId="19" fillId="10" borderId="6" xfId="0" applyFont="1" applyFill="1" applyBorder="1" applyAlignment="1">
      <alignment horizontal="center" vertical="center" wrapText="1"/>
    </xf>
    <xf numFmtId="43" fontId="0" fillId="0" borderId="62" xfId="1" applyFont="1" applyFill="1" applyBorder="1" applyAlignment="1">
      <alignment vertical="center"/>
    </xf>
    <xf numFmtId="43" fontId="0" fillId="0" borderId="63" xfId="1" applyFont="1" applyFill="1" applyBorder="1" applyAlignment="1">
      <alignment vertical="center"/>
    </xf>
    <xf numFmtId="166" fontId="0" fillId="0" borderId="62" xfId="1" applyNumberFormat="1" applyFont="1" applyFill="1" applyBorder="1" applyAlignment="1">
      <alignment vertical="center"/>
    </xf>
    <xf numFmtId="166" fontId="0" fillId="0" borderId="63" xfId="1" applyNumberFormat="1" applyFont="1" applyFill="1" applyBorder="1" applyAlignment="1">
      <alignment vertical="center"/>
    </xf>
    <xf numFmtId="0" fontId="18" fillId="0" borderId="0" xfId="8"/>
    <xf numFmtId="0" fontId="59" fillId="0" borderId="0" xfId="8" applyFont="1"/>
    <xf numFmtId="0" fontId="62" fillId="0" borderId="4" xfId="8" applyFont="1" applyBorder="1" applyAlignment="1">
      <alignment horizontal="center" wrapText="1"/>
    </xf>
    <xf numFmtId="0" fontId="62" fillId="0" borderId="0" xfId="8" applyFont="1" applyAlignment="1">
      <alignment horizontal="center" wrapText="1"/>
    </xf>
    <xf numFmtId="0" fontId="62" fillId="0" borderId="5" xfId="8" applyFont="1" applyBorder="1" applyAlignment="1">
      <alignment horizontal="center" wrapText="1"/>
    </xf>
    <xf numFmtId="0" fontId="25" fillId="0" borderId="0" xfId="8" applyFont="1"/>
    <xf numFmtId="0" fontId="62" fillId="0" borderId="116" xfId="8" applyFont="1" applyBorder="1" applyAlignment="1">
      <alignment horizontal="center" wrapText="1"/>
    </xf>
    <xf numFmtId="0" fontId="62" fillId="0" borderId="117" xfId="8" applyFont="1" applyBorder="1" applyAlignment="1">
      <alignment horizontal="center" wrapText="1"/>
    </xf>
    <xf numFmtId="0" fontId="62" fillId="0" borderId="118" xfId="8" applyFont="1" applyBorder="1" applyAlignment="1">
      <alignment horizontal="center" wrapText="1"/>
    </xf>
    <xf numFmtId="0" fontId="64" fillId="0" borderId="4" xfId="8" applyFont="1" applyBorder="1"/>
    <xf numFmtId="0" fontId="64" fillId="0" borderId="0" xfId="8" applyFont="1"/>
    <xf numFmtId="0" fontId="64" fillId="0" borderId="5" xfId="8" applyFont="1" applyBorder="1"/>
    <xf numFmtId="0" fontId="19" fillId="0" borderId="0" xfId="8" applyFont="1"/>
    <xf numFmtId="0" fontId="62" fillId="0" borderId="4" xfId="8" applyFont="1" applyBorder="1" applyAlignment="1">
      <alignment horizontal="center" vertical="center"/>
    </xf>
    <xf numFmtId="0" fontId="62" fillId="0" borderId="0" xfId="8" applyFont="1" applyAlignment="1">
      <alignment horizontal="center" vertical="center"/>
    </xf>
    <xf numFmtId="0" fontId="62" fillId="0" borderId="5" xfId="8" applyFont="1" applyBorder="1" applyAlignment="1">
      <alignment horizontal="center" vertical="center"/>
    </xf>
    <xf numFmtId="0" fontId="0" fillId="0" borderId="0" xfId="0" quotePrefix="1" applyAlignment="1">
      <alignment horizontal="center" vertical="center"/>
    </xf>
    <xf numFmtId="0" fontId="19" fillId="3" borderId="10" xfId="0" applyFont="1" applyFill="1" applyBorder="1" applyAlignment="1">
      <alignment horizontal="center" vertical="center"/>
    </xf>
    <xf numFmtId="166" fontId="19" fillId="3" borderId="11" xfId="0" applyNumberFormat="1" applyFont="1" applyFill="1" applyBorder="1" applyAlignment="1">
      <alignment horizontal="center" vertical="center" wrapText="1"/>
    </xf>
    <xf numFmtId="187" fontId="13" fillId="0" borderId="0" xfId="0" applyNumberFormat="1" applyFont="1" applyAlignment="1">
      <alignment vertical="center"/>
    </xf>
    <xf numFmtId="0" fontId="8" fillId="0" borderId="0" xfId="0" applyFont="1" applyAlignment="1">
      <alignment horizontal="right" vertical="center"/>
    </xf>
    <xf numFmtId="0" fontId="46" fillId="0" borderId="0" xfId="0" applyFont="1" applyAlignment="1">
      <alignment horizontal="center"/>
    </xf>
    <xf numFmtId="0" fontId="65" fillId="0" borderId="0" xfId="0" applyFont="1" applyAlignment="1">
      <alignment horizontal="center"/>
    </xf>
    <xf numFmtId="0" fontId="59" fillId="0" borderId="0" xfId="0" applyFont="1" applyAlignment="1">
      <alignment horizontal="center" vertical="center"/>
    </xf>
    <xf numFmtId="0" fontId="59" fillId="0" borderId="0" xfId="0" applyFont="1" applyAlignment="1">
      <alignment horizontal="center" vertical="center" wrapText="1"/>
    </xf>
    <xf numFmtId="0" fontId="59" fillId="0" borderId="0" xfId="0" applyFont="1" applyAlignment="1">
      <alignment horizontal="left" vertical="center" wrapText="1"/>
    </xf>
    <xf numFmtId="43" fontId="59" fillId="0" borderId="0" xfId="1" applyFont="1" applyBorder="1" applyAlignment="1">
      <alignment vertical="center"/>
    </xf>
    <xf numFmtId="43" fontId="59" fillId="0" borderId="0" xfId="0" applyNumberFormat="1" applyFont="1" applyAlignment="1">
      <alignment vertical="center"/>
    </xf>
    <xf numFmtId="0" fontId="59" fillId="0" borderId="0" xfId="0" applyFont="1" applyAlignment="1">
      <alignment horizontal="center" vertical="top" wrapText="1"/>
    </xf>
    <xf numFmtId="166" fontId="0" fillId="0" borderId="14" xfId="0" applyNumberFormat="1" applyBorder="1" applyAlignment="1">
      <alignment vertical="center"/>
    </xf>
    <xf numFmtId="166" fontId="25" fillId="0" borderId="0" xfId="0" applyNumberFormat="1" applyFont="1" applyAlignment="1">
      <alignment vertical="center"/>
    </xf>
    <xf numFmtId="166" fontId="32" fillId="0" borderId="0" xfId="0" applyNumberFormat="1" applyFont="1" applyAlignment="1">
      <alignment vertical="center"/>
    </xf>
    <xf numFmtId="166" fontId="19" fillId="10" borderId="6" xfId="0" applyNumberFormat="1" applyFont="1" applyFill="1" applyBorder="1" applyAlignment="1">
      <alignment horizontal="center" vertical="center" wrapText="1"/>
    </xf>
    <xf numFmtId="166" fontId="19" fillId="2" borderId="0" xfId="0" applyNumberFormat="1" applyFont="1" applyFill="1" applyAlignment="1">
      <alignment horizontal="center" vertical="center" wrapText="1"/>
    </xf>
    <xf numFmtId="166" fontId="0" fillId="0" borderId="61" xfId="1" applyNumberFormat="1" applyFont="1" applyFill="1" applyBorder="1" applyAlignment="1">
      <alignment vertical="center"/>
    </xf>
    <xf numFmtId="166" fontId="24" fillId="0" borderId="0" xfId="0" applyNumberFormat="1" applyFont="1" applyAlignment="1">
      <alignment horizontal="center" vertical="center"/>
    </xf>
    <xf numFmtId="166" fontId="25" fillId="0" borderId="0" xfId="0" applyNumberFormat="1" applyFont="1" applyAlignment="1">
      <alignment horizontal="center" vertical="center"/>
    </xf>
    <xf numFmtId="166" fontId="32" fillId="0" borderId="0" xfId="0" applyNumberFormat="1" applyFont="1" applyAlignment="1">
      <alignment horizontal="center" vertical="center"/>
    </xf>
    <xf numFmtId="43" fontId="19" fillId="7" borderId="18" xfId="1" applyFont="1" applyFill="1" applyBorder="1" applyAlignment="1">
      <alignment vertical="center"/>
    </xf>
    <xf numFmtId="167" fontId="0" fillId="0" borderId="120" xfId="0" applyNumberFormat="1" applyBorder="1" applyAlignment="1">
      <alignment horizontal="right" vertical="center" indent="2"/>
    </xf>
    <xf numFmtId="43" fontId="0" fillId="0" borderId="121" xfId="0" applyNumberFormat="1" applyBorder="1" applyAlignment="1">
      <alignment vertical="center"/>
    </xf>
    <xf numFmtId="0" fontId="0" fillId="0" borderId="57" xfId="0" applyBorder="1" applyAlignment="1">
      <alignment vertical="center"/>
    </xf>
    <xf numFmtId="167" fontId="0" fillId="0" borderId="122" xfId="0" applyNumberFormat="1" applyBorder="1" applyAlignment="1">
      <alignment horizontal="right" vertical="center" indent="2"/>
    </xf>
    <xf numFmtId="43" fontId="0" fillId="0" borderId="65" xfId="0" applyNumberFormat="1" applyBorder="1" applyAlignment="1">
      <alignment vertical="center"/>
    </xf>
    <xf numFmtId="0" fontId="0" fillId="0" borderId="123" xfId="0" applyBorder="1" applyAlignment="1">
      <alignment vertical="center"/>
    </xf>
    <xf numFmtId="167" fontId="0" fillId="0" borderId="58" xfId="0" applyNumberFormat="1" applyBorder="1" applyAlignment="1">
      <alignment horizontal="right" vertical="center" indent="2"/>
    </xf>
    <xf numFmtId="43" fontId="0" fillId="0" borderId="124" xfId="0" applyNumberFormat="1" applyBorder="1" applyAlignment="1">
      <alignment vertical="center"/>
    </xf>
    <xf numFmtId="167" fontId="0" fillId="0" borderId="125" xfId="0" applyNumberFormat="1" applyBorder="1" applyAlignment="1">
      <alignment horizontal="right" vertical="center" indent="2"/>
    </xf>
    <xf numFmtId="43" fontId="0" fillId="0" borderId="69" xfId="0" applyNumberFormat="1" applyBorder="1" applyAlignment="1">
      <alignment vertical="center"/>
    </xf>
    <xf numFmtId="0" fontId="0" fillId="0" borderId="126" xfId="0" applyBorder="1" applyAlignment="1">
      <alignment vertical="center"/>
    </xf>
    <xf numFmtId="0" fontId="0" fillId="0" borderId="48" xfId="0" applyBorder="1" applyAlignment="1">
      <alignment vertical="center"/>
    </xf>
    <xf numFmtId="167" fontId="7" fillId="0" borderId="6" xfId="0" applyNumberFormat="1" applyFont="1" applyBorder="1" applyAlignment="1">
      <alignment horizontal="right" vertical="center" indent="2"/>
    </xf>
    <xf numFmtId="43" fontId="7" fillId="0" borderId="6" xfId="1" applyFont="1" applyFill="1" applyBorder="1" applyAlignment="1">
      <alignment vertical="center"/>
    </xf>
    <xf numFmtId="43" fontId="7" fillId="0" borderId="6" xfId="0" applyNumberFormat="1" applyFont="1" applyBorder="1" applyAlignment="1">
      <alignment vertical="center"/>
    </xf>
    <xf numFmtId="0" fontId="0" fillId="0" borderId="84" xfId="0" applyBorder="1" applyAlignment="1">
      <alignment vertical="center"/>
    </xf>
    <xf numFmtId="167" fontId="0" fillId="0" borderId="8" xfId="0" applyNumberFormat="1" applyBorder="1" applyAlignment="1">
      <alignment vertical="center"/>
    </xf>
    <xf numFmtId="43" fontId="0" fillId="0" borderId="8" xfId="1" applyFont="1" applyBorder="1" applyAlignment="1">
      <alignment vertical="center"/>
    </xf>
    <xf numFmtId="167" fontId="0" fillId="0" borderId="84" xfId="0" applyNumberFormat="1" applyBorder="1" applyAlignment="1">
      <alignment vertical="center"/>
    </xf>
    <xf numFmtId="43" fontId="19" fillId="0" borderId="84" xfId="0" applyNumberFormat="1" applyFont="1" applyBorder="1" applyAlignment="1">
      <alignment vertical="center"/>
    </xf>
    <xf numFmtId="169" fontId="0" fillId="0" borderId="0" xfId="0" applyNumberFormat="1"/>
    <xf numFmtId="0" fontId="45" fillId="2" borderId="47" xfId="0" applyFont="1" applyFill="1" applyBorder="1" applyAlignment="1">
      <alignment horizontal="center" vertical="center" wrapText="1"/>
    </xf>
    <xf numFmtId="0" fontId="45" fillId="2" borderId="48" xfId="0" applyFont="1" applyFill="1" applyBorder="1" applyAlignment="1">
      <alignment horizontal="center" vertical="center" wrapText="1"/>
    </xf>
    <xf numFmtId="167" fontId="6" fillId="0" borderId="47" xfId="0" applyNumberFormat="1" applyFont="1" applyBorder="1" applyAlignment="1">
      <alignment horizontal="center" vertical="center"/>
    </xf>
    <xf numFmtId="43" fontId="6" fillId="0" borderId="84" xfId="0" applyNumberFormat="1" applyFont="1" applyBorder="1" applyAlignment="1">
      <alignment vertical="center"/>
    </xf>
    <xf numFmtId="167" fontId="6" fillId="0" borderId="61" xfId="0" applyNumberFormat="1" applyFont="1" applyBorder="1" applyAlignment="1">
      <alignment horizontal="right" vertical="center" indent="2"/>
    </xf>
    <xf numFmtId="43" fontId="6" fillId="0" borderId="84" xfId="1" applyFont="1" applyFill="1" applyBorder="1" applyAlignment="1">
      <alignment vertical="center"/>
    </xf>
    <xf numFmtId="0" fontId="6" fillId="0" borderId="84" xfId="0" applyFont="1" applyBorder="1" applyAlignment="1">
      <alignment vertical="center"/>
    </xf>
    <xf numFmtId="43" fontId="6" fillId="0" borderId="61" xfId="1" applyFont="1" applyFill="1" applyBorder="1" applyAlignment="1">
      <alignment vertical="center"/>
    </xf>
    <xf numFmtId="43" fontId="40" fillId="0" borderId="0" xfId="0" applyNumberFormat="1" applyFont="1" applyAlignment="1">
      <alignment horizontal="center" vertical="center"/>
    </xf>
    <xf numFmtId="43" fontId="66" fillId="0" borderId="0" xfId="0" applyNumberFormat="1" applyFont="1" applyAlignment="1">
      <alignment vertical="center"/>
    </xf>
    <xf numFmtId="187" fontId="66" fillId="0" borderId="0" xfId="0" applyNumberFormat="1" applyFont="1" applyAlignment="1">
      <alignment vertical="center"/>
    </xf>
    <xf numFmtId="0" fontId="6" fillId="0" borderId="8" xfId="0" applyFont="1" applyBorder="1" applyAlignment="1">
      <alignment vertical="center"/>
    </xf>
    <xf numFmtId="43" fontId="6" fillId="0" borderId="47" xfId="1" applyFont="1" applyFill="1" applyBorder="1" applyAlignment="1">
      <alignment vertical="center"/>
    </xf>
    <xf numFmtId="43" fontId="6" fillId="0" borderId="8" xfId="1" applyFont="1" applyFill="1" applyBorder="1" applyAlignment="1">
      <alignment vertical="center"/>
    </xf>
    <xf numFmtId="167" fontId="6" fillId="0" borderId="52" xfId="0" applyNumberFormat="1" applyFont="1" applyBorder="1" applyAlignment="1">
      <alignment horizontal="right" vertical="center" indent="2"/>
    </xf>
    <xf numFmtId="43" fontId="0" fillId="0" borderId="48" xfId="0" applyNumberFormat="1" applyBorder="1" applyAlignment="1">
      <alignment vertical="center"/>
    </xf>
    <xf numFmtId="185" fontId="19" fillId="7" borderId="6" xfId="0" applyNumberFormat="1" applyFont="1" applyFill="1" applyBorder="1" applyAlignment="1">
      <alignment horizontal="center" vertical="center"/>
    </xf>
    <xf numFmtId="43" fontId="0" fillId="0" borderId="11" xfId="0" applyNumberFormat="1" applyBorder="1" applyAlignment="1">
      <alignment horizontal="center" vertical="center"/>
    </xf>
    <xf numFmtId="187" fontId="19" fillId="7" borderId="6" xfId="0" applyNumberFormat="1" applyFont="1" applyFill="1" applyBorder="1" applyAlignment="1">
      <alignment horizontal="center" vertical="center"/>
    </xf>
    <xf numFmtId="0" fontId="0" fillId="0" borderId="127" xfId="0" applyBorder="1" applyAlignment="1">
      <alignment horizontal="center" vertical="center"/>
    </xf>
    <xf numFmtId="0" fontId="39" fillId="0" borderId="0" xfId="0" applyFont="1" applyAlignment="1">
      <alignment horizontal="center" vertical="center"/>
    </xf>
    <xf numFmtId="185" fontId="19" fillId="7" borderId="8" xfId="0" applyNumberFormat="1" applyFont="1" applyFill="1" applyBorder="1" applyAlignment="1">
      <alignment horizontal="center" vertical="center"/>
    </xf>
    <xf numFmtId="165" fontId="19" fillId="0" borderId="0" xfId="0" applyNumberFormat="1" applyFont="1" applyAlignment="1">
      <alignment horizontal="center" vertical="center" wrapText="1"/>
    </xf>
    <xf numFmtId="0" fontId="16" fillId="0" borderId="0" xfId="0" applyFont="1" applyAlignment="1">
      <alignment vertical="center"/>
    </xf>
    <xf numFmtId="187" fontId="19" fillId="0" borderId="0" xfId="1" applyNumberFormat="1" applyFont="1" applyFill="1" applyBorder="1" applyAlignment="1">
      <alignment horizontal="center" vertical="center"/>
    </xf>
    <xf numFmtId="0" fontId="59" fillId="0" borderId="87" xfId="0" applyFont="1" applyBorder="1" applyAlignment="1">
      <alignment horizontal="center" vertical="center"/>
    </xf>
    <xf numFmtId="0" fontId="59" fillId="0" borderId="0" xfId="0" applyFont="1" applyAlignment="1">
      <alignment vertical="center"/>
    </xf>
    <xf numFmtId="0" fontId="59" fillId="0" borderId="14" xfId="0" applyFont="1" applyBorder="1" applyAlignment="1">
      <alignment horizontal="center" vertical="center"/>
    </xf>
    <xf numFmtId="0" fontId="59" fillId="0" borderId="14" xfId="0" quotePrefix="1" applyFont="1" applyBorder="1" applyAlignment="1">
      <alignment horizontal="center" vertical="center"/>
    </xf>
    <xf numFmtId="0" fontId="59" fillId="0" borderId="14" xfId="0" applyFont="1" applyBorder="1" applyAlignment="1">
      <alignment horizontal="left" vertical="center" wrapText="1"/>
    </xf>
    <xf numFmtId="166" fontId="59" fillId="0" borderId="14" xfId="1" applyNumberFormat="1" applyFont="1" applyBorder="1" applyAlignment="1">
      <alignment vertical="center"/>
    </xf>
    <xf numFmtId="43" fontId="59" fillId="0" borderId="14" xfId="1" applyFont="1" applyBorder="1" applyAlignment="1">
      <alignment vertical="center"/>
    </xf>
    <xf numFmtId="0" fontId="59" fillId="0" borderId="0" xfId="0" applyFont="1"/>
    <xf numFmtId="0" fontId="66" fillId="0" borderId="0" xfId="0" applyFont="1" applyAlignment="1">
      <alignment vertical="center"/>
    </xf>
    <xf numFmtId="0" fontId="67" fillId="0" borderId="0" xfId="0" applyFont="1" applyAlignment="1">
      <alignment horizontal="center" vertical="center"/>
    </xf>
    <xf numFmtId="0" fontId="67" fillId="0" borderId="0" xfId="0" applyFont="1" applyAlignment="1">
      <alignment horizontal="right" vertical="center"/>
    </xf>
    <xf numFmtId="0" fontId="49" fillId="0" borderId="0" xfId="0" applyFont="1" applyAlignment="1">
      <alignment vertical="center"/>
    </xf>
    <xf numFmtId="0" fontId="32" fillId="0" borderId="0" xfId="0" applyFont="1" applyAlignment="1">
      <alignment horizontal="left" vertical="center"/>
    </xf>
    <xf numFmtId="0" fontId="32" fillId="0" borderId="0" xfId="0" applyFont="1" applyAlignment="1">
      <alignment horizontal="right" vertical="center"/>
    </xf>
    <xf numFmtId="0" fontId="61" fillId="0" borderId="0" xfId="0" applyFont="1" applyAlignment="1">
      <alignment horizontal="left" vertical="center"/>
    </xf>
    <xf numFmtId="0" fontId="66" fillId="0" borderId="0" xfId="0" applyFont="1"/>
    <xf numFmtId="0" fontId="66" fillId="0" borderId="7" xfId="0" applyFont="1" applyBorder="1" applyAlignment="1">
      <alignment vertical="center"/>
    </xf>
    <xf numFmtId="14" fontId="66" fillId="0" borderId="7" xfId="0" applyNumberFormat="1" applyFont="1" applyBorder="1" applyAlignment="1">
      <alignment horizontal="left" vertical="center"/>
    </xf>
    <xf numFmtId="0" fontId="51" fillId="0" borderId="7" xfId="0" applyFont="1" applyBorder="1" applyAlignment="1">
      <alignment horizontal="left" vertical="center"/>
    </xf>
    <xf numFmtId="0" fontId="66" fillId="0" borderId="0" xfId="0" applyFont="1" applyAlignment="1">
      <alignment horizontal="center" vertical="center"/>
    </xf>
    <xf numFmtId="0" fontId="67" fillId="0" borderId="0" xfId="0" applyFont="1" applyAlignment="1">
      <alignment vertical="center"/>
    </xf>
    <xf numFmtId="0" fontId="68" fillId="0" borderId="0" xfId="0" applyFont="1" applyAlignment="1">
      <alignment horizontal="right" vertical="center"/>
    </xf>
    <xf numFmtId="1" fontId="0" fillId="0" borderId="62" xfId="1" applyNumberFormat="1" applyFont="1" applyFill="1" applyBorder="1" applyAlignment="1">
      <alignment horizontal="center" vertical="center"/>
    </xf>
    <xf numFmtId="43" fontId="0" fillId="0" borderId="54" xfId="1" applyFont="1" applyFill="1" applyBorder="1" applyAlignment="1">
      <alignment vertical="center"/>
    </xf>
    <xf numFmtId="43" fontId="0" fillId="0" borderId="20" xfId="1" applyFont="1" applyFill="1" applyBorder="1" applyAlignment="1">
      <alignment vertical="center"/>
    </xf>
    <xf numFmtId="166" fontId="0" fillId="0" borderId="84" xfId="1" applyNumberFormat="1" applyFont="1" applyFill="1" applyBorder="1" applyAlignment="1">
      <alignment vertical="center"/>
    </xf>
    <xf numFmtId="43" fontId="0" fillId="0" borderId="75" xfId="1" applyFont="1" applyFill="1" applyBorder="1" applyAlignment="1">
      <alignment vertical="center"/>
    </xf>
    <xf numFmtId="166" fontId="6" fillId="0" borderId="84" xfId="1" applyNumberFormat="1" applyFont="1" applyFill="1" applyBorder="1" applyAlignment="1">
      <alignment vertical="center"/>
    </xf>
    <xf numFmtId="166" fontId="6" fillId="0" borderId="8" xfId="1" applyNumberFormat="1" applyFont="1" applyFill="1" applyBorder="1" applyAlignment="1">
      <alignment vertical="center"/>
    </xf>
    <xf numFmtId="0" fontId="51" fillId="0" borderId="0" xfId="0" applyFont="1" applyAlignment="1">
      <alignment horizontal="left" vertical="center" wrapText="1"/>
    </xf>
    <xf numFmtId="0" fontId="66" fillId="0" borderId="87" xfId="0" applyFont="1" applyBorder="1" applyAlignment="1">
      <alignment horizontal="center" vertical="center"/>
    </xf>
    <xf numFmtId="0" fontId="49" fillId="0" borderId="0" xfId="0" applyFont="1" applyAlignment="1">
      <alignment horizontal="right" vertical="center"/>
    </xf>
    <xf numFmtId="0" fontId="59" fillId="0" borderId="0" xfId="0" applyFont="1" applyAlignment="1">
      <alignment horizontal="left" vertical="center"/>
    </xf>
    <xf numFmtId="0" fontId="59" fillId="0" borderId="11" xfId="0" applyFont="1" applyBorder="1" applyAlignment="1">
      <alignment horizontal="center" vertical="center"/>
    </xf>
    <xf numFmtId="0" fontId="59" fillId="0" borderId="11" xfId="0" applyFont="1" applyBorder="1" applyAlignment="1">
      <alignment vertical="center"/>
    </xf>
    <xf numFmtId="0" fontId="49" fillId="0" borderId="11" xfId="0" applyFont="1" applyBorder="1" applyAlignment="1">
      <alignment horizontal="right" vertical="center"/>
    </xf>
    <xf numFmtId="0" fontId="59" fillId="0" borderId="11" xfId="0" applyFont="1" applyBorder="1" applyAlignment="1">
      <alignment horizontal="left" vertical="center"/>
    </xf>
    <xf numFmtId="0" fontId="49" fillId="7" borderId="6" xfId="0" applyFont="1" applyFill="1" applyBorder="1" applyAlignment="1">
      <alignment horizontal="center" vertical="center"/>
    </xf>
    <xf numFmtId="0" fontId="49" fillId="7" borderId="18" xfId="0" applyFont="1" applyFill="1" applyBorder="1" applyAlignment="1">
      <alignment horizontal="center" vertical="center"/>
    </xf>
    <xf numFmtId="0" fontId="49" fillId="7" borderId="6" xfId="0" applyFont="1" applyFill="1" applyBorder="1" applyAlignment="1">
      <alignment horizontal="center" vertical="center" wrapText="1"/>
    </xf>
    <xf numFmtId="0" fontId="49" fillId="2" borderId="48" xfId="0" applyFont="1" applyFill="1" applyBorder="1" applyAlignment="1">
      <alignment horizontal="left" vertical="center" indent="3"/>
    </xf>
    <xf numFmtId="0" fontId="49" fillId="2" borderId="0" xfId="0" applyFont="1" applyFill="1" applyAlignment="1">
      <alignment horizontal="center" vertical="center"/>
    </xf>
    <xf numFmtId="0" fontId="49" fillId="2" borderId="111" xfId="0" applyFont="1" applyFill="1" applyBorder="1" applyAlignment="1">
      <alignment horizontal="center" vertical="center"/>
    </xf>
    <xf numFmtId="0" fontId="49" fillId="2" borderId="80" xfId="0" applyFont="1" applyFill="1" applyBorder="1" applyAlignment="1">
      <alignment horizontal="center" vertical="center"/>
    </xf>
    <xf numFmtId="0" fontId="49" fillId="2" borderId="0" xfId="0" applyFont="1" applyFill="1" applyAlignment="1">
      <alignment horizontal="center" vertical="center" wrapText="1"/>
    </xf>
    <xf numFmtId="43" fontId="49" fillId="2" borderId="15" xfId="1" applyFont="1" applyFill="1" applyBorder="1" applyAlignment="1">
      <alignment horizontal="center" vertical="center" wrapText="1"/>
    </xf>
    <xf numFmtId="43" fontId="49" fillId="2" borderId="7" xfId="1" applyFont="1" applyFill="1" applyBorder="1" applyAlignment="1">
      <alignment horizontal="center" vertical="center" wrapText="1"/>
    </xf>
    <xf numFmtId="0" fontId="49" fillId="7" borderId="16" xfId="0" applyFont="1" applyFill="1" applyBorder="1" applyAlignment="1">
      <alignment horizontal="center" vertical="center"/>
    </xf>
    <xf numFmtId="0" fontId="49" fillId="7" borderId="17" xfId="0" applyFont="1" applyFill="1" applyBorder="1" applyAlignment="1">
      <alignment horizontal="left" vertical="center"/>
    </xf>
    <xf numFmtId="0" fontId="49" fillId="7" borderId="17" xfId="0" applyFont="1" applyFill="1" applyBorder="1" applyAlignment="1">
      <alignment horizontal="center" vertical="center"/>
    </xf>
    <xf numFmtId="0" fontId="49" fillId="7" borderId="17" xfId="0" applyFont="1" applyFill="1" applyBorder="1" applyAlignment="1">
      <alignment horizontal="center" vertical="center" wrapText="1"/>
    </xf>
    <xf numFmtId="188" fontId="49" fillId="7" borderId="6" xfId="0" applyNumberFormat="1" applyFont="1" applyFill="1" applyBorder="1" applyAlignment="1">
      <alignment horizontal="center" vertical="center" wrapText="1"/>
    </xf>
    <xf numFmtId="0" fontId="49" fillId="3" borderId="16" xfId="0" applyFont="1" applyFill="1" applyBorder="1" applyAlignment="1">
      <alignment horizontal="center" vertical="center"/>
    </xf>
    <xf numFmtId="0" fontId="49" fillId="3" borderId="17" xfId="0" applyFont="1" applyFill="1" applyBorder="1" applyAlignment="1">
      <alignment horizontal="left" vertical="center"/>
    </xf>
    <xf numFmtId="0" fontId="49" fillId="3" borderId="17" xfId="0" applyFont="1" applyFill="1" applyBorder="1" applyAlignment="1">
      <alignment horizontal="center" vertical="center"/>
    </xf>
    <xf numFmtId="0" fontId="49" fillId="3" borderId="17" xfId="0" applyFont="1" applyFill="1" applyBorder="1" applyAlignment="1">
      <alignment horizontal="center" vertical="center" wrapText="1"/>
    </xf>
    <xf numFmtId="43" fontId="49" fillId="3" borderId="6" xfId="0" applyNumberFormat="1" applyFont="1" applyFill="1" applyBorder="1" applyAlignment="1">
      <alignment horizontal="center" vertical="center" wrapText="1"/>
    </xf>
    <xf numFmtId="0" fontId="59" fillId="0" borderId="61" xfId="0" applyFont="1" applyBorder="1" applyAlignment="1">
      <alignment horizontal="center" vertical="center"/>
    </xf>
    <xf numFmtId="0" fontId="59" fillId="0" borderId="61" xfId="0" quotePrefix="1" applyFont="1" applyBorder="1" applyAlignment="1">
      <alignment horizontal="center" vertical="center"/>
    </xf>
    <xf numFmtId="43" fontId="59" fillId="0" borderId="61" xfId="1" applyFont="1" applyBorder="1" applyAlignment="1">
      <alignment horizontal="center" vertical="center"/>
    </xf>
    <xf numFmtId="166" fontId="59" fillId="0" borderId="61" xfId="1" applyNumberFormat="1" applyFont="1" applyBorder="1" applyAlignment="1">
      <alignment vertical="center"/>
    </xf>
    <xf numFmtId="43" fontId="59" fillId="0" borderId="61" xfId="1" applyFont="1" applyBorder="1" applyAlignment="1">
      <alignment vertical="center"/>
    </xf>
    <xf numFmtId="166" fontId="59" fillId="0" borderId="62" xfId="1" applyNumberFormat="1" applyFont="1" applyBorder="1" applyAlignment="1">
      <alignment vertical="center"/>
    </xf>
    <xf numFmtId="0" fontId="59" fillId="0" borderId="62" xfId="0" applyFont="1" applyBorder="1" applyAlignment="1">
      <alignment horizontal="center" vertical="center"/>
    </xf>
    <xf numFmtId="43" fontId="59" fillId="0" borderId="62" xfId="1" applyFont="1" applyBorder="1" applyAlignment="1">
      <alignment horizontal="center" vertical="center"/>
    </xf>
    <xf numFmtId="43" fontId="59" fillId="0" borderId="62" xfId="1" applyFont="1" applyBorder="1" applyAlignment="1">
      <alignment vertical="center"/>
    </xf>
    <xf numFmtId="0" fontId="59" fillId="0" borderId="62" xfId="0" quotePrefix="1" applyFont="1" applyBorder="1" applyAlignment="1">
      <alignment horizontal="center" vertical="center"/>
    </xf>
    <xf numFmtId="43" fontId="59" fillId="0" borderId="62" xfId="1" applyFont="1" applyFill="1" applyBorder="1" applyAlignment="1">
      <alignment horizontal="center" vertical="center"/>
    </xf>
    <xf numFmtId="0" fontId="59" fillId="0" borderId="63" xfId="0" applyFont="1" applyBorder="1" applyAlignment="1">
      <alignment horizontal="center" vertical="center"/>
    </xf>
    <xf numFmtId="43" fontId="59" fillId="0" borderId="63" xfId="1" applyFont="1" applyBorder="1" applyAlignment="1">
      <alignment horizontal="center" vertical="center"/>
    </xf>
    <xf numFmtId="43" fontId="59" fillId="0" borderId="63" xfId="1" applyFont="1" applyBorder="1" applyAlignment="1">
      <alignment vertical="center"/>
    </xf>
    <xf numFmtId="166" fontId="49" fillId="3" borderId="17" xfId="0" applyNumberFormat="1" applyFont="1" applyFill="1" applyBorder="1" applyAlignment="1">
      <alignment horizontal="center" vertical="center" wrapText="1"/>
    </xf>
    <xf numFmtId="184" fontId="59" fillId="0" borderId="61" xfId="1" applyNumberFormat="1" applyFont="1" applyBorder="1" applyAlignment="1">
      <alignment vertical="center"/>
    </xf>
    <xf numFmtId="184" fontId="59" fillId="0" borderId="62" xfId="1" applyNumberFormat="1" applyFont="1" applyBorder="1" applyAlignment="1">
      <alignment vertical="center"/>
    </xf>
    <xf numFmtId="0" fontId="59" fillId="0" borderId="63" xfId="0" quotePrefix="1" applyFont="1" applyBorder="1" applyAlignment="1">
      <alignment horizontal="center" vertical="center"/>
    </xf>
    <xf numFmtId="184" fontId="59" fillId="0" borderId="63" xfId="1" applyNumberFormat="1" applyFont="1" applyBorder="1" applyAlignment="1">
      <alignment vertical="center"/>
    </xf>
    <xf numFmtId="166" fontId="59" fillId="0" borderId="63" xfId="1" applyNumberFormat="1" applyFont="1" applyBorder="1" applyAlignment="1">
      <alignment vertical="center"/>
    </xf>
    <xf numFmtId="0" fontId="69" fillId="7" borderId="17" xfId="3" applyFont="1" applyFill="1" applyBorder="1" applyAlignment="1">
      <alignment vertical="center"/>
    </xf>
    <xf numFmtId="43" fontId="49" fillId="7" borderId="6" xfId="0" applyNumberFormat="1" applyFont="1" applyFill="1" applyBorder="1" applyAlignment="1">
      <alignment horizontal="center" vertical="center" wrapText="1"/>
    </xf>
    <xf numFmtId="166" fontId="49" fillId="7" borderId="17" xfId="0" applyNumberFormat="1" applyFont="1" applyFill="1" applyBorder="1" applyAlignment="1">
      <alignment horizontal="center" vertical="center" wrapText="1"/>
    </xf>
    <xf numFmtId="0" fontId="59" fillId="0" borderId="72" xfId="0" applyFont="1" applyBorder="1" applyAlignment="1">
      <alignment horizontal="center" vertical="center"/>
    </xf>
    <xf numFmtId="0" fontId="59" fillId="0" borderId="74" xfId="0" applyFont="1" applyBorder="1" applyAlignment="1">
      <alignment horizontal="center" vertical="center"/>
    </xf>
    <xf numFmtId="0" fontId="59" fillId="0" borderId="112" xfId="0" applyFont="1" applyBorder="1" applyAlignment="1">
      <alignment horizontal="center" vertical="center"/>
    </xf>
    <xf numFmtId="0" fontId="51" fillId="0" borderId="0" xfId="0" applyFont="1" applyAlignment="1">
      <alignment horizontal="center" vertical="center"/>
    </xf>
    <xf numFmtId="0" fontId="51" fillId="0" borderId="0" xfId="0" quotePrefix="1" applyFont="1" applyAlignment="1">
      <alignment horizontal="center" vertical="center"/>
    </xf>
    <xf numFmtId="166" fontId="51" fillId="0" borderId="0" xfId="1" applyNumberFormat="1" applyFont="1" applyBorder="1" applyAlignment="1">
      <alignment vertical="center"/>
    </xf>
    <xf numFmtId="43" fontId="51" fillId="0" borderId="0" xfId="1" applyFont="1" applyBorder="1" applyAlignment="1">
      <alignment vertical="center"/>
    </xf>
    <xf numFmtId="0" fontId="70" fillId="0" borderId="0" xfId="0" applyFont="1" applyAlignment="1">
      <alignment horizontal="center" vertical="center" wrapText="1"/>
    </xf>
    <xf numFmtId="0" fontId="70" fillId="0" borderId="0" xfId="0" applyFont="1" applyAlignment="1">
      <alignment vertical="center"/>
    </xf>
    <xf numFmtId="0" fontId="51" fillId="0" borderId="0" xfId="0" applyFont="1" applyAlignment="1">
      <alignment horizontal="center" vertical="center" wrapText="1"/>
    </xf>
    <xf numFmtId="0" fontId="51" fillId="0" borderId="0" xfId="0" applyFont="1" applyAlignment="1">
      <alignment vertical="center" wrapText="1"/>
    </xf>
    <xf numFmtId="0" fontId="51" fillId="0" borderId="0" xfId="0" applyFont="1" applyAlignment="1">
      <alignment vertical="center"/>
    </xf>
    <xf numFmtId="0" fontId="51" fillId="0" borderId="0" xfId="0" applyFont="1"/>
    <xf numFmtId="0" fontId="51" fillId="0" borderId="0" xfId="0" applyFont="1" applyAlignment="1">
      <alignment vertical="top" wrapText="1"/>
    </xf>
    <xf numFmtId="0" fontId="51" fillId="0" borderId="0" xfId="0" applyFont="1" applyAlignment="1">
      <alignment horizontal="left" vertical="center"/>
    </xf>
    <xf numFmtId="0" fontId="51" fillId="0" borderId="0" xfId="0" applyFont="1" applyAlignment="1">
      <alignment horizontal="left" vertical="top" wrapText="1"/>
    </xf>
    <xf numFmtId="43" fontId="51" fillId="0" borderId="0" xfId="1" applyFont="1" applyBorder="1" applyAlignment="1">
      <alignment horizontal="left" vertical="center"/>
    </xf>
    <xf numFmtId="0" fontId="51" fillId="0" borderId="0" xfId="0" applyFont="1" applyAlignment="1">
      <alignment horizontal="left"/>
    </xf>
    <xf numFmtId="0" fontId="59" fillId="0" borderId="6" xfId="0" applyFont="1" applyBorder="1" applyAlignment="1">
      <alignment horizontal="center" vertical="center"/>
    </xf>
    <xf numFmtId="0" fontId="49" fillId="2" borderId="113" xfId="0" applyFont="1" applyFill="1" applyBorder="1" applyAlignment="1">
      <alignment horizontal="center" vertical="center" wrapText="1"/>
    </xf>
    <xf numFmtId="43" fontId="49" fillId="2" borderId="18" xfId="1" applyFont="1" applyFill="1" applyBorder="1" applyAlignment="1">
      <alignment horizontal="center" vertical="center" wrapText="1"/>
    </xf>
    <xf numFmtId="43" fontId="49" fillId="7" borderId="18" xfId="1" applyFont="1" applyFill="1" applyBorder="1" applyAlignment="1">
      <alignment horizontal="center" vertical="center" wrapText="1"/>
    </xf>
    <xf numFmtId="43" fontId="49" fillId="3" borderId="18" xfId="1" applyFont="1" applyFill="1" applyBorder="1" applyAlignment="1">
      <alignment horizontal="center" vertical="center" wrapText="1"/>
    </xf>
    <xf numFmtId="0" fontId="49" fillId="7" borderId="17" xfId="0" applyFont="1" applyFill="1" applyBorder="1" applyAlignment="1">
      <alignment vertical="center"/>
    </xf>
    <xf numFmtId="0" fontId="49" fillId="10" borderId="6" xfId="0" applyFont="1" applyFill="1" applyBorder="1" applyAlignment="1">
      <alignment horizontal="center" vertical="center" wrapText="1"/>
    </xf>
    <xf numFmtId="166" fontId="49" fillId="10" borderId="6" xfId="0" applyNumberFormat="1" applyFont="1" applyFill="1" applyBorder="1" applyAlignment="1">
      <alignment horizontal="center" vertical="center" wrapText="1"/>
    </xf>
    <xf numFmtId="14" fontId="66" fillId="0" borderId="0" xfId="0" applyNumberFormat="1" applyFont="1" applyAlignment="1">
      <alignment horizontal="left" vertical="center"/>
    </xf>
    <xf numFmtId="0" fontId="4" fillId="0" borderId="62" xfId="0" applyFont="1" applyBorder="1" applyAlignment="1">
      <alignment horizontal="center" vertical="center"/>
    </xf>
    <xf numFmtId="0" fontId="0" fillId="7" borderId="10" xfId="0" applyFill="1" applyBorder="1" applyAlignment="1">
      <alignment horizontal="center" vertical="center"/>
    </xf>
    <xf numFmtId="0" fontId="0" fillId="11" borderId="58" xfId="0" applyFill="1" applyBorder="1" applyAlignment="1">
      <alignment vertical="center"/>
    </xf>
    <xf numFmtId="2" fontId="0" fillId="11" borderId="58" xfId="0" applyNumberFormat="1" applyFill="1" applyBorder="1" applyAlignment="1">
      <alignment vertical="center"/>
    </xf>
    <xf numFmtId="0" fontId="22" fillId="0" borderId="6" xfId="0" applyFont="1" applyBorder="1" applyAlignment="1">
      <alignment horizontal="center" vertical="center"/>
    </xf>
    <xf numFmtId="0" fontId="2" fillId="0" borderId="67" xfId="0" applyFont="1" applyBorder="1" applyAlignment="1">
      <alignment horizontal="right" vertical="center"/>
    </xf>
    <xf numFmtId="0" fontId="2" fillId="0" borderId="65" xfId="0" applyFont="1" applyBorder="1" applyAlignment="1">
      <alignment vertical="center"/>
    </xf>
    <xf numFmtId="0" fontId="2" fillId="0" borderId="95" xfId="0" applyFont="1" applyBorder="1" applyAlignment="1">
      <alignment vertical="center"/>
    </xf>
    <xf numFmtId="0" fontId="2" fillId="0" borderId="69" xfId="0" applyFont="1" applyBorder="1" applyAlignment="1">
      <alignment vertical="center"/>
    </xf>
    <xf numFmtId="0" fontId="24" fillId="0" borderId="5" xfId="0" applyFont="1" applyBorder="1" applyAlignment="1">
      <alignment horizontal="center" vertical="center"/>
    </xf>
    <xf numFmtId="0" fontId="25" fillId="0" borderId="5" xfId="0" applyFont="1" applyBorder="1" applyAlignment="1">
      <alignment vertical="center"/>
    </xf>
    <xf numFmtId="0" fontId="25" fillId="0" borderId="37" xfId="0" applyFont="1" applyBorder="1"/>
    <xf numFmtId="0" fontId="25" fillId="0" borderId="38" xfId="0" applyFont="1" applyBorder="1"/>
    <xf numFmtId="0" fontId="25" fillId="0" borderId="36" xfId="0" applyFont="1" applyBorder="1"/>
    <xf numFmtId="0" fontId="25" fillId="0" borderId="37" xfId="0" applyFont="1" applyBorder="1" applyAlignment="1">
      <alignment vertical="center"/>
    </xf>
    <xf numFmtId="0" fontId="24" fillId="0" borderId="4" xfId="0" applyFont="1" applyBorder="1" applyAlignment="1">
      <alignment horizontal="center" vertical="center"/>
    </xf>
    <xf numFmtId="164" fontId="0" fillId="0" borderId="0" xfId="0" applyNumberFormat="1" applyAlignment="1">
      <alignment horizontal="right" vertical="center"/>
    </xf>
    <xf numFmtId="0" fontId="25" fillId="0" borderId="1" xfId="0" applyFont="1" applyBorder="1"/>
    <xf numFmtId="0" fontId="25" fillId="0" borderId="2" xfId="0" applyFont="1" applyBorder="1"/>
    <xf numFmtId="0" fontId="25" fillId="0" borderId="2" xfId="0" applyFont="1" applyBorder="1" applyAlignment="1">
      <alignment vertical="center"/>
    </xf>
    <xf numFmtId="0" fontId="25" fillId="0" borderId="4" xfId="0" applyFont="1" applyBorder="1"/>
    <xf numFmtId="0" fontId="25" fillId="0" borderId="4" xfId="0" applyFont="1" applyBorder="1" applyAlignment="1">
      <alignment horizontal="center" vertical="center"/>
    </xf>
    <xf numFmtId="0" fontId="25" fillId="0" borderId="4" xfId="0" applyFont="1" applyBorder="1" applyAlignment="1">
      <alignment vertical="center"/>
    </xf>
    <xf numFmtId="0" fontId="1" fillId="0" borderId="62" xfId="0" applyFont="1" applyBorder="1" applyAlignment="1">
      <alignment horizontal="center" vertical="center"/>
    </xf>
    <xf numFmtId="0" fontId="29" fillId="0" borderId="0" xfId="4" applyFont="1" applyAlignment="1">
      <alignment horizontal="centerContinuous" vertical="center" wrapText="1"/>
    </xf>
    <xf numFmtId="0" fontId="27" fillId="0" borderId="98" xfId="4" applyFont="1" applyBorder="1" applyAlignment="1">
      <alignment horizontal="center" vertical="center"/>
    </xf>
    <xf numFmtId="0" fontId="27" fillId="0" borderId="99" xfId="4" applyFont="1" applyBorder="1" applyAlignment="1">
      <alignment horizontal="center" vertical="center"/>
    </xf>
    <xf numFmtId="0" fontId="27" fillId="0" borderId="100" xfId="4" applyFont="1" applyBorder="1" applyAlignment="1">
      <alignment horizontal="center" vertical="center"/>
    </xf>
    <xf numFmtId="0" fontId="58" fillId="0" borderId="61" xfId="4" quotePrefix="1" applyFont="1" applyBorder="1" applyAlignment="1">
      <alignment horizontal="left" vertical="center" indent="1"/>
    </xf>
    <xf numFmtId="0" fontId="58" fillId="0" borderId="61" xfId="4" quotePrefix="1" applyFont="1" applyBorder="1" applyAlignment="1">
      <alignment horizontal="center" vertical="center" wrapText="1"/>
    </xf>
    <xf numFmtId="16" fontId="58" fillId="0" borderId="62" xfId="4" quotePrefix="1" applyNumberFormat="1" applyFont="1" applyBorder="1" applyAlignment="1">
      <alignment horizontal="center" vertical="center" wrapText="1"/>
    </xf>
    <xf numFmtId="16" fontId="58" fillId="0" borderId="96" xfId="4" quotePrefix="1" applyNumberFormat="1" applyFont="1" applyBorder="1" applyAlignment="1">
      <alignment horizontal="center" vertical="center" wrapText="1"/>
    </xf>
    <xf numFmtId="0" fontId="58" fillId="0" borderId="62" xfId="4" quotePrefix="1" applyFont="1" applyBorder="1" applyAlignment="1">
      <alignment horizontal="left" vertical="center" indent="1"/>
    </xf>
    <xf numFmtId="0" fontId="25" fillId="0" borderId="97" xfId="4" applyFont="1" applyBorder="1" applyAlignment="1">
      <alignment horizontal="center" vertical="center"/>
    </xf>
    <xf numFmtId="0" fontId="58" fillId="0" borderId="62" xfId="4" quotePrefix="1" applyFont="1" applyBorder="1" applyAlignment="1">
      <alignment horizontal="center" vertical="center"/>
    </xf>
    <xf numFmtId="0" fontId="58" fillId="0" borderId="97" xfId="4" applyFont="1" applyBorder="1" applyAlignment="1">
      <alignment horizontal="center" vertical="center"/>
    </xf>
    <xf numFmtId="0" fontId="58" fillId="0" borderId="101" xfId="4" quotePrefix="1" applyFont="1" applyBorder="1" applyAlignment="1">
      <alignment horizontal="left" vertical="center" indent="1"/>
    </xf>
    <xf numFmtId="0" fontId="58" fillId="0" borderId="101" xfId="4" quotePrefix="1" applyFont="1" applyBorder="1" applyAlignment="1">
      <alignment horizontal="center" vertical="center"/>
    </xf>
    <xf numFmtId="0" fontId="58" fillId="0" borderId="102" xfId="4" applyFont="1" applyBorder="1" applyAlignment="1">
      <alignment horizontal="center" vertical="center"/>
    </xf>
    <xf numFmtId="0" fontId="25" fillId="0" borderId="105" xfId="0" applyFont="1" applyBorder="1" applyAlignment="1">
      <alignment horizontal="left" vertical="center" indent="1"/>
    </xf>
    <xf numFmtId="0" fontId="25" fillId="0" borderId="105" xfId="0" quotePrefix="1" applyFont="1" applyBorder="1" applyAlignment="1">
      <alignment horizontal="center" vertical="center" wrapText="1"/>
    </xf>
    <xf numFmtId="0" fontId="25" fillId="0" borderId="105" xfId="0" quotePrefix="1" applyFont="1" applyBorder="1" applyAlignment="1">
      <alignment horizontal="center" vertical="center"/>
    </xf>
    <xf numFmtId="0" fontId="25" fillId="0" borderId="106" xfId="0" quotePrefix="1" applyFont="1" applyBorder="1" applyAlignment="1">
      <alignment horizontal="center" vertical="center"/>
    </xf>
    <xf numFmtId="0" fontId="25" fillId="0" borderId="101" xfId="0" applyFont="1" applyBorder="1" applyAlignment="1">
      <alignment horizontal="left" vertical="center" indent="1"/>
    </xf>
    <xf numFmtId="0" fontId="25" fillId="0" borderId="101" xfId="0" quotePrefix="1" applyFont="1" applyBorder="1" applyAlignment="1">
      <alignment horizontal="center" vertical="center" wrapText="1"/>
    </xf>
    <xf numFmtId="0" fontId="25" fillId="0" borderId="101" xfId="0" quotePrefix="1" applyFont="1" applyBorder="1" applyAlignment="1">
      <alignment horizontal="center" vertical="center"/>
    </xf>
    <xf numFmtId="0" fontId="25" fillId="0" borderId="102" xfId="0" applyFont="1" applyBorder="1" applyAlignment="1">
      <alignment horizontal="center" vertical="center"/>
    </xf>
    <xf numFmtId="0" fontId="58" fillId="0" borderId="105" xfId="4" quotePrefix="1" applyFont="1" applyBorder="1" applyAlignment="1">
      <alignment horizontal="left" vertical="center" indent="1"/>
    </xf>
    <xf numFmtId="0" fontId="58" fillId="0" borderId="105" xfId="4" quotePrefix="1" applyFont="1" applyBorder="1" applyAlignment="1">
      <alignment horizontal="center" vertical="center" wrapText="1"/>
    </xf>
    <xf numFmtId="0" fontId="58" fillId="0" borderId="106" xfId="4" quotePrefix="1" applyFont="1" applyBorder="1" applyAlignment="1">
      <alignment horizontal="center" vertical="center" wrapText="1"/>
    </xf>
    <xf numFmtId="0" fontId="58" fillId="0" borderId="62" xfId="4" quotePrefix="1" applyFont="1" applyBorder="1" applyAlignment="1">
      <alignment horizontal="center" vertical="center" wrapText="1"/>
    </xf>
    <xf numFmtId="0" fontId="25" fillId="0" borderId="62" xfId="0" applyFont="1" applyBorder="1" applyAlignment="1">
      <alignment horizontal="left" vertical="center" indent="1"/>
    </xf>
    <xf numFmtId="0" fontId="58" fillId="0" borderId="101" xfId="4" quotePrefix="1" applyFont="1" applyBorder="1" applyAlignment="1">
      <alignment horizontal="center" vertical="center" wrapText="1"/>
    </xf>
    <xf numFmtId="0" fontId="25" fillId="0" borderId="102" xfId="4" applyFont="1" applyBorder="1" applyAlignment="1">
      <alignment horizontal="center" vertical="center"/>
    </xf>
    <xf numFmtId="49" fontId="25" fillId="0" borderId="106" xfId="0" quotePrefix="1" applyNumberFormat="1" applyFont="1" applyBorder="1" applyAlignment="1">
      <alignment horizontal="center" vertical="center"/>
    </xf>
    <xf numFmtId="17" fontId="25" fillId="0" borderId="106" xfId="0" quotePrefix="1" applyNumberFormat="1" applyFont="1" applyBorder="1" applyAlignment="1">
      <alignment horizontal="center" vertical="center"/>
    </xf>
    <xf numFmtId="0" fontId="25" fillId="0" borderId="62" xfId="0" quotePrefix="1" applyFont="1" applyBorder="1" applyAlignment="1">
      <alignment horizontal="center" vertical="center" wrapText="1"/>
    </xf>
    <xf numFmtId="0" fontId="25" fillId="0" borderId="97" xfId="0" applyFont="1" applyBorder="1" applyAlignment="1">
      <alignment horizontal="center" vertical="center"/>
    </xf>
    <xf numFmtId="0" fontId="25" fillId="0" borderId="62" xfId="0" applyFont="1" applyBorder="1" applyAlignment="1">
      <alignment horizontal="center" vertical="center"/>
    </xf>
    <xf numFmtId="17" fontId="25" fillId="0" borderId="62" xfId="0" quotePrefix="1" applyNumberFormat="1" applyFont="1" applyBorder="1" applyAlignment="1">
      <alignment horizontal="center" vertical="center" wrapText="1"/>
    </xf>
    <xf numFmtId="0" fontId="25" fillId="0" borderId="101" xfId="0" applyFont="1" applyBorder="1" applyAlignment="1">
      <alignment horizontal="center" vertical="center"/>
    </xf>
    <xf numFmtId="0" fontId="25" fillId="0" borderId="62" xfId="0" quotePrefix="1" applyFont="1" applyBorder="1" applyAlignment="1">
      <alignment horizontal="center" vertical="center"/>
    </xf>
    <xf numFmtId="0" fontId="25" fillId="0" borderId="128" xfId="0" applyFont="1" applyBorder="1" applyAlignment="1">
      <alignment horizontal="left" vertical="center" indent="1"/>
    </xf>
    <xf numFmtId="0" fontId="25" fillId="0" borderId="84" xfId="0" applyFont="1" applyBorder="1" applyAlignment="1">
      <alignment horizontal="left" vertical="center" indent="1"/>
    </xf>
    <xf numFmtId="0" fontId="25" fillId="0" borderId="84" xfId="0" quotePrefix="1" applyFont="1" applyBorder="1" applyAlignment="1">
      <alignment horizontal="center" vertical="center"/>
    </xf>
    <xf numFmtId="0" fontId="25" fillId="0" borderId="129" xfId="0" applyFont="1" applyBorder="1" applyAlignment="1">
      <alignment horizontal="center" vertical="center"/>
    </xf>
    <xf numFmtId="0" fontId="25" fillId="0" borderId="130" xfId="0" applyFont="1" applyBorder="1" applyAlignment="1">
      <alignment horizontal="left" vertical="center" indent="1"/>
    </xf>
    <xf numFmtId="0" fontId="25" fillId="0" borderId="130" xfId="0" quotePrefix="1" applyFont="1" applyBorder="1" applyAlignment="1">
      <alignment horizontal="center" vertical="center" wrapText="1"/>
    </xf>
    <xf numFmtId="17" fontId="25" fillId="0" borderId="131" xfId="0" quotePrefix="1" applyNumberFormat="1" applyFont="1" applyBorder="1" applyAlignment="1">
      <alignment horizontal="center" vertical="center"/>
    </xf>
    <xf numFmtId="43" fontId="25" fillId="0" borderId="0" xfId="1" applyFont="1" applyBorder="1" applyAlignment="1">
      <alignment horizontal="center"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54" xfId="0" applyBorder="1" applyAlignment="1">
      <alignment horizontal="left" vertical="center" wrapText="1"/>
    </xf>
    <xf numFmtId="0" fontId="46" fillId="0" borderId="14" xfId="0" applyFont="1" applyBorder="1" applyAlignment="1">
      <alignment horizontal="center" wrapText="1"/>
    </xf>
    <xf numFmtId="0" fontId="46" fillId="0" borderId="14" xfId="0" applyFont="1" applyBorder="1" applyAlignment="1">
      <alignment horizontal="center"/>
    </xf>
    <xf numFmtId="0" fontId="25" fillId="0" borderId="0" xfId="0" applyFont="1" applyAlignment="1">
      <alignment horizontal="center" vertical="center"/>
    </xf>
    <xf numFmtId="0" fontId="25" fillId="0" borderId="0" xfId="0" applyFont="1" applyAlignment="1">
      <alignment horizontal="center" vertical="center" wrapText="1"/>
    </xf>
    <xf numFmtId="0" fontId="25" fillId="0" borderId="0" xfId="0" applyFont="1" applyAlignment="1">
      <alignment horizontal="center" vertical="top" wrapText="1"/>
    </xf>
    <xf numFmtId="43" fontId="25" fillId="0" borderId="0" xfId="1" applyFont="1" applyBorder="1" applyAlignment="1">
      <alignment horizontal="center" vertical="center" wrapText="1"/>
    </xf>
    <xf numFmtId="0" fontId="0" fillId="0" borderId="56" xfId="0" applyBorder="1" applyAlignment="1">
      <alignment horizontal="left" vertical="center" wrapText="1"/>
    </xf>
    <xf numFmtId="0" fontId="0" fillId="0" borderId="39" xfId="0" applyBorder="1" applyAlignment="1">
      <alignment horizontal="left" vertical="center" wrapText="1"/>
    </xf>
    <xf numFmtId="0" fontId="0" fillId="0" borderId="57" xfId="0" applyBorder="1" applyAlignment="1">
      <alignment horizontal="left" vertical="center" wrapText="1"/>
    </xf>
    <xf numFmtId="43" fontId="25" fillId="0" borderId="0" xfId="0" applyNumberFormat="1" applyFont="1" applyAlignment="1">
      <alignment horizontal="center" vertical="center"/>
    </xf>
    <xf numFmtId="0" fontId="24" fillId="0" borderId="0" xfId="0" applyFont="1" applyAlignment="1">
      <alignment horizontal="center" vertical="center"/>
    </xf>
    <xf numFmtId="0" fontId="32" fillId="0" borderId="0" xfId="0" applyFont="1" applyAlignment="1">
      <alignment horizontal="center" vertical="center"/>
    </xf>
    <xf numFmtId="0" fontId="32" fillId="0" borderId="89" xfId="0" applyFont="1" applyBorder="1" applyAlignment="1">
      <alignment horizontal="center" vertical="center"/>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0" fillId="0" borderId="5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19" fillId="0" borderId="6" xfId="0" applyFont="1" applyBorder="1" applyAlignment="1">
      <alignment horizontal="center" vertical="center"/>
    </xf>
    <xf numFmtId="0" fontId="0" fillId="0" borderId="50" xfId="0" applyBorder="1" applyAlignment="1">
      <alignment horizontal="left" vertical="center" wrapText="1"/>
    </xf>
    <xf numFmtId="0" fontId="0" fillId="0" borderId="51" xfId="0" applyBorder="1" applyAlignment="1">
      <alignment horizontal="left" vertical="center" wrapText="1"/>
    </xf>
    <xf numFmtId="0" fontId="0" fillId="0" borderId="52" xfId="0" applyBorder="1" applyAlignment="1">
      <alignment horizontal="left" vertical="center" wrapText="1"/>
    </xf>
    <xf numFmtId="43" fontId="25" fillId="0" borderId="0" xfId="1" applyFont="1" applyFill="1" applyBorder="1" applyAlignment="1">
      <alignment horizontal="center" vertical="center"/>
    </xf>
    <xf numFmtId="0" fontId="0" fillId="0" borderId="81" xfId="0" applyBorder="1" applyAlignment="1">
      <alignment horizontal="left" vertical="center" wrapText="1"/>
    </xf>
    <xf numFmtId="0" fontId="0" fillId="0" borderId="82" xfId="0" applyBorder="1" applyAlignment="1">
      <alignment horizontal="left" vertical="center" wrapText="1"/>
    </xf>
    <xf numFmtId="0" fontId="0" fillId="0" borderId="79" xfId="0" applyBorder="1" applyAlignment="1">
      <alignment horizontal="left"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19" fillId="7" borderId="0" xfId="0" applyFont="1" applyFill="1" applyAlignment="1">
      <alignment horizontal="center" vertical="center" wrapText="1"/>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0" borderId="4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48" xfId="0" applyFont="1" applyBorder="1" applyAlignment="1">
      <alignment horizontal="center" vertical="center" wrapText="1"/>
    </xf>
    <xf numFmtId="0" fontId="46" fillId="0" borderId="7" xfId="0" applyFont="1" applyBorder="1" applyAlignment="1">
      <alignment horizontal="center" vertical="center"/>
    </xf>
    <xf numFmtId="0" fontId="46" fillId="0" borderId="133" xfId="0" applyFont="1" applyBorder="1" applyAlignment="1">
      <alignment horizontal="center" vertical="center"/>
    </xf>
    <xf numFmtId="0" fontId="19" fillId="0" borderId="0" xfId="0" applyFont="1" applyAlignment="1">
      <alignment horizontal="center" vertical="center"/>
    </xf>
    <xf numFmtId="0" fontId="19" fillId="0" borderId="5" xfId="0" applyFont="1" applyBorder="1" applyAlignment="1">
      <alignment horizontal="center" vertical="center"/>
    </xf>
    <xf numFmtId="0" fontId="46" fillId="0" borderId="4" xfId="0" applyFont="1" applyBorder="1" applyAlignment="1">
      <alignment horizontal="center" vertical="center"/>
    </xf>
    <xf numFmtId="0" fontId="46" fillId="0" borderId="0" xfId="0" applyFont="1" applyAlignment="1">
      <alignment horizontal="center" vertical="center"/>
    </xf>
    <xf numFmtId="0" fontId="46" fillId="0" borderId="5" xfId="0" applyFont="1" applyBorder="1" applyAlignment="1">
      <alignment horizontal="center" vertical="center"/>
    </xf>
    <xf numFmtId="0" fontId="19" fillId="0" borderId="4" xfId="0" applyFont="1" applyBorder="1" applyAlignment="1">
      <alignment horizontal="center" vertical="center" wrapText="1"/>
    </xf>
    <xf numFmtId="0" fontId="19" fillId="0" borderId="0" xfId="0" applyFont="1" applyAlignment="1">
      <alignment horizontal="center" vertical="center" wrapText="1"/>
    </xf>
    <xf numFmtId="0" fontId="19" fillId="0" borderId="5" xfId="0" applyFont="1" applyBorder="1" applyAlignment="1">
      <alignment horizontal="center" vertical="center" wrapText="1"/>
    </xf>
    <xf numFmtId="0" fontId="24" fillId="0" borderId="5" xfId="0" applyFont="1" applyBorder="1" applyAlignment="1">
      <alignment horizontal="center" vertical="center"/>
    </xf>
    <xf numFmtId="0" fontId="25" fillId="0" borderId="5" xfId="0" applyFont="1" applyBorder="1" applyAlignment="1">
      <alignment horizontal="center" vertical="center"/>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24" fillId="0" borderId="4" xfId="0" applyFont="1" applyBorder="1" applyAlignment="1">
      <alignment horizontal="center" vertical="center"/>
    </xf>
    <xf numFmtId="0" fontId="25" fillId="0" borderId="4" xfId="0" applyFont="1" applyBorder="1" applyAlignment="1">
      <alignment horizontal="center" vertical="center"/>
    </xf>
    <xf numFmtId="0" fontId="0" fillId="0" borderId="0" xfId="0" applyAlignment="1">
      <alignment horizontal="center" vertical="center"/>
    </xf>
    <xf numFmtId="0" fontId="46" fillId="0" borderId="8" xfId="0" applyFont="1" applyBorder="1" applyAlignment="1">
      <alignment horizontal="center" vertical="center"/>
    </xf>
    <xf numFmtId="0" fontId="32" fillId="0" borderId="7" xfId="0" applyFont="1" applyBorder="1" applyAlignment="1">
      <alignment horizontal="center" vertical="center"/>
    </xf>
    <xf numFmtId="0" fontId="32" fillId="0" borderId="8" xfId="0" applyFont="1" applyBorder="1" applyAlignment="1">
      <alignment horizontal="center" vertical="center"/>
    </xf>
    <xf numFmtId="0" fontId="32" fillId="0" borderId="133" xfId="0" applyFont="1" applyBorder="1" applyAlignment="1">
      <alignment horizontal="center" vertical="center"/>
    </xf>
    <xf numFmtId="0" fontId="32" fillId="0" borderId="4" xfId="0" applyFont="1" applyBorder="1" applyAlignment="1">
      <alignment horizontal="center" vertical="center" wrapText="1"/>
    </xf>
    <xf numFmtId="0" fontId="32" fillId="0" borderId="0" xfId="0" applyFont="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right" vertical="center"/>
    </xf>
    <xf numFmtId="0" fontId="0" fillId="0" borderId="0" xfId="0" applyAlignment="1">
      <alignment horizontal="right" vertical="center"/>
    </xf>
    <xf numFmtId="0" fontId="32" fillId="0" borderId="5" xfId="0" applyFont="1" applyBorder="1" applyAlignment="1">
      <alignment horizontal="center" vertical="center"/>
    </xf>
    <xf numFmtId="0" fontId="30" fillId="3" borderId="19" xfId="4" applyFont="1" applyFill="1" applyBorder="1" applyAlignment="1">
      <alignment horizontal="left" vertical="center" indent="2"/>
    </xf>
    <xf numFmtId="0" fontId="30" fillId="3" borderId="20" xfId="4" applyFont="1" applyFill="1" applyBorder="1" applyAlignment="1">
      <alignment horizontal="left" vertical="center" indent="2"/>
    </xf>
    <xf numFmtId="0" fontId="30" fillId="3" borderId="54" xfId="4" applyFont="1" applyFill="1" applyBorder="1" applyAlignment="1">
      <alignment horizontal="left" vertical="center" indent="2"/>
    </xf>
    <xf numFmtId="0" fontId="33" fillId="0" borderId="19" xfId="4" applyFont="1" applyBorder="1" applyAlignment="1">
      <alignment horizontal="left" vertical="center"/>
    </xf>
    <xf numFmtId="0" fontId="33" fillId="0" borderId="20" xfId="4" applyFont="1" applyBorder="1" applyAlignment="1">
      <alignment horizontal="left" vertical="center"/>
    </xf>
    <xf numFmtId="0" fontId="30" fillId="0" borderId="19" xfId="4" applyFont="1" applyBorder="1" applyAlignment="1">
      <alignment horizontal="left" vertical="center"/>
    </xf>
    <xf numFmtId="0" fontId="30" fillId="0" borderId="20" xfId="4" applyFont="1" applyBorder="1" applyAlignment="1">
      <alignment horizontal="left" vertical="center"/>
    </xf>
    <xf numFmtId="0" fontId="32" fillId="0" borderId="32" xfId="4" applyFont="1" applyBorder="1" applyAlignment="1">
      <alignment horizontal="center" vertical="center"/>
    </xf>
    <xf numFmtId="0" fontId="32" fillId="0" borderId="132" xfId="4" applyFont="1" applyBorder="1" applyAlignment="1">
      <alignment horizontal="center" vertical="center"/>
    </xf>
    <xf numFmtId="0" fontId="31" fillId="0" borderId="50" xfId="4" applyFont="1" applyBorder="1" applyAlignment="1">
      <alignment horizontal="left" vertical="center" indent="2"/>
    </xf>
    <xf numFmtId="0" fontId="31" fillId="0" borderId="51" xfId="4" applyFont="1" applyBorder="1" applyAlignment="1">
      <alignment horizontal="left" vertical="center" indent="2"/>
    </xf>
    <xf numFmtId="0" fontId="31" fillId="0" borderId="19" xfId="4" applyFont="1" applyBorder="1" applyAlignment="1">
      <alignment horizontal="left" vertical="center" indent="2"/>
    </xf>
    <xf numFmtId="0" fontId="31" fillId="0" borderId="20" xfId="4" applyFont="1" applyBorder="1" applyAlignment="1">
      <alignment horizontal="left" vertical="center" indent="2"/>
    </xf>
    <xf numFmtId="0" fontId="31" fillId="3" borderId="19" xfId="4" applyFont="1" applyFill="1" applyBorder="1" applyAlignment="1">
      <alignment horizontal="left" vertical="center" indent="2"/>
    </xf>
    <xf numFmtId="0" fontId="31" fillId="3" borderId="20" xfId="4" applyFont="1" applyFill="1" applyBorder="1" applyAlignment="1">
      <alignment horizontal="left" vertical="center" indent="2"/>
    </xf>
    <xf numFmtId="0" fontId="0" fillId="0" borderId="127" xfId="0" applyBorder="1" applyAlignment="1">
      <alignment horizontal="center" vertical="center"/>
    </xf>
    <xf numFmtId="0" fontId="58" fillId="0" borderId="46" xfId="4" applyFont="1" applyBorder="1" applyAlignment="1">
      <alignment horizontal="center" vertical="center"/>
    </xf>
    <xf numFmtId="0" fontId="58" fillId="0" borderId="60" xfId="4" applyFont="1" applyBorder="1" applyAlignment="1">
      <alignment horizontal="center" vertical="center"/>
    </xf>
    <xf numFmtId="0" fontId="58" fillId="0" borderId="103" xfId="4" applyFont="1" applyBorder="1" applyAlignment="1">
      <alignment horizontal="center" vertical="center"/>
    </xf>
    <xf numFmtId="0" fontId="25" fillId="0" borderId="104" xfId="0" applyFont="1" applyBorder="1" applyAlignment="1">
      <alignment horizontal="center" vertical="center"/>
    </xf>
    <xf numFmtId="0" fontId="25" fillId="0" borderId="103" xfId="0" applyFont="1" applyBorder="1" applyAlignment="1">
      <alignment horizontal="center" vertical="center"/>
    </xf>
    <xf numFmtId="0" fontId="58" fillId="0" borderId="104" xfId="4" applyFont="1" applyBorder="1" applyAlignment="1">
      <alignment horizontal="center" vertical="center" wrapText="1"/>
    </xf>
    <xf numFmtId="0" fontId="58" fillId="0" borderId="60" xfId="4" applyFont="1" applyBorder="1" applyAlignment="1">
      <alignment horizontal="center" vertical="center" wrapText="1"/>
    </xf>
    <xf numFmtId="0" fontId="58" fillId="0" borderId="103" xfId="4" applyFont="1" applyBorder="1" applyAlignment="1">
      <alignment horizontal="center" vertical="center" wrapText="1"/>
    </xf>
    <xf numFmtId="0" fontId="25" fillId="0" borderId="60" xfId="0" applyFont="1" applyBorder="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xf>
    <xf numFmtId="0" fontId="40" fillId="0" borderId="0" xfId="0" applyFont="1" applyAlignment="1">
      <alignment horizontal="center" vertical="center"/>
    </xf>
    <xf numFmtId="0" fontId="30" fillId="0" borderId="0" xfId="0" applyFont="1" applyAlignment="1">
      <alignment horizontal="center" vertical="center"/>
    </xf>
    <xf numFmtId="171" fontId="19" fillId="0" borderId="0" xfId="0" applyNumberFormat="1" applyFont="1" applyAlignment="1">
      <alignment horizontal="right" vertical="center"/>
    </xf>
    <xf numFmtId="172" fontId="19" fillId="0" borderId="0" xfId="0" applyNumberFormat="1" applyFont="1" applyAlignment="1">
      <alignment horizontal="right" vertical="center"/>
    </xf>
    <xf numFmtId="0" fontId="57" fillId="2" borderId="16" xfId="0" applyFont="1" applyFill="1" applyBorder="1" applyAlignment="1">
      <alignment horizontal="center" vertical="center" wrapText="1"/>
    </xf>
    <xf numFmtId="0" fontId="57" fillId="2" borderId="18" xfId="0" applyFont="1" applyFill="1" applyBorder="1" applyAlignment="1">
      <alignment horizontal="center" vertical="center" wrapText="1"/>
    </xf>
    <xf numFmtId="172" fontId="19" fillId="0" borderId="0" xfId="0" applyNumberFormat="1" applyFont="1" applyAlignment="1">
      <alignment horizontal="center" vertical="center"/>
    </xf>
    <xf numFmtId="0" fontId="47" fillId="0" borderId="0" xfId="0" applyFont="1" applyAlignment="1">
      <alignment horizontal="center" vertical="center"/>
    </xf>
    <xf numFmtId="176" fontId="19" fillId="0" borderId="0" xfId="0" applyNumberFormat="1" applyFont="1" applyAlignment="1">
      <alignment horizontal="right" vertical="center"/>
    </xf>
    <xf numFmtId="0" fontId="45" fillId="2" borderId="16" xfId="0" applyFont="1" applyFill="1" applyBorder="1" applyAlignment="1">
      <alignment horizontal="right" vertical="center" wrapText="1"/>
    </xf>
    <xf numFmtId="0" fontId="45" fillId="2" borderId="18" xfId="0" applyFont="1" applyFill="1" applyBorder="1" applyAlignment="1">
      <alignment horizontal="right" vertical="center" wrapText="1"/>
    </xf>
    <xf numFmtId="173" fontId="19" fillId="0" borderId="0" xfId="0" applyNumberFormat="1" applyFont="1" applyAlignment="1">
      <alignment horizontal="right" vertical="center"/>
    </xf>
    <xf numFmtId="0" fontId="49" fillId="0" borderId="0" xfId="0" applyFont="1" applyAlignment="1">
      <alignment horizontal="center" vertical="center"/>
    </xf>
    <xf numFmtId="0" fontId="25" fillId="0" borderId="0" xfId="0" applyFont="1" applyAlignment="1">
      <alignment horizontal="left" vertical="center"/>
    </xf>
    <xf numFmtId="0" fontId="51" fillId="0" borderId="0" xfId="0" applyFont="1" applyAlignment="1">
      <alignment horizontal="left" vertical="center" wrapText="1"/>
    </xf>
    <xf numFmtId="0" fontId="50" fillId="0" borderId="0" xfId="0" applyFont="1" applyAlignment="1">
      <alignment horizontal="center" vertical="center"/>
    </xf>
    <xf numFmtId="0" fontId="19" fillId="0" borderId="93" xfId="0" applyFont="1" applyBorder="1" applyAlignment="1">
      <alignment horizontal="left" vertical="center"/>
    </xf>
    <xf numFmtId="0" fontId="19" fillId="0" borderId="20" xfId="0" applyFont="1" applyBorder="1" applyAlignment="1">
      <alignment horizontal="left" vertical="center"/>
    </xf>
    <xf numFmtId="0" fontId="19" fillId="0" borderId="42" xfId="0" applyFont="1" applyBorder="1" applyAlignment="1">
      <alignment horizontal="left" vertical="center"/>
    </xf>
    <xf numFmtId="0" fontId="19" fillId="0" borderId="24" xfId="0" applyFont="1" applyBorder="1" applyAlignment="1">
      <alignment horizontal="left" vertical="center"/>
    </xf>
    <xf numFmtId="0" fontId="19" fillId="0" borderId="20" xfId="0" applyFont="1" applyBorder="1" applyAlignment="1">
      <alignment horizontal="center" vertical="center"/>
    </xf>
    <xf numFmtId="0" fontId="0" fillId="0" borderId="20" xfId="0" applyBorder="1" applyAlignment="1">
      <alignment horizontal="left" vertical="center"/>
    </xf>
    <xf numFmtId="0" fontId="0" fillId="0" borderId="41" xfId="0" applyBorder="1"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vertical="center"/>
    </xf>
    <xf numFmtId="0" fontId="39" fillId="0" borderId="0" xfId="0" applyFont="1" applyAlignment="1">
      <alignment horizontal="center" vertical="center"/>
    </xf>
    <xf numFmtId="0" fontId="39" fillId="0" borderId="5" xfId="0" applyFont="1" applyBorder="1" applyAlignment="1">
      <alignment horizontal="center" vertical="center"/>
    </xf>
    <xf numFmtId="14" fontId="0" fillId="0" borderId="0" xfId="0" applyNumberFormat="1" applyAlignment="1">
      <alignment horizontal="center" vertical="center"/>
    </xf>
    <xf numFmtId="0" fontId="0" fillId="0" borderId="14" xfId="0" applyBorder="1" applyAlignment="1">
      <alignment horizontal="left" vertical="center" wrapText="1"/>
    </xf>
    <xf numFmtId="0" fontId="39" fillId="0" borderId="4"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32" fillId="0" borderId="4" xfId="0" applyFont="1" applyBorder="1" applyAlignment="1">
      <alignment horizontal="center" vertical="center"/>
    </xf>
    <xf numFmtId="0" fontId="19" fillId="0" borderId="4" xfId="0" applyFont="1" applyBorder="1" applyAlignment="1">
      <alignment horizontal="center" vertical="center"/>
    </xf>
    <xf numFmtId="165" fontId="19" fillId="0" borderId="44" xfId="0" applyNumberFormat="1" applyFont="1" applyBorder="1" applyAlignment="1">
      <alignment horizontal="center" vertical="center" wrapText="1"/>
    </xf>
    <xf numFmtId="165" fontId="19" fillId="0" borderId="17" xfId="0" applyNumberFormat="1" applyFont="1" applyBorder="1" applyAlignment="1">
      <alignment horizontal="center" vertical="center" wrapText="1"/>
    </xf>
    <xf numFmtId="165" fontId="19" fillId="0" borderId="45" xfId="0" applyNumberFormat="1" applyFont="1" applyBorder="1" applyAlignment="1">
      <alignment horizontal="center" vertical="center" wrapText="1"/>
    </xf>
    <xf numFmtId="14" fontId="19" fillId="0" borderId="17" xfId="0" applyNumberFormat="1" applyFont="1" applyBorder="1" applyAlignment="1">
      <alignment horizontal="right" vertical="center"/>
    </xf>
    <xf numFmtId="14" fontId="19" fillId="0" borderId="17" xfId="0" applyNumberFormat="1" applyFont="1" applyBorder="1" applyAlignment="1">
      <alignment horizontal="left" vertical="center"/>
    </xf>
    <xf numFmtId="0" fontId="33" fillId="0" borderId="66" xfId="0" applyFont="1" applyBorder="1" applyAlignment="1">
      <alignment horizontal="center" vertical="center" textRotation="90"/>
    </xf>
    <xf numFmtId="0" fontId="33" fillId="0" borderId="67" xfId="0" applyFont="1" applyBorder="1" applyAlignment="1">
      <alignment horizontal="center" vertical="center" textRotation="90"/>
    </xf>
    <xf numFmtId="178" fontId="19" fillId="0" borderId="64" xfId="0" applyNumberFormat="1" applyFont="1" applyBorder="1" applyAlignment="1">
      <alignment horizontal="left" vertical="center"/>
    </xf>
    <xf numFmtId="178" fontId="19" fillId="0" borderId="51" xfId="0" applyNumberFormat="1" applyFont="1" applyBorder="1" applyAlignment="1">
      <alignment horizontal="left" vertical="center"/>
    </xf>
    <xf numFmtId="179" fontId="19" fillId="0" borderId="17" xfId="0" applyNumberFormat="1" applyFont="1" applyBorder="1" applyAlignment="1">
      <alignment horizontal="left" vertical="center"/>
    </xf>
    <xf numFmtId="180" fontId="19" fillId="0" borderId="17" xfId="0" applyNumberFormat="1" applyFont="1" applyBorder="1" applyAlignment="1">
      <alignment horizontal="left" vertical="center"/>
    </xf>
    <xf numFmtId="0" fontId="38" fillId="0" borderId="4" xfId="3" applyFont="1" applyBorder="1" applyAlignment="1">
      <alignment horizontal="center" vertical="center"/>
    </xf>
    <xf numFmtId="0" fontId="38" fillId="0" borderId="0" xfId="3" applyFont="1" applyAlignment="1">
      <alignment horizontal="center" vertical="center"/>
    </xf>
    <xf numFmtId="0" fontId="38" fillId="0" borderId="5" xfId="3" applyFont="1" applyBorder="1" applyAlignment="1">
      <alignment horizontal="center" vertical="center"/>
    </xf>
    <xf numFmtId="14" fontId="0" fillId="0" borderId="20" xfId="0" applyNumberFormat="1" applyBorder="1" applyAlignment="1">
      <alignment horizontal="left" vertical="center"/>
    </xf>
    <xf numFmtId="14" fontId="0" fillId="0" borderId="41" xfId="0" applyNumberFormat="1" applyBorder="1" applyAlignment="1">
      <alignment horizontal="left" vertical="center"/>
    </xf>
    <xf numFmtId="0" fontId="19" fillId="0" borderId="24" xfId="0" applyFont="1" applyBorder="1" applyAlignment="1">
      <alignment horizontal="center" vertical="center"/>
    </xf>
    <xf numFmtId="0" fontId="0" fillId="0" borderId="24" xfId="0" applyBorder="1" applyAlignment="1">
      <alignment horizontal="left" vertical="center"/>
    </xf>
    <xf numFmtId="0" fontId="0" fillId="0" borderId="43" xfId="0" applyBorder="1" applyAlignment="1">
      <alignment horizontal="left" vertical="center"/>
    </xf>
    <xf numFmtId="0" fontId="42" fillId="0" borderId="20" xfId="0" applyFont="1" applyBorder="1" applyAlignment="1">
      <alignment horizontal="center" vertical="center"/>
    </xf>
    <xf numFmtId="0" fontId="0" fillId="0" borderId="39" xfId="0" applyBorder="1" applyAlignment="1">
      <alignment horizontal="center" vertical="center"/>
    </xf>
    <xf numFmtId="0" fontId="19" fillId="0" borderId="91" xfId="0" applyFont="1" applyBorder="1" applyAlignment="1">
      <alignment horizontal="left" vertical="center"/>
    </xf>
    <xf numFmtId="0" fontId="19" fillId="0" borderId="21" xfId="0" applyFont="1" applyBorder="1" applyAlignment="1">
      <alignment horizontal="left" vertical="center"/>
    </xf>
    <xf numFmtId="0" fontId="19" fillId="0" borderId="92" xfId="0" applyFont="1" applyBorder="1" applyAlignment="1">
      <alignment horizontal="left" vertical="center"/>
    </xf>
    <xf numFmtId="0" fontId="19" fillId="0" borderId="39" xfId="0" applyFont="1" applyBorder="1" applyAlignment="1">
      <alignment horizontal="left" vertical="center"/>
    </xf>
    <xf numFmtId="14" fontId="0" fillId="0" borderId="21" xfId="0" applyNumberFormat="1" applyBorder="1" applyAlignment="1">
      <alignment horizontal="left" vertical="center"/>
    </xf>
    <xf numFmtId="14" fontId="0" fillId="0" borderId="59" xfId="0" applyNumberFormat="1" applyBorder="1" applyAlignment="1">
      <alignment horizontal="left" vertical="center"/>
    </xf>
    <xf numFmtId="14" fontId="0" fillId="0" borderId="39" xfId="0" applyNumberFormat="1" applyBorder="1" applyAlignment="1">
      <alignment horizontal="left" vertical="center"/>
    </xf>
    <xf numFmtId="14" fontId="0" fillId="0" borderId="40" xfId="0" applyNumberFormat="1" applyBorder="1" applyAlignment="1">
      <alignment horizontal="left" vertical="center"/>
    </xf>
    <xf numFmtId="0" fontId="19" fillId="0" borderId="21" xfId="0" applyFont="1" applyBorder="1" applyAlignment="1">
      <alignment horizontal="center" vertical="center"/>
    </xf>
    <xf numFmtId="0" fontId="19" fillId="0" borderId="39" xfId="0" applyFont="1" applyBorder="1" applyAlignment="1">
      <alignment horizontal="center" vertical="center"/>
    </xf>
    <xf numFmtId="0" fontId="19" fillId="2" borderId="34" xfId="0" applyFont="1" applyFill="1" applyBorder="1" applyAlignment="1">
      <alignment horizontal="left" vertical="center" indent="1"/>
    </xf>
    <xf numFmtId="0" fontId="19" fillId="2" borderId="25" xfId="0" applyFont="1" applyFill="1" applyBorder="1" applyAlignment="1">
      <alignment horizontal="left" vertical="center" indent="1"/>
    </xf>
    <xf numFmtId="0" fontId="0" fillId="2" borderId="14" xfId="0" applyFill="1" applyBorder="1" applyAlignment="1">
      <alignment horizontal="center" vertical="center"/>
    </xf>
    <xf numFmtId="0" fontId="0" fillId="2" borderId="11" xfId="0" applyFill="1" applyBorder="1" applyAlignment="1">
      <alignment horizontal="center" vertical="center"/>
    </xf>
    <xf numFmtId="0" fontId="19" fillId="2" borderId="14" xfId="0" applyFont="1" applyFill="1" applyBorder="1" applyAlignment="1">
      <alignment horizontal="left" vertical="center"/>
    </xf>
    <xf numFmtId="0" fontId="19" fillId="2" borderId="15" xfId="0" applyFont="1" applyFill="1" applyBorder="1" applyAlignment="1">
      <alignment horizontal="left" vertical="center"/>
    </xf>
    <xf numFmtId="0" fontId="19" fillId="2" borderId="11" xfId="0" applyFont="1" applyFill="1" applyBorder="1" applyAlignment="1">
      <alignment horizontal="left" vertical="center"/>
    </xf>
    <xf numFmtId="0" fontId="19" fillId="2" borderId="12" xfId="0" applyFont="1" applyFill="1" applyBorder="1" applyAlignment="1">
      <alignment horizontal="left"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19" fillId="0" borderId="62" xfId="0" applyFont="1" applyBorder="1" applyAlignment="1">
      <alignment horizontal="center" vertical="center"/>
    </xf>
    <xf numFmtId="0" fontId="19" fillId="0" borderId="63" xfId="0" applyFont="1" applyBorder="1" applyAlignment="1">
      <alignment horizontal="center" vertical="center"/>
    </xf>
    <xf numFmtId="0" fontId="19" fillId="0" borderId="97" xfId="0" applyFont="1" applyBorder="1" applyAlignment="1">
      <alignment horizontal="center" vertical="center"/>
    </xf>
    <xf numFmtId="0" fontId="19" fillId="0" borderId="109" xfId="0" applyFont="1" applyBorder="1" applyAlignment="1">
      <alignment horizontal="center" vertical="center"/>
    </xf>
    <xf numFmtId="187" fontId="19" fillId="2" borderId="13" xfId="1" applyNumberFormat="1" applyFont="1" applyFill="1" applyBorder="1" applyAlignment="1">
      <alignment horizontal="center" vertical="center"/>
    </xf>
    <xf numFmtId="187" fontId="19" fillId="2" borderId="14" xfId="1" applyNumberFormat="1" applyFont="1" applyFill="1" applyBorder="1" applyAlignment="1">
      <alignment horizontal="center" vertical="center"/>
    </xf>
    <xf numFmtId="187" fontId="19" fillId="2" borderId="35" xfId="1" applyNumberFormat="1" applyFont="1" applyFill="1" applyBorder="1" applyAlignment="1">
      <alignment horizontal="center" vertical="center"/>
    </xf>
    <xf numFmtId="187" fontId="19" fillId="2" borderId="10" xfId="1" applyNumberFormat="1" applyFont="1" applyFill="1" applyBorder="1" applyAlignment="1">
      <alignment horizontal="center" vertical="center"/>
    </xf>
    <xf numFmtId="187" fontId="19" fillId="2" borderId="11" xfId="1" applyNumberFormat="1" applyFont="1" applyFill="1" applyBorder="1" applyAlignment="1">
      <alignment horizontal="center" vertical="center"/>
    </xf>
    <xf numFmtId="187" fontId="19" fillId="2" borderId="26" xfId="1" applyNumberFormat="1" applyFont="1" applyFill="1" applyBorder="1" applyAlignment="1">
      <alignment horizontal="center" vertical="center"/>
    </xf>
    <xf numFmtId="187" fontId="19" fillId="2" borderId="16" xfId="1" applyNumberFormat="1" applyFont="1" applyFill="1" applyBorder="1" applyAlignment="1">
      <alignment horizontal="center" vertical="center"/>
    </xf>
    <xf numFmtId="187" fontId="19" fillId="2" borderId="17" xfId="1" applyNumberFormat="1" applyFont="1" applyFill="1" applyBorder="1" applyAlignment="1">
      <alignment horizontal="center" vertical="center"/>
    </xf>
    <xf numFmtId="187" fontId="19" fillId="2" borderId="45" xfId="1" applyNumberFormat="1" applyFont="1" applyFill="1" applyBorder="1" applyAlignment="1">
      <alignment horizontal="center" vertical="center"/>
    </xf>
    <xf numFmtId="0" fontId="19" fillId="2" borderId="46"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47" xfId="0" applyFont="1" applyFill="1" applyBorder="1" applyAlignment="1">
      <alignment horizontal="center" vertical="center"/>
    </xf>
    <xf numFmtId="0" fontId="19" fillId="2" borderId="48" xfId="0" applyFont="1" applyFill="1" applyBorder="1" applyAlignment="1">
      <alignment horizontal="center" vertical="center"/>
    </xf>
    <xf numFmtId="0" fontId="19" fillId="0" borderId="55" xfId="0" applyFont="1" applyBorder="1" applyAlignment="1">
      <alignment horizontal="center" vertical="center"/>
    </xf>
    <xf numFmtId="0" fontId="19" fillId="0" borderId="31" xfId="0" applyFont="1" applyBorder="1" applyAlignment="1">
      <alignment horizontal="center" vertical="center"/>
    </xf>
    <xf numFmtId="0" fontId="0" fillId="0" borderId="58"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59" xfId="0" applyBorder="1" applyAlignment="1">
      <alignment horizontal="center" vertical="center"/>
    </xf>
    <xf numFmtId="0" fontId="0" fillId="0" borderId="40" xfId="0" applyBorder="1" applyAlignment="1">
      <alignment horizontal="center" vertical="center"/>
    </xf>
    <xf numFmtId="0" fontId="19" fillId="2" borderId="30" xfId="0" applyFont="1" applyFill="1" applyBorder="1" applyAlignment="1">
      <alignment horizontal="center" vertical="center"/>
    </xf>
    <xf numFmtId="0" fontId="19" fillId="2" borderId="49" xfId="0" applyFont="1" applyFill="1" applyBorder="1" applyAlignment="1">
      <alignment horizontal="center" vertical="center"/>
    </xf>
    <xf numFmtId="14" fontId="0" fillId="0" borderId="0" xfId="0" applyNumberFormat="1" applyAlignment="1">
      <alignment horizontal="left" vertical="center" indent="1"/>
    </xf>
    <xf numFmtId="0" fontId="22" fillId="2" borderId="6" xfId="3"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0" borderId="46" xfId="0" applyFont="1" applyBorder="1" applyAlignment="1">
      <alignment horizontal="center" vertical="center"/>
    </xf>
    <xf numFmtId="0" fontId="0" fillId="0" borderId="14" xfId="0" applyBorder="1" applyAlignment="1">
      <alignment horizontal="center" vertical="center"/>
    </xf>
    <xf numFmtId="0" fontId="0" fillId="0" borderId="35" xfId="0" applyBorder="1" applyAlignment="1">
      <alignment horizontal="center" vertical="center"/>
    </xf>
    <xf numFmtId="0" fontId="19" fillId="0" borderId="107" xfId="0" applyFont="1" applyBorder="1" applyAlignment="1">
      <alignment horizontal="center" vertical="center"/>
    </xf>
    <xf numFmtId="0" fontId="19" fillId="0" borderId="108"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54" xfId="0" applyBorder="1" applyAlignment="1">
      <alignment horizontal="center" vertical="center"/>
    </xf>
    <xf numFmtId="0" fontId="0" fillId="0" borderId="41" xfId="0" applyBorder="1" applyAlignment="1">
      <alignment horizontal="center" vertical="center"/>
    </xf>
    <xf numFmtId="14" fontId="13" fillId="0" borderId="0" xfId="0" applyNumberFormat="1" applyFont="1" applyAlignment="1">
      <alignment horizontal="center" vertical="center"/>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0" xfId="0" applyFont="1" applyAlignment="1">
      <alignment horizontal="center" vertical="center" wrapText="1"/>
    </xf>
    <xf numFmtId="0" fontId="22" fillId="0" borderId="7"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182" fontId="13" fillId="0" borderId="19" xfId="0" applyNumberFormat="1" applyFont="1" applyBorder="1" applyAlignment="1">
      <alignment horizontal="center" vertical="center"/>
    </xf>
    <xf numFmtId="182" fontId="13" fillId="0" borderId="54" xfId="0" applyNumberFormat="1" applyFont="1" applyBorder="1" applyAlignment="1">
      <alignment horizontal="center" vertical="center"/>
    </xf>
    <xf numFmtId="182" fontId="4" fillId="0" borderId="19" xfId="0" applyNumberFormat="1" applyFont="1" applyBorder="1" applyAlignment="1">
      <alignment horizontal="center" vertical="center"/>
    </xf>
    <xf numFmtId="182" fontId="1" fillId="0" borderId="19" xfId="0" applyNumberFormat="1" applyFont="1" applyBorder="1" applyAlignment="1">
      <alignment horizontal="center" vertical="center"/>
    </xf>
    <xf numFmtId="0" fontId="13" fillId="0" borderId="0" xfId="0" applyFont="1" applyAlignment="1">
      <alignment horizontal="center" vertical="center"/>
    </xf>
    <xf numFmtId="0" fontId="19" fillId="0" borderId="16" xfId="0" applyFont="1" applyBorder="1" applyAlignment="1">
      <alignment horizontal="center" vertical="center" wrapText="1"/>
    </xf>
    <xf numFmtId="0" fontId="19" fillId="0" borderId="18" xfId="0" applyFont="1" applyBorder="1" applyAlignment="1">
      <alignment horizontal="center" vertical="center" wrapText="1"/>
    </xf>
    <xf numFmtId="182" fontId="10" fillId="0" borderId="19" xfId="0" applyNumberFormat="1" applyFont="1" applyBorder="1" applyAlignment="1">
      <alignment horizontal="center" vertical="center"/>
    </xf>
    <xf numFmtId="182" fontId="10" fillId="0" borderId="54" xfId="0" applyNumberFormat="1" applyFont="1" applyBorder="1" applyAlignment="1">
      <alignment horizontal="center" vertical="center"/>
    </xf>
    <xf numFmtId="182" fontId="9" fillId="0" borderId="0" xfId="0" applyNumberFormat="1" applyFont="1" applyAlignment="1">
      <alignment horizontal="center" vertical="center" wrapText="1"/>
    </xf>
    <xf numFmtId="182" fontId="5" fillId="0" borderId="0" xfId="0" applyNumberFormat="1" applyFont="1" applyAlignment="1">
      <alignment horizontal="center" vertical="center"/>
    </xf>
    <xf numFmtId="182" fontId="13" fillId="0" borderId="0" xfId="0" applyNumberFormat="1" applyFont="1" applyAlignment="1">
      <alignment horizontal="center" vertical="center"/>
    </xf>
    <xf numFmtId="14" fontId="42" fillId="0" borderId="0" xfId="0" applyNumberFormat="1" applyFont="1" applyAlignment="1">
      <alignment horizontal="center" vertical="center"/>
    </xf>
    <xf numFmtId="0" fontId="13" fillId="0" borderId="0" xfId="0" applyFont="1" applyAlignment="1" applyProtection="1">
      <alignment horizontal="center" vertical="center"/>
      <protection locked="0"/>
    </xf>
    <xf numFmtId="182" fontId="10" fillId="0" borderId="50" xfId="0" applyNumberFormat="1" applyFont="1" applyBorder="1" applyAlignment="1">
      <alignment horizontal="center" vertical="center"/>
    </xf>
    <xf numFmtId="182" fontId="10" fillId="0" borderId="52" xfId="0" applyNumberFormat="1" applyFont="1" applyBorder="1" applyAlignment="1">
      <alignment horizontal="center" vertical="center"/>
    </xf>
    <xf numFmtId="0" fontId="42" fillId="0" borderId="0" xfId="0" applyFont="1" applyAlignment="1">
      <alignment horizontal="center" vertical="center"/>
    </xf>
    <xf numFmtId="182" fontId="42" fillId="0" borderId="0" xfId="0" applyNumberFormat="1" applyFont="1" applyAlignment="1">
      <alignment horizontal="center" vertical="center"/>
    </xf>
    <xf numFmtId="14" fontId="11" fillId="0" borderId="0" xfId="0" applyNumberFormat="1" applyFont="1" applyAlignment="1">
      <alignment horizontal="center" vertical="center"/>
    </xf>
    <xf numFmtId="0" fontId="27" fillId="0" borderId="14"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182" fontId="3" fillId="0" borderId="19" xfId="0" applyNumberFormat="1" applyFont="1" applyBorder="1" applyAlignment="1">
      <alignment horizontal="center" vertical="center"/>
    </xf>
    <xf numFmtId="0" fontId="19" fillId="7" borderId="47" xfId="0" applyFont="1" applyFill="1" applyBorder="1" applyAlignment="1">
      <alignment horizontal="center" vertical="center"/>
    </xf>
    <xf numFmtId="0" fontId="19" fillId="7" borderId="8" xfId="0" applyFont="1" applyFill="1" applyBorder="1" applyAlignment="1">
      <alignment horizontal="center" vertical="center"/>
    </xf>
    <xf numFmtId="0" fontId="19" fillId="7" borderId="48" xfId="0" applyFont="1" applyFill="1" applyBorder="1" applyAlignment="1">
      <alignment horizontal="center" vertical="center"/>
    </xf>
    <xf numFmtId="167" fontId="19" fillId="7" borderId="47" xfId="0" applyNumberFormat="1" applyFont="1" applyFill="1" applyBorder="1" applyAlignment="1">
      <alignment horizontal="center" vertical="center"/>
    </xf>
    <xf numFmtId="167" fontId="19" fillId="7" borderId="8" xfId="0" applyNumberFormat="1" applyFont="1" applyFill="1" applyBorder="1" applyAlignment="1">
      <alignment horizontal="center" vertical="center"/>
    </xf>
    <xf numFmtId="167" fontId="19" fillId="7" borderId="48" xfId="0" applyNumberFormat="1" applyFont="1" applyFill="1" applyBorder="1" applyAlignment="1">
      <alignment horizontal="center" vertical="center"/>
    </xf>
    <xf numFmtId="0" fontId="19" fillId="7" borderId="16" xfId="0" applyFont="1" applyFill="1" applyBorder="1" applyAlignment="1">
      <alignment horizontal="right" vertical="center" indent="3"/>
    </xf>
    <xf numFmtId="0" fontId="19" fillId="7" borderId="17" xfId="0" applyFont="1" applyFill="1" applyBorder="1" applyAlignment="1">
      <alignment horizontal="right" vertical="center" indent="3"/>
    </xf>
    <xf numFmtId="167" fontId="0" fillId="0" borderId="47" xfId="0" applyNumberFormat="1" applyBorder="1" applyAlignment="1">
      <alignment horizontal="center" vertical="center"/>
    </xf>
    <xf numFmtId="167" fontId="0" fillId="0" borderId="8" xfId="0" applyNumberFormat="1" applyBorder="1" applyAlignment="1">
      <alignment horizontal="center" vertical="center"/>
    </xf>
    <xf numFmtId="167" fontId="0" fillId="0" borderId="48" xfId="0" applyNumberFormat="1" applyBorder="1" applyAlignment="1">
      <alignment horizontal="center" vertical="center"/>
    </xf>
    <xf numFmtId="43" fontId="0" fillId="0" borderId="47" xfId="1" applyFont="1" applyBorder="1" applyAlignment="1">
      <alignment horizontal="center" vertical="center"/>
    </xf>
    <xf numFmtId="43" fontId="0" fillId="0" borderId="8" xfId="1" applyFont="1" applyBorder="1" applyAlignment="1">
      <alignment horizontal="center" vertical="center"/>
    </xf>
    <xf numFmtId="43" fontId="0" fillId="0" borderId="48" xfId="1" applyFont="1" applyBorder="1" applyAlignment="1">
      <alignment horizontal="center" vertical="center"/>
    </xf>
    <xf numFmtId="0" fontId="0" fillId="7" borderId="47" xfId="0" applyFill="1" applyBorder="1" applyAlignment="1">
      <alignment horizontal="center" vertical="center"/>
    </xf>
    <xf numFmtId="0" fontId="0" fillId="7" borderId="8" xfId="0" applyFill="1" applyBorder="1" applyAlignment="1">
      <alignment horizontal="center" vertical="center"/>
    </xf>
    <xf numFmtId="0" fontId="0" fillId="7" borderId="48" xfId="0" applyFill="1" applyBorder="1" applyAlignment="1">
      <alignment horizontal="center" vertical="center"/>
    </xf>
    <xf numFmtId="185" fontId="19" fillId="7" borderId="47" xfId="0" applyNumberFormat="1" applyFont="1" applyFill="1" applyBorder="1" applyAlignment="1">
      <alignment horizontal="center" vertical="center"/>
    </xf>
    <xf numFmtId="185" fontId="19" fillId="7" borderId="8" xfId="0" applyNumberFormat="1" applyFont="1" applyFill="1" applyBorder="1" applyAlignment="1">
      <alignment horizontal="center" vertical="center"/>
    </xf>
    <xf numFmtId="43" fontId="0" fillId="0" borderId="70" xfId="0" applyNumberFormat="1" applyBorder="1" applyAlignment="1">
      <alignment horizontal="center" vertical="center"/>
    </xf>
    <xf numFmtId="43" fontId="0" fillId="0" borderId="8" xfId="0" applyNumberFormat="1" applyBorder="1" applyAlignment="1">
      <alignment horizontal="center" vertical="center"/>
    </xf>
    <xf numFmtId="43" fontId="0" fillId="0" borderId="48" xfId="0" applyNumberFormat="1" applyBorder="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0" fontId="45" fillId="2" borderId="47" xfId="0" applyFont="1" applyFill="1" applyBorder="1" applyAlignment="1">
      <alignment horizontal="center" vertical="center" wrapText="1"/>
    </xf>
    <xf numFmtId="0" fontId="45" fillId="2" borderId="48" xfId="0" applyFont="1" applyFill="1" applyBorder="1" applyAlignment="1">
      <alignment horizontal="center" vertical="center" wrapText="1"/>
    </xf>
    <xf numFmtId="43" fontId="19" fillId="7" borderId="16" xfId="0" applyNumberFormat="1" applyFont="1" applyFill="1" applyBorder="1" applyAlignment="1">
      <alignment horizontal="center" vertical="center" wrapText="1"/>
    </xf>
    <xf numFmtId="43" fontId="19" fillId="7" borderId="18" xfId="0" applyNumberFormat="1" applyFont="1" applyFill="1" applyBorder="1" applyAlignment="1">
      <alignment horizontal="center" vertical="center" wrapText="1"/>
    </xf>
    <xf numFmtId="187" fontId="19" fillId="7" borderId="16" xfId="0" applyNumberFormat="1" applyFont="1" applyFill="1" applyBorder="1" applyAlignment="1">
      <alignment horizontal="center" vertical="center"/>
    </xf>
    <xf numFmtId="187" fontId="19" fillId="7" borderId="18" xfId="0" applyNumberFormat="1" applyFont="1" applyFill="1" applyBorder="1" applyAlignment="1">
      <alignment horizontal="center" vertical="center"/>
    </xf>
    <xf numFmtId="0" fontId="19" fillId="7" borderId="11" xfId="0" applyFont="1" applyFill="1" applyBorder="1" applyAlignment="1">
      <alignment horizontal="right" vertical="center" indent="3"/>
    </xf>
    <xf numFmtId="43" fontId="0" fillId="0" borderId="47" xfId="0" applyNumberFormat="1" applyBorder="1" applyAlignment="1">
      <alignment horizontal="center" vertical="center"/>
    </xf>
    <xf numFmtId="185" fontId="19" fillId="7" borderId="48" xfId="0" applyNumberFormat="1" applyFont="1" applyFill="1" applyBorder="1" applyAlignment="1">
      <alignment horizontal="center" vertical="center"/>
    </xf>
    <xf numFmtId="0" fontId="19" fillId="7" borderId="16" xfId="0" applyFont="1" applyFill="1" applyBorder="1" applyAlignment="1">
      <alignment horizontal="right" vertical="center"/>
    </xf>
    <xf numFmtId="0" fontId="19" fillId="7" borderId="17" xfId="0" applyFont="1" applyFill="1" applyBorder="1" applyAlignment="1">
      <alignment horizontal="right" vertical="center"/>
    </xf>
    <xf numFmtId="0" fontId="19" fillId="7" borderId="18" xfId="0" applyFont="1" applyFill="1" applyBorder="1" applyAlignment="1">
      <alignment horizontal="right" vertical="center"/>
    </xf>
    <xf numFmtId="43" fontId="0" fillId="0" borderId="84" xfId="1" applyFont="1" applyBorder="1" applyAlignment="1">
      <alignment horizontal="center" vertical="center"/>
    </xf>
    <xf numFmtId="167" fontId="0" fillId="0" borderId="47" xfId="0" applyNumberFormat="1" applyBorder="1" applyAlignment="1">
      <alignment horizontal="right" vertical="center" indent="2"/>
    </xf>
    <xf numFmtId="167" fontId="0" fillId="0" borderId="48" xfId="0" applyNumberFormat="1" applyBorder="1" applyAlignment="1">
      <alignment horizontal="right" vertical="center" indent="2"/>
    </xf>
    <xf numFmtId="185" fontId="19" fillId="7" borderId="13" xfId="0" applyNumberFormat="1" applyFont="1" applyFill="1" applyBorder="1" applyAlignment="1">
      <alignment horizontal="center" vertical="center"/>
    </xf>
    <xf numFmtId="185" fontId="19" fillId="7" borderId="9" xfId="0" applyNumberFormat="1" applyFont="1" applyFill="1" applyBorder="1" applyAlignment="1">
      <alignment horizontal="center" vertical="center"/>
    </xf>
    <xf numFmtId="167" fontId="0" fillId="0" borderId="57" xfId="0" applyNumberFormat="1" applyBorder="1" applyAlignment="1">
      <alignment horizontal="center" vertical="center"/>
    </xf>
    <xf numFmtId="167" fontId="19" fillId="7" borderId="13" xfId="0" applyNumberFormat="1" applyFont="1" applyFill="1" applyBorder="1" applyAlignment="1">
      <alignment horizontal="center" vertical="center"/>
    </xf>
    <xf numFmtId="167" fontId="19" fillId="7" borderId="14" xfId="0" applyNumberFormat="1" applyFont="1" applyFill="1" applyBorder="1" applyAlignment="1">
      <alignment horizontal="center" vertical="center"/>
    </xf>
    <xf numFmtId="167" fontId="19" fillId="7" borderId="15" xfId="0" applyNumberFormat="1" applyFont="1" applyFill="1" applyBorder="1" applyAlignment="1">
      <alignment horizontal="center" vertical="center"/>
    </xf>
    <xf numFmtId="167" fontId="19" fillId="7" borderId="9" xfId="0" applyNumberFormat="1" applyFont="1" applyFill="1" applyBorder="1" applyAlignment="1">
      <alignment horizontal="center" vertical="center"/>
    </xf>
    <xf numFmtId="167" fontId="19" fillId="7" borderId="0" xfId="0" applyNumberFormat="1" applyFont="1" applyFill="1" applyAlignment="1">
      <alignment horizontal="center" vertical="center"/>
    </xf>
    <xf numFmtId="167" fontId="19" fillId="7" borderId="7" xfId="0" applyNumberFormat="1" applyFont="1" applyFill="1" applyBorder="1" applyAlignment="1">
      <alignment horizontal="center" vertical="center"/>
    </xf>
    <xf numFmtId="167" fontId="19" fillId="7" borderId="10" xfId="0" applyNumberFormat="1" applyFont="1" applyFill="1" applyBorder="1" applyAlignment="1">
      <alignment horizontal="center" vertical="center"/>
    </xf>
    <xf numFmtId="167" fontId="19" fillId="7" borderId="11" xfId="0" applyNumberFormat="1" applyFont="1" applyFill="1" applyBorder="1" applyAlignment="1">
      <alignment horizontal="center" vertical="center"/>
    </xf>
    <xf numFmtId="167" fontId="19" fillId="7" borderId="12" xfId="0" applyNumberFormat="1" applyFont="1" applyFill="1" applyBorder="1" applyAlignment="1">
      <alignment horizontal="center" vertical="center"/>
    </xf>
    <xf numFmtId="17" fontId="19" fillId="0" borderId="0" xfId="0" applyNumberFormat="1" applyFont="1" applyAlignment="1">
      <alignment horizontal="center" vertical="center"/>
    </xf>
    <xf numFmtId="0" fontId="0" fillId="0" borderId="0" xfId="0" quotePrefix="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indent="1"/>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25" fillId="0" borderId="9" xfId="0" applyFont="1" applyBorder="1" applyAlignment="1">
      <alignment horizontal="center" vertical="center"/>
    </xf>
    <xf numFmtId="0" fontId="25" fillId="0" borderId="7" xfId="0" applyFont="1" applyBorder="1" applyAlignment="1">
      <alignment horizontal="center" vertical="center"/>
    </xf>
    <xf numFmtId="0" fontId="25" fillId="0" borderId="9" xfId="0" applyFont="1" applyBorder="1" applyAlignment="1">
      <alignment horizontal="center" vertical="center" wrapText="1"/>
    </xf>
    <xf numFmtId="0" fontId="25" fillId="0" borderId="7" xfId="0" applyFont="1" applyBorder="1" applyAlignment="1">
      <alignment horizontal="center" vertical="center" wrapText="1"/>
    </xf>
    <xf numFmtId="0" fontId="0" fillId="0" borderId="9"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70" xfId="0" quotePrefix="1" applyBorder="1" applyAlignment="1">
      <alignment horizontal="center" vertical="center"/>
    </xf>
    <xf numFmtId="0" fontId="0" fillId="0" borderId="70" xfId="0" applyBorder="1" applyAlignment="1">
      <alignment horizontal="center" vertical="center"/>
    </xf>
    <xf numFmtId="0" fontId="0" fillId="0" borderId="14" xfId="0" quotePrefix="1" applyBorder="1" applyAlignment="1">
      <alignment horizontal="center" vertical="center"/>
    </xf>
    <xf numFmtId="0" fontId="19" fillId="7" borderId="6" xfId="0" applyFont="1" applyFill="1" applyBorder="1" applyAlignment="1">
      <alignment horizontal="center" vertical="center"/>
    </xf>
    <xf numFmtId="0" fontId="0" fillId="0" borderId="62" xfId="0" quotePrefix="1" applyBorder="1" applyAlignment="1">
      <alignment horizontal="center" vertical="center"/>
    </xf>
    <xf numFmtId="0" fontId="0" fillId="0" borderId="62" xfId="0" applyBorder="1" applyAlignment="1">
      <alignment horizontal="center" vertical="center"/>
    </xf>
    <xf numFmtId="0" fontId="0" fillId="0" borderId="50" xfId="0" quotePrefix="1" applyBorder="1" applyAlignment="1">
      <alignment horizontal="center" vertical="center"/>
    </xf>
    <xf numFmtId="0" fontId="0" fillId="0" borderId="51" xfId="0" quotePrefix="1" applyBorder="1" applyAlignment="1">
      <alignment horizontal="center" vertical="center"/>
    </xf>
    <xf numFmtId="0" fontId="0" fillId="0" borderId="52" xfId="0" quotePrefix="1" applyBorder="1" applyAlignment="1">
      <alignment horizontal="center" vertical="center"/>
    </xf>
    <xf numFmtId="0" fontId="19" fillId="7" borderId="6" xfId="0" applyFont="1" applyFill="1" applyBorder="1" applyAlignment="1">
      <alignment horizontal="center" vertical="center" wrapText="1"/>
    </xf>
    <xf numFmtId="0" fontId="62" fillId="0" borderId="4" xfId="8" applyFont="1" applyBorder="1" applyAlignment="1">
      <alignment horizontal="center" vertical="center"/>
    </xf>
    <xf numFmtId="0" fontId="62" fillId="0" borderId="0" xfId="8" applyFont="1" applyAlignment="1">
      <alignment horizontal="center" vertical="center"/>
    </xf>
    <xf numFmtId="0" fontId="62" fillId="0" borderId="5" xfId="8" applyFont="1" applyBorder="1" applyAlignment="1">
      <alignment horizontal="center" vertical="center"/>
    </xf>
    <xf numFmtId="0" fontId="62" fillId="0" borderId="36" xfId="8" applyFont="1" applyBorder="1" applyAlignment="1">
      <alignment horizontal="center" vertical="center"/>
    </xf>
    <xf numFmtId="0" fontId="62" fillId="0" borderId="37" xfId="8" applyFont="1" applyBorder="1" applyAlignment="1">
      <alignment horizontal="center" vertical="center"/>
    </xf>
    <xf numFmtId="0" fontId="62" fillId="0" borderId="38" xfId="8" applyFont="1" applyBorder="1" applyAlignment="1">
      <alignment horizontal="center" vertical="center"/>
    </xf>
    <xf numFmtId="0" fontId="62" fillId="0" borderId="1" xfId="8" applyFont="1" applyBorder="1" applyAlignment="1">
      <alignment horizontal="center"/>
    </xf>
    <xf numFmtId="0" fontId="62" fillId="0" borderId="2" xfId="8" applyFont="1" applyBorder="1" applyAlignment="1">
      <alignment horizontal="center"/>
    </xf>
    <xf numFmtId="0" fontId="62" fillId="0" borderId="3" xfId="8" applyFont="1" applyBorder="1" applyAlignment="1">
      <alignment horizontal="center"/>
    </xf>
    <xf numFmtId="0" fontId="62" fillId="0" borderId="4" xfId="8" applyFont="1" applyBorder="1" applyAlignment="1">
      <alignment horizontal="center"/>
    </xf>
    <xf numFmtId="0" fontId="62" fillId="0" borderId="0" xfId="8" applyFont="1" applyAlignment="1">
      <alignment horizontal="center"/>
    </xf>
    <xf numFmtId="0" fontId="62" fillId="0" borderId="5" xfId="8" applyFont="1" applyBorder="1" applyAlignment="1">
      <alignment horizontal="center"/>
    </xf>
    <xf numFmtId="0" fontId="62" fillId="0" borderId="4" xfId="8" applyFont="1" applyBorder="1" applyAlignment="1">
      <alignment horizontal="center" wrapText="1"/>
    </xf>
    <xf numFmtId="0" fontId="62" fillId="0" borderId="0" xfId="8" applyFont="1" applyAlignment="1">
      <alignment horizontal="center" wrapText="1"/>
    </xf>
    <xf numFmtId="0" fontId="62" fillId="0" borderId="5" xfId="8" applyFont="1" applyBorder="1" applyAlignment="1">
      <alignment horizontal="center" wrapText="1"/>
    </xf>
    <xf numFmtId="0" fontId="62" fillId="0" borderId="114" xfId="8" applyFont="1" applyBorder="1" applyAlignment="1">
      <alignment horizontal="center" wrapText="1"/>
    </xf>
    <xf numFmtId="0" fontId="62" fillId="0" borderId="89" xfId="8" applyFont="1" applyBorder="1" applyAlignment="1">
      <alignment horizontal="center" wrapText="1"/>
    </xf>
    <xf numFmtId="0" fontId="62" fillId="0" borderId="115" xfId="8" applyFont="1" applyBorder="1" applyAlignment="1">
      <alignment horizontal="center" wrapText="1"/>
    </xf>
    <xf numFmtId="0" fontId="63" fillId="0" borderId="4" xfId="8" applyFont="1" applyBorder="1" applyAlignment="1">
      <alignment horizontal="center" vertical="center"/>
    </xf>
    <xf numFmtId="0" fontId="63" fillId="0" borderId="0" xfId="8" applyFont="1" applyAlignment="1">
      <alignment horizontal="center" vertical="center"/>
    </xf>
    <xf numFmtId="0" fontId="63" fillId="0" borderId="5" xfId="8" applyFont="1" applyBorder="1" applyAlignment="1">
      <alignment horizontal="center" vertical="center"/>
    </xf>
    <xf numFmtId="186" fontId="62" fillId="0" borderId="4" xfId="8" applyNumberFormat="1" applyFont="1" applyBorder="1" applyAlignment="1">
      <alignment horizontal="center" vertical="center"/>
    </xf>
    <xf numFmtId="186" fontId="62" fillId="0" borderId="0" xfId="8" applyNumberFormat="1" applyFont="1" applyAlignment="1">
      <alignment horizontal="center" vertical="center"/>
    </xf>
    <xf numFmtId="186" fontId="62" fillId="0" borderId="5" xfId="8" applyNumberFormat="1" applyFont="1" applyBorder="1" applyAlignment="1">
      <alignment horizontal="center" vertical="center"/>
    </xf>
    <xf numFmtId="186" fontId="62" fillId="0" borderId="4" xfId="8" applyNumberFormat="1" applyFont="1" applyBorder="1" applyAlignment="1">
      <alignment horizontal="center"/>
    </xf>
    <xf numFmtId="186" fontId="62" fillId="0" borderId="0" xfId="8" applyNumberFormat="1" applyFont="1" applyAlignment="1">
      <alignment horizontal="center"/>
    </xf>
    <xf numFmtId="186" fontId="62" fillId="0" borderId="5" xfId="8" applyNumberFormat="1" applyFont="1" applyBorder="1" applyAlignment="1">
      <alignment horizontal="center"/>
    </xf>
    <xf numFmtId="14" fontId="62" fillId="0" borderId="4" xfId="8" applyNumberFormat="1" applyFont="1" applyBorder="1" applyAlignment="1">
      <alignment horizontal="right" vertical="center"/>
    </xf>
    <xf numFmtId="14" fontId="62" fillId="0" borderId="0" xfId="8" applyNumberFormat="1" applyFont="1" applyAlignment="1">
      <alignment horizontal="right" vertical="center"/>
    </xf>
    <xf numFmtId="14" fontId="62" fillId="0" borderId="0" xfId="8" applyNumberFormat="1" applyFont="1" applyAlignment="1">
      <alignment horizontal="left" vertical="center"/>
    </xf>
    <xf numFmtId="14" fontId="62" fillId="0" borderId="5" xfId="8" applyNumberFormat="1" applyFont="1" applyBorder="1" applyAlignment="1">
      <alignment horizontal="left" vertical="center"/>
    </xf>
    <xf numFmtId="0" fontId="24" fillId="0" borderId="9" xfId="0" applyFont="1" applyBorder="1" applyAlignment="1">
      <alignment horizontal="center" vertical="center"/>
    </xf>
    <xf numFmtId="0" fontId="24" fillId="0" borderId="7" xfId="0" applyFont="1" applyBorder="1" applyAlignment="1">
      <alignment horizontal="center" vertical="center"/>
    </xf>
    <xf numFmtId="0" fontId="51" fillId="0" borderId="0" xfId="0" applyFont="1" applyAlignment="1">
      <alignment horizontal="center" vertical="center" wrapText="1"/>
    </xf>
    <xf numFmtId="0" fontId="51" fillId="0" borderId="0" xfId="0" applyFont="1" applyAlignment="1">
      <alignment horizontal="center" vertical="center"/>
    </xf>
    <xf numFmtId="0" fontId="47" fillId="0" borderId="8" xfId="0" applyFont="1" applyBorder="1" applyAlignment="1">
      <alignment horizontal="center" vertical="center"/>
    </xf>
    <xf numFmtId="0" fontId="46" fillId="0" borderId="9" xfId="0" applyFont="1" applyBorder="1" applyAlignment="1">
      <alignment horizontal="center" vertical="center"/>
    </xf>
    <xf numFmtId="0" fontId="19" fillId="0" borderId="7" xfId="0" applyFont="1" applyBorder="1" applyAlignment="1">
      <alignment horizontal="center" vertical="center"/>
    </xf>
    <xf numFmtId="0" fontId="19" fillId="0" borderId="9" xfId="0" applyFont="1" applyBorder="1" applyAlignment="1">
      <alignment horizontal="center" vertical="center"/>
    </xf>
    <xf numFmtId="0" fontId="51" fillId="0" borderId="0" xfId="0" applyFont="1" applyAlignment="1">
      <alignment horizontal="center" vertical="top"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90" xfId="0" applyBorder="1" applyAlignment="1">
      <alignment horizontal="left" vertical="center" wrapText="1"/>
    </xf>
    <xf numFmtId="0" fontId="0" fillId="0" borderId="9" xfId="0" applyBorder="1" applyAlignment="1">
      <alignment horizontal="left" vertical="center" wrapText="1"/>
    </xf>
    <xf numFmtId="0" fontId="0" fillId="0" borderId="7" xfId="0" applyBorder="1" applyAlignment="1">
      <alignment horizontal="left" vertical="center" wrapText="1"/>
    </xf>
    <xf numFmtId="0" fontId="70" fillId="0" borderId="0" xfId="0" applyFont="1" applyAlignment="1">
      <alignment horizontal="center" vertical="center"/>
    </xf>
    <xf numFmtId="0" fontId="59" fillId="0" borderId="63" xfId="0" applyFont="1" applyBorder="1" applyAlignment="1">
      <alignment horizontal="left" vertical="center" wrapText="1"/>
    </xf>
    <xf numFmtId="0" fontId="59" fillId="0" borderId="50" xfId="0" applyFont="1" applyBorder="1" applyAlignment="1">
      <alignment horizontal="left" vertical="center" wrapText="1"/>
    </xf>
    <xf numFmtId="0" fontId="59" fillId="0" borderId="51" xfId="0" applyFont="1" applyBorder="1" applyAlignment="1">
      <alignment horizontal="left" vertical="center" wrapText="1"/>
    </xf>
    <xf numFmtId="0" fontId="59" fillId="0" borderId="52" xfId="0" applyFont="1" applyBorder="1" applyAlignment="1">
      <alignment horizontal="left" vertical="center" wrapText="1"/>
    </xf>
    <xf numFmtId="0" fontId="59" fillId="0" borderId="62" xfId="0" applyFont="1" applyBorder="1" applyAlignment="1">
      <alignment horizontal="left" vertical="center" wrapText="1"/>
    </xf>
    <xf numFmtId="0" fontId="59" fillId="0" borderId="61" xfId="0" applyFont="1" applyBorder="1" applyAlignment="1">
      <alignment horizontal="left" vertical="center" wrapText="1"/>
    </xf>
    <xf numFmtId="0" fontId="67" fillId="0" borderId="7" xfId="0" applyFont="1" applyBorder="1" applyAlignment="1">
      <alignment horizontal="center" vertical="center"/>
    </xf>
    <xf numFmtId="0" fontId="66" fillId="0" borderId="7" xfId="0" applyFont="1" applyBorder="1" applyAlignment="1">
      <alignment horizontal="center" vertical="center"/>
    </xf>
    <xf numFmtId="14" fontId="49" fillId="7" borderId="16" xfId="0" applyNumberFormat="1" applyFont="1" applyFill="1" applyBorder="1" applyAlignment="1">
      <alignment horizontal="center" vertical="center"/>
    </xf>
    <xf numFmtId="14" fontId="49" fillId="7" borderId="17" xfId="0" applyNumberFormat="1" applyFont="1" applyFill="1" applyBorder="1" applyAlignment="1">
      <alignment horizontal="center" vertical="center"/>
    </xf>
    <xf numFmtId="14" fontId="49" fillId="7" borderId="18" xfId="0" applyNumberFormat="1" applyFont="1" applyFill="1" applyBorder="1" applyAlignment="1">
      <alignment horizontal="center" vertical="center"/>
    </xf>
    <xf numFmtId="0" fontId="49" fillId="7" borderId="6" xfId="0" applyFont="1" applyFill="1" applyBorder="1" applyAlignment="1">
      <alignment horizontal="center" vertical="center"/>
    </xf>
    <xf numFmtId="0" fontId="70" fillId="0" borderId="0" xfId="0" applyFont="1" applyAlignment="1">
      <alignment horizontal="left"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left" vertical="center" wrapText="1"/>
    </xf>
    <xf numFmtId="0" fontId="19" fillId="0" borderId="6" xfId="0" applyFont="1" applyBorder="1" applyAlignment="1">
      <alignment horizontal="right" vertical="center" indent="1"/>
    </xf>
    <xf numFmtId="0" fontId="19" fillId="0" borderId="6" xfId="0" applyFont="1" applyBorder="1" applyAlignment="1">
      <alignment horizontal="center" vertical="center" textRotation="90"/>
    </xf>
    <xf numFmtId="0" fontId="0" fillId="0" borderId="17" xfId="0" applyBorder="1" applyAlignment="1">
      <alignment horizontal="center" vertical="center" wrapText="1"/>
    </xf>
    <xf numFmtId="0" fontId="23" fillId="0" borderId="16" xfId="3" applyFont="1" applyBorder="1" applyAlignment="1">
      <alignment horizontal="center" vertical="center" wrapText="1"/>
    </xf>
    <xf numFmtId="0" fontId="23" fillId="0" borderId="17" xfId="3" applyFont="1" applyBorder="1" applyAlignment="1">
      <alignment horizontal="center" vertical="center" wrapText="1"/>
    </xf>
    <xf numFmtId="0" fontId="23" fillId="0" borderId="18" xfId="3"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51" fillId="0" borderId="0" xfId="0" applyFont="1" applyAlignment="1">
      <alignment horizontal="left" vertical="top" wrapText="1"/>
    </xf>
    <xf numFmtId="0" fontId="51" fillId="0" borderId="0" xfId="0" applyFont="1" applyAlignment="1">
      <alignment horizontal="left" vertical="center"/>
    </xf>
    <xf numFmtId="0" fontId="70" fillId="0" borderId="0" xfId="0" applyFont="1" applyAlignment="1">
      <alignment horizontal="center" vertical="center" wrapText="1"/>
    </xf>
    <xf numFmtId="0" fontId="0" fillId="0" borderId="62" xfId="0" applyBorder="1" applyAlignment="1">
      <alignment horizontal="left" vertical="center" wrapText="1"/>
    </xf>
    <xf numFmtId="0" fontId="0" fillId="0" borderId="63" xfId="0" applyBorder="1" applyAlignment="1">
      <alignment horizontal="left" vertical="center" wrapText="1"/>
    </xf>
    <xf numFmtId="0" fontId="0" fillId="0" borderId="61" xfId="0" applyBorder="1" applyAlignment="1">
      <alignment horizontal="left" vertical="center" wrapText="1"/>
    </xf>
    <xf numFmtId="14" fontId="49" fillId="10" borderId="17" xfId="0" applyNumberFormat="1" applyFont="1" applyFill="1" applyBorder="1" applyAlignment="1">
      <alignment horizontal="center" vertical="center"/>
    </xf>
    <xf numFmtId="0" fontId="42" fillId="0" borderId="21" xfId="0" applyFont="1" applyBorder="1" applyAlignment="1">
      <alignment horizontal="center" vertical="center"/>
    </xf>
    <xf numFmtId="0" fontId="42" fillId="0" borderId="21" xfId="0" applyFont="1" applyBorder="1" applyAlignment="1">
      <alignment horizontal="center" vertical="center" wrapText="1"/>
    </xf>
    <xf numFmtId="0" fontId="61" fillId="0" borderId="21" xfId="0" applyFont="1" applyBorder="1" applyAlignment="1">
      <alignment horizontal="center" vertical="center"/>
    </xf>
    <xf numFmtId="0" fontId="61" fillId="0" borderId="21" xfId="0" applyFont="1" applyBorder="1" applyAlignment="1">
      <alignment horizontal="center" vertical="center" wrapText="1"/>
    </xf>
    <xf numFmtId="0" fontId="32" fillId="0" borderId="13" xfId="0" applyFont="1" applyBorder="1" applyAlignment="1">
      <alignment horizontal="center" vertical="center"/>
    </xf>
    <xf numFmtId="0" fontId="32" fillId="0" borderId="14" xfId="0" applyFont="1" applyBorder="1" applyAlignment="1">
      <alignment horizontal="center" vertical="center"/>
    </xf>
    <xf numFmtId="0" fontId="32" fillId="0" borderId="15" xfId="0" applyFont="1" applyBorder="1" applyAlignment="1">
      <alignment horizontal="center" vertical="center"/>
    </xf>
    <xf numFmtId="0" fontId="32" fillId="0" borderId="10" xfId="0" applyFont="1" applyBorder="1" applyAlignment="1">
      <alignment horizontal="center" vertical="center"/>
    </xf>
    <xf numFmtId="0" fontId="32" fillId="0" borderId="11" xfId="0" applyFont="1" applyBorder="1" applyAlignment="1">
      <alignment horizontal="center" vertical="center"/>
    </xf>
    <xf numFmtId="0" fontId="32" fillId="0" borderId="12" xfId="0" applyFont="1" applyBorder="1" applyAlignment="1">
      <alignment horizontal="center" vertical="center"/>
    </xf>
    <xf numFmtId="0" fontId="19" fillId="7" borderId="16" xfId="0" applyFont="1" applyFill="1" applyBorder="1" applyAlignment="1">
      <alignment horizontal="center" vertical="center"/>
    </xf>
    <xf numFmtId="0" fontId="19" fillId="7" borderId="17" xfId="0" applyFont="1" applyFill="1" applyBorder="1" applyAlignment="1">
      <alignment horizontal="center" vertical="center"/>
    </xf>
    <xf numFmtId="0" fontId="19" fillId="7" borderId="18" xfId="0" applyFont="1" applyFill="1" applyBorder="1" applyAlignment="1">
      <alignment horizontal="center" vertical="center"/>
    </xf>
    <xf numFmtId="0" fontId="32" fillId="0" borderId="9" xfId="0" applyFont="1" applyBorder="1" applyAlignment="1">
      <alignment horizontal="center" vertical="center"/>
    </xf>
    <xf numFmtId="0" fontId="19" fillId="10" borderId="6" xfId="0" applyFont="1" applyFill="1" applyBorder="1" applyAlignment="1">
      <alignment horizontal="center" vertical="center"/>
    </xf>
    <xf numFmtId="14" fontId="19" fillId="10" borderId="6" xfId="0" applyNumberFormat="1" applyFont="1" applyFill="1" applyBorder="1" applyAlignment="1">
      <alignment horizontal="center" vertical="center"/>
    </xf>
    <xf numFmtId="175" fontId="54" fillId="0" borderId="13" xfId="0" applyNumberFormat="1" applyFont="1" applyBorder="1" applyAlignment="1">
      <alignment horizontal="center" vertical="center" textRotation="180"/>
    </xf>
    <xf numFmtId="175" fontId="54" fillId="0" borderId="10" xfId="0" applyNumberFormat="1" applyFont="1" applyBorder="1" applyAlignment="1">
      <alignment horizontal="center" vertical="center" textRotation="180"/>
    </xf>
    <xf numFmtId="0" fontId="34" fillId="0" borderId="13" xfId="0" applyFont="1" applyBorder="1" applyAlignment="1">
      <alignment horizontal="center" vertical="center" wrapText="1"/>
    </xf>
    <xf numFmtId="0" fontId="34" fillId="0" borderId="14" xfId="0" applyFont="1" applyBorder="1" applyAlignment="1">
      <alignment horizontal="center" vertical="center" wrapText="1"/>
    </xf>
    <xf numFmtId="0" fontId="55" fillId="0" borderId="10" xfId="0" applyFont="1" applyBorder="1" applyAlignment="1">
      <alignment horizontal="center" vertical="center" wrapText="1"/>
    </xf>
    <xf numFmtId="0" fontId="55" fillId="0" borderId="11" xfId="0" applyFont="1" applyBorder="1" applyAlignment="1">
      <alignment horizontal="center" vertical="center" wrapText="1"/>
    </xf>
    <xf numFmtId="0" fontId="34" fillId="0" borderId="15" xfId="0" applyFont="1" applyBorder="1" applyAlignment="1">
      <alignment horizontal="center" vertical="center" wrapText="1"/>
    </xf>
    <xf numFmtId="0" fontId="55" fillId="0" borderId="12" xfId="0" applyFont="1" applyBorder="1" applyAlignment="1">
      <alignment horizontal="center" vertical="center" wrapText="1"/>
    </xf>
    <xf numFmtId="0" fontId="59" fillId="0" borderId="0" xfId="0" applyFont="1" applyAlignment="1">
      <alignment horizontal="center" vertical="center" wrapText="1"/>
    </xf>
    <xf numFmtId="43" fontId="59" fillId="0" borderId="0" xfId="1" applyFont="1" applyBorder="1" applyAlignment="1">
      <alignment horizontal="center" vertical="center" wrapText="1"/>
    </xf>
    <xf numFmtId="0" fontId="59" fillId="0" borderId="0" xfId="0" applyFont="1" applyAlignment="1">
      <alignment horizontal="center" vertical="top" wrapText="1"/>
    </xf>
    <xf numFmtId="43" fontId="59" fillId="0" borderId="0" xfId="1" applyFont="1" applyBorder="1" applyAlignment="1">
      <alignment horizontal="center" vertical="center"/>
    </xf>
    <xf numFmtId="0" fontId="65" fillId="0" borderId="0" xfId="0" applyFont="1" applyAlignment="1">
      <alignment horizontal="center" wrapText="1"/>
    </xf>
    <xf numFmtId="0" fontId="65" fillId="0" borderId="0" xfId="0" applyFont="1" applyAlignment="1">
      <alignment horizontal="center"/>
    </xf>
    <xf numFmtId="0" fontId="59" fillId="0" borderId="0" xfId="0" applyFont="1" applyAlignment="1">
      <alignment horizontal="center" vertical="center"/>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19" xfId="0" applyFont="1" applyFill="1" applyBorder="1" applyAlignment="1">
      <alignment horizontal="center" vertical="center" wrapText="1"/>
    </xf>
    <xf numFmtId="0" fontId="46" fillId="0" borderId="0" xfId="0" applyFont="1" applyAlignment="1">
      <alignment horizontal="center" wrapText="1"/>
    </xf>
    <xf numFmtId="0" fontId="46" fillId="0" borderId="0" xfId="0" applyFont="1" applyAlignment="1">
      <alignment horizontal="center"/>
    </xf>
  </cellXfs>
  <cellStyles count="9">
    <cellStyle name="Normal" xfId="0" builtinId="0"/>
    <cellStyle name="Normal 2" xfId="8" xr:uid="{4CC19386-FFA8-4BD7-AF2E-22498165D6E2}"/>
    <cellStyle name="Normal 2 3" xfId="5" xr:uid="{F4937235-16C6-4E4B-A663-EB57A21829C5}"/>
    <cellStyle name="Normal 2 7" xfId="2" xr:uid="{D421F29D-E91B-4C48-BE6F-F62EF059B5A0}"/>
    <cellStyle name="Normal 3 2" xfId="4" xr:uid="{0A8B8D7E-0669-4080-87B2-024714E855B8}"/>
    <cellStyle name="Normal_1.SAYFA (2)" xfId="3" xr:uid="{A498C3E8-BEED-471F-87BC-014566C8EA60}"/>
    <cellStyle name="Virgül" xfId="1" builtinId="3"/>
    <cellStyle name="Virgül 2" xfId="7" xr:uid="{63977330-869C-450F-9A34-F0804C2BB974}"/>
    <cellStyle name="Yüzde" xfId="6" builtinId="5"/>
  </cellStyles>
  <dxfs count="2">
    <dxf>
      <font>
        <color rgb="FFFF0000"/>
      </font>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xdr:colOff>
          <xdr:row>44</xdr:row>
          <xdr:rowOff>175260</xdr:rowOff>
        </xdr:from>
        <xdr:to>
          <xdr:col>7</xdr:col>
          <xdr:colOff>16126</xdr:colOff>
          <xdr:row>76</xdr:row>
          <xdr:rowOff>19685</xdr:rowOff>
        </xdr:to>
        <mc:AlternateContent>
          <mc:Choice Requires="a14">
            <xdr:pic>
              <xdr:nvPicPr>
                <xdr:cNvPr id="4" name="Resim 3">
                  <a:extLst>
                    <a:ext uri="{FF2B5EF4-FFF2-40B4-BE49-F238E27FC236}">
                      <a16:creationId xmlns:a16="http://schemas.microsoft.com/office/drawing/2014/main" id="{E221491C-6124-D83E-F0BF-CBB3571E24E1}"/>
                    </a:ext>
                  </a:extLst>
                </xdr:cNvPr>
                <xdr:cNvPicPr>
                  <a:picLocks noChangeAspect="1" noChangeArrowheads="1"/>
                  <a:extLst>
                    <a:ext uri="{84589F7E-364E-4C9E-8A38-B11213B215E9}">
                      <a14:cameraTool cellRange="İmza!$B$2:$M$29" spid="_x0000_s1866"/>
                    </a:ext>
                  </a:extLst>
                </xdr:cNvPicPr>
              </xdr:nvPicPr>
              <xdr:blipFill>
                <a:blip xmlns:r="http://schemas.openxmlformats.org/officeDocument/2006/relationships" r:embed="rId1"/>
                <a:srcRect/>
                <a:stretch>
                  <a:fillRect/>
                </a:stretch>
              </xdr:blipFill>
              <xdr:spPr bwMode="auto">
                <a:xfrm>
                  <a:off x="7620" y="8869680"/>
                  <a:ext cx="9956416" cy="5732780"/>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5</xdr:col>
      <xdr:colOff>170330</xdr:colOff>
      <xdr:row>0</xdr:row>
      <xdr:rowOff>17930</xdr:rowOff>
    </xdr:from>
    <xdr:to>
      <xdr:col>8</xdr:col>
      <xdr:colOff>21179</xdr:colOff>
      <xdr:row>9</xdr:row>
      <xdr:rowOff>116013</xdr:rowOff>
    </xdr:to>
    <xdr:pic>
      <xdr:nvPicPr>
        <xdr:cNvPr id="2" name="Resim 1">
          <a:extLst>
            <a:ext uri="{FF2B5EF4-FFF2-40B4-BE49-F238E27FC236}">
              <a16:creationId xmlns:a16="http://schemas.microsoft.com/office/drawing/2014/main" id="{6688D687-0EBB-47E9-B8AB-2F12C7983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6390" y="17930"/>
          <a:ext cx="1679649" cy="1723048"/>
        </a:xfrm>
        <a:prstGeom prst="rect">
          <a:avLst/>
        </a:prstGeom>
      </xdr:spPr>
    </xdr:pic>
    <xdr:clientData/>
  </xdr:twoCellAnchor>
  <xdr:twoCellAnchor editAs="oneCell">
    <xdr:from>
      <xdr:col>2</xdr:col>
      <xdr:colOff>74547</xdr:colOff>
      <xdr:row>3</xdr:row>
      <xdr:rowOff>17770</xdr:rowOff>
    </xdr:from>
    <xdr:to>
      <xdr:col>4</xdr:col>
      <xdr:colOff>549022</xdr:colOff>
      <xdr:row>7</xdr:row>
      <xdr:rowOff>63874</xdr:rowOff>
    </xdr:to>
    <xdr:pic>
      <xdr:nvPicPr>
        <xdr:cNvPr id="3" name="Resim 2">
          <a:extLst>
            <a:ext uri="{FF2B5EF4-FFF2-40B4-BE49-F238E27FC236}">
              <a16:creationId xmlns:a16="http://schemas.microsoft.com/office/drawing/2014/main" id="{7F7A1B70-323C-4A1C-B9DA-6AAC4B6DCF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807" y="566410"/>
          <a:ext cx="1697485" cy="7680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76199</xdr:colOff>
      <xdr:row>1</xdr:row>
      <xdr:rowOff>135890</xdr:rowOff>
    </xdr:from>
    <xdr:to>
      <xdr:col>20</xdr:col>
      <xdr:colOff>397924</xdr:colOff>
      <xdr:row>8</xdr:row>
      <xdr:rowOff>59690</xdr:rowOff>
    </xdr:to>
    <xdr:pic>
      <xdr:nvPicPr>
        <xdr:cNvPr id="2" name="Resim 1">
          <a:extLst>
            <a:ext uri="{FF2B5EF4-FFF2-40B4-BE49-F238E27FC236}">
              <a16:creationId xmlns:a16="http://schemas.microsoft.com/office/drawing/2014/main" id="{5AEDC5FE-34ED-4728-A91F-5E6271133B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06174" y="326390"/>
          <a:ext cx="1655224" cy="12573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30480</xdr:colOff>
          <xdr:row>36</xdr:row>
          <xdr:rowOff>32657</xdr:rowOff>
        </xdr:from>
        <xdr:to>
          <xdr:col>15</xdr:col>
          <xdr:colOff>17144</xdr:colOff>
          <xdr:row>76</xdr:row>
          <xdr:rowOff>152400</xdr:rowOff>
        </xdr:to>
        <xdr:pic>
          <xdr:nvPicPr>
            <xdr:cNvPr id="5" name="Resim 4">
              <a:extLst>
                <a:ext uri="{FF2B5EF4-FFF2-40B4-BE49-F238E27FC236}">
                  <a16:creationId xmlns:a16="http://schemas.microsoft.com/office/drawing/2014/main" id="{84FFE78F-0FEB-DACC-F140-11A366144ED8}"/>
                </a:ext>
              </a:extLst>
            </xdr:cNvPr>
            <xdr:cNvPicPr>
              <a:picLocks noChangeAspect="1" noChangeArrowheads="1"/>
              <a:extLst>
                <a:ext uri="{84589F7E-364E-4C9E-8A38-B11213B215E9}">
                  <a14:cameraTool cellRange="'İmza (2)'!$B$2:$M$56" spid="_x0000_s108604"/>
                </a:ext>
              </a:extLst>
            </xdr:cNvPicPr>
          </xdr:nvPicPr>
          <xdr:blipFill>
            <a:blip xmlns:r="http://schemas.openxmlformats.org/officeDocument/2006/relationships" r:embed="rId2"/>
            <a:srcRect/>
            <a:stretch>
              <a:fillRect/>
            </a:stretch>
          </xdr:blipFill>
          <xdr:spPr bwMode="auto">
            <a:xfrm>
              <a:off x="640080" y="7282543"/>
              <a:ext cx="10035539" cy="80227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217662</xdr:colOff>
          <xdr:row>39</xdr:row>
          <xdr:rowOff>44823</xdr:rowOff>
        </xdr:from>
        <xdr:to>
          <xdr:col>15</xdr:col>
          <xdr:colOff>591670</xdr:colOff>
          <xdr:row>72</xdr:row>
          <xdr:rowOff>17927</xdr:rowOff>
        </xdr:to>
        <xdr:pic>
          <xdr:nvPicPr>
            <xdr:cNvPr id="3" name="Resim 2">
              <a:extLst>
                <a:ext uri="{FF2B5EF4-FFF2-40B4-BE49-F238E27FC236}">
                  <a16:creationId xmlns:a16="http://schemas.microsoft.com/office/drawing/2014/main" id="{0D4B13F2-C943-4E7E-9453-7E5B2F64A674}"/>
                </a:ext>
              </a:extLst>
            </xdr:cNvPr>
            <xdr:cNvPicPr>
              <a:picLocks noChangeAspect="1" noChangeArrowheads="1"/>
              <a:extLst>
                <a:ext uri="{84589F7E-364E-4C9E-8A38-B11213B215E9}">
                  <a14:cameraTool cellRange="İmza!$B$2:$M$29" spid="_x0000_s109686"/>
                </a:ext>
              </a:extLst>
            </xdr:cNvPicPr>
          </xdr:nvPicPr>
          <xdr:blipFill>
            <a:blip xmlns:r="http://schemas.openxmlformats.org/officeDocument/2006/relationships" r:embed="rId1"/>
            <a:srcRect/>
            <a:stretch>
              <a:fillRect/>
            </a:stretch>
          </xdr:blipFill>
          <xdr:spPr bwMode="auto">
            <a:xfrm>
              <a:off x="827262" y="7727576"/>
              <a:ext cx="9284926" cy="61049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64433</xdr:colOff>
          <xdr:row>41</xdr:row>
          <xdr:rowOff>28575</xdr:rowOff>
        </xdr:from>
        <xdr:to>
          <xdr:col>31</xdr:col>
          <xdr:colOff>250611</xdr:colOff>
          <xdr:row>71</xdr:row>
          <xdr:rowOff>135254</xdr:rowOff>
        </xdr:to>
        <xdr:pic>
          <xdr:nvPicPr>
            <xdr:cNvPr id="5" name="Resim 4">
              <a:extLst>
                <a:ext uri="{FF2B5EF4-FFF2-40B4-BE49-F238E27FC236}">
                  <a16:creationId xmlns:a16="http://schemas.microsoft.com/office/drawing/2014/main" id="{2189F2D1-BC26-8836-5F13-A8F9F83F3053}"/>
                </a:ext>
              </a:extLst>
            </xdr:cNvPr>
            <xdr:cNvPicPr>
              <a:picLocks noChangeAspect="1" noChangeArrowheads="1"/>
              <a:extLst>
                <a:ext uri="{84589F7E-364E-4C9E-8A38-B11213B215E9}">
                  <a14:cameraTool cellRange="İmza!$B$2:$M$29" spid="_x0000_s109687"/>
                </a:ext>
              </a:extLst>
            </xdr:cNvPicPr>
          </xdr:nvPicPr>
          <xdr:blipFill>
            <a:blip xmlns:r="http://schemas.openxmlformats.org/officeDocument/2006/relationships" r:embed="rId1"/>
            <a:srcRect/>
            <a:stretch>
              <a:fillRect/>
            </a:stretch>
          </xdr:blipFill>
          <xdr:spPr bwMode="auto">
            <a:xfrm>
              <a:off x="10922933" y="7783046"/>
              <a:ext cx="9475854" cy="58216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18</xdr:col>
      <xdr:colOff>241004</xdr:colOff>
      <xdr:row>0</xdr:row>
      <xdr:rowOff>1</xdr:rowOff>
    </xdr:from>
    <xdr:to>
      <xdr:col>19</xdr:col>
      <xdr:colOff>132379</xdr:colOff>
      <xdr:row>1</xdr:row>
      <xdr:rowOff>15644</xdr:rowOff>
    </xdr:to>
    <xdr:pic>
      <xdr:nvPicPr>
        <xdr:cNvPr id="3" name="Resim 2">
          <a:extLst>
            <a:ext uri="{FF2B5EF4-FFF2-40B4-BE49-F238E27FC236}">
              <a16:creationId xmlns:a16="http://schemas.microsoft.com/office/drawing/2014/main" id="{F0A6B5D9-1839-B55B-DCCD-97F614FD3A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twoCellAnchor>
  <xdr:twoCellAnchor editAs="oneCell">
    <xdr:from>
      <xdr:col>18</xdr:col>
      <xdr:colOff>19429</xdr:colOff>
      <xdr:row>0</xdr:row>
      <xdr:rowOff>460472</xdr:rowOff>
    </xdr:from>
    <xdr:to>
      <xdr:col>20</xdr:col>
      <xdr:colOff>16514</xdr:colOff>
      <xdr:row>2</xdr:row>
      <xdr:rowOff>91641</xdr:rowOff>
    </xdr:to>
    <xdr:pic>
      <xdr:nvPicPr>
        <xdr:cNvPr id="5" name="Resim 4">
          <a:extLst>
            <a:ext uri="{FF2B5EF4-FFF2-40B4-BE49-F238E27FC236}">
              <a16:creationId xmlns:a16="http://schemas.microsoft.com/office/drawing/2014/main" id="{93408AB9-0F8B-413B-02FD-8B782D5F3A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twoCellAnchor>
  <xdr:oneCellAnchor>
    <xdr:from>
      <xdr:col>18</xdr:col>
      <xdr:colOff>241004</xdr:colOff>
      <xdr:row>2</xdr:row>
      <xdr:rowOff>1</xdr:rowOff>
    </xdr:from>
    <xdr:ext cx="224048" cy="541423"/>
    <xdr:pic>
      <xdr:nvPicPr>
        <xdr:cNvPr id="36" name="Resim 35">
          <a:extLst>
            <a:ext uri="{FF2B5EF4-FFF2-40B4-BE49-F238E27FC236}">
              <a16:creationId xmlns:a16="http://schemas.microsoft.com/office/drawing/2014/main" id="{27468F71-5EDC-452F-9EA3-0CC3E3515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oneCellAnchor>
  <xdr:oneCellAnchor>
    <xdr:from>
      <xdr:col>18</xdr:col>
      <xdr:colOff>19429</xdr:colOff>
      <xdr:row>2</xdr:row>
      <xdr:rowOff>460472</xdr:rowOff>
    </xdr:from>
    <xdr:ext cx="647190" cy="686539"/>
    <xdr:pic>
      <xdr:nvPicPr>
        <xdr:cNvPr id="37" name="Resim 36">
          <a:extLst>
            <a:ext uri="{FF2B5EF4-FFF2-40B4-BE49-F238E27FC236}">
              <a16:creationId xmlns:a16="http://schemas.microsoft.com/office/drawing/2014/main" id="{EDCF6A5D-B429-47D6-BC6F-302556956A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oneCellAnchor>
  <xdr:oneCellAnchor>
    <xdr:from>
      <xdr:col>18</xdr:col>
      <xdr:colOff>241004</xdr:colOff>
      <xdr:row>4</xdr:row>
      <xdr:rowOff>1</xdr:rowOff>
    </xdr:from>
    <xdr:ext cx="224048" cy="541423"/>
    <xdr:pic>
      <xdr:nvPicPr>
        <xdr:cNvPr id="38" name="Resim 37">
          <a:extLst>
            <a:ext uri="{FF2B5EF4-FFF2-40B4-BE49-F238E27FC236}">
              <a16:creationId xmlns:a16="http://schemas.microsoft.com/office/drawing/2014/main" id="{75D6B814-58DA-4AA7-803A-125265E42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oneCellAnchor>
  <xdr:oneCellAnchor>
    <xdr:from>
      <xdr:col>18</xdr:col>
      <xdr:colOff>19429</xdr:colOff>
      <xdr:row>4</xdr:row>
      <xdr:rowOff>460472</xdr:rowOff>
    </xdr:from>
    <xdr:ext cx="647190" cy="686539"/>
    <xdr:pic>
      <xdr:nvPicPr>
        <xdr:cNvPr id="39" name="Resim 38">
          <a:extLst>
            <a:ext uri="{FF2B5EF4-FFF2-40B4-BE49-F238E27FC236}">
              <a16:creationId xmlns:a16="http://schemas.microsoft.com/office/drawing/2014/main" id="{A4E47A5A-D4EF-4C5A-8C81-FB00F14C4D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oneCellAnchor>
  <xdr:oneCellAnchor>
    <xdr:from>
      <xdr:col>18</xdr:col>
      <xdr:colOff>241004</xdr:colOff>
      <xdr:row>6</xdr:row>
      <xdr:rowOff>1</xdr:rowOff>
    </xdr:from>
    <xdr:ext cx="224048" cy="541423"/>
    <xdr:pic>
      <xdr:nvPicPr>
        <xdr:cNvPr id="40" name="Resim 39">
          <a:extLst>
            <a:ext uri="{FF2B5EF4-FFF2-40B4-BE49-F238E27FC236}">
              <a16:creationId xmlns:a16="http://schemas.microsoft.com/office/drawing/2014/main" id="{E53D4D03-2890-4553-AD5C-74A266183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oneCellAnchor>
  <xdr:oneCellAnchor>
    <xdr:from>
      <xdr:col>18</xdr:col>
      <xdr:colOff>19429</xdr:colOff>
      <xdr:row>6</xdr:row>
      <xdr:rowOff>460472</xdr:rowOff>
    </xdr:from>
    <xdr:ext cx="647190" cy="686539"/>
    <xdr:pic>
      <xdr:nvPicPr>
        <xdr:cNvPr id="41" name="Resim 40">
          <a:extLst>
            <a:ext uri="{FF2B5EF4-FFF2-40B4-BE49-F238E27FC236}">
              <a16:creationId xmlns:a16="http://schemas.microsoft.com/office/drawing/2014/main" id="{DA5CDA2D-31E5-4652-B539-2CDE555BE3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oneCellAnchor>
  <xdr:oneCellAnchor>
    <xdr:from>
      <xdr:col>18</xdr:col>
      <xdr:colOff>241004</xdr:colOff>
      <xdr:row>8</xdr:row>
      <xdr:rowOff>1</xdr:rowOff>
    </xdr:from>
    <xdr:ext cx="224048" cy="541423"/>
    <xdr:pic>
      <xdr:nvPicPr>
        <xdr:cNvPr id="42" name="Resim 41">
          <a:extLst>
            <a:ext uri="{FF2B5EF4-FFF2-40B4-BE49-F238E27FC236}">
              <a16:creationId xmlns:a16="http://schemas.microsoft.com/office/drawing/2014/main" id="{3FA42050-A4B4-4778-9BB9-B9151F80C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oneCellAnchor>
  <xdr:oneCellAnchor>
    <xdr:from>
      <xdr:col>18</xdr:col>
      <xdr:colOff>19429</xdr:colOff>
      <xdr:row>8</xdr:row>
      <xdr:rowOff>460472</xdr:rowOff>
    </xdr:from>
    <xdr:ext cx="647190" cy="686539"/>
    <xdr:pic>
      <xdr:nvPicPr>
        <xdr:cNvPr id="43" name="Resim 42">
          <a:extLst>
            <a:ext uri="{FF2B5EF4-FFF2-40B4-BE49-F238E27FC236}">
              <a16:creationId xmlns:a16="http://schemas.microsoft.com/office/drawing/2014/main" id="{1447FB2E-4F54-4509-92A2-D121B1EF14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oneCellAnchor>
  <xdr:oneCellAnchor>
    <xdr:from>
      <xdr:col>18</xdr:col>
      <xdr:colOff>241004</xdr:colOff>
      <xdr:row>10</xdr:row>
      <xdr:rowOff>1</xdr:rowOff>
    </xdr:from>
    <xdr:ext cx="224048" cy="541423"/>
    <xdr:pic>
      <xdr:nvPicPr>
        <xdr:cNvPr id="44" name="Resim 43">
          <a:extLst>
            <a:ext uri="{FF2B5EF4-FFF2-40B4-BE49-F238E27FC236}">
              <a16:creationId xmlns:a16="http://schemas.microsoft.com/office/drawing/2014/main" id="{2BA5C813-F9E8-45CF-9C8F-882D34DF9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30716" y="158689"/>
          <a:ext cx="541423" cy="224048"/>
        </a:xfrm>
        <a:prstGeom prst="rect">
          <a:avLst/>
        </a:prstGeom>
      </xdr:spPr>
    </xdr:pic>
    <xdr:clientData/>
  </xdr:oneCellAnchor>
  <xdr:oneCellAnchor>
    <xdr:from>
      <xdr:col>18</xdr:col>
      <xdr:colOff>19429</xdr:colOff>
      <xdr:row>10</xdr:row>
      <xdr:rowOff>460472</xdr:rowOff>
    </xdr:from>
    <xdr:ext cx="647190" cy="686539"/>
    <xdr:pic>
      <xdr:nvPicPr>
        <xdr:cNvPr id="45" name="Resim 44">
          <a:extLst>
            <a:ext uri="{FF2B5EF4-FFF2-40B4-BE49-F238E27FC236}">
              <a16:creationId xmlns:a16="http://schemas.microsoft.com/office/drawing/2014/main" id="{EC7B4C07-0E61-46B6-B2AD-2E5BF8E9CC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48154" y="480147"/>
          <a:ext cx="686539" cy="64719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19</xdr:col>
      <xdr:colOff>241004</xdr:colOff>
      <xdr:row>0</xdr:row>
      <xdr:rowOff>1</xdr:rowOff>
    </xdr:from>
    <xdr:to>
      <xdr:col>20</xdr:col>
      <xdr:colOff>136189</xdr:colOff>
      <xdr:row>1</xdr:row>
      <xdr:rowOff>8024</xdr:rowOff>
    </xdr:to>
    <xdr:pic>
      <xdr:nvPicPr>
        <xdr:cNvPr id="2" name="Resim 1">
          <a:extLst>
            <a:ext uri="{FF2B5EF4-FFF2-40B4-BE49-F238E27FC236}">
              <a16:creationId xmlns:a16="http://schemas.microsoft.com/office/drawing/2014/main" id="{65FFFB77-1BA2-4BAD-8E48-3EB317A062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255" y="159290"/>
          <a:ext cx="541423" cy="222845"/>
        </a:xfrm>
        <a:prstGeom prst="rect">
          <a:avLst/>
        </a:prstGeom>
      </xdr:spPr>
    </xdr:pic>
    <xdr:clientData/>
  </xdr:twoCellAnchor>
  <xdr:twoCellAnchor editAs="oneCell">
    <xdr:from>
      <xdr:col>19</xdr:col>
      <xdr:colOff>19429</xdr:colOff>
      <xdr:row>0</xdr:row>
      <xdr:rowOff>460472</xdr:rowOff>
    </xdr:from>
    <xdr:to>
      <xdr:col>21</xdr:col>
      <xdr:colOff>8893</xdr:colOff>
      <xdr:row>2</xdr:row>
      <xdr:rowOff>80211</xdr:rowOff>
    </xdr:to>
    <xdr:pic>
      <xdr:nvPicPr>
        <xdr:cNvPr id="3" name="Resim 2">
          <a:extLst>
            <a:ext uri="{FF2B5EF4-FFF2-40B4-BE49-F238E27FC236}">
              <a16:creationId xmlns:a16="http://schemas.microsoft.com/office/drawing/2014/main" id="{19986E83-9A43-4FC0-96E6-FEA4E3EC52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4091" y="481350"/>
          <a:ext cx="686539" cy="644784"/>
        </a:xfrm>
        <a:prstGeom prst="rect">
          <a:avLst/>
        </a:prstGeom>
      </xdr:spPr>
    </xdr:pic>
    <xdr:clientData/>
  </xdr:twoCellAnchor>
  <xdr:oneCellAnchor>
    <xdr:from>
      <xdr:col>19</xdr:col>
      <xdr:colOff>241004</xdr:colOff>
      <xdr:row>2</xdr:row>
      <xdr:rowOff>1</xdr:rowOff>
    </xdr:from>
    <xdr:ext cx="224048" cy="541423"/>
    <xdr:pic>
      <xdr:nvPicPr>
        <xdr:cNvPr id="4" name="Resim 3">
          <a:extLst>
            <a:ext uri="{FF2B5EF4-FFF2-40B4-BE49-F238E27FC236}">
              <a16:creationId xmlns:a16="http://schemas.microsoft.com/office/drawing/2014/main" id="{6B5E6534-4516-4441-AF1C-C3EC8B176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856" y="1225489"/>
          <a:ext cx="541423" cy="224048"/>
        </a:xfrm>
        <a:prstGeom prst="rect">
          <a:avLst/>
        </a:prstGeom>
      </xdr:spPr>
    </xdr:pic>
    <xdr:clientData/>
  </xdr:oneCellAnchor>
  <xdr:oneCellAnchor>
    <xdr:from>
      <xdr:col>19</xdr:col>
      <xdr:colOff>19429</xdr:colOff>
      <xdr:row>2</xdr:row>
      <xdr:rowOff>460472</xdr:rowOff>
    </xdr:from>
    <xdr:ext cx="647190" cy="686539"/>
    <xdr:pic>
      <xdr:nvPicPr>
        <xdr:cNvPr id="5" name="Resim 4">
          <a:extLst>
            <a:ext uri="{FF2B5EF4-FFF2-40B4-BE49-F238E27FC236}">
              <a16:creationId xmlns:a16="http://schemas.microsoft.com/office/drawing/2014/main" id="{383B4564-DED8-433F-87F7-B74F0C8A64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5294" y="1546947"/>
          <a:ext cx="686539" cy="647190"/>
        </a:xfrm>
        <a:prstGeom prst="rect">
          <a:avLst/>
        </a:prstGeom>
      </xdr:spPr>
    </xdr:pic>
    <xdr:clientData/>
  </xdr:oneCellAnchor>
  <xdr:oneCellAnchor>
    <xdr:from>
      <xdr:col>19</xdr:col>
      <xdr:colOff>241004</xdr:colOff>
      <xdr:row>4</xdr:row>
      <xdr:rowOff>1</xdr:rowOff>
    </xdr:from>
    <xdr:ext cx="224048" cy="541423"/>
    <xdr:pic>
      <xdr:nvPicPr>
        <xdr:cNvPr id="6" name="Resim 5">
          <a:extLst>
            <a:ext uri="{FF2B5EF4-FFF2-40B4-BE49-F238E27FC236}">
              <a16:creationId xmlns:a16="http://schemas.microsoft.com/office/drawing/2014/main" id="{8FA63901-8A93-4A6A-8835-61DDE0534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856" y="2292289"/>
          <a:ext cx="541423" cy="224048"/>
        </a:xfrm>
        <a:prstGeom prst="rect">
          <a:avLst/>
        </a:prstGeom>
      </xdr:spPr>
    </xdr:pic>
    <xdr:clientData/>
  </xdr:oneCellAnchor>
  <xdr:oneCellAnchor>
    <xdr:from>
      <xdr:col>19</xdr:col>
      <xdr:colOff>19429</xdr:colOff>
      <xdr:row>4</xdr:row>
      <xdr:rowOff>460472</xdr:rowOff>
    </xdr:from>
    <xdr:ext cx="647190" cy="686539"/>
    <xdr:pic>
      <xdr:nvPicPr>
        <xdr:cNvPr id="7" name="Resim 6">
          <a:extLst>
            <a:ext uri="{FF2B5EF4-FFF2-40B4-BE49-F238E27FC236}">
              <a16:creationId xmlns:a16="http://schemas.microsoft.com/office/drawing/2014/main" id="{01F42C97-8E7D-4F0E-98D2-4340C1C807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5294" y="2613747"/>
          <a:ext cx="686539" cy="647190"/>
        </a:xfrm>
        <a:prstGeom prst="rect">
          <a:avLst/>
        </a:prstGeom>
      </xdr:spPr>
    </xdr:pic>
    <xdr:clientData/>
  </xdr:oneCellAnchor>
  <xdr:oneCellAnchor>
    <xdr:from>
      <xdr:col>19</xdr:col>
      <xdr:colOff>241004</xdr:colOff>
      <xdr:row>6</xdr:row>
      <xdr:rowOff>1</xdr:rowOff>
    </xdr:from>
    <xdr:ext cx="224048" cy="541423"/>
    <xdr:pic>
      <xdr:nvPicPr>
        <xdr:cNvPr id="8" name="Resim 7">
          <a:extLst>
            <a:ext uri="{FF2B5EF4-FFF2-40B4-BE49-F238E27FC236}">
              <a16:creationId xmlns:a16="http://schemas.microsoft.com/office/drawing/2014/main" id="{A826D6F9-847A-4EE9-A78E-6C129A5EFC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856" y="3359089"/>
          <a:ext cx="541423" cy="224048"/>
        </a:xfrm>
        <a:prstGeom prst="rect">
          <a:avLst/>
        </a:prstGeom>
      </xdr:spPr>
    </xdr:pic>
    <xdr:clientData/>
  </xdr:oneCellAnchor>
  <xdr:oneCellAnchor>
    <xdr:from>
      <xdr:col>19</xdr:col>
      <xdr:colOff>19429</xdr:colOff>
      <xdr:row>6</xdr:row>
      <xdr:rowOff>460472</xdr:rowOff>
    </xdr:from>
    <xdr:ext cx="647190" cy="686539"/>
    <xdr:pic>
      <xdr:nvPicPr>
        <xdr:cNvPr id="9" name="Resim 8">
          <a:extLst>
            <a:ext uri="{FF2B5EF4-FFF2-40B4-BE49-F238E27FC236}">
              <a16:creationId xmlns:a16="http://schemas.microsoft.com/office/drawing/2014/main" id="{86730F0A-7988-44E2-9F5C-0519EE0630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5294" y="3680547"/>
          <a:ext cx="686539" cy="647190"/>
        </a:xfrm>
        <a:prstGeom prst="rect">
          <a:avLst/>
        </a:prstGeom>
      </xdr:spPr>
    </xdr:pic>
    <xdr:clientData/>
  </xdr:oneCellAnchor>
  <xdr:oneCellAnchor>
    <xdr:from>
      <xdr:col>19</xdr:col>
      <xdr:colOff>241004</xdr:colOff>
      <xdr:row>8</xdr:row>
      <xdr:rowOff>1</xdr:rowOff>
    </xdr:from>
    <xdr:ext cx="224048" cy="541423"/>
    <xdr:pic>
      <xdr:nvPicPr>
        <xdr:cNvPr id="10" name="Resim 9">
          <a:extLst>
            <a:ext uri="{FF2B5EF4-FFF2-40B4-BE49-F238E27FC236}">
              <a16:creationId xmlns:a16="http://schemas.microsoft.com/office/drawing/2014/main" id="{B7D19AAD-861A-414A-8A2E-B2B3D6871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856" y="4425889"/>
          <a:ext cx="541423" cy="224048"/>
        </a:xfrm>
        <a:prstGeom prst="rect">
          <a:avLst/>
        </a:prstGeom>
      </xdr:spPr>
    </xdr:pic>
    <xdr:clientData/>
  </xdr:oneCellAnchor>
  <xdr:oneCellAnchor>
    <xdr:from>
      <xdr:col>19</xdr:col>
      <xdr:colOff>19429</xdr:colOff>
      <xdr:row>8</xdr:row>
      <xdr:rowOff>460472</xdr:rowOff>
    </xdr:from>
    <xdr:ext cx="647190" cy="686539"/>
    <xdr:pic>
      <xdr:nvPicPr>
        <xdr:cNvPr id="11" name="Resim 10">
          <a:extLst>
            <a:ext uri="{FF2B5EF4-FFF2-40B4-BE49-F238E27FC236}">
              <a16:creationId xmlns:a16="http://schemas.microsoft.com/office/drawing/2014/main" id="{6E570B2E-33C2-443F-BF49-BE60913384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5294" y="4747347"/>
          <a:ext cx="686539" cy="647190"/>
        </a:xfrm>
        <a:prstGeom prst="rect">
          <a:avLst/>
        </a:prstGeom>
      </xdr:spPr>
    </xdr:pic>
    <xdr:clientData/>
  </xdr:oneCellAnchor>
  <xdr:oneCellAnchor>
    <xdr:from>
      <xdr:col>19</xdr:col>
      <xdr:colOff>241004</xdr:colOff>
      <xdr:row>10</xdr:row>
      <xdr:rowOff>1</xdr:rowOff>
    </xdr:from>
    <xdr:ext cx="224048" cy="541423"/>
    <xdr:pic>
      <xdr:nvPicPr>
        <xdr:cNvPr id="12" name="Resim 11">
          <a:extLst>
            <a:ext uri="{FF2B5EF4-FFF2-40B4-BE49-F238E27FC236}">
              <a16:creationId xmlns:a16="http://schemas.microsoft.com/office/drawing/2014/main" id="{1FDFD44A-7211-437B-B8E6-DEE33A9F5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6307856" y="5492689"/>
          <a:ext cx="541423" cy="224048"/>
        </a:xfrm>
        <a:prstGeom prst="rect">
          <a:avLst/>
        </a:prstGeom>
      </xdr:spPr>
    </xdr:pic>
    <xdr:clientData/>
  </xdr:oneCellAnchor>
  <xdr:oneCellAnchor>
    <xdr:from>
      <xdr:col>19</xdr:col>
      <xdr:colOff>19429</xdr:colOff>
      <xdr:row>10</xdr:row>
      <xdr:rowOff>460472</xdr:rowOff>
    </xdr:from>
    <xdr:ext cx="647190" cy="686539"/>
    <xdr:pic>
      <xdr:nvPicPr>
        <xdr:cNvPr id="13" name="Resim 12">
          <a:extLst>
            <a:ext uri="{FF2B5EF4-FFF2-40B4-BE49-F238E27FC236}">
              <a16:creationId xmlns:a16="http://schemas.microsoft.com/office/drawing/2014/main" id="{D46196E9-234E-449B-9BCF-66192D180A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6225294" y="5814147"/>
          <a:ext cx="686539" cy="64719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___KHU_Hakedi&#351;_02.xlsx" TargetMode="External"/><Relationship Id="rId2" Type="http://schemas.openxmlformats.org/officeDocument/2006/relationships/externalLinkPath" Target="file:///C:\Users\rbasak\Desktop\___KHU_Hakedi&#351;_02.xlsx" TargetMode="External"/><Relationship Id="rId1" Type="http://schemas.openxmlformats.org/officeDocument/2006/relationships/externalLinkPath" Target="/Users/rbasak/Desktop/___KHU_Hakedi&#351;_0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MK%20Proje%20fiyat&#305;%20hk..xlsx" TargetMode="External"/><Relationship Id="rId2" Type="http://schemas.openxmlformats.org/officeDocument/2006/relationships/externalLinkPath" Target="file:///C:\Users\rbasak\Desktop\EMK%20Proje%20fiyat&#305;%20hk..xlsx" TargetMode="External"/><Relationship Id="rId1" Type="http://schemas.openxmlformats.org/officeDocument/2006/relationships/externalLinkPath" Target="/Users/rbasak/Desktop/EMK%20Proje%20fiyat&#305;%20hk..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Downloads/&#231;&#305;kt&#305;.xlsx" TargetMode="External"/><Relationship Id="rId2" Type="http://schemas.openxmlformats.org/officeDocument/2006/relationships/externalLinkPath" Target="file:///C:\Users\rbasak\Downloads\&#231;&#305;kt&#305;.xlsx" TargetMode="External"/><Relationship Id="rId1" Type="http://schemas.openxmlformats.org/officeDocument/2006/relationships/externalLinkPath" Target="/Users/rbasak/Downloads/&#231;&#305;kt&#30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304;dari%20Hakedi&#351;%20-%20KHU\Hakedi&#351;%20Soft\rahman%20&#231;&#305;kt&#305;\eski.xlsx" TargetMode="External"/><Relationship Id="rId1" Type="http://schemas.openxmlformats.org/officeDocument/2006/relationships/externalLinkPath" Target="file:///Z:\&#304;dari%20Hakedi&#351;%20-%20KHU\Hakedi&#351;%20Soft\rahman%20&#231;&#305;kt&#305;\eski.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23.02.2026%20fiyat%20fark&#305;.xlsx" TargetMode="External"/><Relationship Id="rId2" Type="http://schemas.openxmlformats.org/officeDocument/2006/relationships/externalLinkPath" Target="file:///C:\Users\rbasak\Desktop\23.02.2026%20fiyat%20fark&#305;.xlsx" TargetMode="External"/><Relationship Id="rId1" Type="http://schemas.openxmlformats.org/officeDocument/2006/relationships/externalLinkPath" Target="/Users/rbasak/Desktop/23.02.2026%20fiyat%20fark&#305;.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214;denek%20Durum-1_Segment%20&#214;telenmi&#351;_18.02.26_ss.xlsx" TargetMode="External"/><Relationship Id="rId2" Type="http://schemas.openxmlformats.org/officeDocument/2006/relationships/externalLinkPath" Target="file:///C:\Users\rbasak\Desktop\&#214;denek%20Durum-1_Segment%20&#214;telenmi&#351;_18.02.26_ss.xlsx" TargetMode="External"/><Relationship Id="rId1" Type="http://schemas.openxmlformats.org/officeDocument/2006/relationships/externalLinkPath" Target="/Users/rbasak/Desktop/&#214;denek%20Durum-1_Segment%20&#214;telenmi&#351;_18.02.26_ss.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3.%20Nolu%20Hakedi&#351;%20&#199;&#305;kt&#305;/___KHU_Hakedi&#351;_03%20(version%201).xlsb.xlsx" TargetMode="External"/><Relationship Id="rId2" Type="http://schemas.openxmlformats.org/officeDocument/2006/relationships/externalLinkPath" Target="file:///C:\Users\rbasak\Desktop\3.%20Nolu%20Hakedi&#351;%20&#199;&#305;kt&#305;\___KHU_Hakedi&#351;_03%20(version%201).xlsb.xlsx" TargetMode="External"/><Relationship Id="rId1" Type="http://schemas.openxmlformats.org/officeDocument/2006/relationships/externalLinkPath" Target="/Users/rbasak/Desktop/3.%20Nolu%20Hakedi&#351;%20&#199;&#305;kt&#305;/___KHU_Hakedi&#351;_03%20(version%201).xlsb.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96.xlsx" TargetMode="External"/><Relationship Id="rId2" Type="http://schemas.openxmlformats.org/officeDocument/2006/relationships/externalLinkPath" Target="file:///C:\Users\rbasak\Desktop\96.xlsx" TargetMode="External"/><Relationship Id="rId1" Type="http://schemas.openxmlformats.org/officeDocument/2006/relationships/externalLinkPath" Target="/Users/rbasak/Desktop/96.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Kas&#305;m%20Sonu%20Hakedi&#351;/r00-Kas&#305;m%202025%20D&#246;nemi/Metraj%20-%201.B%20-%20S06%20-%20Barbaros-Hat-1-HY-P1-1.A&#351;ama.xlsx" TargetMode="External"/><Relationship Id="rId2" Type="http://schemas.openxmlformats.org/officeDocument/2006/relationships/externalLinkPath" Target="file:///C:\Users\rbasak\Desktop\Kas&#305;m%20Sonu%20Hakedi&#351;\r00-Kas&#305;m%202025%20D&#246;nemi\Metraj%20-%201.B%20-%20S06%20-%20Barbaros-Hat-1-HY-P1-1.A&#351;ama.xlsx" TargetMode="External"/><Relationship Id="rId1" Type="http://schemas.openxmlformats.org/officeDocument/2006/relationships/externalLinkPath" Target="/Users/rbasak/Desktop/Kas&#305;m%20Sonu%20Hakedi&#351;/r00-Kas&#305;m%202025%20D&#246;nemi/Metraj%20-%201.B%20-%20S06%20-%20Barbaros-Hat-1-HY-P1-1.A&#351;ama.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rbasak\Desktop\Yapay%20Zeka%20&#199;al&#305;&#351;mas&#305;\___Poz%20&#304;cmali.xlsx" TargetMode="External"/><Relationship Id="rId1" Type="http://schemas.openxmlformats.org/officeDocument/2006/relationships/externalLinkPath" Target="___Poz%20&#304;cmali.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5.%20Hakedi&#351;/5-___KHU_Hakedi&#351;_03.xlsx" TargetMode="External"/><Relationship Id="rId2" Type="http://schemas.openxmlformats.org/officeDocument/2006/relationships/externalLinkPath" Target="file:///C:\Users\rbasak\Desktop\5.%20Hakedi&#351;\5-___KHU_Hakedi&#351;_03.xlsx" TargetMode="External"/><Relationship Id="rId1" Type="http://schemas.openxmlformats.org/officeDocument/2006/relationships/externalLinkPath" Target="/Users/rbasak/Desktop/5.%20Hakedi&#351;/5-___KHU_Hakedi&#351;_03.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rbasak\Desktop\Yapay%20Zeka%20&#199;al&#305;&#351;mas&#305;\__NATM%20Metraj%20&#304;cmali.xlsx" TargetMode="External"/><Relationship Id="rId1" Type="http://schemas.openxmlformats.org/officeDocument/2006/relationships/externalLinkPath" Target="__NATM%20Metraj%20&#304;cmali.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Hk06%20-%20Onay/Metraj%20-%201.C%20-%20Geomekanik%20&#304;zleme%20Aletleri%20Temini%20ve%20Montaj&#305;.xlsx" TargetMode="External"/><Relationship Id="rId2" Type="http://schemas.openxmlformats.org/officeDocument/2006/relationships/externalLinkPath" Target="file:///C:\Users\rbasak\Desktop\Hk06\Metraj%20-%201.C%20-%20Geomekanik%20&#304;zleme%20Aletleri%20Temini%20ve%20Montaj&#305;.xlsx" TargetMode="External"/><Relationship Id="rId1" Type="http://schemas.openxmlformats.org/officeDocument/2006/relationships/externalLinkPath" Target="/Users/rbasak/Desktop/Hk06%20-%20Onay/Metraj%20-%201.C%20-%20Geomekanik%20&#304;zleme%20Aletleri%20Temini%20ve%20Montaj&#305;.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Hk06%20-%20Onay/Metraj%20-%201.C%20-%20Jeoteknik%20&#214;l&#231;&#252;mler.xlsx" TargetMode="External"/><Relationship Id="rId2" Type="http://schemas.openxmlformats.org/officeDocument/2006/relationships/externalLinkPath" Target="file:///C:\Users\rbasak\Desktop\Hk06\Metraj%20-%201.C%20-%20Jeoteknik%20&#214;l&#231;&#252;mler.xlsx" TargetMode="External"/><Relationship Id="rId1" Type="http://schemas.openxmlformats.org/officeDocument/2006/relationships/externalLinkPath" Target="/Users/rbasak/Desktop/Hk06%20-%20Onay/Metraj%20-%201.C%20-%20Jeoteknik%20&#214;l&#231;&#252;mler.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rbasak\Desktop\Yapay%20Zeka%20&#199;al&#305;&#351;mas&#305;\___Poz%20&#304;cmali.xlsx" TargetMode="External"/><Relationship Id="rId1" Type="http://schemas.openxmlformats.org/officeDocument/2006/relationships/externalLinkPath" Target="___Poz%20&#304;cma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Veri"/>
      <sheetName val="İmza Matris"/>
      <sheetName val="İmza"/>
      <sheetName val="İmza (2)"/>
      <sheetName val="İndeks"/>
      <sheetName val="İmza Yetkilileri"/>
      <sheetName val="Ön Yazı"/>
      <sheetName val="Kapak"/>
      <sheetName val="NT Ksnt Tkp (Çıktı Alınmayacak)"/>
      <sheetName val="EFF Ksnt Tkp(Çıktı Alınmayacak)"/>
      <sheetName val="İcmal"/>
      <sheetName val="Teminat Mektupları"/>
      <sheetName val="Teminat Mektupları (FF)"/>
      <sheetName val="Fiyat Farkı İcmal"/>
      <sheetName val="FF"/>
      <sheetName val="FF 2502"/>
      <sheetName val="FF 2503"/>
      <sheetName val="Yİİ Kapak"/>
      <sheetName val="Yapılan İşler Dönemsel"/>
      <sheetName val="Yapılan İşler İcmali"/>
      <sheetName val="YD Kapak"/>
      <sheetName val="Yeşil Defter Kapak"/>
      <sheetName val="Yeşil Defter Dönemsel"/>
      <sheetName val="Yeşil Defter"/>
      <sheetName val="Kapak M.Ö. "/>
      <sheetName val="Metraj Özeti"/>
      <sheetName val="İşçi Alacak"/>
      <sheetName val="İlan"/>
      <sheetName val="İnce Sırtlık"/>
      <sheetName val="İnce Sırtlı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3">
          <cell r="K13">
            <v>21982860999.999996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Veri"/>
      <sheetName val="İmza Matris"/>
      <sheetName val="İmza"/>
      <sheetName val="İmza (2)"/>
      <sheetName val="İndeks"/>
      <sheetName val="İmza Yetkilileri"/>
      <sheetName val="Ön Yazı"/>
      <sheetName val="Kapak"/>
      <sheetName val="İcmal"/>
      <sheetName val="NT Ksnt Tkp (Çıktı Alınmayacak)"/>
      <sheetName val="EFF Ksnt Tkp(Çıktı Alınmayacak)"/>
      <sheetName val="İşçi Alacak"/>
      <sheetName val="İlan"/>
      <sheetName val="Teminat Mektupları"/>
      <sheetName val="Teminat Mektupları (FF)"/>
      <sheetName val="EMK Fiyat"/>
      <sheetName val="Fiyat Farkı İcmal (2)"/>
      <sheetName val="FF"/>
      <sheetName val="FF 2502"/>
      <sheetName val="FF 2503"/>
      <sheetName val="Y.İ. KAPAK"/>
      <sheetName val="Yapılan İşler Dönemsel"/>
      <sheetName val="Yapılan İşler İcmali"/>
      <sheetName val="Y.D.KAPAK İLK"/>
      <sheetName val="Yeşil Defter Kapak"/>
      <sheetName val="Yeşil Defter Dönemsel"/>
      <sheetName val="Yeşil Defter"/>
      <sheetName val="M.Ö.KAPAK"/>
      <sheetName val="Metraj Özeti"/>
      <sheetName val="İnce Sırtlık"/>
      <sheetName val="İnce Sırtlık (2)"/>
      <sheetName val="Yapılan İşler İcmali Malazgirt"/>
      <sheetName val="Yapılan İşler İcmali Barba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32">
          <cell r="I32">
            <v>0</v>
          </cell>
        </row>
      </sheetData>
      <sheetData sheetId="27">
        <row r="33">
          <cell r="K33">
            <v>0</v>
          </cell>
          <cell r="L33">
            <v>0</v>
          </cell>
          <cell r="M33">
            <v>0</v>
          </cell>
        </row>
      </sheetData>
      <sheetData sheetId="28"/>
      <sheetData sheetId="29">
        <row r="33">
          <cell r="I33">
            <v>0</v>
          </cell>
        </row>
      </sheetData>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Veri"/>
      <sheetName val="İmza Matris"/>
      <sheetName val="İmza"/>
      <sheetName val="İmza (2)"/>
      <sheetName val="Sayfa1"/>
      <sheetName val="İndeks"/>
      <sheetName val="İmza Yetkilileri"/>
      <sheetName val="Ön Yazı"/>
      <sheetName val="Kapak"/>
      <sheetName val="İcmal"/>
      <sheetName val="NT Ksnt Tkp (Çıktı Alınmayacak)"/>
      <sheetName val="EFF Ksnt Tkp(Çıktı Alınmayacak)"/>
      <sheetName val="Teminat Mektupları"/>
      <sheetName val="Teminat Mektupları (FF)"/>
      <sheetName val="Fiyat Farkı İcmal (2)"/>
      <sheetName val="Fiyat Farkı İcmal"/>
      <sheetName val="FF"/>
      <sheetName val="FF 2502"/>
      <sheetName val="FF 2503"/>
      <sheetName val="Y.İ. KAPAK"/>
      <sheetName val="Yapılan İşler İcmali"/>
      <sheetName val="Yapılan İşler Dönemsel"/>
      <sheetName val="Y.D.KAPAK İLK"/>
      <sheetName val="Yeşil Defter Kapak"/>
      <sheetName val="Yeşil Defter Dönemsel"/>
      <sheetName val="Yeşil Defter"/>
      <sheetName val="M.Ö.KAPAK"/>
      <sheetName val="Metraj Özeti"/>
      <sheetName val="İşçi Alacak"/>
      <sheetName val="İlan"/>
      <sheetName val="İnce Sırtlık"/>
      <sheetName val="İnce Sırtlık (2)"/>
      <sheetName val="İnce Sırtlık (3)"/>
      <sheetName val="Yapılan İşler İcmali Malazgirt"/>
      <sheetName val="Yapılan İşler İcmali Barbaros"/>
    </sheetNames>
    <sheetDataSet>
      <sheetData sheetId="0"/>
      <sheetData sheetId="1">
        <row r="3">
          <cell r="C3" t="str">
            <v>Kirazlı-Halkalı Üniversite Metro Hattı İnşaat Ve Elektromekanik İşler İle M1 Hattı Elektromekanik Sistemleri Yapım İşi</v>
          </cell>
        </row>
        <row r="6">
          <cell r="C6" t="str">
            <v>T.C. İstanbul Büyükşehir Belediyesi, Raylı Sistem Dairesi Başkanlığı Avrupa Yakası Raylı Sistem Şube Müdürlüğü</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 Yazdırma"/>
      <sheetName val="Veri"/>
      <sheetName val="İmza Matris"/>
      <sheetName val="İmza"/>
      <sheetName val="İmza (2)"/>
      <sheetName val="İndeks"/>
      <sheetName val="İmza Yetkilileri"/>
      <sheetName val="Ön Yazı"/>
      <sheetName val="Kapak"/>
      <sheetName val="İcmal"/>
      <sheetName val="NT Ksnt Tkp (Çıktı Alınmayacak)"/>
      <sheetName val="EFF Ksnt Tkp(Çıktı Alınmayacak)"/>
      <sheetName val="Teminat Mektupları"/>
      <sheetName val="Teminat Mektupları (FF)"/>
      <sheetName val="Fiyat Farkı İcmal (2)"/>
      <sheetName val="Fiyat Farkı İcmal"/>
      <sheetName val="FF"/>
      <sheetName val="FF 2502"/>
      <sheetName val="FF 2503"/>
      <sheetName val="Y.İ. KAPAK"/>
      <sheetName val="Yapılan İşler İcmali"/>
      <sheetName val="Yapılan İşler Dönemsel"/>
      <sheetName val="Y.D.KAPAK İLK"/>
      <sheetName val="Yeşil Defter Kapak"/>
      <sheetName val="Yeşil Defter Dönemsel"/>
      <sheetName val="Yeşil Defter"/>
      <sheetName val="M.Ö.KAPAK"/>
      <sheetName val="Metraj Özeti"/>
      <sheetName val="İşçi Alacak"/>
      <sheetName val="İlan"/>
      <sheetName val="İnce Sırtlık"/>
      <sheetName val="İnce Sırtlık (2)"/>
      <sheetName val="Yapılan İşler İcmali Malazgirt"/>
      <sheetName val="Yapılan İşler İcmali Barbaros"/>
    </sheetNames>
    <sheetDataSet>
      <sheetData sheetId="0"/>
      <sheetData sheetId="1">
        <row r="21">
          <cell r="C21">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ftlt"/>
      <sheetName val="Veri"/>
      <sheetName val="İmza Matris"/>
      <sheetName val="İmza"/>
      <sheetName val="İmza (2)"/>
      <sheetName val="İndeks"/>
      <sheetName val="İmza Yetkilileri"/>
      <sheetName val="Ön Yazı"/>
      <sheetName val="Kapak"/>
      <sheetName val="İcmal"/>
      <sheetName val="NT Ksnt Tkp (Çıktı Alınmayacak)"/>
      <sheetName val="EFF Ksnt Tkp(Çıktı Alınmayacak)"/>
      <sheetName val="Teminat Mektupları"/>
      <sheetName val="Teminat Mektupları (FF)"/>
      <sheetName val="FF"/>
      <sheetName val="Fiyat Farkı İcmal"/>
      <sheetName val="Fiyat Farkı İcmal (2)"/>
      <sheetName val="Y.İ. KAPAK"/>
      <sheetName val="Yapılan İşler Dönemsel"/>
      <sheetName val="FF 2502"/>
      <sheetName val="FF 2503"/>
      <sheetName val="Yapılan İşler İcmali"/>
      <sheetName val="Y.D.KAPAK İLK"/>
      <sheetName val="Yeşil Defter Kapak"/>
      <sheetName val="Yeşil Defter Dönemsel"/>
      <sheetName val="Yeşil Defter"/>
      <sheetName val="M.Ö.KAPAK"/>
      <sheetName val="Metraj Özeti"/>
      <sheetName val="İşçi Alacak"/>
      <sheetName val="İlan"/>
      <sheetName val="İnce Sırtlık"/>
      <sheetName val="İnce Sırtlık (2)"/>
      <sheetName val="Yapılan İşler İcmali Malazgirt"/>
      <sheetName val="Yapılan İşler İcmali Barba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0">
          <cell r="AC20">
            <v>1.040262</v>
          </cell>
        </row>
      </sheetData>
      <sheetData sheetId="16"/>
      <sheetData sheetId="17"/>
      <sheetData sheetId="18"/>
      <sheetData sheetId="19"/>
      <sheetData sheetId="20"/>
      <sheetData sheetId="21"/>
      <sheetData sheetId="22">
        <row r="79">
          <cell r="T79"/>
        </row>
        <row r="80">
          <cell r="T80"/>
        </row>
        <row r="81">
          <cell r="T81">
            <v>0</v>
          </cell>
        </row>
        <row r="82">
          <cell r="T82">
            <v>0</v>
          </cell>
        </row>
        <row r="83">
          <cell r="T83">
            <v>0</v>
          </cell>
        </row>
        <row r="84">
          <cell r="T84">
            <v>0</v>
          </cell>
        </row>
      </sheetData>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Ödenek Dağılımı"/>
      <sheetName val="Ödenek Dağılımı Sgmnt Öte 18.02"/>
      <sheetName val="Ödenek Dağılımı Sonrası 18.02"/>
      <sheetName val="Ödenek Dağılımı Sonrası 18. (2)"/>
      <sheetName val="HÖG Gerekçe Rapor Tablo-1"/>
      <sheetName val="mayıs"/>
      <sheetName val="Ödenek Dağılımı Segment Ötelenm"/>
      <sheetName val="Ödenek Dağılımı Segment Öte (4)"/>
      <sheetName val="Ödenek Dağılımı Segment Öte (6)"/>
      <sheetName val="Ödenek Dağılımı Segment Öte (2)"/>
      <sheetName val="Ödenek Dağılımı Segment Öte (3)"/>
    </sheetNames>
    <sheetDataSet>
      <sheetData sheetId="0"/>
      <sheetData sheetId="1"/>
      <sheetData sheetId="2"/>
      <sheetData sheetId="3">
        <row r="73">
          <cell r="U73">
            <v>146932689.47999999</v>
          </cell>
        </row>
        <row r="74">
          <cell r="U74">
            <v>466100252.79000002</v>
          </cell>
          <cell r="V74">
            <v>1563439151.78</v>
          </cell>
        </row>
      </sheetData>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ftlt"/>
      <sheetName val="Veri"/>
      <sheetName val="İmza Matris"/>
      <sheetName val="İmza"/>
      <sheetName val="İmza (2)"/>
      <sheetName val="İndeks"/>
      <sheetName val="İmza Yetkilileri"/>
      <sheetName val="Ön Yazı"/>
      <sheetName val="Kapak"/>
      <sheetName val="İcmal"/>
      <sheetName val="NT Ksnt Tkp (Çıktı Alınmayacak)"/>
      <sheetName val="EFF Ksnt Tkp(Çıktı Alınmayacak)"/>
      <sheetName val="Teminat Mektupları"/>
      <sheetName val="Teminat Mektupları (FF)"/>
      <sheetName val="FF"/>
      <sheetName val="Fiyat Farkı İcmal"/>
      <sheetName val="Fiyat Farkı İcmal (2)"/>
      <sheetName val="Y.İ. KAPAK"/>
      <sheetName val="Yapılan İşler Dönemsel"/>
      <sheetName val="FF 2502"/>
      <sheetName val="FF 2503"/>
      <sheetName val="Yapılan İşler İcmali"/>
      <sheetName val="Y.D.KAPAK İLK"/>
      <sheetName val="Yeşil Defter Kapak"/>
      <sheetName val="Yeşil Defter Dönemsel"/>
      <sheetName val="Yeşil Defter"/>
      <sheetName val="M.Ö.KAPAK"/>
      <sheetName val="Metraj Özeti"/>
      <sheetName val="İşçi Alacak"/>
      <sheetName val="İlan"/>
      <sheetName val="İnce Sırtlık"/>
      <sheetName val="İnce Sırtlık (2)"/>
      <sheetName val="İnce Sırtlık (3)"/>
      <sheetName val="Yapılan İşler İcmali Malazgirt"/>
      <sheetName val="Yapılan İşler İcmali Barba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2">
          <cell r="AC32">
            <v>1.309712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Veri"/>
      <sheetName val="İmza Matris"/>
      <sheetName val="İmza"/>
      <sheetName val="İmza (2)"/>
      <sheetName val="İndeks"/>
      <sheetName val="İmza Yetkilileri"/>
      <sheetName val="Ön Yazı"/>
      <sheetName val="Kapak"/>
      <sheetName val="Teminat Mektupları (FF)"/>
      <sheetName val="İcmal"/>
      <sheetName val="NT Ksnt Tkp (Çıktı Alınmayacak)"/>
      <sheetName val="EFF Ksnt Tkp(Çıktı Alınmayacak)"/>
      <sheetName val="Teminat Mektupları"/>
      <sheetName val="Fiyat Farkı İcmal"/>
      <sheetName val="FF"/>
      <sheetName val="Yİİ Kapak"/>
      <sheetName val="FF 2502"/>
      <sheetName val="FF 2503"/>
      <sheetName val="Yapılan İşler İcmali"/>
      <sheetName val="YD Kapak"/>
      <sheetName val="Yeşil Defter Kapak"/>
      <sheetName val="Yeşil Defter"/>
      <sheetName val="İşçi Alacak"/>
      <sheetName val="İlan"/>
      <sheetName val="İnce Sırtlık"/>
      <sheetName val="İnce Sırtlık (2)"/>
    </sheetNames>
    <sheetDataSet>
      <sheetData sheetId="0"/>
      <sheetData sheetId="1">
        <row r="21">
          <cell r="C21">
            <v>3</v>
          </cell>
        </row>
        <row r="22">
          <cell r="C22">
            <v>45900</v>
          </cell>
        </row>
      </sheetData>
      <sheetData sheetId="2"/>
      <sheetData sheetId="3"/>
      <sheetData sheetId="4"/>
      <sheetData sheetId="5"/>
      <sheetData sheetId="6"/>
      <sheetData sheetId="7"/>
      <sheetData sheetId="8"/>
      <sheetData sheetId="9"/>
      <sheetData sheetId="10">
        <row r="28">
          <cell r="AA28">
            <v>32019902.710000001</v>
          </cell>
          <cell r="AC28">
            <v>551637967.88999999</v>
          </cell>
        </row>
        <row r="32">
          <cell r="AC32">
            <v>551637967.88999999</v>
          </cell>
        </row>
      </sheetData>
      <sheetData sheetId="11"/>
      <sheetData sheetId="12"/>
      <sheetData sheetId="13"/>
      <sheetData sheetId="14"/>
      <sheetData sheetId="15">
        <row r="20">
          <cell r="AC20">
            <v>1.0402610000000001</v>
          </cell>
        </row>
        <row r="21">
          <cell r="AC21">
            <v>1.061283</v>
          </cell>
        </row>
        <row r="22">
          <cell r="AC22">
            <v>1.0772029999999999</v>
          </cell>
        </row>
        <row r="23">
          <cell r="AC23">
            <v>1.1013919999999999</v>
          </cell>
        </row>
        <row r="24">
          <cell r="AC24">
            <v>1.1212880000000001</v>
          </cell>
        </row>
        <row r="25">
          <cell r="AC25">
            <v>1.152263</v>
          </cell>
        </row>
      </sheetData>
      <sheetData sheetId="16"/>
      <sheetData sheetId="17"/>
      <sheetData sheetId="18"/>
      <sheetData sheetId="19">
        <row r="67">
          <cell r="Q67">
            <v>814160.95</v>
          </cell>
        </row>
        <row r="68">
          <cell r="Q68">
            <v>814160.95</v>
          </cell>
        </row>
        <row r="69">
          <cell r="Q69">
            <v>0</v>
          </cell>
        </row>
        <row r="70">
          <cell r="Q70">
            <v>1850365.7</v>
          </cell>
        </row>
        <row r="71">
          <cell r="Q71">
            <v>814160.95</v>
          </cell>
        </row>
        <row r="72">
          <cell r="Q72">
            <v>2086287.3</v>
          </cell>
        </row>
      </sheetData>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pak"/>
      <sheetName val="İcmal"/>
      <sheetName val="Metraj"/>
      <sheetName val="Liste"/>
    </sheetNames>
    <sheetDataSet>
      <sheetData sheetId="0"/>
      <sheetData sheetId="1">
        <row r="16">
          <cell r="B16" t="str">
            <v>Hakediş Tarihi:</v>
          </cell>
        </row>
      </sheetData>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kediş"/>
      <sheetName val="Hk05"/>
      <sheetName val="0825"/>
      <sheetName val="0725"/>
      <sheetName val="Hk02"/>
      <sheetName val="Hk01"/>
      <sheetName val="BF Liste"/>
      <sheetName val="Hk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 Yazdırma"/>
      <sheetName val="Veri"/>
      <sheetName val="İmza Matris"/>
      <sheetName val="İmza"/>
      <sheetName val="İmza (2)"/>
      <sheetName val="İndeks"/>
      <sheetName val="İmza Yetkilileri"/>
      <sheetName val="Ön Yazı"/>
      <sheetName val="NT Ksnt Tkp (Çıktı Alınmayacak)"/>
      <sheetName val="EFF Ksnt Tkp(Çıktı Alınmayacak)"/>
      <sheetName val="İşçi Alacak"/>
      <sheetName val="İlan"/>
      <sheetName val="Kapak"/>
      <sheetName val="İcmal"/>
      <sheetName val="Teminat Mektupları"/>
      <sheetName val="Teminat Mektupları (FF)"/>
      <sheetName val="Fiyat Farkı İcmal"/>
      <sheetName val="Fiyat Farkı İcmal (2)"/>
      <sheetName val="FF 2502"/>
      <sheetName val="FF 2503"/>
      <sheetName val="FF"/>
      <sheetName val="Y.İ. KAPAK"/>
      <sheetName val="Yapılan İşler Dönemsel"/>
      <sheetName val="Yapılan İşler İcmali"/>
      <sheetName val="Yeşil Defter Kapak"/>
      <sheetName val="Y.D.KAPAK İLK"/>
      <sheetName val="Yeşil Defter Dönemsel"/>
      <sheetName val="Yeşil Defter"/>
      <sheetName val="M.Ö.KAPAK"/>
      <sheetName val="Metraj Özeti"/>
      <sheetName val="İnce Sırtlık"/>
      <sheetName val="İnce Sırtlık (2)"/>
      <sheetName val="Yapılan İşler İcmali Malazgirt"/>
      <sheetName val="Yapılan İşler İcmali Barba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7">
          <cell r="E37">
            <v>145396234.07999998</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row r="16">
          <cell r="AI16">
            <v>0</v>
          </cell>
        </row>
        <row r="17">
          <cell r="AI17">
            <v>0</v>
          </cell>
        </row>
        <row r="18">
          <cell r="AI18">
            <v>0</v>
          </cell>
        </row>
        <row r="19">
          <cell r="AI19">
            <v>0</v>
          </cell>
        </row>
        <row r="20">
          <cell r="AI20">
            <v>0</v>
          </cell>
        </row>
        <row r="21">
          <cell r="AI21">
            <v>0</v>
          </cell>
        </row>
        <row r="22">
          <cell r="AI22">
            <v>0</v>
          </cell>
        </row>
        <row r="23">
          <cell r="AI23">
            <v>0</v>
          </cell>
        </row>
        <row r="24">
          <cell r="AI24">
            <v>0</v>
          </cell>
        </row>
        <row r="25">
          <cell r="AI25">
            <v>0</v>
          </cell>
        </row>
        <row r="26">
          <cell r="AI26">
            <v>0</v>
          </cell>
        </row>
        <row r="27">
          <cell r="AI27">
            <v>0</v>
          </cell>
        </row>
        <row r="28">
          <cell r="AI28">
            <v>0</v>
          </cell>
        </row>
        <row r="29">
          <cell r="AI29">
            <v>0</v>
          </cell>
        </row>
        <row r="30">
          <cell r="AI30">
            <v>0</v>
          </cell>
        </row>
        <row r="31">
          <cell r="AI31">
            <v>0</v>
          </cell>
        </row>
        <row r="32">
          <cell r="AI32">
            <v>0</v>
          </cell>
        </row>
        <row r="33">
          <cell r="AI33">
            <v>0</v>
          </cell>
        </row>
        <row r="34">
          <cell r="AI34">
            <v>0</v>
          </cell>
        </row>
        <row r="35">
          <cell r="AI35">
            <v>0</v>
          </cell>
        </row>
        <row r="36">
          <cell r="AI36">
            <v>0</v>
          </cell>
        </row>
        <row r="37">
          <cell r="AI37">
            <v>0</v>
          </cell>
        </row>
        <row r="38">
          <cell r="AI38">
            <v>0</v>
          </cell>
        </row>
        <row r="39">
          <cell r="AI39">
            <v>0</v>
          </cell>
        </row>
        <row r="40">
          <cell r="AI40">
            <v>0</v>
          </cell>
        </row>
        <row r="41">
          <cell r="AI41">
            <v>0</v>
          </cell>
        </row>
        <row r="42">
          <cell r="AI42">
            <v>0</v>
          </cell>
        </row>
        <row r="43">
          <cell r="AI43">
            <v>0</v>
          </cell>
        </row>
        <row r="44">
          <cell r="AI44">
            <v>0</v>
          </cell>
        </row>
        <row r="45">
          <cell r="AI45">
            <v>0</v>
          </cell>
        </row>
        <row r="46">
          <cell r="AI46">
            <v>0</v>
          </cell>
        </row>
        <row r="47">
          <cell r="AI47">
            <v>0</v>
          </cell>
        </row>
        <row r="48">
          <cell r="AI48">
            <v>0</v>
          </cell>
        </row>
        <row r="49">
          <cell r="AI49">
            <v>0</v>
          </cell>
        </row>
        <row r="50">
          <cell r="AI50">
            <v>0</v>
          </cell>
        </row>
        <row r="51">
          <cell r="AI51">
            <v>0</v>
          </cell>
        </row>
        <row r="52">
          <cell r="AI52">
            <v>0</v>
          </cell>
        </row>
        <row r="53">
          <cell r="AI53">
            <v>0</v>
          </cell>
        </row>
        <row r="54">
          <cell r="AI54">
            <v>0.2455</v>
          </cell>
        </row>
        <row r="55">
          <cell r="AI55">
            <v>0.11950000000000001</v>
          </cell>
        </row>
        <row r="56">
          <cell r="AI56">
            <v>0.2</v>
          </cell>
        </row>
        <row r="57">
          <cell r="AI57">
            <v>0.12550000000000003</v>
          </cell>
        </row>
        <row r="58">
          <cell r="AI58">
            <v>0.11950000000000001</v>
          </cell>
        </row>
        <row r="59">
          <cell r="AI59">
            <v>9.1899999999999996E-2</v>
          </cell>
        </row>
        <row r="60">
          <cell r="AI60">
            <v>0</v>
          </cell>
        </row>
        <row r="61">
          <cell r="AI61">
            <v>0</v>
          </cell>
        </row>
        <row r="62">
          <cell r="AI62">
            <v>0</v>
          </cell>
        </row>
        <row r="63">
          <cell r="AI63">
            <v>0</v>
          </cell>
        </row>
        <row r="64">
          <cell r="AI64">
            <v>0</v>
          </cell>
        </row>
        <row r="65">
          <cell r="AI65"/>
        </row>
        <row r="66">
          <cell r="AI66">
            <v>53746.188000000002</v>
          </cell>
        </row>
        <row r="67">
          <cell r="AI67">
            <v>0</v>
          </cell>
        </row>
        <row r="68">
          <cell r="AI68">
            <v>0</v>
          </cell>
        </row>
        <row r="69">
          <cell r="AI69">
            <v>11287.989999999998</v>
          </cell>
        </row>
        <row r="70">
          <cell r="AI70">
            <v>0</v>
          </cell>
        </row>
        <row r="71">
          <cell r="AI71">
            <v>0</v>
          </cell>
        </row>
        <row r="72">
          <cell r="AI72">
            <v>0</v>
          </cell>
        </row>
        <row r="73">
          <cell r="AI73">
            <v>2492</v>
          </cell>
        </row>
        <row r="74">
          <cell r="AI74">
            <v>0</v>
          </cell>
        </row>
        <row r="75">
          <cell r="AI75">
            <v>2074</v>
          </cell>
        </row>
        <row r="76">
          <cell r="AI76">
            <v>9774</v>
          </cell>
        </row>
        <row r="77">
          <cell r="AI77">
            <v>37566</v>
          </cell>
        </row>
        <row r="78">
          <cell r="AI78">
            <v>0</v>
          </cell>
        </row>
        <row r="79">
          <cell r="AI79">
            <v>2244.4250000000002</v>
          </cell>
        </row>
        <row r="80">
          <cell r="AI80">
            <v>95616</v>
          </cell>
        </row>
        <row r="81">
          <cell r="AI81">
            <v>5086.1019000000106</v>
          </cell>
        </row>
        <row r="82">
          <cell r="AI82">
            <v>2929.7649000000056</v>
          </cell>
        </row>
        <row r="83">
          <cell r="AI83">
            <v>938.72700000000123</v>
          </cell>
        </row>
        <row r="84">
          <cell r="AI84">
            <v>0</v>
          </cell>
        </row>
        <row r="85">
          <cell r="AI85">
            <v>0</v>
          </cell>
        </row>
        <row r="86">
          <cell r="AI86">
            <v>155.322</v>
          </cell>
        </row>
        <row r="87">
          <cell r="AI87">
            <v>0</v>
          </cell>
        </row>
        <row r="88">
          <cell r="AI88">
            <v>1278.4686000000017</v>
          </cell>
        </row>
        <row r="89">
          <cell r="AI89">
            <v>0</v>
          </cell>
        </row>
        <row r="90">
          <cell r="AI90">
            <v>0</v>
          </cell>
        </row>
        <row r="91">
          <cell r="AI91">
            <v>117.03899999999997</v>
          </cell>
        </row>
        <row r="92">
          <cell r="AI92">
            <v>281.45999999999992</v>
          </cell>
        </row>
        <row r="93">
          <cell r="AI93">
            <v>707.92799999999988</v>
          </cell>
        </row>
        <row r="94">
          <cell r="AI94">
            <v>0</v>
          </cell>
        </row>
        <row r="95">
          <cell r="AI95">
            <v>0</v>
          </cell>
        </row>
        <row r="96">
          <cell r="AI96">
            <v>0</v>
          </cell>
        </row>
        <row r="97">
          <cell r="AI97"/>
        </row>
        <row r="98">
          <cell r="AI98">
            <v>0</v>
          </cell>
        </row>
        <row r="99">
          <cell r="AI99">
            <v>0</v>
          </cell>
        </row>
        <row r="100">
          <cell r="AI100">
            <v>0.25349999999999995</v>
          </cell>
        </row>
        <row r="101">
          <cell r="AI101">
            <v>0</v>
          </cell>
        </row>
        <row r="102">
          <cell r="AI102">
            <v>0</v>
          </cell>
        </row>
        <row r="103">
          <cell r="AI103">
            <v>0</v>
          </cell>
        </row>
        <row r="104">
          <cell r="AI104">
            <v>0</v>
          </cell>
        </row>
        <row r="105">
          <cell r="AI105">
            <v>0</v>
          </cell>
        </row>
        <row r="106">
          <cell r="AI106">
            <v>0</v>
          </cell>
        </row>
        <row r="107">
          <cell r="AI107">
            <v>0</v>
          </cell>
        </row>
        <row r="108">
          <cell r="AI108">
            <v>0</v>
          </cell>
        </row>
        <row r="109">
          <cell r="AI109">
            <v>0</v>
          </cell>
        </row>
        <row r="110">
          <cell r="AI110">
            <v>0</v>
          </cell>
        </row>
        <row r="111">
          <cell r="AI111">
            <v>0</v>
          </cell>
        </row>
        <row r="112">
          <cell r="AI112">
            <v>0</v>
          </cell>
        </row>
        <row r="113">
          <cell r="AI113">
            <v>0</v>
          </cell>
        </row>
        <row r="114">
          <cell r="AI114">
            <v>0</v>
          </cell>
        </row>
        <row r="115">
          <cell r="AI115">
            <v>0</v>
          </cell>
        </row>
        <row r="116">
          <cell r="AI116">
            <v>0</v>
          </cell>
        </row>
        <row r="117">
          <cell r="AI117">
            <v>0</v>
          </cell>
        </row>
        <row r="118">
          <cell r="AI118">
            <v>0</v>
          </cell>
        </row>
        <row r="119">
          <cell r="AI119">
            <v>0</v>
          </cell>
        </row>
        <row r="120">
          <cell r="AI120">
            <v>0</v>
          </cell>
        </row>
        <row r="121">
          <cell r="AI121">
            <v>0</v>
          </cell>
        </row>
        <row r="122">
          <cell r="AI122">
            <v>0</v>
          </cell>
        </row>
        <row r="123">
          <cell r="AI123">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32">
          <cell r="AI132">
            <v>0</v>
          </cell>
        </row>
        <row r="133">
          <cell r="AI133">
            <v>0</v>
          </cell>
        </row>
        <row r="134">
          <cell r="AI134">
            <v>0</v>
          </cell>
        </row>
        <row r="135">
          <cell r="AI135">
            <v>0</v>
          </cell>
        </row>
        <row r="136">
          <cell r="AI136">
            <v>0</v>
          </cell>
        </row>
        <row r="137">
          <cell r="AI137">
            <v>0</v>
          </cell>
        </row>
        <row r="138">
          <cell r="AI138">
            <v>0</v>
          </cell>
        </row>
        <row r="139">
          <cell r="AI139">
            <v>0</v>
          </cell>
        </row>
        <row r="140">
          <cell r="AI140">
            <v>0</v>
          </cell>
        </row>
        <row r="141">
          <cell r="AI141">
            <v>0</v>
          </cell>
        </row>
        <row r="142">
          <cell r="AI142">
            <v>0</v>
          </cell>
        </row>
        <row r="143">
          <cell r="AI143">
            <v>0</v>
          </cell>
        </row>
        <row r="144">
          <cell r="AI144">
            <v>0</v>
          </cell>
        </row>
        <row r="145">
          <cell r="AI145">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54">
          <cell r="AI154">
            <v>0</v>
          </cell>
        </row>
        <row r="155">
          <cell r="AI155">
            <v>0</v>
          </cell>
        </row>
        <row r="156">
          <cell r="AI156">
            <v>0</v>
          </cell>
        </row>
        <row r="157">
          <cell r="AI157">
            <v>0</v>
          </cell>
        </row>
        <row r="158">
          <cell r="AI158">
            <v>0</v>
          </cell>
        </row>
        <row r="159">
          <cell r="AI159">
            <v>0</v>
          </cell>
        </row>
        <row r="160">
          <cell r="AI160">
            <v>0</v>
          </cell>
        </row>
        <row r="161">
          <cell r="AI161">
            <v>0</v>
          </cell>
        </row>
        <row r="162">
          <cell r="AI162">
            <v>0</v>
          </cell>
        </row>
        <row r="163">
          <cell r="AI163">
            <v>0</v>
          </cell>
        </row>
        <row r="164">
          <cell r="AI164">
            <v>0</v>
          </cell>
        </row>
        <row r="165">
          <cell r="AI165">
            <v>0</v>
          </cell>
        </row>
        <row r="166">
          <cell r="AI166">
            <v>0</v>
          </cell>
        </row>
        <row r="167">
          <cell r="AI167">
            <v>0</v>
          </cell>
        </row>
        <row r="168">
          <cell r="AI168">
            <v>0</v>
          </cell>
        </row>
        <row r="169">
          <cell r="AI169">
            <v>0</v>
          </cell>
        </row>
        <row r="170">
          <cell r="AI170">
            <v>0</v>
          </cell>
        </row>
        <row r="171">
          <cell r="AI171">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4">
          <cell r="AI184">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3">
          <cell r="AI193">
            <v>0</v>
          </cell>
        </row>
        <row r="194">
          <cell r="AI194">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v>0</v>
          </cell>
        </row>
        <row r="309">
          <cell r="AI309">
            <v>0</v>
          </cell>
        </row>
        <row r="310">
          <cell r="AI310">
            <v>0</v>
          </cell>
        </row>
        <row r="311">
          <cell r="AI311">
            <v>0</v>
          </cell>
        </row>
        <row r="312">
          <cell r="AI312">
            <v>0</v>
          </cell>
        </row>
        <row r="313">
          <cell r="AI313">
            <v>0</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3">
          <cell r="AI333">
            <v>0</v>
          </cell>
        </row>
        <row r="334">
          <cell r="AI334">
            <v>0</v>
          </cell>
        </row>
        <row r="335">
          <cell r="AI335">
            <v>0</v>
          </cell>
        </row>
        <row r="336">
          <cell r="AI336">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362">
          <cell r="AI362">
            <v>0</v>
          </cell>
        </row>
        <row r="363">
          <cell r="AI363">
            <v>0</v>
          </cell>
        </row>
        <row r="364">
          <cell r="AI364">
            <v>0</v>
          </cell>
        </row>
        <row r="365">
          <cell r="AI365">
            <v>0</v>
          </cell>
        </row>
        <row r="366">
          <cell r="AI366">
            <v>0</v>
          </cell>
        </row>
        <row r="367">
          <cell r="AI367">
            <v>0</v>
          </cell>
        </row>
        <row r="368">
          <cell r="AI368">
            <v>0</v>
          </cell>
        </row>
        <row r="369">
          <cell r="AI369">
            <v>0</v>
          </cell>
        </row>
        <row r="370">
          <cell r="AI370">
            <v>0</v>
          </cell>
        </row>
        <row r="371">
          <cell r="AI371">
            <v>0</v>
          </cell>
        </row>
        <row r="372">
          <cell r="AI372">
            <v>0</v>
          </cell>
        </row>
        <row r="373">
          <cell r="AI373">
            <v>0</v>
          </cell>
        </row>
        <row r="374">
          <cell r="AI374">
            <v>0</v>
          </cell>
        </row>
        <row r="375">
          <cell r="AI375">
            <v>0</v>
          </cell>
        </row>
        <row r="376">
          <cell r="AI376">
            <v>0</v>
          </cell>
        </row>
        <row r="377">
          <cell r="AI377">
            <v>0</v>
          </cell>
        </row>
        <row r="378">
          <cell r="AI378">
            <v>0</v>
          </cell>
        </row>
        <row r="379">
          <cell r="AI379">
            <v>0</v>
          </cell>
        </row>
        <row r="380">
          <cell r="AI380">
            <v>0</v>
          </cell>
        </row>
        <row r="381">
          <cell r="AI381">
            <v>0</v>
          </cell>
        </row>
        <row r="382">
          <cell r="AI382">
            <v>0</v>
          </cell>
        </row>
        <row r="383">
          <cell r="AI383">
            <v>0</v>
          </cell>
        </row>
        <row r="384">
          <cell r="AI384">
            <v>0</v>
          </cell>
        </row>
        <row r="385">
          <cell r="AI385">
            <v>0</v>
          </cell>
        </row>
        <row r="386">
          <cell r="AI386">
            <v>0</v>
          </cell>
        </row>
        <row r="387">
          <cell r="AI387">
            <v>0</v>
          </cell>
        </row>
        <row r="388">
          <cell r="AI388">
            <v>0</v>
          </cell>
        </row>
        <row r="389">
          <cell r="AI389">
            <v>0</v>
          </cell>
        </row>
        <row r="390">
          <cell r="AI390">
            <v>0</v>
          </cell>
        </row>
        <row r="391">
          <cell r="AI391">
            <v>0</v>
          </cell>
        </row>
        <row r="392">
          <cell r="AI392">
            <v>0</v>
          </cell>
        </row>
        <row r="393">
          <cell r="AI393">
            <v>0</v>
          </cell>
        </row>
        <row r="394">
          <cell r="AI394">
            <v>0</v>
          </cell>
        </row>
        <row r="395">
          <cell r="AI395">
            <v>0</v>
          </cell>
        </row>
        <row r="396">
          <cell r="AI396">
            <v>0</v>
          </cell>
        </row>
        <row r="397">
          <cell r="AI397">
            <v>0</v>
          </cell>
        </row>
        <row r="398">
          <cell r="AI398">
            <v>0</v>
          </cell>
        </row>
        <row r="399">
          <cell r="AI399">
            <v>0</v>
          </cell>
        </row>
        <row r="400">
          <cell r="AI400">
            <v>0</v>
          </cell>
        </row>
        <row r="401">
          <cell r="AI401">
            <v>0</v>
          </cell>
        </row>
        <row r="402">
          <cell r="AI402">
            <v>0</v>
          </cell>
        </row>
        <row r="403">
          <cell r="AI403">
            <v>0</v>
          </cell>
        </row>
        <row r="404">
          <cell r="AI404">
            <v>0</v>
          </cell>
        </row>
        <row r="405">
          <cell r="AI405">
            <v>0</v>
          </cell>
        </row>
        <row r="406">
          <cell r="AI406">
            <v>0</v>
          </cell>
        </row>
        <row r="407">
          <cell r="AI407">
            <v>0</v>
          </cell>
        </row>
        <row r="408">
          <cell r="AI408">
            <v>0</v>
          </cell>
        </row>
        <row r="409">
          <cell r="AI409">
            <v>0</v>
          </cell>
        </row>
        <row r="410">
          <cell r="AI410">
            <v>0</v>
          </cell>
        </row>
        <row r="411">
          <cell r="AI411">
            <v>0</v>
          </cell>
        </row>
        <row r="412">
          <cell r="AI412">
            <v>0</v>
          </cell>
        </row>
        <row r="413">
          <cell r="AI413">
            <v>0</v>
          </cell>
        </row>
        <row r="414">
          <cell r="AI414">
            <v>0</v>
          </cell>
        </row>
        <row r="415">
          <cell r="AI415">
            <v>0</v>
          </cell>
        </row>
        <row r="416">
          <cell r="AI416">
            <v>0</v>
          </cell>
        </row>
        <row r="417">
          <cell r="AI417">
            <v>0</v>
          </cell>
        </row>
        <row r="418">
          <cell r="AI418">
            <v>0</v>
          </cell>
        </row>
        <row r="419">
          <cell r="AI419">
            <v>0</v>
          </cell>
        </row>
        <row r="420">
          <cell r="AI420">
            <v>0</v>
          </cell>
        </row>
        <row r="421">
          <cell r="AI421">
            <v>0</v>
          </cell>
        </row>
        <row r="422">
          <cell r="AI422">
            <v>0</v>
          </cell>
        </row>
        <row r="423">
          <cell r="AI423">
            <v>0</v>
          </cell>
        </row>
        <row r="424">
          <cell r="AI424">
            <v>0</v>
          </cell>
        </row>
        <row r="425">
          <cell r="AI425">
            <v>0</v>
          </cell>
        </row>
        <row r="426">
          <cell r="AI426">
            <v>0</v>
          </cell>
        </row>
        <row r="427">
          <cell r="AI427">
            <v>0</v>
          </cell>
        </row>
        <row r="428">
          <cell r="AI428">
            <v>0</v>
          </cell>
        </row>
        <row r="429">
          <cell r="AI429">
            <v>0</v>
          </cell>
        </row>
        <row r="430">
          <cell r="AI430">
            <v>0</v>
          </cell>
        </row>
        <row r="431">
          <cell r="AI431">
            <v>0</v>
          </cell>
        </row>
        <row r="432">
          <cell r="AI432">
            <v>0</v>
          </cell>
        </row>
        <row r="433">
          <cell r="AI433">
            <v>0</v>
          </cell>
        </row>
        <row r="434">
          <cell r="AI434">
            <v>0</v>
          </cell>
        </row>
        <row r="435">
          <cell r="AI435">
            <v>0</v>
          </cell>
        </row>
        <row r="436">
          <cell r="AI436">
            <v>0</v>
          </cell>
        </row>
        <row r="437">
          <cell r="AI437">
            <v>0</v>
          </cell>
        </row>
        <row r="438">
          <cell r="AI438">
            <v>0</v>
          </cell>
        </row>
        <row r="439">
          <cell r="AI439">
            <v>0</v>
          </cell>
        </row>
        <row r="440">
          <cell r="AI440">
            <v>0</v>
          </cell>
        </row>
        <row r="441">
          <cell r="AI441">
            <v>0</v>
          </cell>
        </row>
        <row r="442">
          <cell r="AI442">
            <v>0</v>
          </cell>
        </row>
        <row r="443">
          <cell r="AI443">
            <v>0</v>
          </cell>
        </row>
        <row r="444">
          <cell r="AI444">
            <v>0</v>
          </cell>
        </row>
        <row r="445">
          <cell r="AI445">
            <v>0</v>
          </cell>
        </row>
        <row r="446">
          <cell r="AI446">
            <v>0</v>
          </cell>
        </row>
        <row r="447">
          <cell r="AI447">
            <v>0</v>
          </cell>
        </row>
        <row r="448">
          <cell r="AI448">
            <v>0</v>
          </cell>
        </row>
        <row r="449">
          <cell r="AI449">
            <v>0</v>
          </cell>
        </row>
        <row r="450">
          <cell r="AI450">
            <v>0</v>
          </cell>
        </row>
        <row r="451">
          <cell r="AI451">
            <v>0</v>
          </cell>
        </row>
        <row r="452">
          <cell r="AI452">
            <v>0</v>
          </cell>
        </row>
        <row r="453">
          <cell r="AI453">
            <v>0</v>
          </cell>
        </row>
        <row r="454">
          <cell r="AI454">
            <v>0</v>
          </cell>
        </row>
        <row r="455">
          <cell r="AI455">
            <v>0</v>
          </cell>
        </row>
        <row r="456">
          <cell r="AI456">
            <v>0</v>
          </cell>
        </row>
        <row r="457">
          <cell r="AI457">
            <v>0</v>
          </cell>
        </row>
        <row r="458">
          <cell r="AI458">
            <v>0</v>
          </cell>
        </row>
        <row r="459">
          <cell r="AI459">
            <v>0</v>
          </cell>
        </row>
        <row r="460">
          <cell r="AI460">
            <v>0</v>
          </cell>
        </row>
        <row r="461">
          <cell r="AI461">
            <v>0</v>
          </cell>
        </row>
        <row r="462">
          <cell r="AI462">
            <v>0</v>
          </cell>
        </row>
        <row r="463">
          <cell r="AI463">
            <v>0</v>
          </cell>
        </row>
        <row r="464">
          <cell r="AI464">
            <v>0</v>
          </cell>
        </row>
        <row r="465">
          <cell r="AI465">
            <v>0</v>
          </cell>
        </row>
        <row r="466">
          <cell r="AI466">
            <v>0</v>
          </cell>
        </row>
        <row r="467">
          <cell r="AI467">
            <v>0</v>
          </cell>
        </row>
        <row r="468">
          <cell r="AI468">
            <v>0</v>
          </cell>
        </row>
        <row r="469">
          <cell r="AI469">
            <v>0</v>
          </cell>
        </row>
        <row r="470">
          <cell r="AI470">
            <v>0</v>
          </cell>
        </row>
        <row r="471">
          <cell r="AI471">
            <v>0</v>
          </cell>
        </row>
        <row r="472">
          <cell r="AI472">
            <v>0</v>
          </cell>
        </row>
        <row r="473">
          <cell r="AI473">
            <v>0</v>
          </cell>
        </row>
        <row r="474">
          <cell r="AI474">
            <v>0</v>
          </cell>
        </row>
        <row r="475">
          <cell r="AI475">
            <v>0</v>
          </cell>
        </row>
        <row r="476">
          <cell r="AI476">
            <v>0</v>
          </cell>
        </row>
        <row r="477">
          <cell r="AI477">
            <v>0</v>
          </cell>
        </row>
        <row r="478">
          <cell r="AI478">
            <v>0</v>
          </cell>
        </row>
        <row r="479">
          <cell r="AI479">
            <v>0</v>
          </cell>
        </row>
        <row r="480">
          <cell r="AI480">
            <v>0</v>
          </cell>
        </row>
        <row r="481">
          <cell r="AI481">
            <v>0</v>
          </cell>
        </row>
        <row r="482">
          <cell r="AI482">
            <v>0</v>
          </cell>
        </row>
        <row r="483">
          <cell r="AI483">
            <v>0</v>
          </cell>
        </row>
        <row r="484">
          <cell r="AI484">
            <v>0</v>
          </cell>
        </row>
        <row r="485">
          <cell r="AI485">
            <v>0</v>
          </cell>
        </row>
        <row r="486">
          <cell r="AI486">
            <v>0</v>
          </cell>
        </row>
        <row r="487">
          <cell r="AI487">
            <v>0</v>
          </cell>
        </row>
        <row r="488">
          <cell r="AI488">
            <v>0</v>
          </cell>
        </row>
        <row r="489">
          <cell r="AI489">
            <v>0</v>
          </cell>
        </row>
        <row r="490">
          <cell r="AI490">
            <v>0</v>
          </cell>
        </row>
        <row r="491">
          <cell r="AI491">
            <v>0</v>
          </cell>
        </row>
        <row r="492">
          <cell r="AI492">
            <v>0</v>
          </cell>
        </row>
        <row r="493">
          <cell r="AI493">
            <v>0</v>
          </cell>
        </row>
        <row r="494">
          <cell r="AI494">
            <v>0</v>
          </cell>
        </row>
        <row r="495">
          <cell r="AI495">
            <v>0</v>
          </cell>
        </row>
        <row r="496">
          <cell r="AI496">
            <v>0</v>
          </cell>
        </row>
        <row r="497">
          <cell r="AI497">
            <v>0</v>
          </cell>
        </row>
        <row r="498">
          <cell r="AI498">
            <v>0</v>
          </cell>
        </row>
        <row r="499">
          <cell r="AI499">
            <v>0</v>
          </cell>
        </row>
        <row r="500">
          <cell r="AI500">
            <v>0</v>
          </cell>
        </row>
        <row r="501">
          <cell r="AI501">
            <v>0</v>
          </cell>
        </row>
        <row r="502">
          <cell r="AI502">
            <v>0</v>
          </cell>
        </row>
        <row r="503">
          <cell r="AI503">
            <v>0</v>
          </cell>
        </row>
        <row r="504">
          <cell r="AI504">
            <v>0</v>
          </cell>
        </row>
        <row r="505">
          <cell r="AI505">
            <v>0</v>
          </cell>
        </row>
        <row r="506">
          <cell r="AI506">
            <v>0</v>
          </cell>
        </row>
        <row r="507">
          <cell r="AI507">
            <v>0</v>
          </cell>
        </row>
        <row r="508">
          <cell r="AI508">
            <v>0</v>
          </cell>
        </row>
        <row r="509">
          <cell r="AI509">
            <v>0</v>
          </cell>
        </row>
        <row r="510">
          <cell r="AI510">
            <v>0</v>
          </cell>
        </row>
        <row r="511">
          <cell r="AI511">
            <v>0</v>
          </cell>
        </row>
        <row r="512">
          <cell r="AI512">
            <v>0</v>
          </cell>
        </row>
        <row r="513">
          <cell r="AI513"/>
        </row>
      </sheetData>
      <sheetData sheetId="30"/>
      <sheetData sheetId="31"/>
      <sheetData sheetId="32"/>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rbaros 1225"/>
      <sheetName val="Barbaros 1125"/>
      <sheetName val="Barbaros 1025"/>
      <sheetName val="Barbaros 0925"/>
      <sheetName val="Barbaros 0825"/>
      <sheetName val="Barbaros 0725"/>
      <sheetName val="Barbaros 0625"/>
      <sheetName val="Kapak"/>
      <sheetName val="ÖZET"/>
      <sheetName val="Malazgirt 0625"/>
      <sheetName val="Malazgirt 0725"/>
      <sheetName val="Malazgirt 0825"/>
      <sheetName val="Malazgirt 0925"/>
      <sheetName val="Malazgirt 1025"/>
      <sheetName val="Malazgirt 1125"/>
      <sheetName val="Malazgirt 1225"/>
      <sheetName val="Barbaros 0126"/>
      <sheetName val="Malazgirt 0126"/>
      <sheetName val="Barbaros 0226"/>
      <sheetName val="Malazgirt 0226"/>
      <sheetName val="Barbaros 0326"/>
      <sheetName val="Malazgirt 0326"/>
      <sheetName val="Barbaros 0426"/>
    </sheetNames>
    <sheetDataSet>
      <sheetData sheetId="0">
        <row r="3">
          <cell r="H3">
            <v>3128.87</v>
          </cell>
        </row>
      </sheetData>
      <sheetData sheetId="1">
        <row r="3">
          <cell r="H3">
            <v>3865.12</v>
          </cell>
        </row>
      </sheetData>
      <sheetData sheetId="2">
        <row r="3">
          <cell r="H3">
            <v>4064.9949999999999</v>
          </cell>
        </row>
      </sheetData>
      <sheetData sheetId="3">
        <row r="3">
          <cell r="H3">
            <v>4312.2060000000001</v>
          </cell>
        </row>
      </sheetData>
      <sheetData sheetId="4">
        <row r="3">
          <cell r="H3">
            <v>3418.4089999999997</v>
          </cell>
        </row>
      </sheetData>
      <sheetData sheetId="5">
        <row r="3">
          <cell r="H3">
            <v>1740.5750000000003</v>
          </cell>
        </row>
      </sheetData>
      <sheetData sheetId="6">
        <row r="3">
          <cell r="H3">
            <v>0</v>
          </cell>
        </row>
      </sheetData>
      <sheetData sheetId="7">
        <row r="3">
          <cell r="H3"/>
        </row>
      </sheetData>
      <sheetData sheetId="8">
        <row r="3">
          <cell r="H3"/>
        </row>
      </sheetData>
      <sheetData sheetId="9">
        <row r="3">
          <cell r="H3">
            <v>758.02300000000014</v>
          </cell>
        </row>
      </sheetData>
      <sheetData sheetId="10">
        <row r="3">
          <cell r="H3">
            <v>2634.3920000000003</v>
          </cell>
        </row>
      </sheetData>
      <sheetData sheetId="11">
        <row r="3">
          <cell r="H3">
            <v>3374.8189999999995</v>
          </cell>
        </row>
      </sheetData>
      <sheetData sheetId="12">
        <row r="3">
          <cell r="H3">
            <v>3513.1549999999997</v>
          </cell>
        </row>
      </sheetData>
      <sheetData sheetId="13">
        <row r="3">
          <cell r="H3">
            <v>3595.5440000000003</v>
          </cell>
        </row>
      </sheetData>
      <sheetData sheetId="14">
        <row r="3">
          <cell r="H3">
            <v>3680.9380000000006</v>
          </cell>
        </row>
      </sheetData>
      <sheetData sheetId="15">
        <row r="3">
          <cell r="H3">
            <v>2739.6740000000004</v>
          </cell>
        </row>
      </sheetData>
      <sheetData sheetId="16">
        <row r="3">
          <cell r="H3">
            <v>3372.0150000000003</v>
          </cell>
        </row>
      </sheetData>
      <sheetData sheetId="17">
        <row r="3">
          <cell r="H3">
            <v>2510.7960000000003</v>
          </cell>
        </row>
      </sheetData>
      <sheetData sheetId="18">
        <row r="3">
          <cell r="H3">
            <v>2841.64</v>
          </cell>
        </row>
      </sheetData>
      <sheetData sheetId="19">
        <row r="3">
          <cell r="H3">
            <v>1397.9109999999998</v>
          </cell>
        </row>
      </sheetData>
      <sheetData sheetId="20">
        <row r="3">
          <cell r="H3">
            <v>2797.1059999999998</v>
          </cell>
        </row>
      </sheetData>
      <sheetData sheetId="21">
        <row r="3">
          <cell r="H3">
            <v>0</v>
          </cell>
        </row>
      </sheetData>
      <sheetData sheetId="22">
        <row r="3">
          <cell r="H3">
            <v>1909.8839999999998</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pak "/>
      <sheetName val="İcmal"/>
      <sheetName val="033 yeni"/>
      <sheetName val="033 yeni pursantaj onaylı"/>
      <sheetName val="LS.018 (Hakediş) eski iş"/>
      <sheetName val="LS.018 (Alt Pursantaj) eski iş"/>
    </sheetNames>
    <sheetDataSet>
      <sheetData sheetId="0"/>
      <sheetData sheetId="1">
        <row r="20">
          <cell r="M20">
            <v>6.5803125000000018E-2</v>
          </cell>
        </row>
      </sheetData>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apak "/>
      <sheetName val="Kapak"/>
      <sheetName val="İcmal"/>
      <sheetName val="034"/>
      <sheetName val="Liste"/>
    </sheetNames>
    <sheetDataSet>
      <sheetData sheetId="0"/>
      <sheetData sheetId="1"/>
      <sheetData sheetId="2">
        <row r="20">
          <cell r="L20">
            <v>1.6900000000000026E-2</v>
          </cell>
        </row>
      </sheetData>
      <sheetData sheetId="3">
        <row r="21">
          <cell r="K21">
            <v>0.27039999999999997</v>
          </cell>
        </row>
      </sheetData>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kediş"/>
      <sheetName val="Hk05"/>
      <sheetName val="0825"/>
      <sheetName val="0725"/>
      <sheetName val="Hk02"/>
      <sheetName val="Hk01"/>
      <sheetName val="BF Liste"/>
      <sheetName val="Hk04"/>
    </sheetNames>
    <sheetDataSet>
      <sheetData sheetId="0">
        <row r="51">
          <cell r="J51">
            <v>1909.8839999999998</v>
          </cell>
        </row>
        <row r="52">
          <cell r="J52">
            <v>0</v>
          </cell>
        </row>
        <row r="53">
          <cell r="J53">
            <v>0</v>
          </cell>
        </row>
        <row r="54">
          <cell r="J54">
            <v>298.29100000000005</v>
          </cell>
        </row>
        <row r="55">
          <cell r="J55">
            <v>0</v>
          </cell>
        </row>
        <row r="56">
          <cell r="J56">
            <v>0</v>
          </cell>
        </row>
        <row r="57">
          <cell r="J57">
            <v>0</v>
          </cell>
        </row>
        <row r="58">
          <cell r="J58">
            <v>0</v>
          </cell>
        </row>
        <row r="59">
          <cell r="J59">
            <v>0</v>
          </cell>
        </row>
        <row r="60">
          <cell r="J60">
            <v>0</v>
          </cell>
        </row>
        <row r="61">
          <cell r="J61">
            <v>480</v>
          </cell>
        </row>
        <row r="62">
          <cell r="J62">
            <v>0</v>
          </cell>
        </row>
        <row r="63">
          <cell r="J63">
            <v>0</v>
          </cell>
        </row>
        <row r="64">
          <cell r="J64">
            <v>68.646000000000001</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7.4200000000000008</v>
          </cell>
        </row>
        <row r="77">
          <cell r="J77">
            <v>0</v>
          </cell>
        </row>
        <row r="78">
          <cell r="J78">
            <v>22.183</v>
          </cell>
        </row>
        <row r="79">
          <cell r="J79">
            <v>0</v>
          </cell>
        </row>
        <row r="80">
          <cell r="J80">
            <v>0</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Sinan UZER" id="{C3C3BED8-56F1-4415-9CC7-3C9A5DD492E5}" userId="S::suzer@kalyonholding.com::e6c944bc-64e1-48e7-9717-82bcfbc43d1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X20" dT="2025-04-17T07:22:17.56" personId="{C3C3BED8-56F1-4415-9CC7-3C9A5DD492E5}" id="{9FE2E356-C129-497E-A7EF-B5FB3263D30B}">
    <text>Barbaros Uygulama Mart Sunumu</text>
  </threadedComment>
</ThreadedComments>
</file>

<file path=xl/threadedComments/threadedComment2.xml><?xml version="1.0" encoding="utf-8"?>
<ThreadedComments xmlns="http://schemas.microsoft.com/office/spreadsheetml/2018/threadedcomments" xmlns:x="http://schemas.openxmlformats.org/spreadsheetml/2006/main">
  <threadedComment ref="X19" dT="2025-04-17T07:22:17.56" personId="{C3C3BED8-56F1-4415-9CC7-3C9A5DD492E5}" id="{69ACC122-5BE5-489D-BB41-8FFF1662C5DD}">
    <text>Barbaros Uygulama Mart Sunumu</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5.vml"/><Relationship Id="rId1" Type="http://schemas.openxmlformats.org/officeDocument/2006/relationships/printerSettings" Target="../printerSettings/printerSettings15.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54E2-D876-42BC-903A-376632393E1C}">
  <sheetPr codeName="Sayfa1"/>
  <dimension ref="A1:L19"/>
  <sheetViews>
    <sheetView workbookViewId="0">
      <selection activeCell="M18" sqref="M18"/>
    </sheetView>
  </sheetViews>
  <sheetFormatPr defaultRowHeight="15" customHeight="1" x14ac:dyDescent="0.3"/>
  <cols>
    <col min="1" max="2" width="22.33203125" style="11" bestFit="1" customWidth="1"/>
    <col min="3" max="3" width="2" style="11" bestFit="1" customWidth="1"/>
    <col min="4" max="4" width="7.33203125" style="11" bestFit="1" customWidth="1"/>
    <col min="5" max="5" width="6.5546875" style="11" bestFit="1" customWidth="1"/>
    <col min="6" max="16384" width="8.88671875" style="11"/>
  </cols>
  <sheetData>
    <row r="1" spans="1:12" ht="15" customHeight="1" x14ac:dyDescent="0.3">
      <c r="A1" s="19">
        <f>+Kapak!N33</f>
        <v>56623824.069999993</v>
      </c>
      <c r="B1" s="11" t="str">
        <f>+D3&amp;D4&amp;D5&amp;E5&amp;D6&amp;D7&amp;D8&amp;E8&amp;D9&amp;D10&amp;D11&amp;E11&amp;D12&amp;D13&amp;D14&amp;E14&amp;D15&amp;D16&amp;D17&amp;E17&amp;D18&amp;D19&amp;E19</f>
        <v>ElliAltıMilyonAltıyüzYirmiÜçBinSekizyüzYirmiDörtLiraYediKuruş</v>
      </c>
    </row>
    <row r="2" spans="1:12" ht="15" customHeight="1" x14ac:dyDescent="0.3">
      <c r="A2" s="19"/>
    </row>
    <row r="3" spans="1:12" ht="15" customHeight="1" x14ac:dyDescent="0.3">
      <c r="A3" s="21">
        <f>+A1</f>
        <v>56623824.069999993</v>
      </c>
      <c r="B3" s="21">
        <v>100000000000000</v>
      </c>
      <c r="C3" s="20">
        <f>+ROUNDDOWN(A3/B3,0)</f>
        <v>0</v>
      </c>
      <c r="D3" s="20" t="str">
        <f>+IF(C3=0,"",VLOOKUP(C3,$K$3:$L$11,2,FALSE))</f>
        <v/>
      </c>
      <c r="E3" s="20"/>
      <c r="G3" s="23">
        <v>1</v>
      </c>
      <c r="H3" s="20" t="s">
        <v>66</v>
      </c>
      <c r="I3" s="23">
        <v>1</v>
      </c>
      <c r="J3" s="20" t="s">
        <v>75</v>
      </c>
      <c r="K3" s="23">
        <v>1</v>
      </c>
      <c r="L3" s="20" t="s">
        <v>84</v>
      </c>
    </row>
    <row r="4" spans="1:12" ht="15" customHeight="1" x14ac:dyDescent="0.3">
      <c r="A4" s="22">
        <f>+ROUND(A3-B3*C3,2)</f>
        <v>56623824.07</v>
      </c>
      <c r="B4" s="21">
        <v>10000000000000</v>
      </c>
      <c r="C4" s="20">
        <f t="shared" ref="C4:C19" si="0">+ROUNDDOWN(A4/B4,0)</f>
        <v>0</v>
      </c>
      <c r="D4" s="20" t="str">
        <f>+IF(C4=0,"",VLOOKUP(C4,$I$3:$J$11,2,FALSE))</f>
        <v/>
      </c>
      <c r="E4" s="20"/>
      <c r="G4" s="23">
        <v>2</v>
      </c>
      <c r="H4" s="20" t="s">
        <v>67</v>
      </c>
      <c r="I4" s="23">
        <v>2</v>
      </c>
      <c r="J4" s="20" t="s">
        <v>76</v>
      </c>
      <c r="K4" s="23">
        <v>2</v>
      </c>
      <c r="L4" s="20" t="s">
        <v>85</v>
      </c>
    </row>
    <row r="5" spans="1:12" ht="15" customHeight="1" x14ac:dyDescent="0.3">
      <c r="A5" s="22">
        <f t="shared" ref="A5:A19" si="1">+ROUND(A4-B4*C4,2)</f>
        <v>56623824.07</v>
      </c>
      <c r="B5" s="21">
        <v>1000000000000</v>
      </c>
      <c r="C5" s="20">
        <f t="shared" si="0"/>
        <v>0</v>
      </c>
      <c r="D5" s="20" t="str">
        <f>+IF(C5=0,"",VLOOKUP(C5,$G$3:$H$11,2,FALSE))</f>
        <v/>
      </c>
      <c r="E5" s="20" t="str">
        <f>+IF(SUM(C3:C5)&gt;0,"Trilyon","")</f>
        <v/>
      </c>
      <c r="G5" s="23">
        <v>3</v>
      </c>
      <c r="H5" s="20" t="s">
        <v>68</v>
      </c>
      <c r="I5" s="23">
        <v>3</v>
      </c>
      <c r="J5" s="20" t="s">
        <v>77</v>
      </c>
      <c r="K5" s="23">
        <v>3</v>
      </c>
      <c r="L5" s="20" t="s">
        <v>86</v>
      </c>
    </row>
    <row r="6" spans="1:12" ht="15" customHeight="1" x14ac:dyDescent="0.3">
      <c r="A6" s="22">
        <f t="shared" si="1"/>
        <v>56623824.07</v>
      </c>
      <c r="B6" s="21">
        <v>100000000000</v>
      </c>
      <c r="C6" s="20">
        <f t="shared" si="0"/>
        <v>0</v>
      </c>
      <c r="D6" s="20" t="str">
        <f>+IF(C6=0,"",VLOOKUP(C6,$K$3:$L$11,2,FALSE))</f>
        <v/>
      </c>
      <c r="E6" s="20"/>
      <c r="G6" s="23">
        <v>4</v>
      </c>
      <c r="H6" s="20" t="s">
        <v>69</v>
      </c>
      <c r="I6" s="23">
        <v>4</v>
      </c>
      <c r="J6" s="20" t="s">
        <v>78</v>
      </c>
      <c r="K6" s="23">
        <v>4</v>
      </c>
      <c r="L6" s="20" t="s">
        <v>87</v>
      </c>
    </row>
    <row r="7" spans="1:12" ht="15" customHeight="1" x14ac:dyDescent="0.3">
      <c r="A7" s="22">
        <f t="shared" si="1"/>
        <v>56623824.07</v>
      </c>
      <c r="B7" s="21">
        <v>10000000000</v>
      </c>
      <c r="C7" s="20">
        <f t="shared" si="0"/>
        <v>0</v>
      </c>
      <c r="D7" s="20" t="str">
        <f>+IF(C7=0,"",VLOOKUP(C7,$I$3:$J$11,2,FALSE))</f>
        <v/>
      </c>
      <c r="E7" s="20"/>
      <c r="G7" s="23">
        <v>5</v>
      </c>
      <c r="H7" s="20" t="s">
        <v>70</v>
      </c>
      <c r="I7" s="23">
        <v>5</v>
      </c>
      <c r="J7" s="20" t="s">
        <v>79</v>
      </c>
      <c r="K7" s="23">
        <v>5</v>
      </c>
      <c r="L7" s="20" t="s">
        <v>88</v>
      </c>
    </row>
    <row r="8" spans="1:12" ht="15" customHeight="1" x14ac:dyDescent="0.3">
      <c r="A8" s="22">
        <f t="shared" si="1"/>
        <v>56623824.07</v>
      </c>
      <c r="B8" s="21">
        <v>1000000000</v>
      </c>
      <c r="C8" s="20">
        <f t="shared" si="0"/>
        <v>0</v>
      </c>
      <c r="D8" s="20" t="str">
        <f>+IF(C8=0,"",VLOOKUP(C8,$G$3:$H$11,2,FALSE))</f>
        <v/>
      </c>
      <c r="E8" s="20" t="str">
        <f>+IF(SUM(C6:C8)&gt;0,"Milyar","")</f>
        <v/>
      </c>
      <c r="G8" s="23">
        <v>6</v>
      </c>
      <c r="H8" s="20" t="s">
        <v>71</v>
      </c>
      <c r="I8" s="23">
        <v>6</v>
      </c>
      <c r="J8" s="20" t="s">
        <v>80</v>
      </c>
      <c r="K8" s="23">
        <v>6</v>
      </c>
      <c r="L8" s="20" t="s">
        <v>89</v>
      </c>
    </row>
    <row r="9" spans="1:12" ht="15" customHeight="1" x14ac:dyDescent="0.3">
      <c r="A9" s="22">
        <f t="shared" si="1"/>
        <v>56623824.07</v>
      </c>
      <c r="B9" s="21">
        <v>100000000</v>
      </c>
      <c r="C9" s="20">
        <f t="shared" si="0"/>
        <v>0</v>
      </c>
      <c r="D9" s="20" t="str">
        <f>+IF(C9=0,"",VLOOKUP(C9,$K$3:$L$11,2,FALSE))</f>
        <v/>
      </c>
      <c r="E9" s="20"/>
      <c r="G9" s="23">
        <v>7</v>
      </c>
      <c r="H9" s="20" t="s">
        <v>72</v>
      </c>
      <c r="I9" s="23">
        <v>7</v>
      </c>
      <c r="J9" s="20" t="s">
        <v>81</v>
      </c>
      <c r="K9" s="23">
        <v>7</v>
      </c>
      <c r="L9" s="20" t="s">
        <v>90</v>
      </c>
    </row>
    <row r="10" spans="1:12" ht="15" customHeight="1" x14ac:dyDescent="0.3">
      <c r="A10" s="22">
        <f t="shared" si="1"/>
        <v>56623824.07</v>
      </c>
      <c r="B10" s="21">
        <v>10000000</v>
      </c>
      <c r="C10" s="20">
        <f t="shared" si="0"/>
        <v>5</v>
      </c>
      <c r="D10" s="20" t="str">
        <f>+IF(C10=0,"",VLOOKUP(C10,$I$3:$J$11,2,FALSE))</f>
        <v>Elli</v>
      </c>
      <c r="E10" s="20"/>
      <c r="G10" s="23">
        <v>8</v>
      </c>
      <c r="H10" s="20" t="s">
        <v>73</v>
      </c>
      <c r="I10" s="23">
        <v>8</v>
      </c>
      <c r="J10" s="20" t="s">
        <v>82</v>
      </c>
      <c r="K10" s="23">
        <v>8</v>
      </c>
      <c r="L10" s="20" t="s">
        <v>91</v>
      </c>
    </row>
    <row r="11" spans="1:12" ht="15" customHeight="1" x14ac:dyDescent="0.3">
      <c r="A11" s="22">
        <f t="shared" si="1"/>
        <v>6623824.0700000003</v>
      </c>
      <c r="B11" s="21">
        <v>1000000</v>
      </c>
      <c r="C11" s="20">
        <f t="shared" si="0"/>
        <v>6</v>
      </c>
      <c r="D11" s="20" t="str">
        <f>+IF(C11=0,"",VLOOKUP(C11,$G$3:$H$11,2,FALSE))</f>
        <v>Altı</v>
      </c>
      <c r="E11" s="20" t="str">
        <f>+IF(SUM(C9:C11)&gt;0,"Milyon","")</f>
        <v>Milyon</v>
      </c>
      <c r="G11" s="23">
        <v>9</v>
      </c>
      <c r="H11" s="20" t="s">
        <v>74</v>
      </c>
      <c r="I11" s="23">
        <v>9</v>
      </c>
      <c r="J11" s="20" t="s">
        <v>83</v>
      </c>
      <c r="K11" s="23">
        <v>9</v>
      </c>
      <c r="L11" s="20" t="s">
        <v>92</v>
      </c>
    </row>
    <row r="12" spans="1:12" ht="15" customHeight="1" x14ac:dyDescent="0.3">
      <c r="A12" s="22">
        <f t="shared" si="1"/>
        <v>623824.06999999995</v>
      </c>
      <c r="B12" s="21">
        <v>100000</v>
      </c>
      <c r="C12" s="20">
        <f t="shared" si="0"/>
        <v>6</v>
      </c>
      <c r="D12" s="20" t="str">
        <f>+IF(C12=0,"",VLOOKUP(C12,$K$3:$L$11,2,FALSE))</f>
        <v>Altıyüz</v>
      </c>
      <c r="E12" s="20"/>
    </row>
    <row r="13" spans="1:12" ht="15" customHeight="1" x14ac:dyDescent="0.3">
      <c r="A13" s="22">
        <f t="shared" si="1"/>
        <v>23824.07</v>
      </c>
      <c r="B13" s="21">
        <v>10000</v>
      </c>
      <c r="C13" s="20">
        <f t="shared" si="0"/>
        <v>2</v>
      </c>
      <c r="D13" s="20" t="str">
        <f>+IF(C13=0,"",VLOOKUP(C13,$I$3:$J$11,2,FALSE))</f>
        <v>Yirmi</v>
      </c>
      <c r="E13" s="20"/>
    </row>
    <row r="14" spans="1:12" ht="15" customHeight="1" x14ac:dyDescent="0.3">
      <c r="A14" s="22">
        <f t="shared" si="1"/>
        <v>3824.07</v>
      </c>
      <c r="B14" s="21">
        <v>1000</v>
      </c>
      <c r="C14" s="20">
        <f t="shared" si="0"/>
        <v>3</v>
      </c>
      <c r="D14" s="20" t="str">
        <f>+IF(C14=0,"",VLOOKUP(C14,$G$3:$H$11,2,FALSE))</f>
        <v>Üç</v>
      </c>
      <c r="E14" s="20" t="str">
        <f>+IF(SUM(C12:C14)&gt;0,"Bin","")</f>
        <v>Bin</v>
      </c>
    </row>
    <row r="15" spans="1:12" ht="15" customHeight="1" x14ac:dyDescent="0.3">
      <c r="A15" s="22">
        <f t="shared" si="1"/>
        <v>824.07</v>
      </c>
      <c r="B15" s="21">
        <v>100</v>
      </c>
      <c r="C15" s="20">
        <f t="shared" si="0"/>
        <v>8</v>
      </c>
      <c r="D15" s="20" t="str">
        <f>+IF(C15=0,"",VLOOKUP(C15,$K$3:$L$11,2,FALSE))</f>
        <v>Sekizyüz</v>
      </c>
      <c r="E15" s="20"/>
    </row>
    <row r="16" spans="1:12" ht="15" customHeight="1" x14ac:dyDescent="0.3">
      <c r="A16" s="22">
        <f t="shared" si="1"/>
        <v>24.07</v>
      </c>
      <c r="B16" s="21">
        <v>10</v>
      </c>
      <c r="C16" s="20">
        <f t="shared" si="0"/>
        <v>2</v>
      </c>
      <c r="D16" s="20" t="str">
        <f>+IF(C16=0,"",VLOOKUP(C16,$I$3:$J$11,2,FALSE))</f>
        <v>Yirmi</v>
      </c>
      <c r="E16" s="20"/>
    </row>
    <row r="17" spans="1:8" ht="15" customHeight="1" x14ac:dyDescent="0.3">
      <c r="A17" s="22">
        <f t="shared" si="1"/>
        <v>4.07</v>
      </c>
      <c r="B17" s="21">
        <v>1</v>
      </c>
      <c r="C17" s="20">
        <f t="shared" si="0"/>
        <v>4</v>
      </c>
      <c r="D17" s="20" t="str">
        <f>+IF(C17=0,"",VLOOKUP(C17,$G$3:$H$11,2,FALSE))</f>
        <v>Dört</v>
      </c>
      <c r="E17" s="20" t="str">
        <f>+IF(SUM(C3:C17)&gt;0,"Lira","")</f>
        <v>Lira</v>
      </c>
    </row>
    <row r="18" spans="1:8" ht="15" customHeight="1" x14ac:dyDescent="0.3">
      <c r="A18" s="22">
        <f t="shared" si="1"/>
        <v>7.0000000000000007E-2</v>
      </c>
      <c r="B18" s="21">
        <v>0.1</v>
      </c>
      <c r="C18" s="20">
        <f t="shared" si="0"/>
        <v>0</v>
      </c>
      <c r="D18" s="20" t="str">
        <f>+IF(C18=0,"",VLOOKUP(C18,$I$3:$J$11,2,FALSE))</f>
        <v/>
      </c>
      <c r="E18" s="20"/>
    </row>
    <row r="19" spans="1:8" ht="15" customHeight="1" x14ac:dyDescent="0.3">
      <c r="A19" s="22">
        <f t="shared" si="1"/>
        <v>7.0000000000000007E-2</v>
      </c>
      <c r="B19" s="21">
        <v>0.01</v>
      </c>
      <c r="C19" s="20">
        <f t="shared" si="0"/>
        <v>7</v>
      </c>
      <c r="D19" s="20" t="str">
        <f>+IF(C19=0,"",VLOOKUP(C19,$G$3:$H$11,2,FALSE))</f>
        <v>Yedi</v>
      </c>
      <c r="E19" s="20" t="str">
        <f>+IF(SUM(C18:C19)&gt;0,"Kuruş","")</f>
        <v>Kuruş</v>
      </c>
      <c r="H19" s="273"/>
    </row>
  </sheetData>
  <pageMargins left="0.7" right="0.7" top="0.75" bottom="0.75" header="0.3" footer="0.3"/>
  <headerFooter>
    <oddHeader>&amp;L&amp;"Aptos"&amp;10&amp;K008000 Herkese Açık (Public)&amp;1#_x000D_</oddHeader>
    <oddFooter>&amp;L_x000D_&amp;1#&amp;"Aptos"&amp;10&amp;K008000 Herkese Açık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2"/>
  <dimension ref="A1:F52"/>
  <sheetViews>
    <sheetView workbookViewId="0">
      <selection activeCell="E13" sqref="E13"/>
    </sheetView>
  </sheetViews>
  <sheetFormatPr defaultRowHeight="15" customHeight="1" x14ac:dyDescent="0.3"/>
  <cols>
    <col min="1" max="1" width="47.6640625" style="11" bestFit="1" customWidth="1"/>
    <col min="2" max="2" width="1.5546875" style="11" bestFit="1" customWidth="1"/>
    <col min="3" max="3" width="96.77734375" style="11" bestFit="1" customWidth="1"/>
    <col min="4" max="4" width="8.88671875" style="11"/>
    <col min="5" max="5" width="10.109375" style="11" bestFit="1" customWidth="1"/>
    <col min="6" max="6" width="9.109375" style="11" bestFit="1" customWidth="1"/>
    <col min="7" max="16384" width="8.88671875" style="11"/>
  </cols>
  <sheetData>
    <row r="1" spans="1:6" ht="15" customHeight="1" x14ac:dyDescent="0.3">
      <c r="A1" s="12" t="s">
        <v>0</v>
      </c>
      <c r="B1" s="1"/>
      <c r="C1" s="2"/>
    </row>
    <row r="2" spans="1:6" ht="15" customHeight="1" x14ac:dyDescent="0.3">
      <c r="A2" s="488" t="s">
        <v>1404</v>
      </c>
      <c r="B2" s="3" t="s">
        <v>2</v>
      </c>
      <c r="C2" s="487">
        <v>21982861000</v>
      </c>
    </row>
    <row r="3" spans="1:6" ht="15" customHeight="1" x14ac:dyDescent="0.3">
      <c r="A3" s="13" t="s">
        <v>1</v>
      </c>
      <c r="B3" s="3" t="s">
        <v>2</v>
      </c>
      <c r="C3" s="4" t="s">
        <v>37</v>
      </c>
    </row>
    <row r="4" spans="1:6" ht="15" customHeight="1" x14ac:dyDescent="0.3">
      <c r="A4" s="13" t="s">
        <v>3</v>
      </c>
      <c r="B4" s="3" t="s">
        <v>2</v>
      </c>
      <c r="C4" s="4" t="s">
        <v>4</v>
      </c>
    </row>
    <row r="5" spans="1:6" ht="15" customHeight="1" x14ac:dyDescent="0.3">
      <c r="A5" s="13" t="s">
        <v>5</v>
      </c>
      <c r="B5" s="3" t="s">
        <v>2</v>
      </c>
      <c r="C5" s="4" t="s">
        <v>1432</v>
      </c>
    </row>
    <row r="6" spans="1:6" ht="15" customHeight="1" x14ac:dyDescent="0.3">
      <c r="A6" s="13" t="s">
        <v>6</v>
      </c>
      <c r="B6" s="3" t="s">
        <v>2</v>
      </c>
      <c r="C6" s="4" t="str">
        <f>$C$4&amp;", " &amp;$C$5</f>
        <v>T.C. İstanbul Büyükşehir Belediyesi, Raylı Sistem Dairesi Başkanlığı Avrupa Yakası Raylı Sistem Şube Müdürlüğü</v>
      </c>
      <c r="E6" s="18"/>
    </row>
    <row r="7" spans="1:6" ht="15" customHeight="1" x14ac:dyDescent="0.3">
      <c r="A7" s="13" t="s">
        <v>7</v>
      </c>
      <c r="B7" s="3" t="s">
        <v>2</v>
      </c>
      <c r="C7" s="4" t="s">
        <v>38</v>
      </c>
      <c r="E7" s="18"/>
    </row>
    <row r="8" spans="1:6" ht="15" customHeight="1" x14ac:dyDescent="0.3">
      <c r="A8" s="13" t="s">
        <v>8</v>
      </c>
      <c r="B8" s="3" t="s">
        <v>2</v>
      </c>
      <c r="C8" s="4" t="s">
        <v>39</v>
      </c>
    </row>
    <row r="9" spans="1:6" ht="15" customHeight="1" x14ac:dyDescent="0.3">
      <c r="A9" s="13" t="s">
        <v>9</v>
      </c>
      <c r="B9" s="3" t="s">
        <v>2</v>
      </c>
      <c r="C9" s="17">
        <v>45614</v>
      </c>
    </row>
    <row r="10" spans="1:6" ht="15" customHeight="1" x14ac:dyDescent="0.3">
      <c r="A10" s="13" t="s">
        <v>10</v>
      </c>
      <c r="B10" s="3" t="s">
        <v>2</v>
      </c>
      <c r="C10" s="4" t="s">
        <v>40</v>
      </c>
    </row>
    <row r="11" spans="1:6" ht="15" customHeight="1" x14ac:dyDescent="0.3">
      <c r="A11" s="13" t="s">
        <v>11</v>
      </c>
      <c r="B11" s="3" t="s">
        <v>2</v>
      </c>
      <c r="C11" s="4" t="s">
        <v>43</v>
      </c>
    </row>
    <row r="12" spans="1:6" ht="15" customHeight="1" x14ac:dyDescent="0.3">
      <c r="A12" s="13" t="s">
        <v>12</v>
      </c>
      <c r="B12" s="3" t="s">
        <v>2</v>
      </c>
      <c r="C12" s="4" t="s">
        <v>42</v>
      </c>
    </row>
    <row r="13" spans="1:6" ht="15" customHeight="1" x14ac:dyDescent="0.3">
      <c r="A13" s="13" t="s">
        <v>13</v>
      </c>
      <c r="B13" s="3" t="s">
        <v>2</v>
      </c>
      <c r="C13" s="17">
        <v>45653</v>
      </c>
    </row>
    <row r="14" spans="1:6" ht="15" customHeight="1" x14ac:dyDescent="0.3">
      <c r="A14" s="13" t="s">
        <v>14</v>
      </c>
      <c r="B14" s="3" t="s">
        <v>2</v>
      </c>
      <c r="C14" s="17">
        <v>45653</v>
      </c>
      <c r="F14" s="18"/>
    </row>
    <row r="15" spans="1:6" ht="15" customHeight="1" x14ac:dyDescent="0.3">
      <c r="A15" s="13" t="s">
        <v>15</v>
      </c>
      <c r="B15" s="3" t="s">
        <v>2</v>
      </c>
      <c r="C15" s="4" t="s">
        <v>41</v>
      </c>
    </row>
    <row r="16" spans="1:6" ht="15" customHeight="1" x14ac:dyDescent="0.3">
      <c r="A16" s="13" t="s">
        <v>16</v>
      </c>
      <c r="B16" s="3" t="s">
        <v>2</v>
      </c>
      <c r="C16" s="17">
        <v>47093</v>
      </c>
    </row>
    <row r="17" spans="1:3" ht="15" customHeight="1" x14ac:dyDescent="0.3">
      <c r="A17" s="13" t="s">
        <v>17</v>
      </c>
      <c r="B17" s="3" t="s">
        <v>2</v>
      </c>
      <c r="C17" s="5">
        <v>0</v>
      </c>
    </row>
    <row r="18" spans="1:3" ht="15" customHeight="1" x14ac:dyDescent="0.3">
      <c r="A18" s="13"/>
      <c r="B18" s="3"/>
      <c r="C18" s="4"/>
    </row>
    <row r="19" spans="1:3" ht="15" customHeight="1" x14ac:dyDescent="0.3">
      <c r="A19" s="13" t="s">
        <v>18</v>
      </c>
      <c r="B19" s="3" t="s">
        <v>2</v>
      </c>
      <c r="C19" s="174">
        <v>5</v>
      </c>
    </row>
    <row r="20" spans="1:3" ht="15" customHeight="1" x14ac:dyDescent="0.3">
      <c r="A20" s="13" t="s">
        <v>173</v>
      </c>
      <c r="B20" s="3" t="s">
        <v>2</v>
      </c>
      <c r="C20" s="175" t="s">
        <v>1523</v>
      </c>
    </row>
    <row r="21" spans="1:3" ht="15" customHeight="1" x14ac:dyDescent="0.3">
      <c r="A21" s="13" t="s">
        <v>19</v>
      </c>
      <c r="B21" s="3" t="s">
        <v>2</v>
      </c>
      <c r="C21" s="174">
        <v>6</v>
      </c>
    </row>
    <row r="22" spans="1:3" ht="15" customHeight="1" x14ac:dyDescent="0.3">
      <c r="A22" s="13" t="s">
        <v>20</v>
      </c>
      <c r="B22" s="3" t="s">
        <v>2</v>
      </c>
      <c r="C22" s="175">
        <v>46142</v>
      </c>
    </row>
    <row r="23" spans="1:3" ht="15" customHeight="1" x14ac:dyDescent="0.3">
      <c r="A23" s="5"/>
      <c r="B23" s="3"/>
      <c r="C23" s="5"/>
    </row>
    <row r="24" spans="1:3" ht="43.2" x14ac:dyDescent="0.3">
      <c r="A24" s="14" t="s">
        <v>22</v>
      </c>
      <c r="B24" s="6" t="s">
        <v>2</v>
      </c>
      <c r="C24" s="557" t="s">
        <v>1437</v>
      </c>
    </row>
    <row r="25" spans="1:3" ht="15" customHeight="1" x14ac:dyDescent="0.3">
      <c r="A25" s="13" t="s">
        <v>1352</v>
      </c>
      <c r="B25" s="3" t="s">
        <v>2</v>
      </c>
      <c r="C25" s="4" t="s">
        <v>1351</v>
      </c>
    </row>
    <row r="26" spans="1:3" ht="15" customHeight="1" x14ac:dyDescent="0.3">
      <c r="A26" s="13" t="s">
        <v>24</v>
      </c>
      <c r="B26" s="3" t="s">
        <v>2</v>
      </c>
      <c r="C26" s="4" t="s">
        <v>46</v>
      </c>
    </row>
    <row r="27" spans="1:3" ht="15" customHeight="1" x14ac:dyDescent="0.3">
      <c r="A27" s="13" t="s">
        <v>47</v>
      </c>
      <c r="B27" s="3" t="s">
        <v>2</v>
      </c>
      <c r="C27" s="4" t="s">
        <v>48</v>
      </c>
    </row>
    <row r="28" spans="1:3" ht="15" customHeight="1" x14ac:dyDescent="0.3">
      <c r="A28" s="13" t="s">
        <v>49</v>
      </c>
      <c r="B28" s="3" t="s">
        <v>2</v>
      </c>
      <c r="C28" s="4" t="s">
        <v>26</v>
      </c>
    </row>
    <row r="29" spans="1:3" ht="15" customHeight="1" x14ac:dyDescent="0.3">
      <c r="A29" s="13" t="s">
        <v>25</v>
      </c>
      <c r="B29" s="3" t="s">
        <v>2</v>
      </c>
      <c r="C29" s="4" t="s">
        <v>1244</v>
      </c>
    </row>
    <row r="30" spans="1:3" ht="15" customHeight="1" x14ac:dyDescent="0.3">
      <c r="A30" s="13" t="s">
        <v>25</v>
      </c>
      <c r="B30" s="3" t="s">
        <v>2</v>
      </c>
      <c r="C30" s="4" t="s">
        <v>27</v>
      </c>
    </row>
    <row r="31" spans="1:3" ht="15" customHeight="1" x14ac:dyDescent="0.3">
      <c r="A31" s="13" t="s">
        <v>25</v>
      </c>
      <c r="B31" s="3" t="s">
        <v>2</v>
      </c>
      <c r="C31" s="4" t="s">
        <v>51</v>
      </c>
    </row>
    <row r="32" spans="1:3" ht="15" customHeight="1" x14ac:dyDescent="0.3">
      <c r="A32" s="13"/>
      <c r="B32" s="3"/>
      <c r="C32" s="4"/>
    </row>
    <row r="33" spans="1:3" ht="15" customHeight="1" x14ac:dyDescent="0.3">
      <c r="A33" s="13" t="s">
        <v>25</v>
      </c>
      <c r="B33" s="3" t="s">
        <v>2</v>
      </c>
      <c r="C33" s="4" t="s">
        <v>52</v>
      </c>
    </row>
    <row r="34" spans="1:3" ht="15" customHeight="1" x14ac:dyDescent="0.3">
      <c r="A34" s="13" t="s">
        <v>25</v>
      </c>
      <c r="B34" s="3" t="s">
        <v>2</v>
      </c>
      <c r="C34" s="4" t="s">
        <v>28</v>
      </c>
    </row>
    <row r="35" spans="1:3" ht="15" customHeight="1" x14ac:dyDescent="0.3">
      <c r="A35" s="13" t="s">
        <v>25</v>
      </c>
      <c r="B35" s="3" t="s">
        <v>2</v>
      </c>
      <c r="C35" s="4" t="s">
        <v>53</v>
      </c>
    </row>
    <row r="36" spans="1:3" ht="15" customHeight="1" x14ac:dyDescent="0.3">
      <c r="A36" s="13" t="s">
        <v>25</v>
      </c>
      <c r="B36" s="3" t="s">
        <v>2</v>
      </c>
      <c r="C36" s="4" t="s">
        <v>54</v>
      </c>
    </row>
    <row r="37" spans="1:3" ht="15" customHeight="1" x14ac:dyDescent="0.3">
      <c r="A37" s="13" t="s">
        <v>25</v>
      </c>
      <c r="B37" s="3" t="s">
        <v>2</v>
      </c>
      <c r="C37" s="4" t="s">
        <v>55</v>
      </c>
    </row>
    <row r="38" spans="1:3" ht="15" customHeight="1" x14ac:dyDescent="0.3">
      <c r="A38" s="13" t="s">
        <v>25</v>
      </c>
      <c r="B38" s="3" t="s">
        <v>2</v>
      </c>
      <c r="C38" s="4" t="s">
        <v>56</v>
      </c>
    </row>
    <row r="39" spans="1:3" ht="15" customHeight="1" x14ac:dyDescent="0.3">
      <c r="A39" s="13" t="s">
        <v>25</v>
      </c>
      <c r="B39" s="3" t="s">
        <v>2</v>
      </c>
      <c r="C39" s="4" t="s">
        <v>57</v>
      </c>
    </row>
    <row r="40" spans="1:3" ht="15" customHeight="1" x14ac:dyDescent="0.3">
      <c r="A40" s="13" t="s">
        <v>25</v>
      </c>
      <c r="B40" s="3" t="s">
        <v>2</v>
      </c>
      <c r="C40" s="4" t="s">
        <v>58</v>
      </c>
    </row>
    <row r="41" spans="1:3" ht="15" customHeight="1" x14ac:dyDescent="0.3">
      <c r="A41" s="13" t="s">
        <v>60</v>
      </c>
      <c r="B41" s="3" t="s">
        <v>2</v>
      </c>
      <c r="C41" s="4" t="s">
        <v>59</v>
      </c>
    </row>
    <row r="42" spans="1:3" ht="15" customHeight="1" x14ac:dyDescent="0.3">
      <c r="A42" s="5"/>
      <c r="B42" s="3"/>
      <c r="C42" s="4"/>
    </row>
    <row r="43" spans="1:3" ht="15" customHeight="1" x14ac:dyDescent="0.3">
      <c r="A43" s="15" t="s">
        <v>29</v>
      </c>
      <c r="B43" s="7" t="s">
        <v>2</v>
      </c>
      <c r="C43" s="8" t="s">
        <v>62</v>
      </c>
    </row>
    <row r="44" spans="1:3" ht="15" customHeight="1" x14ac:dyDescent="0.3">
      <c r="A44" s="13" t="s">
        <v>34</v>
      </c>
      <c r="B44" s="3" t="s">
        <v>2</v>
      </c>
      <c r="C44" s="4" t="s">
        <v>1346</v>
      </c>
    </row>
    <row r="45" spans="1:3" ht="15" customHeight="1" x14ac:dyDescent="0.3">
      <c r="A45" s="13" t="s">
        <v>30</v>
      </c>
      <c r="B45" s="3" t="s">
        <v>2</v>
      </c>
      <c r="C45" s="4"/>
    </row>
    <row r="46" spans="1:3" ht="15" customHeight="1" x14ac:dyDescent="0.3">
      <c r="A46" s="13" t="s">
        <v>31</v>
      </c>
      <c r="B46" s="3" t="s">
        <v>2</v>
      </c>
      <c r="C46" s="4" t="s">
        <v>63</v>
      </c>
    </row>
    <row r="47" spans="1:3" ht="15" customHeight="1" x14ac:dyDescent="0.3">
      <c r="A47" s="13" t="s">
        <v>94</v>
      </c>
      <c r="B47" s="3" t="s">
        <v>2</v>
      </c>
      <c r="C47" s="4" t="s">
        <v>1407</v>
      </c>
    </row>
    <row r="48" spans="1:3" ht="15" customHeight="1" x14ac:dyDescent="0.3">
      <c r="A48" s="13" t="s">
        <v>94</v>
      </c>
      <c r="B48" s="3" t="s">
        <v>2</v>
      </c>
      <c r="C48" s="4" t="s">
        <v>32</v>
      </c>
    </row>
    <row r="49" spans="1:3" ht="15" customHeight="1" x14ac:dyDescent="0.3">
      <c r="A49" s="13"/>
      <c r="B49" s="3"/>
      <c r="C49" s="4"/>
    </row>
    <row r="50" spans="1:3" ht="15" customHeight="1" x14ac:dyDescent="0.3">
      <c r="A50" s="16" t="s">
        <v>33</v>
      </c>
      <c r="B50" s="9" t="s">
        <v>2</v>
      </c>
      <c r="C50" s="10" t="s">
        <v>64</v>
      </c>
    </row>
    <row r="51" spans="1:3" ht="15" customHeight="1" x14ac:dyDescent="0.3">
      <c r="A51" s="13" t="s">
        <v>34</v>
      </c>
      <c r="B51" s="3" t="s">
        <v>2</v>
      </c>
      <c r="C51" s="4" t="s">
        <v>35</v>
      </c>
    </row>
    <row r="52" spans="1:3" ht="15" customHeight="1" x14ac:dyDescent="0.3">
      <c r="A52" s="13" t="s">
        <v>36</v>
      </c>
      <c r="B52" s="3" t="s">
        <v>2</v>
      </c>
      <c r="C52" s="4" t="s">
        <v>65</v>
      </c>
    </row>
  </sheetData>
  <pageMargins left="0.7" right="0.7" top="0.75" bottom="0.75" header="0.3" footer="0.3"/>
  <headerFooter>
    <oddHeader>&amp;L&amp;"Aptos"&amp;10&amp;K008000 Herkese Açık (Public)&amp;1#_x000D_</oddHeader>
    <oddFooter>&amp;L_x000D_&amp;1#&amp;"Aptos"&amp;10&amp;K008000 Herkese Açık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F184-9234-4AE0-9800-0BC2D9160C87}">
  <sheetPr codeName="Sayfa3"/>
  <dimension ref="A1:R40"/>
  <sheetViews>
    <sheetView workbookViewId="0">
      <selection activeCell="K19" sqref="K19"/>
    </sheetView>
  </sheetViews>
  <sheetFormatPr defaultRowHeight="15" customHeight="1" x14ac:dyDescent="0.3"/>
  <cols>
    <col min="1" max="1" width="29.6640625" style="11" bestFit="1" customWidth="1"/>
    <col min="2" max="2" width="18.5546875" style="11" bestFit="1" customWidth="1"/>
    <col min="3" max="5" width="18.5546875" style="11" customWidth="1"/>
    <col min="6" max="7" width="13.6640625" style="11" bestFit="1" customWidth="1"/>
    <col min="8" max="8" width="17.5546875" style="11" bestFit="1" customWidth="1"/>
    <col min="9" max="9" width="13.6640625" style="11" bestFit="1" customWidth="1"/>
    <col min="10" max="10" width="17.5546875" style="11" bestFit="1" customWidth="1"/>
    <col min="11" max="11" width="17" style="11" bestFit="1" customWidth="1"/>
    <col min="12" max="12" width="15" style="11" bestFit="1" customWidth="1"/>
    <col min="13" max="13" width="17" style="11" bestFit="1" customWidth="1"/>
    <col min="14" max="14" width="13.5546875" style="11" bestFit="1" customWidth="1"/>
    <col min="15" max="16" width="18.21875" style="11" bestFit="1" customWidth="1"/>
    <col min="17" max="17" width="13.5546875" style="11" bestFit="1" customWidth="1"/>
    <col min="18" max="19" width="18.21875" style="11" bestFit="1" customWidth="1"/>
    <col min="20" max="16384" width="8.88671875" style="11"/>
  </cols>
  <sheetData>
    <row r="1" spans="1:18" ht="30" customHeight="1" x14ac:dyDescent="0.3">
      <c r="G1" s="109"/>
      <c r="H1" s="109"/>
      <c r="I1" s="109"/>
      <c r="J1" s="109"/>
      <c r="K1" s="109"/>
    </row>
    <row r="2" spans="1:18" ht="30" customHeight="1" x14ac:dyDescent="0.3">
      <c r="E2" s="109"/>
      <c r="F2" s="109"/>
      <c r="G2" s="109"/>
      <c r="H2" s="109"/>
      <c r="I2" s="109"/>
    </row>
    <row r="3" spans="1:18" ht="30" customHeight="1" x14ac:dyDescent="0.3">
      <c r="E3" s="109" t="s">
        <v>1200</v>
      </c>
      <c r="F3" s="109" t="s">
        <v>1201</v>
      </c>
      <c r="G3" s="109" t="s">
        <v>1202</v>
      </c>
      <c r="H3" s="109" t="s">
        <v>1203</v>
      </c>
      <c r="I3" s="109" t="s">
        <v>1204</v>
      </c>
      <c r="J3" s="109" t="s">
        <v>1205</v>
      </c>
      <c r="K3" s="109" t="s">
        <v>1206</v>
      </c>
      <c r="L3" s="109" t="s">
        <v>1207</v>
      </c>
      <c r="M3" s="109" t="s">
        <v>1208</v>
      </c>
      <c r="N3" s="109" t="s">
        <v>1212</v>
      </c>
      <c r="O3" s="109" t="s">
        <v>1209</v>
      </c>
      <c r="P3" s="28" t="s">
        <v>1406</v>
      </c>
      <c r="Q3" s="109" t="s">
        <v>1210</v>
      </c>
      <c r="R3" s="109" t="s">
        <v>1211</v>
      </c>
    </row>
    <row r="4" spans="1:18" ht="15" customHeight="1" x14ac:dyDescent="0.3">
      <c r="A4" s="13" t="s">
        <v>44</v>
      </c>
      <c r="B4" s="4" t="s">
        <v>45</v>
      </c>
      <c r="C4" s="4"/>
      <c r="D4" s="28" t="s">
        <v>1213</v>
      </c>
      <c r="I4" s="493" t="s">
        <v>28</v>
      </c>
      <c r="J4" s="493" t="s">
        <v>28</v>
      </c>
      <c r="K4" s="4" t="s">
        <v>52</v>
      </c>
      <c r="L4" s="4" t="s">
        <v>50</v>
      </c>
      <c r="M4" s="4" t="s">
        <v>50</v>
      </c>
      <c r="N4" s="4" t="s">
        <v>50</v>
      </c>
      <c r="O4" s="4"/>
      <c r="P4" s="493" t="s">
        <v>55</v>
      </c>
      <c r="Q4" s="4" t="s">
        <v>50</v>
      </c>
      <c r="R4" s="4" t="s">
        <v>50</v>
      </c>
    </row>
    <row r="5" spans="1:18" ht="15" customHeight="1" x14ac:dyDescent="0.3">
      <c r="A5" s="13" t="s">
        <v>24</v>
      </c>
      <c r="B5" s="4" t="s">
        <v>46</v>
      </c>
      <c r="C5" s="4"/>
      <c r="D5" s="28" t="s">
        <v>1213</v>
      </c>
      <c r="I5" s="11" t="s">
        <v>1486</v>
      </c>
      <c r="J5" s="4" t="s">
        <v>1486</v>
      </c>
      <c r="K5" s="4" t="s">
        <v>1485</v>
      </c>
      <c r="L5" s="493" t="s">
        <v>28</v>
      </c>
      <c r="M5" s="4" t="s">
        <v>52</v>
      </c>
      <c r="N5" s="4"/>
      <c r="O5" s="4"/>
      <c r="P5" s="493" t="s">
        <v>1484</v>
      </c>
      <c r="Q5" s="4" t="s">
        <v>52</v>
      </c>
      <c r="R5" s="4" t="s">
        <v>52</v>
      </c>
    </row>
    <row r="6" spans="1:18" ht="15" customHeight="1" x14ac:dyDescent="0.3">
      <c r="A6" s="13" t="s">
        <v>47</v>
      </c>
      <c r="B6" s="4" t="s">
        <v>48</v>
      </c>
      <c r="C6" s="4"/>
      <c r="D6" s="28" t="s">
        <v>1213</v>
      </c>
      <c r="F6" s="493" t="s">
        <v>56</v>
      </c>
      <c r="G6" s="493" t="s">
        <v>56</v>
      </c>
      <c r="J6" s="4"/>
      <c r="K6" s="4"/>
      <c r="L6" s="4" t="s">
        <v>1486</v>
      </c>
      <c r="M6" s="493" t="s">
        <v>1485</v>
      </c>
      <c r="N6" s="4"/>
      <c r="O6" s="493" t="s">
        <v>55</v>
      </c>
      <c r="Q6" s="4" t="s">
        <v>1485</v>
      </c>
      <c r="R6" s="4" t="s">
        <v>1485</v>
      </c>
    </row>
    <row r="7" spans="1:18" ht="15" customHeight="1" x14ac:dyDescent="0.3">
      <c r="A7" s="13" t="s">
        <v>49</v>
      </c>
      <c r="B7" s="4" t="s">
        <v>26</v>
      </c>
      <c r="C7" s="4"/>
      <c r="D7" s="109" t="s">
        <v>1195</v>
      </c>
      <c r="E7" s="493" t="s">
        <v>54</v>
      </c>
      <c r="F7" s="493" t="s">
        <v>1479</v>
      </c>
      <c r="G7" s="493" t="s">
        <v>1479</v>
      </c>
      <c r="H7" s="493" t="s">
        <v>58</v>
      </c>
      <c r="J7" s="4"/>
      <c r="O7" s="493" t="s">
        <v>1484</v>
      </c>
      <c r="R7" s="4" t="s">
        <v>54</v>
      </c>
    </row>
    <row r="8" spans="1:18" ht="15" customHeight="1" x14ac:dyDescent="0.3">
      <c r="A8" s="13" t="s">
        <v>25</v>
      </c>
      <c r="B8" s="215" t="s">
        <v>50</v>
      </c>
      <c r="C8" s="4"/>
      <c r="D8" s="109" t="s">
        <v>1196</v>
      </c>
      <c r="E8" s="493" t="s">
        <v>1484</v>
      </c>
      <c r="F8" s="493" t="s">
        <v>56</v>
      </c>
      <c r="G8" s="493" t="s">
        <v>56</v>
      </c>
      <c r="H8" s="493" t="s">
        <v>1472</v>
      </c>
      <c r="J8" s="4"/>
      <c r="O8" s="493" t="s">
        <v>55</v>
      </c>
      <c r="R8" s="4" t="s">
        <v>1484</v>
      </c>
    </row>
    <row r="9" spans="1:18" ht="15" customHeight="1" x14ac:dyDescent="0.3">
      <c r="A9" s="13" t="s">
        <v>25</v>
      </c>
      <c r="B9" s="215" t="s">
        <v>27</v>
      </c>
      <c r="C9" s="4"/>
      <c r="D9" s="109" t="s">
        <v>1197</v>
      </c>
      <c r="E9" s="493" t="s">
        <v>27</v>
      </c>
      <c r="F9" s="493" t="s">
        <v>1479</v>
      </c>
      <c r="G9" s="493" t="s">
        <v>1479</v>
      </c>
      <c r="H9" s="493" t="s">
        <v>57</v>
      </c>
      <c r="J9" s="4"/>
      <c r="O9" s="493" t="s">
        <v>1484</v>
      </c>
      <c r="R9" s="4" t="s">
        <v>27</v>
      </c>
    </row>
    <row r="10" spans="1:18" ht="15" customHeight="1" x14ac:dyDescent="0.3">
      <c r="A10" s="13" t="s">
        <v>25</v>
      </c>
      <c r="B10" s="4" t="s">
        <v>1484</v>
      </c>
      <c r="C10" s="4"/>
      <c r="D10" s="109" t="s">
        <v>1198</v>
      </c>
      <c r="E10" s="493" t="s">
        <v>1484</v>
      </c>
      <c r="F10" s="493" t="s">
        <v>56</v>
      </c>
      <c r="G10" s="493" t="s">
        <v>56</v>
      </c>
      <c r="H10" s="493" t="s">
        <v>1472</v>
      </c>
      <c r="J10" s="4"/>
      <c r="O10" s="493" t="s">
        <v>55</v>
      </c>
      <c r="R10" s="4" t="s">
        <v>1484</v>
      </c>
    </row>
    <row r="11" spans="1:18" ht="15" customHeight="1" x14ac:dyDescent="0.3">
      <c r="A11" s="13" t="s">
        <v>25</v>
      </c>
      <c r="B11" s="4" t="s">
        <v>52</v>
      </c>
      <c r="C11" s="4"/>
      <c r="D11" s="109" t="s">
        <v>1199</v>
      </c>
      <c r="E11" s="493" t="s">
        <v>55</v>
      </c>
      <c r="F11" s="493" t="s">
        <v>1479</v>
      </c>
      <c r="G11" s="493" t="s">
        <v>1479</v>
      </c>
      <c r="H11" s="493" t="s">
        <v>57</v>
      </c>
      <c r="J11" s="4"/>
      <c r="O11" s="493" t="s">
        <v>1484</v>
      </c>
      <c r="R11" s="4" t="s">
        <v>55</v>
      </c>
    </row>
    <row r="12" spans="1:18" ht="15" customHeight="1" x14ac:dyDescent="0.3">
      <c r="A12" s="13" t="s">
        <v>25</v>
      </c>
      <c r="B12" s="4" t="s">
        <v>1485</v>
      </c>
      <c r="C12" s="4"/>
      <c r="E12" s="11" t="s">
        <v>1484</v>
      </c>
      <c r="H12" s="11" t="s">
        <v>1472</v>
      </c>
      <c r="R12" s="11" t="s">
        <v>1484</v>
      </c>
    </row>
    <row r="13" spans="1:18" ht="15" customHeight="1" x14ac:dyDescent="0.3">
      <c r="A13" s="13" t="s">
        <v>25</v>
      </c>
      <c r="B13" s="4" t="s">
        <v>53</v>
      </c>
      <c r="C13" s="4"/>
    </row>
    <row r="14" spans="1:18" ht="15" customHeight="1" x14ac:dyDescent="0.3">
      <c r="A14" s="13" t="s">
        <v>25</v>
      </c>
      <c r="B14" s="4" t="s">
        <v>1487</v>
      </c>
      <c r="C14" s="4"/>
    </row>
    <row r="15" spans="1:18" ht="15" customHeight="1" x14ac:dyDescent="0.3">
      <c r="A15" s="13" t="s">
        <v>25</v>
      </c>
      <c r="B15" s="4" t="s">
        <v>55</v>
      </c>
      <c r="C15" s="4"/>
    </row>
    <row r="16" spans="1:18" ht="15" customHeight="1" x14ac:dyDescent="0.3">
      <c r="A16" s="13" t="s">
        <v>25</v>
      </c>
      <c r="B16" s="4" t="s">
        <v>1484</v>
      </c>
      <c r="C16" s="4"/>
    </row>
    <row r="17" spans="1:10" ht="15" customHeight="1" x14ac:dyDescent="0.3">
      <c r="A17" s="13" t="s">
        <v>25</v>
      </c>
      <c r="B17" s="4" t="s">
        <v>57</v>
      </c>
      <c r="C17" s="4"/>
    </row>
    <row r="18" spans="1:10" ht="15" customHeight="1" x14ac:dyDescent="0.3">
      <c r="A18" s="13" t="s">
        <v>25</v>
      </c>
      <c r="B18" s="4" t="s">
        <v>1472</v>
      </c>
      <c r="C18" s="4"/>
    </row>
    <row r="19" spans="1:10" ht="15" customHeight="1" x14ac:dyDescent="0.3">
      <c r="A19" s="13" t="s">
        <v>60</v>
      </c>
      <c r="B19" s="4" t="s">
        <v>59</v>
      </c>
      <c r="C19" s="4"/>
    </row>
    <row r="20" spans="1:10" ht="15" customHeight="1" x14ac:dyDescent="0.3">
      <c r="B20" s="11" t="s">
        <v>1488</v>
      </c>
    </row>
    <row r="22" spans="1:10" ht="15" customHeight="1" x14ac:dyDescent="0.3">
      <c r="G22" s="4"/>
    </row>
    <row r="23" spans="1:10" ht="15" customHeight="1" x14ac:dyDescent="0.3">
      <c r="G23" s="4"/>
    </row>
    <row r="24" spans="1:10" ht="15" customHeight="1" x14ac:dyDescent="0.3">
      <c r="A24"/>
      <c r="B24"/>
      <c r="C24"/>
      <c r="D24"/>
      <c r="E24"/>
      <c r="F24"/>
      <c r="G24"/>
      <c r="H24"/>
      <c r="I24"/>
      <c r="J24"/>
    </row>
    <row r="25" spans="1:10" ht="15" customHeight="1" x14ac:dyDescent="0.3">
      <c r="A25"/>
      <c r="B25"/>
      <c r="C25"/>
      <c r="D25"/>
      <c r="E25"/>
      <c r="F25"/>
      <c r="G25"/>
      <c r="H25"/>
      <c r="I25"/>
      <c r="J25"/>
    </row>
    <row r="26" spans="1:10" ht="15" customHeight="1" x14ac:dyDescent="0.3">
      <c r="A26"/>
      <c r="B26"/>
      <c r="C26"/>
      <c r="D26"/>
      <c r="E26"/>
      <c r="F26"/>
      <c r="G26"/>
      <c r="H26"/>
      <c r="I26"/>
      <c r="J26"/>
    </row>
    <row r="27" spans="1:10" ht="15" customHeight="1" x14ac:dyDescent="0.3">
      <c r="A27"/>
      <c r="B27"/>
      <c r="C27"/>
      <c r="D27"/>
      <c r="E27"/>
      <c r="F27"/>
      <c r="G27"/>
      <c r="H27"/>
      <c r="I27"/>
      <c r="J27"/>
    </row>
    <row r="28" spans="1:10" ht="15" customHeight="1" x14ac:dyDescent="0.3">
      <c r="A28"/>
      <c r="B28"/>
      <c r="C28"/>
      <c r="D28"/>
      <c r="E28"/>
      <c r="F28"/>
      <c r="G28"/>
      <c r="H28"/>
      <c r="I28"/>
      <c r="J28"/>
    </row>
    <row r="29" spans="1:10" ht="15" customHeight="1" x14ac:dyDescent="0.3">
      <c r="A29"/>
      <c r="B29"/>
      <c r="C29"/>
      <c r="D29"/>
      <c r="E29"/>
      <c r="F29"/>
      <c r="G29"/>
      <c r="H29"/>
      <c r="I29"/>
      <c r="J29"/>
    </row>
    <row r="30" spans="1:10" ht="15" customHeight="1" x14ac:dyDescent="0.3">
      <c r="A30"/>
      <c r="B30"/>
      <c r="C30"/>
      <c r="D30"/>
      <c r="E30"/>
      <c r="F30"/>
      <c r="G30"/>
      <c r="H30"/>
      <c r="I30"/>
      <c r="J30"/>
    </row>
    <row r="31" spans="1:10" ht="15" customHeight="1" x14ac:dyDescent="0.3">
      <c r="A31"/>
      <c r="B31"/>
      <c r="C31"/>
      <c r="D31"/>
      <c r="E31"/>
      <c r="F31"/>
      <c r="G31"/>
      <c r="H31"/>
      <c r="I31"/>
      <c r="J31"/>
    </row>
    <row r="32" spans="1:10" ht="15" customHeight="1" x14ac:dyDescent="0.3">
      <c r="A32"/>
      <c r="B32"/>
      <c r="C32"/>
      <c r="D32"/>
      <c r="E32"/>
      <c r="F32"/>
      <c r="G32"/>
      <c r="H32"/>
      <c r="I32"/>
      <c r="J32"/>
    </row>
    <row r="33" spans="1:10" ht="15" customHeight="1" x14ac:dyDescent="0.3">
      <c r="A33"/>
      <c r="B33"/>
      <c r="C33"/>
      <c r="D33"/>
      <c r="E33"/>
      <c r="F33"/>
      <c r="G33"/>
      <c r="H33"/>
      <c r="I33"/>
      <c r="J33"/>
    </row>
    <row r="34" spans="1:10" ht="15" customHeight="1" x14ac:dyDescent="0.3">
      <c r="A34"/>
      <c r="B34"/>
      <c r="C34"/>
      <c r="D34"/>
      <c r="E34"/>
      <c r="F34"/>
      <c r="G34"/>
      <c r="H34"/>
      <c r="I34"/>
      <c r="J34"/>
    </row>
    <row r="35" spans="1:10" ht="15" customHeight="1" x14ac:dyDescent="0.3">
      <c r="A35"/>
      <c r="B35"/>
      <c r="C35"/>
      <c r="D35"/>
      <c r="E35"/>
      <c r="F35"/>
      <c r="G35"/>
      <c r="H35"/>
      <c r="I35"/>
      <c r="J35"/>
    </row>
    <row r="36" spans="1:10" ht="15" customHeight="1" x14ac:dyDescent="0.3">
      <c r="A36"/>
      <c r="B36"/>
      <c r="C36"/>
      <c r="D36"/>
      <c r="E36"/>
      <c r="F36"/>
      <c r="G36"/>
      <c r="H36"/>
      <c r="I36"/>
      <c r="J36"/>
    </row>
    <row r="37" spans="1:10" ht="15" customHeight="1" x14ac:dyDescent="0.3">
      <c r="A37"/>
      <c r="B37"/>
      <c r="C37"/>
      <c r="D37"/>
      <c r="E37"/>
      <c r="F37"/>
      <c r="G37"/>
      <c r="H37"/>
      <c r="I37"/>
      <c r="J37"/>
    </row>
    <row r="38" spans="1:10" ht="15" customHeight="1" x14ac:dyDescent="0.3">
      <c r="A38"/>
      <c r="B38"/>
      <c r="C38"/>
      <c r="D38"/>
      <c r="E38"/>
      <c r="F38"/>
      <c r="G38"/>
      <c r="H38"/>
      <c r="I38"/>
      <c r="J38"/>
    </row>
    <row r="39" spans="1:10" ht="15" customHeight="1" x14ac:dyDescent="0.3">
      <c r="A39"/>
      <c r="B39"/>
      <c r="C39"/>
      <c r="D39"/>
      <c r="E39"/>
      <c r="F39"/>
      <c r="G39"/>
      <c r="H39"/>
      <c r="I39"/>
      <c r="J39"/>
    </row>
    <row r="40" spans="1:10" ht="15" customHeight="1" x14ac:dyDescent="0.3">
      <c r="A40"/>
      <c r="B40"/>
      <c r="C40"/>
      <c r="D40"/>
      <c r="E40"/>
      <c r="F40"/>
      <c r="G40"/>
      <c r="H40"/>
      <c r="I40"/>
      <c r="J40"/>
    </row>
  </sheetData>
  <pageMargins left="0.7" right="0.7" top="0.75" bottom="0.75" header="0.3" footer="0.3"/>
  <headerFooter>
    <oddHeader>&amp;L&amp;"Aptos"&amp;10&amp;K008000 Herkese Açık (Public)&amp;1#_x000D_</oddHeader>
    <oddFooter>&amp;L_x000D_&amp;1#&amp;"Aptos"&amp;10&amp;K008000 Herkese Açık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27182-FCA5-434A-B478-D95D0950B5A0}">
  <sheetPr codeName="Sayfa4"/>
  <dimension ref="A1:O31"/>
  <sheetViews>
    <sheetView showGridLines="0" view="pageBreakPreview" zoomScale="60" zoomScaleNormal="70" workbookViewId="0">
      <selection activeCell="B2" sqref="B2:O31"/>
    </sheetView>
  </sheetViews>
  <sheetFormatPr defaultRowHeight="15" customHeight="1" x14ac:dyDescent="0.3"/>
  <cols>
    <col min="1" max="1" width="8.88671875" style="11"/>
    <col min="2" max="5" width="23.77734375" style="11" customWidth="1"/>
    <col min="6" max="6" width="8.88671875" style="11" customWidth="1"/>
    <col min="7" max="7" width="23.77734375" style="11" customWidth="1"/>
    <col min="8" max="8" width="10.77734375" style="11" customWidth="1"/>
    <col min="9" max="9" width="12.33203125" style="11" customWidth="1"/>
    <col min="10" max="10" width="10.77734375" style="11" customWidth="1"/>
    <col min="11" max="11" width="12.33203125" style="11" customWidth="1"/>
    <col min="12" max="12" width="10.77734375" style="11" customWidth="1"/>
    <col min="13" max="13" width="23.77734375" style="11" customWidth="1"/>
    <col min="14" max="16384" width="8.88671875" style="11"/>
  </cols>
  <sheetData>
    <row r="1" spans="1:15" ht="15" customHeight="1" thickTop="1" x14ac:dyDescent="0.3">
      <c r="A1" s="99"/>
      <c r="B1" s="100"/>
      <c r="C1" s="101"/>
      <c r="D1" s="99"/>
      <c r="E1" s="100"/>
      <c r="F1" s="100"/>
      <c r="G1" s="100"/>
      <c r="H1" s="100"/>
      <c r="I1" s="100"/>
      <c r="J1" s="100"/>
      <c r="K1" s="100"/>
      <c r="L1" s="100"/>
      <c r="M1" s="100"/>
      <c r="N1" s="100"/>
      <c r="O1" s="101"/>
    </row>
    <row r="2" spans="1:15" ht="18" customHeight="1" x14ac:dyDescent="0.3">
      <c r="A2" s="102"/>
      <c r="B2" s="1008"/>
      <c r="C2" s="1009"/>
      <c r="D2" s="1012"/>
      <c r="E2" s="1013"/>
      <c r="F2" s="1013"/>
      <c r="G2" s="1013"/>
      <c r="H2" s="1013"/>
      <c r="I2" s="1013"/>
      <c r="J2" s="1013"/>
      <c r="K2" s="1013"/>
      <c r="L2" s="1013"/>
      <c r="M2" s="1013"/>
      <c r="N2" s="1013"/>
      <c r="O2" s="1014"/>
    </row>
    <row r="3" spans="1:15" ht="18" customHeight="1" x14ac:dyDescent="0.3">
      <c r="A3" s="102"/>
      <c r="B3" s="1010"/>
      <c r="C3" s="1011"/>
      <c r="D3" s="1015"/>
      <c r="E3" s="1016"/>
      <c r="F3" s="1016"/>
      <c r="G3" s="1016"/>
      <c r="H3" s="1016"/>
      <c r="I3" s="1016"/>
      <c r="J3" s="1016"/>
      <c r="K3" s="1016"/>
      <c r="L3" s="1016"/>
      <c r="M3" s="1016"/>
      <c r="N3" s="1016"/>
      <c r="O3" s="1017"/>
    </row>
    <row r="4" spans="1:15" ht="27" customHeight="1" x14ac:dyDescent="0.3">
      <c r="A4" s="102"/>
      <c r="B4" s="1010"/>
      <c r="C4" s="1011"/>
      <c r="D4" s="1015"/>
      <c r="E4" s="1016"/>
      <c r="F4" s="1016"/>
      <c r="G4" s="1016"/>
      <c r="H4" s="1016"/>
      <c r="I4" s="1016"/>
      <c r="J4" s="1016"/>
      <c r="K4" s="1016"/>
      <c r="L4" s="1016"/>
      <c r="M4" s="1016"/>
      <c r="N4" s="1016"/>
      <c r="O4" s="1017"/>
    </row>
    <row r="5" spans="1:15" ht="18" customHeight="1" thickBot="1" x14ac:dyDescent="0.35">
      <c r="A5" s="102"/>
      <c r="B5" s="982"/>
      <c r="C5" s="1018"/>
      <c r="D5" s="912"/>
      <c r="E5" s="910"/>
      <c r="F5" s="910"/>
      <c r="G5" s="913"/>
      <c r="H5" s="913"/>
      <c r="I5" s="913"/>
      <c r="J5" s="913"/>
      <c r="K5" s="913"/>
      <c r="L5" s="913"/>
      <c r="M5" s="913"/>
      <c r="N5" s="913"/>
      <c r="O5" s="107"/>
    </row>
    <row r="6" spans="1:15" ht="18" customHeight="1" thickTop="1" x14ac:dyDescent="0.3">
      <c r="A6" s="102"/>
      <c r="B6" s="974"/>
      <c r="C6" s="1019"/>
      <c r="D6" s="916"/>
      <c r="E6" s="917"/>
      <c r="F6" s="917"/>
      <c r="G6" s="918"/>
      <c r="H6" s="918"/>
      <c r="I6" s="918"/>
      <c r="J6" s="918"/>
      <c r="K6" s="918"/>
      <c r="L6" s="918"/>
      <c r="M6" s="918"/>
      <c r="N6" s="918"/>
      <c r="O6" s="101"/>
    </row>
    <row r="7" spans="1:15" ht="18" customHeight="1" x14ac:dyDescent="0.3">
      <c r="A7" s="102"/>
      <c r="B7" s="222"/>
      <c r="C7" s="909"/>
      <c r="D7" s="919"/>
      <c r="E7" s="496"/>
      <c r="F7" s="496"/>
      <c r="G7" s="35"/>
      <c r="H7" s="35"/>
      <c r="I7" s="982"/>
      <c r="J7" s="982"/>
      <c r="K7" s="982"/>
      <c r="L7" s="296"/>
      <c r="M7" s="35"/>
      <c r="N7" s="222"/>
      <c r="O7" s="103"/>
    </row>
    <row r="8" spans="1:15" ht="18" customHeight="1" x14ac:dyDescent="0.3">
      <c r="A8" s="102"/>
      <c r="B8" s="222"/>
      <c r="C8" s="909"/>
      <c r="D8" s="914"/>
      <c r="E8" s="35"/>
      <c r="F8" s="35"/>
      <c r="G8" s="982"/>
      <c r="H8" s="982"/>
      <c r="I8" s="982"/>
      <c r="J8" s="982"/>
      <c r="K8" s="982"/>
      <c r="L8" s="35"/>
      <c r="M8" s="35"/>
      <c r="N8" s="222"/>
      <c r="O8" s="103"/>
    </row>
    <row r="9" spans="1:15" ht="18" customHeight="1" thickBot="1" x14ac:dyDescent="0.35">
      <c r="A9" s="102"/>
      <c r="B9" s="222"/>
      <c r="C9" s="909"/>
      <c r="D9" s="920"/>
      <c r="E9" s="228"/>
      <c r="F9" s="562"/>
      <c r="G9" s="974"/>
      <c r="H9" s="974"/>
      <c r="I9" s="974"/>
      <c r="J9" s="974"/>
      <c r="K9" s="974"/>
      <c r="L9" s="228"/>
      <c r="M9" s="228"/>
      <c r="N9" s="222"/>
      <c r="O9" s="103"/>
    </row>
    <row r="10" spans="1:15" ht="18" customHeight="1" thickTop="1" x14ac:dyDescent="0.3">
      <c r="A10" s="99"/>
      <c r="B10" s="1020"/>
      <c r="C10" s="1021"/>
      <c r="D10" s="920"/>
      <c r="E10" s="228"/>
      <c r="F10" s="562"/>
      <c r="G10" s="228"/>
      <c r="H10" s="228"/>
      <c r="I10" s="974"/>
      <c r="J10" s="974"/>
      <c r="K10" s="974"/>
      <c r="L10" s="228"/>
      <c r="M10" s="228"/>
      <c r="N10" s="222"/>
      <c r="O10" s="103"/>
    </row>
    <row r="11" spans="1:15" ht="18" customHeight="1" x14ac:dyDescent="0.3">
      <c r="A11" s="102"/>
      <c r="B11" s="1010"/>
      <c r="C11" s="1011"/>
      <c r="D11" s="914"/>
      <c r="E11" s="35"/>
      <c r="F11" s="496"/>
      <c r="G11" s="35"/>
      <c r="H11" s="35"/>
      <c r="I11" s="982"/>
      <c r="J11" s="982"/>
      <c r="K11" s="982"/>
      <c r="L11" s="296"/>
      <c r="M11" s="35"/>
      <c r="N11" s="222"/>
      <c r="O11" s="103"/>
    </row>
    <row r="12" spans="1:15" ht="18" customHeight="1" x14ac:dyDescent="0.3">
      <c r="A12" s="102"/>
      <c r="B12" s="1010"/>
      <c r="C12" s="1011"/>
      <c r="D12" s="920"/>
      <c r="E12" s="228"/>
      <c r="F12" s="496"/>
      <c r="G12" s="228"/>
      <c r="H12" s="228"/>
      <c r="I12" s="974"/>
      <c r="J12" s="974"/>
      <c r="K12" s="974"/>
      <c r="L12" s="499"/>
      <c r="M12" s="228"/>
      <c r="N12" s="222"/>
      <c r="O12" s="103"/>
    </row>
    <row r="13" spans="1:15" ht="18" customHeight="1" x14ac:dyDescent="0.3">
      <c r="A13" s="102"/>
      <c r="B13" s="222"/>
      <c r="C13" s="909"/>
      <c r="D13" s="914"/>
      <c r="E13" s="35"/>
      <c r="F13" s="35"/>
      <c r="G13" s="982"/>
      <c r="H13" s="982"/>
      <c r="I13" s="982"/>
      <c r="J13" s="982"/>
      <c r="K13" s="982"/>
      <c r="L13" s="35"/>
      <c r="M13" s="35"/>
      <c r="N13" s="222"/>
      <c r="O13" s="103"/>
    </row>
    <row r="14" spans="1:15" ht="18" customHeight="1" x14ac:dyDescent="0.3">
      <c r="A14" s="102"/>
      <c r="B14" s="982"/>
      <c r="C14" s="1018"/>
      <c r="D14" s="920"/>
      <c r="E14" s="228"/>
      <c r="F14" s="35"/>
      <c r="G14" s="974"/>
      <c r="H14" s="974"/>
      <c r="I14" s="974"/>
      <c r="J14" s="974"/>
      <c r="K14" s="974"/>
      <c r="L14" s="228"/>
      <c r="M14" s="228"/>
      <c r="N14" s="222"/>
      <c r="O14" s="103"/>
    </row>
    <row r="15" spans="1:15" ht="18" customHeight="1" x14ac:dyDescent="0.3">
      <c r="A15" s="102"/>
      <c r="B15" s="974"/>
      <c r="C15" s="1019"/>
      <c r="D15" s="920"/>
      <c r="E15" s="228"/>
      <c r="F15" s="228"/>
      <c r="G15" s="228"/>
      <c r="H15" s="35"/>
      <c r="I15" s="974"/>
      <c r="J15" s="974"/>
      <c r="K15" s="974"/>
      <c r="L15" s="296"/>
      <c r="M15" s="228"/>
      <c r="N15" s="222"/>
      <c r="O15" s="103"/>
    </row>
    <row r="16" spans="1:15" ht="18" customHeight="1" x14ac:dyDescent="0.3">
      <c r="A16" s="102"/>
      <c r="B16" s="982"/>
      <c r="C16" s="1018"/>
      <c r="D16" s="920"/>
      <c r="E16" s="228"/>
      <c r="F16" s="496"/>
      <c r="G16" s="228"/>
      <c r="H16" s="228"/>
      <c r="I16" s="974"/>
      <c r="J16" s="974"/>
      <c r="K16" s="974"/>
      <c r="L16" s="499"/>
      <c r="M16" s="228"/>
      <c r="N16" s="222"/>
      <c r="O16" s="103"/>
    </row>
    <row r="17" spans="1:15" ht="18" customHeight="1" x14ac:dyDescent="0.3">
      <c r="A17" s="102"/>
      <c r="B17" s="974"/>
      <c r="C17" s="1019"/>
      <c r="D17" s="921"/>
      <c r="E17" s="222"/>
      <c r="F17" s="496"/>
      <c r="G17" s="222"/>
      <c r="H17" s="222"/>
      <c r="I17" s="222"/>
      <c r="J17" s="222"/>
      <c r="K17" s="222"/>
      <c r="L17" s="222"/>
      <c r="M17" s="222"/>
      <c r="N17" s="222"/>
      <c r="O17" s="103"/>
    </row>
    <row r="18" spans="1:15" ht="18" customHeight="1" x14ac:dyDescent="0.3">
      <c r="A18" s="102"/>
      <c r="B18" s="222"/>
      <c r="C18" s="909"/>
      <c r="D18" s="914"/>
      <c r="E18" s="35"/>
      <c r="F18" s="496"/>
      <c r="G18" s="982"/>
      <c r="H18" s="982"/>
      <c r="I18" s="982"/>
      <c r="J18" s="982"/>
      <c r="K18" s="982"/>
      <c r="L18" s="35"/>
      <c r="M18" s="35"/>
      <c r="N18" s="222"/>
      <c r="O18" s="103"/>
    </row>
    <row r="19" spans="1:15" ht="18" customHeight="1" x14ac:dyDescent="0.3">
      <c r="A19" s="102"/>
      <c r="B19" s="982"/>
      <c r="C19" s="1018"/>
      <c r="D19" s="920"/>
      <c r="E19" s="228"/>
      <c r="F19" s="35"/>
      <c r="G19" s="974"/>
      <c r="H19" s="974"/>
      <c r="I19" s="974"/>
      <c r="J19" s="974"/>
      <c r="K19" s="974"/>
      <c r="L19" s="228"/>
      <c r="M19" s="228"/>
      <c r="N19" s="222"/>
      <c r="O19" s="103"/>
    </row>
    <row r="20" spans="1:15" ht="18" customHeight="1" x14ac:dyDescent="0.3">
      <c r="A20" s="102"/>
      <c r="B20" s="974"/>
      <c r="C20" s="1019"/>
      <c r="D20" s="920"/>
      <c r="E20" s="228"/>
      <c r="F20" s="35"/>
      <c r="G20" s="228"/>
      <c r="H20" s="228"/>
      <c r="I20" s="974"/>
      <c r="J20" s="974"/>
      <c r="K20" s="974"/>
      <c r="L20" s="296"/>
      <c r="M20" s="228"/>
      <c r="N20" s="222"/>
      <c r="O20" s="103"/>
    </row>
    <row r="21" spans="1:15" ht="18" customHeight="1" x14ac:dyDescent="0.3">
      <c r="A21" s="102"/>
      <c r="B21" s="982"/>
      <c r="C21" s="1018"/>
      <c r="D21" s="921"/>
      <c r="E21" s="222"/>
      <c r="F21" s="228"/>
      <c r="G21" s="222"/>
      <c r="H21" s="222"/>
      <c r="I21" s="222"/>
      <c r="J21" s="222"/>
      <c r="K21" s="222"/>
      <c r="L21" s="499"/>
      <c r="M21" s="222"/>
      <c r="N21" s="222"/>
      <c r="O21" s="103"/>
    </row>
    <row r="22" spans="1:15" ht="18" customHeight="1" x14ac:dyDescent="0.3">
      <c r="A22" s="102"/>
      <c r="B22" s="974"/>
      <c r="C22" s="1019"/>
      <c r="D22" s="921"/>
      <c r="E22" s="222"/>
      <c r="F22" s="496"/>
      <c r="G22" s="222"/>
      <c r="H22" s="222"/>
      <c r="I22" s="222"/>
      <c r="J22" s="222"/>
      <c r="K22" s="222"/>
      <c r="L22" s="499"/>
      <c r="M22" s="222"/>
      <c r="N22" s="222"/>
      <c r="O22" s="103"/>
    </row>
    <row r="23" spans="1:15" ht="18" customHeight="1" x14ac:dyDescent="0.3">
      <c r="A23" s="102"/>
      <c r="B23" s="222"/>
      <c r="C23" s="909"/>
      <c r="D23" s="914"/>
      <c r="E23" s="35"/>
      <c r="F23" s="496"/>
      <c r="G23" s="982"/>
      <c r="H23" s="982"/>
      <c r="I23" s="982"/>
      <c r="J23" s="982"/>
      <c r="K23" s="982"/>
      <c r="L23" s="35"/>
      <c r="M23" s="35"/>
      <c r="N23" s="222"/>
      <c r="O23" s="103"/>
    </row>
    <row r="24" spans="1:15" ht="18" customHeight="1" x14ac:dyDescent="0.3">
      <c r="A24" s="102"/>
      <c r="B24" s="222"/>
      <c r="C24" s="909"/>
      <c r="D24" s="920"/>
      <c r="E24" s="228"/>
      <c r="F24" s="496"/>
      <c r="G24" s="974"/>
      <c r="H24" s="974"/>
      <c r="I24" s="974"/>
      <c r="J24" s="974"/>
      <c r="K24" s="974"/>
      <c r="L24" s="228"/>
      <c r="M24" s="228"/>
      <c r="N24" s="222"/>
      <c r="O24" s="103"/>
    </row>
    <row r="25" spans="1:15" ht="18" customHeight="1" x14ac:dyDescent="0.3">
      <c r="A25" s="102"/>
      <c r="B25" s="222"/>
      <c r="C25" s="909"/>
      <c r="D25" s="919"/>
      <c r="E25" s="496"/>
      <c r="F25" s="496"/>
      <c r="G25" s="228"/>
      <c r="H25" s="222"/>
      <c r="I25" s="974"/>
      <c r="J25" s="974"/>
      <c r="K25" s="974"/>
      <c r="L25" s="222"/>
      <c r="M25" s="222"/>
      <c r="N25" s="222"/>
      <c r="O25" s="103"/>
    </row>
    <row r="26" spans="1:15" ht="18" customHeight="1" x14ac:dyDescent="0.3">
      <c r="A26" s="102"/>
      <c r="B26" s="222"/>
      <c r="C26" s="909"/>
      <c r="D26" s="919"/>
      <c r="E26" s="496"/>
      <c r="F26" s="496"/>
      <c r="G26" s="222"/>
      <c r="H26" s="222"/>
      <c r="I26" s="222"/>
      <c r="J26" s="222"/>
      <c r="K26" s="222"/>
      <c r="L26" s="222"/>
      <c r="M26" s="222"/>
      <c r="N26" s="222"/>
      <c r="O26" s="103"/>
    </row>
    <row r="27" spans="1:15" ht="18" customHeight="1" x14ac:dyDescent="0.3">
      <c r="A27" s="102"/>
      <c r="B27" s="222"/>
      <c r="C27" s="909"/>
      <c r="D27" s="919"/>
      <c r="E27" s="496"/>
      <c r="F27" s="496"/>
      <c r="G27" s="222"/>
      <c r="H27" s="222"/>
      <c r="I27" s="222"/>
      <c r="J27" s="222"/>
      <c r="K27" s="222"/>
      <c r="L27" s="222"/>
      <c r="M27" s="222"/>
      <c r="N27" s="222"/>
      <c r="O27" s="103"/>
    </row>
    <row r="28" spans="1:15" ht="18" customHeight="1" x14ac:dyDescent="0.3">
      <c r="A28" s="102"/>
      <c r="B28" s="982"/>
      <c r="C28" s="1018"/>
      <c r="D28" s="1022"/>
      <c r="E28" s="982"/>
      <c r="F28" s="982"/>
      <c r="G28" s="982"/>
      <c r="H28" s="982"/>
      <c r="I28" s="982"/>
      <c r="J28" s="982"/>
      <c r="K28" s="982"/>
      <c r="L28" s="982"/>
      <c r="M28" s="982"/>
      <c r="N28" s="982"/>
      <c r="O28" s="103"/>
    </row>
    <row r="29" spans="1:15" ht="18" customHeight="1" x14ac:dyDescent="0.3">
      <c r="A29" s="102"/>
      <c r="B29" s="974"/>
      <c r="C29" s="1019"/>
      <c r="D29" s="1023"/>
      <c r="E29" s="974"/>
      <c r="F29" s="974"/>
      <c r="G29" s="974"/>
      <c r="H29" s="974"/>
      <c r="I29" s="974"/>
      <c r="J29" s="974"/>
      <c r="K29" s="974"/>
      <c r="L29" s="974"/>
      <c r="M29" s="974"/>
      <c r="N29" s="974"/>
      <c r="O29" s="103"/>
    </row>
    <row r="30" spans="1:15" ht="19.95" customHeight="1" thickBot="1" x14ac:dyDescent="0.35">
      <c r="A30" s="105"/>
      <c r="B30" s="910"/>
      <c r="C30" s="911"/>
      <c r="D30" s="912"/>
      <c r="E30" s="910"/>
      <c r="F30" s="910"/>
      <c r="G30" s="913"/>
      <c r="H30" s="913"/>
      <c r="I30" s="913"/>
      <c r="J30" s="913"/>
      <c r="K30" s="913"/>
      <c r="L30" s="913"/>
      <c r="M30" s="913"/>
      <c r="N30" s="913"/>
      <c r="O30" s="107"/>
    </row>
    <row r="31" spans="1:15" ht="15" customHeight="1" thickTop="1" x14ac:dyDescent="0.3"/>
  </sheetData>
  <mergeCells count="38">
    <mergeCell ref="D28:J28"/>
    <mergeCell ref="D29:J29"/>
    <mergeCell ref="B20:C20"/>
    <mergeCell ref="B21:C21"/>
    <mergeCell ref="B22:C22"/>
    <mergeCell ref="G23:K23"/>
    <mergeCell ref="G24:K24"/>
    <mergeCell ref="B29:C29"/>
    <mergeCell ref="B28:C28"/>
    <mergeCell ref="K28:N28"/>
    <mergeCell ref="K29:N29"/>
    <mergeCell ref="B15:C15"/>
    <mergeCell ref="B16:C16"/>
    <mergeCell ref="B17:C17"/>
    <mergeCell ref="G18:K18"/>
    <mergeCell ref="B19:C19"/>
    <mergeCell ref="G19:K19"/>
    <mergeCell ref="B11:C12"/>
    <mergeCell ref="G13:K13"/>
    <mergeCell ref="B14:C14"/>
    <mergeCell ref="G14:K14"/>
    <mergeCell ref="I10:K10"/>
    <mergeCell ref="G9:K9"/>
    <mergeCell ref="I25:K25"/>
    <mergeCell ref="B2:C2"/>
    <mergeCell ref="B3:C4"/>
    <mergeCell ref="I7:K7"/>
    <mergeCell ref="I11:K11"/>
    <mergeCell ref="I12:K12"/>
    <mergeCell ref="I15:K15"/>
    <mergeCell ref="I16:K16"/>
    <mergeCell ref="I20:K20"/>
    <mergeCell ref="D2:O2"/>
    <mergeCell ref="D3:O4"/>
    <mergeCell ref="B5:C5"/>
    <mergeCell ref="B6:C6"/>
    <mergeCell ref="G8:K8"/>
    <mergeCell ref="B10:C10"/>
  </mergeCells>
  <pageMargins left="0.7" right="0.7" top="0.75" bottom="0.75" header="0.3" footer="0.3"/>
  <pageSetup paperSize="9" scale="20" orientation="portrait" r:id="rId1"/>
  <headerFooter>
    <oddHeader>&amp;L&amp;"Aptos"&amp;10&amp;K008000 Herkese Açık (Public)&amp;1#_x000D_</oddHeader>
    <oddFooter>&amp;L_x000D_&amp;1#&amp;"Aptos"&amp;10&amp;K008000 Herkese Açık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4DCB-1D33-4864-A3EB-B737D4A3DA68}">
  <sheetPr codeName="Sayfa5"/>
  <dimension ref="A1:W58"/>
  <sheetViews>
    <sheetView showGridLines="0" view="pageBreakPreview" zoomScale="60" zoomScaleNormal="70" workbookViewId="0">
      <selection activeCell="B1" sqref="B1:M54"/>
    </sheetView>
  </sheetViews>
  <sheetFormatPr defaultRowHeight="15" customHeight="1" x14ac:dyDescent="0.3"/>
  <cols>
    <col min="1" max="1" width="8.88671875" style="11"/>
    <col min="2" max="9" width="18.88671875" style="11" customWidth="1"/>
    <col min="10" max="10" width="9.33203125" style="11" customWidth="1"/>
    <col min="11" max="12" width="18.88671875" style="11" customWidth="1"/>
    <col min="13" max="13" width="24.44140625" style="11" customWidth="1"/>
    <col min="14" max="15" width="8.88671875" style="11"/>
    <col min="16" max="23" width="20.33203125" customWidth="1"/>
    <col min="24" max="16384" width="8.88671875" style="11"/>
  </cols>
  <sheetData>
    <row r="1" spans="1:14" ht="12" customHeight="1" thickTop="1" x14ac:dyDescent="0.3">
      <c r="A1" s="99"/>
      <c r="B1" s="100"/>
      <c r="C1" s="100"/>
      <c r="D1" s="100"/>
      <c r="E1" s="101"/>
      <c r="F1" s="99"/>
      <c r="G1" s="100"/>
      <c r="H1" s="100"/>
      <c r="I1" s="100"/>
      <c r="J1" s="100"/>
      <c r="K1" s="100"/>
      <c r="L1" s="100"/>
      <c r="M1" s="100"/>
      <c r="N1" s="101"/>
    </row>
    <row r="2" spans="1:14" ht="12" customHeight="1" x14ac:dyDescent="0.3">
      <c r="A2" s="102"/>
      <c r="B2" s="1008"/>
      <c r="C2" s="1025"/>
      <c r="D2" s="1025"/>
      <c r="E2" s="1009"/>
      <c r="F2" s="1012"/>
      <c r="G2" s="1013"/>
      <c r="H2" s="1013"/>
      <c r="I2" s="1013"/>
      <c r="J2" s="1013"/>
      <c r="K2" s="1013"/>
      <c r="L2" s="1013"/>
      <c r="M2" s="1013"/>
      <c r="N2" s="103"/>
    </row>
    <row r="3" spans="1:14" ht="12" customHeight="1" x14ac:dyDescent="0.3">
      <c r="A3" s="102"/>
      <c r="B3" s="35"/>
      <c r="C3" s="35"/>
      <c r="D3" s="35"/>
      <c r="E3" s="908"/>
      <c r="F3" s="914"/>
      <c r="G3" s="35"/>
      <c r="H3" s="35"/>
      <c r="I3" s="35"/>
      <c r="J3" s="35"/>
      <c r="K3" s="35"/>
      <c r="L3" s="35"/>
      <c r="M3" s="35"/>
      <c r="N3" s="103"/>
    </row>
    <row r="4" spans="1:14" ht="21" customHeight="1" x14ac:dyDescent="0.3">
      <c r="A4" s="102"/>
      <c r="B4" s="1026"/>
      <c r="C4" s="1027"/>
      <c r="D4" s="1027"/>
      <c r="E4" s="1028"/>
      <c r="F4" s="1029"/>
      <c r="G4" s="1030"/>
      <c r="H4" s="1030"/>
      <c r="I4" s="1030"/>
      <c r="J4" s="1030"/>
      <c r="K4" s="1030"/>
      <c r="L4" s="1030"/>
      <c r="M4" s="1030"/>
      <c r="N4" s="103"/>
    </row>
    <row r="5" spans="1:14" ht="24" customHeight="1" x14ac:dyDescent="0.3">
      <c r="A5" s="102"/>
      <c r="B5" s="1010"/>
      <c r="C5" s="1010"/>
      <c r="D5" s="1010"/>
      <c r="E5" s="1011"/>
      <c r="F5" s="1029"/>
      <c r="G5" s="1030"/>
      <c r="H5" s="1030"/>
      <c r="I5" s="1030"/>
      <c r="J5" s="1030"/>
      <c r="K5" s="1030"/>
      <c r="L5" s="1030"/>
      <c r="M5" s="1030"/>
      <c r="N5" s="103"/>
    </row>
    <row r="6" spans="1:14" ht="12" customHeight="1" x14ac:dyDescent="0.3">
      <c r="A6" s="102"/>
      <c r="B6" s="1024"/>
      <c r="C6" s="1024"/>
      <c r="D6" s="1024"/>
      <c r="E6" s="1031"/>
      <c r="F6" s="102"/>
      <c r="N6" s="103"/>
    </row>
    <row r="7" spans="1:14" ht="12" customHeight="1" thickBot="1" x14ac:dyDescent="0.35">
      <c r="A7" s="102"/>
      <c r="E7" s="103"/>
      <c r="F7" s="105"/>
      <c r="G7" s="106"/>
      <c r="H7" s="106"/>
      <c r="I7" s="106"/>
      <c r="J7" s="106"/>
      <c r="K7" s="106"/>
      <c r="L7" s="106"/>
      <c r="M7" s="106"/>
      <c r="N7" s="107"/>
    </row>
    <row r="8" spans="1:14" ht="12" customHeight="1" thickTop="1" x14ac:dyDescent="0.3">
      <c r="A8" s="102"/>
      <c r="C8" s="274"/>
      <c r="D8" s="30"/>
      <c r="E8" s="103"/>
      <c r="F8" s="102"/>
      <c r="N8" s="103"/>
    </row>
    <row r="9" spans="1:14" ht="12" customHeight="1" x14ac:dyDescent="0.3">
      <c r="A9" s="102"/>
      <c r="E9" s="103"/>
      <c r="F9" s="102"/>
      <c r="G9" s="27"/>
      <c r="I9" s="1010"/>
      <c r="J9" s="1010"/>
      <c r="K9" s="27"/>
      <c r="L9" s="27"/>
      <c r="M9" s="27"/>
      <c r="N9" s="103"/>
    </row>
    <row r="10" spans="1:14" ht="12" customHeight="1" x14ac:dyDescent="0.3">
      <c r="A10" s="102"/>
      <c r="E10" s="103"/>
      <c r="F10" s="102"/>
      <c r="G10" s="28"/>
      <c r="I10" s="1024"/>
      <c r="J10" s="1024"/>
      <c r="K10" s="28"/>
      <c r="L10" s="28"/>
      <c r="M10" s="28"/>
      <c r="N10" s="103"/>
    </row>
    <row r="11" spans="1:14" ht="12" customHeight="1" x14ac:dyDescent="0.3">
      <c r="A11" s="102"/>
      <c r="E11" s="103"/>
      <c r="F11" s="102"/>
      <c r="G11" s="28"/>
      <c r="I11" s="1024"/>
      <c r="J11" s="1024"/>
      <c r="K11" s="28"/>
      <c r="L11" s="28"/>
      <c r="M11" s="28"/>
      <c r="N11" s="103"/>
    </row>
    <row r="12" spans="1:14" ht="12" customHeight="1" thickBot="1" x14ac:dyDescent="0.35">
      <c r="A12" s="105"/>
      <c r="B12" s="106"/>
      <c r="C12" s="106"/>
      <c r="D12" s="106"/>
      <c r="E12" s="107"/>
      <c r="F12" s="102"/>
      <c r="G12" s="28"/>
      <c r="N12" s="103"/>
    </row>
    <row r="13" spans="1:14" ht="12" customHeight="1" thickTop="1" x14ac:dyDescent="0.3">
      <c r="A13" s="99"/>
      <c r="B13" s="100"/>
      <c r="C13" s="100"/>
      <c r="D13" s="100"/>
      <c r="E13" s="101"/>
      <c r="F13" s="102"/>
      <c r="N13" s="103"/>
    </row>
    <row r="14" spans="1:14" ht="12" customHeight="1" x14ac:dyDescent="0.3">
      <c r="A14" s="102"/>
      <c r="E14" s="103"/>
      <c r="F14" s="102"/>
      <c r="N14" s="103"/>
    </row>
    <row r="15" spans="1:14" ht="12" customHeight="1" x14ac:dyDescent="0.3">
      <c r="A15" s="102"/>
      <c r="B15" s="1013"/>
      <c r="C15" s="1013"/>
      <c r="D15" s="1013"/>
      <c r="E15" s="1014"/>
      <c r="F15" s="102"/>
      <c r="G15" s="27"/>
      <c r="I15" s="1010"/>
      <c r="J15" s="1010"/>
      <c r="K15" s="27"/>
      <c r="L15" s="27"/>
      <c r="M15" s="27"/>
      <c r="N15" s="103"/>
    </row>
    <row r="16" spans="1:14" ht="12" customHeight="1" x14ac:dyDescent="0.3">
      <c r="A16" s="102"/>
      <c r="B16" s="35"/>
      <c r="C16" s="35"/>
      <c r="D16" s="35"/>
      <c r="E16" s="908"/>
      <c r="F16" s="102"/>
      <c r="G16" s="28"/>
      <c r="I16" s="1024"/>
      <c r="J16" s="1024"/>
      <c r="K16" s="28"/>
      <c r="L16" s="28"/>
      <c r="M16" s="28"/>
      <c r="N16" s="103"/>
    </row>
    <row r="17" spans="1:14" ht="12" customHeight="1" x14ac:dyDescent="0.3">
      <c r="A17" s="102"/>
      <c r="B17" s="983"/>
      <c r="C17" s="983"/>
      <c r="D17" s="983"/>
      <c r="E17" s="1035"/>
      <c r="F17" s="102"/>
      <c r="G17" s="28"/>
      <c r="I17" s="1024"/>
      <c r="J17" s="1024"/>
      <c r="K17" s="28"/>
      <c r="L17" s="28"/>
      <c r="M17" s="28"/>
      <c r="N17" s="103"/>
    </row>
    <row r="18" spans="1:14" ht="12" customHeight="1" x14ac:dyDescent="0.3">
      <c r="A18" s="102"/>
      <c r="E18" s="103"/>
      <c r="F18" s="102"/>
      <c r="N18" s="103"/>
    </row>
    <row r="19" spans="1:14" ht="12" customHeight="1" x14ac:dyDescent="0.3">
      <c r="A19" s="102"/>
      <c r="E19" s="103"/>
      <c r="F19" s="102"/>
      <c r="N19" s="103"/>
    </row>
    <row r="20" spans="1:14" ht="12" customHeight="1" x14ac:dyDescent="0.3">
      <c r="A20" s="102"/>
      <c r="B20" s="1010"/>
      <c r="C20" s="1010"/>
      <c r="D20" s="1010"/>
      <c r="E20" s="1011"/>
      <c r="F20" s="102"/>
      <c r="N20" s="103"/>
    </row>
    <row r="21" spans="1:14" ht="12" customHeight="1" x14ac:dyDescent="0.3">
      <c r="A21" s="102"/>
      <c r="B21" s="1024"/>
      <c r="C21" s="1024"/>
      <c r="D21" s="1024"/>
      <c r="E21" s="1031"/>
      <c r="F21" s="102"/>
      <c r="G21" s="27"/>
      <c r="I21" s="1010"/>
      <c r="J21" s="1010"/>
      <c r="K21" s="27"/>
      <c r="L21" s="27"/>
      <c r="M21" s="27"/>
      <c r="N21" s="103"/>
    </row>
    <row r="22" spans="1:14" ht="12" customHeight="1" x14ac:dyDescent="0.3">
      <c r="A22" s="102"/>
      <c r="E22" s="103"/>
      <c r="F22" s="102"/>
      <c r="G22" s="28"/>
      <c r="I22" s="1024"/>
      <c r="J22" s="1024"/>
      <c r="K22" s="28"/>
      <c r="L22" s="28"/>
      <c r="M22" s="28"/>
      <c r="N22" s="103"/>
    </row>
    <row r="23" spans="1:14" ht="12" customHeight="1" x14ac:dyDescent="0.3">
      <c r="A23" s="102"/>
      <c r="E23" s="103"/>
      <c r="F23" s="102"/>
      <c r="G23" s="28"/>
      <c r="I23" s="1024"/>
      <c r="J23" s="1024"/>
      <c r="K23" s="1024"/>
      <c r="L23" s="1024"/>
      <c r="M23" s="28"/>
      <c r="N23" s="103"/>
    </row>
    <row r="24" spans="1:14" ht="12" customHeight="1" x14ac:dyDescent="0.3">
      <c r="A24" s="102"/>
      <c r="E24" s="103"/>
      <c r="F24" s="102"/>
      <c r="N24" s="103"/>
    </row>
    <row r="25" spans="1:14" ht="12" customHeight="1" x14ac:dyDescent="0.3">
      <c r="A25" s="102"/>
      <c r="E25" s="103"/>
      <c r="F25" s="102"/>
      <c r="N25" s="103"/>
    </row>
    <row r="26" spans="1:14" ht="12" customHeight="1" x14ac:dyDescent="0.3">
      <c r="A26" s="102"/>
      <c r="E26" s="103"/>
      <c r="F26" s="102"/>
      <c r="N26" s="103"/>
    </row>
    <row r="27" spans="1:14" ht="12" customHeight="1" x14ac:dyDescent="0.3">
      <c r="A27" s="102"/>
      <c r="E27" s="103"/>
      <c r="F27" s="102"/>
      <c r="G27" s="27"/>
      <c r="I27" s="1010"/>
      <c r="J27" s="1010"/>
      <c r="K27" s="1010"/>
      <c r="L27" s="1010"/>
      <c r="M27" s="27"/>
      <c r="N27" s="103"/>
    </row>
    <row r="28" spans="1:14" ht="12" customHeight="1" x14ac:dyDescent="0.3">
      <c r="A28" s="102"/>
      <c r="E28" s="103"/>
      <c r="F28" s="102"/>
      <c r="G28" s="28"/>
      <c r="I28" s="1024"/>
      <c r="J28" s="1024"/>
      <c r="K28" s="1024"/>
      <c r="L28" s="1024"/>
      <c r="M28" s="28"/>
      <c r="N28" s="103"/>
    </row>
    <row r="29" spans="1:14" ht="12" customHeight="1" x14ac:dyDescent="0.3">
      <c r="A29" s="102"/>
      <c r="B29" s="1010"/>
      <c r="C29" s="1010"/>
      <c r="D29" s="1010"/>
      <c r="E29" s="1011"/>
      <c r="F29" s="102"/>
      <c r="J29" s="28"/>
      <c r="K29" s="1024"/>
      <c r="L29" s="1024"/>
      <c r="N29" s="103"/>
    </row>
    <row r="30" spans="1:14" ht="12" customHeight="1" x14ac:dyDescent="0.3">
      <c r="A30" s="102"/>
      <c r="B30" s="1024"/>
      <c r="C30" s="1024"/>
      <c r="D30" s="1024"/>
      <c r="E30" s="1031"/>
      <c r="F30" s="102"/>
      <c r="N30" s="103"/>
    </row>
    <row r="31" spans="1:14" ht="12" customHeight="1" x14ac:dyDescent="0.3">
      <c r="A31" s="102"/>
      <c r="E31" s="103"/>
      <c r="F31" s="102"/>
      <c r="N31" s="103"/>
    </row>
    <row r="32" spans="1:14" ht="12" customHeight="1" x14ac:dyDescent="0.3">
      <c r="A32" s="102"/>
      <c r="E32" s="103"/>
      <c r="F32" s="102"/>
      <c r="N32" s="103"/>
    </row>
    <row r="33" spans="1:14" ht="12" customHeight="1" x14ac:dyDescent="0.3">
      <c r="A33" s="102"/>
      <c r="E33" s="103"/>
      <c r="F33" s="102"/>
      <c r="J33" s="1010"/>
      <c r="K33" s="1010"/>
      <c r="L33" s="1010"/>
      <c r="M33" s="1010"/>
      <c r="N33" s="103"/>
    </row>
    <row r="34" spans="1:14" ht="12" customHeight="1" x14ac:dyDescent="0.3">
      <c r="A34" s="102"/>
      <c r="E34" s="103"/>
      <c r="F34" s="102"/>
      <c r="G34" s="1010"/>
      <c r="H34" s="1010"/>
      <c r="J34" s="1010"/>
      <c r="K34" s="1010"/>
      <c r="L34" s="1024"/>
      <c r="M34" s="1024"/>
      <c r="N34" s="103"/>
    </row>
    <row r="35" spans="1:14" ht="12" customHeight="1" x14ac:dyDescent="0.3">
      <c r="A35" s="102"/>
      <c r="E35" s="103"/>
      <c r="F35" s="102"/>
      <c r="G35" s="1024"/>
      <c r="H35" s="1024"/>
      <c r="J35" s="1024"/>
      <c r="K35" s="1024"/>
      <c r="N35" s="103"/>
    </row>
    <row r="36" spans="1:14" ht="12" customHeight="1" x14ac:dyDescent="0.3">
      <c r="A36" s="102"/>
      <c r="E36" s="103"/>
      <c r="F36" s="102"/>
      <c r="N36" s="103"/>
    </row>
    <row r="37" spans="1:14" ht="12" customHeight="1" thickBot="1" x14ac:dyDescent="0.35">
      <c r="A37" s="102"/>
      <c r="E37" s="103"/>
      <c r="F37" s="105"/>
      <c r="G37" s="106"/>
      <c r="H37" s="106"/>
      <c r="I37" s="106"/>
      <c r="J37" s="106"/>
      <c r="K37" s="106"/>
      <c r="L37" s="106"/>
      <c r="M37" s="106"/>
      <c r="N37" s="107"/>
    </row>
    <row r="38" spans="1:14" ht="12" customHeight="1" thickTop="1" x14ac:dyDescent="0.3">
      <c r="A38" s="102"/>
      <c r="E38" s="103"/>
      <c r="F38" s="99"/>
      <c r="G38" s="100"/>
      <c r="H38" s="100"/>
      <c r="I38" s="100"/>
      <c r="J38" s="100"/>
      <c r="K38" s="100"/>
      <c r="L38" s="100"/>
      <c r="M38" s="100"/>
      <c r="N38" s="101"/>
    </row>
    <row r="39" spans="1:14" ht="12" customHeight="1" x14ac:dyDescent="0.3">
      <c r="A39" s="102"/>
      <c r="E39" s="103"/>
      <c r="F39" s="102"/>
      <c r="N39" s="103"/>
    </row>
    <row r="40" spans="1:14" ht="12" customHeight="1" x14ac:dyDescent="0.3">
      <c r="A40" s="102"/>
      <c r="E40" s="103"/>
      <c r="F40" s="102"/>
      <c r="G40" s="1010"/>
      <c r="H40" s="1010"/>
      <c r="I40" s="1010"/>
      <c r="J40" s="1010"/>
      <c r="K40" s="1010"/>
      <c r="L40" s="1010"/>
      <c r="M40" s="1010"/>
      <c r="N40" s="103"/>
    </row>
    <row r="41" spans="1:14" ht="12" customHeight="1" x14ac:dyDescent="0.3">
      <c r="A41" s="102"/>
      <c r="E41" s="103"/>
      <c r="F41" s="102"/>
      <c r="G41" s="1024"/>
      <c r="H41" s="1024"/>
      <c r="I41" s="1024"/>
      <c r="J41" s="1024"/>
      <c r="K41" s="1024"/>
      <c r="L41" s="1024"/>
      <c r="M41" s="1024"/>
      <c r="N41" s="103"/>
    </row>
    <row r="42" spans="1:14" ht="12" customHeight="1" x14ac:dyDescent="0.3">
      <c r="A42" s="102"/>
      <c r="B42" s="1010"/>
      <c r="C42" s="1010"/>
      <c r="D42" s="1010"/>
      <c r="E42" s="1011"/>
      <c r="F42" s="102"/>
      <c r="N42" s="103"/>
    </row>
    <row r="43" spans="1:14" ht="12" customHeight="1" thickBot="1" x14ac:dyDescent="0.35">
      <c r="A43" s="102"/>
      <c r="B43" s="1024"/>
      <c r="C43" s="1024"/>
      <c r="D43" s="1024"/>
      <c r="E43" s="1031"/>
      <c r="F43" s="105"/>
      <c r="G43" s="106"/>
      <c r="H43" s="106"/>
      <c r="I43" s="106"/>
      <c r="J43" s="106"/>
      <c r="K43" s="106"/>
      <c r="L43" s="106"/>
      <c r="M43" s="106"/>
      <c r="N43" s="107"/>
    </row>
    <row r="44" spans="1:14" ht="12" customHeight="1" thickTop="1" x14ac:dyDescent="0.3">
      <c r="A44" s="102"/>
      <c r="E44" s="103"/>
      <c r="F44" s="99"/>
      <c r="G44" s="1032"/>
      <c r="H44" s="1032"/>
      <c r="I44" s="1032"/>
      <c r="J44" s="1032"/>
      <c r="K44" s="1032"/>
      <c r="L44" s="1032"/>
      <c r="M44" s="1032"/>
      <c r="N44" s="101"/>
    </row>
    <row r="45" spans="1:14" ht="12" customHeight="1" x14ac:dyDescent="0.3">
      <c r="A45" s="102"/>
      <c r="C45" s="274"/>
      <c r="D45" s="30"/>
      <c r="E45" s="103"/>
      <c r="F45" s="102"/>
      <c r="G45" s="1024"/>
      <c r="H45" s="1024"/>
      <c r="I45" s="1024"/>
      <c r="J45" s="1024"/>
      <c r="K45" s="1024"/>
      <c r="L45" s="1024"/>
      <c r="M45" s="1024"/>
      <c r="N45" s="103"/>
    </row>
    <row r="46" spans="1:14" ht="12" customHeight="1" x14ac:dyDescent="0.3">
      <c r="A46" s="102"/>
      <c r="E46" s="103"/>
      <c r="F46" s="102"/>
      <c r="N46" s="103"/>
    </row>
    <row r="47" spans="1:14" ht="12" customHeight="1" x14ac:dyDescent="0.3">
      <c r="A47" s="102"/>
      <c r="E47" s="103"/>
      <c r="F47" s="102"/>
      <c r="N47" s="103"/>
    </row>
    <row r="48" spans="1:14" ht="12" customHeight="1" x14ac:dyDescent="0.3">
      <c r="A48" s="102"/>
      <c r="E48" s="103"/>
      <c r="F48" s="1033"/>
      <c r="G48" s="1034"/>
      <c r="H48" s="1034"/>
      <c r="I48" s="1034"/>
      <c r="J48" s="1034"/>
      <c r="K48" s="30"/>
      <c r="L48" s="108"/>
      <c r="N48" s="103"/>
    </row>
    <row r="49" spans="1:14" ht="12" customHeight="1" x14ac:dyDescent="0.3">
      <c r="A49" s="102"/>
      <c r="E49" s="103"/>
      <c r="F49" s="102"/>
      <c r="N49" s="103"/>
    </row>
    <row r="50" spans="1:14" ht="12" customHeight="1" x14ac:dyDescent="0.3">
      <c r="A50" s="102"/>
      <c r="E50" s="103"/>
      <c r="F50" s="102"/>
      <c r="I50" s="274"/>
      <c r="J50" s="915"/>
      <c r="N50" s="103"/>
    </row>
    <row r="51" spans="1:14" ht="12" customHeight="1" x14ac:dyDescent="0.3">
      <c r="A51" s="102"/>
      <c r="E51" s="103"/>
      <c r="F51" s="102"/>
      <c r="N51" s="103"/>
    </row>
    <row r="52" spans="1:14" ht="12" customHeight="1" x14ac:dyDescent="0.3">
      <c r="A52" s="102"/>
      <c r="E52" s="103"/>
      <c r="F52" s="102"/>
      <c r="G52" s="1010"/>
      <c r="H52" s="1010"/>
      <c r="I52" s="1010"/>
      <c r="J52" s="1010"/>
      <c r="K52" s="1010"/>
      <c r="L52" s="1010"/>
      <c r="M52" s="1010"/>
      <c r="N52" s="103"/>
    </row>
    <row r="53" spans="1:14" ht="12" customHeight="1" x14ac:dyDescent="0.3">
      <c r="A53" s="102"/>
      <c r="E53" s="103"/>
      <c r="F53" s="102"/>
      <c r="G53" s="1024"/>
      <c r="H53" s="1024"/>
      <c r="I53" s="1024"/>
      <c r="J53" s="1024"/>
      <c r="K53" s="1024"/>
      <c r="L53" s="1024"/>
      <c r="M53" s="1024"/>
      <c r="N53" s="103"/>
    </row>
    <row r="54" spans="1:14" ht="12" customHeight="1" x14ac:dyDescent="0.3">
      <c r="A54" s="102"/>
      <c r="E54" s="103"/>
      <c r="F54" s="102"/>
      <c r="N54" s="103"/>
    </row>
    <row r="55" spans="1:14" ht="12" customHeight="1" x14ac:dyDescent="0.3">
      <c r="A55" s="102"/>
      <c r="E55" s="103"/>
      <c r="F55" s="102"/>
      <c r="N55" s="103"/>
    </row>
    <row r="56" spans="1:14" ht="12" customHeight="1" x14ac:dyDescent="0.3">
      <c r="A56" s="102"/>
      <c r="E56" s="103"/>
      <c r="F56" s="102"/>
      <c r="N56" s="103"/>
    </row>
    <row r="57" spans="1:14" ht="15" customHeight="1" thickBot="1" x14ac:dyDescent="0.35">
      <c r="A57" s="105"/>
      <c r="B57" s="106"/>
      <c r="C57" s="106"/>
      <c r="D57" s="106"/>
      <c r="E57" s="107"/>
      <c r="F57" s="105"/>
      <c r="G57" s="106"/>
      <c r="H57" s="106"/>
      <c r="I57" s="106"/>
      <c r="J57" s="106"/>
      <c r="K57" s="106"/>
      <c r="L57" s="106"/>
      <c r="M57" s="106"/>
      <c r="N57" s="107"/>
    </row>
    <row r="58" spans="1:14" ht="15" customHeight="1" thickTop="1" x14ac:dyDescent="0.3"/>
  </sheetData>
  <mergeCells count="43">
    <mergeCell ref="B29:E29"/>
    <mergeCell ref="B30:E30"/>
    <mergeCell ref="G34:H34"/>
    <mergeCell ref="G35:H35"/>
    <mergeCell ref="J35:K35"/>
    <mergeCell ref="B17:E17"/>
    <mergeCell ref="I17:J17"/>
    <mergeCell ref="B20:E20"/>
    <mergeCell ref="B21:E21"/>
    <mergeCell ref="I21:J21"/>
    <mergeCell ref="B42:E42"/>
    <mergeCell ref="B43:E43"/>
    <mergeCell ref="G44:M44"/>
    <mergeCell ref="G45:M45"/>
    <mergeCell ref="F48:J48"/>
    <mergeCell ref="G52:M52"/>
    <mergeCell ref="G53:M53"/>
    <mergeCell ref="J34:K34"/>
    <mergeCell ref="L34:M34"/>
    <mergeCell ref="G40:M40"/>
    <mergeCell ref="G41:M41"/>
    <mergeCell ref="L33:M33"/>
    <mergeCell ref="K27:L27"/>
    <mergeCell ref="K28:L28"/>
    <mergeCell ref="I27:J27"/>
    <mergeCell ref="I28:J28"/>
    <mergeCell ref="J33:K33"/>
    <mergeCell ref="I22:J22"/>
    <mergeCell ref="I23:J23"/>
    <mergeCell ref="K23:L23"/>
    <mergeCell ref="K29:L29"/>
    <mergeCell ref="B2:E2"/>
    <mergeCell ref="B4:E4"/>
    <mergeCell ref="F2:M2"/>
    <mergeCell ref="F4:M5"/>
    <mergeCell ref="B5:E5"/>
    <mergeCell ref="B6:E6"/>
    <mergeCell ref="I9:J9"/>
    <mergeCell ref="I10:J10"/>
    <mergeCell ref="I11:J11"/>
    <mergeCell ref="B15:E15"/>
    <mergeCell ref="I15:J15"/>
    <mergeCell ref="I16:J16"/>
  </mergeCells>
  <pageMargins left="0.7" right="0.7" top="0.75" bottom="0.75" header="0.3" footer="0.3"/>
  <pageSetup paperSize="9" scale="23" orientation="portrait" r:id="rId1"/>
  <headerFooter>
    <oddHeader>&amp;L&amp;"Aptos"&amp;10&amp;K008000 Herkese Açık (Public)&amp;1#_x000D_</oddHeader>
    <oddFooter>&amp;L_x000D_&amp;1#&amp;"Aptos"&amp;10&amp;K008000 Herkese Açık (Public)</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122ED-4F3D-4A7B-BC14-754A3E649853}">
  <sheetPr codeName="Sayfa6">
    <tabColor rgb="FFFFC000"/>
    <pageSetUpPr fitToPage="1"/>
  </sheetPr>
  <dimension ref="A1:L77"/>
  <sheetViews>
    <sheetView view="pageBreakPreview" topLeftCell="A3" zoomScaleNormal="100" zoomScaleSheetLayoutView="100" workbookViewId="0">
      <selection activeCell="G19" sqref="G19"/>
    </sheetView>
  </sheetViews>
  <sheetFormatPr defaultRowHeight="14.4" x14ac:dyDescent="0.3"/>
  <cols>
    <col min="2" max="2" width="34.109375" customWidth="1"/>
    <col min="3" max="3" width="46.21875" customWidth="1"/>
    <col min="4" max="4" width="18" customWidth="1"/>
    <col min="5" max="6" width="10.77734375" customWidth="1"/>
    <col min="7" max="7" width="16.33203125" customWidth="1"/>
  </cols>
  <sheetData>
    <row r="1" spans="1:9" ht="30" customHeight="1" thickTop="1" x14ac:dyDescent="0.3">
      <c r="A1" s="65" t="str">
        <f>+Veri!$C$6</f>
        <v>T.C. İstanbul Büyükşehir Belediyesi, Raylı Sistem Dairesi Başkanlığı Avrupa Yakası Raylı Sistem Şube Müdürlüğü</v>
      </c>
      <c r="B1" s="66"/>
      <c r="C1" s="66"/>
      <c r="D1" s="66"/>
      <c r="E1" s="66"/>
      <c r="F1" s="66"/>
      <c r="G1" s="67"/>
    </row>
    <row r="2" spans="1:9" ht="30" customHeight="1" x14ac:dyDescent="0.3">
      <c r="A2" s="559" t="str">
        <f>+Veri!$C$3</f>
        <v>Kirazlı-Halkalı Üniversite Metro Hattı İnşaat Ve Elektromekanik İşler İle M1 Hattı Elektromekanik Sistemleri Yapım İşi</v>
      </c>
      <c r="B2" s="68"/>
      <c r="C2" s="68"/>
      <c r="D2" s="68"/>
      <c r="E2" s="68"/>
      <c r="F2" s="68"/>
      <c r="G2" s="69"/>
    </row>
    <row r="3" spans="1:9" ht="15" customHeight="1" x14ac:dyDescent="0.3">
      <c r="A3" s="70" t="str">
        <f>"Hakediş No : "&amp;Veri!C21&amp;" ("&amp;TEXT(Veri!C20,"gg.aa.yyyy")&amp;" - "&amp;TEXT(Veri!C22,"gg.aa.yyyy")&amp;")"</f>
        <v>Hakediş No : 6 (01.04.2026 - 30.04.2026)</v>
      </c>
      <c r="B3" s="36"/>
      <c r="C3" s="36"/>
      <c r="D3" s="36"/>
      <c r="E3" s="36"/>
      <c r="F3" s="36"/>
      <c r="G3" s="71"/>
    </row>
    <row r="4" spans="1:9" ht="15" customHeight="1" x14ac:dyDescent="0.3">
      <c r="A4" s="72" t="s">
        <v>95</v>
      </c>
      <c r="B4" s="36"/>
      <c r="C4" s="36"/>
      <c r="D4" s="36"/>
      <c r="E4" s="36"/>
      <c r="F4" s="36"/>
      <c r="G4" s="71"/>
    </row>
    <row r="5" spans="1:9" ht="15" customHeight="1" x14ac:dyDescent="0.3">
      <c r="A5" s="73" t="s">
        <v>96</v>
      </c>
      <c r="B5" s="37" t="s">
        <v>97</v>
      </c>
      <c r="C5" s="38"/>
      <c r="D5" s="38"/>
      <c r="E5" s="39"/>
      <c r="F5" s="40"/>
      <c r="G5" s="74" t="s">
        <v>98</v>
      </c>
    </row>
    <row r="6" spans="1:9" ht="15" customHeight="1" x14ac:dyDescent="0.3">
      <c r="A6" s="75"/>
      <c r="B6" s="1045" t="s">
        <v>99</v>
      </c>
      <c r="C6" s="1046"/>
      <c r="D6" s="1046"/>
      <c r="E6" s="41"/>
      <c r="F6" s="42"/>
      <c r="G6" s="76">
        <v>1</v>
      </c>
    </row>
    <row r="7" spans="1:9" ht="15" customHeight="1" x14ac:dyDescent="0.3">
      <c r="A7" s="77"/>
      <c r="B7" s="1047" t="s">
        <v>100</v>
      </c>
      <c r="C7" s="1048"/>
      <c r="D7" s="1048"/>
      <c r="E7" s="43"/>
      <c r="F7" s="44"/>
      <c r="G7" s="78">
        <v>1</v>
      </c>
    </row>
    <row r="8" spans="1:9" ht="15" customHeight="1" x14ac:dyDescent="0.3">
      <c r="A8" s="77"/>
      <c r="B8" s="1049" t="s">
        <v>101</v>
      </c>
      <c r="C8" s="1050"/>
      <c r="D8" s="1050"/>
      <c r="E8" s="47"/>
      <c r="F8" s="48"/>
      <c r="G8" s="79">
        <v>1</v>
      </c>
    </row>
    <row r="9" spans="1:9" ht="15" customHeight="1" x14ac:dyDescent="0.3">
      <c r="A9" s="77"/>
      <c r="B9" s="45" t="s">
        <v>102</v>
      </c>
      <c r="C9" s="46"/>
      <c r="D9" s="46"/>
      <c r="E9" s="47"/>
      <c r="F9" s="48"/>
      <c r="G9" s="79">
        <v>2</v>
      </c>
    </row>
    <row r="10" spans="1:9" ht="4.95" customHeight="1" x14ac:dyDescent="0.3">
      <c r="A10" s="80"/>
      <c r="B10" s="49"/>
      <c r="C10" s="50"/>
      <c r="D10" s="50"/>
      <c r="E10" s="51"/>
      <c r="F10" s="52"/>
      <c r="G10" s="81"/>
    </row>
    <row r="11" spans="1:9" ht="15" customHeight="1" x14ac:dyDescent="0.3">
      <c r="A11" s="82">
        <v>1</v>
      </c>
      <c r="B11" s="1036" t="s">
        <v>103</v>
      </c>
      <c r="C11" s="1037"/>
      <c r="D11" s="1037"/>
      <c r="E11" s="1037"/>
      <c r="F11" s="1038"/>
      <c r="G11" s="79" t="s">
        <v>21</v>
      </c>
    </row>
    <row r="12" spans="1:9" ht="15" customHeight="1" x14ac:dyDescent="0.3">
      <c r="A12" s="82">
        <f t="shared" ref="A12:A21" si="0">+A11+1</f>
        <v>2</v>
      </c>
      <c r="B12" s="1036" t="s">
        <v>104</v>
      </c>
      <c r="C12" s="1037"/>
      <c r="D12" s="1037"/>
      <c r="E12" s="1037"/>
      <c r="F12" s="1038"/>
      <c r="G12" s="78">
        <v>4</v>
      </c>
    </row>
    <row r="13" spans="1:9" ht="15" customHeight="1" x14ac:dyDescent="0.3">
      <c r="A13" s="82">
        <f t="shared" si="0"/>
        <v>3</v>
      </c>
      <c r="B13" s="1036" t="s">
        <v>105</v>
      </c>
      <c r="C13" s="1037"/>
      <c r="D13" s="1037"/>
      <c r="E13" s="1037"/>
      <c r="F13" s="1038"/>
      <c r="G13" s="78">
        <v>10</v>
      </c>
      <c r="I13" s="23" t="s">
        <v>1314</v>
      </c>
    </row>
    <row r="14" spans="1:9" ht="15" customHeight="1" x14ac:dyDescent="0.3">
      <c r="A14" s="82">
        <f t="shared" si="0"/>
        <v>4</v>
      </c>
      <c r="B14" s="1036" t="s">
        <v>1313</v>
      </c>
      <c r="C14" s="1037"/>
      <c r="D14" s="1037"/>
      <c r="E14" s="1037"/>
      <c r="F14" s="1038"/>
      <c r="G14" s="78">
        <v>5</v>
      </c>
      <c r="I14" s="23" t="s">
        <v>1314</v>
      </c>
    </row>
    <row r="15" spans="1:9" ht="15" customHeight="1" x14ac:dyDescent="0.3">
      <c r="A15" s="82">
        <f t="shared" si="0"/>
        <v>5</v>
      </c>
      <c r="B15" s="1036" t="s">
        <v>110</v>
      </c>
      <c r="C15" s="1037"/>
      <c r="D15" s="1037"/>
      <c r="E15" s="1037"/>
      <c r="F15" s="1038"/>
      <c r="G15" s="78">
        <v>40</v>
      </c>
    </row>
    <row r="16" spans="1:9" ht="15" customHeight="1" x14ac:dyDescent="0.3">
      <c r="A16" s="82">
        <f t="shared" si="0"/>
        <v>6</v>
      </c>
      <c r="B16" s="1036" t="s">
        <v>106</v>
      </c>
      <c r="C16" s="1037"/>
      <c r="D16" s="1037"/>
      <c r="E16" s="1037"/>
      <c r="F16" s="1038"/>
      <c r="G16" s="78">
        <v>26</v>
      </c>
    </row>
    <row r="17" spans="1:12" ht="15" customHeight="1" x14ac:dyDescent="0.3">
      <c r="A17" s="82">
        <f t="shared" si="0"/>
        <v>7</v>
      </c>
      <c r="B17" s="1036" t="s">
        <v>111</v>
      </c>
      <c r="C17" s="1037"/>
      <c r="D17" s="1037"/>
      <c r="E17" s="1037"/>
      <c r="F17" s="1038"/>
      <c r="G17" s="1043">
        <v>104</v>
      </c>
      <c r="I17" s="23" t="s">
        <v>1314</v>
      </c>
    </row>
    <row r="18" spans="1:12" ht="15" customHeight="1" x14ac:dyDescent="0.3">
      <c r="A18" s="82">
        <f t="shared" si="0"/>
        <v>8</v>
      </c>
      <c r="B18" s="1036" t="s">
        <v>1428</v>
      </c>
      <c r="C18" s="1037"/>
      <c r="D18" s="1037"/>
      <c r="E18" s="1037"/>
      <c r="F18" s="1038"/>
      <c r="G18" s="1044"/>
      <c r="I18" s="28"/>
      <c r="L18">
        <f>465-G16-G15-G14-G13-G12-G19</f>
        <v>354</v>
      </c>
    </row>
    <row r="19" spans="1:12" ht="15" customHeight="1" x14ac:dyDescent="0.3">
      <c r="A19" s="82">
        <f t="shared" si="0"/>
        <v>9</v>
      </c>
      <c r="B19" s="1036" t="s">
        <v>1429</v>
      </c>
      <c r="C19" s="1037"/>
      <c r="D19" s="1037"/>
      <c r="E19" s="1037"/>
      <c r="F19" s="1038"/>
      <c r="G19" s="78">
        <v>26</v>
      </c>
      <c r="I19" s="28"/>
    </row>
    <row r="20" spans="1:12" ht="15" customHeight="1" x14ac:dyDescent="0.3">
      <c r="A20" s="82">
        <f t="shared" si="0"/>
        <v>10</v>
      </c>
      <c r="B20" s="1036" t="s">
        <v>107</v>
      </c>
      <c r="C20" s="1037"/>
      <c r="D20" s="1037"/>
      <c r="E20" s="1037"/>
      <c r="F20" s="1038"/>
      <c r="G20" s="78">
        <v>2</v>
      </c>
    </row>
    <row r="21" spans="1:12" ht="15" customHeight="1" x14ac:dyDescent="0.3">
      <c r="A21" s="82">
        <f t="shared" si="0"/>
        <v>11</v>
      </c>
      <c r="B21" s="1036" t="s">
        <v>108</v>
      </c>
      <c r="C21" s="1037"/>
      <c r="D21" s="1037"/>
      <c r="E21" s="1037"/>
      <c r="F21" s="1038"/>
      <c r="G21" s="78">
        <v>29</v>
      </c>
    </row>
    <row r="22" spans="1:12" ht="15" customHeight="1" x14ac:dyDescent="0.3">
      <c r="A22" s="82">
        <f>+A21+1</f>
        <v>12</v>
      </c>
      <c r="B22" s="1036" t="s">
        <v>109</v>
      </c>
      <c r="C22" s="1037"/>
      <c r="D22" s="1037"/>
      <c r="E22" s="1037"/>
      <c r="F22" s="1038"/>
      <c r="G22" s="78">
        <v>3</v>
      </c>
    </row>
    <row r="23" spans="1:12" ht="4.95" customHeight="1" x14ac:dyDescent="0.3">
      <c r="A23" s="80"/>
      <c r="B23" s="49"/>
      <c r="C23" s="50"/>
      <c r="D23" s="50"/>
      <c r="E23" s="51"/>
      <c r="F23" s="52"/>
      <c r="G23" s="83">
        <f>SUM(G6:G22)</f>
        <v>254</v>
      </c>
    </row>
    <row r="24" spans="1:12" ht="15" customHeight="1" x14ac:dyDescent="0.3">
      <c r="A24" s="84"/>
      <c r="B24" s="1039"/>
      <c r="C24" s="1040"/>
      <c r="D24" s="1040"/>
      <c r="E24" s="53"/>
      <c r="F24" s="54"/>
      <c r="G24" s="85"/>
    </row>
    <row r="25" spans="1:12" ht="15" customHeight="1" x14ac:dyDescent="0.3">
      <c r="A25" s="84"/>
      <c r="B25" s="1039"/>
      <c r="C25" s="1040"/>
      <c r="D25" s="1040"/>
      <c r="E25" s="53"/>
      <c r="F25" s="54"/>
      <c r="G25" s="85"/>
    </row>
    <row r="26" spans="1:12" ht="15" customHeight="1" x14ac:dyDescent="0.3">
      <c r="A26" s="84"/>
      <c r="B26" s="1041"/>
      <c r="C26" s="1042"/>
      <c r="D26" s="1042"/>
      <c r="E26" s="53"/>
      <c r="F26" s="55"/>
      <c r="G26" s="85"/>
    </row>
    <row r="27" spans="1:12" ht="15" customHeight="1" x14ac:dyDescent="0.3">
      <c r="A27" s="86"/>
      <c r="B27" s="56" t="str">
        <f>"Yalnız "&amp;$A$22&amp;" kalem ve "&amp;G23&amp;" sayfadır."</f>
        <v>Yalnız 12 kalem ve 254 sayfadır.</v>
      </c>
      <c r="C27" s="57"/>
      <c r="D27" s="57"/>
      <c r="E27" s="58"/>
      <c r="F27" s="59"/>
      <c r="G27" s="87"/>
    </row>
    <row r="28" spans="1:12" ht="15" customHeight="1" x14ac:dyDescent="0.3">
      <c r="A28" s="88"/>
      <c r="B28" s="60"/>
      <c r="C28" s="61"/>
      <c r="D28" s="61"/>
      <c r="E28" s="62"/>
      <c r="F28" s="63"/>
      <c r="G28" s="89"/>
    </row>
    <row r="29" spans="1:12" ht="15" customHeight="1" x14ac:dyDescent="0.3">
      <c r="A29" s="88"/>
      <c r="B29" s="64"/>
      <c r="C29" s="62"/>
      <c r="D29" s="62"/>
      <c r="E29" s="62"/>
      <c r="F29" s="63"/>
      <c r="G29" s="89"/>
    </row>
    <row r="30" spans="1:12" ht="15" customHeight="1" x14ac:dyDescent="0.3">
      <c r="A30" s="88"/>
      <c r="B30" s="64"/>
      <c r="C30" s="62"/>
      <c r="D30" s="62"/>
      <c r="E30" s="62"/>
      <c r="F30" s="63"/>
      <c r="G30" s="89"/>
    </row>
    <row r="31" spans="1:12" ht="15" customHeight="1" x14ac:dyDescent="0.3">
      <c r="A31" s="88"/>
      <c r="B31" s="64"/>
      <c r="C31" s="62"/>
      <c r="D31" s="62"/>
      <c r="E31" s="62"/>
      <c r="F31" s="63"/>
      <c r="G31" s="89"/>
    </row>
    <row r="32" spans="1:12" ht="15" customHeight="1" x14ac:dyDescent="0.3">
      <c r="A32" s="88"/>
      <c r="B32" s="64"/>
      <c r="C32" s="62"/>
      <c r="D32" s="62"/>
      <c r="E32" s="62"/>
      <c r="F32" s="63"/>
      <c r="G32" s="90"/>
    </row>
    <row r="33" spans="1:7" ht="15" customHeight="1" x14ac:dyDescent="0.3">
      <c r="A33" s="88"/>
      <c r="B33" s="64"/>
      <c r="C33" s="62"/>
      <c r="D33" s="62"/>
      <c r="E33" s="62"/>
      <c r="F33" s="63"/>
      <c r="G33" s="89"/>
    </row>
    <row r="34" spans="1:7" ht="15" customHeight="1" x14ac:dyDescent="0.3">
      <c r="A34" s="88"/>
      <c r="B34" s="64"/>
      <c r="C34" s="62"/>
      <c r="D34" s="62"/>
      <c r="E34" s="62"/>
      <c r="F34" s="63"/>
      <c r="G34" s="89"/>
    </row>
    <row r="35" spans="1:7" ht="15" customHeight="1" x14ac:dyDescent="0.3">
      <c r="A35" s="88"/>
      <c r="B35" s="64"/>
      <c r="C35" s="62"/>
      <c r="D35" s="62"/>
      <c r="E35" s="62"/>
      <c r="F35" s="63"/>
      <c r="G35" s="89"/>
    </row>
    <row r="36" spans="1:7" ht="15" customHeight="1" x14ac:dyDescent="0.3">
      <c r="A36" s="88"/>
      <c r="B36" s="64"/>
      <c r="C36" s="62"/>
      <c r="D36" s="62"/>
      <c r="E36" s="62"/>
      <c r="F36" s="63"/>
      <c r="G36" s="89"/>
    </row>
    <row r="37" spans="1:7" ht="15" customHeight="1" x14ac:dyDescent="0.3">
      <c r="A37" s="88"/>
      <c r="B37" s="64"/>
      <c r="C37" s="62"/>
      <c r="D37" s="62"/>
      <c r="E37" s="62"/>
      <c r="F37" s="63"/>
      <c r="G37" s="90"/>
    </row>
    <row r="38" spans="1:7" ht="15" customHeight="1" x14ac:dyDescent="0.3">
      <c r="A38" s="88"/>
      <c r="B38" s="64"/>
      <c r="C38" s="62"/>
      <c r="D38" s="62"/>
      <c r="E38" s="62"/>
      <c r="F38" s="63"/>
      <c r="G38" s="90"/>
    </row>
    <row r="39" spans="1:7" ht="15" customHeight="1" x14ac:dyDescent="0.3">
      <c r="A39" s="88"/>
      <c r="B39" s="60"/>
      <c r="C39" s="61"/>
      <c r="D39" s="61"/>
      <c r="E39" s="62"/>
      <c r="F39" s="63"/>
      <c r="G39" s="89"/>
    </row>
    <row r="40" spans="1:7" ht="15" customHeight="1" x14ac:dyDescent="0.3">
      <c r="A40" s="88"/>
      <c r="B40" s="60"/>
      <c r="C40" s="61"/>
      <c r="D40" s="61"/>
      <c r="E40" s="62"/>
      <c r="F40" s="63"/>
      <c r="G40" s="89"/>
    </row>
    <row r="41" spans="1:7" ht="15" customHeight="1" x14ac:dyDescent="0.3">
      <c r="A41" s="88"/>
      <c r="B41" s="64"/>
      <c r="C41" s="62"/>
      <c r="D41" s="62"/>
      <c r="E41" s="62"/>
      <c r="F41" s="63"/>
      <c r="G41" s="89"/>
    </row>
    <row r="42" spans="1:7" ht="15" customHeight="1" x14ac:dyDescent="0.3">
      <c r="A42" s="88"/>
      <c r="B42" s="64"/>
      <c r="C42" s="62"/>
      <c r="D42" s="62"/>
      <c r="E42" s="62"/>
      <c r="F42" s="63"/>
      <c r="G42" s="89"/>
    </row>
    <row r="43" spans="1:7" ht="15" customHeight="1" x14ac:dyDescent="0.3">
      <c r="A43" s="88"/>
      <c r="B43" s="64"/>
      <c r="C43" s="62"/>
      <c r="D43" s="62"/>
      <c r="E43" s="62"/>
      <c r="F43" s="63"/>
      <c r="G43" s="89"/>
    </row>
    <row r="44" spans="1:7" ht="15" customHeight="1" x14ac:dyDescent="0.3">
      <c r="A44" s="88"/>
      <c r="B44" s="64"/>
      <c r="C44" s="62"/>
      <c r="D44" s="62"/>
      <c r="E44" s="62"/>
      <c r="F44" s="63"/>
      <c r="G44" s="89"/>
    </row>
    <row r="45" spans="1:7" ht="15" customHeight="1" x14ac:dyDescent="0.3">
      <c r="A45" s="139"/>
      <c r="B45" s="140"/>
      <c r="C45" s="62"/>
      <c r="D45" s="62"/>
      <c r="E45" s="62"/>
      <c r="F45" s="63"/>
      <c r="G45" s="90"/>
    </row>
    <row r="46" spans="1:7" ht="15" customHeight="1" x14ac:dyDescent="0.3">
      <c r="A46" s="141"/>
      <c r="B46" s="142"/>
      <c r="C46" s="142"/>
      <c r="D46" s="142"/>
      <c r="E46" s="142"/>
      <c r="F46" s="142"/>
      <c r="G46" s="143"/>
    </row>
    <row r="47" spans="1:7" ht="15" customHeight="1" x14ac:dyDescent="0.3">
      <c r="A47" s="144"/>
      <c r="B47" s="145"/>
      <c r="C47" s="145"/>
      <c r="D47" s="145"/>
      <c r="E47" s="145"/>
      <c r="F47" s="145"/>
      <c r="G47" s="146"/>
    </row>
    <row r="48" spans="1:7" ht="15" customHeight="1" x14ac:dyDescent="0.3">
      <c r="A48" s="144"/>
      <c r="B48" s="147"/>
      <c r="C48" s="147"/>
      <c r="D48" s="147"/>
      <c r="E48" s="147"/>
      <c r="F48" s="147"/>
      <c r="G48" s="146"/>
    </row>
    <row r="49" spans="1:7" ht="15" customHeight="1" x14ac:dyDescent="0.3">
      <c r="A49" s="144"/>
      <c r="B49" s="145"/>
      <c r="C49" s="145"/>
      <c r="D49" s="145"/>
      <c r="E49" s="145"/>
      <c r="F49" s="145"/>
      <c r="G49" s="146"/>
    </row>
    <row r="50" spans="1:7" x14ac:dyDescent="0.3">
      <c r="A50" s="91"/>
      <c r="G50" s="92"/>
    </row>
    <row r="51" spans="1:7" x14ac:dyDescent="0.3">
      <c r="A51" s="91"/>
      <c r="G51" s="92"/>
    </row>
    <row r="52" spans="1:7" x14ac:dyDescent="0.3">
      <c r="A52" s="91"/>
      <c r="G52" s="92"/>
    </row>
    <row r="53" spans="1:7" x14ac:dyDescent="0.3">
      <c r="A53" s="91"/>
      <c r="G53" s="92"/>
    </row>
    <row r="54" spans="1:7" x14ac:dyDescent="0.3">
      <c r="A54" s="91"/>
      <c r="G54" s="92"/>
    </row>
    <row r="55" spans="1:7" x14ac:dyDescent="0.3">
      <c r="A55" s="91"/>
      <c r="G55" s="92"/>
    </row>
    <row r="56" spans="1:7" x14ac:dyDescent="0.3">
      <c r="A56" s="91"/>
      <c r="G56" s="92"/>
    </row>
    <row r="57" spans="1:7" x14ac:dyDescent="0.3">
      <c r="A57" s="91"/>
      <c r="G57" s="92"/>
    </row>
    <row r="58" spans="1:7" x14ac:dyDescent="0.3">
      <c r="A58" s="91"/>
      <c r="G58" s="92"/>
    </row>
    <row r="59" spans="1:7" x14ac:dyDescent="0.3">
      <c r="A59" s="91"/>
      <c r="G59" s="92"/>
    </row>
    <row r="60" spans="1:7" x14ac:dyDescent="0.3">
      <c r="A60" s="91"/>
      <c r="G60" s="92"/>
    </row>
    <row r="61" spans="1:7" x14ac:dyDescent="0.3">
      <c r="A61" s="91"/>
      <c r="G61" s="92"/>
    </row>
    <row r="62" spans="1:7" x14ac:dyDescent="0.3">
      <c r="A62" s="91"/>
      <c r="G62" s="92"/>
    </row>
    <row r="63" spans="1:7" x14ac:dyDescent="0.3">
      <c r="A63" s="91"/>
      <c r="G63" s="92"/>
    </row>
    <row r="64" spans="1:7" x14ac:dyDescent="0.3">
      <c r="A64" s="91"/>
      <c r="G64" s="92"/>
    </row>
    <row r="65" spans="1:7" x14ac:dyDescent="0.3">
      <c r="A65" s="91"/>
      <c r="G65" s="92"/>
    </row>
    <row r="66" spans="1:7" x14ac:dyDescent="0.3">
      <c r="A66" s="91"/>
      <c r="G66" s="92"/>
    </row>
    <row r="67" spans="1:7" x14ac:dyDescent="0.3">
      <c r="A67" s="91"/>
      <c r="G67" s="92"/>
    </row>
    <row r="68" spans="1:7" x14ac:dyDescent="0.3">
      <c r="A68" s="91"/>
      <c r="G68" s="92"/>
    </row>
    <row r="69" spans="1:7" x14ac:dyDescent="0.3">
      <c r="A69" s="91"/>
      <c r="G69" s="92"/>
    </row>
    <row r="70" spans="1:7" x14ac:dyDescent="0.3">
      <c r="A70" s="91"/>
      <c r="G70" s="92"/>
    </row>
    <row r="71" spans="1:7" x14ac:dyDescent="0.3">
      <c r="A71" s="91"/>
      <c r="G71" s="92"/>
    </row>
    <row r="72" spans="1:7" x14ac:dyDescent="0.3">
      <c r="A72" s="91"/>
      <c r="G72" s="92"/>
    </row>
    <row r="73" spans="1:7" x14ac:dyDescent="0.3">
      <c r="A73" s="91"/>
      <c r="G73" s="92"/>
    </row>
    <row r="74" spans="1:7" x14ac:dyDescent="0.3">
      <c r="A74" s="91"/>
      <c r="G74" s="92"/>
    </row>
    <row r="75" spans="1:7" x14ac:dyDescent="0.3">
      <c r="A75" s="91"/>
      <c r="G75" s="92"/>
    </row>
    <row r="76" spans="1:7" ht="15" thickBot="1" x14ac:dyDescent="0.35">
      <c r="A76" s="93"/>
      <c r="B76" s="94"/>
      <c r="C76" s="94"/>
      <c r="D76" s="94"/>
      <c r="E76" s="94"/>
      <c r="F76" s="94"/>
      <c r="G76" s="95"/>
    </row>
    <row r="77" spans="1:7" ht="15" thickTop="1" x14ac:dyDescent="0.3"/>
  </sheetData>
  <mergeCells count="19">
    <mergeCell ref="G17:G18"/>
    <mergeCell ref="B6:D6"/>
    <mergeCell ref="B7:D7"/>
    <mergeCell ref="B8:D8"/>
    <mergeCell ref="B11:F11"/>
    <mergeCell ref="B13:F13"/>
    <mergeCell ref="B12:F12"/>
    <mergeCell ref="B19:F19"/>
    <mergeCell ref="B25:D25"/>
    <mergeCell ref="B26:D26"/>
    <mergeCell ref="B24:D24"/>
    <mergeCell ref="B14:F14"/>
    <mergeCell ref="B15:F15"/>
    <mergeCell ref="B16:F16"/>
    <mergeCell ref="B17:F17"/>
    <mergeCell ref="B18:F18"/>
    <mergeCell ref="B20:F20"/>
    <mergeCell ref="B21:F21"/>
    <mergeCell ref="B22:F22"/>
  </mergeCells>
  <printOptions verticalCentered="1"/>
  <pageMargins left="0.51181102362204722" right="0" top="0" bottom="0" header="0" footer="0"/>
  <pageSetup paperSize="9" scale="66" orientation="portrait" r:id="rId1"/>
  <colBreaks count="1" manualBreakCount="1">
    <brk id="7" max="10485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A4C3-B6C7-4A50-B24A-9F3A63339E11}">
  <sheetPr>
    <tabColor rgb="FFFFC000"/>
    <pageSetUpPr fitToPage="1"/>
  </sheetPr>
  <dimension ref="A1:H59"/>
  <sheetViews>
    <sheetView view="pageBreakPreview" topLeftCell="A47" zoomScaleNormal="100" zoomScaleSheetLayoutView="100" workbookViewId="0">
      <selection activeCell="G56" sqref="G56"/>
    </sheetView>
  </sheetViews>
  <sheetFormatPr defaultRowHeight="14.4" x14ac:dyDescent="0.3"/>
  <cols>
    <col min="1" max="1" width="5.77734375" style="28" customWidth="1"/>
    <col min="2" max="2" width="23.77734375" style="28" customWidth="1"/>
    <col min="3" max="3" width="30.77734375" style="28" customWidth="1"/>
    <col min="4" max="4" width="19.77734375" style="28" customWidth="1"/>
    <col min="5" max="5" width="30.77734375" style="28" customWidth="1"/>
    <col min="6" max="6" width="19.77734375" style="28" customWidth="1"/>
    <col min="7" max="7" width="30.77734375" style="28" customWidth="1"/>
    <col min="8" max="8" width="19.77734375" style="28" customWidth="1"/>
    <col min="9" max="16384" width="8.88671875" style="28"/>
  </cols>
  <sheetData>
    <row r="1" spans="1:8" ht="30" customHeight="1" thickTop="1" x14ac:dyDescent="0.3">
      <c r="A1" s="491"/>
      <c r="B1" s="66" t="str">
        <f>+[3]Veri!$C$6</f>
        <v>T.C. İstanbul Büyükşehir Belediyesi, Raylı Sistem Dairesi Başkanlığı Avrupa Yakası Raylı Sistem Şube Müdürlüğü</v>
      </c>
      <c r="C1" s="66"/>
      <c r="D1" s="66"/>
      <c r="E1" s="66"/>
      <c r="F1" s="66"/>
      <c r="G1" s="66"/>
      <c r="H1" s="67"/>
    </row>
    <row r="2" spans="1:8" ht="30" customHeight="1" x14ac:dyDescent="0.3">
      <c r="A2" s="491"/>
      <c r="B2" s="558" t="str">
        <f>+[3]Veri!$C$3</f>
        <v>Kirazlı-Halkalı Üniversite Metro Hattı İnşaat Ve Elektromekanik İşler İle M1 Hattı Elektromekanik Sistemleri Yapım İşi</v>
      </c>
      <c r="C2" s="558"/>
      <c r="D2" s="68"/>
      <c r="E2" s="68"/>
      <c r="F2" s="68"/>
      <c r="G2" s="68"/>
      <c r="H2" s="69"/>
    </row>
    <row r="3" spans="1:8" ht="22.95" customHeight="1" thickBot="1" x14ac:dyDescent="0.35">
      <c r="A3" s="491"/>
      <c r="B3" s="923" t="s">
        <v>1413</v>
      </c>
      <c r="C3" s="68"/>
      <c r="D3" s="68"/>
      <c r="E3" s="68"/>
      <c r="F3" s="68"/>
      <c r="G3" s="68"/>
      <c r="H3" s="69"/>
    </row>
    <row r="4" spans="1:8" ht="28.05" customHeight="1" thickTop="1" thickBot="1" x14ac:dyDescent="0.35">
      <c r="B4" s="924" t="s">
        <v>97</v>
      </c>
      <c r="C4" s="925" t="s">
        <v>1414</v>
      </c>
      <c r="D4" s="925" t="s">
        <v>1423</v>
      </c>
      <c r="E4" s="925" t="s">
        <v>1415</v>
      </c>
      <c r="F4" s="925" t="s">
        <v>1423</v>
      </c>
      <c r="G4" s="925" t="s">
        <v>1416</v>
      </c>
      <c r="H4" s="926" t="s">
        <v>1423</v>
      </c>
    </row>
    <row r="5" spans="1:8" ht="28.05" customHeight="1" thickTop="1" thickBot="1" x14ac:dyDescent="0.35">
      <c r="A5" s="1051">
        <v>1</v>
      </c>
      <c r="B5" s="1052" t="s">
        <v>1417</v>
      </c>
      <c r="C5" s="927" t="s">
        <v>1351</v>
      </c>
      <c r="D5" s="928" t="s">
        <v>1499</v>
      </c>
      <c r="E5" s="927" t="s">
        <v>1346</v>
      </c>
      <c r="F5" s="929" t="s">
        <v>1500</v>
      </c>
      <c r="G5" s="927" t="s">
        <v>35</v>
      </c>
      <c r="H5" s="930" t="s">
        <v>1500</v>
      </c>
    </row>
    <row r="6" spans="1:8" ht="28.05" customHeight="1" thickTop="1" thickBot="1" x14ac:dyDescent="0.35">
      <c r="A6" s="1051"/>
      <c r="B6" s="1053"/>
      <c r="C6" s="931" t="s">
        <v>46</v>
      </c>
      <c r="D6" s="928" t="s">
        <v>1499</v>
      </c>
      <c r="E6" s="931" t="s">
        <v>1409</v>
      </c>
      <c r="F6" s="929" t="s">
        <v>1500</v>
      </c>
      <c r="G6" s="931"/>
      <c r="H6" s="932"/>
    </row>
    <row r="7" spans="1:8" ht="28.05" customHeight="1" thickTop="1" thickBot="1" x14ac:dyDescent="0.35">
      <c r="A7" s="1051"/>
      <c r="B7" s="1053"/>
      <c r="C7" s="931" t="s">
        <v>48</v>
      </c>
      <c r="D7" s="929" t="s">
        <v>1500</v>
      </c>
      <c r="E7" s="931" t="s">
        <v>63</v>
      </c>
      <c r="F7" s="929" t="s">
        <v>1500</v>
      </c>
      <c r="G7" s="931"/>
      <c r="H7" s="932"/>
    </row>
    <row r="8" spans="1:8" ht="28.05" customHeight="1" thickTop="1" thickBot="1" x14ac:dyDescent="0.35">
      <c r="A8" s="1051"/>
      <c r="B8" s="1053"/>
      <c r="C8" s="931" t="s">
        <v>26</v>
      </c>
      <c r="D8" s="929" t="s">
        <v>1500</v>
      </c>
      <c r="E8" s="931"/>
      <c r="F8" s="933"/>
      <c r="G8" s="931"/>
      <c r="H8" s="934"/>
    </row>
    <row r="9" spans="1:8" ht="28.05" customHeight="1" thickTop="1" thickBot="1" x14ac:dyDescent="0.35">
      <c r="A9" s="1051"/>
      <c r="B9" s="1053"/>
      <c r="C9" s="931" t="s">
        <v>1244</v>
      </c>
      <c r="D9" s="929" t="s">
        <v>1500</v>
      </c>
      <c r="E9" s="931"/>
      <c r="F9" s="933"/>
      <c r="G9" s="931"/>
      <c r="H9" s="932"/>
    </row>
    <row r="10" spans="1:8" ht="28.05" customHeight="1" thickTop="1" thickBot="1" x14ac:dyDescent="0.35">
      <c r="A10" s="1051"/>
      <c r="B10" s="1053"/>
      <c r="C10" s="931" t="s">
        <v>27</v>
      </c>
      <c r="D10" s="929" t="s">
        <v>1500</v>
      </c>
      <c r="E10" s="931"/>
      <c r="F10" s="933"/>
      <c r="G10" s="931"/>
      <c r="H10" s="932"/>
    </row>
    <row r="11" spans="1:8" ht="28.05" customHeight="1" thickTop="1" thickBot="1" x14ac:dyDescent="0.35">
      <c r="A11" s="1051"/>
      <c r="B11" s="1053"/>
      <c r="C11" s="931" t="s">
        <v>52</v>
      </c>
      <c r="D11" s="929" t="s">
        <v>1500</v>
      </c>
      <c r="E11" s="931"/>
      <c r="F11" s="933"/>
      <c r="G11" s="931"/>
      <c r="H11" s="934"/>
    </row>
    <row r="12" spans="1:8" ht="28.05" customHeight="1" thickTop="1" thickBot="1" x14ac:dyDescent="0.35">
      <c r="A12" s="1051"/>
      <c r="B12" s="1053"/>
      <c r="C12" s="931" t="s">
        <v>28</v>
      </c>
      <c r="D12" s="929" t="s">
        <v>1500</v>
      </c>
      <c r="E12" s="931"/>
      <c r="F12" s="933"/>
      <c r="G12" s="931"/>
      <c r="H12" s="934"/>
    </row>
    <row r="13" spans="1:8" ht="28.05" customHeight="1" thickTop="1" thickBot="1" x14ac:dyDescent="0.35">
      <c r="A13" s="1051"/>
      <c r="B13" s="1053"/>
      <c r="C13" s="931" t="s">
        <v>53</v>
      </c>
      <c r="D13" s="929" t="s">
        <v>1500</v>
      </c>
      <c r="E13" s="931"/>
      <c r="F13" s="933"/>
      <c r="G13" s="931"/>
      <c r="H13" s="932"/>
    </row>
    <row r="14" spans="1:8" ht="28.05" customHeight="1" thickTop="1" thickBot="1" x14ac:dyDescent="0.35">
      <c r="A14" s="1051"/>
      <c r="B14" s="1053"/>
      <c r="C14" s="931" t="s">
        <v>54</v>
      </c>
      <c r="D14" s="929" t="s">
        <v>1500</v>
      </c>
      <c r="E14" s="931"/>
      <c r="F14" s="933"/>
      <c r="G14" s="931"/>
      <c r="H14" s="932"/>
    </row>
    <row r="15" spans="1:8" ht="28.05" customHeight="1" thickTop="1" thickBot="1" x14ac:dyDescent="0.35">
      <c r="A15" s="1051"/>
      <c r="B15" s="1053"/>
      <c r="C15" s="931" t="s">
        <v>55</v>
      </c>
      <c r="D15" s="929" t="s">
        <v>1500</v>
      </c>
      <c r="E15" s="931"/>
      <c r="F15" s="933"/>
      <c r="G15" s="931"/>
      <c r="H15" s="932"/>
    </row>
    <row r="16" spans="1:8" ht="28.05" customHeight="1" thickTop="1" thickBot="1" x14ac:dyDescent="0.35">
      <c r="A16" s="1051"/>
      <c r="B16" s="1053"/>
      <c r="C16" s="931" t="s">
        <v>56</v>
      </c>
      <c r="D16" s="929" t="s">
        <v>1500</v>
      </c>
      <c r="E16" s="931"/>
      <c r="F16" s="933"/>
      <c r="G16" s="931"/>
      <c r="H16" s="932"/>
    </row>
    <row r="17" spans="1:8" ht="28.05" customHeight="1" thickTop="1" thickBot="1" x14ac:dyDescent="0.35">
      <c r="A17" s="1051"/>
      <c r="B17" s="1053"/>
      <c r="C17" s="931" t="s">
        <v>57</v>
      </c>
      <c r="D17" s="929" t="s">
        <v>1500</v>
      </c>
      <c r="E17" s="931"/>
      <c r="F17" s="933"/>
      <c r="G17" s="931"/>
      <c r="H17" s="932"/>
    </row>
    <row r="18" spans="1:8" ht="28.05" customHeight="1" thickTop="1" thickBot="1" x14ac:dyDescent="0.35">
      <c r="A18" s="1051"/>
      <c r="B18" s="1053"/>
      <c r="C18" s="931" t="s">
        <v>58</v>
      </c>
      <c r="D18" s="929" t="s">
        <v>1500</v>
      </c>
      <c r="E18" s="931"/>
      <c r="F18" s="933"/>
      <c r="G18" s="931"/>
      <c r="H18" s="932"/>
    </row>
    <row r="19" spans="1:8" ht="28.05" customHeight="1" thickTop="1" thickBot="1" x14ac:dyDescent="0.35">
      <c r="A19" s="1051"/>
      <c r="B19" s="1054"/>
      <c r="C19" s="935" t="s">
        <v>59</v>
      </c>
      <c r="D19" s="929" t="s">
        <v>1500</v>
      </c>
      <c r="E19" s="935"/>
      <c r="F19" s="936"/>
      <c r="G19" s="935"/>
      <c r="H19" s="937"/>
    </row>
    <row r="20" spans="1:8" ht="28.05" customHeight="1" thickTop="1" thickBot="1" x14ac:dyDescent="0.35">
      <c r="A20" s="1051">
        <v>2</v>
      </c>
      <c r="B20" s="1055" t="s">
        <v>1422</v>
      </c>
      <c r="C20" s="938"/>
      <c r="D20" s="939"/>
      <c r="E20" s="938" t="s">
        <v>63</v>
      </c>
      <c r="F20" s="940">
        <v>1</v>
      </c>
      <c r="G20" s="938" t="s">
        <v>35</v>
      </c>
      <c r="H20" s="941">
        <v>1</v>
      </c>
    </row>
    <row r="21" spans="1:8" ht="28.05" customHeight="1" thickTop="1" thickBot="1" x14ac:dyDescent="0.35">
      <c r="A21" s="1051"/>
      <c r="B21" s="1056"/>
      <c r="C21" s="942"/>
      <c r="D21" s="943"/>
      <c r="E21" s="942"/>
      <c r="F21" s="944"/>
      <c r="G21" s="942"/>
      <c r="H21" s="945"/>
    </row>
    <row r="22" spans="1:8" ht="28.05" customHeight="1" thickTop="1" thickBot="1" x14ac:dyDescent="0.35">
      <c r="A22" s="1051">
        <v>3</v>
      </c>
      <c r="B22" s="1057" t="s">
        <v>1418</v>
      </c>
      <c r="C22" s="946" t="s">
        <v>48</v>
      </c>
      <c r="D22" s="947" t="s">
        <v>1501</v>
      </c>
      <c r="E22" s="946" t="s">
        <v>1346</v>
      </c>
      <c r="F22" s="947" t="s">
        <v>1501</v>
      </c>
      <c r="G22" s="946" t="s">
        <v>35</v>
      </c>
      <c r="H22" s="948" t="s">
        <v>1501</v>
      </c>
    </row>
    <row r="23" spans="1:8" ht="28.05" customHeight="1" thickTop="1" thickBot="1" x14ac:dyDescent="0.35">
      <c r="A23" s="1051"/>
      <c r="B23" s="1058"/>
      <c r="C23" s="931" t="s">
        <v>26</v>
      </c>
      <c r="D23" s="949" t="s">
        <v>1501</v>
      </c>
      <c r="E23" s="931" t="s">
        <v>63</v>
      </c>
      <c r="F23" s="933" t="s">
        <v>1501</v>
      </c>
      <c r="G23" s="931"/>
      <c r="H23" s="932"/>
    </row>
    <row r="24" spans="1:8" ht="28.05" customHeight="1" thickTop="1" thickBot="1" x14ac:dyDescent="0.35">
      <c r="A24" s="1051"/>
      <c r="B24" s="1058"/>
      <c r="C24" s="931" t="s">
        <v>27</v>
      </c>
      <c r="D24" s="949" t="s">
        <v>1516</v>
      </c>
      <c r="E24" s="950" t="s">
        <v>1407</v>
      </c>
      <c r="F24" s="933" t="s">
        <v>1517</v>
      </c>
      <c r="G24" s="931"/>
      <c r="H24" s="932"/>
    </row>
    <row r="25" spans="1:8" ht="28.05" customHeight="1" thickTop="1" thickBot="1" x14ac:dyDescent="0.35">
      <c r="A25" s="1051"/>
      <c r="B25" s="1058"/>
      <c r="C25" s="931" t="s">
        <v>56</v>
      </c>
      <c r="D25" s="949" t="s">
        <v>1517</v>
      </c>
      <c r="E25" s="950" t="s">
        <v>32</v>
      </c>
      <c r="F25" s="933" t="s">
        <v>1517</v>
      </c>
      <c r="G25" s="931"/>
      <c r="H25" s="932"/>
    </row>
    <row r="26" spans="1:8" ht="28.05" customHeight="1" thickTop="1" thickBot="1" x14ac:dyDescent="0.35">
      <c r="A26" s="1051"/>
      <c r="B26" s="1059"/>
      <c r="C26" s="935"/>
      <c r="D26" s="951"/>
      <c r="E26" s="935"/>
      <c r="F26" s="936"/>
      <c r="G26" s="935"/>
      <c r="H26" s="952"/>
    </row>
    <row r="27" spans="1:8" ht="28.05" customHeight="1" thickTop="1" thickBot="1" x14ac:dyDescent="0.35">
      <c r="A27" s="1051">
        <v>4</v>
      </c>
      <c r="B27" s="1055" t="s">
        <v>1419</v>
      </c>
      <c r="C27" s="938" t="s">
        <v>48</v>
      </c>
      <c r="D27" s="939" t="s">
        <v>1535</v>
      </c>
      <c r="E27" s="938" t="s">
        <v>1346</v>
      </c>
      <c r="F27" s="953" t="s">
        <v>1519</v>
      </c>
      <c r="G27" s="938" t="s">
        <v>35</v>
      </c>
      <c r="H27" s="954" t="s">
        <v>1518</v>
      </c>
    </row>
    <row r="28" spans="1:8" ht="28.05" customHeight="1" thickTop="1" thickBot="1" x14ac:dyDescent="0.35">
      <c r="A28" s="1051"/>
      <c r="B28" s="1060"/>
      <c r="C28" s="950" t="s">
        <v>26</v>
      </c>
      <c r="D28" s="955" t="s">
        <v>1536</v>
      </c>
      <c r="E28" s="950" t="s">
        <v>63</v>
      </c>
      <c r="F28" s="955" t="s">
        <v>1536</v>
      </c>
      <c r="G28" s="950"/>
      <c r="H28" s="956"/>
    </row>
    <row r="29" spans="1:8" ht="28.05" customHeight="1" thickTop="1" thickBot="1" x14ac:dyDescent="0.35">
      <c r="A29" s="1051"/>
      <c r="B29" s="1060"/>
      <c r="C29" s="950" t="s">
        <v>1244</v>
      </c>
      <c r="D29" s="955" t="s">
        <v>1537</v>
      </c>
      <c r="E29" s="950" t="s">
        <v>1407</v>
      </c>
      <c r="F29" s="957" t="s">
        <v>1519</v>
      </c>
      <c r="G29" s="950"/>
      <c r="H29" s="956"/>
    </row>
    <row r="30" spans="1:8" ht="28.05" customHeight="1" thickTop="1" thickBot="1" x14ac:dyDescent="0.35">
      <c r="A30" s="1051"/>
      <c r="B30" s="1060"/>
      <c r="C30" s="950" t="s">
        <v>27</v>
      </c>
      <c r="D30" s="955" t="s">
        <v>1538</v>
      </c>
      <c r="E30" s="950" t="s">
        <v>32</v>
      </c>
      <c r="F30" s="957" t="s">
        <v>1519</v>
      </c>
      <c r="G30" s="950"/>
      <c r="H30" s="956"/>
    </row>
    <row r="31" spans="1:8" ht="28.05" customHeight="1" thickTop="1" thickBot="1" x14ac:dyDescent="0.35">
      <c r="A31" s="1051"/>
      <c r="B31" s="1060"/>
      <c r="C31" s="950" t="s">
        <v>52</v>
      </c>
      <c r="D31" s="955" t="s">
        <v>1539</v>
      </c>
      <c r="E31" s="950"/>
      <c r="F31" s="957"/>
      <c r="G31" s="950"/>
      <c r="H31" s="956"/>
    </row>
    <row r="32" spans="1:8" ht="28.05" customHeight="1" thickTop="1" thickBot="1" x14ac:dyDescent="0.35">
      <c r="A32" s="1051"/>
      <c r="B32" s="1060"/>
      <c r="C32" s="950" t="s">
        <v>28</v>
      </c>
      <c r="D32" s="958" t="s">
        <v>1540</v>
      </c>
      <c r="E32" s="950"/>
      <c r="F32" s="957"/>
      <c r="G32" s="950"/>
      <c r="H32" s="956"/>
    </row>
    <row r="33" spans="1:8" ht="28.05" customHeight="1" thickTop="1" thickBot="1" x14ac:dyDescent="0.35">
      <c r="A33" s="1051"/>
      <c r="B33" s="1060"/>
      <c r="C33" s="950" t="s">
        <v>54</v>
      </c>
      <c r="D33" s="955" t="s">
        <v>1541</v>
      </c>
      <c r="E33" s="950"/>
      <c r="F33" s="957"/>
      <c r="G33" s="950"/>
      <c r="H33" s="956"/>
    </row>
    <row r="34" spans="1:8" ht="28.05" customHeight="1" thickTop="1" thickBot="1" x14ac:dyDescent="0.35">
      <c r="A34" s="1051"/>
      <c r="B34" s="1060"/>
      <c r="C34" s="950" t="s">
        <v>55</v>
      </c>
      <c r="D34" s="955" t="s">
        <v>1542</v>
      </c>
      <c r="E34" s="950"/>
      <c r="F34" s="957"/>
      <c r="G34" s="950"/>
      <c r="H34" s="956"/>
    </row>
    <row r="35" spans="1:8" ht="28.05" customHeight="1" thickTop="1" thickBot="1" x14ac:dyDescent="0.35">
      <c r="A35" s="1051"/>
      <c r="B35" s="1060"/>
      <c r="C35" s="950" t="s">
        <v>56</v>
      </c>
      <c r="D35" s="955" t="s">
        <v>1544</v>
      </c>
      <c r="E35" s="950"/>
      <c r="F35" s="957"/>
      <c r="G35" s="950"/>
      <c r="H35" s="956"/>
    </row>
    <row r="36" spans="1:8" ht="28.05" customHeight="1" thickTop="1" thickBot="1" x14ac:dyDescent="0.35">
      <c r="A36" s="1051"/>
      <c r="B36" s="1060"/>
      <c r="C36" s="950" t="s">
        <v>57</v>
      </c>
      <c r="D36" s="955" t="s">
        <v>1543</v>
      </c>
      <c r="E36" s="950"/>
      <c r="F36" s="957"/>
      <c r="G36" s="950"/>
      <c r="H36" s="956"/>
    </row>
    <row r="37" spans="1:8" ht="28.05" customHeight="1" thickTop="1" thickBot="1" x14ac:dyDescent="0.35">
      <c r="A37" s="1051"/>
      <c r="B37" s="1056"/>
      <c r="C37" s="942" t="s">
        <v>58</v>
      </c>
      <c r="D37" s="943" t="s">
        <v>1543</v>
      </c>
      <c r="E37" s="942"/>
      <c r="F37" s="959"/>
      <c r="G37" s="942"/>
      <c r="H37" s="945"/>
    </row>
    <row r="38" spans="1:8" ht="28.05" customHeight="1" thickTop="1" thickBot="1" x14ac:dyDescent="0.35">
      <c r="A38" s="1051">
        <v>5</v>
      </c>
      <c r="B38" s="1055" t="s">
        <v>1420</v>
      </c>
      <c r="C38" s="938" t="s">
        <v>48</v>
      </c>
      <c r="D38" s="955" t="s">
        <v>1551</v>
      </c>
      <c r="E38" s="950" t="s">
        <v>1346</v>
      </c>
      <c r="F38" s="960" t="s">
        <v>1555</v>
      </c>
      <c r="G38" s="961" t="s">
        <v>35</v>
      </c>
      <c r="H38" s="954" t="s">
        <v>1520</v>
      </c>
    </row>
    <row r="39" spans="1:8" ht="28.05" customHeight="1" thickTop="1" thickBot="1" x14ac:dyDescent="0.35">
      <c r="A39" s="1051"/>
      <c r="B39" s="1060"/>
      <c r="C39" s="950" t="s">
        <v>26</v>
      </c>
      <c r="D39" s="955" t="s">
        <v>1550</v>
      </c>
      <c r="E39" s="962" t="s">
        <v>63</v>
      </c>
      <c r="F39" s="963" t="s">
        <v>1556</v>
      </c>
      <c r="G39" s="950"/>
      <c r="H39" s="956"/>
    </row>
    <row r="40" spans="1:8" ht="28.05" customHeight="1" thickTop="1" thickBot="1" x14ac:dyDescent="0.35">
      <c r="A40" s="1051"/>
      <c r="B40" s="1060"/>
      <c r="C40" s="950" t="s">
        <v>1244</v>
      </c>
      <c r="D40" s="955" t="s">
        <v>1552</v>
      </c>
      <c r="E40" s="950" t="s">
        <v>1409</v>
      </c>
      <c r="F40" s="960" t="s">
        <v>1557</v>
      </c>
      <c r="G40" s="950"/>
      <c r="H40" s="956"/>
    </row>
    <row r="41" spans="1:8" ht="28.05" customHeight="1" thickTop="1" thickBot="1" x14ac:dyDescent="0.35">
      <c r="A41" s="1051"/>
      <c r="B41" s="1060"/>
      <c r="C41" s="950" t="s">
        <v>27</v>
      </c>
      <c r="D41" s="955" t="s">
        <v>1545</v>
      </c>
      <c r="E41" s="950" t="s">
        <v>1502</v>
      </c>
      <c r="F41" s="957" t="s">
        <v>1558</v>
      </c>
      <c r="G41" s="950"/>
      <c r="H41" s="956"/>
    </row>
    <row r="42" spans="1:8" ht="28.05" customHeight="1" thickTop="1" thickBot="1" x14ac:dyDescent="0.35">
      <c r="A42" s="1051"/>
      <c r="B42" s="1060"/>
      <c r="C42" s="950" t="s">
        <v>52</v>
      </c>
      <c r="D42" s="955" t="s">
        <v>1553</v>
      </c>
      <c r="E42" s="950" t="s">
        <v>1408</v>
      </c>
      <c r="F42" s="957">
        <v>41</v>
      </c>
      <c r="G42" s="950"/>
      <c r="H42" s="956"/>
    </row>
    <row r="43" spans="1:8" ht="28.05" customHeight="1" thickTop="1" thickBot="1" x14ac:dyDescent="0.35">
      <c r="A43" s="1051"/>
      <c r="B43" s="1060"/>
      <c r="C43" s="950" t="s">
        <v>28</v>
      </c>
      <c r="D43" s="955" t="s">
        <v>1554</v>
      </c>
      <c r="E43" s="950"/>
      <c r="F43" s="960"/>
      <c r="G43" s="950"/>
      <c r="H43" s="956"/>
    </row>
    <row r="44" spans="1:8" ht="28.05" customHeight="1" thickTop="1" thickBot="1" x14ac:dyDescent="0.35">
      <c r="A44" s="1051"/>
      <c r="B44" s="1060"/>
      <c r="C44" s="950" t="s">
        <v>54</v>
      </c>
      <c r="D44" s="955" t="s">
        <v>1546</v>
      </c>
      <c r="E44" s="950"/>
      <c r="F44" s="957"/>
      <c r="G44" s="950"/>
      <c r="H44" s="956"/>
    </row>
    <row r="45" spans="1:8" ht="28.05" customHeight="1" thickTop="1" thickBot="1" x14ac:dyDescent="0.35">
      <c r="A45" s="1051"/>
      <c r="B45" s="1060"/>
      <c r="C45" s="950" t="s">
        <v>55</v>
      </c>
      <c r="D45" s="955" t="s">
        <v>1547</v>
      </c>
      <c r="E45" s="950"/>
      <c r="F45" s="957"/>
      <c r="G45" s="950"/>
      <c r="H45" s="956"/>
    </row>
    <row r="46" spans="1:8" ht="28.05" customHeight="1" thickTop="1" thickBot="1" x14ac:dyDescent="0.35">
      <c r="A46" s="1051"/>
      <c r="B46" s="1060"/>
      <c r="C46" s="950" t="s">
        <v>56</v>
      </c>
      <c r="D46" s="955" t="s">
        <v>1548</v>
      </c>
      <c r="E46" s="950"/>
      <c r="F46" s="957"/>
      <c r="G46" s="950"/>
      <c r="H46" s="956"/>
    </row>
    <row r="47" spans="1:8" ht="28.05" customHeight="1" thickTop="1" thickBot="1" x14ac:dyDescent="0.35">
      <c r="A47" s="1051"/>
      <c r="B47" s="1060"/>
      <c r="C47" s="950" t="s">
        <v>57</v>
      </c>
      <c r="D47" s="955" t="s">
        <v>1549</v>
      </c>
      <c r="E47" s="950"/>
      <c r="F47" s="957"/>
      <c r="G47" s="950"/>
      <c r="H47" s="956"/>
    </row>
    <row r="48" spans="1:8" ht="28.05" customHeight="1" thickTop="1" thickBot="1" x14ac:dyDescent="0.35">
      <c r="A48" s="1051"/>
      <c r="B48" s="1056"/>
      <c r="C48" s="942" t="s">
        <v>58</v>
      </c>
      <c r="D48" s="955" t="s">
        <v>1549</v>
      </c>
      <c r="E48" s="942"/>
      <c r="F48" s="959"/>
      <c r="G48" s="942"/>
      <c r="H48" s="945"/>
    </row>
    <row r="49" spans="1:8" ht="28.05" customHeight="1" thickTop="1" thickBot="1" x14ac:dyDescent="0.35">
      <c r="A49" s="1051">
        <v>6</v>
      </c>
      <c r="B49" s="1055" t="s">
        <v>111</v>
      </c>
      <c r="C49" s="938" t="s">
        <v>1244</v>
      </c>
      <c r="D49" s="939"/>
      <c r="E49" s="938" t="s">
        <v>63</v>
      </c>
      <c r="F49" s="957"/>
      <c r="G49" s="938" t="s">
        <v>35</v>
      </c>
      <c r="H49" s="954" t="s">
        <v>1421</v>
      </c>
    </row>
    <row r="50" spans="1:8" ht="28.05" customHeight="1" thickTop="1" thickBot="1" x14ac:dyDescent="0.35">
      <c r="A50" s="1051"/>
      <c r="B50" s="1060"/>
      <c r="C50" s="950" t="s">
        <v>27</v>
      </c>
      <c r="D50" s="955"/>
      <c r="E50" s="950" t="s">
        <v>1409</v>
      </c>
      <c r="F50" s="960" t="s">
        <v>1560</v>
      </c>
      <c r="G50" s="950"/>
      <c r="H50" s="956"/>
    </row>
    <row r="51" spans="1:8" ht="28.05" customHeight="1" thickTop="1" thickBot="1" x14ac:dyDescent="0.35">
      <c r="A51" s="1051"/>
      <c r="B51" s="1060"/>
      <c r="C51" s="950" t="s">
        <v>52</v>
      </c>
      <c r="D51" s="955"/>
      <c r="E51" s="950" t="s">
        <v>1502</v>
      </c>
      <c r="F51" s="957" t="s">
        <v>1559</v>
      </c>
      <c r="G51" s="950"/>
      <c r="H51" s="956"/>
    </row>
    <row r="52" spans="1:8" ht="28.05" customHeight="1" thickTop="1" thickBot="1" x14ac:dyDescent="0.35">
      <c r="A52" s="1051"/>
      <c r="B52" s="1060"/>
      <c r="C52" s="950" t="s">
        <v>28</v>
      </c>
      <c r="D52" s="955"/>
      <c r="E52" s="950" t="s">
        <v>1408</v>
      </c>
      <c r="F52" s="957"/>
      <c r="G52" s="950"/>
      <c r="H52" s="956"/>
    </row>
    <row r="53" spans="1:8" ht="28.05" customHeight="1" thickTop="1" thickBot="1" x14ac:dyDescent="0.35">
      <c r="A53" s="1051"/>
      <c r="B53" s="1060"/>
      <c r="C53" s="950" t="s">
        <v>54</v>
      </c>
      <c r="D53" s="957" t="s">
        <v>1560</v>
      </c>
      <c r="E53" s="950"/>
      <c r="F53" s="957"/>
      <c r="G53" s="950"/>
      <c r="H53" s="956"/>
    </row>
    <row r="54" spans="1:8" ht="28.05" customHeight="1" thickTop="1" thickBot="1" x14ac:dyDescent="0.35">
      <c r="A54" s="1051"/>
      <c r="B54" s="1060"/>
      <c r="C54" s="950" t="s">
        <v>55</v>
      </c>
      <c r="D54" s="955"/>
      <c r="E54" s="950"/>
      <c r="F54" s="957"/>
      <c r="G54" s="950"/>
      <c r="H54" s="956"/>
    </row>
    <row r="55" spans="1:8" ht="28.05" customHeight="1" thickTop="1" thickBot="1" x14ac:dyDescent="0.35">
      <c r="A55" s="1051"/>
      <c r="B55" s="1060"/>
      <c r="C55" s="950" t="s">
        <v>56</v>
      </c>
      <c r="D55" s="957" t="s">
        <v>1559</v>
      </c>
      <c r="E55" s="950"/>
      <c r="F55" s="957"/>
      <c r="G55" s="950"/>
      <c r="H55" s="956"/>
    </row>
    <row r="56" spans="1:8" ht="28.05" customHeight="1" thickTop="1" thickBot="1" x14ac:dyDescent="0.35">
      <c r="A56" s="1051"/>
      <c r="B56" s="1060"/>
      <c r="C56" s="950" t="s">
        <v>57</v>
      </c>
      <c r="D56" s="955"/>
      <c r="E56" s="950"/>
      <c r="F56" s="957"/>
      <c r="G56" s="950"/>
      <c r="H56" s="956"/>
    </row>
    <row r="57" spans="1:8" ht="28.05" customHeight="1" thickTop="1" thickBot="1" x14ac:dyDescent="0.35">
      <c r="A57" s="1051"/>
      <c r="B57" s="1056"/>
      <c r="C57" s="942" t="s">
        <v>58</v>
      </c>
      <c r="D57" s="957"/>
      <c r="E57" s="942"/>
      <c r="F57" s="959"/>
      <c r="G57" s="942"/>
      <c r="H57" s="945"/>
    </row>
    <row r="58" spans="1:8" ht="28.05" customHeight="1" thickTop="1" thickBot="1" x14ac:dyDescent="0.35">
      <c r="A58" s="786">
        <v>7</v>
      </c>
      <c r="B58" s="964" t="s">
        <v>1503</v>
      </c>
      <c r="C58" s="965" t="s">
        <v>54</v>
      </c>
      <c r="D58" s="966" t="s">
        <v>1560</v>
      </c>
      <c r="E58" s="965" t="s">
        <v>1409</v>
      </c>
      <c r="F58" s="966" t="s">
        <v>1560</v>
      </c>
      <c r="G58" s="965" t="s">
        <v>35</v>
      </c>
      <c r="H58" s="967" t="s">
        <v>1421</v>
      </c>
    </row>
    <row r="59" spans="1:8" ht="15" thickTop="1" x14ac:dyDescent="0.3"/>
  </sheetData>
  <mergeCells count="12">
    <mergeCell ref="A27:A37"/>
    <mergeCell ref="B27:B37"/>
    <mergeCell ref="A38:A48"/>
    <mergeCell ref="B38:B48"/>
    <mergeCell ref="A49:A57"/>
    <mergeCell ref="B49:B57"/>
    <mergeCell ref="A5:A19"/>
    <mergeCell ref="B5:B19"/>
    <mergeCell ref="A20:A21"/>
    <mergeCell ref="B20:B21"/>
    <mergeCell ref="A22:A26"/>
    <mergeCell ref="B22:B26"/>
  </mergeCells>
  <phoneticPr fontId="71" type="noConversion"/>
  <printOptions verticalCentered="1"/>
  <pageMargins left="0.51181102362204722" right="0" top="0" bottom="0" header="0" footer="0"/>
  <pageSetup paperSize="9" scale="49" orientation="portrait" r:id="rId1"/>
  <colBreaks count="1" manualBreakCount="1">
    <brk id="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C0C0-6B91-4FA3-B642-14F57B17B51A}">
  <sheetPr>
    <tabColor rgb="FFFF0000"/>
  </sheetPr>
  <dimension ref="B17:I35"/>
  <sheetViews>
    <sheetView view="pageBreakPreview" topLeftCell="A11" zoomScale="85" zoomScaleNormal="100" zoomScaleSheetLayoutView="85" workbookViewId="0">
      <selection activeCell="G32" sqref="G32:I38"/>
    </sheetView>
  </sheetViews>
  <sheetFormatPr defaultRowHeight="14.4" x14ac:dyDescent="0.3"/>
  <cols>
    <col min="1" max="1" width="4.77734375" customWidth="1"/>
    <col min="10" max="10" width="4.77734375" customWidth="1"/>
  </cols>
  <sheetData>
    <row r="17" spans="2:9" ht="14.4" customHeight="1" x14ac:dyDescent="0.3">
      <c r="B17" s="1061" t="s">
        <v>1504</v>
      </c>
      <c r="C17" s="1061"/>
      <c r="D17" s="1061"/>
      <c r="E17" s="1061"/>
      <c r="F17" s="1061"/>
      <c r="G17" s="1061"/>
      <c r="H17" s="1061"/>
      <c r="I17" s="1061"/>
    </row>
    <row r="18" spans="2:9" ht="14.4" customHeight="1" x14ac:dyDescent="0.3">
      <c r="B18" s="1061"/>
      <c r="C18" s="1061"/>
      <c r="D18" s="1061"/>
      <c r="E18" s="1061"/>
      <c r="F18" s="1061"/>
      <c r="G18" s="1061"/>
      <c r="H18" s="1061"/>
      <c r="I18" s="1061"/>
    </row>
    <row r="19" spans="2:9" ht="14.4" customHeight="1" x14ac:dyDescent="0.3">
      <c r="B19" s="1061"/>
      <c r="C19" s="1061"/>
      <c r="D19" s="1061"/>
      <c r="E19" s="1061"/>
      <c r="F19" s="1061"/>
      <c r="G19" s="1061"/>
      <c r="H19" s="1061"/>
      <c r="I19" s="1061"/>
    </row>
    <row r="20" spans="2:9" ht="14.4" customHeight="1" x14ac:dyDescent="0.3">
      <c r="B20" s="1061"/>
      <c r="C20" s="1061"/>
      <c r="D20" s="1061"/>
      <c r="E20" s="1061"/>
      <c r="F20" s="1061"/>
      <c r="G20" s="1061"/>
      <c r="H20" s="1061"/>
      <c r="I20" s="1061"/>
    </row>
    <row r="21" spans="2:9" ht="14.4" customHeight="1" x14ac:dyDescent="0.3">
      <c r="B21" s="1061"/>
      <c r="C21" s="1061"/>
      <c r="D21" s="1061"/>
      <c r="E21" s="1061"/>
      <c r="F21" s="1061"/>
      <c r="G21" s="1061"/>
      <c r="H21" s="1061"/>
      <c r="I21" s="1061"/>
    </row>
    <row r="22" spans="2:9" ht="14.4" customHeight="1" x14ac:dyDescent="0.3">
      <c r="B22" s="1061"/>
      <c r="C22" s="1061"/>
      <c r="D22" s="1061"/>
      <c r="E22" s="1061"/>
      <c r="F22" s="1061"/>
      <c r="G22" s="1061"/>
      <c r="H22" s="1061"/>
      <c r="I22" s="1061"/>
    </row>
    <row r="34" spans="7:9" ht="15.6" x14ac:dyDescent="0.3">
      <c r="G34" s="1062"/>
      <c r="H34" s="1062"/>
      <c r="I34" s="1062"/>
    </row>
    <row r="35" spans="7:9" ht="15.6" x14ac:dyDescent="0.3">
      <c r="G35" s="1062"/>
      <c r="H35" s="1062"/>
      <c r="I35" s="1062"/>
    </row>
  </sheetData>
  <mergeCells count="3">
    <mergeCell ref="B17:I22"/>
    <mergeCell ref="G34:I34"/>
    <mergeCell ref="G35:I35"/>
  </mergeCells>
  <printOptions horizontalCentered="1" verticalCentered="1"/>
  <pageMargins left="0.70866141732283472" right="0.70866141732283472" top="0.74803149606299213" bottom="0.74803149606299213" header="0.31496062992125984" footer="0.31496062992125984"/>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CDB9-E78F-4DC3-8F73-9517E34FB525}">
  <sheetPr codeName="Sayfa11">
    <pageSetUpPr fitToPage="1"/>
  </sheetPr>
  <dimension ref="A3:Z57"/>
  <sheetViews>
    <sheetView view="pageBreakPreview" topLeftCell="A10" zoomScale="85" zoomScaleNormal="85" zoomScaleSheetLayoutView="85" workbookViewId="0">
      <selection activeCell="D21" sqref="D21"/>
    </sheetView>
  </sheetViews>
  <sheetFormatPr defaultRowHeight="14.4" x14ac:dyDescent="0.3"/>
  <cols>
    <col min="1" max="1" width="5.77734375" style="11" customWidth="1"/>
    <col min="2" max="2" width="46.77734375" style="11" customWidth="1"/>
    <col min="3" max="4" width="23.77734375" style="11" customWidth="1"/>
    <col min="5" max="5" width="2.21875" style="11" customWidth="1"/>
    <col min="6" max="7" width="23.77734375" style="11" customWidth="1"/>
    <col min="8" max="9" width="28.77734375" style="11" customWidth="1"/>
    <col min="10" max="10" width="23.77734375" style="11" customWidth="1"/>
    <col min="11" max="11" width="5.77734375" style="11" customWidth="1"/>
    <col min="12" max="23" width="17.77734375" style="11" customWidth="1"/>
    <col min="24" max="24" width="5.77734375" style="11" customWidth="1"/>
    <col min="25" max="25" width="8.88671875" style="11"/>
    <col min="26" max="26" width="15.33203125" style="11" bestFit="1" customWidth="1"/>
    <col min="27" max="27" width="12.33203125" style="11" bestFit="1" customWidth="1"/>
    <col min="28" max="28" width="15.33203125" style="11" bestFit="1" customWidth="1"/>
    <col min="29" max="29" width="14" style="11" bestFit="1" customWidth="1"/>
    <col min="30" max="16384" width="8.88671875" style="11"/>
  </cols>
  <sheetData>
    <row r="3" spans="1:26" ht="18" x14ac:dyDescent="0.3">
      <c r="A3" s="1063" t="s">
        <v>118</v>
      </c>
      <c r="B3" s="1063"/>
      <c r="C3" s="1063"/>
      <c r="D3" s="1063"/>
      <c r="E3" s="1063"/>
      <c r="F3" s="1063"/>
      <c r="G3" s="1063"/>
      <c r="H3" s="1063"/>
      <c r="I3" s="1063"/>
      <c r="J3" s="1063"/>
      <c r="K3" s="1063"/>
      <c r="L3" s="331"/>
      <c r="M3" s="331"/>
      <c r="N3" s="331"/>
      <c r="O3" s="331"/>
      <c r="P3" s="331"/>
      <c r="Q3" s="331"/>
      <c r="R3" s="331"/>
      <c r="S3" s="331"/>
      <c r="T3" s="331"/>
      <c r="U3" s="331"/>
      <c r="V3" s="331"/>
      <c r="W3" s="331"/>
      <c r="X3" s="331"/>
    </row>
    <row r="4" spans="1:26" ht="15.6" x14ac:dyDescent="0.3">
      <c r="A4" s="983" t="s">
        <v>210</v>
      </c>
      <c r="B4" s="983"/>
      <c r="C4" s="983"/>
      <c r="D4" s="983"/>
      <c r="E4" s="983"/>
      <c r="F4" s="983"/>
      <c r="G4" s="983"/>
      <c r="H4" s="983"/>
      <c r="I4" s="983"/>
      <c r="J4" s="983"/>
      <c r="K4" s="983"/>
      <c r="L4" s="112"/>
      <c r="M4" s="112"/>
      <c r="N4" s="112"/>
      <c r="O4" s="112"/>
      <c r="P4" s="112"/>
      <c r="Q4" s="112"/>
      <c r="R4" s="112"/>
      <c r="S4" s="112"/>
      <c r="T4" s="112"/>
      <c r="U4" s="112"/>
      <c r="V4" s="112"/>
      <c r="W4" s="112"/>
      <c r="X4" s="112"/>
    </row>
    <row r="5" spans="1:26" ht="15.6" x14ac:dyDescent="0.3">
      <c r="A5" s="983" t="s">
        <v>120</v>
      </c>
      <c r="B5" s="983"/>
      <c r="C5" s="983"/>
      <c r="D5" s="983"/>
      <c r="E5" s="983"/>
      <c r="F5" s="983"/>
      <c r="G5" s="983"/>
      <c r="H5" s="983"/>
      <c r="I5" s="983"/>
      <c r="J5" s="983"/>
      <c r="K5" s="983"/>
      <c r="L5" s="112"/>
      <c r="M5" s="112"/>
      <c r="N5" s="112"/>
      <c r="O5" s="112"/>
      <c r="P5" s="112"/>
      <c r="Q5" s="112"/>
      <c r="R5" s="112"/>
      <c r="S5" s="112"/>
      <c r="T5" s="112"/>
      <c r="U5" s="112"/>
      <c r="V5" s="112"/>
      <c r="W5" s="112"/>
      <c r="X5" s="112"/>
    </row>
    <row r="6" spans="1:26" ht="15.6" x14ac:dyDescent="0.3">
      <c r="A6" s="229"/>
      <c r="B6" s="229"/>
      <c r="C6" s="229"/>
      <c r="D6" s="229"/>
      <c r="E6" s="229"/>
      <c r="F6" s="229"/>
      <c r="G6" s="229"/>
      <c r="H6" s="229"/>
      <c r="I6" s="229"/>
      <c r="J6" s="229"/>
      <c r="K6" s="229"/>
      <c r="L6" s="229"/>
      <c r="M6" s="229"/>
      <c r="N6" s="229"/>
      <c r="O6" s="229"/>
      <c r="P6" s="229"/>
      <c r="Q6" s="229"/>
      <c r="R6" s="229"/>
      <c r="S6" s="229"/>
      <c r="T6" s="229"/>
      <c r="U6" s="229"/>
      <c r="V6" s="229"/>
      <c r="W6" s="229"/>
      <c r="X6" s="229"/>
    </row>
    <row r="7" spans="1:26" ht="15.6" x14ac:dyDescent="0.3">
      <c r="A7" s="1064" t="s">
        <v>37</v>
      </c>
      <c r="B7" s="1064"/>
      <c r="C7" s="1064"/>
      <c r="D7" s="1064"/>
      <c r="E7" s="1064"/>
      <c r="F7" s="1064"/>
      <c r="G7" s="1064"/>
      <c r="H7" s="1064"/>
      <c r="I7" s="1064"/>
      <c r="J7" s="1064"/>
      <c r="K7" s="1064"/>
      <c r="L7" s="332"/>
      <c r="M7" s="332"/>
      <c r="N7" s="332"/>
      <c r="O7" s="332"/>
      <c r="P7" s="332"/>
      <c r="Q7" s="332"/>
      <c r="R7" s="332"/>
      <c r="S7" s="332"/>
      <c r="T7" s="332"/>
      <c r="U7" s="332"/>
      <c r="V7" s="332"/>
      <c r="W7" s="332"/>
      <c r="X7" s="332"/>
    </row>
    <row r="8" spans="1:26" x14ac:dyDescent="0.3">
      <c r="D8" s="111"/>
      <c r="E8" s="111"/>
      <c r="F8" s="111"/>
      <c r="G8" s="111"/>
      <c r="K8" s="1024"/>
      <c r="L8" s="1024"/>
      <c r="M8" s="1024"/>
      <c r="N8" s="1024"/>
      <c r="O8" s="1024"/>
      <c r="P8" s="1024"/>
      <c r="Q8" s="1024"/>
      <c r="R8" s="1024"/>
      <c r="S8" s="1024"/>
    </row>
    <row r="9" spans="1:26" ht="15.6" customHeight="1" x14ac:dyDescent="0.3">
      <c r="A9" s="983" t="s">
        <v>1299</v>
      </c>
      <c r="B9" s="983"/>
      <c r="C9" s="983"/>
      <c r="D9" s="983"/>
      <c r="E9" s="983"/>
      <c r="F9" s="983"/>
      <c r="G9" s="983"/>
      <c r="H9" s="983"/>
      <c r="I9" s="983"/>
      <c r="J9" s="983"/>
      <c r="K9" s="983"/>
      <c r="L9" s="112"/>
      <c r="M9" s="112"/>
      <c r="N9" s="112"/>
      <c r="O9" s="112"/>
      <c r="P9" s="112"/>
      <c r="Q9" s="112"/>
      <c r="R9" s="112"/>
      <c r="S9" s="112"/>
      <c r="T9" s="112"/>
      <c r="U9" s="112"/>
      <c r="V9" s="112"/>
      <c r="W9" s="112"/>
      <c r="X9" s="112"/>
    </row>
    <row r="10" spans="1:26" x14ac:dyDescent="0.3">
      <c r="U10" s="111"/>
      <c r="V10" s="28"/>
    </row>
    <row r="11" spans="1:26" x14ac:dyDescent="0.3">
      <c r="I11" s="111" t="s">
        <v>209</v>
      </c>
      <c r="J11" s="104">
        <f>+Veri!$C$21</f>
        <v>6</v>
      </c>
      <c r="U11" s="111"/>
      <c r="V11" s="230"/>
    </row>
    <row r="12" spans="1:26" x14ac:dyDescent="0.3">
      <c r="I12" s="111" t="s">
        <v>208</v>
      </c>
      <c r="J12" s="314">
        <f>+Veri!$C$22</f>
        <v>46142</v>
      </c>
    </row>
    <row r="14" spans="1:26" ht="40.049999999999997" customHeight="1" x14ac:dyDescent="0.3">
      <c r="B14" s="370" t="s">
        <v>1300</v>
      </c>
      <c r="C14" s="371" t="s">
        <v>1342</v>
      </c>
      <c r="D14" s="1067" t="s">
        <v>1343</v>
      </c>
      <c r="E14" s="1068"/>
      <c r="F14" s="370" t="s">
        <v>1302</v>
      </c>
      <c r="G14" s="370" t="s">
        <v>1332</v>
      </c>
      <c r="H14" s="370" t="s">
        <v>1303</v>
      </c>
      <c r="I14" s="370" t="s">
        <v>1304</v>
      </c>
      <c r="J14" s="370" t="s">
        <v>1333</v>
      </c>
      <c r="K14"/>
      <c r="L14"/>
      <c r="M14"/>
      <c r="N14"/>
      <c r="O14"/>
      <c r="P14"/>
      <c r="Q14"/>
      <c r="R14"/>
      <c r="S14"/>
      <c r="T14"/>
      <c r="U14"/>
      <c r="V14"/>
      <c r="W14"/>
    </row>
    <row r="15" spans="1:26" ht="19.95" customHeight="1" x14ac:dyDescent="0.3">
      <c r="B15" s="256" t="s">
        <v>1338</v>
      </c>
      <c r="C15" s="517">
        <v>164542.47</v>
      </c>
      <c r="D15" s="340">
        <f>+C15</f>
        <v>164542.47</v>
      </c>
      <c r="E15" s="338"/>
      <c r="F15" s="376">
        <v>45768</v>
      </c>
      <c r="G15" s="376">
        <v>48233</v>
      </c>
      <c r="H15" s="256" t="s">
        <v>1339</v>
      </c>
      <c r="I15" s="256" t="s">
        <v>1340</v>
      </c>
      <c r="J15" s="256">
        <v>1</v>
      </c>
      <c r="K15"/>
      <c r="L15"/>
      <c r="M15"/>
      <c r="N15"/>
      <c r="O15"/>
      <c r="P15"/>
      <c r="Q15"/>
      <c r="R15"/>
      <c r="S15"/>
      <c r="T15"/>
      <c r="U15"/>
      <c r="V15"/>
      <c r="W15"/>
      <c r="Z15" s="307"/>
    </row>
    <row r="16" spans="1:26" ht="19.95" customHeight="1" x14ac:dyDescent="0.3">
      <c r="B16" s="161" t="s">
        <v>1338</v>
      </c>
      <c r="C16" s="518">
        <v>329134.32</v>
      </c>
      <c r="D16" s="341">
        <f>+D15+C16</f>
        <v>493676.79000000004</v>
      </c>
      <c r="E16" s="339"/>
      <c r="F16" s="376">
        <v>45768</v>
      </c>
      <c r="G16" s="377">
        <v>48233</v>
      </c>
      <c r="H16" s="161" t="s">
        <v>1339</v>
      </c>
      <c r="I16" s="161" t="s">
        <v>1341</v>
      </c>
      <c r="J16" s="161">
        <v>1</v>
      </c>
      <c r="K16"/>
      <c r="L16"/>
      <c r="M16"/>
      <c r="N16"/>
      <c r="O16"/>
      <c r="P16"/>
      <c r="Q16"/>
      <c r="R16"/>
      <c r="S16"/>
      <c r="T16"/>
      <c r="U16"/>
      <c r="V16"/>
      <c r="W16"/>
    </row>
    <row r="17" spans="2:23" ht="19.95" customHeight="1" x14ac:dyDescent="0.3">
      <c r="B17" s="161" t="s">
        <v>1338</v>
      </c>
      <c r="C17" s="518">
        <v>349965</v>
      </c>
      <c r="D17" s="341">
        <f>+D16+C17</f>
        <v>843641.79</v>
      </c>
      <c r="E17" s="339"/>
      <c r="F17" s="376">
        <v>45894</v>
      </c>
      <c r="G17" s="377">
        <v>48233</v>
      </c>
      <c r="H17" s="161" t="s">
        <v>1339</v>
      </c>
      <c r="I17" s="161" t="s">
        <v>1442</v>
      </c>
      <c r="J17" s="161">
        <v>2</v>
      </c>
      <c r="K17"/>
      <c r="L17"/>
      <c r="M17"/>
      <c r="N17"/>
      <c r="O17"/>
      <c r="P17"/>
      <c r="Q17"/>
      <c r="R17"/>
      <c r="S17"/>
      <c r="T17"/>
      <c r="U17"/>
      <c r="V17"/>
      <c r="W17"/>
    </row>
    <row r="18" spans="2:23" ht="19.95" customHeight="1" x14ac:dyDescent="0.3">
      <c r="B18" s="161" t="s">
        <v>1338</v>
      </c>
      <c r="C18" s="518">
        <v>700035</v>
      </c>
      <c r="D18" s="341">
        <f>+D17+C18</f>
        <v>1543676.79</v>
      </c>
      <c r="E18" s="339"/>
      <c r="F18" s="376">
        <v>45894</v>
      </c>
      <c r="G18" s="377">
        <v>48233</v>
      </c>
      <c r="H18" s="161" t="s">
        <v>1339</v>
      </c>
      <c r="I18" s="161" t="s">
        <v>1443</v>
      </c>
      <c r="J18" s="161">
        <v>2</v>
      </c>
      <c r="K18"/>
      <c r="L18"/>
      <c r="M18"/>
      <c r="N18"/>
      <c r="O18"/>
      <c r="P18"/>
      <c r="Q18"/>
      <c r="R18"/>
      <c r="S18"/>
      <c r="T18"/>
      <c r="U18"/>
      <c r="V18"/>
      <c r="W18"/>
    </row>
    <row r="19" spans="2:23" ht="19.95" customHeight="1" x14ac:dyDescent="0.3">
      <c r="B19" s="264" t="s">
        <v>1447</v>
      </c>
      <c r="C19" s="518">
        <v>5627605.5999999996</v>
      </c>
      <c r="D19" s="341"/>
      <c r="E19" s="339"/>
      <c r="F19" s="264"/>
      <c r="G19" s="264"/>
      <c r="H19" s="264"/>
      <c r="I19" s="264"/>
      <c r="J19" s="264"/>
      <c r="K19"/>
      <c r="L19"/>
      <c r="M19"/>
      <c r="N19"/>
      <c r="O19"/>
      <c r="P19"/>
      <c r="Q19"/>
      <c r="R19"/>
      <c r="S19"/>
      <c r="T19"/>
      <c r="U19"/>
      <c r="V19"/>
      <c r="W19"/>
    </row>
    <row r="20" spans="2:23" ht="19.95" customHeight="1" x14ac:dyDescent="0.3">
      <c r="B20" s="264"/>
      <c r="C20" s="519"/>
      <c r="D20" s="341"/>
      <c r="E20" s="339"/>
      <c r="F20" s="264"/>
      <c r="G20" s="264"/>
      <c r="H20" s="264"/>
      <c r="I20" s="264"/>
      <c r="J20" s="264"/>
      <c r="K20"/>
      <c r="L20"/>
      <c r="M20"/>
      <c r="N20"/>
      <c r="O20"/>
      <c r="P20"/>
      <c r="Q20"/>
      <c r="R20"/>
      <c r="S20"/>
      <c r="T20"/>
      <c r="U20"/>
      <c r="V20"/>
      <c r="W20"/>
    </row>
    <row r="21" spans="2:23" ht="19.95" customHeight="1" x14ac:dyDescent="0.3">
      <c r="B21" s="264"/>
      <c r="C21" s="519"/>
      <c r="D21" s="341"/>
      <c r="E21" s="339"/>
      <c r="F21" s="264"/>
      <c r="G21" s="264"/>
      <c r="H21" s="264"/>
      <c r="I21" s="264"/>
      <c r="J21" s="264"/>
      <c r="K21"/>
      <c r="L21"/>
      <c r="M21"/>
      <c r="N21"/>
      <c r="O21"/>
      <c r="P21"/>
      <c r="Q21"/>
      <c r="R21"/>
      <c r="S21"/>
      <c r="T21"/>
      <c r="U21"/>
      <c r="V21"/>
      <c r="W21"/>
    </row>
    <row r="22" spans="2:23" ht="19.95" customHeight="1" x14ac:dyDescent="0.3">
      <c r="B22" s="264"/>
      <c r="C22" s="519"/>
      <c r="D22" s="341"/>
      <c r="E22" s="339"/>
      <c r="F22" s="264"/>
      <c r="G22" s="264"/>
      <c r="H22" s="264"/>
      <c r="I22" s="264"/>
      <c r="J22" s="264"/>
      <c r="K22"/>
      <c r="L22"/>
      <c r="M22"/>
      <c r="N22"/>
      <c r="O22"/>
      <c r="P22"/>
      <c r="Q22"/>
      <c r="R22"/>
      <c r="S22"/>
      <c r="T22"/>
      <c r="U22"/>
      <c r="V22"/>
      <c r="W22"/>
    </row>
    <row r="23" spans="2:23" ht="19.95" customHeight="1" x14ac:dyDescent="0.3">
      <c r="B23" s="264"/>
      <c r="C23" s="519"/>
      <c r="D23" s="341"/>
      <c r="E23" s="339"/>
      <c r="F23" s="264"/>
      <c r="G23" s="264"/>
      <c r="H23" s="264"/>
      <c r="I23" s="264"/>
      <c r="J23" s="264"/>
      <c r="K23"/>
      <c r="L23"/>
      <c r="M23"/>
      <c r="N23"/>
      <c r="O23"/>
      <c r="P23"/>
      <c r="Q23"/>
      <c r="R23"/>
      <c r="S23"/>
      <c r="T23"/>
      <c r="U23"/>
      <c r="V23"/>
      <c r="W23"/>
    </row>
    <row r="24" spans="2:23" ht="19.95" customHeight="1" x14ac:dyDescent="0.3">
      <c r="B24" s="264"/>
      <c r="C24" s="519"/>
      <c r="D24" s="341"/>
      <c r="E24" s="339"/>
      <c r="F24" s="264"/>
      <c r="G24" s="264"/>
      <c r="H24" s="264"/>
      <c r="I24" s="264"/>
      <c r="J24" s="264"/>
      <c r="K24"/>
      <c r="L24"/>
      <c r="M24"/>
      <c r="N24"/>
      <c r="O24"/>
      <c r="P24"/>
      <c r="Q24"/>
      <c r="R24"/>
      <c r="S24"/>
      <c r="T24"/>
      <c r="U24"/>
      <c r="V24"/>
      <c r="W24"/>
    </row>
    <row r="25" spans="2:23" ht="19.95" customHeight="1" x14ac:dyDescent="0.3">
      <c r="B25" s="264"/>
      <c r="C25" s="519"/>
      <c r="D25" s="341"/>
      <c r="E25" s="339"/>
      <c r="F25" s="264"/>
      <c r="G25" s="264"/>
      <c r="H25" s="264"/>
      <c r="I25" s="264"/>
      <c r="J25" s="264"/>
      <c r="K25"/>
      <c r="L25"/>
      <c r="M25"/>
      <c r="N25"/>
      <c r="O25"/>
      <c r="P25"/>
      <c r="Q25"/>
      <c r="R25"/>
      <c r="S25"/>
      <c r="T25"/>
      <c r="U25"/>
      <c r="V25"/>
      <c r="W25"/>
    </row>
    <row r="26" spans="2:23" ht="19.95" customHeight="1" x14ac:dyDescent="0.3">
      <c r="B26" s="264"/>
      <c r="C26" s="519"/>
      <c r="D26" s="341"/>
      <c r="E26" s="339"/>
      <c r="F26" s="264"/>
      <c r="G26" s="264"/>
      <c r="H26" s="264"/>
      <c r="I26" s="264"/>
      <c r="J26" s="264"/>
      <c r="K26"/>
      <c r="L26"/>
      <c r="M26"/>
      <c r="N26"/>
      <c r="O26"/>
      <c r="P26"/>
      <c r="Q26"/>
      <c r="R26"/>
      <c r="S26"/>
      <c r="T26"/>
      <c r="U26"/>
      <c r="V26"/>
      <c r="W26"/>
    </row>
    <row r="27" spans="2:23" ht="19.95" customHeight="1" x14ac:dyDescent="0.3">
      <c r="B27" s="265"/>
      <c r="C27" s="520"/>
      <c r="D27" s="342"/>
      <c r="E27" s="372"/>
      <c r="F27" s="265"/>
      <c r="G27" s="265"/>
      <c r="H27" s="265"/>
      <c r="I27" s="265"/>
      <c r="J27" s="265"/>
      <c r="K27"/>
      <c r="L27"/>
      <c r="M27"/>
      <c r="N27"/>
      <c r="O27"/>
      <c r="P27"/>
      <c r="Q27"/>
      <c r="R27"/>
      <c r="S27"/>
      <c r="T27"/>
      <c r="U27"/>
      <c r="V27"/>
      <c r="W27"/>
    </row>
    <row r="28" spans="2:23" ht="4.95" customHeight="1" x14ac:dyDescent="0.3">
      <c r="B28" s="328"/>
      <c r="C28" s="329"/>
      <c r="D28" s="329"/>
      <c r="E28" s="329"/>
      <c r="F28" s="329"/>
      <c r="G28" s="329"/>
      <c r="H28" s="329"/>
      <c r="I28" s="329"/>
      <c r="J28" s="330"/>
      <c r="K28"/>
      <c r="L28"/>
      <c r="M28"/>
      <c r="N28"/>
      <c r="O28"/>
      <c r="P28"/>
      <c r="Q28"/>
      <c r="R28"/>
      <c r="S28"/>
      <c r="T28"/>
      <c r="U28"/>
      <c r="V28"/>
      <c r="W28"/>
    </row>
    <row r="29" spans="2:23" ht="15" customHeight="1" x14ac:dyDescent="0.3">
      <c r="K29"/>
      <c r="L29"/>
      <c r="M29"/>
      <c r="N29"/>
      <c r="O29"/>
      <c r="P29"/>
      <c r="Q29"/>
      <c r="R29"/>
      <c r="S29"/>
      <c r="T29"/>
      <c r="U29"/>
      <c r="V29"/>
      <c r="W29"/>
    </row>
    <row r="30" spans="2:23" ht="40.049999999999997" customHeight="1" x14ac:dyDescent="0.3">
      <c r="B30" s="1072" t="s">
        <v>1334</v>
      </c>
      <c r="C30" s="1073"/>
      <c r="D30" s="333">
        <f>SUM(C15:C28)</f>
        <v>7171282.3899999997</v>
      </c>
      <c r="E30" s="337"/>
      <c r="K30"/>
      <c r="L30"/>
      <c r="M30"/>
      <c r="N30"/>
      <c r="O30"/>
      <c r="P30"/>
      <c r="Q30"/>
      <c r="R30"/>
      <c r="S30"/>
      <c r="T30"/>
      <c r="U30"/>
      <c r="V30"/>
      <c r="W30"/>
    </row>
    <row r="31" spans="2:23" ht="4.95" customHeight="1" x14ac:dyDescent="0.3">
      <c r="W31" s="274"/>
    </row>
    <row r="32" spans="2:23" ht="15" customHeight="1" x14ac:dyDescent="0.3">
      <c r="W32" s="274"/>
    </row>
    <row r="33" spans="1:23" ht="30" customHeight="1" x14ac:dyDescent="0.3">
      <c r="B33" s="1071">
        <f>+Veri!$C$21</f>
        <v>6</v>
      </c>
      <c r="C33" s="1071"/>
      <c r="D33" s="1071"/>
      <c r="E33" s="111"/>
      <c r="F33" s="19" t="e">
        <f>+Kapak!#REF!</f>
        <v>#REF!</v>
      </c>
      <c r="G33" s="11" t="s">
        <v>142</v>
      </c>
      <c r="W33" s="274"/>
    </row>
    <row r="34" spans="1:23" ht="30" customHeight="1" x14ac:dyDescent="0.3">
      <c r="B34" s="1065">
        <f>+Veri!$C$21</f>
        <v>6</v>
      </c>
      <c r="C34" s="1065"/>
      <c r="D34" s="1065"/>
      <c r="E34" s="334"/>
      <c r="F34" s="307" t="e">
        <f>+ROUND(F33*0.05,2)</f>
        <v>#REF!</v>
      </c>
      <c r="G34" s="11" t="s">
        <v>1310</v>
      </c>
      <c r="L34" s="307" t="e">
        <f>+F34-F35</f>
        <v>#REF!</v>
      </c>
      <c r="W34" s="274"/>
    </row>
    <row r="35" spans="1:23" ht="30" customHeight="1" x14ac:dyDescent="0.3">
      <c r="B35" s="1066">
        <f>+Veri!$C$21</f>
        <v>6</v>
      </c>
      <c r="C35" s="1066"/>
      <c r="D35" s="1066"/>
      <c r="E35" s="335"/>
      <c r="F35" s="307">
        <f>+D30</f>
        <v>7171282.3899999997</v>
      </c>
      <c r="G35" s="11" t="s">
        <v>142</v>
      </c>
      <c r="M35" s="343" t="e">
        <f>+ROUND(F34-F35,2)</f>
        <v>#REF!</v>
      </c>
      <c r="N35" s="344" t="s">
        <v>1305</v>
      </c>
      <c r="O35" s="344"/>
      <c r="W35" s="274"/>
    </row>
    <row r="36" spans="1:23" ht="30" customHeight="1" x14ac:dyDescent="0.3">
      <c r="B36" s="335"/>
      <c r="C36" s="335"/>
      <c r="D36" s="336" t="s">
        <v>1311</v>
      </c>
      <c r="E36" s="335" t="e">
        <f>+IF(F35&gt;F34,"&lt;",IF(F35=F34,"=","&gt;"))</f>
        <v>#REF!</v>
      </c>
      <c r="F36" s="307" t="s">
        <v>1312</v>
      </c>
      <c r="G36" s="307"/>
      <c r="M36" s="344" t="s">
        <v>1306</v>
      </c>
      <c r="N36" s="344"/>
      <c r="O36" s="344"/>
      <c r="W36" s="274"/>
    </row>
    <row r="37" spans="1:23" ht="30" customHeight="1" x14ac:dyDescent="0.3">
      <c r="B37" s="1069" t="e">
        <f>+IF(M35&gt;0,CONCATENATE(TEXT(M35,"#.##0,00"),N35),M36)</f>
        <v>#REF!</v>
      </c>
      <c r="C37" s="1069"/>
      <c r="D37" s="1069"/>
      <c r="E37" s="1069"/>
      <c r="F37" s="1069"/>
      <c r="G37" s="1069"/>
      <c r="H37" s="1069"/>
      <c r="I37" s="1069"/>
      <c r="J37" s="1069"/>
      <c r="W37" s="274"/>
    </row>
    <row r="38" spans="1:23" ht="30" customHeight="1" x14ac:dyDescent="0.3">
      <c r="W38" s="274"/>
    </row>
    <row r="40" spans="1:23" s="222" customFormat="1" ht="15.6" x14ac:dyDescent="0.3">
      <c r="A40" s="1070" t="s">
        <v>33</v>
      </c>
      <c r="B40" s="1070"/>
      <c r="C40" s="1070"/>
      <c r="D40" s="1070" t="s">
        <v>29</v>
      </c>
      <c r="E40" s="1070"/>
      <c r="F40" s="1070"/>
      <c r="G40" s="1070"/>
      <c r="H40" s="1070" t="s">
        <v>22</v>
      </c>
      <c r="I40" s="1070"/>
      <c r="J40" s="1070"/>
      <c r="K40" s="1070"/>
      <c r="L40" s="318"/>
      <c r="M40" s="318"/>
      <c r="N40" s="318"/>
      <c r="O40" s="318"/>
      <c r="P40" s="318"/>
      <c r="Q40" s="318"/>
      <c r="R40" s="318"/>
      <c r="S40" s="318"/>
      <c r="T40" s="318"/>
      <c r="U40" s="318"/>
      <c r="V40" s="318"/>
      <c r="W40" s="318"/>
    </row>
    <row r="41" spans="1:23" ht="15.6" customHeight="1" x14ac:dyDescent="0.3">
      <c r="A41" s="974" t="s">
        <v>1214</v>
      </c>
      <c r="B41" s="974"/>
      <c r="C41" s="974"/>
      <c r="D41" s="975" t="s">
        <v>38</v>
      </c>
      <c r="E41" s="975"/>
      <c r="F41" s="975"/>
      <c r="G41" s="975"/>
      <c r="H41" s="975" t="s">
        <v>4</v>
      </c>
      <c r="I41" s="975"/>
      <c r="J41" s="975"/>
      <c r="K41" s="975"/>
      <c r="L41" s="261"/>
      <c r="M41" s="261"/>
      <c r="N41" s="261"/>
      <c r="O41" s="261"/>
      <c r="P41" s="261"/>
      <c r="Q41" s="261"/>
      <c r="R41" s="261"/>
      <c r="S41" s="261"/>
      <c r="T41" s="261"/>
      <c r="U41" s="261"/>
      <c r="V41" s="261"/>
      <c r="W41" s="261"/>
    </row>
    <row r="46" spans="1:23" ht="14.4" customHeight="1" x14ac:dyDescent="0.3">
      <c r="D46" s="261"/>
      <c r="E46" s="261"/>
      <c r="F46" s="261"/>
      <c r="G46" s="261"/>
      <c r="L46" s="261"/>
      <c r="M46" s="261"/>
      <c r="N46" s="261"/>
      <c r="O46" s="261"/>
      <c r="P46" s="261"/>
      <c r="Q46" s="261"/>
    </row>
    <row r="47" spans="1:23" ht="14.4" customHeight="1" x14ac:dyDescent="0.3">
      <c r="D47" s="261"/>
      <c r="E47" s="261"/>
      <c r="F47" s="261"/>
      <c r="G47" s="261"/>
      <c r="L47" s="261"/>
      <c r="M47" s="261"/>
      <c r="N47" s="261"/>
      <c r="O47" s="261"/>
      <c r="P47" s="261"/>
      <c r="Q47" s="261"/>
    </row>
    <row r="48" spans="1:23" ht="15.6" x14ac:dyDescent="0.3">
      <c r="D48" s="974" t="s">
        <v>63</v>
      </c>
      <c r="E48" s="974"/>
      <c r="F48" s="974"/>
      <c r="G48" s="974"/>
    </row>
    <row r="49" spans="1:11" ht="15.6" x14ac:dyDescent="0.3">
      <c r="D49" s="974" t="s">
        <v>1330</v>
      </c>
      <c r="E49" s="974"/>
      <c r="F49" s="974"/>
      <c r="G49" s="974"/>
    </row>
    <row r="56" spans="1:11" s="222" customFormat="1" ht="15.6" x14ac:dyDescent="0.3">
      <c r="A56" s="974" t="s">
        <v>35</v>
      </c>
      <c r="B56" s="974"/>
      <c r="C56" s="974"/>
      <c r="D56" s="974" t="s">
        <v>1346</v>
      </c>
      <c r="E56" s="974"/>
      <c r="F56" s="974"/>
      <c r="G56" s="974"/>
      <c r="H56" s="228" t="s">
        <v>48</v>
      </c>
      <c r="I56" s="228"/>
      <c r="J56" s="974" t="s">
        <v>26</v>
      </c>
      <c r="K56" s="974"/>
    </row>
    <row r="57" spans="1:11" s="222" customFormat="1" ht="15.6" x14ac:dyDescent="0.3">
      <c r="A57" s="974" t="s">
        <v>34</v>
      </c>
      <c r="B57" s="974"/>
      <c r="C57" s="974"/>
      <c r="D57" s="974" t="s">
        <v>34</v>
      </c>
      <c r="E57" s="974"/>
      <c r="F57" s="974"/>
      <c r="G57" s="974"/>
      <c r="H57" s="228" t="s">
        <v>47</v>
      </c>
      <c r="I57" s="228"/>
      <c r="J57" s="974" t="s">
        <v>49</v>
      </c>
      <c r="K57" s="974"/>
    </row>
  </sheetData>
  <mergeCells count="26">
    <mergeCell ref="D41:G41"/>
    <mergeCell ref="D48:G48"/>
    <mergeCell ref="D49:G49"/>
    <mergeCell ref="D56:G56"/>
    <mergeCell ref="D57:G57"/>
    <mergeCell ref="J57:K57"/>
    <mergeCell ref="B34:D34"/>
    <mergeCell ref="B35:D35"/>
    <mergeCell ref="D14:E14"/>
    <mergeCell ref="A9:K9"/>
    <mergeCell ref="J56:K56"/>
    <mergeCell ref="B37:J37"/>
    <mergeCell ref="H40:K40"/>
    <mergeCell ref="H41:K41"/>
    <mergeCell ref="B33:D33"/>
    <mergeCell ref="A40:C40"/>
    <mergeCell ref="A41:C41"/>
    <mergeCell ref="B30:C30"/>
    <mergeCell ref="A56:C56"/>
    <mergeCell ref="A57:C57"/>
    <mergeCell ref="D40:G40"/>
    <mergeCell ref="K8:S8"/>
    <mergeCell ref="A3:K3"/>
    <mergeCell ref="A4:K4"/>
    <mergeCell ref="A5:K5"/>
    <mergeCell ref="A7:K7"/>
  </mergeCells>
  <printOptions horizontalCentered="1"/>
  <pageMargins left="0" right="0" top="0" bottom="0" header="0" footer="0"/>
  <pageSetup paperSize="9" scale="54" orientation="landscape" r:id="rId1"/>
  <headerFooter>
    <oddHeader>&amp;L&amp;"Aptos"&amp;10&amp;K008000 Herkese Açık (Public)&amp;1#_x000D_</oddHeader>
    <oddFooter>&amp;L_x000D_&amp;1#&amp;"Aptos"&amp;10&amp;K008000 Herkese Açık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88B-117D-48DE-94EE-7EF4EAD18FFC}">
  <sheetPr codeName="Sayfa14">
    <pageSetUpPr fitToPage="1"/>
  </sheetPr>
  <dimension ref="A3:Z57"/>
  <sheetViews>
    <sheetView view="pageBreakPreview" topLeftCell="A11" zoomScale="60" zoomScaleNormal="85" workbookViewId="0">
      <selection activeCell="B20" sqref="B20"/>
    </sheetView>
  </sheetViews>
  <sheetFormatPr defaultRowHeight="14.4" x14ac:dyDescent="0.3"/>
  <cols>
    <col min="1" max="1" width="5.77734375" style="11" customWidth="1"/>
    <col min="2" max="2" width="46.77734375" style="11" customWidth="1"/>
    <col min="3" max="4" width="23.77734375" style="11" customWidth="1"/>
    <col min="5" max="5" width="2.21875" style="11" customWidth="1"/>
    <col min="6" max="7" width="23.77734375" style="11" customWidth="1"/>
    <col min="8" max="9" width="28.77734375" style="11" customWidth="1"/>
    <col min="10" max="10" width="23.77734375" style="11" customWidth="1"/>
    <col min="11" max="11" width="5.77734375" style="11" customWidth="1"/>
    <col min="12" max="23" width="17.77734375" style="11" customWidth="1"/>
    <col min="24" max="24" width="5.77734375" style="11" customWidth="1"/>
    <col min="25" max="25" width="8.88671875" style="11"/>
    <col min="26" max="26" width="15.33203125" style="11" bestFit="1" customWidth="1"/>
    <col min="27" max="27" width="12.33203125" style="11" bestFit="1" customWidth="1"/>
    <col min="28" max="28" width="15.33203125" style="11" bestFit="1" customWidth="1"/>
    <col min="29" max="29" width="14" style="11" bestFit="1" customWidth="1"/>
    <col min="30" max="16384" width="8.88671875" style="11"/>
  </cols>
  <sheetData>
    <row r="3" spans="1:26" ht="18" x14ac:dyDescent="0.3">
      <c r="A3" s="1063" t="s">
        <v>118</v>
      </c>
      <c r="B3" s="1063"/>
      <c r="C3" s="1063"/>
      <c r="D3" s="1063"/>
      <c r="E3" s="1063"/>
      <c r="F3" s="1063"/>
      <c r="G3" s="1063"/>
      <c r="H3" s="1063"/>
      <c r="I3" s="1063"/>
      <c r="J3" s="1063"/>
      <c r="K3" s="1063"/>
      <c r="L3" s="331"/>
      <c r="M3" s="331"/>
      <c r="N3" s="331"/>
      <c r="O3" s="331"/>
      <c r="P3" s="331"/>
      <c r="Q3" s="331"/>
      <c r="R3" s="331"/>
      <c r="S3" s="331"/>
      <c r="T3" s="331"/>
      <c r="U3" s="331"/>
      <c r="V3" s="331"/>
      <c r="W3" s="331"/>
      <c r="X3" s="331"/>
    </row>
    <row r="4" spans="1:26" ht="15.6" x14ac:dyDescent="0.3">
      <c r="A4" s="983" t="s">
        <v>210</v>
      </c>
      <c r="B4" s="983"/>
      <c r="C4" s="983"/>
      <c r="D4" s="983"/>
      <c r="E4" s="983"/>
      <c r="F4" s="983"/>
      <c r="G4" s="983"/>
      <c r="H4" s="983"/>
      <c r="I4" s="983"/>
      <c r="J4" s="983"/>
      <c r="K4" s="983"/>
      <c r="L4" s="112"/>
      <c r="M4" s="112"/>
      <c r="N4" s="112"/>
      <c r="O4" s="112"/>
      <c r="P4" s="112"/>
      <c r="Q4" s="112"/>
      <c r="R4" s="112"/>
      <c r="S4" s="112"/>
      <c r="T4" s="112"/>
      <c r="U4" s="112"/>
      <c r="V4" s="112"/>
      <c r="W4" s="112"/>
      <c r="X4" s="112"/>
    </row>
    <row r="5" spans="1:26" ht="15.6" x14ac:dyDescent="0.3">
      <c r="A5" s="983" t="s">
        <v>120</v>
      </c>
      <c r="B5" s="983"/>
      <c r="C5" s="983"/>
      <c r="D5" s="983"/>
      <c r="E5" s="983"/>
      <c r="F5" s="983"/>
      <c r="G5" s="983"/>
      <c r="H5" s="983"/>
      <c r="I5" s="983"/>
      <c r="J5" s="983"/>
      <c r="K5" s="983"/>
      <c r="L5" s="112"/>
      <c r="M5" s="112"/>
      <c r="N5" s="112"/>
      <c r="O5" s="112"/>
      <c r="P5" s="112"/>
      <c r="Q5" s="112"/>
      <c r="R5" s="112"/>
      <c r="S5" s="112"/>
      <c r="T5" s="112"/>
      <c r="U5" s="112"/>
      <c r="V5" s="112"/>
      <c r="W5" s="112"/>
      <c r="X5" s="112"/>
    </row>
    <row r="6" spans="1:26" ht="15.6" x14ac:dyDescent="0.3">
      <c r="A6" s="229"/>
      <c r="B6" s="229"/>
      <c r="C6" s="229"/>
      <c r="D6" s="229"/>
      <c r="E6" s="229"/>
      <c r="F6" s="229"/>
      <c r="G6" s="229"/>
      <c r="H6" s="229"/>
      <c r="I6" s="229"/>
      <c r="J6" s="229"/>
      <c r="K6" s="229"/>
      <c r="L6" s="229"/>
      <c r="M6" s="229"/>
      <c r="N6" s="229"/>
      <c r="O6" s="229"/>
      <c r="P6" s="229"/>
      <c r="Q6" s="229"/>
      <c r="R6" s="229"/>
      <c r="S6" s="229"/>
      <c r="T6" s="229"/>
      <c r="U6" s="229"/>
      <c r="V6" s="229"/>
      <c r="W6" s="229"/>
      <c r="X6" s="229"/>
    </row>
    <row r="7" spans="1:26" ht="15.6" x14ac:dyDescent="0.3">
      <c r="A7" s="1064" t="s">
        <v>37</v>
      </c>
      <c r="B7" s="1064"/>
      <c r="C7" s="1064"/>
      <c r="D7" s="1064"/>
      <c r="E7" s="1064"/>
      <c r="F7" s="1064"/>
      <c r="G7" s="1064"/>
      <c r="H7" s="1064"/>
      <c r="I7" s="1064"/>
      <c r="J7" s="1064"/>
      <c r="K7" s="1064"/>
      <c r="L7" s="332"/>
      <c r="M7" s="332"/>
      <c r="N7" s="332"/>
      <c r="O7" s="332"/>
      <c r="P7" s="332"/>
      <c r="Q7" s="332"/>
      <c r="R7" s="332"/>
      <c r="S7" s="332"/>
      <c r="T7" s="332"/>
      <c r="U7" s="332"/>
      <c r="V7" s="332"/>
      <c r="W7" s="332"/>
      <c r="X7" s="332"/>
    </row>
    <row r="8" spans="1:26" x14ac:dyDescent="0.3">
      <c r="D8" s="111"/>
      <c r="E8" s="111"/>
      <c r="F8" s="111"/>
      <c r="G8" s="111"/>
      <c r="K8" s="1024"/>
      <c r="L8" s="1024"/>
      <c r="M8" s="1024"/>
      <c r="N8" s="1024"/>
      <c r="O8" s="1024"/>
      <c r="P8" s="1024"/>
      <c r="Q8" s="1024"/>
      <c r="R8" s="1024"/>
      <c r="S8" s="1024"/>
    </row>
    <row r="9" spans="1:26" ht="15.6" customHeight="1" x14ac:dyDescent="0.3">
      <c r="A9" s="983" t="s">
        <v>1307</v>
      </c>
      <c r="B9" s="983"/>
      <c r="C9" s="983"/>
      <c r="D9" s="983"/>
      <c r="E9" s="983"/>
      <c r="F9" s="983"/>
      <c r="G9" s="983"/>
      <c r="H9" s="983"/>
      <c r="I9" s="983"/>
      <c r="J9" s="983"/>
      <c r="K9" s="983"/>
      <c r="L9" s="112"/>
      <c r="M9" s="112"/>
      <c r="N9" s="112"/>
      <c r="O9" s="112"/>
      <c r="P9" s="112"/>
      <c r="Q9" s="112"/>
      <c r="R9" s="112"/>
      <c r="S9" s="112"/>
      <c r="T9" s="112"/>
      <c r="U9" s="112"/>
      <c r="V9" s="112"/>
      <c r="W9" s="112"/>
      <c r="X9" s="112"/>
    </row>
    <row r="10" spans="1:26" x14ac:dyDescent="0.3">
      <c r="U10" s="111"/>
      <c r="V10" s="28"/>
    </row>
    <row r="11" spans="1:26" x14ac:dyDescent="0.3">
      <c r="I11" s="111" t="s">
        <v>209</v>
      </c>
      <c r="J11" s="104">
        <f>+Veri!$C$21</f>
        <v>6</v>
      </c>
      <c r="U11" s="111"/>
      <c r="V11" s="230"/>
    </row>
    <row r="12" spans="1:26" x14ac:dyDescent="0.3">
      <c r="I12" s="111" t="s">
        <v>208</v>
      </c>
      <c r="J12" s="314">
        <f>+Veri!$C$22</f>
        <v>46142</v>
      </c>
    </row>
    <row r="14" spans="1:26" ht="40.049999999999997" customHeight="1" x14ac:dyDescent="0.3">
      <c r="B14" s="370" t="s">
        <v>1300</v>
      </c>
      <c r="C14" s="371" t="s">
        <v>1301</v>
      </c>
      <c r="D14" s="1067" t="s">
        <v>1331</v>
      </c>
      <c r="E14" s="1068"/>
      <c r="F14" s="370" t="s">
        <v>1302</v>
      </c>
      <c r="G14" s="370" t="s">
        <v>1332</v>
      </c>
      <c r="H14" s="370" t="s">
        <v>1303</v>
      </c>
      <c r="I14" s="370" t="s">
        <v>1304</v>
      </c>
      <c r="J14" s="370" t="s">
        <v>1333</v>
      </c>
      <c r="K14"/>
      <c r="L14"/>
      <c r="M14"/>
      <c r="N14"/>
      <c r="O14"/>
      <c r="P14"/>
      <c r="Q14"/>
      <c r="R14"/>
      <c r="S14"/>
      <c r="T14"/>
      <c r="U14"/>
      <c r="V14"/>
      <c r="W14"/>
    </row>
    <row r="15" spans="1:26" ht="19.95" customHeight="1" x14ac:dyDescent="0.3">
      <c r="B15" s="256" t="s">
        <v>1308</v>
      </c>
      <c r="C15" s="530">
        <v>2913.33</v>
      </c>
      <c r="D15" s="532">
        <f>+C15</f>
        <v>2913.33</v>
      </c>
      <c r="E15" s="338"/>
      <c r="F15" s="376">
        <v>45768</v>
      </c>
      <c r="G15" s="376">
        <v>48233</v>
      </c>
      <c r="H15" s="256" t="s">
        <v>1339</v>
      </c>
      <c r="I15" s="256" t="s">
        <v>1344</v>
      </c>
      <c r="J15" s="256">
        <v>1</v>
      </c>
      <c r="K15"/>
      <c r="L15"/>
      <c r="M15"/>
      <c r="N15"/>
      <c r="O15"/>
      <c r="P15"/>
      <c r="Q15"/>
      <c r="R15"/>
      <c r="S15"/>
      <c r="T15"/>
      <c r="U15"/>
      <c r="V15"/>
      <c r="W15"/>
      <c r="Z15" s="307"/>
    </row>
    <row r="16" spans="1:26" ht="19.95" customHeight="1" x14ac:dyDescent="0.3">
      <c r="B16" s="161" t="s">
        <v>1308</v>
      </c>
      <c r="C16" s="531">
        <v>5827.52</v>
      </c>
      <c r="D16" s="518">
        <f>+D15+C16</f>
        <v>8740.85</v>
      </c>
      <c r="E16" s="339"/>
      <c r="F16" s="376">
        <v>45768</v>
      </c>
      <c r="G16" s="377">
        <v>48233</v>
      </c>
      <c r="H16" s="161" t="s">
        <v>1339</v>
      </c>
      <c r="I16" s="161" t="s">
        <v>1345</v>
      </c>
      <c r="J16" s="161">
        <v>1</v>
      </c>
      <c r="K16"/>
      <c r="L16"/>
      <c r="M16"/>
      <c r="N16"/>
      <c r="O16"/>
      <c r="P16"/>
      <c r="Q16"/>
      <c r="R16"/>
      <c r="S16"/>
      <c r="T16"/>
      <c r="U16"/>
      <c r="V16"/>
      <c r="W16"/>
    </row>
    <row r="17" spans="2:23" ht="19.95" customHeight="1" x14ac:dyDescent="0.3">
      <c r="B17" s="161" t="s">
        <v>1308</v>
      </c>
      <c r="C17" s="531">
        <v>59994</v>
      </c>
      <c r="D17" s="518">
        <f t="shared" ref="D17:D27" si="0">+D16+C17</f>
        <v>68734.850000000006</v>
      </c>
      <c r="E17" s="339"/>
      <c r="F17" s="376">
        <v>45894</v>
      </c>
      <c r="G17" s="377">
        <v>48233</v>
      </c>
      <c r="H17" s="161" t="s">
        <v>1339</v>
      </c>
      <c r="I17" s="161" t="s">
        <v>1444</v>
      </c>
      <c r="J17" s="161">
        <v>2</v>
      </c>
      <c r="K17"/>
      <c r="L17"/>
      <c r="M17"/>
      <c r="N17"/>
      <c r="O17"/>
      <c r="P17"/>
      <c r="Q17"/>
      <c r="R17"/>
      <c r="S17"/>
      <c r="T17"/>
      <c r="U17"/>
      <c r="V17"/>
      <c r="W17"/>
    </row>
    <row r="18" spans="2:23" ht="19.95" customHeight="1" x14ac:dyDescent="0.3">
      <c r="B18" s="161" t="s">
        <v>1308</v>
      </c>
      <c r="C18" s="531">
        <v>120006</v>
      </c>
      <c r="D18" s="518">
        <f t="shared" si="0"/>
        <v>188740.85</v>
      </c>
      <c r="E18" s="339"/>
      <c r="F18" s="376">
        <v>45894</v>
      </c>
      <c r="G18" s="377">
        <v>48233</v>
      </c>
      <c r="H18" s="161" t="s">
        <v>1339</v>
      </c>
      <c r="I18" s="161" t="s">
        <v>1445</v>
      </c>
      <c r="J18" s="161">
        <v>2</v>
      </c>
      <c r="K18"/>
      <c r="L18"/>
      <c r="M18"/>
      <c r="N18"/>
      <c r="O18"/>
      <c r="P18"/>
      <c r="Q18"/>
      <c r="R18"/>
      <c r="S18"/>
      <c r="T18"/>
      <c r="U18"/>
      <c r="V18"/>
      <c r="W18"/>
    </row>
    <row r="19" spans="2:23" ht="19.95" customHeight="1" x14ac:dyDescent="0.3">
      <c r="B19" s="264" t="s">
        <v>1446</v>
      </c>
      <c r="C19" s="137">
        <v>734011.2</v>
      </c>
      <c r="D19" s="518">
        <f t="shared" si="0"/>
        <v>922752.04999999993</v>
      </c>
      <c r="E19" s="339"/>
      <c r="F19" s="264"/>
      <c r="G19" s="264"/>
      <c r="H19" s="264"/>
      <c r="I19" s="264"/>
      <c r="J19" s="264"/>
      <c r="K19"/>
      <c r="L19"/>
      <c r="M19"/>
      <c r="N19"/>
      <c r="O19"/>
      <c r="P19"/>
      <c r="Q19"/>
      <c r="R19"/>
      <c r="S19"/>
      <c r="T19"/>
      <c r="U19"/>
      <c r="V19"/>
      <c r="W19"/>
    </row>
    <row r="20" spans="2:23" ht="19.95" customHeight="1" x14ac:dyDescent="0.3">
      <c r="B20" s="264"/>
      <c r="C20" s="137"/>
      <c r="D20" s="518">
        <f t="shared" si="0"/>
        <v>922752.04999999993</v>
      </c>
      <c r="E20" s="339"/>
      <c r="F20" s="264"/>
      <c r="G20" s="264"/>
      <c r="H20" s="264"/>
      <c r="I20" s="264"/>
      <c r="J20" s="264"/>
      <c r="K20"/>
      <c r="L20"/>
      <c r="M20"/>
      <c r="N20"/>
      <c r="O20"/>
      <c r="P20"/>
      <c r="Q20"/>
      <c r="R20"/>
      <c r="S20"/>
      <c r="T20"/>
      <c r="U20"/>
      <c r="V20"/>
      <c r="W20"/>
    </row>
    <row r="21" spans="2:23" ht="19.95" customHeight="1" x14ac:dyDescent="0.3">
      <c r="B21" s="264"/>
      <c r="C21" s="137"/>
      <c r="D21" s="518">
        <f t="shared" si="0"/>
        <v>922752.04999999993</v>
      </c>
      <c r="E21" s="339"/>
      <c r="F21" s="264"/>
      <c r="G21" s="264"/>
      <c r="H21" s="264"/>
      <c r="I21" s="264"/>
      <c r="J21" s="264"/>
      <c r="K21"/>
      <c r="L21"/>
      <c r="M21"/>
      <c r="N21"/>
      <c r="O21"/>
      <c r="P21"/>
      <c r="Q21"/>
      <c r="R21"/>
      <c r="S21"/>
      <c r="T21"/>
      <c r="U21"/>
      <c r="V21"/>
      <c r="W21"/>
    </row>
    <row r="22" spans="2:23" ht="19.95" customHeight="1" x14ac:dyDescent="0.3">
      <c r="B22" s="264"/>
      <c r="C22" s="137"/>
      <c r="D22" s="518">
        <f t="shared" si="0"/>
        <v>922752.04999999993</v>
      </c>
      <c r="E22" s="339"/>
      <c r="F22" s="264"/>
      <c r="G22" s="264"/>
      <c r="H22" s="264"/>
      <c r="I22" s="264"/>
      <c r="J22" s="264"/>
      <c r="K22"/>
      <c r="L22"/>
      <c r="M22"/>
      <c r="N22"/>
      <c r="O22"/>
      <c r="P22"/>
      <c r="Q22"/>
      <c r="R22"/>
      <c r="S22"/>
      <c r="T22"/>
      <c r="U22"/>
      <c r="V22"/>
      <c r="W22"/>
    </row>
    <row r="23" spans="2:23" ht="19.95" customHeight="1" x14ac:dyDescent="0.3">
      <c r="B23" s="264"/>
      <c r="C23" s="137"/>
      <c r="D23" s="518">
        <f t="shared" si="0"/>
        <v>922752.04999999993</v>
      </c>
      <c r="E23" s="339"/>
      <c r="F23" s="264"/>
      <c r="G23" s="264"/>
      <c r="H23" s="264"/>
      <c r="I23" s="264"/>
      <c r="J23" s="264"/>
      <c r="K23"/>
      <c r="L23"/>
      <c r="M23"/>
      <c r="N23"/>
      <c r="O23"/>
      <c r="P23"/>
      <c r="Q23"/>
      <c r="R23"/>
      <c r="S23"/>
      <c r="T23"/>
      <c r="U23"/>
      <c r="V23"/>
      <c r="W23"/>
    </row>
    <row r="24" spans="2:23" ht="19.95" customHeight="1" x14ac:dyDescent="0.3">
      <c r="B24" s="264"/>
      <c r="C24" s="137"/>
      <c r="D24" s="518">
        <f t="shared" si="0"/>
        <v>922752.04999999993</v>
      </c>
      <c r="E24" s="339"/>
      <c r="F24" s="264"/>
      <c r="G24" s="264"/>
      <c r="H24" s="264"/>
      <c r="I24" s="264"/>
      <c r="J24" s="264"/>
      <c r="K24"/>
      <c r="L24"/>
      <c r="M24"/>
      <c r="N24"/>
      <c r="O24"/>
      <c r="P24"/>
      <c r="Q24"/>
      <c r="R24"/>
      <c r="S24"/>
      <c r="T24"/>
      <c r="U24"/>
      <c r="V24"/>
      <c r="W24"/>
    </row>
    <row r="25" spans="2:23" ht="19.95" customHeight="1" x14ac:dyDescent="0.3">
      <c r="B25" s="264"/>
      <c r="C25" s="137"/>
      <c r="D25" s="518">
        <f t="shared" si="0"/>
        <v>922752.04999999993</v>
      </c>
      <c r="E25" s="339"/>
      <c r="F25" s="264"/>
      <c r="G25" s="264"/>
      <c r="H25" s="264"/>
      <c r="I25" s="264"/>
      <c r="J25" s="264"/>
      <c r="K25"/>
      <c r="L25"/>
      <c r="M25"/>
      <c r="N25"/>
      <c r="O25"/>
      <c r="P25"/>
      <c r="Q25"/>
      <c r="R25"/>
      <c r="S25"/>
      <c r="T25"/>
      <c r="U25"/>
      <c r="V25"/>
      <c r="W25"/>
    </row>
    <row r="26" spans="2:23" ht="19.95" customHeight="1" x14ac:dyDescent="0.3">
      <c r="B26" s="264"/>
      <c r="C26" s="137"/>
      <c r="D26" s="518">
        <f t="shared" si="0"/>
        <v>922752.04999999993</v>
      </c>
      <c r="E26" s="339"/>
      <c r="F26" s="264"/>
      <c r="G26" s="264"/>
      <c r="H26" s="264"/>
      <c r="I26" s="264"/>
      <c r="J26" s="264"/>
      <c r="K26"/>
      <c r="L26"/>
      <c r="M26"/>
      <c r="N26"/>
      <c r="O26"/>
      <c r="P26"/>
      <c r="Q26"/>
      <c r="R26"/>
      <c r="S26"/>
      <c r="T26"/>
      <c r="U26"/>
      <c r="V26"/>
      <c r="W26"/>
    </row>
    <row r="27" spans="2:23" ht="19.95" customHeight="1" x14ac:dyDescent="0.3">
      <c r="B27" s="265"/>
      <c r="C27" s="138"/>
      <c r="D27" s="533">
        <f t="shared" si="0"/>
        <v>922752.04999999993</v>
      </c>
      <c r="E27" s="372"/>
      <c r="F27" s="265"/>
      <c r="G27" s="265"/>
      <c r="H27" s="265"/>
      <c r="I27" s="265"/>
      <c r="J27" s="265"/>
      <c r="K27"/>
      <c r="L27"/>
      <c r="M27"/>
      <c r="N27"/>
      <c r="O27"/>
      <c r="P27"/>
      <c r="Q27"/>
      <c r="R27"/>
      <c r="S27"/>
      <c r="T27"/>
      <c r="U27"/>
      <c r="V27"/>
      <c r="W27"/>
    </row>
    <row r="28" spans="2:23" ht="4.95" customHeight="1" x14ac:dyDescent="0.3">
      <c r="B28" s="328"/>
      <c r="C28" s="329"/>
      <c r="D28" s="329"/>
      <c r="E28" s="329"/>
      <c r="F28" s="329"/>
      <c r="G28" s="329"/>
      <c r="H28" s="329"/>
      <c r="I28" s="329"/>
      <c r="J28" s="330"/>
      <c r="K28"/>
      <c r="L28"/>
      <c r="M28"/>
      <c r="N28"/>
      <c r="O28"/>
      <c r="P28"/>
      <c r="Q28"/>
      <c r="R28"/>
      <c r="S28"/>
      <c r="T28"/>
      <c r="U28"/>
      <c r="V28"/>
      <c r="W28"/>
    </row>
    <row r="29" spans="2:23" ht="15" customHeight="1" x14ac:dyDescent="0.3">
      <c r="K29"/>
      <c r="L29"/>
      <c r="M29"/>
      <c r="N29"/>
      <c r="O29"/>
      <c r="P29"/>
      <c r="Q29"/>
      <c r="R29"/>
      <c r="S29"/>
      <c r="T29"/>
      <c r="U29"/>
      <c r="V29"/>
      <c r="W29"/>
    </row>
    <row r="30" spans="2:23" ht="40.049999999999997" customHeight="1" x14ac:dyDescent="0.3">
      <c r="B30" s="1072" t="s">
        <v>1334</v>
      </c>
      <c r="C30" s="1073"/>
      <c r="D30" s="333">
        <f>SUM(C15:C28)</f>
        <v>922752.04999999993</v>
      </c>
      <c r="E30" s="337"/>
      <c r="K30"/>
      <c r="L30"/>
      <c r="M30"/>
      <c r="N30"/>
      <c r="O30"/>
      <c r="P30"/>
      <c r="Q30"/>
      <c r="R30"/>
      <c r="S30"/>
      <c r="T30"/>
      <c r="U30"/>
      <c r="V30"/>
      <c r="W30"/>
    </row>
    <row r="31" spans="2:23" ht="4.95" customHeight="1" x14ac:dyDescent="0.3">
      <c r="W31" s="274"/>
    </row>
    <row r="32" spans="2:23" ht="15" customHeight="1" x14ac:dyDescent="0.3">
      <c r="W32" s="274"/>
    </row>
    <row r="33" spans="1:23" ht="30" customHeight="1" x14ac:dyDescent="0.3">
      <c r="B33" s="1074">
        <f>+Veri!$C$21</f>
        <v>6</v>
      </c>
      <c r="C33" s="1074"/>
      <c r="D33" s="1074"/>
      <c r="E33" s="373"/>
      <c r="F33" s="19" t="e">
        <f>+#REF!</f>
        <v>#REF!</v>
      </c>
      <c r="G33" s="11" t="s">
        <v>142</v>
      </c>
      <c r="L33" s="307" t="e">
        <f>+F34-F35</f>
        <v>#REF!</v>
      </c>
      <c r="W33" s="274"/>
    </row>
    <row r="34" spans="1:23" ht="30" customHeight="1" x14ac:dyDescent="0.3">
      <c r="B34" s="1065">
        <f>+Veri!$C$21</f>
        <v>6</v>
      </c>
      <c r="C34" s="1065"/>
      <c r="D34" s="1065"/>
      <c r="E34" s="334"/>
      <c r="F34" s="307" t="e">
        <f>+ROUND(F33*0.06,2)</f>
        <v>#REF!</v>
      </c>
      <c r="G34" s="11" t="s">
        <v>1309</v>
      </c>
      <c r="W34" s="274"/>
    </row>
    <row r="35" spans="1:23" ht="30" customHeight="1" x14ac:dyDescent="0.3">
      <c r="B35" s="1066">
        <f>+Veri!$C$21</f>
        <v>6</v>
      </c>
      <c r="C35" s="1066"/>
      <c r="D35" s="1066"/>
      <c r="E35" s="335"/>
      <c r="F35" s="307">
        <f>+D30</f>
        <v>922752.04999999993</v>
      </c>
      <c r="G35" s="11" t="s">
        <v>142</v>
      </c>
      <c r="M35" s="343" t="e">
        <f>+ROUND(F34-F35,2)</f>
        <v>#REF!</v>
      </c>
      <c r="N35" s="344" t="s">
        <v>1305</v>
      </c>
      <c r="O35" s="344"/>
      <c r="W35" s="274"/>
    </row>
    <row r="36" spans="1:23" ht="30" customHeight="1" x14ac:dyDescent="0.3">
      <c r="B36" s="335"/>
      <c r="C36" s="335"/>
      <c r="D36" s="336" t="s">
        <v>1311</v>
      </c>
      <c r="E36" s="335" t="e">
        <f>+IF(F35&gt;F34,"&lt;",IF(F35=F34,"=","&gt;"))</f>
        <v>#REF!</v>
      </c>
      <c r="F36" s="307" t="s">
        <v>1312</v>
      </c>
      <c r="G36" s="307"/>
      <c r="M36" s="344" t="s">
        <v>1306</v>
      </c>
      <c r="N36" s="344"/>
      <c r="O36" s="344"/>
      <c r="W36" s="274"/>
    </row>
    <row r="37" spans="1:23" ht="30" customHeight="1" x14ac:dyDescent="0.3">
      <c r="B37" s="1069" t="e">
        <f>+IF(M35&gt;0,CONCATENATE(TEXT(M35,"#.##0,00"),N35),M36)</f>
        <v>#REF!</v>
      </c>
      <c r="C37" s="1069"/>
      <c r="D37" s="1069"/>
      <c r="E37" s="1069"/>
      <c r="F37" s="1069"/>
      <c r="G37" s="1069"/>
      <c r="H37" s="1069"/>
      <c r="I37" s="1069"/>
      <c r="J37" s="1069"/>
      <c r="W37" s="274"/>
    </row>
    <row r="38" spans="1:23" ht="30" customHeight="1" x14ac:dyDescent="0.3">
      <c r="W38" s="274"/>
    </row>
    <row r="40" spans="1:23" s="222" customFormat="1" ht="15.6" x14ac:dyDescent="0.3">
      <c r="A40" s="1070" t="s">
        <v>33</v>
      </c>
      <c r="B40" s="1070"/>
      <c r="C40" s="1070"/>
      <c r="D40" s="1070" t="s">
        <v>29</v>
      </c>
      <c r="E40" s="1070"/>
      <c r="F40" s="1070"/>
      <c r="G40" s="1070"/>
      <c r="H40" s="1070" t="s">
        <v>22</v>
      </c>
      <c r="I40" s="1070"/>
      <c r="J40" s="1070"/>
      <c r="K40" s="1070"/>
      <c r="L40" s="318"/>
      <c r="M40" s="318"/>
      <c r="N40" s="318"/>
      <c r="O40" s="318"/>
      <c r="P40" s="318"/>
      <c r="Q40" s="318"/>
      <c r="R40" s="318"/>
      <c r="S40" s="318"/>
      <c r="T40" s="318"/>
      <c r="U40" s="318"/>
      <c r="V40" s="318"/>
      <c r="W40" s="318"/>
    </row>
    <row r="41" spans="1:23" ht="15.6" customHeight="1" x14ac:dyDescent="0.3">
      <c r="A41" s="974" t="s">
        <v>1214</v>
      </c>
      <c r="B41" s="974"/>
      <c r="C41" s="974"/>
      <c r="D41" s="975" t="s">
        <v>38</v>
      </c>
      <c r="E41" s="975"/>
      <c r="F41" s="975"/>
      <c r="G41" s="975"/>
      <c r="H41" s="975" t="s">
        <v>4</v>
      </c>
      <c r="I41" s="975"/>
      <c r="J41" s="975"/>
      <c r="K41" s="975"/>
      <c r="L41" s="261"/>
      <c r="M41" s="261"/>
      <c r="N41" s="261"/>
      <c r="O41" s="261"/>
      <c r="P41" s="261"/>
      <c r="Q41" s="261"/>
      <c r="R41" s="261"/>
      <c r="S41" s="261"/>
      <c r="T41" s="261"/>
      <c r="U41" s="261"/>
      <c r="V41" s="261"/>
      <c r="W41" s="261"/>
    </row>
    <row r="46" spans="1:23" ht="14.4" customHeight="1" x14ac:dyDescent="0.3">
      <c r="D46" s="261"/>
      <c r="E46" s="261"/>
      <c r="F46" s="261"/>
      <c r="G46" s="261"/>
      <c r="L46" s="261"/>
      <c r="M46" s="261"/>
      <c r="N46" s="261"/>
      <c r="O46" s="261"/>
      <c r="P46" s="261"/>
      <c r="Q46" s="261"/>
    </row>
    <row r="47" spans="1:23" ht="14.4" customHeight="1" x14ac:dyDescent="0.3">
      <c r="D47" s="261"/>
      <c r="E47" s="261"/>
      <c r="F47" s="261"/>
      <c r="G47" s="261"/>
      <c r="L47" s="261"/>
      <c r="M47" s="261"/>
      <c r="N47" s="261"/>
      <c r="O47" s="261"/>
      <c r="P47" s="261"/>
      <c r="Q47" s="261"/>
    </row>
    <row r="48" spans="1:23" ht="15.6" x14ac:dyDescent="0.3">
      <c r="D48" s="974" t="s">
        <v>63</v>
      </c>
      <c r="E48" s="974"/>
      <c r="F48" s="974"/>
      <c r="G48" s="974"/>
    </row>
    <row r="49" spans="1:11" ht="15.6" x14ac:dyDescent="0.3">
      <c r="D49" s="974" t="s">
        <v>1330</v>
      </c>
      <c r="E49" s="974"/>
      <c r="F49" s="974"/>
      <c r="G49" s="974"/>
    </row>
    <row r="56" spans="1:11" s="222" customFormat="1" ht="15.6" x14ac:dyDescent="0.3">
      <c r="A56" s="974" t="s">
        <v>35</v>
      </c>
      <c r="B56" s="974"/>
      <c r="C56" s="974"/>
      <c r="D56" s="974" t="s">
        <v>1346</v>
      </c>
      <c r="E56" s="974"/>
      <c r="F56" s="974"/>
      <c r="G56" s="974"/>
      <c r="H56" s="228" t="s">
        <v>48</v>
      </c>
      <c r="I56" s="228"/>
      <c r="J56" s="974" t="s">
        <v>26</v>
      </c>
      <c r="K56" s="974"/>
    </row>
    <row r="57" spans="1:11" s="222" customFormat="1" ht="15.6" x14ac:dyDescent="0.3">
      <c r="A57" s="974" t="s">
        <v>34</v>
      </c>
      <c r="B57" s="974"/>
      <c r="C57" s="974"/>
      <c r="D57" s="974" t="s">
        <v>34</v>
      </c>
      <c r="E57" s="974"/>
      <c r="F57" s="974"/>
      <c r="G57" s="974"/>
      <c r="H57" s="228" t="s">
        <v>47</v>
      </c>
      <c r="I57" s="228"/>
      <c r="J57" s="974" t="s">
        <v>49</v>
      </c>
      <c r="K57" s="974"/>
    </row>
  </sheetData>
  <mergeCells count="26">
    <mergeCell ref="A57:C57"/>
    <mergeCell ref="D57:G57"/>
    <mergeCell ref="J57:K57"/>
    <mergeCell ref="A40:C40"/>
    <mergeCell ref="D40:G40"/>
    <mergeCell ref="H40:K40"/>
    <mergeCell ref="A41:C41"/>
    <mergeCell ref="D41:G41"/>
    <mergeCell ref="H41:K41"/>
    <mergeCell ref="D48:G48"/>
    <mergeCell ref="D49:G49"/>
    <mergeCell ref="A56:C56"/>
    <mergeCell ref="D56:G56"/>
    <mergeCell ref="J56:K56"/>
    <mergeCell ref="B37:J37"/>
    <mergeCell ref="A3:K3"/>
    <mergeCell ref="A4:K4"/>
    <mergeCell ref="A5:K5"/>
    <mergeCell ref="A7:K7"/>
    <mergeCell ref="K8:S8"/>
    <mergeCell ref="A9:K9"/>
    <mergeCell ref="D14:E14"/>
    <mergeCell ref="B30:C30"/>
    <mergeCell ref="B33:D33"/>
    <mergeCell ref="B34:D34"/>
    <mergeCell ref="B35:D35"/>
  </mergeCells>
  <printOptions horizontalCentered="1"/>
  <pageMargins left="0" right="0" top="0" bottom="0" header="0" footer="0"/>
  <pageSetup paperSize="9" scale="54" orientation="landscape" r:id="rId1"/>
  <headerFooter>
    <oddHeader>&amp;L&amp;"Aptos"&amp;10&amp;K008000 Herkese Açık (Public)&amp;1#_x000D_</oddHeader>
    <oddFooter>&amp;L_x000D_&amp;1#&amp;"Aptos"&amp;10&amp;K008000 Herkese Açık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784A-6557-4F47-B012-11C1E72C9169}">
  <sheetPr codeName="Sayfa22"/>
  <dimension ref="B3:S35"/>
  <sheetViews>
    <sheetView view="pageBreakPreview" zoomScaleNormal="100" zoomScaleSheetLayoutView="100" workbookViewId="0">
      <selection activeCell="BM101" sqref="BM101"/>
    </sheetView>
  </sheetViews>
  <sheetFormatPr defaultRowHeight="15" customHeight="1" x14ac:dyDescent="0.3"/>
  <cols>
    <col min="1" max="1" width="8.88671875" style="11"/>
    <col min="2" max="2" width="4.77734375" style="222" customWidth="1"/>
    <col min="3" max="3" width="14" style="222" bestFit="1" customWidth="1"/>
    <col min="4" max="4" width="1.5546875" style="222" bestFit="1" customWidth="1"/>
    <col min="5" max="5" width="11" style="222" bestFit="1" customWidth="1"/>
    <col min="6" max="10" width="8.88671875" style="222"/>
    <col min="11" max="11" width="12.77734375" style="222" customWidth="1"/>
    <col min="12" max="13" width="8.88671875" style="222"/>
    <col min="14" max="14" width="8.88671875" style="222" customWidth="1"/>
    <col min="15" max="15" width="12.77734375" style="222" customWidth="1"/>
    <col min="16" max="16" width="4.77734375" style="222" customWidth="1"/>
    <col min="17" max="16384" width="8.88671875" style="11"/>
  </cols>
  <sheetData>
    <row r="3" spans="3:19" ht="30" customHeight="1" x14ac:dyDescent="0.3">
      <c r="C3" s="1075" t="s">
        <v>1276</v>
      </c>
      <c r="D3" s="1075"/>
      <c r="E3" s="1075"/>
      <c r="F3" s="1075"/>
      <c r="G3" s="1075"/>
      <c r="H3" s="1075"/>
      <c r="I3" s="1075"/>
      <c r="J3" s="1075"/>
      <c r="K3" s="1075"/>
      <c r="L3" s="1075"/>
      <c r="M3" s="1075"/>
      <c r="N3" s="1075"/>
      <c r="O3" s="1075"/>
    </row>
    <row r="6" spans="3:19" ht="30" customHeight="1" x14ac:dyDescent="0.3">
      <c r="C6" s="295" t="s">
        <v>1</v>
      </c>
      <c r="D6" s="296" t="s">
        <v>2</v>
      </c>
      <c r="E6" s="222" t="s">
        <v>37</v>
      </c>
      <c r="S6" s="104" t="s">
        <v>1277</v>
      </c>
    </row>
    <row r="7" spans="3:19" ht="30" customHeight="1" x14ac:dyDescent="0.3">
      <c r="C7" s="295" t="s">
        <v>1272</v>
      </c>
      <c r="D7" s="296" t="s">
        <v>2</v>
      </c>
      <c r="E7" s="222" t="s">
        <v>1274</v>
      </c>
      <c r="S7" s="11" t="str">
        <f>+TEXT(E12,"gg.aa.yyyy")</f>
        <v>30.04.2026</v>
      </c>
    </row>
    <row r="8" spans="3:19" ht="30" customHeight="1" x14ac:dyDescent="0.3">
      <c r="C8" s="295" t="s">
        <v>7</v>
      </c>
      <c r="D8" s="296" t="s">
        <v>2</v>
      </c>
      <c r="E8" s="222" t="s">
        <v>38</v>
      </c>
      <c r="S8" s="11" t="s">
        <v>1278</v>
      </c>
    </row>
    <row r="9" spans="3:19" ht="30" customHeight="1" x14ac:dyDescent="0.3">
      <c r="C9" s="295" t="s">
        <v>114</v>
      </c>
      <c r="D9" s="296" t="s">
        <v>2</v>
      </c>
      <c r="E9" s="222" t="s">
        <v>39</v>
      </c>
      <c r="S9" s="11" t="str">
        <f>+TEXT(E12-9,"gg.aa.yyyy")</f>
        <v>21.04.2026</v>
      </c>
    </row>
    <row r="10" spans="3:19" ht="30" customHeight="1" x14ac:dyDescent="0.3">
      <c r="C10" s="295" t="s">
        <v>10</v>
      </c>
      <c r="D10" s="296" t="s">
        <v>2</v>
      </c>
      <c r="E10" s="222" t="s">
        <v>40</v>
      </c>
      <c r="S10" s="11" t="s">
        <v>1279</v>
      </c>
    </row>
    <row r="11" spans="3:19" ht="30" customHeight="1" x14ac:dyDescent="0.3">
      <c r="C11" s="295" t="s">
        <v>1275</v>
      </c>
      <c r="D11" s="296" t="s">
        <v>2</v>
      </c>
      <c r="E11" s="297">
        <f>+Veri!$C$21</f>
        <v>6</v>
      </c>
    </row>
    <row r="12" spans="3:19" ht="30" customHeight="1" x14ac:dyDescent="0.3">
      <c r="C12" s="295" t="s">
        <v>1273</v>
      </c>
      <c r="D12" s="296" t="s">
        <v>2</v>
      </c>
      <c r="E12" s="298">
        <f>+Veri!C22</f>
        <v>46142</v>
      </c>
      <c r="S12" s="11" t="s">
        <v>1280</v>
      </c>
    </row>
    <row r="13" spans="3:19" ht="15" customHeight="1" x14ac:dyDescent="0.3">
      <c r="S13" s="11" t="str">
        <f>+TEXT(E12,"gg.aa.yyyy")</f>
        <v>30.04.2026</v>
      </c>
    </row>
    <row r="14" spans="3:19" ht="15" customHeight="1" x14ac:dyDescent="0.3">
      <c r="S14" s="11" t="s">
        <v>1282</v>
      </c>
    </row>
    <row r="15" spans="3:19" ht="30" customHeight="1" x14ac:dyDescent="0.3">
      <c r="C15" s="1061" t="str">
        <f>+S6&amp;S7&amp;S8&amp;S9&amp;S10</f>
        <v xml:space="preserve">          T.C. İstanbul Büyükşehir Belediye Başkanlığı'nca ihale edilen, Yüklenici Kalyon-Özgün Metro İnşaatı Adi Ortaklığı Ticari İşletmesi'nin taahhüdü altında yapımı devam eden "Kirazlı-Halkalı Üniversite Metro Hattı İnşaat Ve Elektromekanik İşler İle M1 Hattı Elektromekanik Sistemleri Yapım İşi" ile ilgili 30.04.2026 tarihi itibarı ile düzenlenecek hakediş için 21.04.2026 tarihinde 4857 sayılı iş kanununun 36. maddesine göre işçi alacakları ile ilgili ilan yapılmıştır. </v>
      </c>
      <c r="D15" s="1061"/>
      <c r="E15" s="1061"/>
      <c r="F15" s="1061"/>
      <c r="G15" s="1061"/>
      <c r="H15" s="1061"/>
      <c r="I15" s="1061"/>
      <c r="J15" s="1061"/>
      <c r="K15" s="1061"/>
      <c r="L15" s="1061"/>
      <c r="M15" s="1061"/>
      <c r="N15" s="1061"/>
      <c r="O15" s="1061"/>
    </row>
    <row r="16" spans="3:19" ht="30" customHeight="1" x14ac:dyDescent="0.3">
      <c r="C16" s="1061"/>
      <c r="D16" s="1061"/>
      <c r="E16" s="1061"/>
      <c r="F16" s="1061"/>
      <c r="G16" s="1061"/>
      <c r="H16" s="1061"/>
      <c r="I16" s="1061"/>
      <c r="J16" s="1061"/>
      <c r="K16" s="1061"/>
      <c r="L16" s="1061"/>
      <c r="M16" s="1061"/>
      <c r="N16" s="1061"/>
      <c r="O16" s="1061"/>
    </row>
    <row r="17" spans="3:19" ht="15" customHeight="1" x14ac:dyDescent="0.3">
      <c r="C17" s="1061"/>
      <c r="D17" s="1061"/>
      <c r="E17" s="1061"/>
      <c r="F17" s="1061"/>
      <c r="G17" s="1061"/>
      <c r="H17" s="1061"/>
      <c r="I17" s="1061"/>
      <c r="J17" s="1061"/>
      <c r="K17" s="1061"/>
      <c r="L17" s="1061"/>
      <c r="M17" s="1061"/>
      <c r="N17" s="1061"/>
      <c r="O17" s="1061"/>
    </row>
    <row r="18" spans="3:19" ht="15" customHeight="1" x14ac:dyDescent="0.3">
      <c r="S18" s="11" t="s">
        <v>1283</v>
      </c>
    </row>
    <row r="19" spans="3:19" ht="30" customHeight="1" x14ac:dyDescent="0.3">
      <c r="C19" s="222" t="str">
        <f>+S12&amp;S13&amp;S14</f>
        <v xml:space="preserve">          Buna göre, 30.04.2026 tarihine kadar işçi alacakları ile ilgili herhangi bir müracaat yapılmamıştır. </v>
      </c>
      <c r="S19" s="11" t="str">
        <f>+TEXT(E12,"gg.aa.yyyy")</f>
        <v>30.04.2026</v>
      </c>
    </row>
    <row r="20" spans="3:19" ht="15" customHeight="1" x14ac:dyDescent="0.3">
      <c r="S20" s="11" t="s">
        <v>1281</v>
      </c>
    </row>
    <row r="21" spans="3:19" ht="30" customHeight="1" x14ac:dyDescent="0.3">
      <c r="C21" s="222" t="str">
        <f>+S18&amp;S19&amp;S20</f>
        <v xml:space="preserve">          İş bu tutanak taraflarca 30.04.2026 tarihinde 6 nüsha olarak tanzim ve imza edilmiştir.  </v>
      </c>
    </row>
    <row r="24" spans="3:19" ht="15" customHeight="1" x14ac:dyDescent="0.3">
      <c r="C24" s="1013" t="s">
        <v>1284</v>
      </c>
      <c r="D24" s="1013"/>
      <c r="E24" s="1013"/>
      <c r="F24" s="1013"/>
      <c r="G24" s="1013"/>
      <c r="H24" s="1013" t="s">
        <v>33</v>
      </c>
      <c r="I24" s="1013"/>
      <c r="J24" s="1013"/>
      <c r="K24" s="1013"/>
      <c r="L24" s="1013" t="s">
        <v>29</v>
      </c>
      <c r="M24" s="1013"/>
      <c r="N24" s="1013"/>
      <c r="O24" s="1013"/>
    </row>
    <row r="34" spans="3:15" ht="15" customHeight="1" x14ac:dyDescent="0.3">
      <c r="C34" s="1076" t="s">
        <v>1335</v>
      </c>
      <c r="D34" s="1076"/>
      <c r="E34" s="1076"/>
      <c r="F34" s="1076" t="s">
        <v>1509</v>
      </c>
      <c r="G34" s="1076"/>
      <c r="H34" s="975" t="s">
        <v>1215</v>
      </c>
      <c r="I34" s="974"/>
      <c r="J34" s="974"/>
      <c r="K34" s="974"/>
      <c r="L34" s="975" t="s">
        <v>1220</v>
      </c>
      <c r="M34" s="974"/>
      <c r="N34" s="974"/>
      <c r="O34" s="974"/>
    </row>
    <row r="35" spans="3:15" ht="15" customHeight="1" x14ac:dyDescent="0.3">
      <c r="C35" s="1076"/>
      <c r="D35" s="1076"/>
      <c r="E35" s="1076"/>
      <c r="F35" s="1076"/>
      <c r="G35" s="1076"/>
      <c r="H35" s="974"/>
      <c r="I35" s="974"/>
      <c r="J35" s="974"/>
      <c r="K35" s="974"/>
      <c r="L35" s="974"/>
      <c r="M35" s="974"/>
      <c r="N35" s="974"/>
      <c r="O35" s="974"/>
    </row>
  </sheetData>
  <mergeCells count="9">
    <mergeCell ref="H34:K35"/>
    <mergeCell ref="L34:O35"/>
    <mergeCell ref="C15:O17"/>
    <mergeCell ref="C3:O3"/>
    <mergeCell ref="L24:O24"/>
    <mergeCell ref="C24:G24"/>
    <mergeCell ref="H24:K24"/>
    <mergeCell ref="C34:E35"/>
    <mergeCell ref="F34:G35"/>
  </mergeCells>
  <printOptions horizontalCentered="1" verticalCentered="1"/>
  <pageMargins left="0.70866141732283472" right="0.70866141732283472" top="0.74803149606299213" bottom="0.74803149606299213" header="0.31496062992125984" footer="0.31496062992125984"/>
  <pageSetup paperSize="9" scale="65" orientation="portrait" r:id="rId1"/>
  <colBreaks count="1" manualBreakCount="1">
    <brk id="1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96A7-559B-4BF7-8323-0C7676999C2E}">
  <sheetPr codeName="Sayfa23"/>
  <dimension ref="B2:M23"/>
  <sheetViews>
    <sheetView view="pageBreakPreview" zoomScale="60" zoomScaleNormal="100" workbookViewId="0">
      <selection activeCell="BM101" sqref="BM101"/>
    </sheetView>
  </sheetViews>
  <sheetFormatPr defaultRowHeight="15" customHeight="1" x14ac:dyDescent="0.3"/>
  <cols>
    <col min="1" max="1" width="2.6640625" style="11" customWidth="1"/>
    <col min="2" max="2" width="4.6640625" style="11" customWidth="1"/>
    <col min="3" max="9" width="17.21875" style="11" customWidth="1"/>
    <col min="10" max="10" width="15.33203125" style="11" customWidth="1"/>
    <col min="11" max="12" width="2.6640625" style="11" customWidth="1"/>
    <col min="13" max="16384" width="8.88671875" style="11"/>
  </cols>
  <sheetData>
    <row r="2" spans="2:13" ht="15" customHeight="1" thickBot="1" x14ac:dyDescent="0.35"/>
    <row r="3" spans="2:13" ht="25.8" customHeight="1" thickTop="1" x14ac:dyDescent="0.3">
      <c r="B3" s="99"/>
      <c r="C3" s="100"/>
      <c r="D3" s="100"/>
      <c r="E3" s="100"/>
      <c r="F3" s="100"/>
      <c r="G3" s="100"/>
      <c r="H3" s="100"/>
      <c r="I3" s="100"/>
      <c r="J3" s="100"/>
      <c r="K3" s="101"/>
    </row>
    <row r="4" spans="2:13" ht="25.8" customHeight="1" x14ac:dyDescent="0.3">
      <c r="B4" s="102"/>
      <c r="C4" s="1078" t="s">
        <v>1289</v>
      </c>
      <c r="D4" s="1078"/>
      <c r="E4" s="1078"/>
      <c r="F4" s="1078"/>
      <c r="G4" s="1078"/>
      <c r="H4" s="1078"/>
      <c r="I4" s="1078"/>
      <c r="J4" s="1078"/>
      <c r="K4" s="103"/>
    </row>
    <row r="5" spans="2:13" ht="25.8" customHeight="1" x14ac:dyDescent="0.3">
      <c r="B5" s="102"/>
      <c r="C5" s="1078"/>
      <c r="D5" s="1078"/>
      <c r="E5" s="1078"/>
      <c r="F5" s="1078"/>
      <c r="G5" s="1078"/>
      <c r="H5" s="1078"/>
      <c r="I5" s="1078"/>
      <c r="J5" s="1078"/>
      <c r="K5" s="103"/>
    </row>
    <row r="6" spans="2:13" ht="25.8" customHeight="1" x14ac:dyDescent="0.3">
      <c r="B6" s="102"/>
      <c r="K6" s="103"/>
    </row>
    <row r="7" spans="2:13" ht="25.8" customHeight="1" x14ac:dyDescent="0.3">
      <c r="B7" s="102"/>
      <c r="C7" s="1077" t="str">
        <f>+M7&amp;M8&amp;M9</f>
        <v>İdare T.C. İSTANBUL BÜYÜKŞEHİR BELEDİYESİ Raylı Sistem Daire Başkanlığı Avrupa Yakası Raylı Sistem Müdürlüğü’nce ihale edilen, Yüklenici "KALYON-ÖZGÜN METRO İNŞAATI ADİ ORTAKLIĞI TİCARİ İŞLETMESİ"nin taahhüdü altında yapımı devam eden "Kirazlı-Halkalı Üniversite Metro Hattı İnşaat Ve Elektromekanik İşler İle M1 Hattı Elektromekanik Sistemleri Yapım İşi" 'nde 6 No’lu hakediş tanzim edilecektir.</v>
      </c>
      <c r="D7" s="1077"/>
      <c r="E7" s="1077"/>
      <c r="F7" s="1077"/>
      <c r="G7" s="1077"/>
      <c r="H7" s="1077"/>
      <c r="I7" s="1077"/>
      <c r="J7" s="1077"/>
      <c r="K7" s="103"/>
      <c r="M7" s="11" t="s">
        <v>1286</v>
      </c>
    </row>
    <row r="8" spans="2:13" ht="25.8" customHeight="1" x14ac:dyDescent="0.3">
      <c r="B8" s="102"/>
      <c r="C8" s="1077"/>
      <c r="D8" s="1077"/>
      <c r="E8" s="1077"/>
      <c r="F8" s="1077"/>
      <c r="G8" s="1077"/>
      <c r="H8" s="1077"/>
      <c r="I8" s="1077"/>
      <c r="J8" s="1077"/>
      <c r="K8" s="103"/>
      <c r="M8" s="11">
        <f>+Veri!$C$21</f>
        <v>6</v>
      </c>
    </row>
    <row r="9" spans="2:13" ht="25.8" customHeight="1" x14ac:dyDescent="0.3">
      <c r="B9" s="102"/>
      <c r="C9" s="1077"/>
      <c r="D9" s="1077"/>
      <c r="E9" s="1077"/>
      <c r="F9" s="1077"/>
      <c r="G9" s="1077"/>
      <c r="H9" s="1077"/>
      <c r="I9" s="1077"/>
      <c r="J9" s="1077"/>
      <c r="K9" s="103"/>
      <c r="M9" s="11" t="s">
        <v>1287</v>
      </c>
    </row>
    <row r="10" spans="2:13" ht="25.8" customHeight="1" x14ac:dyDescent="0.3">
      <c r="B10" s="102"/>
      <c r="C10" s="1077"/>
      <c r="D10" s="1077"/>
      <c r="E10" s="1077"/>
      <c r="F10" s="1077"/>
      <c r="G10" s="1077"/>
      <c r="H10" s="1077"/>
      <c r="I10" s="1077"/>
      <c r="J10" s="1077"/>
      <c r="K10" s="103"/>
    </row>
    <row r="11" spans="2:13" ht="25.8" customHeight="1" x14ac:dyDescent="0.3">
      <c r="B11" s="102"/>
      <c r="C11" s="1077"/>
      <c r="D11" s="1077"/>
      <c r="E11" s="1077"/>
      <c r="F11" s="1077"/>
      <c r="G11" s="1077"/>
      <c r="H11" s="1077"/>
      <c r="I11" s="1077"/>
      <c r="J11" s="1077"/>
      <c r="K11" s="103"/>
    </row>
    <row r="12" spans="2:13" ht="25.8" customHeight="1" x14ac:dyDescent="0.3">
      <c r="B12" s="102"/>
      <c r="K12" s="103"/>
    </row>
    <row r="13" spans="2:13" ht="25.8" customHeight="1" x14ac:dyDescent="0.3">
      <c r="B13" s="102"/>
      <c r="C13" s="1077" t="str">
        <f>+M13&amp;M14&amp;M15</f>
        <v>Adı geçen işte çalışıp, Yüklenici firmadan alacağı bulunan işçilerin, 30.04.2026 tarihine kadar, alacakları olduğuna dair belgeleri ile Danışmanlığımıza müracaatları 4857 sayılı iş kanunun 36.maddesi gereği ilan olunur.</v>
      </c>
      <c r="D13" s="1077"/>
      <c r="E13" s="1077"/>
      <c r="F13" s="1077"/>
      <c r="G13" s="1077"/>
      <c r="H13" s="1077"/>
      <c r="I13" s="1077"/>
      <c r="J13" s="1077"/>
      <c r="K13" s="103"/>
      <c r="M13" s="11" t="s">
        <v>1288</v>
      </c>
    </row>
    <row r="14" spans="2:13" ht="25.8" customHeight="1" x14ac:dyDescent="0.3">
      <c r="B14" s="102"/>
      <c r="C14" s="1077"/>
      <c r="D14" s="1077"/>
      <c r="E14" s="1077"/>
      <c r="F14" s="1077"/>
      <c r="G14" s="1077"/>
      <c r="H14" s="1077"/>
      <c r="I14" s="1077"/>
      <c r="J14" s="1077"/>
      <c r="K14" s="103"/>
      <c r="M14" s="11" t="str">
        <f>+TEXT(Veri!$C$22,"gg.aa.yyyy")</f>
        <v>30.04.2026</v>
      </c>
    </row>
    <row r="15" spans="2:13" ht="25.8" customHeight="1" x14ac:dyDescent="0.3">
      <c r="B15" s="102"/>
      <c r="C15" s="1077"/>
      <c r="D15" s="1077"/>
      <c r="E15" s="1077"/>
      <c r="F15" s="1077"/>
      <c r="G15" s="1077"/>
      <c r="H15" s="1077"/>
      <c r="I15" s="1077"/>
      <c r="J15" s="1077"/>
      <c r="K15" s="103"/>
      <c r="M15" s="11" t="s">
        <v>1285</v>
      </c>
    </row>
    <row r="16" spans="2:13" ht="25.8" customHeight="1" x14ac:dyDescent="0.3">
      <c r="B16" s="102"/>
      <c r="K16" s="103"/>
    </row>
    <row r="17" spans="2:11" ht="25.8" customHeight="1" x14ac:dyDescent="0.3">
      <c r="B17" s="102"/>
      <c r="G17" s="299"/>
      <c r="H17" s="1063" t="s">
        <v>29</v>
      </c>
      <c r="I17" s="1063"/>
      <c r="J17" s="1063"/>
      <c r="K17" s="103"/>
    </row>
    <row r="18" spans="2:11" ht="25.8" customHeight="1" x14ac:dyDescent="0.3">
      <c r="B18" s="102"/>
      <c r="G18" s="299"/>
      <c r="H18" s="1063" t="s">
        <v>62</v>
      </c>
      <c r="I18" s="1063"/>
      <c r="J18" s="1063"/>
      <c r="K18" s="103"/>
    </row>
    <row r="19" spans="2:11" ht="25.8" customHeight="1" x14ac:dyDescent="0.3">
      <c r="B19" s="102"/>
      <c r="K19" s="103"/>
    </row>
    <row r="20" spans="2:11" ht="25.8" customHeight="1" x14ac:dyDescent="0.3">
      <c r="B20" s="102"/>
      <c r="K20" s="103"/>
    </row>
    <row r="21" spans="2:11" ht="25.8" customHeight="1" x14ac:dyDescent="0.3">
      <c r="B21" s="102"/>
      <c r="K21" s="103"/>
    </row>
    <row r="22" spans="2:11" ht="25.8" customHeight="1" thickBot="1" x14ac:dyDescent="0.35">
      <c r="B22" s="105"/>
      <c r="C22" s="106"/>
      <c r="D22" s="106"/>
      <c r="E22" s="106"/>
      <c r="F22" s="106"/>
      <c r="G22" s="106"/>
      <c r="H22" s="106"/>
      <c r="I22" s="106"/>
      <c r="J22" s="106"/>
      <c r="K22" s="107"/>
    </row>
    <row r="23" spans="2:11" ht="15" customHeight="1" thickTop="1" x14ac:dyDescent="0.3"/>
  </sheetData>
  <mergeCells count="5">
    <mergeCell ref="C7:J11"/>
    <mergeCell ref="C13:J15"/>
    <mergeCell ref="C4:J5"/>
    <mergeCell ref="H17:J17"/>
    <mergeCell ref="H18:J18"/>
  </mergeCells>
  <printOptions horizontalCentered="1" verticalCentered="1"/>
  <pageMargins left="0" right="0" top="0" bottom="0" header="0" footer="0"/>
  <pageSetup paperSize="9" scale="99"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F277-2C0A-44DE-998E-845F411B82BF}">
  <sheetPr codeName="Sayfa9">
    <tabColor rgb="FF92D050"/>
    <pageSetUpPr fitToPage="1"/>
  </sheetPr>
  <dimension ref="B1:AU80"/>
  <sheetViews>
    <sheetView view="pageBreakPreview" topLeftCell="A11" zoomScale="85" zoomScaleNormal="100" zoomScaleSheetLayoutView="85" workbookViewId="0">
      <selection activeCell="Q7" sqref="Q7"/>
    </sheetView>
  </sheetViews>
  <sheetFormatPr defaultRowHeight="15" customHeight="1" x14ac:dyDescent="0.3"/>
  <cols>
    <col min="1" max="1" width="8.88671875" style="11"/>
    <col min="2" max="13" width="9.77734375" style="11" customWidth="1"/>
    <col min="14" max="14" width="18.77734375" style="11" customWidth="1"/>
    <col min="15" max="33" width="9.77734375" style="11" customWidth="1"/>
    <col min="34" max="42" width="6.77734375" style="11" customWidth="1"/>
    <col min="43" max="16384" width="8.88671875" style="11"/>
  </cols>
  <sheetData>
    <row r="1" spans="2:33" ht="15" customHeight="1" thickTop="1" x14ac:dyDescent="0.3">
      <c r="B1" s="99"/>
      <c r="C1" s="100"/>
      <c r="D1" s="100"/>
      <c r="E1" s="100"/>
      <c r="F1" s="100"/>
      <c r="G1" s="100"/>
      <c r="H1" s="100"/>
      <c r="I1" s="100"/>
      <c r="J1" s="100"/>
      <c r="K1" s="100"/>
      <c r="L1" s="100"/>
      <c r="M1" s="100"/>
      <c r="N1" s="100"/>
      <c r="O1" s="101"/>
      <c r="R1" s="103"/>
      <c r="S1" s="99"/>
      <c r="T1" s="100"/>
      <c r="U1" s="100"/>
      <c r="V1" s="100"/>
      <c r="W1" s="100"/>
      <c r="X1" s="100"/>
      <c r="Y1" s="100"/>
      <c r="Z1" s="100"/>
      <c r="AA1" s="100"/>
      <c r="AB1" s="100"/>
      <c r="AC1" s="100"/>
      <c r="AD1" s="100"/>
      <c r="AE1" s="100"/>
      <c r="AF1" s="100"/>
      <c r="AG1" s="101"/>
    </row>
    <row r="2" spans="2:33" ht="15" customHeight="1" x14ac:dyDescent="0.3">
      <c r="B2" s="1092" t="s">
        <v>118</v>
      </c>
      <c r="C2" s="1088"/>
      <c r="D2" s="1088"/>
      <c r="E2" s="1088"/>
      <c r="F2" s="1088"/>
      <c r="G2" s="1088"/>
      <c r="H2" s="1088"/>
      <c r="I2" s="1088"/>
      <c r="J2" s="1088"/>
      <c r="K2" s="1088"/>
      <c r="L2" s="1088"/>
      <c r="M2" s="1088"/>
      <c r="N2" s="1088"/>
      <c r="O2" s="1089"/>
      <c r="P2" s="787"/>
      <c r="Q2" s="787"/>
      <c r="S2" s="102"/>
      <c r="AG2" s="103"/>
    </row>
    <row r="3" spans="2:33" ht="15" customHeight="1" x14ac:dyDescent="0.3">
      <c r="B3" s="1093" t="s">
        <v>137</v>
      </c>
      <c r="C3" s="1063"/>
      <c r="D3" s="1063"/>
      <c r="E3" s="1063"/>
      <c r="F3" s="1063"/>
      <c r="G3" s="1063"/>
      <c r="H3" s="1063"/>
      <c r="I3" s="1063"/>
      <c r="J3" s="1063"/>
      <c r="K3" s="1063"/>
      <c r="L3" s="1063"/>
      <c r="M3" s="1063"/>
      <c r="N3" s="1063"/>
      <c r="O3" s="1094"/>
      <c r="P3" s="345"/>
      <c r="Q3" s="345"/>
      <c r="S3" s="114"/>
      <c r="T3" s="113"/>
      <c r="U3" s="1088" t="s">
        <v>118</v>
      </c>
      <c r="V3" s="1088"/>
      <c r="W3" s="1088"/>
      <c r="X3" s="1088"/>
      <c r="Y3" s="1088"/>
      <c r="Z3" s="1088"/>
      <c r="AA3" s="1088"/>
      <c r="AB3" s="1088"/>
      <c r="AC3" s="1088"/>
      <c r="AD3" s="1088"/>
      <c r="AE3" s="1088"/>
      <c r="AF3" s="1088"/>
      <c r="AG3" s="1089"/>
    </row>
    <row r="4" spans="2:33" ht="15" customHeight="1" x14ac:dyDescent="0.3">
      <c r="B4" s="1095" t="s">
        <v>1434</v>
      </c>
      <c r="C4" s="983"/>
      <c r="D4" s="983"/>
      <c r="E4" s="983"/>
      <c r="F4" s="983"/>
      <c r="G4" s="983"/>
      <c r="H4" s="983"/>
      <c r="I4" s="983"/>
      <c r="J4" s="983"/>
      <c r="K4" s="983"/>
      <c r="L4" s="983"/>
      <c r="M4" s="983"/>
      <c r="N4" s="983"/>
      <c r="O4" s="1035"/>
      <c r="P4" s="229"/>
      <c r="Q4" s="229"/>
      <c r="S4" s="114"/>
      <c r="T4" s="113"/>
      <c r="U4" s="1088" t="s">
        <v>119</v>
      </c>
      <c r="V4" s="1088"/>
      <c r="W4" s="1088"/>
      <c r="X4" s="1088"/>
      <c r="Y4" s="1088"/>
      <c r="Z4" s="1088"/>
      <c r="AA4" s="1088"/>
      <c r="AB4" s="1088"/>
      <c r="AC4" s="1088"/>
      <c r="AD4" s="1088"/>
      <c r="AE4" s="1088"/>
      <c r="AF4" s="1088"/>
      <c r="AG4" s="1089"/>
    </row>
    <row r="5" spans="2:33" ht="15" customHeight="1" x14ac:dyDescent="0.3">
      <c r="B5" s="1095" t="s">
        <v>1435</v>
      </c>
      <c r="C5" s="983"/>
      <c r="D5" s="983"/>
      <c r="E5" s="983"/>
      <c r="F5" s="983"/>
      <c r="G5" s="983"/>
      <c r="H5" s="983"/>
      <c r="I5" s="983"/>
      <c r="J5" s="983"/>
      <c r="K5" s="983"/>
      <c r="L5" s="983"/>
      <c r="M5" s="983"/>
      <c r="N5" s="983"/>
      <c r="O5" s="1035"/>
      <c r="P5" s="229"/>
      <c r="Q5" s="229"/>
      <c r="S5" s="114"/>
      <c r="T5" s="113"/>
      <c r="U5" s="1088"/>
      <c r="V5" s="1088"/>
      <c r="W5" s="1088"/>
      <c r="X5" s="1088"/>
      <c r="Y5" s="1088"/>
      <c r="Z5" s="1088"/>
      <c r="AA5" s="1088"/>
      <c r="AB5" s="1088"/>
      <c r="AC5" s="1088"/>
      <c r="AD5" s="1088"/>
      <c r="AE5" s="1088"/>
      <c r="AF5" s="1088"/>
      <c r="AG5" s="1089"/>
    </row>
    <row r="6" spans="2:33" ht="15" customHeight="1" x14ac:dyDescent="0.3">
      <c r="B6" s="1096" t="s">
        <v>37</v>
      </c>
      <c r="C6" s="1010"/>
      <c r="D6" s="1010"/>
      <c r="E6" s="1010"/>
      <c r="F6" s="1010"/>
      <c r="G6" s="1010"/>
      <c r="H6" s="1010"/>
      <c r="I6" s="1010"/>
      <c r="J6" s="1010"/>
      <c r="K6" s="1010"/>
      <c r="L6" s="1010"/>
      <c r="M6" s="1010"/>
      <c r="N6" s="1010"/>
      <c r="O6" s="1011"/>
      <c r="P6" s="27"/>
      <c r="Q6" s="27"/>
      <c r="S6" s="115"/>
      <c r="T6" s="112"/>
      <c r="U6" s="983" t="s">
        <v>1434</v>
      </c>
      <c r="V6" s="983"/>
      <c r="W6" s="983"/>
      <c r="X6" s="983"/>
      <c r="Y6" s="983"/>
      <c r="Z6" s="983"/>
      <c r="AA6" s="983"/>
      <c r="AB6" s="983"/>
      <c r="AC6" s="983"/>
      <c r="AD6" s="983"/>
      <c r="AE6" s="983"/>
      <c r="AF6" s="983"/>
      <c r="AG6" s="1035"/>
    </row>
    <row r="7" spans="2:33" ht="15" customHeight="1" x14ac:dyDescent="0.3">
      <c r="B7" s="102"/>
      <c r="H7" s="111"/>
      <c r="I7" s="111"/>
      <c r="J7" s="413"/>
      <c r="O7" s="103"/>
      <c r="S7" s="102"/>
      <c r="U7" s="983" t="s">
        <v>1435</v>
      </c>
      <c r="V7" s="983"/>
      <c r="W7" s="983"/>
      <c r="X7" s="983"/>
      <c r="Y7" s="983"/>
      <c r="Z7" s="983"/>
      <c r="AA7" s="983"/>
      <c r="AB7" s="983"/>
      <c r="AC7" s="983"/>
      <c r="AD7" s="983"/>
      <c r="AE7" s="983"/>
      <c r="AF7" s="983"/>
      <c r="AG7" s="1035"/>
    </row>
    <row r="8" spans="2:33" ht="15" customHeight="1" x14ac:dyDescent="0.3">
      <c r="B8" s="133"/>
      <c r="C8" s="32"/>
      <c r="D8" s="32"/>
      <c r="E8" s="32"/>
      <c r="F8" s="32"/>
      <c r="G8" s="32"/>
      <c r="H8" s="148"/>
      <c r="I8" s="148" t="s">
        <v>140</v>
      </c>
      <c r="J8" s="149">
        <f>+Veri!$C$21</f>
        <v>6</v>
      </c>
      <c r="K8" s="32"/>
      <c r="L8" s="32"/>
      <c r="M8" s="32"/>
      <c r="N8" s="32"/>
      <c r="O8" s="119"/>
      <c r="S8" s="102"/>
      <c r="U8" s="1010" t="s">
        <v>116</v>
      </c>
      <c r="V8" s="1010"/>
      <c r="W8" s="1010"/>
      <c r="X8" s="1010"/>
      <c r="Y8" s="1010"/>
      <c r="Z8" s="1010"/>
      <c r="AA8" s="1010"/>
      <c r="AB8" s="1010"/>
      <c r="AC8" s="1010"/>
      <c r="AD8" s="1010"/>
      <c r="AE8" s="1010"/>
      <c r="AF8" s="1010"/>
      <c r="AG8" s="1011"/>
    </row>
    <row r="9" spans="2:33" ht="15" customHeight="1" x14ac:dyDescent="0.3">
      <c r="B9" s="1097">
        <f>+Veri!$C$22</f>
        <v>46142</v>
      </c>
      <c r="C9" s="1098"/>
      <c r="D9" s="1098"/>
      <c r="E9" s="1098"/>
      <c r="F9" s="1098"/>
      <c r="G9" s="1098"/>
      <c r="H9" s="1098"/>
      <c r="I9" s="1098"/>
      <c r="J9" s="1098"/>
      <c r="K9" s="1098"/>
      <c r="L9" s="1098"/>
      <c r="M9" s="1098"/>
      <c r="N9" s="1098"/>
      <c r="O9" s="1099"/>
      <c r="P9" s="789"/>
      <c r="Q9" s="789"/>
      <c r="S9" s="102"/>
      <c r="U9" s="1010" t="s">
        <v>117</v>
      </c>
      <c r="V9" s="1010"/>
      <c r="W9" s="1010"/>
      <c r="X9" s="1010"/>
      <c r="Y9" s="1010"/>
      <c r="Z9" s="1010"/>
      <c r="AA9" s="1010"/>
      <c r="AB9" s="1010"/>
      <c r="AC9" s="1010"/>
      <c r="AD9" s="1010"/>
      <c r="AE9" s="1010"/>
      <c r="AF9" s="1010"/>
      <c r="AG9" s="1011"/>
    </row>
    <row r="10" spans="2:33" ht="15" customHeight="1" x14ac:dyDescent="0.3">
      <c r="B10" s="416" t="s">
        <v>1388</v>
      </c>
      <c r="C10" s="414" t="s">
        <v>1524</v>
      </c>
      <c r="D10" s="417"/>
      <c r="E10" s="417"/>
      <c r="F10" s="417"/>
      <c r="G10" s="417"/>
      <c r="H10" s="417"/>
      <c r="I10" s="417"/>
      <c r="J10" s="417"/>
      <c r="K10" s="417"/>
      <c r="L10" s="417"/>
      <c r="M10" s="417"/>
      <c r="N10" s="418">
        <f>+İcmal!AE29</f>
        <v>37210860.43</v>
      </c>
      <c r="O10" s="419" t="s">
        <v>142</v>
      </c>
      <c r="P10" s="443"/>
      <c r="Q10" s="443"/>
      <c r="S10" s="1108" t="s">
        <v>1291</v>
      </c>
      <c r="T10" s="1109"/>
      <c r="U10" s="1109"/>
      <c r="V10" s="1109"/>
      <c r="W10" s="1109"/>
      <c r="X10" s="1109"/>
      <c r="Y10" s="1109"/>
      <c r="Z10" s="1109"/>
      <c r="AA10" s="1109"/>
      <c r="AB10" s="1109"/>
      <c r="AC10" s="1109"/>
      <c r="AD10" s="1109"/>
      <c r="AE10" s="1109"/>
      <c r="AF10" s="1109"/>
      <c r="AG10" s="1110"/>
    </row>
    <row r="11" spans="2:33" ht="15" customHeight="1" x14ac:dyDescent="0.3">
      <c r="B11" s="904" t="s">
        <v>1240</v>
      </c>
      <c r="C11" s="905" t="s">
        <v>1393</v>
      </c>
      <c r="D11" s="417"/>
      <c r="E11" s="417"/>
      <c r="F11" s="417"/>
      <c r="G11" s="417"/>
      <c r="H11" s="417"/>
      <c r="I11" s="417"/>
      <c r="J11" s="417"/>
      <c r="K11" s="417"/>
      <c r="L11" s="417"/>
      <c r="M11" s="417"/>
      <c r="N11" s="418">
        <f>+İcmal!$AE$35</f>
        <v>10372185</v>
      </c>
      <c r="O11" s="419" t="s">
        <v>142</v>
      </c>
      <c r="P11" s="443"/>
      <c r="Q11" s="443"/>
      <c r="S11" s="1108"/>
      <c r="T11" s="1109"/>
      <c r="U11" s="1109"/>
      <c r="V11" s="1109"/>
      <c r="W11" s="1109"/>
      <c r="X11" s="1109"/>
      <c r="Y11" s="1109"/>
      <c r="Z11" s="1109"/>
      <c r="AA11" s="1109"/>
      <c r="AB11" s="1109"/>
      <c r="AC11" s="1109"/>
      <c r="AD11" s="1109"/>
      <c r="AE11" s="1109"/>
      <c r="AF11" s="1109"/>
      <c r="AG11" s="1110"/>
    </row>
    <row r="12" spans="2:33" ht="15" customHeight="1" x14ac:dyDescent="0.3">
      <c r="B12" s="904" t="s">
        <v>1389</v>
      </c>
      <c r="C12" s="905" t="s">
        <v>1394</v>
      </c>
      <c r="D12" s="417"/>
      <c r="E12" s="417"/>
      <c r="F12" s="417"/>
      <c r="G12" s="417"/>
      <c r="H12" s="417"/>
      <c r="I12" s="417"/>
      <c r="J12" s="417"/>
      <c r="K12" s="417"/>
      <c r="L12" s="417"/>
      <c r="M12" s="417"/>
      <c r="N12" s="418">
        <f>+İcmal!N39</f>
        <v>0</v>
      </c>
      <c r="O12" s="419" t="s">
        <v>142</v>
      </c>
      <c r="P12" s="443"/>
      <c r="Q12" s="443"/>
      <c r="S12" s="96"/>
      <c r="T12" s="97"/>
      <c r="U12" s="97"/>
      <c r="V12" s="97"/>
      <c r="W12" s="97"/>
      <c r="X12" s="97"/>
      <c r="Y12" s="111" t="s">
        <v>1349</v>
      </c>
      <c r="Z12" s="27" t="s">
        <v>2</v>
      </c>
      <c r="AA12" s="104">
        <f>+Veri!$C$21</f>
        <v>6</v>
      </c>
      <c r="AB12" s="97"/>
      <c r="AC12" s="97"/>
      <c r="AD12" s="97"/>
      <c r="AE12" s="97"/>
      <c r="AF12" s="97"/>
      <c r="AG12" s="98"/>
    </row>
    <row r="13" spans="2:33" ht="15" customHeight="1" x14ac:dyDescent="0.3">
      <c r="B13" s="193" t="s">
        <v>1318</v>
      </c>
      <c r="C13" s="194" t="s">
        <v>1525</v>
      </c>
      <c r="D13" s="123"/>
      <c r="E13" s="187"/>
      <c r="F13" s="187"/>
      <c r="G13" s="123"/>
      <c r="H13" s="187"/>
      <c r="I13" s="187"/>
      <c r="J13" s="123"/>
      <c r="K13" s="123"/>
      <c r="L13" s="123"/>
      <c r="M13" s="123"/>
      <c r="N13" s="188">
        <f>+N10+N11+N12</f>
        <v>47583045.43</v>
      </c>
      <c r="O13" s="182" t="s">
        <v>142</v>
      </c>
      <c r="P13" s="29"/>
      <c r="Q13" s="29"/>
      <c r="S13" s="96"/>
      <c r="T13" s="97"/>
      <c r="U13" s="97"/>
      <c r="V13" s="97"/>
      <c r="W13" s="97"/>
      <c r="X13" s="97"/>
      <c r="Y13" s="111"/>
      <c r="Z13" s="27"/>
      <c r="AA13" s="1087"/>
      <c r="AB13" s="1087"/>
      <c r="AC13" s="97"/>
      <c r="AD13" s="97"/>
      <c r="AE13" s="97"/>
      <c r="AF13" s="97"/>
      <c r="AG13" s="98"/>
    </row>
    <row r="14" spans="2:33" ht="15" customHeight="1" x14ac:dyDescent="0.3">
      <c r="B14" s="173"/>
      <c r="C14" s="156"/>
      <c r="D14" s="156"/>
      <c r="E14" s="1100" t="str">
        <f>+Veri!$C$20</f>
        <v>01.04.2026</v>
      </c>
      <c r="F14" s="1100"/>
      <c r="G14" s="155" t="s">
        <v>172</v>
      </c>
      <c r="H14" s="1101">
        <f>+Veri!$C$22</f>
        <v>46142</v>
      </c>
      <c r="I14" s="1101"/>
      <c r="J14" s="156" t="s">
        <v>171</v>
      </c>
      <c r="K14" s="156"/>
      <c r="L14" s="156"/>
      <c r="M14" s="156"/>
      <c r="N14" s="156"/>
      <c r="O14" s="176"/>
      <c r="P14" s="29"/>
      <c r="Q14" s="29"/>
      <c r="S14" s="102"/>
      <c r="Y14" s="111" t="s">
        <v>134</v>
      </c>
      <c r="Z14" s="27" t="s">
        <v>2</v>
      </c>
      <c r="AA14" s="1087">
        <f>+Veri!$C$22</f>
        <v>46142</v>
      </c>
      <c r="AB14" s="1087"/>
      <c r="AG14" s="103"/>
    </row>
    <row r="15" spans="2:33" ht="15" customHeight="1" x14ac:dyDescent="0.3">
      <c r="B15" s="191" t="s">
        <v>1390</v>
      </c>
      <c r="C15" s="1104">
        <f>+J8-1</f>
        <v>5</v>
      </c>
      <c r="D15" s="1105"/>
      <c r="E15" s="1105"/>
      <c r="F15" s="1105"/>
      <c r="G15" s="1105"/>
      <c r="H15" s="1105"/>
      <c r="I15" s="1105"/>
      <c r="J15" s="1105"/>
      <c r="K15" s="1105"/>
      <c r="L15" s="1105"/>
      <c r="M15" s="177"/>
      <c r="N15" s="186">
        <f>+İcmal!AC41</f>
        <v>0</v>
      </c>
      <c r="O15" s="178" t="s">
        <v>142</v>
      </c>
      <c r="P15" s="29"/>
      <c r="Q15" s="29"/>
      <c r="S15" s="102"/>
      <c r="AG15" s="103"/>
    </row>
    <row r="16" spans="2:33" ht="15" customHeight="1" x14ac:dyDescent="0.3">
      <c r="B16" s="195" t="s">
        <v>1526</v>
      </c>
      <c r="C16" s="198" t="s">
        <v>1528</v>
      </c>
      <c r="D16" s="183"/>
      <c r="E16" s="183"/>
      <c r="F16" s="183"/>
      <c r="G16" s="183"/>
      <c r="H16" s="183"/>
      <c r="I16" s="183"/>
      <c r="J16" s="183"/>
      <c r="K16" s="183"/>
      <c r="L16" s="183"/>
      <c r="M16" s="183"/>
      <c r="N16" s="184">
        <f>+N13-N15</f>
        <v>47583045.43</v>
      </c>
      <c r="O16" s="185" t="s">
        <v>142</v>
      </c>
      <c r="P16" s="29"/>
      <c r="Q16" s="29"/>
      <c r="S16" s="102"/>
      <c r="Y16" s="111" t="s">
        <v>112</v>
      </c>
      <c r="Z16" s="27" t="s">
        <v>2</v>
      </c>
      <c r="AA16" s="30">
        <f>+Veri!$C$22</f>
        <v>46142</v>
      </c>
      <c r="AG16" s="103"/>
    </row>
    <row r="17" spans="2:47" ht="15" customHeight="1" x14ac:dyDescent="0.3">
      <c r="B17" s="191" t="s">
        <v>1322</v>
      </c>
      <c r="C17" s="192" t="s">
        <v>1381</v>
      </c>
      <c r="D17" s="177"/>
      <c r="E17" s="177"/>
      <c r="F17" s="177"/>
      <c r="G17" s="177"/>
      <c r="H17" s="177"/>
      <c r="I17" s="177"/>
      <c r="J17" s="177"/>
      <c r="K17" s="177"/>
      <c r="L17" s="177"/>
      <c r="M17" s="177"/>
      <c r="N17" s="186">
        <f>SUM(N18:N19)</f>
        <v>0</v>
      </c>
      <c r="O17" s="178" t="s">
        <v>142</v>
      </c>
      <c r="P17" s="29"/>
      <c r="Q17" s="29"/>
      <c r="S17" s="117"/>
      <c r="V17" s="111"/>
      <c r="W17" s="27"/>
      <c r="X17" s="28"/>
      <c r="Z17" s="27"/>
      <c r="AA17" s="110"/>
      <c r="AB17" s="110"/>
      <c r="AC17" s="110"/>
      <c r="AD17" s="110"/>
      <c r="AE17" s="110"/>
      <c r="AF17" s="110"/>
      <c r="AG17" s="103"/>
      <c r="AN17" s="111"/>
      <c r="AO17" s="27"/>
      <c r="AP17" s="104"/>
    </row>
    <row r="18" spans="2:47" ht="15" customHeight="1" x14ac:dyDescent="0.3">
      <c r="B18" s="197"/>
      <c r="C18" s="414" t="s">
        <v>1382</v>
      </c>
      <c r="D18" s="179"/>
      <c r="E18" s="179"/>
      <c r="F18" s="179"/>
      <c r="G18" s="179"/>
      <c r="H18" s="179"/>
      <c r="I18" s="179"/>
      <c r="J18" s="179"/>
      <c r="K18" s="179"/>
      <c r="L18" s="179"/>
      <c r="M18" s="179"/>
      <c r="N18" s="180">
        <v>0</v>
      </c>
      <c r="O18" s="181" t="s">
        <v>142</v>
      </c>
      <c r="P18" s="790"/>
      <c r="Q18" s="790"/>
      <c r="S18" s="117"/>
      <c r="AA18" s="110"/>
      <c r="AB18" s="110"/>
      <c r="AC18" s="110"/>
      <c r="AD18" s="110"/>
      <c r="AE18" s="110"/>
      <c r="AF18" s="110"/>
      <c r="AG18" s="103"/>
      <c r="AN18" s="111"/>
      <c r="AO18" s="27"/>
      <c r="AP18" s="1090"/>
      <c r="AQ18" s="1090"/>
    </row>
    <row r="19" spans="2:47" ht="15" customHeight="1" x14ac:dyDescent="0.3">
      <c r="B19" s="196"/>
      <c r="C19" s="423" t="s">
        <v>1383</v>
      </c>
      <c r="D19" s="125"/>
      <c r="E19" s="125"/>
      <c r="F19" s="125"/>
      <c r="G19" s="125"/>
      <c r="H19" s="125"/>
      <c r="I19" s="125"/>
      <c r="J19" s="125"/>
      <c r="K19" s="125"/>
      <c r="L19" s="125"/>
      <c r="M19" s="125"/>
      <c r="N19" s="424">
        <v>0</v>
      </c>
      <c r="O19" s="126" t="s">
        <v>142</v>
      </c>
      <c r="S19" s="381"/>
      <c r="T19" s="33"/>
      <c r="U19" s="33"/>
      <c r="V19" s="382"/>
      <c r="W19" s="383"/>
      <c r="X19" s="384"/>
      <c r="Y19" s="385"/>
      <c r="Z19" s="383"/>
      <c r="AA19" s="1091" t="s">
        <v>37</v>
      </c>
      <c r="AB19" s="1091"/>
      <c r="AC19" s="1091"/>
      <c r="AD19" s="1091"/>
      <c r="AE19" s="1091"/>
      <c r="AF19" s="1091"/>
      <c r="AG19" s="118"/>
      <c r="AN19" s="111"/>
      <c r="AO19" s="27"/>
      <c r="AP19" s="1090"/>
      <c r="AQ19" s="1090"/>
      <c r="AR19" s="28"/>
      <c r="AS19" s="1090"/>
      <c r="AT19" s="1024"/>
    </row>
    <row r="20" spans="2:47" ht="15" customHeight="1" x14ac:dyDescent="0.3">
      <c r="B20" s="425" t="s">
        <v>1527</v>
      </c>
      <c r="C20" s="906" t="s">
        <v>1529</v>
      </c>
      <c r="D20" s="426"/>
      <c r="E20" s="426"/>
      <c r="F20" s="426"/>
      <c r="G20" s="426"/>
      <c r="H20" s="426"/>
      <c r="I20" s="426"/>
      <c r="J20" s="426"/>
      <c r="K20" s="426"/>
      <c r="L20" s="426"/>
      <c r="M20" s="426"/>
      <c r="N20" s="427">
        <f>+N16-N17</f>
        <v>47583045.43</v>
      </c>
      <c r="O20" s="428" t="s">
        <v>142</v>
      </c>
      <c r="P20" s="443"/>
      <c r="Q20" s="443"/>
      <c r="S20" s="117" t="s">
        <v>113</v>
      </c>
      <c r="V20" s="111"/>
      <c r="W20" s="27"/>
      <c r="X20" s="18"/>
      <c r="Y20" s="300"/>
      <c r="Z20" s="27" t="s">
        <v>2</v>
      </c>
      <c r="AA20" s="1086"/>
      <c r="AB20" s="1086"/>
      <c r="AC20" s="1086"/>
      <c r="AD20" s="1086"/>
      <c r="AE20" s="1086"/>
      <c r="AF20" s="1086"/>
      <c r="AG20" s="103"/>
      <c r="AN20" s="111"/>
      <c r="AO20" s="27"/>
      <c r="AP20" s="108"/>
    </row>
    <row r="21" spans="2:47" ht="15" customHeight="1" x14ac:dyDescent="0.3">
      <c r="B21" s="416" t="s">
        <v>1391</v>
      </c>
      <c r="C21" s="905" t="s">
        <v>1530</v>
      </c>
      <c r="D21" s="417"/>
      <c r="E21" s="417"/>
      <c r="F21" s="417"/>
      <c r="G21" s="417"/>
      <c r="H21" s="417"/>
      <c r="I21" s="417"/>
      <c r="J21" s="417"/>
      <c r="K21" s="417"/>
      <c r="L21" s="417"/>
      <c r="M21" s="417"/>
      <c r="N21" s="420">
        <f>+ROUND(N20*0.2,2)</f>
        <v>9516609.0899999999</v>
      </c>
      <c r="O21" s="419" t="s">
        <v>142</v>
      </c>
      <c r="P21" s="443"/>
      <c r="Q21" s="443"/>
      <c r="S21" s="117"/>
      <c r="V21" s="111"/>
      <c r="W21" s="27"/>
      <c r="X21" s="18"/>
      <c r="Y21" s="300"/>
      <c r="Z21" s="27"/>
      <c r="AA21" s="979"/>
      <c r="AB21" s="979"/>
      <c r="AC21" s="979"/>
      <c r="AD21" s="979"/>
      <c r="AE21" s="979"/>
      <c r="AF21" s="979"/>
      <c r="AG21" s="103"/>
      <c r="AN21" s="111"/>
      <c r="AO21" s="29"/>
    </row>
    <row r="22" spans="2:47" ht="15" customHeight="1" x14ac:dyDescent="0.3">
      <c r="B22" s="421" t="s">
        <v>1392</v>
      </c>
      <c r="C22" s="907" t="s">
        <v>1531</v>
      </c>
      <c r="D22" s="429"/>
      <c r="E22" s="429"/>
      <c r="F22" s="429"/>
      <c r="G22" s="429"/>
      <c r="H22" s="429"/>
      <c r="I22" s="429"/>
      <c r="J22" s="429"/>
      <c r="K22" s="429"/>
      <c r="L22" s="429"/>
      <c r="M22" s="429"/>
      <c r="N22" s="430">
        <f>+N16+N21</f>
        <v>57099654.519999996</v>
      </c>
      <c r="O22" s="422" t="s">
        <v>142</v>
      </c>
      <c r="P22" s="443"/>
      <c r="Q22" s="443"/>
      <c r="S22" s="386"/>
      <c r="T22" s="387"/>
      <c r="U22" s="387"/>
      <c r="V22" s="388"/>
      <c r="W22" s="389"/>
      <c r="X22" s="390"/>
      <c r="Y22" s="391"/>
      <c r="Z22" s="389"/>
      <c r="AA22" s="387" t="s">
        <v>23</v>
      </c>
      <c r="AB22" s="387"/>
      <c r="AC22" s="387"/>
      <c r="AD22" s="387"/>
      <c r="AE22" s="387"/>
      <c r="AF22" s="387"/>
      <c r="AG22" s="392"/>
      <c r="AN22" s="111"/>
      <c r="AO22" s="27"/>
      <c r="AP22" s="1086"/>
      <c r="AQ22" s="1086"/>
      <c r="AR22" s="1086"/>
      <c r="AS22" s="1086"/>
      <c r="AT22" s="1086"/>
      <c r="AU22" s="1086"/>
    </row>
    <row r="23" spans="2:47" ht="15" customHeight="1" x14ac:dyDescent="0.3">
      <c r="B23" s="1102" t="s">
        <v>1532</v>
      </c>
      <c r="C23" s="415" t="s">
        <v>1385</v>
      </c>
      <c r="D23" s="189"/>
      <c r="E23" s="189"/>
      <c r="F23" s="189"/>
      <c r="G23" s="189"/>
      <c r="H23" s="189"/>
      <c r="I23" s="189"/>
      <c r="J23" s="189"/>
      <c r="K23" s="189"/>
      <c r="L23" s="189"/>
      <c r="M23" s="189"/>
      <c r="N23" s="200">
        <f>+ROUND((N16-N28)*0.01,2)</f>
        <v>475830.45</v>
      </c>
      <c r="O23" s="190" t="s">
        <v>142</v>
      </c>
      <c r="P23" s="790"/>
      <c r="Q23" s="790"/>
      <c r="S23" s="117" t="s">
        <v>121</v>
      </c>
      <c r="V23" s="111"/>
      <c r="W23" s="27"/>
      <c r="X23" s="18"/>
      <c r="Y23" s="300"/>
      <c r="Z23" s="27" t="s">
        <v>2</v>
      </c>
      <c r="AA23" s="11" t="s">
        <v>1434</v>
      </c>
      <c r="AG23" s="103"/>
      <c r="AN23" s="111"/>
      <c r="AO23" s="29"/>
      <c r="AP23" s="1086"/>
      <c r="AQ23" s="1086"/>
      <c r="AR23" s="1086"/>
      <c r="AS23" s="1086"/>
      <c r="AT23" s="1086"/>
      <c r="AU23" s="1086"/>
    </row>
    <row r="24" spans="2:47" ht="15" customHeight="1" x14ac:dyDescent="0.3">
      <c r="B24" s="1103"/>
      <c r="C24" s="417" t="s">
        <v>1386</v>
      </c>
      <c r="D24" s="179"/>
      <c r="E24" s="179"/>
      <c r="F24" s="179"/>
      <c r="G24" s="179"/>
      <c r="H24" s="179"/>
      <c r="I24" s="179"/>
      <c r="J24" s="179"/>
      <c r="K24" s="179"/>
      <c r="L24" s="179"/>
      <c r="M24" s="179"/>
      <c r="N24" s="201">
        <v>0</v>
      </c>
      <c r="O24" s="181" t="s">
        <v>142</v>
      </c>
      <c r="P24" s="790"/>
      <c r="Q24" s="790"/>
      <c r="S24" s="393"/>
      <c r="T24" s="120"/>
      <c r="U24" s="120"/>
      <c r="V24" s="394"/>
      <c r="W24" s="395"/>
      <c r="X24" s="120"/>
      <c r="Y24" s="394"/>
      <c r="Z24" s="120"/>
      <c r="AA24" s="120" t="s">
        <v>1435</v>
      </c>
      <c r="AB24" s="120"/>
      <c r="AC24" s="120"/>
      <c r="AD24" s="396"/>
      <c r="AE24" s="396"/>
      <c r="AF24" s="396"/>
      <c r="AG24" s="397"/>
      <c r="AN24" s="111"/>
      <c r="AO24" s="29"/>
      <c r="AP24" s="1086"/>
      <c r="AQ24" s="1086"/>
      <c r="AR24" s="1086"/>
      <c r="AS24" s="1086"/>
      <c r="AT24" s="1086"/>
      <c r="AU24" s="1086"/>
    </row>
    <row r="25" spans="2:47" ht="15" customHeight="1" x14ac:dyDescent="0.3">
      <c r="B25" s="1103"/>
      <c r="C25" s="179" t="s">
        <v>174</v>
      </c>
      <c r="D25" s="179"/>
      <c r="E25" s="179"/>
      <c r="F25" s="179"/>
      <c r="G25" s="179"/>
      <c r="H25" s="179"/>
      <c r="I25" s="179"/>
      <c r="J25" s="179"/>
      <c r="K25" s="179"/>
      <c r="L25" s="179"/>
      <c r="M25" s="179"/>
      <c r="N25" s="201">
        <v>0</v>
      </c>
      <c r="O25" s="181" t="s">
        <v>142</v>
      </c>
      <c r="P25" s="790"/>
      <c r="Q25" s="790"/>
      <c r="S25" s="386"/>
      <c r="T25" s="387"/>
      <c r="U25" s="387"/>
      <c r="V25" s="398"/>
      <c r="W25" s="398"/>
      <c r="X25" s="387"/>
      <c r="Y25" s="388"/>
      <c r="Z25" s="389"/>
      <c r="AA25" s="390"/>
      <c r="AB25" s="390"/>
      <c r="AC25" s="387"/>
      <c r="AD25" s="387"/>
      <c r="AE25" s="387"/>
      <c r="AF25" s="387"/>
      <c r="AG25" s="392"/>
      <c r="AN25" s="29"/>
      <c r="AO25" s="29"/>
    </row>
    <row r="26" spans="2:47" ht="15" customHeight="1" x14ac:dyDescent="0.3">
      <c r="B26" s="1103"/>
      <c r="C26" s="179" t="s">
        <v>175</v>
      </c>
      <c r="D26" s="179"/>
      <c r="E26" s="202"/>
      <c r="F26" s="202"/>
      <c r="G26" s="203"/>
      <c r="H26" s="202"/>
      <c r="I26" s="202"/>
      <c r="J26" s="179"/>
      <c r="K26" s="179"/>
      <c r="L26" s="179"/>
      <c r="M26" s="179"/>
      <c r="N26" s="201">
        <v>0</v>
      </c>
      <c r="O26" s="181" t="s">
        <v>142</v>
      </c>
      <c r="P26" s="790"/>
      <c r="Q26" s="790"/>
      <c r="S26" s="117" t="s">
        <v>122</v>
      </c>
      <c r="V26" s="111"/>
      <c r="W26" s="29"/>
      <c r="Y26" s="111"/>
      <c r="Z26" s="27" t="s">
        <v>2</v>
      </c>
      <c r="AA26" s="11" t="s">
        <v>39</v>
      </c>
      <c r="AD26" s="110"/>
      <c r="AE26" s="110"/>
      <c r="AF26" s="110"/>
      <c r="AG26" s="103"/>
      <c r="AN26" s="111"/>
      <c r="AO26" s="27"/>
      <c r="AP26" s="1086"/>
      <c r="AQ26" s="1086"/>
      <c r="AR26" s="1086"/>
      <c r="AS26" s="1086"/>
      <c r="AT26" s="1086"/>
      <c r="AU26" s="1086"/>
    </row>
    <row r="27" spans="2:47" ht="15" customHeight="1" x14ac:dyDescent="0.3">
      <c r="B27" s="1103"/>
      <c r="C27" s="179" t="s">
        <v>176</v>
      </c>
      <c r="D27" s="179"/>
      <c r="E27" s="179"/>
      <c r="F27" s="179"/>
      <c r="G27" s="179"/>
      <c r="H27" s="179"/>
      <c r="I27" s="179"/>
      <c r="J27" s="179"/>
      <c r="K27" s="179"/>
      <c r="L27" s="179"/>
      <c r="M27" s="179"/>
      <c r="N27" s="201">
        <v>0</v>
      </c>
      <c r="O27" s="181" t="s">
        <v>142</v>
      </c>
      <c r="P27" s="790"/>
      <c r="Q27" s="790"/>
      <c r="S27" s="399"/>
      <c r="T27" s="120"/>
      <c r="U27" s="120"/>
      <c r="V27" s="120"/>
      <c r="W27" s="120"/>
      <c r="X27" s="120"/>
      <c r="Y27" s="394"/>
      <c r="Z27" s="395"/>
      <c r="AA27" s="400"/>
      <c r="AB27" s="400"/>
      <c r="AC27" s="120"/>
      <c r="AD27" s="396"/>
      <c r="AE27" s="396"/>
      <c r="AF27" s="396"/>
      <c r="AG27" s="397"/>
      <c r="AP27" s="1086"/>
      <c r="AQ27" s="1086"/>
      <c r="AR27" s="1086"/>
      <c r="AS27" s="1086"/>
      <c r="AT27" s="1086"/>
      <c r="AU27" s="1086"/>
    </row>
    <row r="28" spans="2:47" ht="15" customHeight="1" x14ac:dyDescent="0.3">
      <c r="B28" s="1103"/>
      <c r="C28" s="417" t="s">
        <v>1387</v>
      </c>
      <c r="D28" s="179"/>
      <c r="E28" s="179"/>
      <c r="F28" s="179"/>
      <c r="G28" s="179"/>
      <c r="H28" s="179"/>
      <c r="I28" s="179"/>
      <c r="J28" s="179"/>
      <c r="K28" s="179"/>
      <c r="L28" s="179"/>
      <c r="M28" s="179"/>
      <c r="N28" s="201">
        <v>0</v>
      </c>
      <c r="O28" s="181" t="s">
        <v>142</v>
      </c>
      <c r="P28" s="790"/>
      <c r="Q28" s="790"/>
      <c r="S28" s="1079" t="s">
        <v>10</v>
      </c>
      <c r="T28" s="1080"/>
      <c r="U28" s="1080"/>
      <c r="V28" s="1080"/>
      <c r="W28" s="1080"/>
      <c r="X28" s="1080"/>
      <c r="Y28" s="1080"/>
      <c r="Z28" s="1083" t="s">
        <v>2</v>
      </c>
      <c r="AA28" s="1084" t="s">
        <v>40</v>
      </c>
      <c r="AB28" s="1084"/>
      <c r="AC28" s="1084"/>
      <c r="AD28" s="1084"/>
      <c r="AE28" s="1084"/>
      <c r="AF28" s="1084"/>
      <c r="AG28" s="1085"/>
      <c r="AP28" s="1086"/>
      <c r="AQ28" s="1086"/>
      <c r="AR28" s="1086"/>
      <c r="AS28" s="1086"/>
      <c r="AT28" s="1086"/>
      <c r="AU28" s="1086"/>
    </row>
    <row r="29" spans="2:47" ht="15" customHeight="1" x14ac:dyDescent="0.3">
      <c r="B29" s="1103"/>
      <c r="C29" s="417" t="str">
        <f>+"Sözleşme Nakit Teminat Kesintisi ( "&amp;B13&amp;" x %5 )  "  &amp;TEXT(ROUND(N13*5%,2),"0.000,00") &amp; " TL"&amp;" Nakit Teminat Kesintisi yerine teminat mektubu verilmiştir."</f>
        <v>Sözleşme Nakit Teminat Kesintisi ( D x %5 )  2.379.152,27 TL Nakit Teminat Kesintisi yerine teminat mektubu verilmiştir.</v>
      </c>
      <c r="D29" s="179"/>
      <c r="E29" s="179"/>
      <c r="F29" s="179"/>
      <c r="G29" s="179"/>
      <c r="H29" s="179"/>
      <c r="I29" s="179"/>
      <c r="J29" s="179"/>
      <c r="K29" s="179"/>
      <c r="L29" s="179"/>
      <c r="M29" s="179"/>
      <c r="N29" s="521"/>
      <c r="O29" s="181" t="s">
        <v>142</v>
      </c>
      <c r="P29" s="790"/>
      <c r="Q29" s="790"/>
      <c r="S29" s="1079"/>
      <c r="T29" s="1080"/>
      <c r="U29" s="1080"/>
      <c r="V29" s="1080"/>
      <c r="W29" s="1080"/>
      <c r="X29" s="1080"/>
      <c r="Y29" s="1080"/>
      <c r="Z29" s="1083"/>
      <c r="AA29" s="1084"/>
      <c r="AB29" s="1084"/>
      <c r="AC29" s="1084"/>
      <c r="AD29" s="1084"/>
      <c r="AE29" s="1084"/>
      <c r="AF29" s="1084"/>
      <c r="AG29" s="1085"/>
    </row>
    <row r="30" spans="2:47" ht="15" customHeight="1" x14ac:dyDescent="0.3">
      <c r="B30" s="1103"/>
      <c r="C30" s="346" t="s">
        <v>1315</v>
      </c>
      <c r="D30" s="179"/>
      <c r="E30" s="179"/>
      <c r="F30" s="179"/>
      <c r="G30" s="179"/>
      <c r="H30" s="179"/>
      <c r="I30" s="179"/>
      <c r="J30" s="179"/>
      <c r="K30" s="179"/>
      <c r="L30" s="179"/>
      <c r="M30" s="179"/>
      <c r="N30" s="521"/>
      <c r="O30" s="181" t="s">
        <v>142</v>
      </c>
      <c r="P30" s="790"/>
      <c r="Q30" s="790"/>
      <c r="S30" s="1079" t="s">
        <v>9</v>
      </c>
      <c r="T30" s="1080"/>
      <c r="U30" s="1080"/>
      <c r="V30" s="1080"/>
      <c r="W30" s="1080"/>
      <c r="X30" s="1080"/>
      <c r="Y30" s="1080"/>
      <c r="Z30" s="1083" t="s">
        <v>2</v>
      </c>
      <c r="AA30" s="1111">
        <v>45614</v>
      </c>
      <c r="AB30" s="1111"/>
      <c r="AC30" s="1111"/>
      <c r="AD30" s="1111"/>
      <c r="AE30" s="1111"/>
      <c r="AF30" s="1111"/>
      <c r="AG30" s="1112"/>
      <c r="AN30" s="111"/>
      <c r="AO30" s="27"/>
      <c r="AP30" s="4"/>
    </row>
    <row r="31" spans="2:47" ht="15" customHeight="1" x14ac:dyDescent="0.3">
      <c r="B31" s="1103"/>
      <c r="C31" s="179" t="s">
        <v>177</v>
      </c>
      <c r="D31" s="179"/>
      <c r="E31" s="179"/>
      <c r="F31" s="179"/>
      <c r="G31" s="179"/>
      <c r="H31" s="179"/>
      <c r="I31" s="179"/>
      <c r="J31" s="179"/>
      <c r="K31" s="179"/>
      <c r="L31" s="179"/>
      <c r="M31" s="179"/>
      <c r="N31" s="201"/>
      <c r="O31" s="181" t="s">
        <v>142</v>
      </c>
      <c r="P31" s="790"/>
      <c r="Q31" s="790"/>
      <c r="S31" s="1079"/>
      <c r="T31" s="1080"/>
      <c r="U31" s="1080"/>
      <c r="V31" s="1080"/>
      <c r="W31" s="1080"/>
      <c r="X31" s="1080"/>
      <c r="Y31" s="1080"/>
      <c r="Z31" s="1083"/>
      <c r="AA31" s="1111"/>
      <c r="AB31" s="1111"/>
      <c r="AC31" s="1111"/>
      <c r="AD31" s="1111"/>
      <c r="AE31" s="1111"/>
      <c r="AF31" s="1111"/>
      <c r="AG31" s="1112"/>
    </row>
    <row r="32" spans="2:47" ht="15" customHeight="1" x14ac:dyDescent="0.3">
      <c r="B32" s="195"/>
      <c r="C32" s="183"/>
      <c r="D32" s="183"/>
      <c r="E32" s="431" t="s">
        <v>1384</v>
      </c>
      <c r="F32" s="183" t="s">
        <v>178</v>
      </c>
      <c r="G32" s="183"/>
      <c r="H32" s="183"/>
      <c r="I32" s="183"/>
      <c r="J32" s="183"/>
      <c r="K32" s="183"/>
      <c r="L32" s="183"/>
      <c r="M32" s="183"/>
      <c r="N32" s="199">
        <f>SUM(N23:N31)</f>
        <v>475830.45</v>
      </c>
      <c r="O32" s="185" t="s">
        <v>142</v>
      </c>
      <c r="P32" s="29"/>
      <c r="Q32" s="29"/>
      <c r="S32" s="1079" t="s">
        <v>123</v>
      </c>
      <c r="T32" s="1080"/>
      <c r="U32" s="1080"/>
      <c r="V32" s="1080"/>
      <c r="W32" s="1080"/>
      <c r="X32" s="1080"/>
      <c r="Y32" s="1080"/>
      <c r="Z32" s="1083" t="s">
        <v>2</v>
      </c>
      <c r="AA32" s="1084" t="s">
        <v>21</v>
      </c>
      <c r="AB32" s="1084"/>
      <c r="AC32" s="1084"/>
      <c r="AD32" s="1084"/>
      <c r="AE32" s="1084"/>
      <c r="AF32" s="1084"/>
      <c r="AG32" s="1085"/>
      <c r="AN32" s="111"/>
      <c r="AO32" s="27"/>
      <c r="AP32" s="1086"/>
      <c r="AQ32" s="1086"/>
      <c r="AR32" s="1086"/>
      <c r="AS32" s="1086"/>
      <c r="AT32" s="1086"/>
      <c r="AU32" s="1086"/>
    </row>
    <row r="33" spans="2:47" ht="15" customHeight="1" x14ac:dyDescent="0.3">
      <c r="B33" s="440"/>
      <c r="C33" s="156"/>
      <c r="D33" s="156"/>
      <c r="E33" s="156"/>
      <c r="F33" s="156"/>
      <c r="G33" s="156"/>
      <c r="H33" s="156"/>
      <c r="I33" s="156"/>
      <c r="J33" s="156"/>
      <c r="K33" s="156"/>
      <c r="L33" s="441" t="s">
        <v>1533</v>
      </c>
      <c r="M33" s="156"/>
      <c r="N33" s="442">
        <f>+N22-N32</f>
        <v>56623824.069999993</v>
      </c>
      <c r="O33" s="176" t="s">
        <v>142</v>
      </c>
      <c r="P33" s="29"/>
      <c r="Q33" s="29"/>
      <c r="S33" s="1079"/>
      <c r="T33" s="1080"/>
      <c r="U33" s="1080"/>
      <c r="V33" s="1080"/>
      <c r="W33" s="1080"/>
      <c r="X33" s="1080"/>
      <c r="Y33" s="1080"/>
      <c r="Z33" s="1083"/>
      <c r="AA33" s="1084"/>
      <c r="AB33" s="1084"/>
      <c r="AC33" s="1084"/>
      <c r="AD33" s="1084"/>
      <c r="AE33" s="1084"/>
      <c r="AF33" s="1084"/>
      <c r="AG33" s="1085"/>
      <c r="AP33" s="1086"/>
      <c r="AQ33" s="1086"/>
      <c r="AR33" s="1086"/>
      <c r="AS33" s="1086"/>
      <c r="AT33" s="1086"/>
      <c r="AU33" s="1086"/>
    </row>
    <row r="34" spans="2:47" ht="15" customHeight="1" x14ac:dyDescent="0.3">
      <c r="B34" s="436"/>
      <c r="C34" s="409"/>
      <c r="D34" s="409"/>
      <c r="E34" s="409"/>
      <c r="F34" s="409"/>
      <c r="G34" s="409"/>
      <c r="H34" s="409"/>
      <c r="I34" s="409"/>
      <c r="J34" s="409"/>
      <c r="K34" s="409"/>
      <c r="L34" s="409"/>
      <c r="M34" s="409"/>
      <c r="N34" s="437" t="str">
        <f>+'Para Yazdırma'!B1</f>
        <v>ElliAltıMilyonAltıyüzYirmiÜçBinSekizyüzYirmiDörtLiraYediKuruş</v>
      </c>
      <c r="O34" s="438" t="s">
        <v>179</v>
      </c>
      <c r="S34" s="1118" t="s">
        <v>124</v>
      </c>
      <c r="T34" s="1119"/>
      <c r="U34" s="1119"/>
      <c r="V34" s="1119"/>
      <c r="W34" s="1119"/>
      <c r="X34" s="1119"/>
      <c r="Y34" s="1119"/>
      <c r="Z34" s="1126" t="s">
        <v>2</v>
      </c>
      <c r="AA34" s="1122">
        <v>45639</v>
      </c>
      <c r="AB34" s="1122"/>
      <c r="AC34" s="1122"/>
      <c r="AD34" s="1122"/>
      <c r="AE34" s="1122"/>
      <c r="AF34" s="1122"/>
      <c r="AG34" s="1123"/>
    </row>
    <row r="35" spans="2:47" ht="15" customHeight="1" x14ac:dyDescent="0.3">
      <c r="B35" s="173" t="s">
        <v>1395</v>
      </c>
      <c r="C35" s="1106">
        <f>+Veri!$C$21</f>
        <v>6</v>
      </c>
      <c r="D35" s="1106"/>
      <c r="E35" s="1106"/>
      <c r="F35" s="1106"/>
      <c r="G35" s="1106"/>
      <c r="H35" s="1106"/>
      <c r="I35" s="1106"/>
      <c r="J35" s="1106"/>
      <c r="K35" s="1106"/>
      <c r="L35" s="1106"/>
      <c r="M35" s="1106"/>
      <c r="N35" s="442">
        <f>+N33-N36</f>
        <v>47583045.429999992</v>
      </c>
      <c r="O35" s="176" t="s">
        <v>142</v>
      </c>
      <c r="P35" s="29"/>
      <c r="Q35" s="29"/>
      <c r="S35" s="1120"/>
      <c r="T35" s="1121"/>
      <c r="U35" s="1121"/>
      <c r="V35" s="1121"/>
      <c r="W35" s="1121"/>
      <c r="X35" s="1121"/>
      <c r="Y35" s="1121"/>
      <c r="Z35" s="1127"/>
      <c r="AA35" s="1124"/>
      <c r="AB35" s="1124"/>
      <c r="AC35" s="1124"/>
      <c r="AD35" s="1124"/>
      <c r="AE35" s="1124"/>
      <c r="AF35" s="1124"/>
      <c r="AG35" s="1125"/>
    </row>
    <row r="36" spans="2:47" ht="15" customHeight="1" x14ac:dyDescent="0.3">
      <c r="B36" s="173" t="s">
        <v>1396</v>
      </c>
      <c r="C36" s="1107">
        <f>+Veri!$C$21</f>
        <v>6</v>
      </c>
      <c r="D36" s="1107"/>
      <c r="E36" s="1107"/>
      <c r="F36" s="1107"/>
      <c r="G36" s="1107"/>
      <c r="H36" s="1107"/>
      <c r="I36" s="1107"/>
      <c r="J36" s="1107"/>
      <c r="K36" s="1107"/>
      <c r="L36" s="1107"/>
      <c r="M36" s="1107"/>
      <c r="N36" s="442">
        <f>+N21-N32</f>
        <v>9040778.6400000006</v>
      </c>
      <c r="O36" s="176" t="s">
        <v>142</v>
      </c>
      <c r="P36" s="29"/>
      <c r="Q36" s="29"/>
      <c r="S36" s="1079" t="s">
        <v>13</v>
      </c>
      <c r="T36" s="1080"/>
      <c r="U36" s="1080"/>
      <c r="V36" s="1080"/>
      <c r="W36" s="1080"/>
      <c r="X36" s="1080"/>
      <c r="Y36" s="1080"/>
      <c r="Z36" s="1083" t="s">
        <v>2</v>
      </c>
      <c r="AA36" s="1111">
        <v>45653</v>
      </c>
      <c r="AB36" s="1111"/>
      <c r="AC36" s="1111"/>
      <c r="AD36" s="1111"/>
      <c r="AE36" s="1111"/>
      <c r="AF36" s="1111"/>
      <c r="AG36" s="1112"/>
    </row>
    <row r="37" spans="2:47" ht="15" customHeight="1" x14ac:dyDescent="0.3">
      <c r="B37" s="134"/>
      <c r="C37" s="33"/>
      <c r="D37" s="33"/>
      <c r="E37" s="33"/>
      <c r="F37" s="33"/>
      <c r="G37" s="33"/>
      <c r="H37" s="33"/>
      <c r="I37" s="33"/>
      <c r="J37" s="33"/>
      <c r="K37" s="33"/>
      <c r="L37" s="33"/>
      <c r="M37" s="33"/>
      <c r="N37" s="439"/>
      <c r="O37" s="118"/>
      <c r="S37" s="1079"/>
      <c r="T37" s="1080"/>
      <c r="U37" s="1080"/>
      <c r="V37" s="1080"/>
      <c r="W37" s="1080"/>
      <c r="X37" s="1080"/>
      <c r="Y37" s="1080"/>
      <c r="Z37" s="1083"/>
      <c r="AA37" s="1111"/>
      <c r="AB37" s="1111"/>
      <c r="AC37" s="1111"/>
      <c r="AD37" s="1111"/>
      <c r="AE37" s="1111"/>
      <c r="AF37" s="1111"/>
      <c r="AG37" s="1112"/>
    </row>
    <row r="38" spans="2:47" ht="15" customHeight="1" x14ac:dyDescent="0.3">
      <c r="B38" s="102"/>
      <c r="O38" s="103"/>
      <c r="S38" s="1079" t="s">
        <v>1534</v>
      </c>
      <c r="T38" s="1080"/>
      <c r="U38" s="1080"/>
      <c r="V38" s="1080"/>
      <c r="W38" s="1080"/>
      <c r="X38" s="1080"/>
      <c r="Y38" s="1080"/>
      <c r="Z38" s="1083" t="s">
        <v>2</v>
      </c>
      <c r="AA38" s="1111">
        <v>45653</v>
      </c>
      <c r="AB38" s="1111"/>
      <c r="AC38" s="1111"/>
      <c r="AD38" s="1111"/>
      <c r="AE38" s="1111"/>
      <c r="AF38" s="1111"/>
      <c r="AG38" s="1112"/>
    </row>
    <row r="39" spans="2:47" ht="15" customHeight="1" x14ac:dyDescent="0.3">
      <c r="B39" s="102"/>
      <c r="O39" s="103"/>
      <c r="S39" s="1079"/>
      <c r="T39" s="1080"/>
      <c r="U39" s="1080"/>
      <c r="V39" s="1080"/>
      <c r="W39" s="1080"/>
      <c r="X39" s="1080"/>
      <c r="Y39" s="1080"/>
      <c r="Z39" s="1083"/>
      <c r="AA39" s="1111"/>
      <c r="AB39" s="1111"/>
      <c r="AC39" s="1111"/>
      <c r="AD39" s="1111"/>
      <c r="AE39" s="1111"/>
      <c r="AF39" s="1111"/>
      <c r="AG39" s="1112"/>
    </row>
    <row r="40" spans="2:47" ht="15" customHeight="1" x14ac:dyDescent="0.3">
      <c r="B40" s="102"/>
      <c r="O40" s="103"/>
      <c r="S40" s="1079" t="s">
        <v>15</v>
      </c>
      <c r="T40" s="1080"/>
      <c r="U40" s="1080"/>
      <c r="V40" s="1080"/>
      <c r="W40" s="1080"/>
      <c r="X40" s="1080"/>
      <c r="Y40" s="1080"/>
      <c r="Z40" s="1083" t="s">
        <v>2</v>
      </c>
      <c r="AA40" s="1084" t="s">
        <v>128</v>
      </c>
      <c r="AB40" s="1084"/>
      <c r="AC40" s="1084"/>
      <c r="AD40" s="1084"/>
      <c r="AE40" s="1084"/>
      <c r="AF40" s="1084"/>
      <c r="AG40" s="1085"/>
    </row>
    <row r="41" spans="2:47" ht="15" customHeight="1" x14ac:dyDescent="0.3">
      <c r="B41" s="102"/>
      <c r="O41" s="103"/>
      <c r="S41" s="1079"/>
      <c r="T41" s="1080"/>
      <c r="U41" s="1080"/>
      <c r="V41" s="1080"/>
      <c r="W41" s="1080"/>
      <c r="X41" s="1080"/>
      <c r="Y41" s="1080"/>
      <c r="Z41" s="1083"/>
      <c r="AA41" s="1084"/>
      <c r="AB41" s="1084"/>
      <c r="AC41" s="1084"/>
      <c r="AD41" s="1084"/>
      <c r="AE41" s="1084"/>
      <c r="AF41" s="1084"/>
      <c r="AG41" s="1085"/>
    </row>
    <row r="42" spans="2:47" ht="15" customHeight="1" x14ac:dyDescent="0.3">
      <c r="B42" s="102"/>
      <c r="O42" s="103"/>
      <c r="S42" s="1079" t="s">
        <v>125</v>
      </c>
      <c r="T42" s="1080"/>
      <c r="U42" s="1080"/>
      <c r="V42" s="1080"/>
      <c r="W42" s="1080"/>
      <c r="X42" s="1080"/>
      <c r="Y42" s="1080"/>
      <c r="Z42" s="1083" t="s">
        <v>2</v>
      </c>
      <c r="AA42" s="1111">
        <v>47093</v>
      </c>
      <c r="AB42" s="1111"/>
      <c r="AC42" s="1111"/>
      <c r="AD42" s="1111"/>
      <c r="AE42" s="1111"/>
      <c r="AF42" s="1111"/>
      <c r="AG42" s="1112"/>
    </row>
    <row r="43" spans="2:47" ht="15" customHeight="1" x14ac:dyDescent="0.3">
      <c r="B43" s="102"/>
      <c r="O43" s="103"/>
      <c r="S43" s="1079"/>
      <c r="T43" s="1080"/>
      <c r="U43" s="1080"/>
      <c r="V43" s="1080"/>
      <c r="W43" s="1080"/>
      <c r="X43" s="1080"/>
      <c r="Y43" s="1080"/>
      <c r="Z43" s="1083"/>
      <c r="AA43" s="1111"/>
      <c r="AB43" s="1111"/>
      <c r="AC43" s="1111"/>
      <c r="AD43" s="1111"/>
      <c r="AE43" s="1111"/>
      <c r="AF43" s="1111"/>
      <c r="AG43" s="1112"/>
    </row>
    <row r="44" spans="2:47" ht="15" customHeight="1" x14ac:dyDescent="0.3">
      <c r="B44" s="102"/>
      <c r="O44" s="103"/>
      <c r="S44" s="1079" t="s">
        <v>17</v>
      </c>
      <c r="T44" s="1080"/>
      <c r="U44" s="1080"/>
      <c r="V44" s="1080"/>
      <c r="W44" s="1080"/>
      <c r="X44" s="1080"/>
      <c r="Y44" s="1080"/>
      <c r="Z44" s="1083" t="s">
        <v>2</v>
      </c>
      <c r="AA44" s="1084" t="s">
        <v>21</v>
      </c>
      <c r="AB44" s="1084"/>
      <c r="AC44" s="1084"/>
      <c r="AD44" s="1084"/>
      <c r="AE44" s="1084"/>
      <c r="AF44" s="1084"/>
      <c r="AG44" s="1085"/>
    </row>
    <row r="45" spans="2:47" ht="15" customHeight="1" x14ac:dyDescent="0.3">
      <c r="B45" s="102"/>
      <c r="O45" s="103"/>
      <c r="S45" s="1079"/>
      <c r="T45" s="1080"/>
      <c r="U45" s="1080"/>
      <c r="V45" s="1080"/>
      <c r="W45" s="1080"/>
      <c r="X45" s="1080"/>
      <c r="Y45" s="1080"/>
      <c r="Z45" s="1083"/>
      <c r="AA45" s="1084"/>
      <c r="AB45" s="1084"/>
      <c r="AC45" s="1084"/>
      <c r="AD45" s="1084"/>
      <c r="AE45" s="1084"/>
      <c r="AF45" s="1084"/>
      <c r="AG45" s="1085"/>
    </row>
    <row r="46" spans="2:47" ht="15" customHeight="1" x14ac:dyDescent="0.3">
      <c r="B46" s="102"/>
      <c r="O46" s="103"/>
      <c r="S46" s="1079" t="s">
        <v>126</v>
      </c>
      <c r="T46" s="1080"/>
      <c r="U46" s="1080"/>
      <c r="V46" s="1080"/>
      <c r="W46" s="1080"/>
      <c r="X46" s="1080"/>
      <c r="Y46" s="1080"/>
      <c r="Z46" s="1083" t="s">
        <v>2</v>
      </c>
      <c r="AA46" s="1084" t="s">
        <v>21</v>
      </c>
      <c r="AB46" s="1084"/>
      <c r="AC46" s="1084"/>
      <c r="AD46" s="1084"/>
      <c r="AE46" s="1084"/>
      <c r="AF46" s="1084"/>
      <c r="AG46" s="1085"/>
    </row>
    <row r="47" spans="2:47" ht="15" customHeight="1" x14ac:dyDescent="0.3">
      <c r="B47" s="102"/>
      <c r="O47" s="103"/>
      <c r="S47" s="1079"/>
      <c r="T47" s="1080"/>
      <c r="U47" s="1080"/>
      <c r="V47" s="1080"/>
      <c r="W47" s="1080"/>
      <c r="X47" s="1080"/>
      <c r="Y47" s="1080"/>
      <c r="Z47" s="1083"/>
      <c r="AA47" s="1084"/>
      <c r="AB47" s="1084"/>
      <c r="AC47" s="1084"/>
      <c r="AD47" s="1084"/>
      <c r="AE47" s="1084"/>
      <c r="AF47" s="1084"/>
      <c r="AG47" s="1085"/>
    </row>
    <row r="48" spans="2:47" ht="15" customHeight="1" x14ac:dyDescent="0.3">
      <c r="B48" s="102"/>
      <c r="O48" s="103"/>
      <c r="S48" s="1079" t="s">
        <v>127</v>
      </c>
      <c r="T48" s="1080"/>
      <c r="U48" s="1080"/>
      <c r="V48" s="1080"/>
      <c r="W48" s="1080"/>
      <c r="X48" s="1080"/>
      <c r="Y48" s="1080"/>
      <c r="Z48" s="1083" t="s">
        <v>2</v>
      </c>
      <c r="AA48" s="1084" t="s">
        <v>21</v>
      </c>
      <c r="AB48" s="1084"/>
      <c r="AC48" s="1084"/>
      <c r="AD48" s="1084"/>
      <c r="AE48" s="1084"/>
      <c r="AF48" s="1084"/>
      <c r="AG48" s="1085"/>
    </row>
    <row r="49" spans="2:33" ht="15" customHeight="1" x14ac:dyDescent="0.3">
      <c r="B49" s="102"/>
      <c r="O49" s="103"/>
      <c r="S49" s="1081"/>
      <c r="T49" s="1082"/>
      <c r="U49" s="1082"/>
      <c r="V49" s="1082"/>
      <c r="W49" s="1082"/>
      <c r="X49" s="1082"/>
      <c r="Y49" s="1082"/>
      <c r="Z49" s="1113"/>
      <c r="AA49" s="1114"/>
      <c r="AB49" s="1114"/>
      <c r="AC49" s="1114"/>
      <c r="AD49" s="1114"/>
      <c r="AE49" s="1114"/>
      <c r="AF49" s="1114"/>
      <c r="AG49" s="1115"/>
    </row>
    <row r="50" spans="2:33" ht="15" customHeight="1" x14ac:dyDescent="0.3">
      <c r="B50" s="102"/>
      <c r="O50" s="103"/>
      <c r="S50" s="134"/>
      <c r="T50" s="205"/>
      <c r="U50" s="205"/>
      <c r="V50" s="33"/>
      <c r="W50" s="33"/>
      <c r="X50" s="33"/>
      <c r="Y50" s="205"/>
      <c r="Z50" s="205"/>
      <c r="AA50" s="33"/>
      <c r="AB50" s="33"/>
      <c r="AC50" s="33"/>
      <c r="AD50" s="33"/>
      <c r="AE50" s="33"/>
      <c r="AF50" s="33"/>
      <c r="AG50" s="118"/>
    </row>
    <row r="51" spans="2:33" ht="15" customHeight="1" x14ac:dyDescent="0.3">
      <c r="B51" s="102"/>
      <c r="O51" s="103"/>
      <c r="S51" s="102"/>
      <c r="T51" s="131"/>
      <c r="U51" s="131"/>
      <c r="Y51" s="131"/>
      <c r="Z51" s="131"/>
      <c r="AG51" s="103"/>
    </row>
    <row r="52" spans="2:33" ht="15" customHeight="1" x14ac:dyDescent="0.3">
      <c r="B52" s="102"/>
      <c r="O52" s="103"/>
      <c r="S52" s="433" t="s">
        <v>180</v>
      </c>
      <c r="T52" s="434"/>
      <c r="U52" s="434"/>
      <c r="V52" s="434"/>
      <c r="W52" s="434"/>
      <c r="X52" s="434"/>
      <c r="Y52" s="434"/>
      <c r="Z52" s="434"/>
      <c r="AA52" s="434"/>
      <c r="AB52" s="434"/>
      <c r="AC52" s="434"/>
      <c r="AD52" s="434"/>
      <c r="AE52" s="434"/>
      <c r="AF52" s="434"/>
      <c r="AG52" s="435"/>
    </row>
    <row r="53" spans="2:33" ht="15" customHeight="1" x14ac:dyDescent="0.3">
      <c r="B53" s="102"/>
      <c r="O53" s="103"/>
      <c r="S53" s="102"/>
      <c r="AG53" s="103"/>
    </row>
    <row r="54" spans="2:33" ht="15" customHeight="1" x14ac:dyDescent="0.3">
      <c r="B54" s="102"/>
      <c r="O54" s="103"/>
      <c r="S54" s="102"/>
      <c r="AG54" s="103"/>
    </row>
    <row r="55" spans="2:33" ht="15" customHeight="1" x14ac:dyDescent="0.3">
      <c r="B55" s="102"/>
      <c r="O55" s="103"/>
      <c r="S55" s="102"/>
      <c r="T55" s="380" t="s">
        <v>129</v>
      </c>
      <c r="U55" s="380"/>
      <c r="V55" s="132"/>
      <c r="W55" s="380" t="s">
        <v>130</v>
      </c>
      <c r="X55" s="380"/>
      <c r="Y55" s="132"/>
      <c r="Z55" s="380" t="s">
        <v>131</v>
      </c>
      <c r="AA55" s="380"/>
      <c r="AB55" s="380"/>
      <c r="AC55" s="132"/>
      <c r="AD55" s="380" t="s">
        <v>132</v>
      </c>
      <c r="AE55" s="380"/>
      <c r="AF55" s="380"/>
      <c r="AG55" s="103"/>
    </row>
    <row r="56" spans="2:33" ht="15" customHeight="1" x14ac:dyDescent="0.3">
      <c r="B56" s="102"/>
      <c r="O56" s="103"/>
      <c r="R56" s="103"/>
      <c r="S56" s="102"/>
      <c r="T56" s="204"/>
      <c r="U56" s="204"/>
      <c r="V56" s="129"/>
      <c r="W56" s="204"/>
      <c r="X56" s="204"/>
      <c r="Y56" s="129"/>
      <c r="Z56" s="204"/>
      <c r="AA56" s="204"/>
      <c r="AB56" s="204"/>
      <c r="AC56" s="129"/>
      <c r="AD56" s="204"/>
      <c r="AE56" s="204"/>
      <c r="AF56" s="204"/>
      <c r="AG56" s="103"/>
    </row>
    <row r="57" spans="2:33" ht="15" customHeight="1" x14ac:dyDescent="0.3">
      <c r="B57" s="102"/>
      <c r="O57" s="103"/>
      <c r="S57" s="102"/>
      <c r="T57" s="130"/>
      <c r="U57" s="130"/>
      <c r="V57" s="129"/>
      <c r="W57" s="130"/>
      <c r="X57" s="130"/>
      <c r="Y57" s="129"/>
      <c r="Z57" s="130"/>
      <c r="AA57" s="130"/>
      <c r="AB57" s="130"/>
      <c r="AC57" s="129"/>
      <c r="AD57" s="130"/>
      <c r="AE57" s="130"/>
      <c r="AF57" s="130"/>
      <c r="AG57" s="103"/>
    </row>
    <row r="58" spans="2:33" ht="18" customHeight="1" x14ac:dyDescent="0.3">
      <c r="B58" s="102"/>
      <c r="O58" s="103"/>
      <c r="S58" s="102"/>
      <c r="T58" s="130"/>
      <c r="U58" s="130"/>
      <c r="V58" s="129"/>
      <c r="W58" s="130"/>
      <c r="X58" s="130"/>
      <c r="Y58" s="129"/>
      <c r="Z58" s="130"/>
      <c r="AA58" s="130"/>
      <c r="AB58" s="130"/>
      <c r="AC58" s="129"/>
      <c r="AD58" s="130"/>
      <c r="AE58" s="130"/>
      <c r="AF58" s="130"/>
      <c r="AG58" s="103"/>
    </row>
    <row r="59" spans="2:33" ht="18" customHeight="1" x14ac:dyDescent="0.3">
      <c r="B59" s="102"/>
      <c r="O59" s="103"/>
      <c r="S59" s="102"/>
      <c r="T59" s="130"/>
      <c r="U59" s="130"/>
      <c r="V59" s="129"/>
      <c r="W59" s="130"/>
      <c r="X59" s="130"/>
      <c r="Y59" s="129"/>
      <c r="Z59" s="130"/>
      <c r="AA59" s="130"/>
      <c r="AB59" s="130"/>
      <c r="AC59" s="129"/>
      <c r="AD59" s="130"/>
      <c r="AE59" s="130"/>
      <c r="AF59" s="130"/>
      <c r="AG59" s="103"/>
    </row>
    <row r="60" spans="2:33" ht="15" customHeight="1" x14ac:dyDescent="0.3">
      <c r="B60" s="102"/>
      <c r="O60" s="103"/>
      <c r="S60" s="102"/>
      <c r="T60" s="130"/>
      <c r="U60" s="130"/>
      <c r="V60" s="129"/>
      <c r="W60" s="130"/>
      <c r="X60" s="130"/>
      <c r="Y60" s="129"/>
      <c r="Z60" s="130"/>
      <c r="AA60" s="130"/>
      <c r="AB60" s="130"/>
      <c r="AC60" s="129"/>
      <c r="AD60" s="130"/>
      <c r="AE60" s="130"/>
      <c r="AF60" s="130"/>
      <c r="AG60" s="103"/>
    </row>
    <row r="61" spans="2:33" ht="15" customHeight="1" x14ac:dyDescent="0.3">
      <c r="B61" s="102"/>
      <c r="O61" s="103"/>
      <c r="S61" s="102"/>
      <c r="T61" s="432"/>
      <c r="U61" s="432"/>
      <c r="V61" s="129"/>
      <c r="W61" s="432"/>
      <c r="X61" s="432"/>
      <c r="Y61" s="129"/>
      <c r="Z61" s="432"/>
      <c r="AA61" s="432"/>
      <c r="AB61" s="432"/>
      <c r="AC61" s="129"/>
      <c r="AD61" s="432"/>
      <c r="AE61" s="432"/>
      <c r="AF61" s="432"/>
      <c r="AG61" s="103"/>
    </row>
    <row r="62" spans="2:33" ht="15" customHeight="1" x14ac:dyDescent="0.3">
      <c r="B62" s="102"/>
      <c r="O62" s="103"/>
      <c r="S62" s="102"/>
      <c r="T62" s="432"/>
      <c r="U62" s="432"/>
      <c r="V62" s="129"/>
      <c r="W62" s="432"/>
      <c r="X62" s="432"/>
      <c r="Y62" s="129"/>
      <c r="Z62" s="432"/>
      <c r="AA62" s="432"/>
      <c r="AB62" s="432"/>
      <c r="AC62" s="129"/>
      <c r="AD62" s="432"/>
      <c r="AE62" s="432"/>
      <c r="AF62" s="432"/>
      <c r="AG62" s="103"/>
    </row>
    <row r="63" spans="2:33" ht="15" customHeight="1" x14ac:dyDescent="0.3">
      <c r="B63" s="102"/>
      <c r="O63" s="103"/>
      <c r="S63" s="102"/>
      <c r="T63" s="432"/>
      <c r="U63" s="432"/>
      <c r="V63" s="129"/>
      <c r="W63" s="432"/>
      <c r="X63" s="432"/>
      <c r="Y63" s="129"/>
      <c r="Z63" s="432"/>
      <c r="AA63" s="432"/>
      <c r="AB63" s="432"/>
      <c r="AC63" s="129"/>
      <c r="AD63" s="432"/>
      <c r="AE63" s="432"/>
      <c r="AF63" s="432"/>
      <c r="AG63" s="103"/>
    </row>
    <row r="64" spans="2:33" ht="15" customHeight="1" x14ac:dyDescent="0.3">
      <c r="B64" s="102"/>
      <c r="O64" s="103"/>
      <c r="S64" s="133"/>
      <c r="T64" s="32"/>
      <c r="U64" s="32"/>
      <c r="V64" s="32"/>
      <c r="W64" s="32"/>
      <c r="X64" s="32"/>
      <c r="Y64" s="32"/>
      <c r="Z64" s="32"/>
      <c r="AA64" s="32"/>
      <c r="AB64" s="32"/>
      <c r="AC64" s="32"/>
      <c r="AD64" s="32"/>
      <c r="AE64" s="32"/>
      <c r="AF64" s="32"/>
      <c r="AG64" s="119"/>
    </row>
    <row r="65" spans="2:33" ht="15" customHeight="1" x14ac:dyDescent="0.3">
      <c r="B65" s="102"/>
      <c r="O65" s="103"/>
      <c r="S65" s="134"/>
      <c r="T65" s="33"/>
      <c r="U65" s="33"/>
      <c r="V65" s="33"/>
      <c r="W65" s="33"/>
      <c r="X65" s="33"/>
      <c r="Y65" s="33"/>
      <c r="Z65" s="33"/>
      <c r="AA65" s="33"/>
      <c r="AB65" s="33"/>
      <c r="AC65" s="33"/>
      <c r="AD65" s="33"/>
      <c r="AE65" s="33"/>
      <c r="AF65" s="33"/>
      <c r="AG65" s="118"/>
    </row>
    <row r="66" spans="2:33" ht="15" customHeight="1" x14ac:dyDescent="0.3">
      <c r="B66" s="102"/>
      <c r="O66" s="103"/>
      <c r="S66" s="102"/>
      <c r="AG66" s="103"/>
    </row>
    <row r="67" spans="2:33" ht="15" customHeight="1" x14ac:dyDescent="0.3">
      <c r="B67" s="102"/>
      <c r="O67" s="103"/>
      <c r="S67" s="433" t="s">
        <v>133</v>
      </c>
      <c r="T67" s="434"/>
      <c r="U67" s="434"/>
      <c r="V67" s="434"/>
      <c r="W67" s="434"/>
      <c r="X67" s="434"/>
      <c r="Y67" s="434"/>
      <c r="Z67" s="434"/>
      <c r="AA67" s="434"/>
      <c r="AB67" s="434"/>
      <c r="AC67" s="434"/>
      <c r="AD67" s="434"/>
      <c r="AE67" s="434"/>
      <c r="AF67" s="434"/>
      <c r="AG67" s="435"/>
    </row>
    <row r="68" spans="2:33" ht="15" customHeight="1" x14ac:dyDescent="0.3">
      <c r="B68" s="102"/>
      <c r="O68" s="103"/>
      <c r="S68" s="102"/>
      <c r="AB68" s="28"/>
      <c r="AD68" s="109"/>
      <c r="AE68" s="109"/>
      <c r="AF68" s="109"/>
      <c r="AG68" s="103"/>
    </row>
    <row r="69" spans="2:33" ht="15" customHeight="1" x14ac:dyDescent="0.3">
      <c r="B69" s="102"/>
      <c r="O69" s="103"/>
      <c r="S69" s="102"/>
      <c r="T69" s="128"/>
      <c r="U69" s="128"/>
      <c r="V69" s="128"/>
      <c r="W69" s="128"/>
      <c r="X69" s="128"/>
      <c r="Y69" s="128"/>
      <c r="Z69" s="128"/>
      <c r="AA69" s="128"/>
      <c r="AB69" s="127"/>
      <c r="AC69" s="128"/>
      <c r="AD69" s="378"/>
      <c r="AE69" s="378"/>
      <c r="AF69" s="378"/>
      <c r="AG69" s="103"/>
    </row>
    <row r="70" spans="2:33" ht="15" customHeight="1" x14ac:dyDescent="0.3">
      <c r="B70" s="102"/>
      <c r="O70" s="103"/>
      <c r="S70" s="102"/>
      <c r="T70" s="127" t="s">
        <v>134</v>
      </c>
      <c r="U70" s="127"/>
      <c r="V70" s="128"/>
      <c r="W70" s="127" t="s">
        <v>135</v>
      </c>
      <c r="X70" s="128"/>
      <c r="Y70" s="127" t="s">
        <v>136</v>
      </c>
      <c r="Z70" s="127"/>
      <c r="AA70" s="128"/>
      <c r="AB70" s="127" t="s">
        <v>1350</v>
      </c>
      <c r="AC70" s="127"/>
      <c r="AD70" s="127"/>
      <c r="AE70" s="127"/>
      <c r="AF70" s="127"/>
      <c r="AG70" s="103"/>
    </row>
    <row r="71" spans="2:33" ht="15" customHeight="1" x14ac:dyDescent="0.3">
      <c r="B71" s="102"/>
      <c r="O71" s="103"/>
      <c r="S71" s="102"/>
      <c r="T71" s="18">
        <v>46070</v>
      </c>
      <c r="W71" s="120" t="s">
        <v>1505</v>
      </c>
      <c r="Y71" s="11" t="s">
        <v>1506</v>
      </c>
      <c r="AB71" s="400">
        <v>47440</v>
      </c>
      <c r="AC71" s="120"/>
      <c r="AD71" s="379"/>
      <c r="AE71" s="379"/>
      <c r="AF71" s="379"/>
      <c r="AG71" s="103"/>
    </row>
    <row r="72" spans="2:33" ht="15" customHeight="1" x14ac:dyDescent="0.3">
      <c r="B72" s="102"/>
      <c r="O72" s="103"/>
      <c r="S72" s="102"/>
      <c r="T72" s="130"/>
      <c r="U72" s="130"/>
      <c r="W72" s="121"/>
      <c r="Y72" s="130"/>
      <c r="Z72" s="130"/>
      <c r="AB72" s="121"/>
      <c r="AC72" s="121"/>
      <c r="AD72" s="379"/>
      <c r="AE72" s="379"/>
      <c r="AF72" s="379"/>
      <c r="AG72" s="103"/>
    </row>
    <row r="73" spans="2:33" ht="15" customHeight="1" x14ac:dyDescent="0.3">
      <c r="B73" s="102"/>
      <c r="O73" s="103"/>
      <c r="S73" s="102"/>
      <c r="T73" s="130"/>
      <c r="U73" s="130"/>
      <c r="W73" s="121"/>
      <c r="Y73" s="130"/>
      <c r="Z73" s="130"/>
      <c r="AB73" s="121"/>
      <c r="AC73" s="121"/>
      <c r="AD73" s="379"/>
      <c r="AE73" s="379"/>
      <c r="AF73" s="379"/>
      <c r="AG73" s="103"/>
    </row>
    <row r="74" spans="2:33" ht="15" customHeight="1" x14ac:dyDescent="0.3">
      <c r="B74" s="102"/>
      <c r="O74" s="103"/>
      <c r="S74" s="102"/>
      <c r="T74" s="130"/>
      <c r="U74" s="130"/>
      <c r="W74" s="121"/>
      <c r="Y74" s="130"/>
      <c r="Z74" s="130"/>
      <c r="AB74" s="121"/>
      <c r="AC74" s="121"/>
      <c r="AD74" s="379"/>
      <c r="AE74" s="379"/>
      <c r="AF74" s="379"/>
      <c r="AG74" s="103"/>
    </row>
    <row r="75" spans="2:33" ht="15" customHeight="1" x14ac:dyDescent="0.3">
      <c r="B75" s="102"/>
      <c r="O75" s="103"/>
      <c r="S75" s="102"/>
      <c r="T75" s="1116"/>
      <c r="U75" s="1116"/>
      <c r="W75" s="121"/>
      <c r="Y75" s="1116"/>
      <c r="Z75" s="1116"/>
      <c r="AB75" s="121"/>
      <c r="AC75" s="121"/>
      <c r="AD75" s="1117"/>
      <c r="AE75" s="1117"/>
      <c r="AF75" s="1117"/>
      <c r="AG75" s="103"/>
    </row>
    <row r="76" spans="2:33" ht="15" customHeight="1" x14ac:dyDescent="0.3">
      <c r="B76" s="102"/>
      <c r="O76" s="103"/>
      <c r="S76" s="102"/>
      <c r="AG76" s="103"/>
    </row>
    <row r="77" spans="2:33" ht="15" customHeight="1" thickBot="1" x14ac:dyDescent="0.35">
      <c r="B77" s="105"/>
      <c r="C77" s="106"/>
      <c r="D77" s="106"/>
      <c r="E77" s="106"/>
      <c r="F77" s="106"/>
      <c r="G77" s="106"/>
      <c r="H77" s="106"/>
      <c r="I77" s="106"/>
      <c r="J77" s="106"/>
      <c r="K77" s="106"/>
      <c r="L77" s="106"/>
      <c r="M77" s="106"/>
      <c r="N77" s="106"/>
      <c r="O77" s="107"/>
      <c r="S77" s="105"/>
      <c r="T77" s="106"/>
      <c r="U77" s="106"/>
      <c r="V77" s="106"/>
      <c r="W77" s="106"/>
      <c r="X77" s="106"/>
      <c r="Y77" s="106"/>
      <c r="Z77" s="106"/>
      <c r="AA77" s="106"/>
      <c r="AB77" s="106"/>
      <c r="AC77" s="106"/>
      <c r="AD77" s="106"/>
      <c r="AE77" s="106"/>
      <c r="AF77" s="106"/>
      <c r="AG77" s="107"/>
    </row>
    <row r="78" spans="2:33" ht="15" customHeight="1" thickTop="1" x14ac:dyDescent="0.3"/>
    <row r="79" spans="2:33" ht="15" customHeight="1" x14ac:dyDescent="0.3">
      <c r="S79" s="1108" t="s">
        <v>1291</v>
      </c>
      <c r="T79" s="1109"/>
      <c r="U79" s="1109"/>
      <c r="V79" s="1109"/>
      <c r="W79" s="1109"/>
      <c r="X79" s="1109"/>
      <c r="Y79" s="1109"/>
      <c r="Z79" s="1109"/>
      <c r="AA79" s="1109"/>
      <c r="AB79" s="1109"/>
      <c r="AC79" s="1109"/>
      <c r="AD79" s="1109"/>
      <c r="AE79" s="1109"/>
      <c r="AF79" s="1109"/>
      <c r="AG79" s="1110"/>
    </row>
    <row r="80" spans="2:33" ht="15" customHeight="1" x14ac:dyDescent="0.3">
      <c r="S80" s="1108"/>
      <c r="T80" s="1109"/>
      <c r="U80" s="1109"/>
      <c r="V80" s="1109"/>
      <c r="W80" s="1109"/>
      <c r="X80" s="1109"/>
      <c r="Y80" s="1109"/>
      <c r="Z80" s="1109"/>
      <c r="AA80" s="1109"/>
      <c r="AB80" s="1109"/>
      <c r="AC80" s="1109"/>
      <c r="AD80" s="1109"/>
      <c r="AE80" s="1109"/>
      <c r="AF80" s="1109"/>
      <c r="AG80" s="1110"/>
    </row>
  </sheetData>
  <mergeCells count="65">
    <mergeCell ref="U6:AG6"/>
    <mergeCell ref="T75:U75"/>
    <mergeCell ref="Y75:Z75"/>
    <mergeCell ref="AD75:AF75"/>
    <mergeCell ref="AA42:AG43"/>
    <mergeCell ref="AA44:AG45"/>
    <mergeCell ref="Z44:Z45"/>
    <mergeCell ref="S46:Y47"/>
    <mergeCell ref="S32:Y33"/>
    <mergeCell ref="S34:Y35"/>
    <mergeCell ref="AA34:AG35"/>
    <mergeCell ref="Z34:Z35"/>
    <mergeCell ref="Z46:Z47"/>
    <mergeCell ref="AA46:AG47"/>
    <mergeCell ref="Z38:Z39"/>
    <mergeCell ref="AA38:AG39"/>
    <mergeCell ref="C35:M35"/>
    <mergeCell ref="C36:M36"/>
    <mergeCell ref="S36:Y37"/>
    <mergeCell ref="S10:AG11"/>
    <mergeCell ref="S79:AG80"/>
    <mergeCell ref="Z36:Z37"/>
    <mergeCell ref="AA36:AG37"/>
    <mergeCell ref="AA28:AG29"/>
    <mergeCell ref="AA30:AG31"/>
    <mergeCell ref="AA32:AG33"/>
    <mergeCell ref="Z28:Z29"/>
    <mergeCell ref="Z30:Z31"/>
    <mergeCell ref="Z32:Z33"/>
    <mergeCell ref="Z48:Z49"/>
    <mergeCell ref="AA48:AG49"/>
    <mergeCell ref="S38:Y39"/>
    <mergeCell ref="B9:O9"/>
    <mergeCell ref="E14:F14"/>
    <mergeCell ref="H14:I14"/>
    <mergeCell ref="B23:B31"/>
    <mergeCell ref="C15:L15"/>
    <mergeCell ref="B2:O2"/>
    <mergeCell ref="B3:O3"/>
    <mergeCell ref="B4:O4"/>
    <mergeCell ref="B6:O6"/>
    <mergeCell ref="B5:O5"/>
    <mergeCell ref="AP26:AU28"/>
    <mergeCell ref="AP32:AU33"/>
    <mergeCell ref="AA13:AB13"/>
    <mergeCell ref="AA14:AB14"/>
    <mergeCell ref="U3:AG3"/>
    <mergeCell ref="AP18:AQ18"/>
    <mergeCell ref="AP19:AQ19"/>
    <mergeCell ref="AS19:AT19"/>
    <mergeCell ref="AP22:AU24"/>
    <mergeCell ref="U8:AG8"/>
    <mergeCell ref="U9:AG9"/>
    <mergeCell ref="U7:AG7"/>
    <mergeCell ref="AA19:AF21"/>
    <mergeCell ref="S28:Y29"/>
    <mergeCell ref="S30:Y31"/>
    <mergeCell ref="U4:AG5"/>
    <mergeCell ref="S44:Y45"/>
    <mergeCell ref="S48:Y49"/>
    <mergeCell ref="S40:Y41"/>
    <mergeCell ref="Z40:Z41"/>
    <mergeCell ref="AA40:AG41"/>
    <mergeCell ref="S42:Y43"/>
    <mergeCell ref="Z42:Z43"/>
  </mergeCells>
  <printOptions horizontalCentered="1" verticalCentered="1"/>
  <pageMargins left="0" right="0" top="0" bottom="0" header="0" footer="0"/>
  <pageSetup paperSize="8" scale="64"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25A3-931C-412A-A625-178C33A9D313}">
  <sheetPr codeName="Sayfa10">
    <tabColor rgb="FF92D050"/>
    <pageSetUpPr fitToPage="1"/>
  </sheetPr>
  <dimension ref="B1:AT73"/>
  <sheetViews>
    <sheetView view="pageBreakPreview" topLeftCell="S1" zoomScaleNormal="100" zoomScaleSheetLayoutView="100" workbookViewId="0">
      <selection activeCell="Q27" sqref="Q27"/>
    </sheetView>
  </sheetViews>
  <sheetFormatPr defaultRowHeight="15" customHeight="1" x14ac:dyDescent="0.3"/>
  <cols>
    <col min="1" max="1" width="8.88671875" style="11"/>
    <col min="2" max="18" width="9.33203125" style="11" customWidth="1"/>
    <col min="19" max="19" width="9.77734375" style="11" customWidth="1"/>
    <col min="20" max="20" width="3.77734375" style="11" customWidth="1"/>
    <col min="21" max="27" width="6.77734375" style="11" customWidth="1"/>
    <col min="28" max="31" width="20.77734375" style="11" customWidth="1"/>
    <col min="32" max="32" width="3.77734375" style="11" customWidth="1"/>
    <col min="33" max="33" width="6.77734375" style="11" customWidth="1"/>
    <col min="34" max="34" width="15.44140625" style="11" bestFit="1" customWidth="1"/>
    <col min="35" max="35" width="30.88671875" style="11" customWidth="1"/>
    <col min="36" max="41" width="6.77734375" style="11" customWidth="1"/>
    <col min="42" max="16384" width="8.88671875" style="11"/>
  </cols>
  <sheetData>
    <row r="1" spans="2:34" ht="15" customHeight="1" thickTop="1" x14ac:dyDescent="0.3">
      <c r="B1" s="99"/>
      <c r="C1" s="100"/>
      <c r="D1" s="100"/>
      <c r="E1" s="100"/>
      <c r="F1" s="100"/>
      <c r="G1" s="100"/>
      <c r="H1" s="100"/>
      <c r="I1" s="100"/>
      <c r="J1" s="100"/>
      <c r="K1" s="100"/>
      <c r="L1" s="100"/>
      <c r="M1" s="100"/>
      <c r="N1" s="100"/>
      <c r="O1" s="100"/>
      <c r="P1" s="101"/>
      <c r="S1" s="103"/>
      <c r="T1" s="99"/>
      <c r="U1" s="100"/>
      <c r="V1" s="100"/>
      <c r="W1" s="100"/>
      <c r="X1" s="100"/>
      <c r="Y1" s="100"/>
      <c r="Z1" s="100"/>
      <c r="AA1" s="100"/>
      <c r="AB1" s="100"/>
      <c r="AC1" s="100"/>
      <c r="AD1" s="100"/>
      <c r="AE1" s="100"/>
      <c r="AF1" s="101"/>
    </row>
    <row r="2" spans="2:34" ht="15" customHeight="1" x14ac:dyDescent="0.3">
      <c r="B2" s="1092" t="s">
        <v>118</v>
      </c>
      <c r="C2" s="1088"/>
      <c r="D2" s="1088"/>
      <c r="E2" s="1088"/>
      <c r="F2" s="1088"/>
      <c r="G2" s="1088"/>
      <c r="H2" s="1088"/>
      <c r="I2" s="1088"/>
      <c r="J2" s="1088"/>
      <c r="K2" s="1088"/>
      <c r="L2" s="1088"/>
      <c r="M2" s="1088"/>
      <c r="N2" s="1088"/>
      <c r="O2" s="1088"/>
      <c r="P2" s="1089"/>
      <c r="Q2" s="787"/>
      <c r="R2" s="787"/>
      <c r="T2" s="1092" t="s">
        <v>118</v>
      </c>
      <c r="U2" s="1088"/>
      <c r="V2" s="1088"/>
      <c r="W2" s="1088"/>
      <c r="X2" s="1088"/>
      <c r="Y2" s="1088"/>
      <c r="Z2" s="1088"/>
      <c r="AA2" s="1088"/>
      <c r="AB2" s="1088"/>
      <c r="AC2" s="1088"/>
      <c r="AD2" s="1088"/>
      <c r="AE2" s="1088"/>
      <c r="AF2" s="1089"/>
    </row>
    <row r="3" spans="2:34" ht="15" customHeight="1" x14ac:dyDescent="0.3">
      <c r="B3" s="1093" t="s">
        <v>137</v>
      </c>
      <c r="C3" s="1063"/>
      <c r="D3" s="1063"/>
      <c r="E3" s="1063"/>
      <c r="F3" s="1063"/>
      <c r="G3" s="1063"/>
      <c r="H3" s="1063"/>
      <c r="I3" s="1063"/>
      <c r="J3" s="1063"/>
      <c r="K3" s="1063"/>
      <c r="L3" s="1063"/>
      <c r="M3" s="1063"/>
      <c r="N3" s="1063"/>
      <c r="O3" s="1063"/>
      <c r="P3" s="1094"/>
      <c r="Q3" s="345"/>
      <c r="R3" s="345"/>
      <c r="T3" s="1093" t="s">
        <v>137</v>
      </c>
      <c r="U3" s="1063"/>
      <c r="V3" s="1063"/>
      <c r="W3" s="1063"/>
      <c r="X3" s="1063"/>
      <c r="Y3" s="1063"/>
      <c r="Z3" s="1063"/>
      <c r="AA3" s="1063"/>
      <c r="AB3" s="1063"/>
      <c r="AC3" s="1063"/>
      <c r="AD3" s="1063"/>
      <c r="AE3" s="1063"/>
      <c r="AF3" s="1094"/>
    </row>
    <row r="4" spans="2:34" ht="15" customHeight="1" x14ac:dyDescent="0.3">
      <c r="B4" s="1095" t="s">
        <v>1448</v>
      </c>
      <c r="C4" s="983"/>
      <c r="D4" s="983"/>
      <c r="E4" s="983"/>
      <c r="F4" s="983"/>
      <c r="G4" s="983"/>
      <c r="H4" s="983"/>
      <c r="I4" s="983"/>
      <c r="J4" s="983"/>
      <c r="K4" s="983"/>
      <c r="L4" s="983"/>
      <c r="M4" s="983"/>
      <c r="N4" s="983"/>
      <c r="O4" s="983"/>
      <c r="P4" s="1035"/>
      <c r="Q4" s="229"/>
      <c r="R4" s="229"/>
      <c r="T4" s="1095" t="s">
        <v>1434</v>
      </c>
      <c r="U4" s="983"/>
      <c r="V4" s="983"/>
      <c r="W4" s="983"/>
      <c r="X4" s="983"/>
      <c r="Y4" s="983"/>
      <c r="Z4" s="983"/>
      <c r="AA4" s="983"/>
      <c r="AB4" s="983"/>
      <c r="AC4" s="983"/>
      <c r="AD4" s="983"/>
      <c r="AE4" s="983"/>
      <c r="AF4" s="1035"/>
    </row>
    <row r="5" spans="2:34" ht="15" customHeight="1" x14ac:dyDescent="0.3">
      <c r="B5" s="1095" t="s">
        <v>1435</v>
      </c>
      <c r="C5" s="983"/>
      <c r="D5" s="983"/>
      <c r="E5" s="983"/>
      <c r="F5" s="983"/>
      <c r="G5" s="983"/>
      <c r="H5" s="983"/>
      <c r="I5" s="983"/>
      <c r="J5" s="983"/>
      <c r="K5" s="983"/>
      <c r="L5" s="983"/>
      <c r="M5" s="983"/>
      <c r="N5" s="983"/>
      <c r="O5" s="983"/>
      <c r="P5" s="1035"/>
      <c r="Q5" s="229"/>
      <c r="R5" s="229"/>
      <c r="T5" s="1095" t="s">
        <v>1435</v>
      </c>
      <c r="U5" s="983"/>
      <c r="V5" s="983"/>
      <c r="W5" s="983"/>
      <c r="X5" s="983"/>
      <c r="Y5" s="983"/>
      <c r="Z5" s="983"/>
      <c r="AA5" s="983"/>
      <c r="AB5" s="983"/>
      <c r="AC5" s="983"/>
      <c r="AD5" s="983"/>
      <c r="AE5" s="983"/>
      <c r="AF5" s="1035"/>
    </row>
    <row r="6" spans="2:34" ht="15" customHeight="1" x14ac:dyDescent="0.3">
      <c r="B6" s="1096" t="s">
        <v>37</v>
      </c>
      <c r="C6" s="1010"/>
      <c r="D6" s="1010"/>
      <c r="E6" s="1010"/>
      <c r="F6" s="1010"/>
      <c r="G6" s="1010"/>
      <c r="H6" s="1010"/>
      <c r="I6" s="1010"/>
      <c r="J6" s="1010"/>
      <c r="K6" s="1010"/>
      <c r="L6" s="1010"/>
      <c r="M6" s="1010"/>
      <c r="N6" s="1010"/>
      <c r="O6" s="1010"/>
      <c r="P6" s="1011"/>
      <c r="Q6" s="27"/>
      <c r="R6" s="27"/>
      <c r="T6" s="1096" t="s">
        <v>37</v>
      </c>
      <c r="U6" s="1010"/>
      <c r="V6" s="1010"/>
      <c r="W6" s="1010"/>
      <c r="X6" s="1010"/>
      <c r="Y6" s="1010"/>
      <c r="Z6" s="1010"/>
      <c r="AA6" s="1010"/>
      <c r="AB6" s="1010"/>
      <c r="AC6" s="1010"/>
      <c r="AD6" s="1010"/>
      <c r="AE6" s="1010"/>
      <c r="AF6" s="1011"/>
    </row>
    <row r="7" spans="2:34" ht="15" customHeight="1" x14ac:dyDescent="0.3">
      <c r="B7" s="102"/>
      <c r="P7" s="103"/>
      <c r="T7" s="1095" t="s">
        <v>143</v>
      </c>
      <c r="U7" s="983"/>
      <c r="V7" s="983"/>
      <c r="W7" s="983"/>
      <c r="X7" s="983"/>
      <c r="Y7" s="983"/>
      <c r="Z7" s="983"/>
      <c r="AA7" s="983"/>
      <c r="AB7" s="983"/>
      <c r="AC7" s="983"/>
      <c r="AD7" s="983"/>
      <c r="AE7" s="983"/>
      <c r="AF7" s="1035"/>
    </row>
    <row r="8" spans="2:34" ht="15" customHeight="1" x14ac:dyDescent="0.3">
      <c r="B8" s="553" t="str">
        <f>"Hakediş No: "&amp;Veri!C21&amp;"   Hakediş Tarihi: "&amp;TEXT(Veri!C22,"gg.aa.yyyy")</f>
        <v>Hakediş No: 6   Hakediş Tarihi: 30.04.2026</v>
      </c>
      <c r="C8" s="556"/>
      <c r="D8" s="554"/>
      <c r="E8" s="555"/>
      <c r="F8" s="551"/>
      <c r="G8" s="551"/>
      <c r="H8" s="551"/>
      <c r="I8" s="551"/>
      <c r="J8" s="551"/>
      <c r="K8" s="551"/>
      <c r="L8" s="551"/>
      <c r="M8" s="551"/>
      <c r="N8" s="551"/>
      <c r="O8" s="551"/>
      <c r="P8" s="552"/>
      <c r="Q8" s="112"/>
      <c r="R8" s="112"/>
      <c r="T8" s="115"/>
      <c r="U8" s="112"/>
      <c r="V8" s="112"/>
      <c r="W8" s="112"/>
      <c r="X8" s="112"/>
      <c r="Y8" s="112"/>
      <c r="Z8" s="112"/>
      <c r="AA8" s="112"/>
      <c r="AB8" s="112"/>
      <c r="AC8" s="112"/>
      <c r="AD8" s="112"/>
      <c r="AE8" s="112"/>
      <c r="AF8" s="116"/>
    </row>
    <row r="9" spans="2:34" ht="15" customHeight="1" x14ac:dyDescent="0.3">
      <c r="B9" s="1153" t="s">
        <v>1156</v>
      </c>
      <c r="C9" s="1155" t="s">
        <v>1373</v>
      </c>
      <c r="D9" s="1155"/>
      <c r="E9" s="1155"/>
      <c r="F9" s="1155" t="s">
        <v>1374</v>
      </c>
      <c r="G9" s="1155"/>
      <c r="H9" s="1155"/>
      <c r="I9" s="1155"/>
      <c r="J9" s="1155" t="s">
        <v>1377</v>
      </c>
      <c r="K9" s="1155"/>
      <c r="L9" s="1155" t="s">
        <v>1375</v>
      </c>
      <c r="M9" s="1155"/>
      <c r="N9" s="1155" t="s">
        <v>1376</v>
      </c>
      <c r="O9" s="1155"/>
      <c r="P9" s="1164"/>
      <c r="Q9" s="27"/>
      <c r="R9" s="27"/>
      <c r="T9" s="589"/>
      <c r="U9" s="567" t="str">
        <f>"Hakediş No: "&amp;Veri!C21&amp;"   Hakediş Tarihi: "&amp;TEXT(Veri!C22,"gg.aa.yyyy")</f>
        <v>Hakediş No: 6   Hakediş Tarihi: 30.04.2026</v>
      </c>
      <c r="V9" s="568"/>
      <c r="W9" s="567"/>
      <c r="X9" s="567"/>
      <c r="Y9" s="590"/>
      <c r="Z9" s="590"/>
      <c r="AC9" s="1155" t="s">
        <v>1370</v>
      </c>
      <c r="AD9" s="1155"/>
      <c r="AE9" s="1155"/>
      <c r="AF9" s="103"/>
    </row>
    <row r="10" spans="2:34" ht="15" customHeight="1" x14ac:dyDescent="0.3">
      <c r="B10" s="1154"/>
      <c r="C10" s="1156"/>
      <c r="D10" s="1156"/>
      <c r="E10" s="1156"/>
      <c r="F10" s="1156"/>
      <c r="G10" s="1156"/>
      <c r="H10" s="1156"/>
      <c r="I10" s="1156"/>
      <c r="J10" s="1156"/>
      <c r="K10" s="1156"/>
      <c r="L10" s="1156"/>
      <c r="M10" s="1156"/>
      <c r="N10" s="1156"/>
      <c r="O10" s="1156"/>
      <c r="P10" s="1165"/>
      <c r="Q10" s="27"/>
      <c r="R10" s="27"/>
      <c r="T10" s="102"/>
      <c r="W10" s="111"/>
      <c r="X10" s="1166"/>
      <c r="Y10" s="1166"/>
      <c r="AB10" s="1167" t="s">
        <v>163</v>
      </c>
      <c r="AC10" s="1168" t="s">
        <v>1371</v>
      </c>
      <c r="AD10" s="1168" t="s">
        <v>1159</v>
      </c>
      <c r="AE10" s="1168" t="s">
        <v>1372</v>
      </c>
      <c r="AF10" s="103"/>
    </row>
    <row r="11" spans="2:34" ht="15" customHeight="1" x14ac:dyDescent="0.3">
      <c r="B11" s="1169">
        <v>1</v>
      </c>
      <c r="C11" s="1136"/>
      <c r="D11" s="1170"/>
      <c r="E11" s="1137"/>
      <c r="F11" s="1136"/>
      <c r="G11" s="1170"/>
      <c r="H11" s="1170"/>
      <c r="I11" s="1137"/>
      <c r="J11" s="1136"/>
      <c r="K11" s="1137"/>
      <c r="L11" s="1136"/>
      <c r="M11" s="1137"/>
      <c r="N11" s="1136"/>
      <c r="O11" s="1170"/>
      <c r="P11" s="1171"/>
      <c r="Q11" s="28"/>
      <c r="R11" s="28"/>
      <c r="T11" s="96"/>
      <c r="U11" s="97"/>
      <c r="V11" s="97"/>
      <c r="W11" s="97"/>
      <c r="X11" s="97"/>
      <c r="Y11" s="97"/>
      <c r="Z11" s="97"/>
      <c r="AA11" s="97"/>
      <c r="AB11" s="1167"/>
      <c r="AC11" s="1168"/>
      <c r="AD11" s="1168"/>
      <c r="AE11" s="1168"/>
      <c r="AF11" s="98"/>
    </row>
    <row r="12" spans="2:34" ht="15" customHeight="1" x14ac:dyDescent="0.3">
      <c r="B12" s="1158"/>
      <c r="C12" s="1138"/>
      <c r="D12" s="1117"/>
      <c r="E12" s="1139"/>
      <c r="F12" s="1138"/>
      <c r="G12" s="1117"/>
      <c r="H12" s="1117"/>
      <c r="I12" s="1139"/>
      <c r="J12" s="1138"/>
      <c r="K12" s="1139"/>
      <c r="L12" s="1138"/>
      <c r="M12" s="1139"/>
      <c r="N12" s="1138"/>
      <c r="O12" s="1117"/>
      <c r="P12" s="1163"/>
      <c r="Q12" s="28"/>
      <c r="R12" s="28"/>
      <c r="T12" s="96"/>
      <c r="U12" s="27"/>
      <c r="V12" s="153"/>
      <c r="W12" s="97"/>
      <c r="X12" s="97"/>
      <c r="Y12" s="97"/>
      <c r="Z12" s="97"/>
      <c r="AA12" s="97"/>
      <c r="AB12" s="1167"/>
      <c r="AC12" s="1168"/>
      <c r="AD12" s="1168"/>
      <c r="AE12" s="1168"/>
      <c r="AF12" s="98"/>
    </row>
    <row r="13" spans="2:34" ht="18" customHeight="1" x14ac:dyDescent="0.3">
      <c r="B13" s="1157">
        <v>2</v>
      </c>
      <c r="C13" s="1159"/>
      <c r="D13" s="1160"/>
      <c r="E13" s="1161"/>
      <c r="F13" s="1159"/>
      <c r="G13" s="1160"/>
      <c r="H13" s="1160"/>
      <c r="I13" s="1161"/>
      <c r="J13" s="1159"/>
      <c r="K13" s="1161"/>
      <c r="L13" s="1159"/>
      <c r="M13" s="1161"/>
      <c r="N13" s="1159"/>
      <c r="O13" s="1160"/>
      <c r="P13" s="1162"/>
      <c r="Q13" s="28"/>
      <c r="R13" s="28"/>
      <c r="T13" s="102"/>
      <c r="U13" s="277">
        <v>1</v>
      </c>
      <c r="V13" s="278" t="s">
        <v>144</v>
      </c>
      <c r="W13" s="279"/>
      <c r="X13" s="279"/>
      <c r="Y13" s="279"/>
      <c r="Z13" s="279"/>
      <c r="AA13" s="279"/>
      <c r="AB13" s="280">
        <f>SUM(AB14:AB17)</f>
        <v>14142505792.030001</v>
      </c>
      <c r="AC13" s="280">
        <f>+'Yapılan İşler İcmali'!$R$14</f>
        <v>0</v>
      </c>
      <c r="AD13" s="280">
        <f>+AE13-AC13</f>
        <v>37210860.43</v>
      </c>
      <c r="AE13" s="280">
        <f>+'Yapılan İşler İcmali'!$T$14</f>
        <v>37210860.43</v>
      </c>
      <c r="AF13" s="103"/>
    </row>
    <row r="14" spans="2:34" ht="18" customHeight="1" x14ac:dyDescent="0.3">
      <c r="B14" s="1158"/>
      <c r="C14" s="1138"/>
      <c r="D14" s="1117"/>
      <c r="E14" s="1139"/>
      <c r="F14" s="1138"/>
      <c r="G14" s="1117"/>
      <c r="H14" s="1117"/>
      <c r="I14" s="1139"/>
      <c r="J14" s="1138"/>
      <c r="K14" s="1139"/>
      <c r="L14" s="1138"/>
      <c r="M14" s="1139"/>
      <c r="N14" s="1138"/>
      <c r="O14" s="1117"/>
      <c r="P14" s="1163"/>
      <c r="Q14" s="28"/>
      <c r="R14" s="28"/>
      <c r="T14" s="96"/>
      <c r="U14" s="401" t="s">
        <v>1353</v>
      </c>
      <c r="V14" s="136" t="s">
        <v>145</v>
      </c>
      <c r="W14" s="157"/>
      <c r="X14" s="157"/>
      <c r="Y14" s="157"/>
      <c r="Z14" s="158"/>
      <c r="AA14" s="159"/>
      <c r="AB14" s="162">
        <v>4405699645.8199997</v>
      </c>
      <c r="AC14" s="162">
        <f>+'Yapılan İşler İcmali'!$R$15</f>
        <v>0</v>
      </c>
      <c r="AD14" s="162">
        <f t="shared" ref="AD14:AD33" si="0">+AE14-AC14</f>
        <v>0</v>
      </c>
      <c r="AE14" s="268">
        <f>+'Yapılan İşler İcmali'!$T$15</f>
        <v>0</v>
      </c>
      <c r="AF14" s="98"/>
    </row>
    <row r="15" spans="2:34" ht="18" customHeight="1" x14ac:dyDescent="0.3">
      <c r="B15" s="1157">
        <v>3</v>
      </c>
      <c r="C15" s="1159"/>
      <c r="D15" s="1160"/>
      <c r="E15" s="1161"/>
      <c r="F15" s="1159"/>
      <c r="G15" s="1160"/>
      <c r="H15" s="1160"/>
      <c r="I15" s="1161"/>
      <c r="J15" s="1159"/>
      <c r="K15" s="1161"/>
      <c r="L15" s="1159"/>
      <c r="M15" s="1161"/>
      <c r="N15" s="1159"/>
      <c r="O15" s="1160"/>
      <c r="P15" s="1162"/>
      <c r="Q15" s="28"/>
      <c r="R15" s="28"/>
      <c r="T15" s="96"/>
      <c r="U15" s="402" t="s">
        <v>1356</v>
      </c>
      <c r="V15" s="137" t="s">
        <v>146</v>
      </c>
      <c r="W15" s="154"/>
      <c r="X15" s="154"/>
      <c r="Y15" s="154"/>
      <c r="Z15" s="122"/>
      <c r="AA15" s="124"/>
      <c r="AB15" s="163">
        <v>8608381485.9000015</v>
      </c>
      <c r="AC15" s="163">
        <f>+'Yapılan İşler İcmali'!$R$115</f>
        <v>0</v>
      </c>
      <c r="AD15" s="163">
        <f t="shared" si="0"/>
        <v>37210860.43</v>
      </c>
      <c r="AE15" s="269">
        <f>+'Yapılan İşler İcmali'!$T$115</f>
        <v>37210860.43</v>
      </c>
      <c r="AF15" s="98"/>
      <c r="AH15" s="307"/>
    </row>
    <row r="16" spans="2:34" ht="18" customHeight="1" x14ac:dyDescent="0.3">
      <c r="B16" s="1158"/>
      <c r="C16" s="1138"/>
      <c r="D16" s="1117"/>
      <c r="E16" s="1139"/>
      <c r="F16" s="1138"/>
      <c r="G16" s="1117"/>
      <c r="H16" s="1117"/>
      <c r="I16" s="1139"/>
      <c r="J16" s="1138"/>
      <c r="K16" s="1139"/>
      <c r="L16" s="1138"/>
      <c r="M16" s="1139"/>
      <c r="N16" s="1138"/>
      <c r="O16" s="1117"/>
      <c r="P16" s="1163"/>
      <c r="Q16" s="28"/>
      <c r="R16" s="28"/>
      <c r="T16" s="102"/>
      <c r="U16" s="402" t="s">
        <v>1354</v>
      </c>
      <c r="V16" s="137" t="s">
        <v>147</v>
      </c>
      <c r="W16" s="121"/>
      <c r="X16" s="121"/>
      <c r="Y16" s="121"/>
      <c r="Z16" s="122"/>
      <c r="AA16" s="124"/>
      <c r="AB16" s="163">
        <v>160312500</v>
      </c>
      <c r="AC16" s="163">
        <f>+'Yapılan İşler İcmali'!$R$158</f>
        <v>0</v>
      </c>
      <c r="AD16" s="163">
        <f t="shared" si="0"/>
        <v>0</v>
      </c>
      <c r="AE16" s="269">
        <f>+'Yapılan İşler İcmali'!$T$158</f>
        <v>0</v>
      </c>
      <c r="AF16" s="103"/>
    </row>
    <row r="17" spans="2:46" ht="18" customHeight="1" x14ac:dyDescent="0.3">
      <c r="B17" s="1157">
        <v>4</v>
      </c>
      <c r="C17" s="1159"/>
      <c r="D17" s="1160"/>
      <c r="E17" s="1161"/>
      <c r="F17" s="1159"/>
      <c r="G17" s="1160"/>
      <c r="H17" s="1160"/>
      <c r="I17" s="1161"/>
      <c r="J17" s="1159"/>
      <c r="K17" s="1161"/>
      <c r="L17" s="1159"/>
      <c r="M17" s="1161"/>
      <c r="N17" s="1159"/>
      <c r="O17" s="1160"/>
      <c r="P17" s="1162"/>
      <c r="Q17" s="28"/>
      <c r="R17" s="28"/>
      <c r="T17" s="102"/>
      <c r="U17" s="403" t="s">
        <v>1355</v>
      </c>
      <c r="V17" s="138" t="s">
        <v>148</v>
      </c>
      <c r="W17" s="125"/>
      <c r="X17" s="125"/>
      <c r="Y17" s="125"/>
      <c r="Z17" s="125"/>
      <c r="AA17" s="125"/>
      <c r="AB17" s="164">
        <v>968112160.30999994</v>
      </c>
      <c r="AC17" s="164">
        <f>+'Yapılan İşler İcmali'!$R$183</f>
        <v>0</v>
      </c>
      <c r="AD17" s="164">
        <f t="shared" si="0"/>
        <v>0</v>
      </c>
      <c r="AE17" s="270">
        <f>+'Yapılan İşler İcmali'!$T$183</f>
        <v>0</v>
      </c>
      <c r="AF17" s="103"/>
    </row>
    <row r="18" spans="2:46" ht="18" customHeight="1" x14ac:dyDescent="0.3">
      <c r="B18" s="1158"/>
      <c r="C18" s="1138"/>
      <c r="D18" s="1117"/>
      <c r="E18" s="1139"/>
      <c r="F18" s="1138"/>
      <c r="G18" s="1117"/>
      <c r="H18" s="1117"/>
      <c r="I18" s="1139"/>
      <c r="J18" s="1138"/>
      <c r="K18" s="1139"/>
      <c r="L18" s="1138"/>
      <c r="M18" s="1139"/>
      <c r="N18" s="1138"/>
      <c r="O18" s="1117"/>
      <c r="P18" s="1163"/>
      <c r="Q18" s="28"/>
      <c r="R18" s="28"/>
      <c r="T18" s="102"/>
      <c r="U18" s="404" t="s">
        <v>1357</v>
      </c>
      <c r="V18" s="281" t="s">
        <v>149</v>
      </c>
      <c r="W18" s="282"/>
      <c r="X18" s="282"/>
      <c r="Y18" s="282"/>
      <c r="Z18" s="283"/>
      <c r="AA18" s="284"/>
      <c r="AB18" s="285">
        <v>1424774746</v>
      </c>
      <c r="AC18" s="285">
        <f>+'Yapılan İşler İcmali'!$R$353</f>
        <v>0</v>
      </c>
      <c r="AD18" s="285">
        <f t="shared" si="0"/>
        <v>0</v>
      </c>
      <c r="AE18" s="286">
        <f>+'Yapılan İşler İcmali'!$T$353</f>
        <v>0</v>
      </c>
      <c r="AF18" s="103"/>
      <c r="AH18" s="307"/>
    </row>
    <row r="19" spans="2:46" ht="18" customHeight="1" x14ac:dyDescent="0.3">
      <c r="B19" s="1157">
        <v>5</v>
      </c>
      <c r="C19" s="1159"/>
      <c r="D19" s="1160"/>
      <c r="E19" s="1161"/>
      <c r="F19" s="1159"/>
      <c r="G19" s="1160"/>
      <c r="H19" s="1160"/>
      <c r="I19" s="1161"/>
      <c r="J19" s="1159"/>
      <c r="K19" s="1161"/>
      <c r="L19" s="1159"/>
      <c r="M19" s="1161"/>
      <c r="N19" s="1159"/>
      <c r="O19" s="1160"/>
      <c r="P19" s="1162"/>
      <c r="Q19" s="28"/>
      <c r="R19" s="28"/>
      <c r="T19" s="117"/>
      <c r="U19" s="404" t="s">
        <v>1358</v>
      </c>
      <c r="V19" s="287" t="s">
        <v>150</v>
      </c>
      <c r="W19" s="288"/>
      <c r="X19" s="217"/>
      <c r="Y19" s="289"/>
      <c r="Z19" s="290"/>
      <c r="AA19" s="217"/>
      <c r="AB19" s="291">
        <v>3338487540</v>
      </c>
      <c r="AC19" s="291">
        <f>+'Yapılan İşler İcmali'!$R$489</f>
        <v>0</v>
      </c>
      <c r="AD19" s="291">
        <f t="shared" si="0"/>
        <v>0</v>
      </c>
      <c r="AE19" s="292">
        <f>+'Yapılan İşler İcmali'!$T$489</f>
        <v>0</v>
      </c>
      <c r="AF19" s="103"/>
      <c r="AM19" s="111"/>
      <c r="AN19" s="27"/>
      <c r="AO19" s="104"/>
    </row>
    <row r="20" spans="2:46" ht="18" customHeight="1" x14ac:dyDescent="0.3">
      <c r="B20" s="1158"/>
      <c r="C20" s="1138"/>
      <c r="D20" s="1117"/>
      <c r="E20" s="1139"/>
      <c r="F20" s="1138"/>
      <c r="G20" s="1117"/>
      <c r="H20" s="1117"/>
      <c r="I20" s="1139"/>
      <c r="J20" s="1138"/>
      <c r="K20" s="1139"/>
      <c r="L20" s="1138"/>
      <c r="M20" s="1139"/>
      <c r="N20" s="1138"/>
      <c r="O20" s="1117"/>
      <c r="P20" s="1163"/>
      <c r="Q20" s="28"/>
      <c r="R20" s="28"/>
      <c r="T20" s="117"/>
      <c r="U20" s="404" t="s">
        <v>1359</v>
      </c>
      <c r="V20" s="287" t="s">
        <v>155</v>
      </c>
      <c r="W20" s="290"/>
      <c r="X20" s="290"/>
      <c r="Y20" s="290"/>
      <c r="Z20" s="290"/>
      <c r="AA20" s="290"/>
      <c r="AB20" s="291">
        <v>419129552</v>
      </c>
      <c r="AC20" s="291">
        <f>+'Yapılan İşler İcmali'!$R$523</f>
        <v>0</v>
      </c>
      <c r="AD20" s="291">
        <f t="shared" si="0"/>
        <v>0</v>
      </c>
      <c r="AE20" s="292">
        <f>+'Yapılan İşler İcmali'!$T$523</f>
        <v>0</v>
      </c>
      <c r="AF20" s="103"/>
      <c r="AM20" s="111"/>
      <c r="AN20" s="27"/>
      <c r="AO20" s="1090"/>
      <c r="AP20" s="1090"/>
    </row>
    <row r="21" spans="2:46" ht="18" customHeight="1" x14ac:dyDescent="0.3">
      <c r="B21" s="1157">
        <v>6</v>
      </c>
      <c r="C21" s="1159"/>
      <c r="D21" s="1160"/>
      <c r="E21" s="1161"/>
      <c r="F21" s="1159"/>
      <c r="G21" s="1160"/>
      <c r="H21" s="1160"/>
      <c r="I21" s="1161"/>
      <c r="J21" s="1159"/>
      <c r="K21" s="1161"/>
      <c r="L21" s="1159"/>
      <c r="M21" s="1161"/>
      <c r="N21" s="1159"/>
      <c r="O21" s="1160"/>
      <c r="P21" s="1162"/>
      <c r="Q21" s="28"/>
      <c r="R21" s="28"/>
      <c r="T21" s="102"/>
      <c r="U21" s="404" t="s">
        <v>1360</v>
      </c>
      <c r="V21" s="287" t="s">
        <v>156</v>
      </c>
      <c r="W21" s="288"/>
      <c r="X21" s="217"/>
      <c r="Y21" s="293"/>
      <c r="Z21" s="293"/>
      <c r="AA21" s="289"/>
      <c r="AB21" s="291">
        <v>274307568</v>
      </c>
      <c r="AC21" s="291">
        <f>+'Yapılan İşler İcmali'!$R$659</f>
        <v>0</v>
      </c>
      <c r="AD21" s="291">
        <f t="shared" si="0"/>
        <v>0</v>
      </c>
      <c r="AE21" s="292">
        <f>+'Yapılan İşler İcmali'!$T$659</f>
        <v>0</v>
      </c>
      <c r="AF21" s="103"/>
      <c r="AM21" s="111"/>
      <c r="AN21" s="27"/>
      <c r="AO21" s="1090"/>
      <c r="AP21" s="1090"/>
      <c r="AQ21" s="28"/>
      <c r="AR21" s="1090"/>
      <c r="AS21" s="1024"/>
    </row>
    <row r="22" spans="2:46" ht="18" customHeight="1" x14ac:dyDescent="0.3">
      <c r="B22" s="1158"/>
      <c r="C22" s="1138"/>
      <c r="D22" s="1117"/>
      <c r="E22" s="1139"/>
      <c r="F22" s="1138"/>
      <c r="G22" s="1117"/>
      <c r="H22" s="1117"/>
      <c r="I22" s="1139"/>
      <c r="J22" s="1138"/>
      <c r="K22" s="1139"/>
      <c r="L22" s="1138"/>
      <c r="M22" s="1139"/>
      <c r="N22" s="1138"/>
      <c r="O22" s="1117"/>
      <c r="P22" s="1163"/>
      <c r="Q22" s="28"/>
      <c r="R22" s="28"/>
      <c r="T22" s="117"/>
      <c r="U22" s="404" t="s">
        <v>1361</v>
      </c>
      <c r="V22" s="287" t="s">
        <v>157</v>
      </c>
      <c r="W22" s="288"/>
      <c r="X22" s="217"/>
      <c r="Y22" s="293"/>
      <c r="Z22" s="293"/>
      <c r="AA22" s="217"/>
      <c r="AB22" s="291">
        <v>360484829</v>
      </c>
      <c r="AC22" s="291">
        <f>+'Yapılan İşler İcmali'!$R$693</f>
        <v>0</v>
      </c>
      <c r="AD22" s="291">
        <f t="shared" si="0"/>
        <v>0</v>
      </c>
      <c r="AE22" s="292">
        <f>+'Yapılan İşler İcmali'!$T$693</f>
        <v>0</v>
      </c>
      <c r="AF22" s="103"/>
      <c r="AM22" s="111"/>
      <c r="AN22" s="27"/>
      <c r="AO22" s="108"/>
    </row>
    <row r="23" spans="2:46" ht="18" customHeight="1" x14ac:dyDescent="0.3">
      <c r="B23" s="1157">
        <v>7</v>
      </c>
      <c r="C23" s="1159"/>
      <c r="D23" s="1160"/>
      <c r="E23" s="1161"/>
      <c r="F23" s="1159"/>
      <c r="G23" s="1160"/>
      <c r="H23" s="1160"/>
      <c r="I23" s="1161"/>
      <c r="J23" s="1159"/>
      <c r="K23" s="1161"/>
      <c r="L23" s="1159"/>
      <c r="M23" s="1161"/>
      <c r="N23" s="1159"/>
      <c r="O23" s="1160"/>
      <c r="P23" s="1162"/>
      <c r="Q23" s="28"/>
      <c r="R23" s="28"/>
      <c r="T23" s="117"/>
      <c r="U23" s="404" t="s">
        <v>1362</v>
      </c>
      <c r="V23" s="287" t="s">
        <v>158</v>
      </c>
      <c r="W23" s="288"/>
      <c r="X23" s="217"/>
      <c r="Y23" s="293"/>
      <c r="Z23" s="293"/>
      <c r="AA23" s="217"/>
      <c r="AB23" s="291">
        <v>318420015</v>
      </c>
      <c r="AC23" s="291">
        <f>+'Yapılan İşler İcmali'!$R$761</f>
        <v>0</v>
      </c>
      <c r="AD23" s="291">
        <f t="shared" si="0"/>
        <v>0</v>
      </c>
      <c r="AE23" s="292">
        <f>+'Yapılan İşler İcmali'!$T$761</f>
        <v>0</v>
      </c>
      <c r="AF23" s="103"/>
      <c r="AM23" s="111"/>
      <c r="AN23" s="29"/>
    </row>
    <row r="24" spans="2:46" ht="18" customHeight="1" x14ac:dyDescent="0.3">
      <c r="B24" s="1158"/>
      <c r="C24" s="1138"/>
      <c r="D24" s="1117"/>
      <c r="E24" s="1139"/>
      <c r="F24" s="1138"/>
      <c r="G24" s="1117"/>
      <c r="H24" s="1117"/>
      <c r="I24" s="1139"/>
      <c r="J24" s="1138"/>
      <c r="K24" s="1139"/>
      <c r="L24" s="1138"/>
      <c r="M24" s="1139"/>
      <c r="N24" s="1138"/>
      <c r="O24" s="1117"/>
      <c r="P24" s="1163"/>
      <c r="Q24" s="28"/>
      <c r="R24" s="28"/>
      <c r="T24" s="102"/>
      <c r="U24" s="404" t="s">
        <v>1363</v>
      </c>
      <c r="V24" s="287" t="s">
        <v>159</v>
      </c>
      <c r="W24" s="288"/>
      <c r="X24" s="217"/>
      <c r="Y24" s="290"/>
      <c r="Z24" s="290"/>
      <c r="AA24" s="290"/>
      <c r="AB24" s="291">
        <v>547112411.12</v>
      </c>
      <c r="AC24" s="291">
        <f>+'Yapılan İşler İcmali'!$R$795</f>
        <v>0</v>
      </c>
      <c r="AD24" s="291">
        <f t="shared" si="0"/>
        <v>0</v>
      </c>
      <c r="AE24" s="292">
        <f>+'Yapılan İşler İcmali'!$T$795</f>
        <v>0</v>
      </c>
      <c r="AF24" s="103"/>
      <c r="AM24" s="111"/>
      <c r="AN24" s="27"/>
      <c r="AO24" s="1086"/>
      <c r="AP24" s="1086"/>
      <c r="AQ24" s="1086"/>
      <c r="AR24" s="1086"/>
      <c r="AS24" s="1086"/>
      <c r="AT24" s="1086"/>
    </row>
    <row r="25" spans="2:46" ht="18" customHeight="1" x14ac:dyDescent="0.3">
      <c r="B25" s="1157">
        <v>8</v>
      </c>
      <c r="C25" s="1159"/>
      <c r="D25" s="1160"/>
      <c r="E25" s="1161"/>
      <c r="F25" s="1159"/>
      <c r="G25" s="1160"/>
      <c r="H25" s="1160"/>
      <c r="I25" s="1161"/>
      <c r="J25" s="1159"/>
      <c r="K25" s="1161"/>
      <c r="L25" s="1159"/>
      <c r="M25" s="1161"/>
      <c r="N25" s="1159"/>
      <c r="O25" s="1160"/>
      <c r="P25" s="1162"/>
      <c r="Q25" s="28"/>
      <c r="R25" s="28"/>
      <c r="T25" s="117"/>
      <c r="U25" s="404" t="s">
        <v>1364</v>
      </c>
      <c r="V25" s="287" t="s">
        <v>160</v>
      </c>
      <c r="W25" s="288"/>
      <c r="X25" s="263"/>
      <c r="Y25" s="290"/>
      <c r="Z25" s="290"/>
      <c r="AA25" s="217"/>
      <c r="AB25" s="291">
        <v>221794750</v>
      </c>
      <c r="AC25" s="291">
        <f>+'Yapılan İşler İcmali'!$R$829</f>
        <v>0</v>
      </c>
      <c r="AD25" s="291">
        <f t="shared" si="0"/>
        <v>0</v>
      </c>
      <c r="AE25" s="292">
        <f>+'Yapılan İşler İcmali'!$T$829</f>
        <v>0</v>
      </c>
      <c r="AF25" s="103"/>
      <c r="AM25" s="111"/>
      <c r="AN25" s="29"/>
      <c r="AO25" s="1086"/>
      <c r="AP25" s="1086"/>
      <c r="AQ25" s="1086"/>
      <c r="AR25" s="1086"/>
      <c r="AS25" s="1086"/>
      <c r="AT25" s="1086"/>
    </row>
    <row r="26" spans="2:46" ht="18" customHeight="1" x14ac:dyDescent="0.3">
      <c r="B26" s="1158"/>
      <c r="C26" s="1138"/>
      <c r="D26" s="1117"/>
      <c r="E26" s="1139"/>
      <c r="F26" s="1138"/>
      <c r="G26" s="1117"/>
      <c r="H26" s="1117"/>
      <c r="I26" s="1139"/>
      <c r="J26" s="1138"/>
      <c r="K26" s="1139"/>
      <c r="L26" s="1138"/>
      <c r="M26" s="1139"/>
      <c r="N26" s="1138"/>
      <c r="O26" s="1117"/>
      <c r="P26" s="1163"/>
      <c r="Q26" s="28"/>
      <c r="R26" s="28"/>
      <c r="T26" s="117"/>
      <c r="U26" s="404" t="s">
        <v>1365</v>
      </c>
      <c r="V26" s="287" t="s">
        <v>161</v>
      </c>
      <c r="W26" s="288"/>
      <c r="X26" s="263"/>
      <c r="Y26" s="290"/>
      <c r="Z26" s="290"/>
      <c r="AA26" s="217"/>
      <c r="AB26" s="291">
        <v>785843796.85000002</v>
      </c>
      <c r="AC26" s="291">
        <f>+'Yapılan İşler İcmali'!$R$866</f>
        <v>0</v>
      </c>
      <c r="AD26" s="291">
        <f t="shared" si="0"/>
        <v>0</v>
      </c>
      <c r="AE26" s="292">
        <f>+'Yapılan İşler İcmali'!$T$866</f>
        <v>0</v>
      </c>
      <c r="AF26" s="103"/>
      <c r="AM26" s="111"/>
      <c r="AN26" s="29"/>
      <c r="AO26" s="1086"/>
      <c r="AP26" s="1086"/>
      <c r="AQ26" s="1086"/>
      <c r="AR26" s="1086"/>
      <c r="AS26" s="1086"/>
      <c r="AT26" s="1086"/>
    </row>
    <row r="27" spans="2:46" ht="18" customHeight="1" x14ac:dyDescent="0.3">
      <c r="B27" s="1172">
        <v>9</v>
      </c>
      <c r="C27" s="1174"/>
      <c r="D27" s="1175"/>
      <c r="E27" s="1176"/>
      <c r="F27" s="1174"/>
      <c r="G27" s="1175"/>
      <c r="H27" s="1175"/>
      <c r="I27" s="1176"/>
      <c r="J27" s="1174"/>
      <c r="K27" s="1176"/>
      <c r="L27" s="1174"/>
      <c r="M27" s="1176"/>
      <c r="N27" s="1174"/>
      <c r="O27" s="1175"/>
      <c r="P27" s="1177"/>
      <c r="Q27" s="28"/>
      <c r="R27" s="28"/>
      <c r="T27" s="117"/>
      <c r="U27" s="404" t="s">
        <v>1366</v>
      </c>
      <c r="V27" s="287" t="s">
        <v>139</v>
      </c>
      <c r="W27" s="263"/>
      <c r="X27" s="263"/>
      <c r="Y27" s="290"/>
      <c r="Z27" s="290"/>
      <c r="AA27" s="217"/>
      <c r="AB27" s="291">
        <v>75000000</v>
      </c>
      <c r="AC27" s="291">
        <f>+'Yapılan İşler İcmali'!$R$1036</f>
        <v>0</v>
      </c>
      <c r="AD27" s="291">
        <f t="shared" si="0"/>
        <v>0</v>
      </c>
      <c r="AE27" s="292">
        <f>+'Yapılan İşler İcmali'!$T$1036</f>
        <v>0</v>
      </c>
      <c r="AF27" s="103"/>
      <c r="AM27" s="29"/>
      <c r="AN27" s="29"/>
    </row>
    <row r="28" spans="2:46" ht="18" customHeight="1" x14ac:dyDescent="0.3">
      <c r="B28" s="1172"/>
      <c r="C28" s="1174"/>
      <c r="D28" s="1175"/>
      <c r="E28" s="1176"/>
      <c r="F28" s="1174"/>
      <c r="G28" s="1175"/>
      <c r="H28" s="1175"/>
      <c r="I28" s="1176"/>
      <c r="J28" s="1174"/>
      <c r="K28" s="1176"/>
      <c r="L28" s="1174"/>
      <c r="M28" s="1176"/>
      <c r="N28" s="1174"/>
      <c r="O28" s="1175"/>
      <c r="P28" s="1177"/>
      <c r="Q28" s="28"/>
      <c r="R28" s="28"/>
      <c r="T28" s="117"/>
      <c r="U28" s="404" t="s">
        <v>1367</v>
      </c>
      <c r="V28" s="294" t="s">
        <v>162</v>
      </c>
      <c r="W28" s="288"/>
      <c r="X28" s="217"/>
      <c r="Y28" s="290"/>
      <c r="Z28" s="290"/>
      <c r="AA28" s="217"/>
      <c r="AB28" s="291">
        <v>75000000</v>
      </c>
      <c r="AC28" s="291">
        <f>+'Yapılan İşler İcmali'!$R$1038</f>
        <v>0</v>
      </c>
      <c r="AD28" s="291">
        <f t="shared" si="0"/>
        <v>0</v>
      </c>
      <c r="AE28" s="292">
        <f>+'Yapılan İşler İcmali'!$T$1038</f>
        <v>0</v>
      </c>
      <c r="AF28" s="103"/>
      <c r="AM28" s="111"/>
      <c r="AN28" s="27"/>
      <c r="AO28" s="1086"/>
      <c r="AP28" s="1086"/>
      <c r="AQ28" s="1086"/>
      <c r="AR28" s="1086"/>
      <c r="AS28" s="1086"/>
      <c r="AT28" s="1086"/>
    </row>
    <row r="29" spans="2:46" ht="18" customHeight="1" x14ac:dyDescent="0.3">
      <c r="B29" s="1172">
        <v>10</v>
      </c>
      <c r="C29" s="1140"/>
      <c r="D29" s="1140"/>
      <c r="E29" s="1140"/>
      <c r="F29" s="1140"/>
      <c r="G29" s="1140"/>
      <c r="H29" s="1140"/>
      <c r="I29" s="1140"/>
      <c r="J29" s="1140"/>
      <c r="K29" s="1140"/>
      <c r="L29" s="1140"/>
      <c r="M29" s="1140"/>
      <c r="N29" s="1140"/>
      <c r="O29" s="1140"/>
      <c r="P29" s="1142"/>
      <c r="Q29" s="27"/>
      <c r="R29" s="27"/>
      <c r="T29" s="117"/>
      <c r="U29" s="165" t="s">
        <v>141</v>
      </c>
      <c r="V29" s="166" t="s">
        <v>164</v>
      </c>
      <c r="W29" s="167"/>
      <c r="X29" s="167"/>
      <c r="Y29" s="167"/>
      <c r="Z29" s="167"/>
      <c r="AA29" s="168"/>
      <c r="AB29" s="169">
        <f>SUM(AB14:AB28)</f>
        <v>21982860999.999996</v>
      </c>
      <c r="AC29" s="271">
        <f t="shared" ref="AC29:AE29" si="1">SUM(AC14:AC28)</f>
        <v>0</v>
      </c>
      <c r="AD29" s="271">
        <f t="shared" si="0"/>
        <v>37210860.43</v>
      </c>
      <c r="AE29" s="272">
        <f t="shared" si="1"/>
        <v>37210860.43</v>
      </c>
      <c r="AF29" s="103"/>
      <c r="AI29" s="307"/>
      <c r="AO29" s="1086"/>
      <c r="AP29" s="1086"/>
      <c r="AQ29" s="1086"/>
      <c r="AR29" s="1086"/>
      <c r="AS29" s="1086"/>
      <c r="AT29" s="1086"/>
    </row>
    <row r="30" spans="2:46" ht="4.95" customHeight="1" x14ac:dyDescent="0.3">
      <c r="B30" s="1172"/>
      <c r="C30" s="1140"/>
      <c r="D30" s="1140"/>
      <c r="E30" s="1140"/>
      <c r="F30" s="1140"/>
      <c r="G30" s="1140"/>
      <c r="H30" s="1140"/>
      <c r="I30" s="1140"/>
      <c r="J30" s="1140"/>
      <c r="K30" s="1140"/>
      <c r="L30" s="1140"/>
      <c r="M30" s="1140"/>
      <c r="N30" s="1140"/>
      <c r="O30" s="1140"/>
      <c r="P30" s="1142"/>
      <c r="Q30" s="27"/>
      <c r="R30" s="27"/>
      <c r="T30" s="117"/>
      <c r="AA30" s="27"/>
      <c r="AB30" s="18"/>
      <c r="AC30" s="18"/>
      <c r="AE30" s="110"/>
      <c r="AF30" s="103"/>
      <c r="AO30" s="1086"/>
      <c r="AP30" s="1086"/>
      <c r="AQ30" s="1086"/>
      <c r="AR30" s="1086"/>
      <c r="AS30" s="1086"/>
      <c r="AT30" s="1086"/>
    </row>
    <row r="31" spans="2:46" ht="18" customHeight="1" x14ac:dyDescent="0.3">
      <c r="B31" s="1172"/>
      <c r="C31" s="1140"/>
      <c r="D31" s="1140"/>
      <c r="E31" s="1140"/>
      <c r="F31" s="1140"/>
      <c r="G31" s="1140"/>
      <c r="H31" s="1140"/>
      <c r="I31" s="1140"/>
      <c r="J31" s="1140"/>
      <c r="K31" s="1140"/>
      <c r="L31" s="1140"/>
      <c r="M31" s="1140"/>
      <c r="N31" s="1140"/>
      <c r="O31" s="1140"/>
      <c r="P31" s="1142"/>
      <c r="Q31" s="27"/>
      <c r="R31" s="27"/>
      <c r="T31" s="117"/>
      <c r="U31" s="165" t="s">
        <v>166</v>
      </c>
      <c r="V31" s="166" t="s">
        <v>165</v>
      </c>
      <c r="W31" s="167"/>
      <c r="X31" s="167"/>
      <c r="Y31" s="167"/>
      <c r="Z31" s="167"/>
      <c r="AA31" s="170"/>
      <c r="AB31" s="171"/>
      <c r="AC31" s="271">
        <v>0</v>
      </c>
      <c r="AD31" s="271">
        <f t="shared" si="0"/>
        <v>0</v>
      </c>
      <c r="AE31" s="272">
        <v>0</v>
      </c>
      <c r="AF31" s="103"/>
    </row>
    <row r="32" spans="2:46" ht="4.95" customHeight="1" x14ac:dyDescent="0.3">
      <c r="B32" s="1172">
        <v>11</v>
      </c>
      <c r="C32" s="1140"/>
      <c r="D32" s="1140"/>
      <c r="E32" s="1140"/>
      <c r="F32" s="1140"/>
      <c r="G32" s="1140"/>
      <c r="H32" s="1140"/>
      <c r="I32" s="1140"/>
      <c r="J32" s="1140"/>
      <c r="K32" s="1140"/>
      <c r="L32" s="1140"/>
      <c r="M32" s="1140"/>
      <c r="N32" s="1140"/>
      <c r="O32" s="1140"/>
      <c r="P32" s="1142"/>
      <c r="Q32" s="27"/>
      <c r="R32" s="27"/>
      <c r="T32" s="117"/>
      <c r="W32" s="111"/>
      <c r="X32" s="27"/>
      <c r="Y32" s="4"/>
      <c r="AA32" s="27"/>
      <c r="AF32" s="103"/>
      <c r="AM32" s="111"/>
      <c r="AN32" s="27"/>
      <c r="AO32" s="4"/>
    </row>
    <row r="33" spans="2:46" ht="18" customHeight="1" x14ac:dyDescent="0.3">
      <c r="B33" s="1172"/>
      <c r="C33" s="1140"/>
      <c r="D33" s="1140"/>
      <c r="E33" s="1140"/>
      <c r="F33" s="1140"/>
      <c r="G33" s="1140"/>
      <c r="H33" s="1140"/>
      <c r="I33" s="1140"/>
      <c r="J33" s="1140"/>
      <c r="K33" s="1140"/>
      <c r="L33" s="1140"/>
      <c r="M33" s="1140"/>
      <c r="N33" s="1140"/>
      <c r="O33" s="1140"/>
      <c r="P33" s="1142"/>
      <c r="Q33" s="27"/>
      <c r="R33" s="27"/>
      <c r="T33" s="117"/>
      <c r="U33" s="165"/>
      <c r="V33" s="166" t="s">
        <v>167</v>
      </c>
      <c r="W33" s="167"/>
      <c r="X33" s="167"/>
      <c r="Y33" s="167"/>
      <c r="Z33" s="167"/>
      <c r="AA33" s="170"/>
      <c r="AB33" s="172"/>
      <c r="AC33" s="271">
        <f>+AC29+AC31</f>
        <v>0</v>
      </c>
      <c r="AD33" s="271">
        <f t="shared" si="0"/>
        <v>37210860.43</v>
      </c>
      <c r="AE33" s="272">
        <f>+AE29+AE31</f>
        <v>37210860.43</v>
      </c>
      <c r="AF33" s="103"/>
    </row>
    <row r="34" spans="2:46" ht="4.95" customHeight="1" x14ac:dyDescent="0.3">
      <c r="B34" s="1172"/>
      <c r="C34" s="1140"/>
      <c r="D34" s="1140"/>
      <c r="E34" s="1140"/>
      <c r="F34" s="1140"/>
      <c r="G34" s="1140"/>
      <c r="H34" s="1140"/>
      <c r="I34" s="1140"/>
      <c r="J34" s="1140"/>
      <c r="K34" s="1140"/>
      <c r="L34" s="1140"/>
      <c r="M34" s="1140"/>
      <c r="N34" s="1140"/>
      <c r="O34" s="1140"/>
      <c r="P34" s="1142"/>
      <c r="Q34" s="27"/>
      <c r="R34" s="27"/>
      <c r="T34" s="117"/>
      <c r="W34" s="111"/>
      <c r="X34" s="27"/>
      <c r="AA34" s="27"/>
      <c r="AE34" s="110"/>
      <c r="AF34" s="103"/>
      <c r="AM34" s="111"/>
      <c r="AN34" s="27"/>
      <c r="AO34" s="1086"/>
      <c r="AP34" s="1086"/>
      <c r="AQ34" s="1086"/>
      <c r="AR34" s="1086"/>
      <c r="AS34" s="1086"/>
      <c r="AT34" s="1086"/>
    </row>
    <row r="35" spans="2:46" ht="18" customHeight="1" x14ac:dyDescent="0.3">
      <c r="B35" s="1173"/>
      <c r="C35" s="1141"/>
      <c r="D35" s="1141"/>
      <c r="E35" s="1141"/>
      <c r="F35" s="1141"/>
      <c r="G35" s="1141"/>
      <c r="H35" s="1141"/>
      <c r="I35" s="1141"/>
      <c r="J35" s="1141"/>
      <c r="K35" s="1141"/>
      <c r="L35" s="1141"/>
      <c r="M35" s="1141"/>
      <c r="N35" s="1141"/>
      <c r="O35" s="1141"/>
      <c r="P35" s="1143"/>
      <c r="Q35" s="27"/>
      <c r="R35" s="27"/>
      <c r="T35" s="117"/>
      <c r="U35" s="165" t="s">
        <v>168</v>
      </c>
      <c r="V35" s="166" t="s">
        <v>1368</v>
      </c>
      <c r="W35" s="167"/>
      <c r="X35" s="167"/>
      <c r="Y35" s="167"/>
      <c r="Z35" s="167"/>
      <c r="AA35" s="170"/>
      <c r="AB35" s="171"/>
      <c r="AC35" s="271">
        <f>+'Fiyat Farkı İcmal'!P43</f>
        <v>0</v>
      </c>
      <c r="AD35" s="271">
        <f>+'Fiyat Farkı İcmal'!Q43</f>
        <v>10372185</v>
      </c>
      <c r="AE35" s="272">
        <f>+'Fiyat Farkı İcmal'!R43</f>
        <v>10372185</v>
      </c>
      <c r="AF35" s="103"/>
      <c r="AO35" s="1086"/>
      <c r="AP35" s="1086"/>
      <c r="AQ35" s="1086"/>
      <c r="AR35" s="1086"/>
      <c r="AS35" s="1086"/>
      <c r="AT35" s="1086"/>
    </row>
    <row r="36" spans="2:46" ht="4.95" customHeight="1" x14ac:dyDescent="0.3">
      <c r="B36" s="502"/>
      <c r="C36" s="506"/>
      <c r="D36" s="506"/>
      <c r="E36" s="506"/>
      <c r="F36" s="506"/>
      <c r="G36" s="506"/>
      <c r="H36" s="506"/>
      <c r="I36" s="506"/>
      <c r="J36" s="506"/>
      <c r="K36" s="506"/>
      <c r="L36" s="506"/>
      <c r="M36" s="506"/>
      <c r="N36" s="506"/>
      <c r="O36" s="506"/>
      <c r="P36" s="507"/>
      <c r="Q36" s="29"/>
      <c r="R36" s="29"/>
      <c r="T36" s="117"/>
      <c r="AA36" s="27"/>
      <c r="AF36" s="103"/>
    </row>
    <row r="37" spans="2:46" ht="18" customHeight="1" x14ac:dyDescent="0.3">
      <c r="B37" s="501"/>
      <c r="C37" s="503"/>
      <c r="D37" s="503"/>
      <c r="E37" s="503"/>
      <c r="F37" s="503"/>
      <c r="G37" s="503"/>
      <c r="H37" s="503"/>
      <c r="I37" s="503"/>
      <c r="J37" s="503"/>
      <c r="K37" s="503"/>
      <c r="L37" s="504" t="s">
        <v>1160</v>
      </c>
      <c r="M37" s="505"/>
      <c r="N37" s="1150">
        <f>ROUND(SUM(N11:P36),2)</f>
        <v>0</v>
      </c>
      <c r="O37" s="1151"/>
      <c r="P37" s="1152"/>
      <c r="Q37" s="791"/>
      <c r="R37" s="791"/>
      <c r="T37" s="102"/>
      <c r="U37" s="165" t="s">
        <v>169</v>
      </c>
      <c r="V37" s="166" t="s">
        <v>1369</v>
      </c>
      <c r="W37" s="167"/>
      <c r="X37" s="167"/>
      <c r="Y37" s="167"/>
      <c r="Z37" s="167"/>
      <c r="AA37" s="170"/>
      <c r="AB37" s="171"/>
      <c r="AC37" s="271">
        <f>SUM(AC38:AC39)</f>
        <v>0</v>
      </c>
      <c r="AD37" s="271">
        <f t="shared" ref="AD37:AE37" si="2">SUM(AD38:AD39)</f>
        <v>0</v>
      </c>
      <c r="AE37" s="271">
        <f t="shared" si="2"/>
        <v>0</v>
      </c>
      <c r="AF37" s="103"/>
    </row>
    <row r="38" spans="2:46" ht="18" customHeight="1" x14ac:dyDescent="0.3">
      <c r="B38" s="501"/>
      <c r="C38" s="503"/>
      <c r="D38" s="503"/>
      <c r="E38" s="503"/>
      <c r="F38" s="503"/>
      <c r="G38" s="503"/>
      <c r="H38" s="503"/>
      <c r="I38" s="503"/>
      <c r="J38" s="503"/>
      <c r="K38" s="503"/>
      <c r="L38" s="504" t="s">
        <v>1158</v>
      </c>
      <c r="M38" s="505"/>
      <c r="N38" s="1150">
        <v>0</v>
      </c>
      <c r="O38" s="1151"/>
      <c r="P38" s="1152"/>
      <c r="Q38" s="791"/>
      <c r="R38" s="791"/>
      <c r="T38" s="102"/>
      <c r="U38" s="408"/>
      <c r="V38" s="156" t="s">
        <v>1378</v>
      </c>
      <c r="W38" s="409"/>
      <c r="X38" s="409"/>
      <c r="Y38" s="409"/>
      <c r="Z38" s="409"/>
      <c r="AA38" s="155"/>
      <c r="AB38" s="410"/>
      <c r="AC38" s="411">
        <v>0</v>
      </c>
      <c r="AD38" s="411">
        <v>0</v>
      </c>
      <c r="AE38" s="412">
        <v>0</v>
      </c>
      <c r="AF38" s="103"/>
    </row>
    <row r="39" spans="2:46" ht="18" customHeight="1" x14ac:dyDescent="0.3">
      <c r="B39" s="1128"/>
      <c r="C39" s="1130"/>
      <c r="D39" s="1130"/>
      <c r="E39" s="1130"/>
      <c r="F39" s="1130"/>
      <c r="G39" s="1130"/>
      <c r="H39" s="1130"/>
      <c r="I39" s="1130"/>
      <c r="J39" s="1130"/>
      <c r="K39" s="1130"/>
      <c r="L39" s="1132" t="s">
        <v>1159</v>
      </c>
      <c r="M39" s="1133"/>
      <c r="N39" s="1144">
        <f>ROUND(+N37-N38,2)</f>
        <v>0</v>
      </c>
      <c r="O39" s="1145"/>
      <c r="P39" s="1146"/>
      <c r="Q39" s="791"/>
      <c r="R39" s="791"/>
      <c r="T39" s="102"/>
      <c r="U39" s="408"/>
      <c r="V39" s="156" t="s">
        <v>1379</v>
      </c>
      <c r="W39" s="409"/>
      <c r="X39" s="409"/>
      <c r="Y39" s="409"/>
      <c r="Z39" s="409"/>
      <c r="AA39" s="155"/>
      <c r="AB39" s="410"/>
      <c r="AC39" s="411">
        <v>0</v>
      </c>
      <c r="AD39" s="411">
        <v>0</v>
      </c>
      <c r="AE39" s="412">
        <v>0</v>
      </c>
      <c r="AF39" s="103"/>
    </row>
    <row r="40" spans="2:46" ht="4.95" customHeight="1" x14ac:dyDescent="0.3">
      <c r="B40" s="1129"/>
      <c r="C40" s="1131"/>
      <c r="D40" s="1131"/>
      <c r="E40" s="1131"/>
      <c r="F40" s="1131"/>
      <c r="G40" s="1131"/>
      <c r="H40" s="1131"/>
      <c r="I40" s="1131"/>
      <c r="J40" s="1131"/>
      <c r="K40" s="1131"/>
      <c r="L40" s="1134"/>
      <c r="M40" s="1135"/>
      <c r="N40" s="1147"/>
      <c r="O40" s="1148"/>
      <c r="P40" s="1149"/>
      <c r="Q40" s="791"/>
      <c r="R40" s="791"/>
      <c r="T40" s="102"/>
      <c r="U40" s="111"/>
      <c r="V40" s="29"/>
      <c r="AA40" s="27"/>
      <c r="AB40" s="405"/>
      <c r="AC40" s="406"/>
      <c r="AD40" s="406"/>
      <c r="AE40" s="407"/>
      <c r="AF40" s="103"/>
    </row>
    <row r="41" spans="2:46" ht="18" customHeight="1" x14ac:dyDescent="0.3">
      <c r="B41" s="102"/>
      <c r="P41" s="103"/>
      <c r="T41" s="102"/>
      <c r="U41" s="165" t="s">
        <v>170</v>
      </c>
      <c r="V41" s="166" t="s">
        <v>1380</v>
      </c>
      <c r="W41" s="167"/>
      <c r="X41" s="167"/>
      <c r="Y41" s="167"/>
      <c r="Z41" s="167"/>
      <c r="AA41" s="170"/>
      <c r="AB41" s="171"/>
      <c r="AC41" s="271">
        <f>+AC29+AC31+AC35-AC37</f>
        <v>0</v>
      </c>
      <c r="AD41" s="271">
        <f>+AD29+AD31+AD35-AD37</f>
        <v>47583045.43</v>
      </c>
      <c r="AE41" s="272">
        <f>+AE29+AE31+AE35-AE37</f>
        <v>47583045.43</v>
      </c>
      <c r="AF41" s="103"/>
    </row>
    <row r="42" spans="2:46" ht="15" customHeight="1" x14ac:dyDescent="0.3">
      <c r="B42" s="102"/>
      <c r="P42" s="103"/>
      <c r="T42" s="102"/>
      <c r="U42" s="132"/>
      <c r="V42" s="132"/>
      <c r="W42" s="132"/>
      <c r="X42" s="132"/>
      <c r="Y42" s="132"/>
      <c r="Z42" s="132"/>
      <c r="AA42" s="132"/>
      <c r="AB42" s="132"/>
      <c r="AC42" s="132"/>
      <c r="AD42" s="132"/>
      <c r="AE42" s="132"/>
      <c r="AF42" s="103"/>
    </row>
    <row r="43" spans="2:46" ht="15" customHeight="1" x14ac:dyDescent="0.3">
      <c r="B43" s="102"/>
      <c r="P43" s="103"/>
      <c r="T43" s="102"/>
      <c r="U43" s="29"/>
      <c r="V43" s="29"/>
      <c r="W43" s="29"/>
      <c r="X43" s="29"/>
      <c r="Y43" s="29"/>
      <c r="Z43" s="129"/>
      <c r="AA43" s="129"/>
      <c r="AB43" s="129"/>
      <c r="AC43" s="29"/>
      <c r="AD43" s="29"/>
      <c r="AE43" s="29"/>
      <c r="AF43" s="103"/>
    </row>
    <row r="44" spans="2:46" ht="15" customHeight="1" x14ac:dyDescent="0.3">
      <c r="B44" s="102"/>
      <c r="P44" s="103"/>
      <c r="T44" s="102"/>
      <c r="U44" s="29"/>
      <c r="V44" s="29"/>
      <c r="W44" s="29"/>
      <c r="X44" s="29"/>
      <c r="Y44" s="29"/>
      <c r="Z44" s="129"/>
      <c r="AA44" s="129"/>
      <c r="AB44" s="129"/>
      <c r="AC44" s="29"/>
      <c r="AD44" s="29"/>
      <c r="AE44" s="29"/>
      <c r="AF44" s="103"/>
    </row>
    <row r="45" spans="2:46" ht="15" customHeight="1" x14ac:dyDescent="0.3">
      <c r="B45" s="102"/>
      <c r="P45" s="103"/>
      <c r="T45" s="102"/>
      <c r="U45" s="29"/>
      <c r="V45" s="29"/>
      <c r="W45" s="29"/>
      <c r="X45" s="29"/>
      <c r="Y45" s="29"/>
      <c r="Z45" s="129"/>
      <c r="AA45" s="129"/>
      <c r="AB45" s="129"/>
      <c r="AC45" s="29"/>
      <c r="AD45" s="29"/>
      <c r="AE45" s="29"/>
      <c r="AF45" s="103"/>
    </row>
    <row r="46" spans="2:46" ht="15" customHeight="1" x14ac:dyDescent="0.25">
      <c r="B46" s="102"/>
      <c r="P46" s="103"/>
      <c r="T46" s="102"/>
      <c r="U46" s="275"/>
      <c r="V46" s="275"/>
      <c r="W46" s="275"/>
      <c r="X46" s="275"/>
      <c r="Y46" s="275"/>
      <c r="Z46" s="276"/>
      <c r="AA46" s="276"/>
      <c r="AB46" s="276"/>
      <c r="AC46" s="275"/>
      <c r="AD46" s="275"/>
      <c r="AE46" s="275"/>
      <c r="AF46" s="103"/>
    </row>
    <row r="47" spans="2:46" ht="15" customHeight="1" x14ac:dyDescent="0.3">
      <c r="B47" s="102"/>
      <c r="P47" s="103"/>
      <c r="T47" s="102"/>
      <c r="U47" s="275"/>
      <c r="V47" s="275"/>
      <c r="W47" s="129"/>
      <c r="X47" s="131"/>
      <c r="Y47" s="131"/>
      <c r="Z47" s="129"/>
      <c r="AA47" s="131"/>
      <c r="AB47" s="131"/>
      <c r="AC47" s="131"/>
      <c r="AD47" s="129"/>
      <c r="AE47" s="131"/>
      <c r="AF47" s="103"/>
    </row>
    <row r="48" spans="2:46" ht="15" customHeight="1" x14ac:dyDescent="0.3">
      <c r="B48" s="102"/>
      <c r="P48" s="103"/>
      <c r="T48" s="102"/>
      <c r="U48" s="131"/>
      <c r="V48" s="131"/>
      <c r="W48" s="129"/>
      <c r="X48" s="131"/>
      <c r="Y48" s="131"/>
      <c r="Z48" s="129"/>
      <c r="AA48" s="131"/>
      <c r="AB48" s="131"/>
      <c r="AC48" s="131"/>
      <c r="AD48" s="129"/>
      <c r="AE48" s="131"/>
      <c r="AF48" s="103"/>
    </row>
    <row r="49" spans="2:32" ht="15" customHeight="1" x14ac:dyDescent="0.3">
      <c r="B49" s="102"/>
      <c r="P49" s="103"/>
      <c r="T49" s="102"/>
      <c r="AF49" s="103"/>
    </row>
    <row r="50" spans="2:32" ht="15" customHeight="1" x14ac:dyDescent="0.3">
      <c r="B50" s="102"/>
      <c r="P50" s="103"/>
      <c r="T50" s="102"/>
      <c r="AF50" s="103"/>
    </row>
    <row r="51" spans="2:32" ht="15" customHeight="1" x14ac:dyDescent="0.3">
      <c r="B51" s="102"/>
      <c r="P51" s="103"/>
      <c r="T51" s="150"/>
      <c r="U51" s="131"/>
      <c r="V51" s="131"/>
      <c r="W51" s="131"/>
      <c r="X51" s="131"/>
      <c r="Y51" s="131"/>
      <c r="Z51" s="131"/>
      <c r="AA51" s="131"/>
      <c r="AB51" s="131"/>
      <c r="AC51" s="131"/>
      <c r="AD51" s="131"/>
      <c r="AE51" s="131"/>
      <c r="AF51" s="151"/>
    </row>
    <row r="52" spans="2:32" ht="15" customHeight="1" x14ac:dyDescent="0.3">
      <c r="B52" s="102"/>
      <c r="P52" s="103"/>
      <c r="T52" s="102"/>
      <c r="AC52" s="28"/>
      <c r="AE52" s="110"/>
      <c r="AF52" s="103"/>
    </row>
    <row r="53" spans="2:32" ht="15" customHeight="1" x14ac:dyDescent="0.3">
      <c r="B53" s="102"/>
      <c r="P53" s="103"/>
      <c r="T53" s="102"/>
      <c r="U53" s="128"/>
      <c r="V53" s="128"/>
      <c r="W53" s="128"/>
      <c r="X53" s="128"/>
      <c r="Y53" s="128"/>
      <c r="Z53" s="128"/>
      <c r="AA53" s="128"/>
      <c r="AB53" s="128"/>
      <c r="AC53" s="127"/>
      <c r="AD53" s="128"/>
      <c r="AE53" s="152"/>
      <c r="AF53" s="103"/>
    </row>
    <row r="54" spans="2:32" ht="15" customHeight="1" x14ac:dyDescent="0.3">
      <c r="B54" s="102"/>
      <c r="P54" s="103"/>
      <c r="T54" s="102"/>
      <c r="U54" s="128"/>
      <c r="V54" s="128"/>
      <c r="W54" s="128"/>
      <c r="X54" s="127"/>
      <c r="Y54" s="128"/>
      <c r="Z54" s="128"/>
      <c r="AA54" s="128"/>
      <c r="AB54" s="128"/>
      <c r="AC54" s="127"/>
      <c r="AD54" s="128"/>
      <c r="AE54" s="152"/>
      <c r="AF54" s="103"/>
    </row>
    <row r="55" spans="2:32" ht="15" customHeight="1" x14ac:dyDescent="0.3">
      <c r="B55" s="102"/>
      <c r="P55" s="103"/>
      <c r="T55" s="102"/>
      <c r="AF55" s="103"/>
    </row>
    <row r="56" spans="2:32" ht="15" customHeight="1" x14ac:dyDescent="0.3">
      <c r="B56" s="102"/>
      <c r="P56" s="103"/>
      <c r="T56" s="102"/>
      <c r="U56" s="131"/>
      <c r="V56" s="131"/>
      <c r="Z56" s="131"/>
      <c r="AA56" s="131"/>
      <c r="AF56" s="103"/>
    </row>
    <row r="57" spans="2:32" ht="15" customHeight="1" x14ac:dyDescent="0.3">
      <c r="B57" s="102"/>
      <c r="P57" s="103"/>
      <c r="T57" s="102"/>
      <c r="U57" s="131"/>
      <c r="V57" s="131"/>
      <c r="Z57" s="131"/>
      <c r="AA57" s="131"/>
      <c r="AF57" s="103"/>
    </row>
    <row r="58" spans="2:32" ht="15" customHeight="1" x14ac:dyDescent="0.3">
      <c r="B58" s="102"/>
      <c r="P58" s="103"/>
      <c r="T58" s="102"/>
      <c r="U58" s="131"/>
      <c r="V58" s="131"/>
      <c r="Z58" s="131"/>
      <c r="AA58" s="131"/>
      <c r="AF58" s="103"/>
    </row>
    <row r="59" spans="2:32" ht="15" customHeight="1" x14ac:dyDescent="0.3">
      <c r="B59" s="102"/>
      <c r="P59" s="103"/>
      <c r="T59" s="102"/>
      <c r="U59" s="131"/>
      <c r="V59" s="131"/>
      <c r="Z59" s="131"/>
      <c r="AA59" s="131"/>
      <c r="AF59" s="103"/>
    </row>
    <row r="60" spans="2:32" ht="15" customHeight="1" x14ac:dyDescent="0.3">
      <c r="B60" s="102"/>
      <c r="P60" s="103"/>
      <c r="T60" s="102"/>
      <c r="AF60" s="103"/>
    </row>
    <row r="61" spans="2:32" ht="15" customHeight="1" x14ac:dyDescent="0.3">
      <c r="B61" s="102"/>
      <c r="P61" s="103"/>
      <c r="S61" s="103"/>
      <c r="T61" s="102"/>
      <c r="AF61" s="103"/>
    </row>
    <row r="62" spans="2:32" ht="15" customHeight="1" x14ac:dyDescent="0.3">
      <c r="B62" s="102"/>
      <c r="P62" s="103"/>
      <c r="T62" s="102"/>
      <c r="AF62" s="103"/>
    </row>
    <row r="63" spans="2:32" ht="15" customHeight="1" x14ac:dyDescent="0.3">
      <c r="B63" s="102"/>
      <c r="P63" s="103"/>
      <c r="T63" s="102"/>
      <c r="AF63" s="103"/>
    </row>
    <row r="64" spans="2:32" ht="15" customHeight="1" x14ac:dyDescent="0.3">
      <c r="B64" s="102"/>
      <c r="P64" s="103"/>
      <c r="T64" s="102"/>
      <c r="AF64" s="103"/>
    </row>
    <row r="65" spans="2:32" ht="15" customHeight="1" x14ac:dyDescent="0.3">
      <c r="B65" s="102"/>
      <c r="P65" s="103"/>
      <c r="T65" s="102"/>
      <c r="AF65" s="103"/>
    </row>
    <row r="66" spans="2:32" ht="15" customHeight="1" x14ac:dyDescent="0.3">
      <c r="B66" s="102"/>
      <c r="P66" s="103"/>
      <c r="T66" s="102"/>
      <c r="AF66" s="103"/>
    </row>
    <row r="67" spans="2:32" ht="15" customHeight="1" x14ac:dyDescent="0.3">
      <c r="B67" s="102"/>
      <c r="P67" s="103"/>
      <c r="T67" s="102"/>
      <c r="AF67" s="103"/>
    </row>
    <row r="68" spans="2:32" ht="15" customHeight="1" x14ac:dyDescent="0.3">
      <c r="B68" s="102"/>
      <c r="P68" s="103"/>
      <c r="T68" s="102"/>
      <c r="AF68" s="103"/>
    </row>
    <row r="69" spans="2:32" ht="15" customHeight="1" x14ac:dyDescent="0.3">
      <c r="B69" s="102"/>
      <c r="P69" s="103"/>
      <c r="T69" s="102"/>
      <c r="AF69" s="103"/>
    </row>
    <row r="70" spans="2:32" ht="15" customHeight="1" x14ac:dyDescent="0.3">
      <c r="B70" s="102"/>
      <c r="P70" s="103"/>
      <c r="T70" s="102"/>
      <c r="AF70" s="103"/>
    </row>
    <row r="71" spans="2:32" ht="15" customHeight="1" x14ac:dyDescent="0.3">
      <c r="B71" s="102"/>
      <c r="P71" s="103"/>
      <c r="T71" s="102"/>
      <c r="AF71" s="103"/>
    </row>
    <row r="72" spans="2:32" ht="15" customHeight="1" thickBot="1" x14ac:dyDescent="0.35">
      <c r="B72" s="105"/>
      <c r="C72" s="106"/>
      <c r="D72" s="106"/>
      <c r="E72" s="106"/>
      <c r="F72" s="106"/>
      <c r="G72" s="106"/>
      <c r="H72" s="106"/>
      <c r="I72" s="106"/>
      <c r="J72" s="106"/>
      <c r="K72" s="106"/>
      <c r="L72" s="106"/>
      <c r="M72" s="106"/>
      <c r="N72" s="106"/>
      <c r="O72" s="106"/>
      <c r="P72" s="107"/>
      <c r="T72" s="105"/>
      <c r="U72" s="106"/>
      <c r="V72" s="106"/>
      <c r="W72" s="106"/>
      <c r="X72" s="106"/>
      <c r="Y72" s="106"/>
      <c r="Z72" s="106"/>
      <c r="AA72" s="106"/>
      <c r="AB72" s="106"/>
      <c r="AC72" s="106"/>
      <c r="AD72" s="106"/>
      <c r="AE72" s="106"/>
      <c r="AF72" s="107"/>
    </row>
    <row r="73" spans="2:32" ht="15" customHeight="1" thickTop="1" x14ac:dyDescent="0.3"/>
  </sheetData>
  <mergeCells count="103">
    <mergeCell ref="AO28:AT30"/>
    <mergeCell ref="B27:B28"/>
    <mergeCell ref="C27:E28"/>
    <mergeCell ref="F27:I28"/>
    <mergeCell ref="J27:K28"/>
    <mergeCell ref="L27:M28"/>
    <mergeCell ref="N27:P28"/>
    <mergeCell ref="B29:B31"/>
    <mergeCell ref="AO20:AP20"/>
    <mergeCell ref="N19:P20"/>
    <mergeCell ref="L21:M22"/>
    <mergeCell ref="B19:B20"/>
    <mergeCell ref="C19:E20"/>
    <mergeCell ref="F19:I20"/>
    <mergeCell ref="J19:K20"/>
    <mergeCell ref="L19:M20"/>
    <mergeCell ref="J29:K31"/>
    <mergeCell ref="L29:M31"/>
    <mergeCell ref="N29:P31"/>
    <mergeCell ref="AO34:AT35"/>
    <mergeCell ref="B32:B35"/>
    <mergeCell ref="C29:E31"/>
    <mergeCell ref="F29:I31"/>
    <mergeCell ref="AR21:AS21"/>
    <mergeCell ref="B23:B24"/>
    <mergeCell ref="C23:E24"/>
    <mergeCell ref="F23:I24"/>
    <mergeCell ref="J23:K24"/>
    <mergeCell ref="L23:M24"/>
    <mergeCell ref="N23:P24"/>
    <mergeCell ref="AO24:AT26"/>
    <mergeCell ref="B25:B26"/>
    <mergeCell ref="C25:E26"/>
    <mergeCell ref="F25:I26"/>
    <mergeCell ref="J25:K26"/>
    <mergeCell ref="L25:M26"/>
    <mergeCell ref="N25:P26"/>
    <mergeCell ref="N21:P22"/>
    <mergeCell ref="AO21:AP21"/>
    <mergeCell ref="B21:B22"/>
    <mergeCell ref="C21:E22"/>
    <mergeCell ref="F21:I22"/>
    <mergeCell ref="J21:K22"/>
    <mergeCell ref="N15:P16"/>
    <mergeCell ref="N13:P14"/>
    <mergeCell ref="N11:P12"/>
    <mergeCell ref="C15:E16"/>
    <mergeCell ref="F15:I16"/>
    <mergeCell ref="J15:K16"/>
    <mergeCell ref="L15:M16"/>
    <mergeCell ref="B17:B18"/>
    <mergeCell ref="C17:E18"/>
    <mergeCell ref="F17:I18"/>
    <mergeCell ref="J17:K18"/>
    <mergeCell ref="L17:M18"/>
    <mergeCell ref="C11:E12"/>
    <mergeCell ref="F11:I12"/>
    <mergeCell ref="J11:K12"/>
    <mergeCell ref="B15:B16"/>
    <mergeCell ref="T2:AF2"/>
    <mergeCell ref="T3:AF3"/>
    <mergeCell ref="T4:AF4"/>
    <mergeCell ref="T6:AF6"/>
    <mergeCell ref="J9:K10"/>
    <mergeCell ref="L9:M10"/>
    <mergeCell ref="N9:P10"/>
    <mergeCell ref="B2:P2"/>
    <mergeCell ref="B3:P3"/>
    <mergeCell ref="B4:P4"/>
    <mergeCell ref="B6:P6"/>
    <mergeCell ref="AC9:AE9"/>
    <mergeCell ref="X10:Y10"/>
    <mergeCell ref="AB10:AB12"/>
    <mergeCell ref="AC10:AC12"/>
    <mergeCell ref="B11:B12"/>
    <mergeCell ref="B5:P5"/>
    <mergeCell ref="T5:AF5"/>
    <mergeCell ref="AD10:AD12"/>
    <mergeCell ref="AE10:AE12"/>
    <mergeCell ref="B39:B40"/>
    <mergeCell ref="C39:E40"/>
    <mergeCell ref="F39:I40"/>
    <mergeCell ref="J39:K40"/>
    <mergeCell ref="L39:M40"/>
    <mergeCell ref="T7:AF7"/>
    <mergeCell ref="L11:M12"/>
    <mergeCell ref="C32:E35"/>
    <mergeCell ref="F32:I35"/>
    <mergeCell ref="J32:K35"/>
    <mergeCell ref="L32:M35"/>
    <mergeCell ref="N32:P35"/>
    <mergeCell ref="N39:P40"/>
    <mergeCell ref="N37:P37"/>
    <mergeCell ref="N38:P38"/>
    <mergeCell ref="B9:B10"/>
    <mergeCell ref="C9:E10"/>
    <mergeCell ref="F9:I10"/>
    <mergeCell ref="B13:B14"/>
    <mergeCell ref="C13:E14"/>
    <mergeCell ref="F13:I14"/>
    <mergeCell ref="J13:K14"/>
    <mergeCell ref="L13:M14"/>
    <mergeCell ref="N17:P18"/>
  </mergeCells>
  <printOptions horizontalCentered="1" verticalCentered="1"/>
  <pageMargins left="0" right="0" top="0" bottom="0" header="0" footer="0"/>
  <pageSetup paperSize="8" scale="67"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A65C-B1B4-4712-BA91-44CC2F82187E}">
  <sheetPr codeName="Sayfa12">
    <pageSetUpPr fitToPage="1"/>
  </sheetPr>
  <dimension ref="A2:Z70"/>
  <sheetViews>
    <sheetView view="pageBreakPreview" topLeftCell="A10" zoomScale="85" zoomScaleNormal="85" zoomScaleSheetLayoutView="85" workbookViewId="0">
      <selection activeCell="C14" sqref="C14:J31"/>
    </sheetView>
  </sheetViews>
  <sheetFormatPr defaultRowHeight="14.4" x14ac:dyDescent="0.3"/>
  <cols>
    <col min="1" max="1" width="1.77734375" style="443" customWidth="1"/>
    <col min="2" max="2" width="7.33203125" style="443" customWidth="1"/>
    <col min="3" max="3" width="13.77734375" style="443" customWidth="1"/>
    <col min="4" max="4" width="23.77734375" style="443" customWidth="1"/>
    <col min="5" max="6" width="17.77734375" style="443" customWidth="1"/>
    <col min="7" max="7" width="18.44140625" style="443" customWidth="1"/>
    <col min="8" max="9" width="13.77734375" style="443" customWidth="1"/>
    <col min="10" max="10" width="18.44140625" style="443" customWidth="1"/>
    <col min="11" max="11" width="1.77734375" style="443" customWidth="1"/>
    <col min="12" max="23" width="17.77734375" style="443" customWidth="1"/>
    <col min="24" max="24" width="5.77734375" style="443" customWidth="1"/>
    <col min="25" max="25" width="8.88671875" style="443"/>
    <col min="26" max="26" width="15.33203125" style="443" bestFit="1" customWidth="1"/>
    <col min="27" max="27" width="12.33203125" style="443" bestFit="1" customWidth="1"/>
    <col min="28" max="28" width="15.33203125" style="443" bestFit="1" customWidth="1"/>
    <col min="29" max="29" width="14" style="443" bestFit="1" customWidth="1"/>
    <col min="30" max="16384" width="8.88671875" style="443"/>
  </cols>
  <sheetData>
    <row r="2" spans="2:26" ht="18" customHeight="1" x14ac:dyDescent="0.3">
      <c r="B2" s="1179" t="s">
        <v>118</v>
      </c>
      <c r="C2" s="1180"/>
      <c r="D2" s="1180"/>
      <c r="E2" s="1180"/>
      <c r="F2" s="1180"/>
      <c r="G2" s="1180"/>
      <c r="H2" s="1180"/>
      <c r="I2" s="1180"/>
      <c r="J2" s="1181"/>
      <c r="L2" s="331"/>
      <c r="M2" s="331"/>
      <c r="N2" s="331"/>
      <c r="O2" s="331"/>
      <c r="P2" s="331"/>
      <c r="Q2" s="331"/>
      <c r="R2" s="331"/>
      <c r="S2" s="331"/>
      <c r="T2" s="331"/>
      <c r="U2" s="331"/>
      <c r="V2" s="331"/>
      <c r="W2" s="331"/>
      <c r="X2" s="331"/>
    </row>
    <row r="3" spans="2:26" ht="15" customHeight="1" x14ac:dyDescent="0.3">
      <c r="B3" s="1182" t="s">
        <v>210</v>
      </c>
      <c r="C3" s="1016"/>
      <c r="D3" s="1016"/>
      <c r="E3" s="1016"/>
      <c r="F3" s="1016"/>
      <c r="G3" s="1016"/>
      <c r="H3" s="1016"/>
      <c r="I3" s="1016"/>
      <c r="J3" s="1183"/>
      <c r="L3" s="112"/>
      <c r="M3" s="112"/>
      <c r="N3" s="112"/>
      <c r="O3" s="112"/>
      <c r="P3" s="112"/>
      <c r="Q3" s="112"/>
      <c r="R3" s="112"/>
      <c r="S3" s="112"/>
      <c r="T3" s="112"/>
      <c r="U3" s="112"/>
      <c r="V3" s="112"/>
      <c r="W3" s="112"/>
      <c r="X3" s="112"/>
    </row>
    <row r="4" spans="2:26" ht="15" customHeight="1" x14ac:dyDescent="0.3">
      <c r="B4" s="1182" t="s">
        <v>1434</v>
      </c>
      <c r="C4" s="1016"/>
      <c r="D4" s="1016"/>
      <c r="E4" s="1016"/>
      <c r="F4" s="1016"/>
      <c r="G4" s="1016"/>
      <c r="H4" s="1016"/>
      <c r="I4" s="1016"/>
      <c r="J4" s="1183"/>
      <c r="L4" s="112"/>
      <c r="M4" s="112"/>
      <c r="N4" s="112"/>
      <c r="O4" s="112"/>
      <c r="P4" s="112"/>
      <c r="Q4" s="112"/>
      <c r="R4" s="112"/>
      <c r="S4" s="112"/>
      <c r="T4" s="112"/>
      <c r="U4" s="112"/>
      <c r="V4" s="112"/>
      <c r="W4" s="112"/>
      <c r="X4" s="112"/>
    </row>
    <row r="5" spans="2:26" ht="15" customHeight="1" x14ac:dyDescent="0.3">
      <c r="B5" s="1182" t="s">
        <v>1435</v>
      </c>
      <c r="C5" s="1016"/>
      <c r="D5" s="1016"/>
      <c r="E5" s="1016"/>
      <c r="F5" s="1016"/>
      <c r="G5" s="1016"/>
      <c r="H5" s="1016"/>
      <c r="I5" s="1016"/>
      <c r="J5" s="1183"/>
      <c r="L5" s="112"/>
      <c r="M5" s="112"/>
      <c r="N5" s="112"/>
      <c r="O5" s="112"/>
      <c r="P5" s="112"/>
      <c r="Q5" s="112"/>
      <c r="R5" s="112"/>
      <c r="S5" s="112"/>
      <c r="T5" s="112"/>
      <c r="U5" s="112"/>
      <c r="V5" s="112"/>
      <c r="W5" s="112"/>
      <c r="X5" s="112"/>
    </row>
    <row r="6" spans="2:26" ht="15.6" x14ac:dyDescent="0.3">
      <c r="B6" s="569"/>
      <c r="C6" s="444"/>
      <c r="D6" s="444"/>
      <c r="E6" s="444"/>
      <c r="F6" s="444"/>
      <c r="G6" s="444"/>
      <c r="H6" s="444"/>
      <c r="I6" s="444"/>
      <c r="J6" s="570"/>
      <c r="L6" s="229"/>
      <c r="M6" s="229"/>
      <c r="N6" s="229"/>
      <c r="O6" s="229"/>
      <c r="P6" s="229"/>
      <c r="Q6" s="229"/>
      <c r="R6" s="229"/>
      <c r="S6" s="229"/>
      <c r="T6" s="229"/>
      <c r="U6" s="229"/>
      <c r="V6" s="229"/>
      <c r="W6" s="229"/>
      <c r="X6" s="229"/>
    </row>
    <row r="7" spans="2:26" ht="15.6" x14ac:dyDescent="0.3">
      <c r="B7" s="1184" t="s">
        <v>37</v>
      </c>
      <c r="C7" s="1185"/>
      <c r="D7" s="1185"/>
      <c r="E7" s="1185"/>
      <c r="F7" s="1185"/>
      <c r="G7" s="1185"/>
      <c r="H7" s="1185"/>
      <c r="I7" s="1185"/>
      <c r="J7" s="1186"/>
      <c r="L7" s="332"/>
      <c r="M7" s="332"/>
      <c r="N7" s="332"/>
      <c r="O7" s="332"/>
      <c r="P7" s="332"/>
      <c r="Q7" s="332"/>
      <c r="R7" s="332"/>
      <c r="S7" s="332"/>
      <c r="T7" s="332"/>
      <c r="U7" s="332"/>
      <c r="V7" s="332"/>
      <c r="W7" s="332"/>
      <c r="X7" s="332"/>
    </row>
    <row r="8" spans="2:26" x14ac:dyDescent="0.3">
      <c r="B8" s="571"/>
      <c r="C8" s="572"/>
      <c r="D8" s="573"/>
      <c r="E8" s="574"/>
      <c r="F8" s="574"/>
      <c r="G8" s="575"/>
      <c r="H8" s="575"/>
      <c r="I8" s="576"/>
      <c r="J8" s="577"/>
    </row>
    <row r="9" spans="2:26" x14ac:dyDescent="0.3">
      <c r="B9" s="578"/>
      <c r="C9" s="579"/>
      <c r="D9" s="580"/>
      <c r="E9" s="581"/>
      <c r="F9" s="581"/>
      <c r="G9" s="582"/>
      <c r="H9" s="582"/>
      <c r="I9" s="583"/>
      <c r="J9" s="584"/>
      <c r="U9" s="111"/>
      <c r="V9" s="445"/>
    </row>
    <row r="10" spans="2:26" x14ac:dyDescent="0.3">
      <c r="B10" s="592" t="str">
        <f>"Hakediş No: "&amp;Veri!C21&amp;"   Hakediş Tarihi:  "&amp;TEXT(Veri!C22,"gg.aa.yyyy")</f>
        <v>Hakediş No: 6   Hakediş Tarihi:  30.04.2026</v>
      </c>
      <c r="C10" s="591"/>
      <c r="D10" s="444"/>
      <c r="E10" s="454"/>
      <c r="F10" s="454"/>
      <c r="G10" s="446"/>
      <c r="H10" s="446"/>
      <c r="I10" s="586"/>
      <c r="J10" s="587"/>
    </row>
    <row r="11" spans="2:26" x14ac:dyDescent="0.3">
      <c r="B11" s="585"/>
      <c r="C11" s="445"/>
      <c r="D11" s="444"/>
      <c r="E11" s="454"/>
      <c r="F11" s="454"/>
      <c r="G11" s="446"/>
      <c r="H11" s="446"/>
      <c r="I11" s="452"/>
      <c r="J11" s="588"/>
    </row>
    <row r="12" spans="2:26" ht="15.6" x14ac:dyDescent="0.3">
      <c r="B12" s="1187" t="s">
        <v>1397</v>
      </c>
      <c r="C12" s="1188"/>
      <c r="D12" s="1188"/>
      <c r="E12" s="1188"/>
      <c r="F12" s="1188"/>
      <c r="G12" s="1188"/>
      <c r="H12" s="1188"/>
      <c r="I12" s="1188"/>
      <c r="J12" s="1189"/>
    </row>
    <row r="13" spans="2:26" ht="60" customHeight="1" x14ac:dyDescent="0.3">
      <c r="B13" s="465" t="s">
        <v>96</v>
      </c>
      <c r="C13" s="466" t="s">
        <v>1403</v>
      </c>
      <c r="D13" s="465" t="s">
        <v>1398</v>
      </c>
      <c r="E13" s="467" t="s">
        <v>1399</v>
      </c>
      <c r="F13" s="467" t="s">
        <v>1400</v>
      </c>
      <c r="G13" s="468" t="s">
        <v>1401</v>
      </c>
      <c r="H13" s="1195" t="s">
        <v>97</v>
      </c>
      <c r="I13" s="1196"/>
      <c r="J13" s="466" t="s">
        <v>1332</v>
      </c>
    </row>
    <row r="14" spans="2:26" ht="19.95" customHeight="1" x14ac:dyDescent="0.3">
      <c r="B14" s="460">
        <v>1</v>
      </c>
      <c r="C14" s="534"/>
      <c r="D14" s="535"/>
      <c r="E14" s="536"/>
      <c r="F14" s="536"/>
      <c r="G14" s="537"/>
      <c r="H14" s="1204"/>
      <c r="I14" s="1205"/>
      <c r="J14" s="538"/>
      <c r="M14" s="726">
        <f>+İcmal!AE41</f>
        <v>47583045.43</v>
      </c>
      <c r="Z14" s="447"/>
    </row>
    <row r="15" spans="2:26" ht="19.95" customHeight="1" x14ac:dyDescent="0.3">
      <c r="B15" s="455">
        <v>2</v>
      </c>
      <c r="C15" s="539"/>
      <c r="D15" s="540"/>
      <c r="E15" s="541"/>
      <c r="F15" s="541"/>
      <c r="G15" s="542"/>
      <c r="H15" s="1197"/>
      <c r="I15" s="1198"/>
      <c r="J15" s="543"/>
      <c r="M15" s="726">
        <f>+M14*0.05</f>
        <v>2379152.2715000003</v>
      </c>
    </row>
    <row r="16" spans="2:26" ht="19.95" customHeight="1" x14ac:dyDescent="0.3">
      <c r="B16" s="460">
        <v>3</v>
      </c>
      <c r="C16" s="539"/>
      <c r="D16" s="540"/>
      <c r="E16" s="541"/>
      <c r="F16" s="541"/>
      <c r="G16" s="542"/>
      <c r="H16" s="1197"/>
      <c r="I16" s="1198"/>
      <c r="J16" s="543"/>
      <c r="K16" s="448"/>
      <c r="M16" s="726">
        <f>+SUM(E14:E39)</f>
        <v>0</v>
      </c>
    </row>
    <row r="17" spans="2:13" ht="19.95" customHeight="1" x14ac:dyDescent="0.3">
      <c r="B17" s="460">
        <v>4</v>
      </c>
      <c r="C17" s="539"/>
      <c r="D17" s="540"/>
      <c r="E17" s="541"/>
      <c r="F17" s="541"/>
      <c r="G17" s="542"/>
      <c r="H17" s="1197"/>
      <c r="I17" s="1198"/>
      <c r="J17" s="543"/>
      <c r="K17" s="448"/>
      <c r="L17" s="727" t="s">
        <v>1469</v>
      </c>
      <c r="M17" s="726">
        <f>+M15-M16</f>
        <v>2379152.2715000003</v>
      </c>
    </row>
    <row r="18" spans="2:13" ht="19.95" customHeight="1" x14ac:dyDescent="0.3">
      <c r="B18" s="455">
        <v>5</v>
      </c>
      <c r="C18" s="539"/>
      <c r="D18" s="540"/>
      <c r="E18" s="541"/>
      <c r="F18" s="541"/>
      <c r="G18" s="542"/>
      <c r="H18" s="1197"/>
      <c r="I18" s="1198"/>
      <c r="J18" s="543"/>
      <c r="K18" s="448"/>
    </row>
    <row r="19" spans="2:13" ht="19.95" customHeight="1" x14ac:dyDescent="0.3">
      <c r="B19" s="460">
        <v>6</v>
      </c>
      <c r="C19" s="539"/>
      <c r="D19" s="540"/>
      <c r="E19" s="541"/>
      <c r="F19" s="541"/>
      <c r="G19" s="542"/>
      <c r="H19" s="1197"/>
      <c r="I19" s="1198"/>
      <c r="J19" s="543"/>
    </row>
    <row r="20" spans="2:13" ht="19.95" customHeight="1" x14ac:dyDescent="0.3">
      <c r="B20" s="460">
        <v>7</v>
      </c>
      <c r="C20" s="539"/>
      <c r="D20" s="540"/>
      <c r="E20" s="541"/>
      <c r="F20" s="541"/>
      <c r="G20" s="542"/>
      <c r="H20" s="1197"/>
      <c r="I20" s="1198"/>
      <c r="J20" s="543"/>
    </row>
    <row r="21" spans="2:13" ht="19.95" customHeight="1" x14ac:dyDescent="0.3">
      <c r="B21" s="455">
        <v>8</v>
      </c>
      <c r="C21" s="539"/>
      <c r="D21" s="540"/>
      <c r="E21" s="541"/>
      <c r="F21" s="541"/>
      <c r="G21" s="542"/>
      <c r="H21" s="1197"/>
      <c r="I21" s="1198"/>
      <c r="J21" s="543"/>
    </row>
    <row r="22" spans="2:13" ht="19.95" customHeight="1" x14ac:dyDescent="0.3">
      <c r="B22" s="460">
        <v>9</v>
      </c>
      <c r="C22" s="456"/>
      <c r="D22" s="455"/>
      <c r="E22" s="457"/>
      <c r="F22" s="457"/>
      <c r="G22" s="458"/>
      <c r="H22" s="1190"/>
      <c r="I22" s="1191"/>
      <c r="J22" s="459"/>
    </row>
    <row r="23" spans="2:13" ht="19.95" customHeight="1" x14ac:dyDescent="0.3">
      <c r="B23" s="460">
        <v>10</v>
      </c>
      <c r="C23" s="456"/>
      <c r="D23" s="455"/>
      <c r="E23" s="457"/>
      <c r="F23" s="457"/>
      <c r="G23" s="458"/>
      <c r="H23" s="1190"/>
      <c r="I23" s="1191"/>
      <c r="J23" s="459"/>
    </row>
    <row r="24" spans="2:13" ht="19.95" customHeight="1" x14ac:dyDescent="0.3">
      <c r="B24" s="455">
        <v>11</v>
      </c>
      <c r="C24" s="456"/>
      <c r="D24" s="455"/>
      <c r="E24" s="457"/>
      <c r="F24" s="457"/>
      <c r="G24" s="458"/>
      <c r="H24" s="1190"/>
      <c r="I24" s="1191"/>
      <c r="J24" s="459"/>
    </row>
    <row r="25" spans="2:13" ht="19.95" customHeight="1" x14ac:dyDescent="0.3">
      <c r="B25" s="460">
        <v>12</v>
      </c>
      <c r="C25" s="456"/>
      <c r="D25" s="455"/>
      <c r="E25" s="457"/>
      <c r="F25" s="457"/>
      <c r="G25" s="458"/>
      <c r="H25" s="1190"/>
      <c r="I25" s="1191"/>
      <c r="J25" s="459"/>
      <c r="K25" s="448"/>
    </row>
    <row r="26" spans="2:13" ht="19.95" customHeight="1" x14ac:dyDescent="0.3">
      <c r="B26" s="460">
        <v>13</v>
      </c>
      <c r="C26" s="456"/>
      <c r="D26" s="899"/>
      <c r="E26" s="457"/>
      <c r="F26" s="457"/>
      <c r="G26" s="458"/>
      <c r="H26" s="1190"/>
      <c r="I26" s="1191"/>
      <c r="J26" s="459"/>
      <c r="K26" s="448"/>
    </row>
    <row r="27" spans="2:13" ht="19.95" customHeight="1" x14ac:dyDescent="0.3">
      <c r="B27" s="455">
        <v>14</v>
      </c>
      <c r="C27" s="456"/>
      <c r="D27" s="899"/>
      <c r="E27" s="457"/>
      <c r="F27" s="457"/>
      <c r="G27" s="458"/>
      <c r="H27" s="1192"/>
      <c r="I27" s="1191"/>
      <c r="J27" s="459"/>
      <c r="K27" s="448"/>
    </row>
    <row r="28" spans="2:13" ht="19.95" customHeight="1" x14ac:dyDescent="0.3">
      <c r="B28" s="460">
        <v>15</v>
      </c>
      <c r="C28" s="456"/>
      <c r="D28" s="922"/>
      <c r="E28" s="457"/>
      <c r="F28" s="457"/>
      <c r="G28" s="458"/>
      <c r="H28" s="1193"/>
      <c r="I28" s="1191"/>
      <c r="J28" s="459"/>
    </row>
    <row r="29" spans="2:13" ht="19.95" customHeight="1" x14ac:dyDescent="0.3">
      <c r="B29" s="460">
        <v>16</v>
      </c>
      <c r="C29" s="456"/>
      <c r="D29" s="922"/>
      <c r="E29" s="457"/>
      <c r="F29" s="457"/>
      <c r="G29" s="458"/>
      <c r="H29" s="1193"/>
      <c r="I29" s="1191"/>
      <c r="J29" s="459"/>
    </row>
    <row r="30" spans="2:13" ht="19.95" customHeight="1" x14ac:dyDescent="0.3">
      <c r="B30" s="455">
        <v>17</v>
      </c>
      <c r="C30" s="456"/>
      <c r="D30" s="455"/>
      <c r="E30" s="457"/>
      <c r="F30" s="457"/>
      <c r="G30" s="458"/>
      <c r="H30" s="471"/>
      <c r="I30" s="472"/>
      <c r="J30" s="459"/>
    </row>
    <row r="31" spans="2:13" ht="19.95" customHeight="1" x14ac:dyDescent="0.3">
      <c r="B31" s="460">
        <v>18</v>
      </c>
      <c r="C31" s="456"/>
      <c r="D31" s="455"/>
      <c r="E31" s="457"/>
      <c r="F31" s="457"/>
      <c r="G31" s="458"/>
      <c r="H31" s="471"/>
      <c r="I31" s="472"/>
      <c r="J31" s="459"/>
      <c r="M31" s="19"/>
    </row>
    <row r="32" spans="2:13" ht="19.95" customHeight="1" x14ac:dyDescent="0.3">
      <c r="B32" s="460">
        <v>19</v>
      </c>
      <c r="C32" s="456"/>
      <c r="D32" s="455"/>
      <c r="E32" s="457"/>
      <c r="F32" s="457"/>
      <c r="G32" s="458"/>
      <c r="H32" s="471"/>
      <c r="I32" s="472"/>
      <c r="J32" s="459"/>
    </row>
    <row r="33" spans="1:23" ht="19.95" customHeight="1" x14ac:dyDescent="0.3">
      <c r="B33" s="455">
        <v>20</v>
      </c>
      <c r="C33" s="456"/>
      <c r="D33" s="455"/>
      <c r="E33" s="457"/>
      <c r="F33" s="457"/>
      <c r="G33" s="458"/>
      <c r="H33" s="471"/>
      <c r="I33" s="472"/>
      <c r="J33" s="459"/>
    </row>
    <row r="34" spans="1:23" ht="19.95" customHeight="1" x14ac:dyDescent="0.3">
      <c r="B34" s="460">
        <v>21</v>
      </c>
      <c r="C34" s="456"/>
      <c r="D34" s="455"/>
      <c r="E34" s="457"/>
      <c r="F34" s="457"/>
      <c r="G34" s="458"/>
      <c r="H34" s="471"/>
      <c r="I34" s="472"/>
      <c r="J34" s="459"/>
      <c r="K34" s="448"/>
    </row>
    <row r="35" spans="1:23" ht="19.95" customHeight="1" x14ac:dyDescent="0.3">
      <c r="B35" s="460">
        <v>22</v>
      </c>
      <c r="C35" s="456"/>
      <c r="D35" s="455"/>
      <c r="E35" s="457"/>
      <c r="F35" s="457"/>
      <c r="G35" s="458"/>
      <c r="H35" s="471"/>
      <c r="I35" s="472"/>
      <c r="J35" s="459"/>
      <c r="K35" s="448"/>
    </row>
    <row r="36" spans="1:23" ht="19.95" customHeight="1" x14ac:dyDescent="0.3">
      <c r="B36" s="455">
        <v>23</v>
      </c>
      <c r="C36" s="456"/>
      <c r="D36" s="455"/>
      <c r="E36" s="457"/>
      <c r="F36" s="457"/>
      <c r="G36" s="458"/>
      <c r="H36" s="471"/>
      <c r="I36" s="472"/>
      <c r="J36" s="459"/>
      <c r="K36" s="448"/>
    </row>
    <row r="37" spans="1:23" ht="19.95" customHeight="1" x14ac:dyDescent="0.3">
      <c r="B37" s="460">
        <v>24</v>
      </c>
      <c r="C37" s="456"/>
      <c r="D37" s="455"/>
      <c r="E37" s="457"/>
      <c r="F37" s="457"/>
      <c r="G37" s="458"/>
      <c r="H37" s="471"/>
      <c r="I37" s="472"/>
      <c r="J37" s="459"/>
    </row>
    <row r="38" spans="1:23" ht="19.95" customHeight="1" x14ac:dyDescent="0.3">
      <c r="B38" s="460">
        <v>25</v>
      </c>
      <c r="C38" s="456"/>
      <c r="D38" s="455"/>
      <c r="E38" s="457"/>
      <c r="F38" s="457"/>
      <c r="G38" s="458"/>
      <c r="H38" s="471"/>
      <c r="I38" s="472"/>
      <c r="J38" s="459"/>
    </row>
    <row r="39" spans="1:23" ht="19.95" customHeight="1" x14ac:dyDescent="0.3">
      <c r="B39" s="473">
        <v>26</v>
      </c>
      <c r="C39" s="474"/>
      <c r="D39" s="473"/>
      <c r="E39" s="475"/>
      <c r="F39" s="475"/>
      <c r="G39" s="476"/>
      <c r="H39" s="477"/>
      <c r="I39" s="478"/>
      <c r="J39" s="479"/>
    </row>
    <row r="40" spans="1:23" ht="28.8" customHeight="1" x14ac:dyDescent="0.3">
      <c r="B40" s="486">
        <f>+Veri!$C$21</f>
        <v>6</v>
      </c>
      <c r="C40" s="480" t="str">
        <f>+"Nolu Hakediş itibarı ile toplam hakediş "&amp;TEXT(İcmal!$AE$41,"#.##0,00")&amp;" TL olup, "&amp;TEXT(İcmal!$AE$41,"#.##0,00")&amp;" x %5 = "&amp;TEXT(ROUND(İcmal!$AE$41*0.05,2),"#.##0,00")&amp;" TL tutarına karşılık Teminat Mektubu verilmiştir"</f>
        <v>Nolu Hakediş itibarı ile toplam hakediş 47.583.045,43 TL olup, 47.583.045,43 x %5 = 2.379.152,27 TL tutarına karşılık Teminat Mektubu verilmiştir</v>
      </c>
      <c r="D40" s="481"/>
      <c r="E40" s="482"/>
      <c r="F40" s="482"/>
      <c r="G40" s="483"/>
      <c r="H40" s="483"/>
      <c r="I40" s="484"/>
      <c r="J40" s="485"/>
    </row>
    <row r="41" spans="1:23" x14ac:dyDescent="0.3">
      <c r="B41" s="444"/>
      <c r="C41" s="445"/>
      <c r="D41" s="444"/>
      <c r="E41" s="454"/>
      <c r="F41" s="454"/>
      <c r="G41" s="446"/>
      <c r="H41" s="446"/>
      <c r="I41" s="452"/>
      <c r="J41" s="453"/>
    </row>
    <row r="42" spans="1:23" s="332" customFormat="1" ht="15.6" x14ac:dyDescent="0.3">
      <c r="A42" s="443"/>
      <c r="B42" s="1206" t="s">
        <v>33</v>
      </c>
      <c r="C42" s="1206"/>
      <c r="D42" s="1206"/>
      <c r="E42" s="1202" t="s">
        <v>29</v>
      </c>
      <c r="F42" s="1202"/>
      <c r="G42" s="1207" t="s">
        <v>22</v>
      </c>
      <c r="H42" s="1207"/>
      <c r="I42" s="1207"/>
      <c r="J42" s="1207"/>
      <c r="K42" s="443"/>
      <c r="L42" s="318"/>
      <c r="M42" s="318"/>
      <c r="N42" s="318"/>
      <c r="O42" s="318"/>
      <c r="P42" s="318"/>
      <c r="Q42" s="318"/>
      <c r="R42" s="318"/>
      <c r="S42" s="318"/>
      <c r="T42" s="318"/>
      <c r="U42" s="318"/>
      <c r="V42" s="318"/>
      <c r="W42" s="318"/>
    </row>
    <row r="43" spans="1:23" ht="15.6" customHeight="1" x14ac:dyDescent="0.3">
      <c r="B43" s="1194" t="s">
        <v>1214</v>
      </c>
      <c r="C43" s="1194"/>
      <c r="D43" s="1194"/>
      <c r="E43" s="1178" t="s">
        <v>38</v>
      </c>
      <c r="F43" s="1178"/>
      <c r="G43" s="1199" t="s">
        <v>1437</v>
      </c>
      <c r="H43" s="1199"/>
      <c r="I43" s="1199"/>
      <c r="J43" s="1199"/>
      <c r="L43" s="449"/>
      <c r="M43" s="449"/>
      <c r="N43" s="449"/>
      <c r="O43" s="449"/>
      <c r="P43" s="449"/>
      <c r="Q43" s="449"/>
      <c r="R43" s="449"/>
      <c r="S43" s="449"/>
      <c r="T43" s="449"/>
      <c r="U43" s="449"/>
      <c r="V43" s="449"/>
      <c r="W43" s="449"/>
    </row>
    <row r="44" spans="1:23" x14ac:dyDescent="0.3">
      <c r="C44" s="445"/>
      <c r="D44" s="444"/>
      <c r="E44" s="454"/>
      <c r="F44" s="454"/>
      <c r="G44" s="1199"/>
      <c r="H44" s="1199"/>
      <c r="I44" s="1199"/>
      <c r="J44" s="1199"/>
    </row>
    <row r="45" spans="1:23" x14ac:dyDescent="0.3">
      <c r="C45" s="445"/>
      <c r="D45" s="444"/>
      <c r="E45" s="454"/>
      <c r="F45" s="454"/>
      <c r="G45" s="1199"/>
      <c r="H45" s="1199"/>
      <c r="I45" s="1199"/>
      <c r="J45" s="1199"/>
    </row>
    <row r="46" spans="1:23" x14ac:dyDescent="0.3">
      <c r="C46" s="445"/>
      <c r="D46" s="444"/>
      <c r="E46" s="454"/>
      <c r="F46" s="454"/>
      <c r="G46" s="446"/>
      <c r="H46" s="446"/>
      <c r="I46" s="452"/>
      <c r="J46" s="453"/>
    </row>
    <row r="47" spans="1:23" x14ac:dyDescent="0.3">
      <c r="C47" s="445"/>
      <c r="D47" s="444"/>
      <c r="E47" s="454"/>
      <c r="F47" s="454"/>
      <c r="G47" s="446"/>
      <c r="H47" s="446"/>
      <c r="I47" s="452"/>
      <c r="J47" s="453"/>
    </row>
    <row r="48" spans="1:23" x14ac:dyDescent="0.3">
      <c r="C48" s="445"/>
      <c r="D48" s="444"/>
      <c r="E48" s="454"/>
      <c r="F48" s="454"/>
      <c r="G48" s="446"/>
      <c r="H48" s="446"/>
      <c r="I48" s="452"/>
      <c r="J48" s="453"/>
    </row>
    <row r="49" spans="1:17" x14ac:dyDescent="0.3">
      <c r="C49" s="445"/>
      <c r="D49" s="444"/>
      <c r="E49" s="1208"/>
      <c r="F49" s="1178"/>
      <c r="G49" s="446"/>
      <c r="H49" s="446"/>
      <c r="I49" s="452"/>
      <c r="J49" s="453"/>
    </row>
    <row r="50" spans="1:17" ht="14.4" customHeight="1" x14ac:dyDescent="0.3">
      <c r="C50" s="445"/>
      <c r="D50" s="444"/>
      <c r="E50" s="1208"/>
      <c r="F50" s="1178"/>
      <c r="G50" s="446"/>
      <c r="H50" s="446"/>
      <c r="I50" s="452"/>
      <c r="J50" s="453"/>
      <c r="L50" s="449"/>
      <c r="M50" s="449"/>
      <c r="N50" s="449"/>
      <c r="O50" s="449"/>
      <c r="P50" s="449"/>
      <c r="Q50" s="449"/>
    </row>
    <row r="51" spans="1:17" ht="14.4" customHeight="1" x14ac:dyDescent="0.3">
      <c r="C51" s="445"/>
      <c r="D51" s="444"/>
      <c r="E51" s="454"/>
      <c r="F51" s="454"/>
      <c r="G51" s="446"/>
      <c r="H51" s="446"/>
      <c r="I51" s="452"/>
      <c r="J51" s="453"/>
      <c r="L51" s="449"/>
      <c r="M51" s="449"/>
      <c r="N51" s="449"/>
      <c r="O51" s="449"/>
      <c r="P51" s="449"/>
      <c r="Q51" s="449"/>
    </row>
    <row r="52" spans="1:17" ht="14.4" customHeight="1" x14ac:dyDescent="0.3">
      <c r="C52" s="445"/>
      <c r="D52" s="444"/>
      <c r="E52" s="454"/>
      <c r="F52" s="454"/>
      <c r="G52" s="446"/>
      <c r="H52" s="446"/>
      <c r="I52" s="452"/>
      <c r="J52" s="453"/>
      <c r="L52" s="449"/>
      <c r="M52" s="449"/>
      <c r="N52" s="449"/>
      <c r="O52" s="449"/>
      <c r="P52" s="449"/>
      <c r="Q52" s="449"/>
    </row>
    <row r="53" spans="1:17" ht="14.4" customHeight="1" x14ac:dyDescent="0.3">
      <c r="C53" s="445"/>
      <c r="D53" s="444"/>
      <c r="E53" s="454"/>
      <c r="F53" s="454"/>
      <c r="G53" s="446"/>
      <c r="H53" s="446"/>
      <c r="I53" s="452"/>
      <c r="J53" s="453"/>
      <c r="L53" s="449"/>
      <c r="M53" s="449"/>
      <c r="N53" s="449"/>
      <c r="O53" s="449"/>
      <c r="P53" s="449"/>
      <c r="Q53" s="449"/>
    </row>
    <row r="54" spans="1:17" x14ac:dyDescent="0.3">
      <c r="C54" s="445"/>
      <c r="D54" s="444"/>
      <c r="E54" s="445"/>
      <c r="F54" s="454"/>
      <c r="G54" s="446"/>
      <c r="H54" s="446"/>
      <c r="I54" s="452"/>
      <c r="J54" s="453"/>
    </row>
    <row r="55" spans="1:17" x14ac:dyDescent="0.3">
      <c r="C55" s="445"/>
      <c r="D55" s="444"/>
      <c r="E55" s="445"/>
      <c r="F55" s="454"/>
      <c r="G55" s="446"/>
      <c r="H55" s="446"/>
      <c r="I55" s="452"/>
      <c r="J55" s="453"/>
    </row>
    <row r="56" spans="1:17" x14ac:dyDescent="0.3">
      <c r="C56" s="445"/>
      <c r="D56" s="444"/>
      <c r="E56" s="1178" t="s">
        <v>63</v>
      </c>
      <c r="F56" s="1178"/>
      <c r="G56" s="1200" t="s">
        <v>1218</v>
      </c>
      <c r="H56" s="1201"/>
      <c r="I56" s="1201"/>
      <c r="J56" s="1201"/>
    </row>
    <row r="57" spans="1:17" x14ac:dyDescent="0.3">
      <c r="C57" s="445"/>
      <c r="D57" s="444"/>
      <c r="E57" s="1178" t="s">
        <v>1330</v>
      </c>
      <c r="F57" s="1178"/>
      <c r="G57" s="1200" t="s">
        <v>1484</v>
      </c>
      <c r="H57" s="1201"/>
      <c r="I57" s="1201"/>
      <c r="J57" s="1201"/>
    </row>
    <row r="58" spans="1:17" x14ac:dyDescent="0.3">
      <c r="C58" s="445"/>
      <c r="D58" s="450"/>
      <c r="E58" s="450"/>
      <c r="F58" s="450"/>
      <c r="G58" s="450"/>
      <c r="H58" s="450"/>
      <c r="I58" s="450"/>
      <c r="J58" s="450"/>
    </row>
    <row r="59" spans="1:17" x14ac:dyDescent="0.3">
      <c r="C59" s="445"/>
      <c r="D59" s="450"/>
      <c r="E59" s="450"/>
      <c r="F59" s="450"/>
      <c r="G59" s="450"/>
      <c r="H59" s="450"/>
      <c r="I59" s="450"/>
      <c r="J59" s="450"/>
    </row>
    <row r="60" spans="1:17" x14ac:dyDescent="0.3">
      <c r="C60" s="445"/>
      <c r="D60" s="450"/>
      <c r="E60" s="450"/>
      <c r="F60" s="450"/>
      <c r="G60" s="450"/>
      <c r="H60" s="450"/>
      <c r="I60" s="450"/>
      <c r="J60" s="450"/>
    </row>
    <row r="61" spans="1:17" x14ac:dyDescent="0.3">
      <c r="C61" s="445"/>
      <c r="D61" s="450"/>
      <c r="E61" s="450"/>
      <c r="F61" s="450"/>
      <c r="G61" s="450"/>
      <c r="H61" s="450"/>
      <c r="I61" s="450"/>
      <c r="J61" s="450"/>
    </row>
    <row r="62" spans="1:17" x14ac:dyDescent="0.3">
      <c r="A62" s="451"/>
      <c r="B62" s="451"/>
      <c r="K62" s="451"/>
    </row>
    <row r="63" spans="1:17" x14ac:dyDescent="0.3">
      <c r="A63" s="451"/>
      <c r="B63" s="451"/>
      <c r="K63" s="451"/>
    </row>
    <row r="64" spans="1:17" s="332" customFormat="1" ht="15.6" x14ac:dyDescent="0.3">
      <c r="A64" s="451"/>
      <c r="B64" s="1203" t="s">
        <v>35</v>
      </c>
      <c r="C64" s="1203"/>
      <c r="D64" s="1203"/>
      <c r="E64" s="1194" t="s">
        <v>1346</v>
      </c>
      <c r="F64" s="1194"/>
      <c r="G64" s="1194" t="s">
        <v>48</v>
      </c>
      <c r="H64" s="1194"/>
      <c r="I64" s="1194" t="s">
        <v>26</v>
      </c>
      <c r="J64" s="1194"/>
      <c r="K64" s="451"/>
    </row>
    <row r="65" spans="1:11" s="332" customFormat="1" ht="15.6" x14ac:dyDescent="0.3">
      <c r="A65" s="451"/>
      <c r="B65" s="1203" t="s">
        <v>34</v>
      </c>
      <c r="C65" s="1203"/>
      <c r="D65" s="1203"/>
      <c r="E65" s="1194" t="s">
        <v>34</v>
      </c>
      <c r="F65" s="1194"/>
      <c r="G65" s="1194" t="s">
        <v>47</v>
      </c>
      <c r="H65" s="1194"/>
      <c r="I65" s="1194" t="s">
        <v>49</v>
      </c>
      <c r="J65" s="1194"/>
      <c r="K65" s="451"/>
    </row>
    <row r="66" spans="1:11" x14ac:dyDescent="0.3">
      <c r="A66" s="451"/>
      <c r="K66" s="451"/>
    </row>
    <row r="67" spans="1:11" x14ac:dyDescent="0.3">
      <c r="A67" s="451"/>
      <c r="K67" s="451"/>
    </row>
    <row r="68" spans="1:11" x14ac:dyDescent="0.3">
      <c r="A68" s="451"/>
      <c r="K68" s="451"/>
    </row>
    <row r="69" spans="1:11" x14ac:dyDescent="0.3">
      <c r="A69" s="451"/>
      <c r="K69" s="451"/>
    </row>
    <row r="70" spans="1:11" x14ac:dyDescent="0.3">
      <c r="A70" s="451"/>
      <c r="K70" s="451"/>
    </row>
  </sheetData>
  <mergeCells count="43">
    <mergeCell ref="B64:D64"/>
    <mergeCell ref="B65:D65"/>
    <mergeCell ref="H14:I14"/>
    <mergeCell ref="E56:F56"/>
    <mergeCell ref="E57:F57"/>
    <mergeCell ref="B42:D42"/>
    <mergeCell ref="G42:J42"/>
    <mergeCell ref="H15:I15"/>
    <mergeCell ref="E49:F49"/>
    <mergeCell ref="E50:F50"/>
    <mergeCell ref="B43:D43"/>
    <mergeCell ref="G64:H64"/>
    <mergeCell ref="G65:H65"/>
    <mergeCell ref="I64:J64"/>
    <mergeCell ref="I65:J65"/>
    <mergeCell ref="E64:F64"/>
    <mergeCell ref="E65:F65"/>
    <mergeCell ref="H13:I13"/>
    <mergeCell ref="H16:I16"/>
    <mergeCell ref="H17:I17"/>
    <mergeCell ref="H18:I18"/>
    <mergeCell ref="H19:I19"/>
    <mergeCell ref="H20:I20"/>
    <mergeCell ref="H21:I21"/>
    <mergeCell ref="G43:J45"/>
    <mergeCell ref="H22:I22"/>
    <mergeCell ref="H23:I23"/>
    <mergeCell ref="H24:I24"/>
    <mergeCell ref="H25:I25"/>
    <mergeCell ref="G57:J57"/>
    <mergeCell ref="G56:J56"/>
    <mergeCell ref="E42:F42"/>
    <mergeCell ref="E43:F43"/>
    <mergeCell ref="B2:J2"/>
    <mergeCell ref="B3:J3"/>
    <mergeCell ref="B4:J4"/>
    <mergeCell ref="B7:J7"/>
    <mergeCell ref="B12:J12"/>
    <mergeCell ref="B5:J5"/>
    <mergeCell ref="H26:I26"/>
    <mergeCell ref="H27:I27"/>
    <mergeCell ref="H28:I28"/>
    <mergeCell ref="H29:I29"/>
  </mergeCells>
  <phoneticPr fontId="71" type="noConversion"/>
  <printOptions horizontalCentered="1"/>
  <pageMargins left="0.39370078740157483" right="0" top="0" bottom="0" header="0" footer="0"/>
  <pageSetup paperSize="9" scale="66"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3A1B-357B-4924-B527-1FE4262D5737}">
  <sheetPr codeName="Sayfa13">
    <pageSetUpPr fitToPage="1"/>
  </sheetPr>
  <dimension ref="A2:Z68"/>
  <sheetViews>
    <sheetView view="pageBreakPreview" topLeftCell="A16" zoomScale="85" zoomScaleNormal="85" zoomScaleSheetLayoutView="85" workbookViewId="0">
      <selection activeCell="C19" sqref="C19:J32"/>
    </sheetView>
  </sheetViews>
  <sheetFormatPr defaultRowHeight="14.4" x14ac:dyDescent="0.3"/>
  <cols>
    <col min="1" max="1" width="1.77734375" style="443" customWidth="1"/>
    <col min="2" max="2" width="7.33203125" style="443" customWidth="1"/>
    <col min="3" max="3" width="13.77734375" style="443" customWidth="1"/>
    <col min="4" max="4" width="23.77734375" style="443" customWidth="1"/>
    <col min="5" max="6" width="17.77734375" style="443" customWidth="1"/>
    <col min="7" max="7" width="18.44140625" style="443" customWidth="1"/>
    <col min="8" max="9" width="13.77734375" style="443" customWidth="1"/>
    <col min="10" max="10" width="22.6640625" style="443" customWidth="1"/>
    <col min="11" max="11" width="1.77734375" style="443" customWidth="1"/>
    <col min="12" max="23" width="17.77734375" style="443" customWidth="1"/>
    <col min="24" max="24" width="5.77734375" style="443" customWidth="1"/>
    <col min="25" max="25" width="8.88671875" style="443"/>
    <col min="26" max="26" width="15.33203125" style="443" bestFit="1" customWidth="1"/>
    <col min="27" max="27" width="12.33203125" style="443" bestFit="1" customWidth="1"/>
    <col min="28" max="28" width="15.33203125" style="443" bestFit="1" customWidth="1"/>
    <col min="29" max="29" width="14" style="443" bestFit="1" customWidth="1"/>
    <col min="30" max="16384" width="8.88671875" style="443"/>
  </cols>
  <sheetData>
    <row r="2" spans="2:26" ht="18" customHeight="1" x14ac:dyDescent="0.3">
      <c r="B2" s="1179" t="s">
        <v>118</v>
      </c>
      <c r="C2" s="1180"/>
      <c r="D2" s="1180"/>
      <c r="E2" s="1180"/>
      <c r="F2" s="1180"/>
      <c r="G2" s="1180"/>
      <c r="H2" s="1180"/>
      <c r="I2" s="1180"/>
      <c r="J2" s="1181"/>
      <c r="L2" s="331"/>
      <c r="M2" s="331"/>
      <c r="N2" s="331"/>
      <c r="O2" s="331"/>
      <c r="P2" s="331"/>
      <c r="Q2" s="331"/>
      <c r="R2" s="331"/>
      <c r="S2" s="331"/>
      <c r="T2" s="331"/>
      <c r="U2" s="331"/>
      <c r="V2" s="331"/>
      <c r="W2" s="331"/>
      <c r="X2" s="331"/>
    </row>
    <row r="3" spans="2:26" ht="15" customHeight="1" x14ac:dyDescent="0.3">
      <c r="B3" s="1182" t="s">
        <v>210</v>
      </c>
      <c r="C3" s="1016"/>
      <c r="D3" s="1016"/>
      <c r="E3" s="1016"/>
      <c r="F3" s="1016"/>
      <c r="G3" s="1016"/>
      <c r="H3" s="1016"/>
      <c r="I3" s="1016"/>
      <c r="J3" s="1183"/>
      <c r="L3" s="112"/>
      <c r="M3" s="112"/>
      <c r="N3" s="112"/>
      <c r="O3" s="112"/>
      <c r="P3" s="112"/>
      <c r="Q3" s="112"/>
      <c r="R3" s="112"/>
      <c r="S3" s="112"/>
      <c r="T3" s="112"/>
      <c r="U3" s="112"/>
      <c r="V3" s="112"/>
      <c r="W3" s="112"/>
      <c r="X3" s="112"/>
    </row>
    <row r="4" spans="2:26" ht="15" customHeight="1" x14ac:dyDescent="0.3">
      <c r="B4" s="1182" t="s">
        <v>1434</v>
      </c>
      <c r="C4" s="1016"/>
      <c r="D4" s="1016"/>
      <c r="E4" s="1016"/>
      <c r="F4" s="1016"/>
      <c r="G4" s="1016"/>
      <c r="H4" s="1016"/>
      <c r="I4" s="1016"/>
      <c r="J4" s="1183"/>
      <c r="L4" s="112"/>
      <c r="M4" s="112"/>
      <c r="N4" s="112"/>
      <c r="O4" s="112"/>
      <c r="P4" s="112"/>
      <c r="Q4" s="112"/>
      <c r="R4" s="112"/>
      <c r="S4" s="112"/>
      <c r="T4" s="112"/>
      <c r="U4" s="112"/>
      <c r="V4" s="112"/>
      <c r="W4" s="112"/>
      <c r="X4" s="112"/>
    </row>
    <row r="5" spans="2:26" ht="15.6" x14ac:dyDescent="0.3">
      <c r="B5" s="1182" t="s">
        <v>1435</v>
      </c>
      <c r="C5" s="1016"/>
      <c r="D5" s="1016"/>
      <c r="E5" s="1016"/>
      <c r="F5" s="1016"/>
      <c r="G5" s="1016"/>
      <c r="H5" s="1016"/>
      <c r="I5" s="1016"/>
      <c r="J5" s="1183"/>
      <c r="L5" s="229"/>
      <c r="M5" s="229"/>
      <c r="N5" s="229"/>
      <c r="O5" s="229"/>
      <c r="P5" s="229"/>
      <c r="Q5" s="229"/>
      <c r="R5" s="229"/>
      <c r="S5" s="229"/>
      <c r="T5" s="229"/>
      <c r="U5" s="229"/>
      <c r="V5" s="229"/>
      <c r="W5" s="229"/>
      <c r="X5" s="229"/>
    </row>
    <row r="6" spans="2:26" ht="15.6" x14ac:dyDescent="0.3">
      <c r="B6" s="1184"/>
      <c r="C6" s="1185"/>
      <c r="D6" s="1185"/>
      <c r="E6" s="1185"/>
      <c r="F6" s="1185"/>
      <c r="G6" s="1185"/>
      <c r="H6" s="1185"/>
      <c r="I6" s="1185"/>
      <c r="J6" s="1186"/>
      <c r="L6" s="332"/>
      <c r="M6" s="332"/>
      <c r="N6" s="332"/>
      <c r="O6" s="332"/>
      <c r="P6" s="332"/>
      <c r="Q6" s="332"/>
      <c r="R6" s="332"/>
      <c r="S6" s="332"/>
      <c r="T6" s="332"/>
      <c r="U6" s="332"/>
      <c r="V6" s="332"/>
      <c r="W6" s="332"/>
      <c r="X6" s="332"/>
    </row>
    <row r="7" spans="2:26" x14ac:dyDescent="0.3">
      <c r="B7" s="1212" t="s">
        <v>37</v>
      </c>
      <c r="C7" s="1213"/>
      <c r="D7" s="1213"/>
      <c r="E7" s="1213"/>
      <c r="F7" s="1213"/>
      <c r="G7" s="1213"/>
      <c r="H7" s="1213"/>
      <c r="I7" s="1213"/>
      <c r="J7" s="1214"/>
    </row>
    <row r="8" spans="2:26" x14ac:dyDescent="0.3">
      <c r="B8" s="578"/>
      <c r="C8" s="579"/>
      <c r="D8" s="580"/>
      <c r="E8" s="581"/>
      <c r="F8" s="581"/>
      <c r="G8" s="582"/>
      <c r="H8" s="582"/>
      <c r="I8" s="583"/>
      <c r="J8" s="584"/>
      <c r="U8" s="111"/>
      <c r="V8" s="445"/>
    </row>
    <row r="9" spans="2:26" x14ac:dyDescent="0.3">
      <c r="B9" s="592" t="str">
        <f>"Hakediş No: "&amp;Veri!C21&amp;"   Hakediş Tarihi:  "&amp;TEXT(Veri!C22,"gg.aa.yyyy")</f>
        <v>Hakediş No: 6   Hakediş Tarihi:  30.04.2026</v>
      </c>
      <c r="C9" s="445"/>
      <c r="D9" s="444"/>
      <c r="E9" s="454"/>
      <c r="F9" s="454"/>
      <c r="G9" s="446"/>
      <c r="H9" s="446"/>
      <c r="I9" s="586"/>
      <c r="J9" s="587"/>
    </row>
    <row r="10" spans="2:26" x14ac:dyDescent="0.3">
      <c r="B10" s="585"/>
      <c r="C10" s="445"/>
      <c r="D10" s="444"/>
      <c r="E10" s="454"/>
      <c r="F10" s="454"/>
      <c r="G10" s="446"/>
      <c r="H10" s="446"/>
      <c r="I10" s="452"/>
      <c r="J10" s="588"/>
    </row>
    <row r="11" spans="2:26" ht="15.6" x14ac:dyDescent="0.3">
      <c r="B11" s="1187" t="s">
        <v>1402</v>
      </c>
      <c r="C11" s="1188"/>
      <c r="D11" s="1188"/>
      <c r="E11" s="1188"/>
      <c r="F11" s="1188"/>
      <c r="G11" s="1188"/>
      <c r="H11" s="1188"/>
      <c r="I11" s="1188"/>
      <c r="J11" s="1189"/>
    </row>
    <row r="12" spans="2:26" ht="60" customHeight="1" x14ac:dyDescent="0.3">
      <c r="B12" s="593" t="s">
        <v>96</v>
      </c>
      <c r="C12" s="594" t="s">
        <v>1403</v>
      </c>
      <c r="D12" s="593" t="s">
        <v>1398</v>
      </c>
      <c r="E12" s="595" t="s">
        <v>1399</v>
      </c>
      <c r="F12" s="595" t="s">
        <v>1400</v>
      </c>
      <c r="G12" s="596" t="s">
        <v>1401</v>
      </c>
      <c r="H12" s="1210" t="s">
        <v>97</v>
      </c>
      <c r="I12" s="1211"/>
      <c r="J12" s="594" t="s">
        <v>1332</v>
      </c>
    </row>
    <row r="13" spans="2:26" ht="19.95" customHeight="1" x14ac:dyDescent="0.3">
      <c r="B13" s="460">
        <v>1</v>
      </c>
      <c r="C13" s="461">
        <v>45639</v>
      </c>
      <c r="D13" s="508" t="s">
        <v>1424</v>
      </c>
      <c r="E13" s="462">
        <v>879358405.72000003</v>
      </c>
      <c r="F13" s="462">
        <f>+E13</f>
        <v>879358405.72000003</v>
      </c>
      <c r="G13" s="463" t="s">
        <v>1339</v>
      </c>
      <c r="H13" s="469"/>
      <c r="I13" s="470"/>
      <c r="J13" s="464">
        <v>48233</v>
      </c>
      <c r="Z13" s="447"/>
    </row>
    <row r="14" spans="2:26" ht="19.95" customHeight="1" x14ac:dyDescent="0.3">
      <c r="B14" s="455">
        <v>2</v>
      </c>
      <c r="C14" s="456">
        <v>45639</v>
      </c>
      <c r="D14" s="510" t="s">
        <v>1425</v>
      </c>
      <c r="E14" s="457">
        <v>439613254.27999997</v>
      </c>
      <c r="F14" s="457">
        <f>+F13+E14</f>
        <v>1318971660</v>
      </c>
      <c r="G14" s="509" t="s">
        <v>1339</v>
      </c>
      <c r="H14" s="471"/>
      <c r="I14" s="472"/>
      <c r="J14" s="459">
        <v>48233</v>
      </c>
    </row>
    <row r="15" spans="2:26" ht="28.8" customHeight="1" x14ac:dyDescent="0.3">
      <c r="B15" s="486"/>
      <c r="C15" s="480" t="str">
        <f>+"Sözleşme bedeli "&amp;TEXT(Veri!$C$2,"#.##0,00")&amp;" TL olup, "&amp;TEXT(Veri!$C$2,"#.##0,00")&amp;" x %6 = "&amp;TEXT(ROUND(Veri!$C$2*0.06,2),"#.##0,00")&amp;" TL tutarına karşılık Teminat Mektubu verilmiştir"</f>
        <v>Sözleşme bedeli 21.982.861.000,00 TL olup, 21.982.861.000,00 x %6 = 1.318.971.660,00 TL tutarına karşılık Teminat Mektubu verilmiştir</v>
      </c>
      <c r="D15" s="481"/>
      <c r="E15" s="482"/>
      <c r="F15" s="482"/>
      <c r="G15" s="483"/>
      <c r="H15" s="483"/>
      <c r="I15" s="484"/>
      <c r="J15" s="485"/>
    </row>
    <row r="16" spans="2:26" ht="15" customHeight="1" x14ac:dyDescent="0.3">
      <c r="B16" s="1209" t="s">
        <v>1405</v>
      </c>
      <c r="C16" s="1209"/>
      <c r="D16" s="1209"/>
      <c r="E16" s="1209"/>
      <c r="F16" s="1209"/>
      <c r="G16" s="1209"/>
      <c r="H16" s="1209"/>
      <c r="I16" s="1209"/>
      <c r="J16" s="1209"/>
    </row>
    <row r="17" spans="2:26" ht="15.6" customHeight="1" x14ac:dyDescent="0.3">
      <c r="B17" s="1188"/>
      <c r="C17" s="1188"/>
      <c r="D17" s="1188"/>
      <c r="E17" s="1188"/>
      <c r="F17" s="1188"/>
      <c r="G17" s="1188"/>
      <c r="H17" s="1188"/>
      <c r="I17" s="1188"/>
      <c r="J17" s="1188"/>
    </row>
    <row r="18" spans="2:26" ht="60" customHeight="1" x14ac:dyDescent="0.3">
      <c r="B18" s="465" t="s">
        <v>96</v>
      </c>
      <c r="C18" s="466" t="s">
        <v>1403</v>
      </c>
      <c r="D18" s="465" t="s">
        <v>1398</v>
      </c>
      <c r="E18" s="467" t="s">
        <v>1399</v>
      </c>
      <c r="F18" s="467" t="s">
        <v>1400</v>
      </c>
      <c r="G18" s="468" t="s">
        <v>1401</v>
      </c>
      <c r="H18" s="1195" t="s">
        <v>97</v>
      </c>
      <c r="I18" s="1196"/>
      <c r="J18" s="466" t="s">
        <v>1332</v>
      </c>
    </row>
    <row r="19" spans="2:26" ht="19.95" customHeight="1" x14ac:dyDescent="0.3">
      <c r="B19" s="460">
        <v>1</v>
      </c>
      <c r="C19" s="534"/>
      <c r="D19" s="535"/>
      <c r="E19" s="536"/>
      <c r="F19" s="536"/>
      <c r="G19" s="537"/>
      <c r="H19" s="1204"/>
      <c r="I19" s="1205"/>
      <c r="J19" s="538"/>
      <c r="M19" s="726">
        <f>+İcmal!AE35</f>
        <v>10372185</v>
      </c>
      <c r="Z19" s="447"/>
    </row>
    <row r="20" spans="2:26" ht="19.95" customHeight="1" x14ac:dyDescent="0.3">
      <c r="B20" s="455">
        <v>2</v>
      </c>
      <c r="C20" s="539"/>
      <c r="D20" s="540"/>
      <c r="E20" s="541"/>
      <c r="F20" s="541"/>
      <c r="G20" s="542"/>
      <c r="H20" s="1197"/>
      <c r="I20" s="1198"/>
      <c r="J20" s="543"/>
      <c r="M20" s="726">
        <f>+M19*0.06</f>
        <v>622331.1</v>
      </c>
    </row>
    <row r="21" spans="2:26" ht="19.95" customHeight="1" x14ac:dyDescent="0.3">
      <c r="B21" s="460">
        <v>3</v>
      </c>
      <c r="C21" s="539"/>
      <c r="D21" s="540"/>
      <c r="E21" s="541"/>
      <c r="F21" s="541"/>
      <c r="G21" s="542"/>
      <c r="H21" s="1197"/>
      <c r="I21" s="1198"/>
      <c r="J21" s="543"/>
      <c r="M21" s="726">
        <f>+SUM(E19:E37)</f>
        <v>0</v>
      </c>
    </row>
    <row r="22" spans="2:26" ht="19.95" customHeight="1" x14ac:dyDescent="0.3">
      <c r="B22" s="455">
        <v>4</v>
      </c>
      <c r="C22" s="539"/>
      <c r="D22" s="540"/>
      <c r="E22" s="541"/>
      <c r="F22" s="541"/>
      <c r="G22" s="542"/>
      <c r="H22" s="1197"/>
      <c r="I22" s="1198"/>
      <c r="J22" s="543"/>
      <c r="L22" s="727" t="s">
        <v>1469</v>
      </c>
      <c r="M22" s="726">
        <f>+M20-M21</f>
        <v>622331.1</v>
      </c>
    </row>
    <row r="23" spans="2:26" ht="19.95" customHeight="1" x14ac:dyDescent="0.3">
      <c r="B23" s="460">
        <v>5</v>
      </c>
      <c r="C23" s="539"/>
      <c r="D23" s="540"/>
      <c r="E23" s="541"/>
      <c r="F23" s="541"/>
      <c r="G23" s="542"/>
      <c r="H23" s="1197"/>
      <c r="I23" s="1198"/>
      <c r="J23" s="543"/>
    </row>
    <row r="24" spans="2:26" ht="19.95" customHeight="1" x14ac:dyDescent="0.3">
      <c r="B24" s="455">
        <v>6</v>
      </c>
      <c r="C24" s="539"/>
      <c r="D24" s="540"/>
      <c r="E24" s="541"/>
      <c r="F24" s="541"/>
      <c r="G24" s="542"/>
      <c r="H24" s="1197"/>
      <c r="I24" s="1198"/>
      <c r="J24" s="543"/>
    </row>
    <row r="25" spans="2:26" ht="19.95" customHeight="1" x14ac:dyDescent="0.3">
      <c r="B25" s="460">
        <v>7</v>
      </c>
      <c r="C25" s="456"/>
      <c r="D25" s="455"/>
      <c r="E25" s="457"/>
      <c r="F25" s="457"/>
      <c r="G25" s="458"/>
      <c r="H25" s="1190"/>
      <c r="I25" s="1191"/>
      <c r="J25" s="459"/>
    </row>
    <row r="26" spans="2:26" ht="19.95" customHeight="1" x14ac:dyDescent="0.3">
      <c r="B26" s="455">
        <v>8</v>
      </c>
      <c r="C26" s="456"/>
      <c r="D26" s="455"/>
      <c r="E26" s="457"/>
      <c r="F26" s="457"/>
      <c r="G26" s="458"/>
      <c r="H26" s="1190"/>
      <c r="I26" s="1191"/>
      <c r="J26" s="459"/>
    </row>
    <row r="27" spans="2:26" ht="19.95" customHeight="1" x14ac:dyDescent="0.3">
      <c r="B27" s="460">
        <v>9</v>
      </c>
      <c r="C27" s="456"/>
      <c r="D27" s="455"/>
      <c r="E27" s="457"/>
      <c r="F27" s="457"/>
      <c r="G27" s="458"/>
      <c r="H27" s="1190"/>
      <c r="I27" s="1191"/>
      <c r="J27" s="459"/>
    </row>
    <row r="28" spans="2:26" ht="19.95" customHeight="1" x14ac:dyDescent="0.3">
      <c r="B28" s="455">
        <v>10</v>
      </c>
      <c r="C28" s="456"/>
      <c r="D28" s="455"/>
      <c r="E28" s="457"/>
      <c r="F28" s="457"/>
      <c r="G28" s="458"/>
      <c r="H28" s="1190"/>
      <c r="I28" s="1191"/>
      <c r="J28" s="459"/>
    </row>
    <row r="29" spans="2:26" ht="19.95" customHeight="1" x14ac:dyDescent="0.3">
      <c r="B29" s="460">
        <v>11</v>
      </c>
      <c r="C29" s="456"/>
      <c r="D29" s="899"/>
      <c r="E29" s="457"/>
      <c r="F29" s="457"/>
      <c r="G29" s="458"/>
      <c r="H29" s="1190"/>
      <c r="I29" s="1191"/>
      <c r="J29" s="459"/>
    </row>
    <row r="30" spans="2:26" ht="19.95" customHeight="1" x14ac:dyDescent="0.3">
      <c r="B30" s="455">
        <v>12</v>
      </c>
      <c r="C30" s="456"/>
      <c r="D30" s="899"/>
      <c r="E30" s="457"/>
      <c r="F30" s="457"/>
      <c r="G30" s="458"/>
      <c r="H30" s="1215"/>
      <c r="I30" s="1191"/>
      <c r="J30" s="459"/>
    </row>
    <row r="31" spans="2:26" ht="19.95" customHeight="1" x14ac:dyDescent="0.3">
      <c r="B31" s="460">
        <v>13</v>
      </c>
      <c r="C31" s="456"/>
      <c r="D31" s="922"/>
      <c r="E31" s="457"/>
      <c r="F31" s="457"/>
      <c r="G31" s="458"/>
      <c r="H31" s="1193"/>
      <c r="I31" s="1191"/>
      <c r="J31" s="459"/>
    </row>
    <row r="32" spans="2:26" ht="19.95" customHeight="1" x14ac:dyDescent="0.3">
      <c r="B32" s="455">
        <v>14</v>
      </c>
      <c r="C32" s="456"/>
      <c r="D32" s="922"/>
      <c r="E32" s="457"/>
      <c r="F32" s="457"/>
      <c r="G32" s="458"/>
      <c r="H32" s="1193"/>
      <c r="I32" s="1191"/>
      <c r="J32" s="459"/>
    </row>
    <row r="33" spans="1:23" ht="19.95" customHeight="1" x14ac:dyDescent="0.3">
      <c r="B33" s="460">
        <v>15</v>
      </c>
      <c r="C33" s="456"/>
      <c r="D33" s="455"/>
      <c r="E33" s="457"/>
      <c r="F33" s="457"/>
      <c r="G33" s="458"/>
      <c r="H33" s="471"/>
      <c r="I33" s="472"/>
      <c r="J33" s="459"/>
    </row>
    <row r="34" spans="1:23" ht="19.95" customHeight="1" x14ac:dyDescent="0.3">
      <c r="B34" s="455">
        <v>16</v>
      </c>
      <c r="C34" s="456"/>
      <c r="D34" s="455"/>
      <c r="E34" s="457"/>
      <c r="F34" s="457"/>
      <c r="G34" s="458"/>
      <c r="H34" s="471"/>
      <c r="I34" s="472"/>
      <c r="J34" s="459"/>
    </row>
    <row r="35" spans="1:23" ht="19.95" customHeight="1" x14ac:dyDescent="0.3">
      <c r="B35" s="460">
        <v>17</v>
      </c>
      <c r="C35" s="456"/>
      <c r="D35" s="455"/>
      <c r="E35" s="457"/>
      <c r="F35" s="457"/>
      <c r="G35" s="458"/>
      <c r="H35" s="471"/>
      <c r="I35" s="472"/>
      <c r="J35" s="459"/>
    </row>
    <row r="36" spans="1:23" ht="19.95" customHeight="1" x14ac:dyDescent="0.3">
      <c r="B36" s="455">
        <v>18</v>
      </c>
      <c r="C36" s="456"/>
      <c r="D36" s="455"/>
      <c r="E36" s="457"/>
      <c r="F36" s="457"/>
      <c r="G36" s="458"/>
      <c r="H36" s="471"/>
      <c r="I36" s="472"/>
      <c r="J36" s="459"/>
    </row>
    <row r="37" spans="1:23" ht="19.95" customHeight="1" x14ac:dyDescent="0.3">
      <c r="B37" s="460">
        <v>19</v>
      </c>
      <c r="C37" s="456"/>
      <c r="D37" s="455"/>
      <c r="E37" s="457"/>
      <c r="F37" s="457"/>
      <c r="G37" s="458"/>
      <c r="H37" s="471"/>
      <c r="I37" s="472"/>
      <c r="J37" s="459"/>
    </row>
    <row r="38" spans="1:23" ht="28.8" customHeight="1" x14ac:dyDescent="0.3">
      <c r="B38" s="486">
        <f>+Veri!$C$21</f>
        <v>6</v>
      </c>
      <c r="C38" s="480" t="str">
        <f>"Nolu Hakediş itibari ile toplam hesaplanan fiyat farkı "&amp;TEXT('Fiyat Farkı İcmal'!$R$43,"#.##0,00")&amp;" TL olup, "&amp;TEXT('Fiyat Farkı İcmal'!$R$43,"#.##0,00")&amp;" x %6 = "&amp;TEXT(ROUND('Fiyat Farkı İcmal'!$R$43*0.06,2),"#.##0,00")&amp;" TL tutarına karşılık Teminat Mektubu verilmiştir"</f>
        <v>Nolu Hakediş itibari ile toplam hesaplanan fiyat farkı 10.372.185,00 TL olup, 10.372.185,00 x %6 = 622.331,10 TL tutarına karşılık Teminat Mektubu verilmiştir</v>
      </c>
      <c r="D38" s="481"/>
      <c r="E38" s="482"/>
      <c r="F38" s="482"/>
      <c r="G38" s="483"/>
      <c r="H38" s="483"/>
      <c r="I38" s="484"/>
      <c r="J38" s="485"/>
    </row>
    <row r="39" spans="1:23" ht="4.95" customHeight="1" x14ac:dyDescent="0.3">
      <c r="B39" s="444"/>
      <c r="C39" s="445"/>
      <c r="D39" s="444"/>
      <c r="E39" s="454"/>
      <c r="F39" s="454"/>
      <c r="G39" s="446"/>
      <c r="H39" s="446"/>
      <c r="I39" s="452"/>
      <c r="J39" s="453"/>
    </row>
    <row r="40" spans="1:23" s="332" customFormat="1" ht="15.6" x14ac:dyDescent="0.3">
      <c r="A40" s="443"/>
      <c r="B40" s="1206" t="s">
        <v>33</v>
      </c>
      <c r="C40" s="1206"/>
      <c r="D40" s="1206"/>
      <c r="E40" s="1202" t="s">
        <v>29</v>
      </c>
      <c r="F40" s="1202"/>
      <c r="G40" s="1207" t="s">
        <v>22</v>
      </c>
      <c r="H40" s="1207"/>
      <c r="I40" s="1207"/>
      <c r="J40" s="1207"/>
      <c r="K40" s="443"/>
      <c r="L40" s="318"/>
      <c r="M40" s="318"/>
      <c r="N40" s="318"/>
      <c r="O40" s="318"/>
      <c r="P40" s="318"/>
      <c r="Q40" s="318"/>
      <c r="R40" s="318"/>
      <c r="S40" s="318"/>
      <c r="T40" s="318"/>
      <c r="U40" s="318"/>
      <c r="V40" s="318"/>
      <c r="W40" s="318"/>
    </row>
    <row r="41" spans="1:23" ht="15.6" customHeight="1" x14ac:dyDescent="0.3">
      <c r="B41" s="1194" t="s">
        <v>1214</v>
      </c>
      <c r="C41" s="1194"/>
      <c r="D41" s="1194"/>
      <c r="E41" s="1178" t="s">
        <v>38</v>
      </c>
      <c r="F41" s="1178"/>
      <c r="G41" s="1199" t="s">
        <v>1437</v>
      </c>
      <c r="H41" s="1199"/>
      <c r="I41" s="1199"/>
      <c r="J41" s="1199"/>
      <c r="L41" s="449"/>
      <c r="M41" s="449"/>
      <c r="N41" s="449"/>
      <c r="O41" s="449"/>
      <c r="P41" s="449"/>
      <c r="Q41" s="449"/>
      <c r="R41" s="449"/>
      <c r="S41" s="449"/>
      <c r="T41" s="449"/>
      <c r="U41" s="449"/>
      <c r="V41" s="449"/>
      <c r="W41" s="449"/>
    </row>
    <row r="42" spans="1:23" x14ac:dyDescent="0.3">
      <c r="C42" s="445"/>
      <c r="D42" s="444"/>
      <c r="E42" s="454"/>
      <c r="F42" s="454"/>
      <c r="G42" s="1199"/>
      <c r="H42" s="1199"/>
      <c r="I42" s="1199"/>
      <c r="J42" s="1199"/>
    </row>
    <row r="43" spans="1:23" x14ac:dyDescent="0.3">
      <c r="C43" s="445"/>
      <c r="D43" s="444"/>
      <c r="E43" s="454"/>
      <c r="F43" s="454"/>
      <c r="G43" s="1199"/>
      <c r="H43" s="1199"/>
      <c r="I43" s="1199"/>
      <c r="J43" s="1199"/>
    </row>
    <row r="44" spans="1:23" x14ac:dyDescent="0.3">
      <c r="C44" s="445"/>
      <c r="D44" s="444"/>
      <c r="E44" s="454"/>
      <c r="F44" s="454"/>
      <c r="G44" s="446"/>
      <c r="H44" s="446"/>
      <c r="I44" s="452"/>
      <c r="J44" s="453"/>
    </row>
    <row r="45" spans="1:23" x14ac:dyDescent="0.3">
      <c r="C45" s="445"/>
      <c r="D45" s="444"/>
      <c r="E45" s="454"/>
      <c r="F45" s="454"/>
      <c r="G45" s="446"/>
      <c r="H45" s="446"/>
      <c r="I45" s="452"/>
      <c r="J45" s="453"/>
    </row>
    <row r="46" spans="1:23" x14ac:dyDescent="0.3">
      <c r="C46" s="445"/>
      <c r="D46" s="444"/>
      <c r="E46" s="454"/>
      <c r="F46" s="454"/>
      <c r="G46" s="446"/>
      <c r="H46" s="446"/>
      <c r="I46" s="452"/>
      <c r="J46" s="453"/>
    </row>
    <row r="47" spans="1:23" x14ac:dyDescent="0.3">
      <c r="C47" s="445"/>
      <c r="D47" s="444"/>
      <c r="E47" s="1208"/>
      <c r="F47" s="1178"/>
      <c r="G47" s="446"/>
      <c r="H47" s="446"/>
      <c r="I47" s="452"/>
      <c r="J47" s="453"/>
    </row>
    <row r="48" spans="1:23" ht="14.4" customHeight="1" x14ac:dyDescent="0.3">
      <c r="C48" s="445"/>
      <c r="D48" s="444"/>
      <c r="E48" s="1208"/>
      <c r="F48" s="1178"/>
      <c r="G48" s="446"/>
      <c r="H48" s="446"/>
      <c r="I48" s="452"/>
      <c r="J48" s="453"/>
      <c r="L48" s="449"/>
      <c r="M48" s="449"/>
      <c r="N48" s="449"/>
      <c r="O48" s="449"/>
      <c r="P48" s="449"/>
      <c r="Q48" s="449"/>
    </row>
    <row r="49" spans="1:17" ht="14.4" customHeight="1" x14ac:dyDescent="0.3">
      <c r="C49" s="445"/>
      <c r="D49" s="444"/>
      <c r="E49" s="454"/>
      <c r="F49" s="454"/>
      <c r="G49" s="446"/>
      <c r="H49" s="446"/>
      <c r="I49" s="452"/>
      <c r="J49" s="453"/>
      <c r="L49" s="449"/>
      <c r="M49" s="449"/>
      <c r="N49" s="449"/>
      <c r="O49" s="449"/>
      <c r="P49" s="449"/>
      <c r="Q49" s="449"/>
    </row>
    <row r="50" spans="1:17" ht="14.4" customHeight="1" x14ac:dyDescent="0.3">
      <c r="C50" s="445"/>
      <c r="D50" s="444"/>
      <c r="E50" s="454"/>
      <c r="F50" s="454"/>
      <c r="G50" s="446"/>
      <c r="H50" s="446"/>
      <c r="I50" s="452"/>
      <c r="J50" s="453"/>
      <c r="L50" s="449"/>
      <c r="M50" s="449"/>
      <c r="N50" s="449"/>
      <c r="O50" s="449"/>
      <c r="P50" s="449"/>
      <c r="Q50" s="449"/>
    </row>
    <row r="51" spans="1:17" ht="14.4" customHeight="1" x14ac:dyDescent="0.3">
      <c r="C51" s="445"/>
      <c r="D51" s="444"/>
      <c r="E51" s="454"/>
      <c r="F51" s="454"/>
      <c r="G51" s="446"/>
      <c r="H51" s="446"/>
      <c r="I51" s="452"/>
      <c r="J51" s="453"/>
      <c r="L51" s="449"/>
      <c r="M51" s="449"/>
      <c r="N51" s="449"/>
      <c r="O51" s="449"/>
      <c r="P51" s="449"/>
      <c r="Q51" s="449"/>
    </row>
    <row r="52" spans="1:17" x14ac:dyDescent="0.3">
      <c r="C52" s="445"/>
      <c r="D52" s="444"/>
      <c r="E52" s="445"/>
      <c r="F52" s="454"/>
      <c r="G52" s="446"/>
      <c r="H52" s="446"/>
      <c r="I52" s="452"/>
      <c r="J52" s="453"/>
    </row>
    <row r="53" spans="1:17" x14ac:dyDescent="0.3">
      <c r="C53" s="445"/>
      <c r="D53" s="444"/>
      <c r="E53" s="445"/>
      <c r="F53" s="454"/>
      <c r="G53" s="446"/>
      <c r="H53" s="446"/>
      <c r="I53" s="452"/>
      <c r="J53" s="453"/>
    </row>
    <row r="54" spans="1:17" x14ac:dyDescent="0.3">
      <c r="C54" s="445"/>
      <c r="D54" s="444"/>
      <c r="E54" s="1178" t="s">
        <v>63</v>
      </c>
      <c r="F54" s="1178"/>
      <c r="G54" s="1200" t="s">
        <v>1218</v>
      </c>
      <c r="H54" s="1201"/>
      <c r="I54" s="1201"/>
      <c r="J54" s="1201"/>
    </row>
    <row r="55" spans="1:17" x14ac:dyDescent="0.3">
      <c r="C55" s="445"/>
      <c r="D55" s="444"/>
      <c r="E55" s="1178" t="s">
        <v>1330</v>
      </c>
      <c r="F55" s="1178"/>
      <c r="G55" s="1200" t="s">
        <v>1484</v>
      </c>
      <c r="H55" s="1201"/>
      <c r="I55" s="1201"/>
      <c r="J55" s="1201"/>
    </row>
    <row r="56" spans="1:17" x14ac:dyDescent="0.3">
      <c r="C56" s="445"/>
      <c r="D56" s="450"/>
      <c r="E56" s="450"/>
      <c r="F56" s="450"/>
      <c r="G56" s="450"/>
      <c r="H56" s="450"/>
      <c r="I56" s="450"/>
      <c r="J56" s="450"/>
    </row>
    <row r="57" spans="1:17" x14ac:dyDescent="0.3">
      <c r="C57" s="445"/>
      <c r="D57" s="450"/>
      <c r="E57" s="450"/>
      <c r="F57" s="450"/>
      <c r="G57" s="450"/>
      <c r="H57" s="450"/>
      <c r="I57" s="450"/>
      <c r="J57" s="450"/>
    </row>
    <row r="58" spans="1:17" x14ac:dyDescent="0.3">
      <c r="C58" s="445"/>
      <c r="D58" s="450"/>
      <c r="E58" s="450"/>
      <c r="F58" s="450"/>
      <c r="G58" s="450"/>
      <c r="H58" s="450"/>
      <c r="I58" s="450"/>
      <c r="J58" s="450"/>
    </row>
    <row r="59" spans="1:17" x14ac:dyDescent="0.3">
      <c r="C59" s="445"/>
      <c r="D59" s="450"/>
      <c r="E59" s="450"/>
      <c r="F59" s="450"/>
      <c r="G59" s="450"/>
      <c r="H59" s="450"/>
      <c r="I59" s="450"/>
      <c r="J59" s="450"/>
    </row>
    <row r="60" spans="1:17" x14ac:dyDescent="0.3">
      <c r="A60" s="451"/>
      <c r="B60" s="451"/>
      <c r="K60" s="451"/>
    </row>
    <row r="61" spans="1:17" x14ac:dyDescent="0.3">
      <c r="A61" s="451"/>
      <c r="B61" s="451"/>
      <c r="K61" s="451"/>
    </row>
    <row r="62" spans="1:17" s="332" customFormat="1" ht="15.6" x14ac:dyDescent="0.3">
      <c r="A62" s="451"/>
      <c r="B62" s="1203" t="s">
        <v>35</v>
      </c>
      <c r="C62" s="1203"/>
      <c r="D62" s="1203"/>
      <c r="E62" s="1194" t="s">
        <v>1346</v>
      </c>
      <c r="F62" s="1194"/>
      <c r="G62" s="1194" t="s">
        <v>48</v>
      </c>
      <c r="H62" s="1194"/>
      <c r="I62" s="1194" t="s">
        <v>26</v>
      </c>
      <c r="J62" s="1194"/>
      <c r="K62" s="451"/>
    </row>
    <row r="63" spans="1:17" s="332" customFormat="1" ht="15.6" x14ac:dyDescent="0.3">
      <c r="A63" s="451"/>
      <c r="B63" s="1203" t="s">
        <v>34</v>
      </c>
      <c r="C63" s="1203"/>
      <c r="D63" s="1203"/>
      <c r="E63" s="1194" t="s">
        <v>34</v>
      </c>
      <c r="F63" s="1194"/>
      <c r="G63" s="1194" t="s">
        <v>47</v>
      </c>
      <c r="H63" s="1194"/>
      <c r="I63" s="1194" t="s">
        <v>49</v>
      </c>
      <c r="J63" s="1194"/>
      <c r="K63" s="451"/>
    </row>
    <row r="64" spans="1:17" x14ac:dyDescent="0.3">
      <c r="A64" s="451"/>
      <c r="K64" s="451"/>
    </row>
    <row r="65" spans="1:11" x14ac:dyDescent="0.3">
      <c r="A65" s="451"/>
      <c r="K65" s="451"/>
    </row>
    <row r="66" spans="1:11" x14ac:dyDescent="0.3">
      <c r="A66" s="451"/>
      <c r="K66" s="451"/>
    </row>
    <row r="67" spans="1:11" x14ac:dyDescent="0.3">
      <c r="A67" s="451"/>
      <c r="K67" s="451"/>
    </row>
    <row r="68" spans="1:11" x14ac:dyDescent="0.3">
      <c r="A68" s="451"/>
      <c r="K68" s="451"/>
    </row>
  </sheetData>
  <mergeCells count="44">
    <mergeCell ref="H25:I25"/>
    <mergeCell ref="H26:I26"/>
    <mergeCell ref="H27:I27"/>
    <mergeCell ref="H28:I28"/>
    <mergeCell ref="G54:J54"/>
    <mergeCell ref="H29:I29"/>
    <mergeCell ref="H30:I30"/>
    <mergeCell ref="H31:I31"/>
    <mergeCell ref="H32:I32"/>
    <mergeCell ref="B16:J17"/>
    <mergeCell ref="H12:I12"/>
    <mergeCell ref="B2:J2"/>
    <mergeCell ref="B3:J3"/>
    <mergeCell ref="B4:J4"/>
    <mergeCell ref="B6:J6"/>
    <mergeCell ref="B11:J11"/>
    <mergeCell ref="B5:J5"/>
    <mergeCell ref="B7:J7"/>
    <mergeCell ref="B63:D63"/>
    <mergeCell ref="E63:F63"/>
    <mergeCell ref="G63:H63"/>
    <mergeCell ref="I63:J63"/>
    <mergeCell ref="E47:F47"/>
    <mergeCell ref="E48:F48"/>
    <mergeCell ref="E54:F54"/>
    <mergeCell ref="E55:F55"/>
    <mergeCell ref="B62:D62"/>
    <mergeCell ref="E62:F62"/>
    <mergeCell ref="G62:H62"/>
    <mergeCell ref="I62:J62"/>
    <mergeCell ref="G55:J55"/>
    <mergeCell ref="B40:D40"/>
    <mergeCell ref="E40:F40"/>
    <mergeCell ref="G40:J40"/>
    <mergeCell ref="B41:D41"/>
    <mergeCell ref="E41:F41"/>
    <mergeCell ref="G41:J43"/>
    <mergeCell ref="H23:I23"/>
    <mergeCell ref="H24:I24"/>
    <mergeCell ref="H18:I18"/>
    <mergeCell ref="H19:I19"/>
    <mergeCell ref="H20:I20"/>
    <mergeCell ref="H21:I21"/>
    <mergeCell ref="H22:I22"/>
  </mergeCells>
  <phoneticPr fontId="71" type="noConversion"/>
  <printOptions horizontalCentered="1"/>
  <pageMargins left="0.39370078740157483" right="0" top="0" bottom="0" header="0" footer="0"/>
  <pageSetup paperSize="9" scale="64" fitToHeight="0"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97938-063C-4533-B6AD-313F186A41B9}">
  <sheetPr>
    <pageSetUpPr fitToPage="1"/>
  </sheetPr>
  <dimension ref="A2:Z84"/>
  <sheetViews>
    <sheetView view="pageBreakPreview" topLeftCell="A27" zoomScale="50" zoomScaleNormal="85" zoomScaleSheetLayoutView="50" workbookViewId="0">
      <selection activeCell="P43" sqref="P43"/>
    </sheetView>
  </sheetViews>
  <sheetFormatPr defaultRowHeight="14.4" x14ac:dyDescent="0.3"/>
  <cols>
    <col min="1" max="1" width="5.77734375" style="11" customWidth="1"/>
    <col min="2" max="3" width="17.77734375" style="11" customWidth="1"/>
    <col min="4" max="4" width="22.77734375" style="11" customWidth="1"/>
    <col min="5" max="7" width="21.77734375" style="11" customWidth="1"/>
    <col min="8" max="19" width="17.77734375" style="11" customWidth="1"/>
    <col min="20" max="20" width="5.77734375" style="11" customWidth="1"/>
    <col min="21" max="21" width="8.88671875" style="11"/>
    <col min="22" max="22" width="19" style="11" customWidth="1"/>
    <col min="23" max="26" width="43.33203125" style="11" customWidth="1"/>
    <col min="27" max="16384" width="8.88671875" style="11"/>
  </cols>
  <sheetData>
    <row r="2" spans="1:20" s="800" customFormat="1" ht="21" x14ac:dyDescent="0.3"/>
    <row r="3" spans="1:20" s="800" customFormat="1" ht="21" x14ac:dyDescent="0.3">
      <c r="A3" s="1239" t="s">
        <v>118</v>
      </c>
      <c r="B3" s="1239"/>
      <c r="C3" s="1239"/>
      <c r="D3" s="1239"/>
      <c r="E3" s="1239"/>
      <c r="F3" s="1239"/>
      <c r="G3" s="1239"/>
      <c r="H3" s="1239"/>
      <c r="I3" s="1239"/>
      <c r="J3" s="1239"/>
      <c r="K3" s="1239"/>
      <c r="L3" s="1239"/>
      <c r="M3" s="1239"/>
      <c r="N3" s="1239"/>
      <c r="O3" s="1239"/>
      <c r="P3" s="1239"/>
      <c r="Q3" s="1239"/>
      <c r="R3" s="1239"/>
      <c r="S3" s="1239"/>
      <c r="T3" s="1239"/>
    </row>
    <row r="4" spans="1:20" s="800" customFormat="1" ht="21" x14ac:dyDescent="0.3">
      <c r="A4" s="1239" t="s">
        <v>210</v>
      </c>
      <c r="B4" s="1239"/>
      <c r="C4" s="1239"/>
      <c r="D4" s="1239"/>
      <c r="E4" s="1239"/>
      <c r="F4" s="1239"/>
      <c r="G4" s="1239"/>
      <c r="H4" s="1239"/>
      <c r="I4" s="1239"/>
      <c r="J4" s="1239"/>
      <c r="K4" s="1239"/>
      <c r="L4" s="1239"/>
      <c r="M4" s="1239"/>
      <c r="N4" s="1239"/>
      <c r="O4" s="1239"/>
      <c r="P4" s="1239"/>
      <c r="Q4" s="1239"/>
      <c r="R4" s="1239"/>
      <c r="S4" s="1239"/>
      <c r="T4" s="1239"/>
    </row>
    <row r="5" spans="1:20" s="800" customFormat="1" ht="21" x14ac:dyDescent="0.3">
      <c r="A5" s="1239" t="s">
        <v>1434</v>
      </c>
      <c r="B5" s="1239"/>
      <c r="C5" s="1239"/>
      <c r="D5" s="1239"/>
      <c r="E5" s="1239"/>
      <c r="F5" s="1239"/>
      <c r="G5" s="1239"/>
      <c r="H5" s="1239"/>
      <c r="I5" s="1239"/>
      <c r="J5" s="1239"/>
      <c r="K5" s="1239"/>
      <c r="L5" s="1239"/>
      <c r="M5" s="1239"/>
      <c r="N5" s="1239"/>
      <c r="O5" s="1239"/>
      <c r="P5" s="1239"/>
      <c r="Q5" s="1239"/>
      <c r="R5" s="1239"/>
      <c r="S5" s="1239"/>
      <c r="T5" s="1239"/>
    </row>
    <row r="6" spans="1:20" s="800" customFormat="1" ht="21" x14ac:dyDescent="0.3">
      <c r="A6" s="1239" t="s">
        <v>1435</v>
      </c>
      <c r="B6" s="1239"/>
      <c r="C6" s="1239"/>
      <c r="D6" s="1239"/>
      <c r="E6" s="1239"/>
      <c r="F6" s="1239"/>
      <c r="G6" s="1239"/>
      <c r="H6" s="1239"/>
      <c r="I6" s="1239"/>
      <c r="J6" s="1239"/>
      <c r="K6" s="1239"/>
      <c r="L6" s="1239"/>
      <c r="M6" s="1239"/>
      <c r="N6" s="1239"/>
      <c r="O6" s="1239"/>
      <c r="P6" s="1239"/>
      <c r="Q6" s="1239"/>
      <c r="R6" s="1239"/>
      <c r="S6" s="1239"/>
      <c r="T6" s="1239"/>
    </row>
    <row r="7" spans="1:20" s="800" customFormat="1" ht="21" x14ac:dyDescent="0.3">
      <c r="A7" s="801"/>
      <c r="B7" s="801"/>
      <c r="C7" s="801"/>
      <c r="D7" s="801"/>
      <c r="E7" s="801"/>
      <c r="F7" s="801"/>
      <c r="G7" s="801"/>
      <c r="H7" s="801"/>
      <c r="I7" s="801"/>
      <c r="J7" s="801"/>
      <c r="K7" s="801"/>
      <c r="L7" s="801"/>
      <c r="M7" s="801"/>
      <c r="N7" s="801"/>
      <c r="O7" s="801"/>
      <c r="P7" s="801"/>
      <c r="Q7" s="801"/>
      <c r="R7" s="801"/>
      <c r="S7" s="801"/>
      <c r="T7" s="801"/>
    </row>
    <row r="8" spans="1:20" s="800" customFormat="1" ht="21" x14ac:dyDescent="0.3">
      <c r="A8" s="1239" t="s">
        <v>37</v>
      </c>
      <c r="B8" s="1239"/>
      <c r="C8" s="1239"/>
      <c r="D8" s="1239"/>
      <c r="E8" s="1239"/>
      <c r="F8" s="1239"/>
      <c r="G8" s="1239"/>
      <c r="H8" s="1239"/>
      <c r="I8" s="1239"/>
      <c r="J8" s="1239"/>
      <c r="K8" s="1239"/>
      <c r="L8" s="1239"/>
      <c r="M8" s="1239"/>
      <c r="N8" s="1239"/>
      <c r="O8" s="1239"/>
      <c r="P8" s="1239"/>
      <c r="Q8" s="1239"/>
      <c r="R8" s="1239"/>
      <c r="S8" s="1239"/>
      <c r="T8" s="1239"/>
    </row>
    <row r="9" spans="1:20" s="800" customFormat="1" ht="21" x14ac:dyDescent="0.3">
      <c r="C9" s="802"/>
      <c r="D9" s="802"/>
      <c r="E9" s="802"/>
      <c r="H9" s="1238"/>
      <c r="I9" s="1238"/>
      <c r="J9" s="1238"/>
      <c r="K9" s="1238"/>
      <c r="L9" s="1238"/>
      <c r="M9" s="1238"/>
      <c r="N9" s="1238"/>
      <c r="O9" s="1238"/>
      <c r="P9" s="1238"/>
    </row>
    <row r="10" spans="1:20" s="800" customFormat="1" ht="15.6" customHeight="1" x14ac:dyDescent="0.3">
      <c r="A10" s="1239" t="s">
        <v>1489</v>
      </c>
      <c r="B10" s="1239"/>
      <c r="C10" s="1239"/>
      <c r="D10" s="1239"/>
      <c r="E10" s="1239"/>
      <c r="F10" s="1239"/>
      <c r="G10" s="1239"/>
      <c r="H10" s="1239"/>
      <c r="I10" s="1239"/>
      <c r="J10" s="1239"/>
      <c r="K10" s="1239"/>
      <c r="L10" s="1239"/>
      <c r="M10" s="1239"/>
      <c r="N10" s="1239"/>
      <c r="O10" s="1239"/>
      <c r="P10" s="1239"/>
      <c r="Q10" s="1239"/>
      <c r="R10" s="1239"/>
      <c r="S10" s="1239"/>
      <c r="T10" s="1239"/>
    </row>
    <row r="11" spans="1:20" ht="18" x14ac:dyDescent="0.3">
      <c r="B11" s="803" t="str">
        <f>"Hakediş No: "&amp;[4]Veri!C21&amp;"   Hakediş Tarihi:  "&amp;TEXT(Veri!C22,"gg.aa.yyyy")</f>
        <v>Hakediş No: 5   Hakediş Tarihi:  30.04.2026</v>
      </c>
      <c r="C11" s="793"/>
      <c r="S11" s="111"/>
    </row>
    <row r="12" spans="1:20" x14ac:dyDescent="0.3">
      <c r="S12" s="111"/>
    </row>
    <row r="15" spans="1:20" ht="40.049999999999997" customHeight="1" x14ac:dyDescent="0.3">
      <c r="B15" s="1240" t="s">
        <v>181</v>
      </c>
      <c r="C15" s="1240" t="s">
        <v>182</v>
      </c>
      <c r="D15" s="1240" t="s">
        <v>1292</v>
      </c>
      <c r="E15" s="767"/>
      <c r="F15" s="306" t="s">
        <v>183</v>
      </c>
      <c r="G15" s="306" t="s">
        <v>184</v>
      </c>
      <c r="H15" s="306" t="s">
        <v>185</v>
      </c>
      <c r="I15" s="306" t="s">
        <v>186</v>
      </c>
      <c r="J15" s="306" t="s">
        <v>187</v>
      </c>
      <c r="K15" s="306" t="s">
        <v>188</v>
      </c>
      <c r="L15" s="306" t="s">
        <v>189</v>
      </c>
      <c r="M15" s="306" t="s">
        <v>190</v>
      </c>
      <c r="N15" s="306" t="s">
        <v>185</v>
      </c>
      <c r="O15" s="306" t="s">
        <v>191</v>
      </c>
      <c r="P15" s="306" t="s">
        <v>1271</v>
      </c>
      <c r="Q15" s="306" t="s">
        <v>192</v>
      </c>
      <c r="R15" s="306" t="s">
        <v>1515</v>
      </c>
      <c r="S15" s="306" t="s">
        <v>193</v>
      </c>
    </row>
    <row r="16" spans="1:20" ht="40.049999999999997" customHeight="1" x14ac:dyDescent="0.3">
      <c r="B16" s="1241"/>
      <c r="C16" s="1241"/>
      <c r="D16" s="1241"/>
      <c r="E16" s="768"/>
      <c r="F16" s="206" t="s">
        <v>196</v>
      </c>
      <c r="G16" s="206" t="s">
        <v>197</v>
      </c>
      <c r="H16" s="206" t="s">
        <v>207</v>
      </c>
      <c r="I16" s="206" t="s">
        <v>198</v>
      </c>
      <c r="J16" s="207"/>
      <c r="K16" s="206" t="s">
        <v>199</v>
      </c>
      <c r="L16" s="206" t="s">
        <v>200</v>
      </c>
      <c r="M16" s="206" t="s">
        <v>201</v>
      </c>
      <c r="N16" s="206" t="s">
        <v>206</v>
      </c>
      <c r="O16" s="206" t="s">
        <v>196</v>
      </c>
      <c r="P16" s="206" t="s">
        <v>1431</v>
      </c>
      <c r="Q16" s="206" t="s">
        <v>202</v>
      </c>
      <c r="R16" s="206"/>
      <c r="S16" s="206" t="s">
        <v>203</v>
      </c>
    </row>
    <row r="17" spans="2:26" ht="40.049999999999997" customHeight="1" x14ac:dyDescent="0.3">
      <c r="B17" s="1216">
        <v>1</v>
      </c>
      <c r="C17" s="1219"/>
      <c r="D17" s="309"/>
      <c r="E17" s="309"/>
      <c r="F17" s="310"/>
      <c r="G17" s="310"/>
      <c r="H17" s="311"/>
      <c r="I17" s="310"/>
      <c r="J17" s="309"/>
      <c r="K17" s="309"/>
      <c r="L17" s="309"/>
      <c r="M17" s="309"/>
      <c r="N17" s="309"/>
      <c r="O17" s="310"/>
      <c r="P17" s="309"/>
      <c r="Q17" s="309"/>
      <c r="R17" s="309"/>
      <c r="S17" s="310"/>
      <c r="W17" s="11" t="s">
        <v>1297</v>
      </c>
      <c r="X17" s="11" t="s">
        <v>1298</v>
      </c>
    </row>
    <row r="18" spans="2:26" ht="40.049999999999997" customHeight="1" x14ac:dyDescent="0.3">
      <c r="B18" s="1217"/>
      <c r="C18" s="1220"/>
      <c r="D18" s="303"/>
      <c r="E18" s="301"/>
      <c r="F18" s="301"/>
      <c r="G18" s="211"/>
      <c r="H18" s="211"/>
      <c r="I18" s="224"/>
      <c r="J18" s="769"/>
      <c r="K18" s="770"/>
      <c r="L18" s="770"/>
      <c r="M18" s="770"/>
      <c r="N18" s="264"/>
      <c r="O18" s="224"/>
      <c r="P18" s="267"/>
      <c r="Q18" s="211"/>
      <c r="R18" s="489"/>
      <c r="S18" s="211"/>
      <c r="V18" s="307">
        <f>SUM(W18:Y18)</f>
        <v>873600</v>
      </c>
      <c r="W18" s="11">
        <v>873600</v>
      </c>
    </row>
    <row r="19" spans="2:26" ht="40.049999999999997" customHeight="1" x14ac:dyDescent="0.3">
      <c r="B19" s="1217"/>
      <c r="C19" s="1220"/>
      <c r="D19" s="304"/>
      <c r="E19" s="212"/>
      <c r="F19" s="212"/>
      <c r="G19" s="264"/>
      <c r="H19" s="264"/>
      <c r="I19" s="264"/>
      <c r="J19" s="769"/>
      <c r="K19" s="770"/>
      <c r="L19" s="770"/>
      <c r="M19" s="770"/>
      <c r="N19" s="264"/>
      <c r="O19" s="225"/>
      <c r="P19" s="308"/>
      <c r="Q19" s="212"/>
      <c r="R19" s="226"/>
      <c r="S19" s="212"/>
      <c r="V19" s="307">
        <f>SUM(W19:Y19)</f>
        <v>873600</v>
      </c>
      <c r="W19" s="11">
        <v>873600</v>
      </c>
    </row>
    <row r="20" spans="2:26" ht="40.049999999999997" customHeight="1" x14ac:dyDescent="0.3">
      <c r="B20" s="1217"/>
      <c r="C20" s="1220"/>
      <c r="D20" s="304"/>
      <c r="E20" s="212"/>
      <c r="F20" s="212"/>
      <c r="G20" s="264"/>
      <c r="H20" s="264"/>
      <c r="I20" s="264"/>
      <c r="J20" s="769"/>
      <c r="K20" s="770"/>
      <c r="L20" s="770"/>
      <c r="M20" s="770"/>
      <c r="N20" s="264"/>
      <c r="O20" s="225"/>
      <c r="P20" s="308"/>
      <c r="Q20" s="212"/>
      <c r="R20" s="226"/>
      <c r="S20" s="212"/>
      <c r="V20" s="307">
        <f>SUM(W20:Y20)</f>
        <v>947614.63</v>
      </c>
      <c r="W20" s="326">
        <v>873600</v>
      </c>
      <c r="X20" s="326">
        <f>ROUND(6167886*0.012,2)</f>
        <v>74014.63</v>
      </c>
      <c r="Y20" s="326"/>
      <c r="Z20" s="326"/>
    </row>
    <row r="21" spans="2:26" ht="40.049999999999997" customHeight="1" x14ac:dyDescent="0.3">
      <c r="B21" s="1218"/>
      <c r="C21" s="1221"/>
      <c r="D21" s="305"/>
      <c r="E21" s="302"/>
      <c r="F21" s="302"/>
      <c r="G21" s="265"/>
      <c r="H21" s="265"/>
      <c r="I21" s="265"/>
      <c r="J21" s="769"/>
      <c r="K21" s="770"/>
      <c r="L21" s="770"/>
      <c r="M21" s="770"/>
      <c r="N21" s="264"/>
      <c r="O21" s="302"/>
      <c r="P21" s="515"/>
      <c r="Q21" s="302"/>
      <c r="R21" s="687"/>
      <c r="S21" s="302"/>
      <c r="V21" s="307">
        <f>SUM(W21:Y21)</f>
        <v>799585.37</v>
      </c>
      <c r="W21" s="19">
        <v>873600</v>
      </c>
      <c r="X21" s="19">
        <f>+SUM('[5]Yapılan İşler İcmali'!T79:T84)-X20</f>
        <v>-74014.63</v>
      </c>
      <c r="Y21" s="19"/>
      <c r="Z21" s="19"/>
    </row>
    <row r="22" spans="2:26" ht="39.6" customHeight="1" x14ac:dyDescent="0.3">
      <c r="B22" s="1216">
        <v>2</v>
      </c>
      <c r="C22" s="1219"/>
      <c r="D22" s="309"/>
      <c r="E22" s="310"/>
      <c r="F22" s="310"/>
      <c r="G22" s="310"/>
      <c r="H22" s="311"/>
      <c r="I22" s="310"/>
      <c r="J22" s="309"/>
      <c r="K22" s="309"/>
      <c r="L22" s="309"/>
      <c r="M22" s="309"/>
      <c r="N22" s="309"/>
      <c r="O22" s="310"/>
      <c r="P22" s="309"/>
      <c r="Q22" s="309"/>
      <c r="R22" s="309"/>
      <c r="S22" s="310"/>
      <c r="V22" s="307"/>
    </row>
    <row r="23" spans="2:26" ht="40.049999999999997" customHeight="1" x14ac:dyDescent="0.3">
      <c r="B23" s="1217"/>
      <c r="C23" s="1220"/>
      <c r="D23" s="303"/>
      <c r="E23" s="224"/>
      <c r="F23" s="224"/>
      <c r="G23" s="224"/>
      <c r="H23" s="211"/>
      <c r="I23" s="211"/>
      <c r="J23" s="1224"/>
      <c r="K23" s="1227"/>
      <c r="L23" s="1227"/>
      <c r="M23" s="1227"/>
      <c r="N23" s="211"/>
      <c r="O23" s="224"/>
      <c r="P23" s="267"/>
      <c r="Q23" s="211"/>
      <c r="R23" s="489"/>
      <c r="S23" s="211"/>
      <c r="V23" s="307"/>
    </row>
    <row r="24" spans="2:26" ht="40.049999999999997" customHeight="1" x14ac:dyDescent="0.3">
      <c r="B24" s="1218"/>
      <c r="C24" s="1221"/>
      <c r="D24" s="305"/>
      <c r="E24" s="522"/>
      <c r="F24" s="522"/>
      <c r="G24" s="265"/>
      <c r="H24" s="265"/>
      <c r="I24" s="265"/>
      <c r="J24" s="1225"/>
      <c r="K24" s="1228"/>
      <c r="L24" s="1228"/>
      <c r="M24" s="1228"/>
      <c r="N24" s="302"/>
      <c r="O24" s="302"/>
      <c r="P24" s="515"/>
      <c r="Q24" s="302"/>
      <c r="R24" s="687"/>
      <c r="S24" s="302"/>
    </row>
    <row r="25" spans="2:26" ht="39.6" customHeight="1" x14ac:dyDescent="0.3">
      <c r="B25" s="1230">
        <v>3</v>
      </c>
      <c r="C25" s="1233"/>
      <c r="D25" s="309"/>
      <c r="E25" s="310"/>
      <c r="F25" s="310"/>
      <c r="G25" s="310"/>
      <c r="H25" s="311"/>
      <c r="I25" s="310"/>
      <c r="J25" s="1225"/>
      <c r="K25" s="1228"/>
      <c r="L25" s="1228"/>
      <c r="M25" s="1228"/>
      <c r="N25" s="309"/>
      <c r="O25" s="310"/>
      <c r="P25" s="309"/>
      <c r="Q25" s="309"/>
      <c r="R25" s="309"/>
      <c r="S25" s="310"/>
      <c r="V25" s="307"/>
    </row>
    <row r="26" spans="2:26" ht="40.049999999999997" customHeight="1" x14ac:dyDescent="0.3">
      <c r="B26" s="1231"/>
      <c r="C26" s="1234"/>
      <c r="D26" s="771"/>
      <c r="E26" s="522"/>
      <c r="F26" s="770"/>
      <c r="G26" s="1235"/>
      <c r="H26" s="765"/>
      <c r="I26" s="761"/>
      <c r="J26" s="1225"/>
      <c r="K26" s="1228"/>
      <c r="L26" s="1228"/>
      <c r="M26" s="1228"/>
      <c r="N26" s="211"/>
      <c r="O26" s="772"/>
      <c r="P26" s="773"/>
      <c r="Q26" s="774"/>
      <c r="R26" s="819"/>
      <c r="S26" s="772"/>
      <c r="W26" s="307"/>
      <c r="X26" s="307"/>
      <c r="Y26" s="307"/>
      <c r="Z26" s="307"/>
    </row>
    <row r="27" spans="2:26" ht="40.049999999999997" customHeight="1" x14ac:dyDescent="0.3">
      <c r="B27" s="1231"/>
      <c r="C27" s="1234"/>
      <c r="D27" s="771"/>
      <c r="E27" s="1247"/>
      <c r="F27" s="770"/>
      <c r="G27" s="1236"/>
      <c r="H27" s="765"/>
      <c r="I27" s="761"/>
      <c r="J27" s="1226"/>
      <c r="K27" s="1229"/>
      <c r="L27" s="1229"/>
      <c r="M27" s="1229"/>
      <c r="N27" s="211"/>
      <c r="O27" s="772"/>
      <c r="P27" s="773"/>
      <c r="Q27" s="774"/>
      <c r="R27" s="819"/>
      <c r="S27" s="772"/>
      <c r="W27" s="775"/>
      <c r="X27" s="775"/>
      <c r="Y27" s="775"/>
      <c r="Z27" s="307"/>
    </row>
    <row r="28" spans="2:26" ht="40.049999999999997" customHeight="1" x14ac:dyDescent="0.3">
      <c r="B28" s="1231"/>
      <c r="C28" s="1234"/>
      <c r="D28" s="771"/>
      <c r="E28" s="1236"/>
      <c r="F28" s="770"/>
      <c r="G28" s="1236"/>
      <c r="H28" s="765"/>
      <c r="I28" s="761"/>
      <c r="J28" s="769"/>
      <c r="K28" s="770"/>
      <c r="L28" s="770"/>
      <c r="M28" s="770"/>
      <c r="N28" s="211"/>
      <c r="O28" s="772"/>
      <c r="P28" s="773"/>
      <c r="Q28" s="774"/>
      <c r="R28" s="819"/>
      <c r="S28" s="772"/>
      <c r="W28" s="776"/>
      <c r="X28" s="777"/>
      <c r="Y28" s="776"/>
      <c r="Z28" s="776">
        <f t="shared" ref="Z28" si="0">+H35+H34+H33+H31+H30+H29+H28+H27+H26+H24+H23+H21+H20+H19+H18</f>
        <v>0</v>
      </c>
    </row>
    <row r="29" spans="2:26" ht="40.049999999999997" customHeight="1" x14ac:dyDescent="0.3">
      <c r="B29" s="1231"/>
      <c r="C29" s="1234"/>
      <c r="D29" s="771"/>
      <c r="E29" s="1237"/>
      <c r="F29" s="770"/>
      <c r="G29" s="1236"/>
      <c r="H29" s="765"/>
      <c r="I29" s="761"/>
      <c r="J29" s="769"/>
      <c r="K29" s="770"/>
      <c r="L29" s="770"/>
      <c r="M29" s="770"/>
      <c r="N29" s="211"/>
      <c r="O29" s="772"/>
      <c r="P29" s="773"/>
      <c r="Q29" s="774"/>
      <c r="R29" s="819"/>
      <c r="S29" s="772"/>
      <c r="W29" s="307"/>
      <c r="X29" s="307"/>
      <c r="Y29" s="307"/>
      <c r="Z29" s="307"/>
    </row>
    <row r="30" spans="2:26" ht="40.049999999999997" customHeight="1" x14ac:dyDescent="0.3">
      <c r="B30" s="1231"/>
      <c r="C30" s="1234"/>
      <c r="D30" s="771"/>
      <c r="E30" s="1247"/>
      <c r="F30" s="770"/>
      <c r="G30" s="1236"/>
      <c r="H30" s="765"/>
      <c r="I30" s="761"/>
      <c r="J30" s="769"/>
      <c r="K30" s="770"/>
      <c r="L30" s="770"/>
      <c r="M30" s="770"/>
      <c r="N30" s="211"/>
      <c r="O30" s="772"/>
      <c r="P30" s="773"/>
      <c r="Q30" s="774"/>
      <c r="R30" s="819"/>
      <c r="S30" s="772"/>
      <c r="W30" s="307"/>
      <c r="X30" s="307"/>
      <c r="Y30" s="307"/>
      <c r="Z30" s="307"/>
    </row>
    <row r="31" spans="2:26" ht="40.049999999999997" customHeight="1" x14ac:dyDescent="0.3">
      <c r="B31" s="1232"/>
      <c r="C31" s="1234"/>
      <c r="D31" s="771"/>
      <c r="E31" s="1237"/>
      <c r="F31" s="770"/>
      <c r="G31" s="1237"/>
      <c r="H31" s="765"/>
      <c r="I31" s="247"/>
      <c r="J31" s="769"/>
      <c r="K31" s="770"/>
      <c r="L31" s="770"/>
      <c r="M31" s="770"/>
      <c r="N31" s="211"/>
      <c r="O31" s="772"/>
      <c r="P31" s="778"/>
      <c r="Q31" s="779"/>
      <c r="R31" s="820"/>
      <c r="S31" s="780"/>
      <c r="W31" s="307"/>
      <c r="X31" s="307"/>
      <c r="Y31" s="307"/>
      <c r="Z31" s="307"/>
    </row>
    <row r="32" spans="2:26" ht="39.6" customHeight="1" x14ac:dyDescent="0.3">
      <c r="B32" s="1230">
        <v>4</v>
      </c>
      <c r="C32" s="788"/>
      <c r="D32" s="309"/>
      <c r="E32" s="310"/>
      <c r="F32" s="310"/>
      <c r="G32" s="310"/>
      <c r="H32" s="311"/>
      <c r="I32" s="310"/>
      <c r="J32" s="769"/>
      <c r="K32" s="770"/>
      <c r="L32" s="770"/>
      <c r="M32" s="770"/>
      <c r="N32" s="309"/>
      <c r="O32" s="310"/>
      <c r="P32" s="309"/>
      <c r="Q32" s="309"/>
      <c r="R32" s="309"/>
      <c r="S32" s="310"/>
      <c r="V32" s="307"/>
    </row>
    <row r="33" spans="1:26" ht="40.049999999999997" customHeight="1" x14ac:dyDescent="0.3">
      <c r="B33" s="1231"/>
      <c r="C33" s="1233"/>
      <c r="D33" s="781"/>
      <c r="E33" s="782"/>
      <c r="F33" s="770"/>
      <c r="G33" s="1247"/>
      <c r="H33" s="765"/>
      <c r="I33" s="247"/>
      <c r="J33" s="769"/>
      <c r="K33" s="770"/>
      <c r="L33" s="770"/>
      <c r="M33" s="770"/>
      <c r="N33" s="211"/>
      <c r="O33" s="772"/>
      <c r="P33" s="778"/>
      <c r="Q33" s="779"/>
      <c r="R33" s="820"/>
      <c r="S33" s="780"/>
      <c r="W33" s="307"/>
      <c r="X33" s="307"/>
      <c r="Y33" s="307"/>
      <c r="Z33" s="307"/>
    </row>
    <row r="34" spans="1:26" ht="40.049999999999997" customHeight="1" x14ac:dyDescent="0.3">
      <c r="B34" s="1231"/>
      <c r="C34" s="1234"/>
      <c r="D34" s="781"/>
      <c r="E34" s="782"/>
      <c r="F34" s="770"/>
      <c r="G34" s="1236"/>
      <c r="H34" s="765"/>
      <c r="I34" s="247"/>
      <c r="J34" s="769"/>
      <c r="K34" s="770"/>
      <c r="L34" s="770"/>
      <c r="M34" s="770"/>
      <c r="N34" s="211"/>
      <c r="O34" s="772"/>
      <c r="P34" s="778"/>
      <c r="Q34" s="779"/>
      <c r="R34" s="820"/>
      <c r="S34" s="780"/>
      <c r="W34" s="307"/>
      <c r="X34" s="307"/>
      <c r="Y34" s="307"/>
      <c r="Z34" s="307"/>
    </row>
    <row r="35" spans="1:26" ht="40.049999999999997" customHeight="1" x14ac:dyDescent="0.3">
      <c r="B35" s="1232"/>
      <c r="C35" s="1248"/>
      <c r="D35" s="781"/>
      <c r="E35" s="782"/>
      <c r="F35" s="770"/>
      <c r="G35" s="1237"/>
      <c r="H35" s="765"/>
      <c r="I35" s="247"/>
      <c r="J35" s="769"/>
      <c r="K35" s="770"/>
      <c r="L35" s="770"/>
      <c r="M35" s="770"/>
      <c r="N35" s="211"/>
      <c r="O35" s="772"/>
      <c r="P35" s="778"/>
      <c r="Q35" s="779"/>
      <c r="R35" s="820"/>
      <c r="S35" s="780"/>
      <c r="W35" s="307"/>
      <c r="X35" s="307"/>
      <c r="Y35" s="307"/>
      <c r="Z35" s="307"/>
    </row>
    <row r="36" spans="1:26" ht="39.6" customHeight="1" x14ac:dyDescent="0.3">
      <c r="B36" s="1230">
        <v>5</v>
      </c>
      <c r="C36" s="788"/>
      <c r="D36" s="309"/>
      <c r="E36" s="310"/>
      <c r="F36" s="310"/>
      <c r="G36" s="310"/>
      <c r="H36" s="311"/>
      <c r="I36" s="310"/>
      <c r="J36" s="769"/>
      <c r="K36" s="770"/>
      <c r="L36" s="770"/>
      <c r="M36" s="770"/>
      <c r="N36" s="309"/>
      <c r="O36" s="310"/>
      <c r="P36" s="309"/>
      <c r="Q36" s="309"/>
      <c r="R36" s="309"/>
      <c r="S36" s="310"/>
      <c r="V36" s="307"/>
    </row>
    <row r="37" spans="1:26" ht="40.049999999999997" customHeight="1" x14ac:dyDescent="0.3">
      <c r="B37" s="1231"/>
      <c r="C37" s="783"/>
      <c r="D37" s="781"/>
      <c r="E37" s="782"/>
      <c r="F37" s="770"/>
      <c r="G37" s="784"/>
      <c r="H37" s="765"/>
      <c r="I37" s="247"/>
      <c r="J37" s="769"/>
      <c r="K37" s="770"/>
      <c r="L37" s="770"/>
      <c r="M37" s="770"/>
      <c r="N37" s="211"/>
      <c r="O37" s="772"/>
      <c r="P37" s="778"/>
      <c r="Q37" s="779"/>
      <c r="R37" s="820"/>
      <c r="S37" s="780"/>
      <c r="W37" s="307"/>
      <c r="X37" s="307"/>
      <c r="Y37" s="307"/>
      <c r="Z37" s="307"/>
    </row>
    <row r="38" spans="1:26" ht="40.049999999999997" customHeight="1" x14ac:dyDescent="0.3">
      <c r="B38" s="1231"/>
      <c r="C38" s="783"/>
      <c r="D38" s="781"/>
      <c r="E38" s="782"/>
      <c r="F38" s="770"/>
      <c r="G38" s="784"/>
      <c r="H38" s="765"/>
      <c r="I38" s="247"/>
      <c r="J38" s="769"/>
      <c r="K38" s="770"/>
      <c r="L38" s="770"/>
      <c r="M38" s="770"/>
      <c r="N38" s="211"/>
      <c r="O38" s="772"/>
      <c r="P38" s="778"/>
      <c r="Q38" s="779"/>
      <c r="R38" s="820"/>
      <c r="S38" s="780"/>
      <c r="W38" s="307"/>
      <c r="X38" s="307"/>
      <c r="Y38" s="307"/>
      <c r="Z38" s="307"/>
    </row>
    <row r="39" spans="1:26" ht="40.049999999999997" customHeight="1" x14ac:dyDescent="0.3">
      <c r="B39" s="1232"/>
      <c r="C39" s="783"/>
      <c r="D39" s="781"/>
      <c r="E39" s="782"/>
      <c r="F39" s="770"/>
      <c r="G39" s="784"/>
      <c r="H39" s="765"/>
      <c r="I39" s="247"/>
      <c r="J39" s="769"/>
      <c r="K39" s="770"/>
      <c r="L39" s="770"/>
      <c r="M39" s="770"/>
      <c r="N39" s="211"/>
      <c r="O39" s="772"/>
      <c r="P39" s="778"/>
      <c r="Q39" s="779"/>
      <c r="R39" s="820"/>
      <c r="S39" s="780"/>
      <c r="W39" s="307"/>
      <c r="X39" s="307"/>
      <c r="Y39" s="307"/>
      <c r="Z39" s="307"/>
    </row>
    <row r="40" spans="1:26" ht="39.6" customHeight="1" x14ac:dyDescent="0.3">
      <c r="B40" s="900"/>
      <c r="C40" s="788"/>
      <c r="D40" s="309"/>
      <c r="E40" s="310"/>
      <c r="F40" s="310"/>
      <c r="G40" s="310"/>
      <c r="H40" s="311"/>
      <c r="I40" s="310"/>
      <c r="J40" s="769"/>
      <c r="K40" s="770"/>
      <c r="L40" s="770"/>
      <c r="M40" s="770"/>
      <c r="N40" s="309"/>
      <c r="O40" s="310"/>
      <c r="P40" s="309"/>
      <c r="Q40" s="309"/>
      <c r="R40" s="309"/>
      <c r="S40" s="310"/>
      <c r="V40" s="307"/>
    </row>
    <row r="41" spans="1:26" ht="40.049999999999997" customHeight="1" x14ac:dyDescent="0.3">
      <c r="B41" s="900">
        <v>6</v>
      </c>
      <c r="C41" s="783">
        <v>46113</v>
      </c>
      <c r="D41" s="781">
        <v>46113</v>
      </c>
      <c r="E41" s="782">
        <f>+'Yapılan İşler İcmali'!S115</f>
        <v>37210860.43</v>
      </c>
      <c r="F41" s="770">
        <f t="shared" ref="F41" si="1">+E41</f>
        <v>37210860.43</v>
      </c>
      <c r="G41" s="784"/>
      <c r="H41" s="765"/>
      <c r="I41" s="247"/>
      <c r="J41" s="769">
        <v>46023</v>
      </c>
      <c r="K41" s="770">
        <f>+'[6]Ödenek Dağılımı Sonrası 18. (2)'!$U$74</f>
        <v>466100252.79000002</v>
      </c>
      <c r="L41" s="770">
        <f>+'[6]Ödenek Dağılımı Sonrası 18. (2)'!$V$74</f>
        <v>1563439151.78</v>
      </c>
      <c r="M41" s="770">
        <f>+'[6]Ödenek Dağılımı Sonrası 18. (2)'!$V$74</f>
        <v>1563439151.78</v>
      </c>
      <c r="N41" s="211">
        <f t="shared" ref="N41" si="2">+M41*0.15*0</f>
        <v>0</v>
      </c>
      <c r="O41" s="772">
        <f>+F41</f>
        <v>37210860.43</v>
      </c>
      <c r="P41" s="778">
        <f>+[7]FF!$AC$32</f>
        <v>1.309712</v>
      </c>
      <c r="Q41" s="779">
        <v>0.9</v>
      </c>
      <c r="R41" s="820">
        <f t="shared" ref="R41" si="3">+Q41*(P41-1)</f>
        <v>0.27874080000000001</v>
      </c>
      <c r="S41" s="780">
        <f t="shared" ref="S41" si="4">+ROUND(O41*Q41*(P41-1),2)</f>
        <v>10372185</v>
      </c>
      <c r="W41" s="307"/>
      <c r="X41" s="307"/>
      <c r="Y41" s="307"/>
      <c r="Z41" s="307"/>
    </row>
    <row r="42" spans="1:26" ht="40.049999999999997" customHeight="1" x14ac:dyDescent="0.3">
      <c r="B42" s="1222"/>
      <c r="C42" s="1246"/>
      <c r="D42" s="1223"/>
      <c r="E42" s="1223"/>
      <c r="F42" s="1223"/>
      <c r="G42" s="1223"/>
      <c r="H42" s="1223"/>
      <c r="I42" s="1223"/>
      <c r="J42" s="1223"/>
      <c r="K42" s="1223"/>
      <c r="L42" s="1223"/>
      <c r="M42" s="1223"/>
      <c r="N42" s="1223"/>
      <c r="O42" s="1223"/>
      <c r="P42" s="208" t="s">
        <v>1490</v>
      </c>
      <c r="Q42" s="292" t="s">
        <v>1491</v>
      </c>
      <c r="R42" s="1242" t="s">
        <v>1492</v>
      </c>
      <c r="S42" s="1243"/>
    </row>
    <row r="43" spans="1:26" ht="40.049999999999997" customHeight="1" x14ac:dyDescent="0.3">
      <c r="B43" s="1222" t="s">
        <v>1160</v>
      </c>
      <c r="C43" s="1223"/>
      <c r="D43" s="1223"/>
      <c r="E43" s="1223"/>
      <c r="F43" s="1223"/>
      <c r="G43" s="1223"/>
      <c r="H43" s="1223"/>
      <c r="I43" s="1223"/>
      <c r="J43" s="1223"/>
      <c r="K43" s="1223"/>
      <c r="L43" s="1223"/>
      <c r="M43" s="1223"/>
      <c r="N43" s="1223"/>
      <c r="O43" s="1223"/>
      <c r="P43" s="785"/>
      <c r="Q43" s="785">
        <f>+R43-P43</f>
        <v>10372185</v>
      </c>
      <c r="R43" s="1244">
        <f>SUM(S18:S41)</f>
        <v>10372185</v>
      </c>
      <c r="S43" s="1245"/>
    </row>
    <row r="45" spans="1:26" ht="0.6" customHeight="1" x14ac:dyDescent="0.3"/>
    <row r="46" spans="1:26" ht="15.6" x14ac:dyDescent="0.3">
      <c r="B46" s="1070" t="s">
        <v>33</v>
      </c>
      <c r="C46" s="1070"/>
      <c r="D46" s="1070"/>
      <c r="E46" s="1070"/>
      <c r="F46" s="1070"/>
      <c r="G46" s="1070"/>
      <c r="H46" s="1070"/>
      <c r="I46" s="1070" t="s">
        <v>29</v>
      </c>
      <c r="J46" s="1070"/>
      <c r="K46" s="1070"/>
      <c r="L46" s="1070"/>
      <c r="M46" s="1070"/>
      <c r="N46" s="1070"/>
      <c r="O46" s="1070" t="s">
        <v>22</v>
      </c>
      <c r="P46" s="1070"/>
      <c r="Q46" s="1070"/>
      <c r="R46" s="1070"/>
      <c r="S46" s="1070"/>
      <c r="T46" s="222"/>
    </row>
    <row r="47" spans="1:26" ht="15.6" x14ac:dyDescent="0.3">
      <c r="B47" s="974" t="s">
        <v>1214</v>
      </c>
      <c r="C47" s="974"/>
      <c r="D47" s="974"/>
      <c r="E47" s="974"/>
      <c r="F47" s="974"/>
      <c r="G47" s="974"/>
      <c r="H47" s="974"/>
      <c r="I47" s="975" t="s">
        <v>38</v>
      </c>
      <c r="J47" s="975"/>
      <c r="K47" s="975"/>
      <c r="L47" s="975"/>
      <c r="M47" s="975"/>
      <c r="N47" s="975"/>
      <c r="O47" s="975" t="s">
        <v>1437</v>
      </c>
      <c r="P47" s="975"/>
      <c r="Q47" s="975"/>
      <c r="R47" s="975"/>
      <c r="S47" s="975"/>
    </row>
    <row r="48" spans="1:26" s="222" customFormat="1" ht="15.6" x14ac:dyDescent="0.3">
      <c r="A48" s="11"/>
      <c r="B48" s="11"/>
      <c r="C48" s="11"/>
      <c r="D48" s="11"/>
      <c r="E48" s="11"/>
      <c r="F48" s="11"/>
      <c r="G48" s="11"/>
      <c r="H48" s="11"/>
      <c r="I48" s="11"/>
      <c r="J48" s="11"/>
      <c r="K48" s="11"/>
      <c r="L48" s="11"/>
      <c r="M48" s="11"/>
      <c r="N48" s="11"/>
      <c r="O48" s="975"/>
      <c r="P48" s="975"/>
      <c r="Q48" s="975"/>
      <c r="R48" s="975"/>
      <c r="S48" s="975"/>
      <c r="T48" s="11"/>
      <c r="U48" s="11"/>
      <c r="V48" s="11"/>
    </row>
    <row r="49" spans="1:22" ht="15.6" customHeight="1" x14ac:dyDescent="0.3">
      <c r="O49" s="975"/>
      <c r="P49" s="975"/>
      <c r="Q49" s="975"/>
      <c r="R49" s="975"/>
      <c r="S49" s="975"/>
    </row>
    <row r="50" spans="1:22" ht="14.4" customHeight="1" x14ac:dyDescent="0.3">
      <c r="I50" s="975" t="s">
        <v>32</v>
      </c>
      <c r="J50" s="975"/>
      <c r="L50" s="975" t="s">
        <v>1407</v>
      </c>
      <c r="M50" s="975"/>
    </row>
    <row r="51" spans="1:22" ht="14.4" customHeight="1" x14ac:dyDescent="0.3">
      <c r="I51" s="976" t="s">
        <v>94</v>
      </c>
      <c r="J51" s="976"/>
      <c r="L51" s="976" t="s">
        <v>94</v>
      </c>
      <c r="M51" s="976"/>
    </row>
    <row r="52" spans="1:22" ht="15.6" customHeight="1" x14ac:dyDescent="0.3">
      <c r="I52" s="976"/>
      <c r="J52" s="976"/>
      <c r="K52" s="261"/>
      <c r="L52" s="976"/>
      <c r="M52" s="976"/>
      <c r="N52" s="261"/>
    </row>
    <row r="53" spans="1:22" ht="14.4" customHeight="1" x14ac:dyDescent="0.3">
      <c r="I53" s="976"/>
      <c r="J53" s="976"/>
      <c r="K53" s="261"/>
      <c r="L53" s="976"/>
      <c r="M53" s="976"/>
      <c r="N53" s="261"/>
    </row>
    <row r="54" spans="1:22" ht="14.4" customHeight="1" x14ac:dyDescent="0.3">
      <c r="I54" s="974"/>
      <c r="J54" s="974"/>
      <c r="K54" s="974"/>
      <c r="L54" s="974"/>
      <c r="M54" s="974"/>
      <c r="N54" s="974"/>
      <c r="O54" s="974"/>
      <c r="P54" s="974"/>
      <c r="Q54" s="974"/>
      <c r="R54" s="974"/>
      <c r="S54" s="974"/>
      <c r="T54" s="974"/>
    </row>
    <row r="55" spans="1:22" ht="14.4" customHeight="1" x14ac:dyDescent="0.3">
      <c r="I55" s="974"/>
      <c r="J55" s="974"/>
      <c r="K55" s="974"/>
      <c r="L55" s="974"/>
      <c r="M55" s="974"/>
      <c r="N55" s="974"/>
      <c r="O55" s="974" t="s">
        <v>56</v>
      </c>
      <c r="P55" s="974"/>
      <c r="Q55" s="974"/>
      <c r="R55" s="974"/>
      <c r="S55" s="974"/>
      <c r="T55" s="974"/>
    </row>
    <row r="56" spans="1:22" ht="15.6" customHeight="1" x14ac:dyDescent="0.3">
      <c r="I56" s="974" t="s">
        <v>63</v>
      </c>
      <c r="J56" s="974"/>
      <c r="K56" s="974"/>
      <c r="L56" s="974"/>
      <c r="M56" s="974"/>
      <c r="N56" s="974"/>
      <c r="O56" s="974" t="s">
        <v>1479</v>
      </c>
      <c r="P56" s="974"/>
      <c r="Q56" s="974"/>
      <c r="R56" s="974"/>
      <c r="S56" s="974"/>
      <c r="T56" s="974"/>
    </row>
    <row r="57" spans="1:22" ht="15.6" customHeight="1" x14ac:dyDescent="0.3">
      <c r="I57" s="974" t="s">
        <v>1330</v>
      </c>
      <c r="J57" s="974"/>
      <c r="K57" s="974"/>
      <c r="L57" s="974"/>
      <c r="M57" s="974"/>
      <c r="N57" s="974"/>
    </row>
    <row r="58" spans="1:22" ht="15.6" customHeight="1" x14ac:dyDescent="0.3"/>
    <row r="59" spans="1:22" ht="15.6" customHeight="1" x14ac:dyDescent="0.3"/>
    <row r="62" spans="1:22" ht="15.6" x14ac:dyDescent="0.3">
      <c r="B62" s="974" t="s">
        <v>35</v>
      </c>
      <c r="C62" s="974"/>
      <c r="D62" s="974"/>
      <c r="E62" s="974"/>
      <c r="F62" s="974"/>
      <c r="G62" s="974"/>
      <c r="H62" s="974"/>
      <c r="I62" s="974" t="s">
        <v>1346</v>
      </c>
      <c r="J62" s="974"/>
      <c r="K62" s="974"/>
      <c r="L62" s="974"/>
      <c r="M62" s="974"/>
      <c r="N62" s="974"/>
      <c r="O62" s="974" t="s">
        <v>48</v>
      </c>
      <c r="P62" s="974"/>
      <c r="Q62" s="222"/>
      <c r="R62" s="222"/>
      <c r="S62" s="228" t="s">
        <v>26</v>
      </c>
      <c r="T62" s="222"/>
    </row>
    <row r="63" spans="1:22" ht="15.6" x14ac:dyDescent="0.3">
      <c r="B63" s="974" t="s">
        <v>34</v>
      </c>
      <c r="C63" s="974"/>
      <c r="D63" s="974"/>
      <c r="E63" s="974"/>
      <c r="F63" s="974"/>
      <c r="G63" s="974"/>
      <c r="H63" s="974"/>
      <c r="I63" s="974" t="s">
        <v>34</v>
      </c>
      <c r="J63" s="974"/>
      <c r="K63" s="974"/>
      <c r="L63" s="974"/>
      <c r="M63" s="974"/>
      <c r="N63" s="974"/>
      <c r="O63" s="974" t="s">
        <v>47</v>
      </c>
      <c r="P63" s="974"/>
      <c r="Q63" s="222"/>
      <c r="R63" s="222"/>
      <c r="S63" s="228" t="s">
        <v>49</v>
      </c>
      <c r="T63" s="222"/>
    </row>
    <row r="64" spans="1:22" s="222" customFormat="1" ht="15.6" x14ac:dyDescent="0.3">
      <c r="A64" s="11"/>
      <c r="B64" s="11"/>
      <c r="C64" s="11"/>
      <c r="D64" s="11"/>
      <c r="E64" s="11"/>
      <c r="F64" s="11"/>
      <c r="G64" s="11"/>
      <c r="H64" s="11"/>
      <c r="I64" s="11"/>
      <c r="J64" s="11"/>
      <c r="K64" s="11"/>
      <c r="L64" s="11"/>
      <c r="M64" s="11"/>
      <c r="N64" s="11"/>
      <c r="O64" s="11"/>
      <c r="P64" s="11"/>
      <c r="Q64" s="11"/>
      <c r="R64" s="11"/>
      <c r="S64" s="11"/>
      <c r="T64" s="11"/>
      <c r="U64" s="11"/>
      <c r="V64" s="11"/>
    </row>
    <row r="65" spans="1:22" s="222" customFormat="1" ht="15.6" x14ac:dyDescent="0.3">
      <c r="A65" s="11"/>
      <c r="B65" s="11"/>
      <c r="C65" s="11"/>
      <c r="D65" s="11"/>
      <c r="E65" s="11"/>
      <c r="F65" s="11"/>
      <c r="G65" s="11"/>
      <c r="H65" s="11"/>
      <c r="I65" s="11"/>
      <c r="J65" s="11"/>
      <c r="K65" s="11"/>
      <c r="L65" s="11"/>
      <c r="M65" s="11"/>
      <c r="N65" s="11"/>
      <c r="O65" s="11"/>
      <c r="P65" s="11"/>
      <c r="Q65" s="11"/>
      <c r="R65" s="11"/>
      <c r="S65" s="11"/>
      <c r="T65" s="11"/>
      <c r="U65" s="11"/>
      <c r="V65" s="11"/>
    </row>
    <row r="67" spans="1:22" ht="15.6" x14ac:dyDescent="0.3">
      <c r="C67" s="1070" t="s">
        <v>33</v>
      </c>
      <c r="D67" s="1070"/>
      <c r="E67" s="1070"/>
      <c r="F67" s="1070"/>
      <c r="G67" s="1070"/>
      <c r="H67" s="1070"/>
      <c r="I67" s="1070"/>
      <c r="J67" s="1070" t="s">
        <v>29</v>
      </c>
      <c r="K67" s="1070"/>
      <c r="L67" s="1070"/>
      <c r="M67" s="1070"/>
      <c r="N67" s="1070"/>
      <c r="O67" s="1070"/>
      <c r="P67" s="1070" t="s">
        <v>22</v>
      </c>
      <c r="Q67" s="1070"/>
      <c r="R67" s="1070"/>
      <c r="S67" s="1070"/>
      <c r="T67" s="1070"/>
      <c r="U67" s="222"/>
    </row>
    <row r="68" spans="1:22" ht="15.6" x14ac:dyDescent="0.3">
      <c r="C68" s="974" t="s">
        <v>1214</v>
      </c>
      <c r="D68" s="974"/>
      <c r="E68" s="974"/>
      <c r="F68" s="974"/>
      <c r="G68" s="974"/>
      <c r="H68" s="974"/>
      <c r="I68" s="974"/>
      <c r="J68" s="975" t="s">
        <v>38</v>
      </c>
      <c r="K68" s="975"/>
      <c r="L68" s="975"/>
      <c r="M68" s="975"/>
      <c r="N68" s="975"/>
      <c r="O68" s="975"/>
      <c r="P68" s="975" t="s">
        <v>1437</v>
      </c>
      <c r="Q68" s="975"/>
      <c r="R68" s="975"/>
      <c r="S68" s="975"/>
      <c r="T68" s="975"/>
    </row>
    <row r="69" spans="1:22" x14ac:dyDescent="0.3">
      <c r="P69" s="975"/>
      <c r="Q69" s="975"/>
      <c r="R69" s="975"/>
      <c r="S69" s="975"/>
      <c r="T69" s="975"/>
    </row>
    <row r="70" spans="1:22" x14ac:dyDescent="0.3">
      <c r="P70" s="975"/>
      <c r="Q70" s="975"/>
      <c r="R70" s="975"/>
      <c r="S70" s="975"/>
      <c r="T70" s="975"/>
    </row>
    <row r="71" spans="1:22" ht="15.6" x14ac:dyDescent="0.3">
      <c r="J71" s="975" t="s">
        <v>32</v>
      </c>
      <c r="K71" s="975"/>
      <c r="M71" s="975" t="s">
        <v>1407</v>
      </c>
      <c r="N71" s="975"/>
    </row>
    <row r="72" spans="1:22" x14ac:dyDescent="0.3">
      <c r="J72" s="976" t="s">
        <v>94</v>
      </c>
      <c r="K72" s="976"/>
      <c r="M72" s="976" t="s">
        <v>94</v>
      </c>
      <c r="N72" s="976"/>
    </row>
    <row r="73" spans="1:22" ht="15.6" x14ac:dyDescent="0.3">
      <c r="J73" s="976"/>
      <c r="K73" s="976"/>
      <c r="L73" s="261"/>
      <c r="M73" s="976"/>
      <c r="N73" s="976"/>
      <c r="O73" s="261"/>
    </row>
    <row r="74" spans="1:22" ht="15.6" x14ac:dyDescent="0.3">
      <c r="J74" s="976"/>
      <c r="K74" s="976"/>
      <c r="L74" s="261"/>
      <c r="M74" s="976"/>
      <c r="N74" s="976"/>
      <c r="O74" s="261"/>
    </row>
    <row r="75" spans="1:22" ht="15.6" x14ac:dyDescent="0.3">
      <c r="J75" s="974"/>
      <c r="K75" s="974"/>
      <c r="L75" s="974"/>
      <c r="M75" s="974"/>
      <c r="N75" s="974"/>
      <c r="O75" s="974"/>
      <c r="P75" s="974"/>
      <c r="Q75" s="974"/>
      <c r="R75" s="974"/>
      <c r="S75" s="974"/>
      <c r="T75" s="974"/>
      <c r="U75" s="974"/>
    </row>
    <row r="76" spans="1:22" ht="15.6" x14ac:dyDescent="0.3">
      <c r="J76" s="974"/>
      <c r="K76" s="974"/>
      <c r="L76" s="974"/>
      <c r="M76" s="974"/>
      <c r="N76" s="974"/>
      <c r="O76" s="974"/>
      <c r="P76" s="974" t="s">
        <v>56</v>
      </c>
      <c r="Q76" s="974"/>
      <c r="R76" s="974"/>
      <c r="S76" s="974"/>
      <c r="T76" s="974"/>
      <c r="U76" s="974"/>
    </row>
    <row r="77" spans="1:22" ht="15.6" x14ac:dyDescent="0.3">
      <c r="J77" s="974" t="s">
        <v>63</v>
      </c>
      <c r="K77" s="974"/>
      <c r="L77" s="974"/>
      <c r="M77" s="974"/>
      <c r="N77" s="974"/>
      <c r="O77" s="974"/>
      <c r="P77" s="974" t="s">
        <v>1479</v>
      </c>
      <c r="Q77" s="974"/>
      <c r="R77" s="974"/>
      <c r="S77" s="974"/>
      <c r="T77" s="974"/>
      <c r="U77" s="974"/>
    </row>
    <row r="78" spans="1:22" ht="15.6" x14ac:dyDescent="0.3">
      <c r="J78" s="974" t="s">
        <v>1330</v>
      </c>
      <c r="K78" s="974"/>
      <c r="L78" s="974"/>
      <c r="M78" s="974"/>
      <c r="N78" s="974"/>
      <c r="O78" s="974"/>
    </row>
    <row r="83" spans="3:21" ht="15.6" x14ac:dyDescent="0.3">
      <c r="C83" s="974" t="s">
        <v>35</v>
      </c>
      <c r="D83" s="974"/>
      <c r="E83" s="974"/>
      <c r="F83" s="974"/>
      <c r="G83" s="974"/>
      <c r="H83" s="974"/>
      <c r="I83" s="974"/>
      <c r="J83" s="974" t="s">
        <v>1346</v>
      </c>
      <c r="K83" s="974"/>
      <c r="L83" s="974"/>
      <c r="M83" s="974"/>
      <c r="N83" s="974"/>
      <c r="O83" s="974"/>
      <c r="P83" s="974" t="s">
        <v>48</v>
      </c>
      <c r="Q83" s="974"/>
      <c r="R83" s="228"/>
      <c r="S83" s="222"/>
      <c r="T83" s="228" t="s">
        <v>26</v>
      </c>
      <c r="U83" s="222"/>
    </row>
    <row r="84" spans="3:21" ht="15.6" x14ac:dyDescent="0.3">
      <c r="C84" s="974" t="s">
        <v>34</v>
      </c>
      <c r="D84" s="974"/>
      <c r="E84" s="974"/>
      <c r="F84" s="974"/>
      <c r="G84" s="974"/>
      <c r="H84" s="974"/>
      <c r="I84" s="974"/>
      <c r="J84" s="974" t="s">
        <v>34</v>
      </c>
      <c r="K84" s="974"/>
      <c r="L84" s="974"/>
      <c r="M84" s="974"/>
      <c r="N84" s="974"/>
      <c r="O84" s="974"/>
      <c r="P84" s="974" t="s">
        <v>47</v>
      </c>
      <c r="Q84" s="974"/>
      <c r="R84" s="228"/>
      <c r="S84" s="222"/>
      <c r="T84" s="228" t="s">
        <v>49</v>
      </c>
      <c r="U84" s="222"/>
    </row>
  </sheetData>
  <mergeCells count="77">
    <mergeCell ref="R42:S42"/>
    <mergeCell ref="R43:S43"/>
    <mergeCell ref="B42:O42"/>
    <mergeCell ref="E27:E29"/>
    <mergeCell ref="E30:E31"/>
    <mergeCell ref="C33:C35"/>
    <mergeCell ref="G33:G35"/>
    <mergeCell ref="B32:B35"/>
    <mergeCell ref="B36:B39"/>
    <mergeCell ref="A3:T3"/>
    <mergeCell ref="A4:T4"/>
    <mergeCell ref="A5:T5"/>
    <mergeCell ref="A6:T6"/>
    <mergeCell ref="A8:T8"/>
    <mergeCell ref="H9:P9"/>
    <mergeCell ref="A10:T10"/>
    <mergeCell ref="B15:B16"/>
    <mergeCell ref="C15:C16"/>
    <mergeCell ref="D15:D16"/>
    <mergeCell ref="B17:B21"/>
    <mergeCell ref="C17:C21"/>
    <mergeCell ref="I50:J50"/>
    <mergeCell ref="L50:M50"/>
    <mergeCell ref="I51:J53"/>
    <mergeCell ref="L51:M53"/>
    <mergeCell ref="B43:O43"/>
    <mergeCell ref="B22:B24"/>
    <mergeCell ref="C22:C24"/>
    <mergeCell ref="J23:J27"/>
    <mergeCell ref="K23:K27"/>
    <mergeCell ref="L23:L27"/>
    <mergeCell ref="M23:M27"/>
    <mergeCell ref="B25:B31"/>
    <mergeCell ref="C25:C31"/>
    <mergeCell ref="G26:G31"/>
    <mergeCell ref="I54:N54"/>
    <mergeCell ref="B46:H46"/>
    <mergeCell ref="I46:N46"/>
    <mergeCell ref="O46:S46"/>
    <mergeCell ref="B47:H47"/>
    <mergeCell ref="I47:N47"/>
    <mergeCell ref="O47:S49"/>
    <mergeCell ref="O54:T54"/>
    <mergeCell ref="C67:I67"/>
    <mergeCell ref="J67:O67"/>
    <mergeCell ref="P67:T67"/>
    <mergeCell ref="C68:I68"/>
    <mergeCell ref="J68:O68"/>
    <mergeCell ref="P68:T70"/>
    <mergeCell ref="J71:K71"/>
    <mergeCell ref="M71:N71"/>
    <mergeCell ref="J72:K74"/>
    <mergeCell ref="M72:N74"/>
    <mergeCell ref="J75:O75"/>
    <mergeCell ref="P75:U75"/>
    <mergeCell ref="J76:O76"/>
    <mergeCell ref="P76:U76"/>
    <mergeCell ref="J77:O77"/>
    <mergeCell ref="P77:U77"/>
    <mergeCell ref="J78:O78"/>
    <mergeCell ref="C83:I83"/>
    <mergeCell ref="J83:O83"/>
    <mergeCell ref="P83:Q83"/>
    <mergeCell ref="C84:I84"/>
    <mergeCell ref="J84:O84"/>
    <mergeCell ref="P84:Q84"/>
    <mergeCell ref="I55:N55"/>
    <mergeCell ref="O55:T55"/>
    <mergeCell ref="I56:N56"/>
    <mergeCell ref="O56:T56"/>
    <mergeCell ref="I57:N57"/>
    <mergeCell ref="B62:H62"/>
    <mergeCell ref="I62:N62"/>
    <mergeCell ref="O62:P62"/>
    <mergeCell ref="B63:H63"/>
    <mergeCell ref="I63:N63"/>
    <mergeCell ref="O63:P63"/>
  </mergeCells>
  <printOptions horizontalCentered="1" verticalCentered="1"/>
  <pageMargins left="0" right="0" top="0" bottom="0" header="0" footer="0"/>
  <pageSetup paperSize="9" scale="32"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DDDC-836C-409A-B064-93BD777862CA}">
  <sheetPr>
    <pageSetUpPr fitToPage="1"/>
  </sheetPr>
  <dimension ref="A3:Z57"/>
  <sheetViews>
    <sheetView view="pageBreakPreview" topLeftCell="A20" zoomScale="85" zoomScaleNormal="85" zoomScaleSheetLayoutView="85" workbookViewId="0">
      <selection activeCell="C24" sqref="C24:C29"/>
    </sheetView>
  </sheetViews>
  <sheetFormatPr defaultRowHeight="14.4" x14ac:dyDescent="0.3"/>
  <cols>
    <col min="1" max="1" width="5.77734375" style="11" customWidth="1"/>
    <col min="2" max="19" width="17.77734375" style="11" customWidth="1"/>
    <col min="20" max="20" width="5.77734375" style="11" customWidth="1"/>
    <col min="21" max="21" width="8.88671875" style="11"/>
    <col min="22" max="22" width="15.33203125" style="11" bestFit="1" customWidth="1"/>
    <col min="23" max="23" width="15" style="11" bestFit="1" customWidth="1"/>
    <col min="24" max="24" width="15.33203125" style="11" bestFit="1" customWidth="1"/>
    <col min="25" max="25" width="14" style="11" bestFit="1" customWidth="1"/>
    <col min="26" max="16384" width="8.88671875" style="11"/>
  </cols>
  <sheetData>
    <row r="3" spans="1:26" ht="18" x14ac:dyDescent="0.3">
      <c r="A3" s="1063" t="s">
        <v>118</v>
      </c>
      <c r="B3" s="1063"/>
      <c r="C3" s="1063"/>
      <c r="D3" s="1063"/>
      <c r="E3" s="1063"/>
      <c r="F3" s="1063"/>
      <c r="G3" s="1063"/>
      <c r="H3" s="1063"/>
      <c r="I3" s="1063"/>
      <c r="J3" s="1063"/>
      <c r="K3" s="1063"/>
      <c r="L3" s="1063"/>
      <c r="M3" s="1063"/>
      <c r="N3" s="1063"/>
      <c r="O3" s="1063"/>
      <c r="P3" s="1063"/>
      <c r="Q3" s="1063"/>
      <c r="R3" s="1063"/>
      <c r="S3" s="1063"/>
      <c r="T3" s="1063"/>
    </row>
    <row r="4" spans="1:26" ht="15.6" x14ac:dyDescent="0.3">
      <c r="A4" s="983" t="s">
        <v>210</v>
      </c>
      <c r="B4" s="983"/>
      <c r="C4" s="983"/>
      <c r="D4" s="983"/>
      <c r="E4" s="983"/>
      <c r="F4" s="983"/>
      <c r="G4" s="983"/>
      <c r="H4" s="983"/>
      <c r="I4" s="983"/>
      <c r="J4" s="983"/>
      <c r="K4" s="983"/>
      <c r="L4" s="983"/>
      <c r="M4" s="983"/>
      <c r="N4" s="983"/>
      <c r="O4" s="983"/>
      <c r="P4" s="983"/>
      <c r="Q4" s="983"/>
      <c r="R4" s="983"/>
      <c r="S4" s="983"/>
      <c r="T4" s="983"/>
    </row>
    <row r="5" spans="1:26" ht="15.6" x14ac:dyDescent="0.3">
      <c r="A5" s="983" t="s">
        <v>1432</v>
      </c>
      <c r="B5" s="983"/>
      <c r="C5" s="983"/>
      <c r="D5" s="983"/>
      <c r="E5" s="983"/>
      <c r="F5" s="983"/>
      <c r="G5" s="983"/>
      <c r="H5" s="983"/>
      <c r="I5" s="983"/>
      <c r="J5" s="983"/>
      <c r="K5" s="983"/>
      <c r="L5" s="983"/>
      <c r="M5" s="983"/>
      <c r="N5" s="983"/>
      <c r="O5" s="983"/>
      <c r="P5" s="983"/>
      <c r="Q5" s="983"/>
      <c r="R5" s="983"/>
      <c r="S5" s="983"/>
      <c r="T5" s="983"/>
    </row>
    <row r="6" spans="1:26" ht="15.6" x14ac:dyDescent="0.3">
      <c r="A6" s="229"/>
      <c r="B6" s="229"/>
      <c r="C6" s="229"/>
      <c r="D6" s="229"/>
      <c r="E6" s="229"/>
      <c r="F6" s="229"/>
      <c r="G6" s="229"/>
      <c r="H6" s="229"/>
      <c r="I6" s="229"/>
      <c r="J6" s="229"/>
      <c r="K6" s="229"/>
      <c r="L6" s="229"/>
      <c r="M6" s="229"/>
      <c r="N6" s="229"/>
      <c r="O6" s="229"/>
      <c r="P6" s="229"/>
      <c r="Q6" s="229"/>
      <c r="R6" s="229"/>
      <c r="S6" s="229"/>
      <c r="T6" s="229"/>
    </row>
    <row r="7" spans="1:26" ht="15.6" x14ac:dyDescent="0.3">
      <c r="A7" s="1064" t="s">
        <v>37</v>
      </c>
      <c r="B7" s="1064"/>
      <c r="C7" s="1064"/>
      <c r="D7" s="1064"/>
      <c r="E7" s="1064"/>
      <c r="F7" s="1064"/>
      <c r="G7" s="1064"/>
      <c r="H7" s="1064"/>
      <c r="I7" s="1064"/>
      <c r="J7" s="1064"/>
      <c r="K7" s="1064"/>
      <c r="L7" s="1064"/>
      <c r="M7" s="1064"/>
      <c r="N7" s="1064"/>
      <c r="O7" s="1064"/>
      <c r="P7" s="1064"/>
      <c r="Q7" s="1064"/>
      <c r="R7" s="1064"/>
      <c r="S7" s="1064"/>
      <c r="T7" s="1064"/>
    </row>
    <row r="8" spans="1:26" x14ac:dyDescent="0.3">
      <c r="C8" s="111"/>
      <c r="D8" s="111"/>
      <c r="G8" s="1024"/>
      <c r="H8" s="1024"/>
      <c r="I8" s="1024"/>
      <c r="J8" s="1024"/>
      <c r="K8" s="1024"/>
      <c r="L8" s="1024"/>
      <c r="M8" s="1024"/>
      <c r="N8" s="1024"/>
      <c r="O8" s="1024"/>
    </row>
    <row r="9" spans="1:26" ht="15.6" customHeight="1" x14ac:dyDescent="0.3">
      <c r="A9" s="983" t="s">
        <v>211</v>
      </c>
      <c r="B9" s="983"/>
      <c r="C9" s="983"/>
      <c r="D9" s="983"/>
      <c r="E9" s="983"/>
      <c r="F9" s="983"/>
      <c r="G9" s="983"/>
      <c r="H9" s="983"/>
      <c r="I9" s="983"/>
      <c r="J9" s="983"/>
      <c r="K9" s="983"/>
      <c r="L9" s="983"/>
      <c r="M9" s="983"/>
      <c r="N9" s="983"/>
      <c r="O9" s="983"/>
      <c r="P9" s="983"/>
      <c r="Q9" s="983"/>
      <c r="R9" s="983"/>
      <c r="S9" s="983"/>
      <c r="T9" s="983"/>
    </row>
    <row r="10" spans="1:26" x14ac:dyDescent="0.3">
      <c r="Q10" s="111" t="s">
        <v>209</v>
      </c>
      <c r="R10" s="28">
        <f>+[8]Veri!$C$21</f>
        <v>3</v>
      </c>
      <c r="Z10" s="369"/>
    </row>
    <row r="11" spans="1:26" x14ac:dyDescent="0.3">
      <c r="Q11" s="111" t="s">
        <v>208</v>
      </c>
      <c r="R11" s="230">
        <f>+[8]Veri!$C$22</f>
        <v>45900</v>
      </c>
    </row>
    <row r="13" spans="1:26" x14ac:dyDescent="0.3">
      <c r="Z13" s="369"/>
    </row>
    <row r="14" spans="1:26" ht="40.049999999999997" customHeight="1" x14ac:dyDescent="0.3">
      <c r="B14" s="1240" t="s">
        <v>181</v>
      </c>
      <c r="C14" s="1240" t="s">
        <v>182</v>
      </c>
      <c r="D14" s="1240" t="s">
        <v>1292</v>
      </c>
      <c r="E14" s="306" t="s">
        <v>183</v>
      </c>
      <c r="F14" s="306" t="s">
        <v>184</v>
      </c>
      <c r="G14" s="306" t="s">
        <v>185</v>
      </c>
      <c r="H14" s="306" t="s">
        <v>186</v>
      </c>
      <c r="I14" s="306" t="s">
        <v>187</v>
      </c>
      <c r="J14" s="306" t="s">
        <v>188</v>
      </c>
      <c r="K14" s="306" t="s">
        <v>189</v>
      </c>
      <c r="L14" s="306" t="s">
        <v>190</v>
      </c>
      <c r="M14" s="306" t="s">
        <v>185</v>
      </c>
      <c r="N14" s="306" t="s">
        <v>191</v>
      </c>
      <c r="O14" s="306" t="s">
        <v>1271</v>
      </c>
      <c r="P14" s="306" t="s">
        <v>192</v>
      </c>
      <c r="Q14" s="306" t="s">
        <v>193</v>
      </c>
      <c r="R14" s="306" t="s">
        <v>194</v>
      </c>
      <c r="S14" s="306" t="s">
        <v>195</v>
      </c>
      <c r="Z14" s="369"/>
    </row>
    <row r="15" spans="1:26" ht="40.049999999999997" customHeight="1" x14ac:dyDescent="0.3">
      <c r="B15" s="1241"/>
      <c r="C15" s="1241"/>
      <c r="D15" s="1241"/>
      <c r="E15" s="206" t="s">
        <v>196</v>
      </c>
      <c r="F15" s="206" t="s">
        <v>197</v>
      </c>
      <c r="G15" s="206" t="s">
        <v>207</v>
      </c>
      <c r="H15" s="206" t="s">
        <v>198</v>
      </c>
      <c r="I15" s="207"/>
      <c r="J15" s="206" t="s">
        <v>199</v>
      </c>
      <c r="K15" s="206" t="s">
        <v>200</v>
      </c>
      <c r="L15" s="206" t="s">
        <v>201</v>
      </c>
      <c r="M15" s="206" t="s">
        <v>206</v>
      </c>
      <c r="N15" s="206" t="s">
        <v>196</v>
      </c>
      <c r="O15" s="206" t="s">
        <v>1431</v>
      </c>
      <c r="P15" s="206" t="s">
        <v>202</v>
      </c>
      <c r="Q15" s="206" t="s">
        <v>203</v>
      </c>
      <c r="R15" s="206" t="s">
        <v>204</v>
      </c>
      <c r="S15" s="206" t="s">
        <v>205</v>
      </c>
    </row>
    <row r="16" spans="1:26" ht="40.049999999999997" customHeight="1" x14ac:dyDescent="0.3">
      <c r="B16" s="1216">
        <v>1</v>
      </c>
      <c r="C16" s="1219">
        <v>45764</v>
      </c>
      <c r="D16" s="309"/>
      <c r="E16" s="310">
        <f>SUM(E17:E20)</f>
        <v>9873535.8499999996</v>
      </c>
      <c r="F16" s="310">
        <v>9873535.8499999996</v>
      </c>
      <c r="G16" s="311">
        <f>+ROUND(E17*0.15*0,2)</f>
        <v>0</v>
      </c>
      <c r="H16" s="310">
        <f>+G16</f>
        <v>0</v>
      </c>
      <c r="I16" s="1258" t="s">
        <v>1295</v>
      </c>
      <c r="J16" s="1259"/>
      <c r="K16" s="1259"/>
      <c r="L16" s="1259"/>
      <c r="M16" s="1260"/>
      <c r="N16" s="310">
        <f>SUM(N17:N20)</f>
        <v>9873535.8499999996</v>
      </c>
      <c r="O16" s="309"/>
      <c r="P16" s="309"/>
      <c r="Q16" s="310">
        <f>SUM(Q17:Q20)</f>
        <v>800759.19000000006</v>
      </c>
      <c r="R16" s="311">
        <f>SUM(R17:R20)</f>
        <v>800759.19000000006</v>
      </c>
      <c r="S16" s="310">
        <f>SUM(S17:S20)</f>
        <v>0</v>
      </c>
      <c r="W16" s="11" t="s">
        <v>1297</v>
      </c>
      <c r="X16" s="11" t="s">
        <v>1298</v>
      </c>
      <c r="Y16" s="28"/>
    </row>
    <row r="17" spans="2:25" ht="40.049999999999997" customHeight="1" x14ac:dyDescent="0.3">
      <c r="B17" s="1217"/>
      <c r="C17" s="1220"/>
      <c r="D17" s="303">
        <v>45658</v>
      </c>
      <c r="E17" s="301">
        <v>873600</v>
      </c>
      <c r="F17" s="211"/>
      <c r="G17" s="211"/>
      <c r="H17" s="224"/>
      <c r="I17" s="1261"/>
      <c r="J17" s="1262"/>
      <c r="K17" s="1262"/>
      <c r="L17" s="1262"/>
      <c r="M17" s="1263"/>
      <c r="N17" s="224">
        <f>+E17</f>
        <v>873600</v>
      </c>
      <c r="O17" s="267">
        <f>+[8]FF!$AC$20</f>
        <v>1.0402610000000001</v>
      </c>
      <c r="P17" s="211">
        <v>0.9</v>
      </c>
      <c r="Q17" s="211">
        <f>+ROUND(N17*P17*(O17-1),2)</f>
        <v>31654.81</v>
      </c>
      <c r="R17" s="211">
        <v>31654.81</v>
      </c>
      <c r="S17" s="224">
        <f t="shared" ref="S17:S29" si="0">+Q17-R17</f>
        <v>0</v>
      </c>
      <c r="V17" s="307">
        <f>SUM(W17:Y17)</f>
        <v>873600</v>
      </c>
      <c r="W17" s="19">
        <v>873600</v>
      </c>
    </row>
    <row r="18" spans="2:25" ht="40.049999999999997" customHeight="1" x14ac:dyDescent="0.3">
      <c r="B18" s="1217"/>
      <c r="C18" s="1220"/>
      <c r="D18" s="304">
        <v>45689</v>
      </c>
      <c r="E18" s="212">
        <v>873600</v>
      </c>
      <c r="F18" s="264"/>
      <c r="G18" s="264"/>
      <c r="H18" s="264"/>
      <c r="I18" s="1261"/>
      <c r="J18" s="1262"/>
      <c r="K18" s="1262"/>
      <c r="L18" s="1262"/>
      <c r="M18" s="1263"/>
      <c r="N18" s="225">
        <f>+E18</f>
        <v>873600</v>
      </c>
      <c r="O18" s="308">
        <f>+[8]FF!$AC$21</f>
        <v>1.061283</v>
      </c>
      <c r="P18" s="212">
        <v>0.9</v>
      </c>
      <c r="Q18" s="212">
        <f t="shared" ref="Q18:Q29" si="1">+ROUND(N18*P18*(O18-1),2)</f>
        <v>48183.15</v>
      </c>
      <c r="R18" s="212">
        <v>48183.15</v>
      </c>
      <c r="S18" s="212">
        <f t="shared" si="0"/>
        <v>0</v>
      </c>
      <c r="V18" s="307">
        <f>SUM(W18:Y18)</f>
        <v>873600</v>
      </c>
      <c r="W18" s="19">
        <v>873600</v>
      </c>
    </row>
    <row r="19" spans="2:25" ht="40.049999999999997" customHeight="1" x14ac:dyDescent="0.3">
      <c r="B19" s="1217"/>
      <c r="C19" s="1220"/>
      <c r="D19" s="304">
        <v>45717</v>
      </c>
      <c r="E19" s="212">
        <v>947614.63</v>
      </c>
      <c r="F19" s="264"/>
      <c r="G19" s="264"/>
      <c r="H19" s="264"/>
      <c r="I19" s="1261"/>
      <c r="J19" s="1262"/>
      <c r="K19" s="1262"/>
      <c r="L19" s="1262"/>
      <c r="M19" s="1263"/>
      <c r="N19" s="225">
        <f>+E19</f>
        <v>947614.63</v>
      </c>
      <c r="O19" s="308">
        <f>+[8]FF!$AC$22</f>
        <v>1.0772029999999999</v>
      </c>
      <c r="P19" s="212">
        <v>0.9</v>
      </c>
      <c r="Q19" s="212">
        <f t="shared" si="1"/>
        <v>65842.820000000007</v>
      </c>
      <c r="R19" s="212">
        <v>65842.820000000007</v>
      </c>
      <c r="S19" s="212">
        <f t="shared" si="0"/>
        <v>0</v>
      </c>
      <c r="V19" s="307">
        <f>SUM(W19:Y19)</f>
        <v>947614.63</v>
      </c>
      <c r="W19" s="19">
        <v>873600</v>
      </c>
      <c r="X19" s="326">
        <f>ROUND(6167886*0.012,2)</f>
        <v>74014.63</v>
      </c>
    </row>
    <row r="20" spans="2:25" ht="40.049999999999997" customHeight="1" x14ac:dyDescent="0.3">
      <c r="B20" s="1218"/>
      <c r="C20" s="1221"/>
      <c r="D20" s="305">
        <v>45748</v>
      </c>
      <c r="E20" s="302">
        <v>7178721.2199999997</v>
      </c>
      <c r="F20" s="265"/>
      <c r="G20" s="265"/>
      <c r="H20" s="265"/>
      <c r="I20" s="1264"/>
      <c r="J20" s="1265"/>
      <c r="K20" s="1265"/>
      <c r="L20" s="1265"/>
      <c r="M20" s="1266"/>
      <c r="N20" s="302">
        <f>+E20</f>
        <v>7178721.2199999997</v>
      </c>
      <c r="O20" s="515">
        <f>+[8]FF!AC23</f>
        <v>1.1013919999999999</v>
      </c>
      <c r="P20" s="302">
        <v>0.9</v>
      </c>
      <c r="Q20" s="302">
        <f t="shared" si="1"/>
        <v>655078.41</v>
      </c>
      <c r="R20" s="302">
        <v>655078.41</v>
      </c>
      <c r="S20" s="302">
        <f t="shared" si="0"/>
        <v>0</v>
      </c>
      <c r="V20" s="307">
        <f>SUM(W20:Y20)</f>
        <v>7178721.2199999997</v>
      </c>
      <c r="W20" s="19">
        <v>873600</v>
      </c>
      <c r="X20" s="19">
        <f>+SUM('[8]Yapılan İşler İcmali'!Q67:Q72)-X19</f>
        <v>6305121.2199999997</v>
      </c>
      <c r="Y20" s="19"/>
    </row>
    <row r="21" spans="2:25" ht="40.049999999999997" customHeight="1" x14ac:dyDescent="0.3">
      <c r="B21" s="1216">
        <v>2</v>
      </c>
      <c r="C21" s="1233">
        <v>45838</v>
      </c>
      <c r="D21" s="523"/>
      <c r="E21" s="524">
        <f>SUM(E22:E23)</f>
        <v>22146366.859999999</v>
      </c>
      <c r="F21" s="524">
        <f>+[8]İcmal!AA28</f>
        <v>32019902.710000001</v>
      </c>
      <c r="G21" s="525">
        <f>+ROUND(E22*0.15*0,2)</f>
        <v>0</v>
      </c>
      <c r="H21" s="524">
        <f>+G21</f>
        <v>0</v>
      </c>
      <c r="I21" s="528">
        <v>45778</v>
      </c>
      <c r="J21" s="525">
        <v>347368621.39999998</v>
      </c>
      <c r="K21" s="524">
        <v>347368621.39999998</v>
      </c>
      <c r="L21" s="524">
        <f>+J21</f>
        <v>347368621.39999998</v>
      </c>
      <c r="M21" s="524">
        <f>+L21*0.15*0</f>
        <v>0</v>
      </c>
      <c r="N21" s="524">
        <f>SUM(N22:N23)</f>
        <v>22146366.859999999</v>
      </c>
      <c r="O21" s="526"/>
      <c r="P21" s="525"/>
      <c r="Q21" s="525">
        <f>SUM(Q22:Q23)</f>
        <v>2417479.69</v>
      </c>
      <c r="R21" s="525">
        <f>SUM(R22:R23)</f>
        <v>2417479.69</v>
      </c>
      <c r="S21" s="525">
        <f>SUM(S22:S23)</f>
        <v>0</v>
      </c>
      <c r="V21" s="307">
        <f>SUM(V17:V20)</f>
        <v>9873535.8499999996</v>
      </c>
      <c r="W21" s="307">
        <f>+E16-V21</f>
        <v>0</v>
      </c>
    </row>
    <row r="22" spans="2:25" ht="40.049999999999997" customHeight="1" x14ac:dyDescent="0.3">
      <c r="B22" s="1217"/>
      <c r="C22" s="1234"/>
      <c r="D22" s="303">
        <v>45778</v>
      </c>
      <c r="E22" s="224">
        <v>873600</v>
      </c>
      <c r="F22" s="224"/>
      <c r="G22" s="211"/>
      <c r="H22" s="211"/>
      <c r="I22" s="1253">
        <v>45778</v>
      </c>
      <c r="J22" s="1227">
        <v>347368621.39999998</v>
      </c>
      <c r="K22" s="1227">
        <v>347368621.39999998</v>
      </c>
      <c r="L22" s="1227">
        <v>347368621.39999998</v>
      </c>
      <c r="M22" s="211">
        <f t="shared" ref="M22:M29" si="2">+L22*0.15*0</f>
        <v>0</v>
      </c>
      <c r="N22" s="224">
        <f t="shared" ref="N22:N29" si="3">+E22</f>
        <v>873600</v>
      </c>
      <c r="O22" s="267">
        <f>+[8]FF!AC24</f>
        <v>1.1212880000000001</v>
      </c>
      <c r="P22" s="211">
        <v>0.9</v>
      </c>
      <c r="Q22" s="211">
        <f t="shared" si="1"/>
        <v>95361.48</v>
      </c>
      <c r="R22" s="211">
        <v>95361.48</v>
      </c>
      <c r="S22" s="211">
        <f t="shared" si="0"/>
        <v>0</v>
      </c>
      <c r="V22" s="307"/>
      <c r="W22" s="307"/>
    </row>
    <row r="23" spans="2:25" ht="40.049999999999997" customHeight="1" x14ac:dyDescent="0.3">
      <c r="B23" s="1218"/>
      <c r="C23" s="1248"/>
      <c r="D23" s="305">
        <v>45809</v>
      </c>
      <c r="E23" s="522">
        <v>21272766.859999999</v>
      </c>
      <c r="F23" s="265"/>
      <c r="G23" s="265"/>
      <c r="H23" s="265"/>
      <c r="I23" s="1254"/>
      <c r="J23" s="1229"/>
      <c r="K23" s="1229"/>
      <c r="L23" s="1229"/>
      <c r="M23" s="302">
        <f t="shared" si="2"/>
        <v>0</v>
      </c>
      <c r="N23" s="302">
        <f t="shared" si="3"/>
        <v>21272766.859999999</v>
      </c>
      <c r="O23" s="515">
        <f>+[8]FF!AC24</f>
        <v>1.1212880000000001</v>
      </c>
      <c r="P23" s="302">
        <v>0.9</v>
      </c>
      <c r="Q23" s="302">
        <f t="shared" si="1"/>
        <v>2322118.21</v>
      </c>
      <c r="R23" s="302">
        <v>2322118.21</v>
      </c>
      <c r="S23" s="302">
        <f t="shared" si="0"/>
        <v>0</v>
      </c>
    </row>
    <row r="24" spans="2:25" ht="40.049999999999997" customHeight="1" x14ac:dyDescent="0.3">
      <c r="B24" s="1216">
        <v>3</v>
      </c>
      <c r="C24" s="1255">
        <v>45839</v>
      </c>
      <c r="D24" s="523"/>
      <c r="E24" s="524">
        <f>SUM(E25:E27)</f>
        <v>315348718.68999994</v>
      </c>
      <c r="F24" s="524">
        <f>+E16+E21+E24</f>
        <v>347368621.39999992</v>
      </c>
      <c r="G24" s="745"/>
      <c r="H24" s="524"/>
      <c r="I24" s="528">
        <v>45778</v>
      </c>
      <c r="J24" s="525">
        <v>347368621.39999998</v>
      </c>
      <c r="K24" s="524">
        <v>347368621.39999998</v>
      </c>
      <c r="L24" s="524">
        <v>347368621.39999998</v>
      </c>
      <c r="M24" s="524"/>
      <c r="N24" s="524">
        <f t="shared" si="3"/>
        <v>315348718.68999994</v>
      </c>
      <c r="O24" s="526"/>
      <c r="P24" s="526">
        <f>+[8]FF!AC24</f>
        <v>1.1212880000000001</v>
      </c>
      <c r="Q24" s="525">
        <f>SUM(Q25:Q27)</f>
        <v>34423213.850000001</v>
      </c>
      <c r="R24" s="525">
        <f>SUM(R25:R27)</f>
        <v>0</v>
      </c>
      <c r="S24" s="525">
        <f t="shared" si="0"/>
        <v>34423213.850000001</v>
      </c>
    </row>
    <row r="25" spans="2:25" ht="40.049999999999997" customHeight="1" x14ac:dyDescent="0.3">
      <c r="B25" s="1217"/>
      <c r="C25" s="1256"/>
      <c r="D25" s="746">
        <v>45839</v>
      </c>
      <c r="E25" s="747">
        <v>111218708.22</v>
      </c>
      <c r="F25" s="748"/>
      <c r="G25" s="264"/>
      <c r="H25" s="264"/>
      <c r="I25" s="1224">
        <v>45778</v>
      </c>
      <c r="J25" s="1227">
        <v>347368621.39999998</v>
      </c>
      <c r="K25" s="1227">
        <v>347368621.39999998</v>
      </c>
      <c r="L25" s="1227">
        <v>347368621.39999998</v>
      </c>
      <c r="M25" s="211">
        <f t="shared" si="2"/>
        <v>0</v>
      </c>
      <c r="N25" s="224">
        <f t="shared" si="3"/>
        <v>111218708.22</v>
      </c>
      <c r="O25" s="267">
        <f>+[8]FF!AC24</f>
        <v>1.1212880000000001</v>
      </c>
      <c r="P25" s="211">
        <v>0.9</v>
      </c>
      <c r="Q25" s="211">
        <f t="shared" si="1"/>
        <v>12140545.210000001</v>
      </c>
      <c r="R25" s="211">
        <v>0</v>
      </c>
      <c r="S25" s="211">
        <f t="shared" si="0"/>
        <v>12140545.210000001</v>
      </c>
      <c r="W25" s="516"/>
    </row>
    <row r="26" spans="2:25" ht="40.049999999999997" customHeight="1" x14ac:dyDescent="0.3">
      <c r="B26" s="1217"/>
      <c r="C26" s="1256"/>
      <c r="D26" s="749">
        <v>45870</v>
      </c>
      <c r="E26" s="750">
        <v>185681561.06</v>
      </c>
      <c r="F26" s="751"/>
      <c r="G26" s="264"/>
      <c r="H26" s="264"/>
      <c r="I26" s="1225"/>
      <c r="J26" s="1228"/>
      <c r="K26" s="1228"/>
      <c r="L26" s="1228"/>
      <c r="M26" s="302">
        <f t="shared" si="2"/>
        <v>0</v>
      </c>
      <c r="N26" s="302">
        <f t="shared" si="3"/>
        <v>185681561.06</v>
      </c>
      <c r="O26" s="515">
        <f>+[8]FF!AC24</f>
        <v>1.1212880000000001</v>
      </c>
      <c r="P26" s="302">
        <v>0.9</v>
      </c>
      <c r="Q26" s="302">
        <f t="shared" si="1"/>
        <v>20268850.66</v>
      </c>
      <c r="R26" s="302">
        <v>0</v>
      </c>
      <c r="S26" s="302">
        <f t="shared" si="0"/>
        <v>20268850.66</v>
      </c>
      <c r="V26" s="525">
        <v>347368621.39999998</v>
      </c>
      <c r="W26" s="525">
        <f>+N25+N26+N23+N22+N20+N19+N18+N17</f>
        <v>328920171.99000001</v>
      </c>
      <c r="X26" s="525">
        <f>V26-W26</f>
        <v>18448449.409999967</v>
      </c>
    </row>
    <row r="27" spans="2:25" ht="40.049999999999997" customHeight="1" x14ac:dyDescent="0.3">
      <c r="B27" s="1217"/>
      <c r="C27" s="1256"/>
      <c r="D27" s="752">
        <v>45901</v>
      </c>
      <c r="E27" s="753">
        <f>+X26</f>
        <v>18448449.409999967</v>
      </c>
      <c r="F27" s="751"/>
      <c r="G27" s="264"/>
      <c r="H27" s="264"/>
      <c r="I27" s="1257"/>
      <c r="J27" s="1252"/>
      <c r="K27" s="1252"/>
      <c r="L27" s="1252"/>
      <c r="M27" s="302">
        <f t="shared" si="2"/>
        <v>0</v>
      </c>
      <c r="N27" s="302">
        <f t="shared" si="3"/>
        <v>18448449.409999967</v>
      </c>
      <c r="O27" s="515">
        <f>+[8]FF!AC24</f>
        <v>1.1212880000000001</v>
      </c>
      <c r="P27" s="302">
        <v>0.9</v>
      </c>
      <c r="Q27" s="302">
        <f t="shared" si="1"/>
        <v>2013817.98</v>
      </c>
      <c r="R27" s="302">
        <v>0</v>
      </c>
      <c r="S27" s="302">
        <f t="shared" si="0"/>
        <v>2013817.98</v>
      </c>
      <c r="V27" s="525">
        <f>+[8]İcmal!AC32</f>
        <v>551637967.88999999</v>
      </c>
      <c r="W27" s="525">
        <f>V27-V26</f>
        <v>204269346.49000001</v>
      </c>
    </row>
    <row r="28" spans="2:25" ht="40.049999999999997" customHeight="1" x14ac:dyDescent="0.3">
      <c r="B28" s="1217"/>
      <c r="C28" s="1256"/>
      <c r="D28" s="523"/>
      <c r="E28" s="524">
        <f>SUM(E29)</f>
        <v>204269346.49000001</v>
      </c>
      <c r="F28" s="524">
        <f>+[8]İcmal!AC28</f>
        <v>551637967.88999999</v>
      </c>
      <c r="G28" s="745"/>
      <c r="H28" s="524"/>
      <c r="I28" s="528">
        <v>45810</v>
      </c>
      <c r="J28" s="525">
        <v>440979681.13</v>
      </c>
      <c r="K28" s="524">
        <v>788348302.52999997</v>
      </c>
      <c r="L28" s="524">
        <v>788348302.52999997</v>
      </c>
      <c r="M28" s="524"/>
      <c r="N28" s="524">
        <f t="shared" si="3"/>
        <v>204269346.49000001</v>
      </c>
      <c r="O28" s="526"/>
      <c r="P28" s="526">
        <f>+[8]FF!AC25</f>
        <v>1.152263</v>
      </c>
      <c r="Q28" s="525">
        <f>SUM(Q29)</f>
        <v>27992397.149999999</v>
      </c>
      <c r="R28" s="525">
        <f>SUM(R29)</f>
        <v>0</v>
      </c>
      <c r="S28" s="525">
        <f t="shared" si="0"/>
        <v>27992397.149999999</v>
      </c>
    </row>
    <row r="29" spans="2:25" ht="40.049999999999997" customHeight="1" x14ac:dyDescent="0.3">
      <c r="B29" s="1218"/>
      <c r="C29" s="1248"/>
      <c r="D29" s="754">
        <v>45902</v>
      </c>
      <c r="E29" s="755">
        <f>+W27</f>
        <v>204269346.49000001</v>
      </c>
      <c r="F29" s="756"/>
      <c r="G29" s="757"/>
      <c r="H29" s="757"/>
      <c r="I29" s="758">
        <v>45810</v>
      </c>
      <c r="J29" s="759">
        <v>440979681.13</v>
      </c>
      <c r="K29" s="759">
        <v>788348302.52999997</v>
      </c>
      <c r="L29" s="759">
        <v>788348302.52999997</v>
      </c>
      <c r="M29" s="302">
        <f t="shared" si="2"/>
        <v>0</v>
      </c>
      <c r="N29" s="760">
        <f t="shared" si="3"/>
        <v>204269346.49000001</v>
      </c>
      <c r="O29" s="515">
        <f>+[8]FF!AC25</f>
        <v>1.152263</v>
      </c>
      <c r="P29" s="302">
        <v>0.9</v>
      </c>
      <c r="Q29" s="302">
        <f t="shared" si="1"/>
        <v>27992397.149999999</v>
      </c>
      <c r="R29" s="302">
        <v>0</v>
      </c>
      <c r="S29" s="302">
        <f t="shared" si="0"/>
        <v>27992397.149999999</v>
      </c>
    </row>
    <row r="30" spans="2:25" ht="40.049999999999997" customHeight="1" x14ac:dyDescent="0.3">
      <c r="B30" s="761"/>
      <c r="C30" s="761"/>
      <c r="D30" s="761"/>
      <c r="E30" s="761"/>
      <c r="F30" s="761"/>
      <c r="G30" s="761"/>
      <c r="H30" s="761"/>
      <c r="I30" s="762"/>
      <c r="J30" s="763"/>
      <c r="K30" s="761"/>
      <c r="L30" s="761"/>
      <c r="M30" s="761"/>
      <c r="N30" s="761"/>
      <c r="O30" s="761"/>
      <c r="P30" s="761"/>
      <c r="Q30" s="761"/>
      <c r="R30" s="761"/>
      <c r="S30" s="761"/>
    </row>
    <row r="31" spans="2:25" ht="40.049999999999997" customHeight="1" x14ac:dyDescent="0.3">
      <c r="B31" s="264"/>
      <c r="C31" s="264"/>
      <c r="D31" s="264"/>
      <c r="E31" s="264"/>
      <c r="F31" s="264"/>
      <c r="G31" s="264"/>
      <c r="H31" s="264"/>
      <c r="I31" s="764"/>
      <c r="J31" s="257"/>
      <c r="K31" s="264"/>
      <c r="L31" s="264"/>
      <c r="M31" s="264"/>
      <c r="N31" s="264"/>
      <c r="O31" s="264"/>
      <c r="P31" s="264"/>
      <c r="Q31" s="264"/>
      <c r="R31" s="264"/>
      <c r="S31" s="264"/>
    </row>
    <row r="32" spans="2:25" ht="40.049999999999997" customHeight="1" x14ac:dyDescent="0.3">
      <c r="B32" s="265"/>
      <c r="C32" s="265"/>
      <c r="D32" s="265"/>
      <c r="E32" s="265"/>
      <c r="F32" s="265"/>
      <c r="G32" s="265"/>
      <c r="H32" s="265"/>
      <c r="I32" s="265"/>
      <c r="J32" s="265"/>
      <c r="K32" s="265"/>
      <c r="L32" s="265"/>
      <c r="M32" s="265"/>
      <c r="N32" s="265"/>
      <c r="O32" s="265"/>
      <c r="P32" s="265"/>
      <c r="Q32" s="265"/>
      <c r="R32" s="265"/>
      <c r="S32" s="265"/>
    </row>
    <row r="33" spans="2:19" ht="40.049999999999997" customHeight="1" x14ac:dyDescent="0.3">
      <c r="B33" s="1249" t="s">
        <v>1160</v>
      </c>
      <c r="C33" s="1250"/>
      <c r="D33" s="1250"/>
      <c r="E33" s="1250"/>
      <c r="F33" s="1250"/>
      <c r="G33" s="1250"/>
      <c r="H33" s="1250"/>
      <c r="I33" s="1250"/>
      <c r="J33" s="1250"/>
      <c r="K33" s="1250"/>
      <c r="L33" s="1250"/>
      <c r="M33" s="1250"/>
      <c r="N33" s="1250"/>
      <c r="O33" s="1250"/>
      <c r="P33" s="1251"/>
      <c r="Q33" s="527">
        <f>+Q16+Q21+Q24+Q28</f>
        <v>65633849.880000003</v>
      </c>
      <c r="R33" s="527">
        <f>+R16+R21+R24</f>
        <v>3218238.88</v>
      </c>
      <c r="S33" s="527">
        <f>+S16+S21+S24+S28</f>
        <v>62415611</v>
      </c>
    </row>
    <row r="34" spans="2:19" x14ac:dyDescent="0.3">
      <c r="S34" s="274"/>
    </row>
    <row r="35" spans="2:19" x14ac:dyDescent="0.3">
      <c r="S35" s="274" t="s">
        <v>1296</v>
      </c>
    </row>
    <row r="40" spans="2:19" s="222" customFormat="1" ht="15.6" x14ac:dyDescent="0.3">
      <c r="B40" s="1070" t="s">
        <v>33</v>
      </c>
      <c r="C40" s="1070"/>
      <c r="D40" s="1070"/>
      <c r="E40" s="1070"/>
      <c r="F40" s="1070"/>
      <c r="G40" s="1070"/>
      <c r="H40" s="1070" t="s">
        <v>29</v>
      </c>
      <c r="I40" s="1070"/>
      <c r="J40" s="1070"/>
      <c r="K40" s="1070"/>
      <c r="L40" s="1070"/>
      <c r="M40" s="1070"/>
      <c r="N40" s="1070" t="s">
        <v>22</v>
      </c>
      <c r="O40" s="1070"/>
      <c r="P40" s="1070"/>
      <c r="Q40" s="1070"/>
      <c r="R40" s="1070"/>
      <c r="S40" s="1070"/>
    </row>
    <row r="41" spans="2:19" ht="15.6" customHeight="1" x14ac:dyDescent="0.3">
      <c r="B41" s="974" t="s">
        <v>1214</v>
      </c>
      <c r="C41" s="974"/>
      <c r="D41" s="974"/>
      <c r="E41" s="974"/>
      <c r="F41" s="974"/>
      <c r="G41" s="974"/>
      <c r="H41" s="975" t="s">
        <v>38</v>
      </c>
      <c r="I41" s="975"/>
      <c r="J41" s="975"/>
      <c r="K41" s="975"/>
      <c r="L41" s="975"/>
      <c r="M41" s="975"/>
      <c r="N41" s="975" t="s">
        <v>4</v>
      </c>
      <c r="O41" s="975"/>
      <c r="P41" s="975"/>
      <c r="Q41" s="975"/>
      <c r="R41" s="975"/>
      <c r="S41" s="975"/>
    </row>
    <row r="46" spans="2:19" ht="14.4" customHeight="1" x14ac:dyDescent="0.3">
      <c r="H46" s="261"/>
      <c r="I46" s="261"/>
      <c r="J46" s="261"/>
      <c r="K46" s="261"/>
      <c r="L46" s="261"/>
      <c r="M46" s="261"/>
    </row>
    <row r="47" spans="2:19" ht="14.4" customHeight="1" x14ac:dyDescent="0.3">
      <c r="H47" s="261"/>
      <c r="I47" s="261"/>
      <c r="J47" s="261"/>
      <c r="K47" s="261"/>
      <c r="L47" s="261"/>
      <c r="M47" s="261"/>
    </row>
    <row r="48" spans="2:19" ht="15.6" x14ac:dyDescent="0.3">
      <c r="H48" s="974" t="s">
        <v>1409</v>
      </c>
      <c r="I48" s="974"/>
      <c r="J48" s="974"/>
      <c r="K48" s="974" t="s">
        <v>63</v>
      </c>
      <c r="L48" s="974"/>
      <c r="M48" s="974"/>
    </row>
    <row r="49" spans="2:19" ht="15.6" x14ac:dyDescent="0.3">
      <c r="H49" s="974" t="s">
        <v>1433</v>
      </c>
      <c r="I49" s="974"/>
      <c r="J49" s="974"/>
      <c r="K49" s="974" t="s">
        <v>1330</v>
      </c>
      <c r="L49" s="974"/>
      <c r="M49" s="974"/>
    </row>
    <row r="56" spans="2:19" s="222" customFormat="1" ht="15.6" x14ac:dyDescent="0.3">
      <c r="B56" s="974" t="s">
        <v>35</v>
      </c>
      <c r="C56" s="974"/>
      <c r="D56" s="974"/>
      <c r="E56" s="974"/>
      <c r="F56" s="974"/>
      <c r="G56" s="974"/>
      <c r="H56" s="974" t="s">
        <v>1346</v>
      </c>
      <c r="I56" s="974"/>
      <c r="J56" s="974"/>
      <c r="K56" s="974"/>
      <c r="L56" s="974"/>
      <c r="M56" s="974"/>
      <c r="N56" s="974" t="s">
        <v>48</v>
      </c>
      <c r="O56" s="974"/>
      <c r="P56" s="974"/>
      <c r="Q56" s="974" t="s">
        <v>26</v>
      </c>
      <c r="R56" s="974"/>
      <c r="S56" s="974"/>
    </row>
    <row r="57" spans="2:19" s="222" customFormat="1" ht="15.6" x14ac:dyDescent="0.3">
      <c r="B57" s="974" t="s">
        <v>34</v>
      </c>
      <c r="C57" s="974"/>
      <c r="D57" s="974"/>
      <c r="E57" s="974"/>
      <c r="F57" s="974"/>
      <c r="G57" s="974"/>
      <c r="H57" s="974" t="s">
        <v>34</v>
      </c>
      <c r="I57" s="974"/>
      <c r="J57" s="974"/>
      <c r="K57" s="974"/>
      <c r="L57" s="974"/>
      <c r="M57" s="974"/>
      <c r="N57" s="974" t="s">
        <v>47</v>
      </c>
      <c r="O57" s="974"/>
      <c r="P57" s="974"/>
      <c r="Q57" s="974" t="s">
        <v>49</v>
      </c>
      <c r="R57" s="974"/>
      <c r="S57" s="974"/>
    </row>
  </sheetData>
  <mergeCells count="43">
    <mergeCell ref="I16:M20"/>
    <mergeCell ref="A3:T3"/>
    <mergeCell ref="A4:T4"/>
    <mergeCell ref="A5:T5"/>
    <mergeCell ref="A7:T7"/>
    <mergeCell ref="G8:O8"/>
    <mergeCell ref="A9:T9"/>
    <mergeCell ref="B14:B15"/>
    <mergeCell ref="C14:C15"/>
    <mergeCell ref="D14:D15"/>
    <mergeCell ref="B16:B20"/>
    <mergeCell ref="C16:C20"/>
    <mergeCell ref="L25:L27"/>
    <mergeCell ref="B21:B23"/>
    <mergeCell ref="C21:C23"/>
    <mergeCell ref="I22:I23"/>
    <mergeCell ref="J22:J23"/>
    <mergeCell ref="K22:K23"/>
    <mergeCell ref="L22:L23"/>
    <mergeCell ref="B24:B29"/>
    <mergeCell ref="C24:C29"/>
    <mergeCell ref="I25:I27"/>
    <mergeCell ref="J25:J27"/>
    <mergeCell ref="K25:K27"/>
    <mergeCell ref="B33:P33"/>
    <mergeCell ref="B40:G40"/>
    <mergeCell ref="H40:M40"/>
    <mergeCell ref="N40:S40"/>
    <mergeCell ref="B41:G41"/>
    <mergeCell ref="H41:M41"/>
    <mergeCell ref="N41:S41"/>
    <mergeCell ref="H48:J48"/>
    <mergeCell ref="K48:M48"/>
    <mergeCell ref="H49:J49"/>
    <mergeCell ref="K49:M49"/>
    <mergeCell ref="B56:G56"/>
    <mergeCell ref="H56:M56"/>
    <mergeCell ref="N56:P56"/>
    <mergeCell ref="Q56:S56"/>
    <mergeCell ref="B57:G57"/>
    <mergeCell ref="H57:M57"/>
    <mergeCell ref="N57:P57"/>
    <mergeCell ref="Q57:S57"/>
  </mergeCells>
  <printOptions horizontalCentered="1"/>
  <pageMargins left="0" right="0" top="0" bottom="0" header="0" footer="0"/>
  <pageSetup paperSize="9" scale="43" fitToHeight="0" orientation="landscape" r:id="rId1"/>
  <headerFooter>
    <oddHeader>&amp;L&amp;"Aptos"&amp;10&amp;K008000 Herkese Açık (Public)&amp;1#_x000D_</oddHeader>
    <oddFooter>&amp;L_x000D_&amp;1#&amp;"Aptos"&amp;10&amp;K008000 Herkese Açık (Public)</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C36F-E4CE-4F08-A141-5E54C45074A7}">
  <sheetPr codeName="Sayfa17">
    <pageSetUpPr fitToPage="1"/>
  </sheetPr>
  <dimension ref="A1:AD44"/>
  <sheetViews>
    <sheetView showGridLines="0" view="pageBreakPreview" zoomScaleNormal="85" zoomScaleSheetLayoutView="100" workbookViewId="0">
      <selection activeCell="X24" sqref="X24"/>
    </sheetView>
  </sheetViews>
  <sheetFormatPr defaultRowHeight="14.4" x14ac:dyDescent="0.3"/>
  <cols>
    <col min="1" max="1" width="8.88671875" style="11"/>
    <col min="2" max="2" width="5.77734375" style="11" customWidth="1"/>
    <col min="3" max="3" width="4.33203125" style="11" bestFit="1" customWidth="1"/>
    <col min="4" max="4" width="4.33203125" style="11" customWidth="1"/>
    <col min="5" max="5" width="5.77734375" style="11" customWidth="1"/>
    <col min="6" max="6" width="9" style="11" bestFit="1" customWidth="1"/>
    <col min="7" max="7" width="2.109375" style="11" customWidth="1"/>
    <col min="8" max="8" width="5.77734375" style="11" customWidth="1"/>
    <col min="9" max="9" width="9" style="11" bestFit="1" customWidth="1"/>
    <col min="10" max="10" width="2.109375" style="11" bestFit="1" customWidth="1"/>
    <col min="11" max="11" width="5.77734375" style="11" customWidth="1"/>
    <col min="12" max="12" width="9" style="11" bestFit="1" customWidth="1"/>
    <col min="13" max="13" width="2.109375" style="11" bestFit="1" customWidth="1"/>
    <col min="14" max="14" width="5.77734375" style="11" customWidth="1"/>
    <col min="15" max="15" width="9" style="11" customWidth="1"/>
    <col min="16" max="16" width="2.109375" style="11" bestFit="1" customWidth="1"/>
    <col min="17" max="17" width="5.77734375" style="11" customWidth="1"/>
    <col min="18" max="18" width="9" style="11" bestFit="1" customWidth="1"/>
    <col min="19" max="19" width="2.109375" style="11" bestFit="1" customWidth="1"/>
    <col min="20" max="20" width="5.77734375" style="11" customWidth="1"/>
    <col min="21" max="21" width="9" style="11" bestFit="1" customWidth="1"/>
    <col min="22" max="22" width="2.109375" style="11" bestFit="1" customWidth="1"/>
    <col min="23" max="23" width="5.77734375" style="11" customWidth="1"/>
    <col min="24" max="24" width="9" style="11" customWidth="1"/>
    <col min="25" max="25" width="2.109375" style="11" customWidth="1"/>
    <col min="26" max="26" width="5.77734375" style="11" customWidth="1"/>
    <col min="27" max="27" width="9" style="11" customWidth="1"/>
    <col min="28" max="29" width="5.77734375" style="11" customWidth="1"/>
    <col min="30" max="16384" width="8.88671875" style="11"/>
  </cols>
  <sheetData>
    <row r="1" spans="1:29" x14ac:dyDescent="0.3">
      <c r="A1" s="320"/>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221"/>
    </row>
    <row r="2" spans="1:29" x14ac:dyDescent="0.3">
      <c r="A2" s="24"/>
      <c r="AC2" s="26"/>
    </row>
    <row r="3" spans="1:29" ht="18" x14ac:dyDescent="0.3">
      <c r="A3" s="24"/>
      <c r="B3" s="1063" t="s">
        <v>118</v>
      </c>
      <c r="C3" s="1063"/>
      <c r="D3" s="1063"/>
      <c r="E3" s="1063"/>
      <c r="F3" s="1063"/>
      <c r="G3" s="1063"/>
      <c r="H3" s="1063"/>
      <c r="I3" s="1063"/>
      <c r="J3" s="1063"/>
      <c r="K3" s="1063"/>
      <c r="L3" s="1063"/>
      <c r="M3" s="1063"/>
      <c r="N3" s="1063"/>
      <c r="O3" s="1063"/>
      <c r="P3" s="1063"/>
      <c r="Q3" s="1063"/>
      <c r="R3" s="1063"/>
      <c r="S3" s="1063"/>
      <c r="T3" s="1063"/>
      <c r="U3" s="1063"/>
      <c r="V3" s="1063"/>
      <c r="W3" s="1063"/>
      <c r="X3" s="1063"/>
      <c r="Y3" s="1063"/>
      <c r="Z3" s="1063"/>
      <c r="AA3" s="1063"/>
      <c r="AB3" s="1063"/>
      <c r="AC3" s="322"/>
    </row>
    <row r="4" spans="1:29" ht="15.6" x14ac:dyDescent="0.3">
      <c r="A4" s="24"/>
      <c r="B4" s="983" t="s">
        <v>210</v>
      </c>
      <c r="C4" s="983"/>
      <c r="D4" s="983"/>
      <c r="E4" s="983"/>
      <c r="F4" s="983"/>
      <c r="G4" s="983"/>
      <c r="H4" s="983"/>
      <c r="I4" s="983"/>
      <c r="J4" s="983"/>
      <c r="K4" s="983"/>
      <c r="L4" s="983"/>
      <c r="M4" s="983"/>
      <c r="N4" s="983"/>
      <c r="O4" s="983"/>
      <c r="P4" s="983"/>
      <c r="Q4" s="983"/>
      <c r="R4" s="983"/>
      <c r="S4" s="983"/>
      <c r="T4" s="983"/>
      <c r="U4" s="983"/>
      <c r="V4" s="983"/>
      <c r="W4" s="983"/>
      <c r="X4" s="983"/>
      <c r="Y4" s="983"/>
      <c r="Z4" s="983"/>
      <c r="AA4" s="983"/>
      <c r="AB4" s="983"/>
      <c r="AC4" s="315"/>
    </row>
    <row r="5" spans="1:29" ht="15.6" x14ac:dyDescent="0.3">
      <c r="A5" s="24"/>
      <c r="B5" s="983" t="s">
        <v>120</v>
      </c>
      <c r="C5" s="983"/>
      <c r="D5" s="983"/>
      <c r="E5" s="983"/>
      <c r="F5" s="983"/>
      <c r="G5" s="983"/>
      <c r="H5" s="983"/>
      <c r="I5" s="983"/>
      <c r="J5" s="983"/>
      <c r="K5" s="983"/>
      <c r="L5" s="983"/>
      <c r="M5" s="983"/>
      <c r="N5" s="983"/>
      <c r="O5" s="983"/>
      <c r="P5" s="983"/>
      <c r="Q5" s="983"/>
      <c r="R5" s="983"/>
      <c r="S5" s="983"/>
      <c r="T5" s="983"/>
      <c r="U5" s="983"/>
      <c r="V5" s="983"/>
      <c r="W5" s="983"/>
      <c r="X5" s="983"/>
      <c r="Y5" s="983"/>
      <c r="Z5" s="983"/>
      <c r="AA5" s="983"/>
      <c r="AB5" s="983"/>
      <c r="AC5" s="315"/>
    </row>
    <row r="6" spans="1:29" ht="15.6" x14ac:dyDescent="0.3">
      <c r="A6" s="24"/>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315"/>
    </row>
    <row r="7" spans="1:29" ht="15.6" x14ac:dyDescent="0.3">
      <c r="A7" s="24"/>
      <c r="B7" s="1064" t="s">
        <v>37</v>
      </c>
      <c r="C7" s="1064"/>
      <c r="D7" s="1064"/>
      <c r="E7" s="1064"/>
      <c r="F7" s="1064"/>
      <c r="G7" s="1064"/>
      <c r="H7" s="1064"/>
      <c r="I7" s="1064"/>
      <c r="J7" s="1064"/>
      <c r="K7" s="1064"/>
      <c r="L7" s="1064"/>
      <c r="M7" s="1064"/>
      <c r="N7" s="1064"/>
      <c r="O7" s="1064"/>
      <c r="P7" s="1064"/>
      <c r="Q7" s="1064"/>
      <c r="R7" s="1064"/>
      <c r="S7" s="1064"/>
      <c r="T7" s="1064"/>
      <c r="U7" s="1064"/>
      <c r="V7" s="1064"/>
      <c r="W7" s="1064"/>
      <c r="X7" s="1064"/>
      <c r="Y7" s="1064"/>
      <c r="Z7" s="1064"/>
      <c r="AA7" s="1064"/>
      <c r="AB7" s="1064"/>
      <c r="AC7" s="323"/>
    </row>
    <row r="8" spans="1:29" ht="15.6" x14ac:dyDescent="0.3">
      <c r="A8" s="24"/>
      <c r="B8" s="317"/>
      <c r="C8" s="317"/>
      <c r="D8" s="317"/>
      <c r="E8" s="317"/>
      <c r="F8" s="317"/>
      <c r="G8" s="317"/>
      <c r="H8" s="317"/>
      <c r="I8" s="317"/>
      <c r="J8" s="317"/>
      <c r="K8" s="317"/>
      <c r="L8" s="317"/>
      <c r="M8" s="317"/>
      <c r="N8" s="317"/>
      <c r="O8" s="317"/>
      <c r="P8" s="317"/>
      <c r="Q8" s="317"/>
      <c r="R8" s="317"/>
      <c r="S8" s="317"/>
      <c r="T8" s="317"/>
      <c r="U8" s="317"/>
      <c r="V8" s="317"/>
      <c r="W8" s="317"/>
      <c r="X8" s="317"/>
      <c r="Y8" s="317"/>
      <c r="Z8" s="317"/>
      <c r="AA8" s="317"/>
      <c r="AB8" s="317"/>
      <c r="AC8" s="323"/>
    </row>
    <row r="9" spans="1:29" ht="15.6" x14ac:dyDescent="0.3">
      <c r="A9" s="24"/>
      <c r="B9" s="983" t="s">
        <v>1269</v>
      </c>
      <c r="C9" s="983"/>
      <c r="D9" s="983"/>
      <c r="E9" s="983"/>
      <c r="F9" s="983"/>
      <c r="G9" s="983"/>
      <c r="H9" s="983"/>
      <c r="I9" s="983"/>
      <c r="J9" s="983"/>
      <c r="K9" s="983"/>
      <c r="L9" s="983"/>
      <c r="M9" s="983"/>
      <c r="N9" s="983"/>
      <c r="O9" s="983"/>
      <c r="P9" s="983"/>
      <c r="Q9" s="983"/>
      <c r="R9" s="983"/>
      <c r="S9" s="983"/>
      <c r="T9" s="983"/>
      <c r="U9" s="983"/>
      <c r="V9" s="983"/>
      <c r="W9" s="983"/>
      <c r="X9" s="983"/>
      <c r="Y9" s="983"/>
      <c r="Z9" s="983"/>
      <c r="AA9" s="983"/>
      <c r="AB9" s="983"/>
      <c r="AC9" s="315"/>
    </row>
    <row r="10" spans="1:29" x14ac:dyDescent="0.3">
      <c r="A10" s="24"/>
      <c r="E10" s="111"/>
      <c r="I10" s="1024"/>
      <c r="J10" s="1024"/>
      <c r="K10" s="1024"/>
      <c r="L10" s="1024"/>
      <c r="M10" s="1024"/>
      <c r="N10" s="1024"/>
      <c r="O10" s="1024"/>
      <c r="P10" s="1024"/>
      <c r="Q10" s="1024"/>
      <c r="R10" s="1024"/>
      <c r="S10" s="1024"/>
      <c r="T10" s="1024"/>
      <c r="U10" s="1024"/>
      <c r="V10" s="1024"/>
      <c r="Y10" s="111" t="s">
        <v>209</v>
      </c>
      <c r="Z10" s="1024">
        <f>+Veri!$C$21</f>
        <v>6</v>
      </c>
      <c r="AA10" s="1024"/>
      <c r="AC10" s="26"/>
    </row>
    <row r="11" spans="1:29" x14ac:dyDescent="0.3">
      <c r="A11" s="24"/>
      <c r="E11" s="111"/>
      <c r="I11" s="1267" t="s">
        <v>1294</v>
      </c>
      <c r="J11" s="1010"/>
      <c r="K11" s="1010"/>
      <c r="L11" s="1010"/>
      <c r="M11" s="1010"/>
      <c r="N11" s="1010"/>
      <c r="O11" s="1010"/>
      <c r="P11" s="1010"/>
      <c r="Q11" s="1010"/>
      <c r="R11" s="1010"/>
      <c r="S11" s="1010"/>
      <c r="T11" s="1010"/>
      <c r="U11" s="1010"/>
      <c r="V11" s="1010"/>
      <c r="Y11" s="111" t="s">
        <v>208</v>
      </c>
      <c r="Z11" s="1090">
        <f>+Veri!$C$22</f>
        <v>46142</v>
      </c>
      <c r="AA11" s="1090"/>
      <c r="AC11" s="26"/>
    </row>
    <row r="12" spans="1:29" x14ac:dyDescent="0.3">
      <c r="A12" s="24"/>
      <c r="AC12" s="26"/>
    </row>
    <row r="13" spans="1:29" x14ac:dyDescent="0.3">
      <c r="A13" s="24"/>
      <c r="AC13" s="26"/>
    </row>
    <row r="14" spans="1:29" ht="15" thickBot="1" x14ac:dyDescent="0.35">
      <c r="A14" s="24"/>
      <c r="C14" s="1024" t="s">
        <v>1271</v>
      </c>
      <c r="D14" s="1024" t="s">
        <v>1270</v>
      </c>
      <c r="E14" s="1024" t="s">
        <v>196</v>
      </c>
      <c r="F14" s="266" t="s">
        <v>1245</v>
      </c>
      <c r="G14" s="1268" t="s">
        <v>1246</v>
      </c>
      <c r="H14" s="1024" t="s">
        <v>1247</v>
      </c>
      <c r="I14" s="266" t="s">
        <v>1248</v>
      </c>
      <c r="J14" s="1268" t="s">
        <v>1246</v>
      </c>
      <c r="K14" s="1024" t="s">
        <v>1249</v>
      </c>
      <c r="L14" s="266" t="s">
        <v>1250</v>
      </c>
      <c r="M14" s="1268" t="s">
        <v>1246</v>
      </c>
      <c r="N14" s="1024" t="s">
        <v>1251</v>
      </c>
      <c r="O14" s="266" t="s">
        <v>1252</v>
      </c>
      <c r="P14" s="1268" t="s">
        <v>1246</v>
      </c>
      <c r="Q14" s="1024" t="s">
        <v>1253</v>
      </c>
      <c r="R14" s="266" t="s">
        <v>1254</v>
      </c>
      <c r="S14" s="1268" t="s">
        <v>1246</v>
      </c>
      <c r="T14" s="1024" t="s">
        <v>1255</v>
      </c>
      <c r="U14" s="266" t="s">
        <v>1256</v>
      </c>
      <c r="V14" s="1268" t="s">
        <v>1246</v>
      </c>
      <c r="W14" s="1024" t="s">
        <v>1257</v>
      </c>
      <c r="X14" s="266" t="s">
        <v>1258</v>
      </c>
      <c r="Y14" s="1268" t="s">
        <v>1246</v>
      </c>
      <c r="Z14" s="1024" t="s">
        <v>1259</v>
      </c>
      <c r="AA14" s="266" t="s">
        <v>1260</v>
      </c>
      <c r="AC14" s="26"/>
    </row>
    <row r="15" spans="1:29" x14ac:dyDescent="0.3">
      <c r="A15" s="24"/>
      <c r="C15" s="1024"/>
      <c r="D15" s="1024"/>
      <c r="E15" s="1024"/>
      <c r="F15" s="28" t="s">
        <v>1261</v>
      </c>
      <c r="G15" s="1268"/>
      <c r="H15" s="1024"/>
      <c r="I15" s="28" t="s">
        <v>1262</v>
      </c>
      <c r="J15" s="1268"/>
      <c r="K15" s="1024"/>
      <c r="L15" s="28" t="s">
        <v>1263</v>
      </c>
      <c r="M15" s="1268"/>
      <c r="N15" s="1024"/>
      <c r="O15" s="28" t="s">
        <v>1264</v>
      </c>
      <c r="P15" s="1268"/>
      <c r="Q15" s="1024"/>
      <c r="R15" s="28" t="s">
        <v>1265</v>
      </c>
      <c r="S15" s="1268"/>
      <c r="T15" s="1024"/>
      <c r="U15" s="28" t="s">
        <v>1266</v>
      </c>
      <c r="V15" s="1268"/>
      <c r="W15" s="1024"/>
      <c r="X15" s="28" t="s">
        <v>1267</v>
      </c>
      <c r="Y15" s="1268"/>
      <c r="Z15" s="1024"/>
      <c r="AA15" s="28" t="s">
        <v>1268</v>
      </c>
      <c r="AC15" s="26"/>
    </row>
    <row r="16" spans="1:29" x14ac:dyDescent="0.3">
      <c r="A16" s="24"/>
      <c r="AC16" s="26"/>
    </row>
    <row r="17" spans="1:30" x14ac:dyDescent="0.3">
      <c r="A17" s="24"/>
      <c r="AC17" s="26"/>
    </row>
    <row r="18" spans="1:30" ht="15" thickBot="1" x14ac:dyDescent="0.35">
      <c r="A18" s="24"/>
      <c r="C18" s="1024" t="s">
        <v>1271</v>
      </c>
      <c r="D18" s="1024" t="s">
        <v>1270</v>
      </c>
      <c r="E18" s="1024">
        <v>0.15</v>
      </c>
      <c r="F18" s="266">
        <v>2883.75</v>
      </c>
      <c r="G18" s="1024" t="s">
        <v>1246</v>
      </c>
      <c r="H18" s="1024">
        <v>0.18</v>
      </c>
      <c r="I18" s="266">
        <v>4641.2299999999996</v>
      </c>
      <c r="J18" s="1024" t="s">
        <v>1246</v>
      </c>
      <c r="K18" s="1269">
        <v>0.2</v>
      </c>
      <c r="L18" s="266">
        <v>5462.92</v>
      </c>
      <c r="M18" s="1024" t="s">
        <v>1246</v>
      </c>
      <c r="N18" s="1269">
        <v>0.14000000000000001</v>
      </c>
      <c r="O18" s="313">
        <v>46.774000000000001</v>
      </c>
      <c r="P18" s="1024" t="s">
        <v>1246</v>
      </c>
      <c r="Q18" s="1269">
        <v>0.01</v>
      </c>
      <c r="R18" s="312">
        <v>7114.2</v>
      </c>
      <c r="S18" s="1024" t="s">
        <v>1246</v>
      </c>
      <c r="T18" s="1269">
        <v>0.05</v>
      </c>
      <c r="U18" s="266">
        <v>2936.95</v>
      </c>
      <c r="V18" s="1024" t="s">
        <v>1246</v>
      </c>
      <c r="W18" s="1269">
        <v>0.1</v>
      </c>
      <c r="X18" s="312">
        <v>3943.01</v>
      </c>
      <c r="Y18" s="1024" t="s">
        <v>1246</v>
      </c>
      <c r="Z18" s="1024">
        <v>0.17</v>
      </c>
      <c r="AA18" s="266">
        <v>2808.87</v>
      </c>
      <c r="AC18" s="26"/>
      <c r="AD18" s="11">
        <f>+ROUND((E18*F18/F19+H18*I18/I19+K18*L18/L19+N18*O18/O19+Q18*R18/R19+T18*U18/U19+W18*X18/X19+Z18*AA18/AA19),6)</f>
        <v>1.061283</v>
      </c>
    </row>
    <row r="19" spans="1:30" x14ac:dyDescent="0.3">
      <c r="A19" s="24"/>
      <c r="C19" s="1024"/>
      <c r="D19" s="1024"/>
      <c r="E19" s="1024"/>
      <c r="F19" s="28">
        <v>2657.23</v>
      </c>
      <c r="G19" s="1024"/>
      <c r="H19" s="1024"/>
      <c r="I19" s="28">
        <v>4382.41</v>
      </c>
      <c r="J19" s="1024"/>
      <c r="K19" s="1269"/>
      <c r="L19" s="28">
        <v>5420.45</v>
      </c>
      <c r="M19" s="1024"/>
      <c r="N19" s="1269"/>
      <c r="O19" s="324">
        <v>42.87</v>
      </c>
      <c r="P19" s="1024"/>
      <c r="Q19" s="1269"/>
      <c r="R19" s="28">
        <v>6482.77</v>
      </c>
      <c r="S19" s="1024"/>
      <c r="T19" s="1269"/>
      <c r="U19" s="28">
        <v>2785.67</v>
      </c>
      <c r="V19" s="1024"/>
      <c r="W19" s="1269"/>
      <c r="X19" s="28">
        <v>3731.43</v>
      </c>
      <c r="Y19" s="1024"/>
      <c r="Z19" s="1024"/>
      <c r="AA19" s="28">
        <v>2592.48</v>
      </c>
      <c r="AC19" s="26"/>
    </row>
    <row r="20" spans="1:30" x14ac:dyDescent="0.3">
      <c r="A20" s="24"/>
      <c r="AC20" s="26"/>
    </row>
    <row r="21" spans="1:30" x14ac:dyDescent="0.3">
      <c r="A21" s="24"/>
      <c r="AC21" s="26"/>
    </row>
    <row r="22" spans="1:30" x14ac:dyDescent="0.3">
      <c r="A22" s="24"/>
      <c r="C22" s="1024" t="s">
        <v>1271</v>
      </c>
      <c r="D22" s="1024" t="s">
        <v>1270</v>
      </c>
      <c r="E22" s="1270">
        <f>+AD18</f>
        <v>1.061283</v>
      </c>
      <c r="F22" s="1270"/>
      <c r="AC22" s="26"/>
    </row>
    <row r="23" spans="1:30" x14ac:dyDescent="0.3">
      <c r="A23" s="24"/>
      <c r="C23" s="1024"/>
      <c r="D23" s="1024"/>
      <c r="E23" s="1270"/>
      <c r="F23" s="1270"/>
      <c r="AC23" s="26"/>
    </row>
    <row r="24" spans="1:30" x14ac:dyDescent="0.3">
      <c r="A24" s="31"/>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1"/>
    </row>
    <row r="25" spans="1:30" x14ac:dyDescent="0.3">
      <c r="A25" s="320"/>
      <c r="B25" s="33"/>
      <c r="C25" s="33"/>
      <c r="D25" s="33"/>
      <c r="E25" s="33"/>
      <c r="F25" s="33"/>
      <c r="G25" s="33"/>
      <c r="H25" s="221"/>
      <c r="I25" s="320"/>
      <c r="J25" s="33"/>
      <c r="K25" s="33"/>
      <c r="L25" s="33"/>
      <c r="M25" s="33"/>
      <c r="N25" s="33"/>
      <c r="O25" s="33"/>
      <c r="P25" s="33"/>
      <c r="Q25" s="221"/>
      <c r="R25" s="320"/>
      <c r="S25" s="33"/>
      <c r="T25" s="33"/>
      <c r="U25" s="33"/>
      <c r="V25" s="33"/>
      <c r="W25" s="33"/>
      <c r="X25" s="33"/>
      <c r="Y25" s="33"/>
      <c r="Z25" s="33"/>
      <c r="AA25" s="33"/>
      <c r="AB25" s="33"/>
      <c r="AC25" s="221"/>
    </row>
    <row r="26" spans="1:30" ht="15.6" x14ac:dyDescent="0.3">
      <c r="A26" s="1271" t="s">
        <v>33</v>
      </c>
      <c r="B26" s="1070"/>
      <c r="C26" s="1070"/>
      <c r="D26" s="1070"/>
      <c r="E26" s="1070"/>
      <c r="F26" s="1070"/>
      <c r="G26" s="1070"/>
      <c r="H26" s="1272"/>
      <c r="I26" s="1271" t="s">
        <v>29</v>
      </c>
      <c r="J26" s="1070"/>
      <c r="K26" s="1070"/>
      <c r="L26" s="1070"/>
      <c r="M26" s="1070"/>
      <c r="N26" s="1070"/>
      <c r="O26" s="1070"/>
      <c r="P26" s="1070"/>
      <c r="Q26" s="1272"/>
      <c r="R26" s="1271" t="s">
        <v>22</v>
      </c>
      <c r="S26" s="1070"/>
      <c r="T26" s="1070"/>
      <c r="U26" s="1070"/>
      <c r="V26" s="1070"/>
      <c r="W26" s="1070"/>
      <c r="X26" s="1070"/>
      <c r="Y26" s="1070"/>
      <c r="Z26" s="1070"/>
      <c r="AA26" s="1070"/>
      <c r="AB26" s="1070"/>
      <c r="AC26" s="1272"/>
    </row>
    <row r="27" spans="1:30" ht="15.6" customHeight="1" x14ac:dyDescent="0.3">
      <c r="A27" s="1273" t="s">
        <v>1214</v>
      </c>
      <c r="B27" s="974"/>
      <c r="C27" s="974"/>
      <c r="D27" s="974"/>
      <c r="E27" s="974"/>
      <c r="F27" s="974"/>
      <c r="G27" s="974"/>
      <c r="H27" s="1274"/>
      <c r="I27" s="1275" t="s">
        <v>38</v>
      </c>
      <c r="J27" s="975"/>
      <c r="K27" s="975"/>
      <c r="L27" s="975"/>
      <c r="M27" s="975"/>
      <c r="N27" s="975"/>
      <c r="O27" s="975"/>
      <c r="P27" s="975"/>
      <c r="Q27" s="1276"/>
      <c r="R27" s="1275" t="s">
        <v>4</v>
      </c>
      <c r="S27" s="975"/>
      <c r="T27" s="975"/>
      <c r="U27" s="975"/>
      <c r="V27" s="975"/>
      <c r="W27" s="975"/>
      <c r="X27" s="975"/>
      <c r="Y27" s="975"/>
      <c r="Z27" s="975"/>
      <c r="AA27" s="975"/>
      <c r="AB27" s="975"/>
      <c r="AC27" s="1276"/>
    </row>
    <row r="28" spans="1:30" ht="14.4" customHeight="1" x14ac:dyDescent="0.3">
      <c r="A28" s="24"/>
      <c r="H28" s="26"/>
      <c r="I28" s="24"/>
      <c r="Q28" s="26"/>
      <c r="R28" s="319"/>
      <c r="S28" s="261"/>
      <c r="T28" s="261"/>
      <c r="U28" s="261"/>
      <c r="V28" s="261"/>
      <c r="W28" s="261"/>
      <c r="X28" s="261"/>
      <c r="Y28" s="261"/>
      <c r="Z28" s="261"/>
      <c r="AA28" s="261"/>
      <c r="AB28" s="261"/>
      <c r="AC28" s="259"/>
    </row>
    <row r="29" spans="1:30" x14ac:dyDescent="0.3">
      <c r="A29" s="24"/>
      <c r="H29" s="26"/>
      <c r="I29" s="24"/>
      <c r="Q29" s="26"/>
      <c r="AC29" s="26"/>
    </row>
    <row r="30" spans="1:30" x14ac:dyDescent="0.3">
      <c r="A30" s="24"/>
      <c r="H30" s="26"/>
      <c r="I30" s="24"/>
      <c r="Q30" s="26"/>
      <c r="AC30" s="26"/>
    </row>
    <row r="31" spans="1:30" x14ac:dyDescent="0.3">
      <c r="A31" s="24"/>
      <c r="H31" s="26"/>
      <c r="I31" s="24"/>
      <c r="Q31" s="26"/>
      <c r="AC31" s="26"/>
    </row>
    <row r="32" spans="1:30" x14ac:dyDescent="0.3">
      <c r="A32" s="24"/>
      <c r="H32" s="26"/>
      <c r="I32" s="24"/>
      <c r="Q32" s="26"/>
      <c r="AC32" s="26"/>
    </row>
    <row r="33" spans="1:29" ht="14.4" customHeight="1" x14ac:dyDescent="0.3">
      <c r="A33" s="24"/>
      <c r="G33" s="261"/>
      <c r="H33" s="259"/>
      <c r="I33" s="1279" t="s">
        <v>1216</v>
      </c>
      <c r="J33" s="1280"/>
      <c r="K33" s="1280"/>
      <c r="L33" s="1280"/>
      <c r="M33" s="1280"/>
      <c r="N33" s="1280"/>
      <c r="O33" s="1280"/>
      <c r="P33" s="1280"/>
      <c r="Q33" s="1281"/>
      <c r="AC33" s="26"/>
    </row>
    <row r="34" spans="1:29" ht="14.4" customHeight="1" x14ac:dyDescent="0.3">
      <c r="A34" s="24"/>
      <c r="G34" s="261"/>
      <c r="H34" s="259"/>
      <c r="I34" s="1279"/>
      <c r="J34" s="1280"/>
      <c r="K34" s="1280"/>
      <c r="L34" s="1280"/>
      <c r="M34" s="1280"/>
      <c r="N34" s="1280"/>
      <c r="O34" s="1280"/>
      <c r="P34" s="1280"/>
      <c r="Q34" s="1281"/>
      <c r="AC34" s="26"/>
    </row>
    <row r="35" spans="1:29" x14ac:dyDescent="0.3">
      <c r="A35" s="24"/>
      <c r="H35" s="26"/>
      <c r="I35" s="24"/>
      <c r="Q35" s="26"/>
      <c r="AC35" s="26"/>
    </row>
    <row r="36" spans="1:29" x14ac:dyDescent="0.3">
      <c r="A36" s="24"/>
      <c r="H36" s="26"/>
      <c r="I36" s="24"/>
      <c r="Q36" s="26"/>
      <c r="AC36" s="26"/>
    </row>
    <row r="37" spans="1:29" x14ac:dyDescent="0.3">
      <c r="A37" s="24"/>
      <c r="H37" s="26"/>
      <c r="I37" s="24"/>
      <c r="Q37" s="26"/>
      <c r="AC37" s="26"/>
    </row>
    <row r="38" spans="1:29" x14ac:dyDescent="0.3">
      <c r="A38" s="24"/>
      <c r="H38" s="26"/>
      <c r="I38" s="24"/>
      <c r="Q38" s="26"/>
      <c r="AC38" s="26"/>
    </row>
    <row r="39" spans="1:29" x14ac:dyDescent="0.3">
      <c r="A39" s="24"/>
      <c r="H39" s="26"/>
      <c r="I39" s="24"/>
      <c r="Q39" s="26"/>
      <c r="AC39" s="26"/>
    </row>
    <row r="40" spans="1:29" x14ac:dyDescent="0.3">
      <c r="A40" s="24"/>
      <c r="H40" s="26"/>
      <c r="I40" s="24"/>
      <c r="Q40" s="26"/>
      <c r="AC40" s="26"/>
    </row>
    <row r="41" spans="1:29" x14ac:dyDescent="0.3">
      <c r="A41" s="24"/>
      <c r="H41" s="26"/>
      <c r="I41" s="24"/>
      <c r="Q41" s="26"/>
      <c r="AC41" s="26"/>
    </row>
    <row r="42" spans="1:29" x14ac:dyDescent="0.3">
      <c r="A42" s="1277" t="s">
        <v>35</v>
      </c>
      <c r="B42" s="1024"/>
      <c r="C42" s="1024"/>
      <c r="D42" s="1024"/>
      <c r="E42" s="1024"/>
      <c r="F42" s="1024"/>
      <c r="G42" s="1024"/>
      <c r="H42" s="1278"/>
      <c r="I42" s="1277" t="s">
        <v>61</v>
      </c>
      <c r="J42" s="1024"/>
      <c r="K42" s="1024"/>
      <c r="L42" s="1024"/>
      <c r="M42" s="1024"/>
      <c r="N42" s="1024"/>
      <c r="O42" s="1024"/>
      <c r="P42" s="1024"/>
      <c r="Q42" s="1278"/>
      <c r="R42" s="1277" t="s">
        <v>48</v>
      </c>
      <c r="S42" s="1024"/>
      <c r="T42" s="1024"/>
      <c r="U42" s="1024"/>
      <c r="V42" s="1024"/>
      <c r="W42" s="1024"/>
      <c r="X42" s="1024" t="s">
        <v>26</v>
      </c>
      <c r="Y42" s="1024"/>
      <c r="Z42" s="1024"/>
      <c r="AA42" s="1024"/>
      <c r="AB42" s="1024"/>
      <c r="AC42" s="26"/>
    </row>
    <row r="43" spans="1:29" x14ac:dyDescent="0.3">
      <c r="A43" s="1277" t="s">
        <v>34</v>
      </c>
      <c r="B43" s="1024"/>
      <c r="C43" s="1024"/>
      <c r="D43" s="1024"/>
      <c r="E43" s="1024"/>
      <c r="F43" s="1024"/>
      <c r="G43" s="1024"/>
      <c r="H43" s="1278"/>
      <c r="I43" s="1277" t="s">
        <v>93</v>
      </c>
      <c r="J43" s="1024"/>
      <c r="K43" s="1024"/>
      <c r="L43" s="1024"/>
      <c r="M43" s="1024"/>
      <c r="N43" s="1024"/>
      <c r="O43" s="1024"/>
      <c r="P43" s="1024"/>
      <c r="Q43" s="1278"/>
      <c r="R43" s="1024" t="s">
        <v>47</v>
      </c>
      <c r="S43" s="1024"/>
      <c r="T43" s="1024"/>
      <c r="U43" s="1024"/>
      <c r="V43" s="1024"/>
      <c r="W43" s="1024"/>
      <c r="X43" s="1024" t="s">
        <v>49</v>
      </c>
      <c r="Y43" s="1024"/>
      <c r="Z43" s="1024"/>
      <c r="AA43" s="1024"/>
      <c r="AB43" s="1024"/>
      <c r="AC43" s="26"/>
    </row>
    <row r="44" spans="1:29" x14ac:dyDescent="0.3">
      <c r="A44" s="31"/>
      <c r="B44" s="32"/>
      <c r="C44" s="32"/>
      <c r="D44" s="32"/>
      <c r="E44" s="32"/>
      <c r="F44" s="32"/>
      <c r="G44" s="32"/>
      <c r="H44" s="321"/>
      <c r="I44" s="31"/>
      <c r="J44" s="32"/>
      <c r="K44" s="32"/>
      <c r="L44" s="32"/>
      <c r="M44" s="32"/>
      <c r="N44" s="32"/>
      <c r="O44" s="32"/>
      <c r="P44" s="32"/>
      <c r="Q44" s="321"/>
      <c r="R44" s="32"/>
      <c r="S44" s="32"/>
      <c r="T44" s="32"/>
      <c r="U44" s="32"/>
      <c r="V44" s="32"/>
      <c r="W44" s="32"/>
      <c r="X44" s="32"/>
      <c r="Y44" s="32"/>
      <c r="Z44" s="32"/>
      <c r="AA44" s="32"/>
      <c r="AB44" s="32"/>
      <c r="AC44" s="321"/>
    </row>
  </sheetData>
  <mergeCells count="61">
    <mergeCell ref="A43:H43"/>
    <mergeCell ref="I43:Q43"/>
    <mergeCell ref="R43:W43"/>
    <mergeCell ref="X43:AB43"/>
    <mergeCell ref="I33:Q34"/>
    <mergeCell ref="A42:H42"/>
    <mergeCell ref="I42:Q42"/>
    <mergeCell ref="R42:W42"/>
    <mergeCell ref="X42:AB42"/>
    <mergeCell ref="A26:H26"/>
    <mergeCell ref="I26:Q26"/>
    <mergeCell ref="R26:AC26"/>
    <mergeCell ref="A27:H27"/>
    <mergeCell ref="I27:Q27"/>
    <mergeCell ref="R27:AC27"/>
    <mergeCell ref="V18:V19"/>
    <mergeCell ref="W18:W19"/>
    <mergeCell ref="Y18:Y19"/>
    <mergeCell ref="Z18:Z19"/>
    <mergeCell ref="C22:C23"/>
    <mergeCell ref="D22:D23"/>
    <mergeCell ref="E22:F23"/>
    <mergeCell ref="M18:M19"/>
    <mergeCell ref="N18:N19"/>
    <mergeCell ref="P18:P19"/>
    <mergeCell ref="Q18:Q19"/>
    <mergeCell ref="S18:S19"/>
    <mergeCell ref="T18:T19"/>
    <mergeCell ref="J18:J19"/>
    <mergeCell ref="K18:K19"/>
    <mergeCell ref="N14:N15"/>
    <mergeCell ref="P14:P15"/>
    <mergeCell ref="Q14:Q15"/>
    <mergeCell ref="C18:C19"/>
    <mergeCell ref="D18:D19"/>
    <mergeCell ref="E18:E19"/>
    <mergeCell ref="G18:G19"/>
    <mergeCell ref="H18:H19"/>
    <mergeCell ref="I11:V11"/>
    <mergeCell ref="Z11:AA11"/>
    <mergeCell ref="C14:C15"/>
    <mergeCell ref="D14:D15"/>
    <mergeCell ref="E14:E15"/>
    <mergeCell ref="G14:G15"/>
    <mergeCell ref="H14:H15"/>
    <mergeCell ref="J14:J15"/>
    <mergeCell ref="K14:K15"/>
    <mergeCell ref="M14:M15"/>
    <mergeCell ref="W14:W15"/>
    <mergeCell ref="Y14:Y15"/>
    <mergeCell ref="Z14:Z15"/>
    <mergeCell ref="S14:S15"/>
    <mergeCell ref="T14:T15"/>
    <mergeCell ref="V14:V15"/>
    <mergeCell ref="I10:V10"/>
    <mergeCell ref="Z10:AA10"/>
    <mergeCell ref="B3:AB3"/>
    <mergeCell ref="B4:AB4"/>
    <mergeCell ref="B5:AB5"/>
    <mergeCell ref="B7:AB7"/>
    <mergeCell ref="B9:AB9"/>
  </mergeCells>
  <printOptions horizontalCentered="1"/>
  <pageMargins left="0" right="0" top="0" bottom="0" header="0" footer="0"/>
  <pageSetup paperSize="9" scale="86" fitToHeight="0" orientation="landscape" r:id="rId1"/>
  <headerFooter>
    <oddHeader>&amp;L&amp;"Aptos"&amp;10&amp;K008000 Herkese Açık (Public)&amp;1#_x000D_</oddHeader>
    <oddFooter>&amp;L_x000D_&amp;1#&amp;"Aptos"&amp;10&amp;K008000 Herkese Açık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7804-6B90-4899-B4C8-85874258CBF1}">
  <sheetPr codeName="Sayfa18">
    <pageSetUpPr fitToPage="1"/>
  </sheetPr>
  <dimension ref="A1:AD44"/>
  <sheetViews>
    <sheetView showGridLines="0" view="pageBreakPreview" zoomScaleNormal="85" zoomScaleSheetLayoutView="100" workbookViewId="0">
      <selection activeCell="X24" sqref="X24"/>
    </sheetView>
  </sheetViews>
  <sheetFormatPr defaultRowHeight="14.4" x14ac:dyDescent="0.3"/>
  <cols>
    <col min="1" max="1" width="8.88671875" style="11"/>
    <col min="2" max="2" width="5.77734375" style="11" customWidth="1"/>
    <col min="3" max="3" width="4.33203125" style="11" bestFit="1" customWidth="1"/>
    <col min="4" max="4" width="4.33203125" style="11" customWidth="1"/>
    <col min="5" max="5" width="5.77734375" style="11" customWidth="1"/>
    <col min="6" max="6" width="9" style="11" bestFit="1" customWidth="1"/>
    <col min="7" max="7" width="2.109375" style="11" customWidth="1"/>
    <col min="8" max="8" width="5.77734375" style="11" customWidth="1"/>
    <col min="9" max="9" width="9" style="11" bestFit="1" customWidth="1"/>
    <col min="10" max="10" width="2.109375" style="11" bestFit="1" customWidth="1"/>
    <col min="11" max="11" width="5.77734375" style="11" customWidth="1"/>
    <col min="12" max="12" width="9" style="11" bestFit="1" customWidth="1"/>
    <col min="13" max="13" width="2.109375" style="11" bestFit="1" customWidth="1"/>
    <col min="14" max="14" width="5.77734375" style="11" customWidth="1"/>
    <col min="15" max="15" width="9" style="11" customWidth="1"/>
    <col min="16" max="16" width="2.109375" style="11" bestFit="1" customWidth="1"/>
    <col min="17" max="17" width="5.77734375" style="11" customWidth="1"/>
    <col min="18" max="18" width="9" style="11" bestFit="1" customWidth="1"/>
    <col min="19" max="19" width="2.109375" style="11" bestFit="1" customWidth="1"/>
    <col min="20" max="20" width="5.77734375" style="11" customWidth="1"/>
    <col min="21" max="21" width="9" style="11" bestFit="1" customWidth="1"/>
    <col min="22" max="22" width="2.109375" style="11" bestFit="1" customWidth="1"/>
    <col min="23" max="23" width="5.77734375" style="11" customWidth="1"/>
    <col min="24" max="24" width="9" style="11" customWidth="1"/>
    <col min="25" max="25" width="2.109375" style="11" customWidth="1"/>
    <col min="26" max="26" width="5.77734375" style="11" customWidth="1"/>
    <col min="27" max="27" width="9" style="11" customWidth="1"/>
    <col min="28" max="29" width="5.77734375" style="11" customWidth="1"/>
    <col min="30" max="16384" width="8.88671875" style="11"/>
  </cols>
  <sheetData>
    <row r="1" spans="1:29" x14ac:dyDescent="0.3">
      <c r="A1" s="320"/>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221"/>
    </row>
    <row r="2" spans="1:29" x14ac:dyDescent="0.3">
      <c r="A2" s="24"/>
      <c r="AC2" s="26"/>
    </row>
    <row r="3" spans="1:29" ht="18" x14ac:dyDescent="0.3">
      <c r="A3" s="24"/>
      <c r="B3" s="1063" t="s">
        <v>118</v>
      </c>
      <c r="C3" s="1063"/>
      <c r="D3" s="1063"/>
      <c r="E3" s="1063"/>
      <c r="F3" s="1063"/>
      <c r="G3" s="1063"/>
      <c r="H3" s="1063"/>
      <c r="I3" s="1063"/>
      <c r="J3" s="1063"/>
      <c r="K3" s="1063"/>
      <c r="L3" s="1063"/>
      <c r="M3" s="1063"/>
      <c r="N3" s="1063"/>
      <c r="O3" s="1063"/>
      <c r="P3" s="1063"/>
      <c r="Q3" s="1063"/>
      <c r="R3" s="1063"/>
      <c r="S3" s="1063"/>
      <c r="T3" s="1063"/>
      <c r="U3" s="1063"/>
      <c r="V3" s="1063"/>
      <c r="W3" s="1063"/>
      <c r="X3" s="1063"/>
      <c r="Y3" s="1063"/>
      <c r="Z3" s="1063"/>
      <c r="AA3" s="1063"/>
      <c r="AB3" s="1063"/>
      <c r="AC3" s="322"/>
    </row>
    <row r="4" spans="1:29" ht="15.6" x14ac:dyDescent="0.3">
      <c r="A4" s="24"/>
      <c r="B4" s="983" t="s">
        <v>210</v>
      </c>
      <c r="C4" s="983"/>
      <c r="D4" s="983"/>
      <c r="E4" s="983"/>
      <c r="F4" s="983"/>
      <c r="G4" s="983"/>
      <c r="H4" s="983"/>
      <c r="I4" s="983"/>
      <c r="J4" s="983"/>
      <c r="K4" s="983"/>
      <c r="L4" s="983"/>
      <c r="M4" s="983"/>
      <c r="N4" s="983"/>
      <c r="O4" s="983"/>
      <c r="P4" s="983"/>
      <c r="Q4" s="983"/>
      <c r="R4" s="983"/>
      <c r="S4" s="983"/>
      <c r="T4" s="983"/>
      <c r="U4" s="983"/>
      <c r="V4" s="983"/>
      <c r="W4" s="983"/>
      <c r="X4" s="983"/>
      <c r="Y4" s="983"/>
      <c r="Z4" s="983"/>
      <c r="AA4" s="983"/>
      <c r="AB4" s="983"/>
      <c r="AC4" s="315"/>
    </row>
    <row r="5" spans="1:29" ht="15.6" x14ac:dyDescent="0.3">
      <c r="A5" s="24"/>
      <c r="B5" s="983" t="s">
        <v>120</v>
      </c>
      <c r="C5" s="983"/>
      <c r="D5" s="983"/>
      <c r="E5" s="983"/>
      <c r="F5" s="983"/>
      <c r="G5" s="983"/>
      <c r="H5" s="983"/>
      <c r="I5" s="983"/>
      <c r="J5" s="983"/>
      <c r="K5" s="983"/>
      <c r="L5" s="983"/>
      <c r="M5" s="983"/>
      <c r="N5" s="983"/>
      <c r="O5" s="983"/>
      <c r="P5" s="983"/>
      <c r="Q5" s="983"/>
      <c r="R5" s="983"/>
      <c r="S5" s="983"/>
      <c r="T5" s="983"/>
      <c r="U5" s="983"/>
      <c r="V5" s="983"/>
      <c r="W5" s="983"/>
      <c r="X5" s="983"/>
      <c r="Y5" s="983"/>
      <c r="Z5" s="983"/>
      <c r="AA5" s="983"/>
      <c r="AB5" s="983"/>
      <c r="AC5" s="315"/>
    </row>
    <row r="6" spans="1:29" ht="15.6" x14ac:dyDescent="0.3">
      <c r="A6" s="24"/>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315"/>
    </row>
    <row r="7" spans="1:29" ht="15.6" x14ac:dyDescent="0.3">
      <c r="A7" s="24"/>
      <c r="B7" s="1064" t="s">
        <v>37</v>
      </c>
      <c r="C7" s="1064"/>
      <c r="D7" s="1064"/>
      <c r="E7" s="1064"/>
      <c r="F7" s="1064"/>
      <c r="G7" s="1064"/>
      <c r="H7" s="1064"/>
      <c r="I7" s="1064"/>
      <c r="J7" s="1064"/>
      <c r="K7" s="1064"/>
      <c r="L7" s="1064"/>
      <c r="M7" s="1064"/>
      <c r="N7" s="1064"/>
      <c r="O7" s="1064"/>
      <c r="P7" s="1064"/>
      <c r="Q7" s="1064"/>
      <c r="R7" s="1064"/>
      <c r="S7" s="1064"/>
      <c r="T7" s="1064"/>
      <c r="U7" s="1064"/>
      <c r="V7" s="1064"/>
      <c r="W7" s="1064"/>
      <c r="X7" s="1064"/>
      <c r="Y7" s="1064"/>
      <c r="Z7" s="1064"/>
      <c r="AA7" s="1064"/>
      <c r="AB7" s="1064"/>
      <c r="AC7" s="323"/>
    </row>
    <row r="8" spans="1:29" ht="15.6" x14ac:dyDescent="0.3">
      <c r="A8" s="24"/>
      <c r="B8" s="317"/>
      <c r="C8" s="317"/>
      <c r="D8" s="317"/>
      <c r="E8" s="317"/>
      <c r="F8" s="317"/>
      <c r="G8" s="317"/>
      <c r="H8" s="317"/>
      <c r="I8" s="317"/>
      <c r="J8" s="317"/>
      <c r="K8" s="317"/>
      <c r="L8" s="317"/>
      <c r="M8" s="317"/>
      <c r="N8" s="317"/>
      <c r="O8" s="317"/>
      <c r="P8" s="317"/>
      <c r="Q8" s="317"/>
      <c r="R8" s="317"/>
      <c r="S8" s="317"/>
      <c r="T8" s="317"/>
      <c r="U8" s="317"/>
      <c r="V8" s="317"/>
      <c r="W8" s="317"/>
      <c r="X8" s="317"/>
      <c r="Y8" s="317"/>
      <c r="Z8" s="317"/>
      <c r="AA8" s="317"/>
      <c r="AB8" s="317"/>
      <c r="AC8" s="323"/>
    </row>
    <row r="9" spans="1:29" ht="15.6" x14ac:dyDescent="0.3">
      <c r="A9" s="24"/>
      <c r="B9" s="983" t="s">
        <v>1269</v>
      </c>
      <c r="C9" s="983"/>
      <c r="D9" s="983"/>
      <c r="E9" s="983"/>
      <c r="F9" s="983"/>
      <c r="G9" s="983"/>
      <c r="H9" s="983"/>
      <c r="I9" s="983"/>
      <c r="J9" s="983"/>
      <c r="K9" s="983"/>
      <c r="L9" s="983"/>
      <c r="M9" s="983"/>
      <c r="N9" s="983"/>
      <c r="O9" s="983"/>
      <c r="P9" s="983"/>
      <c r="Q9" s="983"/>
      <c r="R9" s="983"/>
      <c r="S9" s="983"/>
      <c r="T9" s="983"/>
      <c r="U9" s="983"/>
      <c r="V9" s="983"/>
      <c r="W9" s="983"/>
      <c r="X9" s="983"/>
      <c r="Y9" s="983"/>
      <c r="Z9" s="983"/>
      <c r="AA9" s="983"/>
      <c r="AB9" s="983"/>
      <c r="AC9" s="315"/>
    </row>
    <row r="10" spans="1:29" x14ac:dyDescent="0.3">
      <c r="A10" s="24"/>
      <c r="E10" s="111"/>
      <c r="I10" s="1024"/>
      <c r="J10" s="1024"/>
      <c r="K10" s="1024"/>
      <c r="L10" s="1024"/>
      <c r="M10" s="1024"/>
      <c r="N10" s="1024"/>
      <c r="O10" s="1024"/>
      <c r="P10" s="1024"/>
      <c r="Q10" s="1024"/>
      <c r="R10" s="1024"/>
      <c r="S10" s="1024"/>
      <c r="T10" s="1024"/>
      <c r="U10" s="1024"/>
      <c r="V10" s="1024"/>
      <c r="Y10" s="111" t="s">
        <v>209</v>
      </c>
      <c r="Z10" s="1024">
        <f>+Veri!$C$21</f>
        <v>6</v>
      </c>
      <c r="AA10" s="1024"/>
      <c r="AC10" s="26"/>
    </row>
    <row r="11" spans="1:29" x14ac:dyDescent="0.3">
      <c r="A11" s="24"/>
      <c r="E11" s="111"/>
      <c r="I11" s="1267" t="s">
        <v>1293</v>
      </c>
      <c r="J11" s="1010"/>
      <c r="K11" s="1010"/>
      <c r="L11" s="1010"/>
      <c r="M11" s="1010"/>
      <c r="N11" s="1010"/>
      <c r="O11" s="1010"/>
      <c r="P11" s="1010"/>
      <c r="Q11" s="1010"/>
      <c r="R11" s="1010"/>
      <c r="S11" s="1010"/>
      <c r="T11" s="1010"/>
      <c r="U11" s="1010"/>
      <c r="V11" s="1010"/>
      <c r="Y11" s="111" t="s">
        <v>208</v>
      </c>
      <c r="Z11" s="1090">
        <f>+Veri!$C$22</f>
        <v>46142</v>
      </c>
      <c r="AA11" s="1090"/>
      <c r="AC11" s="26"/>
    </row>
    <row r="12" spans="1:29" x14ac:dyDescent="0.3">
      <c r="A12" s="24"/>
      <c r="AC12" s="26"/>
    </row>
    <row r="13" spans="1:29" x14ac:dyDescent="0.3">
      <c r="A13" s="24"/>
      <c r="AC13" s="26"/>
    </row>
    <row r="14" spans="1:29" ht="15" thickBot="1" x14ac:dyDescent="0.35">
      <c r="A14" s="24"/>
      <c r="C14" s="1024" t="s">
        <v>1271</v>
      </c>
      <c r="D14" s="1024" t="s">
        <v>1270</v>
      </c>
      <c r="E14" s="1024" t="s">
        <v>196</v>
      </c>
      <c r="F14" s="266" t="s">
        <v>1245</v>
      </c>
      <c r="G14" s="1268" t="s">
        <v>1246</v>
      </c>
      <c r="H14" s="1024" t="s">
        <v>1247</v>
      </c>
      <c r="I14" s="266" t="s">
        <v>1248</v>
      </c>
      <c r="J14" s="1268" t="s">
        <v>1246</v>
      </c>
      <c r="K14" s="1024" t="s">
        <v>1249</v>
      </c>
      <c r="L14" s="266" t="s">
        <v>1250</v>
      </c>
      <c r="M14" s="1268" t="s">
        <v>1246</v>
      </c>
      <c r="N14" s="1024" t="s">
        <v>1251</v>
      </c>
      <c r="O14" s="266" t="s">
        <v>1252</v>
      </c>
      <c r="P14" s="1268" t="s">
        <v>1246</v>
      </c>
      <c r="Q14" s="1024" t="s">
        <v>1253</v>
      </c>
      <c r="R14" s="266" t="s">
        <v>1254</v>
      </c>
      <c r="S14" s="1268" t="s">
        <v>1246</v>
      </c>
      <c r="T14" s="1024" t="s">
        <v>1255</v>
      </c>
      <c r="U14" s="266" t="s">
        <v>1256</v>
      </c>
      <c r="V14" s="1268" t="s">
        <v>1246</v>
      </c>
      <c r="W14" s="1024" t="s">
        <v>1257</v>
      </c>
      <c r="X14" s="266" t="s">
        <v>1258</v>
      </c>
      <c r="Y14" s="1268" t="s">
        <v>1246</v>
      </c>
      <c r="Z14" s="1024" t="s">
        <v>1259</v>
      </c>
      <c r="AA14" s="266" t="s">
        <v>1260</v>
      </c>
      <c r="AC14" s="26"/>
    </row>
    <row r="15" spans="1:29" x14ac:dyDescent="0.3">
      <c r="A15" s="24"/>
      <c r="C15" s="1024"/>
      <c r="D15" s="1024"/>
      <c r="E15" s="1024"/>
      <c r="F15" s="28" t="s">
        <v>1261</v>
      </c>
      <c r="G15" s="1268"/>
      <c r="H15" s="1024"/>
      <c r="I15" s="28" t="s">
        <v>1262</v>
      </c>
      <c r="J15" s="1268"/>
      <c r="K15" s="1024"/>
      <c r="L15" s="28" t="s">
        <v>1263</v>
      </c>
      <c r="M15" s="1268"/>
      <c r="N15" s="1024"/>
      <c r="O15" s="28" t="s">
        <v>1264</v>
      </c>
      <c r="P15" s="1268"/>
      <c r="Q15" s="1024"/>
      <c r="R15" s="28" t="s">
        <v>1265</v>
      </c>
      <c r="S15" s="1268"/>
      <c r="T15" s="1024"/>
      <c r="U15" s="28" t="s">
        <v>1266</v>
      </c>
      <c r="V15" s="1268"/>
      <c r="W15" s="1024"/>
      <c r="X15" s="28" t="s">
        <v>1267</v>
      </c>
      <c r="Y15" s="1268"/>
      <c r="Z15" s="1024"/>
      <c r="AA15" s="28" t="s">
        <v>1268</v>
      </c>
      <c r="AC15" s="26"/>
    </row>
    <row r="16" spans="1:29" x14ac:dyDescent="0.3">
      <c r="A16" s="24"/>
      <c r="AC16" s="26"/>
    </row>
    <row r="17" spans="1:30" x14ac:dyDescent="0.3">
      <c r="A17" s="24"/>
      <c r="AC17" s="26"/>
    </row>
    <row r="18" spans="1:30" ht="15" thickBot="1" x14ac:dyDescent="0.35">
      <c r="A18" s="24"/>
      <c r="C18" s="1024" t="s">
        <v>1271</v>
      </c>
      <c r="D18" s="1024" t="s">
        <v>1270</v>
      </c>
      <c r="E18" s="1024">
        <v>0.15</v>
      </c>
      <c r="F18" s="266">
        <v>2954.69</v>
      </c>
      <c r="G18" s="1024" t="s">
        <v>1246</v>
      </c>
      <c r="H18" s="1024">
        <v>0.18</v>
      </c>
      <c r="I18" s="266">
        <v>4700.8900000000003</v>
      </c>
      <c r="J18" s="1024" t="s">
        <v>1246</v>
      </c>
      <c r="K18" s="1269">
        <v>0.2</v>
      </c>
      <c r="L18" s="266">
        <v>5566.78</v>
      </c>
      <c r="M18" s="1024" t="s">
        <v>1246</v>
      </c>
      <c r="N18" s="1269">
        <v>0.14000000000000001</v>
      </c>
      <c r="O18" s="266">
        <v>45.920699999999997</v>
      </c>
      <c r="P18" s="1024" t="s">
        <v>1246</v>
      </c>
      <c r="Q18" s="1269">
        <v>0.01</v>
      </c>
      <c r="R18" s="266">
        <v>6895.61</v>
      </c>
      <c r="S18" s="1024" t="s">
        <v>1246</v>
      </c>
      <c r="T18" s="1269">
        <v>0.05</v>
      </c>
      <c r="U18" s="266">
        <v>3052.11</v>
      </c>
      <c r="V18" s="1024" t="s">
        <v>1246</v>
      </c>
      <c r="W18" s="1269">
        <v>0.1</v>
      </c>
      <c r="X18" s="312">
        <v>4017.3</v>
      </c>
      <c r="Y18" s="1024" t="s">
        <v>1246</v>
      </c>
      <c r="Z18" s="1024">
        <v>0.17</v>
      </c>
      <c r="AA18" s="266">
        <v>2880.53</v>
      </c>
      <c r="AC18" s="26"/>
      <c r="AD18" s="11">
        <f>+ROUND((E18*F18/F19+H18*I18/I19+K18*L18/L19+N18*O18/O19+Q18*R18/R19+T18*U18/U19+W18*X18/X19+Z18*AA18/AA19),6)</f>
        <v>1.0772029999999999</v>
      </c>
    </row>
    <row r="19" spans="1:30" x14ac:dyDescent="0.3">
      <c r="A19" s="24"/>
      <c r="C19" s="1024"/>
      <c r="D19" s="1024"/>
      <c r="E19" s="1024"/>
      <c r="F19" s="28">
        <v>2657.23</v>
      </c>
      <c r="G19" s="1024"/>
      <c r="H19" s="1024"/>
      <c r="I19" s="28">
        <v>4382.41</v>
      </c>
      <c r="J19" s="1024"/>
      <c r="K19" s="1269"/>
      <c r="L19" s="28">
        <v>5420.45</v>
      </c>
      <c r="M19" s="1024"/>
      <c r="N19" s="1269"/>
      <c r="O19" s="324">
        <v>42.87</v>
      </c>
      <c r="P19" s="1024"/>
      <c r="Q19" s="1269"/>
      <c r="R19" s="28">
        <v>6482.77</v>
      </c>
      <c r="S19" s="1024"/>
      <c r="T19" s="1269"/>
      <c r="U19" s="28">
        <v>2785.67</v>
      </c>
      <c r="V19" s="1024"/>
      <c r="W19" s="1269"/>
      <c r="X19" s="28">
        <v>3731.43</v>
      </c>
      <c r="Y19" s="1024"/>
      <c r="Z19" s="1024"/>
      <c r="AA19" s="28">
        <v>2592.48</v>
      </c>
      <c r="AC19" s="26"/>
    </row>
    <row r="20" spans="1:30" x14ac:dyDescent="0.3">
      <c r="A20" s="24"/>
      <c r="AC20" s="26"/>
    </row>
    <row r="21" spans="1:30" x14ac:dyDescent="0.3">
      <c r="A21" s="24"/>
      <c r="AC21" s="26"/>
    </row>
    <row r="22" spans="1:30" x14ac:dyDescent="0.3">
      <c r="A22" s="24"/>
      <c r="C22" s="1024" t="s">
        <v>1271</v>
      </c>
      <c r="D22" s="1024" t="s">
        <v>1270</v>
      </c>
      <c r="E22" s="1270">
        <f>+AD18</f>
        <v>1.0772029999999999</v>
      </c>
      <c r="F22" s="1270"/>
      <c r="AC22" s="26"/>
    </row>
    <row r="23" spans="1:30" x14ac:dyDescent="0.3">
      <c r="A23" s="24"/>
      <c r="C23" s="1024"/>
      <c r="D23" s="1024"/>
      <c r="E23" s="1270"/>
      <c r="F23" s="1270"/>
      <c r="AC23" s="26"/>
    </row>
    <row r="24" spans="1:30" x14ac:dyDescent="0.3">
      <c r="A24" s="31"/>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1"/>
    </row>
    <row r="25" spans="1:30" x14ac:dyDescent="0.3">
      <c r="A25" s="320"/>
      <c r="B25" s="33"/>
      <c r="C25" s="33"/>
      <c r="D25" s="33"/>
      <c r="E25" s="33"/>
      <c r="F25" s="33"/>
      <c r="G25" s="33"/>
      <c r="H25" s="221"/>
      <c r="I25" s="320"/>
      <c r="J25" s="33"/>
      <c r="K25" s="33"/>
      <c r="L25" s="33"/>
      <c r="M25" s="33"/>
      <c r="N25" s="33"/>
      <c r="O25" s="33"/>
      <c r="P25" s="33"/>
      <c r="Q25" s="221"/>
      <c r="R25" s="320"/>
      <c r="S25" s="33"/>
      <c r="T25" s="33"/>
      <c r="U25" s="33"/>
      <c r="V25" s="33"/>
      <c r="W25" s="33"/>
      <c r="X25" s="33"/>
      <c r="Y25" s="33"/>
      <c r="Z25" s="33"/>
      <c r="AA25" s="33"/>
      <c r="AB25" s="33"/>
      <c r="AC25" s="221"/>
    </row>
    <row r="26" spans="1:30" ht="15.6" x14ac:dyDescent="0.3">
      <c r="A26" s="1271" t="s">
        <v>33</v>
      </c>
      <c r="B26" s="1070"/>
      <c r="C26" s="1070"/>
      <c r="D26" s="1070"/>
      <c r="E26" s="1070"/>
      <c r="F26" s="1070"/>
      <c r="G26" s="1070"/>
      <c r="H26" s="1272"/>
      <c r="I26" s="1271" t="s">
        <v>29</v>
      </c>
      <c r="J26" s="1070"/>
      <c r="K26" s="1070"/>
      <c r="L26" s="1070"/>
      <c r="M26" s="1070"/>
      <c r="N26" s="1070"/>
      <c r="O26" s="1070"/>
      <c r="P26" s="1070"/>
      <c r="Q26" s="1272"/>
      <c r="R26" s="1271" t="s">
        <v>22</v>
      </c>
      <c r="S26" s="1070"/>
      <c r="T26" s="1070"/>
      <c r="U26" s="1070"/>
      <c r="V26" s="1070"/>
      <c r="W26" s="1070"/>
      <c r="X26" s="1070"/>
      <c r="Y26" s="1070"/>
      <c r="Z26" s="1070"/>
      <c r="AA26" s="1070"/>
      <c r="AB26" s="1070"/>
      <c r="AC26" s="1272"/>
    </row>
    <row r="27" spans="1:30" ht="15.6" customHeight="1" x14ac:dyDescent="0.3">
      <c r="A27" s="1273" t="s">
        <v>1214</v>
      </c>
      <c r="B27" s="974"/>
      <c r="C27" s="974"/>
      <c r="D27" s="974"/>
      <c r="E27" s="974"/>
      <c r="F27" s="974"/>
      <c r="G27" s="974"/>
      <c r="H27" s="1274"/>
      <c r="I27" s="1275" t="s">
        <v>38</v>
      </c>
      <c r="J27" s="975"/>
      <c r="K27" s="975"/>
      <c r="L27" s="975"/>
      <c r="M27" s="975"/>
      <c r="N27" s="975"/>
      <c r="O27" s="975"/>
      <c r="P27" s="975"/>
      <c r="Q27" s="1276"/>
      <c r="R27" s="1275" t="s">
        <v>4</v>
      </c>
      <c r="S27" s="975"/>
      <c r="T27" s="975"/>
      <c r="U27" s="975"/>
      <c r="V27" s="975"/>
      <c r="W27" s="975"/>
      <c r="X27" s="975"/>
      <c r="Y27" s="975"/>
      <c r="Z27" s="975"/>
      <c r="AA27" s="975"/>
      <c r="AB27" s="975"/>
      <c r="AC27" s="1276"/>
    </row>
    <row r="28" spans="1:30" ht="14.4" customHeight="1" x14ac:dyDescent="0.3">
      <c r="A28" s="24"/>
      <c r="H28" s="26"/>
      <c r="I28" s="24"/>
      <c r="Q28" s="26"/>
      <c r="R28" s="319"/>
      <c r="S28" s="261"/>
      <c r="T28" s="261"/>
      <c r="U28" s="261"/>
      <c r="V28" s="261"/>
      <c r="W28" s="261"/>
      <c r="X28" s="261"/>
      <c r="Y28" s="261"/>
      <c r="Z28" s="261"/>
      <c r="AA28" s="261"/>
      <c r="AB28" s="261"/>
      <c r="AC28" s="259"/>
    </row>
    <row r="29" spans="1:30" x14ac:dyDescent="0.3">
      <c r="A29" s="24"/>
      <c r="H29" s="26"/>
      <c r="I29" s="24"/>
      <c r="Q29" s="26"/>
      <c r="AC29" s="26"/>
    </row>
    <row r="30" spans="1:30" x14ac:dyDescent="0.3">
      <c r="A30" s="24"/>
      <c r="H30" s="26"/>
      <c r="I30" s="24"/>
      <c r="Q30" s="26"/>
      <c r="AC30" s="26"/>
    </row>
    <row r="31" spans="1:30" x14ac:dyDescent="0.3">
      <c r="A31" s="24"/>
      <c r="H31" s="26"/>
      <c r="I31" s="24"/>
      <c r="Q31" s="26"/>
      <c r="AC31" s="26"/>
    </row>
    <row r="32" spans="1:30" x14ac:dyDescent="0.3">
      <c r="A32" s="24"/>
      <c r="H32" s="26"/>
      <c r="I32" s="24"/>
      <c r="Q32" s="26"/>
      <c r="AC32" s="26"/>
    </row>
    <row r="33" spans="1:29" ht="14.4" customHeight="1" x14ac:dyDescent="0.3">
      <c r="A33" s="24"/>
      <c r="G33" s="261"/>
      <c r="H33" s="259"/>
      <c r="I33" s="1279" t="s">
        <v>1216</v>
      </c>
      <c r="J33" s="1280"/>
      <c r="K33" s="1280"/>
      <c r="L33" s="1280"/>
      <c r="M33" s="1280"/>
      <c r="N33" s="1280"/>
      <c r="O33" s="1280"/>
      <c r="P33" s="1280"/>
      <c r="Q33" s="1281"/>
      <c r="AC33" s="26"/>
    </row>
    <row r="34" spans="1:29" ht="14.4" customHeight="1" x14ac:dyDescent="0.3">
      <c r="A34" s="24"/>
      <c r="G34" s="261"/>
      <c r="H34" s="259"/>
      <c r="I34" s="1279"/>
      <c r="J34" s="1280"/>
      <c r="K34" s="1280"/>
      <c r="L34" s="1280"/>
      <c r="M34" s="1280"/>
      <c r="N34" s="1280"/>
      <c r="O34" s="1280"/>
      <c r="P34" s="1280"/>
      <c r="Q34" s="1281"/>
      <c r="AC34" s="26"/>
    </row>
    <row r="35" spans="1:29" x14ac:dyDescent="0.3">
      <c r="A35" s="24"/>
      <c r="H35" s="26"/>
      <c r="I35" s="24"/>
      <c r="Q35" s="26"/>
      <c r="AC35" s="26"/>
    </row>
    <row r="36" spans="1:29" x14ac:dyDescent="0.3">
      <c r="A36" s="24"/>
      <c r="H36" s="26"/>
      <c r="I36" s="24"/>
      <c r="Q36" s="26"/>
      <c r="AC36" s="26"/>
    </row>
    <row r="37" spans="1:29" x14ac:dyDescent="0.3">
      <c r="A37" s="24"/>
      <c r="H37" s="26"/>
      <c r="I37" s="24"/>
      <c r="Q37" s="26"/>
      <c r="AC37" s="26"/>
    </row>
    <row r="38" spans="1:29" x14ac:dyDescent="0.3">
      <c r="A38" s="24"/>
      <c r="H38" s="26"/>
      <c r="I38" s="24"/>
      <c r="Q38" s="26"/>
      <c r="AC38" s="26"/>
    </row>
    <row r="39" spans="1:29" x14ac:dyDescent="0.3">
      <c r="A39" s="24"/>
      <c r="H39" s="26"/>
      <c r="I39" s="24"/>
      <c r="Q39" s="26"/>
      <c r="AC39" s="26"/>
    </row>
    <row r="40" spans="1:29" x14ac:dyDescent="0.3">
      <c r="A40" s="24"/>
      <c r="H40" s="26"/>
      <c r="I40" s="24"/>
      <c r="Q40" s="26"/>
      <c r="AC40" s="26"/>
    </row>
    <row r="41" spans="1:29" x14ac:dyDescent="0.3">
      <c r="A41" s="24"/>
      <c r="H41" s="26"/>
      <c r="I41" s="24"/>
      <c r="Q41" s="26"/>
      <c r="AC41" s="26"/>
    </row>
    <row r="42" spans="1:29" x14ac:dyDescent="0.3">
      <c r="A42" s="1277" t="s">
        <v>35</v>
      </c>
      <c r="B42" s="1024"/>
      <c r="C42" s="1024"/>
      <c r="D42" s="1024"/>
      <c r="E42" s="1024"/>
      <c r="F42" s="1024"/>
      <c r="G42" s="1024"/>
      <c r="H42" s="1278"/>
      <c r="I42" s="1277" t="s">
        <v>61</v>
      </c>
      <c r="J42" s="1024"/>
      <c r="K42" s="1024"/>
      <c r="L42" s="1024"/>
      <c r="M42" s="1024"/>
      <c r="N42" s="1024"/>
      <c r="O42" s="1024"/>
      <c r="P42" s="1024"/>
      <c r="Q42" s="1278"/>
      <c r="R42" s="1277" t="s">
        <v>48</v>
      </c>
      <c r="S42" s="1024"/>
      <c r="T42" s="1024"/>
      <c r="U42" s="1024"/>
      <c r="V42" s="1024"/>
      <c r="W42" s="1024"/>
      <c r="X42" s="1024" t="s">
        <v>26</v>
      </c>
      <c r="Y42" s="1024"/>
      <c r="Z42" s="1024"/>
      <c r="AA42" s="1024"/>
      <c r="AB42" s="1024"/>
      <c r="AC42" s="26"/>
    </row>
    <row r="43" spans="1:29" x14ac:dyDescent="0.3">
      <c r="A43" s="1277" t="s">
        <v>34</v>
      </c>
      <c r="B43" s="1024"/>
      <c r="C43" s="1024"/>
      <c r="D43" s="1024"/>
      <c r="E43" s="1024"/>
      <c r="F43" s="1024"/>
      <c r="G43" s="1024"/>
      <c r="H43" s="1278"/>
      <c r="I43" s="1277" t="s">
        <v>93</v>
      </c>
      <c r="J43" s="1024"/>
      <c r="K43" s="1024"/>
      <c r="L43" s="1024"/>
      <c r="M43" s="1024"/>
      <c r="N43" s="1024"/>
      <c r="O43" s="1024"/>
      <c r="P43" s="1024"/>
      <c r="Q43" s="1278"/>
      <c r="R43" s="1024" t="s">
        <v>47</v>
      </c>
      <c r="S43" s="1024"/>
      <c r="T43" s="1024"/>
      <c r="U43" s="1024"/>
      <c r="V43" s="1024"/>
      <c r="W43" s="1024"/>
      <c r="X43" s="1024" t="s">
        <v>49</v>
      </c>
      <c r="Y43" s="1024"/>
      <c r="Z43" s="1024"/>
      <c r="AA43" s="1024"/>
      <c r="AB43" s="1024"/>
      <c r="AC43" s="26"/>
    </row>
    <row r="44" spans="1:29" x14ac:dyDescent="0.3">
      <c r="A44" s="31"/>
      <c r="B44" s="32"/>
      <c r="C44" s="32"/>
      <c r="D44" s="32"/>
      <c r="E44" s="32"/>
      <c r="F44" s="32"/>
      <c r="G44" s="32"/>
      <c r="H44" s="321"/>
      <c r="I44" s="31"/>
      <c r="J44" s="32"/>
      <c r="K44" s="32"/>
      <c r="L44" s="32"/>
      <c r="M44" s="32"/>
      <c r="N44" s="32"/>
      <c r="O44" s="32"/>
      <c r="P44" s="32"/>
      <c r="Q44" s="321"/>
      <c r="R44" s="32"/>
      <c r="S44" s="32"/>
      <c r="T44" s="32"/>
      <c r="U44" s="32"/>
      <c r="V44" s="32"/>
      <c r="W44" s="32"/>
      <c r="X44" s="32"/>
      <c r="Y44" s="32"/>
      <c r="Z44" s="32"/>
      <c r="AA44" s="32"/>
      <c r="AB44" s="32"/>
      <c r="AC44" s="321"/>
    </row>
  </sheetData>
  <mergeCells count="61">
    <mergeCell ref="A43:H43"/>
    <mergeCell ref="I43:Q43"/>
    <mergeCell ref="R43:W43"/>
    <mergeCell ref="X43:AB43"/>
    <mergeCell ref="I33:Q34"/>
    <mergeCell ref="A42:H42"/>
    <mergeCell ref="I42:Q42"/>
    <mergeCell ref="R42:W42"/>
    <mergeCell ref="X42:AB42"/>
    <mergeCell ref="A26:H26"/>
    <mergeCell ref="I26:Q26"/>
    <mergeCell ref="R26:AC26"/>
    <mergeCell ref="A27:H27"/>
    <mergeCell ref="I27:Q27"/>
    <mergeCell ref="R27:AC27"/>
    <mergeCell ref="I11:V11"/>
    <mergeCell ref="C22:C23"/>
    <mergeCell ref="D22:D23"/>
    <mergeCell ref="E22:F23"/>
    <mergeCell ref="V18:V19"/>
    <mergeCell ref="C14:C15"/>
    <mergeCell ref="C18:C19"/>
    <mergeCell ref="E18:E19"/>
    <mergeCell ref="H18:H19"/>
    <mergeCell ref="H14:H15"/>
    <mergeCell ref="E14:E15"/>
    <mergeCell ref="J18:J19"/>
    <mergeCell ref="G14:G15"/>
    <mergeCell ref="J14:J15"/>
    <mergeCell ref="D14:D15"/>
    <mergeCell ref="D18:D19"/>
    <mergeCell ref="Y14:Y15"/>
    <mergeCell ref="K14:K15"/>
    <mergeCell ref="N18:N19"/>
    <mergeCell ref="Q18:Q19"/>
    <mergeCell ref="Q14:Q15"/>
    <mergeCell ref="N14:N15"/>
    <mergeCell ref="M18:M19"/>
    <mergeCell ref="P18:P19"/>
    <mergeCell ref="W14:W15"/>
    <mergeCell ref="K18:K19"/>
    <mergeCell ref="M14:M15"/>
    <mergeCell ref="P14:P15"/>
    <mergeCell ref="T14:T15"/>
    <mergeCell ref="S14:S15"/>
    <mergeCell ref="G18:G19"/>
    <mergeCell ref="B3:AB3"/>
    <mergeCell ref="B4:AB4"/>
    <mergeCell ref="B5:AB5"/>
    <mergeCell ref="B7:AB7"/>
    <mergeCell ref="I10:V10"/>
    <mergeCell ref="B9:AB9"/>
    <mergeCell ref="Z10:AA10"/>
    <mergeCell ref="S18:S19"/>
    <mergeCell ref="T18:T19"/>
    <mergeCell ref="Z11:AA11"/>
    <mergeCell ref="W18:W19"/>
    <mergeCell ref="Z18:Z19"/>
    <mergeCell ref="Z14:Z15"/>
    <mergeCell ref="Y18:Y19"/>
    <mergeCell ref="V14:V15"/>
  </mergeCells>
  <printOptions horizontalCentered="1"/>
  <pageMargins left="0" right="0" top="0" bottom="0" header="0" footer="0"/>
  <pageSetup paperSize="9" scale="86" fitToHeight="0" orientation="landscape" r:id="rId1"/>
  <headerFooter>
    <oddHeader>&amp;L&amp;"Aptos"&amp;10&amp;K008000 Herkese Açık (Public)&amp;1#_x000D_</oddHeader>
    <oddFooter>&amp;L_x000D_&amp;1#&amp;"Aptos"&amp;10&amp;K008000 Herkese Açık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A06F-6B52-4FB2-AB9A-62286756EFA9}">
  <sheetPr>
    <pageSetUpPr fitToPage="1"/>
  </sheetPr>
  <dimension ref="A3:AD53"/>
  <sheetViews>
    <sheetView showGridLines="0" view="pageBreakPreview" topLeftCell="A10" zoomScaleNormal="85" zoomScaleSheetLayoutView="100" workbookViewId="0">
      <selection activeCell="BF11" sqref="BF11:BK11"/>
    </sheetView>
  </sheetViews>
  <sheetFormatPr defaultRowHeight="14.4" x14ac:dyDescent="0.3"/>
  <cols>
    <col min="1" max="1" width="11.77734375" style="11" customWidth="1"/>
    <col min="2" max="2" width="5.77734375" style="11" customWidth="1"/>
    <col min="3" max="3" width="4.33203125" style="11" bestFit="1" customWidth="1"/>
    <col min="4" max="4" width="4.33203125" style="11" customWidth="1"/>
    <col min="5" max="5" width="5.77734375" style="11" customWidth="1"/>
    <col min="6" max="6" width="9" style="11" bestFit="1" customWidth="1"/>
    <col min="7" max="7" width="2.109375" style="11" customWidth="1"/>
    <col min="8" max="8" width="5.77734375" style="11" customWidth="1"/>
    <col min="9" max="9" width="9" style="11" bestFit="1" customWidth="1"/>
    <col min="10" max="10" width="2.109375" style="11" bestFit="1" customWidth="1"/>
    <col min="11" max="11" width="5.77734375" style="11" customWidth="1"/>
    <col min="12" max="12" width="9" style="11" bestFit="1" customWidth="1"/>
    <col min="13" max="13" width="2.109375" style="11" bestFit="1" customWidth="1"/>
    <col min="14" max="14" width="5.77734375" style="11" customWidth="1"/>
    <col min="15" max="15" width="9" style="11" customWidth="1"/>
    <col min="16" max="16" width="2.109375" style="11" bestFit="1" customWidth="1"/>
    <col min="17" max="17" width="5.77734375" style="11" customWidth="1"/>
    <col min="18" max="18" width="9" style="11" bestFit="1" customWidth="1"/>
    <col min="19" max="19" width="2.109375" style="11" bestFit="1" customWidth="1"/>
    <col min="20" max="20" width="5.77734375" style="11" customWidth="1"/>
    <col min="21" max="21" width="9" style="11" bestFit="1" customWidth="1"/>
    <col min="22" max="22" width="2.109375" style="11" bestFit="1" customWidth="1"/>
    <col min="23" max="23" width="5.77734375" style="11" customWidth="1"/>
    <col min="24" max="24" width="9" style="11" customWidth="1"/>
    <col min="25" max="25" width="2.109375" style="11" customWidth="1"/>
    <col min="26" max="26" width="5.77734375" style="11" customWidth="1"/>
    <col min="27" max="27" width="9" style="11" customWidth="1"/>
    <col min="28" max="28" width="2.109375" style="11" customWidth="1"/>
    <col min="29" max="29" width="10.33203125" style="11" customWidth="1"/>
    <col min="30" max="30" width="5.77734375" style="11" customWidth="1"/>
    <col min="31" max="16384" width="8.88671875" style="11"/>
  </cols>
  <sheetData>
    <row r="3" spans="2:30" ht="18" x14ac:dyDescent="0.3">
      <c r="B3" s="1063" t="s">
        <v>118</v>
      </c>
      <c r="C3" s="1063"/>
      <c r="D3" s="1063"/>
      <c r="E3" s="1063"/>
      <c r="F3" s="1063"/>
      <c r="G3" s="1063"/>
      <c r="H3" s="1063"/>
      <c r="I3" s="1063"/>
      <c r="J3" s="1063"/>
      <c r="K3" s="1063"/>
      <c r="L3" s="1063"/>
      <c r="M3" s="1063"/>
      <c r="N3" s="1063"/>
      <c r="O3" s="1063"/>
      <c r="P3" s="1063"/>
      <c r="Q3" s="1063"/>
      <c r="R3" s="1063"/>
      <c r="S3" s="1063"/>
      <c r="T3" s="1063"/>
      <c r="U3" s="1063"/>
      <c r="V3" s="1063"/>
      <c r="W3" s="1063"/>
      <c r="X3" s="1063"/>
      <c r="Y3" s="1063"/>
      <c r="Z3" s="1063"/>
      <c r="AA3" s="1063"/>
      <c r="AB3" s="1063"/>
      <c r="AC3" s="345"/>
      <c r="AD3" s="345"/>
    </row>
    <row r="4" spans="2:30" ht="15.6" x14ac:dyDescent="0.3">
      <c r="B4" s="983" t="s">
        <v>210</v>
      </c>
      <c r="C4" s="983"/>
      <c r="D4" s="983"/>
      <c r="E4" s="983"/>
      <c r="F4" s="983"/>
      <c r="G4" s="983"/>
      <c r="H4" s="983"/>
      <c r="I4" s="983"/>
      <c r="J4" s="983"/>
      <c r="K4" s="983"/>
      <c r="L4" s="983"/>
      <c r="M4" s="983"/>
      <c r="N4" s="983"/>
      <c r="O4" s="983"/>
      <c r="P4" s="983"/>
      <c r="Q4" s="983"/>
      <c r="R4" s="983"/>
      <c r="S4" s="983"/>
      <c r="T4" s="983"/>
      <c r="U4" s="983"/>
      <c r="V4" s="983"/>
      <c r="W4" s="983"/>
      <c r="X4" s="983"/>
      <c r="Y4" s="983"/>
      <c r="Z4" s="983"/>
      <c r="AA4" s="983"/>
      <c r="AB4" s="983"/>
      <c r="AC4" s="229"/>
      <c r="AD4" s="229"/>
    </row>
    <row r="5" spans="2:30" ht="15.6" x14ac:dyDescent="0.3">
      <c r="B5" s="983" t="s">
        <v>1432</v>
      </c>
      <c r="C5" s="983"/>
      <c r="D5" s="983"/>
      <c r="E5" s="983"/>
      <c r="F5" s="983"/>
      <c r="G5" s="983"/>
      <c r="H5" s="983"/>
      <c r="I5" s="983"/>
      <c r="J5" s="983"/>
      <c r="K5" s="983"/>
      <c r="L5" s="983"/>
      <c r="M5" s="983"/>
      <c r="N5" s="983"/>
      <c r="O5" s="983"/>
      <c r="P5" s="983"/>
      <c r="Q5" s="983"/>
      <c r="R5" s="983"/>
      <c r="S5" s="983"/>
      <c r="T5" s="983"/>
      <c r="U5" s="983"/>
      <c r="V5" s="983"/>
      <c r="W5" s="983"/>
      <c r="X5" s="983"/>
      <c r="Y5" s="983"/>
      <c r="Z5" s="983"/>
      <c r="AA5" s="983"/>
      <c r="AB5" s="983"/>
      <c r="AC5" s="229"/>
      <c r="AD5" s="229"/>
    </row>
    <row r="6" spans="2:30" ht="15.6" x14ac:dyDescent="0.3">
      <c r="B6" s="229"/>
      <c r="C6" s="229"/>
      <c r="D6" s="229"/>
      <c r="E6" s="229"/>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row>
    <row r="7" spans="2:30" ht="15.6" x14ac:dyDescent="0.3">
      <c r="B7" s="983" t="s">
        <v>37</v>
      </c>
      <c r="C7" s="983"/>
      <c r="D7" s="983"/>
      <c r="E7" s="983"/>
      <c r="F7" s="983"/>
      <c r="G7" s="983"/>
      <c r="H7" s="983"/>
      <c r="I7" s="983"/>
      <c r="J7" s="983"/>
      <c r="K7" s="983"/>
      <c r="L7" s="983"/>
      <c r="M7" s="983"/>
      <c r="N7" s="983"/>
      <c r="O7" s="983"/>
      <c r="P7" s="983"/>
      <c r="Q7" s="983"/>
      <c r="R7" s="983"/>
      <c r="S7" s="983"/>
      <c r="T7" s="983"/>
      <c r="U7" s="983"/>
      <c r="V7" s="983"/>
      <c r="W7" s="983"/>
      <c r="X7" s="983"/>
      <c r="Y7" s="983"/>
      <c r="Z7" s="983"/>
      <c r="AA7" s="983"/>
      <c r="AB7" s="983"/>
      <c r="AC7" s="317"/>
      <c r="AD7" s="317"/>
    </row>
    <row r="8" spans="2:30" ht="15.6" x14ac:dyDescent="0.3">
      <c r="B8" s="317"/>
      <c r="C8" s="317"/>
      <c r="D8" s="317"/>
      <c r="E8" s="317"/>
      <c r="F8" s="317"/>
      <c r="G8" s="317"/>
      <c r="H8" s="317"/>
      <c r="I8" s="317"/>
      <c r="J8" s="317"/>
      <c r="K8" s="317"/>
      <c r="L8" s="317"/>
      <c r="M8" s="317"/>
      <c r="N8" s="317"/>
      <c r="O8" s="317"/>
      <c r="P8" s="317"/>
      <c r="Q8" s="317"/>
      <c r="R8" s="317"/>
      <c r="S8" s="317"/>
      <c r="T8" s="317"/>
      <c r="U8" s="317"/>
      <c r="V8" s="317"/>
      <c r="W8" s="317"/>
      <c r="X8" s="317"/>
      <c r="Y8" s="317"/>
      <c r="Z8" s="317"/>
      <c r="AA8" s="317"/>
      <c r="AB8" s="317"/>
      <c r="AC8" s="317"/>
      <c r="AD8" s="317"/>
    </row>
    <row r="9" spans="2:30" ht="15.6" x14ac:dyDescent="0.3">
      <c r="B9" s="983" t="s">
        <v>1269</v>
      </c>
      <c r="C9" s="983"/>
      <c r="D9" s="983"/>
      <c r="E9" s="983"/>
      <c r="F9" s="983"/>
      <c r="G9" s="983"/>
      <c r="H9" s="983"/>
      <c r="I9" s="983"/>
      <c r="J9" s="983"/>
      <c r="K9" s="983"/>
      <c r="L9" s="983"/>
      <c r="M9" s="983"/>
      <c r="N9" s="983"/>
      <c r="O9" s="983"/>
      <c r="P9" s="983"/>
      <c r="Q9" s="983"/>
      <c r="R9" s="983"/>
      <c r="S9" s="983"/>
      <c r="T9" s="983"/>
      <c r="U9" s="983"/>
      <c r="V9" s="983"/>
      <c r="W9" s="983"/>
      <c r="X9" s="983"/>
      <c r="Y9" s="983"/>
      <c r="Z9" s="983"/>
      <c r="AA9" s="983"/>
      <c r="AB9" s="983"/>
      <c r="AC9" s="229"/>
      <c r="AD9" s="229"/>
    </row>
    <row r="10" spans="2:30" x14ac:dyDescent="0.3">
      <c r="E10" s="111"/>
      <c r="I10" s="1024"/>
      <c r="J10" s="1024"/>
      <c r="K10" s="1024"/>
      <c r="L10" s="1024"/>
      <c r="M10" s="1024"/>
      <c r="N10" s="1024"/>
      <c r="O10" s="1024"/>
      <c r="P10" s="1024"/>
      <c r="Q10" s="1024"/>
      <c r="R10" s="1024"/>
      <c r="S10" s="1024"/>
      <c r="T10" s="1024"/>
      <c r="U10" s="1024"/>
      <c r="V10" s="1024"/>
      <c r="Y10" s="111"/>
      <c r="Z10" s="1024"/>
      <c r="AA10" s="1024"/>
    </row>
    <row r="11" spans="2:30" x14ac:dyDescent="0.3">
      <c r="B11" s="29" t="str">
        <f>"Hakediş No: "&amp;[4]Veri!C21&amp;"   Hakediş Tarihi:  "&amp;TEXT(Veri!C22,"gg.aa.yyyy")</f>
        <v>Hakediş No: 5   Hakediş Tarihi:  30.04.2026</v>
      </c>
      <c r="E11" s="111"/>
      <c r="I11" s="1267"/>
      <c r="J11" s="1010"/>
      <c r="K11" s="1010"/>
      <c r="L11" s="1010"/>
      <c r="M11" s="1010"/>
      <c r="N11" s="1010"/>
      <c r="O11" s="1010"/>
      <c r="P11" s="1010"/>
      <c r="Q11" s="1010"/>
      <c r="R11" s="1010"/>
      <c r="S11" s="1010"/>
      <c r="T11" s="1010"/>
      <c r="U11" s="1010"/>
      <c r="V11" s="1010"/>
      <c r="Y11" s="111"/>
      <c r="Z11" s="1090"/>
      <c r="AA11" s="1090"/>
    </row>
    <row r="14" spans="2:30" ht="15" thickBot="1" x14ac:dyDescent="0.35">
      <c r="C14" s="1024" t="s">
        <v>1271</v>
      </c>
      <c r="D14" s="1024" t="s">
        <v>1270</v>
      </c>
      <c r="E14" s="1024" t="s">
        <v>196</v>
      </c>
      <c r="F14" s="266" t="s">
        <v>1245</v>
      </c>
      <c r="G14" s="1268" t="s">
        <v>1246</v>
      </c>
      <c r="H14" s="1024" t="s">
        <v>1247</v>
      </c>
      <c r="I14" s="266" t="s">
        <v>1248</v>
      </c>
      <c r="J14" s="1268" t="s">
        <v>1246</v>
      </c>
      <c r="K14" s="1024" t="s">
        <v>1249</v>
      </c>
      <c r="L14" s="266" t="s">
        <v>1250</v>
      </c>
      <c r="M14" s="1268" t="s">
        <v>1246</v>
      </c>
      <c r="N14" s="1024" t="s">
        <v>1251</v>
      </c>
      <c r="O14" s="266" t="s">
        <v>1252</v>
      </c>
      <c r="P14" s="1268" t="s">
        <v>1246</v>
      </c>
      <c r="Q14" s="1024" t="s">
        <v>1253</v>
      </c>
      <c r="R14" s="266" t="s">
        <v>1254</v>
      </c>
      <c r="S14" s="1268" t="s">
        <v>1246</v>
      </c>
      <c r="T14" s="1024" t="s">
        <v>1255</v>
      </c>
      <c r="U14" s="266" t="s">
        <v>1256</v>
      </c>
      <c r="V14" s="1268" t="s">
        <v>1246</v>
      </c>
      <c r="W14" s="1024" t="s">
        <v>1257</v>
      </c>
      <c r="X14" s="266" t="s">
        <v>1258</v>
      </c>
      <c r="Y14" s="1268" t="s">
        <v>1246</v>
      </c>
      <c r="Z14" s="1024" t="s">
        <v>1259</v>
      </c>
      <c r="AA14" s="266" t="s">
        <v>1260</v>
      </c>
    </row>
    <row r="15" spans="2:30" x14ac:dyDescent="0.3">
      <c r="C15" s="1024"/>
      <c r="D15" s="1024"/>
      <c r="E15" s="1024"/>
      <c r="F15" s="28" t="s">
        <v>1261</v>
      </c>
      <c r="G15" s="1268"/>
      <c r="H15" s="1024"/>
      <c r="I15" s="28" t="s">
        <v>1262</v>
      </c>
      <c r="J15" s="1268"/>
      <c r="K15" s="1024"/>
      <c r="L15" s="28" t="s">
        <v>1263</v>
      </c>
      <c r="M15" s="1268"/>
      <c r="N15" s="1024"/>
      <c r="O15" s="28" t="s">
        <v>1264</v>
      </c>
      <c r="P15" s="1268"/>
      <c r="Q15" s="1024"/>
      <c r="R15" s="28" t="s">
        <v>1265</v>
      </c>
      <c r="S15" s="1268"/>
      <c r="T15" s="1024"/>
      <c r="U15" s="28" t="s">
        <v>1266</v>
      </c>
      <c r="V15" s="1268"/>
      <c r="W15" s="1024"/>
      <c r="X15" s="28" t="s">
        <v>1267</v>
      </c>
      <c r="Y15" s="1268"/>
      <c r="Z15" s="1024"/>
      <c r="AA15" s="28" t="s">
        <v>1268</v>
      </c>
    </row>
    <row r="17" spans="2:29" ht="14.4" customHeight="1" x14ac:dyDescent="0.3">
      <c r="B17" s="1291" t="s">
        <v>1316</v>
      </c>
      <c r="C17" s="1291"/>
      <c r="D17" s="1291"/>
      <c r="E17" s="1285" t="s">
        <v>196</v>
      </c>
      <c r="F17" s="1285" t="s">
        <v>1242</v>
      </c>
      <c r="G17" s="1285"/>
      <c r="H17" s="1285" t="s">
        <v>1247</v>
      </c>
      <c r="I17" s="1285" t="s">
        <v>1317</v>
      </c>
      <c r="J17" s="1285"/>
      <c r="K17" s="1285" t="s">
        <v>1249</v>
      </c>
      <c r="L17" s="1285" t="s">
        <v>1318</v>
      </c>
      <c r="M17" s="1285"/>
      <c r="N17" s="1285" t="s">
        <v>1251</v>
      </c>
      <c r="O17" s="1285" t="s">
        <v>1319</v>
      </c>
      <c r="P17" s="1285"/>
      <c r="Q17" s="1285" t="s">
        <v>1253</v>
      </c>
      <c r="R17" s="1285" t="s">
        <v>1320</v>
      </c>
      <c r="S17" s="1285"/>
      <c r="T17" s="1285" t="s">
        <v>1255</v>
      </c>
      <c r="U17" s="1285" t="s">
        <v>1321</v>
      </c>
      <c r="V17" s="1285"/>
      <c r="W17" s="1285" t="s">
        <v>1257</v>
      </c>
      <c r="X17" s="1285" t="s">
        <v>1322</v>
      </c>
      <c r="Y17" s="1285"/>
      <c r="Z17" s="1285" t="s">
        <v>1259</v>
      </c>
      <c r="AA17" s="1285" t="s">
        <v>1323</v>
      </c>
      <c r="AB17" s="1285"/>
      <c r="AC17" s="1285" t="s">
        <v>1271</v>
      </c>
    </row>
    <row r="18" spans="2:29" x14ac:dyDescent="0.3">
      <c r="B18" s="1291"/>
      <c r="C18" s="1291"/>
      <c r="D18" s="1291"/>
      <c r="E18" s="1285"/>
      <c r="F18" s="1285"/>
      <c r="G18" s="1285"/>
      <c r="H18" s="1285"/>
      <c r="I18" s="1285"/>
      <c r="J18" s="1285"/>
      <c r="K18" s="1285"/>
      <c r="L18" s="1285"/>
      <c r="M18" s="1285"/>
      <c r="N18" s="1285"/>
      <c r="O18" s="1285"/>
      <c r="P18" s="1285"/>
      <c r="Q18" s="1285"/>
      <c r="R18" s="1285"/>
      <c r="S18" s="1285"/>
      <c r="T18" s="1285"/>
      <c r="U18" s="1285"/>
      <c r="V18" s="1285"/>
      <c r="W18" s="1285"/>
      <c r="X18" s="1285"/>
      <c r="Y18" s="1285"/>
      <c r="Z18" s="1285"/>
      <c r="AA18" s="1285"/>
      <c r="AB18" s="1285"/>
      <c r="AC18" s="1285"/>
    </row>
    <row r="19" spans="2:29" x14ac:dyDescent="0.3">
      <c r="B19" s="1288" t="s">
        <v>1324</v>
      </c>
      <c r="C19" s="1289"/>
      <c r="D19" s="1290"/>
      <c r="E19" s="160">
        <v>0.15</v>
      </c>
      <c r="F19" s="136">
        <v>2657.23</v>
      </c>
      <c r="G19" s="338"/>
      <c r="H19" s="160">
        <v>0.18</v>
      </c>
      <c r="I19" s="136">
        <v>4382.41</v>
      </c>
      <c r="J19" s="338"/>
      <c r="K19" s="347">
        <v>0.2</v>
      </c>
      <c r="L19" s="136">
        <v>5420.45</v>
      </c>
      <c r="M19" s="338"/>
      <c r="N19" s="160">
        <v>0.14000000000000001</v>
      </c>
      <c r="O19" s="349">
        <v>42.87</v>
      </c>
      <c r="P19" s="338"/>
      <c r="Q19" s="160">
        <v>0.01</v>
      </c>
      <c r="R19" s="136">
        <v>6482.77</v>
      </c>
      <c r="S19" s="338"/>
      <c r="T19" s="160">
        <v>0.05</v>
      </c>
      <c r="U19" s="136">
        <v>2785.67</v>
      </c>
      <c r="V19" s="338"/>
      <c r="W19" s="347">
        <v>0.1</v>
      </c>
      <c r="X19" s="136">
        <v>3731.43</v>
      </c>
      <c r="Y19" s="338"/>
      <c r="Z19" s="160">
        <v>0.17</v>
      </c>
      <c r="AA19" s="136">
        <v>2592.48</v>
      </c>
      <c r="AB19" s="338"/>
      <c r="AC19" s="350">
        <v>1</v>
      </c>
    </row>
    <row r="20" spans="2:29" x14ac:dyDescent="0.3">
      <c r="B20" s="1286" t="s">
        <v>1326</v>
      </c>
      <c r="C20" s="1287"/>
      <c r="D20" s="1287"/>
      <c r="E20" s="161">
        <v>0.15</v>
      </c>
      <c r="F20" s="137">
        <v>2819.65</v>
      </c>
      <c r="G20" s="339"/>
      <c r="H20" s="161">
        <v>0.18</v>
      </c>
      <c r="I20" s="137">
        <v>4537.2299999999996</v>
      </c>
      <c r="J20" s="339"/>
      <c r="K20" s="348">
        <v>0.2</v>
      </c>
      <c r="L20" s="137">
        <v>5406.99</v>
      </c>
      <c r="M20" s="339"/>
      <c r="N20" s="161">
        <v>0.14000000000000001</v>
      </c>
      <c r="O20" s="137">
        <v>46.29363</v>
      </c>
      <c r="P20" s="339"/>
      <c r="Q20" s="161">
        <v>0.01</v>
      </c>
      <c r="R20" s="137">
        <v>6911.75</v>
      </c>
      <c r="S20" s="339"/>
      <c r="T20" s="161">
        <v>0.05</v>
      </c>
      <c r="U20" s="351">
        <v>2903.1</v>
      </c>
      <c r="V20" s="339"/>
      <c r="W20" s="348">
        <v>0.1</v>
      </c>
      <c r="X20" s="137">
        <v>3861.33</v>
      </c>
      <c r="Y20" s="339"/>
      <c r="Z20" s="161">
        <v>0.17</v>
      </c>
      <c r="AA20" s="137">
        <v>2711.42</v>
      </c>
      <c r="AB20" s="339"/>
      <c r="AC20" s="352">
        <f t="shared" ref="AC20:AC33" si="0">+ROUND((E20*F20/$F$19+H20*I20/$I$19+K20*L20/$L$19+N20*O20/$O$19+Q20*R20/$R$19+T20*U20/$U$19+W20*X20/$X$19+Z20*AA20/$AA$19),6)</f>
        <v>1.040262</v>
      </c>
    </row>
    <row r="21" spans="2:29" x14ac:dyDescent="0.3">
      <c r="B21" s="1286" t="s">
        <v>1325</v>
      </c>
      <c r="C21" s="1287"/>
      <c r="D21" s="1287"/>
      <c r="E21" s="161">
        <v>0.15</v>
      </c>
      <c r="F21" s="137">
        <v>2883.75</v>
      </c>
      <c r="G21" s="339"/>
      <c r="H21" s="161">
        <v>0.18</v>
      </c>
      <c r="I21" s="137">
        <v>4641.2299999999996</v>
      </c>
      <c r="J21" s="339"/>
      <c r="K21" s="348">
        <v>0.2</v>
      </c>
      <c r="L21" s="137">
        <v>5462.92</v>
      </c>
      <c r="M21" s="339"/>
      <c r="N21" s="161">
        <v>0.14000000000000001</v>
      </c>
      <c r="O21" s="353">
        <v>46.77402</v>
      </c>
      <c r="P21" s="339"/>
      <c r="Q21" s="161">
        <v>0.01</v>
      </c>
      <c r="R21" s="351">
        <v>7114.2</v>
      </c>
      <c r="S21" s="339"/>
      <c r="T21" s="161">
        <v>0.05</v>
      </c>
      <c r="U21" s="137">
        <v>2936.95</v>
      </c>
      <c r="V21" s="339"/>
      <c r="W21" s="348">
        <v>0.1</v>
      </c>
      <c r="X21" s="137">
        <v>3943.01</v>
      </c>
      <c r="Y21" s="339"/>
      <c r="Z21" s="161">
        <v>0.17</v>
      </c>
      <c r="AA21" s="137">
        <v>2808.87</v>
      </c>
      <c r="AB21" s="339"/>
      <c r="AC21" s="352">
        <f t="shared" si="0"/>
        <v>1.061283</v>
      </c>
    </row>
    <row r="22" spans="2:29" x14ac:dyDescent="0.3">
      <c r="B22" s="1282" t="s">
        <v>1327</v>
      </c>
      <c r="C22" s="1283"/>
      <c r="D22" s="1283"/>
      <c r="E22" s="218">
        <v>0.15</v>
      </c>
      <c r="F22" s="354">
        <v>2954.69</v>
      </c>
      <c r="G22" s="355"/>
      <c r="H22" s="218">
        <v>0.18</v>
      </c>
      <c r="I22" s="354">
        <v>4700.8900000000003</v>
      </c>
      <c r="J22" s="355"/>
      <c r="K22" s="356">
        <v>0.2</v>
      </c>
      <c r="L22" s="354">
        <v>5566.78</v>
      </c>
      <c r="M22" s="355"/>
      <c r="N22" s="218">
        <v>0.14000000000000001</v>
      </c>
      <c r="O22" s="354">
        <v>45.920650000000002</v>
      </c>
      <c r="P22" s="355"/>
      <c r="Q22" s="218">
        <v>0.01</v>
      </c>
      <c r="R22" s="354">
        <v>6895.61</v>
      </c>
      <c r="S22" s="355"/>
      <c r="T22" s="218">
        <v>0.05</v>
      </c>
      <c r="U22" s="354">
        <v>3052.11</v>
      </c>
      <c r="V22" s="355"/>
      <c r="W22" s="356">
        <v>0.1</v>
      </c>
      <c r="X22" s="357">
        <v>4017.3</v>
      </c>
      <c r="Y22" s="355"/>
      <c r="Z22" s="218">
        <v>0.17</v>
      </c>
      <c r="AA22" s="354">
        <v>2880.53</v>
      </c>
      <c r="AB22" s="355"/>
      <c r="AC22" s="358">
        <f t="shared" si="0"/>
        <v>1.0772029999999999</v>
      </c>
    </row>
    <row r="23" spans="2:29" x14ac:dyDescent="0.3">
      <c r="B23" s="1282" t="s">
        <v>1426</v>
      </c>
      <c r="C23" s="1283"/>
      <c r="D23" s="1283"/>
      <c r="E23" s="218">
        <v>0.15</v>
      </c>
      <c r="F23" s="354">
        <v>3043.23</v>
      </c>
      <c r="G23" s="355"/>
      <c r="H23" s="218">
        <v>0.18</v>
      </c>
      <c r="I23" s="354">
        <v>4743.75</v>
      </c>
      <c r="J23" s="355"/>
      <c r="K23" s="356">
        <v>0.2</v>
      </c>
      <c r="L23" s="357">
        <v>5750.9</v>
      </c>
      <c r="M23" s="355"/>
      <c r="N23" s="218">
        <v>0.14000000000000001</v>
      </c>
      <c r="O23" s="354">
        <v>45.26088</v>
      </c>
      <c r="P23" s="355"/>
      <c r="Q23" s="218">
        <v>0.01</v>
      </c>
      <c r="R23" s="354">
        <v>6760.36</v>
      </c>
      <c r="S23" s="355"/>
      <c r="T23" s="218">
        <v>0.05</v>
      </c>
      <c r="U23" s="354">
        <v>3183.49</v>
      </c>
      <c r="V23" s="355"/>
      <c r="W23" s="356">
        <v>0.1</v>
      </c>
      <c r="X23" s="357">
        <v>4128.1899999999996</v>
      </c>
      <c r="Y23" s="355"/>
      <c r="Z23" s="218">
        <v>0.17</v>
      </c>
      <c r="AA23" s="357">
        <v>2997.5</v>
      </c>
      <c r="AB23" s="355"/>
      <c r="AC23" s="358">
        <f t="shared" si="0"/>
        <v>1.1013919999999999</v>
      </c>
    </row>
    <row r="24" spans="2:29" x14ac:dyDescent="0.3">
      <c r="B24" s="1282" t="s">
        <v>1427</v>
      </c>
      <c r="C24" s="1283"/>
      <c r="D24" s="1283"/>
      <c r="E24" s="218">
        <v>0.15</v>
      </c>
      <c r="F24" s="354">
        <v>3089.74</v>
      </c>
      <c r="G24" s="355"/>
      <c r="H24" s="218">
        <v>0.18</v>
      </c>
      <c r="I24" s="354">
        <v>4808.92</v>
      </c>
      <c r="J24" s="355"/>
      <c r="K24" s="356">
        <v>0.2</v>
      </c>
      <c r="L24" s="354">
        <v>5882.18</v>
      </c>
      <c r="M24" s="355"/>
      <c r="N24" s="218">
        <v>0.14000000000000001</v>
      </c>
      <c r="O24" s="354">
        <v>45.456249999999997</v>
      </c>
      <c r="P24" s="355"/>
      <c r="Q24" s="218">
        <v>0.01</v>
      </c>
      <c r="R24" s="354">
        <v>6752.22</v>
      </c>
      <c r="S24" s="355"/>
      <c r="T24" s="218">
        <v>0.05</v>
      </c>
      <c r="U24" s="354">
        <v>3280.13</v>
      </c>
      <c r="V24" s="355"/>
      <c r="W24" s="356">
        <v>0.1</v>
      </c>
      <c r="X24" s="357">
        <v>4230.6899999999996</v>
      </c>
      <c r="Y24" s="355"/>
      <c r="Z24" s="218">
        <v>0.17</v>
      </c>
      <c r="AA24" s="357">
        <v>3068.3</v>
      </c>
      <c r="AB24" s="355"/>
      <c r="AC24" s="358">
        <f t="shared" si="0"/>
        <v>1.1212880000000001</v>
      </c>
    </row>
    <row r="25" spans="2:29" x14ac:dyDescent="0.3">
      <c r="B25" s="1282" t="s">
        <v>1436</v>
      </c>
      <c r="C25" s="1283"/>
      <c r="D25" s="1283"/>
      <c r="E25" s="218">
        <v>0.15</v>
      </c>
      <c r="F25" s="354">
        <v>3132.17</v>
      </c>
      <c r="G25" s="355"/>
      <c r="H25" s="218">
        <v>0.18</v>
      </c>
      <c r="I25" s="354">
        <v>4910.55</v>
      </c>
      <c r="J25" s="355"/>
      <c r="K25" s="356">
        <v>0.2</v>
      </c>
      <c r="L25" s="354">
        <v>5986.06</v>
      </c>
      <c r="M25" s="355"/>
      <c r="N25" s="218">
        <v>0.14000000000000001</v>
      </c>
      <c r="O25" s="354">
        <v>48.808579999999999</v>
      </c>
      <c r="P25" s="355"/>
      <c r="Q25" s="218">
        <v>0.01</v>
      </c>
      <c r="R25" s="354">
        <v>7297.64</v>
      </c>
      <c r="S25" s="355"/>
      <c r="T25" s="218">
        <v>0.05</v>
      </c>
      <c r="U25" s="354">
        <v>3375.09</v>
      </c>
      <c r="V25" s="355"/>
      <c r="W25" s="356">
        <v>0.1</v>
      </c>
      <c r="X25" s="357">
        <v>4334.9399999999996</v>
      </c>
      <c r="Y25" s="355"/>
      <c r="Z25" s="218">
        <v>0.17</v>
      </c>
      <c r="AA25" s="357">
        <v>3133.65</v>
      </c>
      <c r="AB25" s="355"/>
      <c r="AC25" s="358">
        <f t="shared" si="0"/>
        <v>1.152263</v>
      </c>
    </row>
    <row r="26" spans="2:29" x14ac:dyDescent="0.3">
      <c r="B26" s="1282" t="s">
        <v>1470</v>
      </c>
      <c r="C26" s="1283"/>
      <c r="D26" s="1283"/>
      <c r="E26" s="218">
        <v>0.15</v>
      </c>
      <c r="F26" s="354">
        <v>3196.66</v>
      </c>
      <c r="G26" s="355"/>
      <c r="H26" s="218">
        <v>0.18</v>
      </c>
      <c r="I26" s="354">
        <v>4972.28</v>
      </c>
      <c r="J26" s="355"/>
      <c r="K26" s="356">
        <v>0.2</v>
      </c>
      <c r="L26" s="354">
        <v>6034.24</v>
      </c>
      <c r="M26" s="355"/>
      <c r="N26" s="218">
        <v>0.14000000000000001</v>
      </c>
      <c r="O26" s="354">
        <v>53.141309999999997</v>
      </c>
      <c r="P26" s="355"/>
      <c r="Q26" s="218">
        <v>0.01</v>
      </c>
      <c r="R26" s="354">
        <v>7767.87</v>
      </c>
      <c r="S26" s="355"/>
      <c r="T26" s="218">
        <v>0.05</v>
      </c>
      <c r="U26" s="354">
        <v>3481.27</v>
      </c>
      <c r="V26" s="355"/>
      <c r="W26" s="356">
        <v>0.1</v>
      </c>
      <c r="X26" s="357">
        <v>4409.7299999999996</v>
      </c>
      <c r="Y26" s="355"/>
      <c r="Z26" s="218">
        <v>0.17</v>
      </c>
      <c r="AA26" s="357">
        <v>3218</v>
      </c>
      <c r="AB26" s="355"/>
      <c r="AC26" s="358">
        <f t="shared" si="0"/>
        <v>1.1845319999999999</v>
      </c>
    </row>
    <row r="27" spans="2:29" x14ac:dyDescent="0.3">
      <c r="B27" s="1282" t="s">
        <v>1493</v>
      </c>
      <c r="C27" s="1283"/>
      <c r="D27" s="1283"/>
      <c r="E27" s="218">
        <v>0.15</v>
      </c>
      <c r="F27" s="354">
        <v>3261.72</v>
      </c>
      <c r="G27" s="355"/>
      <c r="H27" s="218">
        <v>0.18</v>
      </c>
      <c r="I27" s="354">
        <v>5053.99</v>
      </c>
      <c r="J27" s="355"/>
      <c r="K27" s="356">
        <v>0.2</v>
      </c>
      <c r="L27" s="354">
        <v>6100.24</v>
      </c>
      <c r="M27" s="355"/>
      <c r="N27" s="218">
        <v>0.14000000000000001</v>
      </c>
      <c r="O27" s="354">
        <v>52.397100000000002</v>
      </c>
      <c r="P27" s="355"/>
      <c r="Q27" s="218">
        <v>0.01</v>
      </c>
      <c r="R27" s="354">
        <v>7625.39</v>
      </c>
      <c r="S27" s="355"/>
      <c r="T27" s="218">
        <v>0.05</v>
      </c>
      <c r="U27" s="354">
        <v>3530.4</v>
      </c>
      <c r="V27" s="355"/>
      <c r="W27" s="356">
        <v>0.1</v>
      </c>
      <c r="X27" s="357">
        <v>4518.8900000000003</v>
      </c>
      <c r="Y27" s="355"/>
      <c r="Z27" s="218">
        <v>0.17</v>
      </c>
      <c r="AA27" s="357">
        <v>3259.16</v>
      </c>
      <c r="AB27" s="355"/>
      <c r="AC27" s="358">
        <f t="shared" si="0"/>
        <v>1.1978519999999999</v>
      </c>
    </row>
    <row r="28" spans="2:29" x14ac:dyDescent="0.3">
      <c r="B28" s="1282" t="s">
        <v>1494</v>
      </c>
      <c r="C28" s="1283"/>
      <c r="D28" s="1283"/>
      <c r="E28" s="218">
        <v>0.15</v>
      </c>
      <c r="F28" s="354">
        <v>3367.22</v>
      </c>
      <c r="G28" s="355"/>
      <c r="H28" s="218">
        <v>0.18</v>
      </c>
      <c r="I28" s="354">
        <v>5110.09</v>
      </c>
      <c r="J28" s="355"/>
      <c r="K28" s="356">
        <v>0.2</v>
      </c>
      <c r="L28" s="354">
        <v>6187.73</v>
      </c>
      <c r="M28" s="355"/>
      <c r="N28" s="218">
        <v>0.14000000000000001</v>
      </c>
      <c r="O28" s="354">
        <v>54.13308</v>
      </c>
      <c r="P28" s="355"/>
      <c r="Q28" s="218">
        <v>0.01</v>
      </c>
      <c r="R28" s="354">
        <v>7854.35</v>
      </c>
      <c r="S28" s="355"/>
      <c r="T28" s="218">
        <v>0.05</v>
      </c>
      <c r="U28" s="354">
        <v>3572.84</v>
      </c>
      <c r="V28" s="355"/>
      <c r="W28" s="356">
        <v>0.1</v>
      </c>
      <c r="X28" s="357">
        <v>4632.8900000000003</v>
      </c>
      <c r="Y28" s="355"/>
      <c r="Z28" s="218">
        <v>0.17</v>
      </c>
      <c r="AA28" s="357">
        <v>3319.76</v>
      </c>
      <c r="AB28" s="355"/>
      <c r="AC28" s="358">
        <f t="shared" si="0"/>
        <v>1.2231529999999999</v>
      </c>
    </row>
    <row r="29" spans="2:29" x14ac:dyDescent="0.3">
      <c r="B29" s="1282" t="s">
        <v>1495</v>
      </c>
      <c r="C29" s="1283"/>
      <c r="D29" s="1283"/>
      <c r="E29" s="218">
        <v>0.15</v>
      </c>
      <c r="F29" s="354">
        <v>3453.09</v>
      </c>
      <c r="G29" s="355"/>
      <c r="H29" s="218">
        <v>0.18</v>
      </c>
      <c r="I29" s="354">
        <v>5170.07</v>
      </c>
      <c r="J29" s="355"/>
      <c r="K29" s="356">
        <v>0.2</v>
      </c>
      <c r="L29" s="354">
        <v>6350.02</v>
      </c>
      <c r="M29" s="355"/>
      <c r="N29" s="218">
        <v>0.14000000000000001</v>
      </c>
      <c r="O29" s="354">
        <v>53.903739999999999</v>
      </c>
      <c r="P29" s="355"/>
      <c r="Q29" s="218">
        <v>0.01</v>
      </c>
      <c r="R29" s="354">
        <v>7797.08</v>
      </c>
      <c r="S29" s="355"/>
      <c r="T29" s="218">
        <v>0.05</v>
      </c>
      <c r="U29" s="354">
        <v>3577.46</v>
      </c>
      <c r="V29" s="355"/>
      <c r="W29" s="356">
        <v>0.1</v>
      </c>
      <c r="X29" s="357">
        <v>4708.2</v>
      </c>
      <c r="Y29" s="355"/>
      <c r="Z29" s="218">
        <v>0.17</v>
      </c>
      <c r="AA29" s="357">
        <v>3368.81</v>
      </c>
      <c r="AB29" s="355"/>
      <c r="AC29" s="358">
        <f t="shared" si="0"/>
        <v>1.2409330000000001</v>
      </c>
    </row>
    <row r="30" spans="2:29" x14ac:dyDescent="0.3">
      <c r="B30" s="1282" t="s">
        <v>1496</v>
      </c>
      <c r="C30" s="1283"/>
      <c r="D30" s="1283"/>
      <c r="E30" s="218">
        <v>0.15</v>
      </c>
      <c r="F30" s="354">
        <v>3482.96</v>
      </c>
      <c r="G30" s="355"/>
      <c r="H30" s="218">
        <v>0.18</v>
      </c>
      <c r="I30" s="354">
        <v>5216.99</v>
      </c>
      <c r="J30" s="355"/>
      <c r="K30" s="356">
        <v>0.2</v>
      </c>
      <c r="L30" s="354">
        <v>6453.42</v>
      </c>
      <c r="M30" s="355"/>
      <c r="N30" s="218">
        <v>0.14000000000000001</v>
      </c>
      <c r="O30" s="354">
        <v>57.072189999999999</v>
      </c>
      <c r="P30" s="355"/>
      <c r="Q30" s="218">
        <v>0.01</v>
      </c>
      <c r="R30" s="354">
        <v>8398.17</v>
      </c>
      <c r="S30" s="355"/>
      <c r="T30" s="218">
        <v>0.05</v>
      </c>
      <c r="U30" s="354">
        <v>3606.93</v>
      </c>
      <c r="V30" s="355"/>
      <c r="W30" s="356">
        <v>0.1</v>
      </c>
      <c r="X30" s="357">
        <v>4747.63</v>
      </c>
      <c r="Y30" s="355"/>
      <c r="Z30" s="218">
        <v>0.17</v>
      </c>
      <c r="AA30" s="357">
        <v>3419.55</v>
      </c>
      <c r="AB30" s="355"/>
      <c r="AC30" s="358">
        <f t="shared" si="0"/>
        <v>1.264548</v>
      </c>
    </row>
    <row r="31" spans="2:29" x14ac:dyDescent="0.3">
      <c r="B31" s="1282" t="s">
        <v>1497</v>
      </c>
      <c r="C31" s="1283"/>
      <c r="D31" s="1283"/>
      <c r="E31" s="218">
        <v>0.15</v>
      </c>
      <c r="F31" s="354">
        <v>3513.87</v>
      </c>
      <c r="G31" s="355"/>
      <c r="H31" s="218">
        <v>0.18</v>
      </c>
      <c r="I31" s="354">
        <v>5277.72</v>
      </c>
      <c r="J31" s="355"/>
      <c r="K31" s="356">
        <v>0.2</v>
      </c>
      <c r="L31" s="354">
        <v>6568.1</v>
      </c>
      <c r="M31" s="355"/>
      <c r="N31" s="218">
        <v>0.14000000000000001</v>
      </c>
      <c r="O31" s="354">
        <v>53.842979999999997</v>
      </c>
      <c r="P31" s="355"/>
      <c r="Q31" s="218">
        <v>0.01</v>
      </c>
      <c r="R31" s="354">
        <v>7739.67</v>
      </c>
      <c r="S31" s="355"/>
      <c r="T31" s="218">
        <v>0.05</v>
      </c>
      <c r="U31" s="354">
        <v>3667.48</v>
      </c>
      <c r="V31" s="355"/>
      <c r="W31" s="356">
        <v>0.1</v>
      </c>
      <c r="X31" s="357">
        <v>4783.04</v>
      </c>
      <c r="Y31" s="355"/>
      <c r="Z31" s="218">
        <v>0.17</v>
      </c>
      <c r="AA31" s="354">
        <v>3475.04</v>
      </c>
      <c r="AB31" s="355"/>
      <c r="AC31" s="358">
        <f t="shared" si="0"/>
        <v>1.2671319999999999</v>
      </c>
    </row>
    <row r="32" spans="2:29" x14ac:dyDescent="0.3">
      <c r="B32" s="1282" t="s">
        <v>1498</v>
      </c>
      <c r="C32" s="1283"/>
      <c r="D32" s="1283"/>
      <c r="E32" s="218">
        <v>0.15</v>
      </c>
      <c r="F32" s="354">
        <v>3683.83</v>
      </c>
      <c r="G32" s="355"/>
      <c r="H32" s="218">
        <v>0.18</v>
      </c>
      <c r="I32" s="354">
        <v>5454.97</v>
      </c>
      <c r="J32" s="355"/>
      <c r="K32" s="356">
        <v>0.2</v>
      </c>
      <c r="L32" s="354">
        <v>6710.15</v>
      </c>
      <c r="M32" s="355"/>
      <c r="N32" s="218">
        <v>0.14000000000000001</v>
      </c>
      <c r="O32" s="354">
        <v>55.395380000000003</v>
      </c>
      <c r="P32" s="355"/>
      <c r="Q32" s="218">
        <v>0.01</v>
      </c>
      <c r="R32" s="354">
        <v>7753.07</v>
      </c>
      <c r="S32" s="355"/>
      <c r="T32" s="218">
        <v>0.05</v>
      </c>
      <c r="U32" s="354">
        <v>3786.33</v>
      </c>
      <c r="V32" s="355"/>
      <c r="W32" s="356">
        <v>0.1</v>
      </c>
      <c r="X32" s="357">
        <v>4910.53</v>
      </c>
      <c r="Y32" s="355"/>
      <c r="Z32" s="218">
        <v>0.17</v>
      </c>
      <c r="AA32" s="354">
        <v>3624.85</v>
      </c>
      <c r="AB32" s="355"/>
      <c r="AC32" s="358">
        <f t="shared" si="0"/>
        <v>1.309712</v>
      </c>
    </row>
    <row r="33" spans="1:30" x14ac:dyDescent="0.3">
      <c r="B33" s="1282" t="s">
        <v>1512</v>
      </c>
      <c r="C33" s="1283"/>
      <c r="D33" s="1283"/>
      <c r="E33" s="218">
        <v>0.15</v>
      </c>
      <c r="F33" s="354">
        <v>3793.05</v>
      </c>
      <c r="G33" s="355"/>
      <c r="H33" s="218">
        <v>0.18</v>
      </c>
      <c r="I33" s="354">
        <v>5591.46</v>
      </c>
      <c r="J33" s="355"/>
      <c r="K33" s="356">
        <v>0.2</v>
      </c>
      <c r="L33" s="354">
        <v>6805.63</v>
      </c>
      <c r="M33" s="355"/>
      <c r="N33" s="218">
        <v>0.14000000000000001</v>
      </c>
      <c r="O33" s="354">
        <v>58.169960000000003</v>
      </c>
      <c r="P33" s="355"/>
      <c r="Q33" s="218">
        <v>0.01</v>
      </c>
      <c r="R33" s="354">
        <v>8398.65</v>
      </c>
      <c r="S33" s="355"/>
      <c r="T33" s="218">
        <v>0.05</v>
      </c>
      <c r="U33" s="354">
        <v>3895.97</v>
      </c>
      <c r="V33" s="355"/>
      <c r="W33" s="356">
        <v>0.1</v>
      </c>
      <c r="X33" s="357">
        <v>5029.76</v>
      </c>
      <c r="Y33" s="355"/>
      <c r="Z33" s="218">
        <v>0.17</v>
      </c>
      <c r="AA33" s="354">
        <v>3708.22</v>
      </c>
      <c r="AB33" s="355"/>
      <c r="AC33" s="358">
        <f t="shared" si="0"/>
        <v>1.345693</v>
      </c>
    </row>
    <row r="34" spans="1:30" x14ac:dyDescent="0.3">
      <c r="B34" s="1282" t="s">
        <v>1513</v>
      </c>
      <c r="C34" s="1283"/>
      <c r="D34" s="1283"/>
      <c r="E34" s="218">
        <v>0.15</v>
      </c>
      <c r="F34" s="354">
        <v>3866.74</v>
      </c>
      <c r="G34" s="355"/>
      <c r="H34" s="218">
        <v>0.18</v>
      </c>
      <c r="I34" s="354">
        <v>5683.71</v>
      </c>
      <c r="J34" s="355"/>
      <c r="K34" s="356">
        <v>0.2</v>
      </c>
      <c r="L34" s="354">
        <v>6960.9</v>
      </c>
      <c r="M34" s="355"/>
      <c r="N34" s="218">
        <v>0.14000000000000001</v>
      </c>
      <c r="O34" s="354">
        <v>67.596519999999998</v>
      </c>
      <c r="P34" s="355"/>
      <c r="Q34" s="218">
        <v>0.01</v>
      </c>
      <c r="R34" s="354">
        <v>12354.52</v>
      </c>
      <c r="S34" s="355"/>
      <c r="T34" s="218">
        <v>0.05</v>
      </c>
      <c r="U34" s="354">
        <v>3968.37</v>
      </c>
      <c r="V34" s="355"/>
      <c r="W34" s="356">
        <v>0.1</v>
      </c>
      <c r="X34" s="357">
        <v>5145.3599999999997</v>
      </c>
      <c r="Y34" s="355"/>
      <c r="Z34" s="218">
        <v>0.17</v>
      </c>
      <c r="AA34" s="354">
        <v>3726.74</v>
      </c>
      <c r="AB34" s="355"/>
      <c r="AC34" s="358">
        <f t="shared" ref="AC34" si="1">+ROUND((E34*F34/$F$19+H34*I34/$I$19+K34*L34/$L$19+N34*O34/$O$19+Q34*R34/$R$19+T34*U34/$U$19+W34*X34/$X$19+Z34*AA34/$AA$19),6)</f>
        <v>1.401869</v>
      </c>
    </row>
    <row r="35" spans="1:30" x14ac:dyDescent="0.3">
      <c r="B35" s="1282" t="s">
        <v>1521</v>
      </c>
      <c r="C35" s="1283"/>
      <c r="D35" s="1283"/>
      <c r="E35" s="218">
        <v>0.15</v>
      </c>
      <c r="F35" s="901">
        <v>4028.47</v>
      </c>
      <c r="G35" s="355"/>
      <c r="H35" s="218">
        <v>0.18</v>
      </c>
      <c r="I35" s="901">
        <v>5841.56</v>
      </c>
      <c r="J35" s="355"/>
      <c r="K35" s="356">
        <v>0.2</v>
      </c>
      <c r="L35" s="901">
        <v>7209.79</v>
      </c>
      <c r="M35" s="355"/>
      <c r="N35" s="218">
        <v>0.14000000000000001</v>
      </c>
      <c r="O35" s="901">
        <v>74.172420000000002</v>
      </c>
      <c r="P35" s="355"/>
      <c r="Q35" s="218">
        <v>0.01</v>
      </c>
      <c r="R35" s="901">
        <v>14725.17</v>
      </c>
      <c r="S35" s="355"/>
      <c r="T35" s="218">
        <v>0.05</v>
      </c>
      <c r="U35" s="901">
        <v>4068.8</v>
      </c>
      <c r="V35" s="355"/>
      <c r="W35" s="356">
        <v>0.1</v>
      </c>
      <c r="X35" s="902">
        <v>5308.46</v>
      </c>
      <c r="Y35" s="355"/>
      <c r="Z35" s="218">
        <v>0.17</v>
      </c>
      <c r="AA35" s="901">
        <v>3813.11</v>
      </c>
      <c r="AB35" s="355"/>
      <c r="AC35" s="358">
        <f t="shared" ref="AC35" si="2">+ROUND((E35*F35/$F$19+H35*I35/$I$19+K35*L35/$L$19+N35*O35/$O$19+Q35*R35/$R$19+T35*U35/$U$19+W35*X35/$X$19+Z35*AA35/$AA$19),6)</f>
        <v>1.463635</v>
      </c>
    </row>
    <row r="36" spans="1:30" x14ac:dyDescent="0.3">
      <c r="B36" s="1284"/>
      <c r="C36" s="1170"/>
      <c r="D36" s="1170"/>
      <c r="E36" s="316"/>
      <c r="F36" s="33"/>
      <c r="G36" s="33"/>
      <c r="H36" s="316"/>
      <c r="I36" s="33"/>
      <c r="J36" s="33"/>
      <c r="K36" s="359"/>
      <c r="L36" s="33"/>
      <c r="M36" s="33"/>
      <c r="N36" s="316"/>
      <c r="O36" s="33"/>
      <c r="P36" s="33"/>
      <c r="Q36" s="316"/>
      <c r="R36" s="33"/>
      <c r="S36" s="33"/>
      <c r="T36" s="316"/>
      <c r="U36" s="33"/>
      <c r="V36" s="33"/>
      <c r="W36" s="359"/>
      <c r="X36" s="360"/>
      <c r="Y36" s="33"/>
      <c r="Z36" s="316"/>
      <c r="AA36" s="33"/>
      <c r="AB36" s="33"/>
      <c r="AC36" s="361"/>
    </row>
    <row r="40" spans="1:30" ht="15.6" x14ac:dyDescent="0.3">
      <c r="A40" s="1070" t="s">
        <v>33</v>
      </c>
      <c r="B40" s="1070"/>
      <c r="C40" s="1070"/>
      <c r="D40" s="1070"/>
      <c r="E40" s="1070"/>
      <c r="F40" s="1070"/>
      <c r="G40" s="1070"/>
      <c r="H40" s="1070"/>
      <c r="I40" s="1070" t="s">
        <v>29</v>
      </c>
      <c r="J40" s="1070"/>
      <c r="K40" s="1070"/>
      <c r="L40" s="1070"/>
      <c r="M40" s="1070"/>
      <c r="N40" s="1070"/>
      <c r="O40" s="1070"/>
      <c r="P40" s="1070"/>
      <c r="Q40" s="1070"/>
      <c r="R40" s="1070" t="s">
        <v>22</v>
      </c>
      <c r="S40" s="1070"/>
      <c r="T40" s="1070"/>
      <c r="U40" s="1070"/>
      <c r="V40" s="1070"/>
      <c r="W40" s="1070"/>
      <c r="X40" s="1070"/>
      <c r="Y40" s="1070"/>
      <c r="Z40" s="1070"/>
      <c r="AA40" s="1070"/>
      <c r="AB40" s="1070"/>
      <c r="AC40" s="1070"/>
      <c r="AD40" s="1070"/>
    </row>
    <row r="41" spans="1:30" ht="15.6" customHeight="1" x14ac:dyDescent="0.3">
      <c r="A41" s="974" t="s">
        <v>1214</v>
      </c>
      <c r="B41" s="974"/>
      <c r="C41" s="974"/>
      <c r="D41" s="974"/>
      <c r="E41" s="974"/>
      <c r="F41" s="974"/>
      <c r="G41" s="974"/>
      <c r="H41" s="974"/>
      <c r="I41" s="975" t="s">
        <v>38</v>
      </c>
      <c r="J41" s="975"/>
      <c r="K41" s="975"/>
      <c r="L41" s="975"/>
      <c r="M41" s="975"/>
      <c r="N41" s="975"/>
      <c r="O41" s="975"/>
      <c r="P41" s="975"/>
      <c r="Q41" s="975"/>
      <c r="R41" s="975" t="s">
        <v>1437</v>
      </c>
      <c r="S41" s="975"/>
      <c r="T41" s="975"/>
      <c r="U41" s="975"/>
      <c r="V41" s="975"/>
      <c r="W41" s="975"/>
      <c r="X41" s="975"/>
      <c r="Y41" s="975"/>
      <c r="Z41" s="975"/>
      <c r="AA41" s="975"/>
      <c r="AB41" s="975"/>
      <c r="AC41" s="975"/>
      <c r="AD41" s="975"/>
    </row>
    <row r="42" spans="1:30" ht="14.4" customHeight="1" x14ac:dyDescent="0.3">
      <c r="R42" s="975"/>
      <c r="S42" s="975"/>
      <c r="T42" s="975"/>
      <c r="U42" s="975"/>
      <c r="V42" s="975"/>
      <c r="W42" s="975"/>
      <c r="X42" s="975"/>
      <c r="Y42" s="975"/>
      <c r="Z42" s="975"/>
      <c r="AA42" s="975"/>
      <c r="AB42" s="975"/>
      <c r="AC42" s="975"/>
      <c r="AD42" s="975"/>
    </row>
    <row r="43" spans="1:30" x14ac:dyDescent="0.3">
      <c r="R43" s="975"/>
      <c r="S43" s="975"/>
      <c r="T43" s="975"/>
      <c r="U43" s="975"/>
      <c r="V43" s="975"/>
      <c r="W43" s="975"/>
      <c r="X43" s="975"/>
      <c r="Y43" s="975"/>
      <c r="Z43" s="975"/>
      <c r="AA43" s="975"/>
      <c r="AB43" s="975"/>
      <c r="AC43" s="975"/>
      <c r="AD43" s="975"/>
    </row>
    <row r="44" spans="1:30" ht="14.4" customHeight="1" x14ac:dyDescent="0.3">
      <c r="I44" s="1280" t="s">
        <v>1216</v>
      </c>
      <c r="J44" s="1280"/>
      <c r="K44" s="1280"/>
      <c r="L44" s="1280"/>
      <c r="M44" s="1280"/>
      <c r="N44" s="1280" t="s">
        <v>1507</v>
      </c>
      <c r="O44" s="1280"/>
      <c r="P44" s="1280"/>
      <c r="Q44" s="1280"/>
      <c r="R44" s="1280"/>
      <c r="S44" s="110"/>
      <c r="T44" s="110"/>
    </row>
    <row r="45" spans="1:30" ht="14.4" customHeight="1" x14ac:dyDescent="0.3">
      <c r="G45" s="261"/>
      <c r="H45" s="261"/>
      <c r="I45" s="1280"/>
      <c r="J45" s="1280"/>
      <c r="K45" s="1280"/>
      <c r="L45" s="1280"/>
      <c r="M45" s="1280"/>
      <c r="N45" s="1280"/>
      <c r="O45" s="1280"/>
      <c r="P45" s="1280"/>
      <c r="Q45" s="1280"/>
      <c r="R45" s="1280"/>
      <c r="S45" s="110"/>
      <c r="T45" s="110"/>
    </row>
    <row r="46" spans="1:30" ht="14.4" customHeight="1" x14ac:dyDescent="0.3">
      <c r="G46" s="261"/>
      <c r="H46" s="261"/>
      <c r="I46" s="1280"/>
      <c r="J46" s="1280"/>
      <c r="K46" s="1280"/>
      <c r="L46" s="1280"/>
      <c r="M46" s="1280"/>
      <c r="N46" s="1280"/>
      <c r="O46" s="1280"/>
      <c r="P46" s="1280"/>
      <c r="Q46" s="1280"/>
      <c r="R46" s="1280"/>
      <c r="S46" s="110"/>
      <c r="T46" s="110"/>
    </row>
    <row r="47" spans="1:30" x14ac:dyDescent="0.3">
      <c r="I47" s="1024"/>
      <c r="J47" s="1024"/>
      <c r="K47" s="1024"/>
      <c r="L47" s="1024"/>
      <c r="M47" s="1024"/>
      <c r="N47" s="1024"/>
      <c r="O47" s="1024"/>
      <c r="P47" s="1024"/>
      <c r="Q47" s="1024"/>
    </row>
    <row r="48" spans="1:30" x14ac:dyDescent="0.3">
      <c r="I48" s="1024" t="s">
        <v>63</v>
      </c>
      <c r="J48" s="1024"/>
      <c r="K48" s="1024"/>
      <c r="L48" s="1024"/>
      <c r="M48" s="1024"/>
      <c r="N48" s="1024"/>
      <c r="O48" s="1024"/>
      <c r="P48" s="1024"/>
      <c r="Q48" s="1024"/>
      <c r="R48" s="1024" t="s">
        <v>56</v>
      </c>
      <c r="S48" s="1024"/>
      <c r="T48" s="1024"/>
      <c r="U48" s="1024"/>
      <c r="V48" s="1024"/>
      <c r="W48" s="1024"/>
      <c r="X48" s="1024"/>
      <c r="Y48" s="1024"/>
      <c r="Z48" s="1024"/>
      <c r="AA48" s="1024"/>
      <c r="AB48" s="1024"/>
      <c r="AC48" s="1024"/>
    </row>
    <row r="49" spans="1:29" x14ac:dyDescent="0.3">
      <c r="I49" s="1024" t="s">
        <v>1330</v>
      </c>
      <c r="J49" s="1024"/>
      <c r="K49" s="1024"/>
      <c r="L49" s="1024"/>
      <c r="M49" s="1024"/>
      <c r="N49" s="1024"/>
      <c r="O49" s="1024"/>
      <c r="P49" s="1024"/>
      <c r="Q49" s="1024"/>
      <c r="R49" s="1024" t="s">
        <v>1479</v>
      </c>
      <c r="S49" s="1024"/>
      <c r="T49" s="1024"/>
      <c r="U49" s="1024"/>
      <c r="V49" s="1024"/>
      <c r="W49" s="1024"/>
      <c r="X49" s="1024"/>
      <c r="Y49" s="1024"/>
      <c r="Z49" s="1024"/>
      <c r="AA49" s="1024"/>
      <c r="AB49" s="1024"/>
      <c r="AC49" s="1024"/>
    </row>
    <row r="50" spans="1:29" x14ac:dyDescent="0.3">
      <c r="M50" s="1024"/>
      <c r="N50" s="1024"/>
      <c r="O50" s="1024"/>
      <c r="P50" s="1024"/>
      <c r="Q50" s="1024"/>
    </row>
    <row r="52" spans="1:29" x14ac:dyDescent="0.3">
      <c r="A52" s="1024" t="s">
        <v>35</v>
      </c>
      <c r="B52" s="1024"/>
      <c r="C52" s="1024"/>
      <c r="D52" s="1024"/>
      <c r="E52" s="1024"/>
      <c r="F52" s="1024"/>
      <c r="G52" s="1024"/>
      <c r="H52" s="1024"/>
      <c r="I52" s="1024" t="s">
        <v>1346</v>
      </c>
      <c r="J52" s="1024"/>
      <c r="K52" s="1024"/>
      <c r="L52" s="1024"/>
      <c r="M52" s="1024"/>
      <c r="N52" s="1024"/>
      <c r="O52" s="1024"/>
      <c r="P52" s="1024"/>
      <c r="Q52" s="1024"/>
      <c r="S52" s="1024" t="s">
        <v>48</v>
      </c>
      <c r="T52" s="1024"/>
      <c r="U52" s="1024"/>
      <c r="V52" s="1024"/>
      <c r="W52" s="1024"/>
      <c r="X52" s="1024"/>
      <c r="Y52" s="1024" t="s">
        <v>26</v>
      </c>
      <c r="Z52" s="1024"/>
      <c r="AA52" s="1024"/>
      <c r="AB52" s="1024"/>
      <c r="AC52" s="1024"/>
    </row>
    <row r="53" spans="1:29" x14ac:dyDescent="0.3">
      <c r="A53" s="1024" t="s">
        <v>34</v>
      </c>
      <c r="B53" s="1024"/>
      <c r="C53" s="1024"/>
      <c r="D53" s="1024"/>
      <c r="E53" s="1024"/>
      <c r="F53" s="1024"/>
      <c r="G53" s="1024"/>
      <c r="H53" s="1024"/>
      <c r="I53" s="1024" t="s">
        <v>34</v>
      </c>
      <c r="J53" s="1024"/>
      <c r="K53" s="1024"/>
      <c r="L53" s="1024"/>
      <c r="M53" s="1024"/>
      <c r="N53" s="1024"/>
      <c r="O53" s="1024"/>
      <c r="P53" s="1024"/>
      <c r="Q53" s="1024"/>
      <c r="S53" s="1024" t="s">
        <v>47</v>
      </c>
      <c r="T53" s="1024"/>
      <c r="U53" s="1024"/>
      <c r="V53" s="1024"/>
      <c r="W53" s="1024"/>
      <c r="X53" s="1024"/>
      <c r="Y53" s="1024" t="s">
        <v>49</v>
      </c>
      <c r="Z53" s="1024"/>
      <c r="AA53" s="1024"/>
      <c r="AB53" s="1024"/>
      <c r="AC53" s="1024"/>
    </row>
  </sheetData>
  <mergeCells count="85">
    <mergeCell ref="R48:AC48"/>
    <mergeCell ref="R49:AC49"/>
    <mergeCell ref="I44:M46"/>
    <mergeCell ref="N44:R46"/>
    <mergeCell ref="I10:V10"/>
    <mergeCell ref="Z10:AA10"/>
    <mergeCell ref="I11:V11"/>
    <mergeCell ref="Z11:AA11"/>
    <mergeCell ref="J14:J15"/>
    <mergeCell ref="K14:K15"/>
    <mergeCell ref="M14:M15"/>
    <mergeCell ref="W14:W15"/>
    <mergeCell ref="Y14:Y15"/>
    <mergeCell ref="Z14:Z15"/>
    <mergeCell ref="S14:S15"/>
    <mergeCell ref="T14:T15"/>
    <mergeCell ref="B3:AB3"/>
    <mergeCell ref="B4:AB4"/>
    <mergeCell ref="B5:AB5"/>
    <mergeCell ref="B7:AB7"/>
    <mergeCell ref="B9:AB9"/>
    <mergeCell ref="V14:V15"/>
    <mergeCell ref="N14:N15"/>
    <mergeCell ref="P14:P15"/>
    <mergeCell ref="Q14:Q15"/>
    <mergeCell ref="B17:D18"/>
    <mergeCell ref="E17:E18"/>
    <mergeCell ref="F17:G18"/>
    <mergeCell ref="H17:H18"/>
    <mergeCell ref="I17:J18"/>
    <mergeCell ref="C14:C15"/>
    <mergeCell ref="D14:D15"/>
    <mergeCell ref="E14:E15"/>
    <mergeCell ref="G14:G15"/>
    <mergeCell ref="H14:H15"/>
    <mergeCell ref="AC17:AC18"/>
    <mergeCell ref="B19:D19"/>
    <mergeCell ref="N17:N18"/>
    <mergeCell ref="O17:P18"/>
    <mergeCell ref="Q17:Q18"/>
    <mergeCell ref="R17:S18"/>
    <mergeCell ref="T17:T18"/>
    <mergeCell ref="U17:V18"/>
    <mergeCell ref="K17:K18"/>
    <mergeCell ref="L17:M18"/>
    <mergeCell ref="B25:D25"/>
    <mergeCell ref="W17:W18"/>
    <mergeCell ref="X17:Y18"/>
    <mergeCell ref="Z17:Z18"/>
    <mergeCell ref="AA17:AB18"/>
    <mergeCell ref="B20:D20"/>
    <mergeCell ref="B21:D21"/>
    <mergeCell ref="B22:D22"/>
    <mergeCell ref="B23:D23"/>
    <mergeCell ref="B24:D24"/>
    <mergeCell ref="R41:AD43"/>
    <mergeCell ref="B26:D26"/>
    <mergeCell ref="B27:D27"/>
    <mergeCell ref="B28:D28"/>
    <mergeCell ref="B29:D29"/>
    <mergeCell ref="B30:D30"/>
    <mergeCell ref="B31:D31"/>
    <mergeCell ref="B32:D32"/>
    <mergeCell ref="B36:D36"/>
    <mergeCell ref="A40:H40"/>
    <mergeCell ref="I40:Q40"/>
    <mergeCell ref="R40:AD40"/>
    <mergeCell ref="B33:D33"/>
    <mergeCell ref="B34:D34"/>
    <mergeCell ref="B35:D35"/>
    <mergeCell ref="A41:H41"/>
    <mergeCell ref="S52:X52"/>
    <mergeCell ref="Y52:AC52"/>
    <mergeCell ref="A53:H53"/>
    <mergeCell ref="I53:Q53"/>
    <mergeCell ref="S53:X53"/>
    <mergeCell ref="Y53:AC53"/>
    <mergeCell ref="I41:Q41"/>
    <mergeCell ref="I47:L47"/>
    <mergeCell ref="M47:Q47"/>
    <mergeCell ref="A52:H52"/>
    <mergeCell ref="I52:Q52"/>
    <mergeCell ref="M50:Q50"/>
    <mergeCell ref="I48:Q48"/>
    <mergeCell ref="I49:Q49"/>
  </mergeCells>
  <printOptions horizontalCentered="1" verticalCentered="1"/>
  <pageMargins left="0" right="0" top="0" bottom="0" header="0" footer="0"/>
  <pageSetup paperSize="9" scale="7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A305-9EB8-4351-B1FE-DC70AB6B195B}">
  <sheetPr codeName="Sayfa25">
    <pageSetUpPr fitToPage="1"/>
  </sheetPr>
  <dimension ref="A1:J56"/>
  <sheetViews>
    <sheetView view="pageBreakPreview" zoomScale="40" zoomScaleNormal="100" zoomScaleSheetLayoutView="40" workbookViewId="0">
      <selection activeCell="BF11" sqref="BF11:BK11"/>
    </sheetView>
  </sheetViews>
  <sheetFormatPr defaultRowHeight="15" customHeight="1" x14ac:dyDescent="0.3"/>
  <cols>
    <col min="1" max="10" width="30.109375" style="707" customWidth="1"/>
    <col min="11" max="16384" width="8.88671875" style="707"/>
  </cols>
  <sheetData>
    <row r="1" spans="1:10" ht="15" customHeight="1" thickBot="1" x14ac:dyDescent="0.35"/>
    <row r="2" spans="1:10" s="708" customFormat="1" ht="37.200000000000003" thickTop="1" x14ac:dyDescent="0.7">
      <c r="A2" s="1298" t="s">
        <v>118</v>
      </c>
      <c r="B2" s="1299"/>
      <c r="C2" s="1299"/>
      <c r="D2" s="1299"/>
      <c r="E2" s="1299"/>
      <c r="F2" s="1299"/>
      <c r="G2" s="1299"/>
      <c r="H2" s="1299"/>
      <c r="I2" s="1299"/>
      <c r="J2" s="1300"/>
    </row>
    <row r="3" spans="1:10" s="708" customFormat="1" ht="36.6" x14ac:dyDescent="0.7">
      <c r="A3" s="1301" t="s">
        <v>1161</v>
      </c>
      <c r="B3" s="1302"/>
      <c r="C3" s="1302"/>
      <c r="D3" s="1302"/>
      <c r="E3" s="1302"/>
      <c r="F3" s="1302"/>
      <c r="G3" s="1302"/>
      <c r="H3" s="1302"/>
      <c r="I3" s="1302"/>
      <c r="J3" s="1303"/>
    </row>
    <row r="4" spans="1:10" s="708" customFormat="1" ht="29.4" customHeight="1" x14ac:dyDescent="0.7">
      <c r="A4" s="1304" t="s">
        <v>1434</v>
      </c>
      <c r="B4" s="1305"/>
      <c r="C4" s="1305"/>
      <c r="D4" s="1305"/>
      <c r="E4" s="1305"/>
      <c r="F4" s="1305"/>
      <c r="G4" s="1305"/>
      <c r="H4" s="1305"/>
      <c r="I4" s="1305"/>
      <c r="J4" s="1306"/>
    </row>
    <row r="5" spans="1:10" s="708" customFormat="1" ht="29.4" customHeight="1" x14ac:dyDescent="0.7">
      <c r="A5" s="1304" t="s">
        <v>1435</v>
      </c>
      <c r="B5" s="1305"/>
      <c r="C5" s="1305"/>
      <c r="D5" s="1305"/>
      <c r="E5" s="1305"/>
      <c r="F5" s="1305"/>
      <c r="G5" s="1305"/>
      <c r="H5" s="1305"/>
      <c r="I5" s="1305"/>
      <c r="J5" s="1306"/>
    </row>
    <row r="6" spans="1:10" s="708" customFormat="1" ht="13.2" customHeight="1" x14ac:dyDescent="0.35">
      <c r="A6" s="1304" t="s">
        <v>37</v>
      </c>
      <c r="B6" s="1305"/>
      <c r="C6" s="1305"/>
      <c r="D6" s="1305"/>
      <c r="E6" s="1305"/>
      <c r="F6" s="1305"/>
      <c r="G6" s="1305"/>
      <c r="H6" s="1305"/>
      <c r="I6" s="1305"/>
      <c r="J6" s="1306"/>
    </row>
    <row r="7" spans="1:10" s="712" customFormat="1" ht="22.95" customHeight="1" thickBot="1" x14ac:dyDescent="0.35">
      <c r="A7" s="1307"/>
      <c r="B7" s="1308"/>
      <c r="C7" s="1308"/>
      <c r="D7" s="1308"/>
      <c r="E7" s="1308"/>
      <c r="F7" s="1308"/>
      <c r="G7" s="1308"/>
      <c r="H7" s="1308"/>
      <c r="I7" s="1308"/>
      <c r="J7" s="1309"/>
    </row>
    <row r="8" spans="1:10" s="712" customFormat="1" ht="22.95" customHeight="1" x14ac:dyDescent="0.7">
      <c r="A8" s="713"/>
      <c r="B8" s="714"/>
      <c r="C8" s="714"/>
      <c r="D8" s="714"/>
      <c r="E8" s="714"/>
      <c r="F8" s="714"/>
      <c r="G8" s="714"/>
      <c r="H8" s="714"/>
      <c r="I8" s="714"/>
      <c r="J8" s="715"/>
    </row>
    <row r="9" spans="1:10" s="712" customFormat="1" ht="22.95" customHeight="1" x14ac:dyDescent="0.7">
      <c r="A9" s="709"/>
      <c r="B9" s="710"/>
      <c r="C9" s="710"/>
      <c r="D9" s="710"/>
      <c r="E9" s="710"/>
      <c r="F9" s="710"/>
      <c r="G9" s="710"/>
      <c r="H9" s="710"/>
      <c r="I9" s="710"/>
      <c r="J9" s="711"/>
    </row>
    <row r="10" spans="1:10" s="712" customFormat="1" ht="22.95" customHeight="1" x14ac:dyDescent="0.7">
      <c r="A10" s="709"/>
      <c r="B10" s="710"/>
      <c r="C10" s="710"/>
      <c r="D10" s="710"/>
      <c r="E10" s="710"/>
      <c r="F10" s="710"/>
      <c r="G10" s="710"/>
      <c r="H10" s="710"/>
      <c r="I10" s="710"/>
      <c r="J10" s="711"/>
    </row>
    <row r="11" spans="1:10" s="712" customFormat="1" ht="22.95" customHeight="1" x14ac:dyDescent="0.7">
      <c r="A11" s="709"/>
      <c r="B11" s="710"/>
      <c r="C11" s="710"/>
      <c r="D11" s="710"/>
      <c r="E11" s="710"/>
      <c r="F11" s="710"/>
      <c r="G11" s="710"/>
      <c r="H11" s="710"/>
      <c r="I11" s="710"/>
      <c r="J11" s="711"/>
    </row>
    <row r="12" spans="1:10" s="712" customFormat="1" ht="22.95" customHeight="1" x14ac:dyDescent="0.7">
      <c r="A12" s="709"/>
      <c r="B12" s="710"/>
      <c r="C12" s="710"/>
      <c r="D12" s="710"/>
      <c r="E12" s="710"/>
      <c r="F12" s="710"/>
      <c r="G12" s="710"/>
      <c r="H12" s="710"/>
      <c r="I12" s="710"/>
      <c r="J12" s="711"/>
    </row>
    <row r="13" spans="1:10" s="712" customFormat="1" ht="22.95" customHeight="1" x14ac:dyDescent="0.7">
      <c r="A13" s="709"/>
      <c r="B13" s="710"/>
      <c r="C13" s="710"/>
      <c r="D13" s="710"/>
      <c r="E13" s="710"/>
      <c r="F13" s="710"/>
      <c r="G13" s="710"/>
      <c r="H13" s="710"/>
      <c r="I13" s="710"/>
      <c r="J13" s="711"/>
    </row>
    <row r="14" spans="1:10" s="712" customFormat="1" ht="22.95" customHeight="1" x14ac:dyDescent="0.7">
      <c r="A14" s="709"/>
      <c r="B14" s="710"/>
      <c r="C14" s="710"/>
      <c r="D14" s="710"/>
      <c r="E14" s="710"/>
      <c r="F14" s="710"/>
      <c r="G14" s="710"/>
      <c r="H14" s="710"/>
      <c r="I14" s="710"/>
      <c r="J14" s="711"/>
    </row>
    <row r="15" spans="1:10" s="712" customFormat="1" ht="22.95" customHeight="1" x14ac:dyDescent="0.7">
      <c r="A15" s="709"/>
      <c r="B15" s="710"/>
      <c r="C15" s="710"/>
      <c r="D15" s="710"/>
      <c r="E15" s="710"/>
      <c r="F15" s="710"/>
      <c r="G15" s="710"/>
      <c r="H15" s="710"/>
      <c r="I15" s="710"/>
      <c r="J15" s="711"/>
    </row>
    <row r="16" spans="1:10" s="712" customFormat="1" ht="22.95" customHeight="1" x14ac:dyDescent="0.7">
      <c r="A16" s="709"/>
      <c r="B16" s="710"/>
      <c r="C16" s="710"/>
      <c r="D16" s="710"/>
      <c r="E16" s="710"/>
      <c r="F16" s="710"/>
      <c r="G16" s="710"/>
      <c r="H16" s="710"/>
      <c r="I16" s="710"/>
      <c r="J16" s="711"/>
    </row>
    <row r="17" spans="1:10" s="712" customFormat="1" ht="22.95" customHeight="1" x14ac:dyDescent="0.7">
      <c r="A17" s="709"/>
      <c r="B17" s="710"/>
      <c r="C17" s="710"/>
      <c r="D17" s="710"/>
      <c r="E17" s="710"/>
      <c r="F17" s="710"/>
      <c r="G17" s="710"/>
      <c r="H17" s="710"/>
      <c r="I17" s="710"/>
      <c r="J17" s="711"/>
    </row>
    <row r="18" spans="1:10" s="712" customFormat="1" ht="22.95" customHeight="1" x14ac:dyDescent="0.7">
      <c r="A18" s="709"/>
      <c r="B18" s="710"/>
      <c r="C18" s="710"/>
      <c r="D18" s="710"/>
      <c r="E18" s="710"/>
      <c r="F18" s="710"/>
      <c r="G18" s="710"/>
      <c r="H18" s="710"/>
      <c r="I18" s="710"/>
      <c r="J18" s="711"/>
    </row>
    <row r="19" spans="1:10" s="712" customFormat="1" ht="22.95" customHeight="1" x14ac:dyDescent="0.7">
      <c r="A19" s="709"/>
      <c r="B19" s="710"/>
      <c r="C19" s="710"/>
      <c r="D19" s="710"/>
      <c r="E19" s="710"/>
      <c r="F19" s="710"/>
      <c r="G19" s="710"/>
      <c r="H19" s="710"/>
      <c r="I19" s="710"/>
      <c r="J19" s="711"/>
    </row>
    <row r="20" spans="1:10" s="712" customFormat="1" ht="22.95" customHeight="1" x14ac:dyDescent="0.7">
      <c r="A20" s="709"/>
      <c r="B20" s="710"/>
      <c r="C20" s="710"/>
      <c r="D20" s="710"/>
      <c r="E20" s="710"/>
      <c r="F20" s="710"/>
      <c r="G20" s="710"/>
      <c r="H20" s="710"/>
      <c r="I20" s="710"/>
      <c r="J20" s="711"/>
    </row>
    <row r="21" spans="1:10" s="712" customFormat="1" ht="22.95" customHeight="1" x14ac:dyDescent="0.7">
      <c r="A21" s="709"/>
      <c r="B21" s="710"/>
      <c r="C21" s="710"/>
      <c r="D21" s="710"/>
      <c r="E21" s="710"/>
      <c r="F21" s="710"/>
      <c r="G21" s="710"/>
      <c r="H21" s="710"/>
      <c r="I21" s="710"/>
      <c r="J21" s="711"/>
    </row>
    <row r="22" spans="1:10" s="712" customFormat="1" ht="22.95" customHeight="1" x14ac:dyDescent="0.3">
      <c r="A22" s="1310" t="s">
        <v>1468</v>
      </c>
      <c r="B22" s="1311"/>
      <c r="C22" s="1311"/>
      <c r="D22" s="1311"/>
      <c r="E22" s="1311"/>
      <c r="F22" s="1311"/>
      <c r="G22" s="1311"/>
      <c r="H22" s="1311"/>
      <c r="I22" s="1311"/>
      <c r="J22" s="1312"/>
    </row>
    <row r="23" spans="1:10" ht="15" customHeight="1" x14ac:dyDescent="0.3">
      <c r="A23" s="1310"/>
      <c r="B23" s="1311"/>
      <c r="C23" s="1311"/>
      <c r="D23" s="1311"/>
      <c r="E23" s="1311"/>
      <c r="F23" s="1311"/>
      <c r="G23" s="1311"/>
      <c r="H23" s="1311"/>
      <c r="I23" s="1311"/>
      <c r="J23" s="1312"/>
    </row>
    <row r="24" spans="1:10" ht="15" customHeight="1" x14ac:dyDescent="0.3">
      <c r="A24" s="1310"/>
      <c r="B24" s="1311"/>
      <c r="C24" s="1311"/>
      <c r="D24" s="1311"/>
      <c r="E24" s="1311"/>
      <c r="F24" s="1311"/>
      <c r="G24" s="1311"/>
      <c r="H24" s="1311"/>
      <c r="I24" s="1311"/>
      <c r="J24" s="1312"/>
    </row>
    <row r="25" spans="1:10" ht="15" customHeight="1" x14ac:dyDescent="0.7">
      <c r="A25" s="716"/>
      <c r="B25" s="717"/>
      <c r="C25" s="717"/>
      <c r="D25" s="717"/>
      <c r="E25" s="717"/>
      <c r="F25" s="717"/>
      <c r="G25" s="717"/>
      <c r="H25" s="717"/>
      <c r="I25" s="717"/>
      <c r="J25" s="718"/>
    </row>
    <row r="26" spans="1:10" ht="15" customHeight="1" x14ac:dyDescent="0.7">
      <c r="A26" s="716"/>
      <c r="B26" s="717"/>
      <c r="C26" s="717"/>
      <c r="D26" s="717"/>
      <c r="E26" s="717"/>
      <c r="F26" s="717"/>
      <c r="G26" s="717"/>
      <c r="H26" s="717"/>
      <c r="I26" s="717"/>
      <c r="J26" s="718"/>
    </row>
    <row r="27" spans="1:10" ht="24" customHeight="1" x14ac:dyDescent="0.3">
      <c r="A27" s="1313">
        <f>+Veri!$C$21</f>
        <v>6</v>
      </c>
      <c r="B27" s="1314"/>
      <c r="C27" s="1314"/>
      <c r="D27" s="1314"/>
      <c r="E27" s="1314"/>
      <c r="F27" s="1314"/>
      <c r="G27" s="1314"/>
      <c r="H27" s="1314"/>
      <c r="I27" s="1314"/>
      <c r="J27" s="1315"/>
    </row>
    <row r="28" spans="1:10" s="719" customFormat="1" ht="24" customHeight="1" x14ac:dyDescent="0.3">
      <c r="A28" s="1313"/>
      <c r="B28" s="1314"/>
      <c r="C28" s="1314"/>
      <c r="D28" s="1314"/>
      <c r="E28" s="1314"/>
      <c r="F28" s="1314"/>
      <c r="G28" s="1314"/>
      <c r="H28" s="1314"/>
      <c r="I28" s="1314"/>
      <c r="J28" s="1315"/>
    </row>
    <row r="29" spans="1:10" s="719" customFormat="1" ht="24" customHeight="1" x14ac:dyDescent="0.7">
      <c r="A29" s="1316"/>
      <c r="B29" s="1317"/>
      <c r="C29" s="1317"/>
      <c r="D29" s="1317"/>
      <c r="E29" s="1317"/>
      <c r="F29" s="1317"/>
      <c r="G29" s="1317"/>
      <c r="H29" s="1317"/>
      <c r="I29" s="1317"/>
      <c r="J29" s="1318"/>
    </row>
    <row r="30" spans="1:10" s="719" customFormat="1" ht="24" customHeight="1" x14ac:dyDescent="0.3">
      <c r="A30" s="1319" t="str">
        <f>+[9]İcmal!B16</f>
        <v>Hakediş Tarihi:</v>
      </c>
      <c r="B30" s="1320"/>
      <c r="C30" s="1320"/>
      <c r="D30" s="1320"/>
      <c r="E30" s="1320"/>
      <c r="F30" s="1321">
        <f>Veri!$C$22</f>
        <v>46142</v>
      </c>
      <c r="G30" s="1321"/>
      <c r="H30" s="1321"/>
      <c r="I30" s="1321"/>
      <c r="J30" s="1322"/>
    </row>
    <row r="31" spans="1:10" ht="24" customHeight="1" x14ac:dyDescent="0.3">
      <c r="A31" s="1319"/>
      <c r="B31" s="1320"/>
      <c r="C31" s="1320"/>
      <c r="D31" s="1320"/>
      <c r="E31" s="1320"/>
      <c r="F31" s="1321"/>
      <c r="G31" s="1321"/>
      <c r="H31" s="1321"/>
      <c r="I31" s="1321"/>
      <c r="J31" s="1322"/>
    </row>
    <row r="32" spans="1:10" ht="24" customHeight="1" x14ac:dyDescent="0.7">
      <c r="A32" s="716"/>
      <c r="B32" s="717"/>
      <c r="C32" s="717"/>
      <c r="D32" s="717"/>
      <c r="E32" s="717"/>
      <c r="F32" s="717"/>
      <c r="G32" s="717"/>
      <c r="H32" s="717"/>
      <c r="I32" s="717"/>
      <c r="J32" s="718"/>
    </row>
    <row r="33" spans="1:10" ht="24" customHeight="1" x14ac:dyDescent="0.7">
      <c r="A33" s="716"/>
      <c r="B33" s="717"/>
      <c r="C33" s="717"/>
      <c r="D33" s="717"/>
      <c r="E33" s="717"/>
      <c r="F33" s="717"/>
      <c r="G33" s="717"/>
      <c r="H33" s="717"/>
      <c r="I33" s="717"/>
      <c r="J33" s="718"/>
    </row>
    <row r="34" spans="1:10" ht="24" customHeight="1" x14ac:dyDescent="0.7">
      <c r="A34" s="716"/>
      <c r="B34" s="717"/>
      <c r="C34" s="717"/>
      <c r="D34" s="717"/>
      <c r="E34" s="717"/>
      <c r="F34" s="717"/>
      <c r="G34" s="717"/>
      <c r="H34" s="717"/>
      <c r="I34" s="717"/>
      <c r="J34" s="718"/>
    </row>
    <row r="35" spans="1:10" ht="24" customHeight="1" x14ac:dyDescent="0.3">
      <c r="A35" s="1292"/>
      <c r="B35" s="1293"/>
      <c r="C35" s="1293"/>
      <c r="D35" s="1293"/>
      <c r="E35" s="1293"/>
      <c r="F35" s="1293"/>
      <c r="G35" s="1293"/>
      <c r="H35" s="1293"/>
      <c r="I35" s="1293"/>
      <c r="J35" s="1294"/>
    </row>
    <row r="36" spans="1:10" ht="24" customHeight="1" x14ac:dyDescent="0.3">
      <c r="A36" s="1292"/>
      <c r="B36" s="1293"/>
      <c r="C36" s="1293"/>
      <c r="D36" s="1293"/>
      <c r="E36" s="1293"/>
      <c r="F36" s="1293"/>
      <c r="G36" s="1293"/>
      <c r="H36" s="1293"/>
      <c r="I36" s="1293"/>
      <c r="J36" s="1294"/>
    </row>
    <row r="37" spans="1:10" ht="24" customHeight="1" x14ac:dyDescent="0.3">
      <c r="A37" s="720"/>
      <c r="B37" s="721"/>
      <c r="C37" s="721"/>
      <c r="D37" s="721"/>
      <c r="E37" s="721"/>
      <c r="F37" s="721"/>
      <c r="G37" s="721"/>
      <c r="H37" s="721"/>
      <c r="I37" s="721"/>
      <c r="J37" s="722"/>
    </row>
    <row r="38" spans="1:10" ht="24" customHeight="1" x14ac:dyDescent="0.3">
      <c r="A38" s="720"/>
      <c r="B38" s="721"/>
      <c r="C38" s="721"/>
      <c r="D38" s="721"/>
      <c r="E38" s="721"/>
      <c r="F38" s="721"/>
      <c r="G38" s="721"/>
      <c r="H38" s="721"/>
      <c r="I38" s="721"/>
      <c r="J38" s="722"/>
    </row>
    <row r="39" spans="1:10" ht="24" customHeight="1" x14ac:dyDescent="0.3">
      <c r="A39" s="720"/>
      <c r="B39" s="721"/>
      <c r="C39" s="721"/>
      <c r="D39" s="721"/>
      <c r="E39" s="721"/>
      <c r="F39" s="721"/>
      <c r="G39" s="721"/>
      <c r="H39" s="721"/>
      <c r="I39" s="721"/>
      <c r="J39" s="722"/>
    </row>
    <row r="40" spans="1:10" ht="24" customHeight="1" x14ac:dyDescent="0.3">
      <c r="A40" s="720"/>
      <c r="B40" s="721"/>
      <c r="C40" s="721"/>
      <c r="D40" s="721"/>
      <c r="E40" s="721"/>
      <c r="F40" s="721"/>
      <c r="G40" s="721"/>
      <c r="H40" s="721"/>
      <c r="I40" s="721"/>
      <c r="J40" s="722"/>
    </row>
    <row r="41" spans="1:10" ht="24" customHeight="1" x14ac:dyDescent="0.3">
      <c r="A41" s="720"/>
      <c r="B41" s="721"/>
      <c r="C41" s="721"/>
      <c r="D41" s="721"/>
      <c r="E41" s="721"/>
      <c r="F41" s="721"/>
      <c r="G41" s="721"/>
      <c r="H41" s="721"/>
      <c r="I41" s="721"/>
      <c r="J41" s="722"/>
    </row>
    <row r="42" spans="1:10" ht="24" customHeight="1" x14ac:dyDescent="0.3">
      <c r="A42" s="720"/>
      <c r="B42" s="721"/>
      <c r="C42" s="721"/>
      <c r="D42" s="721"/>
      <c r="E42" s="721"/>
      <c r="F42" s="721"/>
      <c r="G42" s="721"/>
      <c r="H42" s="721"/>
      <c r="I42" s="721"/>
      <c r="J42" s="722"/>
    </row>
    <row r="43" spans="1:10" ht="24" customHeight="1" x14ac:dyDescent="0.3">
      <c r="A43" s="720"/>
      <c r="B43" s="721"/>
      <c r="C43" s="721"/>
      <c r="D43" s="721"/>
      <c r="E43" s="721"/>
      <c r="F43" s="721"/>
      <c r="G43" s="721"/>
      <c r="H43" s="721"/>
      <c r="I43" s="721"/>
      <c r="J43" s="722"/>
    </row>
    <row r="44" spans="1:10" ht="24" customHeight="1" x14ac:dyDescent="0.3">
      <c r="A44" s="720"/>
      <c r="B44" s="721"/>
      <c r="C44" s="721"/>
      <c r="D44" s="721"/>
      <c r="E44" s="721"/>
      <c r="F44" s="721"/>
      <c r="G44" s="721"/>
      <c r="H44" s="721"/>
      <c r="I44" s="721"/>
      <c r="J44" s="722"/>
    </row>
    <row r="45" spans="1:10" ht="24" customHeight="1" x14ac:dyDescent="0.3">
      <c r="A45" s="720"/>
      <c r="B45" s="721"/>
      <c r="C45" s="721"/>
      <c r="D45" s="721"/>
      <c r="E45" s="721"/>
      <c r="F45" s="721"/>
      <c r="G45" s="721"/>
      <c r="H45" s="721"/>
      <c r="I45" s="721"/>
      <c r="J45" s="722"/>
    </row>
    <row r="46" spans="1:10" ht="24" customHeight="1" x14ac:dyDescent="0.3">
      <c r="A46" s="720"/>
      <c r="B46" s="721"/>
      <c r="C46" s="721"/>
      <c r="D46" s="721"/>
      <c r="E46" s="721"/>
      <c r="F46" s="721"/>
      <c r="G46" s="721"/>
      <c r="H46" s="721"/>
      <c r="I46" s="721"/>
      <c r="J46" s="722"/>
    </row>
    <row r="47" spans="1:10" ht="24" customHeight="1" x14ac:dyDescent="0.3">
      <c r="A47" s="720"/>
      <c r="B47" s="721"/>
      <c r="C47" s="721"/>
      <c r="D47" s="721"/>
      <c r="E47" s="721"/>
      <c r="F47" s="721"/>
      <c r="G47" s="721"/>
      <c r="H47" s="721"/>
      <c r="I47" s="721"/>
      <c r="J47" s="722"/>
    </row>
    <row r="48" spans="1:10" ht="24" customHeight="1" x14ac:dyDescent="0.3">
      <c r="A48" s="720"/>
      <c r="B48" s="721"/>
      <c r="C48" s="721"/>
      <c r="D48" s="721"/>
      <c r="E48" s="721"/>
      <c r="F48" s="721"/>
      <c r="G48" s="721"/>
      <c r="H48" s="721"/>
      <c r="I48" s="721"/>
      <c r="J48" s="722"/>
    </row>
    <row r="49" spans="1:10" ht="24" customHeight="1" x14ac:dyDescent="0.3">
      <c r="A49" s="720"/>
      <c r="B49" s="721"/>
      <c r="C49" s="721"/>
      <c r="D49" s="721"/>
      <c r="E49" s="721"/>
      <c r="F49" s="721"/>
      <c r="G49" s="721"/>
      <c r="H49" s="721"/>
      <c r="I49" s="721"/>
      <c r="J49" s="722"/>
    </row>
    <row r="50" spans="1:10" ht="24" customHeight="1" x14ac:dyDescent="0.3">
      <c r="A50" s="720"/>
      <c r="B50" s="721"/>
      <c r="C50" s="721"/>
      <c r="D50" s="721"/>
      <c r="E50" s="721"/>
      <c r="F50" s="721"/>
      <c r="G50" s="721"/>
      <c r="H50" s="721"/>
      <c r="I50" s="721"/>
      <c r="J50" s="722"/>
    </row>
    <row r="51" spans="1:10" ht="15" customHeight="1" x14ac:dyDescent="0.3">
      <c r="A51" s="720"/>
      <c r="B51" s="721"/>
      <c r="C51" s="721"/>
      <c r="D51" s="721"/>
      <c r="E51" s="721"/>
      <c r="F51" s="721"/>
      <c r="G51" s="721"/>
      <c r="H51" s="721"/>
      <c r="I51" s="721"/>
      <c r="J51" s="722"/>
    </row>
    <row r="52" spans="1:10" ht="15" customHeight="1" x14ac:dyDescent="0.7">
      <c r="A52" s="716"/>
      <c r="B52" s="717"/>
      <c r="C52" s="717"/>
      <c r="D52" s="717"/>
      <c r="E52" s="717"/>
      <c r="F52" s="717"/>
      <c r="G52" s="717"/>
      <c r="H52" s="717"/>
      <c r="I52" s="717"/>
      <c r="J52" s="718"/>
    </row>
    <row r="53" spans="1:10" ht="15" customHeight="1" x14ac:dyDescent="0.7">
      <c r="A53" s="716"/>
      <c r="B53" s="717"/>
      <c r="C53" s="717"/>
      <c r="D53" s="717"/>
      <c r="E53" s="717"/>
      <c r="F53" s="717"/>
      <c r="G53" s="717"/>
      <c r="H53" s="717"/>
      <c r="I53" s="717"/>
      <c r="J53" s="718"/>
    </row>
    <row r="54" spans="1:10" ht="15" customHeight="1" x14ac:dyDescent="0.3">
      <c r="A54" s="1292"/>
      <c r="B54" s="1293"/>
      <c r="C54" s="1293"/>
      <c r="D54" s="1293"/>
      <c r="E54" s="1293"/>
      <c r="F54" s="1293"/>
      <c r="G54" s="1293"/>
      <c r="H54" s="1293"/>
      <c r="I54" s="1293"/>
      <c r="J54" s="1294"/>
    </row>
    <row r="55" spans="1:10" ht="15" customHeight="1" thickBot="1" x14ac:dyDescent="0.35">
      <c r="A55" s="1295"/>
      <c r="B55" s="1296"/>
      <c r="C55" s="1296"/>
      <c r="D55" s="1296"/>
      <c r="E55" s="1296"/>
      <c r="F55" s="1296"/>
      <c r="G55" s="1296"/>
      <c r="H55" s="1296"/>
      <c r="I55" s="1296"/>
      <c r="J55" s="1297"/>
    </row>
    <row r="56" spans="1:10" ht="15" customHeight="1" thickTop="1" x14ac:dyDescent="0.3"/>
  </sheetData>
  <mergeCells count="12">
    <mergeCell ref="A54:J55"/>
    <mergeCell ref="A2:J2"/>
    <mergeCell ref="A3:J3"/>
    <mergeCell ref="A4:J4"/>
    <mergeCell ref="A5:J5"/>
    <mergeCell ref="A6:J7"/>
    <mergeCell ref="A22:J24"/>
    <mergeCell ref="A27:J28"/>
    <mergeCell ref="A29:J29"/>
    <mergeCell ref="A30:E31"/>
    <mergeCell ref="F30:J31"/>
    <mergeCell ref="A35:J36"/>
  </mergeCells>
  <printOptions horizontalCentered="1" verticalCentered="1"/>
  <pageMargins left="0.19685039370078741" right="0.19685039370078741" top="0.19685039370078741" bottom="0.19685039370078741" header="0.31496062992125984" footer="0.31496062992125984"/>
  <pageSetup paperSize="9" scale="45"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55A8A-2E87-419F-8BE6-6AC274718D0E}">
  <sheetPr codeName="Sayfa26">
    <pageSetUpPr fitToPage="1"/>
  </sheetPr>
  <dimension ref="A1:AK563"/>
  <sheetViews>
    <sheetView showGridLines="0" view="pageBreakPreview" topLeftCell="A7" zoomScale="55" zoomScaleNormal="100" zoomScaleSheetLayoutView="55" workbookViewId="0">
      <selection activeCell="BF11" sqref="BF11:BK11"/>
    </sheetView>
  </sheetViews>
  <sheetFormatPr defaultRowHeight="15" customHeight="1" x14ac:dyDescent="0.3"/>
  <cols>
    <col min="1" max="2" width="8.88671875" style="11"/>
    <col min="3" max="3" width="9.109375" style="28" bestFit="1" customWidth="1"/>
    <col min="4" max="4" width="8.88671875" style="11"/>
    <col min="5" max="7" width="25.77734375" style="11" customWidth="1"/>
    <col min="8" max="8" width="10.109375" style="11" bestFit="1" customWidth="1"/>
    <col min="9" max="21" width="28.44140625" style="11" customWidth="1"/>
    <col min="22" max="22" width="17.77734375" style="11" bestFit="1" customWidth="1"/>
    <col min="23" max="23" width="15" hidden="1" customWidth="1"/>
    <col min="24" max="24" width="15.5546875" customWidth="1"/>
    <col min="25" max="16384" width="8.88671875" style="11"/>
  </cols>
  <sheetData>
    <row r="1" spans="1:24" s="800" customFormat="1" ht="20.399999999999999" customHeight="1" x14ac:dyDescent="0.4">
      <c r="C1" s="811"/>
      <c r="U1" s="808"/>
      <c r="W1" s="807"/>
      <c r="X1" s="807"/>
    </row>
    <row r="2" spans="1:24" s="800" customFormat="1" ht="20.399999999999999" customHeight="1" x14ac:dyDescent="0.4">
      <c r="C2" s="1239" t="s">
        <v>118</v>
      </c>
      <c r="D2" s="1239"/>
      <c r="E2" s="1239"/>
      <c r="F2" s="1239"/>
      <c r="G2" s="1239"/>
      <c r="H2" s="1239"/>
      <c r="I2" s="1239"/>
      <c r="J2" s="1239"/>
      <c r="K2" s="1239"/>
      <c r="L2" s="1239"/>
      <c r="M2" s="1239"/>
      <c r="N2" s="1239"/>
      <c r="O2" s="1239"/>
      <c r="P2" s="1239"/>
      <c r="Q2" s="1239"/>
      <c r="R2" s="1239"/>
      <c r="S2" s="1239"/>
      <c r="T2" s="1239"/>
      <c r="U2" s="1347"/>
      <c r="W2" s="807">
        <f>+'Yeşil Defter'!$K$16</f>
        <v>0</v>
      </c>
      <c r="X2" s="807"/>
    </row>
    <row r="3" spans="1:24" s="800" customFormat="1" ht="20.399999999999999" customHeight="1" x14ac:dyDescent="0.4">
      <c r="C3" s="1239" t="s">
        <v>1161</v>
      </c>
      <c r="D3" s="1239"/>
      <c r="E3" s="1239"/>
      <c r="F3" s="1239"/>
      <c r="G3" s="1239"/>
      <c r="H3" s="1239"/>
      <c r="I3" s="1239"/>
      <c r="J3" s="1239"/>
      <c r="K3" s="1239"/>
      <c r="L3" s="1239"/>
      <c r="M3" s="1239"/>
      <c r="N3" s="1239"/>
      <c r="O3" s="1239"/>
      <c r="P3" s="1239"/>
      <c r="Q3" s="1239"/>
      <c r="R3" s="1239"/>
      <c r="S3" s="1239"/>
      <c r="T3" s="1239"/>
      <c r="U3" s="1347"/>
      <c r="W3" s="807">
        <f>+'Yeşil Defter'!$K$17</f>
        <v>0</v>
      </c>
      <c r="X3" s="807"/>
    </row>
    <row r="4" spans="1:24" s="800" customFormat="1" ht="20.399999999999999" customHeight="1" x14ac:dyDescent="0.4">
      <c r="C4" s="1238" t="s">
        <v>1432</v>
      </c>
      <c r="D4" s="1238"/>
      <c r="E4" s="1238"/>
      <c r="F4" s="1238"/>
      <c r="G4" s="1238"/>
      <c r="H4" s="1238"/>
      <c r="I4" s="1238"/>
      <c r="J4" s="1238"/>
      <c r="K4" s="1238"/>
      <c r="L4" s="1238"/>
      <c r="M4" s="1238"/>
      <c r="N4" s="1238"/>
      <c r="O4" s="1238"/>
      <c r="P4" s="1238"/>
      <c r="Q4" s="1238"/>
      <c r="R4" s="1238"/>
      <c r="S4" s="1238"/>
      <c r="T4" s="1238"/>
      <c r="U4" s="1348"/>
      <c r="W4" s="807">
        <f>+'Yeşil Defter'!$K$18</f>
        <v>0</v>
      </c>
      <c r="X4" s="807"/>
    </row>
    <row r="5" spans="1:24" s="800" customFormat="1" ht="20.399999999999999" customHeight="1" x14ac:dyDescent="0.4">
      <c r="C5" s="811"/>
      <c r="U5" s="808"/>
      <c r="W5" s="807">
        <f>+'Yeşil Defter'!$K$19</f>
        <v>0</v>
      </c>
      <c r="X5" s="807"/>
    </row>
    <row r="6" spans="1:24" s="800" customFormat="1" ht="20.399999999999999" customHeight="1" x14ac:dyDescent="0.4">
      <c r="C6" s="1238" t="s">
        <v>37</v>
      </c>
      <c r="D6" s="1238"/>
      <c r="E6" s="1238"/>
      <c r="F6" s="1238"/>
      <c r="G6" s="1238"/>
      <c r="H6" s="1238"/>
      <c r="I6" s="1238"/>
      <c r="J6" s="1238"/>
      <c r="K6" s="1238"/>
      <c r="L6" s="1238"/>
      <c r="M6" s="1238"/>
      <c r="N6" s="1238"/>
      <c r="O6" s="1238"/>
      <c r="P6" s="1238"/>
      <c r="Q6" s="1238"/>
      <c r="R6" s="1238"/>
      <c r="S6" s="1238"/>
      <c r="T6" s="1238"/>
      <c r="U6" s="1348"/>
      <c r="W6" s="807">
        <f>+'Yeşil Defter'!$K$20</f>
        <v>0</v>
      </c>
      <c r="X6" s="807"/>
    </row>
    <row r="7" spans="1:24" s="800" customFormat="1" ht="20.399999999999999" customHeight="1" x14ac:dyDescent="0.4">
      <c r="C7" s="1239" t="s">
        <v>1347</v>
      </c>
      <c r="D7" s="1239"/>
      <c r="E7" s="1239"/>
      <c r="F7" s="1239"/>
      <c r="G7" s="1239"/>
      <c r="H7" s="1239"/>
      <c r="I7" s="1239"/>
      <c r="J7" s="1239"/>
      <c r="K7" s="1239"/>
      <c r="L7" s="1239"/>
      <c r="M7" s="1239"/>
      <c r="N7" s="1239"/>
      <c r="O7" s="1239"/>
      <c r="P7" s="1239"/>
      <c r="Q7" s="1239"/>
      <c r="R7" s="1239"/>
      <c r="S7" s="1239"/>
      <c r="T7" s="1239"/>
      <c r="U7" s="1347"/>
      <c r="W7" s="807">
        <f>+'Yeşil Defter'!$K$21</f>
        <v>0</v>
      </c>
      <c r="X7" s="807"/>
    </row>
    <row r="8" spans="1:24" s="800" customFormat="1" ht="20.399999999999999" customHeight="1" x14ac:dyDescent="0.4">
      <c r="C8" s="811"/>
      <c r="E8" s="812"/>
      <c r="F8" s="812"/>
      <c r="G8" s="812"/>
      <c r="H8" s="812"/>
      <c r="I8" s="812"/>
      <c r="J8" s="812"/>
      <c r="K8" s="812"/>
      <c r="L8" s="812"/>
      <c r="M8" s="812"/>
      <c r="N8" s="812"/>
      <c r="O8" s="812"/>
      <c r="P8" s="812"/>
      <c r="Q8" s="812"/>
      <c r="R8" s="812"/>
      <c r="S8" s="812"/>
      <c r="T8" s="802" t="s">
        <v>208</v>
      </c>
      <c r="U8" s="809">
        <f>+Veri!$C$22</f>
        <v>46142</v>
      </c>
      <c r="W8" s="807">
        <f>+'Yeşil Defter'!$K$22</f>
        <v>0</v>
      </c>
      <c r="X8" s="807"/>
    </row>
    <row r="9" spans="1:24" ht="20.399999999999999" customHeight="1" x14ac:dyDescent="0.3">
      <c r="T9" s="813" t="s">
        <v>209</v>
      </c>
      <c r="U9" s="810">
        <f>+Veri!$C$21</f>
        <v>6</v>
      </c>
      <c r="W9">
        <f>+'Yeşil Defter'!$K$23</f>
        <v>0</v>
      </c>
    </row>
    <row r="10" spans="1:24" ht="15" customHeight="1" x14ac:dyDescent="0.3">
      <c r="U10" s="26"/>
      <c r="W10">
        <f>+'Yeşil Defter'!$K$24</f>
        <v>0</v>
      </c>
    </row>
    <row r="11" spans="1:24" s="793" customFormat="1" ht="18" x14ac:dyDescent="0.35">
      <c r="C11" s="730"/>
      <c r="E11" s="823"/>
      <c r="F11" s="823"/>
      <c r="G11" s="823"/>
      <c r="H11" s="824"/>
      <c r="I11" s="824"/>
      <c r="J11" s="1349">
        <v>46112</v>
      </c>
      <c r="K11" s="1350"/>
      <c r="L11" s="1350"/>
      <c r="M11" s="1350"/>
      <c r="N11" s="1350"/>
      <c r="O11" s="1351"/>
      <c r="P11" s="1349" t="s">
        <v>1160</v>
      </c>
      <c r="Q11" s="1350"/>
      <c r="R11" s="1350"/>
      <c r="S11" s="1350"/>
      <c r="T11" s="1350"/>
      <c r="U11" s="1351"/>
      <c r="W11" s="799">
        <f>+'Yeşil Defter'!$K$25</f>
        <v>0</v>
      </c>
      <c r="X11" s="799"/>
    </row>
    <row r="12" spans="1:24" s="793" customFormat="1" ht="18" x14ac:dyDescent="0.35">
      <c r="C12" s="825"/>
      <c r="D12" s="826"/>
      <c r="E12" s="827"/>
      <c r="F12" s="827"/>
      <c r="G12" s="827"/>
      <c r="H12" s="828"/>
      <c r="I12" s="828"/>
      <c r="J12" s="1349" t="s">
        <v>1457</v>
      </c>
      <c r="K12" s="1350"/>
      <c r="L12" s="1350"/>
      <c r="M12" s="1349" t="s">
        <v>1458</v>
      </c>
      <c r="N12" s="1350"/>
      <c r="O12" s="1351"/>
      <c r="P12" s="1349" t="s">
        <v>1457</v>
      </c>
      <c r="Q12" s="1350"/>
      <c r="R12" s="1351"/>
      <c r="S12" s="1349" t="s">
        <v>1458</v>
      </c>
      <c r="T12" s="1350"/>
      <c r="U12" s="1351"/>
      <c r="W12" s="799">
        <f>+'Yeşil Defter'!$K$26</f>
        <v>0</v>
      </c>
      <c r="X12" s="799"/>
    </row>
    <row r="13" spans="1:24" s="793" customFormat="1" ht="30" customHeight="1" x14ac:dyDescent="0.35">
      <c r="C13" s="829" t="s">
        <v>1156</v>
      </c>
      <c r="D13" s="830" t="s">
        <v>1157</v>
      </c>
      <c r="E13" s="1352" t="s">
        <v>1155</v>
      </c>
      <c r="F13" s="1352"/>
      <c r="G13" s="1352"/>
      <c r="H13" s="829" t="s">
        <v>1154</v>
      </c>
      <c r="I13" s="831" t="s">
        <v>1221</v>
      </c>
      <c r="J13" s="831" t="s">
        <v>1459</v>
      </c>
      <c r="K13" s="831" t="s">
        <v>1460</v>
      </c>
      <c r="L13" s="831" t="s">
        <v>1160</v>
      </c>
      <c r="M13" s="831" t="s">
        <v>1461</v>
      </c>
      <c r="N13" s="831" t="s">
        <v>1462</v>
      </c>
      <c r="O13" s="831" t="s">
        <v>1463</v>
      </c>
      <c r="P13" s="831" t="s">
        <v>1459</v>
      </c>
      <c r="Q13" s="831" t="s">
        <v>1460</v>
      </c>
      <c r="R13" s="831" t="s">
        <v>1160</v>
      </c>
      <c r="S13" s="831" t="s">
        <v>1461</v>
      </c>
      <c r="T13" s="831" t="s">
        <v>1462</v>
      </c>
      <c r="U13" s="831" t="s">
        <v>1463</v>
      </c>
      <c r="W13" s="799">
        <f>+'Yeşil Defter'!$K$27</f>
        <v>0</v>
      </c>
      <c r="X13" s="799"/>
    </row>
    <row r="14" spans="1:24" ht="25.05" customHeight="1" x14ac:dyDescent="0.3">
      <c r="A14" s="23" t="s">
        <v>1241</v>
      </c>
      <c r="C14" s="832" t="s">
        <v>1228</v>
      </c>
      <c r="D14" s="833"/>
      <c r="E14" s="833"/>
      <c r="F14" s="833"/>
      <c r="G14" s="833"/>
      <c r="H14" s="834"/>
      <c r="I14" s="835"/>
      <c r="J14" s="836"/>
      <c r="K14" s="836"/>
      <c r="L14" s="836"/>
      <c r="M14" s="836"/>
      <c r="N14" s="836"/>
      <c r="O14" s="836"/>
      <c r="P14" s="836"/>
      <c r="Q14" s="836"/>
      <c r="R14" s="836"/>
      <c r="S14" s="836"/>
      <c r="T14" s="837"/>
      <c r="U14" s="838"/>
      <c r="W14">
        <f>+'Yeşil Defter'!$K$28</f>
        <v>0</v>
      </c>
    </row>
    <row r="15" spans="1:24" ht="25.05" customHeight="1" x14ac:dyDescent="0.3">
      <c r="A15" s="262" t="s">
        <v>1240</v>
      </c>
      <c r="C15" s="839"/>
      <c r="D15" s="840" t="s">
        <v>1223</v>
      </c>
      <c r="E15" s="841"/>
      <c r="F15" s="841"/>
      <c r="G15" s="841"/>
      <c r="H15" s="841"/>
      <c r="I15" s="841"/>
      <c r="J15" s="842"/>
      <c r="K15" s="842"/>
      <c r="L15" s="842"/>
      <c r="M15" s="843">
        <f>+M16+M66+M98+M292+M373+M392+M457</f>
        <v>1473882532.1499999</v>
      </c>
      <c r="N15" s="843" t="e">
        <f>+N16+N66+N98+N292+N373+N392+N457</f>
        <v>#REF!</v>
      </c>
      <c r="O15" s="843" t="e">
        <f>+O16+O66+O98+O292+O373+O392+O457</f>
        <v>#REF!</v>
      </c>
      <c r="P15" s="842"/>
      <c r="Q15" s="842"/>
      <c r="R15" s="842"/>
      <c r="S15" s="843">
        <f>+M15</f>
        <v>1473882532.1499999</v>
      </c>
      <c r="T15" s="843" t="e">
        <f>+T16+T66+T98+T292+T373+T392+T457</f>
        <v>#REF!</v>
      </c>
      <c r="U15" s="843" t="e">
        <f>+O15</f>
        <v>#REF!</v>
      </c>
      <c r="V15" s="307"/>
      <c r="W15">
        <f>+'Yeşil Defter'!$K$29</f>
        <v>0</v>
      </c>
      <c r="X15" s="766"/>
    </row>
    <row r="16" spans="1:24" ht="25.05" customHeight="1" x14ac:dyDescent="0.3">
      <c r="A16" s="262">
        <v>1</v>
      </c>
      <c r="C16" s="844"/>
      <c r="D16" s="845" t="s">
        <v>1224</v>
      </c>
      <c r="E16" s="846"/>
      <c r="F16" s="846"/>
      <c r="G16" s="846"/>
      <c r="H16" s="846"/>
      <c r="I16" s="846"/>
      <c r="J16" s="847"/>
      <c r="K16" s="847"/>
      <c r="L16" s="847"/>
      <c r="M16" s="848">
        <f>SUM(M17:M65)</f>
        <v>8968246.0999999996</v>
      </c>
      <c r="N16" s="848">
        <f>SUM(N17:N65)</f>
        <v>0</v>
      </c>
      <c r="O16" s="848">
        <f>SUM(O17:O65)</f>
        <v>8968246.0999999996</v>
      </c>
      <c r="P16" s="847"/>
      <c r="Q16" s="847"/>
      <c r="R16" s="847"/>
      <c r="S16" s="843">
        <f t="shared" ref="S16:S79" si="0">+M16</f>
        <v>8968246.0999999996</v>
      </c>
      <c r="T16" s="843">
        <f t="shared" ref="T16:T80" si="1">+U16-S16</f>
        <v>0</v>
      </c>
      <c r="U16" s="843">
        <f t="shared" ref="U16:U79" si="2">+O16</f>
        <v>8968246.0999999996</v>
      </c>
      <c r="V16" s="307"/>
      <c r="W16">
        <f>+'Yeşil Defter'!$K$30</f>
        <v>0</v>
      </c>
      <c r="X16" s="766"/>
    </row>
    <row r="17" spans="1:25" ht="19.95" hidden="1" customHeight="1" x14ac:dyDescent="0.3">
      <c r="A17" s="262" t="s">
        <v>151</v>
      </c>
      <c r="C17" s="849">
        <v>1</v>
      </c>
      <c r="D17" s="850" t="s">
        <v>223</v>
      </c>
      <c r="E17" s="1346" t="s">
        <v>224</v>
      </c>
      <c r="F17" s="1346"/>
      <c r="G17" s="1346"/>
      <c r="H17" s="849" t="s">
        <v>225</v>
      </c>
      <c r="I17" s="851">
        <v>500</v>
      </c>
      <c r="J17" s="852">
        <f>+'Yeşil Defter Dönemsel'!L16</f>
        <v>0</v>
      </c>
      <c r="K17" s="852">
        <f>+'Yeşil Defter Dönemsel'!M16</f>
        <v>0</v>
      </c>
      <c r="L17" s="852">
        <f>+'Yeşil Defter Dönemsel'!N16</f>
        <v>0</v>
      </c>
      <c r="M17" s="853">
        <f>+ROUND($I17*J17,2)</f>
        <v>0</v>
      </c>
      <c r="N17" s="853">
        <f>+ROUND($I17*K17,2)</f>
        <v>0</v>
      </c>
      <c r="O17" s="853">
        <f>+ROUND($I17*L17,2)</f>
        <v>0</v>
      </c>
      <c r="P17" s="853" t="e">
        <f>+#REF!</f>
        <v>#REF!</v>
      </c>
      <c r="Q17" s="853" t="e">
        <f>+R17-P17</f>
        <v>#REF!</v>
      </c>
      <c r="R17" s="854" t="e">
        <f>+#REF!</f>
        <v>#REF!</v>
      </c>
      <c r="S17" s="843">
        <f t="shared" si="0"/>
        <v>0</v>
      </c>
      <c r="T17" s="843">
        <f t="shared" si="1"/>
        <v>0</v>
      </c>
      <c r="U17" s="843">
        <f t="shared" si="2"/>
        <v>0</v>
      </c>
      <c r="V17" s="307"/>
      <c r="W17">
        <f>+'Yeşil Defter'!$K$31</f>
        <v>0</v>
      </c>
      <c r="X17" s="766"/>
      <c r="Y17">
        <f>+'Yeşil Defter'!$K$31</f>
        <v>0</v>
      </c>
    </row>
    <row r="18" spans="1:25" ht="19.95" hidden="1" customHeight="1" x14ac:dyDescent="0.3">
      <c r="A18" s="262" t="s">
        <v>151</v>
      </c>
      <c r="C18" s="855">
        <v>2</v>
      </c>
      <c r="D18" s="855" t="s">
        <v>226</v>
      </c>
      <c r="E18" s="1345" t="s">
        <v>227</v>
      </c>
      <c r="F18" s="1345"/>
      <c r="G18" s="1345"/>
      <c r="H18" s="855" t="s">
        <v>228</v>
      </c>
      <c r="I18" s="856">
        <v>4063</v>
      </c>
      <c r="J18" s="852">
        <f>+'Yeşil Defter Dönemsel'!L17</f>
        <v>0</v>
      </c>
      <c r="K18" s="852">
        <f>+'Yeşil Defter Dönemsel'!M17</f>
        <v>0</v>
      </c>
      <c r="L18" s="852">
        <f>+'Yeşil Defter Dönemsel'!N17</f>
        <v>0</v>
      </c>
      <c r="M18" s="857">
        <f t="shared" ref="M18:M65" si="3">+ROUND($I18*J18,2)</f>
        <v>0</v>
      </c>
      <c r="N18" s="857">
        <f t="shared" ref="N18:N65" si="4">+ROUND($I18*K18,2)</f>
        <v>0</v>
      </c>
      <c r="O18" s="857">
        <f t="shared" ref="O18:O65" si="5">+ROUND($I18*L18,2)</f>
        <v>0</v>
      </c>
      <c r="P18" s="853" t="e">
        <f>+#REF!</f>
        <v>#REF!</v>
      </c>
      <c r="Q18" s="857" t="e">
        <f t="shared" ref="Q18:Q65" si="6">+R18-P18</f>
        <v>#REF!</v>
      </c>
      <c r="R18" s="854" t="e">
        <f>+#REF!</f>
        <v>#REF!</v>
      </c>
      <c r="S18" s="843">
        <f t="shared" si="0"/>
        <v>0</v>
      </c>
      <c r="T18" s="843">
        <f t="shared" si="1"/>
        <v>0</v>
      </c>
      <c r="U18" s="843">
        <f t="shared" si="2"/>
        <v>0</v>
      </c>
      <c r="V18" s="307"/>
      <c r="W18">
        <f>+'Yeşil Defter'!$K$32</f>
        <v>0</v>
      </c>
      <c r="X18" s="766"/>
    </row>
    <row r="19" spans="1:25" ht="19.95" hidden="1" customHeight="1" x14ac:dyDescent="0.3">
      <c r="A19" s="262" t="s">
        <v>151</v>
      </c>
      <c r="C19" s="855">
        <v>3</v>
      </c>
      <c r="D19" s="855" t="s">
        <v>229</v>
      </c>
      <c r="E19" s="1345" t="s">
        <v>230</v>
      </c>
      <c r="F19" s="1345"/>
      <c r="G19" s="1345"/>
      <c r="H19" s="855" t="s">
        <v>228</v>
      </c>
      <c r="I19" s="856">
        <v>2000</v>
      </c>
      <c r="J19" s="852">
        <f>+'Yeşil Defter Dönemsel'!L18</f>
        <v>0</v>
      </c>
      <c r="K19" s="852">
        <f>+'Yeşil Defter Dönemsel'!M18</f>
        <v>0</v>
      </c>
      <c r="L19" s="852">
        <f>+'Yeşil Defter Dönemsel'!N18</f>
        <v>0</v>
      </c>
      <c r="M19" s="857">
        <f t="shared" si="3"/>
        <v>0</v>
      </c>
      <c r="N19" s="857">
        <f t="shared" si="4"/>
        <v>0</v>
      </c>
      <c r="O19" s="857">
        <f t="shared" si="5"/>
        <v>0</v>
      </c>
      <c r="P19" s="853" t="e">
        <f>+#REF!</f>
        <v>#REF!</v>
      </c>
      <c r="Q19" s="857" t="e">
        <f t="shared" si="6"/>
        <v>#REF!</v>
      </c>
      <c r="R19" s="854" t="e">
        <f>+#REF!</f>
        <v>#REF!</v>
      </c>
      <c r="S19" s="843">
        <f t="shared" si="0"/>
        <v>0</v>
      </c>
      <c r="T19" s="843">
        <f t="shared" si="1"/>
        <v>0</v>
      </c>
      <c r="U19" s="843">
        <f t="shared" si="2"/>
        <v>0</v>
      </c>
      <c r="V19" s="307"/>
      <c r="W19">
        <f>+'Yeşil Defter'!$K$34</f>
        <v>0</v>
      </c>
      <c r="X19" s="766"/>
    </row>
    <row r="20" spans="1:25" ht="19.95" hidden="1" customHeight="1" x14ac:dyDescent="0.3">
      <c r="A20" s="262" t="s">
        <v>151</v>
      </c>
      <c r="C20" s="855">
        <v>4</v>
      </c>
      <c r="D20" s="855" t="s">
        <v>231</v>
      </c>
      <c r="E20" s="1345" t="s">
        <v>232</v>
      </c>
      <c r="F20" s="1345"/>
      <c r="G20" s="1345"/>
      <c r="H20" s="855" t="s">
        <v>228</v>
      </c>
      <c r="I20" s="856">
        <v>10500</v>
      </c>
      <c r="J20" s="852">
        <f>+'Yeşil Defter Dönemsel'!L19</f>
        <v>0</v>
      </c>
      <c r="K20" s="852">
        <f>+'Yeşil Defter Dönemsel'!M19</f>
        <v>0</v>
      </c>
      <c r="L20" s="852">
        <f>+'Yeşil Defter Dönemsel'!N19</f>
        <v>0</v>
      </c>
      <c r="M20" s="857">
        <f t="shared" si="3"/>
        <v>0</v>
      </c>
      <c r="N20" s="857">
        <f t="shared" si="4"/>
        <v>0</v>
      </c>
      <c r="O20" s="857">
        <f t="shared" si="5"/>
        <v>0</v>
      </c>
      <c r="P20" s="853" t="e">
        <f>+#REF!</f>
        <v>#REF!</v>
      </c>
      <c r="Q20" s="857" t="e">
        <f t="shared" si="6"/>
        <v>#REF!</v>
      </c>
      <c r="R20" s="854" t="e">
        <f>+#REF!</f>
        <v>#REF!</v>
      </c>
      <c r="S20" s="843">
        <f t="shared" si="0"/>
        <v>0</v>
      </c>
      <c r="T20" s="843">
        <f t="shared" si="1"/>
        <v>0</v>
      </c>
      <c r="U20" s="843">
        <f t="shared" si="2"/>
        <v>0</v>
      </c>
      <c r="V20" s="307"/>
      <c r="W20">
        <f>+'Yeşil Defter'!$K$35</f>
        <v>0</v>
      </c>
      <c r="X20" s="766"/>
    </row>
    <row r="21" spans="1:25" ht="19.95" hidden="1" customHeight="1" x14ac:dyDescent="0.3">
      <c r="A21" s="262" t="s">
        <v>151</v>
      </c>
      <c r="C21" s="855">
        <v>5</v>
      </c>
      <c r="D21" s="858" t="s">
        <v>233</v>
      </c>
      <c r="E21" s="1345" t="s">
        <v>234</v>
      </c>
      <c r="F21" s="1345"/>
      <c r="G21" s="1345"/>
      <c r="H21" s="855" t="s">
        <v>228</v>
      </c>
      <c r="I21" s="856">
        <v>1485</v>
      </c>
      <c r="J21" s="852">
        <f>+'Yeşil Defter Dönemsel'!L20</f>
        <v>0</v>
      </c>
      <c r="K21" s="852">
        <f>+'Yeşil Defter Dönemsel'!M20</f>
        <v>0</v>
      </c>
      <c r="L21" s="852">
        <f>+'Yeşil Defter Dönemsel'!N20</f>
        <v>0</v>
      </c>
      <c r="M21" s="857">
        <f t="shared" si="3"/>
        <v>0</v>
      </c>
      <c r="N21" s="857">
        <f t="shared" si="4"/>
        <v>0</v>
      </c>
      <c r="O21" s="857">
        <f t="shared" si="5"/>
        <v>0</v>
      </c>
      <c r="P21" s="853" t="e">
        <f>+#REF!</f>
        <v>#REF!</v>
      </c>
      <c r="Q21" s="857" t="e">
        <f t="shared" si="6"/>
        <v>#REF!</v>
      </c>
      <c r="R21" s="854" t="e">
        <f>+#REF!</f>
        <v>#REF!</v>
      </c>
      <c r="S21" s="843">
        <f t="shared" si="0"/>
        <v>0</v>
      </c>
      <c r="T21" s="843">
        <f t="shared" si="1"/>
        <v>0</v>
      </c>
      <c r="U21" s="843">
        <f t="shared" si="2"/>
        <v>0</v>
      </c>
      <c r="V21" s="307"/>
      <c r="W21">
        <f>+'Yeşil Defter'!$K$36</f>
        <v>0</v>
      </c>
      <c r="X21" s="766"/>
    </row>
    <row r="22" spans="1:25" ht="19.95" hidden="1" customHeight="1" x14ac:dyDescent="0.3">
      <c r="A22" s="262" t="s">
        <v>151</v>
      </c>
      <c r="C22" s="855">
        <v>6</v>
      </c>
      <c r="D22" s="855" t="s">
        <v>235</v>
      </c>
      <c r="E22" s="1345" t="s">
        <v>236</v>
      </c>
      <c r="F22" s="1345"/>
      <c r="G22" s="1345"/>
      <c r="H22" s="855" t="s">
        <v>228</v>
      </c>
      <c r="I22" s="856">
        <v>300</v>
      </c>
      <c r="J22" s="852">
        <f>+'Yeşil Defter Dönemsel'!L21</f>
        <v>0</v>
      </c>
      <c r="K22" s="852">
        <f>+'Yeşil Defter Dönemsel'!M21</f>
        <v>0</v>
      </c>
      <c r="L22" s="852">
        <f>+'Yeşil Defter Dönemsel'!N21</f>
        <v>0</v>
      </c>
      <c r="M22" s="857">
        <f t="shared" si="3"/>
        <v>0</v>
      </c>
      <c r="N22" s="857">
        <f t="shared" si="4"/>
        <v>0</v>
      </c>
      <c r="O22" s="857">
        <f t="shared" si="5"/>
        <v>0</v>
      </c>
      <c r="P22" s="853" t="e">
        <f>+#REF!</f>
        <v>#REF!</v>
      </c>
      <c r="Q22" s="857" t="e">
        <f t="shared" si="6"/>
        <v>#REF!</v>
      </c>
      <c r="R22" s="854" t="e">
        <f>+#REF!</f>
        <v>#REF!</v>
      </c>
      <c r="S22" s="843">
        <f t="shared" si="0"/>
        <v>0</v>
      </c>
      <c r="T22" s="843">
        <f t="shared" si="1"/>
        <v>0</v>
      </c>
      <c r="U22" s="843">
        <f t="shared" si="2"/>
        <v>0</v>
      </c>
      <c r="V22" s="307"/>
      <c r="W22">
        <f>+'Yeşil Defter'!$K$37</f>
        <v>0</v>
      </c>
      <c r="X22" s="766"/>
    </row>
    <row r="23" spans="1:25" ht="19.95" hidden="1" customHeight="1" x14ac:dyDescent="0.3">
      <c r="A23" s="262" t="s">
        <v>151</v>
      </c>
      <c r="C23" s="855">
        <v>7</v>
      </c>
      <c r="D23" s="855" t="s">
        <v>237</v>
      </c>
      <c r="E23" s="1345" t="s">
        <v>238</v>
      </c>
      <c r="F23" s="1345"/>
      <c r="G23" s="1345"/>
      <c r="H23" s="855" t="s">
        <v>228</v>
      </c>
      <c r="I23" s="856">
        <v>1500</v>
      </c>
      <c r="J23" s="852">
        <f>+'Yeşil Defter Dönemsel'!L22</f>
        <v>0</v>
      </c>
      <c r="K23" s="852">
        <f>+'Yeşil Defter Dönemsel'!M22</f>
        <v>0</v>
      </c>
      <c r="L23" s="852">
        <f>+'Yeşil Defter Dönemsel'!N22</f>
        <v>0</v>
      </c>
      <c r="M23" s="857">
        <f t="shared" si="3"/>
        <v>0</v>
      </c>
      <c r="N23" s="857">
        <f t="shared" si="4"/>
        <v>0</v>
      </c>
      <c r="O23" s="857">
        <f t="shared" si="5"/>
        <v>0</v>
      </c>
      <c r="P23" s="853" t="e">
        <f>+#REF!</f>
        <v>#REF!</v>
      </c>
      <c r="Q23" s="857" t="e">
        <f t="shared" si="6"/>
        <v>#REF!</v>
      </c>
      <c r="R23" s="854" t="e">
        <f>+#REF!</f>
        <v>#REF!</v>
      </c>
      <c r="S23" s="843">
        <f t="shared" si="0"/>
        <v>0</v>
      </c>
      <c r="T23" s="843">
        <f t="shared" si="1"/>
        <v>0</v>
      </c>
      <c r="U23" s="843">
        <f t="shared" si="2"/>
        <v>0</v>
      </c>
      <c r="V23" s="307"/>
      <c r="W23" t="e">
        <f>+'Yeşil Defter'!#REF!</f>
        <v>#REF!</v>
      </c>
      <c r="X23" s="766"/>
    </row>
    <row r="24" spans="1:25" ht="19.95" hidden="1" customHeight="1" x14ac:dyDescent="0.3">
      <c r="A24" s="262" t="s">
        <v>151</v>
      </c>
      <c r="C24" s="855">
        <v>8</v>
      </c>
      <c r="D24" s="858" t="s">
        <v>239</v>
      </c>
      <c r="E24" s="1345" t="s">
        <v>240</v>
      </c>
      <c r="F24" s="1345"/>
      <c r="G24" s="1345"/>
      <c r="H24" s="855" t="s">
        <v>228</v>
      </c>
      <c r="I24" s="856">
        <v>17500</v>
      </c>
      <c r="J24" s="852">
        <f>+'Yeşil Defter Dönemsel'!L23</f>
        <v>0</v>
      </c>
      <c r="K24" s="852">
        <f>+'Yeşil Defter Dönemsel'!M23</f>
        <v>0</v>
      </c>
      <c r="L24" s="852">
        <f>+'Yeşil Defter Dönemsel'!N23</f>
        <v>0</v>
      </c>
      <c r="M24" s="857">
        <f t="shared" si="3"/>
        <v>0</v>
      </c>
      <c r="N24" s="857">
        <f t="shared" si="4"/>
        <v>0</v>
      </c>
      <c r="O24" s="857">
        <f t="shared" si="5"/>
        <v>0</v>
      </c>
      <c r="P24" s="853" t="e">
        <f>+#REF!</f>
        <v>#REF!</v>
      </c>
      <c r="Q24" s="857" t="e">
        <f t="shared" si="6"/>
        <v>#REF!</v>
      </c>
      <c r="R24" s="854" t="e">
        <f>+#REF!</f>
        <v>#REF!</v>
      </c>
      <c r="S24" s="843">
        <f t="shared" si="0"/>
        <v>0</v>
      </c>
      <c r="T24" s="843">
        <f t="shared" si="1"/>
        <v>0</v>
      </c>
      <c r="U24" s="843">
        <f t="shared" si="2"/>
        <v>0</v>
      </c>
      <c r="V24" s="307"/>
      <c r="W24" t="e">
        <f>+'Yeşil Defter'!#REF!</f>
        <v>#REF!</v>
      </c>
      <c r="X24" s="766"/>
    </row>
    <row r="25" spans="1:25" ht="19.95" hidden="1" customHeight="1" x14ac:dyDescent="0.3">
      <c r="A25" s="262" t="s">
        <v>151</v>
      </c>
      <c r="C25" s="855">
        <v>9</v>
      </c>
      <c r="D25" s="855" t="s">
        <v>241</v>
      </c>
      <c r="E25" s="1345" t="s">
        <v>242</v>
      </c>
      <c r="F25" s="1345"/>
      <c r="G25" s="1345"/>
      <c r="H25" s="855" t="s">
        <v>202</v>
      </c>
      <c r="I25" s="856">
        <v>1050</v>
      </c>
      <c r="J25" s="852">
        <f>+'Yeşil Defter Dönemsel'!L24</f>
        <v>0</v>
      </c>
      <c r="K25" s="852">
        <f>+'Yeşil Defter Dönemsel'!M24</f>
        <v>0</v>
      </c>
      <c r="L25" s="852">
        <f>+'Yeşil Defter Dönemsel'!N24</f>
        <v>0</v>
      </c>
      <c r="M25" s="857">
        <f t="shared" si="3"/>
        <v>0</v>
      </c>
      <c r="N25" s="857">
        <f t="shared" si="4"/>
        <v>0</v>
      </c>
      <c r="O25" s="857">
        <f t="shared" si="5"/>
        <v>0</v>
      </c>
      <c r="P25" s="853" t="e">
        <f>+#REF!</f>
        <v>#REF!</v>
      </c>
      <c r="Q25" s="857" t="e">
        <f t="shared" si="6"/>
        <v>#REF!</v>
      </c>
      <c r="R25" s="854" t="e">
        <f>+#REF!</f>
        <v>#REF!</v>
      </c>
      <c r="S25" s="843">
        <f t="shared" si="0"/>
        <v>0</v>
      </c>
      <c r="T25" s="843">
        <f t="shared" si="1"/>
        <v>0</v>
      </c>
      <c r="U25" s="843">
        <f t="shared" si="2"/>
        <v>0</v>
      </c>
      <c r="V25" s="307"/>
      <c r="W25" t="e">
        <f>+'Yeşil Defter'!#REF!</f>
        <v>#REF!</v>
      </c>
      <c r="X25" s="766"/>
    </row>
    <row r="26" spans="1:25" ht="19.95" hidden="1" customHeight="1" x14ac:dyDescent="0.3">
      <c r="A26" s="262" t="s">
        <v>151</v>
      </c>
      <c r="C26" s="855">
        <v>10</v>
      </c>
      <c r="D26" s="855" t="s">
        <v>243</v>
      </c>
      <c r="E26" s="1345" t="s">
        <v>244</v>
      </c>
      <c r="F26" s="1345"/>
      <c r="G26" s="1345"/>
      <c r="H26" s="855" t="s">
        <v>202</v>
      </c>
      <c r="I26" s="856">
        <v>1200</v>
      </c>
      <c r="J26" s="852">
        <f>+'Yeşil Defter Dönemsel'!L25</f>
        <v>0</v>
      </c>
      <c r="K26" s="852">
        <f>+'Yeşil Defter Dönemsel'!M25</f>
        <v>0</v>
      </c>
      <c r="L26" s="852">
        <f>+'Yeşil Defter Dönemsel'!N25</f>
        <v>0</v>
      </c>
      <c r="M26" s="857">
        <f t="shared" si="3"/>
        <v>0</v>
      </c>
      <c r="N26" s="857">
        <f t="shared" si="4"/>
        <v>0</v>
      </c>
      <c r="O26" s="857">
        <f t="shared" si="5"/>
        <v>0</v>
      </c>
      <c r="P26" s="853" t="e">
        <f>+#REF!</f>
        <v>#REF!</v>
      </c>
      <c r="Q26" s="857" t="e">
        <f t="shared" si="6"/>
        <v>#REF!</v>
      </c>
      <c r="R26" s="854" t="e">
        <f>+#REF!</f>
        <v>#REF!</v>
      </c>
      <c r="S26" s="843">
        <f t="shared" si="0"/>
        <v>0</v>
      </c>
      <c r="T26" s="843">
        <f t="shared" si="1"/>
        <v>0</v>
      </c>
      <c r="U26" s="843">
        <f t="shared" si="2"/>
        <v>0</v>
      </c>
      <c r="V26" s="307"/>
      <c r="W26" t="e">
        <f>+'Yeşil Defter'!#REF!</f>
        <v>#REF!</v>
      </c>
      <c r="X26" s="766"/>
    </row>
    <row r="27" spans="1:25" ht="19.95" hidden="1" customHeight="1" x14ac:dyDescent="0.3">
      <c r="A27" s="262" t="s">
        <v>151</v>
      </c>
      <c r="C27" s="855">
        <v>11</v>
      </c>
      <c r="D27" s="855" t="s">
        <v>245</v>
      </c>
      <c r="E27" s="1345" t="s">
        <v>246</v>
      </c>
      <c r="F27" s="1345"/>
      <c r="G27" s="1345"/>
      <c r="H27" s="855" t="s">
        <v>247</v>
      </c>
      <c r="I27" s="856">
        <v>2475</v>
      </c>
      <c r="J27" s="852">
        <f>+'Yeşil Defter Dönemsel'!L26</f>
        <v>0</v>
      </c>
      <c r="K27" s="852">
        <f>+'Yeşil Defter Dönemsel'!M26</f>
        <v>0</v>
      </c>
      <c r="L27" s="852">
        <f>+'Yeşil Defter Dönemsel'!N26</f>
        <v>0</v>
      </c>
      <c r="M27" s="857">
        <f t="shared" si="3"/>
        <v>0</v>
      </c>
      <c r="N27" s="857">
        <f t="shared" si="4"/>
        <v>0</v>
      </c>
      <c r="O27" s="857">
        <f t="shared" si="5"/>
        <v>0</v>
      </c>
      <c r="P27" s="853" t="e">
        <f>+#REF!</f>
        <v>#REF!</v>
      </c>
      <c r="Q27" s="857" t="e">
        <f t="shared" si="6"/>
        <v>#REF!</v>
      </c>
      <c r="R27" s="854" t="e">
        <f>+#REF!</f>
        <v>#REF!</v>
      </c>
      <c r="S27" s="843">
        <f t="shared" si="0"/>
        <v>0</v>
      </c>
      <c r="T27" s="843">
        <f t="shared" si="1"/>
        <v>0</v>
      </c>
      <c r="U27" s="843">
        <f t="shared" si="2"/>
        <v>0</v>
      </c>
      <c r="V27" s="307"/>
      <c r="W27" t="e">
        <f>+'Yeşil Defter'!#REF!</f>
        <v>#REF!</v>
      </c>
      <c r="X27" s="766"/>
    </row>
    <row r="28" spans="1:25" ht="19.95" hidden="1" customHeight="1" x14ac:dyDescent="0.3">
      <c r="A28" s="262" t="s">
        <v>151</v>
      </c>
      <c r="C28" s="855">
        <v>12</v>
      </c>
      <c r="D28" s="855" t="s">
        <v>248</v>
      </c>
      <c r="E28" s="1345" t="s">
        <v>249</v>
      </c>
      <c r="F28" s="1345"/>
      <c r="G28" s="1345"/>
      <c r="H28" s="855" t="s">
        <v>247</v>
      </c>
      <c r="I28" s="856">
        <v>3900</v>
      </c>
      <c r="J28" s="852">
        <f>+'Yeşil Defter Dönemsel'!L27</f>
        <v>0</v>
      </c>
      <c r="K28" s="852">
        <f>+'Yeşil Defter Dönemsel'!M27</f>
        <v>0</v>
      </c>
      <c r="L28" s="852">
        <f>+'Yeşil Defter Dönemsel'!N27</f>
        <v>0</v>
      </c>
      <c r="M28" s="857">
        <f t="shared" si="3"/>
        <v>0</v>
      </c>
      <c r="N28" s="857">
        <f t="shared" si="4"/>
        <v>0</v>
      </c>
      <c r="O28" s="857">
        <f t="shared" si="5"/>
        <v>0</v>
      </c>
      <c r="P28" s="853" t="e">
        <f>+#REF!</f>
        <v>#REF!</v>
      </c>
      <c r="Q28" s="857" t="e">
        <f t="shared" si="6"/>
        <v>#REF!</v>
      </c>
      <c r="R28" s="854" t="e">
        <f>+#REF!</f>
        <v>#REF!</v>
      </c>
      <c r="S28" s="843">
        <f t="shared" si="0"/>
        <v>0</v>
      </c>
      <c r="T28" s="843">
        <f t="shared" si="1"/>
        <v>0</v>
      </c>
      <c r="U28" s="843">
        <f t="shared" si="2"/>
        <v>0</v>
      </c>
      <c r="V28" s="307"/>
      <c r="W28" t="e">
        <f>+'Yeşil Defter'!#REF!</f>
        <v>#REF!</v>
      </c>
      <c r="X28" s="766"/>
    </row>
    <row r="29" spans="1:25" ht="19.95" hidden="1" customHeight="1" x14ac:dyDescent="0.3">
      <c r="A29" s="262" t="s">
        <v>151</v>
      </c>
      <c r="C29" s="855">
        <v>13</v>
      </c>
      <c r="D29" s="855" t="s">
        <v>250</v>
      </c>
      <c r="E29" s="1345" t="s">
        <v>251</v>
      </c>
      <c r="F29" s="1345"/>
      <c r="G29" s="1345"/>
      <c r="H29" s="855" t="s">
        <v>247</v>
      </c>
      <c r="I29" s="856">
        <v>4125</v>
      </c>
      <c r="J29" s="852">
        <f>+'Yeşil Defter Dönemsel'!L28</f>
        <v>0</v>
      </c>
      <c r="K29" s="852">
        <f>+'Yeşil Defter Dönemsel'!M28</f>
        <v>0</v>
      </c>
      <c r="L29" s="852">
        <f>+'Yeşil Defter Dönemsel'!N28</f>
        <v>0</v>
      </c>
      <c r="M29" s="857">
        <f t="shared" si="3"/>
        <v>0</v>
      </c>
      <c r="N29" s="857">
        <f t="shared" si="4"/>
        <v>0</v>
      </c>
      <c r="O29" s="857">
        <f t="shared" si="5"/>
        <v>0</v>
      </c>
      <c r="P29" s="853" t="e">
        <f>+#REF!</f>
        <v>#REF!</v>
      </c>
      <c r="Q29" s="857" t="e">
        <f t="shared" si="6"/>
        <v>#REF!</v>
      </c>
      <c r="R29" s="854" t="e">
        <f>+#REF!</f>
        <v>#REF!</v>
      </c>
      <c r="S29" s="843">
        <f t="shared" si="0"/>
        <v>0</v>
      </c>
      <c r="T29" s="843">
        <f t="shared" si="1"/>
        <v>0</v>
      </c>
      <c r="U29" s="843">
        <f t="shared" si="2"/>
        <v>0</v>
      </c>
      <c r="V29" s="307"/>
      <c r="W29" t="e">
        <f>+'Yeşil Defter'!#REF!</f>
        <v>#REF!</v>
      </c>
      <c r="X29" s="766"/>
    </row>
    <row r="30" spans="1:25" ht="19.95" hidden="1" customHeight="1" x14ac:dyDescent="0.3">
      <c r="A30" s="262" t="s">
        <v>151</v>
      </c>
      <c r="C30" s="855">
        <v>14</v>
      </c>
      <c r="D30" s="855" t="s">
        <v>252</v>
      </c>
      <c r="E30" s="1345" t="s">
        <v>253</v>
      </c>
      <c r="F30" s="1345"/>
      <c r="G30" s="1345"/>
      <c r="H30" s="855" t="s">
        <v>247</v>
      </c>
      <c r="I30" s="856">
        <v>5850</v>
      </c>
      <c r="J30" s="852">
        <f>+'Yeşil Defter Dönemsel'!L29</f>
        <v>0</v>
      </c>
      <c r="K30" s="852">
        <f>+'Yeşil Defter Dönemsel'!M29</f>
        <v>0</v>
      </c>
      <c r="L30" s="852">
        <f>+'Yeşil Defter Dönemsel'!N29</f>
        <v>0</v>
      </c>
      <c r="M30" s="857">
        <f t="shared" si="3"/>
        <v>0</v>
      </c>
      <c r="N30" s="857">
        <f t="shared" si="4"/>
        <v>0</v>
      </c>
      <c r="O30" s="857">
        <f t="shared" si="5"/>
        <v>0</v>
      </c>
      <c r="P30" s="853" t="e">
        <f>+#REF!</f>
        <v>#REF!</v>
      </c>
      <c r="Q30" s="857" t="e">
        <f t="shared" si="6"/>
        <v>#REF!</v>
      </c>
      <c r="R30" s="854" t="e">
        <f>+#REF!</f>
        <v>#REF!</v>
      </c>
      <c r="S30" s="843">
        <f t="shared" si="0"/>
        <v>0</v>
      </c>
      <c r="T30" s="843">
        <f t="shared" si="1"/>
        <v>0</v>
      </c>
      <c r="U30" s="843">
        <f t="shared" si="2"/>
        <v>0</v>
      </c>
      <c r="V30" s="307"/>
      <c r="W30" t="e">
        <f>+'Yeşil Defter'!#REF!</f>
        <v>#REF!</v>
      </c>
      <c r="X30" s="766"/>
    </row>
    <row r="31" spans="1:25" ht="19.95" hidden="1" customHeight="1" x14ac:dyDescent="0.3">
      <c r="A31" s="262" t="s">
        <v>151</v>
      </c>
      <c r="C31" s="855">
        <v>15</v>
      </c>
      <c r="D31" s="858" t="s">
        <v>254</v>
      </c>
      <c r="E31" s="1345" t="s">
        <v>255</v>
      </c>
      <c r="F31" s="1345"/>
      <c r="G31" s="1345"/>
      <c r="H31" s="855" t="s">
        <v>225</v>
      </c>
      <c r="I31" s="856">
        <v>3140</v>
      </c>
      <c r="J31" s="852">
        <f>+'Yeşil Defter Dönemsel'!L30</f>
        <v>0</v>
      </c>
      <c r="K31" s="852">
        <f>+'Yeşil Defter Dönemsel'!M30</f>
        <v>0</v>
      </c>
      <c r="L31" s="852">
        <f>+'Yeşil Defter Dönemsel'!N30</f>
        <v>0</v>
      </c>
      <c r="M31" s="857">
        <f t="shared" si="3"/>
        <v>0</v>
      </c>
      <c r="N31" s="857">
        <f t="shared" si="4"/>
        <v>0</v>
      </c>
      <c r="O31" s="857">
        <f t="shared" si="5"/>
        <v>0</v>
      </c>
      <c r="P31" s="853" t="e">
        <f>+#REF!</f>
        <v>#REF!</v>
      </c>
      <c r="Q31" s="857" t="e">
        <f t="shared" si="6"/>
        <v>#REF!</v>
      </c>
      <c r="R31" s="854" t="e">
        <f>+#REF!</f>
        <v>#REF!</v>
      </c>
      <c r="S31" s="843">
        <f t="shared" si="0"/>
        <v>0</v>
      </c>
      <c r="T31" s="843">
        <f t="shared" si="1"/>
        <v>0</v>
      </c>
      <c r="U31" s="843">
        <f t="shared" si="2"/>
        <v>0</v>
      </c>
      <c r="V31" s="307"/>
      <c r="W31" t="e">
        <f>+'Yeşil Defter'!#REF!</f>
        <v>#REF!</v>
      </c>
      <c r="X31" s="766"/>
    </row>
    <row r="32" spans="1:25" ht="19.95" hidden="1" customHeight="1" x14ac:dyDescent="0.3">
      <c r="A32" s="262" t="s">
        <v>151</v>
      </c>
      <c r="C32" s="855">
        <v>16</v>
      </c>
      <c r="D32" s="855" t="s">
        <v>256</v>
      </c>
      <c r="E32" s="1345" t="s">
        <v>257</v>
      </c>
      <c r="F32" s="1345"/>
      <c r="G32" s="1345"/>
      <c r="H32" s="855" t="s">
        <v>228</v>
      </c>
      <c r="I32" s="856">
        <v>3504</v>
      </c>
      <c r="J32" s="852">
        <f>+'Yeşil Defter Dönemsel'!L31</f>
        <v>0</v>
      </c>
      <c r="K32" s="852">
        <f>+'Yeşil Defter Dönemsel'!M31</f>
        <v>0</v>
      </c>
      <c r="L32" s="852">
        <f>+'Yeşil Defter Dönemsel'!N31</f>
        <v>0</v>
      </c>
      <c r="M32" s="857">
        <f t="shared" si="3"/>
        <v>0</v>
      </c>
      <c r="N32" s="857">
        <f t="shared" si="4"/>
        <v>0</v>
      </c>
      <c r="O32" s="857">
        <f t="shared" si="5"/>
        <v>0</v>
      </c>
      <c r="P32" s="853" t="e">
        <f>+#REF!</f>
        <v>#REF!</v>
      </c>
      <c r="Q32" s="857" t="e">
        <f t="shared" si="6"/>
        <v>#REF!</v>
      </c>
      <c r="R32" s="854" t="e">
        <f>+#REF!</f>
        <v>#REF!</v>
      </c>
      <c r="S32" s="843">
        <f t="shared" si="0"/>
        <v>0</v>
      </c>
      <c r="T32" s="843">
        <f t="shared" si="1"/>
        <v>0</v>
      </c>
      <c r="U32" s="843">
        <f t="shared" si="2"/>
        <v>0</v>
      </c>
      <c r="V32" s="307"/>
      <c r="W32" t="e">
        <f>+'Yeşil Defter'!#REF!</f>
        <v>#REF!</v>
      </c>
      <c r="X32" s="766"/>
    </row>
    <row r="33" spans="1:24" ht="19.95" hidden="1" customHeight="1" x14ac:dyDescent="0.3">
      <c r="A33" s="262" t="s">
        <v>151</v>
      </c>
      <c r="C33" s="855">
        <v>17</v>
      </c>
      <c r="D33" s="855" t="s">
        <v>258</v>
      </c>
      <c r="E33" s="1345" t="s">
        <v>259</v>
      </c>
      <c r="F33" s="1345"/>
      <c r="G33" s="1345"/>
      <c r="H33" s="855" t="s">
        <v>228</v>
      </c>
      <c r="I33" s="859">
        <v>6114</v>
      </c>
      <c r="J33" s="852">
        <f>+'[2]Yeşil Defter Dönemsel'!AJ32</f>
        <v>0</v>
      </c>
      <c r="K33" s="852">
        <f>+'[2]Yeşil Defter Dönemsel'!AK32</f>
        <v>0</v>
      </c>
      <c r="L33" s="852">
        <f>+'[2]Yeşil Defter Dönemsel'!AL32</f>
        <v>0</v>
      </c>
      <c r="M33" s="857">
        <f t="shared" si="3"/>
        <v>0</v>
      </c>
      <c r="N33" s="857">
        <f t="shared" si="4"/>
        <v>0</v>
      </c>
      <c r="O33" s="857">
        <f t="shared" si="5"/>
        <v>0</v>
      </c>
      <c r="P33" s="853" t="e">
        <f>+#REF!</f>
        <v>#REF!</v>
      </c>
      <c r="Q33" s="857" t="e">
        <f t="shared" si="6"/>
        <v>#REF!</v>
      </c>
      <c r="R33" s="854" t="e">
        <f>+#REF!</f>
        <v>#REF!</v>
      </c>
      <c r="S33" s="843">
        <f t="shared" si="0"/>
        <v>0</v>
      </c>
      <c r="T33" s="843">
        <f t="shared" si="1"/>
        <v>0</v>
      </c>
      <c r="U33" s="843">
        <f t="shared" si="2"/>
        <v>0</v>
      </c>
      <c r="V33" s="307"/>
      <c r="W33">
        <f>+'[2]Yeşil Defter'!T40</f>
        <v>0</v>
      </c>
      <c r="X33" s="766"/>
    </row>
    <row r="34" spans="1:24" ht="19.95" hidden="1" customHeight="1" x14ac:dyDescent="0.3">
      <c r="A34" s="262" t="s">
        <v>151</v>
      </c>
      <c r="C34" s="855">
        <v>17</v>
      </c>
      <c r="D34" s="855" t="s">
        <v>258</v>
      </c>
      <c r="E34" s="1345" t="s">
        <v>259</v>
      </c>
      <c r="F34" s="1345"/>
      <c r="G34" s="1345"/>
      <c r="H34" s="855" t="s">
        <v>228</v>
      </c>
      <c r="I34" s="856">
        <v>6114</v>
      </c>
      <c r="J34" s="852">
        <f>+'Yeşil Defter Dönemsel'!L32</f>
        <v>0</v>
      </c>
      <c r="K34" s="852">
        <f>+'Yeşil Defter Dönemsel'!M32</f>
        <v>0</v>
      </c>
      <c r="L34" s="852">
        <f>+'Yeşil Defter Dönemsel'!N32</f>
        <v>0</v>
      </c>
      <c r="M34" s="857">
        <f t="shared" si="3"/>
        <v>0</v>
      </c>
      <c r="N34" s="857">
        <f t="shared" si="4"/>
        <v>0</v>
      </c>
      <c r="O34" s="857">
        <f t="shared" si="5"/>
        <v>0</v>
      </c>
      <c r="P34" s="853" t="e">
        <f>+#REF!</f>
        <v>#REF!</v>
      </c>
      <c r="Q34" s="857" t="e">
        <f t="shared" si="6"/>
        <v>#REF!</v>
      </c>
      <c r="R34" s="854" t="e">
        <f>+#REF!</f>
        <v>#REF!</v>
      </c>
      <c r="S34" s="843">
        <f t="shared" si="0"/>
        <v>0</v>
      </c>
      <c r="T34" s="843">
        <f t="shared" si="1"/>
        <v>0</v>
      </c>
      <c r="U34" s="843">
        <f t="shared" si="2"/>
        <v>0</v>
      </c>
      <c r="V34" s="307"/>
      <c r="W34" t="e">
        <f>+'Yeşil Defter'!#REF!</f>
        <v>#REF!</v>
      </c>
      <c r="X34" s="766"/>
    </row>
    <row r="35" spans="1:24" ht="19.95" hidden="1" customHeight="1" x14ac:dyDescent="0.3">
      <c r="A35" s="262" t="s">
        <v>151</v>
      </c>
      <c r="C35" s="855">
        <v>18</v>
      </c>
      <c r="D35" s="855" t="s">
        <v>260</v>
      </c>
      <c r="E35" s="1345" t="s">
        <v>261</v>
      </c>
      <c r="F35" s="1345"/>
      <c r="G35" s="1345"/>
      <c r="H35" s="855" t="s">
        <v>262</v>
      </c>
      <c r="I35" s="856">
        <v>75316</v>
      </c>
      <c r="J35" s="852">
        <f>+'Yeşil Defter Dönemsel'!L34</f>
        <v>0</v>
      </c>
      <c r="K35" s="852">
        <f>+'Yeşil Defter Dönemsel'!M34</f>
        <v>0</v>
      </c>
      <c r="L35" s="852">
        <f>+'Yeşil Defter Dönemsel'!N34</f>
        <v>0</v>
      </c>
      <c r="M35" s="857">
        <f t="shared" si="3"/>
        <v>0</v>
      </c>
      <c r="N35" s="857">
        <f t="shared" si="4"/>
        <v>0</v>
      </c>
      <c r="O35" s="857">
        <f t="shared" si="5"/>
        <v>0</v>
      </c>
      <c r="P35" s="853" t="e">
        <f>+#REF!</f>
        <v>#REF!</v>
      </c>
      <c r="Q35" s="857" t="e">
        <f t="shared" si="6"/>
        <v>#REF!</v>
      </c>
      <c r="R35" s="854" t="e">
        <f>+#REF!</f>
        <v>#REF!</v>
      </c>
      <c r="S35" s="843">
        <f t="shared" si="0"/>
        <v>0</v>
      </c>
      <c r="T35" s="843">
        <f t="shared" si="1"/>
        <v>0</v>
      </c>
      <c r="U35" s="843">
        <f t="shared" si="2"/>
        <v>0</v>
      </c>
      <c r="V35" s="307"/>
      <c r="W35" t="e">
        <f>+'Yeşil Defter'!#REF!</f>
        <v>#REF!</v>
      </c>
      <c r="X35" s="766"/>
    </row>
    <row r="36" spans="1:24" ht="19.95" hidden="1" customHeight="1" x14ac:dyDescent="0.3">
      <c r="A36" s="262" t="s">
        <v>151</v>
      </c>
      <c r="C36" s="855">
        <v>19</v>
      </c>
      <c r="D36" s="855" t="s">
        <v>263</v>
      </c>
      <c r="E36" s="1345" t="s">
        <v>264</v>
      </c>
      <c r="F36" s="1345"/>
      <c r="G36" s="1345"/>
      <c r="H36" s="855" t="s">
        <v>262</v>
      </c>
      <c r="I36" s="856">
        <v>87125</v>
      </c>
      <c r="J36" s="852">
        <f>+'Yeşil Defter Dönemsel'!L35</f>
        <v>0</v>
      </c>
      <c r="K36" s="852">
        <f>+'Yeşil Defter Dönemsel'!M35</f>
        <v>0</v>
      </c>
      <c r="L36" s="852">
        <f>+'Yeşil Defter Dönemsel'!N35</f>
        <v>0</v>
      </c>
      <c r="M36" s="857">
        <f t="shared" si="3"/>
        <v>0</v>
      </c>
      <c r="N36" s="857">
        <f t="shared" si="4"/>
        <v>0</v>
      </c>
      <c r="O36" s="857">
        <f t="shared" si="5"/>
        <v>0</v>
      </c>
      <c r="P36" s="853" t="e">
        <f>+#REF!</f>
        <v>#REF!</v>
      </c>
      <c r="Q36" s="857" t="e">
        <f t="shared" si="6"/>
        <v>#REF!</v>
      </c>
      <c r="R36" s="854" t="e">
        <f>+#REF!</f>
        <v>#REF!</v>
      </c>
      <c r="S36" s="843">
        <f t="shared" si="0"/>
        <v>0</v>
      </c>
      <c r="T36" s="843">
        <f t="shared" si="1"/>
        <v>0</v>
      </c>
      <c r="U36" s="843">
        <f t="shared" si="2"/>
        <v>0</v>
      </c>
      <c r="V36" s="307"/>
      <c r="W36" t="e">
        <f>+'Yeşil Defter'!#REF!</f>
        <v>#REF!</v>
      </c>
      <c r="X36" s="766"/>
    </row>
    <row r="37" spans="1:24" ht="19.95" hidden="1" customHeight="1" x14ac:dyDescent="0.3">
      <c r="A37" s="262" t="s">
        <v>151</v>
      </c>
      <c r="C37" s="855">
        <v>20</v>
      </c>
      <c r="D37" s="855" t="s">
        <v>265</v>
      </c>
      <c r="E37" s="1345" t="s">
        <v>266</v>
      </c>
      <c r="F37" s="1345"/>
      <c r="G37" s="1345"/>
      <c r="H37" s="855" t="s">
        <v>225</v>
      </c>
      <c r="I37" s="856">
        <v>5196</v>
      </c>
      <c r="J37" s="852">
        <f>+'Yeşil Defter Dönemsel'!L36</f>
        <v>0</v>
      </c>
      <c r="K37" s="852">
        <f>+'Yeşil Defter Dönemsel'!M36</f>
        <v>0</v>
      </c>
      <c r="L37" s="852">
        <f>+'Yeşil Defter Dönemsel'!N36</f>
        <v>0</v>
      </c>
      <c r="M37" s="857">
        <f t="shared" si="3"/>
        <v>0</v>
      </c>
      <c r="N37" s="857">
        <f t="shared" si="4"/>
        <v>0</v>
      </c>
      <c r="O37" s="857">
        <f t="shared" si="5"/>
        <v>0</v>
      </c>
      <c r="P37" s="853" t="e">
        <f>+#REF!</f>
        <v>#REF!</v>
      </c>
      <c r="Q37" s="857" t="e">
        <f t="shared" si="6"/>
        <v>#REF!</v>
      </c>
      <c r="R37" s="854" t="e">
        <f>+#REF!</f>
        <v>#REF!</v>
      </c>
      <c r="S37" s="843">
        <f t="shared" si="0"/>
        <v>0</v>
      </c>
      <c r="T37" s="843">
        <f t="shared" si="1"/>
        <v>0</v>
      </c>
      <c r="U37" s="843">
        <f t="shared" si="2"/>
        <v>0</v>
      </c>
      <c r="V37" s="307"/>
      <c r="W37" t="e">
        <f>+'Yeşil Defter'!#REF!</f>
        <v>#REF!</v>
      </c>
      <c r="X37" s="766"/>
    </row>
    <row r="38" spans="1:24" ht="19.95" hidden="1" customHeight="1" x14ac:dyDescent="0.3">
      <c r="A38" s="262" t="s">
        <v>151</v>
      </c>
      <c r="C38" s="855">
        <v>21</v>
      </c>
      <c r="D38" s="855" t="s">
        <v>267</v>
      </c>
      <c r="E38" s="1345" t="s">
        <v>268</v>
      </c>
      <c r="F38" s="1345"/>
      <c r="G38" s="1345"/>
      <c r="H38" s="855" t="s">
        <v>225</v>
      </c>
      <c r="I38" s="856">
        <v>1535</v>
      </c>
      <c r="J38" s="852">
        <f>+'Yeşil Defter Dönemsel'!L37</f>
        <v>0</v>
      </c>
      <c r="K38" s="852">
        <f>+'Yeşil Defter Dönemsel'!M37</f>
        <v>0</v>
      </c>
      <c r="L38" s="852">
        <f>+'Yeşil Defter Dönemsel'!N37</f>
        <v>0</v>
      </c>
      <c r="M38" s="857">
        <f t="shared" si="3"/>
        <v>0</v>
      </c>
      <c r="N38" s="857">
        <f t="shared" si="4"/>
        <v>0</v>
      </c>
      <c r="O38" s="857">
        <f t="shared" si="5"/>
        <v>0</v>
      </c>
      <c r="P38" s="853" t="e">
        <f>+#REF!</f>
        <v>#REF!</v>
      </c>
      <c r="Q38" s="857" t="e">
        <f t="shared" si="6"/>
        <v>#REF!</v>
      </c>
      <c r="R38" s="854" t="e">
        <f>+#REF!</f>
        <v>#REF!</v>
      </c>
      <c r="S38" s="843">
        <f t="shared" si="0"/>
        <v>0</v>
      </c>
      <c r="T38" s="843">
        <f t="shared" si="1"/>
        <v>0</v>
      </c>
      <c r="U38" s="843">
        <f t="shared" si="2"/>
        <v>0</v>
      </c>
      <c r="V38" s="307"/>
      <c r="W38" t="e">
        <f>+'Yeşil Defter'!#REF!</f>
        <v>#REF!</v>
      </c>
      <c r="X38" s="766"/>
    </row>
    <row r="39" spans="1:24" ht="19.95" hidden="1" customHeight="1" x14ac:dyDescent="0.3">
      <c r="A39" s="262" t="s">
        <v>151</v>
      </c>
      <c r="C39" s="855">
        <v>22</v>
      </c>
      <c r="D39" s="855" t="s">
        <v>269</v>
      </c>
      <c r="E39" s="1345" t="s">
        <v>270</v>
      </c>
      <c r="F39" s="1345"/>
      <c r="G39" s="1345"/>
      <c r="H39" s="855" t="s">
        <v>225</v>
      </c>
      <c r="I39" s="856">
        <v>1462</v>
      </c>
      <c r="J39" s="852">
        <f>+'Yeşil Defter Dönemsel'!L38</f>
        <v>0</v>
      </c>
      <c r="K39" s="852">
        <f>+'Yeşil Defter Dönemsel'!M38</f>
        <v>0</v>
      </c>
      <c r="L39" s="852">
        <f>+'Yeşil Defter Dönemsel'!N38</f>
        <v>0</v>
      </c>
      <c r="M39" s="857">
        <f t="shared" si="3"/>
        <v>0</v>
      </c>
      <c r="N39" s="857">
        <f t="shared" si="4"/>
        <v>0</v>
      </c>
      <c r="O39" s="857">
        <f t="shared" si="5"/>
        <v>0</v>
      </c>
      <c r="P39" s="853" t="e">
        <f>+#REF!</f>
        <v>#REF!</v>
      </c>
      <c r="Q39" s="857" t="e">
        <f t="shared" si="6"/>
        <v>#REF!</v>
      </c>
      <c r="R39" s="854" t="e">
        <f>+#REF!</f>
        <v>#REF!</v>
      </c>
      <c r="S39" s="843">
        <f t="shared" si="0"/>
        <v>0</v>
      </c>
      <c r="T39" s="843">
        <f t="shared" si="1"/>
        <v>0</v>
      </c>
      <c r="U39" s="843">
        <f t="shared" si="2"/>
        <v>0</v>
      </c>
      <c r="V39" s="307"/>
      <c r="W39" t="e">
        <f>+'Yeşil Defter'!#REF!</f>
        <v>#REF!</v>
      </c>
      <c r="X39" s="766"/>
    </row>
    <row r="40" spans="1:24" ht="19.95" hidden="1" customHeight="1" x14ac:dyDescent="0.3">
      <c r="A40" s="262" t="s">
        <v>151</v>
      </c>
      <c r="C40" s="855">
        <v>23</v>
      </c>
      <c r="D40" s="858" t="s">
        <v>271</v>
      </c>
      <c r="E40" s="1345" t="s">
        <v>272</v>
      </c>
      <c r="F40" s="1345"/>
      <c r="G40" s="1345"/>
      <c r="H40" s="855" t="s">
        <v>202</v>
      </c>
      <c r="I40" s="856">
        <v>2094</v>
      </c>
      <c r="J40" s="852">
        <f>+'Yeşil Defter Dönemsel'!L39</f>
        <v>0</v>
      </c>
      <c r="K40" s="852">
        <f>+'Yeşil Defter Dönemsel'!M39</f>
        <v>0</v>
      </c>
      <c r="L40" s="852">
        <f>+'Yeşil Defter Dönemsel'!N39</f>
        <v>0</v>
      </c>
      <c r="M40" s="857">
        <f t="shared" si="3"/>
        <v>0</v>
      </c>
      <c r="N40" s="857">
        <f t="shared" si="4"/>
        <v>0</v>
      </c>
      <c r="O40" s="857">
        <f t="shared" si="5"/>
        <v>0</v>
      </c>
      <c r="P40" s="853" t="e">
        <f>+#REF!</f>
        <v>#REF!</v>
      </c>
      <c r="Q40" s="857" t="e">
        <f t="shared" si="6"/>
        <v>#REF!</v>
      </c>
      <c r="R40" s="854" t="e">
        <f>+#REF!</f>
        <v>#REF!</v>
      </c>
      <c r="S40" s="843">
        <f t="shared" si="0"/>
        <v>0</v>
      </c>
      <c r="T40" s="843">
        <f t="shared" si="1"/>
        <v>0</v>
      </c>
      <c r="U40" s="843">
        <f t="shared" si="2"/>
        <v>0</v>
      </c>
      <c r="V40" s="307"/>
      <c r="W40" t="e">
        <f>+'Yeşil Defter'!#REF!</f>
        <v>#REF!</v>
      </c>
      <c r="X40" s="766"/>
    </row>
    <row r="41" spans="1:24" ht="19.95" hidden="1" customHeight="1" x14ac:dyDescent="0.3">
      <c r="A41" s="262" t="s">
        <v>151</v>
      </c>
      <c r="C41" s="855">
        <v>24</v>
      </c>
      <c r="D41" s="855" t="s">
        <v>273</v>
      </c>
      <c r="E41" s="1345" t="s">
        <v>274</v>
      </c>
      <c r="F41" s="1345"/>
      <c r="G41" s="1345"/>
      <c r="H41" s="855" t="s">
        <v>225</v>
      </c>
      <c r="I41" s="856">
        <v>37481</v>
      </c>
      <c r="J41" s="852">
        <f>+'Yeşil Defter Dönemsel'!L40</f>
        <v>0</v>
      </c>
      <c r="K41" s="852">
        <f>+'Yeşil Defter Dönemsel'!M40</f>
        <v>0</v>
      </c>
      <c r="L41" s="852">
        <f>+'Yeşil Defter Dönemsel'!N40</f>
        <v>0</v>
      </c>
      <c r="M41" s="857">
        <f t="shared" si="3"/>
        <v>0</v>
      </c>
      <c r="N41" s="857">
        <f t="shared" si="4"/>
        <v>0</v>
      </c>
      <c r="O41" s="857">
        <f t="shared" si="5"/>
        <v>0</v>
      </c>
      <c r="P41" s="853" t="e">
        <f>+#REF!</f>
        <v>#REF!</v>
      </c>
      <c r="Q41" s="857" t="e">
        <f t="shared" si="6"/>
        <v>#REF!</v>
      </c>
      <c r="R41" s="854" t="e">
        <f>+#REF!</f>
        <v>#REF!</v>
      </c>
      <c r="S41" s="843">
        <f t="shared" si="0"/>
        <v>0</v>
      </c>
      <c r="T41" s="843">
        <f t="shared" si="1"/>
        <v>0</v>
      </c>
      <c r="U41" s="843">
        <f t="shared" si="2"/>
        <v>0</v>
      </c>
      <c r="V41" s="307"/>
      <c r="W41" t="e">
        <f>+'Yeşil Defter'!#REF!</f>
        <v>#REF!</v>
      </c>
      <c r="X41" s="766"/>
    </row>
    <row r="42" spans="1:24" ht="19.95" hidden="1" customHeight="1" x14ac:dyDescent="0.3">
      <c r="A42" s="262" t="s">
        <v>151</v>
      </c>
      <c r="C42" s="855">
        <v>25</v>
      </c>
      <c r="D42" s="855" t="s">
        <v>275</v>
      </c>
      <c r="E42" s="1345" t="s">
        <v>276</v>
      </c>
      <c r="F42" s="1345"/>
      <c r="G42" s="1345"/>
      <c r="H42" s="855" t="s">
        <v>225</v>
      </c>
      <c r="I42" s="856">
        <v>43633</v>
      </c>
      <c r="J42" s="852">
        <f>+'Yeşil Defter Dönemsel'!L41</f>
        <v>0</v>
      </c>
      <c r="K42" s="852">
        <f>+'Yeşil Defter Dönemsel'!M41</f>
        <v>0</v>
      </c>
      <c r="L42" s="852">
        <f>+'Yeşil Defter Dönemsel'!N41</f>
        <v>0</v>
      </c>
      <c r="M42" s="857">
        <f t="shared" si="3"/>
        <v>0</v>
      </c>
      <c r="N42" s="857">
        <f t="shared" si="4"/>
        <v>0</v>
      </c>
      <c r="O42" s="857">
        <f t="shared" si="5"/>
        <v>0</v>
      </c>
      <c r="P42" s="853" t="e">
        <f>+#REF!</f>
        <v>#REF!</v>
      </c>
      <c r="Q42" s="857" t="e">
        <f t="shared" si="6"/>
        <v>#REF!</v>
      </c>
      <c r="R42" s="854" t="e">
        <f>+#REF!</f>
        <v>#REF!</v>
      </c>
      <c r="S42" s="843">
        <f t="shared" si="0"/>
        <v>0</v>
      </c>
      <c r="T42" s="843">
        <f t="shared" si="1"/>
        <v>0</v>
      </c>
      <c r="U42" s="843">
        <f t="shared" si="2"/>
        <v>0</v>
      </c>
      <c r="V42" s="307"/>
      <c r="W42" t="e">
        <f>+'Yeşil Defter'!#REF!</f>
        <v>#REF!</v>
      </c>
      <c r="X42" s="766"/>
    </row>
    <row r="43" spans="1:24" ht="19.95" hidden="1" customHeight="1" x14ac:dyDescent="0.3">
      <c r="A43" s="262" t="s">
        <v>151</v>
      </c>
      <c r="C43" s="855">
        <v>26</v>
      </c>
      <c r="D43" s="855" t="s">
        <v>277</v>
      </c>
      <c r="E43" s="1345" t="s">
        <v>278</v>
      </c>
      <c r="F43" s="1345"/>
      <c r="G43" s="1345"/>
      <c r="H43" s="855" t="s">
        <v>225</v>
      </c>
      <c r="I43" s="856">
        <v>23682</v>
      </c>
      <c r="J43" s="852">
        <f>+'Yeşil Defter Dönemsel'!L42</f>
        <v>0</v>
      </c>
      <c r="K43" s="852">
        <f>+'Yeşil Defter Dönemsel'!M42</f>
        <v>0</v>
      </c>
      <c r="L43" s="852">
        <f>+'Yeşil Defter Dönemsel'!N42</f>
        <v>0</v>
      </c>
      <c r="M43" s="857">
        <f t="shared" si="3"/>
        <v>0</v>
      </c>
      <c r="N43" s="857">
        <f t="shared" si="4"/>
        <v>0</v>
      </c>
      <c r="O43" s="857">
        <f t="shared" si="5"/>
        <v>0</v>
      </c>
      <c r="P43" s="853" t="e">
        <f>+#REF!</f>
        <v>#REF!</v>
      </c>
      <c r="Q43" s="857" t="e">
        <f t="shared" si="6"/>
        <v>#REF!</v>
      </c>
      <c r="R43" s="854" t="e">
        <f>+#REF!</f>
        <v>#REF!</v>
      </c>
      <c r="S43" s="843">
        <f t="shared" si="0"/>
        <v>0</v>
      </c>
      <c r="T43" s="843">
        <f t="shared" si="1"/>
        <v>0</v>
      </c>
      <c r="U43" s="843">
        <f t="shared" si="2"/>
        <v>0</v>
      </c>
      <c r="V43" s="307"/>
      <c r="W43" t="e">
        <f>+'Yeşil Defter'!#REF!</f>
        <v>#REF!</v>
      </c>
      <c r="X43" s="766"/>
    </row>
    <row r="44" spans="1:24" ht="19.95" hidden="1" customHeight="1" x14ac:dyDescent="0.3">
      <c r="A44" s="262" t="s">
        <v>151</v>
      </c>
      <c r="C44" s="855">
        <v>27</v>
      </c>
      <c r="D44" s="855" t="s">
        <v>279</v>
      </c>
      <c r="E44" s="1345" t="s">
        <v>280</v>
      </c>
      <c r="F44" s="1345"/>
      <c r="G44" s="1345"/>
      <c r="H44" s="855" t="s">
        <v>225</v>
      </c>
      <c r="I44" s="856">
        <v>26351</v>
      </c>
      <c r="J44" s="852">
        <f>+'Yeşil Defter Dönemsel'!L43</f>
        <v>0</v>
      </c>
      <c r="K44" s="852">
        <f>+'Yeşil Defter Dönemsel'!M43</f>
        <v>0</v>
      </c>
      <c r="L44" s="852">
        <f>+'Yeşil Defter Dönemsel'!N43</f>
        <v>0</v>
      </c>
      <c r="M44" s="857">
        <f t="shared" si="3"/>
        <v>0</v>
      </c>
      <c r="N44" s="857">
        <f t="shared" si="4"/>
        <v>0</v>
      </c>
      <c r="O44" s="857">
        <f t="shared" si="5"/>
        <v>0</v>
      </c>
      <c r="P44" s="853" t="e">
        <f>+#REF!</f>
        <v>#REF!</v>
      </c>
      <c r="Q44" s="857" t="e">
        <f t="shared" si="6"/>
        <v>#REF!</v>
      </c>
      <c r="R44" s="854" t="e">
        <f>+#REF!</f>
        <v>#REF!</v>
      </c>
      <c r="S44" s="843">
        <f t="shared" si="0"/>
        <v>0</v>
      </c>
      <c r="T44" s="843">
        <f t="shared" si="1"/>
        <v>0</v>
      </c>
      <c r="U44" s="843">
        <f t="shared" si="2"/>
        <v>0</v>
      </c>
      <c r="V44" s="307"/>
      <c r="W44" t="e">
        <f>+'Yeşil Defter'!#REF!</f>
        <v>#REF!</v>
      </c>
      <c r="X44" s="766"/>
    </row>
    <row r="45" spans="1:24" ht="19.95" hidden="1" customHeight="1" x14ac:dyDescent="0.3">
      <c r="A45" s="262" t="s">
        <v>151</v>
      </c>
      <c r="C45" s="855">
        <v>28</v>
      </c>
      <c r="D45" s="855" t="s">
        <v>281</v>
      </c>
      <c r="E45" s="1345" t="s">
        <v>282</v>
      </c>
      <c r="F45" s="1345"/>
      <c r="G45" s="1345"/>
      <c r="H45" s="855" t="s">
        <v>225</v>
      </c>
      <c r="I45" s="856">
        <v>36167</v>
      </c>
      <c r="J45" s="852">
        <f>+'Yeşil Defter Dönemsel'!L44</f>
        <v>0</v>
      </c>
      <c r="K45" s="852">
        <f>+'Yeşil Defter Dönemsel'!M44</f>
        <v>0</v>
      </c>
      <c r="L45" s="852">
        <f>+'Yeşil Defter Dönemsel'!N44</f>
        <v>0</v>
      </c>
      <c r="M45" s="857">
        <f t="shared" si="3"/>
        <v>0</v>
      </c>
      <c r="N45" s="857">
        <f t="shared" si="4"/>
        <v>0</v>
      </c>
      <c r="O45" s="857">
        <f t="shared" si="5"/>
        <v>0</v>
      </c>
      <c r="P45" s="853" t="e">
        <f>+#REF!</f>
        <v>#REF!</v>
      </c>
      <c r="Q45" s="857" t="e">
        <f t="shared" si="6"/>
        <v>#REF!</v>
      </c>
      <c r="R45" s="854" t="e">
        <f>+#REF!</f>
        <v>#REF!</v>
      </c>
      <c r="S45" s="843">
        <f t="shared" si="0"/>
        <v>0</v>
      </c>
      <c r="T45" s="843">
        <f t="shared" si="1"/>
        <v>0</v>
      </c>
      <c r="U45" s="843">
        <f t="shared" si="2"/>
        <v>0</v>
      </c>
      <c r="V45" s="307"/>
      <c r="W45" t="e">
        <f>+'Yeşil Defter'!#REF!</f>
        <v>#REF!</v>
      </c>
      <c r="X45" s="766"/>
    </row>
    <row r="46" spans="1:24" ht="19.95" hidden="1" customHeight="1" x14ac:dyDescent="0.3">
      <c r="A46" s="262" t="s">
        <v>151</v>
      </c>
      <c r="C46" s="855">
        <v>29</v>
      </c>
      <c r="D46" s="855" t="s">
        <v>283</v>
      </c>
      <c r="E46" s="1345" t="s">
        <v>1162</v>
      </c>
      <c r="F46" s="1345"/>
      <c r="G46" s="1345"/>
      <c r="H46" s="855" t="s">
        <v>225</v>
      </c>
      <c r="I46" s="856">
        <v>36167</v>
      </c>
      <c r="J46" s="852">
        <f>+'Yeşil Defter Dönemsel'!L45</f>
        <v>0</v>
      </c>
      <c r="K46" s="852">
        <f>+'Yeşil Defter Dönemsel'!M45</f>
        <v>0</v>
      </c>
      <c r="L46" s="852">
        <f>+'Yeşil Defter Dönemsel'!N45</f>
        <v>0</v>
      </c>
      <c r="M46" s="857">
        <f t="shared" si="3"/>
        <v>0</v>
      </c>
      <c r="N46" s="857">
        <f t="shared" si="4"/>
        <v>0</v>
      </c>
      <c r="O46" s="857">
        <f t="shared" si="5"/>
        <v>0</v>
      </c>
      <c r="P46" s="853" t="e">
        <f>+#REF!</f>
        <v>#REF!</v>
      </c>
      <c r="Q46" s="857" t="e">
        <f t="shared" si="6"/>
        <v>#REF!</v>
      </c>
      <c r="R46" s="854" t="e">
        <f>+#REF!</f>
        <v>#REF!</v>
      </c>
      <c r="S46" s="843">
        <f t="shared" si="0"/>
        <v>0</v>
      </c>
      <c r="T46" s="843">
        <f t="shared" si="1"/>
        <v>0</v>
      </c>
      <c r="U46" s="843">
        <f t="shared" si="2"/>
        <v>0</v>
      </c>
      <c r="V46" s="307"/>
      <c r="W46" t="e">
        <f>+'Yeşil Defter'!#REF!</f>
        <v>#REF!</v>
      </c>
      <c r="X46" s="766"/>
    </row>
    <row r="47" spans="1:24" ht="19.95" hidden="1" customHeight="1" x14ac:dyDescent="0.3">
      <c r="A47" s="262" t="s">
        <v>151</v>
      </c>
      <c r="C47" s="855">
        <v>30</v>
      </c>
      <c r="D47" s="855" t="s">
        <v>284</v>
      </c>
      <c r="E47" s="1345" t="s">
        <v>285</v>
      </c>
      <c r="F47" s="1345"/>
      <c r="G47" s="1345"/>
      <c r="H47" s="855" t="s">
        <v>286</v>
      </c>
      <c r="I47" s="856">
        <v>1125000</v>
      </c>
      <c r="J47" s="852">
        <f>+'Yeşil Defter Dönemsel'!L46</f>
        <v>0</v>
      </c>
      <c r="K47" s="852">
        <f>+'Yeşil Defter Dönemsel'!M46</f>
        <v>0</v>
      </c>
      <c r="L47" s="852">
        <f>+'Yeşil Defter Dönemsel'!N46</f>
        <v>0</v>
      </c>
      <c r="M47" s="857">
        <f t="shared" si="3"/>
        <v>0</v>
      </c>
      <c r="N47" s="857">
        <f t="shared" si="4"/>
        <v>0</v>
      </c>
      <c r="O47" s="857">
        <f t="shared" si="5"/>
        <v>0</v>
      </c>
      <c r="P47" s="853" t="e">
        <f>+#REF!</f>
        <v>#REF!</v>
      </c>
      <c r="Q47" s="857" t="e">
        <f t="shared" si="6"/>
        <v>#REF!</v>
      </c>
      <c r="R47" s="854" t="e">
        <f>+#REF!</f>
        <v>#REF!</v>
      </c>
      <c r="S47" s="843">
        <f t="shared" si="0"/>
        <v>0</v>
      </c>
      <c r="T47" s="843">
        <f t="shared" si="1"/>
        <v>0</v>
      </c>
      <c r="U47" s="843">
        <f t="shared" si="2"/>
        <v>0</v>
      </c>
      <c r="V47" s="307"/>
      <c r="W47" t="e">
        <f>+'Yeşil Defter'!#REF!</f>
        <v>#REF!</v>
      </c>
      <c r="X47" s="766"/>
    </row>
    <row r="48" spans="1:24" ht="19.95" hidden="1" customHeight="1" x14ac:dyDescent="0.3">
      <c r="A48" s="262" t="s">
        <v>151</v>
      </c>
      <c r="C48" s="855">
        <v>31</v>
      </c>
      <c r="D48" s="855" t="s">
        <v>287</v>
      </c>
      <c r="E48" s="1345" t="s">
        <v>288</v>
      </c>
      <c r="F48" s="1345"/>
      <c r="G48" s="1345"/>
      <c r="H48" s="855" t="s">
        <v>286</v>
      </c>
      <c r="I48" s="856">
        <v>1125000</v>
      </c>
      <c r="J48" s="852">
        <f>+'Yeşil Defter Dönemsel'!L47</f>
        <v>0</v>
      </c>
      <c r="K48" s="852">
        <f>+'Yeşil Defter Dönemsel'!M47</f>
        <v>0</v>
      </c>
      <c r="L48" s="852">
        <f>+'Yeşil Defter Dönemsel'!N47</f>
        <v>0</v>
      </c>
      <c r="M48" s="857">
        <f t="shared" si="3"/>
        <v>0</v>
      </c>
      <c r="N48" s="857">
        <f t="shared" si="4"/>
        <v>0</v>
      </c>
      <c r="O48" s="857">
        <f t="shared" si="5"/>
        <v>0</v>
      </c>
      <c r="P48" s="853" t="e">
        <f>+#REF!</f>
        <v>#REF!</v>
      </c>
      <c r="Q48" s="857" t="e">
        <f t="shared" si="6"/>
        <v>#REF!</v>
      </c>
      <c r="R48" s="854" t="e">
        <f>+#REF!</f>
        <v>#REF!</v>
      </c>
      <c r="S48" s="843">
        <f t="shared" si="0"/>
        <v>0</v>
      </c>
      <c r="T48" s="843">
        <f t="shared" si="1"/>
        <v>0</v>
      </c>
      <c r="U48" s="843">
        <f t="shared" si="2"/>
        <v>0</v>
      </c>
      <c r="V48" s="307"/>
      <c r="W48" t="e">
        <f>+'Yeşil Defter'!#REF!</f>
        <v>#REF!</v>
      </c>
      <c r="X48" s="766"/>
    </row>
    <row r="49" spans="1:24" ht="19.95" hidden="1" customHeight="1" x14ac:dyDescent="0.3">
      <c r="A49" s="262" t="s">
        <v>151</v>
      </c>
      <c r="C49" s="855">
        <v>32</v>
      </c>
      <c r="D49" s="855" t="s">
        <v>289</v>
      </c>
      <c r="E49" s="1345" t="s">
        <v>290</v>
      </c>
      <c r="F49" s="1345"/>
      <c r="G49" s="1345"/>
      <c r="H49" s="855" t="s">
        <v>286</v>
      </c>
      <c r="I49" s="856">
        <v>3000000</v>
      </c>
      <c r="J49" s="852">
        <f>+'Yeşil Defter Dönemsel'!L48</f>
        <v>0</v>
      </c>
      <c r="K49" s="852">
        <f>+'Yeşil Defter Dönemsel'!M48</f>
        <v>0</v>
      </c>
      <c r="L49" s="852">
        <f>+'Yeşil Defter Dönemsel'!N48</f>
        <v>0</v>
      </c>
      <c r="M49" s="857">
        <f t="shared" si="3"/>
        <v>0</v>
      </c>
      <c r="N49" s="857">
        <f t="shared" si="4"/>
        <v>0</v>
      </c>
      <c r="O49" s="857">
        <f t="shared" si="5"/>
        <v>0</v>
      </c>
      <c r="P49" s="853" t="e">
        <f>+#REF!</f>
        <v>#REF!</v>
      </c>
      <c r="Q49" s="857" t="e">
        <f t="shared" si="6"/>
        <v>#REF!</v>
      </c>
      <c r="R49" s="854" t="e">
        <f>+#REF!</f>
        <v>#REF!</v>
      </c>
      <c r="S49" s="843">
        <f t="shared" si="0"/>
        <v>0</v>
      </c>
      <c r="T49" s="843">
        <f t="shared" si="1"/>
        <v>0</v>
      </c>
      <c r="U49" s="843">
        <f t="shared" si="2"/>
        <v>0</v>
      </c>
      <c r="V49" s="307"/>
      <c r="W49" t="e">
        <f>+'Yeşil Defter'!#REF!</f>
        <v>#REF!</v>
      </c>
      <c r="X49" s="766"/>
    </row>
    <row r="50" spans="1:24" ht="19.95" hidden="1" customHeight="1" x14ac:dyDescent="0.3">
      <c r="A50" s="262" t="s">
        <v>151</v>
      </c>
      <c r="C50" s="855">
        <v>33</v>
      </c>
      <c r="D50" s="855" t="s">
        <v>291</v>
      </c>
      <c r="E50" s="1345" t="s">
        <v>292</v>
      </c>
      <c r="F50" s="1345"/>
      <c r="G50" s="1345"/>
      <c r="H50" s="855" t="s">
        <v>286</v>
      </c>
      <c r="I50" s="856">
        <v>2250000</v>
      </c>
      <c r="J50" s="852">
        <f>+'Yeşil Defter Dönemsel'!L49</f>
        <v>0</v>
      </c>
      <c r="K50" s="852">
        <f>+'Yeşil Defter Dönemsel'!M49</f>
        <v>0</v>
      </c>
      <c r="L50" s="852">
        <f>+'Yeşil Defter Dönemsel'!N49</f>
        <v>0</v>
      </c>
      <c r="M50" s="857">
        <f t="shared" si="3"/>
        <v>0</v>
      </c>
      <c r="N50" s="857">
        <f t="shared" si="4"/>
        <v>0</v>
      </c>
      <c r="O50" s="857">
        <f t="shared" si="5"/>
        <v>0</v>
      </c>
      <c r="P50" s="853" t="e">
        <f>+#REF!</f>
        <v>#REF!</v>
      </c>
      <c r="Q50" s="857" t="e">
        <f t="shared" si="6"/>
        <v>#REF!</v>
      </c>
      <c r="R50" s="854" t="e">
        <f>+#REF!</f>
        <v>#REF!</v>
      </c>
      <c r="S50" s="843">
        <f t="shared" si="0"/>
        <v>0</v>
      </c>
      <c r="T50" s="843">
        <f t="shared" si="1"/>
        <v>0</v>
      </c>
      <c r="U50" s="843">
        <f t="shared" si="2"/>
        <v>0</v>
      </c>
      <c r="V50" s="307"/>
      <c r="W50" t="e">
        <f>+'Yeşil Defter'!#REF!</f>
        <v>#REF!</v>
      </c>
      <c r="X50" s="766"/>
    </row>
    <row r="51" spans="1:24" ht="19.95" hidden="1" customHeight="1" x14ac:dyDescent="0.3">
      <c r="A51" s="262" t="s">
        <v>151</v>
      </c>
      <c r="C51" s="855">
        <v>34</v>
      </c>
      <c r="D51" s="855" t="s">
        <v>293</v>
      </c>
      <c r="E51" s="1345" t="s">
        <v>294</v>
      </c>
      <c r="F51" s="1345"/>
      <c r="G51" s="1345"/>
      <c r="H51" s="855" t="s">
        <v>225</v>
      </c>
      <c r="I51" s="856">
        <v>2400</v>
      </c>
      <c r="J51" s="852">
        <f>+'Yeşil Defter Dönemsel'!L50</f>
        <v>0</v>
      </c>
      <c r="K51" s="852">
        <f>+'Yeşil Defter Dönemsel'!M50</f>
        <v>0</v>
      </c>
      <c r="L51" s="852">
        <f>+'Yeşil Defter Dönemsel'!N50</f>
        <v>0</v>
      </c>
      <c r="M51" s="857">
        <f t="shared" si="3"/>
        <v>0</v>
      </c>
      <c r="N51" s="857">
        <f t="shared" si="4"/>
        <v>0</v>
      </c>
      <c r="O51" s="857">
        <f t="shared" si="5"/>
        <v>0</v>
      </c>
      <c r="P51" s="853" t="e">
        <f>+#REF!</f>
        <v>#REF!</v>
      </c>
      <c r="Q51" s="857" t="e">
        <f t="shared" si="6"/>
        <v>#REF!</v>
      </c>
      <c r="R51" s="854" t="e">
        <f>+#REF!</f>
        <v>#REF!</v>
      </c>
      <c r="S51" s="843">
        <f t="shared" si="0"/>
        <v>0</v>
      </c>
      <c r="T51" s="843">
        <f t="shared" si="1"/>
        <v>0</v>
      </c>
      <c r="U51" s="843">
        <f t="shared" si="2"/>
        <v>0</v>
      </c>
      <c r="V51" s="307"/>
      <c r="W51" t="e">
        <f>+'Yeşil Defter'!#REF!</f>
        <v>#REF!</v>
      </c>
      <c r="X51" s="766"/>
    </row>
    <row r="52" spans="1:24" ht="19.95" hidden="1" customHeight="1" x14ac:dyDescent="0.3">
      <c r="A52" s="262" t="s">
        <v>151</v>
      </c>
      <c r="C52" s="855">
        <v>35</v>
      </c>
      <c r="D52" s="855" t="s">
        <v>295</v>
      </c>
      <c r="E52" s="1345" t="s">
        <v>296</v>
      </c>
      <c r="F52" s="1345"/>
      <c r="G52" s="1345"/>
      <c r="H52" s="855" t="s">
        <v>225</v>
      </c>
      <c r="I52" s="856">
        <v>2400</v>
      </c>
      <c r="J52" s="852">
        <f>+'Yeşil Defter Dönemsel'!L51</f>
        <v>0</v>
      </c>
      <c r="K52" s="852">
        <f>+'Yeşil Defter Dönemsel'!M51</f>
        <v>0</v>
      </c>
      <c r="L52" s="852">
        <f>+'Yeşil Defter Dönemsel'!N51</f>
        <v>0</v>
      </c>
      <c r="M52" s="857">
        <f t="shared" si="3"/>
        <v>0</v>
      </c>
      <c r="N52" s="857">
        <f t="shared" si="4"/>
        <v>0</v>
      </c>
      <c r="O52" s="857">
        <f t="shared" si="5"/>
        <v>0</v>
      </c>
      <c r="P52" s="853" t="e">
        <f>+#REF!</f>
        <v>#REF!</v>
      </c>
      <c r="Q52" s="857" t="e">
        <f t="shared" si="6"/>
        <v>#REF!</v>
      </c>
      <c r="R52" s="854" t="e">
        <f>+#REF!</f>
        <v>#REF!</v>
      </c>
      <c r="S52" s="843">
        <f t="shared" si="0"/>
        <v>0</v>
      </c>
      <c r="T52" s="843">
        <f t="shared" si="1"/>
        <v>0</v>
      </c>
      <c r="U52" s="843">
        <f t="shared" si="2"/>
        <v>0</v>
      </c>
      <c r="V52" s="307"/>
      <c r="W52" t="e">
        <f>+'Yeşil Defter'!#REF!</f>
        <v>#REF!</v>
      </c>
      <c r="X52" s="766"/>
    </row>
    <row r="53" spans="1:24" ht="19.95" hidden="1" customHeight="1" x14ac:dyDescent="0.3">
      <c r="A53" s="262" t="s">
        <v>151</v>
      </c>
      <c r="C53" s="855">
        <v>36</v>
      </c>
      <c r="D53" s="855" t="s">
        <v>297</v>
      </c>
      <c r="E53" s="1345" t="s">
        <v>298</v>
      </c>
      <c r="F53" s="1345"/>
      <c r="G53" s="1345"/>
      <c r="H53" s="855" t="s">
        <v>225</v>
      </c>
      <c r="I53" s="856">
        <v>2400</v>
      </c>
      <c r="J53" s="852">
        <f>+'Yeşil Defter Dönemsel'!L52</f>
        <v>0</v>
      </c>
      <c r="K53" s="852">
        <f>+'Yeşil Defter Dönemsel'!M52</f>
        <v>0</v>
      </c>
      <c r="L53" s="852">
        <f>+'Yeşil Defter Dönemsel'!N52</f>
        <v>0</v>
      </c>
      <c r="M53" s="857">
        <f t="shared" si="3"/>
        <v>0</v>
      </c>
      <c r="N53" s="857">
        <f t="shared" si="4"/>
        <v>0</v>
      </c>
      <c r="O53" s="857">
        <f t="shared" si="5"/>
        <v>0</v>
      </c>
      <c r="P53" s="853" t="e">
        <f>+#REF!</f>
        <v>#REF!</v>
      </c>
      <c r="Q53" s="857" t="e">
        <f t="shared" si="6"/>
        <v>#REF!</v>
      </c>
      <c r="R53" s="854" t="e">
        <f>+#REF!</f>
        <v>#REF!</v>
      </c>
      <c r="S53" s="843">
        <f t="shared" si="0"/>
        <v>0</v>
      </c>
      <c r="T53" s="843">
        <f t="shared" si="1"/>
        <v>0</v>
      </c>
      <c r="U53" s="843">
        <f t="shared" si="2"/>
        <v>0</v>
      </c>
      <c r="V53" s="307"/>
      <c r="W53" t="e">
        <f>+'Yeşil Defter'!#REF!</f>
        <v>#REF!</v>
      </c>
      <c r="X53" s="766"/>
    </row>
    <row r="54" spans="1:24" ht="19.95" hidden="1" customHeight="1" x14ac:dyDescent="0.3">
      <c r="A54" s="262" t="s">
        <v>151</v>
      </c>
      <c r="C54" s="855">
        <v>37</v>
      </c>
      <c r="D54" s="855" t="s">
        <v>299</v>
      </c>
      <c r="E54" s="1345" t="s">
        <v>300</v>
      </c>
      <c r="F54" s="1345"/>
      <c r="G54" s="1345"/>
      <c r="H54" s="855" t="s">
        <v>225</v>
      </c>
      <c r="I54" s="856">
        <v>2400</v>
      </c>
      <c r="J54" s="852">
        <f>+'Yeşil Defter Dönemsel'!L53</f>
        <v>0</v>
      </c>
      <c r="K54" s="852">
        <f>+'Yeşil Defter Dönemsel'!M53</f>
        <v>0</v>
      </c>
      <c r="L54" s="852">
        <f>+'Yeşil Defter Dönemsel'!N53</f>
        <v>0</v>
      </c>
      <c r="M54" s="857">
        <f t="shared" si="3"/>
        <v>0</v>
      </c>
      <c r="N54" s="857">
        <f t="shared" si="4"/>
        <v>0</v>
      </c>
      <c r="O54" s="857">
        <f t="shared" si="5"/>
        <v>0</v>
      </c>
      <c r="P54" s="853" t="e">
        <f>+#REF!</f>
        <v>#REF!</v>
      </c>
      <c r="Q54" s="857" t="e">
        <f t="shared" si="6"/>
        <v>#REF!</v>
      </c>
      <c r="R54" s="854" t="e">
        <f>+#REF!</f>
        <v>#REF!</v>
      </c>
      <c r="S54" s="843">
        <f t="shared" si="0"/>
        <v>0</v>
      </c>
      <c r="T54" s="843">
        <f t="shared" si="1"/>
        <v>0</v>
      </c>
      <c r="U54" s="843">
        <f t="shared" si="2"/>
        <v>0</v>
      </c>
      <c r="V54" s="307"/>
      <c r="W54" t="e">
        <f>+'Yeşil Defter'!#REF!</f>
        <v>#REF!</v>
      </c>
      <c r="X54" s="766"/>
    </row>
    <row r="55" spans="1:24" ht="25.05" customHeight="1" x14ac:dyDescent="0.3">
      <c r="A55" s="262" t="s">
        <v>151</v>
      </c>
      <c r="C55" s="855">
        <v>38</v>
      </c>
      <c r="D55" s="855" t="s">
        <v>301</v>
      </c>
      <c r="E55" s="1345" t="s">
        <v>302</v>
      </c>
      <c r="F55" s="1345"/>
      <c r="G55" s="1345"/>
      <c r="H55" s="855" t="s">
        <v>286</v>
      </c>
      <c r="I55" s="856">
        <v>6167886</v>
      </c>
      <c r="J55" s="852">
        <f>+'Yeşil Defter Dönemsel'!I54</f>
        <v>0.2455</v>
      </c>
      <c r="K55" s="852">
        <f>+'Yeşil Defter Dönemsel'!J54</f>
        <v>0</v>
      </c>
      <c r="L55" s="852">
        <f>+'Yeşil Defter Dönemsel'!K54</f>
        <v>0.2455</v>
      </c>
      <c r="M55" s="857">
        <f t="shared" si="3"/>
        <v>1514216.01</v>
      </c>
      <c r="N55" s="857">
        <f t="shared" si="4"/>
        <v>0</v>
      </c>
      <c r="O55" s="857">
        <f t="shared" si="5"/>
        <v>1514216.01</v>
      </c>
      <c r="P55" s="852">
        <f>+J55</f>
        <v>0.2455</v>
      </c>
      <c r="Q55" s="854">
        <f t="shared" si="6"/>
        <v>0</v>
      </c>
      <c r="R55" s="854">
        <f>+L55</f>
        <v>0.2455</v>
      </c>
      <c r="S55" s="843">
        <f t="shared" si="0"/>
        <v>1514216.01</v>
      </c>
      <c r="T55" s="843">
        <f t="shared" si="1"/>
        <v>0</v>
      </c>
      <c r="U55" s="843">
        <f t="shared" si="2"/>
        <v>1514216.01</v>
      </c>
      <c r="V55" s="307"/>
      <c r="W55" s="327" t="e">
        <f>+'Yeşil Defter'!#REF!</f>
        <v>#REF!</v>
      </c>
      <c r="X55" s="766"/>
    </row>
    <row r="56" spans="1:24" ht="25.05" customHeight="1" x14ac:dyDescent="0.3">
      <c r="A56" s="262" t="s">
        <v>151</v>
      </c>
      <c r="C56" s="855">
        <v>39</v>
      </c>
      <c r="D56" s="855" t="s">
        <v>303</v>
      </c>
      <c r="E56" s="1345" t="s">
        <v>304</v>
      </c>
      <c r="F56" s="1345"/>
      <c r="G56" s="1345"/>
      <c r="H56" s="855" t="s">
        <v>286</v>
      </c>
      <c r="I56" s="856">
        <v>6167886</v>
      </c>
      <c r="J56" s="852">
        <f>+'Yeşil Defter Dönemsel'!I55</f>
        <v>0.11950000000000001</v>
      </c>
      <c r="K56" s="852">
        <f>+'Yeşil Defter Dönemsel'!J55</f>
        <v>0</v>
      </c>
      <c r="L56" s="852">
        <f>+'Yeşil Defter Dönemsel'!K55</f>
        <v>0.11950000000000001</v>
      </c>
      <c r="M56" s="857">
        <f t="shared" si="3"/>
        <v>737062.38</v>
      </c>
      <c r="N56" s="857">
        <f t="shared" si="4"/>
        <v>0</v>
      </c>
      <c r="O56" s="857">
        <f t="shared" si="5"/>
        <v>737062.38</v>
      </c>
      <c r="P56" s="853">
        <f t="shared" ref="P56:P119" si="7">+J56</f>
        <v>0.11950000000000001</v>
      </c>
      <c r="Q56" s="854">
        <f t="shared" si="6"/>
        <v>0</v>
      </c>
      <c r="R56" s="854">
        <f t="shared" ref="R56:R119" si="8">+L56</f>
        <v>0.11950000000000001</v>
      </c>
      <c r="S56" s="843">
        <f t="shared" si="0"/>
        <v>737062.38</v>
      </c>
      <c r="T56" s="843">
        <f t="shared" si="1"/>
        <v>0</v>
      </c>
      <c r="U56" s="843">
        <f t="shared" si="2"/>
        <v>737062.38</v>
      </c>
      <c r="V56" s="307"/>
      <c r="W56" t="e">
        <f>+'Yeşil Defter'!#REF!</f>
        <v>#REF!</v>
      </c>
      <c r="X56" s="766"/>
    </row>
    <row r="57" spans="1:24" ht="25.05" customHeight="1" x14ac:dyDescent="0.3">
      <c r="A57" s="262" t="s">
        <v>151</v>
      </c>
      <c r="C57" s="855">
        <v>40</v>
      </c>
      <c r="D57" s="855" t="s">
        <v>305</v>
      </c>
      <c r="E57" s="1345" t="s">
        <v>306</v>
      </c>
      <c r="F57" s="1345"/>
      <c r="G57" s="1345"/>
      <c r="H57" s="855" t="s">
        <v>286</v>
      </c>
      <c r="I57" s="856">
        <v>14017922</v>
      </c>
      <c r="J57" s="852">
        <f>+'Yeşil Defter Dönemsel'!I56</f>
        <v>0.2</v>
      </c>
      <c r="K57" s="852">
        <f>+'Yeşil Defter Dönemsel'!J56</f>
        <v>0</v>
      </c>
      <c r="L57" s="852">
        <f>+'Yeşil Defter Dönemsel'!K56</f>
        <v>0.2</v>
      </c>
      <c r="M57" s="857">
        <f t="shared" si="3"/>
        <v>2803584.4</v>
      </c>
      <c r="N57" s="857">
        <f t="shared" si="4"/>
        <v>0</v>
      </c>
      <c r="O57" s="857">
        <f t="shared" si="5"/>
        <v>2803584.4</v>
      </c>
      <c r="P57" s="853">
        <f t="shared" si="7"/>
        <v>0.2</v>
      </c>
      <c r="Q57" s="854">
        <f t="shared" si="6"/>
        <v>0</v>
      </c>
      <c r="R57" s="854">
        <f t="shared" si="8"/>
        <v>0.2</v>
      </c>
      <c r="S57" s="843">
        <f t="shared" si="0"/>
        <v>2803584.4</v>
      </c>
      <c r="T57" s="843">
        <f t="shared" si="1"/>
        <v>0</v>
      </c>
      <c r="U57" s="843">
        <f t="shared" si="2"/>
        <v>2803584.4</v>
      </c>
      <c r="V57" s="307"/>
      <c r="W57" t="e">
        <f>+'Yeşil Defter'!#REF!</f>
        <v>#REF!</v>
      </c>
      <c r="X57" s="766"/>
    </row>
    <row r="58" spans="1:24" ht="25.05" customHeight="1" x14ac:dyDescent="0.3">
      <c r="A58" s="262" t="s">
        <v>151</v>
      </c>
      <c r="C58" s="855">
        <v>41</v>
      </c>
      <c r="D58" s="855" t="s">
        <v>307</v>
      </c>
      <c r="E58" s="1345" t="s">
        <v>308</v>
      </c>
      <c r="F58" s="1345"/>
      <c r="G58" s="1345"/>
      <c r="H58" s="855" t="s">
        <v>286</v>
      </c>
      <c r="I58" s="856">
        <v>14017922</v>
      </c>
      <c r="J58" s="852">
        <f>+'Yeşil Defter Dönemsel'!I57</f>
        <v>0.12550000000000003</v>
      </c>
      <c r="K58" s="852">
        <f>+'Yeşil Defter Dönemsel'!J57</f>
        <v>0</v>
      </c>
      <c r="L58" s="852">
        <f>+'Yeşil Defter Dönemsel'!K57</f>
        <v>0.12550000000000003</v>
      </c>
      <c r="M58" s="857">
        <f t="shared" si="3"/>
        <v>1759249.21</v>
      </c>
      <c r="N58" s="857">
        <f t="shared" si="4"/>
        <v>0</v>
      </c>
      <c r="O58" s="857">
        <f t="shared" si="5"/>
        <v>1759249.21</v>
      </c>
      <c r="P58" s="853">
        <f t="shared" si="7"/>
        <v>0.12550000000000003</v>
      </c>
      <c r="Q58" s="854">
        <f t="shared" si="6"/>
        <v>0</v>
      </c>
      <c r="R58" s="854">
        <f t="shared" si="8"/>
        <v>0.12550000000000003</v>
      </c>
      <c r="S58" s="843">
        <f t="shared" si="0"/>
        <v>1759249.21</v>
      </c>
      <c r="T58" s="843">
        <f t="shared" si="1"/>
        <v>0</v>
      </c>
      <c r="U58" s="843">
        <f t="shared" si="2"/>
        <v>1759249.21</v>
      </c>
      <c r="V58" s="307"/>
      <c r="W58" s="325" t="e">
        <f>+'Yeşil Defter'!#REF!</f>
        <v>#REF!</v>
      </c>
      <c r="X58" s="766"/>
    </row>
    <row r="59" spans="1:24" ht="25.05" customHeight="1" x14ac:dyDescent="0.3">
      <c r="A59" s="262" t="s">
        <v>151</v>
      </c>
      <c r="C59" s="855">
        <v>42</v>
      </c>
      <c r="D59" s="855" t="s">
        <v>309</v>
      </c>
      <c r="E59" s="1345" t="s">
        <v>310</v>
      </c>
      <c r="F59" s="1345"/>
      <c r="G59" s="1345"/>
      <c r="H59" s="855" t="s">
        <v>286</v>
      </c>
      <c r="I59" s="856">
        <v>6167886</v>
      </c>
      <c r="J59" s="852">
        <f>+'Yeşil Defter Dönemsel'!I58</f>
        <v>0.11950000000000001</v>
      </c>
      <c r="K59" s="852">
        <f>+'Yeşil Defter Dönemsel'!J58</f>
        <v>0</v>
      </c>
      <c r="L59" s="852">
        <f>+'Yeşil Defter Dönemsel'!K58</f>
        <v>0.11950000000000001</v>
      </c>
      <c r="M59" s="857">
        <f t="shared" si="3"/>
        <v>737062.38</v>
      </c>
      <c r="N59" s="857">
        <f t="shared" si="4"/>
        <v>0</v>
      </c>
      <c r="O59" s="857">
        <f t="shared" si="5"/>
        <v>737062.38</v>
      </c>
      <c r="P59" s="853">
        <f t="shared" si="7"/>
        <v>0.11950000000000001</v>
      </c>
      <c r="Q59" s="854">
        <f t="shared" si="6"/>
        <v>0</v>
      </c>
      <c r="R59" s="854">
        <f t="shared" si="8"/>
        <v>0.11950000000000001</v>
      </c>
      <c r="S59" s="843">
        <f t="shared" si="0"/>
        <v>737062.38</v>
      </c>
      <c r="T59" s="843">
        <f t="shared" si="1"/>
        <v>0</v>
      </c>
      <c r="U59" s="843">
        <f t="shared" si="2"/>
        <v>737062.38</v>
      </c>
      <c r="V59" s="307"/>
      <c r="W59" t="e">
        <f>+'Yeşil Defter'!#REF!</f>
        <v>#REF!</v>
      </c>
      <c r="X59" s="766"/>
    </row>
    <row r="60" spans="1:24" ht="45.6" customHeight="1" x14ac:dyDescent="0.3">
      <c r="A60" s="262" t="s">
        <v>151</v>
      </c>
      <c r="C60" s="855">
        <v>43</v>
      </c>
      <c r="D60" s="855" t="s">
        <v>311</v>
      </c>
      <c r="E60" s="1345" t="s">
        <v>312</v>
      </c>
      <c r="F60" s="1345"/>
      <c r="G60" s="1345"/>
      <c r="H60" s="855" t="s">
        <v>286</v>
      </c>
      <c r="I60" s="856">
        <v>15419714</v>
      </c>
      <c r="J60" s="852">
        <f>+'Yeşil Defter Dönemsel'!I59</f>
        <v>9.1899999999999996E-2</v>
      </c>
      <c r="K60" s="852">
        <f>+'Yeşil Defter Dönemsel'!J59</f>
        <v>0</v>
      </c>
      <c r="L60" s="852">
        <f>+'Yeşil Defter Dönemsel'!K59</f>
        <v>9.1899999999999996E-2</v>
      </c>
      <c r="M60" s="857">
        <f t="shared" si="3"/>
        <v>1417071.72</v>
      </c>
      <c r="N60" s="857">
        <f t="shared" si="4"/>
        <v>0</v>
      </c>
      <c r="O60" s="857">
        <f t="shared" si="5"/>
        <v>1417071.72</v>
      </c>
      <c r="P60" s="852">
        <f t="shared" si="7"/>
        <v>9.1899999999999996E-2</v>
      </c>
      <c r="Q60" s="854">
        <f t="shared" si="6"/>
        <v>0</v>
      </c>
      <c r="R60" s="854">
        <f t="shared" si="8"/>
        <v>9.1899999999999996E-2</v>
      </c>
      <c r="S60" s="843">
        <f t="shared" si="0"/>
        <v>1417071.72</v>
      </c>
      <c r="T60" s="843">
        <f t="shared" si="1"/>
        <v>0</v>
      </c>
      <c r="U60" s="843">
        <f t="shared" si="2"/>
        <v>1417071.72</v>
      </c>
      <c r="V60" s="307"/>
      <c r="W60" t="e">
        <f>+'Yeşil Defter'!#REF!</f>
        <v>#REF!</v>
      </c>
      <c r="X60" s="766"/>
    </row>
    <row r="61" spans="1:24" ht="19.95" hidden="1" customHeight="1" x14ac:dyDescent="0.3">
      <c r="A61" s="262" t="s">
        <v>151</v>
      </c>
      <c r="C61" s="855">
        <v>44</v>
      </c>
      <c r="D61" s="855" t="s">
        <v>313</v>
      </c>
      <c r="E61" s="1345" t="s">
        <v>314</v>
      </c>
      <c r="F61" s="1345"/>
      <c r="G61" s="1345"/>
      <c r="H61" s="855" t="s">
        <v>286</v>
      </c>
      <c r="I61" s="856">
        <v>4205377</v>
      </c>
      <c r="J61" s="852">
        <f>+'Yeşil Defter Dönemsel'!I60</f>
        <v>0</v>
      </c>
      <c r="K61" s="852">
        <f>+'Yeşil Defter Dönemsel'!J60</f>
        <v>0</v>
      </c>
      <c r="L61" s="852">
        <f>+'Yeşil Defter Dönemsel'!K60</f>
        <v>0</v>
      </c>
      <c r="M61" s="857">
        <f t="shared" si="3"/>
        <v>0</v>
      </c>
      <c r="N61" s="857">
        <f t="shared" si="4"/>
        <v>0</v>
      </c>
      <c r="O61" s="857">
        <f t="shared" si="5"/>
        <v>0</v>
      </c>
      <c r="P61" s="853">
        <f t="shared" si="7"/>
        <v>0</v>
      </c>
      <c r="Q61" s="854">
        <f t="shared" si="6"/>
        <v>0</v>
      </c>
      <c r="R61" s="854">
        <f t="shared" si="8"/>
        <v>0</v>
      </c>
      <c r="S61" s="843">
        <f t="shared" si="0"/>
        <v>0</v>
      </c>
      <c r="T61" s="843">
        <f t="shared" si="1"/>
        <v>0</v>
      </c>
      <c r="U61" s="843">
        <f t="shared" si="2"/>
        <v>0</v>
      </c>
      <c r="V61" s="307"/>
      <c r="W61" t="e">
        <f>+'Yeşil Defter'!#REF!</f>
        <v>#REF!</v>
      </c>
      <c r="X61" s="766"/>
    </row>
    <row r="62" spans="1:24" ht="19.95" hidden="1" customHeight="1" x14ac:dyDescent="0.3">
      <c r="A62" s="262" t="s">
        <v>151</v>
      </c>
      <c r="C62" s="855">
        <v>45</v>
      </c>
      <c r="D62" s="855" t="s">
        <v>315</v>
      </c>
      <c r="E62" s="1345" t="s">
        <v>316</v>
      </c>
      <c r="F62" s="1345"/>
      <c r="G62" s="1345"/>
      <c r="H62" s="855" t="s">
        <v>286</v>
      </c>
      <c r="I62" s="856">
        <v>4205377</v>
      </c>
      <c r="J62" s="852">
        <f>+'Yeşil Defter Dönemsel'!I61</f>
        <v>0</v>
      </c>
      <c r="K62" s="852">
        <f>+'Yeşil Defter Dönemsel'!J61</f>
        <v>0</v>
      </c>
      <c r="L62" s="852">
        <f>+'Yeşil Defter Dönemsel'!K61</f>
        <v>0</v>
      </c>
      <c r="M62" s="857">
        <f t="shared" si="3"/>
        <v>0</v>
      </c>
      <c r="N62" s="857">
        <f t="shared" si="4"/>
        <v>0</v>
      </c>
      <c r="O62" s="857">
        <f t="shared" si="5"/>
        <v>0</v>
      </c>
      <c r="P62" s="853">
        <f t="shared" si="7"/>
        <v>0</v>
      </c>
      <c r="Q62" s="854">
        <f t="shared" si="6"/>
        <v>0</v>
      </c>
      <c r="R62" s="854">
        <f t="shared" si="8"/>
        <v>0</v>
      </c>
      <c r="S62" s="843">
        <f t="shared" si="0"/>
        <v>0</v>
      </c>
      <c r="T62" s="843">
        <f t="shared" si="1"/>
        <v>0</v>
      </c>
      <c r="U62" s="843">
        <f t="shared" si="2"/>
        <v>0</v>
      </c>
      <c r="V62" s="307"/>
      <c r="W62" t="e">
        <f>+'Yeşil Defter'!#REF!</f>
        <v>#REF!</v>
      </c>
      <c r="X62" s="766"/>
    </row>
    <row r="63" spans="1:24" ht="19.95" hidden="1" customHeight="1" x14ac:dyDescent="0.3">
      <c r="A63" s="262" t="s">
        <v>151</v>
      </c>
      <c r="C63" s="855">
        <v>46</v>
      </c>
      <c r="D63" s="855" t="s">
        <v>317</v>
      </c>
      <c r="E63" s="1345" t="s">
        <v>318</v>
      </c>
      <c r="F63" s="1345"/>
      <c r="G63" s="1345"/>
      <c r="H63" s="855" t="s">
        <v>286</v>
      </c>
      <c r="I63" s="856">
        <v>5326810</v>
      </c>
      <c r="J63" s="852">
        <f>+'Yeşil Defter Dönemsel'!I62</f>
        <v>0</v>
      </c>
      <c r="K63" s="852">
        <f>+'Yeşil Defter Dönemsel'!J62</f>
        <v>0</v>
      </c>
      <c r="L63" s="852">
        <f>+'Yeşil Defter Dönemsel'!K62</f>
        <v>0</v>
      </c>
      <c r="M63" s="857">
        <f t="shared" si="3"/>
        <v>0</v>
      </c>
      <c r="N63" s="857">
        <f t="shared" si="4"/>
        <v>0</v>
      </c>
      <c r="O63" s="857">
        <f t="shared" si="5"/>
        <v>0</v>
      </c>
      <c r="P63" s="853">
        <f t="shared" si="7"/>
        <v>0</v>
      </c>
      <c r="Q63" s="854">
        <f t="shared" si="6"/>
        <v>0</v>
      </c>
      <c r="R63" s="854">
        <f t="shared" si="8"/>
        <v>0</v>
      </c>
      <c r="S63" s="843">
        <f t="shared" si="0"/>
        <v>0</v>
      </c>
      <c r="T63" s="843">
        <f t="shared" si="1"/>
        <v>0</v>
      </c>
      <c r="U63" s="843">
        <f t="shared" si="2"/>
        <v>0</v>
      </c>
      <c r="V63" s="307"/>
      <c r="W63" t="e">
        <f>+'Yeşil Defter'!#REF!</f>
        <v>#REF!</v>
      </c>
      <c r="X63" s="766"/>
    </row>
    <row r="64" spans="1:24" ht="19.95" hidden="1" customHeight="1" x14ac:dyDescent="0.3">
      <c r="A64" s="262" t="s">
        <v>151</v>
      </c>
      <c r="C64" s="855">
        <v>47</v>
      </c>
      <c r="D64" s="855" t="s">
        <v>319</v>
      </c>
      <c r="E64" s="1345" t="s">
        <v>320</v>
      </c>
      <c r="F64" s="1345"/>
      <c r="G64" s="1345"/>
      <c r="H64" s="855" t="s">
        <v>286</v>
      </c>
      <c r="I64" s="856">
        <v>5326810</v>
      </c>
      <c r="J64" s="852">
        <f>+'Yeşil Defter Dönemsel'!I63</f>
        <v>0</v>
      </c>
      <c r="K64" s="852">
        <f>+'Yeşil Defter Dönemsel'!J63</f>
        <v>0</v>
      </c>
      <c r="L64" s="852">
        <f>+'Yeşil Defter Dönemsel'!K63</f>
        <v>0</v>
      </c>
      <c r="M64" s="857">
        <f t="shared" si="3"/>
        <v>0</v>
      </c>
      <c r="N64" s="857">
        <f t="shared" si="4"/>
        <v>0</v>
      </c>
      <c r="O64" s="857">
        <f t="shared" si="5"/>
        <v>0</v>
      </c>
      <c r="P64" s="853">
        <f t="shared" si="7"/>
        <v>0</v>
      </c>
      <c r="Q64" s="857">
        <f t="shared" si="6"/>
        <v>0</v>
      </c>
      <c r="R64" s="854">
        <f t="shared" si="8"/>
        <v>0</v>
      </c>
      <c r="S64" s="843">
        <f t="shared" si="0"/>
        <v>0</v>
      </c>
      <c r="T64" s="843">
        <f t="shared" si="1"/>
        <v>0</v>
      </c>
      <c r="U64" s="843">
        <f t="shared" si="2"/>
        <v>0</v>
      </c>
      <c r="V64" s="307"/>
      <c r="W64" t="e">
        <f>+'Yeşil Defter'!#REF!</f>
        <v>#REF!</v>
      </c>
      <c r="X64" s="766"/>
    </row>
    <row r="65" spans="1:26" ht="19.95" hidden="1" customHeight="1" x14ac:dyDescent="0.3">
      <c r="A65" s="262" t="s">
        <v>151</v>
      </c>
      <c r="C65" s="860">
        <v>48</v>
      </c>
      <c r="D65" s="860" t="s">
        <v>321</v>
      </c>
      <c r="E65" s="1341" t="s">
        <v>322</v>
      </c>
      <c r="F65" s="1341"/>
      <c r="G65" s="1341"/>
      <c r="H65" s="860" t="s">
        <v>286</v>
      </c>
      <c r="I65" s="861">
        <v>4205377</v>
      </c>
      <c r="J65" s="852">
        <f>+'Yeşil Defter Dönemsel'!I64</f>
        <v>0</v>
      </c>
      <c r="K65" s="852">
        <f>+'Yeşil Defter Dönemsel'!J64</f>
        <v>0</v>
      </c>
      <c r="L65" s="852">
        <f>+'Yeşil Defter Dönemsel'!K64</f>
        <v>0</v>
      </c>
      <c r="M65" s="862">
        <f t="shared" si="3"/>
        <v>0</v>
      </c>
      <c r="N65" s="862">
        <f t="shared" si="4"/>
        <v>0</v>
      </c>
      <c r="O65" s="862">
        <f t="shared" si="5"/>
        <v>0</v>
      </c>
      <c r="P65" s="853">
        <f t="shared" si="7"/>
        <v>0</v>
      </c>
      <c r="Q65" s="862">
        <f t="shared" si="6"/>
        <v>0</v>
      </c>
      <c r="R65" s="854">
        <f t="shared" si="8"/>
        <v>0</v>
      </c>
      <c r="S65" s="843">
        <f t="shared" si="0"/>
        <v>0</v>
      </c>
      <c r="T65" s="843">
        <f t="shared" si="1"/>
        <v>0</v>
      </c>
      <c r="U65" s="843">
        <f t="shared" si="2"/>
        <v>0</v>
      </c>
      <c r="V65" s="307"/>
      <c r="W65" t="e">
        <f>+'Yeşil Defter'!#REF!</f>
        <v>#REF!</v>
      </c>
      <c r="X65" s="766"/>
    </row>
    <row r="66" spans="1:26" customFormat="1" ht="25.05" customHeight="1" x14ac:dyDescent="0.3">
      <c r="A66" s="262">
        <v>1</v>
      </c>
      <c r="B66" s="11"/>
      <c r="C66" s="844"/>
      <c r="D66" s="845" t="s">
        <v>1225</v>
      </c>
      <c r="E66" s="846"/>
      <c r="F66" s="846"/>
      <c r="G66" s="846"/>
      <c r="H66" s="846"/>
      <c r="I66" s="846"/>
      <c r="J66" s="852">
        <f>+'Yeşil Defter Dönemsel'!I65</f>
        <v>0</v>
      </c>
      <c r="K66" s="852">
        <f>+'Yeşil Defter Dönemsel'!J65</f>
        <v>0</v>
      </c>
      <c r="L66" s="852">
        <f>+'Yeşil Defter Dönemsel'!K65</f>
        <v>0</v>
      </c>
      <c r="M66" s="848">
        <f>SUM(M67:M97)</f>
        <v>1454267286.05</v>
      </c>
      <c r="N66" s="848" t="e">
        <f>SUM(N67:N97)</f>
        <v>#REF!</v>
      </c>
      <c r="O66" s="848" t="e">
        <f>SUM(O67:O97)</f>
        <v>#REF!</v>
      </c>
      <c r="P66" s="853">
        <f t="shared" si="7"/>
        <v>0</v>
      </c>
      <c r="Q66" s="847"/>
      <c r="R66" s="854">
        <f t="shared" si="8"/>
        <v>0</v>
      </c>
      <c r="S66" s="843">
        <f t="shared" si="0"/>
        <v>1454267286.05</v>
      </c>
      <c r="T66" s="843" t="e">
        <f t="shared" si="1"/>
        <v>#REF!</v>
      </c>
      <c r="U66" s="843" t="e">
        <f t="shared" si="2"/>
        <v>#REF!</v>
      </c>
      <c r="V66" s="307"/>
      <c r="W66" t="e">
        <f>+'Yeşil Defter'!#REF!</f>
        <v>#REF!</v>
      </c>
      <c r="X66" s="766"/>
      <c r="Y66" s="11"/>
      <c r="Z66" s="11"/>
    </row>
    <row r="67" spans="1:26" customFormat="1" ht="25.05" customHeight="1" x14ac:dyDescent="0.3">
      <c r="A67" s="262" t="s">
        <v>152</v>
      </c>
      <c r="B67" s="11"/>
      <c r="C67" s="849">
        <v>49</v>
      </c>
      <c r="D67" s="850" t="s">
        <v>323</v>
      </c>
      <c r="E67" s="1346" t="s">
        <v>324</v>
      </c>
      <c r="F67" s="1346"/>
      <c r="G67" s="1346"/>
      <c r="H67" s="849" t="s">
        <v>228</v>
      </c>
      <c r="I67" s="856">
        <v>5075</v>
      </c>
      <c r="J67" s="852">
        <f>+'Yeşil Defter Dönemsel'!I66</f>
        <v>53746.188000000002</v>
      </c>
      <c r="K67" s="852" t="e">
        <f>+'Yeşil Defter Dönemsel'!J66</f>
        <v>#REF!</v>
      </c>
      <c r="L67" s="852" t="e">
        <f>+'Yeşil Defter Dönemsel'!K66</f>
        <v>#REF!</v>
      </c>
      <c r="M67" s="853">
        <f t="shared" ref="M67:M97" si="9">+ROUND($I67*J67,2)</f>
        <v>272761904.10000002</v>
      </c>
      <c r="N67" s="853" t="e">
        <f t="shared" ref="N67:N97" si="10">+ROUND($I67*K67,2)</f>
        <v>#REF!</v>
      </c>
      <c r="O67" s="853" t="e">
        <f t="shared" ref="O67:O97" si="11">+ROUND($I67*L67,2)</f>
        <v>#REF!</v>
      </c>
      <c r="P67" s="853">
        <f t="shared" si="7"/>
        <v>53746.188000000002</v>
      </c>
      <c r="Q67" s="864" t="e">
        <f t="shared" ref="Q67:Q97" si="12">+R67-P67</f>
        <v>#REF!</v>
      </c>
      <c r="R67" s="854" t="e">
        <f t="shared" si="8"/>
        <v>#REF!</v>
      </c>
      <c r="S67" s="843">
        <f t="shared" si="0"/>
        <v>272761904.10000002</v>
      </c>
      <c r="T67" s="843" t="e">
        <f t="shared" si="1"/>
        <v>#REF!</v>
      </c>
      <c r="U67" s="843" t="e">
        <f t="shared" si="2"/>
        <v>#REF!</v>
      </c>
      <c r="V67" s="307"/>
      <c r="W67" t="e">
        <f>+'Yeşil Defter'!#REF!</f>
        <v>#REF!</v>
      </c>
      <c r="X67" s="766"/>
      <c r="Y67" s="11"/>
      <c r="Z67" s="11"/>
    </row>
    <row r="68" spans="1:26" customFormat="1" ht="19.95" hidden="1" customHeight="1" x14ac:dyDescent="0.3">
      <c r="A68" s="262" t="s">
        <v>152</v>
      </c>
      <c r="B68" s="11"/>
      <c r="C68" s="855">
        <v>50</v>
      </c>
      <c r="D68" s="855" t="s">
        <v>325</v>
      </c>
      <c r="E68" s="1345" t="s">
        <v>326</v>
      </c>
      <c r="F68" s="1345"/>
      <c r="G68" s="1345"/>
      <c r="H68" s="855" t="s">
        <v>228</v>
      </c>
      <c r="I68" s="856">
        <v>600</v>
      </c>
      <c r="J68" s="852">
        <f>+'Yeşil Defter Dönemsel'!I67</f>
        <v>0</v>
      </c>
      <c r="K68" s="852" t="e">
        <f>+'Yeşil Defter Dönemsel'!J67</f>
        <v>#REF!</v>
      </c>
      <c r="L68" s="852" t="e">
        <f>+'Yeşil Defter Dönemsel'!K67</f>
        <v>#REF!</v>
      </c>
      <c r="M68" s="857">
        <f t="shared" si="9"/>
        <v>0</v>
      </c>
      <c r="N68" s="857" t="e">
        <f t="shared" si="10"/>
        <v>#REF!</v>
      </c>
      <c r="O68" s="857" t="e">
        <f t="shared" si="11"/>
        <v>#REF!</v>
      </c>
      <c r="P68" s="853">
        <f t="shared" si="7"/>
        <v>0</v>
      </c>
      <c r="Q68" s="865" t="e">
        <f t="shared" si="12"/>
        <v>#REF!</v>
      </c>
      <c r="R68" s="854" t="e">
        <f t="shared" si="8"/>
        <v>#REF!</v>
      </c>
      <c r="S68" s="843">
        <f t="shared" si="0"/>
        <v>0</v>
      </c>
      <c r="T68" s="843" t="e">
        <f t="shared" si="1"/>
        <v>#REF!</v>
      </c>
      <c r="U68" s="843" t="e">
        <f t="shared" si="2"/>
        <v>#REF!</v>
      </c>
      <c r="V68" s="307"/>
      <c r="W68" t="e">
        <f>+'Yeşil Defter'!#REF!</f>
        <v>#REF!</v>
      </c>
      <c r="X68" s="766"/>
      <c r="Y68" s="11"/>
      <c r="Z68" s="11"/>
    </row>
    <row r="69" spans="1:26" customFormat="1" ht="19.95" hidden="1" customHeight="1" x14ac:dyDescent="0.3">
      <c r="A69" s="262" t="s">
        <v>152</v>
      </c>
      <c r="B69" s="11"/>
      <c r="C69" s="855">
        <v>51</v>
      </c>
      <c r="D69" s="855" t="s">
        <v>327</v>
      </c>
      <c r="E69" s="1345" t="s">
        <v>238</v>
      </c>
      <c r="F69" s="1345"/>
      <c r="G69" s="1345"/>
      <c r="H69" s="855" t="s">
        <v>228</v>
      </c>
      <c r="I69" s="856">
        <v>1500</v>
      </c>
      <c r="J69" s="852">
        <f>+'Yeşil Defter Dönemsel'!I68</f>
        <v>0</v>
      </c>
      <c r="K69" s="852" t="e">
        <f>+'Yeşil Defter Dönemsel'!J68</f>
        <v>#REF!</v>
      </c>
      <c r="L69" s="852" t="e">
        <f>+'Yeşil Defter Dönemsel'!K68</f>
        <v>#REF!</v>
      </c>
      <c r="M69" s="857">
        <f t="shared" si="9"/>
        <v>0</v>
      </c>
      <c r="N69" s="857" t="e">
        <f t="shared" si="10"/>
        <v>#REF!</v>
      </c>
      <c r="O69" s="857" t="e">
        <f t="shared" si="11"/>
        <v>#REF!</v>
      </c>
      <c r="P69" s="853">
        <f t="shared" si="7"/>
        <v>0</v>
      </c>
      <c r="Q69" s="865" t="e">
        <f t="shared" si="12"/>
        <v>#REF!</v>
      </c>
      <c r="R69" s="854" t="e">
        <f t="shared" si="8"/>
        <v>#REF!</v>
      </c>
      <c r="S69" s="843">
        <f t="shared" si="0"/>
        <v>0</v>
      </c>
      <c r="T69" s="843" t="e">
        <f t="shared" si="1"/>
        <v>#REF!</v>
      </c>
      <c r="U69" s="843" t="e">
        <f t="shared" si="2"/>
        <v>#REF!</v>
      </c>
      <c r="V69" s="307"/>
      <c r="W69" t="e">
        <f>+'Yeşil Defter'!#REF!</f>
        <v>#REF!</v>
      </c>
      <c r="X69" s="766"/>
      <c r="Y69" s="11"/>
      <c r="Z69" s="11"/>
    </row>
    <row r="70" spans="1:26" customFormat="1" ht="25.05" customHeight="1" x14ac:dyDescent="0.3">
      <c r="A70" s="262" t="s">
        <v>152</v>
      </c>
      <c r="B70" s="11"/>
      <c r="C70" s="855">
        <v>52</v>
      </c>
      <c r="D70" s="858" t="s">
        <v>328</v>
      </c>
      <c r="E70" s="1345" t="s">
        <v>329</v>
      </c>
      <c r="F70" s="1345"/>
      <c r="G70" s="1345"/>
      <c r="H70" s="855" t="s">
        <v>228</v>
      </c>
      <c r="I70" s="856">
        <v>15334</v>
      </c>
      <c r="J70" s="852">
        <f>+'Yeşil Defter Dönemsel'!I69</f>
        <v>11287.989999999998</v>
      </c>
      <c r="K70" s="852" t="e">
        <f>+'Yeşil Defter Dönemsel'!J69</f>
        <v>#REF!</v>
      </c>
      <c r="L70" s="852" t="e">
        <f>+'Yeşil Defter Dönemsel'!K69</f>
        <v>#REF!</v>
      </c>
      <c r="M70" s="857">
        <f t="shared" si="9"/>
        <v>173090038.66</v>
      </c>
      <c r="N70" s="857" t="e">
        <f t="shared" si="10"/>
        <v>#REF!</v>
      </c>
      <c r="O70" s="857" t="e">
        <f t="shared" si="11"/>
        <v>#REF!</v>
      </c>
      <c r="P70" s="853">
        <f t="shared" si="7"/>
        <v>11287.989999999998</v>
      </c>
      <c r="Q70" s="865" t="e">
        <f t="shared" si="12"/>
        <v>#REF!</v>
      </c>
      <c r="R70" s="854" t="e">
        <f t="shared" si="8"/>
        <v>#REF!</v>
      </c>
      <c r="S70" s="843">
        <f t="shared" si="0"/>
        <v>173090038.66</v>
      </c>
      <c r="T70" s="843" t="e">
        <f t="shared" si="1"/>
        <v>#REF!</v>
      </c>
      <c r="U70" s="843" t="e">
        <f t="shared" si="2"/>
        <v>#REF!</v>
      </c>
      <c r="V70" s="307"/>
      <c r="W70" t="e">
        <f>+'Yeşil Defter'!#REF!</f>
        <v>#REF!</v>
      </c>
      <c r="X70" s="766"/>
      <c r="Y70" s="11"/>
      <c r="Z70" s="11"/>
    </row>
    <row r="71" spans="1:26" customFormat="1" ht="19.95" hidden="1" customHeight="1" x14ac:dyDescent="0.3">
      <c r="A71" s="262" t="s">
        <v>152</v>
      </c>
      <c r="B71" s="11"/>
      <c r="C71" s="855">
        <v>53</v>
      </c>
      <c r="D71" s="855" t="s">
        <v>330</v>
      </c>
      <c r="E71" s="1345" t="s">
        <v>331</v>
      </c>
      <c r="F71" s="1345"/>
      <c r="G71" s="1345"/>
      <c r="H71" s="855" t="s">
        <v>202</v>
      </c>
      <c r="I71" s="856">
        <v>248</v>
      </c>
      <c r="J71" s="852">
        <f>+'Yeşil Defter Dönemsel'!I70</f>
        <v>0</v>
      </c>
      <c r="K71" s="852" t="e">
        <f>+'Yeşil Defter Dönemsel'!J70</f>
        <v>#REF!</v>
      </c>
      <c r="L71" s="852" t="e">
        <f>+'Yeşil Defter Dönemsel'!K70</f>
        <v>#REF!</v>
      </c>
      <c r="M71" s="857">
        <f t="shared" si="9"/>
        <v>0</v>
      </c>
      <c r="N71" s="857" t="e">
        <f t="shared" si="10"/>
        <v>#REF!</v>
      </c>
      <c r="O71" s="857" t="e">
        <f t="shared" si="11"/>
        <v>#REF!</v>
      </c>
      <c r="P71" s="853">
        <f t="shared" si="7"/>
        <v>0</v>
      </c>
      <c r="Q71" s="865" t="e">
        <f t="shared" si="12"/>
        <v>#REF!</v>
      </c>
      <c r="R71" s="854" t="e">
        <f t="shared" si="8"/>
        <v>#REF!</v>
      </c>
      <c r="S71" s="843">
        <f t="shared" si="0"/>
        <v>0</v>
      </c>
      <c r="T71" s="843" t="e">
        <f t="shared" si="1"/>
        <v>#REF!</v>
      </c>
      <c r="U71" s="843" t="e">
        <f t="shared" si="2"/>
        <v>#REF!</v>
      </c>
      <c r="V71" s="307"/>
      <c r="W71" t="e">
        <f>+'Yeşil Defter'!#REF!</f>
        <v>#REF!</v>
      </c>
      <c r="X71" s="766"/>
      <c r="Y71" s="11"/>
      <c r="Z71" s="11"/>
    </row>
    <row r="72" spans="1:26" ht="19.95" hidden="1" customHeight="1" x14ac:dyDescent="0.3">
      <c r="A72" s="262" t="s">
        <v>152</v>
      </c>
      <c r="C72" s="855">
        <v>54</v>
      </c>
      <c r="D72" s="855" t="s">
        <v>332</v>
      </c>
      <c r="E72" s="1345" t="s">
        <v>333</v>
      </c>
      <c r="F72" s="1345"/>
      <c r="G72" s="1345"/>
      <c r="H72" s="855" t="s">
        <v>202</v>
      </c>
      <c r="I72" s="856">
        <v>371</v>
      </c>
      <c r="J72" s="852">
        <f>+'Yeşil Defter Dönemsel'!I71</f>
        <v>0</v>
      </c>
      <c r="K72" s="852" t="e">
        <f>+'Yeşil Defter Dönemsel'!J71</f>
        <v>#REF!</v>
      </c>
      <c r="L72" s="852" t="e">
        <f>+'Yeşil Defter Dönemsel'!K71</f>
        <v>#REF!</v>
      </c>
      <c r="M72" s="857">
        <f t="shared" si="9"/>
        <v>0</v>
      </c>
      <c r="N72" s="857" t="e">
        <f t="shared" si="10"/>
        <v>#REF!</v>
      </c>
      <c r="O72" s="857" t="e">
        <f t="shared" si="11"/>
        <v>#REF!</v>
      </c>
      <c r="P72" s="853">
        <f t="shared" si="7"/>
        <v>0</v>
      </c>
      <c r="Q72" s="865" t="e">
        <f t="shared" si="12"/>
        <v>#REF!</v>
      </c>
      <c r="R72" s="854" t="e">
        <f t="shared" si="8"/>
        <v>#REF!</v>
      </c>
      <c r="S72" s="843">
        <f t="shared" si="0"/>
        <v>0</v>
      </c>
      <c r="T72" s="843" t="e">
        <f t="shared" si="1"/>
        <v>#REF!</v>
      </c>
      <c r="U72" s="843" t="e">
        <f t="shared" si="2"/>
        <v>#REF!</v>
      </c>
      <c r="V72" s="307"/>
      <c r="W72" t="e">
        <f>+'Yeşil Defter'!#REF!</f>
        <v>#REF!</v>
      </c>
      <c r="X72" s="766"/>
    </row>
    <row r="73" spans="1:26" ht="19.95" hidden="1" customHeight="1" x14ac:dyDescent="0.3">
      <c r="A73" s="262" t="s">
        <v>152</v>
      </c>
      <c r="C73" s="855">
        <v>55</v>
      </c>
      <c r="D73" s="855" t="s">
        <v>334</v>
      </c>
      <c r="E73" s="1345" t="s">
        <v>246</v>
      </c>
      <c r="F73" s="1345"/>
      <c r="G73" s="1345"/>
      <c r="H73" s="855" t="s">
        <v>247</v>
      </c>
      <c r="I73" s="856">
        <v>2250</v>
      </c>
      <c r="J73" s="852">
        <f>+'Yeşil Defter Dönemsel'!I72</f>
        <v>0</v>
      </c>
      <c r="K73" s="852" t="e">
        <f>+'Yeşil Defter Dönemsel'!J72</f>
        <v>#REF!</v>
      </c>
      <c r="L73" s="852" t="e">
        <f>+'Yeşil Defter Dönemsel'!K72</f>
        <v>#REF!</v>
      </c>
      <c r="M73" s="857">
        <f t="shared" si="9"/>
        <v>0</v>
      </c>
      <c r="N73" s="857" t="e">
        <f t="shared" si="10"/>
        <v>#REF!</v>
      </c>
      <c r="O73" s="857" t="e">
        <f t="shared" si="11"/>
        <v>#REF!</v>
      </c>
      <c r="P73" s="853">
        <f t="shared" si="7"/>
        <v>0</v>
      </c>
      <c r="Q73" s="865" t="e">
        <f t="shared" si="12"/>
        <v>#REF!</v>
      </c>
      <c r="R73" s="854" t="e">
        <f t="shared" si="8"/>
        <v>#REF!</v>
      </c>
      <c r="S73" s="843">
        <f t="shared" si="0"/>
        <v>0</v>
      </c>
      <c r="T73" s="843" t="e">
        <f t="shared" si="1"/>
        <v>#REF!</v>
      </c>
      <c r="U73" s="843" t="e">
        <f t="shared" si="2"/>
        <v>#REF!</v>
      </c>
      <c r="V73" s="307"/>
      <c r="W73" t="e">
        <f>+'Yeşil Defter'!#REF!</f>
        <v>#REF!</v>
      </c>
      <c r="X73" s="766"/>
    </row>
    <row r="74" spans="1:26" ht="25.05" customHeight="1" x14ac:dyDescent="0.3">
      <c r="A74" s="262" t="s">
        <v>152</v>
      </c>
      <c r="C74" s="855">
        <v>56</v>
      </c>
      <c r="D74" s="855" t="s">
        <v>335</v>
      </c>
      <c r="E74" s="1345" t="s">
        <v>249</v>
      </c>
      <c r="F74" s="1345"/>
      <c r="G74" s="1345"/>
      <c r="H74" s="855" t="s">
        <v>247</v>
      </c>
      <c r="I74" s="856">
        <v>8000</v>
      </c>
      <c r="J74" s="852">
        <f>+'Yeşil Defter Dönemsel'!I73</f>
        <v>2492</v>
      </c>
      <c r="K74" s="852" t="e">
        <f>+'Yeşil Defter Dönemsel'!J73</f>
        <v>#REF!</v>
      </c>
      <c r="L74" s="852" t="e">
        <f>+'Yeşil Defter Dönemsel'!K73</f>
        <v>#REF!</v>
      </c>
      <c r="M74" s="857">
        <f t="shared" si="9"/>
        <v>19936000</v>
      </c>
      <c r="N74" s="857" t="e">
        <f t="shared" si="10"/>
        <v>#REF!</v>
      </c>
      <c r="O74" s="857" t="e">
        <f t="shared" si="11"/>
        <v>#REF!</v>
      </c>
      <c r="P74" s="853">
        <f t="shared" si="7"/>
        <v>2492</v>
      </c>
      <c r="Q74" s="865" t="e">
        <f t="shared" si="12"/>
        <v>#REF!</v>
      </c>
      <c r="R74" s="854" t="e">
        <f t="shared" si="8"/>
        <v>#REF!</v>
      </c>
      <c r="S74" s="843">
        <f t="shared" si="0"/>
        <v>19936000</v>
      </c>
      <c r="T74" s="843" t="e">
        <f t="shared" si="1"/>
        <v>#REF!</v>
      </c>
      <c r="U74" s="843" t="e">
        <f t="shared" si="2"/>
        <v>#REF!</v>
      </c>
      <c r="V74" s="307"/>
      <c r="W74" t="e">
        <f>+'Yeşil Defter'!#REF!</f>
        <v>#REF!</v>
      </c>
      <c r="X74" s="766"/>
    </row>
    <row r="75" spans="1:26" ht="19.95" hidden="1" customHeight="1" x14ac:dyDescent="0.3">
      <c r="A75" s="262" t="s">
        <v>152</v>
      </c>
      <c r="C75" s="855">
        <v>57</v>
      </c>
      <c r="D75" s="855" t="s">
        <v>336</v>
      </c>
      <c r="E75" s="1345" t="s">
        <v>251</v>
      </c>
      <c r="F75" s="1345"/>
      <c r="G75" s="1345"/>
      <c r="H75" s="855" t="s">
        <v>247</v>
      </c>
      <c r="I75" s="856">
        <v>8288</v>
      </c>
      <c r="J75" s="852">
        <f>+'Yeşil Defter Dönemsel'!I74</f>
        <v>0</v>
      </c>
      <c r="K75" s="852" t="e">
        <f>+'Yeşil Defter Dönemsel'!J74</f>
        <v>#REF!</v>
      </c>
      <c r="L75" s="852" t="e">
        <f>+'Yeşil Defter Dönemsel'!K74</f>
        <v>#REF!</v>
      </c>
      <c r="M75" s="857">
        <f t="shared" si="9"/>
        <v>0</v>
      </c>
      <c r="N75" s="857" t="e">
        <f t="shared" si="10"/>
        <v>#REF!</v>
      </c>
      <c r="O75" s="857" t="e">
        <f t="shared" si="11"/>
        <v>#REF!</v>
      </c>
      <c r="P75" s="853">
        <f t="shared" si="7"/>
        <v>0</v>
      </c>
      <c r="Q75" s="865" t="e">
        <f t="shared" si="12"/>
        <v>#REF!</v>
      </c>
      <c r="R75" s="854" t="e">
        <f t="shared" si="8"/>
        <v>#REF!</v>
      </c>
      <c r="S75" s="843">
        <f t="shared" si="0"/>
        <v>0</v>
      </c>
      <c r="T75" s="843" t="e">
        <f t="shared" si="1"/>
        <v>#REF!</v>
      </c>
      <c r="U75" s="843" t="e">
        <f t="shared" si="2"/>
        <v>#REF!</v>
      </c>
      <c r="V75" s="307"/>
      <c r="W75" t="e">
        <f>+'Yeşil Defter'!#REF!</f>
        <v>#REF!</v>
      </c>
      <c r="X75" s="766"/>
    </row>
    <row r="76" spans="1:26" ht="25.05" customHeight="1" x14ac:dyDescent="0.3">
      <c r="A76" s="262" t="s">
        <v>152</v>
      </c>
      <c r="C76" s="855">
        <v>58</v>
      </c>
      <c r="D76" s="855" t="s">
        <v>337</v>
      </c>
      <c r="E76" s="1345" t="s">
        <v>253</v>
      </c>
      <c r="F76" s="1345"/>
      <c r="G76" s="1345"/>
      <c r="H76" s="855" t="s">
        <v>247</v>
      </c>
      <c r="I76" s="856">
        <v>12000</v>
      </c>
      <c r="J76" s="852">
        <f>+'Yeşil Defter Dönemsel'!I75</f>
        <v>2074</v>
      </c>
      <c r="K76" s="852" t="e">
        <f>+'Yeşil Defter Dönemsel'!J75</f>
        <v>#REF!</v>
      </c>
      <c r="L76" s="852" t="e">
        <f>+'Yeşil Defter Dönemsel'!K75</f>
        <v>#REF!</v>
      </c>
      <c r="M76" s="857">
        <f t="shared" si="9"/>
        <v>24888000</v>
      </c>
      <c r="N76" s="857" t="e">
        <f t="shared" si="10"/>
        <v>#REF!</v>
      </c>
      <c r="O76" s="857" t="e">
        <f t="shared" si="11"/>
        <v>#REF!</v>
      </c>
      <c r="P76" s="853">
        <f t="shared" si="7"/>
        <v>2074</v>
      </c>
      <c r="Q76" s="865" t="e">
        <f t="shared" si="12"/>
        <v>#REF!</v>
      </c>
      <c r="R76" s="854" t="e">
        <f t="shared" si="8"/>
        <v>#REF!</v>
      </c>
      <c r="S76" s="843">
        <f t="shared" si="0"/>
        <v>24888000</v>
      </c>
      <c r="T76" s="843" t="e">
        <f t="shared" si="1"/>
        <v>#REF!</v>
      </c>
      <c r="U76" s="843" t="e">
        <f t="shared" si="2"/>
        <v>#REF!</v>
      </c>
      <c r="V76" s="307"/>
      <c r="W76" t="e">
        <f>+'Yeşil Defter'!#REF!</f>
        <v>#REF!</v>
      </c>
      <c r="X76" s="766"/>
    </row>
    <row r="77" spans="1:26" ht="25.05" customHeight="1" x14ac:dyDescent="0.3">
      <c r="A77" s="262" t="s">
        <v>152</v>
      </c>
      <c r="C77" s="855">
        <v>59</v>
      </c>
      <c r="D77" s="855" t="s">
        <v>338</v>
      </c>
      <c r="E77" s="1345" t="s">
        <v>339</v>
      </c>
      <c r="F77" s="1345"/>
      <c r="G77" s="1345"/>
      <c r="H77" s="855" t="s">
        <v>247</v>
      </c>
      <c r="I77" s="856">
        <v>28000</v>
      </c>
      <c r="J77" s="852">
        <f>+'Yeşil Defter Dönemsel'!I76</f>
        <v>9774</v>
      </c>
      <c r="K77" s="852" t="e">
        <f>+'Yeşil Defter Dönemsel'!J76</f>
        <v>#REF!</v>
      </c>
      <c r="L77" s="852" t="e">
        <f>+'Yeşil Defter Dönemsel'!K76</f>
        <v>#REF!</v>
      </c>
      <c r="M77" s="857">
        <f t="shared" si="9"/>
        <v>273672000</v>
      </c>
      <c r="N77" s="857" t="e">
        <f t="shared" si="10"/>
        <v>#REF!</v>
      </c>
      <c r="O77" s="857" t="e">
        <f t="shared" si="11"/>
        <v>#REF!</v>
      </c>
      <c r="P77" s="853">
        <f t="shared" si="7"/>
        <v>9774</v>
      </c>
      <c r="Q77" s="865" t="e">
        <f t="shared" si="12"/>
        <v>#REF!</v>
      </c>
      <c r="R77" s="854" t="e">
        <f t="shared" si="8"/>
        <v>#REF!</v>
      </c>
      <c r="S77" s="843">
        <f t="shared" si="0"/>
        <v>273672000</v>
      </c>
      <c r="T77" s="843" t="e">
        <f t="shared" si="1"/>
        <v>#REF!</v>
      </c>
      <c r="U77" s="843" t="e">
        <f t="shared" si="2"/>
        <v>#REF!</v>
      </c>
      <c r="V77" s="307"/>
      <c r="W77" t="e">
        <f>+'Yeşil Defter'!#REF!</f>
        <v>#REF!</v>
      </c>
      <c r="X77" s="766"/>
    </row>
    <row r="78" spans="1:26" ht="25.05" customHeight="1" x14ac:dyDescent="0.3">
      <c r="A78" s="262" t="s">
        <v>152</v>
      </c>
      <c r="C78" s="855">
        <v>60</v>
      </c>
      <c r="D78" s="855" t="s">
        <v>340</v>
      </c>
      <c r="E78" s="1345" t="s">
        <v>242</v>
      </c>
      <c r="F78" s="1345"/>
      <c r="G78" s="1345"/>
      <c r="H78" s="855" t="s">
        <v>202</v>
      </c>
      <c r="I78" s="856">
        <v>375</v>
      </c>
      <c r="J78" s="852">
        <f>+'Yeşil Defter Dönemsel'!I77</f>
        <v>37566</v>
      </c>
      <c r="K78" s="852" t="e">
        <f>+'Yeşil Defter Dönemsel'!J77</f>
        <v>#REF!</v>
      </c>
      <c r="L78" s="852" t="e">
        <f>+'Yeşil Defter Dönemsel'!K77</f>
        <v>#REF!</v>
      </c>
      <c r="M78" s="857">
        <f t="shared" si="9"/>
        <v>14087250</v>
      </c>
      <c r="N78" s="857" t="e">
        <f t="shared" si="10"/>
        <v>#REF!</v>
      </c>
      <c r="O78" s="857" t="e">
        <f t="shared" si="11"/>
        <v>#REF!</v>
      </c>
      <c r="P78" s="853">
        <f t="shared" si="7"/>
        <v>37566</v>
      </c>
      <c r="Q78" s="865" t="e">
        <f t="shared" si="12"/>
        <v>#REF!</v>
      </c>
      <c r="R78" s="854" t="e">
        <f t="shared" si="8"/>
        <v>#REF!</v>
      </c>
      <c r="S78" s="843">
        <f t="shared" si="0"/>
        <v>14087250</v>
      </c>
      <c r="T78" s="843" t="e">
        <f t="shared" si="1"/>
        <v>#REF!</v>
      </c>
      <c r="U78" s="843" t="e">
        <f t="shared" si="2"/>
        <v>#REF!</v>
      </c>
      <c r="V78" s="307"/>
      <c r="W78" t="e">
        <f>+'Yeşil Defter'!#REF!</f>
        <v>#REF!</v>
      </c>
      <c r="X78" s="766"/>
    </row>
    <row r="79" spans="1:26" ht="19.95" hidden="1" customHeight="1" x14ac:dyDescent="0.3">
      <c r="A79" s="262" t="s">
        <v>152</v>
      </c>
      <c r="C79" s="855">
        <v>61</v>
      </c>
      <c r="D79" s="855" t="s">
        <v>341</v>
      </c>
      <c r="E79" s="1345" t="s">
        <v>244</v>
      </c>
      <c r="F79" s="1345"/>
      <c r="G79" s="1345"/>
      <c r="H79" s="855" t="s">
        <v>202</v>
      </c>
      <c r="I79" s="856">
        <v>388</v>
      </c>
      <c r="J79" s="852">
        <f>+'Yeşil Defter Dönemsel'!I78</f>
        <v>0</v>
      </c>
      <c r="K79" s="852" t="e">
        <f>+'Yeşil Defter Dönemsel'!J78</f>
        <v>#REF!</v>
      </c>
      <c r="L79" s="852" t="e">
        <f>+'Yeşil Defter Dönemsel'!K78</f>
        <v>#REF!</v>
      </c>
      <c r="M79" s="857">
        <f t="shared" si="9"/>
        <v>0</v>
      </c>
      <c r="N79" s="857" t="e">
        <f t="shared" si="10"/>
        <v>#REF!</v>
      </c>
      <c r="O79" s="857" t="e">
        <f t="shared" si="11"/>
        <v>#REF!</v>
      </c>
      <c r="P79" s="853">
        <f t="shared" si="7"/>
        <v>0</v>
      </c>
      <c r="Q79" s="865" t="e">
        <f t="shared" si="12"/>
        <v>#REF!</v>
      </c>
      <c r="R79" s="854" t="e">
        <f t="shared" si="8"/>
        <v>#REF!</v>
      </c>
      <c r="S79" s="843">
        <f t="shared" si="0"/>
        <v>0</v>
      </c>
      <c r="T79" s="843" t="e">
        <f t="shared" si="1"/>
        <v>#REF!</v>
      </c>
      <c r="U79" s="843" t="e">
        <f t="shared" si="2"/>
        <v>#REF!</v>
      </c>
      <c r="V79" s="307"/>
      <c r="W79" t="e">
        <f>+'Yeşil Defter'!#REF!</f>
        <v>#REF!</v>
      </c>
      <c r="X79" s="766"/>
    </row>
    <row r="80" spans="1:26" ht="25.05" customHeight="1" x14ac:dyDescent="0.3">
      <c r="A80" s="262" t="s">
        <v>152</v>
      </c>
      <c r="C80" s="855">
        <v>62</v>
      </c>
      <c r="D80" s="858" t="s">
        <v>342</v>
      </c>
      <c r="E80" s="1345" t="s">
        <v>343</v>
      </c>
      <c r="F80" s="1345"/>
      <c r="G80" s="1345"/>
      <c r="H80" s="855" t="s">
        <v>262</v>
      </c>
      <c r="I80" s="856">
        <v>102000</v>
      </c>
      <c r="J80" s="852">
        <f>+'Yeşil Defter Dönemsel'!I79</f>
        <v>2244.4250000000002</v>
      </c>
      <c r="K80" s="852" t="e">
        <f>+'Yeşil Defter Dönemsel'!J79</f>
        <v>#REF!</v>
      </c>
      <c r="L80" s="852" t="e">
        <f>+'Yeşil Defter Dönemsel'!K79</f>
        <v>#REF!</v>
      </c>
      <c r="M80" s="857">
        <f t="shared" si="9"/>
        <v>228931350</v>
      </c>
      <c r="N80" s="857" t="e">
        <f t="shared" si="10"/>
        <v>#REF!</v>
      </c>
      <c r="O80" s="857" t="e">
        <f t="shared" si="11"/>
        <v>#REF!</v>
      </c>
      <c r="P80" s="853">
        <f t="shared" si="7"/>
        <v>2244.4250000000002</v>
      </c>
      <c r="Q80" s="865" t="e">
        <f t="shared" si="12"/>
        <v>#REF!</v>
      </c>
      <c r="R80" s="854" t="e">
        <f t="shared" si="8"/>
        <v>#REF!</v>
      </c>
      <c r="S80" s="843">
        <f t="shared" ref="S80:S143" si="13">+M80</f>
        <v>228931350</v>
      </c>
      <c r="T80" s="843" t="e">
        <f t="shared" si="1"/>
        <v>#REF!</v>
      </c>
      <c r="U80" s="843" t="e">
        <f t="shared" ref="U80:U143" si="14">+O80</f>
        <v>#REF!</v>
      </c>
      <c r="V80" s="307"/>
      <c r="W80" t="e">
        <f>+'Yeşil Defter'!#REF!</f>
        <v>#REF!</v>
      </c>
      <c r="X80" s="766"/>
    </row>
    <row r="81" spans="1:26" ht="25.05" customHeight="1" x14ac:dyDescent="0.3">
      <c r="A81" s="262" t="s">
        <v>152</v>
      </c>
      <c r="C81" s="855">
        <v>63</v>
      </c>
      <c r="D81" s="858" t="s">
        <v>344</v>
      </c>
      <c r="E81" s="1345" t="s">
        <v>345</v>
      </c>
      <c r="F81" s="1345"/>
      <c r="G81" s="1345"/>
      <c r="H81" s="855" t="s">
        <v>202</v>
      </c>
      <c r="I81" s="856">
        <v>3400</v>
      </c>
      <c r="J81" s="852">
        <f>+'Yeşil Defter Dönemsel'!I80</f>
        <v>95616</v>
      </c>
      <c r="K81" s="852" t="e">
        <f>+'Yeşil Defter Dönemsel'!J80</f>
        <v>#REF!</v>
      </c>
      <c r="L81" s="852" t="e">
        <f>+'Yeşil Defter Dönemsel'!K80</f>
        <v>#REF!</v>
      </c>
      <c r="M81" s="857">
        <f t="shared" si="9"/>
        <v>325094400</v>
      </c>
      <c r="N81" s="857" t="e">
        <f t="shared" si="10"/>
        <v>#REF!</v>
      </c>
      <c r="O81" s="857" t="e">
        <f t="shared" si="11"/>
        <v>#REF!</v>
      </c>
      <c r="P81" s="853">
        <f t="shared" si="7"/>
        <v>95616</v>
      </c>
      <c r="Q81" s="865" t="e">
        <f t="shared" si="12"/>
        <v>#REF!</v>
      </c>
      <c r="R81" s="854" t="e">
        <f t="shared" si="8"/>
        <v>#REF!</v>
      </c>
      <c r="S81" s="843">
        <f t="shared" si="13"/>
        <v>325094400</v>
      </c>
      <c r="T81" s="843" t="e">
        <f t="shared" ref="T81:T144" si="15">+U81-S81</f>
        <v>#REF!</v>
      </c>
      <c r="U81" s="843" t="e">
        <f t="shared" si="14"/>
        <v>#REF!</v>
      </c>
      <c r="V81" s="307"/>
      <c r="W81" t="e">
        <f>+'Yeşil Defter'!#REF!</f>
        <v>#REF!</v>
      </c>
      <c r="X81" s="766"/>
    </row>
    <row r="82" spans="1:26" ht="25.05" customHeight="1" x14ac:dyDescent="0.3">
      <c r="A82" s="262" t="s">
        <v>152</v>
      </c>
      <c r="C82" s="855">
        <v>64</v>
      </c>
      <c r="D82" s="855" t="s">
        <v>346</v>
      </c>
      <c r="E82" s="1345" t="s">
        <v>347</v>
      </c>
      <c r="F82" s="1345"/>
      <c r="G82" s="1345"/>
      <c r="H82" s="855" t="s">
        <v>225</v>
      </c>
      <c r="I82" s="856">
        <v>510</v>
      </c>
      <c r="J82" s="852">
        <f>+'Yeşil Defter Dönemsel'!I81</f>
        <v>5086.1019000000106</v>
      </c>
      <c r="K82" s="852" t="e">
        <f>+'Yeşil Defter Dönemsel'!J81</f>
        <v>#REF!</v>
      </c>
      <c r="L82" s="852" t="e">
        <f>+'Yeşil Defter Dönemsel'!K81</f>
        <v>#REF!</v>
      </c>
      <c r="M82" s="857">
        <f t="shared" si="9"/>
        <v>2593911.9700000002</v>
      </c>
      <c r="N82" s="857" t="e">
        <f t="shared" si="10"/>
        <v>#REF!</v>
      </c>
      <c r="O82" s="857" t="e">
        <f t="shared" si="11"/>
        <v>#REF!</v>
      </c>
      <c r="P82" s="853">
        <f t="shared" si="7"/>
        <v>5086.1019000000106</v>
      </c>
      <c r="Q82" s="865" t="e">
        <f t="shared" si="12"/>
        <v>#REF!</v>
      </c>
      <c r="R82" s="854" t="e">
        <f t="shared" si="8"/>
        <v>#REF!</v>
      </c>
      <c r="S82" s="843">
        <f t="shared" si="13"/>
        <v>2593911.9700000002</v>
      </c>
      <c r="T82" s="843" t="e">
        <f t="shared" si="15"/>
        <v>#REF!</v>
      </c>
      <c r="U82" s="843" t="e">
        <f t="shared" si="14"/>
        <v>#REF!</v>
      </c>
      <c r="V82" s="307"/>
      <c r="W82" t="e">
        <f>+'Yeşil Defter'!#REF!</f>
        <v>#REF!</v>
      </c>
      <c r="X82" s="766"/>
    </row>
    <row r="83" spans="1:26" ht="25.05" customHeight="1" x14ac:dyDescent="0.3">
      <c r="A83" s="262" t="s">
        <v>152</v>
      </c>
      <c r="C83" s="855">
        <v>65</v>
      </c>
      <c r="D83" s="855" t="s">
        <v>348</v>
      </c>
      <c r="E83" s="1345" t="s">
        <v>349</v>
      </c>
      <c r="F83" s="1345"/>
      <c r="G83" s="1345"/>
      <c r="H83" s="855" t="s">
        <v>225</v>
      </c>
      <c r="I83" s="856">
        <v>1200</v>
      </c>
      <c r="J83" s="852">
        <f>+'Yeşil Defter Dönemsel'!I82</f>
        <v>2929.7649000000056</v>
      </c>
      <c r="K83" s="852" t="e">
        <f>+'Yeşil Defter Dönemsel'!J82</f>
        <v>#REF!</v>
      </c>
      <c r="L83" s="852" t="e">
        <f>+'Yeşil Defter Dönemsel'!K82</f>
        <v>#REF!</v>
      </c>
      <c r="M83" s="857">
        <f t="shared" si="9"/>
        <v>3515717.88</v>
      </c>
      <c r="N83" s="857" t="e">
        <f t="shared" si="10"/>
        <v>#REF!</v>
      </c>
      <c r="O83" s="857" t="e">
        <f t="shared" si="11"/>
        <v>#REF!</v>
      </c>
      <c r="P83" s="853">
        <f t="shared" si="7"/>
        <v>2929.7649000000056</v>
      </c>
      <c r="Q83" s="865" t="e">
        <f t="shared" si="12"/>
        <v>#REF!</v>
      </c>
      <c r="R83" s="854" t="e">
        <f t="shared" si="8"/>
        <v>#REF!</v>
      </c>
      <c r="S83" s="843">
        <f t="shared" si="13"/>
        <v>3515717.88</v>
      </c>
      <c r="T83" s="843" t="e">
        <f t="shared" si="15"/>
        <v>#REF!</v>
      </c>
      <c r="U83" s="843" t="e">
        <f t="shared" si="14"/>
        <v>#REF!</v>
      </c>
      <c r="V83" s="307"/>
      <c r="W83" t="e">
        <f>+'Yeşil Defter'!#REF!</f>
        <v>#REF!</v>
      </c>
      <c r="X83" s="766"/>
    </row>
    <row r="84" spans="1:26" ht="25.05" customHeight="1" x14ac:dyDescent="0.3">
      <c r="A84" s="262" t="s">
        <v>152</v>
      </c>
      <c r="C84" s="855">
        <v>66</v>
      </c>
      <c r="D84" s="858" t="s">
        <v>350</v>
      </c>
      <c r="E84" s="1345" t="s">
        <v>351</v>
      </c>
      <c r="F84" s="1345"/>
      <c r="G84" s="1345"/>
      <c r="H84" s="855" t="s">
        <v>202</v>
      </c>
      <c r="I84" s="856">
        <v>2160</v>
      </c>
      <c r="J84" s="852">
        <f>+'Yeşil Defter Dönemsel'!I83</f>
        <v>938.72700000000123</v>
      </c>
      <c r="K84" s="852" t="e">
        <f>+'Yeşil Defter Dönemsel'!J83</f>
        <v>#REF!</v>
      </c>
      <c r="L84" s="852" t="e">
        <f>+'Yeşil Defter Dönemsel'!K83</f>
        <v>#REF!</v>
      </c>
      <c r="M84" s="857">
        <f t="shared" si="9"/>
        <v>2027650.32</v>
      </c>
      <c r="N84" s="857" t="e">
        <f t="shared" si="10"/>
        <v>#REF!</v>
      </c>
      <c r="O84" s="857" t="e">
        <f t="shared" si="11"/>
        <v>#REF!</v>
      </c>
      <c r="P84" s="853">
        <f t="shared" si="7"/>
        <v>938.72700000000123</v>
      </c>
      <c r="Q84" s="865" t="e">
        <f t="shared" si="12"/>
        <v>#REF!</v>
      </c>
      <c r="R84" s="854" t="e">
        <f t="shared" si="8"/>
        <v>#REF!</v>
      </c>
      <c r="S84" s="843">
        <f t="shared" si="13"/>
        <v>2027650.32</v>
      </c>
      <c r="T84" s="843" t="e">
        <f t="shared" si="15"/>
        <v>#REF!</v>
      </c>
      <c r="U84" s="843" t="e">
        <f t="shared" si="14"/>
        <v>#REF!</v>
      </c>
      <c r="V84" s="307"/>
      <c r="W84" t="e">
        <f>+'Yeşil Defter'!#REF!</f>
        <v>#REF!</v>
      </c>
      <c r="X84" s="766"/>
    </row>
    <row r="85" spans="1:26" ht="19.95" hidden="1" customHeight="1" x14ac:dyDescent="0.3">
      <c r="A85" s="262" t="s">
        <v>152</v>
      </c>
      <c r="C85" s="855">
        <v>67</v>
      </c>
      <c r="D85" s="855" t="s">
        <v>352</v>
      </c>
      <c r="E85" s="1345" t="s">
        <v>353</v>
      </c>
      <c r="F85" s="1345"/>
      <c r="G85" s="1345"/>
      <c r="H85" s="855" t="s">
        <v>225</v>
      </c>
      <c r="I85" s="856">
        <v>4150</v>
      </c>
      <c r="J85" s="852">
        <f>+'Yeşil Defter Dönemsel'!I84</f>
        <v>0</v>
      </c>
      <c r="K85" s="852" t="e">
        <f>+'Yeşil Defter Dönemsel'!J84</f>
        <v>#REF!</v>
      </c>
      <c r="L85" s="852" t="e">
        <f>+'Yeşil Defter Dönemsel'!K84</f>
        <v>#REF!</v>
      </c>
      <c r="M85" s="857">
        <f t="shared" si="9"/>
        <v>0</v>
      </c>
      <c r="N85" s="857" t="e">
        <f t="shared" si="10"/>
        <v>#REF!</v>
      </c>
      <c r="O85" s="857" t="e">
        <f t="shared" si="11"/>
        <v>#REF!</v>
      </c>
      <c r="P85" s="853">
        <f t="shared" si="7"/>
        <v>0</v>
      </c>
      <c r="Q85" s="865" t="e">
        <f t="shared" si="12"/>
        <v>#REF!</v>
      </c>
      <c r="R85" s="854" t="e">
        <f t="shared" si="8"/>
        <v>#REF!</v>
      </c>
      <c r="S85" s="843">
        <f t="shared" si="13"/>
        <v>0</v>
      </c>
      <c r="T85" s="843" t="e">
        <f t="shared" si="15"/>
        <v>#REF!</v>
      </c>
      <c r="U85" s="843" t="e">
        <f t="shared" si="14"/>
        <v>#REF!</v>
      </c>
      <c r="V85" s="307"/>
      <c r="W85" t="e">
        <f>+'Yeşil Defter'!#REF!</f>
        <v>#REF!</v>
      </c>
      <c r="X85" s="766"/>
    </row>
    <row r="86" spans="1:26" ht="19.95" hidden="1" customHeight="1" x14ac:dyDescent="0.3">
      <c r="A86" s="262" t="s">
        <v>152</v>
      </c>
      <c r="C86" s="855">
        <v>68</v>
      </c>
      <c r="D86" s="855" t="s">
        <v>354</v>
      </c>
      <c r="E86" s="1345" t="s">
        <v>355</v>
      </c>
      <c r="F86" s="1345"/>
      <c r="G86" s="1345"/>
      <c r="H86" s="855" t="s">
        <v>225</v>
      </c>
      <c r="I86" s="856">
        <v>1500</v>
      </c>
      <c r="J86" s="852">
        <f>+'Yeşil Defter Dönemsel'!I85</f>
        <v>0</v>
      </c>
      <c r="K86" s="852" t="e">
        <f>+'Yeşil Defter Dönemsel'!J85</f>
        <v>#REF!</v>
      </c>
      <c r="L86" s="852" t="e">
        <f>+'Yeşil Defter Dönemsel'!K85</f>
        <v>#REF!</v>
      </c>
      <c r="M86" s="857">
        <f t="shared" si="9"/>
        <v>0</v>
      </c>
      <c r="N86" s="857" t="e">
        <f t="shared" si="10"/>
        <v>#REF!</v>
      </c>
      <c r="O86" s="857" t="e">
        <f t="shared" si="11"/>
        <v>#REF!</v>
      </c>
      <c r="P86" s="853">
        <f t="shared" si="7"/>
        <v>0</v>
      </c>
      <c r="Q86" s="865" t="e">
        <f t="shared" si="12"/>
        <v>#REF!</v>
      </c>
      <c r="R86" s="854" t="e">
        <f t="shared" si="8"/>
        <v>#REF!</v>
      </c>
      <c r="S86" s="843">
        <f t="shared" si="13"/>
        <v>0</v>
      </c>
      <c r="T86" s="843" t="e">
        <f t="shared" si="15"/>
        <v>#REF!</v>
      </c>
      <c r="U86" s="843" t="e">
        <f t="shared" si="14"/>
        <v>#REF!</v>
      </c>
      <c r="V86" s="307"/>
      <c r="W86" t="e">
        <f>+'Yeşil Defter'!#REF!</f>
        <v>#REF!</v>
      </c>
      <c r="X86" s="766"/>
    </row>
    <row r="87" spans="1:26" ht="25.05" customHeight="1" x14ac:dyDescent="0.3">
      <c r="A87" s="262" t="s">
        <v>152</v>
      </c>
      <c r="C87" s="855">
        <v>69</v>
      </c>
      <c r="D87" s="855" t="s">
        <v>356</v>
      </c>
      <c r="E87" s="1345" t="s">
        <v>357</v>
      </c>
      <c r="F87" s="1345"/>
      <c r="G87" s="1345"/>
      <c r="H87" s="855" t="s">
        <v>225</v>
      </c>
      <c r="I87" s="856">
        <v>500</v>
      </c>
      <c r="J87" s="852">
        <f>+'Yeşil Defter Dönemsel'!I86</f>
        <v>155.322</v>
      </c>
      <c r="K87" s="852" t="e">
        <f>+'Yeşil Defter Dönemsel'!J86</f>
        <v>#REF!</v>
      </c>
      <c r="L87" s="852" t="e">
        <f>+'Yeşil Defter Dönemsel'!K86</f>
        <v>#REF!</v>
      </c>
      <c r="M87" s="857">
        <f t="shared" si="9"/>
        <v>77661</v>
      </c>
      <c r="N87" s="857" t="e">
        <f t="shared" si="10"/>
        <v>#REF!</v>
      </c>
      <c r="O87" s="857" t="e">
        <f t="shared" si="11"/>
        <v>#REF!</v>
      </c>
      <c r="P87" s="853">
        <f t="shared" si="7"/>
        <v>155.322</v>
      </c>
      <c r="Q87" s="865" t="e">
        <f t="shared" si="12"/>
        <v>#REF!</v>
      </c>
      <c r="R87" s="854" t="e">
        <f t="shared" si="8"/>
        <v>#REF!</v>
      </c>
      <c r="S87" s="843">
        <f t="shared" si="13"/>
        <v>77661</v>
      </c>
      <c r="T87" s="843" t="e">
        <f t="shared" si="15"/>
        <v>#REF!</v>
      </c>
      <c r="U87" s="843" t="e">
        <f t="shared" si="14"/>
        <v>#REF!</v>
      </c>
      <c r="V87" s="307"/>
      <c r="W87" t="e">
        <f>+'Yeşil Defter'!#REF!</f>
        <v>#REF!</v>
      </c>
      <c r="X87" s="766"/>
    </row>
    <row r="88" spans="1:26" customFormat="1" ht="19.95" hidden="1" customHeight="1" x14ac:dyDescent="0.3">
      <c r="A88" s="262" t="s">
        <v>152</v>
      </c>
      <c r="B88" s="11"/>
      <c r="C88" s="855">
        <v>70</v>
      </c>
      <c r="D88" s="855" t="s">
        <v>358</v>
      </c>
      <c r="E88" s="1345" t="s">
        <v>359</v>
      </c>
      <c r="F88" s="1345"/>
      <c r="G88" s="1345"/>
      <c r="H88" s="855" t="s">
        <v>228</v>
      </c>
      <c r="I88" s="856">
        <v>6030</v>
      </c>
      <c r="J88" s="852">
        <f>+'Yeşil Defter Dönemsel'!I87</f>
        <v>0</v>
      </c>
      <c r="K88" s="852" t="e">
        <f>+'Yeşil Defter Dönemsel'!J87</f>
        <v>#REF!</v>
      </c>
      <c r="L88" s="852" t="e">
        <f>+'Yeşil Defter Dönemsel'!K87</f>
        <v>#REF!</v>
      </c>
      <c r="M88" s="857">
        <f t="shared" si="9"/>
        <v>0</v>
      </c>
      <c r="N88" s="857" t="e">
        <f t="shared" si="10"/>
        <v>#REF!</v>
      </c>
      <c r="O88" s="857" t="e">
        <f t="shared" si="11"/>
        <v>#REF!</v>
      </c>
      <c r="P88" s="853">
        <f t="shared" si="7"/>
        <v>0</v>
      </c>
      <c r="Q88" s="865" t="e">
        <f t="shared" si="12"/>
        <v>#REF!</v>
      </c>
      <c r="R88" s="854" t="e">
        <f t="shared" si="8"/>
        <v>#REF!</v>
      </c>
      <c r="S88" s="843">
        <f t="shared" si="13"/>
        <v>0</v>
      </c>
      <c r="T88" s="843" t="e">
        <f t="shared" si="15"/>
        <v>#REF!</v>
      </c>
      <c r="U88" s="843" t="e">
        <f t="shared" si="14"/>
        <v>#REF!</v>
      </c>
      <c r="V88" s="307"/>
      <c r="W88" t="e">
        <f>+'Yeşil Defter'!#REF!</f>
        <v>#REF!</v>
      </c>
      <c r="X88" s="766"/>
      <c r="Y88" s="11"/>
      <c r="Z88" s="11"/>
    </row>
    <row r="89" spans="1:26" customFormat="1" ht="36" customHeight="1" x14ac:dyDescent="0.3">
      <c r="A89" s="262" t="s">
        <v>152</v>
      </c>
      <c r="B89" s="11"/>
      <c r="C89" s="855">
        <v>71</v>
      </c>
      <c r="D89" s="855" t="s">
        <v>360</v>
      </c>
      <c r="E89" s="1345" t="s">
        <v>361</v>
      </c>
      <c r="F89" s="1345"/>
      <c r="G89" s="1345"/>
      <c r="H89" s="855" t="s">
        <v>228</v>
      </c>
      <c r="I89" s="856">
        <v>10355</v>
      </c>
      <c r="J89" s="852">
        <f>+'Yeşil Defter Dönemsel'!I88</f>
        <v>1278.4686000000017</v>
      </c>
      <c r="K89" s="852" t="e">
        <f>+'Yeşil Defter Dönemsel'!J88</f>
        <v>#REF!</v>
      </c>
      <c r="L89" s="852" t="e">
        <f>+'Yeşil Defter Dönemsel'!K88</f>
        <v>#REF!</v>
      </c>
      <c r="M89" s="857">
        <f t="shared" si="9"/>
        <v>13238542.35</v>
      </c>
      <c r="N89" s="857" t="e">
        <f t="shared" si="10"/>
        <v>#REF!</v>
      </c>
      <c r="O89" s="857" t="e">
        <f t="shared" si="11"/>
        <v>#REF!</v>
      </c>
      <c r="P89" s="853">
        <f t="shared" si="7"/>
        <v>1278.4686000000017</v>
      </c>
      <c r="Q89" s="865" t="e">
        <f t="shared" si="12"/>
        <v>#REF!</v>
      </c>
      <c r="R89" s="854" t="e">
        <f t="shared" si="8"/>
        <v>#REF!</v>
      </c>
      <c r="S89" s="843">
        <f t="shared" si="13"/>
        <v>13238542.35</v>
      </c>
      <c r="T89" s="843" t="e">
        <f t="shared" si="15"/>
        <v>#REF!</v>
      </c>
      <c r="U89" s="843" t="e">
        <f t="shared" si="14"/>
        <v>#REF!</v>
      </c>
      <c r="V89" s="307"/>
      <c r="W89" t="e">
        <f>+'Yeşil Defter'!#REF!</f>
        <v>#REF!</v>
      </c>
      <c r="X89" s="766"/>
      <c r="Y89" s="11"/>
      <c r="Z89" s="11"/>
    </row>
    <row r="90" spans="1:26" customFormat="1" ht="19.95" hidden="1" customHeight="1" x14ac:dyDescent="0.3">
      <c r="A90" s="262" t="s">
        <v>152</v>
      </c>
      <c r="B90" s="11"/>
      <c r="C90" s="855">
        <v>72</v>
      </c>
      <c r="D90" s="855" t="s">
        <v>362</v>
      </c>
      <c r="E90" s="1345" t="s">
        <v>363</v>
      </c>
      <c r="F90" s="1345"/>
      <c r="G90" s="1345"/>
      <c r="H90" s="855" t="s">
        <v>228</v>
      </c>
      <c r="I90" s="856">
        <v>10355</v>
      </c>
      <c r="J90" s="852">
        <f>+'Yeşil Defter Dönemsel'!I89</f>
        <v>0</v>
      </c>
      <c r="K90" s="852" t="e">
        <f>+'Yeşil Defter Dönemsel'!J89</f>
        <v>#REF!</v>
      </c>
      <c r="L90" s="852" t="e">
        <f>+'Yeşil Defter Dönemsel'!K89</f>
        <v>#REF!</v>
      </c>
      <c r="M90" s="857">
        <f t="shared" si="9"/>
        <v>0</v>
      </c>
      <c r="N90" s="857" t="e">
        <f t="shared" si="10"/>
        <v>#REF!</v>
      </c>
      <c r="O90" s="857" t="e">
        <f t="shared" si="11"/>
        <v>#REF!</v>
      </c>
      <c r="P90" s="853">
        <f t="shared" si="7"/>
        <v>0</v>
      </c>
      <c r="Q90" s="865" t="e">
        <f t="shared" si="12"/>
        <v>#REF!</v>
      </c>
      <c r="R90" s="854" t="e">
        <f t="shared" si="8"/>
        <v>#REF!</v>
      </c>
      <c r="S90" s="843">
        <f t="shared" si="13"/>
        <v>0</v>
      </c>
      <c r="T90" s="843" t="e">
        <f t="shared" si="15"/>
        <v>#REF!</v>
      </c>
      <c r="U90" s="843" t="e">
        <f t="shared" si="14"/>
        <v>#REF!</v>
      </c>
      <c r="V90" s="307"/>
      <c r="W90" t="e">
        <f>+'Yeşil Defter'!#REF!</f>
        <v>#REF!</v>
      </c>
      <c r="X90" s="766"/>
      <c r="Y90" s="11"/>
      <c r="Z90" s="11"/>
    </row>
    <row r="91" spans="1:26" customFormat="1" ht="19.95" hidden="1" customHeight="1" x14ac:dyDescent="0.3">
      <c r="A91" s="262" t="s">
        <v>152</v>
      </c>
      <c r="B91" s="11"/>
      <c r="C91" s="855">
        <v>73</v>
      </c>
      <c r="D91" s="855" t="s">
        <v>364</v>
      </c>
      <c r="E91" s="1345" t="s">
        <v>365</v>
      </c>
      <c r="F91" s="1345"/>
      <c r="G91" s="1345"/>
      <c r="H91" s="855" t="s">
        <v>228</v>
      </c>
      <c r="I91" s="856">
        <v>10355</v>
      </c>
      <c r="J91" s="852">
        <f>+'Yeşil Defter Dönemsel'!I90</f>
        <v>0</v>
      </c>
      <c r="K91" s="852" t="e">
        <f>+'Yeşil Defter Dönemsel'!J90</f>
        <v>#REF!</v>
      </c>
      <c r="L91" s="852" t="e">
        <f>+'Yeşil Defter Dönemsel'!K90</f>
        <v>#REF!</v>
      </c>
      <c r="M91" s="857">
        <f t="shared" si="9"/>
        <v>0</v>
      </c>
      <c r="N91" s="857" t="e">
        <f t="shared" si="10"/>
        <v>#REF!</v>
      </c>
      <c r="O91" s="857" t="e">
        <f t="shared" si="11"/>
        <v>#REF!</v>
      </c>
      <c r="P91" s="853">
        <f t="shared" si="7"/>
        <v>0</v>
      </c>
      <c r="Q91" s="865" t="e">
        <f t="shared" si="12"/>
        <v>#REF!</v>
      </c>
      <c r="R91" s="854" t="e">
        <f t="shared" si="8"/>
        <v>#REF!</v>
      </c>
      <c r="S91" s="843">
        <f t="shared" si="13"/>
        <v>0</v>
      </c>
      <c r="T91" s="843" t="e">
        <f t="shared" si="15"/>
        <v>#REF!</v>
      </c>
      <c r="U91" s="843" t="e">
        <f t="shared" si="14"/>
        <v>#REF!</v>
      </c>
      <c r="V91" s="307"/>
      <c r="W91" t="e">
        <f>+'Yeşil Defter'!#REF!</f>
        <v>#REF!</v>
      </c>
      <c r="X91" s="766"/>
      <c r="Y91" s="11"/>
      <c r="Z91" s="11"/>
    </row>
    <row r="92" spans="1:26" customFormat="1" ht="25.05" customHeight="1" x14ac:dyDescent="0.3">
      <c r="A92" s="262" t="s">
        <v>152</v>
      </c>
      <c r="B92" s="11"/>
      <c r="C92" s="855">
        <v>74</v>
      </c>
      <c r="D92" s="855" t="s">
        <v>366</v>
      </c>
      <c r="E92" s="1345" t="s">
        <v>367</v>
      </c>
      <c r="F92" s="1345"/>
      <c r="G92" s="1345"/>
      <c r="H92" s="855" t="s">
        <v>262</v>
      </c>
      <c r="I92" s="856">
        <v>46250</v>
      </c>
      <c r="J92" s="852">
        <f>+'Yeşil Defter Dönemsel'!I91</f>
        <v>117.03899999999997</v>
      </c>
      <c r="K92" s="852" t="e">
        <f>+'Yeşil Defter Dönemsel'!J91</f>
        <v>#REF!</v>
      </c>
      <c r="L92" s="852" t="e">
        <f>+'Yeşil Defter Dönemsel'!K91</f>
        <v>#REF!</v>
      </c>
      <c r="M92" s="857">
        <f t="shared" si="9"/>
        <v>5413053.75</v>
      </c>
      <c r="N92" s="857" t="e">
        <f t="shared" si="10"/>
        <v>#REF!</v>
      </c>
      <c r="O92" s="857" t="e">
        <f t="shared" si="11"/>
        <v>#REF!</v>
      </c>
      <c r="P92" s="853">
        <f t="shared" si="7"/>
        <v>117.03899999999997</v>
      </c>
      <c r="Q92" s="865" t="e">
        <f t="shared" si="12"/>
        <v>#REF!</v>
      </c>
      <c r="R92" s="854" t="e">
        <f t="shared" si="8"/>
        <v>#REF!</v>
      </c>
      <c r="S92" s="843">
        <f t="shared" si="13"/>
        <v>5413053.75</v>
      </c>
      <c r="T92" s="843" t="e">
        <f t="shared" si="15"/>
        <v>#REF!</v>
      </c>
      <c r="U92" s="843" t="e">
        <f t="shared" si="14"/>
        <v>#REF!</v>
      </c>
      <c r="V92" s="307"/>
      <c r="W92" t="e">
        <f>+'Yeşil Defter'!#REF!</f>
        <v>#REF!</v>
      </c>
      <c r="X92" s="766"/>
      <c r="Y92" s="11"/>
      <c r="Z92" s="11"/>
    </row>
    <row r="93" spans="1:26" customFormat="1" ht="25.05" customHeight="1" x14ac:dyDescent="0.3">
      <c r="A93" s="262" t="s">
        <v>152</v>
      </c>
      <c r="B93" s="11"/>
      <c r="C93" s="855">
        <v>75</v>
      </c>
      <c r="D93" s="855" t="s">
        <v>368</v>
      </c>
      <c r="E93" s="1345" t="s">
        <v>369</v>
      </c>
      <c r="F93" s="1345"/>
      <c r="G93" s="1345"/>
      <c r="H93" s="855" t="s">
        <v>262</v>
      </c>
      <c r="I93" s="856">
        <v>92500</v>
      </c>
      <c r="J93" s="852">
        <f>+'Yeşil Defter Dönemsel'!I92</f>
        <v>281.45999999999992</v>
      </c>
      <c r="K93" s="852" t="e">
        <f>+'Yeşil Defter Dönemsel'!J92</f>
        <v>#REF!</v>
      </c>
      <c r="L93" s="852" t="e">
        <f>+'Yeşil Defter Dönemsel'!K92</f>
        <v>#REF!</v>
      </c>
      <c r="M93" s="857">
        <f t="shared" si="9"/>
        <v>26035050</v>
      </c>
      <c r="N93" s="857" t="e">
        <f t="shared" si="10"/>
        <v>#REF!</v>
      </c>
      <c r="O93" s="857" t="e">
        <f t="shared" si="11"/>
        <v>#REF!</v>
      </c>
      <c r="P93" s="853">
        <f t="shared" si="7"/>
        <v>281.45999999999992</v>
      </c>
      <c r="Q93" s="865" t="e">
        <f t="shared" si="12"/>
        <v>#REF!</v>
      </c>
      <c r="R93" s="854" t="e">
        <f t="shared" si="8"/>
        <v>#REF!</v>
      </c>
      <c r="S93" s="843">
        <f t="shared" si="13"/>
        <v>26035050</v>
      </c>
      <c r="T93" s="843" t="e">
        <f t="shared" si="15"/>
        <v>#REF!</v>
      </c>
      <c r="U93" s="843" t="e">
        <f t="shared" si="14"/>
        <v>#REF!</v>
      </c>
      <c r="V93" s="307"/>
      <c r="W93" t="e">
        <f>+'Yeşil Defter'!#REF!</f>
        <v>#REF!</v>
      </c>
      <c r="X93" s="766"/>
      <c r="Y93" s="11"/>
      <c r="Z93" s="11"/>
    </row>
    <row r="94" spans="1:26" customFormat="1" ht="25.05" customHeight="1" x14ac:dyDescent="0.3">
      <c r="A94" s="262" t="s">
        <v>152</v>
      </c>
      <c r="B94" s="11"/>
      <c r="C94" s="855">
        <v>76</v>
      </c>
      <c r="D94" s="855" t="s">
        <v>370</v>
      </c>
      <c r="E94" s="1345" t="s">
        <v>371</v>
      </c>
      <c r="F94" s="1345"/>
      <c r="G94" s="1345"/>
      <c r="H94" s="855" t="s">
        <v>262</v>
      </c>
      <c r="I94" s="856">
        <v>97333</v>
      </c>
      <c r="J94" s="852">
        <f>+'Yeşil Defter Dönemsel'!I93</f>
        <v>707.92799999999988</v>
      </c>
      <c r="K94" s="852" t="e">
        <f>+'Yeşil Defter Dönemsel'!J93</f>
        <v>#REF!</v>
      </c>
      <c r="L94" s="852" t="e">
        <f>+'Yeşil Defter Dönemsel'!K93</f>
        <v>#REF!</v>
      </c>
      <c r="M94" s="857">
        <f t="shared" si="9"/>
        <v>68904756.019999996</v>
      </c>
      <c r="N94" s="857" t="e">
        <f t="shared" si="10"/>
        <v>#REF!</v>
      </c>
      <c r="O94" s="857" t="e">
        <f t="shared" si="11"/>
        <v>#REF!</v>
      </c>
      <c r="P94" s="853">
        <f t="shared" si="7"/>
        <v>707.92799999999988</v>
      </c>
      <c r="Q94" s="865" t="e">
        <f t="shared" si="12"/>
        <v>#REF!</v>
      </c>
      <c r="R94" s="854" t="e">
        <f t="shared" si="8"/>
        <v>#REF!</v>
      </c>
      <c r="S94" s="843">
        <f t="shared" si="13"/>
        <v>68904756.019999996</v>
      </c>
      <c r="T94" s="843" t="e">
        <f t="shared" si="15"/>
        <v>#REF!</v>
      </c>
      <c r="U94" s="843" t="e">
        <f t="shared" si="14"/>
        <v>#REF!</v>
      </c>
      <c r="V94" s="307"/>
      <c r="W94" t="e">
        <f>+'Yeşil Defter'!#REF!</f>
        <v>#REF!</v>
      </c>
      <c r="X94" s="766"/>
      <c r="Y94" s="11"/>
      <c r="Z94" s="11"/>
    </row>
    <row r="95" spans="1:26" customFormat="1" ht="19.95" hidden="1" customHeight="1" x14ac:dyDescent="0.3">
      <c r="A95" s="262" t="s">
        <v>152</v>
      </c>
      <c r="B95" s="11"/>
      <c r="C95" s="855">
        <v>77</v>
      </c>
      <c r="D95" s="855" t="s">
        <v>372</v>
      </c>
      <c r="E95" s="1345" t="s">
        <v>373</v>
      </c>
      <c r="F95" s="1345"/>
      <c r="G95" s="1345"/>
      <c r="H95" s="855" t="s">
        <v>374</v>
      </c>
      <c r="I95" s="856">
        <v>150</v>
      </c>
      <c r="J95" s="852">
        <f>+'Yeşil Defter Dönemsel'!I94</f>
        <v>0</v>
      </c>
      <c r="K95" s="852" t="e">
        <f>+'Yeşil Defter Dönemsel'!J94</f>
        <v>#REF!</v>
      </c>
      <c r="L95" s="852" t="e">
        <f>+'Yeşil Defter Dönemsel'!K94</f>
        <v>#REF!</v>
      </c>
      <c r="M95" s="857">
        <f t="shared" si="9"/>
        <v>0</v>
      </c>
      <c r="N95" s="857" t="e">
        <f t="shared" si="10"/>
        <v>#REF!</v>
      </c>
      <c r="O95" s="857" t="e">
        <f t="shared" si="11"/>
        <v>#REF!</v>
      </c>
      <c r="P95" s="853">
        <f t="shared" si="7"/>
        <v>0</v>
      </c>
      <c r="Q95" s="865" t="e">
        <f t="shared" si="12"/>
        <v>#REF!</v>
      </c>
      <c r="R95" s="854" t="e">
        <f t="shared" si="8"/>
        <v>#REF!</v>
      </c>
      <c r="S95" s="843">
        <f t="shared" si="13"/>
        <v>0</v>
      </c>
      <c r="T95" s="843" t="e">
        <f t="shared" si="15"/>
        <v>#REF!</v>
      </c>
      <c r="U95" s="843" t="e">
        <f t="shared" si="14"/>
        <v>#REF!</v>
      </c>
      <c r="V95" s="307"/>
      <c r="W95" t="e">
        <f>+'Yeşil Defter'!#REF!</f>
        <v>#REF!</v>
      </c>
      <c r="X95" s="766"/>
      <c r="Y95" s="11"/>
      <c r="Z95" s="11"/>
    </row>
    <row r="96" spans="1:26" customFormat="1" ht="19.95" hidden="1" customHeight="1" x14ac:dyDescent="0.3">
      <c r="A96" s="262" t="s">
        <v>152</v>
      </c>
      <c r="B96" s="11"/>
      <c r="C96" s="855">
        <v>78</v>
      </c>
      <c r="D96" s="855" t="s">
        <v>375</v>
      </c>
      <c r="E96" s="1345" t="s">
        <v>376</v>
      </c>
      <c r="F96" s="1345"/>
      <c r="G96" s="1345"/>
      <c r="H96" s="855" t="s">
        <v>374</v>
      </c>
      <c r="I96" s="856">
        <v>180</v>
      </c>
      <c r="J96" s="852">
        <f>+'Yeşil Defter Dönemsel'!I95</f>
        <v>0</v>
      </c>
      <c r="K96" s="852" t="e">
        <f>+'Yeşil Defter Dönemsel'!J95</f>
        <v>#REF!</v>
      </c>
      <c r="L96" s="852" t="e">
        <f>+'Yeşil Defter Dönemsel'!K95</f>
        <v>#REF!</v>
      </c>
      <c r="M96" s="857">
        <f t="shared" si="9"/>
        <v>0</v>
      </c>
      <c r="N96" s="857" t="e">
        <f t="shared" si="10"/>
        <v>#REF!</v>
      </c>
      <c r="O96" s="857" t="e">
        <f t="shared" si="11"/>
        <v>#REF!</v>
      </c>
      <c r="P96" s="853">
        <f t="shared" si="7"/>
        <v>0</v>
      </c>
      <c r="Q96" s="865" t="e">
        <f t="shared" si="12"/>
        <v>#REF!</v>
      </c>
      <c r="R96" s="854" t="e">
        <f t="shared" si="8"/>
        <v>#REF!</v>
      </c>
      <c r="S96" s="843">
        <f t="shared" si="13"/>
        <v>0</v>
      </c>
      <c r="T96" s="843" t="e">
        <f t="shared" si="15"/>
        <v>#REF!</v>
      </c>
      <c r="U96" s="843" t="e">
        <f t="shared" si="14"/>
        <v>#REF!</v>
      </c>
      <c r="V96" s="307"/>
      <c r="W96" t="e">
        <f>+'Yeşil Defter'!#REF!</f>
        <v>#REF!</v>
      </c>
      <c r="X96" s="766"/>
      <c r="Y96" s="11"/>
      <c r="Z96" s="11"/>
    </row>
    <row r="97" spans="1:26" customFormat="1" ht="19.95" hidden="1" customHeight="1" x14ac:dyDescent="0.3">
      <c r="A97" s="262" t="s">
        <v>152</v>
      </c>
      <c r="B97" s="11"/>
      <c r="C97" s="860">
        <v>79</v>
      </c>
      <c r="D97" s="866" t="s">
        <v>377</v>
      </c>
      <c r="E97" s="1341" t="s">
        <v>378</v>
      </c>
      <c r="F97" s="1341"/>
      <c r="G97" s="1341"/>
      <c r="H97" s="860" t="s">
        <v>202</v>
      </c>
      <c r="I97" s="856">
        <v>340200</v>
      </c>
      <c r="J97" s="852">
        <f>+'Yeşil Defter Dönemsel'!I96</f>
        <v>0</v>
      </c>
      <c r="K97" s="852" t="e">
        <f>+'Yeşil Defter Dönemsel'!J96</f>
        <v>#REF!</v>
      </c>
      <c r="L97" s="852" t="e">
        <f>+'Yeşil Defter Dönemsel'!K96</f>
        <v>#REF!</v>
      </c>
      <c r="M97" s="862">
        <f t="shared" si="9"/>
        <v>0</v>
      </c>
      <c r="N97" s="862" t="e">
        <f t="shared" si="10"/>
        <v>#REF!</v>
      </c>
      <c r="O97" s="862" t="e">
        <f t="shared" si="11"/>
        <v>#REF!</v>
      </c>
      <c r="P97" s="853">
        <f t="shared" si="7"/>
        <v>0</v>
      </c>
      <c r="Q97" s="867" t="e">
        <f t="shared" si="12"/>
        <v>#REF!</v>
      </c>
      <c r="R97" s="854" t="e">
        <f t="shared" si="8"/>
        <v>#REF!</v>
      </c>
      <c r="S97" s="843">
        <f t="shared" si="13"/>
        <v>0</v>
      </c>
      <c r="T97" s="843" t="e">
        <f t="shared" si="15"/>
        <v>#REF!</v>
      </c>
      <c r="U97" s="843" t="e">
        <f t="shared" si="14"/>
        <v>#REF!</v>
      </c>
      <c r="V97" s="307"/>
      <c r="W97" t="e">
        <f>+'Yeşil Defter'!#REF!</f>
        <v>#REF!</v>
      </c>
      <c r="X97" s="766"/>
      <c r="Y97" s="11"/>
      <c r="Z97" s="11"/>
    </row>
    <row r="98" spans="1:26" customFormat="1" ht="25.05" customHeight="1" x14ac:dyDescent="0.3">
      <c r="A98" s="262">
        <v>1</v>
      </c>
      <c r="B98" s="11"/>
      <c r="C98" s="844"/>
      <c r="D98" s="845" t="s">
        <v>1226</v>
      </c>
      <c r="E98" s="846"/>
      <c r="F98" s="846"/>
      <c r="G98" s="846"/>
      <c r="H98" s="846"/>
      <c r="I98" s="846"/>
      <c r="J98" s="852">
        <f>+'Yeşil Defter Dönemsel'!I97</f>
        <v>0</v>
      </c>
      <c r="K98" s="852">
        <f>+'Yeşil Defter Dönemsel'!J97</f>
        <v>0</v>
      </c>
      <c r="L98" s="852">
        <f>+'Yeşil Defter Dönemsel'!K97</f>
        <v>0</v>
      </c>
      <c r="M98" s="848">
        <f>SUM(M99:M101)</f>
        <v>10647000</v>
      </c>
      <c r="N98" s="848">
        <f>SUM(N99:N101)</f>
        <v>7816537.5</v>
      </c>
      <c r="O98" s="848">
        <f>SUM(O99:O101)</f>
        <v>18463537.5</v>
      </c>
      <c r="P98" s="853">
        <f t="shared" si="7"/>
        <v>0</v>
      </c>
      <c r="Q98" s="847"/>
      <c r="R98" s="854">
        <f t="shared" si="8"/>
        <v>0</v>
      </c>
      <c r="S98" s="843">
        <f t="shared" si="13"/>
        <v>10647000</v>
      </c>
      <c r="T98" s="843">
        <f t="shared" si="15"/>
        <v>7816537.5</v>
      </c>
      <c r="U98" s="843">
        <f t="shared" si="14"/>
        <v>18463537.5</v>
      </c>
      <c r="V98" s="307"/>
      <c r="W98" t="e">
        <f>+'Yeşil Defter'!#REF!</f>
        <v>#REF!</v>
      </c>
      <c r="X98" s="766"/>
      <c r="Y98" s="11"/>
      <c r="Z98" s="11"/>
    </row>
    <row r="99" spans="1:26" customFormat="1" ht="19.95" hidden="1" customHeight="1" x14ac:dyDescent="0.3">
      <c r="A99" s="262" t="s">
        <v>153</v>
      </c>
      <c r="B99" s="11"/>
      <c r="C99" s="849">
        <v>80</v>
      </c>
      <c r="D99" s="850" t="s">
        <v>379</v>
      </c>
      <c r="E99" s="1346" t="s">
        <v>380</v>
      </c>
      <c r="F99" s="1346"/>
      <c r="G99" s="1346"/>
      <c r="H99" s="849" t="s">
        <v>202</v>
      </c>
      <c r="I99" s="856">
        <v>3750</v>
      </c>
      <c r="J99" s="852">
        <f>+'Yeşil Defter Dönemsel'!I98</f>
        <v>0</v>
      </c>
      <c r="K99" s="852">
        <f>+'Yeşil Defter Dönemsel'!J98</f>
        <v>0</v>
      </c>
      <c r="L99" s="852">
        <f>+'Yeşil Defter Dönemsel'!K98</f>
        <v>0</v>
      </c>
      <c r="M99" s="853">
        <f t="shared" ref="M99:M101" si="16">+ROUND($I99*J99,2)</f>
        <v>0</v>
      </c>
      <c r="N99" s="853">
        <f t="shared" ref="N99:N101" si="17">+ROUND($I99*K99,2)</f>
        <v>0</v>
      </c>
      <c r="O99" s="853">
        <f t="shared" ref="O99:O101" si="18">+ROUND($I99*L99,2)</f>
        <v>0</v>
      </c>
      <c r="P99" s="853">
        <f t="shared" si="7"/>
        <v>0</v>
      </c>
      <c r="Q99" s="853">
        <f t="shared" ref="Q99:Q101" si="19">+R99-P99</f>
        <v>0</v>
      </c>
      <c r="R99" s="854">
        <f t="shared" si="8"/>
        <v>0</v>
      </c>
      <c r="S99" s="843">
        <f t="shared" si="13"/>
        <v>0</v>
      </c>
      <c r="T99" s="843">
        <f t="shared" si="15"/>
        <v>0</v>
      </c>
      <c r="U99" s="843">
        <f t="shared" si="14"/>
        <v>0</v>
      </c>
      <c r="V99" s="307"/>
      <c r="W99" t="e">
        <f>+'Yeşil Defter'!#REF!</f>
        <v>#REF!</v>
      </c>
      <c r="X99" s="766"/>
      <c r="Y99" s="11"/>
      <c r="Z99" s="11"/>
    </row>
    <row r="100" spans="1:26" customFormat="1" ht="19.95" customHeight="1" x14ac:dyDescent="0.3">
      <c r="A100" s="262" t="s">
        <v>153</v>
      </c>
      <c r="B100" s="11"/>
      <c r="C100" s="855">
        <v>81</v>
      </c>
      <c r="D100" s="858" t="s">
        <v>381</v>
      </c>
      <c r="E100" s="1345" t="s">
        <v>382</v>
      </c>
      <c r="F100" s="1345"/>
      <c r="G100" s="1345"/>
      <c r="H100" s="855" t="s">
        <v>286</v>
      </c>
      <c r="I100" s="856">
        <v>108000000</v>
      </c>
      <c r="J100" s="852">
        <f>+'Yeşil Defter Dönemsel'!I99</f>
        <v>0</v>
      </c>
      <c r="K100" s="852">
        <f>+'Yeşil Defter Dönemsel'!J99</f>
        <v>6.5803125000000018E-2</v>
      </c>
      <c r="L100" s="852">
        <f>+'Yeşil Defter Dönemsel'!K99</f>
        <v>6.5803125000000018E-2</v>
      </c>
      <c r="M100" s="857">
        <f t="shared" si="16"/>
        <v>0</v>
      </c>
      <c r="N100" s="857">
        <f t="shared" si="17"/>
        <v>7106737.5</v>
      </c>
      <c r="O100" s="857">
        <f t="shared" si="18"/>
        <v>7106737.5</v>
      </c>
      <c r="P100" s="853">
        <f t="shared" si="7"/>
        <v>0</v>
      </c>
      <c r="Q100" s="857">
        <f t="shared" si="19"/>
        <v>6.5803125000000018E-2</v>
      </c>
      <c r="R100" s="854">
        <f t="shared" si="8"/>
        <v>6.5803125000000018E-2</v>
      </c>
      <c r="S100" s="843">
        <f t="shared" si="13"/>
        <v>0</v>
      </c>
      <c r="T100" s="843">
        <f t="shared" si="15"/>
        <v>7106737.5</v>
      </c>
      <c r="U100" s="843">
        <f t="shared" si="14"/>
        <v>7106737.5</v>
      </c>
      <c r="V100" s="307"/>
      <c r="W100" t="e">
        <f>+'Yeşil Defter'!#REF!</f>
        <v>#REF!</v>
      </c>
      <c r="X100" s="766"/>
      <c r="Y100" s="11"/>
      <c r="Z100" s="11"/>
    </row>
    <row r="101" spans="1:26" customFormat="1" ht="43.2" customHeight="1" x14ac:dyDescent="0.3">
      <c r="A101" s="262" t="s">
        <v>153</v>
      </c>
      <c r="B101" s="11"/>
      <c r="C101" s="860">
        <v>82</v>
      </c>
      <c r="D101" s="866" t="s">
        <v>383</v>
      </c>
      <c r="E101" s="1341" t="s">
        <v>384</v>
      </c>
      <c r="F101" s="1341"/>
      <c r="G101" s="1341"/>
      <c r="H101" s="860" t="s">
        <v>286</v>
      </c>
      <c r="I101" s="856">
        <v>42000000</v>
      </c>
      <c r="J101" s="852">
        <f>+'Yeşil Defter Dönemsel'!I100</f>
        <v>0.25349999999999995</v>
      </c>
      <c r="K101" s="852">
        <f>+'Yeşil Defter Dönemsel'!J100</f>
        <v>1.6900000000000026E-2</v>
      </c>
      <c r="L101" s="852">
        <f>+'Yeşil Defter Dönemsel'!K100</f>
        <v>0.27039999999999997</v>
      </c>
      <c r="M101" s="862">
        <f t="shared" si="16"/>
        <v>10647000</v>
      </c>
      <c r="N101" s="862">
        <f t="shared" si="17"/>
        <v>709800</v>
      </c>
      <c r="O101" s="862">
        <f t="shared" si="18"/>
        <v>11356800</v>
      </c>
      <c r="P101" s="852">
        <f t="shared" si="7"/>
        <v>0.25349999999999995</v>
      </c>
      <c r="Q101" s="868">
        <f t="shared" si="19"/>
        <v>1.6900000000000026E-2</v>
      </c>
      <c r="R101" s="854">
        <f t="shared" si="8"/>
        <v>0.27039999999999997</v>
      </c>
      <c r="S101" s="843">
        <f t="shared" si="13"/>
        <v>10647000</v>
      </c>
      <c r="T101" s="843">
        <f t="shared" si="15"/>
        <v>709800</v>
      </c>
      <c r="U101" s="843">
        <f t="shared" si="14"/>
        <v>11356800</v>
      </c>
      <c r="V101" s="307"/>
      <c r="W101" s="325" t="e">
        <f>+'Yeşil Defter'!#REF!</f>
        <v>#REF!</v>
      </c>
      <c r="X101" s="766"/>
      <c r="Y101" s="11"/>
      <c r="Z101" s="11"/>
    </row>
    <row r="102" spans="1:26" customFormat="1" ht="19.95" hidden="1" customHeight="1" x14ac:dyDescent="0.3">
      <c r="A102" s="262">
        <v>1</v>
      </c>
      <c r="B102" s="11"/>
      <c r="C102" s="844"/>
      <c r="D102" s="845" t="s">
        <v>1227</v>
      </c>
      <c r="E102" s="846"/>
      <c r="F102" s="846"/>
      <c r="G102" s="846"/>
      <c r="H102" s="846"/>
      <c r="I102" s="846"/>
      <c r="J102" s="852">
        <f>+'Yeşil Defter Dönemsel'!I101</f>
        <v>0</v>
      </c>
      <c r="K102" s="852">
        <f>+'Yeşil Defter Dönemsel'!J101</f>
        <v>0</v>
      </c>
      <c r="L102" s="852">
        <f>+'Yeşil Defter Dönemsel'!K101</f>
        <v>0</v>
      </c>
      <c r="M102" s="848">
        <f>SUM(M103:M204)</f>
        <v>0</v>
      </c>
      <c r="N102" s="848">
        <f>SUM(N103:N204)</f>
        <v>0</v>
      </c>
      <c r="O102" s="848">
        <f>SUM(O103:O204)</f>
        <v>0</v>
      </c>
      <c r="P102" s="852">
        <f t="shared" si="7"/>
        <v>0</v>
      </c>
      <c r="Q102" s="863"/>
      <c r="R102" s="854">
        <f t="shared" si="8"/>
        <v>0</v>
      </c>
      <c r="S102" s="843">
        <f t="shared" si="13"/>
        <v>0</v>
      </c>
      <c r="T102" s="843">
        <f t="shared" si="15"/>
        <v>0</v>
      </c>
      <c r="U102" s="843">
        <f t="shared" si="14"/>
        <v>0</v>
      </c>
      <c r="V102" s="307"/>
      <c r="W102" t="e">
        <f>+'Yeşil Defter'!#REF!</f>
        <v>#REF!</v>
      </c>
      <c r="X102" s="766"/>
      <c r="Y102" s="11"/>
      <c r="Z102" s="11"/>
    </row>
    <row r="103" spans="1:26" customFormat="1" ht="19.95" hidden="1" customHeight="1" x14ac:dyDescent="0.3">
      <c r="A103" s="262" t="s">
        <v>154</v>
      </c>
      <c r="B103" s="11"/>
      <c r="C103" s="849">
        <v>83</v>
      </c>
      <c r="D103" s="850" t="s">
        <v>385</v>
      </c>
      <c r="E103" s="1346" t="s">
        <v>386</v>
      </c>
      <c r="F103" s="1346"/>
      <c r="G103" s="1346"/>
      <c r="H103" s="849" t="s">
        <v>225</v>
      </c>
      <c r="I103" s="856">
        <v>1040</v>
      </c>
      <c r="J103" s="852">
        <f>+'Yeşil Defter Dönemsel'!I102</f>
        <v>0</v>
      </c>
      <c r="K103" s="852">
        <f>+'Yeşil Defter Dönemsel'!J102</f>
        <v>0</v>
      </c>
      <c r="L103" s="852">
        <f>+'Yeşil Defter Dönemsel'!K102</f>
        <v>0</v>
      </c>
      <c r="M103" s="853">
        <f t="shared" ref="M103:M166" si="20">+ROUND($I103*J103,2)</f>
        <v>0</v>
      </c>
      <c r="N103" s="853">
        <f t="shared" ref="N103:N166" si="21">+ROUND($I103*K103,2)</f>
        <v>0</v>
      </c>
      <c r="O103" s="853">
        <f t="shared" ref="O103:O166" si="22">+ROUND($I103*L103,2)</f>
        <v>0</v>
      </c>
      <c r="P103" s="852">
        <f t="shared" si="7"/>
        <v>0</v>
      </c>
      <c r="Q103" s="852">
        <f t="shared" ref="Q103:Q166" si="23">+R103-P103</f>
        <v>0</v>
      </c>
      <c r="R103" s="854">
        <f t="shared" si="8"/>
        <v>0</v>
      </c>
      <c r="S103" s="843">
        <f t="shared" si="13"/>
        <v>0</v>
      </c>
      <c r="T103" s="843">
        <f t="shared" si="15"/>
        <v>0</v>
      </c>
      <c r="U103" s="843">
        <f t="shared" si="14"/>
        <v>0</v>
      </c>
      <c r="V103" s="307"/>
      <c r="W103" t="e">
        <f>+'Yeşil Defter'!#REF!</f>
        <v>#REF!</v>
      </c>
      <c r="X103" s="766"/>
      <c r="Y103" s="11"/>
      <c r="Z103" s="11"/>
    </row>
    <row r="104" spans="1:26" customFormat="1" ht="19.95" hidden="1" customHeight="1" x14ac:dyDescent="0.3">
      <c r="A104" s="262" t="s">
        <v>154</v>
      </c>
      <c r="B104" s="11"/>
      <c r="C104" s="855">
        <v>84</v>
      </c>
      <c r="D104" s="858" t="s">
        <v>387</v>
      </c>
      <c r="E104" s="1345" t="s">
        <v>388</v>
      </c>
      <c r="F104" s="1345"/>
      <c r="G104" s="1345"/>
      <c r="H104" s="855" t="s">
        <v>225</v>
      </c>
      <c r="I104" s="856">
        <v>988</v>
      </c>
      <c r="J104" s="852">
        <f>+'Yeşil Defter Dönemsel'!I103</f>
        <v>0</v>
      </c>
      <c r="K104" s="852">
        <f>+'Yeşil Defter Dönemsel'!J103</f>
        <v>0</v>
      </c>
      <c r="L104" s="852">
        <f>+'Yeşil Defter Dönemsel'!K103</f>
        <v>0</v>
      </c>
      <c r="M104" s="857">
        <f t="shared" si="20"/>
        <v>0</v>
      </c>
      <c r="N104" s="857">
        <f t="shared" si="21"/>
        <v>0</v>
      </c>
      <c r="O104" s="857">
        <f t="shared" si="22"/>
        <v>0</v>
      </c>
      <c r="P104" s="852">
        <f t="shared" si="7"/>
        <v>0</v>
      </c>
      <c r="Q104" s="854">
        <f t="shared" si="23"/>
        <v>0</v>
      </c>
      <c r="R104" s="854">
        <f t="shared" si="8"/>
        <v>0</v>
      </c>
      <c r="S104" s="843">
        <f t="shared" si="13"/>
        <v>0</v>
      </c>
      <c r="T104" s="843">
        <f t="shared" si="15"/>
        <v>0</v>
      </c>
      <c r="U104" s="843">
        <f t="shared" si="14"/>
        <v>0</v>
      </c>
      <c r="V104" s="307"/>
      <c r="W104" t="e">
        <f>+'Yeşil Defter'!#REF!</f>
        <v>#REF!</v>
      </c>
      <c r="X104" s="766"/>
      <c r="Y104" s="11"/>
      <c r="Z104" s="11"/>
    </row>
    <row r="105" spans="1:26" customFormat="1" ht="19.95" hidden="1" customHeight="1" x14ac:dyDescent="0.3">
      <c r="A105" s="262" t="s">
        <v>154</v>
      </c>
      <c r="B105" s="11"/>
      <c r="C105" s="855">
        <v>85</v>
      </c>
      <c r="D105" s="858" t="s">
        <v>389</v>
      </c>
      <c r="E105" s="1345" t="s">
        <v>390</v>
      </c>
      <c r="F105" s="1345"/>
      <c r="G105" s="1345"/>
      <c r="H105" s="855" t="s">
        <v>228</v>
      </c>
      <c r="I105" s="856">
        <v>4072</v>
      </c>
      <c r="J105" s="852">
        <f>+'Yeşil Defter Dönemsel'!I104</f>
        <v>0</v>
      </c>
      <c r="K105" s="852">
        <f>+'Yeşil Defter Dönemsel'!J104</f>
        <v>0</v>
      </c>
      <c r="L105" s="852">
        <f>+'Yeşil Defter Dönemsel'!K104</f>
        <v>0</v>
      </c>
      <c r="M105" s="857">
        <f t="shared" si="20"/>
        <v>0</v>
      </c>
      <c r="N105" s="857">
        <f t="shared" si="21"/>
        <v>0</v>
      </c>
      <c r="O105" s="857">
        <f t="shared" si="22"/>
        <v>0</v>
      </c>
      <c r="P105" s="852">
        <f t="shared" si="7"/>
        <v>0</v>
      </c>
      <c r="Q105" s="854">
        <f t="shared" si="23"/>
        <v>0</v>
      </c>
      <c r="R105" s="854">
        <f t="shared" si="8"/>
        <v>0</v>
      </c>
      <c r="S105" s="843">
        <f t="shared" si="13"/>
        <v>0</v>
      </c>
      <c r="T105" s="843">
        <f t="shared" si="15"/>
        <v>0</v>
      </c>
      <c r="U105" s="843">
        <f t="shared" si="14"/>
        <v>0</v>
      </c>
      <c r="V105" s="307"/>
      <c r="W105" t="e">
        <f>+'Yeşil Defter'!#REF!</f>
        <v>#REF!</v>
      </c>
      <c r="X105" s="766"/>
      <c r="Y105" s="11"/>
      <c r="Z105" s="11"/>
    </row>
    <row r="106" spans="1:26" customFormat="1" ht="19.95" hidden="1" customHeight="1" x14ac:dyDescent="0.3">
      <c r="A106" s="262" t="s">
        <v>154</v>
      </c>
      <c r="B106" s="11"/>
      <c r="C106" s="855">
        <v>86</v>
      </c>
      <c r="D106" s="855" t="s">
        <v>391</v>
      </c>
      <c r="E106" s="1345" t="s">
        <v>392</v>
      </c>
      <c r="F106" s="1345"/>
      <c r="G106" s="1345"/>
      <c r="H106" s="855" t="s">
        <v>225</v>
      </c>
      <c r="I106" s="856">
        <v>1849</v>
      </c>
      <c r="J106" s="852">
        <f>+'Yeşil Defter Dönemsel'!I105</f>
        <v>0</v>
      </c>
      <c r="K106" s="852">
        <f>+'Yeşil Defter Dönemsel'!J105</f>
        <v>0</v>
      </c>
      <c r="L106" s="852">
        <f>+'Yeşil Defter Dönemsel'!K105</f>
        <v>0</v>
      </c>
      <c r="M106" s="857">
        <f t="shared" si="20"/>
        <v>0</v>
      </c>
      <c r="N106" s="857">
        <f t="shared" si="21"/>
        <v>0</v>
      </c>
      <c r="O106" s="857">
        <f t="shared" si="22"/>
        <v>0</v>
      </c>
      <c r="P106" s="852">
        <f t="shared" si="7"/>
        <v>0</v>
      </c>
      <c r="Q106" s="854">
        <f t="shared" si="23"/>
        <v>0</v>
      </c>
      <c r="R106" s="854">
        <f t="shared" si="8"/>
        <v>0</v>
      </c>
      <c r="S106" s="843">
        <f t="shared" si="13"/>
        <v>0</v>
      </c>
      <c r="T106" s="843">
        <f t="shared" si="15"/>
        <v>0</v>
      </c>
      <c r="U106" s="843">
        <f t="shared" si="14"/>
        <v>0</v>
      </c>
      <c r="V106" s="307"/>
      <c r="W106" t="e">
        <f>+'Yeşil Defter'!#REF!</f>
        <v>#REF!</v>
      </c>
      <c r="X106" s="766"/>
      <c r="Y106" s="11"/>
      <c r="Z106" s="11"/>
    </row>
    <row r="107" spans="1:26" customFormat="1" ht="19.95" hidden="1" customHeight="1" x14ac:dyDescent="0.3">
      <c r="A107" s="262" t="s">
        <v>154</v>
      </c>
      <c r="B107" s="11"/>
      <c r="C107" s="855">
        <v>87</v>
      </c>
      <c r="D107" s="855" t="s">
        <v>393</v>
      </c>
      <c r="E107" s="1345" t="s">
        <v>394</v>
      </c>
      <c r="F107" s="1345"/>
      <c r="G107" s="1345"/>
      <c r="H107" s="855" t="s">
        <v>225</v>
      </c>
      <c r="I107" s="856">
        <v>1849</v>
      </c>
      <c r="J107" s="852">
        <f>+'Yeşil Defter Dönemsel'!I106</f>
        <v>0</v>
      </c>
      <c r="K107" s="852">
        <f>+'Yeşil Defter Dönemsel'!J106</f>
        <v>0</v>
      </c>
      <c r="L107" s="852">
        <f>+'Yeşil Defter Dönemsel'!K106</f>
        <v>0</v>
      </c>
      <c r="M107" s="857">
        <f t="shared" si="20"/>
        <v>0</v>
      </c>
      <c r="N107" s="857">
        <f t="shared" si="21"/>
        <v>0</v>
      </c>
      <c r="O107" s="857">
        <f t="shared" si="22"/>
        <v>0</v>
      </c>
      <c r="P107" s="852">
        <f t="shared" si="7"/>
        <v>0</v>
      </c>
      <c r="Q107" s="854">
        <f t="shared" si="23"/>
        <v>0</v>
      </c>
      <c r="R107" s="854">
        <f t="shared" si="8"/>
        <v>0</v>
      </c>
      <c r="S107" s="843">
        <f t="shared" si="13"/>
        <v>0</v>
      </c>
      <c r="T107" s="843">
        <f t="shared" si="15"/>
        <v>0</v>
      </c>
      <c r="U107" s="843">
        <f t="shared" si="14"/>
        <v>0</v>
      </c>
      <c r="V107" s="307"/>
      <c r="W107" t="e">
        <f>+'Yeşil Defter'!#REF!</f>
        <v>#REF!</v>
      </c>
      <c r="X107" s="766"/>
      <c r="Y107" s="11"/>
      <c r="Z107" s="11"/>
    </row>
    <row r="108" spans="1:26" customFormat="1" ht="19.95" hidden="1" customHeight="1" x14ac:dyDescent="0.3">
      <c r="A108" s="262" t="s">
        <v>154</v>
      </c>
      <c r="B108" s="11"/>
      <c r="C108" s="855">
        <v>88</v>
      </c>
      <c r="D108" s="855" t="s">
        <v>395</v>
      </c>
      <c r="E108" s="1345" t="s">
        <v>396</v>
      </c>
      <c r="F108" s="1345"/>
      <c r="G108" s="1345"/>
      <c r="H108" s="855" t="s">
        <v>225</v>
      </c>
      <c r="I108" s="856">
        <v>1849</v>
      </c>
      <c r="J108" s="852">
        <f>+'Yeşil Defter Dönemsel'!I107</f>
        <v>0</v>
      </c>
      <c r="K108" s="852">
        <f>+'Yeşil Defter Dönemsel'!J107</f>
        <v>0</v>
      </c>
      <c r="L108" s="852">
        <f>+'Yeşil Defter Dönemsel'!K107</f>
        <v>0</v>
      </c>
      <c r="M108" s="857">
        <f t="shared" si="20"/>
        <v>0</v>
      </c>
      <c r="N108" s="857">
        <f t="shared" si="21"/>
        <v>0</v>
      </c>
      <c r="O108" s="857">
        <f t="shared" si="22"/>
        <v>0</v>
      </c>
      <c r="P108" s="852">
        <f t="shared" si="7"/>
        <v>0</v>
      </c>
      <c r="Q108" s="854">
        <f t="shared" si="23"/>
        <v>0</v>
      </c>
      <c r="R108" s="854">
        <f t="shared" si="8"/>
        <v>0</v>
      </c>
      <c r="S108" s="843">
        <f t="shared" si="13"/>
        <v>0</v>
      </c>
      <c r="T108" s="843">
        <f t="shared" si="15"/>
        <v>0</v>
      </c>
      <c r="U108" s="843">
        <f t="shared" si="14"/>
        <v>0</v>
      </c>
      <c r="V108" s="307"/>
      <c r="W108" t="e">
        <f>+'Yeşil Defter'!#REF!</f>
        <v>#REF!</v>
      </c>
      <c r="X108" s="766"/>
      <c r="Y108" s="11"/>
      <c r="Z108" s="11"/>
    </row>
    <row r="109" spans="1:26" ht="19.95" hidden="1" customHeight="1" x14ac:dyDescent="0.3">
      <c r="A109" s="262" t="s">
        <v>154</v>
      </c>
      <c r="C109" s="855">
        <v>89</v>
      </c>
      <c r="D109" s="855" t="s">
        <v>397</v>
      </c>
      <c r="E109" s="1345" t="s">
        <v>398</v>
      </c>
      <c r="F109" s="1345"/>
      <c r="G109" s="1345"/>
      <c r="H109" s="855" t="s">
        <v>225</v>
      </c>
      <c r="I109" s="856">
        <v>3999</v>
      </c>
      <c r="J109" s="852">
        <f>+'Yeşil Defter Dönemsel'!I108</f>
        <v>0</v>
      </c>
      <c r="K109" s="852">
        <f>+'Yeşil Defter Dönemsel'!J108</f>
        <v>0</v>
      </c>
      <c r="L109" s="852">
        <f>+'Yeşil Defter Dönemsel'!K108</f>
        <v>0</v>
      </c>
      <c r="M109" s="857">
        <f t="shared" si="20"/>
        <v>0</v>
      </c>
      <c r="N109" s="857">
        <f t="shared" si="21"/>
        <v>0</v>
      </c>
      <c r="O109" s="857">
        <f t="shared" si="22"/>
        <v>0</v>
      </c>
      <c r="P109" s="852">
        <f t="shared" si="7"/>
        <v>0</v>
      </c>
      <c r="Q109" s="854">
        <f t="shared" si="23"/>
        <v>0</v>
      </c>
      <c r="R109" s="854">
        <f t="shared" si="8"/>
        <v>0</v>
      </c>
      <c r="S109" s="843">
        <f t="shared" si="13"/>
        <v>0</v>
      </c>
      <c r="T109" s="843">
        <f t="shared" si="15"/>
        <v>0</v>
      </c>
      <c r="U109" s="843">
        <f t="shared" si="14"/>
        <v>0</v>
      </c>
      <c r="V109" s="307"/>
      <c r="W109" t="e">
        <f>+'Yeşil Defter'!#REF!</f>
        <v>#REF!</v>
      </c>
      <c r="X109" s="766"/>
    </row>
    <row r="110" spans="1:26" ht="19.95" hidden="1" customHeight="1" x14ac:dyDescent="0.3">
      <c r="A110" s="262" t="s">
        <v>154</v>
      </c>
      <c r="C110" s="855">
        <v>90</v>
      </c>
      <c r="D110" s="855" t="s">
        <v>399</v>
      </c>
      <c r="E110" s="1345" t="s">
        <v>400</v>
      </c>
      <c r="F110" s="1345"/>
      <c r="G110" s="1345"/>
      <c r="H110" s="855" t="s">
        <v>225</v>
      </c>
      <c r="I110" s="856">
        <v>3999</v>
      </c>
      <c r="J110" s="852">
        <f>+'Yeşil Defter Dönemsel'!I109</f>
        <v>0</v>
      </c>
      <c r="K110" s="852">
        <f>+'Yeşil Defter Dönemsel'!J109</f>
        <v>0</v>
      </c>
      <c r="L110" s="852">
        <f>+'Yeşil Defter Dönemsel'!K109</f>
        <v>0</v>
      </c>
      <c r="M110" s="857">
        <f t="shared" si="20"/>
        <v>0</v>
      </c>
      <c r="N110" s="857">
        <f t="shared" si="21"/>
        <v>0</v>
      </c>
      <c r="O110" s="857">
        <f t="shared" si="22"/>
        <v>0</v>
      </c>
      <c r="P110" s="852">
        <f t="shared" si="7"/>
        <v>0</v>
      </c>
      <c r="Q110" s="854">
        <f t="shared" si="23"/>
        <v>0</v>
      </c>
      <c r="R110" s="854">
        <f t="shared" si="8"/>
        <v>0</v>
      </c>
      <c r="S110" s="843">
        <f t="shared" si="13"/>
        <v>0</v>
      </c>
      <c r="T110" s="843">
        <f t="shared" si="15"/>
        <v>0</v>
      </c>
      <c r="U110" s="843">
        <f t="shared" si="14"/>
        <v>0</v>
      </c>
      <c r="V110" s="307"/>
      <c r="W110" t="e">
        <f>+'Yeşil Defter'!#REF!</f>
        <v>#REF!</v>
      </c>
      <c r="X110" s="766"/>
    </row>
    <row r="111" spans="1:26" ht="19.95" hidden="1" customHeight="1" x14ac:dyDescent="0.3">
      <c r="A111" s="262" t="s">
        <v>154</v>
      </c>
      <c r="C111" s="855">
        <v>91</v>
      </c>
      <c r="D111" s="855" t="s">
        <v>401</v>
      </c>
      <c r="E111" s="1345" t="s">
        <v>402</v>
      </c>
      <c r="F111" s="1345"/>
      <c r="G111" s="1345"/>
      <c r="H111" s="855" t="s">
        <v>225</v>
      </c>
      <c r="I111" s="856">
        <v>3999</v>
      </c>
      <c r="J111" s="852">
        <f>+'Yeşil Defter Dönemsel'!I110</f>
        <v>0</v>
      </c>
      <c r="K111" s="852">
        <f>+'Yeşil Defter Dönemsel'!J110</f>
        <v>0</v>
      </c>
      <c r="L111" s="852">
        <f>+'Yeşil Defter Dönemsel'!K110</f>
        <v>0</v>
      </c>
      <c r="M111" s="857">
        <f t="shared" si="20"/>
        <v>0</v>
      </c>
      <c r="N111" s="857">
        <f t="shared" si="21"/>
        <v>0</v>
      </c>
      <c r="O111" s="857">
        <f t="shared" si="22"/>
        <v>0</v>
      </c>
      <c r="P111" s="852">
        <f t="shared" si="7"/>
        <v>0</v>
      </c>
      <c r="Q111" s="854">
        <f t="shared" si="23"/>
        <v>0</v>
      </c>
      <c r="R111" s="854">
        <f t="shared" si="8"/>
        <v>0</v>
      </c>
      <c r="S111" s="843">
        <f t="shared" si="13"/>
        <v>0</v>
      </c>
      <c r="T111" s="843">
        <f t="shared" si="15"/>
        <v>0</v>
      </c>
      <c r="U111" s="843">
        <f t="shared" si="14"/>
        <v>0</v>
      </c>
      <c r="V111" s="307"/>
      <c r="W111" t="e">
        <f>+'Yeşil Defter'!#REF!</f>
        <v>#REF!</v>
      </c>
      <c r="X111" s="766"/>
    </row>
    <row r="112" spans="1:26" ht="19.95" hidden="1" customHeight="1" x14ac:dyDescent="0.3">
      <c r="A112" s="262" t="s">
        <v>154</v>
      </c>
      <c r="C112" s="855">
        <v>92</v>
      </c>
      <c r="D112" s="855" t="s">
        <v>403</v>
      </c>
      <c r="E112" s="1345" t="s">
        <v>404</v>
      </c>
      <c r="F112" s="1345"/>
      <c r="G112" s="1345"/>
      <c r="H112" s="855" t="s">
        <v>225</v>
      </c>
      <c r="I112" s="856">
        <v>3999</v>
      </c>
      <c r="J112" s="852">
        <f>+'Yeşil Defter Dönemsel'!I111</f>
        <v>0</v>
      </c>
      <c r="K112" s="852">
        <f>+'Yeşil Defter Dönemsel'!J111</f>
        <v>0</v>
      </c>
      <c r="L112" s="852">
        <f>+'Yeşil Defter Dönemsel'!K111</f>
        <v>0</v>
      </c>
      <c r="M112" s="857">
        <f t="shared" si="20"/>
        <v>0</v>
      </c>
      <c r="N112" s="857">
        <f t="shared" si="21"/>
        <v>0</v>
      </c>
      <c r="O112" s="857">
        <f t="shared" si="22"/>
        <v>0</v>
      </c>
      <c r="P112" s="852">
        <f t="shared" si="7"/>
        <v>0</v>
      </c>
      <c r="Q112" s="854">
        <f t="shared" si="23"/>
        <v>0</v>
      </c>
      <c r="R112" s="854">
        <f t="shared" si="8"/>
        <v>0</v>
      </c>
      <c r="S112" s="843">
        <f t="shared" si="13"/>
        <v>0</v>
      </c>
      <c r="T112" s="843">
        <f t="shared" si="15"/>
        <v>0</v>
      </c>
      <c r="U112" s="843">
        <f t="shared" si="14"/>
        <v>0</v>
      </c>
      <c r="V112" s="307"/>
      <c r="W112" t="e">
        <f>+'Yeşil Defter'!#REF!</f>
        <v>#REF!</v>
      </c>
      <c r="X112" s="766"/>
    </row>
    <row r="113" spans="1:24" ht="19.95" hidden="1" customHeight="1" x14ac:dyDescent="0.3">
      <c r="A113" s="262" t="s">
        <v>154</v>
      </c>
      <c r="C113" s="855">
        <v>93</v>
      </c>
      <c r="D113" s="855" t="s">
        <v>405</v>
      </c>
      <c r="E113" s="1345" t="s">
        <v>406</v>
      </c>
      <c r="F113" s="1345"/>
      <c r="G113" s="1345"/>
      <c r="H113" s="855" t="s">
        <v>225</v>
      </c>
      <c r="I113" s="856">
        <v>3924</v>
      </c>
      <c r="J113" s="852">
        <f>+'Yeşil Defter Dönemsel'!I112</f>
        <v>0</v>
      </c>
      <c r="K113" s="852">
        <f>+'Yeşil Defter Dönemsel'!J112</f>
        <v>0</v>
      </c>
      <c r="L113" s="852">
        <f>+'Yeşil Defter Dönemsel'!K112</f>
        <v>0</v>
      </c>
      <c r="M113" s="857">
        <f t="shared" si="20"/>
        <v>0</v>
      </c>
      <c r="N113" s="857">
        <f t="shared" si="21"/>
        <v>0</v>
      </c>
      <c r="O113" s="857">
        <f t="shared" si="22"/>
        <v>0</v>
      </c>
      <c r="P113" s="852">
        <f t="shared" si="7"/>
        <v>0</v>
      </c>
      <c r="Q113" s="854">
        <f t="shared" si="23"/>
        <v>0</v>
      </c>
      <c r="R113" s="854">
        <f t="shared" si="8"/>
        <v>0</v>
      </c>
      <c r="S113" s="843">
        <f t="shared" si="13"/>
        <v>0</v>
      </c>
      <c r="T113" s="843">
        <f t="shared" si="15"/>
        <v>0</v>
      </c>
      <c r="U113" s="843">
        <f t="shared" si="14"/>
        <v>0</v>
      </c>
      <c r="V113" s="307"/>
      <c r="W113" t="e">
        <f>+'Yeşil Defter'!#REF!</f>
        <v>#REF!</v>
      </c>
      <c r="X113" s="766"/>
    </row>
    <row r="114" spans="1:24" ht="19.95" hidden="1" customHeight="1" x14ac:dyDescent="0.3">
      <c r="A114" s="262" t="s">
        <v>154</v>
      </c>
      <c r="C114" s="855">
        <v>94</v>
      </c>
      <c r="D114" s="855" t="s">
        <v>407</v>
      </c>
      <c r="E114" s="1345" t="s">
        <v>408</v>
      </c>
      <c r="F114" s="1345"/>
      <c r="G114" s="1345"/>
      <c r="H114" s="855" t="s">
        <v>225</v>
      </c>
      <c r="I114" s="856">
        <v>4295</v>
      </c>
      <c r="J114" s="852">
        <f>+'Yeşil Defter Dönemsel'!I113</f>
        <v>0</v>
      </c>
      <c r="K114" s="852">
        <f>+'Yeşil Defter Dönemsel'!J113</f>
        <v>0</v>
      </c>
      <c r="L114" s="852">
        <f>+'Yeşil Defter Dönemsel'!K113</f>
        <v>0</v>
      </c>
      <c r="M114" s="857">
        <f t="shared" si="20"/>
        <v>0</v>
      </c>
      <c r="N114" s="857">
        <f t="shared" si="21"/>
        <v>0</v>
      </c>
      <c r="O114" s="857">
        <f t="shared" si="22"/>
        <v>0</v>
      </c>
      <c r="P114" s="852">
        <f t="shared" si="7"/>
        <v>0</v>
      </c>
      <c r="Q114" s="854">
        <f t="shared" si="23"/>
        <v>0</v>
      </c>
      <c r="R114" s="854">
        <f t="shared" si="8"/>
        <v>0</v>
      </c>
      <c r="S114" s="843">
        <f t="shared" si="13"/>
        <v>0</v>
      </c>
      <c r="T114" s="843">
        <f t="shared" si="15"/>
        <v>0</v>
      </c>
      <c r="U114" s="843">
        <f t="shared" si="14"/>
        <v>0</v>
      </c>
      <c r="V114" s="307"/>
      <c r="W114" t="e">
        <f>+'Yeşil Defter'!#REF!</f>
        <v>#REF!</v>
      </c>
      <c r="X114" s="766"/>
    </row>
    <row r="115" spans="1:24" ht="19.95" hidden="1" customHeight="1" x14ac:dyDescent="0.3">
      <c r="A115" s="262" t="s">
        <v>154</v>
      </c>
      <c r="C115" s="855">
        <v>95</v>
      </c>
      <c r="D115" s="855" t="s">
        <v>409</v>
      </c>
      <c r="E115" s="1345" t="s">
        <v>410</v>
      </c>
      <c r="F115" s="1345"/>
      <c r="G115" s="1345"/>
      <c r="H115" s="855" t="s">
        <v>225</v>
      </c>
      <c r="I115" s="856">
        <v>4295</v>
      </c>
      <c r="J115" s="852">
        <f>+'Yeşil Defter Dönemsel'!I114</f>
        <v>0</v>
      </c>
      <c r="K115" s="852">
        <f>+'Yeşil Defter Dönemsel'!J114</f>
        <v>0</v>
      </c>
      <c r="L115" s="852">
        <f>+'Yeşil Defter Dönemsel'!K114</f>
        <v>0</v>
      </c>
      <c r="M115" s="857">
        <f t="shared" si="20"/>
        <v>0</v>
      </c>
      <c r="N115" s="857">
        <f t="shared" si="21"/>
        <v>0</v>
      </c>
      <c r="O115" s="857">
        <f t="shared" si="22"/>
        <v>0</v>
      </c>
      <c r="P115" s="852">
        <f t="shared" si="7"/>
        <v>0</v>
      </c>
      <c r="Q115" s="854">
        <f t="shared" si="23"/>
        <v>0</v>
      </c>
      <c r="R115" s="854">
        <f t="shared" si="8"/>
        <v>0</v>
      </c>
      <c r="S115" s="843">
        <f t="shared" si="13"/>
        <v>0</v>
      </c>
      <c r="T115" s="843">
        <f t="shared" si="15"/>
        <v>0</v>
      </c>
      <c r="U115" s="843">
        <f t="shared" si="14"/>
        <v>0</v>
      </c>
      <c r="V115" s="307"/>
      <c r="W115" t="e">
        <f>+'Yeşil Defter'!#REF!</f>
        <v>#REF!</v>
      </c>
      <c r="X115" s="766"/>
    </row>
    <row r="116" spans="1:24" ht="19.95" hidden="1" customHeight="1" x14ac:dyDescent="0.3">
      <c r="A116" s="262" t="s">
        <v>154</v>
      </c>
      <c r="C116" s="855">
        <v>96</v>
      </c>
      <c r="D116" s="855" t="s">
        <v>411</v>
      </c>
      <c r="E116" s="1345" t="s">
        <v>412</v>
      </c>
      <c r="F116" s="1345"/>
      <c r="G116" s="1345"/>
      <c r="H116" s="855" t="s">
        <v>225</v>
      </c>
      <c r="I116" s="856">
        <v>3924</v>
      </c>
      <c r="J116" s="852">
        <f>+'Yeşil Defter Dönemsel'!I115</f>
        <v>0</v>
      </c>
      <c r="K116" s="852">
        <f>+'Yeşil Defter Dönemsel'!J115</f>
        <v>0</v>
      </c>
      <c r="L116" s="852">
        <f>+'Yeşil Defter Dönemsel'!K115</f>
        <v>0</v>
      </c>
      <c r="M116" s="857">
        <f t="shared" si="20"/>
        <v>0</v>
      </c>
      <c r="N116" s="857">
        <f t="shared" si="21"/>
        <v>0</v>
      </c>
      <c r="O116" s="857">
        <f t="shared" si="22"/>
        <v>0</v>
      </c>
      <c r="P116" s="852">
        <f t="shared" si="7"/>
        <v>0</v>
      </c>
      <c r="Q116" s="854">
        <f t="shared" si="23"/>
        <v>0</v>
      </c>
      <c r="R116" s="854">
        <f t="shared" si="8"/>
        <v>0</v>
      </c>
      <c r="S116" s="843">
        <f t="shared" si="13"/>
        <v>0</v>
      </c>
      <c r="T116" s="843">
        <f t="shared" si="15"/>
        <v>0</v>
      </c>
      <c r="U116" s="843">
        <f t="shared" si="14"/>
        <v>0</v>
      </c>
      <c r="V116" s="307"/>
      <c r="W116" t="e">
        <f>+'Yeşil Defter'!#REF!</f>
        <v>#REF!</v>
      </c>
      <c r="X116" s="766"/>
    </row>
    <row r="117" spans="1:24" ht="19.95" hidden="1" customHeight="1" x14ac:dyDescent="0.3">
      <c r="A117" s="262" t="s">
        <v>154</v>
      </c>
      <c r="C117" s="855">
        <v>97</v>
      </c>
      <c r="D117" s="855" t="s">
        <v>413</v>
      </c>
      <c r="E117" s="1345" t="s">
        <v>414</v>
      </c>
      <c r="F117" s="1345"/>
      <c r="G117" s="1345"/>
      <c r="H117" s="855" t="s">
        <v>225</v>
      </c>
      <c r="I117" s="856">
        <v>4295</v>
      </c>
      <c r="J117" s="852">
        <f>+'Yeşil Defter Dönemsel'!I116</f>
        <v>0</v>
      </c>
      <c r="K117" s="852">
        <f>+'Yeşil Defter Dönemsel'!J116</f>
        <v>0</v>
      </c>
      <c r="L117" s="852">
        <f>+'Yeşil Defter Dönemsel'!K116</f>
        <v>0</v>
      </c>
      <c r="M117" s="857">
        <f t="shared" si="20"/>
        <v>0</v>
      </c>
      <c r="N117" s="857">
        <f t="shared" si="21"/>
        <v>0</v>
      </c>
      <c r="O117" s="857">
        <f t="shared" si="22"/>
        <v>0</v>
      </c>
      <c r="P117" s="852">
        <f t="shared" si="7"/>
        <v>0</v>
      </c>
      <c r="Q117" s="854">
        <f t="shared" si="23"/>
        <v>0</v>
      </c>
      <c r="R117" s="854">
        <f t="shared" si="8"/>
        <v>0</v>
      </c>
      <c r="S117" s="843">
        <f t="shared" si="13"/>
        <v>0</v>
      </c>
      <c r="T117" s="843">
        <f t="shared" si="15"/>
        <v>0</v>
      </c>
      <c r="U117" s="843">
        <f t="shared" si="14"/>
        <v>0</v>
      </c>
      <c r="V117" s="307"/>
      <c r="W117" t="e">
        <f>+'Yeşil Defter'!#REF!</f>
        <v>#REF!</v>
      </c>
      <c r="X117" s="766"/>
    </row>
    <row r="118" spans="1:24" ht="19.95" hidden="1" customHeight="1" x14ac:dyDescent="0.3">
      <c r="A118" s="262" t="s">
        <v>154</v>
      </c>
      <c r="C118" s="855">
        <v>98</v>
      </c>
      <c r="D118" s="855" t="s">
        <v>415</v>
      </c>
      <c r="E118" s="1345" t="s">
        <v>416</v>
      </c>
      <c r="F118" s="1345"/>
      <c r="G118" s="1345"/>
      <c r="H118" s="855" t="s">
        <v>225</v>
      </c>
      <c r="I118" s="856">
        <v>4295</v>
      </c>
      <c r="J118" s="852">
        <f>+'Yeşil Defter Dönemsel'!I117</f>
        <v>0</v>
      </c>
      <c r="K118" s="852">
        <f>+'Yeşil Defter Dönemsel'!J117</f>
        <v>0</v>
      </c>
      <c r="L118" s="852">
        <f>+'Yeşil Defter Dönemsel'!K117</f>
        <v>0</v>
      </c>
      <c r="M118" s="857">
        <f t="shared" si="20"/>
        <v>0</v>
      </c>
      <c r="N118" s="857">
        <f t="shared" si="21"/>
        <v>0</v>
      </c>
      <c r="O118" s="857">
        <f t="shared" si="22"/>
        <v>0</v>
      </c>
      <c r="P118" s="852">
        <f t="shared" si="7"/>
        <v>0</v>
      </c>
      <c r="Q118" s="854">
        <f t="shared" si="23"/>
        <v>0</v>
      </c>
      <c r="R118" s="854">
        <f t="shared" si="8"/>
        <v>0</v>
      </c>
      <c r="S118" s="843">
        <f t="shared" si="13"/>
        <v>0</v>
      </c>
      <c r="T118" s="843">
        <f t="shared" si="15"/>
        <v>0</v>
      </c>
      <c r="U118" s="843">
        <f t="shared" si="14"/>
        <v>0</v>
      </c>
      <c r="V118" s="307"/>
      <c r="W118" t="e">
        <f>+'Yeşil Defter'!#REF!</f>
        <v>#REF!</v>
      </c>
      <c r="X118" s="766"/>
    </row>
    <row r="119" spans="1:24" ht="19.95" hidden="1" customHeight="1" x14ac:dyDescent="0.3">
      <c r="A119" s="262" t="s">
        <v>154</v>
      </c>
      <c r="C119" s="855">
        <v>99</v>
      </c>
      <c r="D119" s="858" t="s">
        <v>417</v>
      </c>
      <c r="E119" s="1345" t="s">
        <v>418</v>
      </c>
      <c r="F119" s="1345"/>
      <c r="G119" s="1345"/>
      <c r="H119" s="855" t="s">
        <v>225</v>
      </c>
      <c r="I119" s="856">
        <v>3952</v>
      </c>
      <c r="J119" s="852">
        <f>+'Yeşil Defter Dönemsel'!I118</f>
        <v>0</v>
      </c>
      <c r="K119" s="852">
        <f>+'Yeşil Defter Dönemsel'!J118</f>
        <v>0</v>
      </c>
      <c r="L119" s="852">
        <f>+'Yeşil Defter Dönemsel'!K118</f>
        <v>0</v>
      </c>
      <c r="M119" s="857">
        <f t="shared" si="20"/>
        <v>0</v>
      </c>
      <c r="N119" s="857">
        <f t="shared" si="21"/>
        <v>0</v>
      </c>
      <c r="O119" s="857">
        <f t="shared" si="22"/>
        <v>0</v>
      </c>
      <c r="P119" s="852">
        <f t="shared" si="7"/>
        <v>0</v>
      </c>
      <c r="Q119" s="854">
        <f t="shared" si="23"/>
        <v>0</v>
      </c>
      <c r="R119" s="854">
        <f t="shared" si="8"/>
        <v>0</v>
      </c>
      <c r="S119" s="843">
        <f t="shared" si="13"/>
        <v>0</v>
      </c>
      <c r="T119" s="843">
        <f t="shared" si="15"/>
        <v>0</v>
      </c>
      <c r="U119" s="843">
        <f t="shared" si="14"/>
        <v>0</v>
      </c>
      <c r="V119" s="307"/>
      <c r="W119" t="e">
        <f>+'Yeşil Defter'!#REF!</f>
        <v>#REF!</v>
      </c>
      <c r="X119" s="766"/>
    </row>
    <row r="120" spans="1:24" ht="19.95" hidden="1" customHeight="1" x14ac:dyDescent="0.3">
      <c r="A120" s="262" t="s">
        <v>154</v>
      </c>
      <c r="C120" s="855">
        <v>100</v>
      </c>
      <c r="D120" s="858" t="s">
        <v>419</v>
      </c>
      <c r="E120" s="1345" t="s">
        <v>420</v>
      </c>
      <c r="F120" s="1345"/>
      <c r="G120" s="1345"/>
      <c r="H120" s="855" t="s">
        <v>225</v>
      </c>
      <c r="I120" s="856">
        <v>5743</v>
      </c>
      <c r="J120" s="852">
        <f>+'Yeşil Defter Dönemsel'!I119</f>
        <v>0</v>
      </c>
      <c r="K120" s="852">
        <f>+'Yeşil Defter Dönemsel'!J119</f>
        <v>0</v>
      </c>
      <c r="L120" s="852">
        <f>+'Yeşil Defter Dönemsel'!K119</f>
        <v>0</v>
      </c>
      <c r="M120" s="857">
        <f t="shared" si="20"/>
        <v>0</v>
      </c>
      <c r="N120" s="857">
        <f t="shared" si="21"/>
        <v>0</v>
      </c>
      <c r="O120" s="857">
        <f t="shared" si="22"/>
        <v>0</v>
      </c>
      <c r="P120" s="852">
        <f t="shared" ref="P120:P183" si="24">+J120</f>
        <v>0</v>
      </c>
      <c r="Q120" s="854">
        <f t="shared" si="23"/>
        <v>0</v>
      </c>
      <c r="R120" s="854">
        <f t="shared" ref="R120:R183" si="25">+L120</f>
        <v>0</v>
      </c>
      <c r="S120" s="843">
        <f t="shared" si="13"/>
        <v>0</v>
      </c>
      <c r="T120" s="843">
        <f t="shared" si="15"/>
        <v>0</v>
      </c>
      <c r="U120" s="843">
        <f t="shared" si="14"/>
        <v>0</v>
      </c>
      <c r="V120" s="307"/>
      <c r="W120" t="e">
        <f>+'Yeşil Defter'!#REF!</f>
        <v>#REF!</v>
      </c>
      <c r="X120" s="766"/>
    </row>
    <row r="121" spans="1:24" ht="19.95" hidden="1" customHeight="1" x14ac:dyDescent="0.3">
      <c r="A121" s="262" t="s">
        <v>154</v>
      </c>
      <c r="C121" s="855">
        <v>101</v>
      </c>
      <c r="D121" s="858" t="s">
        <v>421</v>
      </c>
      <c r="E121" s="1345" t="s">
        <v>422</v>
      </c>
      <c r="F121" s="1345"/>
      <c r="G121" s="1345"/>
      <c r="H121" s="855" t="s">
        <v>225</v>
      </c>
      <c r="I121" s="856">
        <v>910</v>
      </c>
      <c r="J121" s="852">
        <f>+'Yeşil Defter Dönemsel'!I120</f>
        <v>0</v>
      </c>
      <c r="K121" s="852">
        <f>+'Yeşil Defter Dönemsel'!J120</f>
        <v>0</v>
      </c>
      <c r="L121" s="852">
        <f>+'Yeşil Defter Dönemsel'!K120</f>
        <v>0</v>
      </c>
      <c r="M121" s="857">
        <f t="shared" si="20"/>
        <v>0</v>
      </c>
      <c r="N121" s="857">
        <f t="shared" si="21"/>
        <v>0</v>
      </c>
      <c r="O121" s="857">
        <f t="shared" si="22"/>
        <v>0</v>
      </c>
      <c r="P121" s="852">
        <f t="shared" si="24"/>
        <v>0</v>
      </c>
      <c r="Q121" s="854">
        <f t="shared" si="23"/>
        <v>0</v>
      </c>
      <c r="R121" s="854">
        <f t="shared" si="25"/>
        <v>0</v>
      </c>
      <c r="S121" s="843">
        <f t="shared" si="13"/>
        <v>0</v>
      </c>
      <c r="T121" s="843">
        <f t="shared" si="15"/>
        <v>0</v>
      </c>
      <c r="U121" s="843">
        <f t="shared" si="14"/>
        <v>0</v>
      </c>
      <c r="V121" s="307"/>
      <c r="W121" t="e">
        <f>+'Yeşil Defter'!#REF!</f>
        <v>#REF!</v>
      </c>
      <c r="X121" s="766"/>
    </row>
    <row r="122" spans="1:24" ht="19.95" hidden="1" customHeight="1" x14ac:dyDescent="0.3">
      <c r="A122" s="262" t="s">
        <v>154</v>
      </c>
      <c r="C122" s="855">
        <v>102</v>
      </c>
      <c r="D122" s="858" t="s">
        <v>423</v>
      </c>
      <c r="E122" s="1345" t="s">
        <v>424</v>
      </c>
      <c r="F122" s="1345"/>
      <c r="G122" s="1345"/>
      <c r="H122" s="855" t="s">
        <v>202</v>
      </c>
      <c r="I122" s="856">
        <v>1625</v>
      </c>
      <c r="J122" s="852">
        <f>+'Yeşil Defter Dönemsel'!I121</f>
        <v>0</v>
      </c>
      <c r="K122" s="852">
        <f>+'Yeşil Defter Dönemsel'!J121</f>
        <v>0</v>
      </c>
      <c r="L122" s="852">
        <f>+'Yeşil Defter Dönemsel'!K121</f>
        <v>0</v>
      </c>
      <c r="M122" s="857">
        <f t="shared" si="20"/>
        <v>0</v>
      </c>
      <c r="N122" s="857">
        <f t="shared" si="21"/>
        <v>0</v>
      </c>
      <c r="O122" s="857">
        <f t="shared" si="22"/>
        <v>0</v>
      </c>
      <c r="P122" s="852">
        <f t="shared" si="24"/>
        <v>0</v>
      </c>
      <c r="Q122" s="854">
        <f t="shared" si="23"/>
        <v>0</v>
      </c>
      <c r="R122" s="854">
        <f t="shared" si="25"/>
        <v>0</v>
      </c>
      <c r="S122" s="843">
        <f t="shared" si="13"/>
        <v>0</v>
      </c>
      <c r="T122" s="843">
        <f t="shared" si="15"/>
        <v>0</v>
      </c>
      <c r="U122" s="843">
        <f t="shared" si="14"/>
        <v>0</v>
      </c>
      <c r="V122" s="307"/>
      <c r="W122" t="e">
        <f>+'Yeşil Defter'!#REF!</f>
        <v>#REF!</v>
      </c>
      <c r="X122" s="766"/>
    </row>
    <row r="123" spans="1:24" ht="19.95" hidden="1" customHeight="1" x14ac:dyDescent="0.3">
      <c r="A123" s="262" t="s">
        <v>154</v>
      </c>
      <c r="C123" s="855">
        <v>103</v>
      </c>
      <c r="D123" s="858" t="s">
        <v>425</v>
      </c>
      <c r="E123" s="1345" t="s">
        <v>426</v>
      </c>
      <c r="F123" s="1345"/>
      <c r="G123" s="1345"/>
      <c r="H123" s="855" t="s">
        <v>225</v>
      </c>
      <c r="I123" s="856">
        <v>1121</v>
      </c>
      <c r="J123" s="852">
        <f>+'Yeşil Defter Dönemsel'!I122</f>
        <v>0</v>
      </c>
      <c r="K123" s="852">
        <f>+'Yeşil Defter Dönemsel'!J122</f>
        <v>0</v>
      </c>
      <c r="L123" s="852">
        <f>+'Yeşil Defter Dönemsel'!K122</f>
        <v>0</v>
      </c>
      <c r="M123" s="857">
        <f t="shared" si="20"/>
        <v>0</v>
      </c>
      <c r="N123" s="857">
        <f t="shared" si="21"/>
        <v>0</v>
      </c>
      <c r="O123" s="857">
        <f t="shared" si="22"/>
        <v>0</v>
      </c>
      <c r="P123" s="852">
        <f t="shared" si="24"/>
        <v>0</v>
      </c>
      <c r="Q123" s="854">
        <f t="shared" si="23"/>
        <v>0</v>
      </c>
      <c r="R123" s="854">
        <f t="shared" si="25"/>
        <v>0</v>
      </c>
      <c r="S123" s="843">
        <f t="shared" si="13"/>
        <v>0</v>
      </c>
      <c r="T123" s="843">
        <f t="shared" si="15"/>
        <v>0</v>
      </c>
      <c r="U123" s="843">
        <f t="shared" si="14"/>
        <v>0</v>
      </c>
      <c r="V123" s="307"/>
      <c r="W123" t="e">
        <f>+'Yeşil Defter'!#REF!</f>
        <v>#REF!</v>
      </c>
      <c r="X123" s="766"/>
    </row>
    <row r="124" spans="1:24" ht="19.95" hidden="1" customHeight="1" x14ac:dyDescent="0.3">
      <c r="A124" s="262" t="s">
        <v>154</v>
      </c>
      <c r="C124" s="855">
        <v>104</v>
      </c>
      <c r="D124" s="858" t="s">
        <v>427</v>
      </c>
      <c r="E124" s="1345" t="s">
        <v>428</v>
      </c>
      <c r="F124" s="1345"/>
      <c r="G124" s="1345"/>
      <c r="H124" s="855" t="s">
        <v>202</v>
      </c>
      <c r="I124" s="856">
        <v>2600</v>
      </c>
      <c r="J124" s="852">
        <f>+'Yeşil Defter Dönemsel'!I123</f>
        <v>0</v>
      </c>
      <c r="K124" s="852">
        <f>+'Yeşil Defter Dönemsel'!J123</f>
        <v>0</v>
      </c>
      <c r="L124" s="852">
        <f>+'Yeşil Defter Dönemsel'!K123</f>
        <v>0</v>
      </c>
      <c r="M124" s="857">
        <f t="shared" si="20"/>
        <v>0</v>
      </c>
      <c r="N124" s="857">
        <f t="shared" si="21"/>
        <v>0</v>
      </c>
      <c r="O124" s="857">
        <f t="shared" si="22"/>
        <v>0</v>
      </c>
      <c r="P124" s="852">
        <f t="shared" si="24"/>
        <v>0</v>
      </c>
      <c r="Q124" s="854">
        <f t="shared" si="23"/>
        <v>0</v>
      </c>
      <c r="R124" s="854">
        <f t="shared" si="25"/>
        <v>0</v>
      </c>
      <c r="S124" s="843">
        <f t="shared" si="13"/>
        <v>0</v>
      </c>
      <c r="T124" s="843">
        <f t="shared" si="15"/>
        <v>0</v>
      </c>
      <c r="U124" s="843">
        <f t="shared" si="14"/>
        <v>0</v>
      </c>
      <c r="V124" s="307"/>
      <c r="W124" t="e">
        <f>+'Yeşil Defter'!#REF!</f>
        <v>#REF!</v>
      </c>
      <c r="X124" s="766"/>
    </row>
    <row r="125" spans="1:24" ht="19.95" hidden="1" customHeight="1" x14ac:dyDescent="0.3">
      <c r="A125" s="262" t="s">
        <v>154</v>
      </c>
      <c r="C125" s="855">
        <v>105</v>
      </c>
      <c r="D125" s="855" t="s">
        <v>429</v>
      </c>
      <c r="E125" s="1345" t="s">
        <v>430</v>
      </c>
      <c r="F125" s="1345"/>
      <c r="G125" s="1345"/>
      <c r="H125" s="855" t="s">
        <v>202</v>
      </c>
      <c r="I125" s="856">
        <v>2275</v>
      </c>
      <c r="J125" s="852">
        <f>+'Yeşil Defter Dönemsel'!I124</f>
        <v>0</v>
      </c>
      <c r="K125" s="852">
        <f>+'Yeşil Defter Dönemsel'!J124</f>
        <v>0</v>
      </c>
      <c r="L125" s="852">
        <f>+'Yeşil Defter Dönemsel'!K124</f>
        <v>0</v>
      </c>
      <c r="M125" s="857">
        <f t="shared" si="20"/>
        <v>0</v>
      </c>
      <c r="N125" s="857">
        <f t="shared" si="21"/>
        <v>0</v>
      </c>
      <c r="O125" s="857">
        <f t="shared" si="22"/>
        <v>0</v>
      </c>
      <c r="P125" s="852">
        <f t="shared" si="24"/>
        <v>0</v>
      </c>
      <c r="Q125" s="854">
        <f t="shared" si="23"/>
        <v>0</v>
      </c>
      <c r="R125" s="854">
        <f t="shared" si="25"/>
        <v>0</v>
      </c>
      <c r="S125" s="843">
        <f t="shared" si="13"/>
        <v>0</v>
      </c>
      <c r="T125" s="843">
        <f t="shared" si="15"/>
        <v>0</v>
      </c>
      <c r="U125" s="843">
        <f t="shared" si="14"/>
        <v>0</v>
      </c>
      <c r="V125" s="307"/>
      <c r="W125" t="e">
        <f>+'Yeşil Defter'!#REF!</f>
        <v>#REF!</v>
      </c>
      <c r="X125" s="766"/>
    </row>
    <row r="126" spans="1:24" ht="19.95" hidden="1" customHeight="1" x14ac:dyDescent="0.3">
      <c r="A126" s="262" t="s">
        <v>154</v>
      </c>
      <c r="C126" s="855">
        <v>106</v>
      </c>
      <c r="D126" s="855" t="s">
        <v>431</v>
      </c>
      <c r="E126" s="1345" t="s">
        <v>432</v>
      </c>
      <c r="F126" s="1345"/>
      <c r="G126" s="1345"/>
      <c r="H126" s="855" t="s">
        <v>202</v>
      </c>
      <c r="I126" s="856">
        <v>2275</v>
      </c>
      <c r="J126" s="852">
        <f>+'Yeşil Defter Dönemsel'!I125</f>
        <v>0</v>
      </c>
      <c r="K126" s="852">
        <f>+'Yeşil Defter Dönemsel'!J125</f>
        <v>0</v>
      </c>
      <c r="L126" s="852">
        <f>+'Yeşil Defter Dönemsel'!K125</f>
        <v>0</v>
      </c>
      <c r="M126" s="857">
        <f t="shared" si="20"/>
        <v>0</v>
      </c>
      <c r="N126" s="857">
        <f t="shared" si="21"/>
        <v>0</v>
      </c>
      <c r="O126" s="857">
        <f t="shared" si="22"/>
        <v>0</v>
      </c>
      <c r="P126" s="852">
        <f t="shared" si="24"/>
        <v>0</v>
      </c>
      <c r="Q126" s="854">
        <f t="shared" si="23"/>
        <v>0</v>
      </c>
      <c r="R126" s="854">
        <f t="shared" si="25"/>
        <v>0</v>
      </c>
      <c r="S126" s="843">
        <f t="shared" si="13"/>
        <v>0</v>
      </c>
      <c r="T126" s="843">
        <f t="shared" si="15"/>
        <v>0</v>
      </c>
      <c r="U126" s="843">
        <f t="shared" si="14"/>
        <v>0</v>
      </c>
      <c r="V126" s="307"/>
      <c r="W126" t="e">
        <f>+'Yeşil Defter'!#REF!</f>
        <v>#REF!</v>
      </c>
      <c r="X126" s="766"/>
    </row>
    <row r="127" spans="1:24" ht="19.95" hidden="1" customHeight="1" x14ac:dyDescent="0.3">
      <c r="A127" s="262" t="s">
        <v>154</v>
      </c>
      <c r="C127" s="855">
        <v>107</v>
      </c>
      <c r="D127" s="855" t="s">
        <v>433</v>
      </c>
      <c r="E127" s="1345" t="s">
        <v>434</v>
      </c>
      <c r="F127" s="1345"/>
      <c r="G127" s="1345"/>
      <c r="H127" s="855" t="s">
        <v>202</v>
      </c>
      <c r="I127" s="856">
        <v>2925</v>
      </c>
      <c r="J127" s="852">
        <f>+'Yeşil Defter Dönemsel'!I126</f>
        <v>0</v>
      </c>
      <c r="K127" s="852">
        <f>+'Yeşil Defter Dönemsel'!J126</f>
        <v>0</v>
      </c>
      <c r="L127" s="852">
        <f>+'Yeşil Defter Dönemsel'!K126</f>
        <v>0</v>
      </c>
      <c r="M127" s="857">
        <f t="shared" si="20"/>
        <v>0</v>
      </c>
      <c r="N127" s="857">
        <f t="shared" si="21"/>
        <v>0</v>
      </c>
      <c r="O127" s="857">
        <f t="shared" si="22"/>
        <v>0</v>
      </c>
      <c r="P127" s="852">
        <f t="shared" si="24"/>
        <v>0</v>
      </c>
      <c r="Q127" s="854">
        <f t="shared" si="23"/>
        <v>0</v>
      </c>
      <c r="R127" s="854">
        <f t="shared" si="25"/>
        <v>0</v>
      </c>
      <c r="S127" s="843">
        <f t="shared" si="13"/>
        <v>0</v>
      </c>
      <c r="T127" s="843">
        <f t="shared" si="15"/>
        <v>0</v>
      </c>
      <c r="U127" s="843">
        <f t="shared" si="14"/>
        <v>0</v>
      </c>
      <c r="V127" s="307"/>
      <c r="W127" t="e">
        <f>+'Yeşil Defter'!#REF!</f>
        <v>#REF!</v>
      </c>
      <c r="X127" s="766"/>
    </row>
    <row r="128" spans="1:24" ht="19.95" hidden="1" customHeight="1" x14ac:dyDescent="0.3">
      <c r="A128" s="262" t="s">
        <v>154</v>
      </c>
      <c r="C128" s="855">
        <v>108</v>
      </c>
      <c r="D128" s="855" t="s">
        <v>435</v>
      </c>
      <c r="E128" s="1345" t="s">
        <v>436</v>
      </c>
      <c r="F128" s="1345"/>
      <c r="G128" s="1345"/>
      <c r="H128" s="855" t="s">
        <v>225</v>
      </c>
      <c r="I128" s="856">
        <v>1560</v>
      </c>
      <c r="J128" s="852">
        <f>+'Yeşil Defter Dönemsel'!I127</f>
        <v>0</v>
      </c>
      <c r="K128" s="852">
        <f>+'Yeşil Defter Dönemsel'!J127</f>
        <v>0</v>
      </c>
      <c r="L128" s="852">
        <f>+'Yeşil Defter Dönemsel'!K127</f>
        <v>0</v>
      </c>
      <c r="M128" s="857">
        <f t="shared" si="20"/>
        <v>0</v>
      </c>
      <c r="N128" s="857">
        <f t="shared" si="21"/>
        <v>0</v>
      </c>
      <c r="O128" s="857">
        <f t="shared" si="22"/>
        <v>0</v>
      </c>
      <c r="P128" s="852">
        <f t="shared" si="24"/>
        <v>0</v>
      </c>
      <c r="Q128" s="854">
        <f t="shared" si="23"/>
        <v>0</v>
      </c>
      <c r="R128" s="854">
        <f t="shared" si="25"/>
        <v>0</v>
      </c>
      <c r="S128" s="843">
        <f t="shared" si="13"/>
        <v>0</v>
      </c>
      <c r="T128" s="843">
        <f t="shared" si="15"/>
        <v>0</v>
      </c>
      <c r="U128" s="843">
        <f t="shared" si="14"/>
        <v>0</v>
      </c>
      <c r="V128" s="307"/>
      <c r="W128" t="e">
        <f>+'Yeşil Defter'!#REF!</f>
        <v>#REF!</v>
      </c>
      <c r="X128" s="766"/>
    </row>
    <row r="129" spans="1:24" ht="19.95" hidden="1" customHeight="1" x14ac:dyDescent="0.3">
      <c r="A129" s="262" t="s">
        <v>154</v>
      </c>
      <c r="C129" s="855">
        <v>109</v>
      </c>
      <c r="D129" s="855" t="s">
        <v>437</v>
      </c>
      <c r="E129" s="1345" t="s">
        <v>438</v>
      </c>
      <c r="F129" s="1345"/>
      <c r="G129" s="1345"/>
      <c r="H129" s="855" t="s">
        <v>225</v>
      </c>
      <c r="I129" s="856">
        <v>2600</v>
      </c>
      <c r="J129" s="852">
        <f>+'Yeşil Defter Dönemsel'!I128</f>
        <v>0</v>
      </c>
      <c r="K129" s="852">
        <f>+'Yeşil Defter Dönemsel'!J128</f>
        <v>0</v>
      </c>
      <c r="L129" s="852">
        <f>+'Yeşil Defter Dönemsel'!K128</f>
        <v>0</v>
      </c>
      <c r="M129" s="857">
        <f t="shared" si="20"/>
        <v>0</v>
      </c>
      <c r="N129" s="857">
        <f t="shared" si="21"/>
        <v>0</v>
      </c>
      <c r="O129" s="857">
        <f t="shared" si="22"/>
        <v>0</v>
      </c>
      <c r="P129" s="852">
        <f t="shared" si="24"/>
        <v>0</v>
      </c>
      <c r="Q129" s="854">
        <f t="shared" si="23"/>
        <v>0</v>
      </c>
      <c r="R129" s="854">
        <f t="shared" si="25"/>
        <v>0</v>
      </c>
      <c r="S129" s="843">
        <f t="shared" si="13"/>
        <v>0</v>
      </c>
      <c r="T129" s="843">
        <f t="shared" si="15"/>
        <v>0</v>
      </c>
      <c r="U129" s="843">
        <f t="shared" si="14"/>
        <v>0</v>
      </c>
      <c r="V129" s="307"/>
      <c r="W129" t="e">
        <f>+'Yeşil Defter'!#REF!</f>
        <v>#REF!</v>
      </c>
      <c r="X129" s="766"/>
    </row>
    <row r="130" spans="1:24" ht="19.95" hidden="1" customHeight="1" x14ac:dyDescent="0.3">
      <c r="A130" s="262" t="s">
        <v>154</v>
      </c>
      <c r="C130" s="855">
        <v>110</v>
      </c>
      <c r="D130" s="858" t="s">
        <v>439</v>
      </c>
      <c r="E130" s="1345" t="s">
        <v>440</v>
      </c>
      <c r="F130" s="1345"/>
      <c r="G130" s="1345"/>
      <c r="H130" s="855" t="s">
        <v>225</v>
      </c>
      <c r="I130" s="856">
        <v>1300</v>
      </c>
      <c r="J130" s="852">
        <f>+'Yeşil Defter Dönemsel'!I129</f>
        <v>0</v>
      </c>
      <c r="K130" s="852">
        <f>+'Yeşil Defter Dönemsel'!J129</f>
        <v>0</v>
      </c>
      <c r="L130" s="852">
        <f>+'Yeşil Defter Dönemsel'!K129</f>
        <v>0</v>
      </c>
      <c r="M130" s="857">
        <f t="shared" si="20"/>
        <v>0</v>
      </c>
      <c r="N130" s="857">
        <f t="shared" si="21"/>
        <v>0</v>
      </c>
      <c r="O130" s="857">
        <f t="shared" si="22"/>
        <v>0</v>
      </c>
      <c r="P130" s="852">
        <f t="shared" si="24"/>
        <v>0</v>
      </c>
      <c r="Q130" s="854">
        <f t="shared" si="23"/>
        <v>0</v>
      </c>
      <c r="R130" s="854">
        <f t="shared" si="25"/>
        <v>0</v>
      </c>
      <c r="S130" s="843">
        <f t="shared" si="13"/>
        <v>0</v>
      </c>
      <c r="T130" s="843">
        <f t="shared" si="15"/>
        <v>0</v>
      </c>
      <c r="U130" s="843">
        <f t="shared" si="14"/>
        <v>0</v>
      </c>
      <c r="V130" s="307"/>
      <c r="W130" t="e">
        <f>+'Yeşil Defter'!#REF!</f>
        <v>#REF!</v>
      </c>
      <c r="X130" s="766"/>
    </row>
    <row r="131" spans="1:24" ht="19.95" hidden="1" customHeight="1" x14ac:dyDescent="0.3">
      <c r="A131" s="262" t="s">
        <v>154</v>
      </c>
      <c r="C131" s="855">
        <v>111</v>
      </c>
      <c r="D131" s="855" t="s">
        <v>441</v>
      </c>
      <c r="E131" s="1345" t="s">
        <v>442</v>
      </c>
      <c r="F131" s="1345"/>
      <c r="G131" s="1345"/>
      <c r="H131" s="855" t="s">
        <v>202</v>
      </c>
      <c r="I131" s="856">
        <v>1235</v>
      </c>
      <c r="J131" s="852">
        <f>+'Yeşil Defter Dönemsel'!I130</f>
        <v>0</v>
      </c>
      <c r="K131" s="852">
        <f>+'Yeşil Defter Dönemsel'!J130</f>
        <v>0</v>
      </c>
      <c r="L131" s="852">
        <f>+'Yeşil Defter Dönemsel'!K130</f>
        <v>0</v>
      </c>
      <c r="M131" s="857">
        <f t="shared" si="20"/>
        <v>0</v>
      </c>
      <c r="N131" s="857">
        <f t="shared" si="21"/>
        <v>0</v>
      </c>
      <c r="O131" s="857">
        <f t="shared" si="22"/>
        <v>0</v>
      </c>
      <c r="P131" s="852">
        <f t="shared" si="24"/>
        <v>0</v>
      </c>
      <c r="Q131" s="854">
        <f t="shared" si="23"/>
        <v>0</v>
      </c>
      <c r="R131" s="854">
        <f t="shared" si="25"/>
        <v>0</v>
      </c>
      <c r="S131" s="843">
        <f t="shared" si="13"/>
        <v>0</v>
      </c>
      <c r="T131" s="843">
        <f t="shared" si="15"/>
        <v>0</v>
      </c>
      <c r="U131" s="843">
        <f t="shared" si="14"/>
        <v>0</v>
      </c>
      <c r="V131" s="307"/>
      <c r="W131" t="e">
        <f>+'Yeşil Defter'!#REF!</f>
        <v>#REF!</v>
      </c>
      <c r="X131" s="766"/>
    </row>
    <row r="132" spans="1:24" ht="19.95" hidden="1" customHeight="1" x14ac:dyDescent="0.3">
      <c r="A132" s="262" t="s">
        <v>154</v>
      </c>
      <c r="C132" s="855">
        <v>112</v>
      </c>
      <c r="D132" s="855" t="s">
        <v>443</v>
      </c>
      <c r="E132" s="1345" t="s">
        <v>444</v>
      </c>
      <c r="F132" s="1345"/>
      <c r="G132" s="1345"/>
      <c r="H132" s="855" t="s">
        <v>202</v>
      </c>
      <c r="I132" s="856">
        <v>1235</v>
      </c>
      <c r="J132" s="852">
        <f>+'Yeşil Defter Dönemsel'!I131</f>
        <v>0</v>
      </c>
      <c r="K132" s="852">
        <f>+'Yeşil Defter Dönemsel'!J131</f>
        <v>0</v>
      </c>
      <c r="L132" s="852">
        <f>+'Yeşil Defter Dönemsel'!K131</f>
        <v>0</v>
      </c>
      <c r="M132" s="857">
        <f t="shared" si="20"/>
        <v>0</v>
      </c>
      <c r="N132" s="857">
        <f t="shared" si="21"/>
        <v>0</v>
      </c>
      <c r="O132" s="857">
        <f t="shared" si="22"/>
        <v>0</v>
      </c>
      <c r="P132" s="852">
        <f t="shared" si="24"/>
        <v>0</v>
      </c>
      <c r="Q132" s="854">
        <f t="shared" si="23"/>
        <v>0</v>
      </c>
      <c r="R132" s="854">
        <f t="shared" si="25"/>
        <v>0</v>
      </c>
      <c r="S132" s="843">
        <f t="shared" si="13"/>
        <v>0</v>
      </c>
      <c r="T132" s="843">
        <f t="shared" si="15"/>
        <v>0</v>
      </c>
      <c r="U132" s="843">
        <f t="shared" si="14"/>
        <v>0</v>
      </c>
      <c r="V132" s="307"/>
      <c r="W132" t="e">
        <f>+'Yeşil Defter'!#REF!</f>
        <v>#REF!</v>
      </c>
      <c r="X132" s="766"/>
    </row>
    <row r="133" spans="1:24" ht="19.95" hidden="1" customHeight="1" x14ac:dyDescent="0.3">
      <c r="A133" s="262" t="s">
        <v>154</v>
      </c>
      <c r="C133" s="855">
        <v>113</v>
      </c>
      <c r="D133" s="858" t="s">
        <v>445</v>
      </c>
      <c r="E133" s="1345" t="s">
        <v>446</v>
      </c>
      <c r="F133" s="1345"/>
      <c r="G133" s="1345"/>
      <c r="H133" s="855" t="s">
        <v>225</v>
      </c>
      <c r="I133" s="856">
        <v>4680</v>
      </c>
      <c r="J133" s="852">
        <f>+'Yeşil Defter Dönemsel'!I132</f>
        <v>0</v>
      </c>
      <c r="K133" s="852">
        <f>+'Yeşil Defter Dönemsel'!J132</f>
        <v>0</v>
      </c>
      <c r="L133" s="852">
        <f>+'Yeşil Defter Dönemsel'!K132</f>
        <v>0</v>
      </c>
      <c r="M133" s="857">
        <f t="shared" si="20"/>
        <v>0</v>
      </c>
      <c r="N133" s="857">
        <f t="shared" si="21"/>
        <v>0</v>
      </c>
      <c r="O133" s="857">
        <f t="shared" si="22"/>
        <v>0</v>
      </c>
      <c r="P133" s="852">
        <f t="shared" si="24"/>
        <v>0</v>
      </c>
      <c r="Q133" s="854">
        <f t="shared" si="23"/>
        <v>0</v>
      </c>
      <c r="R133" s="854">
        <f t="shared" si="25"/>
        <v>0</v>
      </c>
      <c r="S133" s="843">
        <f t="shared" si="13"/>
        <v>0</v>
      </c>
      <c r="T133" s="843">
        <f t="shared" si="15"/>
        <v>0</v>
      </c>
      <c r="U133" s="843">
        <f t="shared" si="14"/>
        <v>0</v>
      </c>
      <c r="V133" s="307"/>
      <c r="W133" t="e">
        <f>+'Yeşil Defter'!#REF!</f>
        <v>#REF!</v>
      </c>
      <c r="X133" s="766"/>
    </row>
    <row r="134" spans="1:24" ht="19.95" hidden="1" customHeight="1" x14ac:dyDescent="0.3">
      <c r="A134" s="262" t="s">
        <v>154</v>
      </c>
      <c r="C134" s="855">
        <v>114</v>
      </c>
      <c r="D134" s="855" t="s">
        <v>447</v>
      </c>
      <c r="E134" s="1345" t="s">
        <v>448</v>
      </c>
      <c r="F134" s="1345"/>
      <c r="G134" s="1345"/>
      <c r="H134" s="855" t="s">
        <v>225</v>
      </c>
      <c r="I134" s="856">
        <v>6175</v>
      </c>
      <c r="J134" s="852">
        <f>+'Yeşil Defter Dönemsel'!I133</f>
        <v>0</v>
      </c>
      <c r="K134" s="852">
        <f>+'Yeşil Defter Dönemsel'!J133</f>
        <v>0</v>
      </c>
      <c r="L134" s="852">
        <f>+'Yeşil Defter Dönemsel'!K133</f>
        <v>0</v>
      </c>
      <c r="M134" s="857">
        <f t="shared" si="20"/>
        <v>0</v>
      </c>
      <c r="N134" s="857">
        <f t="shared" si="21"/>
        <v>0</v>
      </c>
      <c r="O134" s="857">
        <f t="shared" si="22"/>
        <v>0</v>
      </c>
      <c r="P134" s="852">
        <f t="shared" si="24"/>
        <v>0</v>
      </c>
      <c r="Q134" s="854">
        <f t="shared" si="23"/>
        <v>0</v>
      </c>
      <c r="R134" s="854">
        <f t="shared" si="25"/>
        <v>0</v>
      </c>
      <c r="S134" s="843">
        <f t="shared" si="13"/>
        <v>0</v>
      </c>
      <c r="T134" s="843">
        <f t="shared" si="15"/>
        <v>0</v>
      </c>
      <c r="U134" s="843">
        <f t="shared" si="14"/>
        <v>0</v>
      </c>
      <c r="V134" s="307"/>
      <c r="W134" t="e">
        <f>+'Yeşil Defter'!#REF!</f>
        <v>#REF!</v>
      </c>
      <c r="X134" s="766"/>
    </row>
    <row r="135" spans="1:24" ht="19.95" hidden="1" customHeight="1" x14ac:dyDescent="0.3">
      <c r="A135" s="262" t="s">
        <v>154</v>
      </c>
      <c r="C135" s="855">
        <v>115</v>
      </c>
      <c r="D135" s="855" t="s">
        <v>449</v>
      </c>
      <c r="E135" s="1345" t="s">
        <v>450</v>
      </c>
      <c r="F135" s="1345"/>
      <c r="G135" s="1345"/>
      <c r="H135" s="855" t="s">
        <v>225</v>
      </c>
      <c r="I135" s="856">
        <v>6175</v>
      </c>
      <c r="J135" s="852">
        <f>+'Yeşil Defter Dönemsel'!I134</f>
        <v>0</v>
      </c>
      <c r="K135" s="852">
        <f>+'Yeşil Defter Dönemsel'!J134</f>
        <v>0</v>
      </c>
      <c r="L135" s="852">
        <f>+'Yeşil Defter Dönemsel'!K134</f>
        <v>0</v>
      </c>
      <c r="M135" s="857">
        <f t="shared" si="20"/>
        <v>0</v>
      </c>
      <c r="N135" s="857">
        <f t="shared" si="21"/>
        <v>0</v>
      </c>
      <c r="O135" s="857">
        <f t="shared" si="22"/>
        <v>0</v>
      </c>
      <c r="P135" s="852">
        <f t="shared" si="24"/>
        <v>0</v>
      </c>
      <c r="Q135" s="854">
        <f t="shared" si="23"/>
        <v>0</v>
      </c>
      <c r="R135" s="854">
        <f t="shared" si="25"/>
        <v>0</v>
      </c>
      <c r="S135" s="843">
        <f t="shared" si="13"/>
        <v>0</v>
      </c>
      <c r="T135" s="843">
        <f t="shared" si="15"/>
        <v>0</v>
      </c>
      <c r="U135" s="843">
        <f t="shared" si="14"/>
        <v>0</v>
      </c>
      <c r="V135" s="307"/>
      <c r="W135" t="e">
        <f>+'Yeşil Defter'!#REF!</f>
        <v>#REF!</v>
      </c>
      <c r="X135" s="766"/>
    </row>
    <row r="136" spans="1:24" ht="19.95" hidden="1" customHeight="1" x14ac:dyDescent="0.3">
      <c r="A136" s="262" t="s">
        <v>154</v>
      </c>
      <c r="C136" s="855">
        <v>116</v>
      </c>
      <c r="D136" s="855" t="s">
        <v>451</v>
      </c>
      <c r="E136" s="1345" t="s">
        <v>452</v>
      </c>
      <c r="F136" s="1345"/>
      <c r="G136" s="1345"/>
      <c r="H136" s="855" t="s">
        <v>225</v>
      </c>
      <c r="I136" s="856">
        <v>6175</v>
      </c>
      <c r="J136" s="852">
        <f>+'Yeşil Defter Dönemsel'!I135</f>
        <v>0</v>
      </c>
      <c r="K136" s="852">
        <f>+'Yeşil Defter Dönemsel'!J135</f>
        <v>0</v>
      </c>
      <c r="L136" s="852">
        <f>+'Yeşil Defter Dönemsel'!K135</f>
        <v>0</v>
      </c>
      <c r="M136" s="857">
        <f t="shared" si="20"/>
        <v>0</v>
      </c>
      <c r="N136" s="857">
        <f t="shared" si="21"/>
        <v>0</v>
      </c>
      <c r="O136" s="857">
        <f t="shared" si="22"/>
        <v>0</v>
      </c>
      <c r="P136" s="852">
        <f t="shared" si="24"/>
        <v>0</v>
      </c>
      <c r="Q136" s="854">
        <f t="shared" si="23"/>
        <v>0</v>
      </c>
      <c r="R136" s="854">
        <f t="shared" si="25"/>
        <v>0</v>
      </c>
      <c r="S136" s="843">
        <f t="shared" si="13"/>
        <v>0</v>
      </c>
      <c r="T136" s="843">
        <f t="shared" si="15"/>
        <v>0</v>
      </c>
      <c r="U136" s="843">
        <f t="shared" si="14"/>
        <v>0</v>
      </c>
      <c r="V136" s="307"/>
      <c r="W136" t="e">
        <f>+'Yeşil Defter'!#REF!</f>
        <v>#REF!</v>
      </c>
      <c r="X136" s="766"/>
    </row>
    <row r="137" spans="1:24" ht="19.95" hidden="1" customHeight="1" x14ac:dyDescent="0.3">
      <c r="A137" s="262" t="s">
        <v>154</v>
      </c>
      <c r="C137" s="855">
        <v>117</v>
      </c>
      <c r="D137" s="855" t="s">
        <v>453</v>
      </c>
      <c r="E137" s="1345" t="s">
        <v>454</v>
      </c>
      <c r="F137" s="1345"/>
      <c r="G137" s="1345"/>
      <c r="H137" s="855" t="s">
        <v>225</v>
      </c>
      <c r="I137" s="856">
        <v>3900</v>
      </c>
      <c r="J137" s="852">
        <f>+'Yeşil Defter Dönemsel'!I136</f>
        <v>0</v>
      </c>
      <c r="K137" s="852">
        <f>+'Yeşil Defter Dönemsel'!J136</f>
        <v>0</v>
      </c>
      <c r="L137" s="852">
        <f>+'Yeşil Defter Dönemsel'!K136</f>
        <v>0</v>
      </c>
      <c r="M137" s="857">
        <f t="shared" si="20"/>
        <v>0</v>
      </c>
      <c r="N137" s="857">
        <f t="shared" si="21"/>
        <v>0</v>
      </c>
      <c r="O137" s="857">
        <f t="shared" si="22"/>
        <v>0</v>
      </c>
      <c r="P137" s="852">
        <f t="shared" si="24"/>
        <v>0</v>
      </c>
      <c r="Q137" s="854">
        <f t="shared" si="23"/>
        <v>0</v>
      </c>
      <c r="R137" s="854">
        <f t="shared" si="25"/>
        <v>0</v>
      </c>
      <c r="S137" s="843">
        <f t="shared" si="13"/>
        <v>0</v>
      </c>
      <c r="T137" s="843">
        <f t="shared" si="15"/>
        <v>0</v>
      </c>
      <c r="U137" s="843">
        <f t="shared" si="14"/>
        <v>0</v>
      </c>
      <c r="V137" s="307"/>
      <c r="W137" t="e">
        <f>+'Yeşil Defter'!#REF!</f>
        <v>#REF!</v>
      </c>
      <c r="X137" s="766"/>
    </row>
    <row r="138" spans="1:24" ht="19.95" hidden="1" customHeight="1" x14ac:dyDescent="0.3">
      <c r="A138" s="262" t="s">
        <v>154</v>
      </c>
      <c r="C138" s="855">
        <v>118</v>
      </c>
      <c r="D138" s="855" t="s">
        <v>455</v>
      </c>
      <c r="E138" s="1345" t="s">
        <v>456</v>
      </c>
      <c r="F138" s="1345"/>
      <c r="G138" s="1345"/>
      <c r="H138" s="855" t="s">
        <v>225</v>
      </c>
      <c r="I138" s="856">
        <v>8775</v>
      </c>
      <c r="J138" s="852">
        <f>+'Yeşil Defter Dönemsel'!I137</f>
        <v>0</v>
      </c>
      <c r="K138" s="852">
        <f>+'Yeşil Defter Dönemsel'!J137</f>
        <v>0</v>
      </c>
      <c r="L138" s="852">
        <f>+'Yeşil Defter Dönemsel'!K137</f>
        <v>0</v>
      </c>
      <c r="M138" s="857">
        <f t="shared" si="20"/>
        <v>0</v>
      </c>
      <c r="N138" s="857">
        <f t="shared" si="21"/>
        <v>0</v>
      </c>
      <c r="O138" s="857">
        <f t="shared" si="22"/>
        <v>0</v>
      </c>
      <c r="P138" s="852">
        <f t="shared" si="24"/>
        <v>0</v>
      </c>
      <c r="Q138" s="854">
        <f t="shared" si="23"/>
        <v>0</v>
      </c>
      <c r="R138" s="854">
        <f t="shared" si="25"/>
        <v>0</v>
      </c>
      <c r="S138" s="843">
        <f t="shared" si="13"/>
        <v>0</v>
      </c>
      <c r="T138" s="843">
        <f t="shared" si="15"/>
        <v>0</v>
      </c>
      <c r="U138" s="843">
        <f t="shared" si="14"/>
        <v>0</v>
      </c>
      <c r="V138" s="307"/>
      <c r="W138" t="e">
        <f>+'Yeşil Defter'!#REF!</f>
        <v>#REF!</v>
      </c>
      <c r="X138" s="766"/>
    </row>
    <row r="139" spans="1:24" ht="19.95" hidden="1" customHeight="1" x14ac:dyDescent="0.3">
      <c r="A139" s="262" t="s">
        <v>154</v>
      </c>
      <c r="C139" s="855">
        <v>119</v>
      </c>
      <c r="D139" s="855" t="s">
        <v>457</v>
      </c>
      <c r="E139" s="1345" t="s">
        <v>458</v>
      </c>
      <c r="F139" s="1345"/>
      <c r="G139" s="1345"/>
      <c r="H139" s="855" t="s">
        <v>225</v>
      </c>
      <c r="I139" s="856">
        <v>8775</v>
      </c>
      <c r="J139" s="852">
        <f>+'Yeşil Defter Dönemsel'!I138</f>
        <v>0</v>
      </c>
      <c r="K139" s="852">
        <f>+'Yeşil Defter Dönemsel'!J138</f>
        <v>0</v>
      </c>
      <c r="L139" s="852">
        <f>+'Yeşil Defter Dönemsel'!K138</f>
        <v>0</v>
      </c>
      <c r="M139" s="857">
        <f t="shared" si="20"/>
        <v>0</v>
      </c>
      <c r="N139" s="857">
        <f t="shared" si="21"/>
        <v>0</v>
      </c>
      <c r="O139" s="857">
        <f t="shared" si="22"/>
        <v>0</v>
      </c>
      <c r="P139" s="852">
        <f t="shared" si="24"/>
        <v>0</v>
      </c>
      <c r="Q139" s="854">
        <f t="shared" si="23"/>
        <v>0</v>
      </c>
      <c r="R139" s="854">
        <f t="shared" si="25"/>
        <v>0</v>
      </c>
      <c r="S139" s="843">
        <f t="shared" si="13"/>
        <v>0</v>
      </c>
      <c r="T139" s="843">
        <f t="shared" si="15"/>
        <v>0</v>
      </c>
      <c r="U139" s="843">
        <f t="shared" si="14"/>
        <v>0</v>
      </c>
      <c r="V139" s="307"/>
      <c r="W139" t="e">
        <f>+'Yeşil Defter'!#REF!</f>
        <v>#REF!</v>
      </c>
      <c r="X139" s="766"/>
    </row>
    <row r="140" spans="1:24" ht="19.95" hidden="1" customHeight="1" x14ac:dyDescent="0.3">
      <c r="A140" s="262" t="s">
        <v>154</v>
      </c>
      <c r="C140" s="855">
        <v>120</v>
      </c>
      <c r="D140" s="855" t="s">
        <v>459</v>
      </c>
      <c r="E140" s="1345" t="s">
        <v>460</v>
      </c>
      <c r="F140" s="1345"/>
      <c r="G140" s="1345"/>
      <c r="H140" s="855" t="s">
        <v>225</v>
      </c>
      <c r="I140" s="856">
        <v>8775</v>
      </c>
      <c r="J140" s="852">
        <f>+'Yeşil Defter Dönemsel'!I139</f>
        <v>0</v>
      </c>
      <c r="K140" s="852">
        <f>+'Yeşil Defter Dönemsel'!J139</f>
        <v>0</v>
      </c>
      <c r="L140" s="852">
        <f>+'Yeşil Defter Dönemsel'!K139</f>
        <v>0</v>
      </c>
      <c r="M140" s="857">
        <f t="shared" si="20"/>
        <v>0</v>
      </c>
      <c r="N140" s="857">
        <f t="shared" si="21"/>
        <v>0</v>
      </c>
      <c r="O140" s="857">
        <f t="shared" si="22"/>
        <v>0</v>
      </c>
      <c r="P140" s="852">
        <f t="shared" si="24"/>
        <v>0</v>
      </c>
      <c r="Q140" s="854">
        <f t="shared" si="23"/>
        <v>0</v>
      </c>
      <c r="R140" s="854">
        <f t="shared" si="25"/>
        <v>0</v>
      </c>
      <c r="S140" s="843">
        <f t="shared" si="13"/>
        <v>0</v>
      </c>
      <c r="T140" s="843">
        <f t="shared" si="15"/>
        <v>0</v>
      </c>
      <c r="U140" s="843">
        <f t="shared" si="14"/>
        <v>0</v>
      </c>
      <c r="V140" s="307"/>
      <c r="W140" t="e">
        <f>+'Yeşil Defter'!#REF!</f>
        <v>#REF!</v>
      </c>
      <c r="X140" s="766"/>
    </row>
    <row r="141" spans="1:24" ht="19.95" hidden="1" customHeight="1" x14ac:dyDescent="0.3">
      <c r="A141" s="262" t="s">
        <v>154</v>
      </c>
      <c r="C141" s="855">
        <v>121</v>
      </c>
      <c r="D141" s="855" t="s">
        <v>461</v>
      </c>
      <c r="E141" s="1345" t="s">
        <v>462</v>
      </c>
      <c r="F141" s="1345"/>
      <c r="G141" s="1345"/>
      <c r="H141" s="855" t="s">
        <v>225</v>
      </c>
      <c r="I141" s="856">
        <v>4185</v>
      </c>
      <c r="J141" s="852">
        <f>+'Yeşil Defter Dönemsel'!I140</f>
        <v>0</v>
      </c>
      <c r="K141" s="852">
        <f>+'Yeşil Defter Dönemsel'!J140</f>
        <v>0</v>
      </c>
      <c r="L141" s="852">
        <f>+'Yeşil Defter Dönemsel'!K140</f>
        <v>0</v>
      </c>
      <c r="M141" s="857">
        <f t="shared" si="20"/>
        <v>0</v>
      </c>
      <c r="N141" s="857">
        <f t="shared" si="21"/>
        <v>0</v>
      </c>
      <c r="O141" s="857">
        <f t="shared" si="22"/>
        <v>0</v>
      </c>
      <c r="P141" s="852">
        <f t="shared" si="24"/>
        <v>0</v>
      </c>
      <c r="Q141" s="854">
        <f t="shared" si="23"/>
        <v>0</v>
      </c>
      <c r="R141" s="854">
        <f t="shared" si="25"/>
        <v>0</v>
      </c>
      <c r="S141" s="843">
        <f t="shared" si="13"/>
        <v>0</v>
      </c>
      <c r="T141" s="843">
        <f t="shared" si="15"/>
        <v>0</v>
      </c>
      <c r="U141" s="843">
        <f t="shared" si="14"/>
        <v>0</v>
      </c>
      <c r="V141" s="307"/>
      <c r="W141" t="e">
        <f>+'Yeşil Defter'!#REF!</f>
        <v>#REF!</v>
      </c>
      <c r="X141" s="766"/>
    </row>
    <row r="142" spans="1:24" ht="19.95" hidden="1" customHeight="1" x14ac:dyDescent="0.3">
      <c r="A142" s="262" t="s">
        <v>154</v>
      </c>
      <c r="C142" s="855">
        <v>122</v>
      </c>
      <c r="D142" s="855" t="s">
        <v>463</v>
      </c>
      <c r="E142" s="1345" t="s">
        <v>464</v>
      </c>
      <c r="F142" s="1345"/>
      <c r="G142" s="1345"/>
      <c r="H142" s="855" t="s">
        <v>225</v>
      </c>
      <c r="I142" s="856">
        <v>4425</v>
      </c>
      <c r="J142" s="852">
        <f>+'Yeşil Defter Dönemsel'!I141</f>
        <v>0</v>
      </c>
      <c r="K142" s="852">
        <f>+'Yeşil Defter Dönemsel'!J141</f>
        <v>0</v>
      </c>
      <c r="L142" s="852">
        <f>+'Yeşil Defter Dönemsel'!K141</f>
        <v>0</v>
      </c>
      <c r="M142" s="857">
        <f t="shared" si="20"/>
        <v>0</v>
      </c>
      <c r="N142" s="857">
        <f t="shared" si="21"/>
        <v>0</v>
      </c>
      <c r="O142" s="857">
        <f t="shared" si="22"/>
        <v>0</v>
      </c>
      <c r="P142" s="852">
        <f t="shared" si="24"/>
        <v>0</v>
      </c>
      <c r="Q142" s="854">
        <f t="shared" si="23"/>
        <v>0</v>
      </c>
      <c r="R142" s="854">
        <f t="shared" si="25"/>
        <v>0</v>
      </c>
      <c r="S142" s="843">
        <f t="shared" si="13"/>
        <v>0</v>
      </c>
      <c r="T142" s="843">
        <f t="shared" si="15"/>
        <v>0</v>
      </c>
      <c r="U142" s="843">
        <f t="shared" si="14"/>
        <v>0</v>
      </c>
      <c r="V142" s="307"/>
      <c r="W142" t="e">
        <f>+'Yeşil Defter'!#REF!</f>
        <v>#REF!</v>
      </c>
      <c r="X142" s="766"/>
    </row>
    <row r="143" spans="1:24" ht="19.95" hidden="1" customHeight="1" x14ac:dyDescent="0.3">
      <c r="A143" s="262" t="s">
        <v>154</v>
      </c>
      <c r="C143" s="855">
        <v>123</v>
      </c>
      <c r="D143" s="855" t="s">
        <v>465</v>
      </c>
      <c r="E143" s="1345" t="s">
        <v>466</v>
      </c>
      <c r="F143" s="1345"/>
      <c r="G143" s="1345"/>
      <c r="H143" s="855" t="s">
        <v>225</v>
      </c>
      <c r="I143" s="856">
        <v>4425</v>
      </c>
      <c r="J143" s="852">
        <f>+'Yeşil Defter Dönemsel'!I142</f>
        <v>0</v>
      </c>
      <c r="K143" s="852">
        <f>+'Yeşil Defter Dönemsel'!J142</f>
        <v>0</v>
      </c>
      <c r="L143" s="852">
        <f>+'Yeşil Defter Dönemsel'!K142</f>
        <v>0</v>
      </c>
      <c r="M143" s="857">
        <f t="shared" si="20"/>
        <v>0</v>
      </c>
      <c r="N143" s="857">
        <f t="shared" si="21"/>
        <v>0</v>
      </c>
      <c r="O143" s="857">
        <f t="shared" si="22"/>
        <v>0</v>
      </c>
      <c r="P143" s="852">
        <f t="shared" si="24"/>
        <v>0</v>
      </c>
      <c r="Q143" s="854">
        <f t="shared" si="23"/>
        <v>0</v>
      </c>
      <c r="R143" s="854">
        <f t="shared" si="25"/>
        <v>0</v>
      </c>
      <c r="S143" s="843">
        <f t="shared" si="13"/>
        <v>0</v>
      </c>
      <c r="T143" s="843">
        <f t="shared" si="15"/>
        <v>0</v>
      </c>
      <c r="U143" s="843">
        <f t="shared" si="14"/>
        <v>0</v>
      </c>
      <c r="V143" s="307"/>
      <c r="W143" t="e">
        <f>+'Yeşil Defter'!#REF!</f>
        <v>#REF!</v>
      </c>
      <c r="X143" s="766"/>
    </row>
    <row r="144" spans="1:24" ht="19.95" hidden="1" customHeight="1" x14ac:dyDescent="0.3">
      <c r="A144" s="262" t="s">
        <v>154</v>
      </c>
      <c r="C144" s="855">
        <v>124</v>
      </c>
      <c r="D144" s="855" t="s">
        <v>467</v>
      </c>
      <c r="E144" s="1345" t="s">
        <v>468</v>
      </c>
      <c r="F144" s="1345"/>
      <c r="G144" s="1345"/>
      <c r="H144" s="855" t="s">
        <v>225</v>
      </c>
      <c r="I144" s="856">
        <v>8215</v>
      </c>
      <c r="J144" s="852">
        <f>+'Yeşil Defter Dönemsel'!I143</f>
        <v>0</v>
      </c>
      <c r="K144" s="852">
        <f>+'Yeşil Defter Dönemsel'!J143</f>
        <v>0</v>
      </c>
      <c r="L144" s="852">
        <f>+'Yeşil Defter Dönemsel'!K143</f>
        <v>0</v>
      </c>
      <c r="M144" s="857">
        <f t="shared" si="20"/>
        <v>0</v>
      </c>
      <c r="N144" s="857">
        <f t="shared" si="21"/>
        <v>0</v>
      </c>
      <c r="O144" s="857">
        <f t="shared" si="22"/>
        <v>0</v>
      </c>
      <c r="P144" s="852">
        <f t="shared" si="24"/>
        <v>0</v>
      </c>
      <c r="Q144" s="854">
        <f t="shared" si="23"/>
        <v>0</v>
      </c>
      <c r="R144" s="854">
        <f t="shared" si="25"/>
        <v>0</v>
      </c>
      <c r="S144" s="843">
        <f t="shared" ref="S144:S207" si="26">+M144</f>
        <v>0</v>
      </c>
      <c r="T144" s="843">
        <f t="shared" si="15"/>
        <v>0</v>
      </c>
      <c r="U144" s="843">
        <f t="shared" ref="U144:U207" si="27">+O144</f>
        <v>0</v>
      </c>
      <c r="V144" s="307"/>
      <c r="W144" t="e">
        <f>+'Yeşil Defter'!#REF!</f>
        <v>#REF!</v>
      </c>
      <c r="X144" s="766"/>
    </row>
    <row r="145" spans="1:24" ht="19.95" hidden="1" customHeight="1" x14ac:dyDescent="0.3">
      <c r="A145" s="262" t="s">
        <v>154</v>
      </c>
      <c r="C145" s="855">
        <v>125</v>
      </c>
      <c r="D145" s="855" t="s">
        <v>469</v>
      </c>
      <c r="E145" s="1345" t="s">
        <v>470</v>
      </c>
      <c r="F145" s="1345"/>
      <c r="G145" s="1345"/>
      <c r="H145" s="855" t="s">
        <v>225</v>
      </c>
      <c r="I145" s="856">
        <v>8599</v>
      </c>
      <c r="J145" s="852">
        <f>+'Yeşil Defter Dönemsel'!I144</f>
        <v>0</v>
      </c>
      <c r="K145" s="852">
        <f>+'Yeşil Defter Dönemsel'!J144</f>
        <v>0</v>
      </c>
      <c r="L145" s="852">
        <f>+'Yeşil Defter Dönemsel'!K144</f>
        <v>0</v>
      </c>
      <c r="M145" s="857">
        <f t="shared" si="20"/>
        <v>0</v>
      </c>
      <c r="N145" s="857">
        <f t="shared" si="21"/>
        <v>0</v>
      </c>
      <c r="O145" s="857">
        <f t="shared" si="22"/>
        <v>0</v>
      </c>
      <c r="P145" s="852">
        <f t="shared" si="24"/>
        <v>0</v>
      </c>
      <c r="Q145" s="854">
        <f t="shared" si="23"/>
        <v>0</v>
      </c>
      <c r="R145" s="854">
        <f t="shared" si="25"/>
        <v>0</v>
      </c>
      <c r="S145" s="843">
        <f t="shared" si="26"/>
        <v>0</v>
      </c>
      <c r="T145" s="843">
        <f t="shared" ref="T145:T208" si="28">+U145-S145</f>
        <v>0</v>
      </c>
      <c r="U145" s="843">
        <f t="shared" si="27"/>
        <v>0</v>
      </c>
      <c r="V145" s="307"/>
      <c r="W145" t="e">
        <f>+'Yeşil Defter'!#REF!</f>
        <v>#REF!</v>
      </c>
      <c r="X145" s="766"/>
    </row>
    <row r="146" spans="1:24" ht="19.95" hidden="1" customHeight="1" x14ac:dyDescent="0.3">
      <c r="A146" s="262" t="s">
        <v>154</v>
      </c>
      <c r="C146" s="855">
        <v>126</v>
      </c>
      <c r="D146" s="855" t="s">
        <v>471</v>
      </c>
      <c r="E146" s="1345" t="s">
        <v>472</v>
      </c>
      <c r="F146" s="1345"/>
      <c r="G146" s="1345"/>
      <c r="H146" s="855" t="s">
        <v>225</v>
      </c>
      <c r="I146" s="856">
        <v>8599</v>
      </c>
      <c r="J146" s="852">
        <f>+'Yeşil Defter Dönemsel'!I145</f>
        <v>0</v>
      </c>
      <c r="K146" s="852">
        <f>+'Yeşil Defter Dönemsel'!J145</f>
        <v>0</v>
      </c>
      <c r="L146" s="852">
        <f>+'Yeşil Defter Dönemsel'!K145</f>
        <v>0</v>
      </c>
      <c r="M146" s="857">
        <f t="shared" si="20"/>
        <v>0</v>
      </c>
      <c r="N146" s="857">
        <f t="shared" si="21"/>
        <v>0</v>
      </c>
      <c r="O146" s="857">
        <f t="shared" si="22"/>
        <v>0</v>
      </c>
      <c r="P146" s="852">
        <f t="shared" si="24"/>
        <v>0</v>
      </c>
      <c r="Q146" s="854">
        <f t="shared" si="23"/>
        <v>0</v>
      </c>
      <c r="R146" s="854">
        <f t="shared" si="25"/>
        <v>0</v>
      </c>
      <c r="S146" s="843">
        <f t="shared" si="26"/>
        <v>0</v>
      </c>
      <c r="T146" s="843">
        <f t="shared" si="28"/>
        <v>0</v>
      </c>
      <c r="U146" s="843">
        <f t="shared" si="27"/>
        <v>0</v>
      </c>
      <c r="V146" s="307"/>
      <c r="W146" t="e">
        <f>+'Yeşil Defter'!#REF!</f>
        <v>#REF!</v>
      </c>
      <c r="X146" s="766"/>
    </row>
    <row r="147" spans="1:24" ht="19.95" hidden="1" customHeight="1" x14ac:dyDescent="0.3">
      <c r="A147" s="262" t="s">
        <v>154</v>
      </c>
      <c r="C147" s="855">
        <v>127</v>
      </c>
      <c r="D147" s="858" t="s">
        <v>473</v>
      </c>
      <c r="E147" s="1345" t="s">
        <v>474</v>
      </c>
      <c r="F147" s="1345"/>
      <c r="G147" s="1345"/>
      <c r="H147" s="855" t="s">
        <v>225</v>
      </c>
      <c r="I147" s="856">
        <v>2311</v>
      </c>
      <c r="J147" s="852">
        <f>+'Yeşil Defter Dönemsel'!I146</f>
        <v>0</v>
      </c>
      <c r="K147" s="852">
        <f>+'Yeşil Defter Dönemsel'!J146</f>
        <v>0</v>
      </c>
      <c r="L147" s="852">
        <f>+'Yeşil Defter Dönemsel'!K146</f>
        <v>0</v>
      </c>
      <c r="M147" s="857">
        <f t="shared" si="20"/>
        <v>0</v>
      </c>
      <c r="N147" s="857">
        <f t="shared" si="21"/>
        <v>0</v>
      </c>
      <c r="O147" s="857">
        <f t="shared" si="22"/>
        <v>0</v>
      </c>
      <c r="P147" s="852">
        <f t="shared" si="24"/>
        <v>0</v>
      </c>
      <c r="Q147" s="854">
        <f t="shared" si="23"/>
        <v>0</v>
      </c>
      <c r="R147" s="854">
        <f t="shared" si="25"/>
        <v>0</v>
      </c>
      <c r="S147" s="843">
        <f t="shared" si="26"/>
        <v>0</v>
      </c>
      <c r="T147" s="843">
        <f t="shared" si="28"/>
        <v>0</v>
      </c>
      <c r="U147" s="843">
        <f t="shared" si="27"/>
        <v>0</v>
      </c>
      <c r="V147" s="307"/>
      <c r="W147" t="e">
        <f>+'Yeşil Defter'!#REF!</f>
        <v>#REF!</v>
      </c>
      <c r="X147" s="766"/>
    </row>
    <row r="148" spans="1:24" ht="19.95" hidden="1" customHeight="1" x14ac:dyDescent="0.3">
      <c r="A148" s="262" t="s">
        <v>154</v>
      </c>
      <c r="C148" s="855">
        <v>128</v>
      </c>
      <c r="D148" s="858" t="s">
        <v>475</v>
      </c>
      <c r="E148" s="1345" t="s">
        <v>476</v>
      </c>
      <c r="F148" s="1345"/>
      <c r="G148" s="1345"/>
      <c r="H148" s="855" t="s">
        <v>225</v>
      </c>
      <c r="I148" s="856">
        <v>2311</v>
      </c>
      <c r="J148" s="852">
        <f>+'Yeşil Defter Dönemsel'!I147</f>
        <v>0</v>
      </c>
      <c r="K148" s="852">
        <f>+'Yeşil Defter Dönemsel'!J147</f>
        <v>0</v>
      </c>
      <c r="L148" s="852">
        <f>+'Yeşil Defter Dönemsel'!K147</f>
        <v>0</v>
      </c>
      <c r="M148" s="857">
        <f t="shared" si="20"/>
        <v>0</v>
      </c>
      <c r="N148" s="857">
        <f t="shared" si="21"/>
        <v>0</v>
      </c>
      <c r="O148" s="857">
        <f t="shared" si="22"/>
        <v>0</v>
      </c>
      <c r="P148" s="852">
        <f t="shared" si="24"/>
        <v>0</v>
      </c>
      <c r="Q148" s="854">
        <f t="shared" si="23"/>
        <v>0</v>
      </c>
      <c r="R148" s="854">
        <f t="shared" si="25"/>
        <v>0</v>
      </c>
      <c r="S148" s="843">
        <f t="shared" si="26"/>
        <v>0</v>
      </c>
      <c r="T148" s="843">
        <f t="shared" si="28"/>
        <v>0</v>
      </c>
      <c r="U148" s="843">
        <f t="shared" si="27"/>
        <v>0</v>
      </c>
      <c r="V148" s="307"/>
      <c r="W148" t="e">
        <f>+'Yeşil Defter'!#REF!</f>
        <v>#REF!</v>
      </c>
      <c r="X148" s="766"/>
    </row>
    <row r="149" spans="1:24" ht="19.95" hidden="1" customHeight="1" x14ac:dyDescent="0.3">
      <c r="A149" s="262" t="s">
        <v>154</v>
      </c>
      <c r="C149" s="855">
        <v>129</v>
      </c>
      <c r="D149" s="855" t="s">
        <v>477</v>
      </c>
      <c r="E149" s="1345" t="s">
        <v>478</v>
      </c>
      <c r="F149" s="1345"/>
      <c r="G149" s="1345"/>
      <c r="H149" s="855" t="s">
        <v>225</v>
      </c>
      <c r="I149" s="856">
        <v>3120</v>
      </c>
      <c r="J149" s="852">
        <f>+'Yeşil Defter Dönemsel'!I148</f>
        <v>0</v>
      </c>
      <c r="K149" s="852">
        <f>+'Yeşil Defter Dönemsel'!J148</f>
        <v>0</v>
      </c>
      <c r="L149" s="852">
        <f>+'Yeşil Defter Dönemsel'!K148</f>
        <v>0</v>
      </c>
      <c r="M149" s="857">
        <f t="shared" si="20"/>
        <v>0</v>
      </c>
      <c r="N149" s="857">
        <f t="shared" si="21"/>
        <v>0</v>
      </c>
      <c r="O149" s="857">
        <f t="shared" si="22"/>
        <v>0</v>
      </c>
      <c r="P149" s="852">
        <f t="shared" si="24"/>
        <v>0</v>
      </c>
      <c r="Q149" s="854">
        <f t="shared" si="23"/>
        <v>0</v>
      </c>
      <c r="R149" s="854">
        <f t="shared" si="25"/>
        <v>0</v>
      </c>
      <c r="S149" s="843">
        <f t="shared" si="26"/>
        <v>0</v>
      </c>
      <c r="T149" s="843">
        <f t="shared" si="28"/>
        <v>0</v>
      </c>
      <c r="U149" s="843">
        <f t="shared" si="27"/>
        <v>0</v>
      </c>
      <c r="V149" s="307"/>
      <c r="W149" t="e">
        <f>+'Yeşil Defter'!#REF!</f>
        <v>#REF!</v>
      </c>
      <c r="X149" s="766"/>
    </row>
    <row r="150" spans="1:24" ht="19.95" hidden="1" customHeight="1" x14ac:dyDescent="0.3">
      <c r="A150" s="262" t="s">
        <v>154</v>
      </c>
      <c r="C150" s="855">
        <v>130</v>
      </c>
      <c r="D150" s="855" t="s">
        <v>479</v>
      </c>
      <c r="E150" s="1345" t="s">
        <v>480</v>
      </c>
      <c r="F150" s="1345"/>
      <c r="G150" s="1345"/>
      <c r="H150" s="855" t="s">
        <v>225</v>
      </c>
      <c r="I150" s="856">
        <v>3640</v>
      </c>
      <c r="J150" s="852">
        <f>+'Yeşil Defter Dönemsel'!I149</f>
        <v>0</v>
      </c>
      <c r="K150" s="852">
        <f>+'Yeşil Defter Dönemsel'!J149</f>
        <v>0</v>
      </c>
      <c r="L150" s="852">
        <f>+'Yeşil Defter Dönemsel'!K149</f>
        <v>0</v>
      </c>
      <c r="M150" s="857">
        <f t="shared" si="20"/>
        <v>0</v>
      </c>
      <c r="N150" s="857">
        <f t="shared" si="21"/>
        <v>0</v>
      </c>
      <c r="O150" s="857">
        <f t="shared" si="22"/>
        <v>0</v>
      </c>
      <c r="P150" s="852">
        <f t="shared" si="24"/>
        <v>0</v>
      </c>
      <c r="Q150" s="854">
        <f t="shared" si="23"/>
        <v>0</v>
      </c>
      <c r="R150" s="854">
        <f t="shared" si="25"/>
        <v>0</v>
      </c>
      <c r="S150" s="843">
        <f t="shared" si="26"/>
        <v>0</v>
      </c>
      <c r="T150" s="843">
        <f t="shared" si="28"/>
        <v>0</v>
      </c>
      <c r="U150" s="843">
        <f t="shared" si="27"/>
        <v>0</v>
      </c>
      <c r="V150" s="307"/>
      <c r="W150" t="e">
        <f>+'Yeşil Defter'!#REF!</f>
        <v>#REF!</v>
      </c>
      <c r="X150" s="766"/>
    </row>
    <row r="151" spans="1:24" ht="19.95" hidden="1" customHeight="1" x14ac:dyDescent="0.3">
      <c r="A151" s="262" t="s">
        <v>154</v>
      </c>
      <c r="C151" s="855">
        <v>131</v>
      </c>
      <c r="D151" s="855" t="s">
        <v>481</v>
      </c>
      <c r="E151" s="1345" t="s">
        <v>482</v>
      </c>
      <c r="F151" s="1345"/>
      <c r="G151" s="1345"/>
      <c r="H151" s="855" t="s">
        <v>225</v>
      </c>
      <c r="I151" s="856">
        <v>2746</v>
      </c>
      <c r="J151" s="852">
        <f>+'Yeşil Defter Dönemsel'!I150</f>
        <v>0</v>
      </c>
      <c r="K151" s="852">
        <f>+'Yeşil Defter Dönemsel'!J150</f>
        <v>0</v>
      </c>
      <c r="L151" s="852">
        <f>+'Yeşil Defter Dönemsel'!K150</f>
        <v>0</v>
      </c>
      <c r="M151" s="857">
        <f t="shared" si="20"/>
        <v>0</v>
      </c>
      <c r="N151" s="857">
        <f t="shared" si="21"/>
        <v>0</v>
      </c>
      <c r="O151" s="857">
        <f t="shared" si="22"/>
        <v>0</v>
      </c>
      <c r="P151" s="852">
        <f t="shared" si="24"/>
        <v>0</v>
      </c>
      <c r="Q151" s="854">
        <f t="shared" si="23"/>
        <v>0</v>
      </c>
      <c r="R151" s="854">
        <f t="shared" si="25"/>
        <v>0</v>
      </c>
      <c r="S151" s="843">
        <f t="shared" si="26"/>
        <v>0</v>
      </c>
      <c r="T151" s="843">
        <f t="shared" si="28"/>
        <v>0</v>
      </c>
      <c r="U151" s="843">
        <f t="shared" si="27"/>
        <v>0</v>
      </c>
      <c r="V151" s="307"/>
      <c r="W151" t="e">
        <f>+'Yeşil Defter'!#REF!</f>
        <v>#REF!</v>
      </c>
      <c r="X151" s="766"/>
    </row>
    <row r="152" spans="1:24" ht="19.95" hidden="1" customHeight="1" x14ac:dyDescent="0.3">
      <c r="A152" s="262" t="s">
        <v>154</v>
      </c>
      <c r="C152" s="855">
        <v>132</v>
      </c>
      <c r="D152" s="855" t="s">
        <v>483</v>
      </c>
      <c r="E152" s="1345" t="s">
        <v>484</v>
      </c>
      <c r="F152" s="1345"/>
      <c r="G152" s="1345"/>
      <c r="H152" s="855" t="s">
        <v>225</v>
      </c>
      <c r="I152" s="856">
        <v>3081</v>
      </c>
      <c r="J152" s="852">
        <f>+'Yeşil Defter Dönemsel'!I151</f>
        <v>0</v>
      </c>
      <c r="K152" s="852">
        <f>+'Yeşil Defter Dönemsel'!J151</f>
        <v>0</v>
      </c>
      <c r="L152" s="852">
        <f>+'Yeşil Defter Dönemsel'!K151</f>
        <v>0</v>
      </c>
      <c r="M152" s="857">
        <f t="shared" si="20"/>
        <v>0</v>
      </c>
      <c r="N152" s="857">
        <f t="shared" si="21"/>
        <v>0</v>
      </c>
      <c r="O152" s="857">
        <f t="shared" si="22"/>
        <v>0</v>
      </c>
      <c r="P152" s="852">
        <f t="shared" si="24"/>
        <v>0</v>
      </c>
      <c r="Q152" s="854">
        <f t="shared" si="23"/>
        <v>0</v>
      </c>
      <c r="R152" s="854">
        <f t="shared" si="25"/>
        <v>0</v>
      </c>
      <c r="S152" s="843">
        <f t="shared" si="26"/>
        <v>0</v>
      </c>
      <c r="T152" s="843">
        <f t="shared" si="28"/>
        <v>0</v>
      </c>
      <c r="U152" s="843">
        <f t="shared" si="27"/>
        <v>0</v>
      </c>
      <c r="V152" s="307"/>
      <c r="W152" t="e">
        <f>+'Yeşil Defter'!#REF!</f>
        <v>#REF!</v>
      </c>
      <c r="X152" s="766"/>
    </row>
    <row r="153" spans="1:24" ht="19.95" hidden="1" customHeight="1" x14ac:dyDescent="0.3">
      <c r="A153" s="262" t="s">
        <v>154</v>
      </c>
      <c r="C153" s="855">
        <v>133</v>
      </c>
      <c r="D153" s="858" t="s">
        <v>485</v>
      </c>
      <c r="E153" s="1345" t="s">
        <v>486</v>
      </c>
      <c r="F153" s="1345"/>
      <c r="G153" s="1345"/>
      <c r="H153" s="855" t="s">
        <v>225</v>
      </c>
      <c r="I153" s="856">
        <v>936</v>
      </c>
      <c r="J153" s="852">
        <f>+'Yeşil Defter Dönemsel'!I152</f>
        <v>0</v>
      </c>
      <c r="K153" s="852">
        <f>+'Yeşil Defter Dönemsel'!J152</f>
        <v>0</v>
      </c>
      <c r="L153" s="852">
        <f>+'Yeşil Defter Dönemsel'!K152</f>
        <v>0</v>
      </c>
      <c r="M153" s="857">
        <f t="shared" si="20"/>
        <v>0</v>
      </c>
      <c r="N153" s="857">
        <f t="shared" si="21"/>
        <v>0</v>
      </c>
      <c r="O153" s="857">
        <f t="shared" si="22"/>
        <v>0</v>
      </c>
      <c r="P153" s="852">
        <f t="shared" si="24"/>
        <v>0</v>
      </c>
      <c r="Q153" s="854">
        <f t="shared" si="23"/>
        <v>0</v>
      </c>
      <c r="R153" s="854">
        <f t="shared" si="25"/>
        <v>0</v>
      </c>
      <c r="S153" s="843">
        <f t="shared" si="26"/>
        <v>0</v>
      </c>
      <c r="T153" s="843">
        <f t="shared" si="28"/>
        <v>0</v>
      </c>
      <c r="U153" s="843">
        <f t="shared" si="27"/>
        <v>0</v>
      </c>
      <c r="V153" s="307"/>
      <c r="W153" t="e">
        <f>+'Yeşil Defter'!#REF!</f>
        <v>#REF!</v>
      </c>
      <c r="X153" s="766"/>
    </row>
    <row r="154" spans="1:24" ht="19.95" hidden="1" customHeight="1" x14ac:dyDescent="0.3">
      <c r="A154" s="262" t="s">
        <v>154</v>
      </c>
      <c r="C154" s="855">
        <v>134</v>
      </c>
      <c r="D154" s="858" t="s">
        <v>487</v>
      </c>
      <c r="E154" s="1345" t="s">
        <v>488</v>
      </c>
      <c r="F154" s="1345"/>
      <c r="G154" s="1345"/>
      <c r="H154" s="855" t="s">
        <v>225</v>
      </c>
      <c r="I154" s="856">
        <v>1014</v>
      </c>
      <c r="J154" s="852">
        <f>+'Yeşil Defter Dönemsel'!I153</f>
        <v>0</v>
      </c>
      <c r="K154" s="852">
        <f>+'Yeşil Defter Dönemsel'!J153</f>
        <v>0</v>
      </c>
      <c r="L154" s="852">
        <f>+'Yeşil Defter Dönemsel'!K153</f>
        <v>0</v>
      </c>
      <c r="M154" s="857">
        <f t="shared" si="20"/>
        <v>0</v>
      </c>
      <c r="N154" s="857">
        <f t="shared" si="21"/>
        <v>0</v>
      </c>
      <c r="O154" s="857">
        <f t="shared" si="22"/>
        <v>0</v>
      </c>
      <c r="P154" s="852">
        <f t="shared" si="24"/>
        <v>0</v>
      </c>
      <c r="Q154" s="854">
        <f t="shared" si="23"/>
        <v>0</v>
      </c>
      <c r="R154" s="854">
        <f t="shared" si="25"/>
        <v>0</v>
      </c>
      <c r="S154" s="843">
        <f t="shared" si="26"/>
        <v>0</v>
      </c>
      <c r="T154" s="843">
        <f t="shared" si="28"/>
        <v>0</v>
      </c>
      <c r="U154" s="843">
        <f t="shared" si="27"/>
        <v>0</v>
      </c>
      <c r="V154" s="307"/>
      <c r="W154" t="e">
        <f>+'Yeşil Defter'!#REF!</f>
        <v>#REF!</v>
      </c>
      <c r="X154" s="766"/>
    </row>
    <row r="155" spans="1:24" ht="19.95" hidden="1" customHeight="1" x14ac:dyDescent="0.3">
      <c r="A155" s="262" t="s">
        <v>154</v>
      </c>
      <c r="C155" s="855">
        <v>135</v>
      </c>
      <c r="D155" s="858" t="s">
        <v>489</v>
      </c>
      <c r="E155" s="1345" t="s">
        <v>490</v>
      </c>
      <c r="F155" s="1345"/>
      <c r="G155" s="1345"/>
      <c r="H155" s="855" t="s">
        <v>225</v>
      </c>
      <c r="I155" s="856">
        <v>286</v>
      </c>
      <c r="J155" s="852">
        <f>+'Yeşil Defter Dönemsel'!I154</f>
        <v>0</v>
      </c>
      <c r="K155" s="852">
        <f>+'Yeşil Defter Dönemsel'!J154</f>
        <v>0</v>
      </c>
      <c r="L155" s="852">
        <f>+'Yeşil Defter Dönemsel'!K154</f>
        <v>0</v>
      </c>
      <c r="M155" s="857">
        <f t="shared" si="20"/>
        <v>0</v>
      </c>
      <c r="N155" s="857">
        <f t="shared" si="21"/>
        <v>0</v>
      </c>
      <c r="O155" s="857">
        <f t="shared" si="22"/>
        <v>0</v>
      </c>
      <c r="P155" s="852">
        <f t="shared" si="24"/>
        <v>0</v>
      </c>
      <c r="Q155" s="854">
        <f t="shared" si="23"/>
        <v>0</v>
      </c>
      <c r="R155" s="854">
        <f t="shared" si="25"/>
        <v>0</v>
      </c>
      <c r="S155" s="843">
        <f t="shared" si="26"/>
        <v>0</v>
      </c>
      <c r="T155" s="843">
        <f t="shared" si="28"/>
        <v>0</v>
      </c>
      <c r="U155" s="843">
        <f t="shared" si="27"/>
        <v>0</v>
      </c>
      <c r="V155" s="307"/>
      <c r="W155" t="e">
        <f>+'Yeşil Defter'!#REF!</f>
        <v>#REF!</v>
      </c>
      <c r="X155" s="766"/>
    </row>
    <row r="156" spans="1:24" ht="19.95" hidden="1" customHeight="1" x14ac:dyDescent="0.3">
      <c r="A156" s="262" t="s">
        <v>154</v>
      </c>
      <c r="C156" s="855">
        <v>136</v>
      </c>
      <c r="D156" s="858" t="s">
        <v>491</v>
      </c>
      <c r="E156" s="1345" t="s">
        <v>492</v>
      </c>
      <c r="F156" s="1345"/>
      <c r="G156" s="1345"/>
      <c r="H156" s="855" t="s">
        <v>225</v>
      </c>
      <c r="I156" s="856">
        <v>11050</v>
      </c>
      <c r="J156" s="852">
        <f>+'Yeşil Defter Dönemsel'!I155</f>
        <v>0</v>
      </c>
      <c r="K156" s="852">
        <f>+'Yeşil Defter Dönemsel'!J155</f>
        <v>0</v>
      </c>
      <c r="L156" s="852">
        <f>+'Yeşil Defter Dönemsel'!K155</f>
        <v>0</v>
      </c>
      <c r="M156" s="857">
        <f t="shared" si="20"/>
        <v>0</v>
      </c>
      <c r="N156" s="857">
        <f t="shared" si="21"/>
        <v>0</v>
      </c>
      <c r="O156" s="857">
        <f t="shared" si="22"/>
        <v>0</v>
      </c>
      <c r="P156" s="852">
        <f t="shared" si="24"/>
        <v>0</v>
      </c>
      <c r="Q156" s="854">
        <f t="shared" si="23"/>
        <v>0</v>
      </c>
      <c r="R156" s="854">
        <f t="shared" si="25"/>
        <v>0</v>
      </c>
      <c r="S156" s="843">
        <f t="shared" si="26"/>
        <v>0</v>
      </c>
      <c r="T156" s="843">
        <f t="shared" si="28"/>
        <v>0</v>
      </c>
      <c r="U156" s="843">
        <f t="shared" si="27"/>
        <v>0</v>
      </c>
      <c r="V156" s="307"/>
      <c r="W156" t="e">
        <f>+'Yeşil Defter'!#REF!</f>
        <v>#REF!</v>
      </c>
      <c r="X156" s="766"/>
    </row>
    <row r="157" spans="1:24" ht="19.95" hidden="1" customHeight="1" x14ac:dyDescent="0.3">
      <c r="A157" s="262" t="s">
        <v>154</v>
      </c>
      <c r="C157" s="855">
        <v>137</v>
      </c>
      <c r="D157" s="858" t="s">
        <v>493</v>
      </c>
      <c r="E157" s="1345" t="s">
        <v>494</v>
      </c>
      <c r="F157" s="1345"/>
      <c r="G157" s="1345"/>
      <c r="H157" s="855" t="s">
        <v>202</v>
      </c>
      <c r="I157" s="856">
        <v>9750</v>
      </c>
      <c r="J157" s="852">
        <f>+'Yeşil Defter Dönemsel'!I156</f>
        <v>0</v>
      </c>
      <c r="K157" s="852">
        <f>+'Yeşil Defter Dönemsel'!J156</f>
        <v>0</v>
      </c>
      <c r="L157" s="852">
        <f>+'Yeşil Defter Dönemsel'!K156</f>
        <v>0</v>
      </c>
      <c r="M157" s="857">
        <f t="shared" si="20"/>
        <v>0</v>
      </c>
      <c r="N157" s="857">
        <f t="shared" si="21"/>
        <v>0</v>
      </c>
      <c r="O157" s="857">
        <f t="shared" si="22"/>
        <v>0</v>
      </c>
      <c r="P157" s="852">
        <f t="shared" si="24"/>
        <v>0</v>
      </c>
      <c r="Q157" s="854">
        <f t="shared" si="23"/>
        <v>0</v>
      </c>
      <c r="R157" s="854">
        <f t="shared" si="25"/>
        <v>0</v>
      </c>
      <c r="S157" s="843">
        <f t="shared" si="26"/>
        <v>0</v>
      </c>
      <c r="T157" s="843">
        <f t="shared" si="28"/>
        <v>0</v>
      </c>
      <c r="U157" s="843">
        <f t="shared" si="27"/>
        <v>0</v>
      </c>
      <c r="V157" s="307"/>
      <c r="W157" t="e">
        <f>+'Yeşil Defter'!#REF!</f>
        <v>#REF!</v>
      </c>
      <c r="X157" s="766"/>
    </row>
    <row r="158" spans="1:24" ht="19.95" hidden="1" customHeight="1" x14ac:dyDescent="0.3">
      <c r="A158" s="262" t="s">
        <v>154</v>
      </c>
      <c r="C158" s="855">
        <v>138</v>
      </c>
      <c r="D158" s="858" t="s">
        <v>495</v>
      </c>
      <c r="E158" s="1345" t="s">
        <v>496</v>
      </c>
      <c r="F158" s="1345"/>
      <c r="G158" s="1345"/>
      <c r="H158" s="855" t="s">
        <v>202</v>
      </c>
      <c r="I158" s="856">
        <v>10400</v>
      </c>
      <c r="J158" s="852">
        <f>+'Yeşil Defter Dönemsel'!I157</f>
        <v>0</v>
      </c>
      <c r="K158" s="852">
        <f>+'Yeşil Defter Dönemsel'!J157</f>
        <v>0</v>
      </c>
      <c r="L158" s="852">
        <f>+'Yeşil Defter Dönemsel'!K157</f>
        <v>0</v>
      </c>
      <c r="M158" s="857">
        <f t="shared" si="20"/>
        <v>0</v>
      </c>
      <c r="N158" s="857">
        <f t="shared" si="21"/>
        <v>0</v>
      </c>
      <c r="O158" s="857">
        <f t="shared" si="22"/>
        <v>0</v>
      </c>
      <c r="P158" s="852">
        <f t="shared" si="24"/>
        <v>0</v>
      </c>
      <c r="Q158" s="854">
        <f t="shared" si="23"/>
        <v>0</v>
      </c>
      <c r="R158" s="854">
        <f t="shared" si="25"/>
        <v>0</v>
      </c>
      <c r="S158" s="843">
        <f t="shared" si="26"/>
        <v>0</v>
      </c>
      <c r="T158" s="843">
        <f t="shared" si="28"/>
        <v>0</v>
      </c>
      <c r="U158" s="843">
        <f t="shared" si="27"/>
        <v>0</v>
      </c>
      <c r="V158" s="307"/>
      <c r="W158" t="e">
        <f>+'Yeşil Defter'!#REF!</f>
        <v>#REF!</v>
      </c>
      <c r="X158" s="766"/>
    </row>
    <row r="159" spans="1:24" ht="19.95" hidden="1" customHeight="1" x14ac:dyDescent="0.3">
      <c r="A159" s="262" t="s">
        <v>154</v>
      </c>
      <c r="C159" s="855">
        <v>139</v>
      </c>
      <c r="D159" s="858" t="s">
        <v>497</v>
      </c>
      <c r="E159" s="1345" t="s">
        <v>498</v>
      </c>
      <c r="F159" s="1345"/>
      <c r="G159" s="1345"/>
      <c r="H159" s="855" t="s">
        <v>202</v>
      </c>
      <c r="I159" s="856">
        <v>7150</v>
      </c>
      <c r="J159" s="852">
        <f>+'Yeşil Defter Dönemsel'!I158</f>
        <v>0</v>
      </c>
      <c r="K159" s="852">
        <f>+'Yeşil Defter Dönemsel'!J158</f>
        <v>0</v>
      </c>
      <c r="L159" s="852">
        <f>+'Yeşil Defter Dönemsel'!K158</f>
        <v>0</v>
      </c>
      <c r="M159" s="857">
        <f t="shared" si="20"/>
        <v>0</v>
      </c>
      <c r="N159" s="857">
        <f t="shared" si="21"/>
        <v>0</v>
      </c>
      <c r="O159" s="857">
        <f t="shared" si="22"/>
        <v>0</v>
      </c>
      <c r="P159" s="852">
        <f t="shared" si="24"/>
        <v>0</v>
      </c>
      <c r="Q159" s="854">
        <f t="shared" si="23"/>
        <v>0</v>
      </c>
      <c r="R159" s="854">
        <f t="shared" si="25"/>
        <v>0</v>
      </c>
      <c r="S159" s="843">
        <f t="shared" si="26"/>
        <v>0</v>
      </c>
      <c r="T159" s="843">
        <f t="shared" si="28"/>
        <v>0</v>
      </c>
      <c r="U159" s="843">
        <f t="shared" si="27"/>
        <v>0</v>
      </c>
      <c r="V159" s="307"/>
      <c r="W159" t="e">
        <f>+'Yeşil Defter'!#REF!</f>
        <v>#REF!</v>
      </c>
      <c r="X159" s="766"/>
    </row>
    <row r="160" spans="1:24" ht="19.95" hidden="1" customHeight="1" x14ac:dyDescent="0.3">
      <c r="A160" s="262" t="s">
        <v>154</v>
      </c>
      <c r="C160" s="855">
        <v>140</v>
      </c>
      <c r="D160" s="858" t="s">
        <v>499</v>
      </c>
      <c r="E160" s="1345" t="s">
        <v>500</v>
      </c>
      <c r="F160" s="1345"/>
      <c r="G160" s="1345"/>
      <c r="H160" s="855" t="s">
        <v>225</v>
      </c>
      <c r="I160" s="856">
        <v>17550</v>
      </c>
      <c r="J160" s="852">
        <f>+'Yeşil Defter Dönemsel'!I159</f>
        <v>0</v>
      </c>
      <c r="K160" s="852">
        <f>+'Yeşil Defter Dönemsel'!J159</f>
        <v>0</v>
      </c>
      <c r="L160" s="852">
        <f>+'Yeşil Defter Dönemsel'!K159</f>
        <v>0</v>
      </c>
      <c r="M160" s="857">
        <f t="shared" si="20"/>
        <v>0</v>
      </c>
      <c r="N160" s="857">
        <f t="shared" si="21"/>
        <v>0</v>
      </c>
      <c r="O160" s="857">
        <f t="shared" si="22"/>
        <v>0</v>
      </c>
      <c r="P160" s="852">
        <f t="shared" si="24"/>
        <v>0</v>
      </c>
      <c r="Q160" s="854">
        <f t="shared" si="23"/>
        <v>0</v>
      </c>
      <c r="R160" s="854">
        <f t="shared" si="25"/>
        <v>0</v>
      </c>
      <c r="S160" s="843">
        <f t="shared" si="26"/>
        <v>0</v>
      </c>
      <c r="T160" s="843">
        <f t="shared" si="28"/>
        <v>0</v>
      </c>
      <c r="U160" s="843">
        <f t="shared" si="27"/>
        <v>0</v>
      </c>
      <c r="V160" s="307"/>
      <c r="W160" t="e">
        <f>+'Yeşil Defter'!#REF!</f>
        <v>#REF!</v>
      </c>
      <c r="X160" s="766"/>
    </row>
    <row r="161" spans="1:24" ht="19.95" hidden="1" customHeight="1" x14ac:dyDescent="0.3">
      <c r="A161" s="262" t="s">
        <v>154</v>
      </c>
      <c r="C161" s="855">
        <v>141</v>
      </c>
      <c r="D161" s="858" t="s">
        <v>501</v>
      </c>
      <c r="E161" s="1345" t="s">
        <v>502</v>
      </c>
      <c r="F161" s="1345"/>
      <c r="G161" s="1345"/>
      <c r="H161" s="855" t="s">
        <v>202</v>
      </c>
      <c r="I161" s="856">
        <v>7800</v>
      </c>
      <c r="J161" s="852">
        <f>+'Yeşil Defter Dönemsel'!I160</f>
        <v>0</v>
      </c>
      <c r="K161" s="852">
        <f>+'Yeşil Defter Dönemsel'!J160</f>
        <v>0</v>
      </c>
      <c r="L161" s="852">
        <f>+'Yeşil Defter Dönemsel'!K160</f>
        <v>0</v>
      </c>
      <c r="M161" s="857">
        <f t="shared" si="20"/>
        <v>0</v>
      </c>
      <c r="N161" s="857">
        <f t="shared" si="21"/>
        <v>0</v>
      </c>
      <c r="O161" s="857">
        <f t="shared" si="22"/>
        <v>0</v>
      </c>
      <c r="P161" s="852">
        <f t="shared" si="24"/>
        <v>0</v>
      </c>
      <c r="Q161" s="854">
        <f t="shared" si="23"/>
        <v>0</v>
      </c>
      <c r="R161" s="854">
        <f t="shared" si="25"/>
        <v>0</v>
      </c>
      <c r="S161" s="843">
        <f t="shared" si="26"/>
        <v>0</v>
      </c>
      <c r="T161" s="843">
        <f t="shared" si="28"/>
        <v>0</v>
      </c>
      <c r="U161" s="843">
        <f t="shared" si="27"/>
        <v>0</v>
      </c>
      <c r="V161" s="307"/>
      <c r="W161" t="e">
        <f>+'Yeşil Defter'!#REF!</f>
        <v>#REF!</v>
      </c>
      <c r="X161" s="766"/>
    </row>
    <row r="162" spans="1:24" ht="19.95" hidden="1" customHeight="1" x14ac:dyDescent="0.3">
      <c r="A162" s="262" t="s">
        <v>154</v>
      </c>
      <c r="C162" s="855">
        <v>142</v>
      </c>
      <c r="D162" s="858" t="s">
        <v>503</v>
      </c>
      <c r="E162" s="1345" t="s">
        <v>504</v>
      </c>
      <c r="F162" s="1345"/>
      <c r="G162" s="1345"/>
      <c r="H162" s="855" t="s">
        <v>247</v>
      </c>
      <c r="I162" s="856">
        <v>13000</v>
      </c>
      <c r="J162" s="852">
        <f>+'Yeşil Defter Dönemsel'!I161</f>
        <v>0</v>
      </c>
      <c r="K162" s="852">
        <f>+'Yeşil Defter Dönemsel'!J161</f>
        <v>0</v>
      </c>
      <c r="L162" s="852">
        <f>+'Yeşil Defter Dönemsel'!K161</f>
        <v>0</v>
      </c>
      <c r="M162" s="857">
        <f t="shared" si="20"/>
        <v>0</v>
      </c>
      <c r="N162" s="857">
        <f t="shared" si="21"/>
        <v>0</v>
      </c>
      <c r="O162" s="857">
        <f t="shared" si="22"/>
        <v>0</v>
      </c>
      <c r="P162" s="852">
        <f t="shared" si="24"/>
        <v>0</v>
      </c>
      <c r="Q162" s="854">
        <f t="shared" si="23"/>
        <v>0</v>
      </c>
      <c r="R162" s="854">
        <f t="shared" si="25"/>
        <v>0</v>
      </c>
      <c r="S162" s="843">
        <f t="shared" si="26"/>
        <v>0</v>
      </c>
      <c r="T162" s="843">
        <f t="shared" si="28"/>
        <v>0</v>
      </c>
      <c r="U162" s="843">
        <f t="shared" si="27"/>
        <v>0</v>
      </c>
      <c r="V162" s="307"/>
      <c r="W162" t="e">
        <f>+'Yeşil Defter'!#REF!</f>
        <v>#REF!</v>
      </c>
      <c r="X162" s="766"/>
    </row>
    <row r="163" spans="1:24" ht="19.95" hidden="1" customHeight="1" x14ac:dyDescent="0.3">
      <c r="A163" s="262" t="s">
        <v>154</v>
      </c>
      <c r="C163" s="855">
        <v>143</v>
      </c>
      <c r="D163" s="855" t="s">
        <v>505</v>
      </c>
      <c r="E163" s="1345" t="s">
        <v>506</v>
      </c>
      <c r="F163" s="1345"/>
      <c r="G163" s="1345"/>
      <c r="H163" s="855" t="s">
        <v>247</v>
      </c>
      <c r="I163" s="856">
        <v>5525</v>
      </c>
      <c r="J163" s="852">
        <f>+'Yeşil Defter Dönemsel'!I162</f>
        <v>0</v>
      </c>
      <c r="K163" s="852">
        <f>+'Yeşil Defter Dönemsel'!J162</f>
        <v>0</v>
      </c>
      <c r="L163" s="852">
        <f>+'Yeşil Defter Dönemsel'!K162</f>
        <v>0</v>
      </c>
      <c r="M163" s="857">
        <f t="shared" si="20"/>
        <v>0</v>
      </c>
      <c r="N163" s="857">
        <f t="shared" si="21"/>
        <v>0</v>
      </c>
      <c r="O163" s="857">
        <f t="shared" si="22"/>
        <v>0</v>
      </c>
      <c r="P163" s="852">
        <f t="shared" si="24"/>
        <v>0</v>
      </c>
      <c r="Q163" s="854">
        <f t="shared" si="23"/>
        <v>0</v>
      </c>
      <c r="R163" s="854">
        <f t="shared" si="25"/>
        <v>0</v>
      </c>
      <c r="S163" s="843">
        <f t="shared" si="26"/>
        <v>0</v>
      </c>
      <c r="T163" s="843">
        <f t="shared" si="28"/>
        <v>0</v>
      </c>
      <c r="U163" s="843">
        <f t="shared" si="27"/>
        <v>0</v>
      </c>
      <c r="V163" s="307"/>
      <c r="W163" t="e">
        <f>+'Yeşil Defter'!#REF!</f>
        <v>#REF!</v>
      </c>
      <c r="X163" s="766"/>
    </row>
    <row r="164" spans="1:24" ht="19.95" hidden="1" customHeight="1" x14ac:dyDescent="0.3">
      <c r="A164" s="262" t="s">
        <v>154</v>
      </c>
      <c r="C164" s="855">
        <v>144</v>
      </c>
      <c r="D164" s="855" t="s">
        <v>507</v>
      </c>
      <c r="E164" s="1345" t="s">
        <v>508</v>
      </c>
      <c r="F164" s="1345"/>
      <c r="G164" s="1345"/>
      <c r="H164" s="855" t="s">
        <v>247</v>
      </c>
      <c r="I164" s="856">
        <v>9490</v>
      </c>
      <c r="J164" s="852">
        <f>+'Yeşil Defter Dönemsel'!I163</f>
        <v>0</v>
      </c>
      <c r="K164" s="852">
        <f>+'Yeşil Defter Dönemsel'!J163</f>
        <v>0</v>
      </c>
      <c r="L164" s="852">
        <f>+'Yeşil Defter Dönemsel'!K163</f>
        <v>0</v>
      </c>
      <c r="M164" s="857">
        <f t="shared" si="20"/>
        <v>0</v>
      </c>
      <c r="N164" s="857">
        <f t="shared" si="21"/>
        <v>0</v>
      </c>
      <c r="O164" s="857">
        <f t="shared" si="22"/>
        <v>0</v>
      </c>
      <c r="P164" s="852">
        <f t="shared" si="24"/>
        <v>0</v>
      </c>
      <c r="Q164" s="854">
        <f t="shared" si="23"/>
        <v>0</v>
      </c>
      <c r="R164" s="854">
        <f t="shared" si="25"/>
        <v>0</v>
      </c>
      <c r="S164" s="843">
        <f t="shared" si="26"/>
        <v>0</v>
      </c>
      <c r="T164" s="843">
        <f t="shared" si="28"/>
        <v>0</v>
      </c>
      <c r="U164" s="843">
        <f t="shared" si="27"/>
        <v>0</v>
      </c>
      <c r="V164" s="307"/>
      <c r="W164" t="e">
        <f>+'Yeşil Defter'!#REF!</f>
        <v>#REF!</v>
      </c>
      <c r="X164" s="766"/>
    </row>
    <row r="165" spans="1:24" ht="19.95" hidden="1" customHeight="1" x14ac:dyDescent="0.3">
      <c r="A165" s="262" t="s">
        <v>154</v>
      </c>
      <c r="C165" s="855">
        <v>145</v>
      </c>
      <c r="D165" s="855" t="s">
        <v>509</v>
      </c>
      <c r="E165" s="1345" t="s">
        <v>510</v>
      </c>
      <c r="F165" s="1345"/>
      <c r="G165" s="1345"/>
      <c r="H165" s="855" t="s">
        <v>247</v>
      </c>
      <c r="I165" s="856">
        <v>40950</v>
      </c>
      <c r="J165" s="852">
        <f>+'Yeşil Defter Dönemsel'!I164</f>
        <v>0</v>
      </c>
      <c r="K165" s="852">
        <f>+'Yeşil Defter Dönemsel'!J164</f>
        <v>0</v>
      </c>
      <c r="L165" s="852">
        <f>+'Yeşil Defter Dönemsel'!K164</f>
        <v>0</v>
      </c>
      <c r="M165" s="857">
        <f t="shared" si="20"/>
        <v>0</v>
      </c>
      <c r="N165" s="857">
        <f t="shared" si="21"/>
        <v>0</v>
      </c>
      <c r="O165" s="857">
        <f t="shared" si="22"/>
        <v>0</v>
      </c>
      <c r="P165" s="852">
        <f t="shared" si="24"/>
        <v>0</v>
      </c>
      <c r="Q165" s="854">
        <f t="shared" si="23"/>
        <v>0</v>
      </c>
      <c r="R165" s="854">
        <f t="shared" si="25"/>
        <v>0</v>
      </c>
      <c r="S165" s="843">
        <f t="shared" si="26"/>
        <v>0</v>
      </c>
      <c r="T165" s="843">
        <f t="shared" si="28"/>
        <v>0</v>
      </c>
      <c r="U165" s="843">
        <f t="shared" si="27"/>
        <v>0</v>
      </c>
      <c r="V165" s="307"/>
      <c r="W165" t="e">
        <f>+'Yeşil Defter'!#REF!</f>
        <v>#REF!</v>
      </c>
      <c r="X165" s="766"/>
    </row>
    <row r="166" spans="1:24" ht="19.95" hidden="1" customHeight="1" x14ac:dyDescent="0.3">
      <c r="A166" s="262" t="s">
        <v>154</v>
      </c>
      <c r="C166" s="855">
        <v>146</v>
      </c>
      <c r="D166" s="855" t="s">
        <v>511</v>
      </c>
      <c r="E166" s="1345" t="s">
        <v>512</v>
      </c>
      <c r="F166" s="1345"/>
      <c r="G166" s="1345"/>
      <c r="H166" s="855" t="s">
        <v>247</v>
      </c>
      <c r="I166" s="856">
        <v>32500</v>
      </c>
      <c r="J166" s="852">
        <f>+'Yeşil Defter Dönemsel'!I165</f>
        <v>0</v>
      </c>
      <c r="K166" s="852">
        <f>+'Yeşil Defter Dönemsel'!J165</f>
        <v>0</v>
      </c>
      <c r="L166" s="852">
        <f>+'Yeşil Defter Dönemsel'!K165</f>
        <v>0</v>
      </c>
      <c r="M166" s="857">
        <f t="shared" si="20"/>
        <v>0</v>
      </c>
      <c r="N166" s="857">
        <f t="shared" si="21"/>
        <v>0</v>
      </c>
      <c r="O166" s="857">
        <f t="shared" si="22"/>
        <v>0</v>
      </c>
      <c r="P166" s="852">
        <f t="shared" si="24"/>
        <v>0</v>
      </c>
      <c r="Q166" s="854">
        <f t="shared" si="23"/>
        <v>0</v>
      </c>
      <c r="R166" s="854">
        <f t="shared" si="25"/>
        <v>0</v>
      </c>
      <c r="S166" s="843">
        <f t="shared" si="26"/>
        <v>0</v>
      </c>
      <c r="T166" s="843">
        <f t="shared" si="28"/>
        <v>0</v>
      </c>
      <c r="U166" s="843">
        <f t="shared" si="27"/>
        <v>0</v>
      </c>
      <c r="V166" s="307"/>
      <c r="W166" t="e">
        <f>+'Yeşil Defter'!#REF!</f>
        <v>#REF!</v>
      </c>
      <c r="X166" s="766"/>
    </row>
    <row r="167" spans="1:24" ht="19.95" hidden="1" customHeight="1" x14ac:dyDescent="0.3">
      <c r="A167" s="262" t="s">
        <v>154</v>
      </c>
      <c r="C167" s="855">
        <v>147</v>
      </c>
      <c r="D167" s="855" t="s">
        <v>513</v>
      </c>
      <c r="E167" s="1345" t="s">
        <v>514</v>
      </c>
      <c r="F167" s="1345"/>
      <c r="G167" s="1345"/>
      <c r="H167" s="855" t="s">
        <v>247</v>
      </c>
      <c r="I167" s="856">
        <v>5590</v>
      </c>
      <c r="J167" s="852">
        <f>+'Yeşil Defter Dönemsel'!I166</f>
        <v>0</v>
      </c>
      <c r="K167" s="852">
        <f>+'Yeşil Defter Dönemsel'!J166</f>
        <v>0</v>
      </c>
      <c r="L167" s="852">
        <f>+'Yeşil Defter Dönemsel'!K166</f>
        <v>0</v>
      </c>
      <c r="M167" s="857">
        <f t="shared" ref="M167:M204" si="29">+ROUND($I167*J167,2)</f>
        <v>0</v>
      </c>
      <c r="N167" s="857">
        <f t="shared" ref="N167:N204" si="30">+ROUND($I167*K167,2)</f>
        <v>0</v>
      </c>
      <c r="O167" s="857">
        <f t="shared" ref="O167:O204" si="31">+ROUND($I167*L167,2)</f>
        <v>0</v>
      </c>
      <c r="P167" s="852">
        <f t="shared" si="24"/>
        <v>0</v>
      </c>
      <c r="Q167" s="854">
        <f t="shared" ref="Q167:Q204" si="32">+R167-P167</f>
        <v>0</v>
      </c>
      <c r="R167" s="854">
        <f t="shared" si="25"/>
        <v>0</v>
      </c>
      <c r="S167" s="843">
        <f t="shared" si="26"/>
        <v>0</v>
      </c>
      <c r="T167" s="843">
        <f t="shared" si="28"/>
        <v>0</v>
      </c>
      <c r="U167" s="843">
        <f t="shared" si="27"/>
        <v>0</v>
      </c>
      <c r="V167" s="307"/>
      <c r="W167" t="e">
        <f>+'Yeşil Defter'!#REF!</f>
        <v>#REF!</v>
      </c>
      <c r="X167" s="766"/>
    </row>
    <row r="168" spans="1:24" ht="19.95" hidden="1" customHeight="1" x14ac:dyDescent="0.3">
      <c r="A168" s="262" t="s">
        <v>154</v>
      </c>
      <c r="C168" s="855">
        <v>148</v>
      </c>
      <c r="D168" s="855" t="s">
        <v>515</v>
      </c>
      <c r="E168" s="1345" t="s">
        <v>516</v>
      </c>
      <c r="F168" s="1345"/>
      <c r="G168" s="1345"/>
      <c r="H168" s="855" t="s">
        <v>247</v>
      </c>
      <c r="I168" s="856">
        <v>2860</v>
      </c>
      <c r="J168" s="852">
        <f>+'Yeşil Defter Dönemsel'!I167</f>
        <v>0</v>
      </c>
      <c r="K168" s="852">
        <f>+'Yeşil Defter Dönemsel'!J167</f>
        <v>0</v>
      </c>
      <c r="L168" s="852">
        <f>+'Yeşil Defter Dönemsel'!K167</f>
        <v>0</v>
      </c>
      <c r="M168" s="857">
        <f t="shared" si="29"/>
        <v>0</v>
      </c>
      <c r="N168" s="857">
        <f t="shared" si="30"/>
        <v>0</v>
      </c>
      <c r="O168" s="857">
        <f t="shared" si="31"/>
        <v>0</v>
      </c>
      <c r="P168" s="852">
        <f t="shared" si="24"/>
        <v>0</v>
      </c>
      <c r="Q168" s="854">
        <f t="shared" si="32"/>
        <v>0</v>
      </c>
      <c r="R168" s="854">
        <f t="shared" si="25"/>
        <v>0</v>
      </c>
      <c r="S168" s="843">
        <f t="shared" si="26"/>
        <v>0</v>
      </c>
      <c r="T168" s="843">
        <f t="shared" si="28"/>
        <v>0</v>
      </c>
      <c r="U168" s="843">
        <f t="shared" si="27"/>
        <v>0</v>
      </c>
      <c r="V168" s="307"/>
      <c r="W168" t="e">
        <f>+'Yeşil Defter'!#REF!</f>
        <v>#REF!</v>
      </c>
      <c r="X168" s="766"/>
    </row>
    <row r="169" spans="1:24" ht="19.95" hidden="1" customHeight="1" x14ac:dyDescent="0.3">
      <c r="A169" s="262" t="s">
        <v>154</v>
      </c>
      <c r="C169" s="855">
        <v>149</v>
      </c>
      <c r="D169" s="855" t="s">
        <v>517</v>
      </c>
      <c r="E169" s="1345" t="s">
        <v>518</v>
      </c>
      <c r="F169" s="1345"/>
      <c r="G169" s="1345"/>
      <c r="H169" s="855" t="s">
        <v>247</v>
      </c>
      <c r="I169" s="856">
        <v>5460</v>
      </c>
      <c r="J169" s="852">
        <f>+'Yeşil Defter Dönemsel'!I168</f>
        <v>0</v>
      </c>
      <c r="K169" s="852">
        <f>+'Yeşil Defter Dönemsel'!J168</f>
        <v>0</v>
      </c>
      <c r="L169" s="852">
        <f>+'Yeşil Defter Dönemsel'!K168</f>
        <v>0</v>
      </c>
      <c r="M169" s="857">
        <f t="shared" si="29"/>
        <v>0</v>
      </c>
      <c r="N169" s="857">
        <f t="shared" si="30"/>
        <v>0</v>
      </c>
      <c r="O169" s="857">
        <f t="shared" si="31"/>
        <v>0</v>
      </c>
      <c r="P169" s="852">
        <f t="shared" si="24"/>
        <v>0</v>
      </c>
      <c r="Q169" s="854">
        <f t="shared" si="32"/>
        <v>0</v>
      </c>
      <c r="R169" s="854">
        <f t="shared" si="25"/>
        <v>0</v>
      </c>
      <c r="S169" s="843">
        <f t="shared" si="26"/>
        <v>0</v>
      </c>
      <c r="T169" s="843">
        <f t="shared" si="28"/>
        <v>0</v>
      </c>
      <c r="U169" s="843">
        <f t="shared" si="27"/>
        <v>0</v>
      </c>
      <c r="V169" s="307"/>
      <c r="W169" t="e">
        <f>+'Yeşil Defter'!#REF!</f>
        <v>#REF!</v>
      </c>
      <c r="X169" s="766"/>
    </row>
    <row r="170" spans="1:24" ht="19.95" hidden="1" customHeight="1" x14ac:dyDescent="0.3">
      <c r="A170" s="262" t="s">
        <v>154</v>
      </c>
      <c r="C170" s="855">
        <v>150</v>
      </c>
      <c r="D170" s="855" t="s">
        <v>519</v>
      </c>
      <c r="E170" s="1345" t="s">
        <v>520</v>
      </c>
      <c r="F170" s="1345"/>
      <c r="G170" s="1345"/>
      <c r="H170" s="855" t="s">
        <v>247</v>
      </c>
      <c r="I170" s="856">
        <v>5460</v>
      </c>
      <c r="J170" s="852">
        <f>+'Yeşil Defter Dönemsel'!I169</f>
        <v>0</v>
      </c>
      <c r="K170" s="852">
        <f>+'Yeşil Defter Dönemsel'!J169</f>
        <v>0</v>
      </c>
      <c r="L170" s="852">
        <f>+'Yeşil Defter Dönemsel'!K169</f>
        <v>0</v>
      </c>
      <c r="M170" s="857">
        <f t="shared" si="29"/>
        <v>0</v>
      </c>
      <c r="N170" s="857">
        <f t="shared" si="30"/>
        <v>0</v>
      </c>
      <c r="O170" s="857">
        <f t="shared" si="31"/>
        <v>0</v>
      </c>
      <c r="P170" s="852">
        <f t="shared" si="24"/>
        <v>0</v>
      </c>
      <c r="Q170" s="854">
        <f t="shared" si="32"/>
        <v>0</v>
      </c>
      <c r="R170" s="854">
        <f t="shared" si="25"/>
        <v>0</v>
      </c>
      <c r="S170" s="843">
        <f t="shared" si="26"/>
        <v>0</v>
      </c>
      <c r="T170" s="843">
        <f t="shared" si="28"/>
        <v>0</v>
      </c>
      <c r="U170" s="843">
        <f t="shared" si="27"/>
        <v>0</v>
      </c>
      <c r="V170" s="307"/>
      <c r="W170" t="e">
        <f>+'Yeşil Defter'!#REF!</f>
        <v>#REF!</v>
      </c>
      <c r="X170" s="766"/>
    </row>
    <row r="171" spans="1:24" ht="19.95" hidden="1" customHeight="1" x14ac:dyDescent="0.3">
      <c r="A171" s="262" t="s">
        <v>154</v>
      </c>
      <c r="C171" s="855">
        <v>151</v>
      </c>
      <c r="D171" s="855" t="s">
        <v>521</v>
      </c>
      <c r="E171" s="1345" t="s">
        <v>522</v>
      </c>
      <c r="F171" s="1345"/>
      <c r="G171" s="1345"/>
      <c r="H171" s="855" t="s">
        <v>247</v>
      </c>
      <c r="I171" s="856">
        <v>46800</v>
      </c>
      <c r="J171" s="852">
        <f>+'Yeşil Defter Dönemsel'!I170</f>
        <v>0</v>
      </c>
      <c r="K171" s="852">
        <f>+'Yeşil Defter Dönemsel'!J170</f>
        <v>0</v>
      </c>
      <c r="L171" s="852">
        <f>+'Yeşil Defter Dönemsel'!K170</f>
        <v>0</v>
      </c>
      <c r="M171" s="857">
        <f t="shared" si="29"/>
        <v>0</v>
      </c>
      <c r="N171" s="857">
        <f t="shared" si="30"/>
        <v>0</v>
      </c>
      <c r="O171" s="857">
        <f t="shared" si="31"/>
        <v>0</v>
      </c>
      <c r="P171" s="852">
        <f t="shared" si="24"/>
        <v>0</v>
      </c>
      <c r="Q171" s="854">
        <f t="shared" si="32"/>
        <v>0</v>
      </c>
      <c r="R171" s="854">
        <f t="shared" si="25"/>
        <v>0</v>
      </c>
      <c r="S171" s="843">
        <f t="shared" si="26"/>
        <v>0</v>
      </c>
      <c r="T171" s="843">
        <f t="shared" si="28"/>
        <v>0</v>
      </c>
      <c r="U171" s="843">
        <f t="shared" si="27"/>
        <v>0</v>
      </c>
      <c r="V171" s="307"/>
      <c r="W171" t="e">
        <f>+'Yeşil Defter'!#REF!</f>
        <v>#REF!</v>
      </c>
      <c r="X171" s="766"/>
    </row>
    <row r="172" spans="1:24" ht="19.95" hidden="1" customHeight="1" x14ac:dyDescent="0.3">
      <c r="A172" s="262" t="s">
        <v>154</v>
      </c>
      <c r="C172" s="855">
        <v>152</v>
      </c>
      <c r="D172" s="855" t="s">
        <v>523</v>
      </c>
      <c r="E172" s="1345" t="s">
        <v>524</v>
      </c>
      <c r="F172" s="1345"/>
      <c r="G172" s="1345"/>
      <c r="H172" s="855" t="s">
        <v>247</v>
      </c>
      <c r="I172" s="856">
        <v>42900</v>
      </c>
      <c r="J172" s="852">
        <f>+'Yeşil Defter Dönemsel'!I171</f>
        <v>0</v>
      </c>
      <c r="K172" s="852">
        <f>+'Yeşil Defter Dönemsel'!J171</f>
        <v>0</v>
      </c>
      <c r="L172" s="852">
        <f>+'Yeşil Defter Dönemsel'!K171</f>
        <v>0</v>
      </c>
      <c r="M172" s="857">
        <f t="shared" si="29"/>
        <v>0</v>
      </c>
      <c r="N172" s="857">
        <f t="shared" si="30"/>
        <v>0</v>
      </c>
      <c r="O172" s="857">
        <f t="shared" si="31"/>
        <v>0</v>
      </c>
      <c r="P172" s="852">
        <f t="shared" si="24"/>
        <v>0</v>
      </c>
      <c r="Q172" s="854">
        <f t="shared" si="32"/>
        <v>0</v>
      </c>
      <c r="R172" s="854">
        <f t="shared" si="25"/>
        <v>0</v>
      </c>
      <c r="S172" s="843">
        <f t="shared" si="26"/>
        <v>0</v>
      </c>
      <c r="T172" s="843">
        <f t="shared" si="28"/>
        <v>0</v>
      </c>
      <c r="U172" s="843">
        <f t="shared" si="27"/>
        <v>0</v>
      </c>
      <c r="V172" s="307"/>
      <c r="W172" t="e">
        <f>+'Yeşil Defter'!#REF!</f>
        <v>#REF!</v>
      </c>
      <c r="X172" s="766"/>
    </row>
    <row r="173" spans="1:24" ht="19.95" hidden="1" customHeight="1" x14ac:dyDescent="0.3">
      <c r="A173" s="262" t="s">
        <v>154</v>
      </c>
      <c r="C173" s="855">
        <v>153</v>
      </c>
      <c r="D173" s="855" t="s">
        <v>525</v>
      </c>
      <c r="E173" s="1345" t="s">
        <v>526</v>
      </c>
      <c r="F173" s="1345"/>
      <c r="G173" s="1345"/>
      <c r="H173" s="855" t="s">
        <v>247</v>
      </c>
      <c r="I173" s="856">
        <v>36400</v>
      </c>
      <c r="J173" s="852">
        <f>+'Yeşil Defter Dönemsel'!I172</f>
        <v>0</v>
      </c>
      <c r="K173" s="852">
        <f>+'Yeşil Defter Dönemsel'!J172</f>
        <v>0</v>
      </c>
      <c r="L173" s="852">
        <f>+'Yeşil Defter Dönemsel'!K172</f>
        <v>0</v>
      </c>
      <c r="M173" s="857">
        <f t="shared" si="29"/>
        <v>0</v>
      </c>
      <c r="N173" s="857">
        <f t="shared" si="30"/>
        <v>0</v>
      </c>
      <c r="O173" s="857">
        <f t="shared" si="31"/>
        <v>0</v>
      </c>
      <c r="P173" s="852">
        <f t="shared" si="24"/>
        <v>0</v>
      </c>
      <c r="Q173" s="854">
        <f t="shared" si="32"/>
        <v>0</v>
      </c>
      <c r="R173" s="854">
        <f t="shared" si="25"/>
        <v>0</v>
      </c>
      <c r="S173" s="843">
        <f t="shared" si="26"/>
        <v>0</v>
      </c>
      <c r="T173" s="843">
        <f t="shared" si="28"/>
        <v>0</v>
      </c>
      <c r="U173" s="843">
        <f t="shared" si="27"/>
        <v>0</v>
      </c>
      <c r="V173" s="307"/>
      <c r="W173" t="e">
        <f>+'Yeşil Defter'!#REF!</f>
        <v>#REF!</v>
      </c>
      <c r="X173" s="766"/>
    </row>
    <row r="174" spans="1:24" ht="19.95" hidden="1" customHeight="1" x14ac:dyDescent="0.3">
      <c r="A174" s="262" t="s">
        <v>154</v>
      </c>
      <c r="C174" s="855">
        <v>154</v>
      </c>
      <c r="D174" s="855" t="s">
        <v>527</v>
      </c>
      <c r="E174" s="1345" t="s">
        <v>528</v>
      </c>
      <c r="F174" s="1345"/>
      <c r="G174" s="1345"/>
      <c r="H174" s="855" t="s">
        <v>247</v>
      </c>
      <c r="I174" s="856">
        <v>31200</v>
      </c>
      <c r="J174" s="852">
        <f>+'Yeşil Defter Dönemsel'!I173</f>
        <v>0</v>
      </c>
      <c r="K174" s="852">
        <f>+'Yeşil Defter Dönemsel'!J173</f>
        <v>0</v>
      </c>
      <c r="L174" s="852">
        <f>+'Yeşil Defter Dönemsel'!K173</f>
        <v>0</v>
      </c>
      <c r="M174" s="857">
        <f t="shared" si="29"/>
        <v>0</v>
      </c>
      <c r="N174" s="857">
        <f t="shared" si="30"/>
        <v>0</v>
      </c>
      <c r="O174" s="857">
        <f t="shared" si="31"/>
        <v>0</v>
      </c>
      <c r="P174" s="852">
        <f t="shared" si="24"/>
        <v>0</v>
      </c>
      <c r="Q174" s="854">
        <f t="shared" si="32"/>
        <v>0</v>
      </c>
      <c r="R174" s="854">
        <f t="shared" si="25"/>
        <v>0</v>
      </c>
      <c r="S174" s="843">
        <f t="shared" si="26"/>
        <v>0</v>
      </c>
      <c r="T174" s="843">
        <f t="shared" si="28"/>
        <v>0</v>
      </c>
      <c r="U174" s="843">
        <f t="shared" si="27"/>
        <v>0</v>
      </c>
      <c r="V174" s="307"/>
      <c r="W174" t="e">
        <f>+'Yeşil Defter'!#REF!</f>
        <v>#REF!</v>
      </c>
      <c r="X174" s="766"/>
    </row>
    <row r="175" spans="1:24" ht="19.95" hidden="1" customHeight="1" x14ac:dyDescent="0.3">
      <c r="A175" s="262" t="s">
        <v>154</v>
      </c>
      <c r="C175" s="855">
        <v>155</v>
      </c>
      <c r="D175" s="855" t="s">
        <v>529</v>
      </c>
      <c r="E175" s="1345" t="s">
        <v>530</v>
      </c>
      <c r="F175" s="1345"/>
      <c r="G175" s="1345"/>
      <c r="H175" s="855" t="s">
        <v>247</v>
      </c>
      <c r="I175" s="856">
        <v>35100</v>
      </c>
      <c r="J175" s="852">
        <f>+'Yeşil Defter Dönemsel'!I174</f>
        <v>0</v>
      </c>
      <c r="K175" s="852">
        <f>+'Yeşil Defter Dönemsel'!J174</f>
        <v>0</v>
      </c>
      <c r="L175" s="852">
        <f>+'Yeşil Defter Dönemsel'!K174</f>
        <v>0</v>
      </c>
      <c r="M175" s="857">
        <f t="shared" si="29"/>
        <v>0</v>
      </c>
      <c r="N175" s="857">
        <f t="shared" si="30"/>
        <v>0</v>
      </c>
      <c r="O175" s="857">
        <f t="shared" si="31"/>
        <v>0</v>
      </c>
      <c r="P175" s="852">
        <f t="shared" si="24"/>
        <v>0</v>
      </c>
      <c r="Q175" s="854">
        <f t="shared" si="32"/>
        <v>0</v>
      </c>
      <c r="R175" s="854">
        <f t="shared" si="25"/>
        <v>0</v>
      </c>
      <c r="S175" s="843">
        <f t="shared" si="26"/>
        <v>0</v>
      </c>
      <c r="T175" s="843">
        <f t="shared" si="28"/>
        <v>0</v>
      </c>
      <c r="U175" s="843">
        <f t="shared" si="27"/>
        <v>0</v>
      </c>
      <c r="V175" s="307"/>
      <c r="W175" t="e">
        <f>+'Yeşil Defter'!#REF!</f>
        <v>#REF!</v>
      </c>
      <c r="X175" s="766"/>
    </row>
    <row r="176" spans="1:24" ht="19.95" hidden="1" customHeight="1" x14ac:dyDescent="0.3">
      <c r="A176" s="262" t="s">
        <v>154</v>
      </c>
      <c r="C176" s="855">
        <v>156</v>
      </c>
      <c r="D176" s="855" t="s">
        <v>531</v>
      </c>
      <c r="E176" s="1345" t="s">
        <v>532</v>
      </c>
      <c r="F176" s="1345"/>
      <c r="G176" s="1345"/>
      <c r="H176" s="855" t="s">
        <v>247</v>
      </c>
      <c r="I176" s="856">
        <v>31200</v>
      </c>
      <c r="J176" s="852">
        <f>+'Yeşil Defter Dönemsel'!I175</f>
        <v>0</v>
      </c>
      <c r="K176" s="852">
        <f>+'Yeşil Defter Dönemsel'!J175</f>
        <v>0</v>
      </c>
      <c r="L176" s="852">
        <f>+'Yeşil Defter Dönemsel'!K175</f>
        <v>0</v>
      </c>
      <c r="M176" s="857">
        <f t="shared" si="29"/>
        <v>0</v>
      </c>
      <c r="N176" s="857">
        <f t="shared" si="30"/>
        <v>0</v>
      </c>
      <c r="O176" s="857">
        <f t="shared" si="31"/>
        <v>0</v>
      </c>
      <c r="P176" s="852">
        <f t="shared" si="24"/>
        <v>0</v>
      </c>
      <c r="Q176" s="854">
        <f t="shared" si="32"/>
        <v>0</v>
      </c>
      <c r="R176" s="854">
        <f t="shared" si="25"/>
        <v>0</v>
      </c>
      <c r="S176" s="843">
        <f t="shared" si="26"/>
        <v>0</v>
      </c>
      <c r="T176" s="843">
        <f t="shared" si="28"/>
        <v>0</v>
      </c>
      <c r="U176" s="843">
        <f t="shared" si="27"/>
        <v>0</v>
      </c>
      <c r="V176" s="307"/>
      <c r="W176" t="e">
        <f>+'Yeşil Defter'!#REF!</f>
        <v>#REF!</v>
      </c>
      <c r="X176" s="766"/>
    </row>
    <row r="177" spans="1:24" ht="19.95" hidden="1" customHeight="1" x14ac:dyDescent="0.3">
      <c r="A177" s="262" t="s">
        <v>154</v>
      </c>
      <c r="C177" s="855">
        <v>157</v>
      </c>
      <c r="D177" s="855" t="s">
        <v>533</v>
      </c>
      <c r="E177" s="1345" t="s">
        <v>534</v>
      </c>
      <c r="F177" s="1345"/>
      <c r="G177" s="1345"/>
      <c r="H177" s="855" t="s">
        <v>247</v>
      </c>
      <c r="I177" s="856">
        <v>27300</v>
      </c>
      <c r="J177" s="852">
        <f>+'Yeşil Defter Dönemsel'!I176</f>
        <v>0</v>
      </c>
      <c r="K177" s="852">
        <f>+'Yeşil Defter Dönemsel'!J176</f>
        <v>0</v>
      </c>
      <c r="L177" s="852">
        <f>+'Yeşil Defter Dönemsel'!K176</f>
        <v>0</v>
      </c>
      <c r="M177" s="857">
        <f t="shared" si="29"/>
        <v>0</v>
      </c>
      <c r="N177" s="857">
        <f t="shared" si="30"/>
        <v>0</v>
      </c>
      <c r="O177" s="857">
        <f t="shared" si="31"/>
        <v>0</v>
      </c>
      <c r="P177" s="852">
        <f t="shared" si="24"/>
        <v>0</v>
      </c>
      <c r="Q177" s="854">
        <f t="shared" si="32"/>
        <v>0</v>
      </c>
      <c r="R177" s="854">
        <f t="shared" si="25"/>
        <v>0</v>
      </c>
      <c r="S177" s="843">
        <f t="shared" si="26"/>
        <v>0</v>
      </c>
      <c r="T177" s="843">
        <f t="shared" si="28"/>
        <v>0</v>
      </c>
      <c r="U177" s="843">
        <f t="shared" si="27"/>
        <v>0</v>
      </c>
      <c r="V177" s="307"/>
      <c r="W177" t="e">
        <f>+'Yeşil Defter'!#REF!</f>
        <v>#REF!</v>
      </c>
      <c r="X177" s="766"/>
    </row>
    <row r="178" spans="1:24" ht="19.95" hidden="1" customHeight="1" x14ac:dyDescent="0.3">
      <c r="A178" s="262" t="s">
        <v>154</v>
      </c>
      <c r="C178" s="855">
        <v>158</v>
      </c>
      <c r="D178" s="855" t="s">
        <v>535</v>
      </c>
      <c r="E178" s="1345" t="s">
        <v>536</v>
      </c>
      <c r="F178" s="1345"/>
      <c r="G178" s="1345"/>
      <c r="H178" s="855" t="s">
        <v>247</v>
      </c>
      <c r="I178" s="856">
        <v>24700</v>
      </c>
      <c r="J178" s="852">
        <f>+'Yeşil Defter Dönemsel'!I177</f>
        <v>0</v>
      </c>
      <c r="K178" s="852">
        <f>+'Yeşil Defter Dönemsel'!J177</f>
        <v>0</v>
      </c>
      <c r="L178" s="852">
        <f>+'Yeşil Defter Dönemsel'!K177</f>
        <v>0</v>
      </c>
      <c r="M178" s="857">
        <f t="shared" si="29"/>
        <v>0</v>
      </c>
      <c r="N178" s="857">
        <f t="shared" si="30"/>
        <v>0</v>
      </c>
      <c r="O178" s="857">
        <f t="shared" si="31"/>
        <v>0</v>
      </c>
      <c r="P178" s="852">
        <f t="shared" si="24"/>
        <v>0</v>
      </c>
      <c r="Q178" s="854">
        <f t="shared" si="32"/>
        <v>0</v>
      </c>
      <c r="R178" s="854">
        <f t="shared" si="25"/>
        <v>0</v>
      </c>
      <c r="S178" s="843">
        <f t="shared" si="26"/>
        <v>0</v>
      </c>
      <c r="T178" s="843">
        <f t="shared" si="28"/>
        <v>0</v>
      </c>
      <c r="U178" s="843">
        <f t="shared" si="27"/>
        <v>0</v>
      </c>
      <c r="V178" s="307"/>
      <c r="W178" t="e">
        <f>+'Yeşil Defter'!#REF!</f>
        <v>#REF!</v>
      </c>
      <c r="X178" s="766"/>
    </row>
    <row r="179" spans="1:24" ht="19.95" hidden="1" customHeight="1" x14ac:dyDescent="0.3">
      <c r="A179" s="262" t="s">
        <v>154</v>
      </c>
      <c r="C179" s="855">
        <v>159</v>
      </c>
      <c r="D179" s="855" t="s">
        <v>537</v>
      </c>
      <c r="E179" s="1345" t="s">
        <v>538</v>
      </c>
      <c r="F179" s="1345"/>
      <c r="G179" s="1345"/>
      <c r="H179" s="855" t="s">
        <v>247</v>
      </c>
      <c r="I179" s="856">
        <v>13000</v>
      </c>
      <c r="J179" s="852">
        <f>+'Yeşil Defter Dönemsel'!I178</f>
        <v>0</v>
      </c>
      <c r="K179" s="852">
        <f>+'Yeşil Defter Dönemsel'!J178</f>
        <v>0</v>
      </c>
      <c r="L179" s="852">
        <f>+'Yeşil Defter Dönemsel'!K178</f>
        <v>0</v>
      </c>
      <c r="M179" s="857">
        <f t="shared" si="29"/>
        <v>0</v>
      </c>
      <c r="N179" s="857">
        <f t="shared" si="30"/>
        <v>0</v>
      </c>
      <c r="O179" s="857">
        <f t="shared" si="31"/>
        <v>0</v>
      </c>
      <c r="P179" s="852">
        <f t="shared" si="24"/>
        <v>0</v>
      </c>
      <c r="Q179" s="854">
        <f t="shared" si="32"/>
        <v>0</v>
      </c>
      <c r="R179" s="854">
        <f t="shared" si="25"/>
        <v>0</v>
      </c>
      <c r="S179" s="843">
        <f t="shared" si="26"/>
        <v>0</v>
      </c>
      <c r="T179" s="843">
        <f t="shared" si="28"/>
        <v>0</v>
      </c>
      <c r="U179" s="843">
        <f t="shared" si="27"/>
        <v>0</v>
      </c>
      <c r="V179" s="307"/>
      <c r="W179" t="e">
        <f>+'Yeşil Defter'!#REF!</f>
        <v>#REF!</v>
      </c>
      <c r="X179" s="766"/>
    </row>
    <row r="180" spans="1:24" ht="19.95" hidden="1" customHeight="1" x14ac:dyDescent="0.3">
      <c r="A180" s="262" t="s">
        <v>154</v>
      </c>
      <c r="C180" s="855">
        <v>160</v>
      </c>
      <c r="D180" s="855" t="s">
        <v>539</v>
      </c>
      <c r="E180" s="1345" t="s">
        <v>540</v>
      </c>
      <c r="F180" s="1345"/>
      <c r="G180" s="1345"/>
      <c r="H180" s="855" t="s">
        <v>247</v>
      </c>
      <c r="I180" s="856">
        <v>11700</v>
      </c>
      <c r="J180" s="852">
        <f>+'Yeşil Defter Dönemsel'!I179</f>
        <v>0</v>
      </c>
      <c r="K180" s="852">
        <f>+'Yeşil Defter Dönemsel'!J179</f>
        <v>0</v>
      </c>
      <c r="L180" s="852">
        <f>+'Yeşil Defter Dönemsel'!K179</f>
        <v>0</v>
      </c>
      <c r="M180" s="857">
        <f t="shared" si="29"/>
        <v>0</v>
      </c>
      <c r="N180" s="857">
        <f t="shared" si="30"/>
        <v>0</v>
      </c>
      <c r="O180" s="857">
        <f t="shared" si="31"/>
        <v>0</v>
      </c>
      <c r="P180" s="852">
        <f t="shared" si="24"/>
        <v>0</v>
      </c>
      <c r="Q180" s="854">
        <f t="shared" si="32"/>
        <v>0</v>
      </c>
      <c r="R180" s="854">
        <f t="shared" si="25"/>
        <v>0</v>
      </c>
      <c r="S180" s="843">
        <f t="shared" si="26"/>
        <v>0</v>
      </c>
      <c r="T180" s="843">
        <f t="shared" si="28"/>
        <v>0</v>
      </c>
      <c r="U180" s="843">
        <f t="shared" si="27"/>
        <v>0</v>
      </c>
      <c r="V180" s="307"/>
      <c r="W180" t="e">
        <f>+'Yeşil Defter'!#REF!</f>
        <v>#REF!</v>
      </c>
      <c r="X180" s="766"/>
    </row>
    <row r="181" spans="1:24" ht="19.95" hidden="1" customHeight="1" x14ac:dyDescent="0.3">
      <c r="A181" s="262" t="s">
        <v>154</v>
      </c>
      <c r="C181" s="855">
        <v>161</v>
      </c>
      <c r="D181" s="855" t="s">
        <v>541</v>
      </c>
      <c r="E181" s="1345" t="s">
        <v>542</v>
      </c>
      <c r="F181" s="1345"/>
      <c r="G181" s="1345"/>
      <c r="H181" s="855" t="s">
        <v>247</v>
      </c>
      <c r="I181" s="856">
        <v>11700</v>
      </c>
      <c r="J181" s="852">
        <f>+'Yeşil Defter Dönemsel'!I180</f>
        <v>0</v>
      </c>
      <c r="K181" s="852">
        <f>+'Yeşil Defter Dönemsel'!J180</f>
        <v>0</v>
      </c>
      <c r="L181" s="852">
        <f>+'Yeşil Defter Dönemsel'!K180</f>
        <v>0</v>
      </c>
      <c r="M181" s="857">
        <f t="shared" si="29"/>
        <v>0</v>
      </c>
      <c r="N181" s="857">
        <f t="shared" si="30"/>
        <v>0</v>
      </c>
      <c r="O181" s="857">
        <f t="shared" si="31"/>
        <v>0</v>
      </c>
      <c r="P181" s="852">
        <f t="shared" si="24"/>
        <v>0</v>
      </c>
      <c r="Q181" s="854">
        <f t="shared" si="32"/>
        <v>0</v>
      </c>
      <c r="R181" s="854">
        <f t="shared" si="25"/>
        <v>0</v>
      </c>
      <c r="S181" s="843">
        <f t="shared" si="26"/>
        <v>0</v>
      </c>
      <c r="T181" s="843">
        <f t="shared" si="28"/>
        <v>0</v>
      </c>
      <c r="U181" s="843">
        <f t="shared" si="27"/>
        <v>0</v>
      </c>
      <c r="V181" s="307"/>
      <c r="W181" t="e">
        <f>+'Yeşil Defter'!#REF!</f>
        <v>#REF!</v>
      </c>
      <c r="X181" s="766"/>
    </row>
    <row r="182" spans="1:24" ht="19.95" hidden="1" customHeight="1" x14ac:dyDescent="0.3">
      <c r="A182" s="262" t="s">
        <v>154</v>
      </c>
      <c r="C182" s="855">
        <v>162</v>
      </c>
      <c r="D182" s="855" t="s">
        <v>543</v>
      </c>
      <c r="E182" s="1345" t="s">
        <v>544</v>
      </c>
      <c r="F182" s="1345"/>
      <c r="G182" s="1345"/>
      <c r="H182" s="855" t="s">
        <v>247</v>
      </c>
      <c r="I182" s="856">
        <v>28600</v>
      </c>
      <c r="J182" s="852">
        <f>+'Yeşil Defter Dönemsel'!I181</f>
        <v>0</v>
      </c>
      <c r="K182" s="852">
        <f>+'Yeşil Defter Dönemsel'!J181</f>
        <v>0</v>
      </c>
      <c r="L182" s="852">
        <f>+'Yeşil Defter Dönemsel'!K181</f>
        <v>0</v>
      </c>
      <c r="M182" s="857">
        <f t="shared" si="29"/>
        <v>0</v>
      </c>
      <c r="N182" s="857">
        <f t="shared" si="30"/>
        <v>0</v>
      </c>
      <c r="O182" s="857">
        <f t="shared" si="31"/>
        <v>0</v>
      </c>
      <c r="P182" s="852">
        <f t="shared" si="24"/>
        <v>0</v>
      </c>
      <c r="Q182" s="854">
        <f t="shared" si="32"/>
        <v>0</v>
      </c>
      <c r="R182" s="854">
        <f t="shared" si="25"/>
        <v>0</v>
      </c>
      <c r="S182" s="843">
        <f t="shared" si="26"/>
        <v>0</v>
      </c>
      <c r="T182" s="843">
        <f t="shared" si="28"/>
        <v>0</v>
      </c>
      <c r="U182" s="843">
        <f t="shared" si="27"/>
        <v>0</v>
      </c>
      <c r="V182" s="307"/>
      <c r="W182" t="e">
        <f>+'Yeşil Defter'!#REF!</f>
        <v>#REF!</v>
      </c>
      <c r="X182" s="766"/>
    </row>
    <row r="183" spans="1:24" ht="19.95" hidden="1" customHeight="1" x14ac:dyDescent="0.3">
      <c r="A183" s="262" t="s">
        <v>154</v>
      </c>
      <c r="C183" s="855">
        <v>163</v>
      </c>
      <c r="D183" s="855" t="s">
        <v>545</v>
      </c>
      <c r="E183" s="1345" t="s">
        <v>546</v>
      </c>
      <c r="F183" s="1345"/>
      <c r="G183" s="1345"/>
      <c r="H183" s="855" t="s">
        <v>247</v>
      </c>
      <c r="I183" s="856">
        <v>13000</v>
      </c>
      <c r="J183" s="852">
        <f>+'Yeşil Defter Dönemsel'!I182</f>
        <v>0</v>
      </c>
      <c r="K183" s="852">
        <f>+'Yeşil Defter Dönemsel'!J182</f>
        <v>0</v>
      </c>
      <c r="L183" s="852">
        <f>+'Yeşil Defter Dönemsel'!K182</f>
        <v>0</v>
      </c>
      <c r="M183" s="857">
        <f t="shared" si="29"/>
        <v>0</v>
      </c>
      <c r="N183" s="857">
        <f t="shared" si="30"/>
        <v>0</v>
      </c>
      <c r="O183" s="857">
        <f t="shared" si="31"/>
        <v>0</v>
      </c>
      <c r="P183" s="852">
        <f t="shared" si="24"/>
        <v>0</v>
      </c>
      <c r="Q183" s="854">
        <f t="shared" si="32"/>
        <v>0</v>
      </c>
      <c r="R183" s="854">
        <f t="shared" si="25"/>
        <v>0</v>
      </c>
      <c r="S183" s="843">
        <f t="shared" si="26"/>
        <v>0</v>
      </c>
      <c r="T183" s="843">
        <f t="shared" si="28"/>
        <v>0</v>
      </c>
      <c r="U183" s="843">
        <f t="shared" si="27"/>
        <v>0</v>
      </c>
      <c r="V183" s="307"/>
      <c r="W183" t="e">
        <f>+'Yeşil Defter'!#REF!</f>
        <v>#REF!</v>
      </c>
      <c r="X183" s="766"/>
    </row>
    <row r="184" spans="1:24" ht="19.95" hidden="1" customHeight="1" x14ac:dyDescent="0.3">
      <c r="A184" s="262" t="s">
        <v>154</v>
      </c>
      <c r="C184" s="855">
        <v>164</v>
      </c>
      <c r="D184" s="858" t="s">
        <v>547</v>
      </c>
      <c r="E184" s="1345" t="s">
        <v>548</v>
      </c>
      <c r="F184" s="1345"/>
      <c r="G184" s="1345"/>
      <c r="H184" s="855" t="s">
        <v>374</v>
      </c>
      <c r="I184" s="856">
        <v>1235</v>
      </c>
      <c r="J184" s="852">
        <f>+'Yeşil Defter Dönemsel'!I183</f>
        <v>0</v>
      </c>
      <c r="K184" s="852">
        <f>+'Yeşil Defter Dönemsel'!J183</f>
        <v>0</v>
      </c>
      <c r="L184" s="852">
        <f>+'Yeşil Defter Dönemsel'!K183</f>
        <v>0</v>
      </c>
      <c r="M184" s="857">
        <f t="shared" si="29"/>
        <v>0</v>
      </c>
      <c r="N184" s="857">
        <f t="shared" si="30"/>
        <v>0</v>
      </c>
      <c r="O184" s="857">
        <f t="shared" si="31"/>
        <v>0</v>
      </c>
      <c r="P184" s="852">
        <f t="shared" ref="P184:P247" si="33">+J184</f>
        <v>0</v>
      </c>
      <c r="Q184" s="854">
        <f t="shared" si="32"/>
        <v>0</v>
      </c>
      <c r="R184" s="854">
        <f t="shared" ref="R184:R247" si="34">+L184</f>
        <v>0</v>
      </c>
      <c r="S184" s="843">
        <f t="shared" si="26"/>
        <v>0</v>
      </c>
      <c r="T184" s="843">
        <f t="shared" si="28"/>
        <v>0</v>
      </c>
      <c r="U184" s="843">
        <f t="shared" si="27"/>
        <v>0</v>
      </c>
      <c r="V184" s="307"/>
      <c r="W184" t="e">
        <f>+'Yeşil Defter'!#REF!</f>
        <v>#REF!</v>
      </c>
      <c r="X184" s="766"/>
    </row>
    <row r="185" spans="1:24" ht="19.95" hidden="1" customHeight="1" x14ac:dyDescent="0.3">
      <c r="A185" s="262" t="s">
        <v>154</v>
      </c>
      <c r="C185" s="855">
        <v>165</v>
      </c>
      <c r="D185" s="858" t="s">
        <v>549</v>
      </c>
      <c r="E185" s="1345" t="s">
        <v>550</v>
      </c>
      <c r="F185" s="1345"/>
      <c r="G185" s="1345"/>
      <c r="H185" s="855" t="s">
        <v>225</v>
      </c>
      <c r="I185" s="856">
        <v>5850</v>
      </c>
      <c r="J185" s="852">
        <f>+'Yeşil Defter Dönemsel'!I184</f>
        <v>0</v>
      </c>
      <c r="K185" s="852">
        <f>+'Yeşil Defter Dönemsel'!J184</f>
        <v>0</v>
      </c>
      <c r="L185" s="852">
        <f>+'Yeşil Defter Dönemsel'!K184</f>
        <v>0</v>
      </c>
      <c r="M185" s="857">
        <f t="shared" si="29"/>
        <v>0</v>
      </c>
      <c r="N185" s="857">
        <f t="shared" si="30"/>
        <v>0</v>
      </c>
      <c r="O185" s="857">
        <f t="shared" si="31"/>
        <v>0</v>
      </c>
      <c r="P185" s="852">
        <f t="shared" si="33"/>
        <v>0</v>
      </c>
      <c r="Q185" s="854">
        <f t="shared" si="32"/>
        <v>0</v>
      </c>
      <c r="R185" s="854">
        <f t="shared" si="34"/>
        <v>0</v>
      </c>
      <c r="S185" s="843">
        <f t="shared" si="26"/>
        <v>0</v>
      </c>
      <c r="T185" s="843">
        <f t="shared" si="28"/>
        <v>0</v>
      </c>
      <c r="U185" s="843">
        <f t="shared" si="27"/>
        <v>0</v>
      </c>
      <c r="V185" s="307"/>
      <c r="W185" t="e">
        <f>+'Yeşil Defter'!#REF!</f>
        <v>#REF!</v>
      </c>
      <c r="X185" s="766"/>
    </row>
    <row r="186" spans="1:24" ht="19.95" hidden="1" customHeight="1" x14ac:dyDescent="0.3">
      <c r="A186" s="262" t="s">
        <v>154</v>
      </c>
      <c r="C186" s="855">
        <v>166</v>
      </c>
      <c r="D186" s="858" t="s">
        <v>551</v>
      </c>
      <c r="E186" s="1345" t="s">
        <v>552</v>
      </c>
      <c r="F186" s="1345"/>
      <c r="G186" s="1345"/>
      <c r="H186" s="855" t="s">
        <v>202</v>
      </c>
      <c r="I186" s="856">
        <v>975</v>
      </c>
      <c r="J186" s="852">
        <f>+'Yeşil Defter Dönemsel'!I185</f>
        <v>0</v>
      </c>
      <c r="K186" s="852">
        <f>+'Yeşil Defter Dönemsel'!J185</f>
        <v>0</v>
      </c>
      <c r="L186" s="852">
        <f>+'Yeşil Defter Dönemsel'!K185</f>
        <v>0</v>
      </c>
      <c r="M186" s="857">
        <f t="shared" si="29"/>
        <v>0</v>
      </c>
      <c r="N186" s="857">
        <f t="shared" si="30"/>
        <v>0</v>
      </c>
      <c r="O186" s="857">
        <f t="shared" si="31"/>
        <v>0</v>
      </c>
      <c r="P186" s="852">
        <f t="shared" si="33"/>
        <v>0</v>
      </c>
      <c r="Q186" s="854">
        <f t="shared" si="32"/>
        <v>0</v>
      </c>
      <c r="R186" s="854">
        <f t="shared" si="34"/>
        <v>0</v>
      </c>
      <c r="S186" s="843">
        <f t="shared" si="26"/>
        <v>0</v>
      </c>
      <c r="T186" s="843">
        <f t="shared" si="28"/>
        <v>0</v>
      </c>
      <c r="U186" s="843">
        <f t="shared" si="27"/>
        <v>0</v>
      </c>
      <c r="V186" s="307"/>
      <c r="W186" t="e">
        <f>+'Yeşil Defter'!#REF!</f>
        <v>#REF!</v>
      </c>
      <c r="X186" s="766"/>
    </row>
    <row r="187" spans="1:24" ht="19.95" hidden="1" customHeight="1" x14ac:dyDescent="0.3">
      <c r="A187" s="262" t="s">
        <v>154</v>
      </c>
      <c r="C187" s="855">
        <v>167</v>
      </c>
      <c r="D187" s="858" t="s">
        <v>553</v>
      </c>
      <c r="E187" s="1345" t="s">
        <v>554</v>
      </c>
      <c r="F187" s="1345"/>
      <c r="G187" s="1345"/>
      <c r="H187" s="855" t="s">
        <v>202</v>
      </c>
      <c r="I187" s="856">
        <v>8450</v>
      </c>
      <c r="J187" s="852">
        <f>+'Yeşil Defter Dönemsel'!I186</f>
        <v>0</v>
      </c>
      <c r="K187" s="852">
        <f>+'Yeşil Defter Dönemsel'!J186</f>
        <v>0</v>
      </c>
      <c r="L187" s="852">
        <f>+'Yeşil Defter Dönemsel'!K186</f>
        <v>0</v>
      </c>
      <c r="M187" s="857">
        <f t="shared" si="29"/>
        <v>0</v>
      </c>
      <c r="N187" s="857">
        <f t="shared" si="30"/>
        <v>0</v>
      </c>
      <c r="O187" s="857">
        <f t="shared" si="31"/>
        <v>0</v>
      </c>
      <c r="P187" s="852">
        <f t="shared" si="33"/>
        <v>0</v>
      </c>
      <c r="Q187" s="854">
        <f t="shared" si="32"/>
        <v>0</v>
      </c>
      <c r="R187" s="854">
        <f t="shared" si="34"/>
        <v>0</v>
      </c>
      <c r="S187" s="843">
        <f t="shared" si="26"/>
        <v>0</v>
      </c>
      <c r="T187" s="843">
        <f t="shared" si="28"/>
        <v>0</v>
      </c>
      <c r="U187" s="843">
        <f t="shared" si="27"/>
        <v>0</v>
      </c>
      <c r="V187" s="307"/>
      <c r="W187" t="e">
        <f>+'Yeşil Defter'!#REF!</f>
        <v>#REF!</v>
      </c>
      <c r="X187" s="766"/>
    </row>
    <row r="188" spans="1:24" ht="19.95" hidden="1" customHeight="1" x14ac:dyDescent="0.3">
      <c r="A188" s="262" t="s">
        <v>154</v>
      </c>
      <c r="C188" s="855">
        <v>168</v>
      </c>
      <c r="D188" s="858" t="s">
        <v>555</v>
      </c>
      <c r="E188" s="1345" t="s">
        <v>556</v>
      </c>
      <c r="F188" s="1345"/>
      <c r="G188" s="1345"/>
      <c r="H188" s="855" t="s">
        <v>247</v>
      </c>
      <c r="I188" s="856">
        <v>5850</v>
      </c>
      <c r="J188" s="852">
        <f>+'Yeşil Defter Dönemsel'!I187</f>
        <v>0</v>
      </c>
      <c r="K188" s="852">
        <f>+'Yeşil Defter Dönemsel'!J187</f>
        <v>0</v>
      </c>
      <c r="L188" s="852">
        <f>+'Yeşil Defter Dönemsel'!K187</f>
        <v>0</v>
      </c>
      <c r="M188" s="857">
        <f t="shared" si="29"/>
        <v>0</v>
      </c>
      <c r="N188" s="857">
        <f t="shared" si="30"/>
        <v>0</v>
      </c>
      <c r="O188" s="857">
        <f t="shared" si="31"/>
        <v>0</v>
      </c>
      <c r="P188" s="852">
        <f t="shared" si="33"/>
        <v>0</v>
      </c>
      <c r="Q188" s="854">
        <f t="shared" si="32"/>
        <v>0</v>
      </c>
      <c r="R188" s="854">
        <f t="shared" si="34"/>
        <v>0</v>
      </c>
      <c r="S188" s="843">
        <f t="shared" si="26"/>
        <v>0</v>
      </c>
      <c r="T188" s="843">
        <f t="shared" si="28"/>
        <v>0</v>
      </c>
      <c r="U188" s="843">
        <f t="shared" si="27"/>
        <v>0</v>
      </c>
      <c r="V188" s="307"/>
      <c r="W188" t="e">
        <f>+'Yeşil Defter'!#REF!</f>
        <v>#REF!</v>
      </c>
      <c r="X188" s="766"/>
    </row>
    <row r="189" spans="1:24" ht="19.95" hidden="1" customHeight="1" x14ac:dyDescent="0.3">
      <c r="A189" s="262" t="s">
        <v>154</v>
      </c>
      <c r="C189" s="855">
        <v>169</v>
      </c>
      <c r="D189" s="858" t="s">
        <v>557</v>
      </c>
      <c r="E189" s="1345" t="s">
        <v>558</v>
      </c>
      <c r="F189" s="1345"/>
      <c r="G189" s="1345"/>
      <c r="H189" s="855" t="s">
        <v>225</v>
      </c>
      <c r="I189" s="856">
        <v>9750</v>
      </c>
      <c r="J189" s="852">
        <f>+'Yeşil Defter Dönemsel'!I188</f>
        <v>0</v>
      </c>
      <c r="K189" s="852">
        <f>+'Yeşil Defter Dönemsel'!J188</f>
        <v>0</v>
      </c>
      <c r="L189" s="852">
        <f>+'Yeşil Defter Dönemsel'!K188</f>
        <v>0</v>
      </c>
      <c r="M189" s="857">
        <f t="shared" si="29"/>
        <v>0</v>
      </c>
      <c r="N189" s="857">
        <f t="shared" si="30"/>
        <v>0</v>
      </c>
      <c r="O189" s="857">
        <f t="shared" si="31"/>
        <v>0</v>
      </c>
      <c r="P189" s="852">
        <f t="shared" si="33"/>
        <v>0</v>
      </c>
      <c r="Q189" s="854">
        <f t="shared" si="32"/>
        <v>0</v>
      </c>
      <c r="R189" s="854">
        <f t="shared" si="34"/>
        <v>0</v>
      </c>
      <c r="S189" s="843">
        <f t="shared" si="26"/>
        <v>0</v>
      </c>
      <c r="T189" s="843">
        <f t="shared" si="28"/>
        <v>0</v>
      </c>
      <c r="U189" s="843">
        <f t="shared" si="27"/>
        <v>0</v>
      </c>
      <c r="V189" s="307"/>
      <c r="W189" t="e">
        <f>+'Yeşil Defter'!#REF!</f>
        <v>#REF!</v>
      </c>
      <c r="X189" s="766"/>
    </row>
    <row r="190" spans="1:24" ht="19.95" hidden="1" customHeight="1" x14ac:dyDescent="0.3">
      <c r="A190" s="262" t="s">
        <v>154</v>
      </c>
      <c r="C190" s="855">
        <v>170</v>
      </c>
      <c r="D190" s="858" t="s">
        <v>559</v>
      </c>
      <c r="E190" s="1345" t="s">
        <v>560</v>
      </c>
      <c r="F190" s="1345"/>
      <c r="G190" s="1345"/>
      <c r="H190" s="855" t="s">
        <v>225</v>
      </c>
      <c r="I190" s="856">
        <v>9750</v>
      </c>
      <c r="J190" s="852">
        <f>+'Yeşil Defter Dönemsel'!I189</f>
        <v>0</v>
      </c>
      <c r="K190" s="852">
        <f>+'Yeşil Defter Dönemsel'!J189</f>
        <v>0</v>
      </c>
      <c r="L190" s="852">
        <f>+'Yeşil Defter Dönemsel'!K189</f>
        <v>0</v>
      </c>
      <c r="M190" s="857">
        <f t="shared" si="29"/>
        <v>0</v>
      </c>
      <c r="N190" s="857">
        <f t="shared" si="30"/>
        <v>0</v>
      </c>
      <c r="O190" s="857">
        <f t="shared" si="31"/>
        <v>0</v>
      </c>
      <c r="P190" s="852">
        <f t="shared" si="33"/>
        <v>0</v>
      </c>
      <c r="Q190" s="854">
        <f t="shared" si="32"/>
        <v>0</v>
      </c>
      <c r="R190" s="854">
        <f t="shared" si="34"/>
        <v>0</v>
      </c>
      <c r="S190" s="843">
        <f t="shared" si="26"/>
        <v>0</v>
      </c>
      <c r="T190" s="843">
        <f t="shared" si="28"/>
        <v>0</v>
      </c>
      <c r="U190" s="843">
        <f t="shared" si="27"/>
        <v>0</v>
      </c>
      <c r="V190" s="307"/>
      <c r="W190" t="e">
        <f>+'Yeşil Defter'!#REF!</f>
        <v>#REF!</v>
      </c>
      <c r="X190" s="766"/>
    </row>
    <row r="191" spans="1:24" ht="19.95" hidden="1" customHeight="1" x14ac:dyDescent="0.3">
      <c r="A191" s="262" t="s">
        <v>154</v>
      </c>
      <c r="C191" s="855">
        <v>171</v>
      </c>
      <c r="D191" s="858" t="s">
        <v>561</v>
      </c>
      <c r="E191" s="1345" t="s">
        <v>562</v>
      </c>
      <c r="F191" s="1345"/>
      <c r="G191" s="1345"/>
      <c r="H191" s="855" t="s">
        <v>247</v>
      </c>
      <c r="I191" s="856">
        <v>7800</v>
      </c>
      <c r="J191" s="852">
        <f>+'Yeşil Defter Dönemsel'!I190</f>
        <v>0</v>
      </c>
      <c r="K191" s="852">
        <f>+'Yeşil Defter Dönemsel'!J190</f>
        <v>0</v>
      </c>
      <c r="L191" s="852">
        <f>+'Yeşil Defter Dönemsel'!K190</f>
        <v>0</v>
      </c>
      <c r="M191" s="857">
        <f t="shared" si="29"/>
        <v>0</v>
      </c>
      <c r="N191" s="857">
        <f t="shared" si="30"/>
        <v>0</v>
      </c>
      <c r="O191" s="857">
        <f t="shared" si="31"/>
        <v>0</v>
      </c>
      <c r="P191" s="852">
        <f t="shared" si="33"/>
        <v>0</v>
      </c>
      <c r="Q191" s="854">
        <f t="shared" si="32"/>
        <v>0</v>
      </c>
      <c r="R191" s="854">
        <f t="shared" si="34"/>
        <v>0</v>
      </c>
      <c r="S191" s="843">
        <f t="shared" si="26"/>
        <v>0</v>
      </c>
      <c r="T191" s="843">
        <f t="shared" si="28"/>
        <v>0</v>
      </c>
      <c r="U191" s="843">
        <f t="shared" si="27"/>
        <v>0</v>
      </c>
      <c r="V191" s="307"/>
      <c r="W191" t="e">
        <f>+'Yeşil Defter'!#REF!</f>
        <v>#REF!</v>
      </c>
      <c r="X191" s="766"/>
    </row>
    <row r="192" spans="1:24" ht="19.95" hidden="1" customHeight="1" x14ac:dyDescent="0.3">
      <c r="A192" s="262" t="s">
        <v>154</v>
      </c>
      <c r="C192" s="855">
        <v>172</v>
      </c>
      <c r="D192" s="858" t="s">
        <v>563</v>
      </c>
      <c r="E192" s="1345" t="s">
        <v>564</v>
      </c>
      <c r="F192" s="1345"/>
      <c r="G192" s="1345"/>
      <c r="H192" s="855" t="s">
        <v>225</v>
      </c>
      <c r="I192" s="856">
        <v>26000</v>
      </c>
      <c r="J192" s="852">
        <f>+'Yeşil Defter Dönemsel'!I191</f>
        <v>0</v>
      </c>
      <c r="K192" s="852">
        <f>+'Yeşil Defter Dönemsel'!J191</f>
        <v>0</v>
      </c>
      <c r="L192" s="852">
        <f>+'Yeşil Defter Dönemsel'!K191</f>
        <v>0</v>
      </c>
      <c r="M192" s="857">
        <f t="shared" si="29"/>
        <v>0</v>
      </c>
      <c r="N192" s="857">
        <f t="shared" si="30"/>
        <v>0</v>
      </c>
      <c r="O192" s="857">
        <f t="shared" si="31"/>
        <v>0</v>
      </c>
      <c r="P192" s="852">
        <f t="shared" si="33"/>
        <v>0</v>
      </c>
      <c r="Q192" s="854">
        <f t="shared" si="32"/>
        <v>0</v>
      </c>
      <c r="R192" s="854">
        <f t="shared" si="34"/>
        <v>0</v>
      </c>
      <c r="S192" s="843">
        <f t="shared" si="26"/>
        <v>0</v>
      </c>
      <c r="T192" s="843">
        <f t="shared" si="28"/>
        <v>0</v>
      </c>
      <c r="U192" s="843">
        <f t="shared" si="27"/>
        <v>0</v>
      </c>
      <c r="V192" s="307"/>
      <c r="W192" t="e">
        <f>+'Yeşil Defter'!#REF!</f>
        <v>#REF!</v>
      </c>
      <c r="X192" s="766"/>
    </row>
    <row r="193" spans="1:24" ht="19.95" hidden="1" customHeight="1" x14ac:dyDescent="0.3">
      <c r="A193" s="262" t="s">
        <v>154</v>
      </c>
      <c r="C193" s="855">
        <v>173</v>
      </c>
      <c r="D193" s="858" t="s">
        <v>565</v>
      </c>
      <c r="E193" s="1345" t="s">
        <v>566</v>
      </c>
      <c r="F193" s="1345"/>
      <c r="G193" s="1345"/>
      <c r="H193" s="855" t="s">
        <v>225</v>
      </c>
      <c r="I193" s="856">
        <v>26000</v>
      </c>
      <c r="J193" s="852">
        <f>+'Yeşil Defter Dönemsel'!I192</f>
        <v>0</v>
      </c>
      <c r="K193" s="852">
        <f>+'Yeşil Defter Dönemsel'!J192</f>
        <v>0</v>
      </c>
      <c r="L193" s="852">
        <f>+'Yeşil Defter Dönemsel'!K192</f>
        <v>0</v>
      </c>
      <c r="M193" s="857">
        <f t="shared" si="29"/>
        <v>0</v>
      </c>
      <c r="N193" s="857">
        <f t="shared" si="30"/>
        <v>0</v>
      </c>
      <c r="O193" s="857">
        <f t="shared" si="31"/>
        <v>0</v>
      </c>
      <c r="P193" s="852">
        <f t="shared" si="33"/>
        <v>0</v>
      </c>
      <c r="Q193" s="854">
        <f t="shared" si="32"/>
        <v>0</v>
      </c>
      <c r="R193" s="854">
        <f t="shared" si="34"/>
        <v>0</v>
      </c>
      <c r="S193" s="843">
        <f t="shared" si="26"/>
        <v>0</v>
      </c>
      <c r="T193" s="843">
        <f t="shared" si="28"/>
        <v>0</v>
      </c>
      <c r="U193" s="843">
        <f t="shared" si="27"/>
        <v>0</v>
      </c>
      <c r="V193" s="307"/>
      <c r="W193" t="e">
        <f>+'Yeşil Defter'!#REF!</f>
        <v>#REF!</v>
      </c>
      <c r="X193" s="766"/>
    </row>
    <row r="194" spans="1:24" ht="19.95" hidden="1" customHeight="1" x14ac:dyDescent="0.3">
      <c r="A194" s="262" t="s">
        <v>154</v>
      </c>
      <c r="C194" s="855">
        <v>174</v>
      </c>
      <c r="D194" s="855" t="s">
        <v>567</v>
      </c>
      <c r="E194" s="1345" t="s">
        <v>568</v>
      </c>
      <c r="F194" s="1345"/>
      <c r="G194" s="1345"/>
      <c r="H194" s="855" t="s">
        <v>225</v>
      </c>
      <c r="I194" s="856">
        <v>26000</v>
      </c>
      <c r="J194" s="852">
        <f>+'Yeşil Defter Dönemsel'!I193</f>
        <v>0</v>
      </c>
      <c r="K194" s="852">
        <f>+'Yeşil Defter Dönemsel'!J193</f>
        <v>0</v>
      </c>
      <c r="L194" s="852">
        <f>+'Yeşil Defter Dönemsel'!K193</f>
        <v>0</v>
      </c>
      <c r="M194" s="857">
        <f t="shared" si="29"/>
        <v>0</v>
      </c>
      <c r="N194" s="857">
        <f t="shared" si="30"/>
        <v>0</v>
      </c>
      <c r="O194" s="857">
        <f t="shared" si="31"/>
        <v>0</v>
      </c>
      <c r="P194" s="852">
        <f t="shared" si="33"/>
        <v>0</v>
      </c>
      <c r="Q194" s="854">
        <f t="shared" si="32"/>
        <v>0</v>
      </c>
      <c r="R194" s="854">
        <f t="shared" si="34"/>
        <v>0</v>
      </c>
      <c r="S194" s="843">
        <f t="shared" si="26"/>
        <v>0</v>
      </c>
      <c r="T194" s="843">
        <f t="shared" si="28"/>
        <v>0</v>
      </c>
      <c r="U194" s="843">
        <f t="shared" si="27"/>
        <v>0</v>
      </c>
      <c r="V194" s="307"/>
      <c r="W194" t="e">
        <f>+'Yeşil Defter'!#REF!</f>
        <v>#REF!</v>
      </c>
      <c r="X194" s="766"/>
    </row>
    <row r="195" spans="1:24" ht="19.95" hidden="1" customHeight="1" x14ac:dyDescent="0.3">
      <c r="A195" s="262" t="s">
        <v>154</v>
      </c>
      <c r="C195" s="855">
        <v>175</v>
      </c>
      <c r="D195" s="855" t="s">
        <v>569</v>
      </c>
      <c r="E195" s="1345" t="s">
        <v>570</v>
      </c>
      <c r="F195" s="1345"/>
      <c r="G195" s="1345"/>
      <c r="H195" s="855" t="s">
        <v>225</v>
      </c>
      <c r="I195" s="856">
        <v>32500</v>
      </c>
      <c r="J195" s="852">
        <f>+'Yeşil Defter Dönemsel'!I194</f>
        <v>0</v>
      </c>
      <c r="K195" s="852">
        <f>+'Yeşil Defter Dönemsel'!J194</f>
        <v>0</v>
      </c>
      <c r="L195" s="852">
        <f>+'Yeşil Defter Dönemsel'!K194</f>
        <v>0</v>
      </c>
      <c r="M195" s="857">
        <f t="shared" si="29"/>
        <v>0</v>
      </c>
      <c r="N195" s="857">
        <f t="shared" si="30"/>
        <v>0</v>
      </c>
      <c r="O195" s="857">
        <f t="shared" si="31"/>
        <v>0</v>
      </c>
      <c r="P195" s="852">
        <f t="shared" si="33"/>
        <v>0</v>
      </c>
      <c r="Q195" s="854">
        <f t="shared" si="32"/>
        <v>0</v>
      </c>
      <c r="R195" s="854">
        <f t="shared" si="34"/>
        <v>0</v>
      </c>
      <c r="S195" s="843">
        <f t="shared" si="26"/>
        <v>0</v>
      </c>
      <c r="T195" s="843">
        <f t="shared" si="28"/>
        <v>0</v>
      </c>
      <c r="U195" s="843">
        <f t="shared" si="27"/>
        <v>0</v>
      </c>
      <c r="V195" s="307"/>
      <c r="W195" t="e">
        <f>+'Yeşil Defter'!#REF!</f>
        <v>#REF!</v>
      </c>
      <c r="X195" s="766"/>
    </row>
    <row r="196" spans="1:24" ht="19.95" hidden="1" customHeight="1" x14ac:dyDescent="0.3">
      <c r="A196" s="262" t="s">
        <v>154</v>
      </c>
      <c r="C196" s="855">
        <v>176</v>
      </c>
      <c r="D196" s="858" t="s">
        <v>571</v>
      </c>
      <c r="E196" s="1345" t="s">
        <v>572</v>
      </c>
      <c r="F196" s="1345"/>
      <c r="G196" s="1345"/>
      <c r="H196" s="855" t="s">
        <v>247</v>
      </c>
      <c r="I196" s="856">
        <v>32500</v>
      </c>
      <c r="J196" s="852">
        <f>+'Yeşil Defter Dönemsel'!I195</f>
        <v>0</v>
      </c>
      <c r="K196" s="852">
        <f>+'Yeşil Defter Dönemsel'!J195</f>
        <v>0</v>
      </c>
      <c r="L196" s="852">
        <f>+'Yeşil Defter Dönemsel'!K195</f>
        <v>0</v>
      </c>
      <c r="M196" s="857">
        <f t="shared" si="29"/>
        <v>0</v>
      </c>
      <c r="N196" s="857">
        <f t="shared" si="30"/>
        <v>0</v>
      </c>
      <c r="O196" s="857">
        <f t="shared" si="31"/>
        <v>0</v>
      </c>
      <c r="P196" s="852">
        <f t="shared" si="33"/>
        <v>0</v>
      </c>
      <c r="Q196" s="854">
        <f t="shared" si="32"/>
        <v>0</v>
      </c>
      <c r="R196" s="854">
        <f t="shared" si="34"/>
        <v>0</v>
      </c>
      <c r="S196" s="843">
        <f t="shared" si="26"/>
        <v>0</v>
      </c>
      <c r="T196" s="843">
        <f t="shared" si="28"/>
        <v>0</v>
      </c>
      <c r="U196" s="843">
        <f t="shared" si="27"/>
        <v>0</v>
      </c>
      <c r="V196" s="307"/>
      <c r="W196" t="e">
        <f>+'Yeşil Defter'!#REF!</f>
        <v>#REF!</v>
      </c>
      <c r="X196" s="766"/>
    </row>
    <row r="197" spans="1:24" ht="19.95" hidden="1" customHeight="1" x14ac:dyDescent="0.3">
      <c r="A197" s="262" t="s">
        <v>154</v>
      </c>
      <c r="C197" s="855">
        <v>177</v>
      </c>
      <c r="D197" s="858" t="s">
        <v>573</v>
      </c>
      <c r="E197" s="1345" t="s">
        <v>574</v>
      </c>
      <c r="F197" s="1345"/>
      <c r="G197" s="1345"/>
      <c r="H197" s="855" t="s">
        <v>225</v>
      </c>
      <c r="I197" s="856">
        <v>21645</v>
      </c>
      <c r="J197" s="852">
        <f>+'Yeşil Defter Dönemsel'!I196</f>
        <v>0</v>
      </c>
      <c r="K197" s="852">
        <f>+'Yeşil Defter Dönemsel'!J196</f>
        <v>0</v>
      </c>
      <c r="L197" s="852">
        <f>+'Yeşil Defter Dönemsel'!K196</f>
        <v>0</v>
      </c>
      <c r="M197" s="857">
        <f t="shared" si="29"/>
        <v>0</v>
      </c>
      <c r="N197" s="857">
        <f t="shared" si="30"/>
        <v>0</v>
      </c>
      <c r="O197" s="857">
        <f t="shared" si="31"/>
        <v>0</v>
      </c>
      <c r="P197" s="852">
        <f t="shared" si="33"/>
        <v>0</v>
      </c>
      <c r="Q197" s="854">
        <f t="shared" si="32"/>
        <v>0</v>
      </c>
      <c r="R197" s="854">
        <f t="shared" si="34"/>
        <v>0</v>
      </c>
      <c r="S197" s="843">
        <f t="shared" si="26"/>
        <v>0</v>
      </c>
      <c r="T197" s="843">
        <f t="shared" si="28"/>
        <v>0</v>
      </c>
      <c r="U197" s="843">
        <f t="shared" si="27"/>
        <v>0</v>
      </c>
      <c r="V197" s="307"/>
      <c r="W197" t="e">
        <f>+'Yeşil Defter'!#REF!</f>
        <v>#REF!</v>
      </c>
      <c r="X197" s="766"/>
    </row>
    <row r="198" spans="1:24" ht="19.95" hidden="1" customHeight="1" x14ac:dyDescent="0.3">
      <c r="A198" s="262" t="s">
        <v>154</v>
      </c>
      <c r="C198" s="855">
        <v>178</v>
      </c>
      <c r="D198" s="858" t="s">
        <v>575</v>
      </c>
      <c r="E198" s="1345" t="s">
        <v>576</v>
      </c>
      <c r="F198" s="1345"/>
      <c r="G198" s="1345"/>
      <c r="H198" s="855" t="s">
        <v>202</v>
      </c>
      <c r="I198" s="856">
        <v>5850</v>
      </c>
      <c r="J198" s="852">
        <f>+'Yeşil Defter Dönemsel'!I197</f>
        <v>0</v>
      </c>
      <c r="K198" s="852">
        <f>+'Yeşil Defter Dönemsel'!J197</f>
        <v>0</v>
      </c>
      <c r="L198" s="852">
        <f>+'Yeşil Defter Dönemsel'!K197</f>
        <v>0</v>
      </c>
      <c r="M198" s="857">
        <f t="shared" si="29"/>
        <v>0</v>
      </c>
      <c r="N198" s="857">
        <f t="shared" si="30"/>
        <v>0</v>
      </c>
      <c r="O198" s="857">
        <f t="shared" si="31"/>
        <v>0</v>
      </c>
      <c r="P198" s="852">
        <f t="shared" si="33"/>
        <v>0</v>
      </c>
      <c r="Q198" s="854">
        <f t="shared" si="32"/>
        <v>0</v>
      </c>
      <c r="R198" s="854">
        <f t="shared" si="34"/>
        <v>0</v>
      </c>
      <c r="S198" s="843">
        <f t="shared" si="26"/>
        <v>0</v>
      </c>
      <c r="T198" s="843">
        <f t="shared" si="28"/>
        <v>0</v>
      </c>
      <c r="U198" s="843">
        <f t="shared" si="27"/>
        <v>0</v>
      </c>
      <c r="V198" s="307"/>
      <c r="W198" t="e">
        <f>+'Yeşil Defter'!#REF!</f>
        <v>#REF!</v>
      </c>
      <c r="X198" s="766"/>
    </row>
    <row r="199" spans="1:24" ht="19.95" hidden="1" customHeight="1" x14ac:dyDescent="0.3">
      <c r="A199" s="262" t="s">
        <v>154</v>
      </c>
      <c r="C199" s="855">
        <v>179</v>
      </c>
      <c r="D199" s="858" t="s">
        <v>577</v>
      </c>
      <c r="E199" s="1345" t="s">
        <v>578</v>
      </c>
      <c r="F199" s="1345"/>
      <c r="G199" s="1345"/>
      <c r="H199" s="855" t="s">
        <v>374</v>
      </c>
      <c r="I199" s="856">
        <v>260</v>
      </c>
      <c r="J199" s="852">
        <f>+'Yeşil Defter Dönemsel'!I198</f>
        <v>0</v>
      </c>
      <c r="K199" s="852">
        <f>+'Yeşil Defter Dönemsel'!J198</f>
        <v>0</v>
      </c>
      <c r="L199" s="852">
        <f>+'Yeşil Defter Dönemsel'!K198</f>
        <v>0</v>
      </c>
      <c r="M199" s="857">
        <f t="shared" si="29"/>
        <v>0</v>
      </c>
      <c r="N199" s="857">
        <f t="shared" si="30"/>
        <v>0</v>
      </c>
      <c r="O199" s="857">
        <f t="shared" si="31"/>
        <v>0</v>
      </c>
      <c r="P199" s="852">
        <f t="shared" si="33"/>
        <v>0</v>
      </c>
      <c r="Q199" s="854">
        <f t="shared" si="32"/>
        <v>0</v>
      </c>
      <c r="R199" s="854">
        <f t="shared" si="34"/>
        <v>0</v>
      </c>
      <c r="S199" s="843">
        <f t="shared" si="26"/>
        <v>0</v>
      </c>
      <c r="T199" s="843">
        <f t="shared" si="28"/>
        <v>0</v>
      </c>
      <c r="U199" s="843">
        <f t="shared" si="27"/>
        <v>0</v>
      </c>
      <c r="V199" s="307"/>
      <c r="W199" t="e">
        <f>+'Yeşil Defter'!#REF!</f>
        <v>#REF!</v>
      </c>
      <c r="X199" s="766"/>
    </row>
    <row r="200" spans="1:24" ht="19.95" hidden="1" customHeight="1" x14ac:dyDescent="0.3">
      <c r="A200" s="262" t="s">
        <v>154</v>
      </c>
      <c r="C200" s="855">
        <v>180</v>
      </c>
      <c r="D200" s="858" t="s">
        <v>579</v>
      </c>
      <c r="E200" s="1345" t="s">
        <v>580</v>
      </c>
      <c r="F200" s="1345"/>
      <c r="G200" s="1345"/>
      <c r="H200" s="855" t="s">
        <v>374</v>
      </c>
      <c r="I200" s="856">
        <v>156</v>
      </c>
      <c r="J200" s="852">
        <f>+'Yeşil Defter Dönemsel'!I199</f>
        <v>0</v>
      </c>
      <c r="K200" s="852">
        <f>+'Yeşil Defter Dönemsel'!J199</f>
        <v>0</v>
      </c>
      <c r="L200" s="852">
        <f>+'Yeşil Defter Dönemsel'!K199</f>
        <v>0</v>
      </c>
      <c r="M200" s="857">
        <f t="shared" si="29"/>
        <v>0</v>
      </c>
      <c r="N200" s="857">
        <f t="shared" si="30"/>
        <v>0</v>
      </c>
      <c r="O200" s="857">
        <f t="shared" si="31"/>
        <v>0</v>
      </c>
      <c r="P200" s="852">
        <f t="shared" si="33"/>
        <v>0</v>
      </c>
      <c r="Q200" s="854">
        <f t="shared" si="32"/>
        <v>0</v>
      </c>
      <c r="R200" s="854">
        <f t="shared" si="34"/>
        <v>0</v>
      </c>
      <c r="S200" s="843">
        <f t="shared" si="26"/>
        <v>0</v>
      </c>
      <c r="T200" s="843">
        <f t="shared" si="28"/>
        <v>0</v>
      </c>
      <c r="U200" s="843">
        <f t="shared" si="27"/>
        <v>0</v>
      </c>
      <c r="V200" s="307"/>
      <c r="W200" t="e">
        <f>+'Yeşil Defter'!#REF!</f>
        <v>#REF!</v>
      </c>
      <c r="X200" s="766"/>
    </row>
    <row r="201" spans="1:24" ht="19.95" hidden="1" customHeight="1" x14ac:dyDescent="0.3">
      <c r="A201" s="262" t="s">
        <v>154</v>
      </c>
      <c r="C201" s="855">
        <v>181</v>
      </c>
      <c r="D201" s="858" t="s">
        <v>581</v>
      </c>
      <c r="E201" s="1345" t="s">
        <v>582</v>
      </c>
      <c r="F201" s="1345"/>
      <c r="G201" s="1345"/>
      <c r="H201" s="855" t="s">
        <v>225</v>
      </c>
      <c r="I201" s="856">
        <v>585</v>
      </c>
      <c r="J201" s="852">
        <f>+'Yeşil Defter Dönemsel'!I200</f>
        <v>0</v>
      </c>
      <c r="K201" s="852">
        <f>+'Yeşil Defter Dönemsel'!J200</f>
        <v>0</v>
      </c>
      <c r="L201" s="852">
        <f>+'Yeşil Defter Dönemsel'!K200</f>
        <v>0</v>
      </c>
      <c r="M201" s="857">
        <f t="shared" si="29"/>
        <v>0</v>
      </c>
      <c r="N201" s="857">
        <f t="shared" si="30"/>
        <v>0</v>
      </c>
      <c r="O201" s="857">
        <f t="shared" si="31"/>
        <v>0</v>
      </c>
      <c r="P201" s="852">
        <f t="shared" si="33"/>
        <v>0</v>
      </c>
      <c r="Q201" s="854">
        <f t="shared" si="32"/>
        <v>0</v>
      </c>
      <c r="R201" s="854">
        <f t="shared" si="34"/>
        <v>0</v>
      </c>
      <c r="S201" s="843">
        <f t="shared" si="26"/>
        <v>0</v>
      </c>
      <c r="T201" s="843">
        <f t="shared" si="28"/>
        <v>0</v>
      </c>
      <c r="U201" s="843">
        <f t="shared" si="27"/>
        <v>0</v>
      </c>
      <c r="V201" s="307"/>
      <c r="W201" t="e">
        <f>+'Yeşil Defter'!#REF!</f>
        <v>#REF!</v>
      </c>
      <c r="X201" s="766"/>
    </row>
    <row r="202" spans="1:24" ht="19.95" hidden="1" customHeight="1" x14ac:dyDescent="0.3">
      <c r="A202" s="262" t="s">
        <v>154</v>
      </c>
      <c r="C202" s="855">
        <v>182</v>
      </c>
      <c r="D202" s="858" t="s">
        <v>583</v>
      </c>
      <c r="E202" s="1345" t="s">
        <v>584</v>
      </c>
      <c r="F202" s="1345"/>
      <c r="G202" s="1345"/>
      <c r="H202" s="855" t="s">
        <v>247</v>
      </c>
      <c r="I202" s="856">
        <v>156000</v>
      </c>
      <c r="J202" s="852">
        <f>+'Yeşil Defter Dönemsel'!I201</f>
        <v>0</v>
      </c>
      <c r="K202" s="852">
        <f>+'Yeşil Defter Dönemsel'!J201</f>
        <v>0</v>
      </c>
      <c r="L202" s="852">
        <f>+'Yeşil Defter Dönemsel'!K201</f>
        <v>0</v>
      </c>
      <c r="M202" s="857">
        <f t="shared" si="29"/>
        <v>0</v>
      </c>
      <c r="N202" s="857">
        <f t="shared" si="30"/>
        <v>0</v>
      </c>
      <c r="O202" s="857">
        <f t="shared" si="31"/>
        <v>0</v>
      </c>
      <c r="P202" s="852">
        <f t="shared" si="33"/>
        <v>0</v>
      </c>
      <c r="Q202" s="854">
        <f t="shared" si="32"/>
        <v>0</v>
      </c>
      <c r="R202" s="854">
        <f t="shared" si="34"/>
        <v>0</v>
      </c>
      <c r="S202" s="843">
        <f t="shared" si="26"/>
        <v>0</v>
      </c>
      <c r="T202" s="843">
        <f t="shared" si="28"/>
        <v>0</v>
      </c>
      <c r="U202" s="843">
        <f t="shared" si="27"/>
        <v>0</v>
      </c>
      <c r="V202" s="307"/>
      <c r="W202" t="e">
        <f>+'Yeşil Defter'!#REF!</f>
        <v>#REF!</v>
      </c>
      <c r="X202" s="766"/>
    </row>
    <row r="203" spans="1:24" ht="19.95" hidden="1" customHeight="1" x14ac:dyDescent="0.3">
      <c r="A203" s="262" t="s">
        <v>154</v>
      </c>
      <c r="C203" s="855">
        <v>183</v>
      </c>
      <c r="D203" s="858" t="s">
        <v>585</v>
      </c>
      <c r="E203" s="1345" t="s">
        <v>586</v>
      </c>
      <c r="F203" s="1345"/>
      <c r="G203" s="1345"/>
      <c r="H203" s="855" t="s">
        <v>247</v>
      </c>
      <c r="I203" s="856">
        <v>227500</v>
      </c>
      <c r="J203" s="852">
        <f>+'Yeşil Defter Dönemsel'!I202</f>
        <v>0</v>
      </c>
      <c r="K203" s="852">
        <f>+'Yeşil Defter Dönemsel'!J202</f>
        <v>0</v>
      </c>
      <c r="L203" s="852">
        <f>+'Yeşil Defter Dönemsel'!K202</f>
        <v>0</v>
      </c>
      <c r="M203" s="857">
        <f t="shared" si="29"/>
        <v>0</v>
      </c>
      <c r="N203" s="857">
        <f t="shared" si="30"/>
        <v>0</v>
      </c>
      <c r="O203" s="857">
        <f t="shared" si="31"/>
        <v>0</v>
      </c>
      <c r="P203" s="852">
        <f t="shared" si="33"/>
        <v>0</v>
      </c>
      <c r="Q203" s="854">
        <f t="shared" si="32"/>
        <v>0</v>
      </c>
      <c r="R203" s="854">
        <f t="shared" si="34"/>
        <v>0</v>
      </c>
      <c r="S203" s="843">
        <f t="shared" si="26"/>
        <v>0</v>
      </c>
      <c r="T203" s="843">
        <f t="shared" si="28"/>
        <v>0</v>
      </c>
      <c r="U203" s="843">
        <f t="shared" si="27"/>
        <v>0</v>
      </c>
      <c r="V203" s="307"/>
      <c r="W203" t="e">
        <f>+'Yeşil Defter'!#REF!</f>
        <v>#REF!</v>
      </c>
      <c r="X203" s="766"/>
    </row>
    <row r="204" spans="1:24" ht="19.95" hidden="1" customHeight="1" x14ac:dyDescent="0.3">
      <c r="A204" s="262" t="s">
        <v>154</v>
      </c>
      <c r="C204" s="860">
        <v>184</v>
      </c>
      <c r="D204" s="866" t="s">
        <v>587</v>
      </c>
      <c r="E204" s="1341" t="s">
        <v>588</v>
      </c>
      <c r="F204" s="1341"/>
      <c r="G204" s="1341"/>
      <c r="H204" s="860" t="s">
        <v>247</v>
      </c>
      <c r="I204" s="856">
        <v>292500</v>
      </c>
      <c r="J204" s="852">
        <f>+'Yeşil Defter Dönemsel'!I203</f>
        <v>0</v>
      </c>
      <c r="K204" s="852">
        <f>+'Yeşil Defter Dönemsel'!J203</f>
        <v>0</v>
      </c>
      <c r="L204" s="852">
        <f>+'Yeşil Defter Dönemsel'!K203</f>
        <v>0</v>
      </c>
      <c r="M204" s="862">
        <f t="shared" si="29"/>
        <v>0</v>
      </c>
      <c r="N204" s="862">
        <f t="shared" si="30"/>
        <v>0</v>
      </c>
      <c r="O204" s="862">
        <f t="shared" si="31"/>
        <v>0</v>
      </c>
      <c r="P204" s="852">
        <f t="shared" si="33"/>
        <v>0</v>
      </c>
      <c r="Q204" s="868">
        <f t="shared" si="32"/>
        <v>0</v>
      </c>
      <c r="R204" s="854">
        <f t="shared" si="34"/>
        <v>0</v>
      </c>
      <c r="S204" s="843">
        <f t="shared" si="26"/>
        <v>0</v>
      </c>
      <c r="T204" s="843">
        <f t="shared" si="28"/>
        <v>0</v>
      </c>
      <c r="U204" s="843">
        <f t="shared" si="27"/>
        <v>0</v>
      </c>
      <c r="V204" s="307"/>
      <c r="W204" t="e">
        <f>+'Yeşil Defter'!#REF!</f>
        <v>#REF!</v>
      </c>
      <c r="X204" s="766"/>
    </row>
    <row r="205" spans="1:24" ht="19.95" hidden="1" customHeight="1" x14ac:dyDescent="0.3">
      <c r="A205" s="262" t="s">
        <v>1240</v>
      </c>
      <c r="C205" s="839"/>
      <c r="D205" s="869" t="s">
        <v>1229</v>
      </c>
      <c r="E205" s="841"/>
      <c r="F205" s="841"/>
      <c r="G205" s="841"/>
      <c r="H205" s="841"/>
      <c r="I205" s="841"/>
      <c r="J205" s="852">
        <f>+'Yeşil Defter Dönemsel'!I204</f>
        <v>0</v>
      </c>
      <c r="K205" s="852">
        <f>+'Yeşil Defter Dönemsel'!J204</f>
        <v>0</v>
      </c>
      <c r="L205" s="852">
        <f>+'Yeşil Defter Dönemsel'!K204</f>
        <v>0</v>
      </c>
      <c r="M205" s="870">
        <f>SUM(M206:M281)</f>
        <v>0</v>
      </c>
      <c r="N205" s="870">
        <f t="shared" ref="N205:O205" si="35">SUM(N206:N281)</f>
        <v>0</v>
      </c>
      <c r="O205" s="870">
        <f t="shared" si="35"/>
        <v>0</v>
      </c>
      <c r="P205" s="852">
        <f t="shared" si="33"/>
        <v>0</v>
      </c>
      <c r="Q205" s="871"/>
      <c r="R205" s="854">
        <f t="shared" si="34"/>
        <v>0</v>
      </c>
      <c r="S205" s="843">
        <f t="shared" si="26"/>
        <v>0</v>
      </c>
      <c r="T205" s="843">
        <f t="shared" si="28"/>
        <v>0</v>
      </c>
      <c r="U205" s="843">
        <f t="shared" si="27"/>
        <v>0</v>
      </c>
      <c r="V205" s="307"/>
      <c r="W205" t="e">
        <f>+'Yeşil Defter'!#REF!</f>
        <v>#REF!</v>
      </c>
      <c r="X205" s="766"/>
    </row>
    <row r="206" spans="1:24" ht="19.95" hidden="1" customHeight="1" x14ac:dyDescent="0.3">
      <c r="A206" s="262">
        <v>2</v>
      </c>
      <c r="C206" s="872">
        <v>185</v>
      </c>
      <c r="D206" s="850" t="s">
        <v>589</v>
      </c>
      <c r="E206" s="1346" t="s">
        <v>590</v>
      </c>
      <c r="F206" s="1346"/>
      <c r="G206" s="1346"/>
      <c r="H206" s="849" t="s">
        <v>286</v>
      </c>
      <c r="I206" s="856">
        <v>11275750</v>
      </c>
      <c r="J206" s="852">
        <f>+'Yeşil Defter Dönemsel'!I205</f>
        <v>0</v>
      </c>
      <c r="K206" s="852">
        <f>+'Yeşil Defter Dönemsel'!J205</f>
        <v>0</v>
      </c>
      <c r="L206" s="852">
        <f>+'Yeşil Defter Dönemsel'!K205</f>
        <v>0</v>
      </c>
      <c r="M206" s="853">
        <f t="shared" ref="M206:M269" si="36">+ROUND($I206*J206,2)</f>
        <v>0</v>
      </c>
      <c r="N206" s="853">
        <f t="shared" ref="N206:N269" si="37">+ROUND($I206*K206,2)</f>
        <v>0</v>
      </c>
      <c r="O206" s="853">
        <f t="shared" ref="O206:O269" si="38">+ROUND($I206*L206,2)</f>
        <v>0</v>
      </c>
      <c r="P206" s="852">
        <f t="shared" si="33"/>
        <v>0</v>
      </c>
      <c r="Q206" s="852">
        <f t="shared" ref="Q206:Q269" si="39">+R206-P206</f>
        <v>0</v>
      </c>
      <c r="R206" s="854">
        <f t="shared" si="34"/>
        <v>0</v>
      </c>
      <c r="S206" s="843">
        <f t="shared" si="26"/>
        <v>0</v>
      </c>
      <c r="T206" s="843">
        <f t="shared" si="28"/>
        <v>0</v>
      </c>
      <c r="U206" s="843">
        <f t="shared" si="27"/>
        <v>0</v>
      </c>
      <c r="V206" s="307"/>
      <c r="W206" t="e">
        <f>+'Yeşil Defter'!#REF!</f>
        <v>#REF!</v>
      </c>
      <c r="X206" s="766"/>
    </row>
    <row r="207" spans="1:24" ht="19.95" hidden="1" customHeight="1" x14ac:dyDescent="0.3">
      <c r="A207" s="262">
        <v>2</v>
      </c>
      <c r="C207" s="873">
        <v>186</v>
      </c>
      <c r="D207" s="855" t="s">
        <v>591</v>
      </c>
      <c r="E207" s="1345" t="s">
        <v>592</v>
      </c>
      <c r="F207" s="1345"/>
      <c r="G207" s="1345"/>
      <c r="H207" s="855" t="s">
        <v>286</v>
      </c>
      <c r="I207" s="856">
        <v>22517035</v>
      </c>
      <c r="J207" s="852">
        <f>+'Yeşil Defter Dönemsel'!I206</f>
        <v>0</v>
      </c>
      <c r="K207" s="852">
        <f>+'Yeşil Defter Dönemsel'!J206</f>
        <v>0</v>
      </c>
      <c r="L207" s="852">
        <f>+'Yeşil Defter Dönemsel'!K206</f>
        <v>0</v>
      </c>
      <c r="M207" s="857">
        <f t="shared" si="36"/>
        <v>0</v>
      </c>
      <c r="N207" s="857">
        <f t="shared" si="37"/>
        <v>0</v>
      </c>
      <c r="O207" s="857">
        <f t="shared" si="38"/>
        <v>0</v>
      </c>
      <c r="P207" s="852">
        <f t="shared" si="33"/>
        <v>0</v>
      </c>
      <c r="Q207" s="854">
        <f t="shared" si="39"/>
        <v>0</v>
      </c>
      <c r="R207" s="854">
        <f t="shared" si="34"/>
        <v>0</v>
      </c>
      <c r="S207" s="843">
        <f t="shared" si="26"/>
        <v>0</v>
      </c>
      <c r="T207" s="843">
        <f t="shared" si="28"/>
        <v>0</v>
      </c>
      <c r="U207" s="843">
        <f t="shared" si="27"/>
        <v>0</v>
      </c>
      <c r="V207" s="307"/>
      <c r="W207" t="e">
        <f>+'Yeşil Defter'!#REF!</f>
        <v>#REF!</v>
      </c>
      <c r="X207" s="766"/>
    </row>
    <row r="208" spans="1:24" ht="19.95" hidden="1" customHeight="1" x14ac:dyDescent="0.3">
      <c r="A208" s="262">
        <v>2</v>
      </c>
      <c r="C208" s="873">
        <v>187</v>
      </c>
      <c r="D208" s="855" t="s">
        <v>593</v>
      </c>
      <c r="E208" s="1345" t="s">
        <v>594</v>
      </c>
      <c r="F208" s="1345"/>
      <c r="G208" s="1345"/>
      <c r="H208" s="855" t="s">
        <v>286</v>
      </c>
      <c r="I208" s="856">
        <v>15921572</v>
      </c>
      <c r="J208" s="852">
        <f>+'Yeşil Defter Dönemsel'!I207</f>
        <v>0</v>
      </c>
      <c r="K208" s="852">
        <f>+'Yeşil Defter Dönemsel'!J207</f>
        <v>0</v>
      </c>
      <c r="L208" s="852">
        <f>+'Yeşil Defter Dönemsel'!K207</f>
        <v>0</v>
      </c>
      <c r="M208" s="857">
        <f t="shared" si="36"/>
        <v>0</v>
      </c>
      <c r="N208" s="857">
        <f t="shared" si="37"/>
        <v>0</v>
      </c>
      <c r="O208" s="857">
        <f t="shared" si="38"/>
        <v>0</v>
      </c>
      <c r="P208" s="852">
        <f t="shared" si="33"/>
        <v>0</v>
      </c>
      <c r="Q208" s="854">
        <f t="shared" si="39"/>
        <v>0</v>
      </c>
      <c r="R208" s="854">
        <f t="shared" si="34"/>
        <v>0</v>
      </c>
      <c r="S208" s="843">
        <f t="shared" ref="S208:S271" si="40">+M208</f>
        <v>0</v>
      </c>
      <c r="T208" s="843">
        <f t="shared" si="28"/>
        <v>0</v>
      </c>
      <c r="U208" s="843">
        <f t="shared" ref="U208:U271" si="41">+O208</f>
        <v>0</v>
      </c>
      <c r="V208" s="307"/>
      <c r="W208" t="e">
        <f>+'Yeşil Defter'!#REF!</f>
        <v>#REF!</v>
      </c>
      <c r="X208" s="766"/>
    </row>
    <row r="209" spans="1:24" ht="19.95" hidden="1" customHeight="1" x14ac:dyDescent="0.3">
      <c r="A209" s="262">
        <v>2</v>
      </c>
      <c r="C209" s="873">
        <v>188</v>
      </c>
      <c r="D209" s="855" t="s">
        <v>595</v>
      </c>
      <c r="E209" s="1345" t="s">
        <v>596</v>
      </c>
      <c r="F209" s="1345"/>
      <c r="G209" s="1345"/>
      <c r="H209" s="855" t="s">
        <v>286</v>
      </c>
      <c r="I209" s="856">
        <v>15921572</v>
      </c>
      <c r="J209" s="852">
        <f>+'Yeşil Defter Dönemsel'!I208</f>
        <v>0</v>
      </c>
      <c r="K209" s="852">
        <f>+'Yeşil Defter Dönemsel'!J208</f>
        <v>0</v>
      </c>
      <c r="L209" s="852">
        <f>+'Yeşil Defter Dönemsel'!K208</f>
        <v>0</v>
      </c>
      <c r="M209" s="857">
        <f t="shared" si="36"/>
        <v>0</v>
      </c>
      <c r="N209" s="857">
        <f t="shared" si="37"/>
        <v>0</v>
      </c>
      <c r="O209" s="857">
        <f t="shared" si="38"/>
        <v>0</v>
      </c>
      <c r="P209" s="852">
        <f t="shared" si="33"/>
        <v>0</v>
      </c>
      <c r="Q209" s="854">
        <f t="shared" si="39"/>
        <v>0</v>
      </c>
      <c r="R209" s="854">
        <f t="shared" si="34"/>
        <v>0</v>
      </c>
      <c r="S209" s="843">
        <f t="shared" si="40"/>
        <v>0</v>
      </c>
      <c r="T209" s="843">
        <f t="shared" ref="T209:T272" si="42">+U209-S209</f>
        <v>0</v>
      </c>
      <c r="U209" s="843">
        <f t="shared" si="41"/>
        <v>0</v>
      </c>
      <c r="V209" s="307"/>
      <c r="W209" t="e">
        <f>+'Yeşil Defter'!#REF!</f>
        <v>#REF!</v>
      </c>
      <c r="X209" s="766"/>
    </row>
    <row r="210" spans="1:24" ht="19.95" hidden="1" customHeight="1" x14ac:dyDescent="0.3">
      <c r="A210" s="262">
        <v>2</v>
      </c>
      <c r="C210" s="873">
        <v>189</v>
      </c>
      <c r="D210" s="855" t="s">
        <v>597</v>
      </c>
      <c r="E210" s="1345" t="s">
        <v>598</v>
      </c>
      <c r="F210" s="1345"/>
      <c r="G210" s="1345"/>
      <c r="H210" s="855" t="s">
        <v>286</v>
      </c>
      <c r="I210" s="856">
        <v>15921572</v>
      </c>
      <c r="J210" s="852">
        <f>+'Yeşil Defter Dönemsel'!I209</f>
        <v>0</v>
      </c>
      <c r="K210" s="852">
        <f>+'Yeşil Defter Dönemsel'!J209</f>
        <v>0</v>
      </c>
      <c r="L210" s="852">
        <f>+'Yeşil Defter Dönemsel'!K209</f>
        <v>0</v>
      </c>
      <c r="M210" s="857">
        <f t="shared" si="36"/>
        <v>0</v>
      </c>
      <c r="N210" s="857">
        <f t="shared" si="37"/>
        <v>0</v>
      </c>
      <c r="O210" s="857">
        <f t="shared" si="38"/>
        <v>0</v>
      </c>
      <c r="P210" s="852">
        <f t="shared" si="33"/>
        <v>0</v>
      </c>
      <c r="Q210" s="854">
        <f t="shared" si="39"/>
        <v>0</v>
      </c>
      <c r="R210" s="854">
        <f t="shared" si="34"/>
        <v>0</v>
      </c>
      <c r="S210" s="843">
        <f t="shared" si="40"/>
        <v>0</v>
      </c>
      <c r="T210" s="843">
        <f t="shared" si="42"/>
        <v>0</v>
      </c>
      <c r="U210" s="843">
        <f t="shared" si="41"/>
        <v>0</v>
      </c>
      <c r="V210" s="307"/>
      <c r="W210" t="e">
        <f>+'Yeşil Defter'!#REF!</f>
        <v>#REF!</v>
      </c>
      <c r="X210" s="766"/>
    </row>
    <row r="211" spans="1:24" ht="19.95" hidden="1" customHeight="1" x14ac:dyDescent="0.3">
      <c r="A211" s="262">
        <v>2</v>
      </c>
      <c r="C211" s="873">
        <v>190</v>
      </c>
      <c r="D211" s="855" t="s">
        <v>599</v>
      </c>
      <c r="E211" s="1345" t="s">
        <v>600</v>
      </c>
      <c r="F211" s="1345"/>
      <c r="G211" s="1345"/>
      <c r="H211" s="855" t="s">
        <v>286</v>
      </c>
      <c r="I211" s="856">
        <v>25772110</v>
      </c>
      <c r="J211" s="852">
        <f>+'Yeşil Defter Dönemsel'!I210</f>
        <v>0</v>
      </c>
      <c r="K211" s="852">
        <f>+'Yeşil Defter Dönemsel'!J210</f>
        <v>0</v>
      </c>
      <c r="L211" s="852">
        <f>+'Yeşil Defter Dönemsel'!K210</f>
        <v>0</v>
      </c>
      <c r="M211" s="857">
        <f t="shared" si="36"/>
        <v>0</v>
      </c>
      <c r="N211" s="857">
        <f t="shared" si="37"/>
        <v>0</v>
      </c>
      <c r="O211" s="857">
        <f t="shared" si="38"/>
        <v>0</v>
      </c>
      <c r="P211" s="852">
        <f t="shared" si="33"/>
        <v>0</v>
      </c>
      <c r="Q211" s="854">
        <f t="shared" si="39"/>
        <v>0</v>
      </c>
      <c r="R211" s="854">
        <f t="shared" si="34"/>
        <v>0</v>
      </c>
      <c r="S211" s="843">
        <f t="shared" si="40"/>
        <v>0</v>
      </c>
      <c r="T211" s="843">
        <f t="shared" si="42"/>
        <v>0</v>
      </c>
      <c r="U211" s="843">
        <f t="shared" si="41"/>
        <v>0</v>
      </c>
      <c r="V211" s="307"/>
      <c r="W211" t="e">
        <f>+'Yeşil Defter'!#REF!</f>
        <v>#REF!</v>
      </c>
      <c r="X211" s="766"/>
    </row>
    <row r="212" spans="1:24" ht="19.95" hidden="1" customHeight="1" x14ac:dyDescent="0.3">
      <c r="A212" s="262">
        <v>2</v>
      </c>
      <c r="C212" s="873">
        <v>191</v>
      </c>
      <c r="D212" s="855" t="s">
        <v>601</v>
      </c>
      <c r="E212" s="1345" t="s">
        <v>602</v>
      </c>
      <c r="F212" s="1345"/>
      <c r="G212" s="1345"/>
      <c r="H212" s="855" t="s">
        <v>286</v>
      </c>
      <c r="I212" s="856">
        <v>8305760</v>
      </c>
      <c r="J212" s="852">
        <f>+'Yeşil Defter Dönemsel'!I211</f>
        <v>0</v>
      </c>
      <c r="K212" s="852">
        <f>+'Yeşil Defter Dönemsel'!J211</f>
        <v>0</v>
      </c>
      <c r="L212" s="852">
        <f>+'Yeşil Defter Dönemsel'!K211</f>
        <v>0</v>
      </c>
      <c r="M212" s="857">
        <f t="shared" si="36"/>
        <v>0</v>
      </c>
      <c r="N212" s="857">
        <f t="shared" si="37"/>
        <v>0</v>
      </c>
      <c r="O212" s="857">
        <f t="shared" si="38"/>
        <v>0</v>
      </c>
      <c r="P212" s="852">
        <f t="shared" si="33"/>
        <v>0</v>
      </c>
      <c r="Q212" s="854">
        <f t="shared" si="39"/>
        <v>0</v>
      </c>
      <c r="R212" s="854">
        <f t="shared" si="34"/>
        <v>0</v>
      </c>
      <c r="S212" s="843">
        <f t="shared" si="40"/>
        <v>0</v>
      </c>
      <c r="T212" s="843">
        <f t="shared" si="42"/>
        <v>0</v>
      </c>
      <c r="U212" s="843">
        <f t="shared" si="41"/>
        <v>0</v>
      </c>
      <c r="V212" s="307"/>
      <c r="W212" t="e">
        <f>+'Yeşil Defter'!#REF!</f>
        <v>#REF!</v>
      </c>
      <c r="X212" s="766"/>
    </row>
    <row r="213" spans="1:24" ht="19.95" hidden="1" customHeight="1" x14ac:dyDescent="0.3">
      <c r="A213" s="262">
        <v>2</v>
      </c>
      <c r="C213" s="873">
        <v>192</v>
      </c>
      <c r="D213" s="855" t="s">
        <v>603</v>
      </c>
      <c r="E213" s="1345" t="s">
        <v>604</v>
      </c>
      <c r="F213" s="1345"/>
      <c r="G213" s="1345"/>
      <c r="H213" s="855" t="s">
        <v>286</v>
      </c>
      <c r="I213" s="856">
        <v>8305760</v>
      </c>
      <c r="J213" s="852">
        <f>+'Yeşil Defter Dönemsel'!I212</f>
        <v>0</v>
      </c>
      <c r="K213" s="852">
        <f>+'Yeşil Defter Dönemsel'!J212</f>
        <v>0</v>
      </c>
      <c r="L213" s="852">
        <f>+'Yeşil Defter Dönemsel'!K212</f>
        <v>0</v>
      </c>
      <c r="M213" s="857">
        <f t="shared" si="36"/>
        <v>0</v>
      </c>
      <c r="N213" s="857">
        <f t="shared" si="37"/>
        <v>0</v>
      </c>
      <c r="O213" s="857">
        <f t="shared" si="38"/>
        <v>0</v>
      </c>
      <c r="P213" s="852">
        <f t="shared" si="33"/>
        <v>0</v>
      </c>
      <c r="Q213" s="854">
        <f t="shared" si="39"/>
        <v>0</v>
      </c>
      <c r="R213" s="854">
        <f t="shared" si="34"/>
        <v>0</v>
      </c>
      <c r="S213" s="843">
        <f t="shared" si="40"/>
        <v>0</v>
      </c>
      <c r="T213" s="843">
        <f t="shared" si="42"/>
        <v>0</v>
      </c>
      <c r="U213" s="843">
        <f t="shared" si="41"/>
        <v>0</v>
      </c>
      <c r="V213" s="307"/>
      <c r="W213" t="e">
        <f>+'Yeşil Defter'!#REF!</f>
        <v>#REF!</v>
      </c>
      <c r="X213" s="766"/>
    </row>
    <row r="214" spans="1:24" ht="19.95" hidden="1" customHeight="1" x14ac:dyDescent="0.3">
      <c r="A214" s="262">
        <v>2</v>
      </c>
      <c r="C214" s="873">
        <v>193</v>
      </c>
      <c r="D214" s="855" t="s">
        <v>605</v>
      </c>
      <c r="E214" s="1345" t="s">
        <v>606</v>
      </c>
      <c r="F214" s="1345"/>
      <c r="G214" s="1345"/>
      <c r="H214" s="855" t="s">
        <v>286</v>
      </c>
      <c r="I214" s="856">
        <v>8305760</v>
      </c>
      <c r="J214" s="852">
        <f>+'Yeşil Defter Dönemsel'!I213</f>
        <v>0</v>
      </c>
      <c r="K214" s="852">
        <f>+'Yeşil Defter Dönemsel'!J213</f>
        <v>0</v>
      </c>
      <c r="L214" s="852">
        <f>+'Yeşil Defter Dönemsel'!K213</f>
        <v>0</v>
      </c>
      <c r="M214" s="857">
        <f t="shared" si="36"/>
        <v>0</v>
      </c>
      <c r="N214" s="857">
        <f t="shared" si="37"/>
        <v>0</v>
      </c>
      <c r="O214" s="857">
        <f t="shared" si="38"/>
        <v>0</v>
      </c>
      <c r="P214" s="852">
        <f t="shared" si="33"/>
        <v>0</v>
      </c>
      <c r="Q214" s="854">
        <f t="shared" si="39"/>
        <v>0</v>
      </c>
      <c r="R214" s="854">
        <f t="shared" si="34"/>
        <v>0</v>
      </c>
      <c r="S214" s="843">
        <f t="shared" si="40"/>
        <v>0</v>
      </c>
      <c r="T214" s="843">
        <f t="shared" si="42"/>
        <v>0</v>
      </c>
      <c r="U214" s="843">
        <f t="shared" si="41"/>
        <v>0</v>
      </c>
      <c r="V214" s="307"/>
      <c r="W214" t="e">
        <f>+'Yeşil Defter'!#REF!</f>
        <v>#REF!</v>
      </c>
      <c r="X214" s="766"/>
    </row>
    <row r="215" spans="1:24" ht="19.95" hidden="1" customHeight="1" x14ac:dyDescent="0.3">
      <c r="A215" s="262">
        <v>2</v>
      </c>
      <c r="C215" s="873">
        <v>194</v>
      </c>
      <c r="D215" s="855" t="s">
        <v>607</v>
      </c>
      <c r="E215" s="1345" t="s">
        <v>608</v>
      </c>
      <c r="F215" s="1345"/>
      <c r="G215" s="1345"/>
      <c r="H215" s="855" t="s">
        <v>286</v>
      </c>
      <c r="I215" s="856">
        <v>8305760</v>
      </c>
      <c r="J215" s="852">
        <f>+'Yeşil Defter Dönemsel'!I214</f>
        <v>0</v>
      </c>
      <c r="K215" s="852">
        <f>+'Yeşil Defter Dönemsel'!J214</f>
        <v>0</v>
      </c>
      <c r="L215" s="852">
        <f>+'Yeşil Defter Dönemsel'!K214</f>
        <v>0</v>
      </c>
      <c r="M215" s="857">
        <f t="shared" si="36"/>
        <v>0</v>
      </c>
      <c r="N215" s="857">
        <f t="shared" si="37"/>
        <v>0</v>
      </c>
      <c r="O215" s="857">
        <f t="shared" si="38"/>
        <v>0</v>
      </c>
      <c r="P215" s="852">
        <f t="shared" si="33"/>
        <v>0</v>
      </c>
      <c r="Q215" s="854">
        <f t="shared" si="39"/>
        <v>0</v>
      </c>
      <c r="R215" s="854">
        <f t="shared" si="34"/>
        <v>0</v>
      </c>
      <c r="S215" s="843">
        <f t="shared" si="40"/>
        <v>0</v>
      </c>
      <c r="T215" s="843">
        <f t="shared" si="42"/>
        <v>0</v>
      </c>
      <c r="U215" s="843">
        <f t="shared" si="41"/>
        <v>0</v>
      </c>
      <c r="V215" s="307"/>
      <c r="W215" t="e">
        <f>+'Yeşil Defter'!#REF!</f>
        <v>#REF!</v>
      </c>
      <c r="X215" s="766"/>
    </row>
    <row r="216" spans="1:24" ht="19.95" hidden="1" customHeight="1" x14ac:dyDescent="0.3">
      <c r="A216" s="262">
        <v>2</v>
      </c>
      <c r="C216" s="873">
        <v>195</v>
      </c>
      <c r="D216" s="855" t="s">
        <v>609</v>
      </c>
      <c r="E216" s="1345" t="s">
        <v>610</v>
      </c>
      <c r="F216" s="1345"/>
      <c r="G216" s="1345"/>
      <c r="H216" s="855" t="s">
        <v>286</v>
      </c>
      <c r="I216" s="856">
        <v>8305760</v>
      </c>
      <c r="J216" s="852">
        <f>+'Yeşil Defter Dönemsel'!I215</f>
        <v>0</v>
      </c>
      <c r="K216" s="852">
        <f>+'Yeşil Defter Dönemsel'!J215</f>
        <v>0</v>
      </c>
      <c r="L216" s="852">
        <f>+'Yeşil Defter Dönemsel'!K215</f>
        <v>0</v>
      </c>
      <c r="M216" s="857">
        <f t="shared" si="36"/>
        <v>0</v>
      </c>
      <c r="N216" s="857">
        <f t="shared" si="37"/>
        <v>0</v>
      </c>
      <c r="O216" s="857">
        <f t="shared" si="38"/>
        <v>0</v>
      </c>
      <c r="P216" s="852">
        <f t="shared" si="33"/>
        <v>0</v>
      </c>
      <c r="Q216" s="854">
        <f t="shared" si="39"/>
        <v>0</v>
      </c>
      <c r="R216" s="854">
        <f t="shared" si="34"/>
        <v>0</v>
      </c>
      <c r="S216" s="843">
        <f t="shared" si="40"/>
        <v>0</v>
      </c>
      <c r="T216" s="843">
        <f t="shared" si="42"/>
        <v>0</v>
      </c>
      <c r="U216" s="843">
        <f t="shared" si="41"/>
        <v>0</v>
      </c>
      <c r="V216" s="307"/>
      <c r="W216" t="e">
        <f>+'Yeşil Defter'!#REF!</f>
        <v>#REF!</v>
      </c>
      <c r="X216" s="766"/>
    </row>
    <row r="217" spans="1:24" ht="19.95" hidden="1" customHeight="1" x14ac:dyDescent="0.3">
      <c r="A217" s="262">
        <v>2</v>
      </c>
      <c r="C217" s="873">
        <v>196</v>
      </c>
      <c r="D217" s="855" t="s">
        <v>611</v>
      </c>
      <c r="E217" s="1345" t="s">
        <v>612</v>
      </c>
      <c r="F217" s="1345"/>
      <c r="G217" s="1345"/>
      <c r="H217" s="855" t="s">
        <v>286</v>
      </c>
      <c r="I217" s="856">
        <v>12296950</v>
      </c>
      <c r="J217" s="852">
        <f>+'Yeşil Defter Dönemsel'!I216</f>
        <v>0</v>
      </c>
      <c r="K217" s="852">
        <f>+'Yeşil Defter Dönemsel'!J216</f>
        <v>0</v>
      </c>
      <c r="L217" s="852">
        <f>+'Yeşil Defter Dönemsel'!K216</f>
        <v>0</v>
      </c>
      <c r="M217" s="857">
        <f t="shared" si="36"/>
        <v>0</v>
      </c>
      <c r="N217" s="857">
        <f t="shared" si="37"/>
        <v>0</v>
      </c>
      <c r="O217" s="857">
        <f t="shared" si="38"/>
        <v>0</v>
      </c>
      <c r="P217" s="852">
        <f t="shared" si="33"/>
        <v>0</v>
      </c>
      <c r="Q217" s="854">
        <f t="shared" si="39"/>
        <v>0</v>
      </c>
      <c r="R217" s="854">
        <f t="shared" si="34"/>
        <v>0</v>
      </c>
      <c r="S217" s="843">
        <f t="shared" si="40"/>
        <v>0</v>
      </c>
      <c r="T217" s="843">
        <f t="shared" si="42"/>
        <v>0</v>
      </c>
      <c r="U217" s="843">
        <f t="shared" si="41"/>
        <v>0</v>
      </c>
      <c r="V217" s="307"/>
      <c r="W217" t="e">
        <f>+'Yeşil Defter'!#REF!</f>
        <v>#REF!</v>
      </c>
      <c r="X217" s="766"/>
    </row>
    <row r="218" spans="1:24" ht="19.95" hidden="1" customHeight="1" x14ac:dyDescent="0.3">
      <c r="A218" s="262">
        <v>2</v>
      </c>
      <c r="C218" s="873">
        <v>197</v>
      </c>
      <c r="D218" s="855" t="s">
        <v>613</v>
      </c>
      <c r="E218" s="1345" t="s">
        <v>614</v>
      </c>
      <c r="F218" s="1345"/>
      <c r="G218" s="1345"/>
      <c r="H218" s="855" t="s">
        <v>286</v>
      </c>
      <c r="I218" s="856">
        <v>12296950</v>
      </c>
      <c r="J218" s="852">
        <f>+'Yeşil Defter Dönemsel'!I217</f>
        <v>0</v>
      </c>
      <c r="K218" s="852">
        <f>+'Yeşil Defter Dönemsel'!J217</f>
        <v>0</v>
      </c>
      <c r="L218" s="852">
        <f>+'Yeşil Defter Dönemsel'!K217</f>
        <v>0</v>
      </c>
      <c r="M218" s="857">
        <f t="shared" si="36"/>
        <v>0</v>
      </c>
      <c r="N218" s="857">
        <f t="shared" si="37"/>
        <v>0</v>
      </c>
      <c r="O218" s="857">
        <f t="shared" si="38"/>
        <v>0</v>
      </c>
      <c r="P218" s="852">
        <f t="shared" si="33"/>
        <v>0</v>
      </c>
      <c r="Q218" s="854">
        <f t="shared" si="39"/>
        <v>0</v>
      </c>
      <c r="R218" s="854">
        <f t="shared" si="34"/>
        <v>0</v>
      </c>
      <c r="S218" s="843">
        <f t="shared" si="40"/>
        <v>0</v>
      </c>
      <c r="T218" s="843">
        <f t="shared" si="42"/>
        <v>0</v>
      </c>
      <c r="U218" s="843">
        <f t="shared" si="41"/>
        <v>0</v>
      </c>
      <c r="V218" s="307"/>
      <c r="W218" t="e">
        <f>+'Yeşil Defter'!#REF!</f>
        <v>#REF!</v>
      </c>
      <c r="X218" s="766"/>
    </row>
    <row r="219" spans="1:24" ht="19.95" hidden="1" customHeight="1" x14ac:dyDescent="0.3">
      <c r="A219" s="262">
        <v>2</v>
      </c>
      <c r="C219" s="873">
        <v>198</v>
      </c>
      <c r="D219" s="855" t="s">
        <v>615</v>
      </c>
      <c r="E219" s="1345" t="s">
        <v>616</v>
      </c>
      <c r="F219" s="1345"/>
      <c r="G219" s="1345"/>
      <c r="H219" s="855" t="s">
        <v>286</v>
      </c>
      <c r="I219" s="856">
        <v>12296950</v>
      </c>
      <c r="J219" s="852">
        <f>+'Yeşil Defter Dönemsel'!I218</f>
        <v>0</v>
      </c>
      <c r="K219" s="852">
        <f>+'Yeşil Defter Dönemsel'!J218</f>
        <v>0</v>
      </c>
      <c r="L219" s="852">
        <f>+'Yeşil Defter Dönemsel'!K218</f>
        <v>0</v>
      </c>
      <c r="M219" s="857">
        <f t="shared" si="36"/>
        <v>0</v>
      </c>
      <c r="N219" s="857">
        <f t="shared" si="37"/>
        <v>0</v>
      </c>
      <c r="O219" s="857">
        <f t="shared" si="38"/>
        <v>0</v>
      </c>
      <c r="P219" s="852">
        <f t="shared" si="33"/>
        <v>0</v>
      </c>
      <c r="Q219" s="854">
        <f t="shared" si="39"/>
        <v>0</v>
      </c>
      <c r="R219" s="854">
        <f t="shared" si="34"/>
        <v>0</v>
      </c>
      <c r="S219" s="843">
        <f t="shared" si="40"/>
        <v>0</v>
      </c>
      <c r="T219" s="843">
        <f t="shared" si="42"/>
        <v>0</v>
      </c>
      <c r="U219" s="843">
        <f t="shared" si="41"/>
        <v>0</v>
      </c>
      <c r="V219" s="307"/>
      <c r="W219" t="e">
        <f>+'Yeşil Defter'!#REF!</f>
        <v>#REF!</v>
      </c>
      <c r="X219" s="766"/>
    </row>
    <row r="220" spans="1:24" ht="19.95" hidden="1" customHeight="1" x14ac:dyDescent="0.3">
      <c r="A220" s="262">
        <v>2</v>
      </c>
      <c r="C220" s="873">
        <v>199</v>
      </c>
      <c r="D220" s="855" t="s">
        <v>617</v>
      </c>
      <c r="E220" s="1345" t="s">
        <v>618</v>
      </c>
      <c r="F220" s="1345"/>
      <c r="G220" s="1345"/>
      <c r="H220" s="855" t="s">
        <v>286</v>
      </c>
      <c r="I220" s="856">
        <v>12296950</v>
      </c>
      <c r="J220" s="852">
        <f>+'Yeşil Defter Dönemsel'!I219</f>
        <v>0</v>
      </c>
      <c r="K220" s="852">
        <f>+'Yeşil Defter Dönemsel'!J219</f>
        <v>0</v>
      </c>
      <c r="L220" s="852">
        <f>+'Yeşil Defter Dönemsel'!K219</f>
        <v>0</v>
      </c>
      <c r="M220" s="857">
        <f t="shared" si="36"/>
        <v>0</v>
      </c>
      <c r="N220" s="857">
        <f t="shared" si="37"/>
        <v>0</v>
      </c>
      <c r="O220" s="857">
        <f t="shared" si="38"/>
        <v>0</v>
      </c>
      <c r="P220" s="852">
        <f t="shared" si="33"/>
        <v>0</v>
      </c>
      <c r="Q220" s="854">
        <f t="shared" si="39"/>
        <v>0</v>
      </c>
      <c r="R220" s="854">
        <f t="shared" si="34"/>
        <v>0</v>
      </c>
      <c r="S220" s="843">
        <f t="shared" si="40"/>
        <v>0</v>
      </c>
      <c r="T220" s="843">
        <f t="shared" si="42"/>
        <v>0</v>
      </c>
      <c r="U220" s="843">
        <f t="shared" si="41"/>
        <v>0</v>
      </c>
      <c r="V220" s="307"/>
      <c r="W220" t="e">
        <f>+'Yeşil Defter'!#REF!</f>
        <v>#REF!</v>
      </c>
      <c r="X220" s="766"/>
    </row>
    <row r="221" spans="1:24" ht="19.95" hidden="1" customHeight="1" x14ac:dyDescent="0.3">
      <c r="A221" s="262">
        <v>2</v>
      </c>
      <c r="C221" s="873">
        <v>200</v>
      </c>
      <c r="D221" s="855" t="s">
        <v>619</v>
      </c>
      <c r="E221" s="1345" t="s">
        <v>620</v>
      </c>
      <c r="F221" s="1345"/>
      <c r="G221" s="1345"/>
      <c r="H221" s="855" t="s">
        <v>286</v>
      </c>
      <c r="I221" s="856">
        <v>12296950</v>
      </c>
      <c r="J221" s="852">
        <f>+'Yeşil Defter Dönemsel'!I220</f>
        <v>0</v>
      </c>
      <c r="K221" s="852">
        <f>+'Yeşil Defter Dönemsel'!J220</f>
        <v>0</v>
      </c>
      <c r="L221" s="852">
        <f>+'Yeşil Defter Dönemsel'!K220</f>
        <v>0</v>
      </c>
      <c r="M221" s="857">
        <f t="shared" si="36"/>
        <v>0</v>
      </c>
      <c r="N221" s="857">
        <f t="shared" si="37"/>
        <v>0</v>
      </c>
      <c r="O221" s="857">
        <f t="shared" si="38"/>
        <v>0</v>
      </c>
      <c r="P221" s="852">
        <f t="shared" si="33"/>
        <v>0</v>
      </c>
      <c r="Q221" s="854">
        <f t="shared" si="39"/>
        <v>0</v>
      </c>
      <c r="R221" s="854">
        <f t="shared" si="34"/>
        <v>0</v>
      </c>
      <c r="S221" s="843">
        <f t="shared" si="40"/>
        <v>0</v>
      </c>
      <c r="T221" s="843">
        <f t="shared" si="42"/>
        <v>0</v>
      </c>
      <c r="U221" s="843">
        <f t="shared" si="41"/>
        <v>0</v>
      </c>
      <c r="V221" s="307"/>
      <c r="W221" t="e">
        <f>+'Yeşil Defter'!#REF!</f>
        <v>#REF!</v>
      </c>
      <c r="X221" s="766"/>
    </row>
    <row r="222" spans="1:24" ht="19.95" hidden="1" customHeight="1" x14ac:dyDescent="0.3">
      <c r="A222" s="262">
        <v>2</v>
      </c>
      <c r="C222" s="873">
        <v>201</v>
      </c>
      <c r="D222" s="855" t="s">
        <v>621</v>
      </c>
      <c r="E222" s="1345" t="s">
        <v>622</v>
      </c>
      <c r="F222" s="1345"/>
      <c r="G222" s="1345"/>
      <c r="H222" s="855" t="s">
        <v>286</v>
      </c>
      <c r="I222" s="856">
        <v>10347418</v>
      </c>
      <c r="J222" s="852">
        <f>+'Yeşil Defter Dönemsel'!I221</f>
        <v>0</v>
      </c>
      <c r="K222" s="852">
        <f>+'Yeşil Defter Dönemsel'!J221</f>
        <v>0</v>
      </c>
      <c r="L222" s="852">
        <f>+'Yeşil Defter Dönemsel'!K221</f>
        <v>0</v>
      </c>
      <c r="M222" s="857">
        <f t="shared" si="36"/>
        <v>0</v>
      </c>
      <c r="N222" s="857">
        <f t="shared" si="37"/>
        <v>0</v>
      </c>
      <c r="O222" s="857">
        <f t="shared" si="38"/>
        <v>0</v>
      </c>
      <c r="P222" s="852">
        <f t="shared" si="33"/>
        <v>0</v>
      </c>
      <c r="Q222" s="854">
        <f t="shared" si="39"/>
        <v>0</v>
      </c>
      <c r="R222" s="854">
        <f t="shared" si="34"/>
        <v>0</v>
      </c>
      <c r="S222" s="843">
        <f t="shared" si="40"/>
        <v>0</v>
      </c>
      <c r="T222" s="843">
        <f t="shared" si="42"/>
        <v>0</v>
      </c>
      <c r="U222" s="843">
        <f t="shared" si="41"/>
        <v>0</v>
      </c>
      <c r="V222" s="307"/>
      <c r="W222" t="e">
        <f>+'Yeşil Defter'!#REF!</f>
        <v>#REF!</v>
      </c>
      <c r="X222" s="766"/>
    </row>
    <row r="223" spans="1:24" ht="19.95" hidden="1" customHeight="1" x14ac:dyDescent="0.3">
      <c r="A223" s="262">
        <v>2</v>
      </c>
      <c r="C223" s="873">
        <v>202</v>
      </c>
      <c r="D223" s="855" t="s">
        <v>623</v>
      </c>
      <c r="E223" s="1345" t="s">
        <v>624</v>
      </c>
      <c r="F223" s="1345"/>
      <c r="G223" s="1345"/>
      <c r="H223" s="855" t="s">
        <v>286</v>
      </c>
      <c r="I223" s="856">
        <v>11316761</v>
      </c>
      <c r="J223" s="852">
        <f>+'Yeşil Defter Dönemsel'!I222</f>
        <v>0</v>
      </c>
      <c r="K223" s="852">
        <f>+'Yeşil Defter Dönemsel'!J222</f>
        <v>0</v>
      </c>
      <c r="L223" s="852">
        <f>+'Yeşil Defter Dönemsel'!K222</f>
        <v>0</v>
      </c>
      <c r="M223" s="857">
        <f t="shared" si="36"/>
        <v>0</v>
      </c>
      <c r="N223" s="857">
        <f t="shared" si="37"/>
        <v>0</v>
      </c>
      <c r="O223" s="857">
        <f t="shared" si="38"/>
        <v>0</v>
      </c>
      <c r="P223" s="852">
        <f t="shared" si="33"/>
        <v>0</v>
      </c>
      <c r="Q223" s="854">
        <f t="shared" si="39"/>
        <v>0</v>
      </c>
      <c r="R223" s="854">
        <f t="shared" si="34"/>
        <v>0</v>
      </c>
      <c r="S223" s="843">
        <f t="shared" si="40"/>
        <v>0</v>
      </c>
      <c r="T223" s="843">
        <f t="shared" si="42"/>
        <v>0</v>
      </c>
      <c r="U223" s="843">
        <f t="shared" si="41"/>
        <v>0</v>
      </c>
      <c r="V223" s="307"/>
      <c r="W223" t="e">
        <f>+'Yeşil Defter'!#REF!</f>
        <v>#REF!</v>
      </c>
      <c r="X223" s="766"/>
    </row>
    <row r="224" spans="1:24" ht="19.95" hidden="1" customHeight="1" x14ac:dyDescent="0.3">
      <c r="A224" s="262">
        <v>2</v>
      </c>
      <c r="C224" s="873">
        <v>203</v>
      </c>
      <c r="D224" s="855" t="s">
        <v>625</v>
      </c>
      <c r="E224" s="1345" t="s">
        <v>626</v>
      </c>
      <c r="F224" s="1345"/>
      <c r="G224" s="1345"/>
      <c r="H224" s="855" t="s">
        <v>286</v>
      </c>
      <c r="I224" s="856">
        <v>12286105</v>
      </c>
      <c r="J224" s="852">
        <f>+'Yeşil Defter Dönemsel'!I223</f>
        <v>0</v>
      </c>
      <c r="K224" s="852">
        <f>+'Yeşil Defter Dönemsel'!J223</f>
        <v>0</v>
      </c>
      <c r="L224" s="852">
        <f>+'Yeşil Defter Dönemsel'!K223</f>
        <v>0</v>
      </c>
      <c r="M224" s="857">
        <f t="shared" si="36"/>
        <v>0</v>
      </c>
      <c r="N224" s="857">
        <f t="shared" si="37"/>
        <v>0</v>
      </c>
      <c r="O224" s="857">
        <f t="shared" si="38"/>
        <v>0</v>
      </c>
      <c r="P224" s="852">
        <f t="shared" si="33"/>
        <v>0</v>
      </c>
      <c r="Q224" s="854">
        <f t="shared" si="39"/>
        <v>0</v>
      </c>
      <c r="R224" s="854">
        <f t="shared" si="34"/>
        <v>0</v>
      </c>
      <c r="S224" s="843">
        <f t="shared" si="40"/>
        <v>0</v>
      </c>
      <c r="T224" s="843">
        <f t="shared" si="42"/>
        <v>0</v>
      </c>
      <c r="U224" s="843">
        <f t="shared" si="41"/>
        <v>0</v>
      </c>
      <c r="V224" s="307"/>
      <c r="W224" t="e">
        <f>+'Yeşil Defter'!#REF!</f>
        <v>#REF!</v>
      </c>
      <c r="X224" s="766"/>
    </row>
    <row r="225" spans="1:24" ht="19.95" hidden="1" customHeight="1" x14ac:dyDescent="0.3">
      <c r="A225" s="262">
        <v>2</v>
      </c>
      <c r="C225" s="873">
        <v>204</v>
      </c>
      <c r="D225" s="855" t="s">
        <v>627</v>
      </c>
      <c r="E225" s="1345" t="s">
        <v>628</v>
      </c>
      <c r="F225" s="1345"/>
      <c r="G225" s="1345"/>
      <c r="H225" s="855" t="s">
        <v>286</v>
      </c>
      <c r="I225" s="856">
        <v>11962990</v>
      </c>
      <c r="J225" s="852">
        <f>+'Yeşil Defter Dönemsel'!I224</f>
        <v>0</v>
      </c>
      <c r="K225" s="852">
        <f>+'Yeşil Defter Dönemsel'!J224</f>
        <v>0</v>
      </c>
      <c r="L225" s="852">
        <f>+'Yeşil Defter Dönemsel'!K224</f>
        <v>0</v>
      </c>
      <c r="M225" s="857">
        <f t="shared" si="36"/>
        <v>0</v>
      </c>
      <c r="N225" s="857">
        <f t="shared" si="37"/>
        <v>0</v>
      </c>
      <c r="O225" s="857">
        <f t="shared" si="38"/>
        <v>0</v>
      </c>
      <c r="P225" s="852">
        <f t="shared" si="33"/>
        <v>0</v>
      </c>
      <c r="Q225" s="854">
        <f t="shared" si="39"/>
        <v>0</v>
      </c>
      <c r="R225" s="854">
        <f t="shared" si="34"/>
        <v>0</v>
      </c>
      <c r="S225" s="843">
        <f t="shared" si="40"/>
        <v>0</v>
      </c>
      <c r="T225" s="843">
        <f t="shared" si="42"/>
        <v>0</v>
      </c>
      <c r="U225" s="843">
        <f t="shared" si="41"/>
        <v>0</v>
      </c>
      <c r="V225" s="307"/>
      <c r="W225" t="e">
        <f>+'Yeşil Defter'!#REF!</f>
        <v>#REF!</v>
      </c>
      <c r="X225" s="766"/>
    </row>
    <row r="226" spans="1:24" ht="19.95" hidden="1" customHeight="1" x14ac:dyDescent="0.3">
      <c r="A226" s="262">
        <v>2</v>
      </c>
      <c r="C226" s="873">
        <v>205</v>
      </c>
      <c r="D226" s="855" t="s">
        <v>629</v>
      </c>
      <c r="E226" s="1345" t="s">
        <v>630</v>
      </c>
      <c r="F226" s="1345"/>
      <c r="G226" s="1345"/>
      <c r="H226" s="855" t="s">
        <v>286</v>
      </c>
      <c r="I226" s="856">
        <v>12286105</v>
      </c>
      <c r="J226" s="852">
        <f>+'Yeşil Defter Dönemsel'!I225</f>
        <v>0</v>
      </c>
      <c r="K226" s="852">
        <f>+'Yeşil Defter Dönemsel'!J225</f>
        <v>0</v>
      </c>
      <c r="L226" s="852">
        <f>+'Yeşil Defter Dönemsel'!K225</f>
        <v>0</v>
      </c>
      <c r="M226" s="857">
        <f t="shared" si="36"/>
        <v>0</v>
      </c>
      <c r="N226" s="857">
        <f t="shared" si="37"/>
        <v>0</v>
      </c>
      <c r="O226" s="857">
        <f t="shared" si="38"/>
        <v>0</v>
      </c>
      <c r="P226" s="852">
        <f t="shared" si="33"/>
        <v>0</v>
      </c>
      <c r="Q226" s="854">
        <f t="shared" si="39"/>
        <v>0</v>
      </c>
      <c r="R226" s="854">
        <f t="shared" si="34"/>
        <v>0</v>
      </c>
      <c r="S226" s="843">
        <f t="shared" si="40"/>
        <v>0</v>
      </c>
      <c r="T226" s="843">
        <f t="shared" si="42"/>
        <v>0</v>
      </c>
      <c r="U226" s="843">
        <f t="shared" si="41"/>
        <v>0</v>
      </c>
      <c r="V226" s="307"/>
      <c r="W226" t="e">
        <f>+'Yeşil Defter'!#REF!</f>
        <v>#REF!</v>
      </c>
      <c r="X226" s="766"/>
    </row>
    <row r="227" spans="1:24" ht="19.95" hidden="1" customHeight="1" x14ac:dyDescent="0.3">
      <c r="A227" s="262">
        <v>2</v>
      </c>
      <c r="C227" s="873">
        <v>206</v>
      </c>
      <c r="D227" s="855" t="s">
        <v>631</v>
      </c>
      <c r="E227" s="1345" t="s">
        <v>632</v>
      </c>
      <c r="F227" s="1345"/>
      <c r="G227" s="1345"/>
      <c r="H227" s="855" t="s">
        <v>286</v>
      </c>
      <c r="I227" s="856">
        <v>28101296</v>
      </c>
      <c r="J227" s="852">
        <f>+'Yeşil Defter Dönemsel'!I226</f>
        <v>0</v>
      </c>
      <c r="K227" s="852">
        <f>+'Yeşil Defter Dönemsel'!J226</f>
        <v>0</v>
      </c>
      <c r="L227" s="852">
        <f>+'Yeşil Defter Dönemsel'!K226</f>
        <v>0</v>
      </c>
      <c r="M227" s="857">
        <f t="shared" si="36"/>
        <v>0</v>
      </c>
      <c r="N227" s="857">
        <f t="shared" si="37"/>
        <v>0</v>
      </c>
      <c r="O227" s="857">
        <f t="shared" si="38"/>
        <v>0</v>
      </c>
      <c r="P227" s="852">
        <f t="shared" si="33"/>
        <v>0</v>
      </c>
      <c r="Q227" s="854">
        <f t="shared" si="39"/>
        <v>0</v>
      </c>
      <c r="R227" s="854">
        <f t="shared" si="34"/>
        <v>0</v>
      </c>
      <c r="S227" s="843">
        <f t="shared" si="40"/>
        <v>0</v>
      </c>
      <c r="T227" s="843">
        <f t="shared" si="42"/>
        <v>0</v>
      </c>
      <c r="U227" s="843">
        <f t="shared" si="41"/>
        <v>0</v>
      </c>
      <c r="V227" s="307"/>
      <c r="W227" t="e">
        <f>+'Yeşil Defter'!#REF!</f>
        <v>#REF!</v>
      </c>
      <c r="X227" s="766"/>
    </row>
    <row r="228" spans="1:24" ht="19.95" hidden="1" customHeight="1" x14ac:dyDescent="0.3">
      <c r="A228" s="262">
        <v>2</v>
      </c>
      <c r="C228" s="873">
        <v>207</v>
      </c>
      <c r="D228" s="855" t="s">
        <v>633</v>
      </c>
      <c r="E228" s="1345" t="s">
        <v>634</v>
      </c>
      <c r="F228" s="1345"/>
      <c r="G228" s="1345"/>
      <c r="H228" s="855" t="s">
        <v>286</v>
      </c>
      <c r="I228" s="856">
        <v>1415706</v>
      </c>
      <c r="J228" s="852">
        <f>+'Yeşil Defter Dönemsel'!I227</f>
        <v>0</v>
      </c>
      <c r="K228" s="852">
        <f>+'Yeşil Defter Dönemsel'!J227</f>
        <v>0</v>
      </c>
      <c r="L228" s="852">
        <f>+'Yeşil Defter Dönemsel'!K227</f>
        <v>0</v>
      </c>
      <c r="M228" s="857">
        <f t="shared" si="36"/>
        <v>0</v>
      </c>
      <c r="N228" s="857">
        <f t="shared" si="37"/>
        <v>0</v>
      </c>
      <c r="O228" s="857">
        <f t="shared" si="38"/>
        <v>0</v>
      </c>
      <c r="P228" s="852">
        <f t="shared" si="33"/>
        <v>0</v>
      </c>
      <c r="Q228" s="854">
        <f t="shared" si="39"/>
        <v>0</v>
      </c>
      <c r="R228" s="854">
        <f t="shared" si="34"/>
        <v>0</v>
      </c>
      <c r="S228" s="843">
        <f t="shared" si="40"/>
        <v>0</v>
      </c>
      <c r="T228" s="843">
        <f t="shared" si="42"/>
        <v>0</v>
      </c>
      <c r="U228" s="843">
        <f t="shared" si="41"/>
        <v>0</v>
      </c>
      <c r="V228" s="307"/>
      <c r="W228" t="e">
        <f>+'Yeşil Defter'!#REF!</f>
        <v>#REF!</v>
      </c>
      <c r="X228" s="766"/>
    </row>
    <row r="229" spans="1:24" ht="19.95" hidden="1" customHeight="1" x14ac:dyDescent="0.3">
      <c r="A229" s="262">
        <v>2</v>
      </c>
      <c r="C229" s="873">
        <v>208</v>
      </c>
      <c r="D229" s="855" t="s">
        <v>635</v>
      </c>
      <c r="E229" s="1345" t="s">
        <v>636</v>
      </c>
      <c r="F229" s="1345"/>
      <c r="G229" s="1345"/>
      <c r="H229" s="855" t="s">
        <v>286</v>
      </c>
      <c r="I229" s="856">
        <v>1415706</v>
      </c>
      <c r="J229" s="852">
        <f>+'Yeşil Defter Dönemsel'!I228</f>
        <v>0</v>
      </c>
      <c r="K229" s="852">
        <f>+'Yeşil Defter Dönemsel'!J228</f>
        <v>0</v>
      </c>
      <c r="L229" s="852">
        <f>+'Yeşil Defter Dönemsel'!K228</f>
        <v>0</v>
      </c>
      <c r="M229" s="857">
        <f t="shared" si="36"/>
        <v>0</v>
      </c>
      <c r="N229" s="857">
        <f t="shared" si="37"/>
        <v>0</v>
      </c>
      <c r="O229" s="857">
        <f t="shared" si="38"/>
        <v>0</v>
      </c>
      <c r="P229" s="852">
        <f t="shared" si="33"/>
        <v>0</v>
      </c>
      <c r="Q229" s="854">
        <f t="shared" si="39"/>
        <v>0</v>
      </c>
      <c r="R229" s="854">
        <f t="shared" si="34"/>
        <v>0</v>
      </c>
      <c r="S229" s="843">
        <f t="shared" si="40"/>
        <v>0</v>
      </c>
      <c r="T229" s="843">
        <f t="shared" si="42"/>
        <v>0</v>
      </c>
      <c r="U229" s="843">
        <f t="shared" si="41"/>
        <v>0</v>
      </c>
      <c r="V229" s="307"/>
      <c r="W229" t="e">
        <f>+'Yeşil Defter'!#REF!</f>
        <v>#REF!</v>
      </c>
      <c r="X229" s="766"/>
    </row>
    <row r="230" spans="1:24" ht="19.95" hidden="1" customHeight="1" x14ac:dyDescent="0.3">
      <c r="A230" s="262">
        <v>2</v>
      </c>
      <c r="C230" s="873">
        <v>209</v>
      </c>
      <c r="D230" s="855" t="s">
        <v>637</v>
      </c>
      <c r="E230" s="1345" t="s">
        <v>638</v>
      </c>
      <c r="F230" s="1345"/>
      <c r="G230" s="1345"/>
      <c r="H230" s="855" t="s">
        <v>286</v>
      </c>
      <c r="I230" s="856">
        <v>1415706</v>
      </c>
      <c r="J230" s="852">
        <f>+'Yeşil Defter Dönemsel'!I229</f>
        <v>0</v>
      </c>
      <c r="K230" s="852">
        <f>+'Yeşil Defter Dönemsel'!J229</f>
        <v>0</v>
      </c>
      <c r="L230" s="852">
        <f>+'Yeşil Defter Dönemsel'!K229</f>
        <v>0</v>
      </c>
      <c r="M230" s="857">
        <f t="shared" si="36"/>
        <v>0</v>
      </c>
      <c r="N230" s="857">
        <f t="shared" si="37"/>
        <v>0</v>
      </c>
      <c r="O230" s="857">
        <f t="shared" si="38"/>
        <v>0</v>
      </c>
      <c r="P230" s="852">
        <f t="shared" si="33"/>
        <v>0</v>
      </c>
      <c r="Q230" s="854">
        <f t="shared" si="39"/>
        <v>0</v>
      </c>
      <c r="R230" s="854">
        <f t="shared" si="34"/>
        <v>0</v>
      </c>
      <c r="S230" s="843">
        <f t="shared" si="40"/>
        <v>0</v>
      </c>
      <c r="T230" s="843">
        <f t="shared" si="42"/>
        <v>0</v>
      </c>
      <c r="U230" s="843">
        <f t="shared" si="41"/>
        <v>0</v>
      </c>
      <c r="V230" s="307"/>
      <c r="W230" t="e">
        <f>+'Yeşil Defter'!#REF!</f>
        <v>#REF!</v>
      </c>
      <c r="X230" s="766"/>
    </row>
    <row r="231" spans="1:24" ht="19.95" hidden="1" customHeight="1" x14ac:dyDescent="0.3">
      <c r="A231" s="262">
        <v>2</v>
      </c>
      <c r="C231" s="873">
        <v>210</v>
      </c>
      <c r="D231" s="855" t="s">
        <v>639</v>
      </c>
      <c r="E231" s="1345" t="s">
        <v>640</v>
      </c>
      <c r="F231" s="1345"/>
      <c r="G231" s="1345"/>
      <c r="H231" s="855" t="s">
        <v>286</v>
      </c>
      <c r="I231" s="856">
        <v>1415706</v>
      </c>
      <c r="J231" s="852">
        <f>+'Yeşil Defter Dönemsel'!I230</f>
        <v>0</v>
      </c>
      <c r="K231" s="852">
        <f>+'Yeşil Defter Dönemsel'!J230</f>
        <v>0</v>
      </c>
      <c r="L231" s="852">
        <f>+'Yeşil Defter Dönemsel'!K230</f>
        <v>0</v>
      </c>
      <c r="M231" s="857">
        <f t="shared" si="36"/>
        <v>0</v>
      </c>
      <c r="N231" s="857">
        <f t="shared" si="37"/>
        <v>0</v>
      </c>
      <c r="O231" s="857">
        <f t="shared" si="38"/>
        <v>0</v>
      </c>
      <c r="P231" s="852">
        <f t="shared" si="33"/>
        <v>0</v>
      </c>
      <c r="Q231" s="854">
        <f t="shared" si="39"/>
        <v>0</v>
      </c>
      <c r="R231" s="854">
        <f t="shared" si="34"/>
        <v>0</v>
      </c>
      <c r="S231" s="843">
        <f t="shared" si="40"/>
        <v>0</v>
      </c>
      <c r="T231" s="843">
        <f t="shared" si="42"/>
        <v>0</v>
      </c>
      <c r="U231" s="843">
        <f t="shared" si="41"/>
        <v>0</v>
      </c>
      <c r="V231" s="307"/>
      <c r="W231" t="e">
        <f>+'Yeşil Defter'!#REF!</f>
        <v>#REF!</v>
      </c>
      <c r="X231" s="766"/>
    </row>
    <row r="232" spans="1:24" ht="19.95" hidden="1" customHeight="1" x14ac:dyDescent="0.3">
      <c r="A232" s="262">
        <v>2</v>
      </c>
      <c r="C232" s="873">
        <v>211</v>
      </c>
      <c r="D232" s="855" t="s">
        <v>641</v>
      </c>
      <c r="E232" s="1345" t="s">
        <v>642</v>
      </c>
      <c r="F232" s="1345"/>
      <c r="G232" s="1345"/>
      <c r="H232" s="855" t="s">
        <v>286</v>
      </c>
      <c r="I232" s="856">
        <v>1415706</v>
      </c>
      <c r="J232" s="852">
        <f>+'Yeşil Defter Dönemsel'!I231</f>
        <v>0</v>
      </c>
      <c r="K232" s="852">
        <f>+'Yeşil Defter Dönemsel'!J231</f>
        <v>0</v>
      </c>
      <c r="L232" s="852">
        <f>+'Yeşil Defter Dönemsel'!K231</f>
        <v>0</v>
      </c>
      <c r="M232" s="857">
        <f t="shared" si="36"/>
        <v>0</v>
      </c>
      <c r="N232" s="857">
        <f t="shared" si="37"/>
        <v>0</v>
      </c>
      <c r="O232" s="857">
        <f t="shared" si="38"/>
        <v>0</v>
      </c>
      <c r="P232" s="852">
        <f t="shared" si="33"/>
        <v>0</v>
      </c>
      <c r="Q232" s="854">
        <f t="shared" si="39"/>
        <v>0</v>
      </c>
      <c r="R232" s="854">
        <f t="shared" si="34"/>
        <v>0</v>
      </c>
      <c r="S232" s="843">
        <f t="shared" si="40"/>
        <v>0</v>
      </c>
      <c r="T232" s="843">
        <f t="shared" si="42"/>
        <v>0</v>
      </c>
      <c r="U232" s="843">
        <f t="shared" si="41"/>
        <v>0</v>
      </c>
      <c r="V232" s="307"/>
      <c r="W232" t="e">
        <f>+'Yeşil Defter'!#REF!</f>
        <v>#REF!</v>
      </c>
      <c r="X232" s="766"/>
    </row>
    <row r="233" spans="1:24" ht="19.95" hidden="1" customHeight="1" x14ac:dyDescent="0.3">
      <c r="A233" s="262">
        <v>2</v>
      </c>
      <c r="C233" s="873">
        <v>212</v>
      </c>
      <c r="D233" s="855" t="s">
        <v>643</v>
      </c>
      <c r="E233" s="1345" t="s">
        <v>644</v>
      </c>
      <c r="F233" s="1345"/>
      <c r="G233" s="1345"/>
      <c r="H233" s="855" t="s">
        <v>286</v>
      </c>
      <c r="I233" s="856">
        <v>17873116</v>
      </c>
      <c r="J233" s="852">
        <f>+'Yeşil Defter Dönemsel'!I232</f>
        <v>0</v>
      </c>
      <c r="K233" s="852">
        <f>+'Yeşil Defter Dönemsel'!J232</f>
        <v>0</v>
      </c>
      <c r="L233" s="852">
        <f>+'Yeşil Defter Dönemsel'!K232</f>
        <v>0</v>
      </c>
      <c r="M233" s="857">
        <f t="shared" si="36"/>
        <v>0</v>
      </c>
      <c r="N233" s="857">
        <f t="shared" si="37"/>
        <v>0</v>
      </c>
      <c r="O233" s="857">
        <f t="shared" si="38"/>
        <v>0</v>
      </c>
      <c r="P233" s="852">
        <f t="shared" si="33"/>
        <v>0</v>
      </c>
      <c r="Q233" s="854">
        <f t="shared" si="39"/>
        <v>0</v>
      </c>
      <c r="R233" s="854">
        <f t="shared" si="34"/>
        <v>0</v>
      </c>
      <c r="S233" s="843">
        <f t="shared" si="40"/>
        <v>0</v>
      </c>
      <c r="T233" s="843">
        <f t="shared" si="42"/>
        <v>0</v>
      </c>
      <c r="U233" s="843">
        <f t="shared" si="41"/>
        <v>0</v>
      </c>
      <c r="V233" s="307"/>
      <c r="W233" t="e">
        <f>+'Yeşil Defter'!#REF!</f>
        <v>#REF!</v>
      </c>
      <c r="X233" s="766"/>
    </row>
    <row r="234" spans="1:24" ht="19.95" hidden="1" customHeight="1" x14ac:dyDescent="0.3">
      <c r="A234" s="262">
        <v>2</v>
      </c>
      <c r="C234" s="873">
        <v>213</v>
      </c>
      <c r="D234" s="855" t="s">
        <v>645</v>
      </c>
      <c r="E234" s="1345" t="s">
        <v>646</v>
      </c>
      <c r="F234" s="1345"/>
      <c r="G234" s="1345"/>
      <c r="H234" s="855" t="s">
        <v>286</v>
      </c>
      <c r="I234" s="856">
        <v>21676260</v>
      </c>
      <c r="J234" s="852">
        <f>+'Yeşil Defter Dönemsel'!I233</f>
        <v>0</v>
      </c>
      <c r="K234" s="852">
        <f>+'Yeşil Defter Dönemsel'!J233</f>
        <v>0</v>
      </c>
      <c r="L234" s="852">
        <f>+'Yeşil Defter Dönemsel'!K233</f>
        <v>0</v>
      </c>
      <c r="M234" s="857">
        <f t="shared" si="36"/>
        <v>0</v>
      </c>
      <c r="N234" s="857">
        <f t="shared" si="37"/>
        <v>0</v>
      </c>
      <c r="O234" s="857">
        <f t="shared" si="38"/>
        <v>0</v>
      </c>
      <c r="P234" s="852">
        <f t="shared" si="33"/>
        <v>0</v>
      </c>
      <c r="Q234" s="854">
        <f t="shared" si="39"/>
        <v>0</v>
      </c>
      <c r="R234" s="854">
        <f t="shared" si="34"/>
        <v>0</v>
      </c>
      <c r="S234" s="843">
        <f t="shared" si="40"/>
        <v>0</v>
      </c>
      <c r="T234" s="843">
        <f t="shared" si="42"/>
        <v>0</v>
      </c>
      <c r="U234" s="843">
        <f t="shared" si="41"/>
        <v>0</v>
      </c>
      <c r="V234" s="307"/>
      <c r="W234" t="e">
        <f>+'Yeşil Defter'!#REF!</f>
        <v>#REF!</v>
      </c>
      <c r="X234" s="766"/>
    </row>
    <row r="235" spans="1:24" ht="19.95" hidden="1" customHeight="1" x14ac:dyDescent="0.3">
      <c r="A235" s="262">
        <v>2</v>
      </c>
      <c r="C235" s="873">
        <v>214</v>
      </c>
      <c r="D235" s="855" t="s">
        <v>647</v>
      </c>
      <c r="E235" s="1345" t="s">
        <v>648</v>
      </c>
      <c r="F235" s="1345"/>
      <c r="G235" s="1345"/>
      <c r="H235" s="855" t="s">
        <v>286</v>
      </c>
      <c r="I235" s="856">
        <v>19075108</v>
      </c>
      <c r="J235" s="852">
        <f>+'Yeşil Defter Dönemsel'!I234</f>
        <v>0</v>
      </c>
      <c r="K235" s="852">
        <f>+'Yeşil Defter Dönemsel'!J234</f>
        <v>0</v>
      </c>
      <c r="L235" s="852">
        <f>+'Yeşil Defter Dönemsel'!K234</f>
        <v>0</v>
      </c>
      <c r="M235" s="857">
        <f t="shared" si="36"/>
        <v>0</v>
      </c>
      <c r="N235" s="857">
        <f t="shared" si="37"/>
        <v>0</v>
      </c>
      <c r="O235" s="857">
        <f t="shared" si="38"/>
        <v>0</v>
      </c>
      <c r="P235" s="852">
        <f t="shared" si="33"/>
        <v>0</v>
      </c>
      <c r="Q235" s="854">
        <f t="shared" si="39"/>
        <v>0</v>
      </c>
      <c r="R235" s="854">
        <f t="shared" si="34"/>
        <v>0</v>
      </c>
      <c r="S235" s="843">
        <f t="shared" si="40"/>
        <v>0</v>
      </c>
      <c r="T235" s="843">
        <f t="shared" si="42"/>
        <v>0</v>
      </c>
      <c r="U235" s="843">
        <f t="shared" si="41"/>
        <v>0</v>
      </c>
      <c r="V235" s="307"/>
      <c r="W235" t="e">
        <f>+'Yeşil Defter'!#REF!</f>
        <v>#REF!</v>
      </c>
      <c r="X235" s="766"/>
    </row>
    <row r="236" spans="1:24" ht="19.95" hidden="1" customHeight="1" x14ac:dyDescent="0.3">
      <c r="A236" s="262">
        <v>2</v>
      </c>
      <c r="C236" s="873">
        <v>215</v>
      </c>
      <c r="D236" s="855" t="s">
        <v>649</v>
      </c>
      <c r="E236" s="1345" t="s">
        <v>650</v>
      </c>
      <c r="F236" s="1345"/>
      <c r="G236" s="1345"/>
      <c r="H236" s="855" t="s">
        <v>286</v>
      </c>
      <c r="I236" s="856">
        <v>19075108</v>
      </c>
      <c r="J236" s="852">
        <f>+'Yeşil Defter Dönemsel'!I235</f>
        <v>0</v>
      </c>
      <c r="K236" s="852">
        <f>+'Yeşil Defter Dönemsel'!J235</f>
        <v>0</v>
      </c>
      <c r="L236" s="852">
        <f>+'Yeşil Defter Dönemsel'!K235</f>
        <v>0</v>
      </c>
      <c r="M236" s="857">
        <f t="shared" si="36"/>
        <v>0</v>
      </c>
      <c r="N236" s="857">
        <f t="shared" si="37"/>
        <v>0</v>
      </c>
      <c r="O236" s="857">
        <f t="shared" si="38"/>
        <v>0</v>
      </c>
      <c r="P236" s="852">
        <f t="shared" si="33"/>
        <v>0</v>
      </c>
      <c r="Q236" s="854">
        <f t="shared" si="39"/>
        <v>0</v>
      </c>
      <c r="R236" s="854">
        <f t="shared" si="34"/>
        <v>0</v>
      </c>
      <c r="S236" s="843">
        <f t="shared" si="40"/>
        <v>0</v>
      </c>
      <c r="T236" s="843">
        <f t="shared" si="42"/>
        <v>0</v>
      </c>
      <c r="U236" s="843">
        <f t="shared" si="41"/>
        <v>0</v>
      </c>
      <c r="V236" s="307"/>
      <c r="W236" t="e">
        <f>+'Yeşil Defter'!#REF!</f>
        <v>#REF!</v>
      </c>
      <c r="X236" s="766"/>
    </row>
    <row r="237" spans="1:24" ht="19.95" hidden="1" customHeight="1" x14ac:dyDescent="0.3">
      <c r="A237" s="262">
        <v>2</v>
      </c>
      <c r="C237" s="873">
        <v>216</v>
      </c>
      <c r="D237" s="855" t="s">
        <v>651</v>
      </c>
      <c r="E237" s="1345" t="s">
        <v>652</v>
      </c>
      <c r="F237" s="1345"/>
      <c r="G237" s="1345"/>
      <c r="H237" s="855" t="s">
        <v>286</v>
      </c>
      <c r="I237" s="856">
        <v>19075108</v>
      </c>
      <c r="J237" s="852">
        <f>+'Yeşil Defter Dönemsel'!I236</f>
        <v>0</v>
      </c>
      <c r="K237" s="852">
        <f>+'Yeşil Defter Dönemsel'!J236</f>
        <v>0</v>
      </c>
      <c r="L237" s="852">
        <f>+'Yeşil Defter Dönemsel'!K236</f>
        <v>0</v>
      </c>
      <c r="M237" s="857">
        <f t="shared" si="36"/>
        <v>0</v>
      </c>
      <c r="N237" s="857">
        <f t="shared" si="37"/>
        <v>0</v>
      </c>
      <c r="O237" s="857">
        <f t="shared" si="38"/>
        <v>0</v>
      </c>
      <c r="P237" s="852">
        <f t="shared" si="33"/>
        <v>0</v>
      </c>
      <c r="Q237" s="854">
        <f t="shared" si="39"/>
        <v>0</v>
      </c>
      <c r="R237" s="854">
        <f t="shared" si="34"/>
        <v>0</v>
      </c>
      <c r="S237" s="843">
        <f t="shared" si="40"/>
        <v>0</v>
      </c>
      <c r="T237" s="843">
        <f t="shared" si="42"/>
        <v>0</v>
      </c>
      <c r="U237" s="843">
        <f t="shared" si="41"/>
        <v>0</v>
      </c>
      <c r="V237" s="307"/>
      <c r="W237" t="e">
        <f>+'Yeşil Defter'!#REF!</f>
        <v>#REF!</v>
      </c>
      <c r="X237" s="766"/>
    </row>
    <row r="238" spans="1:24" ht="19.95" hidden="1" customHeight="1" x14ac:dyDescent="0.3">
      <c r="A238" s="262">
        <v>2</v>
      </c>
      <c r="C238" s="873">
        <v>217</v>
      </c>
      <c r="D238" s="855" t="s">
        <v>653</v>
      </c>
      <c r="E238" s="1345" t="s">
        <v>654</v>
      </c>
      <c r="F238" s="1345"/>
      <c r="G238" s="1345"/>
      <c r="H238" s="855" t="s">
        <v>286</v>
      </c>
      <c r="I238" s="856">
        <v>23121344</v>
      </c>
      <c r="J238" s="852">
        <f>+'Yeşil Defter Dönemsel'!I237</f>
        <v>0</v>
      </c>
      <c r="K238" s="852">
        <f>+'Yeşil Defter Dönemsel'!J237</f>
        <v>0</v>
      </c>
      <c r="L238" s="852">
        <f>+'Yeşil Defter Dönemsel'!K237</f>
        <v>0</v>
      </c>
      <c r="M238" s="857">
        <f t="shared" si="36"/>
        <v>0</v>
      </c>
      <c r="N238" s="857">
        <f t="shared" si="37"/>
        <v>0</v>
      </c>
      <c r="O238" s="857">
        <f t="shared" si="38"/>
        <v>0</v>
      </c>
      <c r="P238" s="852">
        <f t="shared" si="33"/>
        <v>0</v>
      </c>
      <c r="Q238" s="854">
        <f t="shared" si="39"/>
        <v>0</v>
      </c>
      <c r="R238" s="854">
        <f t="shared" si="34"/>
        <v>0</v>
      </c>
      <c r="S238" s="843">
        <f t="shared" si="40"/>
        <v>0</v>
      </c>
      <c r="T238" s="843">
        <f t="shared" si="42"/>
        <v>0</v>
      </c>
      <c r="U238" s="843">
        <f t="shared" si="41"/>
        <v>0</v>
      </c>
      <c r="V238" s="307"/>
      <c r="W238" t="e">
        <f>+'Yeşil Defter'!#REF!</f>
        <v>#REF!</v>
      </c>
      <c r="X238" s="766"/>
    </row>
    <row r="239" spans="1:24" ht="19.95" hidden="1" customHeight="1" x14ac:dyDescent="0.3">
      <c r="A239" s="262">
        <v>2</v>
      </c>
      <c r="C239" s="873">
        <v>218</v>
      </c>
      <c r="D239" s="855" t="s">
        <v>655</v>
      </c>
      <c r="E239" s="1345" t="s">
        <v>656</v>
      </c>
      <c r="F239" s="1345"/>
      <c r="G239" s="1345"/>
      <c r="H239" s="855" t="s">
        <v>286</v>
      </c>
      <c r="I239" s="856">
        <v>43080843</v>
      </c>
      <c r="J239" s="852">
        <f>+'Yeşil Defter Dönemsel'!I238</f>
        <v>0</v>
      </c>
      <c r="K239" s="852">
        <f>+'Yeşil Defter Dönemsel'!J238</f>
        <v>0</v>
      </c>
      <c r="L239" s="852">
        <f>+'Yeşil Defter Dönemsel'!K238</f>
        <v>0</v>
      </c>
      <c r="M239" s="857">
        <f t="shared" si="36"/>
        <v>0</v>
      </c>
      <c r="N239" s="857">
        <f t="shared" si="37"/>
        <v>0</v>
      </c>
      <c r="O239" s="857">
        <f t="shared" si="38"/>
        <v>0</v>
      </c>
      <c r="P239" s="852">
        <f t="shared" si="33"/>
        <v>0</v>
      </c>
      <c r="Q239" s="854">
        <f t="shared" si="39"/>
        <v>0</v>
      </c>
      <c r="R239" s="854">
        <f t="shared" si="34"/>
        <v>0</v>
      </c>
      <c r="S239" s="843">
        <f t="shared" si="40"/>
        <v>0</v>
      </c>
      <c r="T239" s="843">
        <f t="shared" si="42"/>
        <v>0</v>
      </c>
      <c r="U239" s="843">
        <f t="shared" si="41"/>
        <v>0</v>
      </c>
      <c r="V239" s="307"/>
      <c r="W239" t="e">
        <f>+'Yeşil Defter'!#REF!</f>
        <v>#REF!</v>
      </c>
      <c r="X239" s="766"/>
    </row>
    <row r="240" spans="1:24" ht="19.95" hidden="1" customHeight="1" x14ac:dyDescent="0.3">
      <c r="A240" s="262">
        <v>2</v>
      </c>
      <c r="C240" s="873">
        <v>219</v>
      </c>
      <c r="D240" s="855" t="s">
        <v>657</v>
      </c>
      <c r="E240" s="1345" t="s">
        <v>658</v>
      </c>
      <c r="F240" s="1345"/>
      <c r="G240" s="1345"/>
      <c r="H240" s="855" t="s">
        <v>286</v>
      </c>
      <c r="I240" s="856">
        <v>2427741</v>
      </c>
      <c r="J240" s="852">
        <f>+'Yeşil Defter Dönemsel'!I239</f>
        <v>0</v>
      </c>
      <c r="K240" s="852">
        <f>+'Yeşil Defter Dönemsel'!J239</f>
        <v>0</v>
      </c>
      <c r="L240" s="852">
        <f>+'Yeşil Defter Dönemsel'!K239</f>
        <v>0</v>
      </c>
      <c r="M240" s="857">
        <f t="shared" si="36"/>
        <v>0</v>
      </c>
      <c r="N240" s="857">
        <f t="shared" si="37"/>
        <v>0</v>
      </c>
      <c r="O240" s="857">
        <f t="shared" si="38"/>
        <v>0</v>
      </c>
      <c r="P240" s="852">
        <f t="shared" si="33"/>
        <v>0</v>
      </c>
      <c r="Q240" s="854">
        <f t="shared" si="39"/>
        <v>0</v>
      </c>
      <c r="R240" s="854">
        <f t="shared" si="34"/>
        <v>0</v>
      </c>
      <c r="S240" s="843">
        <f t="shared" si="40"/>
        <v>0</v>
      </c>
      <c r="T240" s="843">
        <f t="shared" si="42"/>
        <v>0</v>
      </c>
      <c r="U240" s="843">
        <f t="shared" si="41"/>
        <v>0</v>
      </c>
      <c r="V240" s="307"/>
      <c r="W240" t="e">
        <f>+'Yeşil Defter'!#REF!</f>
        <v>#REF!</v>
      </c>
      <c r="X240" s="766"/>
    </row>
    <row r="241" spans="1:24" ht="19.95" hidden="1" customHeight="1" x14ac:dyDescent="0.3">
      <c r="A241" s="262">
        <v>2</v>
      </c>
      <c r="C241" s="873">
        <v>220</v>
      </c>
      <c r="D241" s="855" t="s">
        <v>659</v>
      </c>
      <c r="E241" s="1345" t="s">
        <v>660</v>
      </c>
      <c r="F241" s="1345"/>
      <c r="G241" s="1345"/>
      <c r="H241" s="855" t="s">
        <v>286</v>
      </c>
      <c r="I241" s="856">
        <v>2554908</v>
      </c>
      <c r="J241" s="852">
        <f>+'Yeşil Defter Dönemsel'!I240</f>
        <v>0</v>
      </c>
      <c r="K241" s="852">
        <f>+'Yeşil Defter Dönemsel'!J240</f>
        <v>0</v>
      </c>
      <c r="L241" s="852">
        <f>+'Yeşil Defter Dönemsel'!K240</f>
        <v>0</v>
      </c>
      <c r="M241" s="857">
        <f t="shared" si="36"/>
        <v>0</v>
      </c>
      <c r="N241" s="857">
        <f t="shared" si="37"/>
        <v>0</v>
      </c>
      <c r="O241" s="857">
        <f t="shared" si="38"/>
        <v>0</v>
      </c>
      <c r="P241" s="852">
        <f t="shared" si="33"/>
        <v>0</v>
      </c>
      <c r="Q241" s="854">
        <f t="shared" si="39"/>
        <v>0</v>
      </c>
      <c r="R241" s="854">
        <f t="shared" si="34"/>
        <v>0</v>
      </c>
      <c r="S241" s="843">
        <f t="shared" si="40"/>
        <v>0</v>
      </c>
      <c r="T241" s="843">
        <f t="shared" si="42"/>
        <v>0</v>
      </c>
      <c r="U241" s="843">
        <f t="shared" si="41"/>
        <v>0</v>
      </c>
      <c r="V241" s="307"/>
      <c r="W241" t="e">
        <f>+'Yeşil Defter'!#REF!</f>
        <v>#REF!</v>
      </c>
      <c r="X241" s="766"/>
    </row>
    <row r="242" spans="1:24" ht="19.95" hidden="1" customHeight="1" x14ac:dyDescent="0.3">
      <c r="A242" s="262">
        <v>2</v>
      </c>
      <c r="C242" s="873">
        <v>221</v>
      </c>
      <c r="D242" s="855" t="s">
        <v>661</v>
      </c>
      <c r="E242" s="1345" t="s">
        <v>662</v>
      </c>
      <c r="F242" s="1345"/>
      <c r="G242" s="1345"/>
      <c r="H242" s="855" t="s">
        <v>286</v>
      </c>
      <c r="I242" s="856">
        <v>2630053</v>
      </c>
      <c r="J242" s="852">
        <f>+'Yeşil Defter Dönemsel'!I241</f>
        <v>0</v>
      </c>
      <c r="K242" s="852">
        <f>+'Yeşil Defter Dönemsel'!J241</f>
        <v>0</v>
      </c>
      <c r="L242" s="852">
        <f>+'Yeşil Defter Dönemsel'!K241</f>
        <v>0</v>
      </c>
      <c r="M242" s="857">
        <f t="shared" si="36"/>
        <v>0</v>
      </c>
      <c r="N242" s="857">
        <f t="shared" si="37"/>
        <v>0</v>
      </c>
      <c r="O242" s="857">
        <f t="shared" si="38"/>
        <v>0</v>
      </c>
      <c r="P242" s="852">
        <f t="shared" si="33"/>
        <v>0</v>
      </c>
      <c r="Q242" s="854">
        <f t="shared" si="39"/>
        <v>0</v>
      </c>
      <c r="R242" s="854">
        <f t="shared" si="34"/>
        <v>0</v>
      </c>
      <c r="S242" s="843">
        <f t="shared" si="40"/>
        <v>0</v>
      </c>
      <c r="T242" s="843">
        <f t="shared" si="42"/>
        <v>0</v>
      </c>
      <c r="U242" s="843">
        <f t="shared" si="41"/>
        <v>0</v>
      </c>
      <c r="V242" s="307"/>
      <c r="W242" t="e">
        <f>+'Yeşil Defter'!#REF!</f>
        <v>#REF!</v>
      </c>
      <c r="X242" s="766"/>
    </row>
    <row r="243" spans="1:24" ht="19.95" hidden="1" customHeight="1" x14ac:dyDescent="0.3">
      <c r="A243" s="262">
        <v>2</v>
      </c>
      <c r="C243" s="873">
        <v>222</v>
      </c>
      <c r="D243" s="855" t="s">
        <v>663</v>
      </c>
      <c r="E243" s="1345" t="s">
        <v>664</v>
      </c>
      <c r="F243" s="1345"/>
      <c r="G243" s="1345"/>
      <c r="H243" s="855" t="s">
        <v>286</v>
      </c>
      <c r="I243" s="856">
        <v>2745660</v>
      </c>
      <c r="J243" s="852">
        <f>+'Yeşil Defter Dönemsel'!I242</f>
        <v>0</v>
      </c>
      <c r="K243" s="852">
        <f>+'Yeşil Defter Dönemsel'!J242</f>
        <v>0</v>
      </c>
      <c r="L243" s="852">
        <f>+'Yeşil Defter Dönemsel'!K242</f>
        <v>0</v>
      </c>
      <c r="M243" s="857">
        <f t="shared" si="36"/>
        <v>0</v>
      </c>
      <c r="N243" s="857">
        <f t="shared" si="37"/>
        <v>0</v>
      </c>
      <c r="O243" s="857">
        <f t="shared" si="38"/>
        <v>0</v>
      </c>
      <c r="P243" s="852">
        <f t="shared" si="33"/>
        <v>0</v>
      </c>
      <c r="Q243" s="854">
        <f t="shared" si="39"/>
        <v>0</v>
      </c>
      <c r="R243" s="854">
        <f t="shared" si="34"/>
        <v>0</v>
      </c>
      <c r="S243" s="843">
        <f t="shared" si="40"/>
        <v>0</v>
      </c>
      <c r="T243" s="843">
        <f t="shared" si="42"/>
        <v>0</v>
      </c>
      <c r="U243" s="843">
        <f t="shared" si="41"/>
        <v>0</v>
      </c>
      <c r="V243" s="307"/>
      <c r="W243" t="e">
        <f>+'Yeşil Defter'!#REF!</f>
        <v>#REF!</v>
      </c>
      <c r="X243" s="766"/>
    </row>
    <row r="244" spans="1:24" ht="19.95" hidden="1" customHeight="1" x14ac:dyDescent="0.3">
      <c r="A244" s="262">
        <v>2</v>
      </c>
      <c r="C244" s="873">
        <v>223</v>
      </c>
      <c r="D244" s="855" t="s">
        <v>665</v>
      </c>
      <c r="E244" s="1345" t="s">
        <v>666</v>
      </c>
      <c r="F244" s="1345"/>
      <c r="G244" s="1345"/>
      <c r="H244" s="855" t="s">
        <v>286</v>
      </c>
      <c r="I244" s="856">
        <v>2861266</v>
      </c>
      <c r="J244" s="852">
        <f>+'Yeşil Defter Dönemsel'!I243</f>
        <v>0</v>
      </c>
      <c r="K244" s="852">
        <f>+'Yeşil Defter Dönemsel'!J243</f>
        <v>0</v>
      </c>
      <c r="L244" s="852">
        <f>+'Yeşil Defter Dönemsel'!K243</f>
        <v>0</v>
      </c>
      <c r="M244" s="857">
        <f t="shared" si="36"/>
        <v>0</v>
      </c>
      <c r="N244" s="857">
        <f t="shared" si="37"/>
        <v>0</v>
      </c>
      <c r="O244" s="857">
        <f t="shared" si="38"/>
        <v>0</v>
      </c>
      <c r="P244" s="852">
        <f t="shared" si="33"/>
        <v>0</v>
      </c>
      <c r="Q244" s="854">
        <f t="shared" si="39"/>
        <v>0</v>
      </c>
      <c r="R244" s="854">
        <f t="shared" si="34"/>
        <v>0</v>
      </c>
      <c r="S244" s="843">
        <f t="shared" si="40"/>
        <v>0</v>
      </c>
      <c r="T244" s="843">
        <f t="shared" si="42"/>
        <v>0</v>
      </c>
      <c r="U244" s="843">
        <f t="shared" si="41"/>
        <v>0</v>
      </c>
      <c r="V244" s="307"/>
      <c r="W244" t="e">
        <f>+'Yeşil Defter'!#REF!</f>
        <v>#REF!</v>
      </c>
      <c r="X244" s="766"/>
    </row>
    <row r="245" spans="1:24" ht="19.95" hidden="1" customHeight="1" x14ac:dyDescent="0.3">
      <c r="A245" s="262">
        <v>2</v>
      </c>
      <c r="C245" s="873">
        <v>224</v>
      </c>
      <c r="D245" s="855" t="s">
        <v>667</v>
      </c>
      <c r="E245" s="1345" t="s">
        <v>668</v>
      </c>
      <c r="F245" s="1345"/>
      <c r="G245" s="1345"/>
      <c r="H245" s="855" t="s">
        <v>286</v>
      </c>
      <c r="I245" s="856">
        <v>6098559</v>
      </c>
      <c r="J245" s="852">
        <f>+'Yeşil Defter Dönemsel'!I244</f>
        <v>0</v>
      </c>
      <c r="K245" s="852">
        <f>+'Yeşil Defter Dönemsel'!J244</f>
        <v>0</v>
      </c>
      <c r="L245" s="852">
        <f>+'Yeşil Defter Dönemsel'!K244</f>
        <v>0</v>
      </c>
      <c r="M245" s="857">
        <f t="shared" si="36"/>
        <v>0</v>
      </c>
      <c r="N245" s="857">
        <f t="shared" si="37"/>
        <v>0</v>
      </c>
      <c r="O245" s="857">
        <f t="shared" si="38"/>
        <v>0</v>
      </c>
      <c r="P245" s="852">
        <f t="shared" si="33"/>
        <v>0</v>
      </c>
      <c r="Q245" s="854">
        <f t="shared" si="39"/>
        <v>0</v>
      </c>
      <c r="R245" s="854">
        <f t="shared" si="34"/>
        <v>0</v>
      </c>
      <c r="S245" s="843">
        <f t="shared" si="40"/>
        <v>0</v>
      </c>
      <c r="T245" s="843">
        <f t="shared" si="42"/>
        <v>0</v>
      </c>
      <c r="U245" s="843">
        <f t="shared" si="41"/>
        <v>0</v>
      </c>
      <c r="V245" s="307"/>
      <c r="W245" t="e">
        <f>+'Yeşil Defter'!#REF!</f>
        <v>#REF!</v>
      </c>
      <c r="X245" s="766"/>
    </row>
    <row r="246" spans="1:24" ht="19.95" hidden="1" customHeight="1" x14ac:dyDescent="0.3">
      <c r="A246" s="262">
        <v>2</v>
      </c>
      <c r="C246" s="873">
        <v>225</v>
      </c>
      <c r="D246" s="855" t="s">
        <v>669</v>
      </c>
      <c r="E246" s="1345" t="s">
        <v>670</v>
      </c>
      <c r="F246" s="1345"/>
      <c r="G246" s="1345"/>
      <c r="H246" s="855" t="s">
        <v>286</v>
      </c>
      <c r="I246" s="856">
        <v>6098559</v>
      </c>
      <c r="J246" s="852">
        <f>+'Yeşil Defter Dönemsel'!I245</f>
        <v>0</v>
      </c>
      <c r="K246" s="852">
        <f>+'Yeşil Defter Dönemsel'!J245</f>
        <v>0</v>
      </c>
      <c r="L246" s="852">
        <f>+'Yeşil Defter Dönemsel'!K245</f>
        <v>0</v>
      </c>
      <c r="M246" s="857">
        <f t="shared" si="36"/>
        <v>0</v>
      </c>
      <c r="N246" s="857">
        <f t="shared" si="37"/>
        <v>0</v>
      </c>
      <c r="O246" s="857">
        <f t="shared" si="38"/>
        <v>0</v>
      </c>
      <c r="P246" s="852">
        <f t="shared" si="33"/>
        <v>0</v>
      </c>
      <c r="Q246" s="854">
        <f t="shared" si="39"/>
        <v>0</v>
      </c>
      <c r="R246" s="854">
        <f t="shared" si="34"/>
        <v>0</v>
      </c>
      <c r="S246" s="843">
        <f t="shared" si="40"/>
        <v>0</v>
      </c>
      <c r="T246" s="843">
        <f t="shared" si="42"/>
        <v>0</v>
      </c>
      <c r="U246" s="843">
        <f t="shared" si="41"/>
        <v>0</v>
      </c>
      <c r="V246" s="307"/>
      <c r="W246" t="e">
        <f>+'Yeşil Defter'!#REF!</f>
        <v>#REF!</v>
      </c>
      <c r="X246" s="766"/>
    </row>
    <row r="247" spans="1:24" ht="19.95" hidden="1" customHeight="1" x14ac:dyDescent="0.3">
      <c r="A247" s="262">
        <v>2</v>
      </c>
      <c r="C247" s="873">
        <v>226</v>
      </c>
      <c r="D247" s="855" t="s">
        <v>671</v>
      </c>
      <c r="E247" s="1345" t="s">
        <v>672</v>
      </c>
      <c r="F247" s="1345"/>
      <c r="G247" s="1345"/>
      <c r="H247" s="855" t="s">
        <v>286</v>
      </c>
      <c r="I247" s="856">
        <v>6098559</v>
      </c>
      <c r="J247" s="852">
        <f>+'Yeşil Defter Dönemsel'!I246</f>
        <v>0</v>
      </c>
      <c r="K247" s="852">
        <f>+'Yeşil Defter Dönemsel'!J246</f>
        <v>0</v>
      </c>
      <c r="L247" s="852">
        <f>+'Yeşil Defter Dönemsel'!K246</f>
        <v>0</v>
      </c>
      <c r="M247" s="857">
        <f t="shared" si="36"/>
        <v>0</v>
      </c>
      <c r="N247" s="857">
        <f t="shared" si="37"/>
        <v>0</v>
      </c>
      <c r="O247" s="857">
        <f t="shared" si="38"/>
        <v>0</v>
      </c>
      <c r="P247" s="852">
        <f t="shared" si="33"/>
        <v>0</v>
      </c>
      <c r="Q247" s="854">
        <f t="shared" si="39"/>
        <v>0</v>
      </c>
      <c r="R247" s="854">
        <f t="shared" si="34"/>
        <v>0</v>
      </c>
      <c r="S247" s="843">
        <f t="shared" si="40"/>
        <v>0</v>
      </c>
      <c r="T247" s="843">
        <f t="shared" si="42"/>
        <v>0</v>
      </c>
      <c r="U247" s="843">
        <f t="shared" si="41"/>
        <v>0</v>
      </c>
      <c r="V247" s="307"/>
      <c r="W247" t="e">
        <f>+'Yeşil Defter'!#REF!</f>
        <v>#REF!</v>
      </c>
      <c r="X247" s="766"/>
    </row>
    <row r="248" spans="1:24" ht="19.95" hidden="1" customHeight="1" x14ac:dyDescent="0.3">
      <c r="A248" s="262">
        <v>2</v>
      </c>
      <c r="C248" s="873">
        <v>227</v>
      </c>
      <c r="D248" s="855" t="s">
        <v>673</v>
      </c>
      <c r="E248" s="1345" t="s">
        <v>674</v>
      </c>
      <c r="F248" s="1345"/>
      <c r="G248" s="1345"/>
      <c r="H248" s="855" t="s">
        <v>286</v>
      </c>
      <c r="I248" s="856">
        <v>6098559</v>
      </c>
      <c r="J248" s="852">
        <f>+'Yeşil Defter Dönemsel'!I247</f>
        <v>0</v>
      </c>
      <c r="K248" s="852">
        <f>+'Yeşil Defter Dönemsel'!J247</f>
        <v>0</v>
      </c>
      <c r="L248" s="852">
        <f>+'Yeşil Defter Dönemsel'!K247</f>
        <v>0</v>
      </c>
      <c r="M248" s="857">
        <f t="shared" si="36"/>
        <v>0</v>
      </c>
      <c r="N248" s="857">
        <f t="shared" si="37"/>
        <v>0</v>
      </c>
      <c r="O248" s="857">
        <f t="shared" si="38"/>
        <v>0</v>
      </c>
      <c r="P248" s="852">
        <f t="shared" ref="P248:P311" si="43">+J248</f>
        <v>0</v>
      </c>
      <c r="Q248" s="854">
        <f t="shared" si="39"/>
        <v>0</v>
      </c>
      <c r="R248" s="854">
        <f t="shared" ref="R248:R311" si="44">+L248</f>
        <v>0</v>
      </c>
      <c r="S248" s="843">
        <f t="shared" si="40"/>
        <v>0</v>
      </c>
      <c r="T248" s="843">
        <f t="shared" si="42"/>
        <v>0</v>
      </c>
      <c r="U248" s="843">
        <f t="shared" si="41"/>
        <v>0</v>
      </c>
      <c r="V248" s="307"/>
      <c r="W248" t="e">
        <f>+'Yeşil Defter'!#REF!</f>
        <v>#REF!</v>
      </c>
      <c r="X248" s="766"/>
    </row>
    <row r="249" spans="1:24" ht="19.95" hidden="1" customHeight="1" x14ac:dyDescent="0.3">
      <c r="A249" s="262">
        <v>2</v>
      </c>
      <c r="C249" s="873">
        <v>228</v>
      </c>
      <c r="D249" s="855" t="s">
        <v>675</v>
      </c>
      <c r="E249" s="1345" t="s">
        <v>676</v>
      </c>
      <c r="F249" s="1345"/>
      <c r="G249" s="1345"/>
      <c r="H249" s="855" t="s">
        <v>286</v>
      </c>
      <c r="I249" s="856">
        <v>6098559</v>
      </c>
      <c r="J249" s="852">
        <f>+'Yeşil Defter Dönemsel'!I248</f>
        <v>0</v>
      </c>
      <c r="K249" s="852">
        <f>+'Yeşil Defter Dönemsel'!J248</f>
        <v>0</v>
      </c>
      <c r="L249" s="852">
        <f>+'Yeşil Defter Dönemsel'!K248</f>
        <v>0</v>
      </c>
      <c r="M249" s="857">
        <f t="shared" si="36"/>
        <v>0</v>
      </c>
      <c r="N249" s="857">
        <f t="shared" si="37"/>
        <v>0</v>
      </c>
      <c r="O249" s="857">
        <f t="shared" si="38"/>
        <v>0</v>
      </c>
      <c r="P249" s="852">
        <f t="shared" si="43"/>
        <v>0</v>
      </c>
      <c r="Q249" s="854">
        <f t="shared" si="39"/>
        <v>0</v>
      </c>
      <c r="R249" s="854">
        <f t="shared" si="44"/>
        <v>0</v>
      </c>
      <c r="S249" s="843">
        <f t="shared" si="40"/>
        <v>0</v>
      </c>
      <c r="T249" s="843">
        <f t="shared" si="42"/>
        <v>0</v>
      </c>
      <c r="U249" s="843">
        <f t="shared" si="41"/>
        <v>0</v>
      </c>
      <c r="V249" s="307"/>
      <c r="W249" t="e">
        <f>+'Yeşil Defter'!#REF!</f>
        <v>#REF!</v>
      </c>
      <c r="X249" s="766"/>
    </row>
    <row r="250" spans="1:24" ht="19.95" hidden="1" customHeight="1" x14ac:dyDescent="0.3">
      <c r="A250" s="262">
        <v>2</v>
      </c>
      <c r="C250" s="873">
        <v>229</v>
      </c>
      <c r="D250" s="855" t="s">
        <v>677</v>
      </c>
      <c r="E250" s="1345" t="s">
        <v>678</v>
      </c>
      <c r="F250" s="1345"/>
      <c r="G250" s="1345"/>
      <c r="H250" s="855" t="s">
        <v>286</v>
      </c>
      <c r="I250" s="856">
        <v>2604464</v>
      </c>
      <c r="J250" s="852">
        <f>+'Yeşil Defter Dönemsel'!I249</f>
        <v>0</v>
      </c>
      <c r="K250" s="852">
        <f>+'Yeşil Defter Dönemsel'!J249</f>
        <v>0</v>
      </c>
      <c r="L250" s="852">
        <f>+'Yeşil Defter Dönemsel'!K249</f>
        <v>0</v>
      </c>
      <c r="M250" s="857">
        <f t="shared" si="36"/>
        <v>0</v>
      </c>
      <c r="N250" s="857">
        <f t="shared" si="37"/>
        <v>0</v>
      </c>
      <c r="O250" s="857">
        <f t="shared" si="38"/>
        <v>0</v>
      </c>
      <c r="P250" s="852">
        <f t="shared" si="43"/>
        <v>0</v>
      </c>
      <c r="Q250" s="854">
        <f t="shared" si="39"/>
        <v>0</v>
      </c>
      <c r="R250" s="854">
        <f t="shared" si="44"/>
        <v>0</v>
      </c>
      <c r="S250" s="843">
        <f t="shared" si="40"/>
        <v>0</v>
      </c>
      <c r="T250" s="843">
        <f t="shared" si="42"/>
        <v>0</v>
      </c>
      <c r="U250" s="843">
        <f t="shared" si="41"/>
        <v>0</v>
      </c>
      <c r="V250" s="307"/>
      <c r="W250" t="e">
        <f>+'Yeşil Defter'!#REF!</f>
        <v>#REF!</v>
      </c>
      <c r="X250" s="766"/>
    </row>
    <row r="251" spans="1:24" ht="19.95" hidden="1" customHeight="1" x14ac:dyDescent="0.3">
      <c r="A251" s="262">
        <v>2</v>
      </c>
      <c r="C251" s="873">
        <v>230</v>
      </c>
      <c r="D251" s="855" t="s">
        <v>679</v>
      </c>
      <c r="E251" s="1345" t="s">
        <v>680</v>
      </c>
      <c r="F251" s="1345"/>
      <c r="G251" s="1345"/>
      <c r="H251" s="855" t="s">
        <v>286</v>
      </c>
      <c r="I251" s="856">
        <v>2604464</v>
      </c>
      <c r="J251" s="852">
        <f>+'Yeşil Defter Dönemsel'!I250</f>
        <v>0</v>
      </c>
      <c r="K251" s="852">
        <f>+'Yeşil Defter Dönemsel'!J250</f>
        <v>0</v>
      </c>
      <c r="L251" s="852">
        <f>+'Yeşil Defter Dönemsel'!K250</f>
        <v>0</v>
      </c>
      <c r="M251" s="857">
        <f t="shared" si="36"/>
        <v>0</v>
      </c>
      <c r="N251" s="857">
        <f t="shared" si="37"/>
        <v>0</v>
      </c>
      <c r="O251" s="857">
        <f t="shared" si="38"/>
        <v>0</v>
      </c>
      <c r="P251" s="852">
        <f t="shared" si="43"/>
        <v>0</v>
      </c>
      <c r="Q251" s="854">
        <f t="shared" si="39"/>
        <v>0</v>
      </c>
      <c r="R251" s="854">
        <f t="shared" si="44"/>
        <v>0</v>
      </c>
      <c r="S251" s="843">
        <f t="shared" si="40"/>
        <v>0</v>
      </c>
      <c r="T251" s="843">
        <f t="shared" si="42"/>
        <v>0</v>
      </c>
      <c r="U251" s="843">
        <f t="shared" si="41"/>
        <v>0</v>
      </c>
      <c r="V251" s="307"/>
      <c r="W251" t="e">
        <f>+'Yeşil Defter'!#REF!</f>
        <v>#REF!</v>
      </c>
      <c r="X251" s="766"/>
    </row>
    <row r="252" spans="1:24" ht="19.95" hidden="1" customHeight="1" x14ac:dyDescent="0.3">
      <c r="A252" s="262">
        <v>2</v>
      </c>
      <c r="C252" s="873">
        <v>231</v>
      </c>
      <c r="D252" s="855" t="s">
        <v>681</v>
      </c>
      <c r="E252" s="1345" t="s">
        <v>682</v>
      </c>
      <c r="F252" s="1345"/>
      <c r="G252" s="1345"/>
      <c r="H252" s="855" t="s">
        <v>286</v>
      </c>
      <c r="I252" s="856">
        <v>2604464</v>
      </c>
      <c r="J252" s="852">
        <f>+'Yeşil Defter Dönemsel'!I251</f>
        <v>0</v>
      </c>
      <c r="K252" s="852">
        <f>+'Yeşil Defter Dönemsel'!J251</f>
        <v>0</v>
      </c>
      <c r="L252" s="852">
        <f>+'Yeşil Defter Dönemsel'!K251</f>
        <v>0</v>
      </c>
      <c r="M252" s="857">
        <f t="shared" si="36"/>
        <v>0</v>
      </c>
      <c r="N252" s="857">
        <f t="shared" si="37"/>
        <v>0</v>
      </c>
      <c r="O252" s="857">
        <f t="shared" si="38"/>
        <v>0</v>
      </c>
      <c r="P252" s="852">
        <f t="shared" si="43"/>
        <v>0</v>
      </c>
      <c r="Q252" s="854">
        <f t="shared" si="39"/>
        <v>0</v>
      </c>
      <c r="R252" s="854">
        <f t="shared" si="44"/>
        <v>0</v>
      </c>
      <c r="S252" s="843">
        <f t="shared" si="40"/>
        <v>0</v>
      </c>
      <c r="T252" s="843">
        <f t="shared" si="42"/>
        <v>0</v>
      </c>
      <c r="U252" s="843">
        <f t="shared" si="41"/>
        <v>0</v>
      </c>
      <c r="V252" s="307"/>
      <c r="W252" t="e">
        <f>+'Yeşil Defter'!#REF!</f>
        <v>#REF!</v>
      </c>
      <c r="X252" s="766"/>
    </row>
    <row r="253" spans="1:24" ht="19.95" hidden="1" customHeight="1" x14ac:dyDescent="0.3">
      <c r="A253" s="262">
        <v>2</v>
      </c>
      <c r="C253" s="873">
        <v>232</v>
      </c>
      <c r="D253" s="855" t="s">
        <v>683</v>
      </c>
      <c r="E253" s="1345" t="s">
        <v>684</v>
      </c>
      <c r="F253" s="1345"/>
      <c r="G253" s="1345"/>
      <c r="H253" s="855" t="s">
        <v>286</v>
      </c>
      <c r="I253" s="856">
        <v>2604464</v>
      </c>
      <c r="J253" s="852">
        <f>+'Yeşil Defter Dönemsel'!I252</f>
        <v>0</v>
      </c>
      <c r="K253" s="852">
        <f>+'Yeşil Defter Dönemsel'!J252</f>
        <v>0</v>
      </c>
      <c r="L253" s="852">
        <f>+'Yeşil Defter Dönemsel'!K252</f>
        <v>0</v>
      </c>
      <c r="M253" s="857">
        <f t="shared" si="36"/>
        <v>0</v>
      </c>
      <c r="N253" s="857">
        <f t="shared" si="37"/>
        <v>0</v>
      </c>
      <c r="O253" s="857">
        <f t="shared" si="38"/>
        <v>0</v>
      </c>
      <c r="P253" s="852">
        <f t="shared" si="43"/>
        <v>0</v>
      </c>
      <c r="Q253" s="854">
        <f t="shared" si="39"/>
        <v>0</v>
      </c>
      <c r="R253" s="854">
        <f t="shared" si="44"/>
        <v>0</v>
      </c>
      <c r="S253" s="843">
        <f t="shared" si="40"/>
        <v>0</v>
      </c>
      <c r="T253" s="843">
        <f t="shared" si="42"/>
        <v>0</v>
      </c>
      <c r="U253" s="843">
        <f t="shared" si="41"/>
        <v>0</v>
      </c>
      <c r="V253" s="307"/>
      <c r="W253" t="e">
        <f>+'Yeşil Defter'!#REF!</f>
        <v>#REF!</v>
      </c>
      <c r="X253" s="766"/>
    </row>
    <row r="254" spans="1:24" ht="19.95" hidden="1" customHeight="1" x14ac:dyDescent="0.3">
      <c r="A254" s="262">
        <v>2</v>
      </c>
      <c r="C254" s="873">
        <v>233</v>
      </c>
      <c r="D254" s="855" t="s">
        <v>685</v>
      </c>
      <c r="E254" s="1345" t="s">
        <v>686</v>
      </c>
      <c r="F254" s="1345"/>
      <c r="G254" s="1345"/>
      <c r="H254" s="855" t="s">
        <v>286</v>
      </c>
      <c r="I254" s="856">
        <v>2604464</v>
      </c>
      <c r="J254" s="852">
        <f>+'Yeşil Defter Dönemsel'!I253</f>
        <v>0</v>
      </c>
      <c r="K254" s="852">
        <f>+'Yeşil Defter Dönemsel'!J253</f>
        <v>0</v>
      </c>
      <c r="L254" s="852">
        <f>+'Yeşil Defter Dönemsel'!K253</f>
        <v>0</v>
      </c>
      <c r="M254" s="857">
        <f t="shared" si="36"/>
        <v>0</v>
      </c>
      <c r="N254" s="857">
        <f t="shared" si="37"/>
        <v>0</v>
      </c>
      <c r="O254" s="857">
        <f t="shared" si="38"/>
        <v>0</v>
      </c>
      <c r="P254" s="852">
        <f t="shared" si="43"/>
        <v>0</v>
      </c>
      <c r="Q254" s="854">
        <f t="shared" si="39"/>
        <v>0</v>
      </c>
      <c r="R254" s="854">
        <f t="shared" si="44"/>
        <v>0</v>
      </c>
      <c r="S254" s="843">
        <f t="shared" si="40"/>
        <v>0</v>
      </c>
      <c r="T254" s="843">
        <f t="shared" si="42"/>
        <v>0</v>
      </c>
      <c r="U254" s="843">
        <f t="shared" si="41"/>
        <v>0</v>
      </c>
      <c r="V254" s="307"/>
      <c r="W254" t="e">
        <f>+'Yeşil Defter'!#REF!</f>
        <v>#REF!</v>
      </c>
      <c r="X254" s="766"/>
    </row>
    <row r="255" spans="1:24" ht="19.95" hidden="1" customHeight="1" x14ac:dyDescent="0.3">
      <c r="A255" s="262">
        <v>2</v>
      </c>
      <c r="C255" s="873">
        <v>234</v>
      </c>
      <c r="D255" s="855" t="s">
        <v>687</v>
      </c>
      <c r="E255" s="1345" t="s">
        <v>688</v>
      </c>
      <c r="F255" s="1345"/>
      <c r="G255" s="1345"/>
      <c r="H255" s="855" t="s">
        <v>286</v>
      </c>
      <c r="I255" s="856">
        <v>30210926</v>
      </c>
      <c r="J255" s="852">
        <f>+'Yeşil Defter Dönemsel'!I254</f>
        <v>0</v>
      </c>
      <c r="K255" s="852">
        <f>+'Yeşil Defter Dönemsel'!J254</f>
        <v>0</v>
      </c>
      <c r="L255" s="852">
        <f>+'Yeşil Defter Dönemsel'!K254</f>
        <v>0</v>
      </c>
      <c r="M255" s="857">
        <f t="shared" si="36"/>
        <v>0</v>
      </c>
      <c r="N255" s="857">
        <f t="shared" si="37"/>
        <v>0</v>
      </c>
      <c r="O255" s="857">
        <f t="shared" si="38"/>
        <v>0</v>
      </c>
      <c r="P255" s="852">
        <f t="shared" si="43"/>
        <v>0</v>
      </c>
      <c r="Q255" s="854">
        <f t="shared" si="39"/>
        <v>0</v>
      </c>
      <c r="R255" s="854">
        <f t="shared" si="44"/>
        <v>0</v>
      </c>
      <c r="S255" s="843">
        <f t="shared" si="40"/>
        <v>0</v>
      </c>
      <c r="T255" s="843">
        <f t="shared" si="42"/>
        <v>0</v>
      </c>
      <c r="U255" s="843">
        <f t="shared" si="41"/>
        <v>0</v>
      </c>
      <c r="V255" s="307"/>
      <c r="W255" t="e">
        <f>+'Yeşil Defter'!#REF!</f>
        <v>#REF!</v>
      </c>
      <c r="X255" s="766"/>
    </row>
    <row r="256" spans="1:24" ht="19.95" hidden="1" customHeight="1" x14ac:dyDescent="0.3">
      <c r="A256" s="262">
        <v>2</v>
      </c>
      <c r="C256" s="873">
        <v>235</v>
      </c>
      <c r="D256" s="855" t="s">
        <v>689</v>
      </c>
      <c r="E256" s="1345" t="s">
        <v>690</v>
      </c>
      <c r="F256" s="1345"/>
      <c r="G256" s="1345"/>
      <c r="H256" s="855" t="s">
        <v>286</v>
      </c>
      <c r="I256" s="856">
        <v>26408621</v>
      </c>
      <c r="J256" s="852">
        <f>+'Yeşil Defter Dönemsel'!I255</f>
        <v>0</v>
      </c>
      <c r="K256" s="852">
        <f>+'Yeşil Defter Dönemsel'!J255</f>
        <v>0</v>
      </c>
      <c r="L256" s="852">
        <f>+'Yeşil Defter Dönemsel'!K255</f>
        <v>0</v>
      </c>
      <c r="M256" s="857">
        <f t="shared" si="36"/>
        <v>0</v>
      </c>
      <c r="N256" s="857">
        <f t="shared" si="37"/>
        <v>0</v>
      </c>
      <c r="O256" s="857">
        <f t="shared" si="38"/>
        <v>0</v>
      </c>
      <c r="P256" s="852">
        <f t="shared" si="43"/>
        <v>0</v>
      </c>
      <c r="Q256" s="854">
        <f t="shared" si="39"/>
        <v>0</v>
      </c>
      <c r="R256" s="854">
        <f t="shared" si="44"/>
        <v>0</v>
      </c>
      <c r="S256" s="843">
        <f t="shared" si="40"/>
        <v>0</v>
      </c>
      <c r="T256" s="843">
        <f t="shared" si="42"/>
        <v>0</v>
      </c>
      <c r="U256" s="843">
        <f t="shared" si="41"/>
        <v>0</v>
      </c>
      <c r="V256" s="307"/>
      <c r="W256" t="e">
        <f>+'Yeşil Defter'!#REF!</f>
        <v>#REF!</v>
      </c>
      <c r="X256" s="766"/>
    </row>
    <row r="257" spans="1:24" ht="19.95" hidden="1" customHeight="1" x14ac:dyDescent="0.3">
      <c r="A257" s="262">
        <v>2</v>
      </c>
      <c r="C257" s="873">
        <v>236</v>
      </c>
      <c r="D257" s="855" t="s">
        <v>691</v>
      </c>
      <c r="E257" s="1345" t="s">
        <v>692</v>
      </c>
      <c r="F257" s="1345"/>
      <c r="G257" s="1345"/>
      <c r="H257" s="855" t="s">
        <v>286</v>
      </c>
      <c r="I257" s="856">
        <v>28071623</v>
      </c>
      <c r="J257" s="852">
        <f>+'Yeşil Defter Dönemsel'!I256</f>
        <v>0</v>
      </c>
      <c r="K257" s="852">
        <f>+'Yeşil Defter Dönemsel'!J256</f>
        <v>0</v>
      </c>
      <c r="L257" s="852">
        <f>+'Yeşil Defter Dönemsel'!K256</f>
        <v>0</v>
      </c>
      <c r="M257" s="857">
        <f t="shared" si="36"/>
        <v>0</v>
      </c>
      <c r="N257" s="857">
        <f t="shared" si="37"/>
        <v>0</v>
      </c>
      <c r="O257" s="857">
        <f t="shared" si="38"/>
        <v>0</v>
      </c>
      <c r="P257" s="852">
        <f t="shared" si="43"/>
        <v>0</v>
      </c>
      <c r="Q257" s="854">
        <f t="shared" si="39"/>
        <v>0</v>
      </c>
      <c r="R257" s="854">
        <f t="shared" si="44"/>
        <v>0</v>
      </c>
      <c r="S257" s="843">
        <f t="shared" si="40"/>
        <v>0</v>
      </c>
      <c r="T257" s="843">
        <f t="shared" si="42"/>
        <v>0</v>
      </c>
      <c r="U257" s="843">
        <f t="shared" si="41"/>
        <v>0</v>
      </c>
      <c r="V257" s="307"/>
      <c r="W257" t="e">
        <f>+'Yeşil Defter'!#REF!</f>
        <v>#REF!</v>
      </c>
      <c r="X257" s="766"/>
    </row>
    <row r="258" spans="1:24" ht="19.95" hidden="1" customHeight="1" x14ac:dyDescent="0.3">
      <c r="A258" s="262">
        <v>2</v>
      </c>
      <c r="C258" s="873">
        <v>237</v>
      </c>
      <c r="D258" s="855" t="s">
        <v>693</v>
      </c>
      <c r="E258" s="1345" t="s">
        <v>694</v>
      </c>
      <c r="F258" s="1345"/>
      <c r="G258" s="1345"/>
      <c r="H258" s="855" t="s">
        <v>286</v>
      </c>
      <c r="I258" s="856">
        <v>28062953</v>
      </c>
      <c r="J258" s="852">
        <f>+'Yeşil Defter Dönemsel'!I257</f>
        <v>0</v>
      </c>
      <c r="K258" s="852">
        <f>+'Yeşil Defter Dönemsel'!J257</f>
        <v>0</v>
      </c>
      <c r="L258" s="852">
        <f>+'Yeşil Defter Dönemsel'!K257</f>
        <v>0</v>
      </c>
      <c r="M258" s="857">
        <f t="shared" si="36"/>
        <v>0</v>
      </c>
      <c r="N258" s="857">
        <f t="shared" si="37"/>
        <v>0</v>
      </c>
      <c r="O258" s="857">
        <f t="shared" si="38"/>
        <v>0</v>
      </c>
      <c r="P258" s="852">
        <f t="shared" si="43"/>
        <v>0</v>
      </c>
      <c r="Q258" s="854">
        <f t="shared" si="39"/>
        <v>0</v>
      </c>
      <c r="R258" s="854">
        <f t="shared" si="44"/>
        <v>0</v>
      </c>
      <c r="S258" s="843">
        <f t="shared" si="40"/>
        <v>0</v>
      </c>
      <c r="T258" s="843">
        <f t="shared" si="42"/>
        <v>0</v>
      </c>
      <c r="U258" s="843">
        <f t="shared" si="41"/>
        <v>0</v>
      </c>
      <c r="V258" s="307"/>
      <c r="W258" t="e">
        <f>+'Yeşil Defter'!#REF!</f>
        <v>#REF!</v>
      </c>
      <c r="X258" s="766"/>
    </row>
    <row r="259" spans="1:24" ht="19.95" hidden="1" customHeight="1" x14ac:dyDescent="0.3">
      <c r="A259" s="262">
        <v>2</v>
      </c>
      <c r="C259" s="873">
        <v>238</v>
      </c>
      <c r="D259" s="855" t="s">
        <v>695</v>
      </c>
      <c r="E259" s="1345" t="s">
        <v>696</v>
      </c>
      <c r="F259" s="1345"/>
      <c r="G259" s="1345"/>
      <c r="H259" s="855" t="s">
        <v>286</v>
      </c>
      <c r="I259" s="856">
        <v>33286064</v>
      </c>
      <c r="J259" s="852">
        <f>+'Yeşil Defter Dönemsel'!I258</f>
        <v>0</v>
      </c>
      <c r="K259" s="852">
        <f>+'Yeşil Defter Dönemsel'!J258</f>
        <v>0</v>
      </c>
      <c r="L259" s="852">
        <f>+'Yeşil Defter Dönemsel'!K258</f>
        <v>0</v>
      </c>
      <c r="M259" s="857">
        <f t="shared" si="36"/>
        <v>0</v>
      </c>
      <c r="N259" s="857">
        <f t="shared" si="37"/>
        <v>0</v>
      </c>
      <c r="O259" s="857">
        <f t="shared" si="38"/>
        <v>0</v>
      </c>
      <c r="P259" s="852">
        <f t="shared" si="43"/>
        <v>0</v>
      </c>
      <c r="Q259" s="854">
        <f t="shared" si="39"/>
        <v>0</v>
      </c>
      <c r="R259" s="854">
        <f t="shared" si="44"/>
        <v>0</v>
      </c>
      <c r="S259" s="843">
        <f t="shared" si="40"/>
        <v>0</v>
      </c>
      <c r="T259" s="843">
        <f t="shared" si="42"/>
        <v>0</v>
      </c>
      <c r="U259" s="843">
        <f t="shared" si="41"/>
        <v>0</v>
      </c>
      <c r="V259" s="307"/>
      <c r="W259" t="e">
        <f>+'Yeşil Defter'!#REF!</f>
        <v>#REF!</v>
      </c>
      <c r="X259" s="766"/>
    </row>
    <row r="260" spans="1:24" ht="19.95" hidden="1" customHeight="1" x14ac:dyDescent="0.3">
      <c r="A260" s="262">
        <v>2</v>
      </c>
      <c r="C260" s="873">
        <v>239</v>
      </c>
      <c r="D260" s="855" t="s">
        <v>697</v>
      </c>
      <c r="E260" s="1345" t="s">
        <v>698</v>
      </c>
      <c r="F260" s="1345"/>
      <c r="G260" s="1345"/>
      <c r="H260" s="855" t="s">
        <v>286</v>
      </c>
      <c r="I260" s="856">
        <v>56812609</v>
      </c>
      <c r="J260" s="852">
        <f>+'Yeşil Defter Dönemsel'!I259</f>
        <v>0</v>
      </c>
      <c r="K260" s="852">
        <f>+'Yeşil Defter Dönemsel'!J259</f>
        <v>0</v>
      </c>
      <c r="L260" s="852">
        <f>+'Yeşil Defter Dönemsel'!K259</f>
        <v>0</v>
      </c>
      <c r="M260" s="857">
        <f t="shared" si="36"/>
        <v>0</v>
      </c>
      <c r="N260" s="857">
        <f t="shared" si="37"/>
        <v>0</v>
      </c>
      <c r="O260" s="857">
        <f t="shared" si="38"/>
        <v>0</v>
      </c>
      <c r="P260" s="852">
        <f t="shared" si="43"/>
        <v>0</v>
      </c>
      <c r="Q260" s="854">
        <f t="shared" si="39"/>
        <v>0</v>
      </c>
      <c r="R260" s="854">
        <f t="shared" si="44"/>
        <v>0</v>
      </c>
      <c r="S260" s="843">
        <f t="shared" si="40"/>
        <v>0</v>
      </c>
      <c r="T260" s="843">
        <f t="shared" si="42"/>
        <v>0</v>
      </c>
      <c r="U260" s="843">
        <f t="shared" si="41"/>
        <v>0</v>
      </c>
      <c r="V260" s="307"/>
      <c r="W260" t="e">
        <f>+'Yeşil Defter'!#REF!</f>
        <v>#REF!</v>
      </c>
      <c r="X260" s="766"/>
    </row>
    <row r="261" spans="1:24" ht="19.95" hidden="1" customHeight="1" x14ac:dyDescent="0.3">
      <c r="A261" s="262">
        <v>2</v>
      </c>
      <c r="C261" s="873">
        <v>240</v>
      </c>
      <c r="D261" s="855" t="s">
        <v>699</v>
      </c>
      <c r="E261" s="1345" t="s">
        <v>700</v>
      </c>
      <c r="F261" s="1345"/>
      <c r="G261" s="1345"/>
      <c r="H261" s="855" t="s">
        <v>286</v>
      </c>
      <c r="I261" s="856">
        <v>22283195</v>
      </c>
      <c r="J261" s="852">
        <f>+'Yeşil Defter Dönemsel'!I260</f>
        <v>0</v>
      </c>
      <c r="K261" s="852">
        <f>+'Yeşil Defter Dönemsel'!J260</f>
        <v>0</v>
      </c>
      <c r="L261" s="852">
        <f>+'Yeşil Defter Dönemsel'!K260</f>
        <v>0</v>
      </c>
      <c r="M261" s="857">
        <f t="shared" si="36"/>
        <v>0</v>
      </c>
      <c r="N261" s="857">
        <f t="shared" si="37"/>
        <v>0</v>
      </c>
      <c r="O261" s="857">
        <f t="shared" si="38"/>
        <v>0</v>
      </c>
      <c r="P261" s="852">
        <f t="shared" si="43"/>
        <v>0</v>
      </c>
      <c r="Q261" s="854">
        <f t="shared" si="39"/>
        <v>0</v>
      </c>
      <c r="R261" s="854">
        <f t="shared" si="44"/>
        <v>0</v>
      </c>
      <c r="S261" s="843">
        <f t="shared" si="40"/>
        <v>0</v>
      </c>
      <c r="T261" s="843">
        <f t="shared" si="42"/>
        <v>0</v>
      </c>
      <c r="U261" s="843">
        <f t="shared" si="41"/>
        <v>0</v>
      </c>
      <c r="V261" s="307"/>
      <c r="W261" t="e">
        <f>+'Yeşil Defter'!#REF!</f>
        <v>#REF!</v>
      </c>
      <c r="X261" s="766"/>
    </row>
    <row r="262" spans="1:24" ht="19.95" hidden="1" customHeight="1" x14ac:dyDescent="0.3">
      <c r="A262" s="262">
        <v>2</v>
      </c>
      <c r="C262" s="873">
        <v>241</v>
      </c>
      <c r="D262" s="855" t="s">
        <v>701</v>
      </c>
      <c r="E262" s="1345" t="s">
        <v>702</v>
      </c>
      <c r="F262" s="1345"/>
      <c r="G262" s="1345"/>
      <c r="H262" s="855" t="s">
        <v>286</v>
      </c>
      <c r="I262" s="856">
        <v>19971061</v>
      </c>
      <c r="J262" s="852">
        <f>+'Yeşil Defter Dönemsel'!I261</f>
        <v>0</v>
      </c>
      <c r="K262" s="852">
        <f>+'Yeşil Defter Dönemsel'!J261</f>
        <v>0</v>
      </c>
      <c r="L262" s="852">
        <f>+'Yeşil Defter Dönemsel'!K261</f>
        <v>0</v>
      </c>
      <c r="M262" s="857">
        <f t="shared" si="36"/>
        <v>0</v>
      </c>
      <c r="N262" s="857">
        <f t="shared" si="37"/>
        <v>0</v>
      </c>
      <c r="O262" s="857">
        <f t="shared" si="38"/>
        <v>0</v>
      </c>
      <c r="P262" s="852">
        <f t="shared" si="43"/>
        <v>0</v>
      </c>
      <c r="Q262" s="854">
        <f t="shared" si="39"/>
        <v>0</v>
      </c>
      <c r="R262" s="854">
        <f t="shared" si="44"/>
        <v>0</v>
      </c>
      <c r="S262" s="843">
        <f t="shared" si="40"/>
        <v>0</v>
      </c>
      <c r="T262" s="843">
        <f t="shared" si="42"/>
        <v>0</v>
      </c>
      <c r="U262" s="843">
        <f t="shared" si="41"/>
        <v>0</v>
      </c>
      <c r="V262" s="307"/>
      <c r="W262" t="e">
        <f>+'Yeşil Defter'!#REF!</f>
        <v>#REF!</v>
      </c>
      <c r="X262" s="766"/>
    </row>
    <row r="263" spans="1:24" ht="19.95" hidden="1" customHeight="1" x14ac:dyDescent="0.3">
      <c r="A263" s="262">
        <v>2</v>
      </c>
      <c r="C263" s="873">
        <v>242</v>
      </c>
      <c r="D263" s="855" t="s">
        <v>703</v>
      </c>
      <c r="E263" s="1345" t="s">
        <v>704</v>
      </c>
      <c r="F263" s="1345"/>
      <c r="G263" s="1345"/>
      <c r="H263" s="855" t="s">
        <v>286</v>
      </c>
      <c r="I263" s="856">
        <v>19971061</v>
      </c>
      <c r="J263" s="852">
        <f>+'Yeşil Defter Dönemsel'!I262</f>
        <v>0</v>
      </c>
      <c r="K263" s="852">
        <f>+'Yeşil Defter Dönemsel'!J262</f>
        <v>0</v>
      </c>
      <c r="L263" s="852">
        <f>+'Yeşil Defter Dönemsel'!K262</f>
        <v>0</v>
      </c>
      <c r="M263" s="857">
        <f t="shared" si="36"/>
        <v>0</v>
      </c>
      <c r="N263" s="857">
        <f t="shared" si="37"/>
        <v>0</v>
      </c>
      <c r="O263" s="857">
        <f t="shared" si="38"/>
        <v>0</v>
      </c>
      <c r="P263" s="852">
        <f t="shared" si="43"/>
        <v>0</v>
      </c>
      <c r="Q263" s="854">
        <f t="shared" si="39"/>
        <v>0</v>
      </c>
      <c r="R263" s="854">
        <f t="shared" si="44"/>
        <v>0</v>
      </c>
      <c r="S263" s="843">
        <f t="shared" si="40"/>
        <v>0</v>
      </c>
      <c r="T263" s="843">
        <f t="shared" si="42"/>
        <v>0</v>
      </c>
      <c r="U263" s="843">
        <f t="shared" si="41"/>
        <v>0</v>
      </c>
      <c r="V263" s="307"/>
      <c r="W263" t="e">
        <f>+'Yeşil Defter'!#REF!</f>
        <v>#REF!</v>
      </c>
      <c r="X263" s="766"/>
    </row>
    <row r="264" spans="1:24" ht="19.95" hidden="1" customHeight="1" x14ac:dyDescent="0.3">
      <c r="A264" s="262">
        <v>2</v>
      </c>
      <c r="C264" s="873">
        <v>243</v>
      </c>
      <c r="D264" s="855" t="s">
        <v>705</v>
      </c>
      <c r="E264" s="1345" t="s">
        <v>706</v>
      </c>
      <c r="F264" s="1345"/>
      <c r="G264" s="1345"/>
      <c r="H264" s="855" t="s">
        <v>286</v>
      </c>
      <c r="I264" s="856">
        <v>19971061</v>
      </c>
      <c r="J264" s="852">
        <f>+'Yeşil Defter Dönemsel'!I263</f>
        <v>0</v>
      </c>
      <c r="K264" s="852">
        <f>+'Yeşil Defter Dönemsel'!J263</f>
        <v>0</v>
      </c>
      <c r="L264" s="852">
        <f>+'Yeşil Defter Dönemsel'!K263</f>
        <v>0</v>
      </c>
      <c r="M264" s="857">
        <f t="shared" si="36"/>
        <v>0</v>
      </c>
      <c r="N264" s="857">
        <f t="shared" si="37"/>
        <v>0</v>
      </c>
      <c r="O264" s="857">
        <f t="shared" si="38"/>
        <v>0</v>
      </c>
      <c r="P264" s="852">
        <f t="shared" si="43"/>
        <v>0</v>
      </c>
      <c r="Q264" s="854">
        <f t="shared" si="39"/>
        <v>0</v>
      </c>
      <c r="R264" s="854">
        <f t="shared" si="44"/>
        <v>0</v>
      </c>
      <c r="S264" s="843">
        <f t="shared" si="40"/>
        <v>0</v>
      </c>
      <c r="T264" s="843">
        <f t="shared" si="42"/>
        <v>0</v>
      </c>
      <c r="U264" s="843">
        <f t="shared" si="41"/>
        <v>0</v>
      </c>
      <c r="V264" s="307"/>
      <c r="W264" t="e">
        <f>+'Yeşil Defter'!#REF!</f>
        <v>#REF!</v>
      </c>
      <c r="X264" s="766"/>
    </row>
    <row r="265" spans="1:24" ht="19.95" hidden="1" customHeight="1" x14ac:dyDescent="0.3">
      <c r="A265" s="262">
        <v>2</v>
      </c>
      <c r="C265" s="873">
        <v>244</v>
      </c>
      <c r="D265" s="855" t="s">
        <v>707</v>
      </c>
      <c r="E265" s="1345" t="s">
        <v>708</v>
      </c>
      <c r="F265" s="1345"/>
      <c r="G265" s="1345"/>
      <c r="H265" s="855" t="s">
        <v>286</v>
      </c>
      <c r="I265" s="856">
        <v>23439262</v>
      </c>
      <c r="J265" s="852">
        <f>+'Yeşil Defter Dönemsel'!I264</f>
        <v>0</v>
      </c>
      <c r="K265" s="852">
        <f>+'Yeşil Defter Dönemsel'!J264</f>
        <v>0</v>
      </c>
      <c r="L265" s="852">
        <f>+'Yeşil Defter Dönemsel'!K264</f>
        <v>0</v>
      </c>
      <c r="M265" s="857">
        <f t="shared" si="36"/>
        <v>0</v>
      </c>
      <c r="N265" s="857">
        <f t="shared" si="37"/>
        <v>0</v>
      </c>
      <c r="O265" s="857">
        <f t="shared" si="38"/>
        <v>0</v>
      </c>
      <c r="P265" s="852">
        <f t="shared" si="43"/>
        <v>0</v>
      </c>
      <c r="Q265" s="854">
        <f t="shared" si="39"/>
        <v>0</v>
      </c>
      <c r="R265" s="854">
        <f t="shared" si="44"/>
        <v>0</v>
      </c>
      <c r="S265" s="843">
        <f t="shared" si="40"/>
        <v>0</v>
      </c>
      <c r="T265" s="843">
        <f t="shared" si="42"/>
        <v>0</v>
      </c>
      <c r="U265" s="843">
        <f t="shared" si="41"/>
        <v>0</v>
      </c>
      <c r="V265" s="307"/>
      <c r="W265" t="e">
        <f>+'Yeşil Defter'!#REF!</f>
        <v>#REF!</v>
      </c>
      <c r="X265" s="766"/>
    </row>
    <row r="266" spans="1:24" ht="19.95" hidden="1" customHeight="1" x14ac:dyDescent="0.3">
      <c r="A266" s="262">
        <v>2</v>
      </c>
      <c r="C266" s="873">
        <v>245</v>
      </c>
      <c r="D266" s="855" t="s">
        <v>709</v>
      </c>
      <c r="E266" s="1345" t="s">
        <v>710</v>
      </c>
      <c r="F266" s="1345"/>
      <c r="G266" s="1345"/>
      <c r="H266" s="855" t="s">
        <v>286</v>
      </c>
      <c r="I266" s="856">
        <v>48019562</v>
      </c>
      <c r="J266" s="852">
        <f>+'Yeşil Defter Dönemsel'!I265</f>
        <v>0</v>
      </c>
      <c r="K266" s="852">
        <f>+'Yeşil Defter Dönemsel'!J265</f>
        <v>0</v>
      </c>
      <c r="L266" s="852">
        <f>+'Yeşil Defter Dönemsel'!K265</f>
        <v>0</v>
      </c>
      <c r="M266" s="857">
        <f t="shared" si="36"/>
        <v>0</v>
      </c>
      <c r="N266" s="857">
        <f t="shared" si="37"/>
        <v>0</v>
      </c>
      <c r="O266" s="857">
        <f t="shared" si="38"/>
        <v>0</v>
      </c>
      <c r="P266" s="852">
        <f t="shared" si="43"/>
        <v>0</v>
      </c>
      <c r="Q266" s="854">
        <f t="shared" si="39"/>
        <v>0</v>
      </c>
      <c r="R266" s="854">
        <f t="shared" si="44"/>
        <v>0</v>
      </c>
      <c r="S266" s="843">
        <f t="shared" si="40"/>
        <v>0</v>
      </c>
      <c r="T266" s="843">
        <f t="shared" si="42"/>
        <v>0</v>
      </c>
      <c r="U266" s="843">
        <f t="shared" si="41"/>
        <v>0</v>
      </c>
      <c r="V266" s="307"/>
      <c r="W266" t="e">
        <f>+'Yeşil Defter'!#REF!</f>
        <v>#REF!</v>
      </c>
      <c r="X266" s="766"/>
    </row>
    <row r="267" spans="1:24" ht="19.95" hidden="1" customHeight="1" x14ac:dyDescent="0.3">
      <c r="A267" s="262">
        <v>2</v>
      </c>
      <c r="C267" s="873">
        <v>246</v>
      </c>
      <c r="D267" s="855" t="s">
        <v>711</v>
      </c>
      <c r="E267" s="1345" t="s">
        <v>712</v>
      </c>
      <c r="F267" s="1345"/>
      <c r="G267" s="1345"/>
      <c r="H267" s="855" t="s">
        <v>286</v>
      </c>
      <c r="I267" s="856">
        <v>33525948</v>
      </c>
      <c r="J267" s="852">
        <f>+'Yeşil Defter Dönemsel'!I266</f>
        <v>0</v>
      </c>
      <c r="K267" s="852">
        <f>+'Yeşil Defter Dönemsel'!J266</f>
        <v>0</v>
      </c>
      <c r="L267" s="852">
        <f>+'Yeşil Defter Dönemsel'!K266</f>
        <v>0</v>
      </c>
      <c r="M267" s="857">
        <f t="shared" si="36"/>
        <v>0</v>
      </c>
      <c r="N267" s="857">
        <f t="shared" si="37"/>
        <v>0</v>
      </c>
      <c r="O267" s="857">
        <f t="shared" si="38"/>
        <v>0</v>
      </c>
      <c r="P267" s="852">
        <f t="shared" si="43"/>
        <v>0</v>
      </c>
      <c r="Q267" s="854">
        <f t="shared" si="39"/>
        <v>0</v>
      </c>
      <c r="R267" s="854">
        <f t="shared" si="44"/>
        <v>0</v>
      </c>
      <c r="S267" s="843">
        <f t="shared" si="40"/>
        <v>0</v>
      </c>
      <c r="T267" s="843">
        <f t="shared" si="42"/>
        <v>0</v>
      </c>
      <c r="U267" s="843">
        <f t="shared" si="41"/>
        <v>0</v>
      </c>
      <c r="V267" s="307"/>
      <c r="W267" t="e">
        <f>+'Yeşil Defter'!#REF!</f>
        <v>#REF!</v>
      </c>
      <c r="X267" s="766"/>
    </row>
    <row r="268" spans="1:24" ht="19.95" hidden="1" customHeight="1" x14ac:dyDescent="0.3">
      <c r="A268" s="262">
        <v>2</v>
      </c>
      <c r="C268" s="873">
        <v>247</v>
      </c>
      <c r="D268" s="855" t="s">
        <v>713</v>
      </c>
      <c r="E268" s="1345" t="s">
        <v>714</v>
      </c>
      <c r="F268" s="1345"/>
      <c r="G268" s="1345"/>
      <c r="H268" s="855" t="s">
        <v>286</v>
      </c>
      <c r="I268" s="856">
        <v>33525948</v>
      </c>
      <c r="J268" s="852">
        <f>+'Yeşil Defter Dönemsel'!I267</f>
        <v>0</v>
      </c>
      <c r="K268" s="852">
        <f>+'Yeşil Defter Dönemsel'!J267</f>
        <v>0</v>
      </c>
      <c r="L268" s="852">
        <f>+'Yeşil Defter Dönemsel'!K267</f>
        <v>0</v>
      </c>
      <c r="M268" s="857">
        <f t="shared" si="36"/>
        <v>0</v>
      </c>
      <c r="N268" s="857">
        <f t="shared" si="37"/>
        <v>0</v>
      </c>
      <c r="O268" s="857">
        <f t="shared" si="38"/>
        <v>0</v>
      </c>
      <c r="P268" s="852">
        <f t="shared" si="43"/>
        <v>0</v>
      </c>
      <c r="Q268" s="854">
        <f t="shared" si="39"/>
        <v>0</v>
      </c>
      <c r="R268" s="854">
        <f t="shared" si="44"/>
        <v>0</v>
      </c>
      <c r="S268" s="843">
        <f t="shared" si="40"/>
        <v>0</v>
      </c>
      <c r="T268" s="843">
        <f t="shared" si="42"/>
        <v>0</v>
      </c>
      <c r="U268" s="843">
        <f t="shared" si="41"/>
        <v>0</v>
      </c>
      <c r="V268" s="307"/>
      <c r="W268" t="e">
        <f>+'Yeşil Defter'!#REF!</f>
        <v>#REF!</v>
      </c>
      <c r="X268" s="766"/>
    </row>
    <row r="269" spans="1:24" ht="19.95" hidden="1" customHeight="1" x14ac:dyDescent="0.3">
      <c r="A269" s="262">
        <v>2</v>
      </c>
      <c r="C269" s="873">
        <v>248</v>
      </c>
      <c r="D269" s="855" t="s">
        <v>715</v>
      </c>
      <c r="E269" s="1345" t="s">
        <v>716</v>
      </c>
      <c r="F269" s="1345"/>
      <c r="G269" s="1345"/>
      <c r="H269" s="855" t="s">
        <v>286</v>
      </c>
      <c r="I269" s="856">
        <v>33525948</v>
      </c>
      <c r="J269" s="852">
        <f>+'Yeşil Defter Dönemsel'!I268</f>
        <v>0</v>
      </c>
      <c r="K269" s="852">
        <f>+'Yeşil Defter Dönemsel'!J268</f>
        <v>0</v>
      </c>
      <c r="L269" s="852">
        <f>+'Yeşil Defter Dönemsel'!K268</f>
        <v>0</v>
      </c>
      <c r="M269" s="857">
        <f t="shared" si="36"/>
        <v>0</v>
      </c>
      <c r="N269" s="857">
        <f t="shared" si="37"/>
        <v>0</v>
      </c>
      <c r="O269" s="857">
        <f t="shared" si="38"/>
        <v>0</v>
      </c>
      <c r="P269" s="852">
        <f t="shared" si="43"/>
        <v>0</v>
      </c>
      <c r="Q269" s="854">
        <f t="shared" si="39"/>
        <v>0</v>
      </c>
      <c r="R269" s="854">
        <f t="shared" si="44"/>
        <v>0</v>
      </c>
      <c r="S269" s="843">
        <f t="shared" si="40"/>
        <v>0</v>
      </c>
      <c r="T269" s="843">
        <f t="shared" si="42"/>
        <v>0</v>
      </c>
      <c r="U269" s="843">
        <f t="shared" si="41"/>
        <v>0</v>
      </c>
      <c r="V269" s="307"/>
      <c r="W269" t="e">
        <f>+'Yeşil Defter'!#REF!</f>
        <v>#REF!</v>
      </c>
      <c r="X269" s="766"/>
    </row>
    <row r="270" spans="1:24" ht="19.95" hidden="1" customHeight="1" x14ac:dyDescent="0.3">
      <c r="A270" s="262">
        <v>2</v>
      </c>
      <c r="C270" s="873">
        <v>249</v>
      </c>
      <c r="D270" s="855" t="s">
        <v>717</v>
      </c>
      <c r="E270" s="1345" t="s">
        <v>718</v>
      </c>
      <c r="F270" s="1345"/>
      <c r="G270" s="1345"/>
      <c r="H270" s="855" t="s">
        <v>286</v>
      </c>
      <c r="I270" s="856">
        <v>33525948</v>
      </c>
      <c r="J270" s="852">
        <f>+'Yeşil Defter Dönemsel'!I269</f>
        <v>0</v>
      </c>
      <c r="K270" s="852">
        <f>+'Yeşil Defter Dönemsel'!J269</f>
        <v>0</v>
      </c>
      <c r="L270" s="852">
        <f>+'Yeşil Defter Dönemsel'!K269</f>
        <v>0</v>
      </c>
      <c r="M270" s="857">
        <f t="shared" ref="M270:M281" si="45">+ROUND($I270*J270,2)</f>
        <v>0</v>
      </c>
      <c r="N270" s="857">
        <f t="shared" ref="N270:N281" si="46">+ROUND($I270*K270,2)</f>
        <v>0</v>
      </c>
      <c r="O270" s="857">
        <f t="shared" ref="O270:O281" si="47">+ROUND($I270*L270,2)</f>
        <v>0</v>
      </c>
      <c r="P270" s="852">
        <f t="shared" si="43"/>
        <v>0</v>
      </c>
      <c r="Q270" s="854">
        <f t="shared" ref="Q270:Q281" si="48">+R270-P270</f>
        <v>0</v>
      </c>
      <c r="R270" s="854">
        <f t="shared" si="44"/>
        <v>0</v>
      </c>
      <c r="S270" s="843">
        <f t="shared" si="40"/>
        <v>0</v>
      </c>
      <c r="T270" s="843">
        <f t="shared" si="42"/>
        <v>0</v>
      </c>
      <c r="U270" s="843">
        <f t="shared" si="41"/>
        <v>0</v>
      </c>
      <c r="V270" s="307"/>
      <c r="W270" t="e">
        <f>+'Yeşil Defter'!#REF!</f>
        <v>#REF!</v>
      </c>
      <c r="X270" s="766"/>
    </row>
    <row r="271" spans="1:24" ht="19.95" hidden="1" customHeight="1" x14ac:dyDescent="0.3">
      <c r="A271" s="262">
        <v>2</v>
      </c>
      <c r="C271" s="873">
        <v>250</v>
      </c>
      <c r="D271" s="855" t="s">
        <v>719</v>
      </c>
      <c r="E271" s="1345" t="s">
        <v>720</v>
      </c>
      <c r="F271" s="1345"/>
      <c r="G271" s="1345"/>
      <c r="H271" s="855" t="s">
        <v>286</v>
      </c>
      <c r="I271" s="856">
        <v>47398754</v>
      </c>
      <c r="J271" s="852">
        <f>+'Yeşil Defter Dönemsel'!I270</f>
        <v>0</v>
      </c>
      <c r="K271" s="852">
        <f>+'Yeşil Defter Dönemsel'!J270</f>
        <v>0</v>
      </c>
      <c r="L271" s="852">
        <f>+'Yeşil Defter Dönemsel'!K270</f>
        <v>0</v>
      </c>
      <c r="M271" s="857">
        <f t="shared" si="45"/>
        <v>0</v>
      </c>
      <c r="N271" s="857">
        <f t="shared" si="46"/>
        <v>0</v>
      </c>
      <c r="O271" s="857">
        <f t="shared" si="47"/>
        <v>0</v>
      </c>
      <c r="P271" s="852">
        <f t="shared" si="43"/>
        <v>0</v>
      </c>
      <c r="Q271" s="854">
        <f t="shared" si="48"/>
        <v>0</v>
      </c>
      <c r="R271" s="854">
        <f t="shared" si="44"/>
        <v>0</v>
      </c>
      <c r="S271" s="843">
        <f t="shared" si="40"/>
        <v>0</v>
      </c>
      <c r="T271" s="843">
        <f t="shared" si="42"/>
        <v>0</v>
      </c>
      <c r="U271" s="843">
        <f t="shared" si="41"/>
        <v>0</v>
      </c>
      <c r="V271" s="307"/>
      <c r="W271" t="e">
        <f>+'Yeşil Defter'!#REF!</f>
        <v>#REF!</v>
      </c>
      <c r="X271" s="766"/>
    </row>
    <row r="272" spans="1:24" ht="19.95" hidden="1" customHeight="1" x14ac:dyDescent="0.3">
      <c r="A272" s="262">
        <v>2</v>
      </c>
      <c r="C272" s="873">
        <v>251</v>
      </c>
      <c r="D272" s="855" t="s">
        <v>721</v>
      </c>
      <c r="E272" s="1345" t="s">
        <v>722</v>
      </c>
      <c r="F272" s="1345"/>
      <c r="G272" s="1345"/>
      <c r="H272" s="855" t="s">
        <v>286</v>
      </c>
      <c r="I272" s="856">
        <v>15780317</v>
      </c>
      <c r="J272" s="852">
        <f>+'Yeşil Defter Dönemsel'!I271</f>
        <v>0</v>
      </c>
      <c r="K272" s="852">
        <f>+'Yeşil Defter Dönemsel'!J271</f>
        <v>0</v>
      </c>
      <c r="L272" s="852">
        <f>+'Yeşil Defter Dönemsel'!K271</f>
        <v>0</v>
      </c>
      <c r="M272" s="857">
        <f t="shared" si="45"/>
        <v>0</v>
      </c>
      <c r="N272" s="857">
        <f t="shared" si="46"/>
        <v>0</v>
      </c>
      <c r="O272" s="857">
        <f t="shared" si="47"/>
        <v>0</v>
      </c>
      <c r="P272" s="852">
        <f t="shared" si="43"/>
        <v>0</v>
      </c>
      <c r="Q272" s="854">
        <f t="shared" si="48"/>
        <v>0</v>
      </c>
      <c r="R272" s="854">
        <f t="shared" si="44"/>
        <v>0</v>
      </c>
      <c r="S272" s="843">
        <f t="shared" ref="S272:S335" si="49">+M272</f>
        <v>0</v>
      </c>
      <c r="T272" s="843">
        <f t="shared" si="42"/>
        <v>0</v>
      </c>
      <c r="U272" s="843">
        <f t="shared" ref="U272:U335" si="50">+O272</f>
        <v>0</v>
      </c>
      <c r="V272" s="307"/>
      <c r="W272" t="e">
        <f>+'Yeşil Defter'!#REF!</f>
        <v>#REF!</v>
      </c>
      <c r="X272" s="766"/>
    </row>
    <row r="273" spans="1:24" ht="19.95" hidden="1" customHeight="1" x14ac:dyDescent="0.3">
      <c r="A273" s="262">
        <v>2</v>
      </c>
      <c r="C273" s="873">
        <v>252</v>
      </c>
      <c r="D273" s="855" t="s">
        <v>723</v>
      </c>
      <c r="E273" s="1345" t="s">
        <v>724</v>
      </c>
      <c r="F273" s="1345"/>
      <c r="G273" s="1345"/>
      <c r="H273" s="855" t="s">
        <v>286</v>
      </c>
      <c r="I273" s="856">
        <v>15780317</v>
      </c>
      <c r="J273" s="852">
        <f>+'Yeşil Defter Dönemsel'!I272</f>
        <v>0</v>
      </c>
      <c r="K273" s="852">
        <f>+'Yeşil Defter Dönemsel'!J272</f>
        <v>0</v>
      </c>
      <c r="L273" s="852">
        <f>+'Yeşil Defter Dönemsel'!K272</f>
        <v>0</v>
      </c>
      <c r="M273" s="857">
        <f t="shared" si="45"/>
        <v>0</v>
      </c>
      <c r="N273" s="857">
        <f t="shared" si="46"/>
        <v>0</v>
      </c>
      <c r="O273" s="857">
        <f t="shared" si="47"/>
        <v>0</v>
      </c>
      <c r="P273" s="852">
        <f t="shared" si="43"/>
        <v>0</v>
      </c>
      <c r="Q273" s="854">
        <f t="shared" si="48"/>
        <v>0</v>
      </c>
      <c r="R273" s="854">
        <f t="shared" si="44"/>
        <v>0</v>
      </c>
      <c r="S273" s="843">
        <f t="shared" si="49"/>
        <v>0</v>
      </c>
      <c r="T273" s="843">
        <f t="shared" ref="T273:T336" si="51">+U273-S273</f>
        <v>0</v>
      </c>
      <c r="U273" s="843">
        <f t="shared" si="50"/>
        <v>0</v>
      </c>
      <c r="V273" s="307"/>
      <c r="W273" t="e">
        <f>+'Yeşil Defter'!#REF!</f>
        <v>#REF!</v>
      </c>
      <c r="X273" s="766"/>
    </row>
    <row r="274" spans="1:24" ht="19.95" hidden="1" customHeight="1" x14ac:dyDescent="0.3">
      <c r="A274" s="262">
        <v>2</v>
      </c>
      <c r="C274" s="873">
        <v>253</v>
      </c>
      <c r="D274" s="855" t="s">
        <v>725</v>
      </c>
      <c r="E274" s="1345" t="s">
        <v>726</v>
      </c>
      <c r="F274" s="1345"/>
      <c r="G274" s="1345"/>
      <c r="H274" s="855" t="s">
        <v>286</v>
      </c>
      <c r="I274" s="856">
        <v>15780317</v>
      </c>
      <c r="J274" s="852">
        <f>+'Yeşil Defter Dönemsel'!I273</f>
        <v>0</v>
      </c>
      <c r="K274" s="852">
        <f>+'Yeşil Defter Dönemsel'!J273</f>
        <v>0</v>
      </c>
      <c r="L274" s="852">
        <f>+'Yeşil Defter Dönemsel'!K273</f>
        <v>0</v>
      </c>
      <c r="M274" s="857">
        <f t="shared" si="45"/>
        <v>0</v>
      </c>
      <c r="N274" s="857">
        <f t="shared" si="46"/>
        <v>0</v>
      </c>
      <c r="O274" s="857">
        <f t="shared" si="47"/>
        <v>0</v>
      </c>
      <c r="P274" s="852">
        <f t="shared" si="43"/>
        <v>0</v>
      </c>
      <c r="Q274" s="854">
        <f t="shared" si="48"/>
        <v>0</v>
      </c>
      <c r="R274" s="854">
        <f t="shared" si="44"/>
        <v>0</v>
      </c>
      <c r="S274" s="843">
        <f t="shared" si="49"/>
        <v>0</v>
      </c>
      <c r="T274" s="843">
        <f t="shared" si="51"/>
        <v>0</v>
      </c>
      <c r="U274" s="843">
        <f t="shared" si="50"/>
        <v>0</v>
      </c>
      <c r="V274" s="307"/>
      <c r="W274" t="e">
        <f>+'Yeşil Defter'!#REF!</f>
        <v>#REF!</v>
      </c>
      <c r="X274" s="766"/>
    </row>
    <row r="275" spans="1:24" ht="19.95" hidden="1" customHeight="1" x14ac:dyDescent="0.3">
      <c r="A275" s="262">
        <v>2</v>
      </c>
      <c r="C275" s="873">
        <v>254</v>
      </c>
      <c r="D275" s="855" t="s">
        <v>727</v>
      </c>
      <c r="E275" s="1345" t="s">
        <v>728</v>
      </c>
      <c r="F275" s="1345"/>
      <c r="G275" s="1345"/>
      <c r="H275" s="855" t="s">
        <v>286</v>
      </c>
      <c r="I275" s="856">
        <v>15780317</v>
      </c>
      <c r="J275" s="852">
        <f>+'Yeşil Defter Dönemsel'!I274</f>
        <v>0</v>
      </c>
      <c r="K275" s="852">
        <f>+'Yeşil Defter Dönemsel'!J274</f>
        <v>0</v>
      </c>
      <c r="L275" s="852">
        <f>+'Yeşil Defter Dönemsel'!K274</f>
        <v>0</v>
      </c>
      <c r="M275" s="857">
        <f t="shared" si="45"/>
        <v>0</v>
      </c>
      <c r="N275" s="857">
        <f t="shared" si="46"/>
        <v>0</v>
      </c>
      <c r="O275" s="857">
        <f t="shared" si="47"/>
        <v>0</v>
      </c>
      <c r="P275" s="852">
        <f t="shared" si="43"/>
        <v>0</v>
      </c>
      <c r="Q275" s="854">
        <f t="shared" si="48"/>
        <v>0</v>
      </c>
      <c r="R275" s="854">
        <f t="shared" si="44"/>
        <v>0</v>
      </c>
      <c r="S275" s="843">
        <f t="shared" si="49"/>
        <v>0</v>
      </c>
      <c r="T275" s="843">
        <f t="shared" si="51"/>
        <v>0</v>
      </c>
      <c r="U275" s="843">
        <f t="shared" si="50"/>
        <v>0</v>
      </c>
      <c r="V275" s="307"/>
      <c r="W275" t="e">
        <f>+'Yeşil Defter'!#REF!</f>
        <v>#REF!</v>
      </c>
      <c r="X275" s="766"/>
    </row>
    <row r="276" spans="1:24" ht="19.95" hidden="1" customHeight="1" x14ac:dyDescent="0.3">
      <c r="A276" s="262">
        <v>2</v>
      </c>
      <c r="C276" s="873">
        <v>255</v>
      </c>
      <c r="D276" s="855" t="s">
        <v>729</v>
      </c>
      <c r="E276" s="1345" t="s">
        <v>730</v>
      </c>
      <c r="F276" s="1345"/>
      <c r="G276" s="1345"/>
      <c r="H276" s="855" t="s">
        <v>286</v>
      </c>
      <c r="I276" s="856">
        <v>25144461</v>
      </c>
      <c r="J276" s="852">
        <f>+'Yeşil Defter Dönemsel'!I275</f>
        <v>0</v>
      </c>
      <c r="K276" s="852">
        <f>+'Yeşil Defter Dönemsel'!J275</f>
        <v>0</v>
      </c>
      <c r="L276" s="852">
        <f>+'Yeşil Defter Dönemsel'!K275</f>
        <v>0</v>
      </c>
      <c r="M276" s="857">
        <f t="shared" si="45"/>
        <v>0</v>
      </c>
      <c r="N276" s="857">
        <f t="shared" si="46"/>
        <v>0</v>
      </c>
      <c r="O276" s="857">
        <f t="shared" si="47"/>
        <v>0</v>
      </c>
      <c r="P276" s="852">
        <f t="shared" si="43"/>
        <v>0</v>
      </c>
      <c r="Q276" s="854">
        <f t="shared" si="48"/>
        <v>0</v>
      </c>
      <c r="R276" s="854">
        <f t="shared" si="44"/>
        <v>0</v>
      </c>
      <c r="S276" s="843">
        <f t="shared" si="49"/>
        <v>0</v>
      </c>
      <c r="T276" s="843">
        <f t="shared" si="51"/>
        <v>0</v>
      </c>
      <c r="U276" s="843">
        <f t="shared" si="50"/>
        <v>0</v>
      </c>
      <c r="V276" s="307"/>
      <c r="W276" t="e">
        <f>+'Yeşil Defter'!#REF!</f>
        <v>#REF!</v>
      </c>
      <c r="X276" s="766"/>
    </row>
    <row r="277" spans="1:24" ht="19.95" hidden="1" customHeight="1" x14ac:dyDescent="0.3">
      <c r="A277" s="262">
        <v>2</v>
      </c>
      <c r="C277" s="873">
        <v>256</v>
      </c>
      <c r="D277" s="855" t="s">
        <v>731</v>
      </c>
      <c r="E277" s="1345" t="s">
        <v>732</v>
      </c>
      <c r="F277" s="1345"/>
      <c r="G277" s="1345"/>
      <c r="H277" s="855" t="s">
        <v>286</v>
      </c>
      <c r="I277" s="856">
        <v>38641545</v>
      </c>
      <c r="J277" s="852">
        <f>+'Yeşil Defter Dönemsel'!I276</f>
        <v>0</v>
      </c>
      <c r="K277" s="852">
        <f>+'Yeşil Defter Dönemsel'!J276</f>
        <v>0</v>
      </c>
      <c r="L277" s="852">
        <f>+'Yeşil Defter Dönemsel'!K276</f>
        <v>0</v>
      </c>
      <c r="M277" s="857">
        <f t="shared" si="45"/>
        <v>0</v>
      </c>
      <c r="N277" s="857">
        <f t="shared" si="46"/>
        <v>0</v>
      </c>
      <c r="O277" s="857">
        <f t="shared" si="47"/>
        <v>0</v>
      </c>
      <c r="P277" s="852">
        <f t="shared" si="43"/>
        <v>0</v>
      </c>
      <c r="Q277" s="854">
        <f t="shared" si="48"/>
        <v>0</v>
      </c>
      <c r="R277" s="854">
        <f t="shared" si="44"/>
        <v>0</v>
      </c>
      <c r="S277" s="843">
        <f t="shared" si="49"/>
        <v>0</v>
      </c>
      <c r="T277" s="843">
        <f t="shared" si="51"/>
        <v>0</v>
      </c>
      <c r="U277" s="843">
        <f t="shared" si="50"/>
        <v>0</v>
      </c>
      <c r="V277" s="307"/>
      <c r="W277" t="e">
        <f>+'Yeşil Defter'!#REF!</f>
        <v>#REF!</v>
      </c>
      <c r="X277" s="766"/>
    </row>
    <row r="278" spans="1:24" ht="19.95" hidden="1" customHeight="1" x14ac:dyDescent="0.3">
      <c r="A278" s="262">
        <v>2</v>
      </c>
      <c r="C278" s="873">
        <v>257</v>
      </c>
      <c r="D278" s="855" t="s">
        <v>733</v>
      </c>
      <c r="E278" s="1345" t="s">
        <v>734</v>
      </c>
      <c r="F278" s="1345"/>
      <c r="G278" s="1345"/>
      <c r="H278" s="855" t="s">
        <v>286</v>
      </c>
      <c r="I278" s="856">
        <v>90828122</v>
      </c>
      <c r="J278" s="852">
        <f>+'Yeşil Defter Dönemsel'!I277</f>
        <v>0</v>
      </c>
      <c r="K278" s="852">
        <f>+'Yeşil Defter Dönemsel'!J277</f>
        <v>0</v>
      </c>
      <c r="L278" s="852">
        <f>+'Yeşil Defter Dönemsel'!K277</f>
        <v>0</v>
      </c>
      <c r="M278" s="857">
        <f t="shared" si="45"/>
        <v>0</v>
      </c>
      <c r="N278" s="857">
        <f t="shared" si="46"/>
        <v>0</v>
      </c>
      <c r="O278" s="857">
        <f t="shared" si="47"/>
        <v>0</v>
      </c>
      <c r="P278" s="852">
        <f t="shared" si="43"/>
        <v>0</v>
      </c>
      <c r="Q278" s="854">
        <f t="shared" si="48"/>
        <v>0</v>
      </c>
      <c r="R278" s="854">
        <f t="shared" si="44"/>
        <v>0</v>
      </c>
      <c r="S278" s="843">
        <f t="shared" si="49"/>
        <v>0</v>
      </c>
      <c r="T278" s="843">
        <f t="shared" si="51"/>
        <v>0</v>
      </c>
      <c r="U278" s="843">
        <f t="shared" si="50"/>
        <v>0</v>
      </c>
      <c r="V278" s="307"/>
      <c r="W278" t="e">
        <f>+'Yeşil Defter'!#REF!</f>
        <v>#REF!</v>
      </c>
      <c r="X278" s="766"/>
    </row>
    <row r="279" spans="1:24" ht="19.95" hidden="1" customHeight="1" x14ac:dyDescent="0.3">
      <c r="A279" s="262">
        <v>2</v>
      </c>
      <c r="C279" s="873">
        <v>258</v>
      </c>
      <c r="D279" s="855" t="s">
        <v>735</v>
      </c>
      <c r="E279" s="1345" t="s">
        <v>736</v>
      </c>
      <c r="F279" s="1345"/>
      <c r="G279" s="1345"/>
      <c r="H279" s="855" t="s">
        <v>202</v>
      </c>
      <c r="I279" s="856">
        <v>11835</v>
      </c>
      <c r="J279" s="852">
        <f>+'Yeşil Defter Dönemsel'!I278</f>
        <v>0</v>
      </c>
      <c r="K279" s="852">
        <f>+'Yeşil Defter Dönemsel'!J278</f>
        <v>0</v>
      </c>
      <c r="L279" s="852">
        <f>+'Yeşil Defter Dönemsel'!K278</f>
        <v>0</v>
      </c>
      <c r="M279" s="857">
        <f t="shared" si="45"/>
        <v>0</v>
      </c>
      <c r="N279" s="857">
        <f t="shared" si="46"/>
        <v>0</v>
      </c>
      <c r="O279" s="857">
        <f t="shared" si="47"/>
        <v>0</v>
      </c>
      <c r="P279" s="852">
        <f t="shared" si="43"/>
        <v>0</v>
      </c>
      <c r="Q279" s="854">
        <f t="shared" si="48"/>
        <v>0</v>
      </c>
      <c r="R279" s="854">
        <f t="shared" si="44"/>
        <v>0</v>
      </c>
      <c r="S279" s="843">
        <f t="shared" si="49"/>
        <v>0</v>
      </c>
      <c r="T279" s="843">
        <f t="shared" si="51"/>
        <v>0</v>
      </c>
      <c r="U279" s="843">
        <f t="shared" si="50"/>
        <v>0</v>
      </c>
      <c r="V279" s="307"/>
      <c r="W279" t="e">
        <f>+'Yeşil Defter'!#REF!</f>
        <v>#REF!</v>
      </c>
      <c r="X279" s="766"/>
    </row>
    <row r="280" spans="1:24" ht="19.95" hidden="1" customHeight="1" x14ac:dyDescent="0.3">
      <c r="A280" s="262">
        <v>2</v>
      </c>
      <c r="C280" s="873">
        <v>259</v>
      </c>
      <c r="D280" s="855" t="s">
        <v>737</v>
      </c>
      <c r="E280" s="1345" t="s">
        <v>738</v>
      </c>
      <c r="F280" s="1345"/>
      <c r="G280" s="1345"/>
      <c r="H280" s="855" t="s">
        <v>202</v>
      </c>
      <c r="I280" s="856">
        <v>6676</v>
      </c>
      <c r="J280" s="852">
        <f>+'Yeşil Defter Dönemsel'!I279</f>
        <v>0</v>
      </c>
      <c r="K280" s="852">
        <f>+'Yeşil Defter Dönemsel'!J279</f>
        <v>0</v>
      </c>
      <c r="L280" s="852">
        <f>+'Yeşil Defter Dönemsel'!K279</f>
        <v>0</v>
      </c>
      <c r="M280" s="857">
        <f t="shared" si="45"/>
        <v>0</v>
      </c>
      <c r="N280" s="857">
        <f t="shared" si="46"/>
        <v>0</v>
      </c>
      <c r="O280" s="857">
        <f t="shared" si="47"/>
        <v>0</v>
      </c>
      <c r="P280" s="852">
        <f t="shared" si="43"/>
        <v>0</v>
      </c>
      <c r="Q280" s="854">
        <f t="shared" si="48"/>
        <v>0</v>
      </c>
      <c r="R280" s="854">
        <f t="shared" si="44"/>
        <v>0</v>
      </c>
      <c r="S280" s="843">
        <f t="shared" si="49"/>
        <v>0</v>
      </c>
      <c r="T280" s="843">
        <f t="shared" si="51"/>
        <v>0</v>
      </c>
      <c r="U280" s="843">
        <f t="shared" si="50"/>
        <v>0</v>
      </c>
      <c r="V280" s="307"/>
      <c r="W280" t="e">
        <f>+'Yeşil Defter'!#REF!</f>
        <v>#REF!</v>
      </c>
      <c r="X280" s="766"/>
    </row>
    <row r="281" spans="1:24" ht="19.95" hidden="1" customHeight="1" x14ac:dyDescent="0.3">
      <c r="A281" s="262">
        <v>2</v>
      </c>
      <c r="C281" s="874">
        <v>260</v>
      </c>
      <c r="D281" s="860" t="s">
        <v>739</v>
      </c>
      <c r="E281" s="1341" t="s">
        <v>740</v>
      </c>
      <c r="F281" s="1341"/>
      <c r="G281" s="1341"/>
      <c r="H281" s="860" t="s">
        <v>286</v>
      </c>
      <c r="I281" s="856">
        <v>22543310</v>
      </c>
      <c r="J281" s="852">
        <f>+'Yeşil Defter Dönemsel'!I280</f>
        <v>0</v>
      </c>
      <c r="K281" s="852">
        <f>+'Yeşil Defter Dönemsel'!J280</f>
        <v>0</v>
      </c>
      <c r="L281" s="852">
        <f>+'Yeşil Defter Dönemsel'!K280</f>
        <v>0</v>
      </c>
      <c r="M281" s="862">
        <f t="shared" si="45"/>
        <v>0</v>
      </c>
      <c r="N281" s="862">
        <f t="shared" si="46"/>
        <v>0</v>
      </c>
      <c r="O281" s="862">
        <f t="shared" si="47"/>
        <v>0</v>
      </c>
      <c r="P281" s="852">
        <f t="shared" si="43"/>
        <v>0</v>
      </c>
      <c r="Q281" s="868">
        <f t="shared" si="48"/>
        <v>0</v>
      </c>
      <c r="R281" s="854">
        <f t="shared" si="44"/>
        <v>0</v>
      </c>
      <c r="S281" s="843">
        <f t="shared" si="49"/>
        <v>0</v>
      </c>
      <c r="T281" s="843">
        <f t="shared" si="51"/>
        <v>0</v>
      </c>
      <c r="U281" s="843">
        <f t="shared" si="50"/>
        <v>0</v>
      </c>
      <c r="V281" s="307"/>
      <c r="W281" t="e">
        <f>+'Yeşil Defter'!#REF!</f>
        <v>#REF!</v>
      </c>
      <c r="X281" s="766"/>
    </row>
    <row r="282" spans="1:24" ht="19.95" hidden="1" customHeight="1" x14ac:dyDescent="0.3">
      <c r="A282" s="262" t="s">
        <v>1240</v>
      </c>
      <c r="C282" s="839"/>
      <c r="D282" s="869" t="s">
        <v>1230</v>
      </c>
      <c r="E282" s="841"/>
      <c r="F282" s="841"/>
      <c r="G282" s="841"/>
      <c r="H282" s="841"/>
      <c r="I282" s="841"/>
      <c r="J282" s="852">
        <f>+'Yeşil Defter Dönemsel'!I281</f>
        <v>0</v>
      </c>
      <c r="K282" s="852">
        <f>+'Yeşil Defter Dönemsel'!J281</f>
        <v>0</v>
      </c>
      <c r="L282" s="852">
        <f>+'Yeşil Defter Dönemsel'!K281</f>
        <v>0</v>
      </c>
      <c r="M282" s="870">
        <f>SUM(M283:M291)</f>
        <v>0</v>
      </c>
      <c r="N282" s="870">
        <f>SUM(N283:N291)</f>
        <v>0</v>
      </c>
      <c r="O282" s="870">
        <f>SUM(O283:O291)</f>
        <v>0</v>
      </c>
      <c r="P282" s="852">
        <f t="shared" si="43"/>
        <v>0</v>
      </c>
      <c r="Q282" s="871"/>
      <c r="R282" s="854">
        <f t="shared" si="44"/>
        <v>0</v>
      </c>
      <c r="S282" s="843">
        <f t="shared" si="49"/>
        <v>0</v>
      </c>
      <c r="T282" s="843">
        <f t="shared" si="51"/>
        <v>0</v>
      </c>
      <c r="U282" s="843">
        <f t="shared" si="50"/>
        <v>0</v>
      </c>
      <c r="V282" s="307"/>
      <c r="W282" t="e">
        <f>+'Yeşil Defter'!#REF!</f>
        <v>#REF!</v>
      </c>
      <c r="X282" s="766"/>
    </row>
    <row r="283" spans="1:24" ht="19.95" hidden="1" customHeight="1" x14ac:dyDescent="0.3">
      <c r="A283" s="262">
        <v>3</v>
      </c>
      <c r="C283" s="849">
        <v>261</v>
      </c>
      <c r="D283" s="850" t="s">
        <v>741</v>
      </c>
      <c r="E283" s="1346" t="s">
        <v>742</v>
      </c>
      <c r="F283" s="1346"/>
      <c r="G283" s="1346"/>
      <c r="H283" s="849" t="s">
        <v>743</v>
      </c>
      <c r="I283" s="856">
        <v>283693978</v>
      </c>
      <c r="J283" s="852">
        <f>+'Yeşil Defter Dönemsel'!I282</f>
        <v>0</v>
      </c>
      <c r="K283" s="852">
        <f>+'Yeşil Defter Dönemsel'!J282</f>
        <v>0</v>
      </c>
      <c r="L283" s="852">
        <f>+'Yeşil Defter Dönemsel'!K282</f>
        <v>0</v>
      </c>
      <c r="M283" s="853">
        <f t="shared" ref="M283:M291" si="52">+ROUND($I283*J283,2)</f>
        <v>0</v>
      </c>
      <c r="N283" s="853">
        <f t="shared" ref="N283:N291" si="53">+ROUND($I283*K283,2)</f>
        <v>0</v>
      </c>
      <c r="O283" s="853">
        <f t="shared" ref="O283:O291" si="54">+ROUND($I283*L283,2)</f>
        <v>0</v>
      </c>
      <c r="P283" s="852">
        <f t="shared" si="43"/>
        <v>0</v>
      </c>
      <c r="Q283" s="852">
        <f t="shared" ref="Q283:Q291" si="55">+R283-P283</f>
        <v>0</v>
      </c>
      <c r="R283" s="854">
        <f t="shared" si="44"/>
        <v>0</v>
      </c>
      <c r="S283" s="843">
        <f t="shared" si="49"/>
        <v>0</v>
      </c>
      <c r="T283" s="843">
        <f t="shared" si="51"/>
        <v>0</v>
      </c>
      <c r="U283" s="843">
        <f t="shared" si="50"/>
        <v>0</v>
      </c>
      <c r="V283" s="307"/>
      <c r="W283" t="e">
        <f>+'Yeşil Defter'!#REF!</f>
        <v>#REF!</v>
      </c>
      <c r="X283" s="766"/>
    </row>
    <row r="284" spans="1:24" ht="19.95" hidden="1" customHeight="1" x14ac:dyDescent="0.3">
      <c r="A284" s="262">
        <v>3</v>
      </c>
      <c r="C284" s="855">
        <v>262</v>
      </c>
      <c r="D284" s="858" t="s">
        <v>744</v>
      </c>
      <c r="E284" s="1345" t="s">
        <v>745</v>
      </c>
      <c r="F284" s="1345"/>
      <c r="G284" s="1345"/>
      <c r="H284" s="855" t="s">
        <v>286</v>
      </c>
      <c r="I284" s="856">
        <v>143604252</v>
      </c>
      <c r="J284" s="852">
        <f>+'Yeşil Defter Dönemsel'!I283</f>
        <v>0</v>
      </c>
      <c r="K284" s="852">
        <f>+'Yeşil Defter Dönemsel'!J283</f>
        <v>0</v>
      </c>
      <c r="L284" s="852">
        <f>+'Yeşil Defter Dönemsel'!K283</f>
        <v>0</v>
      </c>
      <c r="M284" s="857">
        <f t="shared" si="52"/>
        <v>0</v>
      </c>
      <c r="N284" s="857">
        <f t="shared" si="53"/>
        <v>0</v>
      </c>
      <c r="O284" s="857">
        <f t="shared" si="54"/>
        <v>0</v>
      </c>
      <c r="P284" s="852">
        <f t="shared" si="43"/>
        <v>0</v>
      </c>
      <c r="Q284" s="854">
        <f t="shared" si="55"/>
        <v>0</v>
      </c>
      <c r="R284" s="854">
        <f t="shared" si="44"/>
        <v>0</v>
      </c>
      <c r="S284" s="843">
        <f t="shared" si="49"/>
        <v>0</v>
      </c>
      <c r="T284" s="843">
        <f t="shared" si="51"/>
        <v>0</v>
      </c>
      <c r="U284" s="843">
        <f t="shared" si="50"/>
        <v>0</v>
      </c>
      <c r="V284" s="307"/>
      <c r="W284" t="e">
        <f>+'Yeşil Defter'!#REF!</f>
        <v>#REF!</v>
      </c>
      <c r="X284" s="766"/>
    </row>
    <row r="285" spans="1:24" ht="19.95" hidden="1" customHeight="1" x14ac:dyDescent="0.3">
      <c r="A285" s="262">
        <v>3</v>
      </c>
      <c r="C285" s="855">
        <v>263</v>
      </c>
      <c r="D285" s="858" t="s">
        <v>746</v>
      </c>
      <c r="E285" s="1345" t="s">
        <v>747</v>
      </c>
      <c r="F285" s="1345"/>
      <c r="G285" s="1345"/>
      <c r="H285" s="855" t="s">
        <v>286</v>
      </c>
      <c r="I285" s="856">
        <v>95736168</v>
      </c>
      <c r="J285" s="852">
        <f>+'Yeşil Defter Dönemsel'!I284</f>
        <v>0</v>
      </c>
      <c r="K285" s="852">
        <f>+'Yeşil Defter Dönemsel'!J284</f>
        <v>0</v>
      </c>
      <c r="L285" s="852">
        <f>+'Yeşil Defter Dönemsel'!K284</f>
        <v>0</v>
      </c>
      <c r="M285" s="857">
        <f t="shared" si="52"/>
        <v>0</v>
      </c>
      <c r="N285" s="857">
        <f t="shared" si="53"/>
        <v>0</v>
      </c>
      <c r="O285" s="857">
        <f t="shared" si="54"/>
        <v>0</v>
      </c>
      <c r="P285" s="852">
        <f t="shared" si="43"/>
        <v>0</v>
      </c>
      <c r="Q285" s="854">
        <f t="shared" si="55"/>
        <v>0</v>
      </c>
      <c r="R285" s="854">
        <f t="shared" si="44"/>
        <v>0</v>
      </c>
      <c r="S285" s="843">
        <f t="shared" si="49"/>
        <v>0</v>
      </c>
      <c r="T285" s="843">
        <f t="shared" si="51"/>
        <v>0</v>
      </c>
      <c r="U285" s="843">
        <f t="shared" si="50"/>
        <v>0</v>
      </c>
      <c r="V285" s="307"/>
      <c r="W285" t="e">
        <f>+'Yeşil Defter'!#REF!</f>
        <v>#REF!</v>
      </c>
      <c r="X285" s="766"/>
    </row>
    <row r="286" spans="1:24" ht="19.95" hidden="1" customHeight="1" x14ac:dyDescent="0.3">
      <c r="A286" s="262">
        <v>3</v>
      </c>
      <c r="C286" s="855">
        <v>264</v>
      </c>
      <c r="D286" s="855" t="s">
        <v>748</v>
      </c>
      <c r="E286" s="1345" t="s">
        <v>749</v>
      </c>
      <c r="F286" s="1345"/>
      <c r="G286" s="1345"/>
      <c r="H286" s="855" t="s">
        <v>286</v>
      </c>
      <c r="I286" s="856">
        <v>1668787435</v>
      </c>
      <c r="J286" s="852">
        <f>+'Yeşil Defter Dönemsel'!I285</f>
        <v>0</v>
      </c>
      <c r="K286" s="852">
        <f>+'Yeşil Defter Dönemsel'!J285</f>
        <v>0</v>
      </c>
      <c r="L286" s="852">
        <f>+'Yeşil Defter Dönemsel'!K285</f>
        <v>0</v>
      </c>
      <c r="M286" s="857">
        <f t="shared" si="52"/>
        <v>0</v>
      </c>
      <c r="N286" s="857">
        <f t="shared" si="53"/>
        <v>0</v>
      </c>
      <c r="O286" s="857">
        <f t="shared" si="54"/>
        <v>0</v>
      </c>
      <c r="P286" s="852">
        <f t="shared" si="43"/>
        <v>0</v>
      </c>
      <c r="Q286" s="854">
        <f t="shared" si="55"/>
        <v>0</v>
      </c>
      <c r="R286" s="854">
        <f t="shared" si="44"/>
        <v>0</v>
      </c>
      <c r="S286" s="843">
        <f t="shared" si="49"/>
        <v>0</v>
      </c>
      <c r="T286" s="843">
        <f t="shared" si="51"/>
        <v>0</v>
      </c>
      <c r="U286" s="843">
        <f t="shared" si="50"/>
        <v>0</v>
      </c>
      <c r="V286" s="307"/>
      <c r="W286" t="e">
        <f>+'Yeşil Defter'!#REF!</f>
        <v>#REF!</v>
      </c>
      <c r="X286" s="766"/>
    </row>
    <row r="287" spans="1:24" ht="19.95" hidden="1" customHeight="1" x14ac:dyDescent="0.3">
      <c r="A287" s="262">
        <v>3</v>
      </c>
      <c r="C287" s="855">
        <v>265</v>
      </c>
      <c r="D287" s="855" t="s">
        <v>750</v>
      </c>
      <c r="E287" s="1345" t="s">
        <v>751</v>
      </c>
      <c r="F287" s="1345"/>
      <c r="G287" s="1345"/>
      <c r="H287" s="855" t="s">
        <v>286</v>
      </c>
      <c r="I287" s="856">
        <v>450401959</v>
      </c>
      <c r="J287" s="852">
        <f>+'Yeşil Defter Dönemsel'!I286</f>
        <v>0</v>
      </c>
      <c r="K287" s="852">
        <f>+'Yeşil Defter Dönemsel'!J286</f>
        <v>0</v>
      </c>
      <c r="L287" s="852">
        <f>+'Yeşil Defter Dönemsel'!K286</f>
        <v>0</v>
      </c>
      <c r="M287" s="857">
        <f t="shared" si="52"/>
        <v>0</v>
      </c>
      <c r="N287" s="857">
        <f t="shared" si="53"/>
        <v>0</v>
      </c>
      <c r="O287" s="857">
        <f t="shared" si="54"/>
        <v>0</v>
      </c>
      <c r="P287" s="852">
        <f t="shared" si="43"/>
        <v>0</v>
      </c>
      <c r="Q287" s="854">
        <f t="shared" si="55"/>
        <v>0</v>
      </c>
      <c r="R287" s="854">
        <f t="shared" si="44"/>
        <v>0</v>
      </c>
      <c r="S287" s="843">
        <f t="shared" si="49"/>
        <v>0</v>
      </c>
      <c r="T287" s="843">
        <f t="shared" si="51"/>
        <v>0</v>
      </c>
      <c r="U287" s="843">
        <f t="shared" si="50"/>
        <v>0</v>
      </c>
      <c r="V287" s="307"/>
      <c r="W287" t="e">
        <f>+'Yeşil Defter'!#REF!</f>
        <v>#REF!</v>
      </c>
      <c r="X287" s="766"/>
    </row>
    <row r="288" spans="1:24" ht="19.95" hidden="1" customHeight="1" x14ac:dyDescent="0.3">
      <c r="A288" s="262">
        <v>3</v>
      </c>
      <c r="C288" s="855">
        <v>266</v>
      </c>
      <c r="D288" s="855" t="s">
        <v>752</v>
      </c>
      <c r="E288" s="1345" t="s">
        <v>753</v>
      </c>
      <c r="F288" s="1345"/>
      <c r="G288" s="1345"/>
      <c r="H288" s="855" t="s">
        <v>247</v>
      </c>
      <c r="I288" s="856">
        <v>99900</v>
      </c>
      <c r="J288" s="852">
        <f>+'Yeşil Defter Dönemsel'!I287</f>
        <v>0</v>
      </c>
      <c r="K288" s="852">
        <f>+'Yeşil Defter Dönemsel'!J287</f>
        <v>0</v>
      </c>
      <c r="L288" s="852">
        <f>+'Yeşil Defter Dönemsel'!K287</f>
        <v>0</v>
      </c>
      <c r="M288" s="857">
        <f t="shared" si="52"/>
        <v>0</v>
      </c>
      <c r="N288" s="857">
        <f t="shared" si="53"/>
        <v>0</v>
      </c>
      <c r="O288" s="857">
        <f t="shared" si="54"/>
        <v>0</v>
      </c>
      <c r="P288" s="852">
        <f t="shared" si="43"/>
        <v>0</v>
      </c>
      <c r="Q288" s="854">
        <f t="shared" si="55"/>
        <v>0</v>
      </c>
      <c r="R288" s="854">
        <f t="shared" si="44"/>
        <v>0</v>
      </c>
      <c r="S288" s="843">
        <f t="shared" si="49"/>
        <v>0</v>
      </c>
      <c r="T288" s="843">
        <f t="shared" si="51"/>
        <v>0</v>
      </c>
      <c r="U288" s="843">
        <f t="shared" si="50"/>
        <v>0</v>
      </c>
      <c r="V288" s="307"/>
      <c r="W288" t="e">
        <f>+'Yeşil Defter'!#REF!</f>
        <v>#REF!</v>
      </c>
      <c r="X288" s="766"/>
    </row>
    <row r="289" spans="1:24" ht="19.95" hidden="1" customHeight="1" x14ac:dyDescent="0.3">
      <c r="A289" s="262">
        <v>3</v>
      </c>
      <c r="C289" s="855">
        <v>267</v>
      </c>
      <c r="D289" s="855" t="s">
        <v>754</v>
      </c>
      <c r="E289" s="1345" t="s">
        <v>755</v>
      </c>
      <c r="F289" s="1345"/>
      <c r="G289" s="1345"/>
      <c r="H289" s="855" t="s">
        <v>247</v>
      </c>
      <c r="I289" s="856">
        <v>111000</v>
      </c>
      <c r="J289" s="852">
        <f>+'Yeşil Defter Dönemsel'!I288</f>
        <v>0</v>
      </c>
      <c r="K289" s="852">
        <f>+'Yeşil Defter Dönemsel'!J288</f>
        <v>0</v>
      </c>
      <c r="L289" s="852">
        <f>+'Yeşil Defter Dönemsel'!K288</f>
        <v>0</v>
      </c>
      <c r="M289" s="857">
        <f t="shared" si="52"/>
        <v>0</v>
      </c>
      <c r="N289" s="857">
        <f t="shared" si="53"/>
        <v>0</v>
      </c>
      <c r="O289" s="857">
        <f t="shared" si="54"/>
        <v>0</v>
      </c>
      <c r="P289" s="852">
        <f t="shared" si="43"/>
        <v>0</v>
      </c>
      <c r="Q289" s="854">
        <f t="shared" si="55"/>
        <v>0</v>
      </c>
      <c r="R289" s="854">
        <f t="shared" si="44"/>
        <v>0</v>
      </c>
      <c r="S289" s="843">
        <f t="shared" si="49"/>
        <v>0</v>
      </c>
      <c r="T289" s="843">
        <f t="shared" si="51"/>
        <v>0</v>
      </c>
      <c r="U289" s="843">
        <f t="shared" si="50"/>
        <v>0</v>
      </c>
      <c r="V289" s="307"/>
      <c r="W289" t="e">
        <f>+'Yeşil Defter'!#REF!</f>
        <v>#REF!</v>
      </c>
      <c r="X289" s="766"/>
    </row>
    <row r="290" spans="1:24" ht="19.95" hidden="1" customHeight="1" x14ac:dyDescent="0.3">
      <c r="A290" s="262">
        <v>3</v>
      </c>
      <c r="C290" s="855">
        <v>268</v>
      </c>
      <c r="D290" s="855" t="s">
        <v>756</v>
      </c>
      <c r="E290" s="1345" t="s">
        <v>757</v>
      </c>
      <c r="F290" s="1345"/>
      <c r="G290" s="1345"/>
      <c r="H290" s="855" t="s">
        <v>247</v>
      </c>
      <c r="I290" s="856">
        <v>3496500</v>
      </c>
      <c r="J290" s="852">
        <f>+'Yeşil Defter Dönemsel'!I289</f>
        <v>0</v>
      </c>
      <c r="K290" s="852">
        <f>+'Yeşil Defter Dönemsel'!J289</f>
        <v>0</v>
      </c>
      <c r="L290" s="852">
        <f>+'Yeşil Defter Dönemsel'!K289</f>
        <v>0</v>
      </c>
      <c r="M290" s="857">
        <f t="shared" si="52"/>
        <v>0</v>
      </c>
      <c r="N290" s="857">
        <f t="shared" si="53"/>
        <v>0</v>
      </c>
      <c r="O290" s="857">
        <f t="shared" si="54"/>
        <v>0</v>
      </c>
      <c r="P290" s="852">
        <f t="shared" si="43"/>
        <v>0</v>
      </c>
      <c r="Q290" s="854">
        <f t="shared" si="55"/>
        <v>0</v>
      </c>
      <c r="R290" s="854">
        <f t="shared" si="44"/>
        <v>0</v>
      </c>
      <c r="S290" s="843">
        <f t="shared" si="49"/>
        <v>0</v>
      </c>
      <c r="T290" s="843">
        <f t="shared" si="51"/>
        <v>0</v>
      </c>
      <c r="U290" s="843">
        <f t="shared" si="50"/>
        <v>0</v>
      </c>
      <c r="V290" s="307"/>
      <c r="W290" t="e">
        <f>+'Yeşil Defter'!#REF!</f>
        <v>#REF!</v>
      </c>
      <c r="X290" s="766"/>
    </row>
    <row r="291" spans="1:24" ht="18.600000000000001" hidden="1" customHeight="1" x14ac:dyDescent="0.3">
      <c r="A291" s="262">
        <v>3</v>
      </c>
      <c r="C291" s="860">
        <v>269</v>
      </c>
      <c r="D291" s="866" t="s">
        <v>758</v>
      </c>
      <c r="E291" s="1341" t="s">
        <v>759</v>
      </c>
      <c r="F291" s="1341"/>
      <c r="G291" s="1341"/>
      <c r="H291" s="860" t="s">
        <v>286</v>
      </c>
      <c r="I291" s="856">
        <v>14652117</v>
      </c>
      <c r="J291" s="852">
        <f>+'Yeşil Defter Dönemsel'!I290</f>
        <v>0</v>
      </c>
      <c r="K291" s="852">
        <f>+'Yeşil Defter Dönemsel'!J290</f>
        <v>0</v>
      </c>
      <c r="L291" s="852">
        <f>+'Yeşil Defter Dönemsel'!K290</f>
        <v>0</v>
      </c>
      <c r="M291" s="862">
        <f t="shared" si="52"/>
        <v>0</v>
      </c>
      <c r="N291" s="862">
        <f t="shared" si="53"/>
        <v>0</v>
      </c>
      <c r="O291" s="862">
        <f t="shared" si="54"/>
        <v>0</v>
      </c>
      <c r="P291" s="852">
        <f t="shared" si="43"/>
        <v>0</v>
      </c>
      <c r="Q291" s="868">
        <f t="shared" si="55"/>
        <v>0</v>
      </c>
      <c r="R291" s="854">
        <f t="shared" si="44"/>
        <v>0</v>
      </c>
      <c r="S291" s="843">
        <f t="shared" si="49"/>
        <v>0</v>
      </c>
      <c r="T291" s="843">
        <f t="shared" si="51"/>
        <v>0</v>
      </c>
      <c r="U291" s="843">
        <f t="shared" si="50"/>
        <v>0</v>
      </c>
      <c r="V291" s="307"/>
      <c r="W291" t="e">
        <f>+'Yeşil Defter'!#REF!</f>
        <v>#REF!</v>
      </c>
      <c r="X291" s="766"/>
    </row>
    <row r="292" spans="1:24" ht="25.05" hidden="1" customHeight="1" x14ac:dyDescent="0.3">
      <c r="A292" s="262" t="s">
        <v>1240</v>
      </c>
      <c r="C292" s="839"/>
      <c r="D292" s="869" t="s">
        <v>1231</v>
      </c>
      <c r="E292" s="841"/>
      <c r="F292" s="841"/>
      <c r="G292" s="841"/>
      <c r="H292" s="841"/>
      <c r="I292" s="841"/>
      <c r="J292" s="852">
        <f>+'Yeşil Defter Dönemsel'!I291</f>
        <v>0</v>
      </c>
      <c r="K292" s="852">
        <f>+'Yeşil Defter Dönemsel'!J291</f>
        <v>0</v>
      </c>
      <c r="L292" s="852">
        <f>+'Yeşil Defter Dönemsel'!K291</f>
        <v>0</v>
      </c>
      <c r="M292" s="870">
        <f>SUM(M293:M372)</f>
        <v>0</v>
      </c>
      <c r="N292" s="870">
        <f t="shared" ref="N292:O292" si="56">SUM(N293:N372)</f>
        <v>0</v>
      </c>
      <c r="O292" s="870">
        <f t="shared" si="56"/>
        <v>0</v>
      </c>
      <c r="P292" s="852">
        <f t="shared" si="43"/>
        <v>0</v>
      </c>
      <c r="Q292" s="871"/>
      <c r="R292" s="854">
        <f t="shared" si="44"/>
        <v>0</v>
      </c>
      <c r="S292" s="843">
        <f t="shared" si="49"/>
        <v>0</v>
      </c>
      <c r="T292" s="843">
        <f t="shared" si="51"/>
        <v>0</v>
      </c>
      <c r="U292" s="843">
        <f t="shared" si="50"/>
        <v>0</v>
      </c>
      <c r="V292" s="307"/>
      <c r="W292" t="e">
        <f>+'Yeşil Defter'!#REF!</f>
        <v>#REF!</v>
      </c>
      <c r="X292" s="766"/>
    </row>
    <row r="293" spans="1:24" ht="25.05" hidden="1" customHeight="1" x14ac:dyDescent="0.3">
      <c r="A293" s="262">
        <v>4</v>
      </c>
      <c r="C293" s="849">
        <v>270</v>
      </c>
      <c r="D293" s="849" t="s">
        <v>760</v>
      </c>
      <c r="E293" s="1346" t="s">
        <v>761</v>
      </c>
      <c r="F293" s="1346"/>
      <c r="G293" s="1346"/>
      <c r="H293" s="849" t="s">
        <v>286</v>
      </c>
      <c r="I293" s="856">
        <v>3871125</v>
      </c>
      <c r="J293" s="852">
        <f>+'Yeşil Defter Dönemsel'!I292</f>
        <v>0</v>
      </c>
      <c r="K293" s="852">
        <f>+'Yeşil Defter Dönemsel'!J292</f>
        <v>0</v>
      </c>
      <c r="L293" s="852">
        <f>+'Yeşil Defter Dönemsel'!K292</f>
        <v>0</v>
      </c>
      <c r="M293" s="853">
        <f t="shared" ref="M293:M356" si="57">+ROUND($I293*J293,2)</f>
        <v>0</v>
      </c>
      <c r="N293" s="853">
        <f t="shared" ref="N293:N356" si="58">+ROUND($I293*K293,2)</f>
        <v>0</v>
      </c>
      <c r="O293" s="853">
        <f t="shared" ref="O293:O356" si="59">+ROUND($I293*L293,2)</f>
        <v>0</v>
      </c>
      <c r="P293" s="852">
        <f t="shared" si="43"/>
        <v>0</v>
      </c>
      <c r="Q293" s="852">
        <f t="shared" ref="Q293:Q356" si="60">+R293-P293</f>
        <v>0</v>
      </c>
      <c r="R293" s="854">
        <f t="shared" si="44"/>
        <v>0</v>
      </c>
      <c r="S293" s="843">
        <f t="shared" si="49"/>
        <v>0</v>
      </c>
      <c r="T293" s="843">
        <f t="shared" si="51"/>
        <v>0</v>
      </c>
      <c r="U293" s="843">
        <f t="shared" si="50"/>
        <v>0</v>
      </c>
      <c r="V293" s="307"/>
      <c r="W293" t="e">
        <f>+'Yeşil Defter'!#REF!</f>
        <v>#REF!</v>
      </c>
      <c r="X293" s="766"/>
    </row>
    <row r="294" spans="1:24" ht="25.05" hidden="1" customHeight="1" x14ac:dyDescent="0.3">
      <c r="A294" s="262">
        <v>4</v>
      </c>
      <c r="C294" s="855">
        <v>271</v>
      </c>
      <c r="D294" s="855" t="s">
        <v>762</v>
      </c>
      <c r="E294" s="1345" t="s">
        <v>763</v>
      </c>
      <c r="F294" s="1345"/>
      <c r="G294" s="1345"/>
      <c r="H294" s="855" t="s">
        <v>286</v>
      </c>
      <c r="I294" s="856">
        <v>2150625</v>
      </c>
      <c r="J294" s="852">
        <f>+'Yeşil Defter Dönemsel'!I293</f>
        <v>0</v>
      </c>
      <c r="K294" s="852">
        <f>+'Yeşil Defter Dönemsel'!J293</f>
        <v>0</v>
      </c>
      <c r="L294" s="852">
        <f>+'Yeşil Defter Dönemsel'!K293</f>
        <v>0</v>
      </c>
      <c r="M294" s="857">
        <f t="shared" si="57"/>
        <v>0</v>
      </c>
      <c r="N294" s="857">
        <f t="shared" si="58"/>
        <v>0</v>
      </c>
      <c r="O294" s="857">
        <f t="shared" si="59"/>
        <v>0</v>
      </c>
      <c r="P294" s="852">
        <f t="shared" si="43"/>
        <v>0</v>
      </c>
      <c r="Q294" s="854">
        <f t="shared" si="60"/>
        <v>0</v>
      </c>
      <c r="R294" s="854">
        <f t="shared" si="44"/>
        <v>0</v>
      </c>
      <c r="S294" s="843">
        <f t="shared" si="49"/>
        <v>0</v>
      </c>
      <c r="T294" s="843">
        <f t="shared" si="51"/>
        <v>0</v>
      </c>
      <c r="U294" s="843">
        <f t="shared" si="50"/>
        <v>0</v>
      </c>
      <c r="V294" s="307"/>
      <c r="W294" t="e">
        <f>+'Yeşil Defter'!#REF!</f>
        <v>#REF!</v>
      </c>
      <c r="X294" s="766"/>
    </row>
    <row r="295" spans="1:24" ht="25.05" hidden="1" customHeight="1" x14ac:dyDescent="0.3">
      <c r="A295" s="262">
        <v>4</v>
      </c>
      <c r="C295" s="855">
        <v>272</v>
      </c>
      <c r="D295" s="855" t="s">
        <v>764</v>
      </c>
      <c r="E295" s="1345" t="s">
        <v>765</v>
      </c>
      <c r="F295" s="1345"/>
      <c r="G295" s="1345"/>
      <c r="H295" s="855" t="s">
        <v>286</v>
      </c>
      <c r="I295" s="856">
        <v>2368000</v>
      </c>
      <c r="J295" s="852">
        <f>+'Yeşil Defter Dönemsel'!I294</f>
        <v>0</v>
      </c>
      <c r="K295" s="852">
        <f>+'Yeşil Defter Dönemsel'!J294</f>
        <v>0</v>
      </c>
      <c r="L295" s="852">
        <f>+'Yeşil Defter Dönemsel'!K294</f>
        <v>0</v>
      </c>
      <c r="M295" s="857">
        <f t="shared" si="57"/>
        <v>0</v>
      </c>
      <c r="N295" s="857">
        <f t="shared" si="58"/>
        <v>0</v>
      </c>
      <c r="O295" s="857">
        <f t="shared" si="59"/>
        <v>0</v>
      </c>
      <c r="P295" s="852">
        <f t="shared" si="43"/>
        <v>0</v>
      </c>
      <c r="Q295" s="854">
        <f t="shared" si="60"/>
        <v>0</v>
      </c>
      <c r="R295" s="854">
        <f t="shared" si="44"/>
        <v>0</v>
      </c>
      <c r="S295" s="843">
        <f t="shared" si="49"/>
        <v>0</v>
      </c>
      <c r="T295" s="843">
        <f t="shared" si="51"/>
        <v>0</v>
      </c>
      <c r="U295" s="843">
        <f t="shared" si="50"/>
        <v>0</v>
      </c>
      <c r="V295" s="307"/>
      <c r="W295" t="e">
        <f>+'Yeşil Defter'!#REF!</f>
        <v>#REF!</v>
      </c>
      <c r="X295" s="766"/>
    </row>
    <row r="296" spans="1:24" ht="25.05" hidden="1" customHeight="1" x14ac:dyDescent="0.3">
      <c r="A296" s="262">
        <v>4</v>
      </c>
      <c r="C296" s="855">
        <v>273</v>
      </c>
      <c r="D296" s="855" t="s">
        <v>766</v>
      </c>
      <c r="E296" s="1345" t="s">
        <v>767</v>
      </c>
      <c r="F296" s="1345"/>
      <c r="G296" s="1345"/>
      <c r="H296" s="855" t="s">
        <v>286</v>
      </c>
      <c r="I296" s="856">
        <v>2890625</v>
      </c>
      <c r="J296" s="852">
        <f>+'Yeşil Defter Dönemsel'!I295</f>
        <v>0</v>
      </c>
      <c r="K296" s="852">
        <f>+'Yeşil Defter Dönemsel'!J295</f>
        <v>0</v>
      </c>
      <c r="L296" s="852">
        <f>+'Yeşil Defter Dönemsel'!K295</f>
        <v>0</v>
      </c>
      <c r="M296" s="857">
        <f t="shared" si="57"/>
        <v>0</v>
      </c>
      <c r="N296" s="857">
        <f t="shared" si="58"/>
        <v>0</v>
      </c>
      <c r="O296" s="857">
        <f t="shared" si="59"/>
        <v>0</v>
      </c>
      <c r="P296" s="852">
        <f t="shared" si="43"/>
        <v>0</v>
      </c>
      <c r="Q296" s="854">
        <f t="shared" si="60"/>
        <v>0</v>
      </c>
      <c r="R296" s="854">
        <f t="shared" si="44"/>
        <v>0</v>
      </c>
      <c r="S296" s="843">
        <f t="shared" si="49"/>
        <v>0</v>
      </c>
      <c r="T296" s="843">
        <f t="shared" si="51"/>
        <v>0</v>
      </c>
      <c r="U296" s="843">
        <f t="shared" si="50"/>
        <v>0</v>
      </c>
      <c r="V296" s="307"/>
      <c r="W296" t="e">
        <f>+'Yeşil Defter'!#REF!</f>
        <v>#REF!</v>
      </c>
      <c r="X296" s="766"/>
    </row>
    <row r="297" spans="1:24" ht="25.05" hidden="1" customHeight="1" x14ac:dyDescent="0.3">
      <c r="A297" s="262">
        <v>4</v>
      </c>
      <c r="C297" s="855">
        <v>274</v>
      </c>
      <c r="D297" s="855" t="s">
        <v>768</v>
      </c>
      <c r="E297" s="1345" t="s">
        <v>769</v>
      </c>
      <c r="F297" s="1345"/>
      <c r="G297" s="1345"/>
      <c r="H297" s="855" t="s">
        <v>286</v>
      </c>
      <c r="I297" s="856">
        <v>1077625</v>
      </c>
      <c r="J297" s="852">
        <f>+'Yeşil Defter Dönemsel'!I296</f>
        <v>0</v>
      </c>
      <c r="K297" s="852">
        <f>+'Yeşil Defter Dönemsel'!J296</f>
        <v>0</v>
      </c>
      <c r="L297" s="852">
        <f>+'Yeşil Defter Dönemsel'!K296</f>
        <v>0</v>
      </c>
      <c r="M297" s="857">
        <f t="shared" si="57"/>
        <v>0</v>
      </c>
      <c r="N297" s="857">
        <f t="shared" si="58"/>
        <v>0</v>
      </c>
      <c r="O297" s="857">
        <f t="shared" si="59"/>
        <v>0</v>
      </c>
      <c r="P297" s="852">
        <f t="shared" si="43"/>
        <v>0</v>
      </c>
      <c r="Q297" s="854">
        <f t="shared" si="60"/>
        <v>0</v>
      </c>
      <c r="R297" s="854">
        <f t="shared" si="44"/>
        <v>0</v>
      </c>
      <c r="S297" s="843">
        <f t="shared" si="49"/>
        <v>0</v>
      </c>
      <c r="T297" s="843">
        <f t="shared" si="51"/>
        <v>0</v>
      </c>
      <c r="U297" s="843">
        <f t="shared" si="50"/>
        <v>0</v>
      </c>
      <c r="V297" s="307"/>
      <c r="W297" t="e">
        <f>+'Yeşil Defter'!#REF!</f>
        <v>#REF!</v>
      </c>
      <c r="X297" s="766"/>
    </row>
    <row r="298" spans="1:24" ht="25.05" hidden="1" customHeight="1" x14ac:dyDescent="0.3">
      <c r="A298" s="262">
        <v>4</v>
      </c>
      <c r="C298" s="855">
        <v>275</v>
      </c>
      <c r="D298" s="855" t="s">
        <v>770</v>
      </c>
      <c r="E298" s="1345" t="s">
        <v>771</v>
      </c>
      <c r="F298" s="1345"/>
      <c r="G298" s="1345"/>
      <c r="H298" s="855" t="s">
        <v>286</v>
      </c>
      <c r="I298" s="856">
        <v>1077625</v>
      </c>
      <c r="J298" s="852">
        <f>+'Yeşil Defter Dönemsel'!I297</f>
        <v>0</v>
      </c>
      <c r="K298" s="852">
        <f>+'Yeşil Defter Dönemsel'!J297</f>
        <v>0</v>
      </c>
      <c r="L298" s="852">
        <f>+'Yeşil Defter Dönemsel'!K297</f>
        <v>0</v>
      </c>
      <c r="M298" s="857">
        <f t="shared" si="57"/>
        <v>0</v>
      </c>
      <c r="N298" s="857">
        <f t="shared" si="58"/>
        <v>0</v>
      </c>
      <c r="O298" s="857">
        <f t="shared" si="59"/>
        <v>0</v>
      </c>
      <c r="P298" s="852">
        <f t="shared" si="43"/>
        <v>0</v>
      </c>
      <c r="Q298" s="854">
        <f t="shared" si="60"/>
        <v>0</v>
      </c>
      <c r="R298" s="854">
        <f t="shared" si="44"/>
        <v>0</v>
      </c>
      <c r="S298" s="843">
        <f t="shared" si="49"/>
        <v>0</v>
      </c>
      <c r="T298" s="843">
        <f t="shared" si="51"/>
        <v>0</v>
      </c>
      <c r="U298" s="843">
        <f t="shared" si="50"/>
        <v>0</v>
      </c>
      <c r="V298" s="307"/>
      <c r="W298" t="e">
        <f>+'Yeşil Defter'!#REF!</f>
        <v>#REF!</v>
      </c>
      <c r="X298" s="766"/>
    </row>
    <row r="299" spans="1:24" ht="25.05" hidden="1" customHeight="1" x14ac:dyDescent="0.3">
      <c r="A299" s="262">
        <v>4</v>
      </c>
      <c r="C299" s="855">
        <v>276</v>
      </c>
      <c r="D299" s="855" t="s">
        <v>772</v>
      </c>
      <c r="E299" s="1345" t="s">
        <v>773</v>
      </c>
      <c r="F299" s="1345"/>
      <c r="G299" s="1345"/>
      <c r="H299" s="855" t="s">
        <v>286</v>
      </c>
      <c r="I299" s="856">
        <v>434750</v>
      </c>
      <c r="J299" s="852">
        <f>+'Yeşil Defter Dönemsel'!I298</f>
        <v>0</v>
      </c>
      <c r="K299" s="852">
        <f>+'Yeşil Defter Dönemsel'!J298</f>
        <v>0</v>
      </c>
      <c r="L299" s="852">
        <f>+'Yeşil Defter Dönemsel'!K298</f>
        <v>0</v>
      </c>
      <c r="M299" s="857">
        <f t="shared" si="57"/>
        <v>0</v>
      </c>
      <c r="N299" s="857">
        <f t="shared" si="58"/>
        <v>0</v>
      </c>
      <c r="O299" s="857">
        <f t="shared" si="59"/>
        <v>0</v>
      </c>
      <c r="P299" s="852">
        <f t="shared" si="43"/>
        <v>0</v>
      </c>
      <c r="Q299" s="854">
        <f t="shared" si="60"/>
        <v>0</v>
      </c>
      <c r="R299" s="854">
        <f t="shared" si="44"/>
        <v>0</v>
      </c>
      <c r="S299" s="843">
        <f t="shared" si="49"/>
        <v>0</v>
      </c>
      <c r="T299" s="843">
        <f t="shared" si="51"/>
        <v>0</v>
      </c>
      <c r="U299" s="843">
        <f t="shared" si="50"/>
        <v>0</v>
      </c>
      <c r="V299" s="307"/>
      <c r="W299" t="e">
        <f>+'Yeşil Defter'!#REF!</f>
        <v>#REF!</v>
      </c>
      <c r="X299" s="766"/>
    </row>
    <row r="300" spans="1:24" ht="25.05" hidden="1" customHeight="1" x14ac:dyDescent="0.3">
      <c r="A300" s="262">
        <v>4</v>
      </c>
      <c r="C300" s="855">
        <v>277</v>
      </c>
      <c r="D300" s="855" t="s">
        <v>774</v>
      </c>
      <c r="E300" s="1345" t="s">
        <v>775</v>
      </c>
      <c r="F300" s="1345"/>
      <c r="G300" s="1345"/>
      <c r="H300" s="855" t="s">
        <v>286</v>
      </c>
      <c r="I300" s="856">
        <v>1077625</v>
      </c>
      <c r="J300" s="852">
        <f>+'Yeşil Defter Dönemsel'!I299</f>
        <v>0</v>
      </c>
      <c r="K300" s="852">
        <f>+'Yeşil Defter Dönemsel'!J299</f>
        <v>0</v>
      </c>
      <c r="L300" s="852">
        <f>+'Yeşil Defter Dönemsel'!K299</f>
        <v>0</v>
      </c>
      <c r="M300" s="857">
        <f t="shared" si="57"/>
        <v>0</v>
      </c>
      <c r="N300" s="857">
        <f t="shared" si="58"/>
        <v>0</v>
      </c>
      <c r="O300" s="857">
        <f t="shared" si="59"/>
        <v>0</v>
      </c>
      <c r="P300" s="852">
        <f t="shared" si="43"/>
        <v>0</v>
      </c>
      <c r="Q300" s="854">
        <f t="shared" si="60"/>
        <v>0</v>
      </c>
      <c r="R300" s="854">
        <f t="shared" si="44"/>
        <v>0</v>
      </c>
      <c r="S300" s="843">
        <f t="shared" si="49"/>
        <v>0</v>
      </c>
      <c r="T300" s="843">
        <f t="shared" si="51"/>
        <v>0</v>
      </c>
      <c r="U300" s="843">
        <f t="shared" si="50"/>
        <v>0</v>
      </c>
      <c r="V300" s="307"/>
      <c r="W300" t="e">
        <f>+'Yeşil Defter'!#REF!</f>
        <v>#REF!</v>
      </c>
      <c r="X300" s="766"/>
    </row>
    <row r="301" spans="1:24" ht="25.05" hidden="1" customHeight="1" x14ac:dyDescent="0.3">
      <c r="A301" s="262">
        <v>4</v>
      </c>
      <c r="C301" s="855">
        <v>278</v>
      </c>
      <c r="D301" s="855" t="s">
        <v>776</v>
      </c>
      <c r="E301" s="1345" t="s">
        <v>777</v>
      </c>
      <c r="F301" s="1345"/>
      <c r="G301" s="1345"/>
      <c r="H301" s="855" t="s">
        <v>286</v>
      </c>
      <c r="I301" s="856">
        <v>864875</v>
      </c>
      <c r="J301" s="852">
        <f>+'Yeşil Defter Dönemsel'!I300</f>
        <v>0</v>
      </c>
      <c r="K301" s="852">
        <f>+'Yeşil Defter Dönemsel'!J300</f>
        <v>0</v>
      </c>
      <c r="L301" s="852">
        <f>+'Yeşil Defter Dönemsel'!K300</f>
        <v>0</v>
      </c>
      <c r="M301" s="857">
        <f t="shared" si="57"/>
        <v>0</v>
      </c>
      <c r="N301" s="857">
        <f t="shared" si="58"/>
        <v>0</v>
      </c>
      <c r="O301" s="857">
        <f t="shared" si="59"/>
        <v>0</v>
      </c>
      <c r="P301" s="852">
        <f t="shared" si="43"/>
        <v>0</v>
      </c>
      <c r="Q301" s="854">
        <f t="shared" si="60"/>
        <v>0</v>
      </c>
      <c r="R301" s="854">
        <f t="shared" si="44"/>
        <v>0</v>
      </c>
      <c r="S301" s="843">
        <f t="shared" si="49"/>
        <v>0</v>
      </c>
      <c r="T301" s="843">
        <f t="shared" si="51"/>
        <v>0</v>
      </c>
      <c r="U301" s="843">
        <f t="shared" si="50"/>
        <v>0</v>
      </c>
      <c r="V301" s="307"/>
      <c r="W301" t="e">
        <f>+'Yeşil Defter'!#REF!</f>
        <v>#REF!</v>
      </c>
      <c r="X301" s="766"/>
    </row>
    <row r="302" spans="1:24" ht="25.05" hidden="1" customHeight="1" x14ac:dyDescent="0.3">
      <c r="A302" s="262">
        <v>4</v>
      </c>
      <c r="C302" s="855">
        <v>279</v>
      </c>
      <c r="D302" s="855" t="s">
        <v>778</v>
      </c>
      <c r="E302" s="1345" t="s">
        <v>779</v>
      </c>
      <c r="F302" s="1345"/>
      <c r="G302" s="1345"/>
      <c r="H302" s="855" t="s">
        <v>286</v>
      </c>
      <c r="I302" s="856">
        <v>864875</v>
      </c>
      <c r="J302" s="852">
        <f>+'Yeşil Defter Dönemsel'!I301</f>
        <v>0</v>
      </c>
      <c r="K302" s="852">
        <f>+'Yeşil Defter Dönemsel'!J301</f>
        <v>0</v>
      </c>
      <c r="L302" s="852">
        <f>+'Yeşil Defter Dönemsel'!K301</f>
        <v>0</v>
      </c>
      <c r="M302" s="857">
        <f t="shared" si="57"/>
        <v>0</v>
      </c>
      <c r="N302" s="857">
        <f t="shared" si="58"/>
        <v>0</v>
      </c>
      <c r="O302" s="857">
        <f t="shared" si="59"/>
        <v>0</v>
      </c>
      <c r="P302" s="852">
        <f t="shared" si="43"/>
        <v>0</v>
      </c>
      <c r="Q302" s="854">
        <f t="shared" si="60"/>
        <v>0</v>
      </c>
      <c r="R302" s="854">
        <f t="shared" si="44"/>
        <v>0</v>
      </c>
      <c r="S302" s="843">
        <f t="shared" si="49"/>
        <v>0</v>
      </c>
      <c r="T302" s="843">
        <f t="shared" si="51"/>
        <v>0</v>
      </c>
      <c r="U302" s="843">
        <f t="shared" si="50"/>
        <v>0</v>
      </c>
      <c r="V302" s="307"/>
      <c r="W302" t="e">
        <f>+'Yeşil Defter'!#REF!</f>
        <v>#REF!</v>
      </c>
      <c r="X302" s="766"/>
    </row>
    <row r="303" spans="1:24" ht="19.95" hidden="1" customHeight="1" x14ac:dyDescent="0.3">
      <c r="A303" s="262">
        <v>4</v>
      </c>
      <c r="C303" s="855">
        <v>280</v>
      </c>
      <c r="D303" s="855" t="s">
        <v>780</v>
      </c>
      <c r="E303" s="1345" t="s">
        <v>781</v>
      </c>
      <c r="F303" s="1345"/>
      <c r="G303" s="1345"/>
      <c r="H303" s="855" t="s">
        <v>286</v>
      </c>
      <c r="I303" s="856">
        <v>11119432</v>
      </c>
      <c r="J303" s="852">
        <f>+'Yeşil Defter Dönemsel'!I302</f>
        <v>0</v>
      </c>
      <c r="K303" s="852">
        <f>+'Yeşil Defter Dönemsel'!J302</f>
        <v>0</v>
      </c>
      <c r="L303" s="852">
        <f>+'Yeşil Defter Dönemsel'!K302</f>
        <v>0</v>
      </c>
      <c r="M303" s="857">
        <f t="shared" si="57"/>
        <v>0</v>
      </c>
      <c r="N303" s="857">
        <f t="shared" si="58"/>
        <v>0</v>
      </c>
      <c r="O303" s="857">
        <f t="shared" si="59"/>
        <v>0</v>
      </c>
      <c r="P303" s="852">
        <f t="shared" si="43"/>
        <v>0</v>
      </c>
      <c r="Q303" s="854">
        <f t="shared" si="60"/>
        <v>0</v>
      </c>
      <c r="R303" s="854">
        <f t="shared" si="44"/>
        <v>0</v>
      </c>
      <c r="S303" s="843">
        <f t="shared" si="49"/>
        <v>0</v>
      </c>
      <c r="T303" s="843">
        <f t="shared" si="51"/>
        <v>0</v>
      </c>
      <c r="U303" s="843">
        <f t="shared" si="50"/>
        <v>0</v>
      </c>
      <c r="V303" s="307"/>
      <c r="W303" t="e">
        <f>+'Yeşil Defter'!#REF!</f>
        <v>#REF!</v>
      </c>
      <c r="X303" s="766"/>
    </row>
    <row r="304" spans="1:24" ht="19.95" hidden="1" customHeight="1" x14ac:dyDescent="0.3">
      <c r="A304" s="262">
        <v>4</v>
      </c>
      <c r="C304" s="855">
        <v>281</v>
      </c>
      <c r="D304" s="855" t="s">
        <v>782</v>
      </c>
      <c r="E304" s="1345" t="s">
        <v>783</v>
      </c>
      <c r="F304" s="1345"/>
      <c r="G304" s="1345"/>
      <c r="H304" s="855" t="s">
        <v>286</v>
      </c>
      <c r="I304" s="856">
        <v>12141908</v>
      </c>
      <c r="J304" s="852">
        <f>+'Yeşil Defter Dönemsel'!I303</f>
        <v>0</v>
      </c>
      <c r="K304" s="852">
        <f>+'Yeşil Defter Dönemsel'!J303</f>
        <v>0</v>
      </c>
      <c r="L304" s="852">
        <f>+'Yeşil Defter Dönemsel'!K303</f>
        <v>0</v>
      </c>
      <c r="M304" s="857">
        <f t="shared" si="57"/>
        <v>0</v>
      </c>
      <c r="N304" s="857">
        <f t="shared" si="58"/>
        <v>0</v>
      </c>
      <c r="O304" s="857">
        <f t="shared" si="59"/>
        <v>0</v>
      </c>
      <c r="P304" s="852">
        <f t="shared" si="43"/>
        <v>0</v>
      </c>
      <c r="Q304" s="854">
        <f t="shared" si="60"/>
        <v>0</v>
      </c>
      <c r="R304" s="854">
        <f t="shared" si="44"/>
        <v>0</v>
      </c>
      <c r="S304" s="843">
        <f t="shared" si="49"/>
        <v>0</v>
      </c>
      <c r="T304" s="843">
        <f t="shared" si="51"/>
        <v>0</v>
      </c>
      <c r="U304" s="843">
        <f t="shared" si="50"/>
        <v>0</v>
      </c>
      <c r="V304" s="307"/>
      <c r="W304" t="e">
        <f>+'Yeşil Defter'!#REF!</f>
        <v>#REF!</v>
      </c>
      <c r="X304" s="766"/>
    </row>
    <row r="305" spans="1:24" ht="19.95" hidden="1" customHeight="1" x14ac:dyDescent="0.3">
      <c r="A305" s="262">
        <v>4</v>
      </c>
      <c r="C305" s="855">
        <v>282</v>
      </c>
      <c r="D305" s="855" t="s">
        <v>784</v>
      </c>
      <c r="E305" s="1345" t="s">
        <v>785</v>
      </c>
      <c r="F305" s="1345"/>
      <c r="G305" s="1345"/>
      <c r="H305" s="855" t="s">
        <v>286</v>
      </c>
      <c r="I305" s="856">
        <v>12780956</v>
      </c>
      <c r="J305" s="852">
        <f>+'Yeşil Defter Dönemsel'!I304</f>
        <v>0</v>
      </c>
      <c r="K305" s="852">
        <f>+'Yeşil Defter Dönemsel'!J304</f>
        <v>0</v>
      </c>
      <c r="L305" s="852">
        <f>+'Yeşil Defter Dönemsel'!K304</f>
        <v>0</v>
      </c>
      <c r="M305" s="857">
        <f t="shared" si="57"/>
        <v>0</v>
      </c>
      <c r="N305" s="857">
        <f t="shared" si="58"/>
        <v>0</v>
      </c>
      <c r="O305" s="857">
        <f t="shared" si="59"/>
        <v>0</v>
      </c>
      <c r="P305" s="852">
        <f t="shared" si="43"/>
        <v>0</v>
      </c>
      <c r="Q305" s="854">
        <f t="shared" si="60"/>
        <v>0</v>
      </c>
      <c r="R305" s="854">
        <f t="shared" si="44"/>
        <v>0</v>
      </c>
      <c r="S305" s="843">
        <f t="shared" si="49"/>
        <v>0</v>
      </c>
      <c r="T305" s="843">
        <f t="shared" si="51"/>
        <v>0</v>
      </c>
      <c r="U305" s="843">
        <f t="shared" si="50"/>
        <v>0</v>
      </c>
      <c r="V305" s="307"/>
      <c r="W305" t="e">
        <f>+'Yeşil Defter'!#REF!</f>
        <v>#REF!</v>
      </c>
      <c r="X305" s="766"/>
    </row>
    <row r="306" spans="1:24" ht="19.95" hidden="1" customHeight="1" x14ac:dyDescent="0.3">
      <c r="A306" s="262">
        <v>4</v>
      </c>
      <c r="C306" s="855">
        <v>283</v>
      </c>
      <c r="D306" s="855" t="s">
        <v>786</v>
      </c>
      <c r="E306" s="1345" t="s">
        <v>787</v>
      </c>
      <c r="F306" s="1345"/>
      <c r="G306" s="1345"/>
      <c r="H306" s="855" t="s">
        <v>286</v>
      </c>
      <c r="I306" s="856">
        <v>11502861</v>
      </c>
      <c r="J306" s="852">
        <f>+'Yeşil Defter Dönemsel'!I305</f>
        <v>0</v>
      </c>
      <c r="K306" s="852">
        <f>+'Yeşil Defter Dönemsel'!J305</f>
        <v>0</v>
      </c>
      <c r="L306" s="852">
        <f>+'Yeşil Defter Dönemsel'!K305</f>
        <v>0</v>
      </c>
      <c r="M306" s="857">
        <f t="shared" si="57"/>
        <v>0</v>
      </c>
      <c r="N306" s="857">
        <f t="shared" si="58"/>
        <v>0</v>
      </c>
      <c r="O306" s="857">
        <f t="shared" si="59"/>
        <v>0</v>
      </c>
      <c r="P306" s="852">
        <f t="shared" si="43"/>
        <v>0</v>
      </c>
      <c r="Q306" s="854">
        <f t="shared" si="60"/>
        <v>0</v>
      </c>
      <c r="R306" s="854">
        <f t="shared" si="44"/>
        <v>0</v>
      </c>
      <c r="S306" s="843">
        <f t="shared" si="49"/>
        <v>0</v>
      </c>
      <c r="T306" s="843">
        <f t="shared" si="51"/>
        <v>0</v>
      </c>
      <c r="U306" s="843">
        <f t="shared" si="50"/>
        <v>0</v>
      </c>
      <c r="V306" s="307"/>
      <c r="W306" t="e">
        <f>+'Yeşil Defter'!#REF!</f>
        <v>#REF!</v>
      </c>
      <c r="X306" s="766"/>
    </row>
    <row r="307" spans="1:24" ht="19.95" hidden="1" customHeight="1" x14ac:dyDescent="0.3">
      <c r="A307" s="262">
        <v>4</v>
      </c>
      <c r="C307" s="855">
        <v>284</v>
      </c>
      <c r="D307" s="855" t="s">
        <v>788</v>
      </c>
      <c r="E307" s="1345" t="s">
        <v>789</v>
      </c>
      <c r="F307" s="1345"/>
      <c r="G307" s="1345"/>
      <c r="H307" s="855" t="s">
        <v>286</v>
      </c>
      <c r="I307" s="856">
        <v>12141908</v>
      </c>
      <c r="J307" s="852">
        <f>+'Yeşil Defter Dönemsel'!I306</f>
        <v>0</v>
      </c>
      <c r="K307" s="852">
        <f>+'Yeşil Defter Dönemsel'!J306</f>
        <v>0</v>
      </c>
      <c r="L307" s="852">
        <f>+'Yeşil Defter Dönemsel'!K306</f>
        <v>0</v>
      </c>
      <c r="M307" s="857">
        <f t="shared" si="57"/>
        <v>0</v>
      </c>
      <c r="N307" s="857">
        <f t="shared" si="58"/>
        <v>0</v>
      </c>
      <c r="O307" s="857">
        <f t="shared" si="59"/>
        <v>0</v>
      </c>
      <c r="P307" s="852">
        <f t="shared" si="43"/>
        <v>0</v>
      </c>
      <c r="Q307" s="854">
        <f t="shared" si="60"/>
        <v>0</v>
      </c>
      <c r="R307" s="854">
        <f t="shared" si="44"/>
        <v>0</v>
      </c>
      <c r="S307" s="843">
        <f t="shared" si="49"/>
        <v>0</v>
      </c>
      <c r="T307" s="843">
        <f t="shared" si="51"/>
        <v>0</v>
      </c>
      <c r="U307" s="843">
        <f t="shared" si="50"/>
        <v>0</v>
      </c>
      <c r="V307" s="307"/>
      <c r="W307" t="e">
        <f>+'Yeşil Defter'!#REF!</f>
        <v>#REF!</v>
      </c>
      <c r="X307" s="766"/>
    </row>
    <row r="308" spans="1:24" ht="19.95" hidden="1" customHeight="1" x14ac:dyDescent="0.3">
      <c r="A308" s="262">
        <v>4</v>
      </c>
      <c r="C308" s="855">
        <v>285</v>
      </c>
      <c r="D308" s="855" t="s">
        <v>790</v>
      </c>
      <c r="E308" s="1345" t="s">
        <v>791</v>
      </c>
      <c r="F308" s="1345"/>
      <c r="G308" s="1345"/>
      <c r="H308" s="855" t="s">
        <v>286</v>
      </c>
      <c r="I308" s="856">
        <v>1254994</v>
      </c>
      <c r="J308" s="852">
        <f>+'Yeşil Defter Dönemsel'!I307</f>
        <v>0</v>
      </c>
      <c r="K308" s="852">
        <f>+'Yeşil Defter Dönemsel'!J307</f>
        <v>0</v>
      </c>
      <c r="L308" s="852">
        <f>+'Yeşil Defter Dönemsel'!K307</f>
        <v>0</v>
      </c>
      <c r="M308" s="857">
        <f t="shared" si="57"/>
        <v>0</v>
      </c>
      <c r="N308" s="857">
        <f t="shared" si="58"/>
        <v>0</v>
      </c>
      <c r="O308" s="857">
        <f t="shared" si="59"/>
        <v>0</v>
      </c>
      <c r="P308" s="852">
        <f t="shared" si="43"/>
        <v>0</v>
      </c>
      <c r="Q308" s="854">
        <f t="shared" si="60"/>
        <v>0</v>
      </c>
      <c r="R308" s="854">
        <f t="shared" si="44"/>
        <v>0</v>
      </c>
      <c r="S308" s="843">
        <f t="shared" si="49"/>
        <v>0</v>
      </c>
      <c r="T308" s="843">
        <f t="shared" si="51"/>
        <v>0</v>
      </c>
      <c r="U308" s="843">
        <f t="shared" si="50"/>
        <v>0</v>
      </c>
      <c r="V308" s="307"/>
      <c r="W308" t="e">
        <f>+'Yeşil Defter'!#REF!</f>
        <v>#REF!</v>
      </c>
      <c r="X308" s="766"/>
    </row>
    <row r="309" spans="1:24" ht="19.95" hidden="1" customHeight="1" x14ac:dyDescent="0.3">
      <c r="A309" s="262">
        <v>4</v>
      </c>
      <c r="C309" s="855">
        <v>286</v>
      </c>
      <c r="D309" s="855" t="s">
        <v>792</v>
      </c>
      <c r="E309" s="1345" t="s">
        <v>793</v>
      </c>
      <c r="F309" s="1345"/>
      <c r="G309" s="1345"/>
      <c r="H309" s="855" t="s">
        <v>286</v>
      </c>
      <c r="I309" s="856">
        <v>15222263</v>
      </c>
      <c r="J309" s="852">
        <f>+'Yeşil Defter Dönemsel'!I308</f>
        <v>0</v>
      </c>
      <c r="K309" s="852">
        <f>+'Yeşil Defter Dönemsel'!J308</f>
        <v>0</v>
      </c>
      <c r="L309" s="852">
        <f>+'Yeşil Defter Dönemsel'!K308</f>
        <v>0</v>
      </c>
      <c r="M309" s="857">
        <f t="shared" si="57"/>
        <v>0</v>
      </c>
      <c r="N309" s="857">
        <f t="shared" si="58"/>
        <v>0</v>
      </c>
      <c r="O309" s="857">
        <f t="shared" si="59"/>
        <v>0</v>
      </c>
      <c r="P309" s="852">
        <f t="shared" si="43"/>
        <v>0</v>
      </c>
      <c r="Q309" s="854">
        <f t="shared" si="60"/>
        <v>0</v>
      </c>
      <c r="R309" s="854">
        <f t="shared" si="44"/>
        <v>0</v>
      </c>
      <c r="S309" s="843">
        <f t="shared" si="49"/>
        <v>0</v>
      </c>
      <c r="T309" s="843">
        <f t="shared" si="51"/>
        <v>0</v>
      </c>
      <c r="U309" s="843">
        <f t="shared" si="50"/>
        <v>0</v>
      </c>
      <c r="V309" s="307"/>
      <c r="W309" t="e">
        <f>+'Yeşil Defter'!#REF!</f>
        <v>#REF!</v>
      </c>
      <c r="X309" s="766"/>
    </row>
    <row r="310" spans="1:24" ht="19.95" hidden="1" customHeight="1" x14ac:dyDescent="0.3">
      <c r="A310" s="262">
        <v>4</v>
      </c>
      <c r="C310" s="855">
        <v>287</v>
      </c>
      <c r="D310" s="855" t="s">
        <v>794</v>
      </c>
      <c r="E310" s="1345" t="s">
        <v>1163</v>
      </c>
      <c r="F310" s="1345"/>
      <c r="G310" s="1345"/>
      <c r="H310" s="855" t="s">
        <v>286</v>
      </c>
      <c r="I310" s="856">
        <v>3008331</v>
      </c>
      <c r="J310" s="852">
        <f>+'Yeşil Defter Dönemsel'!I309</f>
        <v>0</v>
      </c>
      <c r="K310" s="852">
        <f>+'Yeşil Defter Dönemsel'!J309</f>
        <v>0</v>
      </c>
      <c r="L310" s="852">
        <f>+'Yeşil Defter Dönemsel'!K309</f>
        <v>0</v>
      </c>
      <c r="M310" s="857">
        <f t="shared" si="57"/>
        <v>0</v>
      </c>
      <c r="N310" s="857">
        <f t="shared" si="58"/>
        <v>0</v>
      </c>
      <c r="O310" s="857">
        <f t="shared" si="59"/>
        <v>0</v>
      </c>
      <c r="P310" s="852">
        <f t="shared" si="43"/>
        <v>0</v>
      </c>
      <c r="Q310" s="854">
        <f t="shared" si="60"/>
        <v>0</v>
      </c>
      <c r="R310" s="854">
        <f t="shared" si="44"/>
        <v>0</v>
      </c>
      <c r="S310" s="843">
        <f t="shared" si="49"/>
        <v>0</v>
      </c>
      <c r="T310" s="843">
        <f t="shared" si="51"/>
        <v>0</v>
      </c>
      <c r="U310" s="843">
        <f t="shared" si="50"/>
        <v>0</v>
      </c>
      <c r="V310" s="307"/>
      <c r="W310" t="e">
        <f>+'Yeşil Defter'!#REF!</f>
        <v>#REF!</v>
      </c>
      <c r="X310" s="766"/>
    </row>
    <row r="311" spans="1:24" ht="19.95" hidden="1" customHeight="1" x14ac:dyDescent="0.3">
      <c r="A311" s="262">
        <v>4</v>
      </c>
      <c r="C311" s="855">
        <v>288</v>
      </c>
      <c r="D311" s="855" t="s">
        <v>795</v>
      </c>
      <c r="E311" s="1345" t="s">
        <v>1171</v>
      </c>
      <c r="F311" s="1345"/>
      <c r="G311" s="1345"/>
      <c r="H311" s="855" t="s">
        <v>286</v>
      </c>
      <c r="I311" s="856">
        <v>3008331</v>
      </c>
      <c r="J311" s="852">
        <f>+'Yeşil Defter Dönemsel'!I310</f>
        <v>0</v>
      </c>
      <c r="K311" s="852">
        <f>+'Yeşil Defter Dönemsel'!J310</f>
        <v>0</v>
      </c>
      <c r="L311" s="852">
        <f>+'Yeşil Defter Dönemsel'!K310</f>
        <v>0</v>
      </c>
      <c r="M311" s="857">
        <f t="shared" si="57"/>
        <v>0</v>
      </c>
      <c r="N311" s="857">
        <f t="shared" si="58"/>
        <v>0</v>
      </c>
      <c r="O311" s="857">
        <f t="shared" si="59"/>
        <v>0</v>
      </c>
      <c r="P311" s="852">
        <f t="shared" si="43"/>
        <v>0</v>
      </c>
      <c r="Q311" s="854">
        <f t="shared" si="60"/>
        <v>0</v>
      </c>
      <c r="R311" s="854">
        <f t="shared" si="44"/>
        <v>0</v>
      </c>
      <c r="S311" s="843">
        <f t="shared" si="49"/>
        <v>0</v>
      </c>
      <c r="T311" s="843">
        <f t="shared" si="51"/>
        <v>0</v>
      </c>
      <c r="U311" s="843">
        <f t="shared" si="50"/>
        <v>0</v>
      </c>
      <c r="V311" s="307"/>
      <c r="W311" t="e">
        <f>+'Yeşil Defter'!#REF!</f>
        <v>#REF!</v>
      </c>
      <c r="X311" s="766"/>
    </row>
    <row r="312" spans="1:24" ht="19.95" hidden="1" customHeight="1" x14ac:dyDescent="0.3">
      <c r="A312" s="262">
        <v>4</v>
      </c>
      <c r="C312" s="855">
        <v>289</v>
      </c>
      <c r="D312" s="855" t="s">
        <v>796</v>
      </c>
      <c r="E312" s="1345" t="s">
        <v>1179</v>
      </c>
      <c r="F312" s="1345"/>
      <c r="G312" s="1345"/>
      <c r="H312" s="855" t="s">
        <v>286</v>
      </c>
      <c r="I312" s="856">
        <v>3008331</v>
      </c>
      <c r="J312" s="852">
        <f>+'Yeşil Defter Dönemsel'!I311</f>
        <v>0</v>
      </c>
      <c r="K312" s="852">
        <f>+'Yeşil Defter Dönemsel'!J311</f>
        <v>0</v>
      </c>
      <c r="L312" s="852">
        <f>+'Yeşil Defter Dönemsel'!K311</f>
        <v>0</v>
      </c>
      <c r="M312" s="857">
        <f t="shared" si="57"/>
        <v>0</v>
      </c>
      <c r="N312" s="857">
        <f t="shared" si="58"/>
        <v>0</v>
      </c>
      <c r="O312" s="857">
        <f t="shared" si="59"/>
        <v>0</v>
      </c>
      <c r="P312" s="852">
        <f t="shared" ref="P312:P375" si="61">+J312</f>
        <v>0</v>
      </c>
      <c r="Q312" s="854">
        <f t="shared" si="60"/>
        <v>0</v>
      </c>
      <c r="R312" s="854">
        <f t="shared" ref="R312:R375" si="62">+L312</f>
        <v>0</v>
      </c>
      <c r="S312" s="843">
        <f t="shared" si="49"/>
        <v>0</v>
      </c>
      <c r="T312" s="843">
        <f t="shared" si="51"/>
        <v>0</v>
      </c>
      <c r="U312" s="843">
        <f t="shared" si="50"/>
        <v>0</v>
      </c>
      <c r="V312" s="307"/>
      <c r="W312" t="e">
        <f>+'Yeşil Defter'!#REF!</f>
        <v>#REF!</v>
      </c>
      <c r="X312" s="766"/>
    </row>
    <row r="313" spans="1:24" ht="19.95" hidden="1" customHeight="1" x14ac:dyDescent="0.3">
      <c r="A313" s="262">
        <v>4</v>
      </c>
      <c r="C313" s="855">
        <v>290</v>
      </c>
      <c r="D313" s="855" t="s">
        <v>797</v>
      </c>
      <c r="E313" s="1345" t="s">
        <v>1187</v>
      </c>
      <c r="F313" s="1345"/>
      <c r="G313" s="1345"/>
      <c r="H313" s="855" t="s">
        <v>286</v>
      </c>
      <c r="I313" s="856">
        <v>3008331</v>
      </c>
      <c r="J313" s="852">
        <f>+'Yeşil Defter Dönemsel'!I312</f>
        <v>0</v>
      </c>
      <c r="K313" s="852">
        <f>+'Yeşil Defter Dönemsel'!J312</f>
        <v>0</v>
      </c>
      <c r="L313" s="852">
        <f>+'Yeşil Defter Dönemsel'!K312</f>
        <v>0</v>
      </c>
      <c r="M313" s="857">
        <f t="shared" si="57"/>
        <v>0</v>
      </c>
      <c r="N313" s="857">
        <f t="shared" si="58"/>
        <v>0</v>
      </c>
      <c r="O313" s="857">
        <f t="shared" si="59"/>
        <v>0</v>
      </c>
      <c r="P313" s="852">
        <f t="shared" si="61"/>
        <v>0</v>
      </c>
      <c r="Q313" s="854">
        <f t="shared" si="60"/>
        <v>0</v>
      </c>
      <c r="R313" s="854">
        <f t="shared" si="62"/>
        <v>0</v>
      </c>
      <c r="S313" s="843">
        <f t="shared" si="49"/>
        <v>0</v>
      </c>
      <c r="T313" s="843">
        <f t="shared" si="51"/>
        <v>0</v>
      </c>
      <c r="U313" s="843">
        <f t="shared" si="50"/>
        <v>0</v>
      </c>
      <c r="V313" s="307"/>
      <c r="W313" t="e">
        <f>+'Yeşil Defter'!#REF!</f>
        <v>#REF!</v>
      </c>
      <c r="X313" s="766"/>
    </row>
    <row r="314" spans="1:24" ht="19.95" hidden="1" customHeight="1" x14ac:dyDescent="0.3">
      <c r="A314" s="262">
        <v>4</v>
      </c>
      <c r="C314" s="855">
        <v>291</v>
      </c>
      <c r="D314" s="855" t="s">
        <v>798</v>
      </c>
      <c r="E314" s="1345" t="s">
        <v>799</v>
      </c>
      <c r="F314" s="1345"/>
      <c r="G314" s="1345"/>
      <c r="H314" s="855" t="s">
        <v>286</v>
      </c>
      <c r="I314" s="856">
        <v>3008331</v>
      </c>
      <c r="J314" s="852">
        <f>+'Yeşil Defter Dönemsel'!I313</f>
        <v>0</v>
      </c>
      <c r="K314" s="852">
        <f>+'Yeşil Defter Dönemsel'!J313</f>
        <v>0</v>
      </c>
      <c r="L314" s="852">
        <f>+'Yeşil Defter Dönemsel'!K313</f>
        <v>0</v>
      </c>
      <c r="M314" s="857">
        <f t="shared" si="57"/>
        <v>0</v>
      </c>
      <c r="N314" s="857">
        <f t="shared" si="58"/>
        <v>0</v>
      </c>
      <c r="O314" s="857">
        <f t="shared" si="59"/>
        <v>0</v>
      </c>
      <c r="P314" s="852">
        <f t="shared" si="61"/>
        <v>0</v>
      </c>
      <c r="Q314" s="854">
        <f t="shared" si="60"/>
        <v>0</v>
      </c>
      <c r="R314" s="854">
        <f t="shared" si="62"/>
        <v>0</v>
      </c>
      <c r="S314" s="843">
        <f t="shared" si="49"/>
        <v>0</v>
      </c>
      <c r="T314" s="843">
        <f t="shared" si="51"/>
        <v>0</v>
      </c>
      <c r="U314" s="843">
        <f t="shared" si="50"/>
        <v>0</v>
      </c>
      <c r="V314" s="307"/>
      <c r="W314" t="e">
        <f>+'Yeşil Defter'!#REF!</f>
        <v>#REF!</v>
      </c>
      <c r="X314" s="766"/>
    </row>
    <row r="315" spans="1:24" ht="19.95" hidden="1" customHeight="1" x14ac:dyDescent="0.3">
      <c r="A315" s="262">
        <v>4</v>
      </c>
      <c r="C315" s="855">
        <v>292</v>
      </c>
      <c r="D315" s="855" t="s">
        <v>800</v>
      </c>
      <c r="E315" s="1345" t="s">
        <v>801</v>
      </c>
      <c r="F315" s="1345"/>
      <c r="G315" s="1345"/>
      <c r="H315" s="855" t="s">
        <v>286</v>
      </c>
      <c r="I315" s="856">
        <v>9226875</v>
      </c>
      <c r="J315" s="852">
        <f>+'Yeşil Defter Dönemsel'!I314</f>
        <v>0</v>
      </c>
      <c r="K315" s="852">
        <f>+'Yeşil Defter Dönemsel'!J314</f>
        <v>0</v>
      </c>
      <c r="L315" s="852">
        <f>+'Yeşil Defter Dönemsel'!K314</f>
        <v>0</v>
      </c>
      <c r="M315" s="857">
        <f t="shared" si="57"/>
        <v>0</v>
      </c>
      <c r="N315" s="857">
        <f t="shared" si="58"/>
        <v>0</v>
      </c>
      <c r="O315" s="857">
        <f t="shared" si="59"/>
        <v>0</v>
      </c>
      <c r="P315" s="852">
        <f t="shared" si="61"/>
        <v>0</v>
      </c>
      <c r="Q315" s="854">
        <f t="shared" si="60"/>
        <v>0</v>
      </c>
      <c r="R315" s="854">
        <f t="shared" si="62"/>
        <v>0</v>
      </c>
      <c r="S315" s="843">
        <f t="shared" si="49"/>
        <v>0</v>
      </c>
      <c r="T315" s="843">
        <f t="shared" si="51"/>
        <v>0</v>
      </c>
      <c r="U315" s="843">
        <f t="shared" si="50"/>
        <v>0</v>
      </c>
      <c r="V315" s="307"/>
      <c r="W315" t="e">
        <f>+'Yeşil Defter'!#REF!</f>
        <v>#REF!</v>
      </c>
      <c r="X315" s="766"/>
    </row>
    <row r="316" spans="1:24" ht="19.95" hidden="1" customHeight="1" x14ac:dyDescent="0.3">
      <c r="A316" s="262">
        <v>4</v>
      </c>
      <c r="C316" s="855">
        <v>293</v>
      </c>
      <c r="D316" s="855" t="s">
        <v>802</v>
      </c>
      <c r="E316" s="1345" t="s">
        <v>1164</v>
      </c>
      <c r="F316" s="1345"/>
      <c r="G316" s="1345"/>
      <c r="H316" s="855" t="s">
        <v>286</v>
      </c>
      <c r="I316" s="856">
        <v>2510820</v>
      </c>
      <c r="J316" s="852">
        <f>+'Yeşil Defter Dönemsel'!I315</f>
        <v>0</v>
      </c>
      <c r="K316" s="852">
        <f>+'Yeşil Defter Dönemsel'!J315</f>
        <v>0</v>
      </c>
      <c r="L316" s="852">
        <f>+'Yeşil Defter Dönemsel'!K315</f>
        <v>0</v>
      </c>
      <c r="M316" s="857">
        <f t="shared" si="57"/>
        <v>0</v>
      </c>
      <c r="N316" s="857">
        <f t="shared" si="58"/>
        <v>0</v>
      </c>
      <c r="O316" s="857">
        <f t="shared" si="59"/>
        <v>0</v>
      </c>
      <c r="P316" s="852">
        <f t="shared" si="61"/>
        <v>0</v>
      </c>
      <c r="Q316" s="854">
        <f t="shared" si="60"/>
        <v>0</v>
      </c>
      <c r="R316" s="854">
        <f t="shared" si="62"/>
        <v>0</v>
      </c>
      <c r="S316" s="843">
        <f t="shared" si="49"/>
        <v>0</v>
      </c>
      <c r="T316" s="843">
        <f t="shared" si="51"/>
        <v>0</v>
      </c>
      <c r="U316" s="843">
        <f t="shared" si="50"/>
        <v>0</v>
      </c>
      <c r="V316" s="307"/>
      <c r="W316" t="e">
        <f>+'Yeşil Defter'!#REF!</f>
        <v>#REF!</v>
      </c>
      <c r="X316" s="766"/>
    </row>
    <row r="317" spans="1:24" ht="19.95" hidden="1" customHeight="1" x14ac:dyDescent="0.3">
      <c r="A317" s="262">
        <v>4</v>
      </c>
      <c r="C317" s="855">
        <v>294</v>
      </c>
      <c r="D317" s="855" t="s">
        <v>803</v>
      </c>
      <c r="E317" s="1345" t="s">
        <v>1172</v>
      </c>
      <c r="F317" s="1345"/>
      <c r="G317" s="1345"/>
      <c r="H317" s="855" t="s">
        <v>286</v>
      </c>
      <c r="I317" s="856">
        <v>2741700</v>
      </c>
      <c r="J317" s="852">
        <f>+'Yeşil Defter Dönemsel'!I316</f>
        <v>0</v>
      </c>
      <c r="K317" s="852">
        <f>+'Yeşil Defter Dönemsel'!J316</f>
        <v>0</v>
      </c>
      <c r="L317" s="852">
        <f>+'Yeşil Defter Dönemsel'!K316</f>
        <v>0</v>
      </c>
      <c r="M317" s="857">
        <f t="shared" si="57"/>
        <v>0</v>
      </c>
      <c r="N317" s="857">
        <f t="shared" si="58"/>
        <v>0</v>
      </c>
      <c r="O317" s="857">
        <f t="shared" si="59"/>
        <v>0</v>
      </c>
      <c r="P317" s="852">
        <f t="shared" si="61"/>
        <v>0</v>
      </c>
      <c r="Q317" s="854">
        <f t="shared" si="60"/>
        <v>0</v>
      </c>
      <c r="R317" s="854">
        <f t="shared" si="62"/>
        <v>0</v>
      </c>
      <c r="S317" s="843">
        <f t="shared" si="49"/>
        <v>0</v>
      </c>
      <c r="T317" s="843">
        <f t="shared" si="51"/>
        <v>0</v>
      </c>
      <c r="U317" s="843">
        <f t="shared" si="50"/>
        <v>0</v>
      </c>
      <c r="V317" s="307"/>
      <c r="W317" t="e">
        <f>+'Yeşil Defter'!#REF!</f>
        <v>#REF!</v>
      </c>
      <c r="X317" s="766"/>
    </row>
    <row r="318" spans="1:24" ht="19.95" hidden="1" customHeight="1" x14ac:dyDescent="0.3">
      <c r="A318" s="262">
        <v>4</v>
      </c>
      <c r="C318" s="855">
        <v>295</v>
      </c>
      <c r="D318" s="855" t="s">
        <v>804</v>
      </c>
      <c r="E318" s="1345" t="s">
        <v>1180</v>
      </c>
      <c r="F318" s="1345"/>
      <c r="G318" s="1345"/>
      <c r="H318" s="855" t="s">
        <v>286</v>
      </c>
      <c r="I318" s="856">
        <v>2886000</v>
      </c>
      <c r="J318" s="852">
        <f>+'Yeşil Defter Dönemsel'!I317</f>
        <v>0</v>
      </c>
      <c r="K318" s="852">
        <f>+'Yeşil Defter Dönemsel'!J317</f>
        <v>0</v>
      </c>
      <c r="L318" s="852">
        <f>+'Yeşil Defter Dönemsel'!K317</f>
        <v>0</v>
      </c>
      <c r="M318" s="857">
        <f t="shared" si="57"/>
        <v>0</v>
      </c>
      <c r="N318" s="857">
        <f t="shared" si="58"/>
        <v>0</v>
      </c>
      <c r="O318" s="857">
        <f t="shared" si="59"/>
        <v>0</v>
      </c>
      <c r="P318" s="852">
        <f t="shared" si="61"/>
        <v>0</v>
      </c>
      <c r="Q318" s="854">
        <f t="shared" si="60"/>
        <v>0</v>
      </c>
      <c r="R318" s="854">
        <f t="shared" si="62"/>
        <v>0</v>
      </c>
      <c r="S318" s="843">
        <f t="shared" si="49"/>
        <v>0</v>
      </c>
      <c r="T318" s="843">
        <f t="shared" si="51"/>
        <v>0</v>
      </c>
      <c r="U318" s="843">
        <f t="shared" si="50"/>
        <v>0</v>
      </c>
      <c r="V318" s="307"/>
      <c r="W318" t="e">
        <f>+'Yeşil Defter'!#REF!</f>
        <v>#REF!</v>
      </c>
      <c r="X318" s="766"/>
    </row>
    <row r="319" spans="1:24" ht="19.95" hidden="1" customHeight="1" x14ac:dyDescent="0.3">
      <c r="A319" s="262">
        <v>4</v>
      </c>
      <c r="C319" s="855">
        <v>296</v>
      </c>
      <c r="D319" s="855" t="s">
        <v>805</v>
      </c>
      <c r="E319" s="1345" t="s">
        <v>1188</v>
      </c>
      <c r="F319" s="1345"/>
      <c r="G319" s="1345"/>
      <c r="H319" s="855" t="s">
        <v>286</v>
      </c>
      <c r="I319" s="856">
        <v>2597400</v>
      </c>
      <c r="J319" s="852">
        <f>+'Yeşil Defter Dönemsel'!I318</f>
        <v>0</v>
      </c>
      <c r="K319" s="852">
        <f>+'Yeşil Defter Dönemsel'!J318</f>
        <v>0</v>
      </c>
      <c r="L319" s="852">
        <f>+'Yeşil Defter Dönemsel'!K318</f>
        <v>0</v>
      </c>
      <c r="M319" s="857">
        <f t="shared" si="57"/>
        <v>0</v>
      </c>
      <c r="N319" s="857">
        <f t="shared" si="58"/>
        <v>0</v>
      </c>
      <c r="O319" s="857">
        <f t="shared" si="59"/>
        <v>0</v>
      </c>
      <c r="P319" s="852">
        <f t="shared" si="61"/>
        <v>0</v>
      </c>
      <c r="Q319" s="854">
        <f t="shared" si="60"/>
        <v>0</v>
      </c>
      <c r="R319" s="854">
        <f t="shared" si="62"/>
        <v>0</v>
      </c>
      <c r="S319" s="843">
        <f t="shared" si="49"/>
        <v>0</v>
      </c>
      <c r="T319" s="843">
        <f t="shared" si="51"/>
        <v>0</v>
      </c>
      <c r="U319" s="843">
        <f t="shared" si="50"/>
        <v>0</v>
      </c>
      <c r="V319" s="307"/>
      <c r="W319" t="e">
        <f>+'Yeşil Defter'!#REF!</f>
        <v>#REF!</v>
      </c>
      <c r="X319" s="766"/>
    </row>
    <row r="320" spans="1:24" ht="19.95" hidden="1" customHeight="1" x14ac:dyDescent="0.3">
      <c r="A320" s="262">
        <v>4</v>
      </c>
      <c r="C320" s="855">
        <v>297</v>
      </c>
      <c r="D320" s="855" t="s">
        <v>806</v>
      </c>
      <c r="E320" s="1345" t="s">
        <v>807</v>
      </c>
      <c r="F320" s="1345"/>
      <c r="G320" s="1345"/>
      <c r="H320" s="855" t="s">
        <v>286</v>
      </c>
      <c r="I320" s="856">
        <v>2741700</v>
      </c>
      <c r="J320" s="852">
        <f>+'Yeşil Defter Dönemsel'!I319</f>
        <v>0</v>
      </c>
      <c r="K320" s="852">
        <f>+'Yeşil Defter Dönemsel'!J319</f>
        <v>0</v>
      </c>
      <c r="L320" s="852">
        <f>+'Yeşil Defter Dönemsel'!K319</f>
        <v>0</v>
      </c>
      <c r="M320" s="857">
        <f t="shared" si="57"/>
        <v>0</v>
      </c>
      <c r="N320" s="857">
        <f t="shared" si="58"/>
        <v>0</v>
      </c>
      <c r="O320" s="857">
        <f t="shared" si="59"/>
        <v>0</v>
      </c>
      <c r="P320" s="852">
        <f t="shared" si="61"/>
        <v>0</v>
      </c>
      <c r="Q320" s="854">
        <f t="shared" si="60"/>
        <v>0</v>
      </c>
      <c r="R320" s="854">
        <f t="shared" si="62"/>
        <v>0</v>
      </c>
      <c r="S320" s="843">
        <f t="shared" si="49"/>
        <v>0</v>
      </c>
      <c r="T320" s="843">
        <f t="shared" si="51"/>
        <v>0</v>
      </c>
      <c r="U320" s="843">
        <f t="shared" si="50"/>
        <v>0</v>
      </c>
      <c r="V320" s="307"/>
      <c r="W320" t="e">
        <f>+'Yeşil Defter'!#REF!</f>
        <v>#REF!</v>
      </c>
      <c r="X320" s="766"/>
    </row>
    <row r="321" spans="1:24" ht="19.95" hidden="1" customHeight="1" x14ac:dyDescent="0.3">
      <c r="A321" s="262">
        <v>4</v>
      </c>
      <c r="C321" s="855">
        <v>298</v>
      </c>
      <c r="D321" s="855" t="s">
        <v>808</v>
      </c>
      <c r="E321" s="1345" t="s">
        <v>809</v>
      </c>
      <c r="F321" s="1345"/>
      <c r="G321" s="1345"/>
      <c r="H321" s="855" t="s">
        <v>286</v>
      </c>
      <c r="I321" s="856">
        <v>5295625</v>
      </c>
      <c r="J321" s="852">
        <f>+'Yeşil Defter Dönemsel'!I320</f>
        <v>0</v>
      </c>
      <c r="K321" s="852">
        <f>+'Yeşil Defter Dönemsel'!J320</f>
        <v>0</v>
      </c>
      <c r="L321" s="852">
        <f>+'Yeşil Defter Dönemsel'!K320</f>
        <v>0</v>
      </c>
      <c r="M321" s="857">
        <f t="shared" si="57"/>
        <v>0</v>
      </c>
      <c r="N321" s="857">
        <f t="shared" si="58"/>
        <v>0</v>
      </c>
      <c r="O321" s="857">
        <f t="shared" si="59"/>
        <v>0</v>
      </c>
      <c r="P321" s="852">
        <f t="shared" si="61"/>
        <v>0</v>
      </c>
      <c r="Q321" s="854">
        <f t="shared" si="60"/>
        <v>0</v>
      </c>
      <c r="R321" s="854">
        <f t="shared" si="62"/>
        <v>0</v>
      </c>
      <c r="S321" s="843">
        <f t="shared" si="49"/>
        <v>0</v>
      </c>
      <c r="T321" s="843">
        <f t="shared" si="51"/>
        <v>0</v>
      </c>
      <c r="U321" s="843">
        <f t="shared" si="50"/>
        <v>0</v>
      </c>
      <c r="V321" s="307"/>
      <c r="W321" t="e">
        <f>+'Yeşil Defter'!#REF!</f>
        <v>#REF!</v>
      </c>
      <c r="X321" s="766"/>
    </row>
    <row r="322" spans="1:24" ht="19.95" hidden="1" customHeight="1" x14ac:dyDescent="0.3">
      <c r="A322" s="262">
        <v>4</v>
      </c>
      <c r="C322" s="855">
        <v>299</v>
      </c>
      <c r="D322" s="855" t="s">
        <v>810</v>
      </c>
      <c r="E322" s="1345" t="s">
        <v>811</v>
      </c>
      <c r="F322" s="1345"/>
      <c r="G322" s="1345"/>
      <c r="H322" s="855" t="s">
        <v>286</v>
      </c>
      <c r="I322" s="856">
        <v>4551786</v>
      </c>
      <c r="J322" s="852">
        <f>+'Yeşil Defter Dönemsel'!I321</f>
        <v>0</v>
      </c>
      <c r="K322" s="852">
        <f>+'Yeşil Defter Dönemsel'!J321</f>
        <v>0</v>
      </c>
      <c r="L322" s="852">
        <f>+'Yeşil Defter Dönemsel'!K321</f>
        <v>0</v>
      </c>
      <c r="M322" s="857">
        <f t="shared" si="57"/>
        <v>0</v>
      </c>
      <c r="N322" s="857">
        <f t="shared" si="58"/>
        <v>0</v>
      </c>
      <c r="O322" s="857">
        <f t="shared" si="59"/>
        <v>0</v>
      </c>
      <c r="P322" s="852">
        <f t="shared" si="61"/>
        <v>0</v>
      </c>
      <c r="Q322" s="854">
        <f t="shared" si="60"/>
        <v>0</v>
      </c>
      <c r="R322" s="854">
        <f t="shared" si="62"/>
        <v>0</v>
      </c>
      <c r="S322" s="843">
        <f t="shared" si="49"/>
        <v>0</v>
      </c>
      <c r="T322" s="843">
        <f t="shared" si="51"/>
        <v>0</v>
      </c>
      <c r="U322" s="843">
        <f t="shared" si="50"/>
        <v>0</v>
      </c>
      <c r="V322" s="307"/>
      <c r="W322" t="e">
        <f>+'Yeşil Defter'!#REF!</f>
        <v>#REF!</v>
      </c>
      <c r="X322" s="766"/>
    </row>
    <row r="323" spans="1:24" ht="19.95" hidden="1" customHeight="1" x14ac:dyDescent="0.3">
      <c r="A323" s="262">
        <v>4</v>
      </c>
      <c r="C323" s="855">
        <v>300</v>
      </c>
      <c r="D323" s="855" t="s">
        <v>812</v>
      </c>
      <c r="E323" s="1345" t="s">
        <v>1165</v>
      </c>
      <c r="F323" s="1345"/>
      <c r="G323" s="1345"/>
      <c r="H323" s="855" t="s">
        <v>286</v>
      </c>
      <c r="I323" s="856">
        <v>6679425</v>
      </c>
      <c r="J323" s="852">
        <f>+'Yeşil Defter Dönemsel'!I322</f>
        <v>0</v>
      </c>
      <c r="K323" s="852">
        <f>+'Yeşil Defter Dönemsel'!J322</f>
        <v>0</v>
      </c>
      <c r="L323" s="852">
        <f>+'Yeşil Defter Dönemsel'!K322</f>
        <v>0</v>
      </c>
      <c r="M323" s="857">
        <f t="shared" si="57"/>
        <v>0</v>
      </c>
      <c r="N323" s="857">
        <f t="shared" si="58"/>
        <v>0</v>
      </c>
      <c r="O323" s="857">
        <f t="shared" si="59"/>
        <v>0</v>
      </c>
      <c r="P323" s="852">
        <f t="shared" si="61"/>
        <v>0</v>
      </c>
      <c r="Q323" s="854">
        <f t="shared" si="60"/>
        <v>0</v>
      </c>
      <c r="R323" s="854">
        <f t="shared" si="62"/>
        <v>0</v>
      </c>
      <c r="S323" s="843">
        <f t="shared" si="49"/>
        <v>0</v>
      </c>
      <c r="T323" s="843">
        <f t="shared" si="51"/>
        <v>0</v>
      </c>
      <c r="U323" s="843">
        <f t="shared" si="50"/>
        <v>0</v>
      </c>
      <c r="V323" s="307"/>
      <c r="W323" t="e">
        <f>+'Yeşil Defter'!#REF!</f>
        <v>#REF!</v>
      </c>
      <c r="X323" s="766"/>
    </row>
    <row r="324" spans="1:24" ht="19.95" hidden="1" customHeight="1" x14ac:dyDescent="0.3">
      <c r="A324" s="262">
        <v>4</v>
      </c>
      <c r="C324" s="855">
        <v>301</v>
      </c>
      <c r="D324" s="855" t="s">
        <v>813</v>
      </c>
      <c r="E324" s="1345" t="s">
        <v>1173</v>
      </c>
      <c r="F324" s="1345"/>
      <c r="G324" s="1345"/>
      <c r="H324" s="855" t="s">
        <v>286</v>
      </c>
      <c r="I324" s="856">
        <v>7293625</v>
      </c>
      <c r="J324" s="852">
        <f>+'Yeşil Defter Dönemsel'!I323</f>
        <v>0</v>
      </c>
      <c r="K324" s="852">
        <f>+'Yeşil Defter Dönemsel'!J323</f>
        <v>0</v>
      </c>
      <c r="L324" s="852">
        <f>+'Yeşil Defter Dönemsel'!K323</f>
        <v>0</v>
      </c>
      <c r="M324" s="857">
        <f t="shared" si="57"/>
        <v>0</v>
      </c>
      <c r="N324" s="857">
        <f t="shared" si="58"/>
        <v>0</v>
      </c>
      <c r="O324" s="857">
        <f t="shared" si="59"/>
        <v>0</v>
      </c>
      <c r="P324" s="852">
        <f t="shared" si="61"/>
        <v>0</v>
      </c>
      <c r="Q324" s="854">
        <f t="shared" si="60"/>
        <v>0</v>
      </c>
      <c r="R324" s="854">
        <f t="shared" si="62"/>
        <v>0</v>
      </c>
      <c r="S324" s="843">
        <f t="shared" si="49"/>
        <v>0</v>
      </c>
      <c r="T324" s="843">
        <f t="shared" si="51"/>
        <v>0</v>
      </c>
      <c r="U324" s="843">
        <f t="shared" si="50"/>
        <v>0</v>
      </c>
      <c r="V324" s="307"/>
      <c r="W324" t="e">
        <f>+'Yeşil Defter'!#REF!</f>
        <v>#REF!</v>
      </c>
      <c r="X324" s="766"/>
    </row>
    <row r="325" spans="1:24" ht="19.95" hidden="1" customHeight="1" x14ac:dyDescent="0.3">
      <c r="A325" s="262">
        <v>4</v>
      </c>
      <c r="C325" s="855">
        <v>302</v>
      </c>
      <c r="D325" s="855" t="s">
        <v>814</v>
      </c>
      <c r="E325" s="1345" t="s">
        <v>1181</v>
      </c>
      <c r="F325" s="1345"/>
      <c r="G325" s="1345"/>
      <c r="H325" s="855" t="s">
        <v>286</v>
      </c>
      <c r="I325" s="856">
        <v>7677500</v>
      </c>
      <c r="J325" s="852">
        <f>+'Yeşil Defter Dönemsel'!I324</f>
        <v>0</v>
      </c>
      <c r="K325" s="852">
        <f>+'Yeşil Defter Dönemsel'!J324</f>
        <v>0</v>
      </c>
      <c r="L325" s="852">
        <f>+'Yeşil Defter Dönemsel'!K324</f>
        <v>0</v>
      </c>
      <c r="M325" s="857">
        <f t="shared" si="57"/>
        <v>0</v>
      </c>
      <c r="N325" s="857">
        <f t="shared" si="58"/>
        <v>0</v>
      </c>
      <c r="O325" s="857">
        <f t="shared" si="59"/>
        <v>0</v>
      </c>
      <c r="P325" s="852">
        <f t="shared" si="61"/>
        <v>0</v>
      </c>
      <c r="Q325" s="854">
        <f t="shared" si="60"/>
        <v>0</v>
      </c>
      <c r="R325" s="854">
        <f t="shared" si="62"/>
        <v>0</v>
      </c>
      <c r="S325" s="843">
        <f t="shared" si="49"/>
        <v>0</v>
      </c>
      <c r="T325" s="843">
        <f t="shared" si="51"/>
        <v>0</v>
      </c>
      <c r="U325" s="843">
        <f t="shared" si="50"/>
        <v>0</v>
      </c>
      <c r="V325" s="307"/>
      <c r="W325" t="e">
        <f>+'Yeşil Defter'!#REF!</f>
        <v>#REF!</v>
      </c>
      <c r="X325" s="766"/>
    </row>
    <row r="326" spans="1:24" ht="19.95" hidden="1" customHeight="1" x14ac:dyDescent="0.3">
      <c r="A326" s="262">
        <v>4</v>
      </c>
      <c r="C326" s="855">
        <v>303</v>
      </c>
      <c r="D326" s="855" t="s">
        <v>815</v>
      </c>
      <c r="E326" s="1345" t="s">
        <v>1189</v>
      </c>
      <c r="F326" s="1345"/>
      <c r="G326" s="1345"/>
      <c r="H326" s="855" t="s">
        <v>286</v>
      </c>
      <c r="I326" s="856">
        <v>6909750</v>
      </c>
      <c r="J326" s="852">
        <f>+'Yeşil Defter Dönemsel'!I325</f>
        <v>0</v>
      </c>
      <c r="K326" s="852">
        <f>+'Yeşil Defter Dönemsel'!J325</f>
        <v>0</v>
      </c>
      <c r="L326" s="852">
        <f>+'Yeşil Defter Dönemsel'!K325</f>
        <v>0</v>
      </c>
      <c r="M326" s="857">
        <f t="shared" si="57"/>
        <v>0</v>
      </c>
      <c r="N326" s="857">
        <f t="shared" si="58"/>
        <v>0</v>
      </c>
      <c r="O326" s="857">
        <f t="shared" si="59"/>
        <v>0</v>
      </c>
      <c r="P326" s="852">
        <f t="shared" si="61"/>
        <v>0</v>
      </c>
      <c r="Q326" s="854">
        <f t="shared" si="60"/>
        <v>0</v>
      </c>
      <c r="R326" s="854">
        <f t="shared" si="62"/>
        <v>0</v>
      </c>
      <c r="S326" s="843">
        <f t="shared" si="49"/>
        <v>0</v>
      </c>
      <c r="T326" s="843">
        <f t="shared" si="51"/>
        <v>0</v>
      </c>
      <c r="U326" s="843">
        <f t="shared" si="50"/>
        <v>0</v>
      </c>
      <c r="V326" s="307"/>
      <c r="W326" t="e">
        <f>+'Yeşil Defter'!#REF!</f>
        <v>#REF!</v>
      </c>
      <c r="X326" s="766"/>
    </row>
    <row r="327" spans="1:24" ht="19.95" hidden="1" customHeight="1" x14ac:dyDescent="0.3">
      <c r="A327" s="262">
        <v>4</v>
      </c>
      <c r="C327" s="855">
        <v>304</v>
      </c>
      <c r="D327" s="855" t="s">
        <v>816</v>
      </c>
      <c r="E327" s="1345" t="s">
        <v>817</v>
      </c>
      <c r="F327" s="1345"/>
      <c r="G327" s="1345"/>
      <c r="H327" s="855" t="s">
        <v>286</v>
      </c>
      <c r="I327" s="856">
        <v>7293625</v>
      </c>
      <c r="J327" s="852">
        <f>+'Yeşil Defter Dönemsel'!I326</f>
        <v>0</v>
      </c>
      <c r="K327" s="852">
        <f>+'Yeşil Defter Dönemsel'!J326</f>
        <v>0</v>
      </c>
      <c r="L327" s="852">
        <f>+'Yeşil Defter Dönemsel'!K326</f>
        <v>0</v>
      </c>
      <c r="M327" s="857">
        <f t="shared" si="57"/>
        <v>0</v>
      </c>
      <c r="N327" s="857">
        <f t="shared" si="58"/>
        <v>0</v>
      </c>
      <c r="O327" s="857">
        <f t="shared" si="59"/>
        <v>0</v>
      </c>
      <c r="P327" s="852">
        <f t="shared" si="61"/>
        <v>0</v>
      </c>
      <c r="Q327" s="854">
        <f t="shared" si="60"/>
        <v>0</v>
      </c>
      <c r="R327" s="854">
        <f t="shared" si="62"/>
        <v>0</v>
      </c>
      <c r="S327" s="843">
        <f t="shared" si="49"/>
        <v>0</v>
      </c>
      <c r="T327" s="843">
        <f t="shared" si="51"/>
        <v>0</v>
      </c>
      <c r="U327" s="843">
        <f t="shared" si="50"/>
        <v>0</v>
      </c>
      <c r="V327" s="307"/>
      <c r="W327" t="e">
        <f>+'Yeşil Defter'!#REF!</f>
        <v>#REF!</v>
      </c>
      <c r="X327" s="766"/>
    </row>
    <row r="328" spans="1:24" ht="19.95" hidden="1" customHeight="1" x14ac:dyDescent="0.3">
      <c r="A328" s="262">
        <v>4</v>
      </c>
      <c r="C328" s="855">
        <v>305</v>
      </c>
      <c r="D328" s="855" t="s">
        <v>818</v>
      </c>
      <c r="E328" s="1345" t="s">
        <v>819</v>
      </c>
      <c r="F328" s="1345"/>
      <c r="G328" s="1345"/>
      <c r="H328" s="855" t="s">
        <v>286</v>
      </c>
      <c r="I328" s="856">
        <v>38724553</v>
      </c>
      <c r="J328" s="852">
        <f>+'Yeşil Defter Dönemsel'!I327</f>
        <v>0</v>
      </c>
      <c r="K328" s="852">
        <f>+'Yeşil Defter Dönemsel'!J327</f>
        <v>0</v>
      </c>
      <c r="L328" s="852">
        <f>+'Yeşil Defter Dönemsel'!K327</f>
        <v>0</v>
      </c>
      <c r="M328" s="857">
        <f t="shared" si="57"/>
        <v>0</v>
      </c>
      <c r="N328" s="857">
        <f t="shared" si="58"/>
        <v>0</v>
      </c>
      <c r="O328" s="857">
        <f t="shared" si="59"/>
        <v>0</v>
      </c>
      <c r="P328" s="852">
        <f t="shared" si="61"/>
        <v>0</v>
      </c>
      <c r="Q328" s="854">
        <f t="shared" si="60"/>
        <v>0</v>
      </c>
      <c r="R328" s="854">
        <f t="shared" si="62"/>
        <v>0</v>
      </c>
      <c r="S328" s="843">
        <f t="shared" si="49"/>
        <v>0</v>
      </c>
      <c r="T328" s="843">
        <f t="shared" si="51"/>
        <v>0</v>
      </c>
      <c r="U328" s="843">
        <f t="shared" si="50"/>
        <v>0</v>
      </c>
      <c r="V328" s="307"/>
      <c r="W328" t="e">
        <f>+'Yeşil Defter'!#REF!</f>
        <v>#REF!</v>
      </c>
      <c r="X328" s="766"/>
    </row>
    <row r="329" spans="1:24" ht="19.95" hidden="1" customHeight="1" x14ac:dyDescent="0.3">
      <c r="A329" s="262">
        <v>4</v>
      </c>
      <c r="C329" s="855">
        <v>306</v>
      </c>
      <c r="D329" s="855" t="s">
        <v>820</v>
      </c>
      <c r="E329" s="1345" t="s">
        <v>821</v>
      </c>
      <c r="F329" s="1345"/>
      <c r="G329" s="1345"/>
      <c r="H329" s="855" t="s">
        <v>286</v>
      </c>
      <c r="I329" s="856">
        <v>4556411</v>
      </c>
      <c r="J329" s="852">
        <f>+'Yeşil Defter Dönemsel'!I328</f>
        <v>0</v>
      </c>
      <c r="K329" s="852">
        <f>+'Yeşil Defter Dönemsel'!J328</f>
        <v>0</v>
      </c>
      <c r="L329" s="852">
        <f>+'Yeşil Defter Dönemsel'!K328</f>
        <v>0</v>
      </c>
      <c r="M329" s="857">
        <f t="shared" si="57"/>
        <v>0</v>
      </c>
      <c r="N329" s="857">
        <f t="shared" si="58"/>
        <v>0</v>
      </c>
      <c r="O329" s="857">
        <f t="shared" si="59"/>
        <v>0</v>
      </c>
      <c r="P329" s="852">
        <f t="shared" si="61"/>
        <v>0</v>
      </c>
      <c r="Q329" s="854">
        <f t="shared" si="60"/>
        <v>0</v>
      </c>
      <c r="R329" s="854">
        <f t="shared" si="62"/>
        <v>0</v>
      </c>
      <c r="S329" s="843">
        <f t="shared" si="49"/>
        <v>0</v>
      </c>
      <c r="T329" s="843">
        <f t="shared" si="51"/>
        <v>0</v>
      </c>
      <c r="U329" s="843">
        <f t="shared" si="50"/>
        <v>0</v>
      </c>
      <c r="V329" s="307"/>
      <c r="W329" t="e">
        <f>+'Yeşil Defter'!#REF!</f>
        <v>#REF!</v>
      </c>
      <c r="X329" s="766"/>
    </row>
    <row r="330" spans="1:24" ht="19.95" hidden="1" customHeight="1" x14ac:dyDescent="0.3">
      <c r="A330" s="262">
        <v>4</v>
      </c>
      <c r="C330" s="855">
        <v>307</v>
      </c>
      <c r="D330" s="855" t="s">
        <v>822</v>
      </c>
      <c r="E330" s="1345" t="s">
        <v>1166</v>
      </c>
      <c r="F330" s="1345"/>
      <c r="G330" s="1345"/>
      <c r="H330" s="855" t="s">
        <v>286</v>
      </c>
      <c r="I330" s="856">
        <v>3358141</v>
      </c>
      <c r="J330" s="852">
        <f>+'Yeşil Defter Dönemsel'!I329</f>
        <v>0</v>
      </c>
      <c r="K330" s="852">
        <f>+'Yeşil Defter Dönemsel'!J329</f>
        <v>0</v>
      </c>
      <c r="L330" s="852">
        <f>+'Yeşil Defter Dönemsel'!K329</f>
        <v>0</v>
      </c>
      <c r="M330" s="857">
        <f t="shared" si="57"/>
        <v>0</v>
      </c>
      <c r="N330" s="857">
        <f t="shared" si="58"/>
        <v>0</v>
      </c>
      <c r="O330" s="857">
        <f t="shared" si="59"/>
        <v>0</v>
      </c>
      <c r="P330" s="852">
        <f t="shared" si="61"/>
        <v>0</v>
      </c>
      <c r="Q330" s="854">
        <f t="shared" si="60"/>
        <v>0</v>
      </c>
      <c r="R330" s="854">
        <f t="shared" si="62"/>
        <v>0</v>
      </c>
      <c r="S330" s="843">
        <f t="shared" si="49"/>
        <v>0</v>
      </c>
      <c r="T330" s="843">
        <f t="shared" si="51"/>
        <v>0</v>
      </c>
      <c r="U330" s="843">
        <f t="shared" si="50"/>
        <v>0</v>
      </c>
      <c r="V330" s="307"/>
      <c r="W330" t="e">
        <f>+'Yeşil Defter'!#REF!</f>
        <v>#REF!</v>
      </c>
      <c r="X330" s="766"/>
    </row>
    <row r="331" spans="1:24" ht="19.95" hidden="1" customHeight="1" x14ac:dyDescent="0.3">
      <c r="A331" s="262">
        <v>4</v>
      </c>
      <c r="C331" s="855">
        <v>308</v>
      </c>
      <c r="D331" s="855" t="s">
        <v>823</v>
      </c>
      <c r="E331" s="1345" t="s">
        <v>1174</v>
      </c>
      <c r="F331" s="1345"/>
      <c r="G331" s="1345"/>
      <c r="H331" s="855" t="s">
        <v>286</v>
      </c>
      <c r="I331" s="856">
        <v>3666936</v>
      </c>
      <c r="J331" s="852">
        <f>+'Yeşil Defter Dönemsel'!I330</f>
        <v>0</v>
      </c>
      <c r="K331" s="852">
        <f>+'Yeşil Defter Dönemsel'!J330</f>
        <v>0</v>
      </c>
      <c r="L331" s="852">
        <f>+'Yeşil Defter Dönemsel'!K330</f>
        <v>0</v>
      </c>
      <c r="M331" s="857">
        <f t="shared" si="57"/>
        <v>0</v>
      </c>
      <c r="N331" s="857">
        <f t="shared" si="58"/>
        <v>0</v>
      </c>
      <c r="O331" s="857">
        <f t="shared" si="59"/>
        <v>0</v>
      </c>
      <c r="P331" s="852">
        <f t="shared" si="61"/>
        <v>0</v>
      </c>
      <c r="Q331" s="854">
        <f t="shared" si="60"/>
        <v>0</v>
      </c>
      <c r="R331" s="854">
        <f t="shared" si="62"/>
        <v>0</v>
      </c>
      <c r="S331" s="843">
        <f t="shared" si="49"/>
        <v>0</v>
      </c>
      <c r="T331" s="843">
        <f t="shared" si="51"/>
        <v>0</v>
      </c>
      <c r="U331" s="843">
        <f t="shared" si="50"/>
        <v>0</v>
      </c>
      <c r="V331" s="307"/>
      <c r="W331" t="e">
        <f>+'Yeşil Defter'!#REF!</f>
        <v>#REF!</v>
      </c>
      <c r="X331" s="766"/>
    </row>
    <row r="332" spans="1:24" ht="19.95" hidden="1" customHeight="1" x14ac:dyDescent="0.3">
      <c r="A332" s="262">
        <v>4</v>
      </c>
      <c r="C332" s="855">
        <v>309</v>
      </c>
      <c r="D332" s="855" t="s">
        <v>824</v>
      </c>
      <c r="E332" s="1345" t="s">
        <v>1182</v>
      </c>
      <c r="F332" s="1345"/>
      <c r="G332" s="1345"/>
      <c r="H332" s="855" t="s">
        <v>286</v>
      </c>
      <c r="I332" s="856">
        <v>3859933</v>
      </c>
      <c r="J332" s="852">
        <f>+'Yeşil Defter Dönemsel'!I331</f>
        <v>0</v>
      </c>
      <c r="K332" s="852">
        <f>+'Yeşil Defter Dönemsel'!J331</f>
        <v>0</v>
      </c>
      <c r="L332" s="852">
        <f>+'Yeşil Defter Dönemsel'!K331</f>
        <v>0</v>
      </c>
      <c r="M332" s="857">
        <f t="shared" si="57"/>
        <v>0</v>
      </c>
      <c r="N332" s="857">
        <f t="shared" si="58"/>
        <v>0</v>
      </c>
      <c r="O332" s="857">
        <f t="shared" si="59"/>
        <v>0</v>
      </c>
      <c r="P332" s="852">
        <f t="shared" si="61"/>
        <v>0</v>
      </c>
      <c r="Q332" s="854">
        <f t="shared" si="60"/>
        <v>0</v>
      </c>
      <c r="R332" s="854">
        <f t="shared" si="62"/>
        <v>0</v>
      </c>
      <c r="S332" s="843">
        <f t="shared" si="49"/>
        <v>0</v>
      </c>
      <c r="T332" s="843">
        <f t="shared" si="51"/>
        <v>0</v>
      </c>
      <c r="U332" s="843">
        <f t="shared" si="50"/>
        <v>0</v>
      </c>
      <c r="V332" s="307"/>
      <c r="W332" t="e">
        <f>+'Yeşil Defter'!#REF!</f>
        <v>#REF!</v>
      </c>
      <c r="X332" s="766"/>
    </row>
    <row r="333" spans="1:24" ht="19.95" hidden="1" customHeight="1" x14ac:dyDescent="0.3">
      <c r="A333" s="262">
        <v>4</v>
      </c>
      <c r="C333" s="855">
        <v>310</v>
      </c>
      <c r="D333" s="855" t="s">
        <v>825</v>
      </c>
      <c r="E333" s="1345" t="s">
        <v>1190</v>
      </c>
      <c r="F333" s="1345"/>
      <c r="G333" s="1345"/>
      <c r="H333" s="855" t="s">
        <v>286</v>
      </c>
      <c r="I333" s="856">
        <v>3473939</v>
      </c>
      <c r="J333" s="852">
        <f>+'Yeşil Defter Dönemsel'!I332</f>
        <v>0</v>
      </c>
      <c r="K333" s="852">
        <f>+'Yeşil Defter Dönemsel'!J332</f>
        <v>0</v>
      </c>
      <c r="L333" s="852">
        <f>+'Yeşil Defter Dönemsel'!K332</f>
        <v>0</v>
      </c>
      <c r="M333" s="857">
        <f t="shared" si="57"/>
        <v>0</v>
      </c>
      <c r="N333" s="857">
        <f t="shared" si="58"/>
        <v>0</v>
      </c>
      <c r="O333" s="857">
        <f t="shared" si="59"/>
        <v>0</v>
      </c>
      <c r="P333" s="852">
        <f t="shared" si="61"/>
        <v>0</v>
      </c>
      <c r="Q333" s="854">
        <f t="shared" si="60"/>
        <v>0</v>
      </c>
      <c r="R333" s="854">
        <f t="shared" si="62"/>
        <v>0</v>
      </c>
      <c r="S333" s="843">
        <f t="shared" si="49"/>
        <v>0</v>
      </c>
      <c r="T333" s="843">
        <f t="shared" si="51"/>
        <v>0</v>
      </c>
      <c r="U333" s="843">
        <f t="shared" si="50"/>
        <v>0</v>
      </c>
      <c r="V333" s="307"/>
      <c r="W333" t="e">
        <f>+'Yeşil Defter'!#REF!</f>
        <v>#REF!</v>
      </c>
      <c r="X333" s="766"/>
    </row>
    <row r="334" spans="1:24" ht="19.95" hidden="1" customHeight="1" x14ac:dyDescent="0.3">
      <c r="A334" s="262">
        <v>4</v>
      </c>
      <c r="C334" s="855">
        <v>311</v>
      </c>
      <c r="D334" s="855" t="s">
        <v>826</v>
      </c>
      <c r="E334" s="1345" t="s">
        <v>827</v>
      </c>
      <c r="F334" s="1345"/>
      <c r="G334" s="1345"/>
      <c r="H334" s="855" t="s">
        <v>286</v>
      </c>
      <c r="I334" s="856">
        <v>3666936</v>
      </c>
      <c r="J334" s="852">
        <f>+'Yeşil Defter Dönemsel'!I333</f>
        <v>0</v>
      </c>
      <c r="K334" s="852">
        <f>+'Yeşil Defter Dönemsel'!J333</f>
        <v>0</v>
      </c>
      <c r="L334" s="852">
        <f>+'Yeşil Defter Dönemsel'!K333</f>
        <v>0</v>
      </c>
      <c r="M334" s="857">
        <f t="shared" si="57"/>
        <v>0</v>
      </c>
      <c r="N334" s="857">
        <f t="shared" si="58"/>
        <v>0</v>
      </c>
      <c r="O334" s="857">
        <f t="shared" si="59"/>
        <v>0</v>
      </c>
      <c r="P334" s="852">
        <f t="shared" si="61"/>
        <v>0</v>
      </c>
      <c r="Q334" s="854">
        <f t="shared" si="60"/>
        <v>0</v>
      </c>
      <c r="R334" s="854">
        <f t="shared" si="62"/>
        <v>0</v>
      </c>
      <c r="S334" s="843">
        <f t="shared" si="49"/>
        <v>0</v>
      </c>
      <c r="T334" s="843">
        <f t="shared" si="51"/>
        <v>0</v>
      </c>
      <c r="U334" s="843">
        <f t="shared" si="50"/>
        <v>0</v>
      </c>
      <c r="V334" s="307"/>
      <c r="W334" t="e">
        <f>+'Yeşil Defter'!#REF!</f>
        <v>#REF!</v>
      </c>
      <c r="X334" s="766"/>
    </row>
    <row r="335" spans="1:24" ht="19.95" hidden="1" customHeight="1" x14ac:dyDescent="0.3">
      <c r="A335" s="262">
        <v>4</v>
      </c>
      <c r="C335" s="855">
        <v>312</v>
      </c>
      <c r="D335" s="855" t="s">
        <v>828</v>
      </c>
      <c r="E335" s="1345" t="s">
        <v>829</v>
      </c>
      <c r="F335" s="1345"/>
      <c r="G335" s="1345"/>
      <c r="H335" s="855" t="s">
        <v>286</v>
      </c>
      <c r="I335" s="856">
        <v>2070501</v>
      </c>
      <c r="J335" s="852">
        <f>+'Yeşil Defter Dönemsel'!I334</f>
        <v>0</v>
      </c>
      <c r="K335" s="852">
        <f>+'Yeşil Defter Dönemsel'!J334</f>
        <v>0</v>
      </c>
      <c r="L335" s="852">
        <f>+'Yeşil Defter Dönemsel'!K334</f>
        <v>0</v>
      </c>
      <c r="M335" s="857">
        <f t="shared" si="57"/>
        <v>0</v>
      </c>
      <c r="N335" s="857">
        <f t="shared" si="58"/>
        <v>0</v>
      </c>
      <c r="O335" s="857">
        <f t="shared" si="59"/>
        <v>0</v>
      </c>
      <c r="P335" s="852">
        <f t="shared" si="61"/>
        <v>0</v>
      </c>
      <c r="Q335" s="854">
        <f t="shared" si="60"/>
        <v>0</v>
      </c>
      <c r="R335" s="854">
        <f t="shared" si="62"/>
        <v>0</v>
      </c>
      <c r="S335" s="843">
        <f t="shared" si="49"/>
        <v>0</v>
      </c>
      <c r="T335" s="843">
        <f t="shared" si="51"/>
        <v>0</v>
      </c>
      <c r="U335" s="843">
        <f t="shared" si="50"/>
        <v>0</v>
      </c>
      <c r="V335" s="307"/>
      <c r="W335" t="e">
        <f>+'Yeşil Defter'!#REF!</f>
        <v>#REF!</v>
      </c>
      <c r="X335" s="766"/>
    </row>
    <row r="336" spans="1:24" ht="19.95" hidden="1" customHeight="1" x14ac:dyDescent="0.3">
      <c r="A336" s="262">
        <v>4</v>
      </c>
      <c r="C336" s="855">
        <v>313</v>
      </c>
      <c r="D336" s="855" t="s">
        <v>830</v>
      </c>
      <c r="E336" s="1345" t="s">
        <v>1167</v>
      </c>
      <c r="F336" s="1345"/>
      <c r="G336" s="1345"/>
      <c r="H336" s="855" t="s">
        <v>286</v>
      </c>
      <c r="I336" s="856">
        <v>5740604</v>
      </c>
      <c r="J336" s="852">
        <f>+'Yeşil Defter Dönemsel'!I335</f>
        <v>0</v>
      </c>
      <c r="K336" s="852">
        <f>+'Yeşil Defter Dönemsel'!J335</f>
        <v>0</v>
      </c>
      <c r="L336" s="852">
        <f>+'Yeşil Defter Dönemsel'!K335</f>
        <v>0</v>
      </c>
      <c r="M336" s="857">
        <f t="shared" si="57"/>
        <v>0</v>
      </c>
      <c r="N336" s="857">
        <f t="shared" si="58"/>
        <v>0</v>
      </c>
      <c r="O336" s="857">
        <f t="shared" si="59"/>
        <v>0</v>
      </c>
      <c r="P336" s="852">
        <f t="shared" si="61"/>
        <v>0</v>
      </c>
      <c r="Q336" s="854">
        <f t="shared" si="60"/>
        <v>0</v>
      </c>
      <c r="R336" s="854">
        <f t="shared" si="62"/>
        <v>0</v>
      </c>
      <c r="S336" s="843">
        <f t="shared" ref="S336:S399" si="63">+M336</f>
        <v>0</v>
      </c>
      <c r="T336" s="843">
        <f t="shared" si="51"/>
        <v>0</v>
      </c>
      <c r="U336" s="843">
        <f t="shared" ref="U336:U399" si="64">+O336</f>
        <v>0</v>
      </c>
      <c r="V336" s="307"/>
      <c r="W336" t="e">
        <f>+'Yeşil Defter'!#REF!</f>
        <v>#REF!</v>
      </c>
      <c r="X336" s="766"/>
    </row>
    <row r="337" spans="1:24" ht="19.95" hidden="1" customHeight="1" x14ac:dyDescent="0.3">
      <c r="A337" s="262">
        <v>4</v>
      </c>
      <c r="C337" s="855">
        <v>314</v>
      </c>
      <c r="D337" s="855" t="s">
        <v>831</v>
      </c>
      <c r="E337" s="1345" t="s">
        <v>1175</v>
      </c>
      <c r="F337" s="1345"/>
      <c r="G337" s="1345"/>
      <c r="H337" s="855" t="s">
        <v>286</v>
      </c>
      <c r="I337" s="856">
        <v>6268475</v>
      </c>
      <c r="J337" s="852">
        <f>+'Yeşil Defter Dönemsel'!I336</f>
        <v>0</v>
      </c>
      <c r="K337" s="852">
        <f>+'Yeşil Defter Dönemsel'!J336</f>
        <v>0</v>
      </c>
      <c r="L337" s="852">
        <f>+'Yeşil Defter Dönemsel'!K336</f>
        <v>0</v>
      </c>
      <c r="M337" s="857">
        <f t="shared" si="57"/>
        <v>0</v>
      </c>
      <c r="N337" s="857">
        <f t="shared" si="58"/>
        <v>0</v>
      </c>
      <c r="O337" s="857">
        <f t="shared" si="59"/>
        <v>0</v>
      </c>
      <c r="P337" s="852">
        <f t="shared" si="61"/>
        <v>0</v>
      </c>
      <c r="Q337" s="854">
        <f t="shared" si="60"/>
        <v>0</v>
      </c>
      <c r="R337" s="854">
        <f t="shared" si="62"/>
        <v>0</v>
      </c>
      <c r="S337" s="843">
        <f t="shared" si="63"/>
        <v>0</v>
      </c>
      <c r="T337" s="843">
        <f t="shared" ref="T337:T400" si="65">+U337-S337</f>
        <v>0</v>
      </c>
      <c r="U337" s="843">
        <f t="shared" si="64"/>
        <v>0</v>
      </c>
      <c r="V337" s="307"/>
      <c r="W337" t="e">
        <f>+'Yeşil Defter'!#REF!</f>
        <v>#REF!</v>
      </c>
      <c r="X337" s="766"/>
    </row>
    <row r="338" spans="1:24" ht="19.95" hidden="1" customHeight="1" x14ac:dyDescent="0.3">
      <c r="A338" s="262">
        <v>4</v>
      </c>
      <c r="C338" s="855">
        <v>315</v>
      </c>
      <c r="D338" s="855" t="s">
        <v>832</v>
      </c>
      <c r="E338" s="1345" t="s">
        <v>1183</v>
      </c>
      <c r="F338" s="1345"/>
      <c r="G338" s="1345"/>
      <c r="H338" s="855" t="s">
        <v>286</v>
      </c>
      <c r="I338" s="856">
        <v>6598395</v>
      </c>
      <c r="J338" s="852">
        <f>+'Yeşil Defter Dönemsel'!I337</f>
        <v>0</v>
      </c>
      <c r="K338" s="852">
        <f>+'Yeşil Defter Dönemsel'!J337</f>
        <v>0</v>
      </c>
      <c r="L338" s="852">
        <f>+'Yeşil Defter Dönemsel'!K337</f>
        <v>0</v>
      </c>
      <c r="M338" s="857">
        <f t="shared" si="57"/>
        <v>0</v>
      </c>
      <c r="N338" s="857">
        <f t="shared" si="58"/>
        <v>0</v>
      </c>
      <c r="O338" s="857">
        <f t="shared" si="59"/>
        <v>0</v>
      </c>
      <c r="P338" s="852">
        <f t="shared" si="61"/>
        <v>0</v>
      </c>
      <c r="Q338" s="854">
        <f t="shared" si="60"/>
        <v>0</v>
      </c>
      <c r="R338" s="854">
        <f t="shared" si="62"/>
        <v>0</v>
      </c>
      <c r="S338" s="843">
        <f t="shared" si="63"/>
        <v>0</v>
      </c>
      <c r="T338" s="843">
        <f t="shared" si="65"/>
        <v>0</v>
      </c>
      <c r="U338" s="843">
        <f t="shared" si="64"/>
        <v>0</v>
      </c>
      <c r="V338" s="307"/>
      <c r="W338" t="e">
        <f>+'Yeşil Defter'!#REF!</f>
        <v>#REF!</v>
      </c>
      <c r="X338" s="766"/>
    </row>
    <row r="339" spans="1:24" ht="19.95" hidden="1" customHeight="1" x14ac:dyDescent="0.3">
      <c r="A339" s="262">
        <v>4</v>
      </c>
      <c r="C339" s="855">
        <v>316</v>
      </c>
      <c r="D339" s="855" t="s">
        <v>833</v>
      </c>
      <c r="E339" s="1345" t="s">
        <v>1191</v>
      </c>
      <c r="F339" s="1345"/>
      <c r="G339" s="1345"/>
      <c r="H339" s="855" t="s">
        <v>286</v>
      </c>
      <c r="I339" s="856">
        <v>5938556</v>
      </c>
      <c r="J339" s="852">
        <f>+'Yeşil Defter Dönemsel'!I338</f>
        <v>0</v>
      </c>
      <c r="K339" s="852">
        <f>+'Yeşil Defter Dönemsel'!J338</f>
        <v>0</v>
      </c>
      <c r="L339" s="852">
        <f>+'Yeşil Defter Dönemsel'!K338</f>
        <v>0</v>
      </c>
      <c r="M339" s="857">
        <f t="shared" si="57"/>
        <v>0</v>
      </c>
      <c r="N339" s="857">
        <f t="shared" si="58"/>
        <v>0</v>
      </c>
      <c r="O339" s="857">
        <f t="shared" si="59"/>
        <v>0</v>
      </c>
      <c r="P339" s="852">
        <f t="shared" si="61"/>
        <v>0</v>
      </c>
      <c r="Q339" s="854">
        <f t="shared" si="60"/>
        <v>0</v>
      </c>
      <c r="R339" s="854">
        <f t="shared" si="62"/>
        <v>0</v>
      </c>
      <c r="S339" s="843">
        <f t="shared" si="63"/>
        <v>0</v>
      </c>
      <c r="T339" s="843">
        <f t="shared" si="65"/>
        <v>0</v>
      </c>
      <c r="U339" s="843">
        <f t="shared" si="64"/>
        <v>0</v>
      </c>
      <c r="V339" s="307"/>
      <c r="W339" t="e">
        <f>+'Yeşil Defter'!#REF!</f>
        <v>#REF!</v>
      </c>
      <c r="X339" s="766"/>
    </row>
    <row r="340" spans="1:24" ht="19.95" hidden="1" customHeight="1" x14ac:dyDescent="0.3">
      <c r="A340" s="262">
        <v>4</v>
      </c>
      <c r="C340" s="855">
        <v>317</v>
      </c>
      <c r="D340" s="855" t="s">
        <v>834</v>
      </c>
      <c r="E340" s="1345" t="s">
        <v>835</v>
      </c>
      <c r="F340" s="1345"/>
      <c r="G340" s="1345"/>
      <c r="H340" s="855" t="s">
        <v>286</v>
      </c>
      <c r="I340" s="856">
        <v>6268475</v>
      </c>
      <c r="J340" s="852">
        <f>+'Yeşil Defter Dönemsel'!I339</f>
        <v>0</v>
      </c>
      <c r="K340" s="852">
        <f>+'Yeşil Defter Dönemsel'!J339</f>
        <v>0</v>
      </c>
      <c r="L340" s="852">
        <f>+'Yeşil Defter Dönemsel'!K339</f>
        <v>0</v>
      </c>
      <c r="M340" s="857">
        <f t="shared" si="57"/>
        <v>0</v>
      </c>
      <c r="N340" s="857">
        <f t="shared" si="58"/>
        <v>0</v>
      </c>
      <c r="O340" s="857">
        <f t="shared" si="59"/>
        <v>0</v>
      </c>
      <c r="P340" s="852">
        <f t="shared" si="61"/>
        <v>0</v>
      </c>
      <c r="Q340" s="854">
        <f t="shared" si="60"/>
        <v>0</v>
      </c>
      <c r="R340" s="854">
        <f t="shared" si="62"/>
        <v>0</v>
      </c>
      <c r="S340" s="843">
        <f t="shared" si="63"/>
        <v>0</v>
      </c>
      <c r="T340" s="843">
        <f t="shared" si="65"/>
        <v>0</v>
      </c>
      <c r="U340" s="843">
        <f t="shared" si="64"/>
        <v>0</v>
      </c>
      <c r="V340" s="307"/>
      <c r="W340" t="e">
        <f>+'Yeşil Defter'!#REF!</f>
        <v>#REF!</v>
      </c>
      <c r="X340" s="766"/>
    </row>
    <row r="341" spans="1:24" ht="19.95" hidden="1" customHeight="1" x14ac:dyDescent="0.3">
      <c r="A341" s="262">
        <v>4</v>
      </c>
      <c r="C341" s="855">
        <v>318</v>
      </c>
      <c r="D341" s="855" t="s">
        <v>836</v>
      </c>
      <c r="E341" s="1345" t="s">
        <v>837</v>
      </c>
      <c r="F341" s="1345"/>
      <c r="G341" s="1345"/>
      <c r="H341" s="855" t="s">
        <v>286</v>
      </c>
      <c r="I341" s="856">
        <v>21648954</v>
      </c>
      <c r="J341" s="852">
        <f>+'Yeşil Defter Dönemsel'!I340</f>
        <v>0</v>
      </c>
      <c r="K341" s="852">
        <f>+'Yeşil Defter Dönemsel'!J340</f>
        <v>0</v>
      </c>
      <c r="L341" s="852">
        <f>+'Yeşil Defter Dönemsel'!K340</f>
        <v>0</v>
      </c>
      <c r="M341" s="857">
        <f t="shared" si="57"/>
        <v>0</v>
      </c>
      <c r="N341" s="857">
        <f t="shared" si="58"/>
        <v>0</v>
      </c>
      <c r="O341" s="857">
        <f t="shared" si="59"/>
        <v>0</v>
      </c>
      <c r="P341" s="852">
        <f t="shared" si="61"/>
        <v>0</v>
      </c>
      <c r="Q341" s="854">
        <f t="shared" si="60"/>
        <v>0</v>
      </c>
      <c r="R341" s="854">
        <f t="shared" si="62"/>
        <v>0</v>
      </c>
      <c r="S341" s="843">
        <f t="shared" si="63"/>
        <v>0</v>
      </c>
      <c r="T341" s="843">
        <f t="shared" si="65"/>
        <v>0</v>
      </c>
      <c r="U341" s="843">
        <f t="shared" si="64"/>
        <v>0</v>
      </c>
      <c r="V341" s="307"/>
      <c r="W341" t="e">
        <f>+'Yeşil Defter'!#REF!</f>
        <v>#REF!</v>
      </c>
      <c r="X341" s="766"/>
    </row>
    <row r="342" spans="1:24" ht="19.95" hidden="1" customHeight="1" x14ac:dyDescent="0.3">
      <c r="A342" s="262">
        <v>4</v>
      </c>
      <c r="C342" s="855">
        <v>319</v>
      </c>
      <c r="D342" s="855" t="s">
        <v>838</v>
      </c>
      <c r="E342" s="1345" t="s">
        <v>1168</v>
      </c>
      <c r="F342" s="1345"/>
      <c r="G342" s="1345"/>
      <c r="H342" s="855" t="s">
        <v>286</v>
      </c>
      <c r="I342" s="856">
        <v>518000</v>
      </c>
      <c r="J342" s="852">
        <f>+'Yeşil Defter Dönemsel'!I341</f>
        <v>0</v>
      </c>
      <c r="K342" s="852">
        <f>+'Yeşil Defter Dönemsel'!J341</f>
        <v>0</v>
      </c>
      <c r="L342" s="852">
        <f>+'Yeşil Defter Dönemsel'!K341</f>
        <v>0</v>
      </c>
      <c r="M342" s="857">
        <f t="shared" si="57"/>
        <v>0</v>
      </c>
      <c r="N342" s="857">
        <f t="shared" si="58"/>
        <v>0</v>
      </c>
      <c r="O342" s="857">
        <f t="shared" si="59"/>
        <v>0</v>
      </c>
      <c r="P342" s="852">
        <f t="shared" si="61"/>
        <v>0</v>
      </c>
      <c r="Q342" s="854">
        <f t="shared" si="60"/>
        <v>0</v>
      </c>
      <c r="R342" s="854">
        <f t="shared" si="62"/>
        <v>0</v>
      </c>
      <c r="S342" s="843">
        <f t="shared" si="63"/>
        <v>0</v>
      </c>
      <c r="T342" s="843">
        <f t="shared" si="65"/>
        <v>0</v>
      </c>
      <c r="U342" s="843">
        <f t="shared" si="64"/>
        <v>0</v>
      </c>
      <c r="V342" s="307"/>
      <c r="W342" t="e">
        <f>+'Yeşil Defter'!#REF!</f>
        <v>#REF!</v>
      </c>
      <c r="X342" s="766"/>
    </row>
    <row r="343" spans="1:24" ht="19.95" hidden="1" customHeight="1" x14ac:dyDescent="0.3">
      <c r="A343" s="262">
        <v>4</v>
      </c>
      <c r="C343" s="855">
        <v>320</v>
      </c>
      <c r="D343" s="855" t="s">
        <v>839</v>
      </c>
      <c r="E343" s="1345" t="s">
        <v>1176</v>
      </c>
      <c r="F343" s="1345"/>
      <c r="G343" s="1345"/>
      <c r="H343" s="855" t="s">
        <v>286</v>
      </c>
      <c r="I343" s="856">
        <v>518000</v>
      </c>
      <c r="J343" s="852">
        <f>+'Yeşil Defter Dönemsel'!I342</f>
        <v>0</v>
      </c>
      <c r="K343" s="852">
        <f>+'Yeşil Defter Dönemsel'!J342</f>
        <v>0</v>
      </c>
      <c r="L343" s="852">
        <f>+'Yeşil Defter Dönemsel'!K342</f>
        <v>0</v>
      </c>
      <c r="M343" s="857">
        <f t="shared" si="57"/>
        <v>0</v>
      </c>
      <c r="N343" s="857">
        <f t="shared" si="58"/>
        <v>0</v>
      </c>
      <c r="O343" s="857">
        <f t="shared" si="59"/>
        <v>0</v>
      </c>
      <c r="P343" s="852">
        <f t="shared" si="61"/>
        <v>0</v>
      </c>
      <c r="Q343" s="854">
        <f t="shared" si="60"/>
        <v>0</v>
      </c>
      <c r="R343" s="854">
        <f t="shared" si="62"/>
        <v>0</v>
      </c>
      <c r="S343" s="843">
        <f t="shared" si="63"/>
        <v>0</v>
      </c>
      <c r="T343" s="843">
        <f t="shared" si="65"/>
        <v>0</v>
      </c>
      <c r="U343" s="843">
        <f t="shared" si="64"/>
        <v>0</v>
      </c>
      <c r="V343" s="307"/>
      <c r="W343" t="e">
        <f>+'Yeşil Defter'!#REF!</f>
        <v>#REF!</v>
      </c>
      <c r="X343" s="766"/>
    </row>
    <row r="344" spans="1:24" ht="19.95" hidden="1" customHeight="1" x14ac:dyDescent="0.3">
      <c r="A344" s="262">
        <v>4</v>
      </c>
      <c r="C344" s="855">
        <v>321</v>
      </c>
      <c r="D344" s="855" t="s">
        <v>840</v>
      </c>
      <c r="E344" s="1345" t="s">
        <v>1184</v>
      </c>
      <c r="F344" s="1345"/>
      <c r="G344" s="1345"/>
      <c r="H344" s="855" t="s">
        <v>286</v>
      </c>
      <c r="I344" s="856">
        <v>518000</v>
      </c>
      <c r="J344" s="852">
        <f>+'Yeşil Defter Dönemsel'!I343</f>
        <v>0</v>
      </c>
      <c r="K344" s="852">
        <f>+'Yeşil Defter Dönemsel'!J343</f>
        <v>0</v>
      </c>
      <c r="L344" s="852">
        <f>+'Yeşil Defter Dönemsel'!K343</f>
        <v>0</v>
      </c>
      <c r="M344" s="857">
        <f t="shared" si="57"/>
        <v>0</v>
      </c>
      <c r="N344" s="857">
        <f t="shared" si="58"/>
        <v>0</v>
      </c>
      <c r="O344" s="857">
        <f t="shared" si="59"/>
        <v>0</v>
      </c>
      <c r="P344" s="852">
        <f t="shared" si="61"/>
        <v>0</v>
      </c>
      <c r="Q344" s="854">
        <f t="shared" si="60"/>
        <v>0</v>
      </c>
      <c r="R344" s="854">
        <f t="shared" si="62"/>
        <v>0</v>
      </c>
      <c r="S344" s="843">
        <f t="shared" si="63"/>
        <v>0</v>
      </c>
      <c r="T344" s="843">
        <f t="shared" si="65"/>
        <v>0</v>
      </c>
      <c r="U344" s="843">
        <f t="shared" si="64"/>
        <v>0</v>
      </c>
      <c r="V344" s="307"/>
      <c r="W344" t="e">
        <f>+'Yeşil Defter'!#REF!</f>
        <v>#REF!</v>
      </c>
      <c r="X344" s="766"/>
    </row>
    <row r="345" spans="1:24" ht="19.95" hidden="1" customHeight="1" x14ac:dyDescent="0.3">
      <c r="A345" s="262">
        <v>4</v>
      </c>
      <c r="C345" s="855">
        <v>322</v>
      </c>
      <c r="D345" s="855" t="s">
        <v>841</v>
      </c>
      <c r="E345" s="1345" t="s">
        <v>1192</v>
      </c>
      <c r="F345" s="1345"/>
      <c r="G345" s="1345"/>
      <c r="H345" s="855" t="s">
        <v>286</v>
      </c>
      <c r="I345" s="856">
        <v>518000</v>
      </c>
      <c r="J345" s="852">
        <f>+'Yeşil Defter Dönemsel'!I344</f>
        <v>0</v>
      </c>
      <c r="K345" s="852">
        <f>+'Yeşil Defter Dönemsel'!J344</f>
        <v>0</v>
      </c>
      <c r="L345" s="852">
        <f>+'Yeşil Defter Dönemsel'!K344</f>
        <v>0</v>
      </c>
      <c r="M345" s="857">
        <f t="shared" si="57"/>
        <v>0</v>
      </c>
      <c r="N345" s="857">
        <f t="shared" si="58"/>
        <v>0</v>
      </c>
      <c r="O345" s="857">
        <f t="shared" si="59"/>
        <v>0</v>
      </c>
      <c r="P345" s="852">
        <f t="shared" si="61"/>
        <v>0</v>
      </c>
      <c r="Q345" s="854">
        <f t="shared" si="60"/>
        <v>0</v>
      </c>
      <c r="R345" s="854">
        <f t="shared" si="62"/>
        <v>0</v>
      </c>
      <c r="S345" s="843">
        <f t="shared" si="63"/>
        <v>0</v>
      </c>
      <c r="T345" s="843">
        <f t="shared" si="65"/>
        <v>0</v>
      </c>
      <c r="U345" s="843">
        <f t="shared" si="64"/>
        <v>0</v>
      </c>
      <c r="V345" s="307"/>
      <c r="W345" t="e">
        <f>+'Yeşil Defter'!#REF!</f>
        <v>#REF!</v>
      </c>
      <c r="X345" s="766"/>
    </row>
    <row r="346" spans="1:24" ht="19.95" hidden="1" customHeight="1" x14ac:dyDescent="0.3">
      <c r="A346" s="262">
        <v>4</v>
      </c>
      <c r="C346" s="855">
        <v>323</v>
      </c>
      <c r="D346" s="855" t="s">
        <v>842</v>
      </c>
      <c r="E346" s="1345" t="s">
        <v>843</v>
      </c>
      <c r="F346" s="1345"/>
      <c r="G346" s="1345"/>
      <c r="H346" s="855" t="s">
        <v>286</v>
      </c>
      <c r="I346" s="856">
        <v>518000</v>
      </c>
      <c r="J346" s="852">
        <f>+'Yeşil Defter Dönemsel'!I345</f>
        <v>0</v>
      </c>
      <c r="K346" s="852">
        <f>+'Yeşil Defter Dönemsel'!J345</f>
        <v>0</v>
      </c>
      <c r="L346" s="852">
        <f>+'Yeşil Defter Dönemsel'!K345</f>
        <v>0</v>
      </c>
      <c r="M346" s="857">
        <f t="shared" si="57"/>
        <v>0</v>
      </c>
      <c r="N346" s="857">
        <f t="shared" si="58"/>
        <v>0</v>
      </c>
      <c r="O346" s="857">
        <f t="shared" si="59"/>
        <v>0</v>
      </c>
      <c r="P346" s="852">
        <f t="shared" si="61"/>
        <v>0</v>
      </c>
      <c r="Q346" s="854">
        <f t="shared" si="60"/>
        <v>0</v>
      </c>
      <c r="R346" s="854">
        <f t="shared" si="62"/>
        <v>0</v>
      </c>
      <c r="S346" s="843">
        <f t="shared" si="63"/>
        <v>0</v>
      </c>
      <c r="T346" s="843">
        <f t="shared" si="65"/>
        <v>0</v>
      </c>
      <c r="U346" s="843">
        <f t="shared" si="64"/>
        <v>0</v>
      </c>
      <c r="V346" s="307"/>
      <c r="W346" t="e">
        <f>+'Yeşil Defter'!#REF!</f>
        <v>#REF!</v>
      </c>
      <c r="X346" s="766"/>
    </row>
    <row r="347" spans="1:24" ht="19.95" hidden="1" customHeight="1" x14ac:dyDescent="0.3">
      <c r="A347" s="262">
        <v>4</v>
      </c>
      <c r="C347" s="855">
        <v>324</v>
      </c>
      <c r="D347" s="855" t="s">
        <v>844</v>
      </c>
      <c r="E347" s="1345" t="s">
        <v>845</v>
      </c>
      <c r="F347" s="1345"/>
      <c r="G347" s="1345"/>
      <c r="H347" s="855" t="s">
        <v>286</v>
      </c>
      <c r="I347" s="856">
        <v>971250</v>
      </c>
      <c r="J347" s="852">
        <f>+'Yeşil Defter Dönemsel'!I346</f>
        <v>0</v>
      </c>
      <c r="K347" s="852">
        <f>+'Yeşil Defter Dönemsel'!J346</f>
        <v>0</v>
      </c>
      <c r="L347" s="852">
        <f>+'Yeşil Defter Dönemsel'!K346</f>
        <v>0</v>
      </c>
      <c r="M347" s="857">
        <f t="shared" si="57"/>
        <v>0</v>
      </c>
      <c r="N347" s="857">
        <f t="shared" si="58"/>
        <v>0</v>
      </c>
      <c r="O347" s="857">
        <f t="shared" si="59"/>
        <v>0</v>
      </c>
      <c r="P347" s="852">
        <f t="shared" si="61"/>
        <v>0</v>
      </c>
      <c r="Q347" s="854">
        <f t="shared" si="60"/>
        <v>0</v>
      </c>
      <c r="R347" s="854">
        <f t="shared" si="62"/>
        <v>0</v>
      </c>
      <c r="S347" s="843">
        <f t="shared" si="63"/>
        <v>0</v>
      </c>
      <c r="T347" s="843">
        <f t="shared" si="65"/>
        <v>0</v>
      </c>
      <c r="U347" s="843">
        <f t="shared" si="64"/>
        <v>0</v>
      </c>
      <c r="V347" s="307"/>
      <c r="W347" t="e">
        <f>+'Yeşil Defter'!#REF!</f>
        <v>#REF!</v>
      </c>
      <c r="X347" s="766"/>
    </row>
    <row r="348" spans="1:24" ht="19.95" hidden="1" customHeight="1" x14ac:dyDescent="0.3">
      <c r="A348" s="262">
        <v>4</v>
      </c>
      <c r="C348" s="855">
        <v>325</v>
      </c>
      <c r="D348" s="855" t="s">
        <v>846</v>
      </c>
      <c r="E348" s="1345" t="s">
        <v>1169</v>
      </c>
      <c r="F348" s="1345"/>
      <c r="G348" s="1345"/>
      <c r="H348" s="855" t="s">
        <v>286</v>
      </c>
      <c r="I348" s="856">
        <v>3586388</v>
      </c>
      <c r="J348" s="852">
        <f>+'Yeşil Defter Dönemsel'!I347</f>
        <v>0</v>
      </c>
      <c r="K348" s="852">
        <f>+'Yeşil Defter Dönemsel'!J347</f>
        <v>0</v>
      </c>
      <c r="L348" s="852">
        <f>+'Yeşil Defter Dönemsel'!K347</f>
        <v>0</v>
      </c>
      <c r="M348" s="857">
        <f t="shared" si="57"/>
        <v>0</v>
      </c>
      <c r="N348" s="857">
        <f t="shared" si="58"/>
        <v>0</v>
      </c>
      <c r="O348" s="857">
        <f t="shared" si="59"/>
        <v>0</v>
      </c>
      <c r="P348" s="852">
        <f t="shared" si="61"/>
        <v>0</v>
      </c>
      <c r="Q348" s="854">
        <f t="shared" si="60"/>
        <v>0</v>
      </c>
      <c r="R348" s="854">
        <f t="shared" si="62"/>
        <v>0</v>
      </c>
      <c r="S348" s="843">
        <f t="shared" si="63"/>
        <v>0</v>
      </c>
      <c r="T348" s="843">
        <f t="shared" si="65"/>
        <v>0</v>
      </c>
      <c r="U348" s="843">
        <f t="shared" si="64"/>
        <v>0</v>
      </c>
      <c r="V348" s="307"/>
      <c r="W348" t="e">
        <f>+'Yeşil Defter'!#REF!</f>
        <v>#REF!</v>
      </c>
      <c r="X348" s="766"/>
    </row>
    <row r="349" spans="1:24" ht="19.95" hidden="1" customHeight="1" x14ac:dyDescent="0.3">
      <c r="A349" s="262">
        <v>4</v>
      </c>
      <c r="C349" s="855">
        <v>326</v>
      </c>
      <c r="D349" s="855" t="s">
        <v>847</v>
      </c>
      <c r="E349" s="1345" t="s">
        <v>1177</v>
      </c>
      <c r="F349" s="1345"/>
      <c r="G349" s="1345"/>
      <c r="H349" s="855" t="s">
        <v>286</v>
      </c>
      <c r="I349" s="856">
        <v>3916171</v>
      </c>
      <c r="J349" s="852">
        <f>+'Yeşil Defter Dönemsel'!I348</f>
        <v>0</v>
      </c>
      <c r="K349" s="852">
        <f>+'Yeşil Defter Dönemsel'!J348</f>
        <v>0</v>
      </c>
      <c r="L349" s="852">
        <f>+'Yeşil Defter Dönemsel'!K348</f>
        <v>0</v>
      </c>
      <c r="M349" s="857">
        <f t="shared" si="57"/>
        <v>0</v>
      </c>
      <c r="N349" s="857">
        <f t="shared" si="58"/>
        <v>0</v>
      </c>
      <c r="O349" s="857">
        <f t="shared" si="59"/>
        <v>0</v>
      </c>
      <c r="P349" s="852">
        <f t="shared" si="61"/>
        <v>0</v>
      </c>
      <c r="Q349" s="854">
        <f t="shared" si="60"/>
        <v>0</v>
      </c>
      <c r="R349" s="854">
        <f t="shared" si="62"/>
        <v>0</v>
      </c>
      <c r="S349" s="843">
        <f t="shared" si="63"/>
        <v>0</v>
      </c>
      <c r="T349" s="843">
        <f t="shared" si="65"/>
        <v>0</v>
      </c>
      <c r="U349" s="843">
        <f t="shared" si="64"/>
        <v>0</v>
      </c>
      <c r="V349" s="307"/>
      <c r="W349" t="e">
        <f>+'Yeşil Defter'!#REF!</f>
        <v>#REF!</v>
      </c>
      <c r="X349" s="766"/>
    </row>
    <row r="350" spans="1:24" ht="19.95" hidden="1" customHeight="1" x14ac:dyDescent="0.3">
      <c r="A350" s="262">
        <v>4</v>
      </c>
      <c r="C350" s="855">
        <v>327</v>
      </c>
      <c r="D350" s="855" t="s">
        <v>848</v>
      </c>
      <c r="E350" s="1345" t="s">
        <v>1185</v>
      </c>
      <c r="F350" s="1345"/>
      <c r="G350" s="1345"/>
      <c r="H350" s="855" t="s">
        <v>286</v>
      </c>
      <c r="I350" s="856">
        <v>4122285</v>
      </c>
      <c r="J350" s="852">
        <f>+'Yeşil Defter Dönemsel'!I349</f>
        <v>0</v>
      </c>
      <c r="K350" s="852">
        <f>+'Yeşil Defter Dönemsel'!J349</f>
        <v>0</v>
      </c>
      <c r="L350" s="852">
        <f>+'Yeşil Defter Dönemsel'!K349</f>
        <v>0</v>
      </c>
      <c r="M350" s="857">
        <f t="shared" si="57"/>
        <v>0</v>
      </c>
      <c r="N350" s="857">
        <f t="shared" si="58"/>
        <v>0</v>
      </c>
      <c r="O350" s="857">
        <f t="shared" si="59"/>
        <v>0</v>
      </c>
      <c r="P350" s="852">
        <f t="shared" si="61"/>
        <v>0</v>
      </c>
      <c r="Q350" s="854">
        <f t="shared" si="60"/>
        <v>0</v>
      </c>
      <c r="R350" s="854">
        <f t="shared" si="62"/>
        <v>0</v>
      </c>
      <c r="S350" s="843">
        <f t="shared" si="63"/>
        <v>0</v>
      </c>
      <c r="T350" s="843">
        <f t="shared" si="65"/>
        <v>0</v>
      </c>
      <c r="U350" s="843">
        <f t="shared" si="64"/>
        <v>0</v>
      </c>
      <c r="V350" s="307"/>
      <c r="W350" t="e">
        <f>+'Yeşil Defter'!#REF!</f>
        <v>#REF!</v>
      </c>
      <c r="X350" s="766"/>
    </row>
    <row r="351" spans="1:24" ht="19.95" hidden="1" customHeight="1" x14ac:dyDescent="0.3">
      <c r="A351" s="262">
        <v>4</v>
      </c>
      <c r="C351" s="855">
        <v>328</v>
      </c>
      <c r="D351" s="855" t="s">
        <v>849</v>
      </c>
      <c r="E351" s="1345" t="s">
        <v>1193</v>
      </c>
      <c r="F351" s="1345"/>
      <c r="G351" s="1345"/>
      <c r="H351" s="855" t="s">
        <v>286</v>
      </c>
      <c r="I351" s="856">
        <v>3710056</v>
      </c>
      <c r="J351" s="852">
        <f>+'Yeşil Defter Dönemsel'!I350</f>
        <v>0</v>
      </c>
      <c r="K351" s="852">
        <f>+'Yeşil Defter Dönemsel'!J350</f>
        <v>0</v>
      </c>
      <c r="L351" s="852">
        <f>+'Yeşil Defter Dönemsel'!K350</f>
        <v>0</v>
      </c>
      <c r="M351" s="857">
        <f t="shared" si="57"/>
        <v>0</v>
      </c>
      <c r="N351" s="857">
        <f t="shared" si="58"/>
        <v>0</v>
      </c>
      <c r="O351" s="857">
        <f t="shared" si="59"/>
        <v>0</v>
      </c>
      <c r="P351" s="852">
        <f t="shared" si="61"/>
        <v>0</v>
      </c>
      <c r="Q351" s="854">
        <f t="shared" si="60"/>
        <v>0</v>
      </c>
      <c r="R351" s="854">
        <f t="shared" si="62"/>
        <v>0</v>
      </c>
      <c r="S351" s="843">
        <f t="shared" si="63"/>
        <v>0</v>
      </c>
      <c r="T351" s="843">
        <f t="shared" si="65"/>
        <v>0</v>
      </c>
      <c r="U351" s="843">
        <f t="shared" si="64"/>
        <v>0</v>
      </c>
      <c r="V351" s="307"/>
      <c r="W351" t="e">
        <f>+'Yeşil Defter'!#REF!</f>
        <v>#REF!</v>
      </c>
      <c r="X351" s="766"/>
    </row>
    <row r="352" spans="1:24" ht="19.95" hidden="1" customHeight="1" x14ac:dyDescent="0.3">
      <c r="A352" s="262">
        <v>4</v>
      </c>
      <c r="C352" s="855">
        <v>329</v>
      </c>
      <c r="D352" s="855" t="s">
        <v>850</v>
      </c>
      <c r="E352" s="1345" t="s">
        <v>851</v>
      </c>
      <c r="F352" s="1345"/>
      <c r="G352" s="1345"/>
      <c r="H352" s="855" t="s">
        <v>286</v>
      </c>
      <c r="I352" s="856">
        <v>3916171</v>
      </c>
      <c r="J352" s="852">
        <f>+'Yeşil Defter Dönemsel'!I351</f>
        <v>0</v>
      </c>
      <c r="K352" s="852">
        <f>+'Yeşil Defter Dönemsel'!J351</f>
        <v>0</v>
      </c>
      <c r="L352" s="852">
        <f>+'Yeşil Defter Dönemsel'!K351</f>
        <v>0</v>
      </c>
      <c r="M352" s="857">
        <f t="shared" si="57"/>
        <v>0</v>
      </c>
      <c r="N352" s="857">
        <f t="shared" si="58"/>
        <v>0</v>
      </c>
      <c r="O352" s="857">
        <f t="shared" si="59"/>
        <v>0</v>
      </c>
      <c r="P352" s="852">
        <f t="shared" si="61"/>
        <v>0</v>
      </c>
      <c r="Q352" s="854">
        <f t="shared" si="60"/>
        <v>0</v>
      </c>
      <c r="R352" s="854">
        <f t="shared" si="62"/>
        <v>0</v>
      </c>
      <c r="S352" s="843">
        <f t="shared" si="63"/>
        <v>0</v>
      </c>
      <c r="T352" s="843">
        <f t="shared" si="65"/>
        <v>0</v>
      </c>
      <c r="U352" s="843">
        <f t="shared" si="64"/>
        <v>0</v>
      </c>
      <c r="V352" s="307"/>
      <c r="W352" t="e">
        <f>+'Yeşil Defter'!#REF!</f>
        <v>#REF!</v>
      </c>
      <c r="X352" s="766"/>
    </row>
    <row r="353" spans="1:24" ht="19.95" hidden="1" customHeight="1" x14ac:dyDescent="0.3">
      <c r="A353" s="262">
        <v>4</v>
      </c>
      <c r="C353" s="855">
        <v>330</v>
      </c>
      <c r="D353" s="855" t="s">
        <v>852</v>
      </c>
      <c r="E353" s="1345" t="s">
        <v>853</v>
      </c>
      <c r="F353" s="1345"/>
      <c r="G353" s="1345"/>
      <c r="H353" s="855" t="s">
        <v>286</v>
      </c>
      <c r="I353" s="856">
        <v>1860887</v>
      </c>
      <c r="J353" s="852">
        <f>+'Yeşil Defter Dönemsel'!I352</f>
        <v>0</v>
      </c>
      <c r="K353" s="852">
        <f>+'Yeşil Defter Dönemsel'!J352</f>
        <v>0</v>
      </c>
      <c r="L353" s="852">
        <f>+'Yeşil Defter Dönemsel'!K352</f>
        <v>0</v>
      </c>
      <c r="M353" s="857">
        <f t="shared" si="57"/>
        <v>0</v>
      </c>
      <c r="N353" s="857">
        <f t="shared" si="58"/>
        <v>0</v>
      </c>
      <c r="O353" s="857">
        <f t="shared" si="59"/>
        <v>0</v>
      </c>
      <c r="P353" s="852">
        <f t="shared" si="61"/>
        <v>0</v>
      </c>
      <c r="Q353" s="854">
        <f t="shared" si="60"/>
        <v>0</v>
      </c>
      <c r="R353" s="854">
        <f t="shared" si="62"/>
        <v>0</v>
      </c>
      <c r="S353" s="843">
        <f t="shared" si="63"/>
        <v>0</v>
      </c>
      <c r="T353" s="843">
        <f t="shared" si="65"/>
        <v>0</v>
      </c>
      <c r="U353" s="843">
        <f t="shared" si="64"/>
        <v>0</v>
      </c>
      <c r="V353" s="307"/>
      <c r="W353" t="e">
        <f>+'Yeşil Defter'!#REF!</f>
        <v>#REF!</v>
      </c>
      <c r="X353" s="766"/>
    </row>
    <row r="354" spans="1:24" ht="19.95" hidden="1" customHeight="1" x14ac:dyDescent="0.3">
      <c r="A354" s="262">
        <v>4</v>
      </c>
      <c r="C354" s="855">
        <v>331</v>
      </c>
      <c r="D354" s="855" t="s">
        <v>854</v>
      </c>
      <c r="E354" s="1345" t="s">
        <v>1170</v>
      </c>
      <c r="F354" s="1345"/>
      <c r="G354" s="1345"/>
      <c r="H354" s="855" t="s">
        <v>286</v>
      </c>
      <c r="I354" s="856">
        <v>929625</v>
      </c>
      <c r="J354" s="852">
        <f>+'Yeşil Defter Dönemsel'!I353</f>
        <v>0</v>
      </c>
      <c r="K354" s="852">
        <f>+'Yeşil Defter Dönemsel'!J353</f>
        <v>0</v>
      </c>
      <c r="L354" s="852">
        <f>+'Yeşil Defter Dönemsel'!K353</f>
        <v>0</v>
      </c>
      <c r="M354" s="857">
        <f t="shared" si="57"/>
        <v>0</v>
      </c>
      <c r="N354" s="857">
        <f t="shared" si="58"/>
        <v>0</v>
      </c>
      <c r="O354" s="857">
        <f t="shared" si="59"/>
        <v>0</v>
      </c>
      <c r="P354" s="852">
        <f t="shared" si="61"/>
        <v>0</v>
      </c>
      <c r="Q354" s="854">
        <f t="shared" si="60"/>
        <v>0</v>
      </c>
      <c r="R354" s="854">
        <f t="shared" si="62"/>
        <v>0</v>
      </c>
      <c r="S354" s="843">
        <f t="shared" si="63"/>
        <v>0</v>
      </c>
      <c r="T354" s="843">
        <f t="shared" si="65"/>
        <v>0</v>
      </c>
      <c r="U354" s="843">
        <f t="shared" si="64"/>
        <v>0</v>
      </c>
      <c r="V354" s="307"/>
      <c r="W354" t="e">
        <f>+'Yeşil Defter'!#REF!</f>
        <v>#REF!</v>
      </c>
      <c r="X354" s="766"/>
    </row>
    <row r="355" spans="1:24" ht="19.95" hidden="1" customHeight="1" x14ac:dyDescent="0.3">
      <c r="A355" s="262">
        <v>4</v>
      </c>
      <c r="C355" s="855">
        <v>332</v>
      </c>
      <c r="D355" s="855" t="s">
        <v>855</v>
      </c>
      <c r="E355" s="1345" t="s">
        <v>1178</v>
      </c>
      <c r="F355" s="1345"/>
      <c r="G355" s="1345"/>
      <c r="H355" s="855" t="s">
        <v>286</v>
      </c>
      <c r="I355" s="856">
        <v>929625</v>
      </c>
      <c r="J355" s="852">
        <f>+'Yeşil Defter Dönemsel'!I354</f>
        <v>0</v>
      </c>
      <c r="K355" s="852">
        <f>+'Yeşil Defter Dönemsel'!J354</f>
        <v>0</v>
      </c>
      <c r="L355" s="852">
        <f>+'Yeşil Defter Dönemsel'!K354</f>
        <v>0</v>
      </c>
      <c r="M355" s="857">
        <f t="shared" si="57"/>
        <v>0</v>
      </c>
      <c r="N355" s="857">
        <f t="shared" si="58"/>
        <v>0</v>
      </c>
      <c r="O355" s="857">
        <f t="shared" si="59"/>
        <v>0</v>
      </c>
      <c r="P355" s="852">
        <f t="shared" si="61"/>
        <v>0</v>
      </c>
      <c r="Q355" s="854">
        <f t="shared" si="60"/>
        <v>0</v>
      </c>
      <c r="R355" s="854">
        <f t="shared" si="62"/>
        <v>0</v>
      </c>
      <c r="S355" s="843">
        <f t="shared" si="63"/>
        <v>0</v>
      </c>
      <c r="T355" s="843">
        <f t="shared" si="65"/>
        <v>0</v>
      </c>
      <c r="U355" s="843">
        <f t="shared" si="64"/>
        <v>0</v>
      </c>
      <c r="V355" s="307"/>
      <c r="W355" t="e">
        <f>+'Yeşil Defter'!#REF!</f>
        <v>#REF!</v>
      </c>
      <c r="X355" s="766"/>
    </row>
    <row r="356" spans="1:24" ht="19.95" hidden="1" customHeight="1" x14ac:dyDescent="0.3">
      <c r="A356" s="262">
        <v>4</v>
      </c>
      <c r="C356" s="855">
        <v>333</v>
      </c>
      <c r="D356" s="855" t="s">
        <v>856</v>
      </c>
      <c r="E356" s="1345" t="s">
        <v>1186</v>
      </c>
      <c r="F356" s="1345"/>
      <c r="G356" s="1345"/>
      <c r="H356" s="855" t="s">
        <v>286</v>
      </c>
      <c r="I356" s="856">
        <v>929625</v>
      </c>
      <c r="J356" s="852">
        <f>+'Yeşil Defter Dönemsel'!I355</f>
        <v>0</v>
      </c>
      <c r="K356" s="852">
        <f>+'Yeşil Defter Dönemsel'!J355</f>
        <v>0</v>
      </c>
      <c r="L356" s="852">
        <f>+'Yeşil Defter Dönemsel'!K355</f>
        <v>0</v>
      </c>
      <c r="M356" s="857">
        <f t="shared" si="57"/>
        <v>0</v>
      </c>
      <c r="N356" s="857">
        <f t="shared" si="58"/>
        <v>0</v>
      </c>
      <c r="O356" s="857">
        <f t="shared" si="59"/>
        <v>0</v>
      </c>
      <c r="P356" s="852">
        <f t="shared" si="61"/>
        <v>0</v>
      </c>
      <c r="Q356" s="854">
        <f t="shared" si="60"/>
        <v>0</v>
      </c>
      <c r="R356" s="854">
        <f t="shared" si="62"/>
        <v>0</v>
      </c>
      <c r="S356" s="843">
        <f t="shared" si="63"/>
        <v>0</v>
      </c>
      <c r="T356" s="843">
        <f t="shared" si="65"/>
        <v>0</v>
      </c>
      <c r="U356" s="843">
        <f t="shared" si="64"/>
        <v>0</v>
      </c>
      <c r="V356" s="307"/>
      <c r="W356" t="e">
        <f>+'Yeşil Defter'!#REF!</f>
        <v>#REF!</v>
      </c>
      <c r="X356" s="766"/>
    </row>
    <row r="357" spans="1:24" ht="19.95" hidden="1" customHeight="1" x14ac:dyDescent="0.3">
      <c r="A357" s="262">
        <v>4</v>
      </c>
      <c r="C357" s="855">
        <v>334</v>
      </c>
      <c r="D357" s="855" t="s">
        <v>857</v>
      </c>
      <c r="E357" s="1345" t="s">
        <v>1194</v>
      </c>
      <c r="F357" s="1345"/>
      <c r="G357" s="1345"/>
      <c r="H357" s="855" t="s">
        <v>286</v>
      </c>
      <c r="I357" s="856">
        <v>929625</v>
      </c>
      <c r="J357" s="852">
        <f>+'Yeşil Defter Dönemsel'!I356</f>
        <v>0</v>
      </c>
      <c r="K357" s="852">
        <f>+'Yeşil Defter Dönemsel'!J356</f>
        <v>0</v>
      </c>
      <c r="L357" s="852">
        <f>+'Yeşil Defter Dönemsel'!K356</f>
        <v>0</v>
      </c>
      <c r="M357" s="857">
        <f t="shared" ref="M357:M372" si="66">+ROUND($I357*J357,2)</f>
        <v>0</v>
      </c>
      <c r="N357" s="857">
        <f t="shared" ref="N357:N372" si="67">+ROUND($I357*K357,2)</f>
        <v>0</v>
      </c>
      <c r="O357" s="857">
        <f t="shared" ref="O357:O372" si="68">+ROUND($I357*L357,2)</f>
        <v>0</v>
      </c>
      <c r="P357" s="852">
        <f t="shared" si="61"/>
        <v>0</v>
      </c>
      <c r="Q357" s="854">
        <f t="shared" ref="Q357:Q372" si="69">+R357-P357</f>
        <v>0</v>
      </c>
      <c r="R357" s="854">
        <f t="shared" si="62"/>
        <v>0</v>
      </c>
      <c r="S357" s="843">
        <f t="shared" si="63"/>
        <v>0</v>
      </c>
      <c r="T357" s="843">
        <f t="shared" si="65"/>
        <v>0</v>
      </c>
      <c r="U357" s="843">
        <f t="shared" si="64"/>
        <v>0</v>
      </c>
      <c r="V357" s="307"/>
      <c r="W357" t="e">
        <f>+'Yeşil Defter'!#REF!</f>
        <v>#REF!</v>
      </c>
      <c r="X357" s="766"/>
    </row>
    <row r="358" spans="1:24" ht="19.95" hidden="1" customHeight="1" x14ac:dyDescent="0.3">
      <c r="A358" s="262">
        <v>4</v>
      </c>
      <c r="C358" s="855">
        <v>335</v>
      </c>
      <c r="D358" s="855" t="s">
        <v>858</v>
      </c>
      <c r="E358" s="1345" t="s">
        <v>859</v>
      </c>
      <c r="F358" s="1345"/>
      <c r="G358" s="1345"/>
      <c r="H358" s="855" t="s">
        <v>286</v>
      </c>
      <c r="I358" s="856">
        <v>929625</v>
      </c>
      <c r="J358" s="852">
        <f>+'Yeşil Defter Dönemsel'!I357</f>
        <v>0</v>
      </c>
      <c r="K358" s="852">
        <f>+'Yeşil Defter Dönemsel'!J357</f>
        <v>0</v>
      </c>
      <c r="L358" s="852">
        <f>+'Yeşil Defter Dönemsel'!K357</f>
        <v>0</v>
      </c>
      <c r="M358" s="857">
        <f t="shared" si="66"/>
        <v>0</v>
      </c>
      <c r="N358" s="857">
        <f t="shared" si="67"/>
        <v>0</v>
      </c>
      <c r="O358" s="857">
        <f t="shared" si="68"/>
        <v>0</v>
      </c>
      <c r="P358" s="852">
        <f t="shared" si="61"/>
        <v>0</v>
      </c>
      <c r="Q358" s="854">
        <f t="shared" si="69"/>
        <v>0</v>
      </c>
      <c r="R358" s="854">
        <f t="shared" si="62"/>
        <v>0</v>
      </c>
      <c r="S358" s="843">
        <f t="shared" si="63"/>
        <v>0</v>
      </c>
      <c r="T358" s="843">
        <f t="shared" si="65"/>
        <v>0</v>
      </c>
      <c r="U358" s="843">
        <f t="shared" si="64"/>
        <v>0</v>
      </c>
      <c r="V358" s="307"/>
      <c r="W358" t="e">
        <f>+'Yeşil Defter'!#REF!</f>
        <v>#REF!</v>
      </c>
      <c r="X358" s="766"/>
    </row>
    <row r="359" spans="1:24" ht="19.95" hidden="1" customHeight="1" x14ac:dyDescent="0.3">
      <c r="A359" s="262">
        <v>4</v>
      </c>
      <c r="C359" s="855">
        <v>336</v>
      </c>
      <c r="D359" s="855" t="s">
        <v>860</v>
      </c>
      <c r="E359" s="1345" t="s">
        <v>861</v>
      </c>
      <c r="F359" s="1345"/>
      <c r="G359" s="1345"/>
      <c r="H359" s="855" t="s">
        <v>286</v>
      </c>
      <c r="I359" s="856">
        <v>1859250</v>
      </c>
      <c r="J359" s="852">
        <f>+'Yeşil Defter Dönemsel'!I358</f>
        <v>0</v>
      </c>
      <c r="K359" s="852">
        <f>+'Yeşil Defter Dönemsel'!J358</f>
        <v>0</v>
      </c>
      <c r="L359" s="852">
        <f>+'Yeşil Defter Dönemsel'!K358</f>
        <v>0</v>
      </c>
      <c r="M359" s="857">
        <f t="shared" si="66"/>
        <v>0</v>
      </c>
      <c r="N359" s="857">
        <f t="shared" si="67"/>
        <v>0</v>
      </c>
      <c r="O359" s="857">
        <f t="shared" si="68"/>
        <v>0</v>
      </c>
      <c r="P359" s="852">
        <f t="shared" si="61"/>
        <v>0</v>
      </c>
      <c r="Q359" s="854">
        <f t="shared" si="69"/>
        <v>0</v>
      </c>
      <c r="R359" s="854">
        <f t="shared" si="62"/>
        <v>0</v>
      </c>
      <c r="S359" s="843">
        <f t="shared" si="63"/>
        <v>0</v>
      </c>
      <c r="T359" s="843">
        <f t="shared" si="65"/>
        <v>0</v>
      </c>
      <c r="U359" s="843">
        <f t="shared" si="64"/>
        <v>0</v>
      </c>
      <c r="V359" s="307"/>
      <c r="W359" t="e">
        <f>+'Yeşil Defter'!#REF!</f>
        <v>#REF!</v>
      </c>
      <c r="X359" s="766"/>
    </row>
    <row r="360" spans="1:24" ht="19.95" hidden="1" customHeight="1" x14ac:dyDescent="0.3">
      <c r="A360" s="262">
        <v>4</v>
      </c>
      <c r="C360" s="855">
        <v>337</v>
      </c>
      <c r="D360" s="855" t="s">
        <v>862</v>
      </c>
      <c r="E360" s="1345" t="s">
        <v>863</v>
      </c>
      <c r="F360" s="1345"/>
      <c r="G360" s="1345"/>
      <c r="H360" s="855" t="s">
        <v>247</v>
      </c>
      <c r="I360" s="856">
        <v>132000</v>
      </c>
      <c r="J360" s="852">
        <f>+'Yeşil Defter Dönemsel'!I359</f>
        <v>0</v>
      </c>
      <c r="K360" s="852">
        <f>+'Yeşil Defter Dönemsel'!J359</f>
        <v>0</v>
      </c>
      <c r="L360" s="852">
        <f>+'Yeşil Defter Dönemsel'!K359</f>
        <v>0</v>
      </c>
      <c r="M360" s="857">
        <f t="shared" si="66"/>
        <v>0</v>
      </c>
      <c r="N360" s="857">
        <f t="shared" si="67"/>
        <v>0</v>
      </c>
      <c r="O360" s="857">
        <f t="shared" si="68"/>
        <v>0</v>
      </c>
      <c r="P360" s="852">
        <f t="shared" si="61"/>
        <v>0</v>
      </c>
      <c r="Q360" s="854">
        <f t="shared" si="69"/>
        <v>0</v>
      </c>
      <c r="R360" s="854">
        <f t="shared" si="62"/>
        <v>0</v>
      </c>
      <c r="S360" s="843">
        <f t="shared" si="63"/>
        <v>0</v>
      </c>
      <c r="T360" s="843">
        <f t="shared" si="65"/>
        <v>0</v>
      </c>
      <c r="U360" s="843">
        <f t="shared" si="64"/>
        <v>0</v>
      </c>
      <c r="V360" s="307"/>
      <c r="W360" t="e">
        <f>+'Yeşil Defter'!#REF!</f>
        <v>#REF!</v>
      </c>
      <c r="X360" s="766"/>
    </row>
    <row r="361" spans="1:24" ht="19.95" hidden="1" customHeight="1" x14ac:dyDescent="0.3">
      <c r="A361" s="262">
        <v>4</v>
      </c>
      <c r="C361" s="855">
        <v>338</v>
      </c>
      <c r="D361" s="855" t="s">
        <v>864</v>
      </c>
      <c r="E361" s="1345" t="s">
        <v>865</v>
      </c>
      <c r="F361" s="1345"/>
      <c r="G361" s="1345"/>
      <c r="H361" s="855" t="s">
        <v>247</v>
      </c>
      <c r="I361" s="856">
        <v>165000</v>
      </c>
      <c r="J361" s="852">
        <f>+'Yeşil Defter Dönemsel'!I360</f>
        <v>0</v>
      </c>
      <c r="K361" s="852">
        <f>+'Yeşil Defter Dönemsel'!J360</f>
        <v>0</v>
      </c>
      <c r="L361" s="852">
        <f>+'Yeşil Defter Dönemsel'!K360</f>
        <v>0</v>
      </c>
      <c r="M361" s="857">
        <f t="shared" si="66"/>
        <v>0</v>
      </c>
      <c r="N361" s="857">
        <f t="shared" si="67"/>
        <v>0</v>
      </c>
      <c r="O361" s="857">
        <f t="shared" si="68"/>
        <v>0</v>
      </c>
      <c r="P361" s="852">
        <f t="shared" si="61"/>
        <v>0</v>
      </c>
      <c r="Q361" s="854">
        <f t="shared" si="69"/>
        <v>0</v>
      </c>
      <c r="R361" s="854">
        <f t="shared" si="62"/>
        <v>0</v>
      </c>
      <c r="S361" s="843">
        <f t="shared" si="63"/>
        <v>0</v>
      </c>
      <c r="T361" s="843">
        <f t="shared" si="65"/>
        <v>0</v>
      </c>
      <c r="U361" s="843">
        <f t="shared" si="64"/>
        <v>0</v>
      </c>
      <c r="V361" s="307"/>
      <c r="W361" t="e">
        <f>+'Yeşil Defter'!#REF!</f>
        <v>#REF!</v>
      </c>
      <c r="X361" s="766"/>
    </row>
    <row r="362" spans="1:24" ht="19.95" hidden="1" customHeight="1" x14ac:dyDescent="0.3">
      <c r="A362" s="262">
        <v>4</v>
      </c>
      <c r="C362" s="855">
        <v>339</v>
      </c>
      <c r="D362" s="855" t="s">
        <v>866</v>
      </c>
      <c r="E362" s="1345" t="s">
        <v>867</v>
      </c>
      <c r="F362" s="1345"/>
      <c r="G362" s="1345"/>
      <c r="H362" s="855" t="s">
        <v>286</v>
      </c>
      <c r="I362" s="856">
        <v>22000000</v>
      </c>
      <c r="J362" s="852">
        <f>+'Yeşil Defter Dönemsel'!I361</f>
        <v>0</v>
      </c>
      <c r="K362" s="852">
        <f>+'Yeşil Defter Dönemsel'!J361</f>
        <v>0</v>
      </c>
      <c r="L362" s="852">
        <f>+'Yeşil Defter Dönemsel'!K361</f>
        <v>0</v>
      </c>
      <c r="M362" s="857">
        <f t="shared" si="66"/>
        <v>0</v>
      </c>
      <c r="N362" s="857">
        <f t="shared" si="67"/>
        <v>0</v>
      </c>
      <c r="O362" s="857">
        <f t="shared" si="68"/>
        <v>0</v>
      </c>
      <c r="P362" s="852">
        <f t="shared" si="61"/>
        <v>0</v>
      </c>
      <c r="Q362" s="854">
        <f t="shared" si="69"/>
        <v>0</v>
      </c>
      <c r="R362" s="854">
        <f t="shared" si="62"/>
        <v>0</v>
      </c>
      <c r="S362" s="843">
        <f t="shared" si="63"/>
        <v>0</v>
      </c>
      <c r="T362" s="843">
        <f t="shared" si="65"/>
        <v>0</v>
      </c>
      <c r="U362" s="843">
        <f t="shared" si="64"/>
        <v>0</v>
      </c>
      <c r="V362" s="307"/>
      <c r="W362" t="e">
        <f>+'Yeşil Defter'!#REF!</f>
        <v>#REF!</v>
      </c>
      <c r="X362" s="766"/>
    </row>
    <row r="363" spans="1:24" ht="19.95" hidden="1" customHeight="1" x14ac:dyDescent="0.3">
      <c r="A363" s="262">
        <v>4</v>
      </c>
      <c r="C363" s="855">
        <v>340</v>
      </c>
      <c r="D363" s="858" t="s">
        <v>868</v>
      </c>
      <c r="E363" s="1345" t="s">
        <v>869</v>
      </c>
      <c r="F363" s="1345"/>
      <c r="G363" s="1345"/>
      <c r="H363" s="855" t="s">
        <v>286</v>
      </c>
      <c r="I363" s="856">
        <v>20070000</v>
      </c>
      <c r="J363" s="852">
        <f>+'Yeşil Defter Dönemsel'!I362</f>
        <v>0</v>
      </c>
      <c r="K363" s="852">
        <f>+'Yeşil Defter Dönemsel'!J362</f>
        <v>0</v>
      </c>
      <c r="L363" s="852">
        <f>+'Yeşil Defter Dönemsel'!K362</f>
        <v>0</v>
      </c>
      <c r="M363" s="857">
        <f t="shared" si="66"/>
        <v>0</v>
      </c>
      <c r="N363" s="857">
        <f t="shared" si="67"/>
        <v>0</v>
      </c>
      <c r="O363" s="857">
        <f t="shared" si="68"/>
        <v>0</v>
      </c>
      <c r="P363" s="852">
        <f t="shared" si="61"/>
        <v>0</v>
      </c>
      <c r="Q363" s="854">
        <f t="shared" si="69"/>
        <v>0</v>
      </c>
      <c r="R363" s="854">
        <f t="shared" si="62"/>
        <v>0</v>
      </c>
      <c r="S363" s="843">
        <f t="shared" si="63"/>
        <v>0</v>
      </c>
      <c r="T363" s="843">
        <f t="shared" si="65"/>
        <v>0</v>
      </c>
      <c r="U363" s="843">
        <f t="shared" si="64"/>
        <v>0</v>
      </c>
      <c r="V363" s="307"/>
      <c r="W363" t="e">
        <f>+'Yeşil Defter'!#REF!</f>
        <v>#REF!</v>
      </c>
      <c r="X363" s="766"/>
    </row>
    <row r="364" spans="1:24" ht="19.95" hidden="1" customHeight="1" x14ac:dyDescent="0.3">
      <c r="A364" s="262">
        <v>4</v>
      </c>
      <c r="C364" s="855">
        <v>341</v>
      </c>
      <c r="D364" s="858" t="s">
        <v>870</v>
      </c>
      <c r="E364" s="1345" t="s">
        <v>871</v>
      </c>
      <c r="F364" s="1345"/>
      <c r="G364" s="1345"/>
      <c r="H364" s="855" t="s">
        <v>286</v>
      </c>
      <c r="I364" s="856">
        <v>8989594</v>
      </c>
      <c r="J364" s="852">
        <f>+'Yeşil Defter Dönemsel'!I363</f>
        <v>0</v>
      </c>
      <c r="K364" s="852">
        <f>+'Yeşil Defter Dönemsel'!J363</f>
        <v>0</v>
      </c>
      <c r="L364" s="852">
        <f>+'Yeşil Defter Dönemsel'!K363</f>
        <v>0</v>
      </c>
      <c r="M364" s="857">
        <f t="shared" si="66"/>
        <v>0</v>
      </c>
      <c r="N364" s="857">
        <f t="shared" si="67"/>
        <v>0</v>
      </c>
      <c r="O364" s="857">
        <f t="shared" si="68"/>
        <v>0</v>
      </c>
      <c r="P364" s="852">
        <f t="shared" si="61"/>
        <v>0</v>
      </c>
      <c r="Q364" s="854">
        <f t="shared" si="69"/>
        <v>0</v>
      </c>
      <c r="R364" s="854">
        <f t="shared" si="62"/>
        <v>0</v>
      </c>
      <c r="S364" s="843">
        <f t="shared" si="63"/>
        <v>0</v>
      </c>
      <c r="T364" s="843">
        <f t="shared" si="65"/>
        <v>0</v>
      </c>
      <c r="U364" s="843">
        <f t="shared" si="64"/>
        <v>0</v>
      </c>
      <c r="V364" s="307"/>
      <c r="W364" t="e">
        <f>+'Yeşil Defter'!#REF!</f>
        <v>#REF!</v>
      </c>
      <c r="X364" s="766"/>
    </row>
    <row r="365" spans="1:24" ht="19.95" hidden="1" customHeight="1" x14ac:dyDescent="0.3">
      <c r="A365" s="262">
        <v>4</v>
      </c>
      <c r="C365" s="855">
        <v>342</v>
      </c>
      <c r="D365" s="858" t="s">
        <v>872</v>
      </c>
      <c r="E365" s="1345" t="s">
        <v>873</v>
      </c>
      <c r="F365" s="1345"/>
      <c r="G365" s="1345"/>
      <c r="H365" s="855" t="s">
        <v>286</v>
      </c>
      <c r="I365" s="856">
        <v>3641429</v>
      </c>
      <c r="J365" s="852">
        <f>+'Yeşil Defter Dönemsel'!I364</f>
        <v>0</v>
      </c>
      <c r="K365" s="852">
        <f>+'Yeşil Defter Dönemsel'!J364</f>
        <v>0</v>
      </c>
      <c r="L365" s="852">
        <f>+'Yeşil Defter Dönemsel'!K364</f>
        <v>0</v>
      </c>
      <c r="M365" s="857">
        <f t="shared" si="66"/>
        <v>0</v>
      </c>
      <c r="N365" s="857">
        <f t="shared" si="67"/>
        <v>0</v>
      </c>
      <c r="O365" s="857">
        <f t="shared" si="68"/>
        <v>0</v>
      </c>
      <c r="P365" s="852">
        <f t="shared" si="61"/>
        <v>0</v>
      </c>
      <c r="Q365" s="854">
        <f t="shared" si="69"/>
        <v>0</v>
      </c>
      <c r="R365" s="854">
        <f t="shared" si="62"/>
        <v>0</v>
      </c>
      <c r="S365" s="843">
        <f t="shared" si="63"/>
        <v>0</v>
      </c>
      <c r="T365" s="843">
        <f t="shared" si="65"/>
        <v>0</v>
      </c>
      <c r="U365" s="843">
        <f t="shared" si="64"/>
        <v>0</v>
      </c>
      <c r="V365" s="307"/>
      <c r="W365" t="e">
        <f>+'Yeşil Defter'!#REF!</f>
        <v>#REF!</v>
      </c>
      <c r="X365" s="766"/>
    </row>
    <row r="366" spans="1:24" ht="19.95" hidden="1" customHeight="1" x14ac:dyDescent="0.3">
      <c r="A366" s="262">
        <v>4</v>
      </c>
      <c r="C366" s="855">
        <v>343</v>
      </c>
      <c r="D366" s="858" t="s">
        <v>874</v>
      </c>
      <c r="E366" s="1345" t="s">
        <v>875</v>
      </c>
      <c r="F366" s="1345"/>
      <c r="G366" s="1345"/>
      <c r="H366" s="855" t="s">
        <v>286</v>
      </c>
      <c r="I366" s="856">
        <v>6993000</v>
      </c>
      <c r="J366" s="852">
        <f>+'Yeşil Defter Dönemsel'!I365</f>
        <v>0</v>
      </c>
      <c r="K366" s="852">
        <f>+'Yeşil Defter Dönemsel'!J365</f>
        <v>0</v>
      </c>
      <c r="L366" s="852">
        <f>+'Yeşil Defter Dönemsel'!K365</f>
        <v>0</v>
      </c>
      <c r="M366" s="857">
        <f t="shared" si="66"/>
        <v>0</v>
      </c>
      <c r="N366" s="857">
        <f t="shared" si="67"/>
        <v>0</v>
      </c>
      <c r="O366" s="857">
        <f t="shared" si="68"/>
        <v>0</v>
      </c>
      <c r="P366" s="852">
        <f t="shared" si="61"/>
        <v>0</v>
      </c>
      <c r="Q366" s="854">
        <f t="shared" si="69"/>
        <v>0</v>
      </c>
      <c r="R366" s="854">
        <f t="shared" si="62"/>
        <v>0</v>
      </c>
      <c r="S366" s="843">
        <f t="shared" si="63"/>
        <v>0</v>
      </c>
      <c r="T366" s="843">
        <f t="shared" si="65"/>
        <v>0</v>
      </c>
      <c r="U366" s="843">
        <f t="shared" si="64"/>
        <v>0</v>
      </c>
      <c r="V366" s="307"/>
      <c r="W366" t="e">
        <f>+'Yeşil Defter'!#REF!</f>
        <v>#REF!</v>
      </c>
      <c r="X366" s="766"/>
    </row>
    <row r="367" spans="1:24" ht="19.95" hidden="1" customHeight="1" x14ac:dyDescent="0.3">
      <c r="A367" s="262">
        <v>4</v>
      </c>
      <c r="C367" s="855">
        <v>344</v>
      </c>
      <c r="D367" s="858" t="s">
        <v>876</v>
      </c>
      <c r="E367" s="1345" t="s">
        <v>877</v>
      </c>
      <c r="F367" s="1345"/>
      <c r="G367" s="1345"/>
      <c r="H367" s="855" t="s">
        <v>286</v>
      </c>
      <c r="I367" s="856">
        <v>1656379</v>
      </c>
      <c r="J367" s="852">
        <f>+'Yeşil Defter Dönemsel'!I366</f>
        <v>0</v>
      </c>
      <c r="K367" s="852">
        <f>+'Yeşil Defter Dönemsel'!J366</f>
        <v>0</v>
      </c>
      <c r="L367" s="852">
        <f>+'Yeşil Defter Dönemsel'!K366</f>
        <v>0</v>
      </c>
      <c r="M367" s="857">
        <f t="shared" si="66"/>
        <v>0</v>
      </c>
      <c r="N367" s="857">
        <f t="shared" si="67"/>
        <v>0</v>
      </c>
      <c r="O367" s="857">
        <f t="shared" si="68"/>
        <v>0</v>
      </c>
      <c r="P367" s="852">
        <f t="shared" si="61"/>
        <v>0</v>
      </c>
      <c r="Q367" s="854">
        <f t="shared" si="69"/>
        <v>0</v>
      </c>
      <c r="R367" s="854">
        <f t="shared" si="62"/>
        <v>0</v>
      </c>
      <c r="S367" s="843">
        <f t="shared" si="63"/>
        <v>0</v>
      </c>
      <c r="T367" s="843">
        <f t="shared" si="65"/>
        <v>0</v>
      </c>
      <c r="U367" s="843">
        <f t="shared" si="64"/>
        <v>0</v>
      </c>
      <c r="V367" s="307"/>
      <c r="W367" t="e">
        <f>+'Yeşil Defter'!#REF!</f>
        <v>#REF!</v>
      </c>
      <c r="X367" s="766"/>
    </row>
    <row r="368" spans="1:24" ht="19.95" hidden="1" customHeight="1" x14ac:dyDescent="0.3">
      <c r="A368" s="262">
        <v>4</v>
      </c>
      <c r="C368" s="855">
        <v>345</v>
      </c>
      <c r="D368" s="858" t="s">
        <v>878</v>
      </c>
      <c r="E368" s="1345" t="s">
        <v>879</v>
      </c>
      <c r="F368" s="1345"/>
      <c r="G368" s="1345"/>
      <c r="H368" s="855" t="s">
        <v>286</v>
      </c>
      <c r="I368" s="856">
        <v>10963100</v>
      </c>
      <c r="J368" s="852">
        <f>+'Yeşil Defter Dönemsel'!I367</f>
        <v>0</v>
      </c>
      <c r="K368" s="852">
        <f>+'Yeşil Defter Dönemsel'!J367</f>
        <v>0</v>
      </c>
      <c r="L368" s="852">
        <f>+'Yeşil Defter Dönemsel'!K367</f>
        <v>0</v>
      </c>
      <c r="M368" s="857">
        <f t="shared" si="66"/>
        <v>0</v>
      </c>
      <c r="N368" s="857">
        <f t="shared" si="67"/>
        <v>0</v>
      </c>
      <c r="O368" s="857">
        <f t="shared" si="68"/>
        <v>0</v>
      </c>
      <c r="P368" s="852">
        <f t="shared" si="61"/>
        <v>0</v>
      </c>
      <c r="Q368" s="854">
        <f t="shared" si="69"/>
        <v>0</v>
      </c>
      <c r="R368" s="854">
        <f t="shared" si="62"/>
        <v>0</v>
      </c>
      <c r="S368" s="843">
        <f t="shared" si="63"/>
        <v>0</v>
      </c>
      <c r="T368" s="843">
        <f t="shared" si="65"/>
        <v>0</v>
      </c>
      <c r="U368" s="843">
        <f t="shared" si="64"/>
        <v>0</v>
      </c>
      <c r="V368" s="307"/>
      <c r="W368" t="e">
        <f>+'Yeşil Defter'!#REF!</f>
        <v>#REF!</v>
      </c>
      <c r="X368" s="766"/>
    </row>
    <row r="369" spans="1:24" ht="19.95" hidden="1" customHeight="1" x14ac:dyDescent="0.3">
      <c r="A369" s="262">
        <v>4</v>
      </c>
      <c r="C369" s="855">
        <v>346</v>
      </c>
      <c r="D369" s="858" t="s">
        <v>880</v>
      </c>
      <c r="E369" s="1345" t="s">
        <v>881</v>
      </c>
      <c r="F369" s="1345"/>
      <c r="G369" s="1345"/>
      <c r="H369" s="855" t="s">
        <v>286</v>
      </c>
      <c r="I369" s="856">
        <v>377400</v>
      </c>
      <c r="J369" s="852">
        <f>+'Yeşil Defter Dönemsel'!I368</f>
        <v>0</v>
      </c>
      <c r="K369" s="852">
        <f>+'Yeşil Defter Dönemsel'!J368</f>
        <v>0</v>
      </c>
      <c r="L369" s="852">
        <f>+'Yeşil Defter Dönemsel'!K368</f>
        <v>0</v>
      </c>
      <c r="M369" s="857">
        <f t="shared" si="66"/>
        <v>0</v>
      </c>
      <c r="N369" s="857">
        <f t="shared" si="67"/>
        <v>0</v>
      </c>
      <c r="O369" s="857">
        <f t="shared" si="68"/>
        <v>0</v>
      </c>
      <c r="P369" s="852">
        <f t="shared" si="61"/>
        <v>0</v>
      </c>
      <c r="Q369" s="854">
        <f t="shared" si="69"/>
        <v>0</v>
      </c>
      <c r="R369" s="854">
        <f t="shared" si="62"/>
        <v>0</v>
      </c>
      <c r="S369" s="843">
        <f t="shared" si="63"/>
        <v>0</v>
      </c>
      <c r="T369" s="843">
        <f t="shared" si="65"/>
        <v>0</v>
      </c>
      <c r="U369" s="843">
        <f t="shared" si="64"/>
        <v>0</v>
      </c>
      <c r="V369" s="307"/>
      <c r="W369" t="e">
        <f>+'Yeşil Defter'!#REF!</f>
        <v>#REF!</v>
      </c>
      <c r="X369" s="766"/>
    </row>
    <row r="370" spans="1:24" ht="19.95" hidden="1" customHeight="1" x14ac:dyDescent="0.3">
      <c r="A370" s="262">
        <v>4</v>
      </c>
      <c r="C370" s="855">
        <v>347</v>
      </c>
      <c r="D370" s="858" t="s">
        <v>882</v>
      </c>
      <c r="E370" s="1345" t="s">
        <v>883</v>
      </c>
      <c r="F370" s="1345"/>
      <c r="G370" s="1345"/>
      <c r="H370" s="855" t="s">
        <v>286</v>
      </c>
      <c r="I370" s="856">
        <v>521700</v>
      </c>
      <c r="J370" s="852">
        <f>+'Yeşil Defter Dönemsel'!I369</f>
        <v>0</v>
      </c>
      <c r="K370" s="852">
        <f>+'Yeşil Defter Dönemsel'!J369</f>
        <v>0</v>
      </c>
      <c r="L370" s="852">
        <f>+'Yeşil Defter Dönemsel'!K369</f>
        <v>0</v>
      </c>
      <c r="M370" s="857">
        <f t="shared" si="66"/>
        <v>0</v>
      </c>
      <c r="N370" s="857">
        <f t="shared" si="67"/>
        <v>0</v>
      </c>
      <c r="O370" s="857">
        <f t="shared" si="68"/>
        <v>0</v>
      </c>
      <c r="P370" s="852">
        <f t="shared" si="61"/>
        <v>0</v>
      </c>
      <c r="Q370" s="854">
        <f t="shared" si="69"/>
        <v>0</v>
      </c>
      <c r="R370" s="854">
        <f t="shared" si="62"/>
        <v>0</v>
      </c>
      <c r="S370" s="843">
        <f t="shared" si="63"/>
        <v>0</v>
      </c>
      <c r="T370" s="843">
        <f t="shared" si="65"/>
        <v>0</v>
      </c>
      <c r="U370" s="843">
        <f t="shared" si="64"/>
        <v>0</v>
      </c>
      <c r="V370" s="307"/>
      <c r="W370" t="e">
        <f>+'Yeşil Defter'!#REF!</f>
        <v>#REF!</v>
      </c>
      <c r="X370" s="766"/>
    </row>
    <row r="371" spans="1:24" ht="19.95" hidden="1" customHeight="1" x14ac:dyDescent="0.3">
      <c r="A371" s="262">
        <v>4</v>
      </c>
      <c r="C371" s="855">
        <v>348</v>
      </c>
      <c r="D371" s="858" t="s">
        <v>884</v>
      </c>
      <c r="E371" s="1345" t="s">
        <v>885</v>
      </c>
      <c r="F371" s="1345"/>
      <c r="G371" s="1345"/>
      <c r="H371" s="855" t="s">
        <v>286</v>
      </c>
      <c r="I371" s="856">
        <v>9020600</v>
      </c>
      <c r="J371" s="852">
        <f>+'Yeşil Defter Dönemsel'!I370</f>
        <v>0</v>
      </c>
      <c r="K371" s="852">
        <f>+'Yeşil Defter Dönemsel'!J370</f>
        <v>0</v>
      </c>
      <c r="L371" s="852">
        <f>+'Yeşil Defter Dönemsel'!K370</f>
        <v>0</v>
      </c>
      <c r="M371" s="857">
        <f t="shared" si="66"/>
        <v>0</v>
      </c>
      <c r="N371" s="857">
        <f t="shared" si="67"/>
        <v>0</v>
      </c>
      <c r="O371" s="857">
        <f t="shared" si="68"/>
        <v>0</v>
      </c>
      <c r="P371" s="852">
        <f t="shared" si="61"/>
        <v>0</v>
      </c>
      <c r="Q371" s="854">
        <f t="shared" si="69"/>
        <v>0</v>
      </c>
      <c r="R371" s="854">
        <f t="shared" si="62"/>
        <v>0</v>
      </c>
      <c r="S371" s="843">
        <f t="shared" si="63"/>
        <v>0</v>
      </c>
      <c r="T371" s="843">
        <f t="shared" si="65"/>
        <v>0</v>
      </c>
      <c r="U371" s="843">
        <f t="shared" si="64"/>
        <v>0</v>
      </c>
      <c r="V371" s="307"/>
      <c r="W371" t="e">
        <f>+'Yeşil Defter'!#REF!</f>
        <v>#REF!</v>
      </c>
      <c r="X371" s="766"/>
    </row>
    <row r="372" spans="1:24" ht="19.95" hidden="1" customHeight="1" x14ac:dyDescent="0.3">
      <c r="A372" s="262">
        <v>4</v>
      </c>
      <c r="C372" s="860">
        <v>349</v>
      </c>
      <c r="D372" s="866" t="s">
        <v>886</v>
      </c>
      <c r="E372" s="1341" t="s">
        <v>887</v>
      </c>
      <c r="F372" s="1341"/>
      <c r="G372" s="1341"/>
      <c r="H372" s="860" t="s">
        <v>286</v>
      </c>
      <c r="I372" s="856">
        <v>1487400</v>
      </c>
      <c r="J372" s="852">
        <f>+'Yeşil Defter Dönemsel'!I371</f>
        <v>0</v>
      </c>
      <c r="K372" s="852">
        <f>+'Yeşil Defter Dönemsel'!J371</f>
        <v>0</v>
      </c>
      <c r="L372" s="852">
        <f>+'Yeşil Defter Dönemsel'!K371</f>
        <v>0</v>
      </c>
      <c r="M372" s="862">
        <f t="shared" si="66"/>
        <v>0</v>
      </c>
      <c r="N372" s="862">
        <f t="shared" si="67"/>
        <v>0</v>
      </c>
      <c r="O372" s="862">
        <f t="shared" si="68"/>
        <v>0</v>
      </c>
      <c r="P372" s="852">
        <f t="shared" si="61"/>
        <v>0</v>
      </c>
      <c r="Q372" s="868">
        <f t="shared" si="69"/>
        <v>0</v>
      </c>
      <c r="R372" s="854">
        <f t="shared" si="62"/>
        <v>0</v>
      </c>
      <c r="S372" s="843">
        <f t="shared" si="63"/>
        <v>0</v>
      </c>
      <c r="T372" s="843">
        <f t="shared" si="65"/>
        <v>0</v>
      </c>
      <c r="U372" s="843">
        <f t="shared" si="64"/>
        <v>0</v>
      </c>
      <c r="V372" s="307"/>
      <c r="W372" t="e">
        <f>+'Yeşil Defter'!#REF!</f>
        <v>#REF!</v>
      </c>
      <c r="X372" s="766"/>
    </row>
    <row r="373" spans="1:24" ht="25.05" hidden="1" customHeight="1" x14ac:dyDescent="0.3">
      <c r="A373" s="262" t="s">
        <v>1240</v>
      </c>
      <c r="C373" s="839"/>
      <c r="D373" s="869" t="s">
        <v>1232</v>
      </c>
      <c r="E373" s="841"/>
      <c r="F373" s="841"/>
      <c r="G373" s="841"/>
      <c r="H373" s="841"/>
      <c r="I373" s="841"/>
      <c r="J373" s="852">
        <f>+'Yeşil Defter Dönemsel'!I372</f>
        <v>0</v>
      </c>
      <c r="K373" s="852">
        <f>+'Yeşil Defter Dönemsel'!J372</f>
        <v>0</v>
      </c>
      <c r="L373" s="852">
        <f>+'Yeşil Defter Dönemsel'!K372</f>
        <v>0</v>
      </c>
      <c r="M373" s="870">
        <f>SUM(M374:M391)</f>
        <v>0</v>
      </c>
      <c r="N373" s="870">
        <f>SUM(N374:N391)</f>
        <v>0</v>
      </c>
      <c r="O373" s="870">
        <f>SUM(O374:O391)</f>
        <v>0</v>
      </c>
      <c r="P373" s="852">
        <f t="shared" si="61"/>
        <v>0</v>
      </c>
      <c r="Q373" s="871"/>
      <c r="R373" s="854">
        <f t="shared" si="62"/>
        <v>0</v>
      </c>
      <c r="S373" s="843">
        <f t="shared" si="63"/>
        <v>0</v>
      </c>
      <c r="T373" s="843">
        <f t="shared" si="65"/>
        <v>0</v>
      </c>
      <c r="U373" s="843">
        <f t="shared" si="64"/>
        <v>0</v>
      </c>
      <c r="V373" s="307"/>
      <c r="W373" t="e">
        <f>+'Yeşil Defter'!#REF!</f>
        <v>#REF!</v>
      </c>
      <c r="X373" s="766"/>
    </row>
    <row r="374" spans="1:24" ht="19.95" hidden="1" customHeight="1" x14ac:dyDescent="0.3">
      <c r="A374" s="262">
        <v>5</v>
      </c>
      <c r="C374" s="849">
        <v>350</v>
      </c>
      <c r="D374" s="849" t="s">
        <v>888</v>
      </c>
      <c r="E374" s="1346" t="s">
        <v>889</v>
      </c>
      <c r="F374" s="1346"/>
      <c r="G374" s="1346"/>
      <c r="H374" s="849" t="s">
        <v>286</v>
      </c>
      <c r="I374" s="856">
        <v>5075000</v>
      </c>
      <c r="J374" s="852">
        <f>+'Yeşil Defter Dönemsel'!I373</f>
        <v>0</v>
      </c>
      <c r="K374" s="852">
        <f>+'Yeşil Defter Dönemsel'!J373</f>
        <v>0</v>
      </c>
      <c r="L374" s="852">
        <f>+'Yeşil Defter Dönemsel'!K373</f>
        <v>0</v>
      </c>
      <c r="M374" s="853">
        <f t="shared" ref="M374:M391" si="70">+ROUND($I374*J374,2)</f>
        <v>0</v>
      </c>
      <c r="N374" s="853">
        <f t="shared" ref="N374:N391" si="71">+ROUND($I374*K374,2)</f>
        <v>0</v>
      </c>
      <c r="O374" s="853">
        <f t="shared" ref="O374:O391" si="72">+ROUND($I374*L374,2)</f>
        <v>0</v>
      </c>
      <c r="P374" s="852">
        <f t="shared" si="61"/>
        <v>0</v>
      </c>
      <c r="Q374" s="852">
        <f t="shared" ref="Q374:Q391" si="73">+R374-P374</f>
        <v>0</v>
      </c>
      <c r="R374" s="854">
        <f t="shared" si="62"/>
        <v>0</v>
      </c>
      <c r="S374" s="843">
        <f t="shared" si="63"/>
        <v>0</v>
      </c>
      <c r="T374" s="843">
        <f t="shared" si="65"/>
        <v>0</v>
      </c>
      <c r="U374" s="843">
        <f t="shared" si="64"/>
        <v>0</v>
      </c>
      <c r="V374" s="307"/>
      <c r="W374" t="e">
        <f>+'Yeşil Defter'!#REF!</f>
        <v>#REF!</v>
      </c>
      <c r="X374" s="766"/>
    </row>
    <row r="375" spans="1:24" ht="25.05" hidden="1" customHeight="1" x14ac:dyDescent="0.3">
      <c r="A375" s="262">
        <v>5</v>
      </c>
      <c r="C375" s="855">
        <v>351</v>
      </c>
      <c r="D375" s="855" t="s">
        <v>890</v>
      </c>
      <c r="E375" s="1345" t="s">
        <v>891</v>
      </c>
      <c r="F375" s="1345"/>
      <c r="G375" s="1345"/>
      <c r="H375" s="855" t="s">
        <v>286</v>
      </c>
      <c r="I375" s="856">
        <v>2081250</v>
      </c>
      <c r="J375" s="852">
        <f>+'Yeşil Defter Dönemsel'!I374</f>
        <v>0</v>
      </c>
      <c r="K375" s="852">
        <f>+'Yeşil Defter Dönemsel'!J374</f>
        <v>0</v>
      </c>
      <c r="L375" s="852">
        <f>+'Yeşil Defter Dönemsel'!K374</f>
        <v>0</v>
      </c>
      <c r="M375" s="857">
        <f t="shared" si="70"/>
        <v>0</v>
      </c>
      <c r="N375" s="857">
        <f t="shared" si="71"/>
        <v>0</v>
      </c>
      <c r="O375" s="857">
        <f t="shared" si="72"/>
        <v>0</v>
      </c>
      <c r="P375" s="852">
        <f t="shared" si="61"/>
        <v>0</v>
      </c>
      <c r="Q375" s="854">
        <f t="shared" si="73"/>
        <v>0</v>
      </c>
      <c r="R375" s="854">
        <f t="shared" si="62"/>
        <v>0</v>
      </c>
      <c r="S375" s="843">
        <f t="shared" si="63"/>
        <v>0</v>
      </c>
      <c r="T375" s="843">
        <f t="shared" si="65"/>
        <v>0</v>
      </c>
      <c r="U375" s="843">
        <f t="shared" si="64"/>
        <v>0</v>
      </c>
      <c r="V375" s="307"/>
      <c r="W375" t="e">
        <f>+'Yeşil Defter'!#REF!</f>
        <v>#REF!</v>
      </c>
      <c r="X375" s="766"/>
    </row>
    <row r="376" spans="1:24" ht="25.05" hidden="1" customHeight="1" x14ac:dyDescent="0.3">
      <c r="A376" s="262">
        <v>5</v>
      </c>
      <c r="C376" s="855">
        <v>352</v>
      </c>
      <c r="D376" s="855" t="s">
        <v>892</v>
      </c>
      <c r="E376" s="1345" t="s">
        <v>893</v>
      </c>
      <c r="F376" s="1345"/>
      <c r="G376" s="1345"/>
      <c r="H376" s="855" t="s">
        <v>286</v>
      </c>
      <c r="I376" s="856">
        <v>2081250</v>
      </c>
      <c r="J376" s="852">
        <f>+'Yeşil Defter Dönemsel'!I375</f>
        <v>0</v>
      </c>
      <c r="K376" s="852">
        <f>+'Yeşil Defter Dönemsel'!J375</f>
        <v>0</v>
      </c>
      <c r="L376" s="852">
        <f>+'Yeşil Defter Dönemsel'!K375</f>
        <v>0</v>
      </c>
      <c r="M376" s="857">
        <f t="shared" si="70"/>
        <v>0</v>
      </c>
      <c r="N376" s="857">
        <f t="shared" si="71"/>
        <v>0</v>
      </c>
      <c r="O376" s="857">
        <f t="shared" si="72"/>
        <v>0</v>
      </c>
      <c r="P376" s="852">
        <f t="shared" ref="P376:P439" si="74">+J376</f>
        <v>0</v>
      </c>
      <c r="Q376" s="854">
        <f t="shared" si="73"/>
        <v>0</v>
      </c>
      <c r="R376" s="854">
        <f t="shared" ref="R376:R439" si="75">+L376</f>
        <v>0</v>
      </c>
      <c r="S376" s="843">
        <f t="shared" si="63"/>
        <v>0</v>
      </c>
      <c r="T376" s="843">
        <f t="shared" si="65"/>
        <v>0</v>
      </c>
      <c r="U376" s="843">
        <f t="shared" si="64"/>
        <v>0</v>
      </c>
      <c r="V376" s="307"/>
      <c r="W376" t="e">
        <f>+'Yeşil Defter'!#REF!</f>
        <v>#REF!</v>
      </c>
      <c r="X376" s="766"/>
    </row>
    <row r="377" spans="1:24" ht="19.95" hidden="1" customHeight="1" x14ac:dyDescent="0.3">
      <c r="A377" s="262">
        <v>5</v>
      </c>
      <c r="C377" s="855">
        <v>353</v>
      </c>
      <c r="D377" s="855" t="s">
        <v>894</v>
      </c>
      <c r="E377" s="1345" t="s">
        <v>895</v>
      </c>
      <c r="F377" s="1345"/>
      <c r="G377" s="1345"/>
      <c r="H377" s="855" t="s">
        <v>286</v>
      </c>
      <c r="I377" s="856">
        <v>17280388</v>
      </c>
      <c r="J377" s="852">
        <f>+'Yeşil Defter Dönemsel'!I376</f>
        <v>0</v>
      </c>
      <c r="K377" s="852">
        <f>+'Yeşil Defter Dönemsel'!J376</f>
        <v>0</v>
      </c>
      <c r="L377" s="852">
        <f>+'Yeşil Defter Dönemsel'!K376</f>
        <v>0</v>
      </c>
      <c r="M377" s="857">
        <f t="shared" si="70"/>
        <v>0</v>
      </c>
      <c r="N377" s="857">
        <f t="shared" si="71"/>
        <v>0</v>
      </c>
      <c r="O377" s="857">
        <f t="shared" si="72"/>
        <v>0</v>
      </c>
      <c r="P377" s="852">
        <f t="shared" si="74"/>
        <v>0</v>
      </c>
      <c r="Q377" s="854">
        <f t="shared" si="73"/>
        <v>0</v>
      </c>
      <c r="R377" s="854">
        <f t="shared" si="75"/>
        <v>0</v>
      </c>
      <c r="S377" s="843">
        <f t="shared" si="63"/>
        <v>0</v>
      </c>
      <c r="T377" s="843">
        <f t="shared" si="65"/>
        <v>0</v>
      </c>
      <c r="U377" s="843">
        <f t="shared" si="64"/>
        <v>0</v>
      </c>
      <c r="V377" s="307"/>
      <c r="W377" t="e">
        <f>+'Yeşil Defter'!#REF!</f>
        <v>#REF!</v>
      </c>
      <c r="X377" s="766"/>
    </row>
    <row r="378" spans="1:24" ht="19.95" hidden="1" customHeight="1" x14ac:dyDescent="0.3">
      <c r="A378" s="262">
        <v>5</v>
      </c>
      <c r="C378" s="855">
        <v>354</v>
      </c>
      <c r="D378" s="855" t="s">
        <v>896</v>
      </c>
      <c r="E378" s="1345" t="s">
        <v>897</v>
      </c>
      <c r="F378" s="1345"/>
      <c r="G378" s="1345"/>
      <c r="H378" s="855" t="s">
        <v>286</v>
      </c>
      <c r="I378" s="856">
        <v>17280388</v>
      </c>
      <c r="J378" s="852">
        <f>+'Yeşil Defter Dönemsel'!I377</f>
        <v>0</v>
      </c>
      <c r="K378" s="852">
        <f>+'Yeşil Defter Dönemsel'!J377</f>
        <v>0</v>
      </c>
      <c r="L378" s="852">
        <f>+'Yeşil Defter Dönemsel'!K377</f>
        <v>0</v>
      </c>
      <c r="M378" s="857">
        <f t="shared" si="70"/>
        <v>0</v>
      </c>
      <c r="N378" s="857">
        <f t="shared" si="71"/>
        <v>0</v>
      </c>
      <c r="O378" s="857">
        <f t="shared" si="72"/>
        <v>0</v>
      </c>
      <c r="P378" s="852">
        <f t="shared" si="74"/>
        <v>0</v>
      </c>
      <c r="Q378" s="854">
        <f t="shared" si="73"/>
        <v>0</v>
      </c>
      <c r="R378" s="854">
        <f t="shared" si="75"/>
        <v>0</v>
      </c>
      <c r="S378" s="843">
        <f t="shared" si="63"/>
        <v>0</v>
      </c>
      <c r="T378" s="843">
        <f t="shared" si="65"/>
        <v>0</v>
      </c>
      <c r="U378" s="843">
        <f t="shared" si="64"/>
        <v>0</v>
      </c>
      <c r="V378" s="307"/>
      <c r="W378" t="e">
        <f>+'Yeşil Defter'!#REF!</f>
        <v>#REF!</v>
      </c>
      <c r="X378" s="766"/>
    </row>
    <row r="379" spans="1:24" ht="19.95" hidden="1" customHeight="1" x14ac:dyDescent="0.3">
      <c r="A379" s="262">
        <v>5</v>
      </c>
      <c r="C379" s="855">
        <v>355</v>
      </c>
      <c r="D379" s="855" t="s">
        <v>898</v>
      </c>
      <c r="E379" s="1345" t="s">
        <v>899</v>
      </c>
      <c r="F379" s="1345"/>
      <c r="G379" s="1345"/>
      <c r="H379" s="855" t="s">
        <v>286</v>
      </c>
      <c r="I379" s="856">
        <v>17280388</v>
      </c>
      <c r="J379" s="852">
        <f>+'Yeşil Defter Dönemsel'!I378</f>
        <v>0</v>
      </c>
      <c r="K379" s="852">
        <f>+'Yeşil Defter Dönemsel'!J378</f>
        <v>0</v>
      </c>
      <c r="L379" s="852">
        <f>+'Yeşil Defter Dönemsel'!K378</f>
        <v>0</v>
      </c>
      <c r="M379" s="857">
        <f t="shared" si="70"/>
        <v>0</v>
      </c>
      <c r="N379" s="857">
        <f t="shared" si="71"/>
        <v>0</v>
      </c>
      <c r="O379" s="857">
        <f t="shared" si="72"/>
        <v>0</v>
      </c>
      <c r="P379" s="852">
        <f t="shared" si="74"/>
        <v>0</v>
      </c>
      <c r="Q379" s="854">
        <f t="shared" si="73"/>
        <v>0</v>
      </c>
      <c r="R379" s="854">
        <f t="shared" si="75"/>
        <v>0</v>
      </c>
      <c r="S379" s="843">
        <f t="shared" si="63"/>
        <v>0</v>
      </c>
      <c r="T379" s="843">
        <f t="shared" si="65"/>
        <v>0</v>
      </c>
      <c r="U379" s="843">
        <f t="shared" si="64"/>
        <v>0</v>
      </c>
      <c r="V379" s="307"/>
      <c r="W379" t="e">
        <f>+'Yeşil Defter'!#REF!</f>
        <v>#REF!</v>
      </c>
      <c r="X379" s="766"/>
    </row>
    <row r="380" spans="1:24" ht="19.95" hidden="1" customHeight="1" x14ac:dyDescent="0.3">
      <c r="A380" s="262">
        <v>5</v>
      </c>
      <c r="C380" s="855">
        <v>356</v>
      </c>
      <c r="D380" s="855" t="s">
        <v>900</v>
      </c>
      <c r="E380" s="1345" t="s">
        <v>901</v>
      </c>
      <c r="F380" s="1345"/>
      <c r="G380" s="1345"/>
      <c r="H380" s="855" t="s">
        <v>286</v>
      </c>
      <c r="I380" s="856">
        <v>17280388</v>
      </c>
      <c r="J380" s="852">
        <f>+'Yeşil Defter Dönemsel'!I379</f>
        <v>0</v>
      </c>
      <c r="K380" s="852">
        <f>+'Yeşil Defter Dönemsel'!J379</f>
        <v>0</v>
      </c>
      <c r="L380" s="852">
        <f>+'Yeşil Defter Dönemsel'!K379</f>
        <v>0</v>
      </c>
      <c r="M380" s="857">
        <f t="shared" si="70"/>
        <v>0</v>
      </c>
      <c r="N380" s="857">
        <f t="shared" si="71"/>
        <v>0</v>
      </c>
      <c r="O380" s="857">
        <f t="shared" si="72"/>
        <v>0</v>
      </c>
      <c r="P380" s="852">
        <f t="shared" si="74"/>
        <v>0</v>
      </c>
      <c r="Q380" s="854">
        <f t="shared" si="73"/>
        <v>0</v>
      </c>
      <c r="R380" s="854">
        <f t="shared" si="75"/>
        <v>0</v>
      </c>
      <c r="S380" s="843">
        <f t="shared" si="63"/>
        <v>0</v>
      </c>
      <c r="T380" s="843">
        <f t="shared" si="65"/>
        <v>0</v>
      </c>
      <c r="U380" s="843">
        <f t="shared" si="64"/>
        <v>0</v>
      </c>
      <c r="V380" s="307"/>
      <c r="W380" t="e">
        <f>+'Yeşil Defter'!#REF!</f>
        <v>#REF!</v>
      </c>
      <c r="X380" s="766"/>
    </row>
    <row r="381" spans="1:24" ht="19.95" hidden="1" customHeight="1" x14ac:dyDescent="0.3">
      <c r="A381" s="262">
        <v>5</v>
      </c>
      <c r="C381" s="855">
        <v>357</v>
      </c>
      <c r="D381" s="855" t="s">
        <v>902</v>
      </c>
      <c r="E381" s="1345" t="s">
        <v>903</v>
      </c>
      <c r="F381" s="1345"/>
      <c r="G381" s="1345"/>
      <c r="H381" s="855" t="s">
        <v>286</v>
      </c>
      <c r="I381" s="856">
        <v>17280388</v>
      </c>
      <c r="J381" s="852">
        <f>+'Yeşil Defter Dönemsel'!I380</f>
        <v>0</v>
      </c>
      <c r="K381" s="852">
        <f>+'Yeşil Defter Dönemsel'!J380</f>
        <v>0</v>
      </c>
      <c r="L381" s="852">
        <f>+'Yeşil Defter Dönemsel'!K380</f>
        <v>0</v>
      </c>
      <c r="M381" s="857">
        <f t="shared" si="70"/>
        <v>0</v>
      </c>
      <c r="N381" s="857">
        <f t="shared" si="71"/>
        <v>0</v>
      </c>
      <c r="O381" s="857">
        <f t="shared" si="72"/>
        <v>0</v>
      </c>
      <c r="P381" s="852">
        <f t="shared" si="74"/>
        <v>0</v>
      </c>
      <c r="Q381" s="854">
        <f t="shared" si="73"/>
        <v>0</v>
      </c>
      <c r="R381" s="854">
        <f t="shared" si="75"/>
        <v>0</v>
      </c>
      <c r="S381" s="843">
        <f t="shared" si="63"/>
        <v>0</v>
      </c>
      <c r="T381" s="843">
        <f t="shared" si="65"/>
        <v>0</v>
      </c>
      <c r="U381" s="843">
        <f t="shared" si="64"/>
        <v>0</v>
      </c>
      <c r="V381" s="307"/>
      <c r="W381" t="e">
        <f>+'Yeşil Defter'!#REF!</f>
        <v>#REF!</v>
      </c>
      <c r="X381" s="766"/>
    </row>
    <row r="382" spans="1:24" ht="19.95" hidden="1" customHeight="1" x14ac:dyDescent="0.3">
      <c r="A382" s="262">
        <v>5</v>
      </c>
      <c r="C382" s="855">
        <v>358</v>
      </c>
      <c r="D382" s="855" t="s">
        <v>904</v>
      </c>
      <c r="E382" s="1345" t="s">
        <v>905</v>
      </c>
      <c r="F382" s="1345"/>
      <c r="G382" s="1345"/>
      <c r="H382" s="855" t="s">
        <v>286</v>
      </c>
      <c r="I382" s="856">
        <v>30092779</v>
      </c>
      <c r="J382" s="852">
        <f>+'Yeşil Defter Dönemsel'!I381</f>
        <v>0</v>
      </c>
      <c r="K382" s="852">
        <f>+'Yeşil Defter Dönemsel'!J381</f>
        <v>0</v>
      </c>
      <c r="L382" s="852">
        <f>+'Yeşil Defter Dönemsel'!K381</f>
        <v>0</v>
      </c>
      <c r="M382" s="857">
        <f t="shared" si="70"/>
        <v>0</v>
      </c>
      <c r="N382" s="857">
        <f t="shared" si="71"/>
        <v>0</v>
      </c>
      <c r="O382" s="857">
        <f t="shared" si="72"/>
        <v>0</v>
      </c>
      <c r="P382" s="852">
        <f t="shared" si="74"/>
        <v>0</v>
      </c>
      <c r="Q382" s="854">
        <f t="shared" si="73"/>
        <v>0</v>
      </c>
      <c r="R382" s="854">
        <f t="shared" si="75"/>
        <v>0</v>
      </c>
      <c r="S382" s="843">
        <f t="shared" si="63"/>
        <v>0</v>
      </c>
      <c r="T382" s="843">
        <f t="shared" si="65"/>
        <v>0</v>
      </c>
      <c r="U382" s="843">
        <f t="shared" si="64"/>
        <v>0</v>
      </c>
      <c r="V382" s="307"/>
      <c r="W382" t="e">
        <f>+'Yeşil Defter'!#REF!</f>
        <v>#REF!</v>
      </c>
      <c r="X382" s="766"/>
    </row>
    <row r="383" spans="1:24" ht="19.95" hidden="1" customHeight="1" x14ac:dyDescent="0.3">
      <c r="A383" s="262">
        <v>5</v>
      </c>
      <c r="C383" s="855">
        <v>359</v>
      </c>
      <c r="D383" s="855" t="s">
        <v>906</v>
      </c>
      <c r="E383" s="1345" t="s">
        <v>907</v>
      </c>
      <c r="F383" s="1345"/>
      <c r="G383" s="1345"/>
      <c r="H383" s="855" t="s">
        <v>286</v>
      </c>
      <c r="I383" s="856">
        <v>32859931</v>
      </c>
      <c r="J383" s="852">
        <f>+'Yeşil Defter Dönemsel'!I382</f>
        <v>0</v>
      </c>
      <c r="K383" s="852">
        <f>+'Yeşil Defter Dönemsel'!J382</f>
        <v>0</v>
      </c>
      <c r="L383" s="852">
        <f>+'Yeşil Defter Dönemsel'!K382</f>
        <v>0</v>
      </c>
      <c r="M383" s="857">
        <f t="shared" si="70"/>
        <v>0</v>
      </c>
      <c r="N383" s="857">
        <f t="shared" si="71"/>
        <v>0</v>
      </c>
      <c r="O383" s="857">
        <f t="shared" si="72"/>
        <v>0</v>
      </c>
      <c r="P383" s="852">
        <f t="shared" si="74"/>
        <v>0</v>
      </c>
      <c r="Q383" s="854">
        <f t="shared" si="73"/>
        <v>0</v>
      </c>
      <c r="R383" s="854">
        <f t="shared" si="75"/>
        <v>0</v>
      </c>
      <c r="S383" s="843">
        <f t="shared" si="63"/>
        <v>0</v>
      </c>
      <c r="T383" s="843">
        <f t="shared" si="65"/>
        <v>0</v>
      </c>
      <c r="U383" s="843">
        <f t="shared" si="64"/>
        <v>0</v>
      </c>
      <c r="V383" s="307"/>
      <c r="W383" t="e">
        <f>+'Yeşil Defter'!#REF!</f>
        <v>#REF!</v>
      </c>
      <c r="X383" s="766"/>
    </row>
    <row r="384" spans="1:24" ht="19.95" hidden="1" customHeight="1" x14ac:dyDescent="0.3">
      <c r="A384" s="262">
        <v>5</v>
      </c>
      <c r="C384" s="855">
        <v>360</v>
      </c>
      <c r="D384" s="855" t="s">
        <v>908</v>
      </c>
      <c r="E384" s="1345" t="s">
        <v>909</v>
      </c>
      <c r="F384" s="1345"/>
      <c r="G384" s="1345"/>
      <c r="H384" s="855" t="s">
        <v>286</v>
      </c>
      <c r="I384" s="856">
        <v>34589401</v>
      </c>
      <c r="J384" s="852">
        <f>+'Yeşil Defter Dönemsel'!I383</f>
        <v>0</v>
      </c>
      <c r="K384" s="852">
        <f>+'Yeşil Defter Dönemsel'!J383</f>
        <v>0</v>
      </c>
      <c r="L384" s="852">
        <f>+'Yeşil Defter Dönemsel'!K383</f>
        <v>0</v>
      </c>
      <c r="M384" s="857">
        <f t="shared" si="70"/>
        <v>0</v>
      </c>
      <c r="N384" s="857">
        <f t="shared" si="71"/>
        <v>0</v>
      </c>
      <c r="O384" s="857">
        <f t="shared" si="72"/>
        <v>0</v>
      </c>
      <c r="P384" s="852">
        <f t="shared" si="74"/>
        <v>0</v>
      </c>
      <c r="Q384" s="854">
        <f t="shared" si="73"/>
        <v>0</v>
      </c>
      <c r="R384" s="854">
        <f t="shared" si="75"/>
        <v>0</v>
      </c>
      <c r="S384" s="843">
        <f t="shared" si="63"/>
        <v>0</v>
      </c>
      <c r="T384" s="843">
        <f t="shared" si="65"/>
        <v>0</v>
      </c>
      <c r="U384" s="843">
        <f t="shared" si="64"/>
        <v>0</v>
      </c>
      <c r="V384" s="307"/>
      <c r="W384" t="e">
        <f>+'Yeşil Defter'!#REF!</f>
        <v>#REF!</v>
      </c>
      <c r="X384" s="766"/>
    </row>
    <row r="385" spans="1:24" ht="19.95" hidden="1" customHeight="1" x14ac:dyDescent="0.3">
      <c r="A385" s="262">
        <v>5</v>
      </c>
      <c r="C385" s="855">
        <v>361</v>
      </c>
      <c r="D385" s="855" t="s">
        <v>910</v>
      </c>
      <c r="E385" s="1345" t="s">
        <v>911</v>
      </c>
      <c r="F385" s="1345"/>
      <c r="G385" s="1345"/>
      <c r="H385" s="855" t="s">
        <v>286</v>
      </c>
      <c r="I385" s="856">
        <v>31130461</v>
      </c>
      <c r="J385" s="852">
        <f>+'Yeşil Defter Dönemsel'!I384</f>
        <v>0</v>
      </c>
      <c r="K385" s="852">
        <f>+'Yeşil Defter Dönemsel'!J384</f>
        <v>0</v>
      </c>
      <c r="L385" s="852">
        <f>+'Yeşil Defter Dönemsel'!K384</f>
        <v>0</v>
      </c>
      <c r="M385" s="857">
        <f t="shared" si="70"/>
        <v>0</v>
      </c>
      <c r="N385" s="857">
        <f t="shared" si="71"/>
        <v>0</v>
      </c>
      <c r="O385" s="857">
        <f t="shared" si="72"/>
        <v>0</v>
      </c>
      <c r="P385" s="852">
        <f t="shared" si="74"/>
        <v>0</v>
      </c>
      <c r="Q385" s="854">
        <f t="shared" si="73"/>
        <v>0</v>
      </c>
      <c r="R385" s="854">
        <f t="shared" si="75"/>
        <v>0</v>
      </c>
      <c r="S385" s="843">
        <f t="shared" si="63"/>
        <v>0</v>
      </c>
      <c r="T385" s="843">
        <f t="shared" si="65"/>
        <v>0</v>
      </c>
      <c r="U385" s="843">
        <f t="shared" si="64"/>
        <v>0</v>
      </c>
      <c r="V385" s="307"/>
      <c r="W385" t="e">
        <f>+'Yeşil Defter'!#REF!</f>
        <v>#REF!</v>
      </c>
      <c r="X385" s="766"/>
    </row>
    <row r="386" spans="1:24" ht="19.95" hidden="1" customHeight="1" x14ac:dyDescent="0.3">
      <c r="A386" s="262">
        <v>5</v>
      </c>
      <c r="C386" s="855">
        <v>362</v>
      </c>
      <c r="D386" s="855" t="s">
        <v>912</v>
      </c>
      <c r="E386" s="1345" t="s">
        <v>913</v>
      </c>
      <c r="F386" s="1345"/>
      <c r="G386" s="1345"/>
      <c r="H386" s="855" t="s">
        <v>286</v>
      </c>
      <c r="I386" s="856">
        <v>32859931</v>
      </c>
      <c r="J386" s="852">
        <f>+'Yeşil Defter Dönemsel'!I385</f>
        <v>0</v>
      </c>
      <c r="K386" s="852">
        <f>+'Yeşil Defter Dönemsel'!J385</f>
        <v>0</v>
      </c>
      <c r="L386" s="852">
        <f>+'Yeşil Defter Dönemsel'!K385</f>
        <v>0</v>
      </c>
      <c r="M386" s="857">
        <f t="shared" si="70"/>
        <v>0</v>
      </c>
      <c r="N386" s="857">
        <f t="shared" si="71"/>
        <v>0</v>
      </c>
      <c r="O386" s="857">
        <f t="shared" si="72"/>
        <v>0</v>
      </c>
      <c r="P386" s="852">
        <f t="shared" si="74"/>
        <v>0</v>
      </c>
      <c r="Q386" s="854">
        <f t="shared" si="73"/>
        <v>0</v>
      </c>
      <c r="R386" s="854">
        <f t="shared" si="75"/>
        <v>0</v>
      </c>
      <c r="S386" s="843">
        <f t="shared" si="63"/>
        <v>0</v>
      </c>
      <c r="T386" s="843">
        <f t="shared" si="65"/>
        <v>0</v>
      </c>
      <c r="U386" s="843">
        <f t="shared" si="64"/>
        <v>0</v>
      </c>
      <c r="V386" s="307"/>
      <c r="W386" t="e">
        <f>+'Yeşil Defter'!#REF!</f>
        <v>#REF!</v>
      </c>
      <c r="X386" s="766"/>
    </row>
    <row r="387" spans="1:24" ht="19.95" hidden="1" customHeight="1" x14ac:dyDescent="0.3">
      <c r="A387" s="262">
        <v>5</v>
      </c>
      <c r="C387" s="855">
        <v>363</v>
      </c>
      <c r="D387" s="855" t="s">
        <v>914</v>
      </c>
      <c r="E387" s="1345" t="s">
        <v>915</v>
      </c>
      <c r="F387" s="1345"/>
      <c r="G387" s="1345"/>
      <c r="H387" s="855" t="s">
        <v>286</v>
      </c>
      <c r="I387" s="856">
        <v>3427125</v>
      </c>
      <c r="J387" s="852">
        <f>+'Yeşil Defter Dönemsel'!I386</f>
        <v>0</v>
      </c>
      <c r="K387" s="852">
        <f>+'Yeşil Defter Dönemsel'!J386</f>
        <v>0</v>
      </c>
      <c r="L387" s="852">
        <f>+'Yeşil Defter Dönemsel'!K386</f>
        <v>0</v>
      </c>
      <c r="M387" s="857">
        <f t="shared" si="70"/>
        <v>0</v>
      </c>
      <c r="N387" s="857">
        <f t="shared" si="71"/>
        <v>0</v>
      </c>
      <c r="O387" s="857">
        <f t="shared" si="72"/>
        <v>0</v>
      </c>
      <c r="P387" s="852">
        <f t="shared" si="74"/>
        <v>0</v>
      </c>
      <c r="Q387" s="854">
        <f t="shared" si="73"/>
        <v>0</v>
      </c>
      <c r="R387" s="854">
        <f t="shared" si="75"/>
        <v>0</v>
      </c>
      <c r="S387" s="843">
        <f t="shared" si="63"/>
        <v>0</v>
      </c>
      <c r="T387" s="843">
        <f t="shared" si="65"/>
        <v>0</v>
      </c>
      <c r="U387" s="843">
        <f t="shared" si="64"/>
        <v>0</v>
      </c>
      <c r="V387" s="307"/>
      <c r="W387" t="e">
        <f>+'Yeşil Defter'!#REF!</f>
        <v>#REF!</v>
      </c>
      <c r="X387" s="766"/>
    </row>
    <row r="388" spans="1:24" ht="19.95" hidden="1" customHeight="1" x14ac:dyDescent="0.3">
      <c r="A388" s="262">
        <v>5</v>
      </c>
      <c r="C388" s="855">
        <v>364</v>
      </c>
      <c r="D388" s="855" t="s">
        <v>916</v>
      </c>
      <c r="E388" s="1345" t="s">
        <v>917</v>
      </c>
      <c r="F388" s="1345"/>
      <c r="G388" s="1345"/>
      <c r="H388" s="855" t="s">
        <v>286</v>
      </c>
      <c r="I388" s="856">
        <v>3427125</v>
      </c>
      <c r="J388" s="852">
        <f>+'Yeşil Defter Dönemsel'!I387</f>
        <v>0</v>
      </c>
      <c r="K388" s="852">
        <f>+'Yeşil Defter Dönemsel'!J387</f>
        <v>0</v>
      </c>
      <c r="L388" s="852">
        <f>+'Yeşil Defter Dönemsel'!K387</f>
        <v>0</v>
      </c>
      <c r="M388" s="857">
        <f t="shared" si="70"/>
        <v>0</v>
      </c>
      <c r="N388" s="857">
        <f t="shared" si="71"/>
        <v>0</v>
      </c>
      <c r="O388" s="857">
        <f t="shared" si="72"/>
        <v>0</v>
      </c>
      <c r="P388" s="852">
        <f t="shared" si="74"/>
        <v>0</v>
      </c>
      <c r="Q388" s="854">
        <f t="shared" si="73"/>
        <v>0</v>
      </c>
      <c r="R388" s="854">
        <f t="shared" si="75"/>
        <v>0</v>
      </c>
      <c r="S388" s="843">
        <f t="shared" si="63"/>
        <v>0</v>
      </c>
      <c r="T388" s="843">
        <f t="shared" si="65"/>
        <v>0</v>
      </c>
      <c r="U388" s="843">
        <f t="shared" si="64"/>
        <v>0</v>
      </c>
      <c r="V388" s="307"/>
      <c r="W388" t="e">
        <f>+'Yeşil Defter'!#REF!</f>
        <v>#REF!</v>
      </c>
      <c r="X388" s="766"/>
    </row>
    <row r="389" spans="1:24" ht="19.95" hidden="1" customHeight="1" x14ac:dyDescent="0.3">
      <c r="A389" s="262">
        <v>5</v>
      </c>
      <c r="C389" s="855">
        <v>365</v>
      </c>
      <c r="D389" s="855" t="s">
        <v>918</v>
      </c>
      <c r="E389" s="1345" t="s">
        <v>919</v>
      </c>
      <c r="F389" s="1345"/>
      <c r="G389" s="1345"/>
      <c r="H389" s="855" t="s">
        <v>286</v>
      </c>
      <c r="I389" s="856">
        <v>3427125</v>
      </c>
      <c r="J389" s="852">
        <f>+'Yeşil Defter Dönemsel'!I388</f>
        <v>0</v>
      </c>
      <c r="K389" s="852">
        <f>+'Yeşil Defter Dönemsel'!J388</f>
        <v>0</v>
      </c>
      <c r="L389" s="852">
        <f>+'Yeşil Defter Dönemsel'!K388</f>
        <v>0</v>
      </c>
      <c r="M389" s="857">
        <f t="shared" si="70"/>
        <v>0</v>
      </c>
      <c r="N389" s="857">
        <f t="shared" si="71"/>
        <v>0</v>
      </c>
      <c r="O389" s="857">
        <f t="shared" si="72"/>
        <v>0</v>
      </c>
      <c r="P389" s="852">
        <f t="shared" si="74"/>
        <v>0</v>
      </c>
      <c r="Q389" s="854">
        <f t="shared" si="73"/>
        <v>0</v>
      </c>
      <c r="R389" s="854">
        <f t="shared" si="75"/>
        <v>0</v>
      </c>
      <c r="S389" s="843">
        <f t="shared" si="63"/>
        <v>0</v>
      </c>
      <c r="T389" s="843">
        <f t="shared" si="65"/>
        <v>0</v>
      </c>
      <c r="U389" s="843">
        <f t="shared" si="64"/>
        <v>0</v>
      </c>
      <c r="V389" s="307"/>
      <c r="W389" t="e">
        <f>+'Yeşil Defter'!#REF!</f>
        <v>#REF!</v>
      </c>
      <c r="X389" s="766"/>
    </row>
    <row r="390" spans="1:24" ht="19.95" hidden="1" customHeight="1" x14ac:dyDescent="0.3">
      <c r="A390" s="262">
        <v>5</v>
      </c>
      <c r="C390" s="855">
        <v>366</v>
      </c>
      <c r="D390" s="855" t="s">
        <v>920</v>
      </c>
      <c r="E390" s="1345" t="s">
        <v>921</v>
      </c>
      <c r="F390" s="1345"/>
      <c r="G390" s="1345"/>
      <c r="H390" s="855" t="s">
        <v>286</v>
      </c>
      <c r="I390" s="856">
        <v>3427125</v>
      </c>
      <c r="J390" s="852">
        <f>+'Yeşil Defter Dönemsel'!I389</f>
        <v>0</v>
      </c>
      <c r="K390" s="852">
        <f>+'Yeşil Defter Dönemsel'!J389</f>
        <v>0</v>
      </c>
      <c r="L390" s="852">
        <f>+'Yeşil Defter Dönemsel'!K389</f>
        <v>0</v>
      </c>
      <c r="M390" s="857">
        <f t="shared" si="70"/>
        <v>0</v>
      </c>
      <c r="N390" s="857">
        <f t="shared" si="71"/>
        <v>0</v>
      </c>
      <c r="O390" s="857">
        <f t="shared" si="72"/>
        <v>0</v>
      </c>
      <c r="P390" s="852">
        <f t="shared" si="74"/>
        <v>0</v>
      </c>
      <c r="Q390" s="854">
        <f t="shared" si="73"/>
        <v>0</v>
      </c>
      <c r="R390" s="854">
        <f t="shared" si="75"/>
        <v>0</v>
      </c>
      <c r="S390" s="843">
        <f t="shared" si="63"/>
        <v>0</v>
      </c>
      <c r="T390" s="843">
        <f t="shared" si="65"/>
        <v>0</v>
      </c>
      <c r="U390" s="843">
        <f t="shared" si="64"/>
        <v>0</v>
      </c>
      <c r="V390" s="307"/>
      <c r="W390" t="e">
        <f>+'Yeşil Defter'!#REF!</f>
        <v>#REF!</v>
      </c>
      <c r="X390" s="766"/>
    </row>
    <row r="391" spans="1:24" ht="19.95" hidden="1" customHeight="1" x14ac:dyDescent="0.3">
      <c r="A391" s="262">
        <v>5</v>
      </c>
      <c r="C391" s="860">
        <v>367</v>
      </c>
      <c r="D391" s="860" t="s">
        <v>922</v>
      </c>
      <c r="E391" s="1341" t="s">
        <v>923</v>
      </c>
      <c r="F391" s="1341"/>
      <c r="G391" s="1341"/>
      <c r="H391" s="860" t="s">
        <v>286</v>
      </c>
      <c r="I391" s="856">
        <v>3427125</v>
      </c>
      <c r="J391" s="852">
        <f>+'Yeşil Defter Dönemsel'!I390</f>
        <v>0</v>
      </c>
      <c r="K391" s="852">
        <f>+'Yeşil Defter Dönemsel'!J390</f>
        <v>0</v>
      </c>
      <c r="L391" s="852">
        <f>+'Yeşil Defter Dönemsel'!K390</f>
        <v>0</v>
      </c>
      <c r="M391" s="862">
        <f t="shared" si="70"/>
        <v>0</v>
      </c>
      <c r="N391" s="862">
        <f t="shared" si="71"/>
        <v>0</v>
      </c>
      <c r="O391" s="862">
        <f t="shared" si="72"/>
        <v>0</v>
      </c>
      <c r="P391" s="852">
        <f t="shared" si="74"/>
        <v>0</v>
      </c>
      <c r="Q391" s="868">
        <f t="shared" si="73"/>
        <v>0</v>
      </c>
      <c r="R391" s="854">
        <f t="shared" si="75"/>
        <v>0</v>
      </c>
      <c r="S391" s="843">
        <f t="shared" si="63"/>
        <v>0</v>
      </c>
      <c r="T391" s="843">
        <f t="shared" si="65"/>
        <v>0</v>
      </c>
      <c r="U391" s="843">
        <f t="shared" si="64"/>
        <v>0</v>
      </c>
      <c r="V391" s="307"/>
      <c r="W391" t="e">
        <f>+'Yeşil Defter'!#REF!</f>
        <v>#REF!</v>
      </c>
      <c r="X391" s="766"/>
    </row>
    <row r="392" spans="1:24" ht="25.05" hidden="1" customHeight="1" x14ac:dyDescent="0.3">
      <c r="A392" s="262" t="s">
        <v>1240</v>
      </c>
      <c r="C392" s="839"/>
      <c r="D392" s="869" t="s">
        <v>1233</v>
      </c>
      <c r="E392" s="841"/>
      <c r="F392" s="841"/>
      <c r="G392" s="841"/>
      <c r="H392" s="841"/>
      <c r="I392" s="841"/>
      <c r="J392" s="852">
        <f>+'Yeşil Defter Dönemsel'!I391</f>
        <v>0</v>
      </c>
      <c r="K392" s="852">
        <f>+'Yeşil Defter Dönemsel'!J391</f>
        <v>0</v>
      </c>
      <c r="L392" s="852">
        <f>+'Yeşil Defter Dönemsel'!K391</f>
        <v>0</v>
      </c>
      <c r="M392" s="870">
        <f>SUM(M393:M431)</f>
        <v>0</v>
      </c>
      <c r="N392" s="870">
        <f t="shared" ref="N392:O392" si="76">SUM(N393:N431)</f>
        <v>0</v>
      </c>
      <c r="O392" s="870">
        <f t="shared" si="76"/>
        <v>0</v>
      </c>
      <c r="P392" s="852">
        <f t="shared" si="74"/>
        <v>0</v>
      </c>
      <c r="Q392" s="871"/>
      <c r="R392" s="854">
        <f t="shared" si="75"/>
        <v>0</v>
      </c>
      <c r="S392" s="843">
        <f t="shared" si="63"/>
        <v>0</v>
      </c>
      <c r="T392" s="843">
        <f t="shared" si="65"/>
        <v>0</v>
      </c>
      <c r="U392" s="843">
        <f t="shared" si="64"/>
        <v>0</v>
      </c>
      <c r="V392" s="307"/>
      <c r="W392" t="e">
        <f>+'Yeşil Defter'!#REF!</f>
        <v>#REF!</v>
      </c>
      <c r="X392" s="766"/>
    </row>
    <row r="393" spans="1:24" ht="25.05" hidden="1" customHeight="1" x14ac:dyDescent="0.3">
      <c r="A393" s="262">
        <v>6</v>
      </c>
      <c r="C393" s="849">
        <v>368</v>
      </c>
      <c r="D393" s="849" t="s">
        <v>924</v>
      </c>
      <c r="E393" s="1346" t="s">
        <v>925</v>
      </c>
      <c r="F393" s="1346"/>
      <c r="G393" s="1346"/>
      <c r="H393" s="849" t="s">
        <v>286</v>
      </c>
      <c r="I393" s="856">
        <v>2747944</v>
      </c>
      <c r="J393" s="852">
        <f>+'Yeşil Defter Dönemsel'!I392</f>
        <v>0</v>
      </c>
      <c r="K393" s="852">
        <f>+'Yeşil Defter Dönemsel'!J392</f>
        <v>0</v>
      </c>
      <c r="L393" s="852">
        <f>+'Yeşil Defter Dönemsel'!K392</f>
        <v>0</v>
      </c>
      <c r="M393" s="853">
        <f t="shared" ref="M393:M431" si="77">+ROUND($I393*J393,2)</f>
        <v>0</v>
      </c>
      <c r="N393" s="853">
        <f t="shared" ref="N393:N431" si="78">+ROUND($I393*K393,2)</f>
        <v>0</v>
      </c>
      <c r="O393" s="853">
        <f t="shared" ref="O393:O431" si="79">+ROUND($I393*L393,2)</f>
        <v>0</v>
      </c>
      <c r="P393" s="852">
        <f t="shared" si="74"/>
        <v>0</v>
      </c>
      <c r="Q393" s="852">
        <f t="shared" ref="Q393:Q431" si="80">+R393-P393</f>
        <v>0</v>
      </c>
      <c r="R393" s="854">
        <f t="shared" si="75"/>
        <v>0</v>
      </c>
      <c r="S393" s="843">
        <f t="shared" si="63"/>
        <v>0</v>
      </c>
      <c r="T393" s="843">
        <f t="shared" si="65"/>
        <v>0</v>
      </c>
      <c r="U393" s="843">
        <f t="shared" si="64"/>
        <v>0</v>
      </c>
      <c r="V393" s="307"/>
      <c r="W393" t="e">
        <f>+'Yeşil Defter'!#REF!</f>
        <v>#REF!</v>
      </c>
      <c r="X393" s="766"/>
    </row>
    <row r="394" spans="1:24" ht="25.05" hidden="1" customHeight="1" x14ac:dyDescent="0.3">
      <c r="A394" s="262">
        <v>6</v>
      </c>
      <c r="C394" s="855">
        <v>369</v>
      </c>
      <c r="D394" s="855" t="s">
        <v>926</v>
      </c>
      <c r="E394" s="1345" t="s">
        <v>927</v>
      </c>
      <c r="F394" s="1345"/>
      <c r="G394" s="1345"/>
      <c r="H394" s="855" t="s">
        <v>286</v>
      </c>
      <c r="I394" s="856">
        <v>2747944</v>
      </c>
      <c r="J394" s="852">
        <f>+'Yeşil Defter Dönemsel'!I393</f>
        <v>0</v>
      </c>
      <c r="K394" s="852">
        <f>+'Yeşil Defter Dönemsel'!J393</f>
        <v>0</v>
      </c>
      <c r="L394" s="852">
        <f>+'Yeşil Defter Dönemsel'!K393</f>
        <v>0</v>
      </c>
      <c r="M394" s="857">
        <f t="shared" si="77"/>
        <v>0</v>
      </c>
      <c r="N394" s="857">
        <f t="shared" si="78"/>
        <v>0</v>
      </c>
      <c r="O394" s="857">
        <f t="shared" si="79"/>
        <v>0</v>
      </c>
      <c r="P394" s="852">
        <f t="shared" si="74"/>
        <v>0</v>
      </c>
      <c r="Q394" s="854">
        <f t="shared" si="80"/>
        <v>0</v>
      </c>
      <c r="R394" s="854">
        <f t="shared" si="75"/>
        <v>0</v>
      </c>
      <c r="S394" s="843">
        <f t="shared" si="63"/>
        <v>0</v>
      </c>
      <c r="T394" s="843">
        <f t="shared" si="65"/>
        <v>0</v>
      </c>
      <c r="U394" s="843">
        <f t="shared" si="64"/>
        <v>0</v>
      </c>
      <c r="V394" s="307"/>
      <c r="W394" t="e">
        <f>+'Yeşil Defter'!#REF!</f>
        <v>#REF!</v>
      </c>
      <c r="X394" s="766"/>
    </row>
    <row r="395" spans="1:24" ht="25.05" hidden="1" customHeight="1" x14ac:dyDescent="0.3">
      <c r="A395" s="262">
        <v>6</v>
      </c>
      <c r="C395" s="855">
        <v>370</v>
      </c>
      <c r="D395" s="855" t="s">
        <v>928</v>
      </c>
      <c r="E395" s="1345" t="s">
        <v>929</v>
      </c>
      <c r="F395" s="1345"/>
      <c r="G395" s="1345"/>
      <c r="H395" s="855" t="s">
        <v>286</v>
      </c>
      <c r="I395" s="856">
        <v>2747944</v>
      </c>
      <c r="J395" s="852">
        <f>+'Yeşil Defter Dönemsel'!I394</f>
        <v>0</v>
      </c>
      <c r="K395" s="852">
        <f>+'Yeşil Defter Dönemsel'!J394</f>
        <v>0</v>
      </c>
      <c r="L395" s="852">
        <f>+'Yeşil Defter Dönemsel'!K394</f>
        <v>0</v>
      </c>
      <c r="M395" s="857">
        <f t="shared" si="77"/>
        <v>0</v>
      </c>
      <c r="N395" s="857">
        <f t="shared" si="78"/>
        <v>0</v>
      </c>
      <c r="O395" s="857">
        <f t="shared" si="79"/>
        <v>0</v>
      </c>
      <c r="P395" s="852">
        <f t="shared" si="74"/>
        <v>0</v>
      </c>
      <c r="Q395" s="854">
        <f t="shared" si="80"/>
        <v>0</v>
      </c>
      <c r="R395" s="854">
        <f t="shared" si="75"/>
        <v>0</v>
      </c>
      <c r="S395" s="843">
        <f t="shared" si="63"/>
        <v>0</v>
      </c>
      <c r="T395" s="843">
        <f t="shared" si="65"/>
        <v>0</v>
      </c>
      <c r="U395" s="843">
        <f t="shared" si="64"/>
        <v>0</v>
      </c>
      <c r="V395" s="307"/>
      <c r="W395" t="e">
        <f>+'Yeşil Defter'!#REF!</f>
        <v>#REF!</v>
      </c>
      <c r="X395" s="766"/>
    </row>
    <row r="396" spans="1:24" ht="25.05" hidden="1" customHeight="1" x14ac:dyDescent="0.3">
      <c r="A396" s="262">
        <v>6</v>
      </c>
      <c r="C396" s="855">
        <v>371</v>
      </c>
      <c r="D396" s="855" t="s">
        <v>930</v>
      </c>
      <c r="E396" s="1345" t="s">
        <v>931</v>
      </c>
      <c r="F396" s="1345"/>
      <c r="G396" s="1345"/>
      <c r="H396" s="855" t="s">
        <v>286</v>
      </c>
      <c r="I396" s="856">
        <v>2747944</v>
      </c>
      <c r="J396" s="852">
        <f>+'Yeşil Defter Dönemsel'!I395</f>
        <v>0</v>
      </c>
      <c r="K396" s="852">
        <f>+'Yeşil Defter Dönemsel'!J395</f>
        <v>0</v>
      </c>
      <c r="L396" s="852">
        <f>+'Yeşil Defter Dönemsel'!K395</f>
        <v>0</v>
      </c>
      <c r="M396" s="857">
        <f t="shared" si="77"/>
        <v>0</v>
      </c>
      <c r="N396" s="857">
        <f t="shared" si="78"/>
        <v>0</v>
      </c>
      <c r="O396" s="857">
        <f t="shared" si="79"/>
        <v>0</v>
      </c>
      <c r="P396" s="852">
        <f t="shared" si="74"/>
        <v>0</v>
      </c>
      <c r="Q396" s="854">
        <f t="shared" si="80"/>
        <v>0</v>
      </c>
      <c r="R396" s="854">
        <f t="shared" si="75"/>
        <v>0</v>
      </c>
      <c r="S396" s="843">
        <f t="shared" si="63"/>
        <v>0</v>
      </c>
      <c r="T396" s="843">
        <f t="shared" si="65"/>
        <v>0</v>
      </c>
      <c r="U396" s="843">
        <f t="shared" si="64"/>
        <v>0</v>
      </c>
      <c r="V396" s="307"/>
      <c r="W396" t="e">
        <f>+'Yeşil Defter'!#REF!</f>
        <v>#REF!</v>
      </c>
      <c r="X396" s="766"/>
    </row>
    <row r="397" spans="1:24" ht="25.05" hidden="1" customHeight="1" x14ac:dyDescent="0.3">
      <c r="A397" s="262">
        <v>6</v>
      </c>
      <c r="C397" s="855">
        <v>372</v>
      </c>
      <c r="D397" s="855" t="s">
        <v>932</v>
      </c>
      <c r="E397" s="1345" t="s">
        <v>933</v>
      </c>
      <c r="F397" s="1345"/>
      <c r="G397" s="1345"/>
      <c r="H397" s="855" t="s">
        <v>286</v>
      </c>
      <c r="I397" s="856">
        <v>2747944</v>
      </c>
      <c r="J397" s="852">
        <f>+'Yeşil Defter Dönemsel'!I396</f>
        <v>0</v>
      </c>
      <c r="K397" s="852">
        <f>+'Yeşil Defter Dönemsel'!J396</f>
        <v>0</v>
      </c>
      <c r="L397" s="852">
        <f>+'Yeşil Defter Dönemsel'!K396</f>
        <v>0</v>
      </c>
      <c r="M397" s="857">
        <f t="shared" si="77"/>
        <v>0</v>
      </c>
      <c r="N397" s="857">
        <f t="shared" si="78"/>
        <v>0</v>
      </c>
      <c r="O397" s="857">
        <f t="shared" si="79"/>
        <v>0</v>
      </c>
      <c r="P397" s="852">
        <f t="shared" si="74"/>
        <v>0</v>
      </c>
      <c r="Q397" s="854">
        <f t="shared" si="80"/>
        <v>0</v>
      </c>
      <c r="R397" s="854">
        <f t="shared" si="75"/>
        <v>0</v>
      </c>
      <c r="S397" s="843">
        <f t="shared" si="63"/>
        <v>0</v>
      </c>
      <c r="T397" s="843">
        <f t="shared" si="65"/>
        <v>0</v>
      </c>
      <c r="U397" s="843">
        <f t="shared" si="64"/>
        <v>0</v>
      </c>
      <c r="V397" s="307"/>
      <c r="W397" t="e">
        <f>+'Yeşil Defter'!#REF!</f>
        <v>#REF!</v>
      </c>
      <c r="X397" s="766"/>
    </row>
    <row r="398" spans="1:24" ht="25.05" hidden="1" customHeight="1" x14ac:dyDescent="0.3">
      <c r="A398" s="262">
        <v>6</v>
      </c>
      <c r="C398" s="855">
        <v>373</v>
      </c>
      <c r="D398" s="855" t="s">
        <v>934</v>
      </c>
      <c r="E398" s="1345" t="s">
        <v>935</v>
      </c>
      <c r="F398" s="1345"/>
      <c r="G398" s="1345"/>
      <c r="H398" s="855" t="s">
        <v>286</v>
      </c>
      <c r="I398" s="856">
        <v>2747944</v>
      </c>
      <c r="J398" s="852">
        <f>+'Yeşil Defter Dönemsel'!I397</f>
        <v>0</v>
      </c>
      <c r="K398" s="852">
        <f>+'Yeşil Defter Dönemsel'!J397</f>
        <v>0</v>
      </c>
      <c r="L398" s="852">
        <f>+'Yeşil Defter Dönemsel'!K397</f>
        <v>0</v>
      </c>
      <c r="M398" s="857">
        <f t="shared" si="77"/>
        <v>0</v>
      </c>
      <c r="N398" s="857">
        <f t="shared" si="78"/>
        <v>0</v>
      </c>
      <c r="O398" s="857">
        <f t="shared" si="79"/>
        <v>0</v>
      </c>
      <c r="P398" s="852">
        <f t="shared" si="74"/>
        <v>0</v>
      </c>
      <c r="Q398" s="854">
        <f t="shared" si="80"/>
        <v>0</v>
      </c>
      <c r="R398" s="854">
        <f t="shared" si="75"/>
        <v>0</v>
      </c>
      <c r="S398" s="843">
        <f t="shared" si="63"/>
        <v>0</v>
      </c>
      <c r="T398" s="843">
        <f t="shared" si="65"/>
        <v>0</v>
      </c>
      <c r="U398" s="843">
        <f t="shared" si="64"/>
        <v>0</v>
      </c>
      <c r="V398" s="307"/>
      <c r="W398" t="e">
        <f>+'Yeşil Defter'!#REF!</f>
        <v>#REF!</v>
      </c>
      <c r="X398" s="766"/>
    </row>
    <row r="399" spans="1:24" ht="19.95" hidden="1" customHeight="1" x14ac:dyDescent="0.3">
      <c r="A399" s="262">
        <v>6</v>
      </c>
      <c r="C399" s="855">
        <v>374</v>
      </c>
      <c r="D399" s="855" t="s">
        <v>936</v>
      </c>
      <c r="E399" s="1345" t="s">
        <v>937</v>
      </c>
      <c r="F399" s="1345"/>
      <c r="G399" s="1345"/>
      <c r="H399" s="855" t="s">
        <v>286</v>
      </c>
      <c r="I399" s="856">
        <v>5779751</v>
      </c>
      <c r="J399" s="852">
        <f>+'Yeşil Defter Dönemsel'!I398</f>
        <v>0</v>
      </c>
      <c r="K399" s="852">
        <f>+'Yeşil Defter Dönemsel'!J398</f>
        <v>0</v>
      </c>
      <c r="L399" s="852">
        <f>+'Yeşil Defter Dönemsel'!K398</f>
        <v>0</v>
      </c>
      <c r="M399" s="857">
        <f t="shared" si="77"/>
        <v>0</v>
      </c>
      <c r="N399" s="857">
        <f t="shared" si="78"/>
        <v>0</v>
      </c>
      <c r="O399" s="857">
        <f t="shared" si="79"/>
        <v>0</v>
      </c>
      <c r="P399" s="852">
        <f t="shared" si="74"/>
        <v>0</v>
      </c>
      <c r="Q399" s="854">
        <f t="shared" si="80"/>
        <v>0</v>
      </c>
      <c r="R399" s="854">
        <f t="shared" si="75"/>
        <v>0</v>
      </c>
      <c r="S399" s="843">
        <f t="shared" si="63"/>
        <v>0</v>
      </c>
      <c r="T399" s="843">
        <f t="shared" si="65"/>
        <v>0</v>
      </c>
      <c r="U399" s="843">
        <f t="shared" si="64"/>
        <v>0</v>
      </c>
      <c r="V399" s="307"/>
      <c r="W399" t="e">
        <f>+'Yeşil Defter'!#REF!</f>
        <v>#REF!</v>
      </c>
      <c r="X399" s="766"/>
    </row>
    <row r="400" spans="1:24" ht="19.95" hidden="1" customHeight="1" x14ac:dyDescent="0.3">
      <c r="A400" s="262">
        <v>6</v>
      </c>
      <c r="C400" s="855">
        <v>375</v>
      </c>
      <c r="D400" s="855" t="s">
        <v>938</v>
      </c>
      <c r="E400" s="1345" t="s">
        <v>939</v>
      </c>
      <c r="F400" s="1345"/>
      <c r="G400" s="1345"/>
      <c r="H400" s="855" t="s">
        <v>286</v>
      </c>
      <c r="I400" s="856">
        <v>6311222</v>
      </c>
      <c r="J400" s="852">
        <f>+'Yeşil Defter Dönemsel'!I399</f>
        <v>0</v>
      </c>
      <c r="K400" s="852">
        <f>+'Yeşil Defter Dönemsel'!J399</f>
        <v>0</v>
      </c>
      <c r="L400" s="852">
        <f>+'Yeşil Defter Dönemsel'!K399</f>
        <v>0</v>
      </c>
      <c r="M400" s="857">
        <f t="shared" si="77"/>
        <v>0</v>
      </c>
      <c r="N400" s="857">
        <f t="shared" si="78"/>
        <v>0</v>
      </c>
      <c r="O400" s="857">
        <f t="shared" si="79"/>
        <v>0</v>
      </c>
      <c r="P400" s="852">
        <f t="shared" si="74"/>
        <v>0</v>
      </c>
      <c r="Q400" s="854">
        <f t="shared" si="80"/>
        <v>0</v>
      </c>
      <c r="R400" s="854">
        <f t="shared" si="75"/>
        <v>0</v>
      </c>
      <c r="S400" s="843">
        <f t="shared" ref="S400:S458" si="81">+M400</f>
        <v>0</v>
      </c>
      <c r="T400" s="843">
        <f t="shared" si="65"/>
        <v>0</v>
      </c>
      <c r="U400" s="843">
        <f t="shared" ref="U400:U463" si="82">+O400</f>
        <v>0</v>
      </c>
      <c r="V400" s="307"/>
      <c r="W400" t="e">
        <f>+'Yeşil Defter'!#REF!</f>
        <v>#REF!</v>
      </c>
      <c r="X400" s="766"/>
    </row>
    <row r="401" spans="1:24" ht="19.95" hidden="1" customHeight="1" x14ac:dyDescent="0.3">
      <c r="A401" s="262">
        <v>6</v>
      </c>
      <c r="C401" s="855">
        <v>376</v>
      </c>
      <c r="D401" s="855" t="s">
        <v>940</v>
      </c>
      <c r="E401" s="1345" t="s">
        <v>941</v>
      </c>
      <c r="F401" s="1345"/>
      <c r="G401" s="1345"/>
      <c r="H401" s="855" t="s">
        <v>286</v>
      </c>
      <c r="I401" s="856">
        <v>6643392</v>
      </c>
      <c r="J401" s="852">
        <f>+'Yeşil Defter Dönemsel'!I400</f>
        <v>0</v>
      </c>
      <c r="K401" s="852">
        <f>+'Yeşil Defter Dönemsel'!J400</f>
        <v>0</v>
      </c>
      <c r="L401" s="852">
        <f>+'Yeşil Defter Dönemsel'!K400</f>
        <v>0</v>
      </c>
      <c r="M401" s="857">
        <f t="shared" si="77"/>
        <v>0</v>
      </c>
      <c r="N401" s="857">
        <f t="shared" si="78"/>
        <v>0</v>
      </c>
      <c r="O401" s="857">
        <f t="shared" si="79"/>
        <v>0</v>
      </c>
      <c r="P401" s="852">
        <f t="shared" si="74"/>
        <v>0</v>
      </c>
      <c r="Q401" s="854">
        <f t="shared" si="80"/>
        <v>0</v>
      </c>
      <c r="R401" s="854">
        <f t="shared" si="75"/>
        <v>0</v>
      </c>
      <c r="S401" s="843">
        <f t="shared" si="81"/>
        <v>0</v>
      </c>
      <c r="T401" s="843">
        <f t="shared" ref="T401:T464" si="83">+U401-S401</f>
        <v>0</v>
      </c>
      <c r="U401" s="843">
        <f t="shared" si="82"/>
        <v>0</v>
      </c>
      <c r="V401" s="307"/>
      <c r="W401" t="e">
        <f>+'Yeşil Defter'!#REF!</f>
        <v>#REF!</v>
      </c>
      <c r="X401" s="766"/>
    </row>
    <row r="402" spans="1:24" ht="19.95" hidden="1" customHeight="1" x14ac:dyDescent="0.3">
      <c r="A402" s="262">
        <v>6</v>
      </c>
      <c r="C402" s="855">
        <v>377</v>
      </c>
      <c r="D402" s="855" t="s">
        <v>942</v>
      </c>
      <c r="E402" s="1345" t="s">
        <v>943</v>
      </c>
      <c r="F402" s="1345"/>
      <c r="G402" s="1345"/>
      <c r="H402" s="855" t="s">
        <v>286</v>
      </c>
      <c r="I402" s="856">
        <v>5979052</v>
      </c>
      <c r="J402" s="852">
        <f>+'Yeşil Defter Dönemsel'!I401</f>
        <v>0</v>
      </c>
      <c r="K402" s="852">
        <f>+'Yeşil Defter Dönemsel'!J401</f>
        <v>0</v>
      </c>
      <c r="L402" s="852">
        <f>+'Yeşil Defter Dönemsel'!K401</f>
        <v>0</v>
      </c>
      <c r="M402" s="857">
        <f t="shared" si="77"/>
        <v>0</v>
      </c>
      <c r="N402" s="857">
        <f t="shared" si="78"/>
        <v>0</v>
      </c>
      <c r="O402" s="857">
        <f t="shared" si="79"/>
        <v>0</v>
      </c>
      <c r="P402" s="852">
        <f t="shared" si="74"/>
        <v>0</v>
      </c>
      <c r="Q402" s="854">
        <f t="shared" si="80"/>
        <v>0</v>
      </c>
      <c r="R402" s="854">
        <f t="shared" si="75"/>
        <v>0</v>
      </c>
      <c r="S402" s="843">
        <f t="shared" si="81"/>
        <v>0</v>
      </c>
      <c r="T402" s="843">
        <f t="shared" si="83"/>
        <v>0</v>
      </c>
      <c r="U402" s="843">
        <f t="shared" si="82"/>
        <v>0</v>
      </c>
      <c r="V402" s="307"/>
      <c r="W402" t="e">
        <f>+'Yeşil Defter'!#REF!</f>
        <v>#REF!</v>
      </c>
      <c r="X402" s="766"/>
    </row>
    <row r="403" spans="1:24" ht="19.95" hidden="1" customHeight="1" x14ac:dyDescent="0.3">
      <c r="A403" s="262">
        <v>6</v>
      </c>
      <c r="C403" s="855">
        <v>378</v>
      </c>
      <c r="D403" s="855" t="s">
        <v>944</v>
      </c>
      <c r="E403" s="1345" t="s">
        <v>945</v>
      </c>
      <c r="F403" s="1345"/>
      <c r="G403" s="1345"/>
      <c r="H403" s="855" t="s">
        <v>286</v>
      </c>
      <c r="I403" s="856">
        <v>6311222</v>
      </c>
      <c r="J403" s="852">
        <f>+'Yeşil Defter Dönemsel'!I402</f>
        <v>0</v>
      </c>
      <c r="K403" s="852">
        <f>+'Yeşil Defter Dönemsel'!J402</f>
        <v>0</v>
      </c>
      <c r="L403" s="852">
        <f>+'Yeşil Defter Dönemsel'!K402</f>
        <v>0</v>
      </c>
      <c r="M403" s="857">
        <f t="shared" si="77"/>
        <v>0</v>
      </c>
      <c r="N403" s="857">
        <f t="shared" si="78"/>
        <v>0</v>
      </c>
      <c r="O403" s="857">
        <f t="shared" si="79"/>
        <v>0</v>
      </c>
      <c r="P403" s="852">
        <f t="shared" si="74"/>
        <v>0</v>
      </c>
      <c r="Q403" s="854">
        <f t="shared" si="80"/>
        <v>0</v>
      </c>
      <c r="R403" s="854">
        <f t="shared" si="75"/>
        <v>0</v>
      </c>
      <c r="S403" s="843">
        <f t="shared" si="81"/>
        <v>0</v>
      </c>
      <c r="T403" s="843">
        <f t="shared" si="83"/>
        <v>0</v>
      </c>
      <c r="U403" s="843">
        <f t="shared" si="82"/>
        <v>0</v>
      </c>
      <c r="V403" s="307"/>
      <c r="W403" t="e">
        <f>+'Yeşil Defter'!#REF!</f>
        <v>#REF!</v>
      </c>
      <c r="X403" s="766"/>
    </row>
    <row r="404" spans="1:24" ht="19.95" hidden="1" customHeight="1" x14ac:dyDescent="0.3">
      <c r="A404" s="262">
        <v>6</v>
      </c>
      <c r="C404" s="855">
        <v>379</v>
      </c>
      <c r="D404" s="855" t="s">
        <v>946</v>
      </c>
      <c r="E404" s="1345" t="s">
        <v>947</v>
      </c>
      <c r="F404" s="1345"/>
      <c r="G404" s="1345"/>
      <c r="H404" s="855" t="s">
        <v>286</v>
      </c>
      <c r="I404" s="856">
        <v>1769063</v>
      </c>
      <c r="J404" s="852">
        <f>+'Yeşil Defter Dönemsel'!I403</f>
        <v>0</v>
      </c>
      <c r="K404" s="852">
        <f>+'Yeşil Defter Dönemsel'!J403</f>
        <v>0</v>
      </c>
      <c r="L404" s="852">
        <f>+'Yeşil Defter Dönemsel'!K403</f>
        <v>0</v>
      </c>
      <c r="M404" s="857">
        <f t="shared" si="77"/>
        <v>0</v>
      </c>
      <c r="N404" s="857">
        <f t="shared" si="78"/>
        <v>0</v>
      </c>
      <c r="O404" s="857">
        <f t="shared" si="79"/>
        <v>0</v>
      </c>
      <c r="P404" s="852">
        <f t="shared" si="74"/>
        <v>0</v>
      </c>
      <c r="Q404" s="854">
        <f t="shared" si="80"/>
        <v>0</v>
      </c>
      <c r="R404" s="854">
        <f t="shared" si="75"/>
        <v>0</v>
      </c>
      <c r="S404" s="843">
        <f t="shared" si="81"/>
        <v>0</v>
      </c>
      <c r="T404" s="843">
        <f t="shared" si="83"/>
        <v>0</v>
      </c>
      <c r="U404" s="843">
        <f t="shared" si="82"/>
        <v>0</v>
      </c>
      <c r="V404" s="307"/>
      <c r="W404" t="e">
        <f>+'Yeşil Defter'!#REF!</f>
        <v>#REF!</v>
      </c>
      <c r="X404" s="766"/>
    </row>
    <row r="405" spans="1:24" ht="19.95" hidden="1" customHeight="1" x14ac:dyDescent="0.3">
      <c r="A405" s="262">
        <v>6</v>
      </c>
      <c r="C405" s="855">
        <v>380</v>
      </c>
      <c r="D405" s="855" t="s">
        <v>948</v>
      </c>
      <c r="E405" s="1345" t="s">
        <v>949</v>
      </c>
      <c r="F405" s="1345"/>
      <c r="G405" s="1345"/>
      <c r="H405" s="855" t="s">
        <v>286</v>
      </c>
      <c r="I405" s="856">
        <v>23957287</v>
      </c>
      <c r="J405" s="852">
        <f>+'Yeşil Defter Dönemsel'!I404</f>
        <v>0</v>
      </c>
      <c r="K405" s="852">
        <f>+'Yeşil Defter Dönemsel'!J404</f>
        <v>0</v>
      </c>
      <c r="L405" s="852">
        <f>+'Yeşil Defter Dönemsel'!K404</f>
        <v>0</v>
      </c>
      <c r="M405" s="857">
        <f t="shared" si="77"/>
        <v>0</v>
      </c>
      <c r="N405" s="857">
        <f t="shared" si="78"/>
        <v>0</v>
      </c>
      <c r="O405" s="857">
        <f t="shared" si="79"/>
        <v>0</v>
      </c>
      <c r="P405" s="852">
        <f t="shared" si="74"/>
        <v>0</v>
      </c>
      <c r="Q405" s="854">
        <f t="shared" si="80"/>
        <v>0</v>
      </c>
      <c r="R405" s="854">
        <f t="shared" si="75"/>
        <v>0</v>
      </c>
      <c r="S405" s="843">
        <f t="shared" si="81"/>
        <v>0</v>
      </c>
      <c r="T405" s="843">
        <f t="shared" si="83"/>
        <v>0</v>
      </c>
      <c r="U405" s="843">
        <f t="shared" si="82"/>
        <v>0</v>
      </c>
      <c r="V405" s="307"/>
      <c r="W405" t="e">
        <f>+'Yeşil Defter'!#REF!</f>
        <v>#REF!</v>
      </c>
      <c r="X405" s="766"/>
    </row>
    <row r="406" spans="1:24" ht="19.95" hidden="1" customHeight="1" x14ac:dyDescent="0.3">
      <c r="A406" s="262">
        <v>6</v>
      </c>
      <c r="C406" s="855">
        <v>381</v>
      </c>
      <c r="D406" s="855" t="s">
        <v>950</v>
      </c>
      <c r="E406" s="1345" t="s">
        <v>951</v>
      </c>
      <c r="F406" s="1345"/>
      <c r="G406" s="1345"/>
      <c r="H406" s="855" t="s">
        <v>286</v>
      </c>
      <c r="I406" s="856">
        <v>26160256</v>
      </c>
      <c r="J406" s="852">
        <f>+'Yeşil Defter Dönemsel'!I405</f>
        <v>0</v>
      </c>
      <c r="K406" s="852">
        <f>+'Yeşil Defter Dönemsel'!J405</f>
        <v>0</v>
      </c>
      <c r="L406" s="852">
        <f>+'Yeşil Defter Dönemsel'!K405</f>
        <v>0</v>
      </c>
      <c r="M406" s="857">
        <f t="shared" si="77"/>
        <v>0</v>
      </c>
      <c r="N406" s="857">
        <f t="shared" si="78"/>
        <v>0</v>
      </c>
      <c r="O406" s="857">
        <f t="shared" si="79"/>
        <v>0</v>
      </c>
      <c r="P406" s="852">
        <f t="shared" si="74"/>
        <v>0</v>
      </c>
      <c r="Q406" s="854">
        <f t="shared" si="80"/>
        <v>0</v>
      </c>
      <c r="R406" s="854">
        <f t="shared" si="75"/>
        <v>0</v>
      </c>
      <c r="S406" s="843">
        <f t="shared" si="81"/>
        <v>0</v>
      </c>
      <c r="T406" s="843">
        <f t="shared" si="83"/>
        <v>0</v>
      </c>
      <c r="U406" s="843">
        <f t="shared" si="82"/>
        <v>0</v>
      </c>
      <c r="V406" s="307"/>
      <c r="W406" t="e">
        <f>+'Yeşil Defter'!#REF!</f>
        <v>#REF!</v>
      </c>
      <c r="X406" s="766"/>
    </row>
    <row r="407" spans="1:24" ht="19.95" hidden="1" customHeight="1" x14ac:dyDescent="0.3">
      <c r="A407" s="262">
        <v>6</v>
      </c>
      <c r="C407" s="855">
        <v>382</v>
      </c>
      <c r="D407" s="855" t="s">
        <v>952</v>
      </c>
      <c r="E407" s="1345" t="s">
        <v>953</v>
      </c>
      <c r="F407" s="1345"/>
      <c r="G407" s="1345"/>
      <c r="H407" s="855" t="s">
        <v>286</v>
      </c>
      <c r="I407" s="856">
        <v>27537111</v>
      </c>
      <c r="J407" s="852">
        <f>+'Yeşil Defter Dönemsel'!I406</f>
        <v>0</v>
      </c>
      <c r="K407" s="852">
        <f>+'Yeşil Defter Dönemsel'!J406</f>
        <v>0</v>
      </c>
      <c r="L407" s="852">
        <f>+'Yeşil Defter Dönemsel'!K406</f>
        <v>0</v>
      </c>
      <c r="M407" s="857">
        <f t="shared" si="77"/>
        <v>0</v>
      </c>
      <c r="N407" s="857">
        <f t="shared" si="78"/>
        <v>0</v>
      </c>
      <c r="O407" s="857">
        <f t="shared" si="79"/>
        <v>0</v>
      </c>
      <c r="P407" s="852">
        <f t="shared" si="74"/>
        <v>0</v>
      </c>
      <c r="Q407" s="854">
        <f t="shared" si="80"/>
        <v>0</v>
      </c>
      <c r="R407" s="854">
        <f t="shared" si="75"/>
        <v>0</v>
      </c>
      <c r="S407" s="843">
        <f t="shared" si="81"/>
        <v>0</v>
      </c>
      <c r="T407" s="843">
        <f t="shared" si="83"/>
        <v>0</v>
      </c>
      <c r="U407" s="843">
        <f t="shared" si="82"/>
        <v>0</v>
      </c>
      <c r="V407" s="307"/>
      <c r="W407" t="e">
        <f>+'Yeşil Defter'!#REF!</f>
        <v>#REF!</v>
      </c>
      <c r="X407" s="766"/>
    </row>
    <row r="408" spans="1:24" ht="19.95" hidden="1" customHeight="1" x14ac:dyDescent="0.3">
      <c r="A408" s="262">
        <v>6</v>
      </c>
      <c r="C408" s="855">
        <v>383</v>
      </c>
      <c r="D408" s="855" t="s">
        <v>954</v>
      </c>
      <c r="E408" s="1345" t="s">
        <v>955</v>
      </c>
      <c r="F408" s="1345"/>
      <c r="G408" s="1345"/>
      <c r="H408" s="855" t="s">
        <v>286</v>
      </c>
      <c r="I408" s="856">
        <v>24783400</v>
      </c>
      <c r="J408" s="852">
        <f>+'Yeşil Defter Dönemsel'!I407</f>
        <v>0</v>
      </c>
      <c r="K408" s="852">
        <f>+'Yeşil Defter Dönemsel'!J407</f>
        <v>0</v>
      </c>
      <c r="L408" s="852">
        <f>+'Yeşil Defter Dönemsel'!K407</f>
        <v>0</v>
      </c>
      <c r="M408" s="857">
        <f t="shared" si="77"/>
        <v>0</v>
      </c>
      <c r="N408" s="857">
        <f t="shared" si="78"/>
        <v>0</v>
      </c>
      <c r="O408" s="857">
        <f t="shared" si="79"/>
        <v>0</v>
      </c>
      <c r="P408" s="852">
        <f t="shared" si="74"/>
        <v>0</v>
      </c>
      <c r="Q408" s="854">
        <f t="shared" si="80"/>
        <v>0</v>
      </c>
      <c r="R408" s="854">
        <f t="shared" si="75"/>
        <v>0</v>
      </c>
      <c r="S408" s="843">
        <f t="shared" si="81"/>
        <v>0</v>
      </c>
      <c r="T408" s="843">
        <f t="shared" si="83"/>
        <v>0</v>
      </c>
      <c r="U408" s="843">
        <f t="shared" si="82"/>
        <v>0</v>
      </c>
      <c r="V408" s="307"/>
      <c r="W408" t="e">
        <f>+'Yeşil Defter'!#REF!</f>
        <v>#REF!</v>
      </c>
      <c r="X408" s="766"/>
    </row>
    <row r="409" spans="1:24" ht="19.95" hidden="1" customHeight="1" x14ac:dyDescent="0.3">
      <c r="A409" s="262">
        <v>6</v>
      </c>
      <c r="C409" s="855">
        <v>384</v>
      </c>
      <c r="D409" s="855" t="s">
        <v>956</v>
      </c>
      <c r="E409" s="1345" t="s">
        <v>957</v>
      </c>
      <c r="F409" s="1345"/>
      <c r="G409" s="1345"/>
      <c r="H409" s="855" t="s">
        <v>286</v>
      </c>
      <c r="I409" s="856">
        <v>26160256</v>
      </c>
      <c r="J409" s="852">
        <f>+'Yeşil Defter Dönemsel'!I408</f>
        <v>0</v>
      </c>
      <c r="K409" s="852">
        <f>+'Yeşil Defter Dönemsel'!J408</f>
        <v>0</v>
      </c>
      <c r="L409" s="852">
        <f>+'Yeşil Defter Dönemsel'!K408</f>
        <v>0</v>
      </c>
      <c r="M409" s="857">
        <f t="shared" si="77"/>
        <v>0</v>
      </c>
      <c r="N409" s="857">
        <f t="shared" si="78"/>
        <v>0</v>
      </c>
      <c r="O409" s="857">
        <f t="shared" si="79"/>
        <v>0</v>
      </c>
      <c r="P409" s="852">
        <f t="shared" si="74"/>
        <v>0</v>
      </c>
      <c r="Q409" s="854">
        <f t="shared" si="80"/>
        <v>0</v>
      </c>
      <c r="R409" s="854">
        <f t="shared" si="75"/>
        <v>0</v>
      </c>
      <c r="S409" s="843">
        <f t="shared" si="81"/>
        <v>0</v>
      </c>
      <c r="T409" s="843">
        <f t="shared" si="83"/>
        <v>0</v>
      </c>
      <c r="U409" s="843">
        <f t="shared" si="82"/>
        <v>0</v>
      </c>
      <c r="V409" s="307"/>
      <c r="W409" t="e">
        <f>+'Yeşil Defter'!#REF!</f>
        <v>#REF!</v>
      </c>
      <c r="X409" s="766"/>
    </row>
    <row r="410" spans="1:24" ht="19.95" hidden="1" customHeight="1" x14ac:dyDescent="0.3">
      <c r="A410" s="262">
        <v>6</v>
      </c>
      <c r="C410" s="855">
        <v>385</v>
      </c>
      <c r="D410" s="855" t="s">
        <v>958</v>
      </c>
      <c r="E410" s="1345" t="s">
        <v>959</v>
      </c>
      <c r="F410" s="1345"/>
      <c r="G410" s="1345"/>
      <c r="H410" s="855" t="s">
        <v>286</v>
      </c>
      <c r="I410" s="856">
        <v>61312053</v>
      </c>
      <c r="J410" s="852">
        <f>+'Yeşil Defter Dönemsel'!I409</f>
        <v>0</v>
      </c>
      <c r="K410" s="852">
        <f>+'Yeşil Defter Dönemsel'!J409</f>
        <v>0</v>
      </c>
      <c r="L410" s="852">
        <f>+'Yeşil Defter Dönemsel'!K409</f>
        <v>0</v>
      </c>
      <c r="M410" s="857">
        <f t="shared" si="77"/>
        <v>0</v>
      </c>
      <c r="N410" s="857">
        <f t="shared" si="78"/>
        <v>0</v>
      </c>
      <c r="O410" s="857">
        <f t="shared" si="79"/>
        <v>0</v>
      </c>
      <c r="P410" s="852">
        <f t="shared" si="74"/>
        <v>0</v>
      </c>
      <c r="Q410" s="854">
        <f t="shared" si="80"/>
        <v>0</v>
      </c>
      <c r="R410" s="854">
        <f t="shared" si="75"/>
        <v>0</v>
      </c>
      <c r="S410" s="843">
        <f t="shared" si="81"/>
        <v>0</v>
      </c>
      <c r="T410" s="843">
        <f t="shared" si="83"/>
        <v>0</v>
      </c>
      <c r="U410" s="843">
        <f t="shared" si="82"/>
        <v>0</v>
      </c>
      <c r="V410" s="307"/>
      <c r="W410" t="e">
        <f>+'Yeşil Defter'!#REF!</f>
        <v>#REF!</v>
      </c>
      <c r="X410" s="766"/>
    </row>
    <row r="411" spans="1:24" ht="19.95" hidden="1" customHeight="1" x14ac:dyDescent="0.3">
      <c r="A411" s="262">
        <v>6</v>
      </c>
      <c r="C411" s="855">
        <v>386</v>
      </c>
      <c r="D411" s="855" t="s">
        <v>960</v>
      </c>
      <c r="E411" s="1345" t="s">
        <v>961</v>
      </c>
      <c r="F411" s="1345"/>
      <c r="G411" s="1345"/>
      <c r="H411" s="855" t="s">
        <v>286</v>
      </c>
      <c r="I411" s="856">
        <v>7050905</v>
      </c>
      <c r="J411" s="852">
        <f>+'Yeşil Defter Dönemsel'!I410</f>
        <v>0</v>
      </c>
      <c r="K411" s="852">
        <f>+'Yeşil Defter Dönemsel'!J410</f>
        <v>0</v>
      </c>
      <c r="L411" s="852">
        <f>+'Yeşil Defter Dönemsel'!K410</f>
        <v>0</v>
      </c>
      <c r="M411" s="857">
        <f t="shared" si="77"/>
        <v>0</v>
      </c>
      <c r="N411" s="857">
        <f t="shared" si="78"/>
        <v>0</v>
      </c>
      <c r="O411" s="857">
        <f t="shared" si="79"/>
        <v>0</v>
      </c>
      <c r="P411" s="852">
        <f t="shared" si="74"/>
        <v>0</v>
      </c>
      <c r="Q411" s="854">
        <f t="shared" si="80"/>
        <v>0</v>
      </c>
      <c r="R411" s="854">
        <f t="shared" si="75"/>
        <v>0</v>
      </c>
      <c r="S411" s="843">
        <f t="shared" si="81"/>
        <v>0</v>
      </c>
      <c r="T411" s="843">
        <f t="shared" si="83"/>
        <v>0</v>
      </c>
      <c r="U411" s="843">
        <f t="shared" si="82"/>
        <v>0</v>
      </c>
      <c r="V411" s="307"/>
      <c r="W411" t="e">
        <f>+'Yeşil Defter'!#REF!</f>
        <v>#REF!</v>
      </c>
      <c r="X411" s="766"/>
    </row>
    <row r="412" spans="1:24" ht="19.95" hidden="1" customHeight="1" x14ac:dyDescent="0.3">
      <c r="A412" s="262">
        <v>6</v>
      </c>
      <c r="C412" s="855">
        <v>387</v>
      </c>
      <c r="D412" s="855" t="s">
        <v>962</v>
      </c>
      <c r="E412" s="1345" t="s">
        <v>963</v>
      </c>
      <c r="F412" s="1345"/>
      <c r="G412" s="1345"/>
      <c r="H412" s="855" t="s">
        <v>286</v>
      </c>
      <c r="I412" s="856">
        <v>7050905</v>
      </c>
      <c r="J412" s="852">
        <f>+'Yeşil Defter Dönemsel'!I411</f>
        <v>0</v>
      </c>
      <c r="K412" s="852">
        <f>+'Yeşil Defter Dönemsel'!J411</f>
        <v>0</v>
      </c>
      <c r="L412" s="852">
        <f>+'Yeşil Defter Dönemsel'!K411</f>
        <v>0</v>
      </c>
      <c r="M412" s="857">
        <f t="shared" si="77"/>
        <v>0</v>
      </c>
      <c r="N412" s="857">
        <f t="shared" si="78"/>
        <v>0</v>
      </c>
      <c r="O412" s="857">
        <f t="shared" si="79"/>
        <v>0</v>
      </c>
      <c r="P412" s="852">
        <f t="shared" si="74"/>
        <v>0</v>
      </c>
      <c r="Q412" s="854">
        <f t="shared" si="80"/>
        <v>0</v>
      </c>
      <c r="R412" s="854">
        <f t="shared" si="75"/>
        <v>0</v>
      </c>
      <c r="S412" s="843">
        <f t="shared" si="81"/>
        <v>0</v>
      </c>
      <c r="T412" s="843">
        <f t="shared" si="83"/>
        <v>0</v>
      </c>
      <c r="U412" s="843">
        <f t="shared" si="82"/>
        <v>0</v>
      </c>
      <c r="V412" s="307"/>
      <c r="W412" t="e">
        <f>+'Yeşil Defter'!#REF!</f>
        <v>#REF!</v>
      </c>
      <c r="X412" s="766"/>
    </row>
    <row r="413" spans="1:24" ht="19.95" hidden="1" customHeight="1" x14ac:dyDescent="0.3">
      <c r="A413" s="262">
        <v>6</v>
      </c>
      <c r="C413" s="855">
        <v>388</v>
      </c>
      <c r="D413" s="855" t="s">
        <v>964</v>
      </c>
      <c r="E413" s="1345" t="s">
        <v>965</v>
      </c>
      <c r="F413" s="1345"/>
      <c r="G413" s="1345"/>
      <c r="H413" s="855" t="s">
        <v>286</v>
      </c>
      <c r="I413" s="856">
        <v>7050905</v>
      </c>
      <c r="J413" s="852">
        <f>+'Yeşil Defter Dönemsel'!I412</f>
        <v>0</v>
      </c>
      <c r="K413" s="852">
        <f>+'Yeşil Defter Dönemsel'!J412</f>
        <v>0</v>
      </c>
      <c r="L413" s="852">
        <f>+'Yeşil Defter Dönemsel'!K412</f>
        <v>0</v>
      </c>
      <c r="M413" s="857">
        <f t="shared" si="77"/>
        <v>0</v>
      </c>
      <c r="N413" s="857">
        <f t="shared" si="78"/>
        <v>0</v>
      </c>
      <c r="O413" s="857">
        <f t="shared" si="79"/>
        <v>0</v>
      </c>
      <c r="P413" s="852">
        <f t="shared" si="74"/>
        <v>0</v>
      </c>
      <c r="Q413" s="854">
        <f t="shared" si="80"/>
        <v>0</v>
      </c>
      <c r="R413" s="854">
        <f t="shared" si="75"/>
        <v>0</v>
      </c>
      <c r="S413" s="843">
        <f t="shared" si="81"/>
        <v>0</v>
      </c>
      <c r="T413" s="843">
        <f t="shared" si="83"/>
        <v>0</v>
      </c>
      <c r="U413" s="843">
        <f t="shared" si="82"/>
        <v>0</v>
      </c>
      <c r="V413" s="307"/>
      <c r="W413" t="e">
        <f>+'Yeşil Defter'!#REF!</f>
        <v>#REF!</v>
      </c>
      <c r="X413" s="766"/>
    </row>
    <row r="414" spans="1:24" ht="19.95" hidden="1" customHeight="1" x14ac:dyDescent="0.3">
      <c r="A414" s="262">
        <v>6</v>
      </c>
      <c r="C414" s="855">
        <v>389</v>
      </c>
      <c r="D414" s="855" t="s">
        <v>966</v>
      </c>
      <c r="E414" s="1345" t="s">
        <v>967</v>
      </c>
      <c r="F414" s="1345"/>
      <c r="G414" s="1345"/>
      <c r="H414" s="855" t="s">
        <v>286</v>
      </c>
      <c r="I414" s="856">
        <v>7050905</v>
      </c>
      <c r="J414" s="852">
        <f>+'Yeşil Defter Dönemsel'!I413</f>
        <v>0</v>
      </c>
      <c r="K414" s="852">
        <f>+'Yeşil Defter Dönemsel'!J413</f>
        <v>0</v>
      </c>
      <c r="L414" s="852">
        <f>+'Yeşil Defter Dönemsel'!K413</f>
        <v>0</v>
      </c>
      <c r="M414" s="857">
        <f t="shared" si="77"/>
        <v>0</v>
      </c>
      <c r="N414" s="857">
        <f t="shared" si="78"/>
        <v>0</v>
      </c>
      <c r="O414" s="857">
        <f t="shared" si="79"/>
        <v>0</v>
      </c>
      <c r="P414" s="852">
        <f t="shared" si="74"/>
        <v>0</v>
      </c>
      <c r="Q414" s="854">
        <f t="shared" si="80"/>
        <v>0</v>
      </c>
      <c r="R414" s="854">
        <f t="shared" si="75"/>
        <v>0</v>
      </c>
      <c r="S414" s="843">
        <f t="shared" si="81"/>
        <v>0</v>
      </c>
      <c r="T414" s="843">
        <f t="shared" si="83"/>
        <v>0</v>
      </c>
      <c r="U414" s="843">
        <f t="shared" si="82"/>
        <v>0</v>
      </c>
      <c r="V414" s="307"/>
      <c r="W414" t="e">
        <f>+'Yeşil Defter'!#REF!</f>
        <v>#REF!</v>
      </c>
      <c r="X414" s="766"/>
    </row>
    <row r="415" spans="1:24" ht="19.95" hidden="1" customHeight="1" x14ac:dyDescent="0.3">
      <c r="A415" s="262">
        <v>6</v>
      </c>
      <c r="C415" s="855">
        <v>390</v>
      </c>
      <c r="D415" s="855" t="s">
        <v>968</v>
      </c>
      <c r="E415" s="1345" t="s">
        <v>969</v>
      </c>
      <c r="F415" s="1345"/>
      <c r="G415" s="1345"/>
      <c r="H415" s="855" t="s">
        <v>286</v>
      </c>
      <c r="I415" s="856">
        <v>7050905</v>
      </c>
      <c r="J415" s="852">
        <f>+'Yeşil Defter Dönemsel'!I414</f>
        <v>0</v>
      </c>
      <c r="K415" s="852">
        <f>+'Yeşil Defter Dönemsel'!J414</f>
        <v>0</v>
      </c>
      <c r="L415" s="852">
        <f>+'Yeşil Defter Dönemsel'!K414</f>
        <v>0</v>
      </c>
      <c r="M415" s="857">
        <f t="shared" si="77"/>
        <v>0</v>
      </c>
      <c r="N415" s="857">
        <f t="shared" si="78"/>
        <v>0</v>
      </c>
      <c r="O415" s="857">
        <f t="shared" si="79"/>
        <v>0</v>
      </c>
      <c r="P415" s="852">
        <f t="shared" si="74"/>
        <v>0</v>
      </c>
      <c r="Q415" s="854">
        <f t="shared" si="80"/>
        <v>0</v>
      </c>
      <c r="R415" s="854">
        <f t="shared" si="75"/>
        <v>0</v>
      </c>
      <c r="S415" s="843">
        <f t="shared" si="81"/>
        <v>0</v>
      </c>
      <c r="T415" s="843">
        <f t="shared" si="83"/>
        <v>0</v>
      </c>
      <c r="U415" s="843">
        <f t="shared" si="82"/>
        <v>0</v>
      </c>
      <c r="V415" s="307"/>
      <c r="W415" t="e">
        <f>+'Yeşil Defter'!#REF!</f>
        <v>#REF!</v>
      </c>
      <c r="X415" s="766"/>
    </row>
    <row r="416" spans="1:24" ht="19.95" hidden="1" customHeight="1" x14ac:dyDescent="0.3">
      <c r="A416" s="262">
        <v>6</v>
      </c>
      <c r="C416" s="855">
        <v>391</v>
      </c>
      <c r="D416" s="855" t="s">
        <v>970</v>
      </c>
      <c r="E416" s="1345" t="s">
        <v>971</v>
      </c>
      <c r="F416" s="1345"/>
      <c r="G416" s="1345"/>
      <c r="H416" s="855" t="s">
        <v>286</v>
      </c>
      <c r="I416" s="856">
        <v>3644778</v>
      </c>
      <c r="J416" s="852">
        <f>+'Yeşil Defter Dönemsel'!I415</f>
        <v>0</v>
      </c>
      <c r="K416" s="852">
        <f>+'Yeşil Defter Dönemsel'!J415</f>
        <v>0</v>
      </c>
      <c r="L416" s="852">
        <f>+'Yeşil Defter Dönemsel'!K415</f>
        <v>0</v>
      </c>
      <c r="M416" s="857">
        <f t="shared" si="77"/>
        <v>0</v>
      </c>
      <c r="N416" s="857">
        <f t="shared" si="78"/>
        <v>0</v>
      </c>
      <c r="O416" s="857">
        <f t="shared" si="79"/>
        <v>0</v>
      </c>
      <c r="P416" s="852">
        <f t="shared" si="74"/>
        <v>0</v>
      </c>
      <c r="Q416" s="854">
        <f t="shared" si="80"/>
        <v>0</v>
      </c>
      <c r="R416" s="854">
        <f t="shared" si="75"/>
        <v>0</v>
      </c>
      <c r="S416" s="843">
        <f t="shared" si="81"/>
        <v>0</v>
      </c>
      <c r="T416" s="843">
        <f t="shared" si="83"/>
        <v>0</v>
      </c>
      <c r="U416" s="843">
        <f t="shared" si="82"/>
        <v>0</v>
      </c>
      <c r="V416" s="307"/>
      <c r="W416" t="e">
        <f>+'Yeşil Defter'!#REF!</f>
        <v>#REF!</v>
      </c>
      <c r="X416" s="766"/>
    </row>
    <row r="417" spans="1:24" ht="19.95" hidden="1" customHeight="1" x14ac:dyDescent="0.3">
      <c r="A417" s="262">
        <v>6</v>
      </c>
      <c r="C417" s="855">
        <v>392</v>
      </c>
      <c r="D417" s="855" t="s">
        <v>972</v>
      </c>
      <c r="E417" s="1345" t="s">
        <v>973</v>
      </c>
      <c r="F417" s="1345"/>
      <c r="G417" s="1345"/>
      <c r="H417" s="855" t="s">
        <v>286</v>
      </c>
      <c r="I417" s="856">
        <v>3644778</v>
      </c>
      <c r="J417" s="852">
        <f>+'Yeşil Defter Dönemsel'!I416</f>
        <v>0</v>
      </c>
      <c r="K417" s="852">
        <f>+'Yeşil Defter Dönemsel'!J416</f>
        <v>0</v>
      </c>
      <c r="L417" s="852">
        <f>+'Yeşil Defter Dönemsel'!K416</f>
        <v>0</v>
      </c>
      <c r="M417" s="857">
        <f t="shared" si="77"/>
        <v>0</v>
      </c>
      <c r="N417" s="857">
        <f t="shared" si="78"/>
        <v>0</v>
      </c>
      <c r="O417" s="857">
        <f t="shared" si="79"/>
        <v>0</v>
      </c>
      <c r="P417" s="852">
        <f t="shared" si="74"/>
        <v>0</v>
      </c>
      <c r="Q417" s="854">
        <f t="shared" si="80"/>
        <v>0</v>
      </c>
      <c r="R417" s="854">
        <f t="shared" si="75"/>
        <v>0</v>
      </c>
      <c r="S417" s="843">
        <f t="shared" si="81"/>
        <v>0</v>
      </c>
      <c r="T417" s="843">
        <f t="shared" si="83"/>
        <v>0</v>
      </c>
      <c r="U417" s="843">
        <f t="shared" si="82"/>
        <v>0</v>
      </c>
      <c r="V417" s="307"/>
      <c r="W417" t="e">
        <f>+'Yeşil Defter'!#REF!</f>
        <v>#REF!</v>
      </c>
      <c r="X417" s="766"/>
    </row>
    <row r="418" spans="1:24" ht="19.95" hidden="1" customHeight="1" x14ac:dyDescent="0.3">
      <c r="A418" s="262">
        <v>6</v>
      </c>
      <c r="C418" s="855">
        <v>393</v>
      </c>
      <c r="D418" s="855" t="s">
        <v>974</v>
      </c>
      <c r="E418" s="1345" t="s">
        <v>975</v>
      </c>
      <c r="F418" s="1345"/>
      <c r="G418" s="1345"/>
      <c r="H418" s="855" t="s">
        <v>286</v>
      </c>
      <c r="I418" s="856">
        <v>3644778</v>
      </c>
      <c r="J418" s="852">
        <f>+'Yeşil Defter Dönemsel'!I417</f>
        <v>0</v>
      </c>
      <c r="K418" s="852">
        <f>+'Yeşil Defter Dönemsel'!J417</f>
        <v>0</v>
      </c>
      <c r="L418" s="852">
        <f>+'Yeşil Defter Dönemsel'!K417</f>
        <v>0</v>
      </c>
      <c r="M418" s="857">
        <f t="shared" si="77"/>
        <v>0</v>
      </c>
      <c r="N418" s="857">
        <f t="shared" si="78"/>
        <v>0</v>
      </c>
      <c r="O418" s="857">
        <f t="shared" si="79"/>
        <v>0</v>
      </c>
      <c r="P418" s="852">
        <f t="shared" si="74"/>
        <v>0</v>
      </c>
      <c r="Q418" s="854">
        <f t="shared" si="80"/>
        <v>0</v>
      </c>
      <c r="R418" s="854">
        <f t="shared" si="75"/>
        <v>0</v>
      </c>
      <c r="S418" s="843">
        <f t="shared" si="81"/>
        <v>0</v>
      </c>
      <c r="T418" s="843">
        <f t="shared" si="83"/>
        <v>0</v>
      </c>
      <c r="U418" s="843">
        <f t="shared" si="82"/>
        <v>0</v>
      </c>
      <c r="V418" s="307"/>
      <c r="W418" t="e">
        <f>+'Yeşil Defter'!#REF!</f>
        <v>#REF!</v>
      </c>
      <c r="X418" s="766"/>
    </row>
    <row r="419" spans="1:24" ht="19.95" hidden="1" customHeight="1" x14ac:dyDescent="0.3">
      <c r="A419" s="262">
        <v>6</v>
      </c>
      <c r="C419" s="855">
        <v>394</v>
      </c>
      <c r="D419" s="855" t="s">
        <v>976</v>
      </c>
      <c r="E419" s="1345" t="s">
        <v>977</v>
      </c>
      <c r="F419" s="1345"/>
      <c r="G419" s="1345"/>
      <c r="H419" s="855" t="s">
        <v>286</v>
      </c>
      <c r="I419" s="856">
        <v>3644778</v>
      </c>
      <c r="J419" s="852">
        <f>+'Yeşil Defter Dönemsel'!I418</f>
        <v>0</v>
      </c>
      <c r="K419" s="852">
        <f>+'Yeşil Defter Dönemsel'!J418</f>
        <v>0</v>
      </c>
      <c r="L419" s="852">
        <f>+'Yeşil Defter Dönemsel'!K418</f>
        <v>0</v>
      </c>
      <c r="M419" s="857">
        <f t="shared" si="77"/>
        <v>0</v>
      </c>
      <c r="N419" s="857">
        <f t="shared" si="78"/>
        <v>0</v>
      </c>
      <c r="O419" s="857">
        <f t="shared" si="79"/>
        <v>0</v>
      </c>
      <c r="P419" s="852">
        <f t="shared" si="74"/>
        <v>0</v>
      </c>
      <c r="Q419" s="854">
        <f t="shared" si="80"/>
        <v>0</v>
      </c>
      <c r="R419" s="854">
        <f t="shared" si="75"/>
        <v>0</v>
      </c>
      <c r="S419" s="843">
        <f t="shared" si="81"/>
        <v>0</v>
      </c>
      <c r="T419" s="843">
        <f t="shared" si="83"/>
        <v>0</v>
      </c>
      <c r="U419" s="843">
        <f t="shared" si="82"/>
        <v>0</v>
      </c>
      <c r="V419" s="307"/>
      <c r="W419" t="e">
        <f>+'Yeşil Defter'!#REF!</f>
        <v>#REF!</v>
      </c>
      <c r="X419" s="766"/>
    </row>
    <row r="420" spans="1:24" ht="19.95" hidden="1" customHeight="1" x14ac:dyDescent="0.3">
      <c r="A420" s="262">
        <v>6</v>
      </c>
      <c r="C420" s="855">
        <v>395</v>
      </c>
      <c r="D420" s="855" t="s">
        <v>978</v>
      </c>
      <c r="E420" s="1345" t="s">
        <v>979</v>
      </c>
      <c r="F420" s="1345"/>
      <c r="G420" s="1345"/>
      <c r="H420" s="855" t="s">
        <v>286</v>
      </c>
      <c r="I420" s="856">
        <v>3644778</v>
      </c>
      <c r="J420" s="852">
        <f>+'Yeşil Defter Dönemsel'!I419</f>
        <v>0</v>
      </c>
      <c r="K420" s="852">
        <f>+'Yeşil Defter Dönemsel'!J419</f>
        <v>0</v>
      </c>
      <c r="L420" s="852">
        <f>+'Yeşil Defter Dönemsel'!K419</f>
        <v>0</v>
      </c>
      <c r="M420" s="857">
        <f t="shared" si="77"/>
        <v>0</v>
      </c>
      <c r="N420" s="857">
        <f t="shared" si="78"/>
        <v>0</v>
      </c>
      <c r="O420" s="857">
        <f t="shared" si="79"/>
        <v>0</v>
      </c>
      <c r="P420" s="852">
        <f t="shared" si="74"/>
        <v>0</v>
      </c>
      <c r="Q420" s="854">
        <f t="shared" si="80"/>
        <v>0</v>
      </c>
      <c r="R420" s="854">
        <f t="shared" si="75"/>
        <v>0</v>
      </c>
      <c r="S420" s="843">
        <f t="shared" si="81"/>
        <v>0</v>
      </c>
      <c r="T420" s="843">
        <f t="shared" si="83"/>
        <v>0</v>
      </c>
      <c r="U420" s="843">
        <f t="shared" si="82"/>
        <v>0</v>
      </c>
      <c r="V420" s="307"/>
      <c r="W420" t="e">
        <f>+'Yeşil Defter'!#REF!</f>
        <v>#REF!</v>
      </c>
      <c r="X420" s="766"/>
    </row>
    <row r="421" spans="1:24" ht="19.95" hidden="1" customHeight="1" x14ac:dyDescent="0.3">
      <c r="A421" s="262">
        <v>6</v>
      </c>
      <c r="C421" s="855">
        <v>396</v>
      </c>
      <c r="D421" s="855" t="s">
        <v>980</v>
      </c>
      <c r="E421" s="1345" t="s">
        <v>981</v>
      </c>
      <c r="F421" s="1345"/>
      <c r="G421" s="1345"/>
      <c r="H421" s="855" t="s">
        <v>286</v>
      </c>
      <c r="I421" s="856">
        <v>1341518</v>
      </c>
      <c r="J421" s="852">
        <f>+'Yeşil Defter Dönemsel'!I420</f>
        <v>0</v>
      </c>
      <c r="K421" s="852">
        <f>+'Yeşil Defter Dönemsel'!J420</f>
        <v>0</v>
      </c>
      <c r="L421" s="852">
        <f>+'Yeşil Defter Dönemsel'!K420</f>
        <v>0</v>
      </c>
      <c r="M421" s="857">
        <f t="shared" si="77"/>
        <v>0</v>
      </c>
      <c r="N421" s="857">
        <f t="shared" si="78"/>
        <v>0</v>
      </c>
      <c r="O421" s="857">
        <f t="shared" si="79"/>
        <v>0</v>
      </c>
      <c r="P421" s="852">
        <f t="shared" si="74"/>
        <v>0</v>
      </c>
      <c r="Q421" s="854">
        <f t="shared" si="80"/>
        <v>0</v>
      </c>
      <c r="R421" s="854">
        <f t="shared" si="75"/>
        <v>0</v>
      </c>
      <c r="S421" s="843">
        <f t="shared" si="81"/>
        <v>0</v>
      </c>
      <c r="T421" s="843">
        <f t="shared" si="83"/>
        <v>0</v>
      </c>
      <c r="U421" s="843">
        <f t="shared" si="82"/>
        <v>0</v>
      </c>
      <c r="V421" s="307"/>
      <c r="W421" t="e">
        <f>+'Yeşil Defter'!#REF!</f>
        <v>#REF!</v>
      </c>
      <c r="X421" s="766"/>
    </row>
    <row r="422" spans="1:24" ht="19.95" hidden="1" customHeight="1" x14ac:dyDescent="0.3">
      <c r="A422" s="262">
        <v>6</v>
      </c>
      <c r="C422" s="855">
        <v>397</v>
      </c>
      <c r="D422" s="855" t="s">
        <v>982</v>
      </c>
      <c r="E422" s="1345" t="s">
        <v>983</v>
      </c>
      <c r="F422" s="1345"/>
      <c r="G422" s="1345"/>
      <c r="H422" s="855" t="s">
        <v>286</v>
      </c>
      <c r="I422" s="856">
        <v>1464876</v>
      </c>
      <c r="J422" s="852">
        <f>+'Yeşil Defter Dönemsel'!I421</f>
        <v>0</v>
      </c>
      <c r="K422" s="852">
        <f>+'Yeşil Defter Dönemsel'!J421</f>
        <v>0</v>
      </c>
      <c r="L422" s="852">
        <f>+'Yeşil Defter Dönemsel'!K421</f>
        <v>0</v>
      </c>
      <c r="M422" s="857">
        <f t="shared" si="77"/>
        <v>0</v>
      </c>
      <c r="N422" s="857">
        <f t="shared" si="78"/>
        <v>0</v>
      </c>
      <c r="O422" s="857">
        <f t="shared" si="79"/>
        <v>0</v>
      </c>
      <c r="P422" s="852">
        <f t="shared" si="74"/>
        <v>0</v>
      </c>
      <c r="Q422" s="854">
        <f t="shared" si="80"/>
        <v>0</v>
      </c>
      <c r="R422" s="854">
        <f t="shared" si="75"/>
        <v>0</v>
      </c>
      <c r="S422" s="843">
        <f t="shared" si="81"/>
        <v>0</v>
      </c>
      <c r="T422" s="843">
        <f t="shared" si="83"/>
        <v>0</v>
      </c>
      <c r="U422" s="843">
        <f t="shared" si="82"/>
        <v>0</v>
      </c>
      <c r="V422" s="307"/>
      <c r="W422" t="e">
        <f>+'Yeşil Defter'!#REF!</f>
        <v>#REF!</v>
      </c>
      <c r="X422" s="766"/>
    </row>
    <row r="423" spans="1:24" ht="19.95" hidden="1" customHeight="1" x14ac:dyDescent="0.3">
      <c r="A423" s="262">
        <v>6</v>
      </c>
      <c r="C423" s="855">
        <v>398</v>
      </c>
      <c r="D423" s="855" t="s">
        <v>984</v>
      </c>
      <c r="E423" s="1345" t="s">
        <v>985</v>
      </c>
      <c r="F423" s="1345"/>
      <c r="G423" s="1345"/>
      <c r="H423" s="855" t="s">
        <v>286</v>
      </c>
      <c r="I423" s="856">
        <v>1541975</v>
      </c>
      <c r="J423" s="852">
        <f>+'Yeşil Defter Dönemsel'!I422</f>
        <v>0</v>
      </c>
      <c r="K423" s="852">
        <f>+'Yeşil Defter Dönemsel'!J422</f>
        <v>0</v>
      </c>
      <c r="L423" s="852">
        <f>+'Yeşil Defter Dönemsel'!K422</f>
        <v>0</v>
      </c>
      <c r="M423" s="857">
        <f t="shared" si="77"/>
        <v>0</v>
      </c>
      <c r="N423" s="857">
        <f t="shared" si="78"/>
        <v>0</v>
      </c>
      <c r="O423" s="857">
        <f t="shared" si="79"/>
        <v>0</v>
      </c>
      <c r="P423" s="852">
        <f t="shared" si="74"/>
        <v>0</v>
      </c>
      <c r="Q423" s="854">
        <f t="shared" si="80"/>
        <v>0</v>
      </c>
      <c r="R423" s="854">
        <f t="shared" si="75"/>
        <v>0</v>
      </c>
      <c r="S423" s="843">
        <f t="shared" si="81"/>
        <v>0</v>
      </c>
      <c r="T423" s="843">
        <f t="shared" si="83"/>
        <v>0</v>
      </c>
      <c r="U423" s="843">
        <f t="shared" si="82"/>
        <v>0</v>
      </c>
      <c r="V423" s="307"/>
      <c r="W423" t="e">
        <f>+'Yeşil Defter'!#REF!</f>
        <v>#REF!</v>
      </c>
      <c r="X423" s="766"/>
    </row>
    <row r="424" spans="1:24" ht="19.95" hidden="1" customHeight="1" x14ac:dyDescent="0.3">
      <c r="A424" s="262">
        <v>6</v>
      </c>
      <c r="C424" s="855">
        <v>399</v>
      </c>
      <c r="D424" s="855" t="s">
        <v>986</v>
      </c>
      <c r="E424" s="1345" t="s">
        <v>987</v>
      </c>
      <c r="F424" s="1345"/>
      <c r="G424" s="1345"/>
      <c r="H424" s="855" t="s">
        <v>286</v>
      </c>
      <c r="I424" s="856">
        <v>1387778</v>
      </c>
      <c r="J424" s="852">
        <f>+'Yeşil Defter Dönemsel'!I423</f>
        <v>0</v>
      </c>
      <c r="K424" s="852">
        <f>+'Yeşil Defter Dönemsel'!J423</f>
        <v>0</v>
      </c>
      <c r="L424" s="852">
        <f>+'Yeşil Defter Dönemsel'!K423</f>
        <v>0</v>
      </c>
      <c r="M424" s="857">
        <f t="shared" si="77"/>
        <v>0</v>
      </c>
      <c r="N424" s="857">
        <f t="shared" si="78"/>
        <v>0</v>
      </c>
      <c r="O424" s="857">
        <f t="shared" si="79"/>
        <v>0</v>
      </c>
      <c r="P424" s="852">
        <f t="shared" si="74"/>
        <v>0</v>
      </c>
      <c r="Q424" s="854">
        <f t="shared" si="80"/>
        <v>0</v>
      </c>
      <c r="R424" s="854">
        <f t="shared" si="75"/>
        <v>0</v>
      </c>
      <c r="S424" s="843">
        <f t="shared" si="81"/>
        <v>0</v>
      </c>
      <c r="T424" s="843">
        <f t="shared" si="83"/>
        <v>0</v>
      </c>
      <c r="U424" s="843">
        <f t="shared" si="82"/>
        <v>0</v>
      </c>
      <c r="V424" s="307"/>
      <c r="W424" t="e">
        <f>+'Yeşil Defter'!#REF!</f>
        <v>#REF!</v>
      </c>
      <c r="X424" s="766"/>
    </row>
    <row r="425" spans="1:24" ht="19.95" hidden="1" customHeight="1" x14ac:dyDescent="0.3">
      <c r="A425" s="262">
        <v>6</v>
      </c>
      <c r="C425" s="855">
        <v>400</v>
      </c>
      <c r="D425" s="855" t="s">
        <v>988</v>
      </c>
      <c r="E425" s="1345" t="s">
        <v>989</v>
      </c>
      <c r="F425" s="1345"/>
      <c r="G425" s="1345"/>
      <c r="H425" s="855" t="s">
        <v>286</v>
      </c>
      <c r="I425" s="856">
        <v>1464876</v>
      </c>
      <c r="J425" s="852">
        <f>+'Yeşil Defter Dönemsel'!I424</f>
        <v>0</v>
      </c>
      <c r="K425" s="852">
        <f>+'Yeşil Defter Dönemsel'!J424</f>
        <v>0</v>
      </c>
      <c r="L425" s="852">
        <f>+'Yeşil Defter Dönemsel'!K424</f>
        <v>0</v>
      </c>
      <c r="M425" s="857">
        <f t="shared" si="77"/>
        <v>0</v>
      </c>
      <c r="N425" s="857">
        <f t="shared" si="78"/>
        <v>0</v>
      </c>
      <c r="O425" s="857">
        <f t="shared" si="79"/>
        <v>0</v>
      </c>
      <c r="P425" s="852">
        <f t="shared" si="74"/>
        <v>0</v>
      </c>
      <c r="Q425" s="854">
        <f t="shared" si="80"/>
        <v>0</v>
      </c>
      <c r="R425" s="854">
        <f t="shared" si="75"/>
        <v>0</v>
      </c>
      <c r="S425" s="843">
        <f t="shared" si="81"/>
        <v>0</v>
      </c>
      <c r="T425" s="843">
        <f t="shared" si="83"/>
        <v>0</v>
      </c>
      <c r="U425" s="843">
        <f t="shared" si="82"/>
        <v>0</v>
      </c>
      <c r="V425" s="307"/>
      <c r="W425" t="e">
        <f>+'Yeşil Defter'!#REF!</f>
        <v>#REF!</v>
      </c>
      <c r="X425" s="766"/>
    </row>
    <row r="426" spans="1:24" ht="19.95" hidden="1" customHeight="1" x14ac:dyDescent="0.3">
      <c r="A426" s="262">
        <v>6</v>
      </c>
      <c r="C426" s="855">
        <v>401</v>
      </c>
      <c r="D426" s="855" t="s">
        <v>990</v>
      </c>
      <c r="E426" s="1345" t="s">
        <v>991</v>
      </c>
      <c r="F426" s="1345"/>
      <c r="G426" s="1345"/>
      <c r="H426" s="855" t="s">
        <v>286</v>
      </c>
      <c r="I426" s="856">
        <v>9231212</v>
      </c>
      <c r="J426" s="852">
        <f>+'Yeşil Defter Dönemsel'!I425</f>
        <v>0</v>
      </c>
      <c r="K426" s="852">
        <f>+'Yeşil Defter Dönemsel'!J425</f>
        <v>0</v>
      </c>
      <c r="L426" s="852">
        <f>+'Yeşil Defter Dönemsel'!K425</f>
        <v>0</v>
      </c>
      <c r="M426" s="857">
        <f t="shared" si="77"/>
        <v>0</v>
      </c>
      <c r="N426" s="857">
        <f t="shared" si="78"/>
        <v>0</v>
      </c>
      <c r="O426" s="857">
        <f t="shared" si="79"/>
        <v>0</v>
      </c>
      <c r="P426" s="852">
        <f t="shared" si="74"/>
        <v>0</v>
      </c>
      <c r="Q426" s="854">
        <f t="shared" si="80"/>
        <v>0</v>
      </c>
      <c r="R426" s="854">
        <f t="shared" si="75"/>
        <v>0</v>
      </c>
      <c r="S426" s="843">
        <f t="shared" si="81"/>
        <v>0</v>
      </c>
      <c r="T426" s="843">
        <f t="shared" si="83"/>
        <v>0</v>
      </c>
      <c r="U426" s="843">
        <f t="shared" si="82"/>
        <v>0</v>
      </c>
      <c r="V426" s="307"/>
      <c r="W426" t="e">
        <f>+'Yeşil Defter'!#REF!</f>
        <v>#REF!</v>
      </c>
      <c r="X426" s="766"/>
    </row>
    <row r="427" spans="1:24" ht="19.95" hidden="1" customHeight="1" x14ac:dyDescent="0.3">
      <c r="A427" s="262">
        <v>6</v>
      </c>
      <c r="C427" s="855">
        <v>402</v>
      </c>
      <c r="D427" s="855" t="s">
        <v>992</v>
      </c>
      <c r="E427" s="1345" t="s">
        <v>993</v>
      </c>
      <c r="F427" s="1345"/>
      <c r="G427" s="1345"/>
      <c r="H427" s="855" t="s">
        <v>286</v>
      </c>
      <c r="I427" s="856">
        <v>11006961</v>
      </c>
      <c r="J427" s="852">
        <f>+'Yeşil Defter Dönemsel'!I426</f>
        <v>0</v>
      </c>
      <c r="K427" s="852">
        <f>+'Yeşil Defter Dönemsel'!J426</f>
        <v>0</v>
      </c>
      <c r="L427" s="852">
        <f>+'Yeşil Defter Dönemsel'!K426</f>
        <v>0</v>
      </c>
      <c r="M427" s="857">
        <f t="shared" si="77"/>
        <v>0</v>
      </c>
      <c r="N427" s="857">
        <f t="shared" si="78"/>
        <v>0</v>
      </c>
      <c r="O427" s="857">
        <f t="shared" si="79"/>
        <v>0</v>
      </c>
      <c r="P427" s="852">
        <f t="shared" si="74"/>
        <v>0</v>
      </c>
      <c r="Q427" s="854">
        <f t="shared" si="80"/>
        <v>0</v>
      </c>
      <c r="R427" s="854">
        <f t="shared" si="75"/>
        <v>0</v>
      </c>
      <c r="S427" s="843">
        <f t="shared" si="81"/>
        <v>0</v>
      </c>
      <c r="T427" s="843">
        <f t="shared" si="83"/>
        <v>0</v>
      </c>
      <c r="U427" s="843">
        <f t="shared" si="82"/>
        <v>0</v>
      </c>
      <c r="V427" s="307"/>
      <c r="W427" t="e">
        <f>+'Yeşil Defter'!#REF!</f>
        <v>#REF!</v>
      </c>
      <c r="X427" s="766"/>
    </row>
    <row r="428" spans="1:24" ht="19.95" hidden="1" customHeight="1" x14ac:dyDescent="0.3">
      <c r="A428" s="262">
        <v>6</v>
      </c>
      <c r="C428" s="855">
        <v>403</v>
      </c>
      <c r="D428" s="855" t="s">
        <v>994</v>
      </c>
      <c r="E428" s="1345" t="s">
        <v>995</v>
      </c>
      <c r="F428" s="1345"/>
      <c r="G428" s="1345"/>
      <c r="H428" s="855" t="s">
        <v>286</v>
      </c>
      <c r="I428" s="856">
        <v>12196079</v>
      </c>
      <c r="J428" s="852">
        <f>+'Yeşil Defter Dönemsel'!I427</f>
        <v>0</v>
      </c>
      <c r="K428" s="852">
        <f>+'Yeşil Defter Dönemsel'!J427</f>
        <v>0</v>
      </c>
      <c r="L428" s="852">
        <f>+'Yeşil Defter Dönemsel'!K427</f>
        <v>0</v>
      </c>
      <c r="M428" s="857">
        <f t="shared" si="77"/>
        <v>0</v>
      </c>
      <c r="N428" s="857">
        <f t="shared" si="78"/>
        <v>0</v>
      </c>
      <c r="O428" s="857">
        <f t="shared" si="79"/>
        <v>0</v>
      </c>
      <c r="P428" s="852">
        <f t="shared" si="74"/>
        <v>0</v>
      </c>
      <c r="Q428" s="854">
        <f t="shared" si="80"/>
        <v>0</v>
      </c>
      <c r="R428" s="854">
        <f t="shared" si="75"/>
        <v>0</v>
      </c>
      <c r="S428" s="843">
        <f t="shared" si="81"/>
        <v>0</v>
      </c>
      <c r="T428" s="843">
        <f t="shared" si="83"/>
        <v>0</v>
      </c>
      <c r="U428" s="843">
        <f t="shared" si="82"/>
        <v>0</v>
      </c>
      <c r="V428" s="307"/>
      <c r="W428" t="e">
        <f>+'Yeşil Defter'!#REF!</f>
        <v>#REF!</v>
      </c>
      <c r="X428" s="766"/>
    </row>
    <row r="429" spans="1:24" ht="19.95" hidden="1" customHeight="1" x14ac:dyDescent="0.3">
      <c r="A429" s="262">
        <v>6</v>
      </c>
      <c r="C429" s="855">
        <v>404</v>
      </c>
      <c r="D429" s="855" t="s">
        <v>996</v>
      </c>
      <c r="E429" s="1345" t="s">
        <v>997</v>
      </c>
      <c r="F429" s="1345"/>
      <c r="G429" s="1345"/>
      <c r="H429" s="855" t="s">
        <v>286</v>
      </c>
      <c r="I429" s="856">
        <v>9878824</v>
      </c>
      <c r="J429" s="852">
        <f>+'Yeşil Defter Dönemsel'!I428</f>
        <v>0</v>
      </c>
      <c r="K429" s="852">
        <f>+'Yeşil Defter Dönemsel'!J428</f>
        <v>0</v>
      </c>
      <c r="L429" s="852">
        <f>+'Yeşil Defter Dönemsel'!K428</f>
        <v>0</v>
      </c>
      <c r="M429" s="857">
        <f t="shared" si="77"/>
        <v>0</v>
      </c>
      <c r="N429" s="857">
        <f t="shared" si="78"/>
        <v>0</v>
      </c>
      <c r="O429" s="857">
        <f t="shared" si="79"/>
        <v>0</v>
      </c>
      <c r="P429" s="852">
        <f t="shared" si="74"/>
        <v>0</v>
      </c>
      <c r="Q429" s="854">
        <f t="shared" si="80"/>
        <v>0</v>
      </c>
      <c r="R429" s="854">
        <f t="shared" si="75"/>
        <v>0</v>
      </c>
      <c r="S429" s="843">
        <f t="shared" si="81"/>
        <v>0</v>
      </c>
      <c r="T429" s="843">
        <f t="shared" si="83"/>
        <v>0</v>
      </c>
      <c r="U429" s="843">
        <f t="shared" si="82"/>
        <v>0</v>
      </c>
      <c r="V429" s="307"/>
      <c r="W429" t="e">
        <f>+'Yeşil Defter'!#REF!</f>
        <v>#REF!</v>
      </c>
      <c r="X429" s="766"/>
    </row>
    <row r="430" spans="1:24" ht="19.95" hidden="1" customHeight="1" x14ac:dyDescent="0.3">
      <c r="A430" s="262">
        <v>6</v>
      </c>
      <c r="C430" s="855">
        <v>405</v>
      </c>
      <c r="D430" s="855" t="s">
        <v>998</v>
      </c>
      <c r="E430" s="1345" t="s">
        <v>999</v>
      </c>
      <c r="F430" s="1345"/>
      <c r="G430" s="1345"/>
      <c r="H430" s="855" t="s">
        <v>286</v>
      </c>
      <c r="I430" s="856">
        <v>11006961</v>
      </c>
      <c r="J430" s="852">
        <f>+'Yeşil Defter Dönemsel'!I429</f>
        <v>0</v>
      </c>
      <c r="K430" s="852">
        <f>+'Yeşil Defter Dönemsel'!J429</f>
        <v>0</v>
      </c>
      <c r="L430" s="852">
        <f>+'Yeşil Defter Dönemsel'!K429</f>
        <v>0</v>
      </c>
      <c r="M430" s="857">
        <f t="shared" si="77"/>
        <v>0</v>
      </c>
      <c r="N430" s="857">
        <f t="shared" si="78"/>
        <v>0</v>
      </c>
      <c r="O430" s="857">
        <f t="shared" si="79"/>
        <v>0</v>
      </c>
      <c r="P430" s="852">
        <f t="shared" si="74"/>
        <v>0</v>
      </c>
      <c r="Q430" s="854">
        <f t="shared" si="80"/>
        <v>0</v>
      </c>
      <c r="R430" s="854">
        <f t="shared" si="75"/>
        <v>0</v>
      </c>
      <c r="S430" s="843">
        <f t="shared" si="81"/>
        <v>0</v>
      </c>
      <c r="T430" s="843">
        <f t="shared" si="83"/>
        <v>0</v>
      </c>
      <c r="U430" s="843">
        <f t="shared" si="82"/>
        <v>0</v>
      </c>
      <c r="V430" s="307"/>
      <c r="W430" t="e">
        <f>+'Yeşil Defter'!#REF!</f>
        <v>#REF!</v>
      </c>
      <c r="X430" s="766"/>
    </row>
    <row r="431" spans="1:24" ht="19.95" hidden="1" customHeight="1" x14ac:dyDescent="0.3">
      <c r="A431" s="262">
        <v>6</v>
      </c>
      <c r="C431" s="860">
        <v>406</v>
      </c>
      <c r="D431" s="860" t="s">
        <v>1000</v>
      </c>
      <c r="E431" s="1341" t="s">
        <v>1001</v>
      </c>
      <c r="F431" s="1341"/>
      <c r="G431" s="1341"/>
      <c r="H431" s="860" t="s">
        <v>286</v>
      </c>
      <c r="I431" s="856">
        <v>7293625</v>
      </c>
      <c r="J431" s="852">
        <f>+'Yeşil Defter Dönemsel'!I430</f>
        <v>0</v>
      </c>
      <c r="K431" s="852">
        <f>+'Yeşil Defter Dönemsel'!J430</f>
        <v>0</v>
      </c>
      <c r="L431" s="852">
        <f>+'Yeşil Defter Dönemsel'!K430</f>
        <v>0</v>
      </c>
      <c r="M431" s="862">
        <f t="shared" si="77"/>
        <v>0</v>
      </c>
      <c r="N431" s="862">
        <f t="shared" si="78"/>
        <v>0</v>
      </c>
      <c r="O431" s="862">
        <f t="shared" si="79"/>
        <v>0</v>
      </c>
      <c r="P431" s="852">
        <f t="shared" si="74"/>
        <v>0</v>
      </c>
      <c r="Q431" s="868">
        <f t="shared" si="80"/>
        <v>0</v>
      </c>
      <c r="R431" s="854">
        <f t="shared" si="75"/>
        <v>0</v>
      </c>
      <c r="S431" s="843">
        <f t="shared" si="81"/>
        <v>0</v>
      </c>
      <c r="T431" s="843">
        <f t="shared" si="83"/>
        <v>0</v>
      </c>
      <c r="U431" s="843">
        <f t="shared" si="82"/>
        <v>0</v>
      </c>
      <c r="V431" s="307"/>
      <c r="W431" t="e">
        <f>+'Yeşil Defter'!#REF!</f>
        <v>#REF!</v>
      </c>
      <c r="X431" s="766"/>
    </row>
    <row r="432" spans="1:24" ht="19.95" hidden="1" customHeight="1" x14ac:dyDescent="0.3">
      <c r="A432" s="262" t="s">
        <v>1240</v>
      </c>
      <c r="C432" s="839"/>
      <c r="D432" s="869" t="s">
        <v>1234</v>
      </c>
      <c r="E432" s="841"/>
      <c r="F432" s="841"/>
      <c r="G432" s="841"/>
      <c r="H432" s="841"/>
      <c r="I432" s="841"/>
      <c r="J432" s="852">
        <f>+'Yeşil Defter Dönemsel'!I431</f>
        <v>0</v>
      </c>
      <c r="K432" s="852">
        <f>+'Yeşil Defter Dönemsel'!J431</f>
        <v>0</v>
      </c>
      <c r="L432" s="852">
        <f>+'Yeşil Defter Dönemsel'!K431</f>
        <v>0</v>
      </c>
      <c r="M432" s="870">
        <f>SUM(M433:M441)</f>
        <v>0</v>
      </c>
      <c r="N432" s="870">
        <f t="shared" ref="N432:O432" si="84">SUM(N433:N441)</f>
        <v>0</v>
      </c>
      <c r="O432" s="870">
        <f t="shared" si="84"/>
        <v>0</v>
      </c>
      <c r="P432" s="852">
        <f t="shared" si="74"/>
        <v>0</v>
      </c>
      <c r="Q432" s="871"/>
      <c r="R432" s="854">
        <f t="shared" si="75"/>
        <v>0</v>
      </c>
      <c r="S432" s="843">
        <f t="shared" si="81"/>
        <v>0</v>
      </c>
      <c r="T432" s="843">
        <f t="shared" si="83"/>
        <v>0</v>
      </c>
      <c r="U432" s="843">
        <f t="shared" si="82"/>
        <v>0</v>
      </c>
      <c r="V432" s="307"/>
      <c r="W432" t="e">
        <f>+'Yeşil Defter'!#REF!</f>
        <v>#REF!</v>
      </c>
      <c r="X432" s="766"/>
    </row>
    <row r="433" spans="1:24" ht="19.95" hidden="1" customHeight="1" x14ac:dyDescent="0.3">
      <c r="A433" s="262">
        <v>7</v>
      </c>
      <c r="C433" s="849">
        <v>407</v>
      </c>
      <c r="D433" s="850" t="s">
        <v>1002</v>
      </c>
      <c r="E433" s="1346" t="s">
        <v>1003</v>
      </c>
      <c r="F433" s="1346"/>
      <c r="G433" s="1346"/>
      <c r="H433" s="849" t="s">
        <v>286</v>
      </c>
      <c r="I433" s="856">
        <v>3750000</v>
      </c>
      <c r="J433" s="852">
        <f>+'Yeşil Defter Dönemsel'!I432</f>
        <v>0</v>
      </c>
      <c r="K433" s="852">
        <f>+'Yeşil Defter Dönemsel'!J432</f>
        <v>0</v>
      </c>
      <c r="L433" s="852">
        <f>+'Yeşil Defter Dönemsel'!K432</f>
        <v>0</v>
      </c>
      <c r="M433" s="853">
        <f t="shared" ref="M433:M441" si="85">+ROUND($I433*J433,2)</f>
        <v>0</v>
      </c>
      <c r="N433" s="853">
        <f t="shared" ref="N433:N441" si="86">+ROUND($I433*K433,2)</f>
        <v>0</v>
      </c>
      <c r="O433" s="853">
        <f t="shared" ref="O433:O441" si="87">+ROUND($I433*L433,2)</f>
        <v>0</v>
      </c>
      <c r="P433" s="852">
        <f t="shared" si="74"/>
        <v>0</v>
      </c>
      <c r="Q433" s="852">
        <f t="shared" ref="Q433:Q441" si="88">+R433-P433</f>
        <v>0</v>
      </c>
      <c r="R433" s="854">
        <f t="shared" si="75"/>
        <v>0</v>
      </c>
      <c r="S433" s="843">
        <f t="shared" si="81"/>
        <v>0</v>
      </c>
      <c r="T433" s="843">
        <f t="shared" si="83"/>
        <v>0</v>
      </c>
      <c r="U433" s="843">
        <f t="shared" si="82"/>
        <v>0</v>
      </c>
      <c r="V433" s="307"/>
      <c r="W433" t="e">
        <f>+'Yeşil Defter'!#REF!</f>
        <v>#REF!</v>
      </c>
      <c r="X433" s="766"/>
    </row>
    <row r="434" spans="1:24" ht="19.95" hidden="1" customHeight="1" x14ac:dyDescent="0.3">
      <c r="A434" s="262">
        <v>7</v>
      </c>
      <c r="C434" s="855">
        <v>408</v>
      </c>
      <c r="D434" s="855" t="s">
        <v>1004</v>
      </c>
      <c r="E434" s="1345" t="s">
        <v>1005</v>
      </c>
      <c r="F434" s="1345"/>
      <c r="G434" s="1345"/>
      <c r="H434" s="855" t="s">
        <v>247</v>
      </c>
      <c r="I434" s="856">
        <v>5273388</v>
      </c>
      <c r="J434" s="852">
        <f>+'Yeşil Defter Dönemsel'!I433</f>
        <v>0</v>
      </c>
      <c r="K434" s="852">
        <f>+'Yeşil Defter Dönemsel'!J433</f>
        <v>0</v>
      </c>
      <c r="L434" s="852">
        <f>+'Yeşil Defter Dönemsel'!K433</f>
        <v>0</v>
      </c>
      <c r="M434" s="857">
        <f t="shared" si="85"/>
        <v>0</v>
      </c>
      <c r="N434" s="857">
        <f t="shared" si="86"/>
        <v>0</v>
      </c>
      <c r="O434" s="857">
        <f t="shared" si="87"/>
        <v>0</v>
      </c>
      <c r="P434" s="852">
        <f t="shared" si="74"/>
        <v>0</v>
      </c>
      <c r="Q434" s="854">
        <f t="shared" si="88"/>
        <v>0</v>
      </c>
      <c r="R434" s="854">
        <f t="shared" si="75"/>
        <v>0</v>
      </c>
      <c r="S434" s="843">
        <f t="shared" si="81"/>
        <v>0</v>
      </c>
      <c r="T434" s="843">
        <f t="shared" si="83"/>
        <v>0</v>
      </c>
      <c r="U434" s="843">
        <f t="shared" si="82"/>
        <v>0</v>
      </c>
      <c r="V434" s="307"/>
      <c r="W434" t="e">
        <f>+'Yeşil Defter'!#REF!</f>
        <v>#REF!</v>
      </c>
      <c r="X434" s="766"/>
    </row>
    <row r="435" spans="1:24" ht="19.95" hidden="1" customHeight="1" x14ac:dyDescent="0.3">
      <c r="A435" s="262">
        <v>7</v>
      </c>
      <c r="C435" s="855">
        <v>409</v>
      </c>
      <c r="D435" s="855" t="s">
        <v>1006</v>
      </c>
      <c r="E435" s="1345" t="s">
        <v>1007</v>
      </c>
      <c r="F435" s="1345"/>
      <c r="G435" s="1345"/>
      <c r="H435" s="855" t="s">
        <v>247</v>
      </c>
      <c r="I435" s="856">
        <v>5494500</v>
      </c>
      <c r="J435" s="852">
        <f>+'Yeşil Defter Dönemsel'!I434</f>
        <v>0</v>
      </c>
      <c r="K435" s="852">
        <f>+'Yeşil Defter Dönemsel'!J434</f>
        <v>0</v>
      </c>
      <c r="L435" s="852">
        <f>+'Yeşil Defter Dönemsel'!K434</f>
        <v>0</v>
      </c>
      <c r="M435" s="857">
        <f t="shared" si="85"/>
        <v>0</v>
      </c>
      <c r="N435" s="857">
        <f t="shared" si="86"/>
        <v>0</v>
      </c>
      <c r="O435" s="857">
        <f t="shared" si="87"/>
        <v>0</v>
      </c>
      <c r="P435" s="852">
        <f t="shared" si="74"/>
        <v>0</v>
      </c>
      <c r="Q435" s="854">
        <f t="shared" si="88"/>
        <v>0</v>
      </c>
      <c r="R435" s="854">
        <f t="shared" si="75"/>
        <v>0</v>
      </c>
      <c r="S435" s="843">
        <f t="shared" si="81"/>
        <v>0</v>
      </c>
      <c r="T435" s="843">
        <f t="shared" si="83"/>
        <v>0</v>
      </c>
      <c r="U435" s="843">
        <f t="shared" si="82"/>
        <v>0</v>
      </c>
      <c r="V435" s="307"/>
      <c r="W435" t="e">
        <f>+'Yeşil Defter'!#REF!</f>
        <v>#REF!</v>
      </c>
      <c r="X435" s="766"/>
    </row>
    <row r="436" spans="1:24" ht="19.95" hidden="1" customHeight="1" x14ac:dyDescent="0.3">
      <c r="A436" s="262">
        <v>7</v>
      </c>
      <c r="C436" s="855">
        <v>410</v>
      </c>
      <c r="D436" s="855" t="s">
        <v>1008</v>
      </c>
      <c r="E436" s="1345" t="s">
        <v>1009</v>
      </c>
      <c r="F436" s="1345"/>
      <c r="G436" s="1345"/>
      <c r="H436" s="855" t="s">
        <v>247</v>
      </c>
      <c r="I436" s="856">
        <v>6160500</v>
      </c>
      <c r="J436" s="852">
        <f>+'Yeşil Defter Dönemsel'!I435</f>
        <v>0</v>
      </c>
      <c r="K436" s="852">
        <f>+'Yeşil Defter Dönemsel'!J435</f>
        <v>0</v>
      </c>
      <c r="L436" s="852">
        <f>+'Yeşil Defter Dönemsel'!K435</f>
        <v>0</v>
      </c>
      <c r="M436" s="857">
        <f t="shared" si="85"/>
        <v>0</v>
      </c>
      <c r="N436" s="857">
        <f t="shared" si="86"/>
        <v>0</v>
      </c>
      <c r="O436" s="857">
        <f t="shared" si="87"/>
        <v>0</v>
      </c>
      <c r="P436" s="852">
        <f t="shared" si="74"/>
        <v>0</v>
      </c>
      <c r="Q436" s="854">
        <f t="shared" si="88"/>
        <v>0</v>
      </c>
      <c r="R436" s="854">
        <f t="shared" si="75"/>
        <v>0</v>
      </c>
      <c r="S436" s="843">
        <f t="shared" si="81"/>
        <v>0</v>
      </c>
      <c r="T436" s="843">
        <f t="shared" si="83"/>
        <v>0</v>
      </c>
      <c r="U436" s="843">
        <f t="shared" si="82"/>
        <v>0</v>
      </c>
      <c r="V436" s="307"/>
      <c r="W436" t="e">
        <f>+'Yeşil Defter'!#REF!</f>
        <v>#REF!</v>
      </c>
      <c r="X436" s="766"/>
    </row>
    <row r="437" spans="1:24" ht="19.95" hidden="1" customHeight="1" x14ac:dyDescent="0.3">
      <c r="A437" s="262">
        <v>7</v>
      </c>
      <c r="C437" s="855">
        <v>411</v>
      </c>
      <c r="D437" s="855" t="s">
        <v>1010</v>
      </c>
      <c r="E437" s="1345" t="s">
        <v>1011</v>
      </c>
      <c r="F437" s="1345"/>
      <c r="G437" s="1345"/>
      <c r="H437" s="855" t="s">
        <v>247</v>
      </c>
      <c r="I437" s="856">
        <v>2705625</v>
      </c>
      <c r="J437" s="852">
        <f>+'Yeşil Defter Dönemsel'!I436</f>
        <v>0</v>
      </c>
      <c r="K437" s="852">
        <f>+'Yeşil Defter Dönemsel'!J436</f>
        <v>0</v>
      </c>
      <c r="L437" s="852">
        <f>+'Yeşil Defter Dönemsel'!K436</f>
        <v>0</v>
      </c>
      <c r="M437" s="857">
        <f t="shared" si="85"/>
        <v>0</v>
      </c>
      <c r="N437" s="857">
        <f t="shared" si="86"/>
        <v>0</v>
      </c>
      <c r="O437" s="857">
        <f t="shared" si="87"/>
        <v>0</v>
      </c>
      <c r="P437" s="852">
        <f t="shared" si="74"/>
        <v>0</v>
      </c>
      <c r="Q437" s="854">
        <f t="shared" si="88"/>
        <v>0</v>
      </c>
      <c r="R437" s="854">
        <f t="shared" si="75"/>
        <v>0</v>
      </c>
      <c r="S437" s="843">
        <f t="shared" si="81"/>
        <v>0</v>
      </c>
      <c r="T437" s="843">
        <f t="shared" si="83"/>
        <v>0</v>
      </c>
      <c r="U437" s="843">
        <f t="shared" si="82"/>
        <v>0</v>
      </c>
      <c r="V437" s="307"/>
      <c r="W437" t="e">
        <f>+'Yeşil Defter'!#REF!</f>
        <v>#REF!</v>
      </c>
      <c r="X437" s="766"/>
    </row>
    <row r="438" spans="1:24" ht="19.95" hidden="1" customHeight="1" x14ac:dyDescent="0.3">
      <c r="A438" s="262">
        <v>7</v>
      </c>
      <c r="C438" s="855">
        <v>412</v>
      </c>
      <c r="D438" s="855" t="s">
        <v>1012</v>
      </c>
      <c r="E438" s="1345" t="s">
        <v>1013</v>
      </c>
      <c r="F438" s="1345"/>
      <c r="G438" s="1345"/>
      <c r="H438" s="855" t="s">
        <v>247</v>
      </c>
      <c r="I438" s="856">
        <v>3371625</v>
      </c>
      <c r="J438" s="852">
        <f>+'Yeşil Defter Dönemsel'!I437</f>
        <v>0</v>
      </c>
      <c r="K438" s="852">
        <f>+'Yeşil Defter Dönemsel'!J437</f>
        <v>0</v>
      </c>
      <c r="L438" s="852">
        <f>+'Yeşil Defter Dönemsel'!K437</f>
        <v>0</v>
      </c>
      <c r="M438" s="857">
        <f t="shared" si="85"/>
        <v>0</v>
      </c>
      <c r="N438" s="857">
        <f t="shared" si="86"/>
        <v>0</v>
      </c>
      <c r="O438" s="857">
        <f t="shared" si="87"/>
        <v>0</v>
      </c>
      <c r="P438" s="852">
        <f t="shared" si="74"/>
        <v>0</v>
      </c>
      <c r="Q438" s="854">
        <f t="shared" si="88"/>
        <v>0</v>
      </c>
      <c r="R438" s="854">
        <f t="shared" si="75"/>
        <v>0</v>
      </c>
      <c r="S438" s="843">
        <f t="shared" si="81"/>
        <v>0</v>
      </c>
      <c r="T438" s="843">
        <f t="shared" si="83"/>
        <v>0</v>
      </c>
      <c r="U438" s="843">
        <f t="shared" si="82"/>
        <v>0</v>
      </c>
      <c r="V438" s="307"/>
      <c r="W438" t="e">
        <f>+'Yeşil Defter'!#REF!</f>
        <v>#REF!</v>
      </c>
      <c r="X438" s="766"/>
    </row>
    <row r="439" spans="1:24" ht="19.95" hidden="1" customHeight="1" x14ac:dyDescent="0.3">
      <c r="A439" s="262">
        <v>7</v>
      </c>
      <c r="C439" s="855">
        <v>413</v>
      </c>
      <c r="D439" s="855" t="s">
        <v>1014</v>
      </c>
      <c r="E439" s="1345" t="s">
        <v>1015</v>
      </c>
      <c r="F439" s="1345"/>
      <c r="G439" s="1345"/>
      <c r="H439" s="855" t="s">
        <v>247</v>
      </c>
      <c r="I439" s="856">
        <v>3454875</v>
      </c>
      <c r="J439" s="852">
        <f>+'Yeşil Defter Dönemsel'!I438</f>
        <v>0</v>
      </c>
      <c r="K439" s="852">
        <f>+'Yeşil Defter Dönemsel'!J438</f>
        <v>0</v>
      </c>
      <c r="L439" s="852">
        <f>+'Yeşil Defter Dönemsel'!K438</f>
        <v>0</v>
      </c>
      <c r="M439" s="857">
        <f t="shared" si="85"/>
        <v>0</v>
      </c>
      <c r="N439" s="857">
        <f t="shared" si="86"/>
        <v>0</v>
      </c>
      <c r="O439" s="857">
        <f t="shared" si="87"/>
        <v>0</v>
      </c>
      <c r="P439" s="852">
        <f t="shared" si="74"/>
        <v>0</v>
      </c>
      <c r="Q439" s="854">
        <f t="shared" si="88"/>
        <v>0</v>
      </c>
      <c r="R439" s="854">
        <f t="shared" si="75"/>
        <v>0</v>
      </c>
      <c r="S439" s="843">
        <f t="shared" si="81"/>
        <v>0</v>
      </c>
      <c r="T439" s="843">
        <f t="shared" si="83"/>
        <v>0</v>
      </c>
      <c r="U439" s="843">
        <f t="shared" si="82"/>
        <v>0</v>
      </c>
      <c r="V439" s="307"/>
      <c r="W439" t="e">
        <f>+'Yeşil Defter'!#REF!</f>
        <v>#REF!</v>
      </c>
      <c r="X439" s="766"/>
    </row>
    <row r="440" spans="1:24" ht="19.95" hidden="1" customHeight="1" x14ac:dyDescent="0.3">
      <c r="A440" s="262">
        <v>7</v>
      </c>
      <c r="C440" s="855">
        <v>414</v>
      </c>
      <c r="D440" s="855" t="s">
        <v>1016</v>
      </c>
      <c r="E440" s="1345" t="s">
        <v>1017</v>
      </c>
      <c r="F440" s="1345"/>
      <c r="G440" s="1345"/>
      <c r="H440" s="855" t="s">
        <v>247</v>
      </c>
      <c r="I440" s="856">
        <v>3538125</v>
      </c>
      <c r="J440" s="852">
        <f>+'Yeşil Defter Dönemsel'!I439</f>
        <v>0</v>
      </c>
      <c r="K440" s="852">
        <f>+'Yeşil Defter Dönemsel'!J439</f>
        <v>0</v>
      </c>
      <c r="L440" s="852">
        <f>+'Yeşil Defter Dönemsel'!K439</f>
        <v>0</v>
      </c>
      <c r="M440" s="857">
        <f t="shared" si="85"/>
        <v>0</v>
      </c>
      <c r="N440" s="857">
        <f t="shared" si="86"/>
        <v>0</v>
      </c>
      <c r="O440" s="857">
        <f t="shared" si="87"/>
        <v>0</v>
      </c>
      <c r="P440" s="852">
        <f t="shared" ref="P440:P458" si="89">+J440</f>
        <v>0</v>
      </c>
      <c r="Q440" s="854">
        <f t="shared" si="88"/>
        <v>0</v>
      </c>
      <c r="R440" s="854">
        <f t="shared" ref="R440:R458" si="90">+L440</f>
        <v>0</v>
      </c>
      <c r="S440" s="843">
        <f t="shared" si="81"/>
        <v>0</v>
      </c>
      <c r="T440" s="843">
        <f t="shared" si="83"/>
        <v>0</v>
      </c>
      <c r="U440" s="843">
        <f t="shared" si="82"/>
        <v>0</v>
      </c>
      <c r="V440" s="307"/>
      <c r="W440" t="e">
        <f>+'Yeşil Defter'!#REF!</f>
        <v>#REF!</v>
      </c>
      <c r="X440" s="766"/>
    </row>
    <row r="441" spans="1:24" ht="19.95" hidden="1" customHeight="1" x14ac:dyDescent="0.3">
      <c r="A441" s="262">
        <v>7</v>
      </c>
      <c r="C441" s="860">
        <v>415</v>
      </c>
      <c r="D441" s="860" t="s">
        <v>1018</v>
      </c>
      <c r="E441" s="1341" t="s">
        <v>1019</v>
      </c>
      <c r="F441" s="1341"/>
      <c r="G441" s="1341"/>
      <c r="H441" s="860" t="s">
        <v>247</v>
      </c>
      <c r="I441" s="856">
        <v>3621375</v>
      </c>
      <c r="J441" s="852">
        <f>+'Yeşil Defter Dönemsel'!I440</f>
        <v>0</v>
      </c>
      <c r="K441" s="852">
        <f>+'Yeşil Defter Dönemsel'!J440</f>
        <v>0</v>
      </c>
      <c r="L441" s="852">
        <f>+'Yeşil Defter Dönemsel'!K440</f>
        <v>0</v>
      </c>
      <c r="M441" s="862">
        <f t="shared" si="85"/>
        <v>0</v>
      </c>
      <c r="N441" s="862">
        <f t="shared" si="86"/>
        <v>0</v>
      </c>
      <c r="O441" s="862">
        <f t="shared" si="87"/>
        <v>0</v>
      </c>
      <c r="P441" s="852">
        <f t="shared" si="89"/>
        <v>0</v>
      </c>
      <c r="Q441" s="868">
        <f t="shared" si="88"/>
        <v>0</v>
      </c>
      <c r="R441" s="854">
        <f t="shared" si="90"/>
        <v>0</v>
      </c>
      <c r="S441" s="843">
        <f t="shared" si="81"/>
        <v>0</v>
      </c>
      <c r="T441" s="843">
        <f t="shared" si="83"/>
        <v>0</v>
      </c>
      <c r="U441" s="843">
        <f t="shared" si="82"/>
        <v>0</v>
      </c>
      <c r="V441" s="307"/>
      <c r="W441" t="e">
        <f>+'Yeşil Defter'!#REF!</f>
        <v>#REF!</v>
      </c>
      <c r="X441" s="766"/>
    </row>
    <row r="442" spans="1:24" ht="19.95" hidden="1" customHeight="1" x14ac:dyDescent="0.3">
      <c r="A442" s="262" t="s">
        <v>1240</v>
      </c>
      <c r="C442" s="839"/>
      <c r="D442" s="869" t="s">
        <v>1235</v>
      </c>
      <c r="E442" s="841"/>
      <c r="F442" s="841"/>
      <c r="G442" s="841"/>
      <c r="H442" s="841"/>
      <c r="I442" s="841"/>
      <c r="J442" s="852">
        <f>+'Yeşil Defter Dönemsel'!I441</f>
        <v>0</v>
      </c>
      <c r="K442" s="852">
        <f>+'Yeşil Defter Dönemsel'!J441</f>
        <v>0</v>
      </c>
      <c r="L442" s="852">
        <f>+'Yeşil Defter Dönemsel'!K441</f>
        <v>0</v>
      </c>
      <c r="M442" s="870">
        <f>SUM(M443:M451)</f>
        <v>0</v>
      </c>
      <c r="N442" s="870">
        <f t="shared" ref="N442:O442" si="91">SUM(N443:N451)</f>
        <v>0</v>
      </c>
      <c r="O442" s="870">
        <f t="shared" si="91"/>
        <v>0</v>
      </c>
      <c r="P442" s="852">
        <f t="shared" si="89"/>
        <v>0</v>
      </c>
      <c r="Q442" s="871"/>
      <c r="R442" s="854">
        <f t="shared" si="90"/>
        <v>0</v>
      </c>
      <c r="S442" s="843">
        <f t="shared" si="81"/>
        <v>0</v>
      </c>
      <c r="T442" s="843">
        <f t="shared" si="83"/>
        <v>0</v>
      </c>
      <c r="U442" s="843">
        <f t="shared" si="82"/>
        <v>0</v>
      </c>
      <c r="V442" s="307"/>
      <c r="W442" t="e">
        <f>+'Yeşil Defter'!#REF!</f>
        <v>#REF!</v>
      </c>
      <c r="X442" s="766"/>
    </row>
    <row r="443" spans="1:24" ht="19.95" hidden="1" customHeight="1" x14ac:dyDescent="0.3">
      <c r="A443" s="262">
        <v>8</v>
      </c>
      <c r="C443" s="849">
        <v>416</v>
      </c>
      <c r="D443" s="850" t="s">
        <v>1020</v>
      </c>
      <c r="E443" s="1346" t="s">
        <v>1021</v>
      </c>
      <c r="F443" s="1346"/>
      <c r="G443" s="1346"/>
      <c r="H443" s="849" t="s">
        <v>286</v>
      </c>
      <c r="I443" s="856">
        <v>3750000</v>
      </c>
      <c r="J443" s="852">
        <f>+'Yeşil Defter Dönemsel'!I442</f>
        <v>0</v>
      </c>
      <c r="K443" s="852">
        <f>+'Yeşil Defter Dönemsel'!J442</f>
        <v>0</v>
      </c>
      <c r="L443" s="852">
        <f>+'Yeşil Defter Dönemsel'!K442</f>
        <v>0</v>
      </c>
      <c r="M443" s="853">
        <f t="shared" ref="M443:M451" si="92">+ROUND($I443*J443,2)</f>
        <v>0</v>
      </c>
      <c r="N443" s="853">
        <f t="shared" ref="N443:N451" si="93">+ROUND($I443*K443,2)</f>
        <v>0</v>
      </c>
      <c r="O443" s="853">
        <f t="shared" ref="O443:O451" si="94">+ROUND($I443*L443,2)</f>
        <v>0</v>
      </c>
      <c r="P443" s="852">
        <f t="shared" si="89"/>
        <v>0</v>
      </c>
      <c r="Q443" s="852">
        <f t="shared" ref="Q443:Q451" si="95">+R443-P443</f>
        <v>0</v>
      </c>
      <c r="R443" s="854">
        <f t="shared" si="90"/>
        <v>0</v>
      </c>
      <c r="S443" s="843">
        <f t="shared" si="81"/>
        <v>0</v>
      </c>
      <c r="T443" s="843">
        <f t="shared" si="83"/>
        <v>0</v>
      </c>
      <c r="U443" s="843">
        <f t="shared" si="82"/>
        <v>0</v>
      </c>
      <c r="V443" s="307"/>
      <c r="W443" t="e">
        <f>+'Yeşil Defter'!#REF!</f>
        <v>#REF!</v>
      </c>
      <c r="X443" s="766"/>
    </row>
    <row r="444" spans="1:24" ht="19.95" hidden="1" customHeight="1" x14ac:dyDescent="0.3">
      <c r="A444" s="262">
        <v>8</v>
      </c>
      <c r="C444" s="855">
        <v>417</v>
      </c>
      <c r="D444" s="858" t="s">
        <v>1022</v>
      </c>
      <c r="E444" s="1345" t="s">
        <v>1023</v>
      </c>
      <c r="F444" s="1345"/>
      <c r="G444" s="1345"/>
      <c r="H444" s="855" t="s">
        <v>202</v>
      </c>
      <c r="I444" s="856">
        <v>7088</v>
      </c>
      <c r="J444" s="852">
        <f>+'Yeşil Defter Dönemsel'!I443</f>
        <v>0</v>
      </c>
      <c r="K444" s="852">
        <f>+'Yeşil Defter Dönemsel'!J443</f>
        <v>0</v>
      </c>
      <c r="L444" s="852">
        <f>+'Yeşil Defter Dönemsel'!K443</f>
        <v>0</v>
      </c>
      <c r="M444" s="857">
        <f t="shared" si="92"/>
        <v>0</v>
      </c>
      <c r="N444" s="857">
        <f t="shared" si="93"/>
        <v>0</v>
      </c>
      <c r="O444" s="857">
        <f t="shared" si="94"/>
        <v>0</v>
      </c>
      <c r="P444" s="852">
        <f t="shared" si="89"/>
        <v>0</v>
      </c>
      <c r="Q444" s="854">
        <f t="shared" si="95"/>
        <v>0</v>
      </c>
      <c r="R444" s="854">
        <f t="shared" si="90"/>
        <v>0</v>
      </c>
      <c r="S444" s="843">
        <f t="shared" si="81"/>
        <v>0</v>
      </c>
      <c r="T444" s="843">
        <f t="shared" si="83"/>
        <v>0</v>
      </c>
      <c r="U444" s="843">
        <f t="shared" si="82"/>
        <v>0</v>
      </c>
      <c r="V444" s="307"/>
      <c r="W444" t="e">
        <f>+'Yeşil Defter'!#REF!</f>
        <v>#REF!</v>
      </c>
      <c r="X444" s="766"/>
    </row>
    <row r="445" spans="1:24" ht="19.95" hidden="1" customHeight="1" x14ac:dyDescent="0.3">
      <c r="A445" s="262">
        <v>8</v>
      </c>
      <c r="C445" s="855">
        <v>418</v>
      </c>
      <c r="D445" s="855" t="s">
        <v>1024</v>
      </c>
      <c r="E445" s="1345" t="s">
        <v>1025</v>
      </c>
      <c r="F445" s="1345"/>
      <c r="G445" s="1345"/>
      <c r="H445" s="855" t="s">
        <v>202</v>
      </c>
      <c r="I445" s="856">
        <v>37178</v>
      </c>
      <c r="J445" s="852">
        <f>+'Yeşil Defter Dönemsel'!I444</f>
        <v>0</v>
      </c>
      <c r="K445" s="852">
        <f>+'Yeşil Defter Dönemsel'!J444</f>
        <v>0</v>
      </c>
      <c r="L445" s="852">
        <f>+'Yeşil Defter Dönemsel'!K444</f>
        <v>0</v>
      </c>
      <c r="M445" s="857">
        <f t="shared" si="92"/>
        <v>0</v>
      </c>
      <c r="N445" s="857">
        <f t="shared" si="93"/>
        <v>0</v>
      </c>
      <c r="O445" s="857">
        <f t="shared" si="94"/>
        <v>0</v>
      </c>
      <c r="P445" s="852">
        <f t="shared" si="89"/>
        <v>0</v>
      </c>
      <c r="Q445" s="854">
        <f t="shared" si="95"/>
        <v>0</v>
      </c>
      <c r="R445" s="854">
        <f t="shared" si="90"/>
        <v>0</v>
      </c>
      <c r="S445" s="843">
        <f t="shared" si="81"/>
        <v>0</v>
      </c>
      <c r="T445" s="843">
        <f t="shared" si="83"/>
        <v>0</v>
      </c>
      <c r="U445" s="843">
        <f t="shared" si="82"/>
        <v>0</v>
      </c>
      <c r="V445" s="307"/>
      <c r="W445" t="e">
        <f>+'Yeşil Defter'!#REF!</f>
        <v>#REF!</v>
      </c>
      <c r="X445" s="766"/>
    </row>
    <row r="446" spans="1:24" ht="19.95" hidden="1" customHeight="1" x14ac:dyDescent="0.3">
      <c r="A446" s="262">
        <v>8</v>
      </c>
      <c r="C446" s="855">
        <v>419</v>
      </c>
      <c r="D446" s="855" t="s">
        <v>1026</v>
      </c>
      <c r="E446" s="1345" t="s">
        <v>1027</v>
      </c>
      <c r="F446" s="1345"/>
      <c r="G446" s="1345"/>
      <c r="H446" s="855" t="s">
        <v>247</v>
      </c>
      <c r="I446" s="856">
        <v>4375000</v>
      </c>
      <c r="J446" s="852">
        <f>+'Yeşil Defter Dönemsel'!I445</f>
        <v>0</v>
      </c>
      <c r="K446" s="852">
        <f>+'Yeşil Defter Dönemsel'!J445</f>
        <v>0</v>
      </c>
      <c r="L446" s="852">
        <f>+'Yeşil Defter Dönemsel'!K445</f>
        <v>0</v>
      </c>
      <c r="M446" s="857">
        <f t="shared" si="92"/>
        <v>0</v>
      </c>
      <c r="N446" s="857">
        <f t="shared" si="93"/>
        <v>0</v>
      </c>
      <c r="O446" s="857">
        <f t="shared" si="94"/>
        <v>0</v>
      </c>
      <c r="P446" s="852">
        <f t="shared" si="89"/>
        <v>0</v>
      </c>
      <c r="Q446" s="854">
        <f t="shared" si="95"/>
        <v>0</v>
      </c>
      <c r="R446" s="854">
        <f t="shared" si="90"/>
        <v>0</v>
      </c>
      <c r="S446" s="843">
        <f t="shared" si="81"/>
        <v>0</v>
      </c>
      <c r="T446" s="843">
        <f t="shared" si="83"/>
        <v>0</v>
      </c>
      <c r="U446" s="843">
        <f t="shared" si="82"/>
        <v>0</v>
      </c>
      <c r="V446" s="307"/>
      <c r="W446" t="e">
        <f>+'Yeşil Defter'!#REF!</f>
        <v>#REF!</v>
      </c>
      <c r="X446" s="766"/>
    </row>
    <row r="447" spans="1:24" ht="19.95" hidden="1" customHeight="1" x14ac:dyDescent="0.3">
      <c r="A447" s="262">
        <v>8</v>
      </c>
      <c r="C447" s="855">
        <v>420</v>
      </c>
      <c r="D447" s="855" t="s">
        <v>1028</v>
      </c>
      <c r="E447" s="1345" t="s">
        <v>1029</v>
      </c>
      <c r="F447" s="1345"/>
      <c r="G447" s="1345"/>
      <c r="H447" s="855" t="s">
        <v>247</v>
      </c>
      <c r="I447" s="856">
        <v>4687500</v>
      </c>
      <c r="J447" s="852">
        <f>+'Yeşil Defter Dönemsel'!I446</f>
        <v>0</v>
      </c>
      <c r="K447" s="852">
        <f>+'Yeşil Defter Dönemsel'!J446</f>
        <v>0</v>
      </c>
      <c r="L447" s="852">
        <f>+'Yeşil Defter Dönemsel'!K446</f>
        <v>0</v>
      </c>
      <c r="M447" s="857">
        <f t="shared" si="92"/>
        <v>0</v>
      </c>
      <c r="N447" s="857">
        <f t="shared" si="93"/>
        <v>0</v>
      </c>
      <c r="O447" s="857">
        <f t="shared" si="94"/>
        <v>0</v>
      </c>
      <c r="P447" s="852">
        <f t="shared" si="89"/>
        <v>0</v>
      </c>
      <c r="Q447" s="854">
        <f t="shared" si="95"/>
        <v>0</v>
      </c>
      <c r="R447" s="854">
        <f t="shared" si="90"/>
        <v>0</v>
      </c>
      <c r="S447" s="843">
        <f t="shared" si="81"/>
        <v>0</v>
      </c>
      <c r="T447" s="843">
        <f t="shared" si="83"/>
        <v>0</v>
      </c>
      <c r="U447" s="843">
        <f t="shared" si="82"/>
        <v>0</v>
      </c>
      <c r="V447" s="307"/>
      <c r="W447" t="e">
        <f>+'Yeşil Defter'!#REF!</f>
        <v>#REF!</v>
      </c>
      <c r="X447" s="766"/>
    </row>
    <row r="448" spans="1:24" ht="19.95" hidden="1" customHeight="1" x14ac:dyDescent="0.3">
      <c r="A448" s="262">
        <v>8</v>
      </c>
      <c r="C448" s="855">
        <v>421</v>
      </c>
      <c r="D448" s="858" t="s">
        <v>1030</v>
      </c>
      <c r="E448" s="1345" t="s">
        <v>1031</v>
      </c>
      <c r="F448" s="1345"/>
      <c r="G448" s="1345"/>
      <c r="H448" s="855" t="s">
        <v>247</v>
      </c>
      <c r="I448" s="856">
        <v>6875000</v>
      </c>
      <c r="J448" s="852">
        <f>+'Yeşil Defter Dönemsel'!I447</f>
        <v>0</v>
      </c>
      <c r="K448" s="852">
        <f>+'Yeşil Defter Dönemsel'!J447</f>
        <v>0</v>
      </c>
      <c r="L448" s="852">
        <f>+'Yeşil Defter Dönemsel'!K447</f>
        <v>0</v>
      </c>
      <c r="M448" s="857">
        <f t="shared" si="92"/>
        <v>0</v>
      </c>
      <c r="N448" s="857">
        <f t="shared" si="93"/>
        <v>0</v>
      </c>
      <c r="O448" s="857">
        <f t="shared" si="94"/>
        <v>0</v>
      </c>
      <c r="P448" s="852">
        <f t="shared" si="89"/>
        <v>0</v>
      </c>
      <c r="Q448" s="854">
        <f t="shared" si="95"/>
        <v>0</v>
      </c>
      <c r="R448" s="854">
        <f t="shared" si="90"/>
        <v>0</v>
      </c>
      <c r="S448" s="843">
        <f t="shared" si="81"/>
        <v>0</v>
      </c>
      <c r="T448" s="843">
        <f t="shared" si="83"/>
        <v>0</v>
      </c>
      <c r="U448" s="843">
        <f t="shared" si="82"/>
        <v>0</v>
      </c>
      <c r="V448" s="307"/>
      <c r="W448" t="e">
        <f>+'Yeşil Defter'!#REF!</f>
        <v>#REF!</v>
      </c>
      <c r="X448" s="766"/>
    </row>
    <row r="449" spans="1:24" ht="19.95" hidden="1" customHeight="1" x14ac:dyDescent="0.3">
      <c r="A449" s="262">
        <v>8</v>
      </c>
      <c r="C449" s="855">
        <v>422</v>
      </c>
      <c r="D449" s="858" t="s">
        <v>1032</v>
      </c>
      <c r="E449" s="1345" t="s">
        <v>1033</v>
      </c>
      <c r="F449" s="1345"/>
      <c r="G449" s="1345"/>
      <c r="H449" s="855" t="s">
        <v>247</v>
      </c>
      <c r="I449" s="856">
        <v>437500</v>
      </c>
      <c r="J449" s="852">
        <f>+'Yeşil Defter Dönemsel'!I448</f>
        <v>0</v>
      </c>
      <c r="K449" s="852">
        <f>+'Yeşil Defter Dönemsel'!J448</f>
        <v>0</v>
      </c>
      <c r="L449" s="852">
        <f>+'Yeşil Defter Dönemsel'!K448</f>
        <v>0</v>
      </c>
      <c r="M449" s="857">
        <f t="shared" si="92"/>
        <v>0</v>
      </c>
      <c r="N449" s="857">
        <f t="shared" si="93"/>
        <v>0</v>
      </c>
      <c r="O449" s="857">
        <f t="shared" si="94"/>
        <v>0</v>
      </c>
      <c r="P449" s="852">
        <f t="shared" si="89"/>
        <v>0</v>
      </c>
      <c r="Q449" s="854">
        <f t="shared" si="95"/>
        <v>0</v>
      </c>
      <c r="R449" s="854">
        <f t="shared" si="90"/>
        <v>0</v>
      </c>
      <c r="S449" s="843">
        <f t="shared" si="81"/>
        <v>0</v>
      </c>
      <c r="T449" s="843">
        <f t="shared" si="83"/>
        <v>0</v>
      </c>
      <c r="U449" s="843">
        <f t="shared" si="82"/>
        <v>0</v>
      </c>
      <c r="V449" s="307"/>
      <c r="W449" t="e">
        <f>+'Yeşil Defter'!#REF!</f>
        <v>#REF!</v>
      </c>
      <c r="X449" s="766"/>
    </row>
    <row r="450" spans="1:24" ht="19.95" hidden="1" customHeight="1" x14ac:dyDescent="0.3">
      <c r="A450" s="262">
        <v>8</v>
      </c>
      <c r="C450" s="855">
        <v>423</v>
      </c>
      <c r="D450" s="858" t="s">
        <v>1034</v>
      </c>
      <c r="E450" s="1345" t="s">
        <v>1035</v>
      </c>
      <c r="F450" s="1345"/>
      <c r="G450" s="1345"/>
      <c r="H450" s="855" t="s">
        <v>286</v>
      </c>
      <c r="I450" s="856">
        <v>3125000</v>
      </c>
      <c r="J450" s="852">
        <f>+'Yeşil Defter Dönemsel'!I449</f>
        <v>0</v>
      </c>
      <c r="K450" s="852">
        <f>+'Yeşil Defter Dönemsel'!J449</f>
        <v>0</v>
      </c>
      <c r="L450" s="852">
        <f>+'Yeşil Defter Dönemsel'!K449</f>
        <v>0</v>
      </c>
      <c r="M450" s="857">
        <f t="shared" si="92"/>
        <v>0</v>
      </c>
      <c r="N450" s="857">
        <f t="shared" si="93"/>
        <v>0</v>
      </c>
      <c r="O450" s="857">
        <f t="shared" si="94"/>
        <v>0</v>
      </c>
      <c r="P450" s="852">
        <f t="shared" si="89"/>
        <v>0</v>
      </c>
      <c r="Q450" s="854">
        <f t="shared" si="95"/>
        <v>0</v>
      </c>
      <c r="R450" s="854">
        <f t="shared" si="90"/>
        <v>0</v>
      </c>
      <c r="S450" s="843">
        <f t="shared" si="81"/>
        <v>0</v>
      </c>
      <c r="T450" s="843">
        <f t="shared" si="83"/>
        <v>0</v>
      </c>
      <c r="U450" s="843">
        <f t="shared" si="82"/>
        <v>0</v>
      </c>
      <c r="V450" s="307"/>
      <c r="W450" t="e">
        <f>+'Yeşil Defter'!#REF!</f>
        <v>#REF!</v>
      </c>
      <c r="X450" s="766"/>
    </row>
    <row r="451" spans="1:24" ht="19.95" hidden="1" customHeight="1" x14ac:dyDescent="0.3">
      <c r="A451" s="262">
        <v>8</v>
      </c>
      <c r="C451" s="860">
        <v>424</v>
      </c>
      <c r="D451" s="866" t="s">
        <v>1036</v>
      </c>
      <c r="E451" s="1341" t="s">
        <v>1037</v>
      </c>
      <c r="F451" s="1341"/>
      <c r="G451" s="1341"/>
      <c r="H451" s="860" t="s">
        <v>225</v>
      </c>
      <c r="I451" s="856">
        <v>19688</v>
      </c>
      <c r="J451" s="852">
        <f>+'Yeşil Defter Dönemsel'!I450</f>
        <v>0</v>
      </c>
      <c r="K451" s="852">
        <f>+'Yeşil Defter Dönemsel'!J450</f>
        <v>0</v>
      </c>
      <c r="L451" s="852">
        <f>+'Yeşil Defter Dönemsel'!K450</f>
        <v>0</v>
      </c>
      <c r="M451" s="862">
        <f t="shared" si="92"/>
        <v>0</v>
      </c>
      <c r="N451" s="862">
        <f t="shared" si="93"/>
        <v>0</v>
      </c>
      <c r="O451" s="862">
        <f t="shared" si="94"/>
        <v>0</v>
      </c>
      <c r="P451" s="852">
        <f t="shared" si="89"/>
        <v>0</v>
      </c>
      <c r="Q451" s="868">
        <f t="shared" si="95"/>
        <v>0</v>
      </c>
      <c r="R451" s="854">
        <f t="shared" si="90"/>
        <v>0</v>
      </c>
      <c r="S451" s="843">
        <f t="shared" si="81"/>
        <v>0</v>
      </c>
      <c r="T451" s="843">
        <f t="shared" si="83"/>
        <v>0</v>
      </c>
      <c r="U451" s="843">
        <f t="shared" si="82"/>
        <v>0</v>
      </c>
      <c r="V451" s="307"/>
      <c r="W451" t="e">
        <f>+'Yeşil Defter'!#REF!</f>
        <v>#REF!</v>
      </c>
      <c r="X451" s="766"/>
    </row>
    <row r="452" spans="1:24" ht="19.95" hidden="1" customHeight="1" x14ac:dyDescent="0.3">
      <c r="A452" s="262" t="s">
        <v>1240</v>
      </c>
      <c r="C452" s="839"/>
      <c r="D452" s="869" t="s">
        <v>1236</v>
      </c>
      <c r="E452" s="841"/>
      <c r="F452" s="841"/>
      <c r="G452" s="841"/>
      <c r="H452" s="841"/>
      <c r="I452" s="841"/>
      <c r="J452" s="852">
        <f>+'Yeşil Defter Dönemsel'!I451</f>
        <v>0</v>
      </c>
      <c r="K452" s="852">
        <f>+'Yeşil Defter Dönemsel'!J451</f>
        <v>0</v>
      </c>
      <c r="L452" s="852">
        <f>+'Yeşil Defter Dönemsel'!K451</f>
        <v>0</v>
      </c>
      <c r="M452" s="870">
        <f>SUM(M453:M456)</f>
        <v>0</v>
      </c>
      <c r="N452" s="870">
        <f t="shared" ref="N452:O452" si="96">SUM(N453:N456)</f>
        <v>0</v>
      </c>
      <c r="O452" s="870">
        <f t="shared" si="96"/>
        <v>0</v>
      </c>
      <c r="P452" s="852">
        <f t="shared" si="89"/>
        <v>0</v>
      </c>
      <c r="Q452" s="871"/>
      <c r="R452" s="854">
        <f t="shared" si="90"/>
        <v>0</v>
      </c>
      <c r="S452" s="843">
        <f t="shared" si="81"/>
        <v>0</v>
      </c>
      <c r="T452" s="843">
        <f t="shared" si="83"/>
        <v>0</v>
      </c>
      <c r="U452" s="843">
        <f t="shared" si="82"/>
        <v>0</v>
      </c>
      <c r="V452" s="307"/>
      <c r="W452" t="e">
        <f>+'Yeşil Defter'!#REF!</f>
        <v>#REF!</v>
      </c>
      <c r="X452" s="766"/>
    </row>
    <row r="453" spans="1:24" ht="19.95" hidden="1" customHeight="1" x14ac:dyDescent="0.3">
      <c r="A453" s="262">
        <v>9</v>
      </c>
      <c r="C453" s="849">
        <v>425</v>
      </c>
      <c r="D453" s="850" t="s">
        <v>1038</v>
      </c>
      <c r="E453" s="1346" t="s">
        <v>1039</v>
      </c>
      <c r="F453" s="1346"/>
      <c r="G453" s="1346"/>
      <c r="H453" s="849" t="s">
        <v>286</v>
      </c>
      <c r="I453" s="856">
        <v>29785000</v>
      </c>
      <c r="J453" s="852">
        <f>+'Yeşil Defter Dönemsel'!I452</f>
        <v>0</v>
      </c>
      <c r="K453" s="852">
        <f>+'Yeşil Defter Dönemsel'!J452</f>
        <v>0</v>
      </c>
      <c r="L453" s="852">
        <f>+'Yeşil Defter Dönemsel'!K452</f>
        <v>0</v>
      </c>
      <c r="M453" s="853">
        <f t="shared" ref="M453:M456" si="97">+ROUND($I453*J453,2)</f>
        <v>0</v>
      </c>
      <c r="N453" s="853">
        <f t="shared" ref="N453:N456" si="98">+ROUND($I453*K453,2)</f>
        <v>0</v>
      </c>
      <c r="O453" s="853">
        <f t="shared" ref="O453:O456" si="99">+ROUND($I453*L453,2)</f>
        <v>0</v>
      </c>
      <c r="P453" s="852">
        <f t="shared" si="89"/>
        <v>0</v>
      </c>
      <c r="Q453" s="852">
        <f t="shared" ref="Q453:Q456" si="100">+R453-P453</f>
        <v>0</v>
      </c>
      <c r="R453" s="854">
        <f t="shared" si="90"/>
        <v>0</v>
      </c>
      <c r="S453" s="843">
        <f t="shared" si="81"/>
        <v>0</v>
      </c>
      <c r="T453" s="843">
        <f t="shared" si="83"/>
        <v>0</v>
      </c>
      <c r="U453" s="843">
        <f t="shared" si="82"/>
        <v>0</v>
      </c>
      <c r="V453" s="307"/>
      <c r="W453" t="e">
        <f>+'Yeşil Defter'!#REF!</f>
        <v>#REF!</v>
      </c>
      <c r="X453" s="766"/>
    </row>
    <row r="454" spans="1:24" ht="19.95" hidden="1" customHeight="1" x14ac:dyDescent="0.3">
      <c r="A454" s="262">
        <v>9</v>
      </c>
      <c r="C454" s="855">
        <v>426</v>
      </c>
      <c r="D454" s="858" t="s">
        <v>1040</v>
      </c>
      <c r="E454" s="1345" t="s">
        <v>1041</v>
      </c>
      <c r="F454" s="1345"/>
      <c r="G454" s="1345"/>
      <c r="H454" s="855" t="s">
        <v>286</v>
      </c>
      <c r="I454" s="856">
        <v>119140000</v>
      </c>
      <c r="J454" s="852">
        <f>+'Yeşil Defter Dönemsel'!I453</f>
        <v>0</v>
      </c>
      <c r="K454" s="852">
        <f>+'Yeşil Defter Dönemsel'!J453</f>
        <v>0</v>
      </c>
      <c r="L454" s="852">
        <f>+'Yeşil Defter Dönemsel'!K453</f>
        <v>0</v>
      </c>
      <c r="M454" s="857">
        <f t="shared" si="97"/>
        <v>0</v>
      </c>
      <c r="N454" s="857">
        <f t="shared" si="98"/>
        <v>0</v>
      </c>
      <c r="O454" s="857">
        <f t="shared" si="99"/>
        <v>0</v>
      </c>
      <c r="P454" s="852">
        <f t="shared" si="89"/>
        <v>0</v>
      </c>
      <c r="Q454" s="854">
        <f t="shared" si="100"/>
        <v>0</v>
      </c>
      <c r="R454" s="854">
        <f t="shared" si="90"/>
        <v>0</v>
      </c>
      <c r="S454" s="843">
        <f t="shared" si="81"/>
        <v>0</v>
      </c>
      <c r="T454" s="843">
        <f t="shared" si="83"/>
        <v>0</v>
      </c>
      <c r="U454" s="843">
        <f t="shared" si="82"/>
        <v>0</v>
      </c>
      <c r="V454" s="307"/>
      <c r="W454" t="e">
        <f>+'Yeşil Defter'!#REF!</f>
        <v>#REF!</v>
      </c>
      <c r="X454" s="766"/>
    </row>
    <row r="455" spans="1:24" ht="19.95" hidden="1" customHeight="1" x14ac:dyDescent="0.3">
      <c r="A455" s="262">
        <v>9</v>
      </c>
      <c r="C455" s="855">
        <v>427</v>
      </c>
      <c r="D455" s="858" t="s">
        <v>1042</v>
      </c>
      <c r="E455" s="1345" t="s">
        <v>1043</v>
      </c>
      <c r="F455" s="1345"/>
      <c r="G455" s="1345"/>
      <c r="H455" s="855" t="s">
        <v>286</v>
      </c>
      <c r="I455" s="856">
        <v>3869750</v>
      </c>
      <c r="J455" s="852">
        <f>+'Yeşil Defter Dönemsel'!I454</f>
        <v>0</v>
      </c>
      <c r="K455" s="852">
        <f>+'Yeşil Defter Dönemsel'!J454</f>
        <v>0</v>
      </c>
      <c r="L455" s="852">
        <f>+'Yeşil Defter Dönemsel'!K454</f>
        <v>0</v>
      </c>
      <c r="M455" s="857">
        <f t="shared" si="97"/>
        <v>0</v>
      </c>
      <c r="N455" s="857">
        <f t="shared" si="98"/>
        <v>0</v>
      </c>
      <c r="O455" s="857">
        <f t="shared" si="99"/>
        <v>0</v>
      </c>
      <c r="P455" s="852">
        <f t="shared" si="89"/>
        <v>0</v>
      </c>
      <c r="Q455" s="854">
        <f t="shared" si="100"/>
        <v>0</v>
      </c>
      <c r="R455" s="854">
        <f t="shared" si="90"/>
        <v>0</v>
      </c>
      <c r="S455" s="843">
        <f t="shared" si="81"/>
        <v>0</v>
      </c>
      <c r="T455" s="843">
        <f t="shared" si="83"/>
        <v>0</v>
      </c>
      <c r="U455" s="843">
        <f t="shared" si="82"/>
        <v>0</v>
      </c>
      <c r="V455" s="307"/>
      <c r="W455" t="e">
        <f>+'Yeşil Defter'!#REF!</f>
        <v>#REF!</v>
      </c>
      <c r="X455" s="766"/>
    </row>
    <row r="456" spans="1:24" ht="19.95" hidden="1" customHeight="1" x14ac:dyDescent="0.3">
      <c r="A456" s="262">
        <v>9</v>
      </c>
      <c r="C456" s="860">
        <v>428</v>
      </c>
      <c r="D456" s="866" t="s">
        <v>1044</v>
      </c>
      <c r="E456" s="1341" t="s">
        <v>1045</v>
      </c>
      <c r="F456" s="1341"/>
      <c r="G456" s="1341"/>
      <c r="H456" s="860" t="s">
        <v>286</v>
      </c>
      <c r="I456" s="856">
        <v>69000000</v>
      </c>
      <c r="J456" s="852">
        <f>+'Yeşil Defter Dönemsel'!I455</f>
        <v>0</v>
      </c>
      <c r="K456" s="852">
        <f>+'Yeşil Defter Dönemsel'!J455</f>
        <v>0</v>
      </c>
      <c r="L456" s="852">
        <f>+'Yeşil Defter Dönemsel'!K455</f>
        <v>0</v>
      </c>
      <c r="M456" s="862">
        <f t="shared" si="97"/>
        <v>0</v>
      </c>
      <c r="N456" s="862">
        <f t="shared" si="98"/>
        <v>0</v>
      </c>
      <c r="O456" s="862">
        <f t="shared" si="99"/>
        <v>0</v>
      </c>
      <c r="P456" s="852">
        <f t="shared" si="89"/>
        <v>0</v>
      </c>
      <c r="Q456" s="868">
        <f t="shared" si="100"/>
        <v>0</v>
      </c>
      <c r="R456" s="854">
        <f t="shared" si="90"/>
        <v>0</v>
      </c>
      <c r="S456" s="843">
        <f t="shared" si="81"/>
        <v>0</v>
      </c>
      <c r="T456" s="843">
        <f t="shared" si="83"/>
        <v>0</v>
      </c>
      <c r="U456" s="843">
        <f t="shared" si="82"/>
        <v>0</v>
      </c>
      <c r="V456" s="307"/>
      <c r="W456" t="e">
        <f>+'Yeşil Defter'!#REF!</f>
        <v>#REF!</v>
      </c>
      <c r="X456" s="766"/>
    </row>
    <row r="457" spans="1:24" ht="25.05" hidden="1" customHeight="1" x14ac:dyDescent="0.3">
      <c r="A457" s="262" t="s">
        <v>1240</v>
      </c>
      <c r="C457" s="839"/>
      <c r="D457" s="869" t="s">
        <v>1237</v>
      </c>
      <c r="E457" s="841"/>
      <c r="F457" s="841"/>
      <c r="G457" s="841"/>
      <c r="H457" s="841"/>
      <c r="I457" s="841"/>
      <c r="J457" s="852">
        <f>+'Yeşil Defter Dönemsel'!I456</f>
        <v>0</v>
      </c>
      <c r="K457" s="852">
        <f>+'Yeşil Defter Dönemsel'!J456</f>
        <v>0</v>
      </c>
      <c r="L457" s="852">
        <f>+'Yeşil Defter Dönemsel'!K456</f>
        <v>0</v>
      </c>
      <c r="M457" s="870">
        <f>SUM(M458:M509)</f>
        <v>0</v>
      </c>
      <c r="N457" s="870">
        <f t="shared" ref="N457:O457" si="101">SUM(N458:N509)</f>
        <v>0</v>
      </c>
      <c r="O457" s="870">
        <f t="shared" si="101"/>
        <v>0</v>
      </c>
      <c r="P457" s="852">
        <f t="shared" si="89"/>
        <v>0</v>
      </c>
      <c r="Q457" s="871"/>
      <c r="R457" s="854">
        <f t="shared" si="90"/>
        <v>0</v>
      </c>
      <c r="S457" s="843">
        <f t="shared" si="81"/>
        <v>0</v>
      </c>
      <c r="T457" s="843">
        <f t="shared" si="83"/>
        <v>0</v>
      </c>
      <c r="U457" s="843">
        <f t="shared" si="82"/>
        <v>0</v>
      </c>
      <c r="V457" s="307"/>
      <c r="W457" t="e">
        <f>+'Yeşil Defter'!#REF!</f>
        <v>#REF!</v>
      </c>
      <c r="X457" s="766"/>
    </row>
    <row r="458" spans="1:24" ht="25.05" hidden="1" customHeight="1" x14ac:dyDescent="0.3">
      <c r="A458" s="262">
        <v>10</v>
      </c>
      <c r="C458" s="849">
        <v>429</v>
      </c>
      <c r="D458" s="850" t="s">
        <v>1046</v>
      </c>
      <c r="E458" s="1342" t="s">
        <v>1047</v>
      </c>
      <c r="F458" s="1343"/>
      <c r="G458" s="1344"/>
      <c r="H458" s="849" t="s">
        <v>286</v>
      </c>
      <c r="I458" s="856">
        <v>3920576</v>
      </c>
      <c r="J458" s="852">
        <f>+'Yeşil Defter Dönemsel'!I457</f>
        <v>0</v>
      </c>
      <c r="K458" s="852">
        <f>+'Yeşil Defter Dönemsel'!J457</f>
        <v>0</v>
      </c>
      <c r="L458" s="852">
        <f>+'Yeşil Defter Dönemsel'!K457</f>
        <v>0</v>
      </c>
      <c r="M458" s="853">
        <f t="shared" ref="M458:M509" si="102">+ROUND($I458*J458,2)</f>
        <v>0</v>
      </c>
      <c r="N458" s="853">
        <f>+ROUND($I458*K458,2)</f>
        <v>0</v>
      </c>
      <c r="O458" s="853">
        <f t="shared" ref="O458:O509" si="103">+ROUND($I458*L458,2)</f>
        <v>0</v>
      </c>
      <c r="P458" s="852">
        <f t="shared" si="89"/>
        <v>0</v>
      </c>
      <c r="Q458" s="852"/>
      <c r="R458" s="854">
        <f t="shared" si="90"/>
        <v>0</v>
      </c>
      <c r="S458" s="843">
        <f t="shared" si="81"/>
        <v>0</v>
      </c>
      <c r="T458" s="843">
        <f t="shared" si="83"/>
        <v>0</v>
      </c>
      <c r="U458" s="843">
        <f t="shared" si="82"/>
        <v>0</v>
      </c>
      <c r="V458" s="307"/>
      <c r="W458" t="e">
        <f>+'Yeşil Defter'!#REF!</f>
        <v>#REF!</v>
      </c>
      <c r="X458" s="766"/>
    </row>
    <row r="459" spans="1:24" ht="19.95" hidden="1" customHeight="1" x14ac:dyDescent="0.3">
      <c r="A459" s="262">
        <v>10</v>
      </c>
      <c r="C459" s="161">
        <v>430</v>
      </c>
      <c r="D459" s="161" t="s">
        <v>1048</v>
      </c>
      <c r="E459" s="969" t="s">
        <v>1049</v>
      </c>
      <c r="F459" s="970"/>
      <c r="G459" s="971"/>
      <c r="H459" s="161" t="s">
        <v>286</v>
      </c>
      <c r="I459" s="163">
        <v>17953221</v>
      </c>
      <c r="J459" s="489">
        <f>+'Yeşil Defter Dönemsel'!L458</f>
        <v>0</v>
      </c>
      <c r="K459" s="489">
        <f>+'Yeşil Defter Dönemsel'!M458</f>
        <v>0</v>
      </c>
      <c r="L459" s="489">
        <f>+'Yeşil Defter Dönemsel'!N458</f>
        <v>0</v>
      </c>
      <c r="M459" s="212">
        <f t="shared" si="102"/>
        <v>0</v>
      </c>
      <c r="N459" s="212">
        <f t="shared" ref="N459:N509" si="104">+ROUND($I459*K459,2)</f>
        <v>0</v>
      </c>
      <c r="O459" s="212">
        <f t="shared" si="103"/>
        <v>0</v>
      </c>
      <c r="P459" s="211" t="e">
        <f>+#REF!</f>
        <v>#REF!</v>
      </c>
      <c r="Q459" s="212" t="e">
        <f t="shared" ref="Q459:Q509" si="105">+R459-P459</f>
        <v>#REF!</v>
      </c>
      <c r="R459" s="226" t="e">
        <f>+#REF!</f>
        <v>#REF!</v>
      </c>
      <c r="S459" s="685" t="e">
        <f>+#REF!</f>
        <v>#REF!</v>
      </c>
      <c r="T459" s="685" t="e">
        <f t="shared" si="83"/>
        <v>#REF!</v>
      </c>
      <c r="U459" s="685">
        <f t="shared" si="82"/>
        <v>0</v>
      </c>
      <c r="V459" s="307"/>
      <c r="W459" t="e">
        <f>+'Yeşil Defter'!#REF!</f>
        <v>#REF!</v>
      </c>
      <c r="X459" s="766"/>
    </row>
    <row r="460" spans="1:24" ht="19.95" hidden="1" customHeight="1" x14ac:dyDescent="0.3">
      <c r="A460" s="262">
        <v>10</v>
      </c>
      <c r="C460" s="161">
        <v>431</v>
      </c>
      <c r="D460" s="161" t="s">
        <v>1050</v>
      </c>
      <c r="E460" s="969" t="s">
        <v>1051</v>
      </c>
      <c r="F460" s="970"/>
      <c r="G460" s="971"/>
      <c r="H460" s="161" t="s">
        <v>286</v>
      </c>
      <c r="I460" s="163">
        <v>11111515</v>
      </c>
      <c r="J460" s="489">
        <f>+'Yeşil Defter Dönemsel'!L459</f>
        <v>0</v>
      </c>
      <c r="K460" s="489">
        <f>+'Yeşil Defter Dönemsel'!M459</f>
        <v>0</v>
      </c>
      <c r="L460" s="489">
        <f>+'Yeşil Defter Dönemsel'!N459</f>
        <v>0</v>
      </c>
      <c r="M460" s="212">
        <f t="shared" si="102"/>
        <v>0</v>
      </c>
      <c r="N460" s="212">
        <f t="shared" si="104"/>
        <v>0</v>
      </c>
      <c r="O460" s="212">
        <f t="shared" si="103"/>
        <v>0</v>
      </c>
      <c r="P460" s="211" t="e">
        <f>+#REF!</f>
        <v>#REF!</v>
      </c>
      <c r="Q460" s="212" t="e">
        <f t="shared" si="105"/>
        <v>#REF!</v>
      </c>
      <c r="R460" s="226" t="e">
        <f>+#REF!</f>
        <v>#REF!</v>
      </c>
      <c r="S460" s="685" t="e">
        <f>+#REF!</f>
        <v>#REF!</v>
      </c>
      <c r="T460" s="685" t="e">
        <f t="shared" si="83"/>
        <v>#REF!</v>
      </c>
      <c r="U460" s="685">
        <f t="shared" si="82"/>
        <v>0</v>
      </c>
      <c r="V460" s="307"/>
      <c r="W460" t="e">
        <f>+'Yeşil Defter'!#REF!</f>
        <v>#REF!</v>
      </c>
      <c r="X460" s="766"/>
    </row>
    <row r="461" spans="1:24" ht="19.95" hidden="1" customHeight="1" x14ac:dyDescent="0.3">
      <c r="A461" s="262">
        <v>10</v>
      </c>
      <c r="C461" s="161">
        <v>432</v>
      </c>
      <c r="D461" s="161" t="s">
        <v>1052</v>
      </c>
      <c r="E461" s="969" t="s">
        <v>1053</v>
      </c>
      <c r="F461" s="970"/>
      <c r="G461" s="971"/>
      <c r="H461" s="161" t="s">
        <v>286</v>
      </c>
      <c r="I461" s="163">
        <v>19526276</v>
      </c>
      <c r="J461" s="489">
        <f>+'Yeşil Defter Dönemsel'!L460</f>
        <v>0</v>
      </c>
      <c r="K461" s="489">
        <f>+'Yeşil Defter Dönemsel'!M460</f>
        <v>0</v>
      </c>
      <c r="L461" s="489">
        <f>+'Yeşil Defter Dönemsel'!N460</f>
        <v>0</v>
      </c>
      <c r="M461" s="212">
        <f t="shared" si="102"/>
        <v>0</v>
      </c>
      <c r="N461" s="212">
        <f t="shared" si="104"/>
        <v>0</v>
      </c>
      <c r="O461" s="212">
        <f t="shared" si="103"/>
        <v>0</v>
      </c>
      <c r="P461" s="211" t="e">
        <f>+#REF!</f>
        <v>#REF!</v>
      </c>
      <c r="Q461" s="212" t="e">
        <f t="shared" si="105"/>
        <v>#REF!</v>
      </c>
      <c r="R461" s="226" t="e">
        <f>+#REF!</f>
        <v>#REF!</v>
      </c>
      <c r="S461" s="685" t="e">
        <f>+#REF!</f>
        <v>#REF!</v>
      </c>
      <c r="T461" s="685" t="e">
        <f t="shared" si="83"/>
        <v>#REF!</v>
      </c>
      <c r="U461" s="685">
        <f t="shared" si="82"/>
        <v>0</v>
      </c>
      <c r="V461" s="307"/>
      <c r="W461" t="e">
        <f>+'Yeşil Defter'!#REF!</f>
        <v>#REF!</v>
      </c>
      <c r="X461" s="766"/>
    </row>
    <row r="462" spans="1:24" ht="19.95" hidden="1" customHeight="1" x14ac:dyDescent="0.3">
      <c r="A462" s="262">
        <v>10</v>
      </c>
      <c r="C462" s="161">
        <v>433</v>
      </c>
      <c r="D462" s="161" t="s">
        <v>1054</v>
      </c>
      <c r="E462" s="969" t="s">
        <v>1055</v>
      </c>
      <c r="F462" s="970"/>
      <c r="G462" s="971"/>
      <c r="H462" s="161" t="s">
        <v>286</v>
      </c>
      <c r="I462" s="163">
        <v>17245708</v>
      </c>
      <c r="J462" s="489">
        <f>+'Yeşil Defter Dönemsel'!L461</f>
        <v>0</v>
      </c>
      <c r="K462" s="489">
        <f>+'Yeşil Defter Dönemsel'!M461</f>
        <v>0</v>
      </c>
      <c r="L462" s="489">
        <f>+'Yeşil Defter Dönemsel'!N461</f>
        <v>0</v>
      </c>
      <c r="M462" s="212">
        <f t="shared" si="102"/>
        <v>0</v>
      </c>
      <c r="N462" s="212">
        <f t="shared" si="104"/>
        <v>0</v>
      </c>
      <c r="O462" s="212">
        <f t="shared" si="103"/>
        <v>0</v>
      </c>
      <c r="P462" s="211" t="e">
        <f>+#REF!</f>
        <v>#REF!</v>
      </c>
      <c r="Q462" s="212" t="e">
        <f t="shared" si="105"/>
        <v>#REF!</v>
      </c>
      <c r="R462" s="226" t="e">
        <f>+#REF!</f>
        <v>#REF!</v>
      </c>
      <c r="S462" s="685" t="e">
        <f>+#REF!</f>
        <v>#REF!</v>
      </c>
      <c r="T462" s="685" t="e">
        <f t="shared" si="83"/>
        <v>#REF!</v>
      </c>
      <c r="U462" s="685">
        <f t="shared" si="82"/>
        <v>0</v>
      </c>
      <c r="V462" s="307"/>
      <c r="W462" t="e">
        <f>+'Yeşil Defter'!#REF!</f>
        <v>#REF!</v>
      </c>
      <c r="X462" s="766"/>
    </row>
    <row r="463" spans="1:24" ht="19.95" hidden="1" customHeight="1" x14ac:dyDescent="0.3">
      <c r="A463" s="262">
        <v>10</v>
      </c>
      <c r="C463" s="161">
        <v>434</v>
      </c>
      <c r="D463" s="161" t="s">
        <v>1056</v>
      </c>
      <c r="E463" s="969" t="s">
        <v>1057</v>
      </c>
      <c r="F463" s="970"/>
      <c r="G463" s="971"/>
      <c r="H463" s="161" t="s">
        <v>286</v>
      </c>
      <c r="I463" s="163">
        <v>17453800</v>
      </c>
      <c r="J463" s="489">
        <f>+'Yeşil Defter Dönemsel'!L462</f>
        <v>0</v>
      </c>
      <c r="K463" s="489">
        <f>+'Yeşil Defter Dönemsel'!M462</f>
        <v>0</v>
      </c>
      <c r="L463" s="489">
        <f>+'Yeşil Defter Dönemsel'!N462</f>
        <v>0</v>
      </c>
      <c r="M463" s="212">
        <f t="shared" si="102"/>
        <v>0</v>
      </c>
      <c r="N463" s="212">
        <f t="shared" si="104"/>
        <v>0</v>
      </c>
      <c r="O463" s="212">
        <f t="shared" si="103"/>
        <v>0</v>
      </c>
      <c r="P463" s="211" t="e">
        <f>+#REF!</f>
        <v>#REF!</v>
      </c>
      <c r="Q463" s="212" t="e">
        <f t="shared" si="105"/>
        <v>#REF!</v>
      </c>
      <c r="R463" s="226" t="e">
        <f>+#REF!</f>
        <v>#REF!</v>
      </c>
      <c r="S463" s="685" t="e">
        <f>+#REF!</f>
        <v>#REF!</v>
      </c>
      <c r="T463" s="685" t="e">
        <f t="shared" si="83"/>
        <v>#REF!</v>
      </c>
      <c r="U463" s="685">
        <f t="shared" si="82"/>
        <v>0</v>
      </c>
      <c r="V463" s="307"/>
      <c r="W463" t="e">
        <f>+'Yeşil Defter'!#REF!</f>
        <v>#REF!</v>
      </c>
      <c r="X463" s="766"/>
    </row>
    <row r="464" spans="1:24" ht="19.95" hidden="1" customHeight="1" x14ac:dyDescent="0.3">
      <c r="A464" s="262">
        <v>10</v>
      </c>
      <c r="C464" s="161">
        <v>435</v>
      </c>
      <c r="D464" s="161" t="s">
        <v>1058</v>
      </c>
      <c r="E464" s="969" t="s">
        <v>1059</v>
      </c>
      <c r="F464" s="970"/>
      <c r="G464" s="971"/>
      <c r="H464" s="161" t="s">
        <v>286</v>
      </c>
      <c r="I464" s="163">
        <v>8928056</v>
      </c>
      <c r="J464" s="489">
        <f>+'Yeşil Defter Dönemsel'!L463</f>
        <v>0</v>
      </c>
      <c r="K464" s="489">
        <f>+'Yeşil Defter Dönemsel'!M463</f>
        <v>0</v>
      </c>
      <c r="L464" s="489">
        <f>+'Yeşil Defter Dönemsel'!N463</f>
        <v>0</v>
      </c>
      <c r="M464" s="212">
        <f t="shared" si="102"/>
        <v>0</v>
      </c>
      <c r="N464" s="212">
        <f t="shared" si="104"/>
        <v>0</v>
      </c>
      <c r="O464" s="212">
        <f t="shared" si="103"/>
        <v>0</v>
      </c>
      <c r="P464" s="211" t="e">
        <f>+#REF!</f>
        <v>#REF!</v>
      </c>
      <c r="Q464" s="212" t="e">
        <f t="shared" si="105"/>
        <v>#REF!</v>
      </c>
      <c r="R464" s="226" t="e">
        <f>+#REF!</f>
        <v>#REF!</v>
      </c>
      <c r="S464" s="685" t="e">
        <f>+#REF!</f>
        <v>#REF!</v>
      </c>
      <c r="T464" s="685" t="e">
        <f t="shared" si="83"/>
        <v>#REF!</v>
      </c>
      <c r="U464" s="685">
        <f t="shared" ref="U464:U513" si="106">+O464</f>
        <v>0</v>
      </c>
      <c r="V464" s="307"/>
      <c r="W464" t="e">
        <f>+'Yeşil Defter'!#REF!</f>
        <v>#REF!</v>
      </c>
      <c r="X464" s="766"/>
    </row>
    <row r="465" spans="1:24" ht="19.95" hidden="1" customHeight="1" x14ac:dyDescent="0.3">
      <c r="A465" s="262">
        <v>10</v>
      </c>
      <c r="C465" s="161">
        <v>436</v>
      </c>
      <c r="D465" s="161" t="s">
        <v>1060</v>
      </c>
      <c r="E465" s="969" t="s">
        <v>1061</v>
      </c>
      <c r="F465" s="970"/>
      <c r="G465" s="971"/>
      <c r="H465" s="161" t="s">
        <v>286</v>
      </c>
      <c r="I465" s="163">
        <v>6744596</v>
      </c>
      <c r="J465" s="489">
        <f>+'Yeşil Defter Dönemsel'!L464</f>
        <v>0</v>
      </c>
      <c r="K465" s="489">
        <f>+'Yeşil Defter Dönemsel'!M464</f>
        <v>0</v>
      </c>
      <c r="L465" s="489">
        <f>+'Yeşil Defter Dönemsel'!N464</f>
        <v>0</v>
      </c>
      <c r="M465" s="212">
        <f t="shared" si="102"/>
        <v>0</v>
      </c>
      <c r="N465" s="212">
        <f t="shared" si="104"/>
        <v>0</v>
      </c>
      <c r="O465" s="212">
        <f t="shared" si="103"/>
        <v>0</v>
      </c>
      <c r="P465" s="211" t="e">
        <f>+#REF!</f>
        <v>#REF!</v>
      </c>
      <c r="Q465" s="212" t="e">
        <f t="shared" si="105"/>
        <v>#REF!</v>
      </c>
      <c r="R465" s="226" t="e">
        <f>+#REF!</f>
        <v>#REF!</v>
      </c>
      <c r="S465" s="685" t="e">
        <f>+#REF!</f>
        <v>#REF!</v>
      </c>
      <c r="T465" s="685" t="e">
        <f t="shared" ref="T465:T513" si="107">+U465-S465</f>
        <v>#REF!</v>
      </c>
      <c r="U465" s="685">
        <f t="shared" si="106"/>
        <v>0</v>
      </c>
      <c r="V465" s="307"/>
      <c r="W465" t="e">
        <f>+'Yeşil Defter'!#REF!</f>
        <v>#REF!</v>
      </c>
      <c r="X465" s="766"/>
    </row>
    <row r="466" spans="1:24" ht="19.95" hidden="1" customHeight="1" x14ac:dyDescent="0.3">
      <c r="A466" s="262">
        <v>10</v>
      </c>
      <c r="C466" s="161">
        <v>437</v>
      </c>
      <c r="D466" s="161" t="s">
        <v>1062</v>
      </c>
      <c r="E466" s="969" t="s">
        <v>1063</v>
      </c>
      <c r="F466" s="970"/>
      <c r="G466" s="971"/>
      <c r="H466" s="161" t="s">
        <v>286</v>
      </c>
      <c r="I466" s="163">
        <v>8969674</v>
      </c>
      <c r="J466" s="489">
        <f>+'Yeşil Defter Dönemsel'!L465</f>
        <v>0</v>
      </c>
      <c r="K466" s="489">
        <f>+'Yeşil Defter Dönemsel'!M465</f>
        <v>0</v>
      </c>
      <c r="L466" s="489">
        <f>+'Yeşil Defter Dönemsel'!N465</f>
        <v>0</v>
      </c>
      <c r="M466" s="212">
        <f t="shared" si="102"/>
        <v>0</v>
      </c>
      <c r="N466" s="212">
        <f t="shared" si="104"/>
        <v>0</v>
      </c>
      <c r="O466" s="212">
        <f t="shared" si="103"/>
        <v>0</v>
      </c>
      <c r="P466" s="211" t="e">
        <f>+#REF!</f>
        <v>#REF!</v>
      </c>
      <c r="Q466" s="212" t="e">
        <f t="shared" si="105"/>
        <v>#REF!</v>
      </c>
      <c r="R466" s="226" t="e">
        <f>+#REF!</f>
        <v>#REF!</v>
      </c>
      <c r="S466" s="685" t="e">
        <f>+#REF!</f>
        <v>#REF!</v>
      </c>
      <c r="T466" s="685" t="e">
        <f t="shared" si="107"/>
        <v>#REF!</v>
      </c>
      <c r="U466" s="685">
        <f t="shared" si="106"/>
        <v>0</v>
      </c>
      <c r="V466" s="307"/>
      <c r="W466" t="e">
        <f>+'Yeşil Defter'!#REF!</f>
        <v>#REF!</v>
      </c>
      <c r="X466" s="766"/>
    </row>
    <row r="467" spans="1:24" ht="19.95" hidden="1" customHeight="1" x14ac:dyDescent="0.3">
      <c r="A467" s="262">
        <v>10</v>
      </c>
      <c r="C467" s="161">
        <v>438</v>
      </c>
      <c r="D467" s="161" t="s">
        <v>1064</v>
      </c>
      <c r="E467" s="969" t="s">
        <v>1065</v>
      </c>
      <c r="F467" s="970"/>
      <c r="G467" s="971"/>
      <c r="H467" s="161" t="s">
        <v>286</v>
      </c>
      <c r="I467" s="163">
        <v>8928056</v>
      </c>
      <c r="J467" s="489">
        <f>+'Yeşil Defter Dönemsel'!L466</f>
        <v>0</v>
      </c>
      <c r="K467" s="489">
        <f>+'Yeşil Defter Dönemsel'!M466</f>
        <v>0</v>
      </c>
      <c r="L467" s="489">
        <f>+'Yeşil Defter Dönemsel'!N466</f>
        <v>0</v>
      </c>
      <c r="M467" s="212">
        <f t="shared" si="102"/>
        <v>0</v>
      </c>
      <c r="N467" s="212">
        <f t="shared" si="104"/>
        <v>0</v>
      </c>
      <c r="O467" s="212">
        <f t="shared" si="103"/>
        <v>0</v>
      </c>
      <c r="P467" s="211" t="e">
        <f>+#REF!</f>
        <v>#REF!</v>
      </c>
      <c r="Q467" s="212" t="e">
        <f t="shared" si="105"/>
        <v>#REF!</v>
      </c>
      <c r="R467" s="226" t="e">
        <f>+#REF!</f>
        <v>#REF!</v>
      </c>
      <c r="S467" s="685" t="e">
        <f>+#REF!</f>
        <v>#REF!</v>
      </c>
      <c r="T467" s="685" t="e">
        <f t="shared" si="107"/>
        <v>#REF!</v>
      </c>
      <c r="U467" s="685">
        <f t="shared" si="106"/>
        <v>0</v>
      </c>
      <c r="V467" s="307"/>
      <c r="W467" t="e">
        <f>+'Yeşil Defter'!#REF!</f>
        <v>#REF!</v>
      </c>
      <c r="X467" s="766"/>
    </row>
    <row r="468" spans="1:24" ht="19.95" hidden="1" customHeight="1" x14ac:dyDescent="0.3">
      <c r="A468" s="262">
        <v>10</v>
      </c>
      <c r="C468" s="161">
        <v>439</v>
      </c>
      <c r="D468" s="161" t="s">
        <v>1066</v>
      </c>
      <c r="E468" s="969" t="s">
        <v>1067</v>
      </c>
      <c r="F468" s="970"/>
      <c r="G468" s="971"/>
      <c r="H468" s="161" t="s">
        <v>286</v>
      </c>
      <c r="I468" s="163">
        <v>4464028</v>
      </c>
      <c r="J468" s="489">
        <f>+'Yeşil Defter Dönemsel'!L467</f>
        <v>0</v>
      </c>
      <c r="K468" s="489">
        <f>+'Yeşil Defter Dönemsel'!M467</f>
        <v>0</v>
      </c>
      <c r="L468" s="489">
        <f>+'Yeşil Defter Dönemsel'!N467</f>
        <v>0</v>
      </c>
      <c r="M468" s="212">
        <f t="shared" si="102"/>
        <v>0</v>
      </c>
      <c r="N468" s="212">
        <f t="shared" si="104"/>
        <v>0</v>
      </c>
      <c r="O468" s="212">
        <f t="shared" si="103"/>
        <v>0</v>
      </c>
      <c r="P468" s="211" t="e">
        <f>+#REF!</f>
        <v>#REF!</v>
      </c>
      <c r="Q468" s="212" t="e">
        <f t="shared" si="105"/>
        <v>#REF!</v>
      </c>
      <c r="R468" s="226" t="e">
        <f>+#REF!</f>
        <v>#REF!</v>
      </c>
      <c r="S468" s="685" t="e">
        <f>+#REF!</f>
        <v>#REF!</v>
      </c>
      <c r="T468" s="685" t="e">
        <f t="shared" si="107"/>
        <v>#REF!</v>
      </c>
      <c r="U468" s="685">
        <f t="shared" si="106"/>
        <v>0</v>
      </c>
      <c r="V468" s="307"/>
      <c r="W468" t="e">
        <f>+'Yeşil Defter'!#REF!</f>
        <v>#REF!</v>
      </c>
      <c r="X468" s="766"/>
    </row>
    <row r="469" spans="1:24" ht="19.95" hidden="1" customHeight="1" x14ac:dyDescent="0.3">
      <c r="A469" s="262">
        <v>10</v>
      </c>
      <c r="C469" s="161">
        <v>440</v>
      </c>
      <c r="D469" s="161" t="s">
        <v>1068</v>
      </c>
      <c r="E469" s="969" t="s">
        <v>1069</v>
      </c>
      <c r="F469" s="970"/>
      <c r="G469" s="971"/>
      <c r="H469" s="161" t="s">
        <v>286</v>
      </c>
      <c r="I469" s="163">
        <v>4505646</v>
      </c>
      <c r="J469" s="489">
        <f>+'Yeşil Defter Dönemsel'!L468</f>
        <v>0</v>
      </c>
      <c r="K469" s="489">
        <f>+'Yeşil Defter Dönemsel'!M468</f>
        <v>0</v>
      </c>
      <c r="L469" s="489">
        <f>+'Yeşil Defter Dönemsel'!N468</f>
        <v>0</v>
      </c>
      <c r="M469" s="212">
        <f t="shared" si="102"/>
        <v>0</v>
      </c>
      <c r="N469" s="212">
        <f t="shared" si="104"/>
        <v>0</v>
      </c>
      <c r="O469" s="212">
        <f t="shared" si="103"/>
        <v>0</v>
      </c>
      <c r="P469" s="211" t="e">
        <f>+#REF!</f>
        <v>#REF!</v>
      </c>
      <c r="Q469" s="212" t="e">
        <f t="shared" si="105"/>
        <v>#REF!</v>
      </c>
      <c r="R469" s="226" t="e">
        <f>+#REF!</f>
        <v>#REF!</v>
      </c>
      <c r="S469" s="685" t="e">
        <f>+#REF!</f>
        <v>#REF!</v>
      </c>
      <c r="T469" s="685" t="e">
        <f t="shared" si="107"/>
        <v>#REF!</v>
      </c>
      <c r="U469" s="685">
        <f t="shared" si="106"/>
        <v>0</v>
      </c>
      <c r="V469" s="307"/>
      <c r="W469" t="e">
        <f>+'Yeşil Defter'!#REF!</f>
        <v>#REF!</v>
      </c>
      <c r="X469" s="766"/>
    </row>
    <row r="470" spans="1:24" ht="19.95" hidden="1" customHeight="1" x14ac:dyDescent="0.3">
      <c r="A470" s="262">
        <v>10</v>
      </c>
      <c r="C470" s="161">
        <v>441</v>
      </c>
      <c r="D470" s="161" t="s">
        <v>1070</v>
      </c>
      <c r="E470" s="969" t="s">
        <v>1071</v>
      </c>
      <c r="F470" s="970"/>
      <c r="G470" s="971"/>
      <c r="H470" s="161" t="s">
        <v>286</v>
      </c>
      <c r="I470" s="163">
        <v>2280569</v>
      </c>
      <c r="J470" s="489">
        <f>+'Yeşil Defter Dönemsel'!L469</f>
        <v>0</v>
      </c>
      <c r="K470" s="489">
        <f>+'Yeşil Defter Dönemsel'!M469</f>
        <v>0</v>
      </c>
      <c r="L470" s="489">
        <f>+'Yeşil Defter Dönemsel'!N469</f>
        <v>0</v>
      </c>
      <c r="M470" s="212">
        <f t="shared" si="102"/>
        <v>0</v>
      </c>
      <c r="N470" s="212">
        <f t="shared" si="104"/>
        <v>0</v>
      </c>
      <c r="O470" s="212">
        <f t="shared" si="103"/>
        <v>0</v>
      </c>
      <c r="P470" s="211" t="e">
        <f>+#REF!</f>
        <v>#REF!</v>
      </c>
      <c r="Q470" s="212" t="e">
        <f t="shared" si="105"/>
        <v>#REF!</v>
      </c>
      <c r="R470" s="226" t="e">
        <f>+#REF!</f>
        <v>#REF!</v>
      </c>
      <c r="S470" s="685" t="e">
        <f>+#REF!</f>
        <v>#REF!</v>
      </c>
      <c r="T470" s="685" t="e">
        <f t="shared" si="107"/>
        <v>#REF!</v>
      </c>
      <c r="U470" s="685">
        <f t="shared" si="106"/>
        <v>0</v>
      </c>
      <c r="V470" s="307"/>
      <c r="W470" t="e">
        <f>+'Yeşil Defter'!#REF!</f>
        <v>#REF!</v>
      </c>
      <c r="X470" s="766"/>
    </row>
    <row r="471" spans="1:24" ht="19.95" hidden="1" customHeight="1" x14ac:dyDescent="0.3">
      <c r="A471" s="262">
        <v>10</v>
      </c>
      <c r="C471" s="161">
        <v>442</v>
      </c>
      <c r="D471" s="161" t="s">
        <v>1072</v>
      </c>
      <c r="E471" s="969" t="s">
        <v>1073</v>
      </c>
      <c r="F471" s="970"/>
      <c r="G471" s="971"/>
      <c r="H471" s="161" t="s">
        <v>286</v>
      </c>
      <c r="I471" s="163">
        <v>20326677</v>
      </c>
      <c r="J471" s="489">
        <f>+'Yeşil Defter Dönemsel'!L470</f>
        <v>0</v>
      </c>
      <c r="K471" s="489">
        <f>+'Yeşil Defter Dönemsel'!M470</f>
        <v>0</v>
      </c>
      <c r="L471" s="489">
        <f>+'Yeşil Defter Dönemsel'!N470</f>
        <v>0</v>
      </c>
      <c r="M471" s="212">
        <f t="shared" si="102"/>
        <v>0</v>
      </c>
      <c r="N471" s="212">
        <f t="shared" si="104"/>
        <v>0</v>
      </c>
      <c r="O471" s="212">
        <f t="shared" si="103"/>
        <v>0</v>
      </c>
      <c r="P471" s="211" t="e">
        <f>+#REF!</f>
        <v>#REF!</v>
      </c>
      <c r="Q471" s="212" t="e">
        <f t="shared" si="105"/>
        <v>#REF!</v>
      </c>
      <c r="R471" s="226" t="e">
        <f>+#REF!</f>
        <v>#REF!</v>
      </c>
      <c r="S471" s="685" t="e">
        <f>+#REF!</f>
        <v>#REF!</v>
      </c>
      <c r="T471" s="685" t="e">
        <f t="shared" si="107"/>
        <v>#REF!</v>
      </c>
      <c r="U471" s="685">
        <f t="shared" si="106"/>
        <v>0</v>
      </c>
      <c r="V471" s="307"/>
      <c r="W471" t="e">
        <f>+'Yeşil Defter'!#REF!</f>
        <v>#REF!</v>
      </c>
      <c r="X471" s="766"/>
    </row>
    <row r="472" spans="1:24" ht="19.95" hidden="1" customHeight="1" x14ac:dyDescent="0.3">
      <c r="A472" s="262">
        <v>10</v>
      </c>
      <c r="C472" s="161">
        <v>443</v>
      </c>
      <c r="D472" s="161" t="s">
        <v>1074</v>
      </c>
      <c r="E472" s="969" t="s">
        <v>1075</v>
      </c>
      <c r="F472" s="970"/>
      <c r="G472" s="971"/>
      <c r="H472" s="161" t="s">
        <v>286</v>
      </c>
      <c r="I472" s="163">
        <v>46314363</v>
      </c>
      <c r="J472" s="489">
        <f>+'Yeşil Defter Dönemsel'!L471</f>
        <v>0</v>
      </c>
      <c r="K472" s="489">
        <f>+'Yeşil Defter Dönemsel'!M471</f>
        <v>0</v>
      </c>
      <c r="L472" s="489">
        <f>+'Yeşil Defter Dönemsel'!N471</f>
        <v>0</v>
      </c>
      <c r="M472" s="212">
        <f t="shared" si="102"/>
        <v>0</v>
      </c>
      <c r="N472" s="212">
        <f t="shared" si="104"/>
        <v>0</v>
      </c>
      <c r="O472" s="212">
        <f t="shared" si="103"/>
        <v>0</v>
      </c>
      <c r="P472" s="211" t="e">
        <f>+#REF!</f>
        <v>#REF!</v>
      </c>
      <c r="Q472" s="212" t="e">
        <f t="shared" si="105"/>
        <v>#REF!</v>
      </c>
      <c r="R472" s="226" t="e">
        <f>+#REF!</f>
        <v>#REF!</v>
      </c>
      <c r="S472" s="685" t="e">
        <f>+#REF!</f>
        <v>#REF!</v>
      </c>
      <c r="T472" s="685" t="e">
        <f t="shared" si="107"/>
        <v>#REF!</v>
      </c>
      <c r="U472" s="685">
        <f t="shared" si="106"/>
        <v>0</v>
      </c>
      <c r="V472" s="307"/>
      <c r="W472" t="e">
        <f>+'Yeşil Defter'!#REF!</f>
        <v>#REF!</v>
      </c>
      <c r="X472" s="766"/>
    </row>
    <row r="473" spans="1:24" ht="19.95" hidden="1" customHeight="1" x14ac:dyDescent="0.3">
      <c r="A473" s="262">
        <v>10</v>
      </c>
      <c r="C473" s="161">
        <v>444</v>
      </c>
      <c r="D473" s="161" t="s">
        <v>1076</v>
      </c>
      <c r="E473" s="969" t="s">
        <v>1077</v>
      </c>
      <c r="F473" s="970"/>
      <c r="G473" s="971"/>
      <c r="H473" s="161" t="s">
        <v>286</v>
      </c>
      <c r="I473" s="163">
        <v>46314363</v>
      </c>
      <c r="J473" s="489">
        <f>+'Yeşil Defter Dönemsel'!L472</f>
        <v>0</v>
      </c>
      <c r="K473" s="489">
        <f>+'Yeşil Defter Dönemsel'!M472</f>
        <v>0</v>
      </c>
      <c r="L473" s="489">
        <f>+'Yeşil Defter Dönemsel'!N472</f>
        <v>0</v>
      </c>
      <c r="M473" s="212">
        <f t="shared" si="102"/>
        <v>0</v>
      </c>
      <c r="N473" s="212">
        <f t="shared" si="104"/>
        <v>0</v>
      </c>
      <c r="O473" s="212">
        <f t="shared" si="103"/>
        <v>0</v>
      </c>
      <c r="P473" s="211" t="e">
        <f>+#REF!</f>
        <v>#REF!</v>
      </c>
      <c r="Q473" s="212" t="e">
        <f t="shared" si="105"/>
        <v>#REF!</v>
      </c>
      <c r="R473" s="226" t="e">
        <f>+#REF!</f>
        <v>#REF!</v>
      </c>
      <c r="S473" s="685" t="e">
        <f>+#REF!</f>
        <v>#REF!</v>
      </c>
      <c r="T473" s="685" t="e">
        <f t="shared" si="107"/>
        <v>#REF!</v>
      </c>
      <c r="U473" s="685">
        <f t="shared" si="106"/>
        <v>0</v>
      </c>
      <c r="V473" s="307"/>
      <c r="W473" t="e">
        <f>+'Yeşil Defter'!#REF!</f>
        <v>#REF!</v>
      </c>
      <c r="X473" s="766"/>
    </row>
    <row r="474" spans="1:24" ht="19.95" hidden="1" customHeight="1" x14ac:dyDescent="0.3">
      <c r="A474" s="262">
        <v>10</v>
      </c>
      <c r="C474" s="161">
        <v>445</v>
      </c>
      <c r="D474" s="161" t="s">
        <v>1078</v>
      </c>
      <c r="E474" s="969" t="s">
        <v>1079</v>
      </c>
      <c r="F474" s="970"/>
      <c r="G474" s="971"/>
      <c r="H474" s="161" t="s">
        <v>286</v>
      </c>
      <c r="I474" s="163">
        <v>46314363</v>
      </c>
      <c r="J474" s="489">
        <f>+'Yeşil Defter Dönemsel'!L473</f>
        <v>0</v>
      </c>
      <c r="K474" s="489">
        <f>+'Yeşil Defter Dönemsel'!M473</f>
        <v>0</v>
      </c>
      <c r="L474" s="489">
        <f>+'Yeşil Defter Dönemsel'!N473</f>
        <v>0</v>
      </c>
      <c r="M474" s="212">
        <f t="shared" si="102"/>
        <v>0</v>
      </c>
      <c r="N474" s="212">
        <f t="shared" si="104"/>
        <v>0</v>
      </c>
      <c r="O474" s="212">
        <f t="shared" si="103"/>
        <v>0</v>
      </c>
      <c r="P474" s="211" t="e">
        <f>+#REF!</f>
        <v>#REF!</v>
      </c>
      <c r="Q474" s="212" t="e">
        <f t="shared" si="105"/>
        <v>#REF!</v>
      </c>
      <c r="R474" s="226" t="e">
        <f>+#REF!</f>
        <v>#REF!</v>
      </c>
      <c r="S474" s="685" t="e">
        <f>+#REF!</f>
        <v>#REF!</v>
      </c>
      <c r="T474" s="685" t="e">
        <f t="shared" si="107"/>
        <v>#REF!</v>
      </c>
      <c r="U474" s="685">
        <f t="shared" si="106"/>
        <v>0</v>
      </c>
      <c r="V474" s="307"/>
      <c r="W474" t="e">
        <f>+'Yeşil Defter'!#REF!</f>
        <v>#REF!</v>
      </c>
      <c r="X474" s="766"/>
    </row>
    <row r="475" spans="1:24" ht="19.95" hidden="1" customHeight="1" x14ac:dyDescent="0.3">
      <c r="A475" s="262">
        <v>10</v>
      </c>
      <c r="C475" s="161">
        <v>446</v>
      </c>
      <c r="D475" s="161" t="s">
        <v>1080</v>
      </c>
      <c r="E475" s="969" t="s">
        <v>1081</v>
      </c>
      <c r="F475" s="970"/>
      <c r="G475" s="971"/>
      <c r="H475" s="161" t="s">
        <v>286</v>
      </c>
      <c r="I475" s="163">
        <v>46314363</v>
      </c>
      <c r="J475" s="489">
        <f>+'Yeşil Defter Dönemsel'!L474</f>
        <v>0</v>
      </c>
      <c r="K475" s="489">
        <f>+'Yeşil Defter Dönemsel'!M474</f>
        <v>0</v>
      </c>
      <c r="L475" s="489">
        <f>+'Yeşil Defter Dönemsel'!N474</f>
        <v>0</v>
      </c>
      <c r="M475" s="212">
        <f t="shared" si="102"/>
        <v>0</v>
      </c>
      <c r="N475" s="212">
        <f t="shared" si="104"/>
        <v>0</v>
      </c>
      <c r="O475" s="212">
        <f t="shared" si="103"/>
        <v>0</v>
      </c>
      <c r="P475" s="211" t="e">
        <f>+#REF!</f>
        <v>#REF!</v>
      </c>
      <c r="Q475" s="212" t="e">
        <f t="shared" si="105"/>
        <v>#REF!</v>
      </c>
      <c r="R475" s="226" t="e">
        <f>+#REF!</f>
        <v>#REF!</v>
      </c>
      <c r="S475" s="685" t="e">
        <f>+#REF!</f>
        <v>#REF!</v>
      </c>
      <c r="T475" s="685" t="e">
        <f t="shared" si="107"/>
        <v>#REF!</v>
      </c>
      <c r="U475" s="685">
        <f t="shared" si="106"/>
        <v>0</v>
      </c>
      <c r="V475" s="307"/>
      <c r="W475" t="e">
        <f>+'Yeşil Defter'!#REF!</f>
        <v>#REF!</v>
      </c>
      <c r="X475" s="766"/>
    </row>
    <row r="476" spans="1:24" ht="19.95" hidden="1" customHeight="1" x14ac:dyDescent="0.3">
      <c r="A476" s="262">
        <v>10</v>
      </c>
      <c r="C476" s="161">
        <v>447</v>
      </c>
      <c r="D476" s="161" t="s">
        <v>1082</v>
      </c>
      <c r="E476" s="969" t="s">
        <v>1083</v>
      </c>
      <c r="F476" s="970"/>
      <c r="G476" s="971"/>
      <c r="H476" s="161" t="s">
        <v>286</v>
      </c>
      <c r="I476" s="163">
        <v>46314363</v>
      </c>
      <c r="J476" s="489">
        <f>+'Yeşil Defter Dönemsel'!L475</f>
        <v>0</v>
      </c>
      <c r="K476" s="489">
        <f>+'Yeşil Defter Dönemsel'!M475</f>
        <v>0</v>
      </c>
      <c r="L476" s="489">
        <f>+'Yeşil Defter Dönemsel'!N475</f>
        <v>0</v>
      </c>
      <c r="M476" s="212">
        <f t="shared" si="102"/>
        <v>0</v>
      </c>
      <c r="N476" s="212">
        <f t="shared" si="104"/>
        <v>0</v>
      </c>
      <c r="O476" s="212">
        <f t="shared" si="103"/>
        <v>0</v>
      </c>
      <c r="P476" s="211" t="e">
        <f>+#REF!</f>
        <v>#REF!</v>
      </c>
      <c r="Q476" s="212" t="e">
        <f t="shared" si="105"/>
        <v>#REF!</v>
      </c>
      <c r="R476" s="226" t="e">
        <f>+#REF!</f>
        <v>#REF!</v>
      </c>
      <c r="S476" s="685" t="e">
        <f>+#REF!</f>
        <v>#REF!</v>
      </c>
      <c r="T476" s="685" t="e">
        <f t="shared" si="107"/>
        <v>#REF!</v>
      </c>
      <c r="U476" s="685">
        <f t="shared" si="106"/>
        <v>0</v>
      </c>
      <c r="V476" s="307"/>
      <c r="W476" t="e">
        <f>+'Yeşil Defter'!#REF!</f>
        <v>#REF!</v>
      </c>
      <c r="X476" s="766"/>
    </row>
    <row r="477" spans="1:24" ht="19.95" hidden="1" customHeight="1" x14ac:dyDescent="0.3">
      <c r="A477" s="262">
        <v>10</v>
      </c>
      <c r="C477" s="161">
        <v>448</v>
      </c>
      <c r="D477" s="161" t="s">
        <v>1084</v>
      </c>
      <c r="E477" s="969" t="s">
        <v>1085</v>
      </c>
      <c r="F477" s="970"/>
      <c r="G477" s="971"/>
      <c r="H477" s="161" t="s">
        <v>286</v>
      </c>
      <c r="I477" s="163">
        <v>46314363</v>
      </c>
      <c r="J477" s="489">
        <f>+'Yeşil Defter Dönemsel'!L476</f>
        <v>0</v>
      </c>
      <c r="K477" s="489">
        <f>+'Yeşil Defter Dönemsel'!M476</f>
        <v>0</v>
      </c>
      <c r="L477" s="489">
        <f>+'Yeşil Defter Dönemsel'!N476</f>
        <v>0</v>
      </c>
      <c r="M477" s="212">
        <f t="shared" si="102"/>
        <v>0</v>
      </c>
      <c r="N477" s="212">
        <f t="shared" si="104"/>
        <v>0</v>
      </c>
      <c r="O477" s="212">
        <f t="shared" si="103"/>
        <v>0</v>
      </c>
      <c r="P477" s="211" t="e">
        <f>+#REF!</f>
        <v>#REF!</v>
      </c>
      <c r="Q477" s="212" t="e">
        <f t="shared" si="105"/>
        <v>#REF!</v>
      </c>
      <c r="R477" s="226" t="e">
        <f>+#REF!</f>
        <v>#REF!</v>
      </c>
      <c r="S477" s="685" t="e">
        <f>+#REF!</f>
        <v>#REF!</v>
      </c>
      <c r="T477" s="685" t="e">
        <f t="shared" si="107"/>
        <v>#REF!</v>
      </c>
      <c r="U477" s="685">
        <f t="shared" si="106"/>
        <v>0</v>
      </c>
      <c r="V477" s="307"/>
      <c r="W477" t="e">
        <f>+'Yeşil Defter'!#REF!</f>
        <v>#REF!</v>
      </c>
      <c r="X477" s="766"/>
    </row>
    <row r="478" spans="1:24" ht="19.95" hidden="1" customHeight="1" x14ac:dyDescent="0.3">
      <c r="A478" s="262">
        <v>10</v>
      </c>
      <c r="C478" s="161">
        <v>449</v>
      </c>
      <c r="D478" s="161" t="s">
        <v>1086</v>
      </c>
      <c r="E478" s="969" t="s">
        <v>1087</v>
      </c>
      <c r="F478" s="970"/>
      <c r="G478" s="971"/>
      <c r="H478" s="161" t="s">
        <v>286</v>
      </c>
      <c r="I478" s="163">
        <v>46314363</v>
      </c>
      <c r="J478" s="489">
        <f>+'Yeşil Defter Dönemsel'!L477</f>
        <v>0</v>
      </c>
      <c r="K478" s="489">
        <f>+'Yeşil Defter Dönemsel'!M477</f>
        <v>0</v>
      </c>
      <c r="L478" s="489">
        <f>+'Yeşil Defter Dönemsel'!N477</f>
        <v>0</v>
      </c>
      <c r="M478" s="212">
        <f t="shared" si="102"/>
        <v>0</v>
      </c>
      <c r="N478" s="212">
        <f t="shared" si="104"/>
        <v>0</v>
      </c>
      <c r="O478" s="212">
        <f t="shared" si="103"/>
        <v>0</v>
      </c>
      <c r="P478" s="211" t="e">
        <f>+#REF!</f>
        <v>#REF!</v>
      </c>
      <c r="Q478" s="212" t="e">
        <f t="shared" si="105"/>
        <v>#REF!</v>
      </c>
      <c r="R478" s="226" t="e">
        <f>+#REF!</f>
        <v>#REF!</v>
      </c>
      <c r="S478" s="685" t="e">
        <f>+#REF!</f>
        <v>#REF!</v>
      </c>
      <c r="T478" s="685" t="e">
        <f t="shared" si="107"/>
        <v>#REF!</v>
      </c>
      <c r="U478" s="685">
        <f t="shared" si="106"/>
        <v>0</v>
      </c>
      <c r="V478" s="307"/>
      <c r="W478" t="e">
        <f>+'Yeşil Defter'!#REF!</f>
        <v>#REF!</v>
      </c>
      <c r="X478" s="766"/>
    </row>
    <row r="479" spans="1:24" ht="19.95" hidden="1" customHeight="1" x14ac:dyDescent="0.3">
      <c r="A479" s="262">
        <v>10</v>
      </c>
      <c r="C479" s="161">
        <v>450</v>
      </c>
      <c r="D479" s="161" t="s">
        <v>1088</v>
      </c>
      <c r="E479" s="969" t="s">
        <v>1089</v>
      </c>
      <c r="F479" s="970"/>
      <c r="G479" s="971"/>
      <c r="H479" s="161" t="s">
        <v>286</v>
      </c>
      <c r="I479" s="163">
        <v>19421929</v>
      </c>
      <c r="J479" s="489">
        <f>+'Yeşil Defter Dönemsel'!L478</f>
        <v>0</v>
      </c>
      <c r="K479" s="489">
        <f>+'Yeşil Defter Dönemsel'!M478</f>
        <v>0</v>
      </c>
      <c r="L479" s="489">
        <f>+'Yeşil Defter Dönemsel'!N478</f>
        <v>0</v>
      </c>
      <c r="M479" s="212">
        <f t="shared" si="102"/>
        <v>0</v>
      </c>
      <c r="N479" s="212">
        <f t="shared" si="104"/>
        <v>0</v>
      </c>
      <c r="O479" s="212">
        <f t="shared" si="103"/>
        <v>0</v>
      </c>
      <c r="P479" s="211" t="e">
        <f>+#REF!</f>
        <v>#REF!</v>
      </c>
      <c r="Q479" s="212" t="e">
        <f t="shared" si="105"/>
        <v>#REF!</v>
      </c>
      <c r="R479" s="226" t="e">
        <f>+#REF!</f>
        <v>#REF!</v>
      </c>
      <c r="S479" s="685" t="e">
        <f>+#REF!</f>
        <v>#REF!</v>
      </c>
      <c r="T479" s="685" t="e">
        <f t="shared" si="107"/>
        <v>#REF!</v>
      </c>
      <c r="U479" s="685">
        <f t="shared" si="106"/>
        <v>0</v>
      </c>
      <c r="V479" s="307"/>
      <c r="W479" t="e">
        <f>+'Yeşil Defter'!#REF!</f>
        <v>#REF!</v>
      </c>
      <c r="X479" s="766"/>
    </row>
    <row r="480" spans="1:24" ht="19.95" hidden="1" customHeight="1" x14ac:dyDescent="0.3">
      <c r="A480" s="262">
        <v>10</v>
      </c>
      <c r="C480" s="161">
        <v>451</v>
      </c>
      <c r="D480" s="161" t="s">
        <v>1090</v>
      </c>
      <c r="E480" s="969" t="s">
        <v>1091</v>
      </c>
      <c r="F480" s="970"/>
      <c r="G480" s="971"/>
      <c r="H480" s="161" t="s">
        <v>286</v>
      </c>
      <c r="I480" s="163">
        <v>4578026</v>
      </c>
      <c r="J480" s="489">
        <f>+'Yeşil Defter Dönemsel'!L479</f>
        <v>0</v>
      </c>
      <c r="K480" s="489">
        <f>+'Yeşil Defter Dönemsel'!M479</f>
        <v>0</v>
      </c>
      <c r="L480" s="489">
        <f>+'Yeşil Defter Dönemsel'!N479</f>
        <v>0</v>
      </c>
      <c r="M480" s="212">
        <f t="shared" si="102"/>
        <v>0</v>
      </c>
      <c r="N480" s="212">
        <f t="shared" si="104"/>
        <v>0</v>
      </c>
      <c r="O480" s="212">
        <f t="shared" si="103"/>
        <v>0</v>
      </c>
      <c r="P480" s="211" t="e">
        <f>+#REF!</f>
        <v>#REF!</v>
      </c>
      <c r="Q480" s="212" t="e">
        <f t="shared" si="105"/>
        <v>#REF!</v>
      </c>
      <c r="R480" s="226" t="e">
        <f>+#REF!</f>
        <v>#REF!</v>
      </c>
      <c r="S480" s="685" t="e">
        <f>+#REF!</f>
        <v>#REF!</v>
      </c>
      <c r="T480" s="685" t="e">
        <f t="shared" si="107"/>
        <v>#REF!</v>
      </c>
      <c r="U480" s="685">
        <f t="shared" si="106"/>
        <v>0</v>
      </c>
      <c r="V480" s="307"/>
      <c r="W480" t="e">
        <f>+'Yeşil Defter'!#REF!</f>
        <v>#REF!</v>
      </c>
      <c r="X480" s="766"/>
    </row>
    <row r="481" spans="1:24" ht="19.95" hidden="1" customHeight="1" x14ac:dyDescent="0.3">
      <c r="A481" s="262">
        <v>10</v>
      </c>
      <c r="C481" s="161">
        <v>452</v>
      </c>
      <c r="D481" s="161" t="s">
        <v>1092</v>
      </c>
      <c r="E481" s="969" t="s">
        <v>1093</v>
      </c>
      <c r="F481" s="970"/>
      <c r="G481" s="971"/>
      <c r="H481" s="161" t="s">
        <v>286</v>
      </c>
      <c r="I481" s="163">
        <v>2080921</v>
      </c>
      <c r="J481" s="489">
        <f>+'Yeşil Defter Dönemsel'!L480</f>
        <v>0</v>
      </c>
      <c r="K481" s="489">
        <f>+'Yeşil Defter Dönemsel'!M480</f>
        <v>0</v>
      </c>
      <c r="L481" s="489">
        <f>+'Yeşil Defter Dönemsel'!N480</f>
        <v>0</v>
      </c>
      <c r="M481" s="212">
        <f t="shared" si="102"/>
        <v>0</v>
      </c>
      <c r="N481" s="212">
        <f t="shared" si="104"/>
        <v>0</v>
      </c>
      <c r="O481" s="212">
        <f t="shared" si="103"/>
        <v>0</v>
      </c>
      <c r="P481" s="211" t="e">
        <f>+#REF!</f>
        <v>#REF!</v>
      </c>
      <c r="Q481" s="212" t="e">
        <f t="shared" si="105"/>
        <v>#REF!</v>
      </c>
      <c r="R481" s="226" t="e">
        <f>+#REF!</f>
        <v>#REF!</v>
      </c>
      <c r="S481" s="685" t="e">
        <f>+#REF!</f>
        <v>#REF!</v>
      </c>
      <c r="T481" s="685" t="e">
        <f t="shared" si="107"/>
        <v>#REF!</v>
      </c>
      <c r="U481" s="685">
        <f t="shared" si="106"/>
        <v>0</v>
      </c>
      <c r="V481" s="307"/>
      <c r="W481" t="e">
        <f>+'Yeşil Defter'!#REF!</f>
        <v>#REF!</v>
      </c>
      <c r="X481" s="766"/>
    </row>
    <row r="482" spans="1:24" ht="19.95" hidden="1" customHeight="1" x14ac:dyDescent="0.3">
      <c r="A482" s="262">
        <v>10</v>
      </c>
      <c r="C482" s="161">
        <v>453</v>
      </c>
      <c r="D482" s="161" t="s">
        <v>1094</v>
      </c>
      <c r="E482" s="969" t="s">
        <v>1095</v>
      </c>
      <c r="F482" s="970"/>
      <c r="G482" s="971"/>
      <c r="H482" s="161" t="s">
        <v>286</v>
      </c>
      <c r="I482" s="163">
        <v>46314363</v>
      </c>
      <c r="J482" s="489">
        <f>+'Yeşil Defter Dönemsel'!L481</f>
        <v>0</v>
      </c>
      <c r="K482" s="489">
        <f>+'Yeşil Defter Dönemsel'!M481</f>
        <v>0</v>
      </c>
      <c r="L482" s="489">
        <f>+'Yeşil Defter Dönemsel'!N481</f>
        <v>0</v>
      </c>
      <c r="M482" s="212">
        <f t="shared" si="102"/>
        <v>0</v>
      </c>
      <c r="N482" s="212">
        <f t="shared" si="104"/>
        <v>0</v>
      </c>
      <c r="O482" s="212">
        <f t="shared" si="103"/>
        <v>0</v>
      </c>
      <c r="P482" s="211" t="e">
        <f>+#REF!</f>
        <v>#REF!</v>
      </c>
      <c r="Q482" s="212" t="e">
        <f t="shared" si="105"/>
        <v>#REF!</v>
      </c>
      <c r="R482" s="226" t="e">
        <f>+#REF!</f>
        <v>#REF!</v>
      </c>
      <c r="S482" s="685" t="e">
        <f>+#REF!</f>
        <v>#REF!</v>
      </c>
      <c r="T482" s="685" t="e">
        <f t="shared" si="107"/>
        <v>#REF!</v>
      </c>
      <c r="U482" s="685">
        <f t="shared" si="106"/>
        <v>0</v>
      </c>
      <c r="V482" s="307"/>
      <c r="W482" t="e">
        <f>+'Yeşil Defter'!#REF!</f>
        <v>#REF!</v>
      </c>
      <c r="X482" s="766"/>
    </row>
    <row r="483" spans="1:24" ht="19.95" hidden="1" customHeight="1" x14ac:dyDescent="0.3">
      <c r="A483" s="262">
        <v>10</v>
      </c>
      <c r="C483" s="161">
        <v>454</v>
      </c>
      <c r="D483" s="161" t="s">
        <v>1096</v>
      </c>
      <c r="E483" s="969" t="s">
        <v>1097</v>
      </c>
      <c r="F483" s="970"/>
      <c r="G483" s="971"/>
      <c r="H483" s="161" t="s">
        <v>286</v>
      </c>
      <c r="I483" s="163">
        <v>19421929</v>
      </c>
      <c r="J483" s="489">
        <f>+'Yeşil Defter Dönemsel'!L482</f>
        <v>0</v>
      </c>
      <c r="K483" s="489">
        <f>+'Yeşil Defter Dönemsel'!M482</f>
        <v>0</v>
      </c>
      <c r="L483" s="489">
        <f>+'Yeşil Defter Dönemsel'!N482</f>
        <v>0</v>
      </c>
      <c r="M483" s="212">
        <f t="shared" si="102"/>
        <v>0</v>
      </c>
      <c r="N483" s="212">
        <f t="shared" si="104"/>
        <v>0</v>
      </c>
      <c r="O483" s="212">
        <f t="shared" si="103"/>
        <v>0</v>
      </c>
      <c r="P483" s="211" t="e">
        <f>+#REF!</f>
        <v>#REF!</v>
      </c>
      <c r="Q483" s="212" t="e">
        <f t="shared" si="105"/>
        <v>#REF!</v>
      </c>
      <c r="R483" s="226" t="e">
        <f>+#REF!</f>
        <v>#REF!</v>
      </c>
      <c r="S483" s="685" t="e">
        <f>+#REF!</f>
        <v>#REF!</v>
      </c>
      <c r="T483" s="685" t="e">
        <f t="shared" si="107"/>
        <v>#REF!</v>
      </c>
      <c r="U483" s="685">
        <f t="shared" si="106"/>
        <v>0</v>
      </c>
      <c r="V483" s="307"/>
      <c r="W483" t="e">
        <f>+'Yeşil Defter'!#REF!</f>
        <v>#REF!</v>
      </c>
      <c r="X483" s="766"/>
    </row>
    <row r="484" spans="1:24" ht="19.95" hidden="1" customHeight="1" x14ac:dyDescent="0.3">
      <c r="A484" s="262">
        <v>10</v>
      </c>
      <c r="C484" s="161">
        <v>455</v>
      </c>
      <c r="D484" s="161" t="s">
        <v>1098</v>
      </c>
      <c r="E484" s="969" t="s">
        <v>1099</v>
      </c>
      <c r="F484" s="970"/>
      <c r="G484" s="971"/>
      <c r="H484" s="161" t="s">
        <v>286</v>
      </c>
      <c r="I484" s="163">
        <v>904748</v>
      </c>
      <c r="J484" s="489">
        <f>+'Yeşil Defter Dönemsel'!L483</f>
        <v>0</v>
      </c>
      <c r="K484" s="489">
        <f>+'Yeşil Defter Dönemsel'!M483</f>
        <v>0</v>
      </c>
      <c r="L484" s="489">
        <f>+'Yeşil Defter Dönemsel'!N483</f>
        <v>0</v>
      </c>
      <c r="M484" s="212">
        <f t="shared" si="102"/>
        <v>0</v>
      </c>
      <c r="N484" s="212">
        <f t="shared" si="104"/>
        <v>0</v>
      </c>
      <c r="O484" s="212">
        <f t="shared" si="103"/>
        <v>0</v>
      </c>
      <c r="P484" s="211" t="e">
        <f>+#REF!</f>
        <v>#REF!</v>
      </c>
      <c r="Q484" s="212" t="e">
        <f t="shared" si="105"/>
        <v>#REF!</v>
      </c>
      <c r="R484" s="226" t="e">
        <f>+#REF!</f>
        <v>#REF!</v>
      </c>
      <c r="S484" s="685" t="e">
        <f>+#REF!</f>
        <v>#REF!</v>
      </c>
      <c r="T484" s="685" t="e">
        <f t="shared" si="107"/>
        <v>#REF!</v>
      </c>
      <c r="U484" s="685">
        <f t="shared" si="106"/>
        <v>0</v>
      </c>
      <c r="V484" s="307"/>
      <c r="W484" t="e">
        <f>+'Yeşil Defter'!#REF!</f>
        <v>#REF!</v>
      </c>
      <c r="X484" s="766"/>
    </row>
    <row r="485" spans="1:24" ht="19.95" hidden="1" customHeight="1" x14ac:dyDescent="0.3">
      <c r="A485" s="262">
        <v>10</v>
      </c>
      <c r="C485" s="161">
        <v>456</v>
      </c>
      <c r="D485" s="161" t="s">
        <v>1100</v>
      </c>
      <c r="E485" s="969" t="s">
        <v>1101</v>
      </c>
      <c r="F485" s="970"/>
      <c r="G485" s="971"/>
      <c r="H485" s="161" t="s">
        <v>202</v>
      </c>
      <c r="I485" s="163">
        <v>5127</v>
      </c>
      <c r="J485" s="489">
        <f>+'Yeşil Defter Dönemsel'!L484</f>
        <v>0</v>
      </c>
      <c r="K485" s="489">
        <f>+'Yeşil Defter Dönemsel'!M484</f>
        <v>0</v>
      </c>
      <c r="L485" s="489">
        <f>+'Yeşil Defter Dönemsel'!N484</f>
        <v>0</v>
      </c>
      <c r="M485" s="212">
        <f t="shared" si="102"/>
        <v>0</v>
      </c>
      <c r="N485" s="212">
        <f t="shared" si="104"/>
        <v>0</v>
      </c>
      <c r="O485" s="212">
        <f t="shared" si="103"/>
        <v>0</v>
      </c>
      <c r="P485" s="211" t="e">
        <f>+#REF!</f>
        <v>#REF!</v>
      </c>
      <c r="Q485" s="212" t="e">
        <f t="shared" si="105"/>
        <v>#REF!</v>
      </c>
      <c r="R485" s="226" t="e">
        <f>+#REF!</f>
        <v>#REF!</v>
      </c>
      <c r="S485" s="685" t="e">
        <f>+#REF!</f>
        <v>#REF!</v>
      </c>
      <c r="T485" s="685" t="e">
        <f t="shared" si="107"/>
        <v>#REF!</v>
      </c>
      <c r="U485" s="685">
        <f t="shared" si="106"/>
        <v>0</v>
      </c>
      <c r="V485" s="307"/>
      <c r="X485" s="766"/>
    </row>
    <row r="486" spans="1:24" ht="19.95" hidden="1" customHeight="1" x14ac:dyDescent="0.3">
      <c r="A486" s="262">
        <v>10</v>
      </c>
      <c r="C486" s="161">
        <v>457</v>
      </c>
      <c r="D486" s="161" t="s">
        <v>1102</v>
      </c>
      <c r="E486" s="969" t="s">
        <v>1103</v>
      </c>
      <c r="F486" s="970"/>
      <c r="G486" s="971"/>
      <c r="H486" s="161" t="s">
        <v>202</v>
      </c>
      <c r="I486" s="163">
        <v>5127</v>
      </c>
      <c r="J486" s="489">
        <f>+'Yeşil Defter Dönemsel'!L485</f>
        <v>0</v>
      </c>
      <c r="K486" s="489">
        <f>+'Yeşil Defter Dönemsel'!M485</f>
        <v>0</v>
      </c>
      <c r="L486" s="489">
        <f>+'Yeşil Defter Dönemsel'!N485</f>
        <v>0</v>
      </c>
      <c r="M486" s="212">
        <f t="shared" si="102"/>
        <v>0</v>
      </c>
      <c r="N486" s="212">
        <f t="shared" si="104"/>
        <v>0</v>
      </c>
      <c r="O486" s="212">
        <f t="shared" si="103"/>
        <v>0</v>
      </c>
      <c r="P486" s="211" t="e">
        <f>+#REF!</f>
        <v>#REF!</v>
      </c>
      <c r="Q486" s="212" t="e">
        <f t="shared" si="105"/>
        <v>#REF!</v>
      </c>
      <c r="R486" s="226" t="e">
        <f>+#REF!</f>
        <v>#REF!</v>
      </c>
      <c r="S486" s="685" t="e">
        <f>+#REF!</f>
        <v>#REF!</v>
      </c>
      <c r="T486" s="685" t="e">
        <f t="shared" si="107"/>
        <v>#REF!</v>
      </c>
      <c r="U486" s="685">
        <f t="shared" si="106"/>
        <v>0</v>
      </c>
      <c r="V486" s="307"/>
      <c r="X486" s="766"/>
    </row>
    <row r="487" spans="1:24" ht="19.95" hidden="1" customHeight="1" x14ac:dyDescent="0.3">
      <c r="A487" s="262">
        <v>10</v>
      </c>
      <c r="C487" s="161">
        <v>458</v>
      </c>
      <c r="D487" s="161" t="s">
        <v>1104</v>
      </c>
      <c r="E487" s="969" t="s">
        <v>1105</v>
      </c>
      <c r="F487" s="970"/>
      <c r="G487" s="971"/>
      <c r="H487" s="161" t="s">
        <v>202</v>
      </c>
      <c r="I487" s="163">
        <v>5127</v>
      </c>
      <c r="J487" s="489">
        <f>+'Yeşil Defter Dönemsel'!L486</f>
        <v>0</v>
      </c>
      <c r="K487" s="489">
        <f>+'Yeşil Defter Dönemsel'!M486</f>
        <v>0</v>
      </c>
      <c r="L487" s="489">
        <f>+'Yeşil Defter Dönemsel'!N486</f>
        <v>0</v>
      </c>
      <c r="M487" s="212">
        <f t="shared" si="102"/>
        <v>0</v>
      </c>
      <c r="N487" s="212">
        <f t="shared" si="104"/>
        <v>0</v>
      </c>
      <c r="O487" s="212">
        <f t="shared" si="103"/>
        <v>0</v>
      </c>
      <c r="P487" s="211" t="e">
        <f>+#REF!</f>
        <v>#REF!</v>
      </c>
      <c r="Q487" s="212" t="e">
        <f t="shared" si="105"/>
        <v>#REF!</v>
      </c>
      <c r="R487" s="226" t="e">
        <f>+#REF!</f>
        <v>#REF!</v>
      </c>
      <c r="S487" s="685" t="e">
        <f>+#REF!</f>
        <v>#REF!</v>
      </c>
      <c r="T487" s="685" t="e">
        <f t="shared" si="107"/>
        <v>#REF!</v>
      </c>
      <c r="U487" s="685">
        <f t="shared" si="106"/>
        <v>0</v>
      </c>
      <c r="V487" s="307"/>
      <c r="X487" s="766"/>
    </row>
    <row r="488" spans="1:24" ht="19.95" hidden="1" customHeight="1" x14ac:dyDescent="0.3">
      <c r="A488" s="262">
        <v>10</v>
      </c>
      <c r="C488" s="161">
        <v>459</v>
      </c>
      <c r="D488" s="161" t="s">
        <v>1106</v>
      </c>
      <c r="E488" s="969" t="s">
        <v>1107</v>
      </c>
      <c r="F488" s="970"/>
      <c r="G488" s="971"/>
      <c r="H488" s="161" t="s">
        <v>202</v>
      </c>
      <c r="I488" s="163">
        <v>5127</v>
      </c>
      <c r="J488" s="489">
        <f>+'Yeşil Defter Dönemsel'!L487</f>
        <v>0</v>
      </c>
      <c r="K488" s="489">
        <f>+'Yeşil Defter Dönemsel'!M487</f>
        <v>0</v>
      </c>
      <c r="L488" s="489">
        <f>+'Yeşil Defter Dönemsel'!N487</f>
        <v>0</v>
      </c>
      <c r="M488" s="212">
        <f t="shared" si="102"/>
        <v>0</v>
      </c>
      <c r="N488" s="212">
        <f t="shared" si="104"/>
        <v>0</v>
      </c>
      <c r="O488" s="212">
        <f t="shared" si="103"/>
        <v>0</v>
      </c>
      <c r="P488" s="211" t="e">
        <f>+#REF!</f>
        <v>#REF!</v>
      </c>
      <c r="Q488" s="212" t="e">
        <f t="shared" si="105"/>
        <v>#REF!</v>
      </c>
      <c r="R488" s="226" t="e">
        <f>+#REF!</f>
        <v>#REF!</v>
      </c>
      <c r="S488" s="685" t="e">
        <f>+#REF!</f>
        <v>#REF!</v>
      </c>
      <c r="T488" s="685" t="e">
        <f t="shared" si="107"/>
        <v>#REF!</v>
      </c>
      <c r="U488" s="685">
        <f t="shared" si="106"/>
        <v>0</v>
      </c>
      <c r="V488" s="307"/>
      <c r="X488" s="766"/>
    </row>
    <row r="489" spans="1:24" ht="19.95" hidden="1" customHeight="1" x14ac:dyDescent="0.3">
      <c r="A489" s="262">
        <v>10</v>
      </c>
      <c r="C489" s="161">
        <v>460</v>
      </c>
      <c r="D489" s="161" t="s">
        <v>1108</v>
      </c>
      <c r="E489" s="969" t="s">
        <v>1109</v>
      </c>
      <c r="F489" s="970"/>
      <c r="G489" s="971"/>
      <c r="H489" s="161" t="s">
        <v>202</v>
      </c>
      <c r="I489" s="163">
        <v>5127</v>
      </c>
      <c r="J489" s="489">
        <f>+'Yeşil Defter Dönemsel'!L488</f>
        <v>0</v>
      </c>
      <c r="K489" s="489">
        <f>+'Yeşil Defter Dönemsel'!M488</f>
        <v>0</v>
      </c>
      <c r="L489" s="489">
        <f>+'Yeşil Defter Dönemsel'!N488</f>
        <v>0</v>
      </c>
      <c r="M489" s="212">
        <f t="shared" si="102"/>
        <v>0</v>
      </c>
      <c r="N489" s="212">
        <f t="shared" si="104"/>
        <v>0</v>
      </c>
      <c r="O489" s="212">
        <f t="shared" si="103"/>
        <v>0</v>
      </c>
      <c r="P489" s="211" t="e">
        <f>+#REF!</f>
        <v>#REF!</v>
      </c>
      <c r="Q489" s="212" t="e">
        <f t="shared" si="105"/>
        <v>#REF!</v>
      </c>
      <c r="R489" s="226" t="e">
        <f>+#REF!</f>
        <v>#REF!</v>
      </c>
      <c r="S489" s="685" t="e">
        <f>+#REF!</f>
        <v>#REF!</v>
      </c>
      <c r="T489" s="685" t="e">
        <f t="shared" si="107"/>
        <v>#REF!</v>
      </c>
      <c r="U489" s="685">
        <f t="shared" si="106"/>
        <v>0</v>
      </c>
      <c r="V489" s="307"/>
      <c r="X489" s="766"/>
    </row>
    <row r="490" spans="1:24" ht="19.95" hidden="1" customHeight="1" x14ac:dyDescent="0.3">
      <c r="A490" s="262">
        <v>10</v>
      </c>
      <c r="C490" s="161">
        <v>461</v>
      </c>
      <c r="D490" s="161" t="s">
        <v>1110</v>
      </c>
      <c r="E490" s="969" t="s">
        <v>1111</v>
      </c>
      <c r="F490" s="970"/>
      <c r="G490" s="971"/>
      <c r="H490" s="161" t="s">
        <v>202</v>
      </c>
      <c r="I490" s="163">
        <v>5127</v>
      </c>
      <c r="J490" s="489">
        <f>+'Yeşil Defter Dönemsel'!L489</f>
        <v>0</v>
      </c>
      <c r="K490" s="489">
        <f>+'Yeşil Defter Dönemsel'!M489</f>
        <v>0</v>
      </c>
      <c r="L490" s="489">
        <f>+'Yeşil Defter Dönemsel'!N489</f>
        <v>0</v>
      </c>
      <c r="M490" s="212">
        <f t="shared" si="102"/>
        <v>0</v>
      </c>
      <c r="N490" s="212">
        <f t="shared" si="104"/>
        <v>0</v>
      </c>
      <c r="O490" s="212">
        <f t="shared" si="103"/>
        <v>0</v>
      </c>
      <c r="P490" s="211" t="e">
        <f>+#REF!</f>
        <v>#REF!</v>
      </c>
      <c r="Q490" s="212" t="e">
        <f t="shared" si="105"/>
        <v>#REF!</v>
      </c>
      <c r="R490" s="226" t="e">
        <f>+#REF!</f>
        <v>#REF!</v>
      </c>
      <c r="S490" s="685" t="e">
        <f>+#REF!</f>
        <v>#REF!</v>
      </c>
      <c r="T490" s="685" t="e">
        <f t="shared" si="107"/>
        <v>#REF!</v>
      </c>
      <c r="U490" s="685">
        <f t="shared" si="106"/>
        <v>0</v>
      </c>
      <c r="V490" s="307"/>
      <c r="X490" s="766"/>
    </row>
    <row r="491" spans="1:24" ht="19.95" hidden="1" customHeight="1" x14ac:dyDescent="0.3">
      <c r="A491" s="262">
        <v>10</v>
      </c>
      <c r="C491" s="161">
        <v>462</v>
      </c>
      <c r="D491" s="161" t="s">
        <v>1112</v>
      </c>
      <c r="E491" s="969" t="s">
        <v>1113</v>
      </c>
      <c r="F491" s="970"/>
      <c r="G491" s="971"/>
      <c r="H491" s="161" t="s">
        <v>202</v>
      </c>
      <c r="I491" s="163">
        <v>5127</v>
      </c>
      <c r="J491" s="489">
        <f>+'Yeşil Defter Dönemsel'!L490</f>
        <v>0</v>
      </c>
      <c r="K491" s="489">
        <f>+'Yeşil Defter Dönemsel'!M490</f>
        <v>0</v>
      </c>
      <c r="L491" s="489">
        <f>+'Yeşil Defter Dönemsel'!N490</f>
        <v>0</v>
      </c>
      <c r="M491" s="212">
        <f t="shared" si="102"/>
        <v>0</v>
      </c>
      <c r="N491" s="212">
        <f t="shared" si="104"/>
        <v>0</v>
      </c>
      <c r="O491" s="212">
        <f t="shared" si="103"/>
        <v>0</v>
      </c>
      <c r="P491" s="211" t="e">
        <f>+#REF!</f>
        <v>#REF!</v>
      </c>
      <c r="Q491" s="212" t="e">
        <f t="shared" si="105"/>
        <v>#REF!</v>
      </c>
      <c r="R491" s="226" t="e">
        <f>+#REF!</f>
        <v>#REF!</v>
      </c>
      <c r="S491" s="685" t="e">
        <f>+#REF!</f>
        <v>#REF!</v>
      </c>
      <c r="T491" s="685" t="e">
        <f t="shared" si="107"/>
        <v>#REF!</v>
      </c>
      <c r="U491" s="685">
        <f t="shared" si="106"/>
        <v>0</v>
      </c>
      <c r="V491" s="307"/>
      <c r="X491" s="766"/>
    </row>
    <row r="492" spans="1:24" ht="19.95" hidden="1" customHeight="1" x14ac:dyDescent="0.3">
      <c r="A492" s="262">
        <v>10</v>
      </c>
      <c r="C492" s="161">
        <v>463</v>
      </c>
      <c r="D492" s="161" t="s">
        <v>1114</v>
      </c>
      <c r="E492" s="969" t="s">
        <v>1115</v>
      </c>
      <c r="F492" s="970"/>
      <c r="G492" s="971"/>
      <c r="H492" s="161" t="s">
        <v>202</v>
      </c>
      <c r="I492" s="163">
        <v>5127</v>
      </c>
      <c r="J492" s="489">
        <f>+'Yeşil Defter Dönemsel'!L491</f>
        <v>0</v>
      </c>
      <c r="K492" s="489">
        <f>+'Yeşil Defter Dönemsel'!M491</f>
        <v>0</v>
      </c>
      <c r="L492" s="489">
        <f>+'Yeşil Defter Dönemsel'!N491</f>
        <v>0</v>
      </c>
      <c r="M492" s="212">
        <f t="shared" si="102"/>
        <v>0</v>
      </c>
      <c r="N492" s="212">
        <f t="shared" si="104"/>
        <v>0</v>
      </c>
      <c r="O492" s="212">
        <f t="shared" si="103"/>
        <v>0</v>
      </c>
      <c r="P492" s="211" t="e">
        <f>+#REF!</f>
        <v>#REF!</v>
      </c>
      <c r="Q492" s="212" t="e">
        <f t="shared" si="105"/>
        <v>#REF!</v>
      </c>
      <c r="R492" s="226" t="e">
        <f>+#REF!</f>
        <v>#REF!</v>
      </c>
      <c r="S492" s="685" t="e">
        <f>+#REF!</f>
        <v>#REF!</v>
      </c>
      <c r="T492" s="685" t="e">
        <f t="shared" si="107"/>
        <v>#REF!</v>
      </c>
      <c r="U492" s="685">
        <f t="shared" si="106"/>
        <v>0</v>
      </c>
      <c r="V492" s="307"/>
      <c r="X492" s="766"/>
    </row>
    <row r="493" spans="1:24" ht="19.95" hidden="1" customHeight="1" x14ac:dyDescent="0.3">
      <c r="A493" s="262">
        <v>10</v>
      </c>
      <c r="C493" s="161">
        <v>464</v>
      </c>
      <c r="D493" s="161" t="s">
        <v>1116</v>
      </c>
      <c r="E493" s="969" t="s">
        <v>1117</v>
      </c>
      <c r="F493" s="970"/>
      <c r="G493" s="971"/>
      <c r="H493" s="161" t="s">
        <v>202</v>
      </c>
      <c r="I493" s="163">
        <v>5127</v>
      </c>
      <c r="J493" s="489">
        <f>+'Yeşil Defter Dönemsel'!L492</f>
        <v>0</v>
      </c>
      <c r="K493" s="489">
        <f>+'Yeşil Defter Dönemsel'!M492</f>
        <v>0</v>
      </c>
      <c r="L493" s="489">
        <f>+'Yeşil Defter Dönemsel'!N492</f>
        <v>0</v>
      </c>
      <c r="M493" s="212">
        <f t="shared" si="102"/>
        <v>0</v>
      </c>
      <c r="N493" s="212">
        <f t="shared" si="104"/>
        <v>0</v>
      </c>
      <c r="O493" s="212">
        <f t="shared" si="103"/>
        <v>0</v>
      </c>
      <c r="P493" s="211" t="e">
        <f>+#REF!</f>
        <v>#REF!</v>
      </c>
      <c r="Q493" s="212" t="e">
        <f t="shared" si="105"/>
        <v>#REF!</v>
      </c>
      <c r="R493" s="226" t="e">
        <f>+#REF!</f>
        <v>#REF!</v>
      </c>
      <c r="S493" s="685" t="e">
        <f>+#REF!</f>
        <v>#REF!</v>
      </c>
      <c r="T493" s="685" t="e">
        <f t="shared" si="107"/>
        <v>#REF!</v>
      </c>
      <c r="U493" s="685">
        <f t="shared" si="106"/>
        <v>0</v>
      </c>
      <c r="V493" s="307"/>
      <c r="X493" s="766"/>
    </row>
    <row r="494" spans="1:24" ht="19.95" hidden="1" customHeight="1" x14ac:dyDescent="0.3">
      <c r="A494" s="262">
        <v>10</v>
      </c>
      <c r="C494" s="161">
        <v>465</v>
      </c>
      <c r="D494" s="161" t="s">
        <v>1118</v>
      </c>
      <c r="E494" s="969" t="s">
        <v>1119</v>
      </c>
      <c r="F494" s="970"/>
      <c r="G494" s="971"/>
      <c r="H494" s="161" t="s">
        <v>202</v>
      </c>
      <c r="I494" s="163">
        <v>5127</v>
      </c>
      <c r="J494" s="489">
        <f>+'Yeşil Defter Dönemsel'!L493</f>
        <v>0</v>
      </c>
      <c r="K494" s="489">
        <f>+'Yeşil Defter Dönemsel'!M493</f>
        <v>0</v>
      </c>
      <c r="L494" s="489">
        <f>+'Yeşil Defter Dönemsel'!N493</f>
        <v>0</v>
      </c>
      <c r="M494" s="212">
        <f t="shared" si="102"/>
        <v>0</v>
      </c>
      <c r="N494" s="212">
        <f t="shared" si="104"/>
        <v>0</v>
      </c>
      <c r="O494" s="212">
        <f t="shared" si="103"/>
        <v>0</v>
      </c>
      <c r="P494" s="211" t="e">
        <f>+#REF!</f>
        <v>#REF!</v>
      </c>
      <c r="Q494" s="212" t="e">
        <f t="shared" si="105"/>
        <v>#REF!</v>
      </c>
      <c r="R494" s="226" t="e">
        <f>+#REF!</f>
        <v>#REF!</v>
      </c>
      <c r="S494" s="685" t="e">
        <f>+#REF!</f>
        <v>#REF!</v>
      </c>
      <c r="T494" s="685" t="e">
        <f t="shared" si="107"/>
        <v>#REF!</v>
      </c>
      <c r="U494" s="685">
        <f t="shared" si="106"/>
        <v>0</v>
      </c>
      <c r="V494" s="307"/>
      <c r="X494" s="766"/>
    </row>
    <row r="495" spans="1:24" ht="19.95" hidden="1" customHeight="1" x14ac:dyDescent="0.3">
      <c r="A495" s="262">
        <v>10</v>
      </c>
      <c r="C495" s="161">
        <v>466</v>
      </c>
      <c r="D495" s="161" t="s">
        <v>1120</v>
      </c>
      <c r="E495" s="969" t="s">
        <v>1121</v>
      </c>
      <c r="F495" s="970"/>
      <c r="G495" s="971"/>
      <c r="H495" s="161" t="s">
        <v>286</v>
      </c>
      <c r="I495" s="163">
        <v>3124595</v>
      </c>
      <c r="J495" s="489">
        <f>+'Yeşil Defter Dönemsel'!L494</f>
        <v>0</v>
      </c>
      <c r="K495" s="489">
        <f>+'Yeşil Defter Dönemsel'!M494</f>
        <v>0</v>
      </c>
      <c r="L495" s="489">
        <f>+'Yeşil Defter Dönemsel'!N494</f>
        <v>0</v>
      </c>
      <c r="M495" s="212">
        <f t="shared" si="102"/>
        <v>0</v>
      </c>
      <c r="N495" s="212">
        <f t="shared" si="104"/>
        <v>0</v>
      </c>
      <c r="O495" s="212">
        <f t="shared" si="103"/>
        <v>0</v>
      </c>
      <c r="P495" s="211" t="e">
        <f>+#REF!</f>
        <v>#REF!</v>
      </c>
      <c r="Q495" s="212" t="e">
        <f t="shared" si="105"/>
        <v>#REF!</v>
      </c>
      <c r="R495" s="226" t="e">
        <f>+#REF!</f>
        <v>#REF!</v>
      </c>
      <c r="S495" s="685" t="e">
        <f>+#REF!</f>
        <v>#REF!</v>
      </c>
      <c r="T495" s="685" t="e">
        <f t="shared" si="107"/>
        <v>#REF!</v>
      </c>
      <c r="U495" s="685">
        <f t="shared" si="106"/>
        <v>0</v>
      </c>
      <c r="V495" s="307"/>
      <c r="X495" s="766"/>
    </row>
    <row r="496" spans="1:24" ht="19.95" hidden="1" customHeight="1" x14ac:dyDescent="0.3">
      <c r="A496" s="262">
        <v>10</v>
      </c>
      <c r="C496" s="161">
        <v>467</v>
      </c>
      <c r="D496" s="161" t="s">
        <v>1122</v>
      </c>
      <c r="E496" s="969" t="s">
        <v>1123</v>
      </c>
      <c r="F496" s="970"/>
      <c r="G496" s="971"/>
      <c r="H496" s="161" t="s">
        <v>286</v>
      </c>
      <c r="I496" s="163">
        <v>3124595</v>
      </c>
      <c r="J496" s="489">
        <f>+'Yeşil Defter Dönemsel'!L495</f>
        <v>0</v>
      </c>
      <c r="K496" s="489">
        <f>+'Yeşil Defter Dönemsel'!M495</f>
        <v>0</v>
      </c>
      <c r="L496" s="489">
        <f>+'Yeşil Defter Dönemsel'!N495</f>
        <v>0</v>
      </c>
      <c r="M496" s="212">
        <f t="shared" si="102"/>
        <v>0</v>
      </c>
      <c r="N496" s="212">
        <f t="shared" si="104"/>
        <v>0</v>
      </c>
      <c r="O496" s="212">
        <f t="shared" si="103"/>
        <v>0</v>
      </c>
      <c r="P496" s="211" t="e">
        <f>+#REF!</f>
        <v>#REF!</v>
      </c>
      <c r="Q496" s="212" t="e">
        <f t="shared" si="105"/>
        <v>#REF!</v>
      </c>
      <c r="R496" s="226" t="e">
        <f>+#REF!</f>
        <v>#REF!</v>
      </c>
      <c r="S496" s="685" t="e">
        <f>+#REF!</f>
        <v>#REF!</v>
      </c>
      <c r="T496" s="685" t="e">
        <f t="shared" si="107"/>
        <v>#REF!</v>
      </c>
      <c r="U496" s="685">
        <f t="shared" si="106"/>
        <v>0</v>
      </c>
      <c r="V496" s="307"/>
      <c r="X496" s="766"/>
    </row>
    <row r="497" spans="1:26" ht="19.95" hidden="1" customHeight="1" x14ac:dyDescent="0.3">
      <c r="A497" s="262">
        <v>10</v>
      </c>
      <c r="C497" s="161">
        <v>468</v>
      </c>
      <c r="D497" s="161" t="s">
        <v>1124</v>
      </c>
      <c r="E497" s="969" t="s">
        <v>1125</v>
      </c>
      <c r="F497" s="970"/>
      <c r="G497" s="971"/>
      <c r="H497" s="161" t="s">
        <v>286</v>
      </c>
      <c r="I497" s="163">
        <v>3124595</v>
      </c>
      <c r="J497" s="489">
        <f>+'Yeşil Defter Dönemsel'!L496</f>
        <v>0</v>
      </c>
      <c r="K497" s="489">
        <f>+'Yeşil Defter Dönemsel'!M496</f>
        <v>0</v>
      </c>
      <c r="L497" s="489">
        <f>+'Yeşil Defter Dönemsel'!N496</f>
        <v>0</v>
      </c>
      <c r="M497" s="212">
        <f t="shared" si="102"/>
        <v>0</v>
      </c>
      <c r="N497" s="212">
        <f t="shared" si="104"/>
        <v>0</v>
      </c>
      <c r="O497" s="212">
        <f t="shared" si="103"/>
        <v>0</v>
      </c>
      <c r="P497" s="211" t="e">
        <f>+#REF!</f>
        <v>#REF!</v>
      </c>
      <c r="Q497" s="212" t="e">
        <f t="shared" si="105"/>
        <v>#REF!</v>
      </c>
      <c r="R497" s="226" t="e">
        <f>+#REF!</f>
        <v>#REF!</v>
      </c>
      <c r="S497" s="685" t="e">
        <f>+#REF!</f>
        <v>#REF!</v>
      </c>
      <c r="T497" s="685" t="e">
        <f t="shared" si="107"/>
        <v>#REF!</v>
      </c>
      <c r="U497" s="685">
        <f t="shared" si="106"/>
        <v>0</v>
      </c>
      <c r="V497" s="307"/>
      <c r="X497" s="766"/>
    </row>
    <row r="498" spans="1:26" ht="19.95" hidden="1" customHeight="1" x14ac:dyDescent="0.3">
      <c r="A498" s="262">
        <v>10</v>
      </c>
      <c r="C498" s="161">
        <v>469</v>
      </c>
      <c r="D498" s="161" t="s">
        <v>1126</v>
      </c>
      <c r="E498" s="969" t="s">
        <v>1127</v>
      </c>
      <c r="F498" s="970"/>
      <c r="G498" s="971"/>
      <c r="H498" s="161" t="s">
        <v>286</v>
      </c>
      <c r="I498" s="163">
        <v>3124595</v>
      </c>
      <c r="J498" s="489">
        <f>+'Yeşil Defter Dönemsel'!L497</f>
        <v>0</v>
      </c>
      <c r="K498" s="489">
        <f>+'Yeşil Defter Dönemsel'!M497</f>
        <v>0</v>
      </c>
      <c r="L498" s="489">
        <f>+'Yeşil Defter Dönemsel'!N497</f>
        <v>0</v>
      </c>
      <c r="M498" s="212">
        <f t="shared" si="102"/>
        <v>0</v>
      </c>
      <c r="N498" s="212">
        <f t="shared" si="104"/>
        <v>0</v>
      </c>
      <c r="O498" s="212">
        <f t="shared" si="103"/>
        <v>0</v>
      </c>
      <c r="P498" s="211" t="e">
        <f>+#REF!</f>
        <v>#REF!</v>
      </c>
      <c r="Q498" s="212" t="e">
        <f t="shared" si="105"/>
        <v>#REF!</v>
      </c>
      <c r="R498" s="226" t="e">
        <f>+#REF!</f>
        <v>#REF!</v>
      </c>
      <c r="S498" s="685" t="e">
        <f>+#REF!</f>
        <v>#REF!</v>
      </c>
      <c r="T498" s="685" t="e">
        <f t="shared" si="107"/>
        <v>#REF!</v>
      </c>
      <c r="U498" s="685">
        <f t="shared" si="106"/>
        <v>0</v>
      </c>
      <c r="V498" s="307"/>
      <c r="X498" s="766"/>
    </row>
    <row r="499" spans="1:26" ht="19.95" hidden="1" customHeight="1" x14ac:dyDescent="0.3">
      <c r="A499" s="262">
        <v>10</v>
      </c>
      <c r="C499" s="161">
        <v>470</v>
      </c>
      <c r="D499" s="161" t="s">
        <v>1128</v>
      </c>
      <c r="E499" s="969" t="s">
        <v>1129</v>
      </c>
      <c r="F499" s="970"/>
      <c r="G499" s="971"/>
      <c r="H499" s="161" t="s">
        <v>286</v>
      </c>
      <c r="I499" s="163">
        <v>3124595</v>
      </c>
      <c r="J499" s="489">
        <f>+'Yeşil Defter Dönemsel'!L498</f>
        <v>0</v>
      </c>
      <c r="K499" s="489">
        <f>+'Yeşil Defter Dönemsel'!M498</f>
        <v>0</v>
      </c>
      <c r="L499" s="489">
        <f>+'Yeşil Defter Dönemsel'!N498</f>
        <v>0</v>
      </c>
      <c r="M499" s="212">
        <f t="shared" si="102"/>
        <v>0</v>
      </c>
      <c r="N499" s="212">
        <f t="shared" si="104"/>
        <v>0</v>
      </c>
      <c r="O499" s="212">
        <f t="shared" si="103"/>
        <v>0</v>
      </c>
      <c r="P499" s="211" t="e">
        <f>+#REF!</f>
        <v>#REF!</v>
      </c>
      <c r="Q499" s="212" t="e">
        <f t="shared" si="105"/>
        <v>#REF!</v>
      </c>
      <c r="R499" s="226" t="e">
        <f>+#REF!</f>
        <v>#REF!</v>
      </c>
      <c r="S499" s="685" t="e">
        <f>+#REF!</f>
        <v>#REF!</v>
      </c>
      <c r="T499" s="685" t="e">
        <f t="shared" si="107"/>
        <v>#REF!</v>
      </c>
      <c r="U499" s="685">
        <f t="shared" si="106"/>
        <v>0</v>
      </c>
      <c r="V499" s="307"/>
      <c r="X499" s="766"/>
    </row>
    <row r="500" spans="1:26" ht="19.95" hidden="1" customHeight="1" x14ac:dyDescent="0.3">
      <c r="A500" s="262">
        <v>10</v>
      </c>
      <c r="C500" s="161">
        <v>471</v>
      </c>
      <c r="D500" s="161" t="s">
        <v>1130</v>
      </c>
      <c r="E500" s="969" t="s">
        <v>1131</v>
      </c>
      <c r="F500" s="970"/>
      <c r="G500" s="971"/>
      <c r="H500" s="161" t="s">
        <v>286</v>
      </c>
      <c r="I500" s="163">
        <v>3124595</v>
      </c>
      <c r="J500" s="489">
        <f>+'Yeşil Defter Dönemsel'!L499</f>
        <v>0</v>
      </c>
      <c r="K500" s="489">
        <f>+'Yeşil Defter Dönemsel'!M499</f>
        <v>0</v>
      </c>
      <c r="L500" s="489">
        <f>+'Yeşil Defter Dönemsel'!N499</f>
        <v>0</v>
      </c>
      <c r="M500" s="212">
        <f t="shared" si="102"/>
        <v>0</v>
      </c>
      <c r="N500" s="212">
        <f t="shared" si="104"/>
        <v>0</v>
      </c>
      <c r="O500" s="212">
        <f t="shared" si="103"/>
        <v>0</v>
      </c>
      <c r="P500" s="211" t="e">
        <f>+#REF!</f>
        <v>#REF!</v>
      </c>
      <c r="Q500" s="212" t="e">
        <f t="shared" si="105"/>
        <v>#REF!</v>
      </c>
      <c r="R500" s="226" t="e">
        <f>+#REF!</f>
        <v>#REF!</v>
      </c>
      <c r="S500" s="685" t="e">
        <f>+#REF!</f>
        <v>#REF!</v>
      </c>
      <c r="T500" s="685" t="e">
        <f t="shared" si="107"/>
        <v>#REF!</v>
      </c>
      <c r="U500" s="685">
        <f t="shared" si="106"/>
        <v>0</v>
      </c>
      <c r="V500" s="307"/>
      <c r="X500" s="766"/>
    </row>
    <row r="501" spans="1:26" ht="19.95" hidden="1" customHeight="1" x14ac:dyDescent="0.3">
      <c r="A501" s="262">
        <v>10</v>
      </c>
      <c r="C501" s="161">
        <v>472</v>
      </c>
      <c r="D501" s="161" t="s">
        <v>1132</v>
      </c>
      <c r="E501" s="969" t="s">
        <v>1133</v>
      </c>
      <c r="F501" s="970"/>
      <c r="G501" s="971"/>
      <c r="H501" s="161" t="s">
        <v>286</v>
      </c>
      <c r="I501" s="163">
        <v>3124595</v>
      </c>
      <c r="J501" s="489">
        <f>+'Yeşil Defter Dönemsel'!L500</f>
        <v>0</v>
      </c>
      <c r="K501" s="489">
        <f>+'Yeşil Defter Dönemsel'!M500</f>
        <v>0</v>
      </c>
      <c r="L501" s="489">
        <f>+'Yeşil Defter Dönemsel'!N500</f>
        <v>0</v>
      </c>
      <c r="M501" s="212">
        <f t="shared" si="102"/>
        <v>0</v>
      </c>
      <c r="N501" s="212">
        <f t="shared" si="104"/>
        <v>0</v>
      </c>
      <c r="O501" s="212">
        <f t="shared" si="103"/>
        <v>0</v>
      </c>
      <c r="P501" s="211" t="e">
        <f>+#REF!</f>
        <v>#REF!</v>
      </c>
      <c r="Q501" s="212" t="e">
        <f t="shared" si="105"/>
        <v>#REF!</v>
      </c>
      <c r="R501" s="226" t="e">
        <f>+#REF!</f>
        <v>#REF!</v>
      </c>
      <c r="S501" s="685" t="e">
        <f>+#REF!</f>
        <v>#REF!</v>
      </c>
      <c r="T501" s="685" t="e">
        <f t="shared" si="107"/>
        <v>#REF!</v>
      </c>
      <c r="U501" s="685">
        <f t="shared" si="106"/>
        <v>0</v>
      </c>
      <c r="V501" s="307"/>
      <c r="X501" s="766"/>
    </row>
    <row r="502" spans="1:26" ht="19.95" hidden="1" customHeight="1" x14ac:dyDescent="0.3">
      <c r="A502" s="262">
        <v>10</v>
      </c>
      <c r="C502" s="161">
        <v>473</v>
      </c>
      <c r="D502" s="161" t="s">
        <v>1134</v>
      </c>
      <c r="E502" s="969" t="s">
        <v>1135</v>
      </c>
      <c r="F502" s="970"/>
      <c r="G502" s="971"/>
      <c r="H502" s="161" t="s">
        <v>286</v>
      </c>
      <c r="I502" s="163">
        <v>3124595</v>
      </c>
      <c r="J502" s="489">
        <f>+'Yeşil Defter Dönemsel'!L501</f>
        <v>0</v>
      </c>
      <c r="K502" s="489">
        <f>+'Yeşil Defter Dönemsel'!M501</f>
        <v>0</v>
      </c>
      <c r="L502" s="489">
        <f>+'Yeşil Defter Dönemsel'!N501</f>
        <v>0</v>
      </c>
      <c r="M502" s="212">
        <f t="shared" si="102"/>
        <v>0</v>
      </c>
      <c r="N502" s="212">
        <f t="shared" si="104"/>
        <v>0</v>
      </c>
      <c r="O502" s="212">
        <f t="shared" si="103"/>
        <v>0</v>
      </c>
      <c r="P502" s="211" t="e">
        <f>+#REF!</f>
        <v>#REF!</v>
      </c>
      <c r="Q502" s="212" t="e">
        <f t="shared" si="105"/>
        <v>#REF!</v>
      </c>
      <c r="R502" s="226" t="e">
        <f>+#REF!</f>
        <v>#REF!</v>
      </c>
      <c r="S502" s="685" t="e">
        <f>+#REF!</f>
        <v>#REF!</v>
      </c>
      <c r="T502" s="685" t="e">
        <f t="shared" si="107"/>
        <v>#REF!</v>
      </c>
      <c r="U502" s="685">
        <f t="shared" si="106"/>
        <v>0</v>
      </c>
      <c r="V502" s="307"/>
      <c r="X502" s="766"/>
    </row>
    <row r="503" spans="1:26" ht="19.95" hidden="1" customHeight="1" x14ac:dyDescent="0.3">
      <c r="A503" s="262">
        <v>10</v>
      </c>
      <c r="C503" s="161">
        <v>474</v>
      </c>
      <c r="D503" s="161" t="s">
        <v>1136</v>
      </c>
      <c r="E503" s="969" t="s">
        <v>1137</v>
      </c>
      <c r="F503" s="970"/>
      <c r="G503" s="971"/>
      <c r="H503" s="161" t="s">
        <v>286</v>
      </c>
      <c r="I503" s="163">
        <v>3124595</v>
      </c>
      <c r="J503" s="489">
        <f>+'Yeşil Defter Dönemsel'!L502</f>
        <v>0</v>
      </c>
      <c r="K503" s="489">
        <f>+'Yeşil Defter Dönemsel'!M502</f>
        <v>0</v>
      </c>
      <c r="L503" s="489">
        <f>+'Yeşil Defter Dönemsel'!N502</f>
        <v>0</v>
      </c>
      <c r="M503" s="212">
        <f t="shared" si="102"/>
        <v>0</v>
      </c>
      <c r="N503" s="212">
        <f t="shared" si="104"/>
        <v>0</v>
      </c>
      <c r="O503" s="212">
        <f t="shared" si="103"/>
        <v>0</v>
      </c>
      <c r="P503" s="211" t="e">
        <f>+#REF!</f>
        <v>#REF!</v>
      </c>
      <c r="Q503" s="212" t="e">
        <f t="shared" si="105"/>
        <v>#REF!</v>
      </c>
      <c r="R503" s="226" t="e">
        <f>+#REF!</f>
        <v>#REF!</v>
      </c>
      <c r="S503" s="685" t="e">
        <f>+#REF!</f>
        <v>#REF!</v>
      </c>
      <c r="T503" s="685" t="e">
        <f t="shared" si="107"/>
        <v>#REF!</v>
      </c>
      <c r="U503" s="685">
        <f t="shared" si="106"/>
        <v>0</v>
      </c>
      <c r="V503" s="307"/>
      <c r="X503" s="766"/>
    </row>
    <row r="504" spans="1:26" ht="19.95" hidden="1" customHeight="1" x14ac:dyDescent="0.3">
      <c r="A504" s="262">
        <v>10</v>
      </c>
      <c r="C504" s="161">
        <v>475</v>
      </c>
      <c r="D504" s="161" t="s">
        <v>1138</v>
      </c>
      <c r="E504" s="969" t="s">
        <v>1139</v>
      </c>
      <c r="F504" s="970"/>
      <c r="G504" s="971"/>
      <c r="H504" s="161" t="s">
        <v>286</v>
      </c>
      <c r="I504" s="163">
        <v>3124595</v>
      </c>
      <c r="J504" s="489">
        <f>+'Yeşil Defter Dönemsel'!L503</f>
        <v>0</v>
      </c>
      <c r="K504" s="489">
        <f>+'Yeşil Defter Dönemsel'!M503</f>
        <v>0</v>
      </c>
      <c r="L504" s="489">
        <f>+'Yeşil Defter Dönemsel'!N503</f>
        <v>0</v>
      </c>
      <c r="M504" s="212">
        <f t="shared" si="102"/>
        <v>0</v>
      </c>
      <c r="N504" s="212">
        <f t="shared" si="104"/>
        <v>0</v>
      </c>
      <c r="O504" s="212">
        <f t="shared" si="103"/>
        <v>0</v>
      </c>
      <c r="P504" s="211" t="e">
        <f>+#REF!</f>
        <v>#REF!</v>
      </c>
      <c r="Q504" s="212" t="e">
        <f t="shared" si="105"/>
        <v>#REF!</v>
      </c>
      <c r="R504" s="226" t="e">
        <f>+#REF!</f>
        <v>#REF!</v>
      </c>
      <c r="S504" s="685" t="e">
        <f>+#REF!</f>
        <v>#REF!</v>
      </c>
      <c r="T504" s="685" t="e">
        <f t="shared" si="107"/>
        <v>#REF!</v>
      </c>
      <c r="U504" s="685">
        <f t="shared" si="106"/>
        <v>0</v>
      </c>
      <c r="V504" s="307"/>
      <c r="X504" s="766"/>
    </row>
    <row r="505" spans="1:26" ht="19.95" hidden="1" customHeight="1" x14ac:dyDescent="0.3">
      <c r="A505" s="262">
        <v>10</v>
      </c>
      <c r="C505" s="161">
        <v>476</v>
      </c>
      <c r="D505" s="161" t="s">
        <v>1140</v>
      </c>
      <c r="E505" s="969" t="s">
        <v>1141</v>
      </c>
      <c r="F505" s="970"/>
      <c r="G505" s="971"/>
      <c r="H505" s="161" t="s">
        <v>286</v>
      </c>
      <c r="I505" s="163">
        <v>3124595</v>
      </c>
      <c r="J505" s="489">
        <f>+'Yeşil Defter Dönemsel'!L504</f>
        <v>0</v>
      </c>
      <c r="K505" s="489">
        <f>+'Yeşil Defter Dönemsel'!M504</f>
        <v>0</v>
      </c>
      <c r="L505" s="489">
        <f>+'Yeşil Defter Dönemsel'!N504</f>
        <v>0</v>
      </c>
      <c r="M505" s="212">
        <f t="shared" si="102"/>
        <v>0</v>
      </c>
      <c r="N505" s="212">
        <f t="shared" si="104"/>
        <v>0</v>
      </c>
      <c r="O505" s="212">
        <f t="shared" si="103"/>
        <v>0</v>
      </c>
      <c r="P505" s="211" t="e">
        <f>+#REF!</f>
        <v>#REF!</v>
      </c>
      <c r="Q505" s="212" t="e">
        <f t="shared" si="105"/>
        <v>#REF!</v>
      </c>
      <c r="R505" s="226" t="e">
        <f>+#REF!</f>
        <v>#REF!</v>
      </c>
      <c r="S505" s="685" t="e">
        <f>+#REF!</f>
        <v>#REF!</v>
      </c>
      <c r="T505" s="685" t="e">
        <f t="shared" si="107"/>
        <v>#REF!</v>
      </c>
      <c r="U505" s="685">
        <f t="shared" si="106"/>
        <v>0</v>
      </c>
      <c r="V505" s="307"/>
      <c r="X505" s="766"/>
    </row>
    <row r="506" spans="1:26" ht="19.95" hidden="1" customHeight="1" x14ac:dyDescent="0.3">
      <c r="A506" s="262">
        <v>10</v>
      </c>
      <c r="C506" s="161">
        <v>477</v>
      </c>
      <c r="D506" s="161" t="s">
        <v>1142</v>
      </c>
      <c r="E506" s="969" t="s">
        <v>1143</v>
      </c>
      <c r="F506" s="970"/>
      <c r="G506" s="971"/>
      <c r="H506" s="161" t="s">
        <v>286</v>
      </c>
      <c r="I506" s="163">
        <v>3124595</v>
      </c>
      <c r="J506" s="489">
        <f>+'Yeşil Defter Dönemsel'!L505</f>
        <v>0</v>
      </c>
      <c r="K506" s="489">
        <f>+'Yeşil Defter Dönemsel'!M505</f>
        <v>0</v>
      </c>
      <c r="L506" s="489">
        <f>+'Yeşil Defter Dönemsel'!N505</f>
        <v>0</v>
      </c>
      <c r="M506" s="212">
        <f t="shared" si="102"/>
        <v>0</v>
      </c>
      <c r="N506" s="212">
        <f t="shared" si="104"/>
        <v>0</v>
      </c>
      <c r="O506" s="212">
        <f t="shared" si="103"/>
        <v>0</v>
      </c>
      <c r="P506" s="211" t="e">
        <f>+#REF!</f>
        <v>#REF!</v>
      </c>
      <c r="Q506" s="212" t="e">
        <f t="shared" si="105"/>
        <v>#REF!</v>
      </c>
      <c r="R506" s="226" t="e">
        <f>+#REF!</f>
        <v>#REF!</v>
      </c>
      <c r="S506" s="685" t="e">
        <f>+#REF!</f>
        <v>#REF!</v>
      </c>
      <c r="T506" s="685" t="e">
        <f t="shared" si="107"/>
        <v>#REF!</v>
      </c>
      <c r="U506" s="685">
        <f t="shared" si="106"/>
        <v>0</v>
      </c>
      <c r="V506" s="307"/>
      <c r="X506" s="766"/>
    </row>
    <row r="507" spans="1:26" ht="19.95" hidden="1" customHeight="1" x14ac:dyDescent="0.3">
      <c r="A507" s="262">
        <v>10</v>
      </c>
      <c r="C507" s="161">
        <v>478</v>
      </c>
      <c r="D507" s="161" t="s">
        <v>1144</v>
      </c>
      <c r="E507" s="969" t="s">
        <v>1145</v>
      </c>
      <c r="F507" s="970"/>
      <c r="G507" s="971"/>
      <c r="H507" s="161" t="s">
        <v>286</v>
      </c>
      <c r="I507" s="163">
        <v>3124595</v>
      </c>
      <c r="J507" s="489">
        <f>+'Yeşil Defter Dönemsel'!L506</f>
        <v>0</v>
      </c>
      <c r="K507" s="489">
        <f>+'Yeşil Defter Dönemsel'!M506</f>
        <v>0</v>
      </c>
      <c r="L507" s="489">
        <f>+'Yeşil Defter Dönemsel'!N506</f>
        <v>0</v>
      </c>
      <c r="M507" s="212">
        <f t="shared" si="102"/>
        <v>0</v>
      </c>
      <c r="N507" s="212">
        <f t="shared" si="104"/>
        <v>0</v>
      </c>
      <c r="O507" s="212">
        <f t="shared" si="103"/>
        <v>0</v>
      </c>
      <c r="P507" s="211" t="e">
        <f>+#REF!</f>
        <v>#REF!</v>
      </c>
      <c r="Q507" s="212" t="e">
        <f t="shared" si="105"/>
        <v>#REF!</v>
      </c>
      <c r="R507" s="226" t="e">
        <f>+#REF!</f>
        <v>#REF!</v>
      </c>
      <c r="S507" s="685" t="e">
        <f>+#REF!</f>
        <v>#REF!</v>
      </c>
      <c r="T507" s="685" t="e">
        <f t="shared" si="107"/>
        <v>#REF!</v>
      </c>
      <c r="U507" s="685">
        <f t="shared" si="106"/>
        <v>0</v>
      </c>
      <c r="V507" s="307"/>
      <c r="X507" s="766"/>
    </row>
    <row r="508" spans="1:26" ht="19.95" hidden="1" customHeight="1" x14ac:dyDescent="0.3">
      <c r="A508" s="262">
        <v>10</v>
      </c>
      <c r="C508" s="161">
        <v>479</v>
      </c>
      <c r="D508" s="161" t="s">
        <v>1146</v>
      </c>
      <c r="E508" s="969" t="s">
        <v>1147</v>
      </c>
      <c r="F508" s="970"/>
      <c r="G508" s="971"/>
      <c r="H508" s="161" t="s">
        <v>286</v>
      </c>
      <c r="I508" s="163">
        <v>3124595</v>
      </c>
      <c r="J508" s="489">
        <f>+'Yeşil Defter Dönemsel'!L507</f>
        <v>0</v>
      </c>
      <c r="K508" s="489">
        <f>+'Yeşil Defter Dönemsel'!M507</f>
        <v>0</v>
      </c>
      <c r="L508" s="489">
        <f>+'Yeşil Defter Dönemsel'!N507</f>
        <v>0</v>
      </c>
      <c r="M508" s="212">
        <f t="shared" si="102"/>
        <v>0</v>
      </c>
      <c r="N508" s="212">
        <f t="shared" si="104"/>
        <v>0</v>
      </c>
      <c r="O508" s="212">
        <f t="shared" si="103"/>
        <v>0</v>
      </c>
      <c r="P508" s="211" t="e">
        <f>+#REF!</f>
        <v>#REF!</v>
      </c>
      <c r="Q508" s="212" t="e">
        <f t="shared" si="105"/>
        <v>#REF!</v>
      </c>
      <c r="R508" s="226" t="e">
        <f>+#REF!</f>
        <v>#REF!</v>
      </c>
      <c r="S508" s="685" t="e">
        <f>+#REF!</f>
        <v>#REF!</v>
      </c>
      <c r="T508" s="685" t="e">
        <f t="shared" si="107"/>
        <v>#REF!</v>
      </c>
      <c r="U508" s="685">
        <f t="shared" si="106"/>
        <v>0</v>
      </c>
      <c r="V508" s="307"/>
      <c r="X508" s="766"/>
    </row>
    <row r="509" spans="1:26" customFormat="1" ht="19.95" hidden="1" customHeight="1" x14ac:dyDescent="0.3">
      <c r="A509" s="262">
        <v>10</v>
      </c>
      <c r="B509" s="11"/>
      <c r="C509" s="658">
        <v>480</v>
      </c>
      <c r="D509" s="658" t="s">
        <v>1148</v>
      </c>
      <c r="E509" s="1335" t="s">
        <v>1152</v>
      </c>
      <c r="F509" s="1336"/>
      <c r="G509" s="1337"/>
      <c r="H509" s="658" t="s">
        <v>286</v>
      </c>
      <c r="I509" s="163">
        <v>24981566.850000001</v>
      </c>
      <c r="J509" s="489">
        <f>+'Yeşil Defter Dönemsel'!L508</f>
        <v>0</v>
      </c>
      <c r="K509" s="489">
        <f>+'Yeşil Defter Dönemsel'!M508</f>
        <v>0</v>
      </c>
      <c r="L509" s="489">
        <f>+'Yeşil Defter Dönemsel'!N508</f>
        <v>0</v>
      </c>
      <c r="M509" s="302">
        <f t="shared" si="102"/>
        <v>0</v>
      </c>
      <c r="N509" s="302">
        <f t="shared" si="104"/>
        <v>0</v>
      </c>
      <c r="O509" s="302">
        <f t="shared" si="103"/>
        <v>0</v>
      </c>
      <c r="P509" s="211" t="e">
        <f>+#REF!</f>
        <v>#REF!</v>
      </c>
      <c r="Q509" s="302" t="e">
        <f t="shared" si="105"/>
        <v>#REF!</v>
      </c>
      <c r="R509" s="226" t="e">
        <f>+#REF!</f>
        <v>#REF!</v>
      </c>
      <c r="S509" s="685" t="e">
        <f>+#REF!</f>
        <v>#REF!</v>
      </c>
      <c r="T509" s="685" t="e">
        <f t="shared" si="107"/>
        <v>#REF!</v>
      </c>
      <c r="U509" s="685">
        <f t="shared" si="106"/>
        <v>0</v>
      </c>
      <c r="V509" s="307"/>
      <c r="X509" s="766"/>
      <c r="Y509" s="11"/>
      <c r="Z509" s="11"/>
    </row>
    <row r="510" spans="1:26" customFormat="1" ht="19.95" hidden="1" customHeight="1" x14ac:dyDescent="0.3">
      <c r="A510" s="262" t="s">
        <v>1240</v>
      </c>
      <c r="B510" s="11"/>
      <c r="C510" s="678"/>
      <c r="D510" s="690" t="s">
        <v>1238</v>
      </c>
      <c r="E510" s="217"/>
      <c r="F510" s="217"/>
      <c r="G510" s="217"/>
      <c r="H510" s="217"/>
      <c r="I510" s="217"/>
      <c r="J510" s="489">
        <f>+'Yeşil Defter Dönemsel'!L509</f>
        <v>0</v>
      </c>
      <c r="K510" s="489">
        <f>+'Yeşil Defter Dönemsel'!M509</f>
        <v>0</v>
      </c>
      <c r="L510" s="489">
        <f>+'Yeşil Defter Dönemsel'!N509</f>
        <v>0</v>
      </c>
      <c r="M510" s="692">
        <f>+M511</f>
        <v>0</v>
      </c>
      <c r="N510" s="692">
        <f>+N511</f>
        <v>0</v>
      </c>
      <c r="O510" s="692">
        <f>+O511</f>
        <v>0</v>
      </c>
      <c r="P510" s="211"/>
      <c r="Q510" s="231"/>
      <c r="R510" s="226" t="e">
        <f>+#REF!</f>
        <v>#REF!</v>
      </c>
      <c r="S510" s="685" t="e">
        <f>+#REF!</f>
        <v>#REF!</v>
      </c>
      <c r="T510" s="685" t="e">
        <f t="shared" si="107"/>
        <v>#REF!</v>
      </c>
      <c r="U510" s="685">
        <f t="shared" si="106"/>
        <v>0</v>
      </c>
      <c r="V510" s="307"/>
      <c r="X510" s="766"/>
      <c r="Y510" s="11"/>
      <c r="Z510" s="11"/>
    </row>
    <row r="511" spans="1:26" customFormat="1" ht="19.95" hidden="1" customHeight="1" x14ac:dyDescent="0.3">
      <c r="A511" s="262">
        <v>11</v>
      </c>
      <c r="B511" s="11"/>
      <c r="C511" s="161">
        <v>481</v>
      </c>
      <c r="D511" s="694" t="s">
        <v>1149</v>
      </c>
      <c r="E511" s="1338" t="s">
        <v>138</v>
      </c>
      <c r="F511" s="1086"/>
      <c r="G511" s="1339"/>
      <c r="H511" s="25" t="s">
        <v>247</v>
      </c>
      <c r="I511" s="163">
        <v>75000000</v>
      </c>
      <c r="J511" s="489">
        <f>+'Yeşil Defter Dönemsel'!L510</f>
        <v>0</v>
      </c>
      <c r="K511" s="489">
        <f>+'Yeşil Defter Dönemsel'!M510</f>
        <v>0</v>
      </c>
      <c r="L511" s="489">
        <f>+'Yeşil Defter Dönemsel'!N510</f>
        <v>0</v>
      </c>
      <c r="M511" s="21">
        <f>+ROUND($I511*J511,2)</f>
        <v>0</v>
      </c>
      <c r="N511" s="21">
        <f>+ROUND($I511*K511,2)</f>
        <v>0</v>
      </c>
      <c r="O511" s="21">
        <f>+ROUND($I511*L511,2)</f>
        <v>0</v>
      </c>
      <c r="P511" s="211"/>
      <c r="Q511" s="21"/>
      <c r="R511" s="226" t="e">
        <f>+#REF!</f>
        <v>#REF!</v>
      </c>
      <c r="S511" s="685" t="e">
        <f>+#REF!</f>
        <v>#REF!</v>
      </c>
      <c r="T511" s="685" t="e">
        <f t="shared" si="107"/>
        <v>#REF!</v>
      </c>
      <c r="U511" s="685">
        <f t="shared" si="106"/>
        <v>0</v>
      </c>
      <c r="V511" s="307"/>
      <c r="X511" s="766"/>
      <c r="Y511" s="11"/>
      <c r="Z511" s="11"/>
    </row>
    <row r="512" spans="1:26" customFormat="1" ht="19.95" hidden="1" customHeight="1" x14ac:dyDescent="0.3">
      <c r="A512" s="262" t="s">
        <v>1240</v>
      </c>
      <c r="B512" s="11"/>
      <c r="C512" s="678"/>
      <c r="D512" s="263" t="s">
        <v>1239</v>
      </c>
      <c r="E512" s="217"/>
      <c r="F512" s="217"/>
      <c r="G512" s="217"/>
      <c r="H512" s="217"/>
      <c r="I512" s="217"/>
      <c r="J512" s="489">
        <f>+'Yeşil Defter Dönemsel'!L511</f>
        <v>0</v>
      </c>
      <c r="K512" s="489">
        <f>+'Yeşil Defter Dönemsel'!M511</f>
        <v>0</v>
      </c>
      <c r="L512" s="489">
        <f>+'Yeşil Defter Dönemsel'!N511</f>
        <v>0</v>
      </c>
      <c r="M512" s="692">
        <f>+M513</f>
        <v>0</v>
      </c>
      <c r="N512" s="692">
        <f>+N513</f>
        <v>0</v>
      </c>
      <c r="O512" s="692">
        <f>+O513</f>
        <v>0</v>
      </c>
      <c r="P512" s="211"/>
      <c r="Q512" s="231"/>
      <c r="R512" s="226" t="e">
        <f>+#REF!</f>
        <v>#REF!</v>
      </c>
      <c r="S512" s="685" t="e">
        <f>+#REF!</f>
        <v>#REF!</v>
      </c>
      <c r="T512" s="685" t="e">
        <f t="shared" si="107"/>
        <v>#REF!</v>
      </c>
      <c r="U512" s="685">
        <f t="shared" si="106"/>
        <v>0</v>
      </c>
      <c r="V512" s="307"/>
      <c r="X512" s="766"/>
      <c r="Y512" s="11"/>
      <c r="Z512" s="11"/>
    </row>
    <row r="513" spans="1:26" customFormat="1" ht="19.95" hidden="1" customHeight="1" x14ac:dyDescent="0.3">
      <c r="A513" s="262">
        <v>12</v>
      </c>
      <c r="B513" s="11"/>
      <c r="C513" s="23">
        <v>482</v>
      </c>
      <c r="D513" s="696" t="s">
        <v>1150</v>
      </c>
      <c r="E513" s="1332" t="s">
        <v>1151</v>
      </c>
      <c r="F513" s="1333"/>
      <c r="G513" s="1334"/>
      <c r="H513" s="697" t="s">
        <v>247</v>
      </c>
      <c r="I513" s="163">
        <v>75000000</v>
      </c>
      <c r="J513" s="211">
        <f>+'Yeşil Defter Dönemsel'!AD512</f>
        <v>0</v>
      </c>
      <c r="K513" s="211">
        <f>+'Yeşil Defter Dönemsel'!AE512</f>
        <v>0</v>
      </c>
      <c r="L513" s="211">
        <f>+'Yeşil Defter Dönemsel'!AF512</f>
        <v>0</v>
      </c>
      <c r="M513" s="21">
        <f>+ROUND($I513*J513,2)</f>
        <v>0</v>
      </c>
      <c r="N513" s="21">
        <f>+ROUND($I513*K513,2)</f>
        <v>0</v>
      </c>
      <c r="O513" s="21">
        <f>+ROUND($I513*L513,2)</f>
        <v>0</v>
      </c>
      <c r="P513" s="211" t="e">
        <f>+#REF!</f>
        <v>#REF!</v>
      </c>
      <c r="Q513" s="21" t="e">
        <f>+R513-P513</f>
        <v>#REF!</v>
      </c>
      <c r="R513" s="226" t="e">
        <f>+#REF!</f>
        <v>#REF!</v>
      </c>
      <c r="S513" s="685" t="e">
        <f>+#REF!</f>
        <v>#REF!</v>
      </c>
      <c r="T513" s="685" t="e">
        <f t="shared" si="107"/>
        <v>#REF!</v>
      </c>
      <c r="U513" s="685">
        <f t="shared" si="106"/>
        <v>0</v>
      </c>
      <c r="V513" s="11"/>
      <c r="Y513" s="11"/>
      <c r="Z513" s="11"/>
    </row>
    <row r="514" spans="1:26" customFormat="1" ht="23.4" customHeight="1" x14ac:dyDescent="0.3">
      <c r="A514" s="792" t="s">
        <v>1464</v>
      </c>
      <c r="B514" s="793"/>
      <c r="C514" s="794"/>
      <c r="D514" s="795"/>
      <c r="E514" s="796"/>
      <c r="F514" s="796"/>
      <c r="G514" s="796"/>
      <c r="H514" s="794"/>
      <c r="I514" s="794"/>
      <c r="J514" s="797"/>
      <c r="K514" s="798"/>
      <c r="L514" s="798"/>
      <c r="M514" s="798"/>
      <c r="N514" s="798"/>
      <c r="O514" s="798"/>
      <c r="P514" s="794"/>
      <c r="Q514" s="797"/>
      <c r="R514" s="798"/>
      <c r="S514" s="798"/>
      <c r="T514" s="798"/>
      <c r="U514" s="798"/>
      <c r="V514" s="11"/>
      <c r="Y514" s="11"/>
      <c r="Z514" s="11"/>
    </row>
    <row r="515" spans="1:26" customFormat="1" ht="23.4" customHeight="1" x14ac:dyDescent="0.3">
      <c r="A515" s="792"/>
      <c r="B515" s="793"/>
      <c r="C515" s="875"/>
      <c r="D515" s="876"/>
      <c r="E515" s="821"/>
      <c r="F515" s="821"/>
      <c r="G515" s="821"/>
      <c r="H515" s="875"/>
      <c r="I515" s="875"/>
      <c r="J515" s="877"/>
      <c r="K515" s="878"/>
      <c r="L515" s="878"/>
      <c r="M515" s="878"/>
      <c r="N515" s="878"/>
      <c r="O515" s="878"/>
      <c r="P515" s="875"/>
      <c r="Q515" s="877"/>
      <c r="R515" s="878"/>
      <c r="S515" s="878"/>
      <c r="T515" s="878"/>
      <c r="U515" s="878"/>
      <c r="V515" s="11"/>
      <c r="Y515" s="11"/>
      <c r="Z515" s="11"/>
    </row>
    <row r="516" spans="1:26" customFormat="1" ht="23.4" customHeight="1" x14ac:dyDescent="0.3">
      <c r="A516" s="792"/>
      <c r="B516" s="793"/>
      <c r="C516" s="875"/>
      <c r="D516" s="876"/>
      <c r="E516" s="821"/>
      <c r="F516" s="821"/>
      <c r="G516" s="821"/>
      <c r="H516" s="875"/>
      <c r="I516" s="875"/>
      <c r="J516" s="877"/>
      <c r="K516" s="878"/>
      <c r="L516" s="878"/>
      <c r="M516" s="878"/>
      <c r="N516" s="878"/>
      <c r="O516" s="878"/>
      <c r="P516" s="875"/>
      <c r="Q516" s="877"/>
      <c r="R516" s="878"/>
      <c r="S516" s="878"/>
      <c r="T516" s="878"/>
      <c r="U516" s="878"/>
      <c r="V516" s="11"/>
      <c r="Y516" s="11"/>
      <c r="Z516" s="11"/>
    </row>
    <row r="517" spans="1:26" customFormat="1" ht="23.4" customHeight="1" x14ac:dyDescent="0.3">
      <c r="A517" s="822" t="s">
        <v>1464</v>
      </c>
      <c r="B517" s="800"/>
      <c r="C517" s="1340" t="s">
        <v>33</v>
      </c>
      <c r="D517" s="1340"/>
      <c r="E517" s="1340"/>
      <c r="F517" s="1340"/>
      <c r="G517" s="1340"/>
      <c r="H517" s="1340"/>
      <c r="I517" s="1340"/>
      <c r="J517" s="880"/>
      <c r="K517" s="1353" t="s">
        <v>29</v>
      </c>
      <c r="L517" s="1353"/>
      <c r="M517" s="1353"/>
      <c r="N517" s="1353"/>
      <c r="O517" s="1353"/>
      <c r="P517" s="1340" t="s">
        <v>22</v>
      </c>
      <c r="Q517" s="1340"/>
      <c r="R517" s="1340"/>
      <c r="S517" s="1340"/>
      <c r="T517" s="1340"/>
      <c r="U517" s="1340"/>
      <c r="V517" s="131"/>
      <c r="Y517" s="11"/>
      <c r="Z517" s="11"/>
    </row>
    <row r="518" spans="1:26" customFormat="1" ht="23.4" customHeight="1" x14ac:dyDescent="0.3">
      <c r="A518" s="822" t="s">
        <v>1464</v>
      </c>
      <c r="B518" s="800"/>
      <c r="C518" s="1326" t="s">
        <v>1214</v>
      </c>
      <c r="D518" s="1326"/>
      <c r="E518" s="1326"/>
      <c r="F518" s="1326"/>
      <c r="G518" s="1326"/>
      <c r="H518" s="1326"/>
      <c r="I518" s="1326"/>
      <c r="J518" s="882"/>
      <c r="K518" s="1077" t="s">
        <v>38</v>
      </c>
      <c r="L518" s="1077"/>
      <c r="M518" s="1077"/>
      <c r="N518" s="1077"/>
      <c r="O518" s="1077"/>
      <c r="P518" s="1325" t="s">
        <v>1465</v>
      </c>
      <c r="Q518" s="1325"/>
      <c r="R518" s="1325"/>
      <c r="S518" s="1325"/>
      <c r="T518" s="1325"/>
      <c r="U518" s="1325"/>
      <c r="V518" s="110"/>
      <c r="Y518" s="11"/>
      <c r="Z518" s="11"/>
    </row>
    <row r="519" spans="1:26" customFormat="1" ht="23.4" customHeight="1" x14ac:dyDescent="0.3">
      <c r="A519" s="822" t="s">
        <v>1464</v>
      </c>
      <c r="B519" s="800"/>
      <c r="C519" s="875"/>
      <c r="D519" s="875"/>
      <c r="E519" s="821"/>
      <c r="F519" s="821"/>
      <c r="G519" s="821"/>
      <c r="H519" s="882"/>
      <c r="I519" s="882"/>
      <c r="J519" s="882"/>
      <c r="K519" s="882"/>
      <c r="L519" s="882"/>
      <c r="M519" s="882"/>
      <c r="N519" s="882"/>
      <c r="O519" s="882"/>
      <c r="P519" s="1325"/>
      <c r="Q519" s="1325"/>
      <c r="R519" s="1325"/>
      <c r="S519" s="1325"/>
      <c r="T519" s="1325"/>
      <c r="U519" s="1325"/>
      <c r="V519" s="110"/>
      <c r="Y519" s="11"/>
      <c r="Z519" s="11"/>
    </row>
    <row r="520" spans="1:26" customFormat="1" ht="23.4" customHeight="1" x14ac:dyDescent="0.3">
      <c r="A520" s="822" t="s">
        <v>1464</v>
      </c>
      <c r="B520" s="800"/>
      <c r="C520" s="875"/>
      <c r="D520" s="875"/>
      <c r="E520" s="821"/>
      <c r="F520" s="821"/>
      <c r="G520" s="821"/>
      <c r="H520" s="821"/>
      <c r="I520" s="821"/>
      <c r="J520" s="883"/>
      <c r="K520" s="821"/>
      <c r="L520" s="881"/>
      <c r="M520" s="883"/>
      <c r="N520" s="883"/>
      <c r="O520" s="883"/>
      <c r="P520" s="821"/>
      <c r="Q520" s="883"/>
      <c r="R520" s="883"/>
      <c r="S520" s="883"/>
      <c r="T520" s="881"/>
      <c r="U520" s="881"/>
      <c r="V520" s="109"/>
      <c r="Y520" s="11"/>
      <c r="Z520" s="11"/>
    </row>
    <row r="521" spans="1:26" customFormat="1" ht="23.4" x14ac:dyDescent="0.3">
      <c r="A521" s="822" t="s">
        <v>1464</v>
      </c>
      <c r="B521" s="800"/>
      <c r="C521" s="875"/>
      <c r="D521" s="875"/>
      <c r="E521" s="821"/>
      <c r="F521" s="821"/>
      <c r="G521" s="821"/>
      <c r="H521" s="882"/>
      <c r="I521" s="882"/>
      <c r="J521" s="882"/>
      <c r="K521" s="821"/>
      <c r="L521" s="881"/>
      <c r="M521" s="1325"/>
      <c r="N521" s="1325"/>
      <c r="O521" s="881"/>
      <c r="P521" s="875"/>
      <c r="Q521" s="1325"/>
      <c r="R521" s="1325"/>
      <c r="S521" s="875"/>
      <c r="T521" s="1325"/>
      <c r="U521" s="1325"/>
      <c r="V521" s="109"/>
      <c r="Y521" s="11"/>
      <c r="Z521" s="11"/>
    </row>
    <row r="522" spans="1:26" customFormat="1" ht="23.4" x14ac:dyDescent="0.3">
      <c r="A522" s="822" t="s">
        <v>1464</v>
      </c>
      <c r="B522" s="800"/>
      <c r="C522" s="875"/>
      <c r="D522" s="875"/>
      <c r="E522" s="821"/>
      <c r="F522" s="883"/>
      <c r="G522" s="883"/>
      <c r="H522" s="883"/>
      <c r="I522" s="883"/>
      <c r="J522" s="883"/>
      <c r="K522" s="883"/>
      <c r="L522" s="875"/>
      <c r="M522" s="885"/>
      <c r="N522" s="885"/>
      <c r="O522" s="1331"/>
      <c r="P522" s="875"/>
      <c r="Q522" s="1326"/>
      <c r="R522" s="1326"/>
      <c r="S522" s="875"/>
      <c r="T522" s="1326"/>
      <c r="U522" s="1326"/>
      <c r="V522" s="11"/>
      <c r="Y522" s="11"/>
      <c r="Z522" s="11"/>
    </row>
    <row r="523" spans="1:26" customFormat="1" ht="23.4" x14ac:dyDescent="0.3">
      <c r="A523" s="822" t="s">
        <v>1464</v>
      </c>
      <c r="B523" s="800"/>
      <c r="C523" s="875"/>
      <c r="D523" s="875"/>
      <c r="E523" s="821"/>
      <c r="F523" s="882"/>
      <c r="G523" s="882"/>
      <c r="H523" s="882"/>
      <c r="I523" s="882"/>
      <c r="J523" s="883" t="s">
        <v>32</v>
      </c>
      <c r="K523" s="882"/>
      <c r="L523" s="881"/>
      <c r="M523" s="885" t="s">
        <v>1407</v>
      </c>
      <c r="N523" s="885"/>
      <c r="O523" s="1331"/>
      <c r="P523" s="882"/>
      <c r="Q523" s="1326"/>
      <c r="R523" s="1326"/>
      <c r="S523" s="875"/>
      <c r="T523" s="1326"/>
      <c r="U523" s="1326"/>
      <c r="V523" s="11"/>
      <c r="Y523" s="11"/>
      <c r="Z523" s="11"/>
    </row>
    <row r="524" spans="1:26" customFormat="1" ht="23.4" customHeight="1" x14ac:dyDescent="0.3">
      <c r="A524" s="822"/>
      <c r="B524" s="800"/>
      <c r="C524" s="875"/>
      <c r="D524" s="875"/>
      <c r="E524" s="821"/>
      <c r="F524" s="882"/>
      <c r="G524" s="882"/>
      <c r="H524" s="882"/>
      <c r="I524" s="1325" t="s">
        <v>94</v>
      </c>
      <c r="J524" s="1325"/>
      <c r="K524" s="1325"/>
      <c r="L524" s="1325" t="s">
        <v>94</v>
      </c>
      <c r="M524" s="1325"/>
      <c r="N524" s="1325"/>
      <c r="O524" s="883"/>
      <c r="P524" s="882"/>
      <c r="Q524" s="882"/>
      <c r="R524" s="883"/>
      <c r="S524" s="875"/>
      <c r="T524" s="875"/>
      <c r="U524" s="875"/>
      <c r="V524" s="11"/>
      <c r="Y524" s="11"/>
      <c r="Z524" s="11"/>
    </row>
    <row r="525" spans="1:26" customFormat="1" ht="23.4" x14ac:dyDescent="0.3">
      <c r="A525" s="822"/>
      <c r="B525" s="800"/>
      <c r="C525" s="875"/>
      <c r="D525" s="875"/>
      <c r="E525" s="821"/>
      <c r="F525" s="882"/>
      <c r="G525" s="882"/>
      <c r="H525" s="882"/>
      <c r="I525" s="1325"/>
      <c r="J525" s="1325"/>
      <c r="K525" s="1325"/>
      <c r="L525" s="1325"/>
      <c r="M525" s="1325"/>
      <c r="N525" s="1325"/>
      <c r="O525" s="883"/>
      <c r="P525" s="882"/>
      <c r="Q525" s="1325"/>
      <c r="R525" s="1325"/>
      <c r="S525" s="875"/>
      <c r="T525" s="1325"/>
      <c r="U525" s="1325"/>
      <c r="V525" s="11"/>
      <c r="Y525" s="11"/>
      <c r="Z525" s="11"/>
    </row>
    <row r="526" spans="1:26" customFormat="1" ht="23.4" x14ac:dyDescent="0.3">
      <c r="A526" s="822" t="s">
        <v>1464</v>
      </c>
      <c r="B526" s="800"/>
      <c r="C526" s="875"/>
      <c r="D526" s="875"/>
      <c r="E526" s="821"/>
      <c r="F526" s="882"/>
      <c r="G526" s="882"/>
      <c r="H526" s="882"/>
      <c r="I526" s="1325"/>
      <c r="J526" s="1325"/>
      <c r="K526" s="1325"/>
      <c r="L526" s="1325"/>
      <c r="M526" s="1325"/>
      <c r="N526" s="1325"/>
      <c r="O526" s="883"/>
      <c r="P526" s="882"/>
      <c r="Q526" s="1325"/>
      <c r="R526" s="1325"/>
      <c r="S526" s="875"/>
      <c r="T526" s="1326"/>
      <c r="U526" s="1326"/>
      <c r="V526" s="11"/>
      <c r="Y526" s="11"/>
      <c r="Z526" s="11"/>
    </row>
    <row r="527" spans="1:26" customFormat="1" ht="23.4" customHeight="1" x14ac:dyDescent="0.3">
      <c r="A527" s="822" t="s">
        <v>1464</v>
      </c>
      <c r="B527" s="800"/>
      <c r="C527" s="875"/>
      <c r="D527" s="875"/>
      <c r="E527" s="821"/>
      <c r="F527" s="882"/>
      <c r="G527" s="882"/>
      <c r="H527" s="882"/>
      <c r="I527" s="882"/>
      <c r="J527" s="882"/>
      <c r="K527" s="1331"/>
      <c r="L527" s="1331"/>
      <c r="M527" s="885"/>
      <c r="N527" s="1331"/>
      <c r="O527" s="1331"/>
      <c r="P527" s="875"/>
      <c r="Q527" s="1325"/>
      <c r="R527" s="1325"/>
      <c r="S527" s="875"/>
      <c r="T527" s="1326"/>
      <c r="U527" s="1326"/>
      <c r="V527" s="11"/>
      <c r="Y527" s="11"/>
      <c r="Z527" s="11"/>
    </row>
    <row r="528" spans="1:26" customFormat="1" ht="23.4" x14ac:dyDescent="0.3">
      <c r="A528" s="822" t="s">
        <v>1464</v>
      </c>
      <c r="B528" s="800"/>
      <c r="C528" s="875"/>
      <c r="D528" s="875"/>
      <c r="E528" s="821"/>
      <c r="F528" s="881"/>
      <c r="G528" s="881"/>
      <c r="H528" s="882"/>
      <c r="I528" s="882"/>
      <c r="J528" s="882"/>
      <c r="K528" s="1331"/>
      <c r="L528" s="1331"/>
      <c r="M528" s="885"/>
      <c r="N528" s="1331"/>
      <c r="O528" s="1331"/>
      <c r="P528" s="875"/>
      <c r="Q528" s="1325"/>
      <c r="R528" s="1325"/>
      <c r="S528" s="875"/>
      <c r="T528" s="875"/>
      <c r="U528" s="883"/>
      <c r="V528" s="11"/>
      <c r="Y528" s="11"/>
      <c r="Z528" s="11"/>
    </row>
    <row r="529" spans="1:37" customFormat="1" ht="23.4" x14ac:dyDescent="0.3">
      <c r="A529" s="822"/>
      <c r="B529" s="800"/>
      <c r="C529" s="875"/>
      <c r="D529" s="875"/>
      <c r="E529" s="821"/>
      <c r="F529" s="881"/>
      <c r="G529" s="881"/>
      <c r="H529" s="881"/>
      <c r="I529" s="881"/>
      <c r="J529" s="881"/>
      <c r="K529" s="1331"/>
      <c r="L529" s="1331"/>
      <c r="M529" s="875"/>
      <c r="N529" s="1331"/>
      <c r="O529" s="1331"/>
      <c r="P529" s="881"/>
      <c r="Q529" s="1325"/>
      <c r="R529" s="1325"/>
      <c r="S529" s="875"/>
      <c r="T529" s="875"/>
      <c r="U529" s="875"/>
      <c r="V529" s="11"/>
      <c r="Y529" s="11"/>
      <c r="Z529" s="11"/>
    </row>
    <row r="530" spans="1:37" customFormat="1" ht="23.4" x14ac:dyDescent="0.3">
      <c r="A530" s="822"/>
      <c r="B530" s="800"/>
      <c r="C530" s="875"/>
      <c r="D530" s="875"/>
      <c r="E530" s="821"/>
      <c r="F530" s="881"/>
      <c r="G530" s="881"/>
      <c r="H530" s="881"/>
      <c r="I530" s="881"/>
      <c r="J530" s="881"/>
      <c r="K530" s="881"/>
      <c r="L530" s="881"/>
      <c r="M530" s="875"/>
      <c r="N530" s="1325"/>
      <c r="O530" s="1325"/>
      <c r="P530" s="881"/>
      <c r="Q530" s="1325"/>
      <c r="R530" s="1325"/>
      <c r="S530" s="881"/>
      <c r="T530" s="1326"/>
      <c r="U530" s="1326"/>
      <c r="V530" s="11"/>
      <c r="Y530" s="11"/>
      <c r="Z530" s="11"/>
    </row>
    <row r="531" spans="1:37" customFormat="1" ht="23.4" x14ac:dyDescent="0.3">
      <c r="A531" s="822"/>
      <c r="B531" s="800"/>
      <c r="C531" s="875"/>
      <c r="D531" s="875"/>
      <c r="E531" s="821"/>
      <c r="F531" s="881"/>
      <c r="G531" s="881"/>
      <c r="H531" s="881"/>
      <c r="I531" s="881"/>
      <c r="J531" s="881"/>
      <c r="K531" s="881"/>
      <c r="L531" s="881"/>
      <c r="M531" s="875"/>
      <c r="N531" s="1325"/>
      <c r="O531" s="1325"/>
      <c r="P531" s="881"/>
      <c r="Q531" s="1325"/>
      <c r="R531" s="1325"/>
      <c r="S531" s="881"/>
      <c r="T531" s="1326"/>
      <c r="U531" s="1326"/>
      <c r="V531" s="11"/>
      <c r="Y531" s="11"/>
      <c r="Z531" s="11"/>
    </row>
    <row r="532" spans="1:37" customFormat="1" ht="23.4" customHeight="1" x14ac:dyDescent="0.3">
      <c r="A532" s="822"/>
      <c r="B532" s="800"/>
      <c r="C532" s="875"/>
      <c r="D532" s="875"/>
      <c r="E532" s="821"/>
      <c r="F532" s="881"/>
      <c r="G532" s="881"/>
      <c r="H532" s="881"/>
      <c r="I532" s="881"/>
      <c r="J532" s="881"/>
      <c r="K532" s="881"/>
      <c r="L532" s="881"/>
      <c r="M532" s="875"/>
      <c r="N532" s="875"/>
      <c r="O532" s="875"/>
      <c r="P532" s="881"/>
      <c r="Q532" s="1325"/>
      <c r="R532" s="1325"/>
      <c r="S532" s="881"/>
      <c r="T532" s="1326"/>
      <c r="U532" s="1326"/>
      <c r="V532" s="11"/>
      <c r="Y532" s="11"/>
      <c r="Z532" s="11"/>
    </row>
    <row r="533" spans="1:37" customFormat="1" ht="23.4" customHeight="1" x14ac:dyDescent="0.3">
      <c r="A533" s="822" t="s">
        <v>1464</v>
      </c>
      <c r="B533" s="800"/>
      <c r="C533" s="875"/>
      <c r="D533" s="875"/>
      <c r="E533" s="821"/>
      <c r="F533" s="821"/>
      <c r="G533" s="821"/>
      <c r="H533" s="821"/>
      <c r="I533" s="821"/>
      <c r="J533" s="883"/>
      <c r="K533" s="821"/>
      <c r="L533" s="881"/>
      <c r="M533" s="883"/>
      <c r="N533" s="883"/>
      <c r="O533" s="883"/>
      <c r="P533" s="821"/>
      <c r="Q533" s="883"/>
      <c r="R533" s="883"/>
      <c r="S533" s="883"/>
      <c r="T533" s="882"/>
      <c r="U533" s="883"/>
      <c r="V533" s="11"/>
      <c r="Y533" s="11"/>
      <c r="Z533" s="11"/>
    </row>
    <row r="534" spans="1:37" customFormat="1" ht="23.4" customHeight="1" x14ac:dyDescent="0.3">
      <c r="A534" s="822" t="s">
        <v>1464</v>
      </c>
      <c r="B534" s="800"/>
      <c r="C534" s="1325" t="s">
        <v>1215</v>
      </c>
      <c r="D534" s="1325"/>
      <c r="E534" s="1325"/>
      <c r="F534" s="1325"/>
      <c r="G534" s="1325"/>
      <c r="H534" s="1325"/>
      <c r="I534" s="1325"/>
      <c r="J534" s="881"/>
      <c r="K534" s="1325" t="s">
        <v>1348</v>
      </c>
      <c r="L534" s="1325"/>
      <c r="M534" s="882"/>
      <c r="N534" s="1325"/>
      <c r="O534" s="1325"/>
      <c r="P534" s="1325" t="s">
        <v>1217</v>
      </c>
      <c r="Q534" s="1325"/>
      <c r="R534" s="1325"/>
      <c r="S534" s="1325" t="s">
        <v>1219</v>
      </c>
      <c r="T534" s="1325"/>
      <c r="U534" s="882"/>
      <c r="V534" s="11"/>
      <c r="Y534" s="11"/>
      <c r="Z534" s="11"/>
    </row>
    <row r="535" spans="1:37" customFormat="1" ht="23.4" x14ac:dyDescent="0.3">
      <c r="A535" s="822" t="s">
        <v>1464</v>
      </c>
      <c r="B535" s="800"/>
      <c r="C535" s="1325"/>
      <c r="D535" s="1325"/>
      <c r="E535" s="1325"/>
      <c r="F535" s="1325"/>
      <c r="G535" s="1325"/>
      <c r="H535" s="1325"/>
      <c r="I535" s="1325"/>
      <c r="J535" s="881"/>
      <c r="K535" s="1325"/>
      <c r="L535" s="1325"/>
      <c r="M535" s="882"/>
      <c r="N535" s="1325"/>
      <c r="O535" s="1325"/>
      <c r="P535" s="1325"/>
      <c r="Q535" s="1325"/>
      <c r="R535" s="1325"/>
      <c r="S535" s="1325"/>
      <c r="T535" s="1325"/>
      <c r="U535" s="882"/>
      <c r="V535" s="11"/>
      <c r="X535" s="1008" t="s">
        <v>33</v>
      </c>
      <c r="Y535" s="1025"/>
      <c r="Z535" s="1327" t="s">
        <v>29</v>
      </c>
      <c r="AA535" s="1271"/>
      <c r="AB535" s="34"/>
      <c r="AC535" s="1008" t="s">
        <v>22</v>
      </c>
      <c r="AD535" s="1025"/>
      <c r="AE535" s="1025"/>
      <c r="AF535" s="1025"/>
      <c r="AG535" s="1025"/>
      <c r="AH535" s="1328"/>
      <c r="AI535" s="1328"/>
      <c r="AJ535" s="11"/>
      <c r="AK535" s="11"/>
    </row>
    <row r="536" spans="1:37" ht="15" customHeight="1" x14ac:dyDescent="0.3">
      <c r="X536" s="1010" t="str">
        <f>+Veri!$C$50</f>
        <v>KALYON-ÖZGÜN METRO İNŞAATI ADİ ORTAKLIĞI</v>
      </c>
      <c r="Y536" s="1329"/>
      <c r="Z536" s="1330" t="str">
        <f>+Veri!$C$43</f>
        <v>YÜKSEL PROJE A.Ş.</v>
      </c>
      <c r="AA536" s="1010"/>
      <c r="AB536" s="216"/>
      <c r="AC536" s="222"/>
      <c r="AD536" s="1016">
        <f>+Veri!BO563</f>
        <v>0</v>
      </c>
      <c r="AE536" s="1016"/>
      <c r="AF536" s="1016"/>
      <c r="AG536" s="1016"/>
      <c r="AH536" s="1016"/>
      <c r="AI536" s="222"/>
    </row>
    <row r="537" spans="1:37" ht="15" customHeight="1" x14ac:dyDescent="0.3">
      <c r="X537" s="1010"/>
      <c r="Y537" s="1329"/>
      <c r="Z537" s="1330"/>
      <c r="AA537" s="1010"/>
      <c r="AB537" s="216"/>
      <c r="AC537" s="222"/>
      <c r="AD537" s="1016"/>
      <c r="AE537" s="1016"/>
      <c r="AF537" s="1016"/>
      <c r="AG537" s="1016"/>
      <c r="AH537" s="1016"/>
      <c r="AI537" s="222"/>
    </row>
    <row r="538" spans="1:37" ht="15" customHeight="1" x14ac:dyDescent="0.3">
      <c r="X538" s="222"/>
      <c r="Y538" s="223"/>
      <c r="Z538" s="496"/>
      <c r="AA538" s="496"/>
      <c r="AB538" s="497"/>
      <c r="AC538" s="222"/>
      <c r="AD538" s="222"/>
      <c r="AE538" s="222"/>
      <c r="AF538" s="222"/>
      <c r="AG538" s="222"/>
      <c r="AH538" s="222"/>
      <c r="AI538" s="222"/>
      <c r="AJ538" s="222"/>
    </row>
    <row r="539" spans="1:37" ht="15" customHeight="1" x14ac:dyDescent="0.3">
      <c r="X539" s="222"/>
      <c r="Y539" s="223"/>
      <c r="Z539" s="496"/>
      <c r="AA539" s="496"/>
      <c r="AB539" s="497"/>
      <c r="AC539" s="222"/>
      <c r="AD539" s="222"/>
      <c r="AE539" s="222"/>
      <c r="AF539" s="222"/>
      <c r="AG539" s="222"/>
      <c r="AH539" s="222"/>
      <c r="AI539" s="222"/>
      <c r="AJ539" s="222"/>
    </row>
    <row r="540" spans="1:37" ht="15" customHeight="1" x14ac:dyDescent="0.3">
      <c r="X540" s="222"/>
      <c r="Y540" s="223"/>
      <c r="Z540" s="496"/>
      <c r="AA540" s="496"/>
      <c r="AB540" s="497"/>
      <c r="AC540" s="35"/>
      <c r="AD540" s="35"/>
      <c r="AE540" s="982"/>
      <c r="AF540" s="982"/>
      <c r="AG540" s="982"/>
      <c r="AH540" s="296"/>
      <c r="AI540" s="35"/>
      <c r="AJ540" s="222"/>
    </row>
    <row r="541" spans="1:37" ht="15" customHeight="1" x14ac:dyDescent="0.3">
      <c r="X541" s="222"/>
      <c r="Y541" s="223"/>
      <c r="Z541" s="1323"/>
      <c r="AA541" s="982"/>
      <c r="AB541" s="34"/>
      <c r="AC541" s="35" t="str">
        <f>+Veri!$C$29</f>
        <v>Mehmet Zeki ERTÜRK</v>
      </c>
      <c r="AD541" s="35"/>
      <c r="AE541" s="982" t="str">
        <f>+Veri!$C$30</f>
        <v>Atilla ALKAN</v>
      </c>
      <c r="AF541" s="982"/>
      <c r="AG541" s="982"/>
      <c r="AH541" s="35"/>
      <c r="AI541" s="35">
        <f>+Veri!BO579</f>
        <v>0</v>
      </c>
      <c r="AJ541" s="222"/>
    </row>
    <row r="542" spans="1:37" ht="15" customHeight="1" x14ac:dyDescent="0.3">
      <c r="X542" s="222"/>
      <c r="Y542" s="223"/>
      <c r="Z542" s="498"/>
      <c r="AA542" s="295"/>
      <c r="AB542" s="492"/>
      <c r="AC542" s="228" t="s">
        <v>1483</v>
      </c>
      <c r="AD542" s="228"/>
      <c r="AE542" s="974" t="s">
        <v>1484</v>
      </c>
      <c r="AF542" s="974"/>
      <c r="AG542" s="974"/>
      <c r="AH542" s="228"/>
      <c r="AI542" s="228" t="s">
        <v>1472</v>
      </c>
      <c r="AJ542" s="222"/>
    </row>
    <row r="543" spans="1:37" ht="15" customHeight="1" x14ac:dyDescent="0.3">
      <c r="X543" s="222"/>
      <c r="Y543" s="223"/>
      <c r="Z543" s="1323" t="s">
        <v>1409</v>
      </c>
      <c r="AA543" s="1324"/>
      <c r="AB543" s="492"/>
      <c r="AC543" s="228"/>
      <c r="AD543" s="228"/>
      <c r="AE543" s="974"/>
      <c r="AF543" s="974"/>
      <c r="AG543" s="974"/>
      <c r="AH543" s="228"/>
      <c r="AI543" s="228"/>
      <c r="AJ543" s="222"/>
    </row>
    <row r="544" spans="1:37" ht="15" customHeight="1" x14ac:dyDescent="0.3">
      <c r="X544" s="222"/>
      <c r="Y544" s="223"/>
      <c r="Z544" s="1273" t="s">
        <v>1433</v>
      </c>
      <c r="AA544" s="974"/>
      <c r="AB544" s="497"/>
      <c r="AC544" s="35"/>
      <c r="AD544" s="35"/>
      <c r="AE544" s="982"/>
      <c r="AF544" s="982"/>
      <c r="AG544" s="982"/>
      <c r="AH544" s="296"/>
      <c r="AI544" s="35"/>
      <c r="AJ544" s="222"/>
    </row>
    <row r="545" spans="24:36" ht="15" customHeight="1" x14ac:dyDescent="0.3">
      <c r="X545" s="222"/>
      <c r="Y545" s="223"/>
      <c r="Z545" s="1273"/>
      <c r="AA545" s="974"/>
      <c r="AB545" s="497"/>
      <c r="AC545" s="228"/>
      <c r="AD545" s="228"/>
      <c r="AE545" s="974"/>
      <c r="AF545" s="974"/>
      <c r="AG545" s="974"/>
      <c r="AH545" s="499"/>
      <c r="AI545" s="228"/>
      <c r="AJ545" s="222"/>
    </row>
    <row r="546" spans="24:36" ht="15" customHeight="1" x14ac:dyDescent="0.3">
      <c r="X546" s="222"/>
      <c r="Y546" s="223"/>
      <c r="Z546" s="1323"/>
      <c r="AA546" s="982"/>
      <c r="AB546" s="34"/>
      <c r="AC546" s="35" t="str">
        <f>+Veri!$C$33</f>
        <v>Ferhat KARAOĞLAN</v>
      </c>
      <c r="AD546" s="35"/>
      <c r="AE546" s="982" t="str">
        <f>+Veri!$C$34</f>
        <v>Yavuz TAŞ</v>
      </c>
      <c r="AF546" s="982"/>
      <c r="AG546" s="982"/>
      <c r="AH546" s="35"/>
      <c r="AI546" s="35" t="str">
        <f>+Veri!$C$35</f>
        <v>Uğur ERKEN</v>
      </c>
      <c r="AJ546" s="222"/>
    </row>
    <row r="547" spans="24:36" ht="15" customHeight="1" x14ac:dyDescent="0.3">
      <c r="X547" s="222"/>
      <c r="Y547" s="223"/>
      <c r="Z547" s="1323"/>
      <c r="AA547" s="982"/>
      <c r="AB547" s="34"/>
      <c r="AC547" s="228" t="s">
        <v>1485</v>
      </c>
      <c r="AD547" s="228"/>
      <c r="AE547" s="974" t="s">
        <v>1486</v>
      </c>
      <c r="AF547" s="974"/>
      <c r="AG547" s="974"/>
      <c r="AH547" s="228"/>
      <c r="AI547" s="228" t="s">
        <v>1487</v>
      </c>
      <c r="AJ547" s="222"/>
    </row>
    <row r="548" spans="24:36" ht="15" customHeight="1" x14ac:dyDescent="0.3">
      <c r="X548" s="222"/>
      <c r="Y548" s="223"/>
      <c r="Z548" s="1273"/>
      <c r="AA548" s="974"/>
      <c r="AB548" s="216"/>
      <c r="AC548" s="228"/>
      <c r="AD548" s="35"/>
      <c r="AE548" s="974"/>
      <c r="AF548" s="974"/>
      <c r="AG548" s="974"/>
      <c r="AH548" s="296"/>
      <c r="AI548" s="228"/>
      <c r="AJ548" s="222"/>
    </row>
    <row r="549" spans="24:36" ht="15" customHeight="1" x14ac:dyDescent="0.3">
      <c r="X549" s="222"/>
      <c r="Y549" s="223"/>
      <c r="Z549" s="496"/>
      <c r="AA549" s="496"/>
      <c r="AB549" s="497"/>
      <c r="AC549" s="228"/>
      <c r="AD549" s="228"/>
      <c r="AE549" s="974"/>
      <c r="AF549" s="974"/>
      <c r="AG549" s="974"/>
      <c r="AH549" s="499"/>
      <c r="AI549" s="228"/>
      <c r="AJ549" s="222"/>
    </row>
    <row r="550" spans="24:36" ht="15" customHeight="1" x14ac:dyDescent="0.3">
      <c r="X550" s="222"/>
      <c r="Y550" s="223"/>
      <c r="Z550" s="496"/>
      <c r="AA550" s="496"/>
      <c r="AB550" s="497"/>
      <c r="AC550" s="222"/>
      <c r="AD550" s="222"/>
      <c r="AE550" s="222"/>
      <c r="AF550" s="222"/>
      <c r="AG550" s="222"/>
      <c r="AH550" s="222"/>
      <c r="AI550" s="222"/>
      <c r="AJ550" s="222"/>
    </row>
    <row r="551" spans="24:36" ht="15" customHeight="1" x14ac:dyDescent="0.3">
      <c r="X551" s="222"/>
      <c r="Y551" s="223"/>
      <c r="Z551" s="496"/>
      <c r="AA551" s="496"/>
      <c r="AB551" s="497"/>
      <c r="AC551" s="35" t="str">
        <f>+Veri!$C$36</f>
        <v>Özkan SAĞIR</v>
      </c>
      <c r="AD551" s="35"/>
      <c r="AE551" s="982" t="str">
        <f>+Veri!$C$37</f>
        <v>Hasan Tecelli TEMÜZ</v>
      </c>
      <c r="AF551" s="982"/>
      <c r="AG551" s="982"/>
      <c r="AH551" s="35"/>
      <c r="AI551" s="35" t="str">
        <f>+Veri!$C$38</f>
        <v>Yasin YEŞİLDAĞ</v>
      </c>
      <c r="AJ551" s="222"/>
    </row>
    <row r="552" spans="24:36" ht="15" customHeight="1" x14ac:dyDescent="0.3">
      <c r="X552" s="222"/>
      <c r="Y552" s="223"/>
      <c r="Z552" s="1323" t="s">
        <v>63</v>
      </c>
      <c r="AA552" s="1324"/>
      <c r="AB552" s="34"/>
      <c r="AC552" s="228" t="s">
        <v>1484</v>
      </c>
      <c r="AD552" s="228"/>
      <c r="AE552" s="974" t="s">
        <v>1484</v>
      </c>
      <c r="AF552" s="974"/>
      <c r="AG552" s="974"/>
      <c r="AH552" s="228"/>
      <c r="AI552" s="228" t="s">
        <v>1479</v>
      </c>
      <c r="AJ552" s="222"/>
    </row>
    <row r="553" spans="24:36" ht="15" customHeight="1" x14ac:dyDescent="0.3">
      <c r="X553" s="222"/>
      <c r="Y553" s="223"/>
      <c r="Z553" s="1273">
        <f>+Veri!BM585</f>
        <v>0</v>
      </c>
      <c r="AA553" s="974"/>
      <c r="AB553" s="34"/>
      <c r="AC553" s="228"/>
      <c r="AD553" s="228"/>
      <c r="AE553" s="974"/>
      <c r="AF553" s="974"/>
      <c r="AG553" s="974"/>
      <c r="AH553" s="296"/>
      <c r="AI553" s="228"/>
      <c r="AJ553" s="222"/>
    </row>
    <row r="554" spans="24:36" ht="15" customHeight="1" x14ac:dyDescent="0.3">
      <c r="X554" s="222"/>
      <c r="Y554" s="223"/>
      <c r="Z554" s="1273"/>
      <c r="AA554" s="974"/>
      <c r="AB554" s="216"/>
      <c r="AC554" s="222"/>
      <c r="AD554" s="222"/>
      <c r="AE554" s="222"/>
      <c r="AF554" s="222"/>
      <c r="AG554" s="222"/>
      <c r="AH554" s="499"/>
      <c r="AI554" s="222"/>
      <c r="AJ554" s="222"/>
    </row>
    <row r="555" spans="24:36" ht="15" customHeight="1" x14ac:dyDescent="0.3">
      <c r="X555" s="222"/>
      <c r="Y555" s="223"/>
      <c r="Z555" s="496"/>
      <c r="AA555" s="496"/>
      <c r="AB555" s="497"/>
      <c r="AC555" s="222"/>
      <c r="AD555" s="222"/>
      <c r="AE555" s="222"/>
      <c r="AF555" s="222"/>
      <c r="AG555" s="222"/>
      <c r="AH555" s="499"/>
      <c r="AI555" s="222"/>
      <c r="AJ555" s="222"/>
    </row>
    <row r="556" spans="24:36" ht="15" customHeight="1" x14ac:dyDescent="0.3">
      <c r="X556" s="222"/>
      <c r="Y556" s="223"/>
      <c r="Z556" s="496"/>
      <c r="AA556" s="496"/>
      <c r="AB556" s="497"/>
      <c r="AC556" s="35" t="str">
        <f>+Veri!$C$39</f>
        <v>Ahmet Resul KESKİN</v>
      </c>
      <c r="AD556" s="35"/>
      <c r="AE556" s="982" t="str">
        <f>+Veri!$C$41</f>
        <v>Hasan Fehmi KARACA</v>
      </c>
      <c r="AF556" s="982"/>
      <c r="AG556" s="982"/>
      <c r="AH556" s="35"/>
      <c r="AI556" s="35"/>
      <c r="AJ556" s="222"/>
    </row>
    <row r="557" spans="24:36" ht="15" customHeight="1" x14ac:dyDescent="0.3">
      <c r="X557" s="222"/>
      <c r="Y557" s="223"/>
      <c r="Z557" s="496"/>
      <c r="AA557" s="496"/>
      <c r="AB557" s="497"/>
      <c r="AC557" s="228" t="s">
        <v>1472</v>
      </c>
      <c r="AD557" s="228"/>
      <c r="AE557" s="974" t="s">
        <v>1488</v>
      </c>
      <c r="AF557" s="974"/>
      <c r="AG557" s="974"/>
      <c r="AH557" s="228"/>
      <c r="AI557" s="228"/>
      <c r="AJ557" s="222"/>
    </row>
    <row r="558" spans="24:36" ht="15" customHeight="1" x14ac:dyDescent="0.3">
      <c r="X558" s="222"/>
      <c r="Y558" s="223"/>
      <c r="Z558" s="496"/>
      <c r="AA558" s="496"/>
      <c r="AB558" s="497"/>
      <c r="AC558" s="228"/>
      <c r="AD558" s="222"/>
      <c r="AE558" s="974"/>
      <c r="AF558" s="974"/>
      <c r="AG558" s="974"/>
      <c r="AH558" s="222"/>
      <c r="AI558" s="222"/>
      <c r="AJ558" s="222"/>
    </row>
    <row r="559" spans="24:36" ht="15" customHeight="1" x14ac:dyDescent="0.3">
      <c r="X559" s="222"/>
      <c r="Y559" s="223"/>
      <c r="Z559" s="496"/>
      <c r="AA559" s="496"/>
      <c r="AB559" s="497"/>
      <c r="AC559" s="222"/>
      <c r="AD559" s="222"/>
      <c r="AE559" s="222"/>
      <c r="AF559" s="222"/>
      <c r="AG559" s="222"/>
      <c r="AH559" s="222"/>
      <c r="AI559" s="222"/>
      <c r="AJ559" s="222"/>
    </row>
    <row r="560" spans="24:36" ht="15" customHeight="1" x14ac:dyDescent="0.3">
      <c r="X560" s="222"/>
      <c r="Y560" s="223"/>
      <c r="Z560" s="496"/>
      <c r="AA560" s="496"/>
      <c r="AB560" s="497"/>
      <c r="AC560" s="222"/>
      <c r="AD560" s="222"/>
      <c r="AE560" s="222"/>
      <c r="AF560" s="222"/>
      <c r="AG560" s="222"/>
      <c r="AH560" s="222"/>
      <c r="AI560" s="222"/>
      <c r="AJ560" s="222"/>
    </row>
    <row r="561" spans="24:36" ht="15" customHeight="1" x14ac:dyDescent="0.3">
      <c r="X561" s="982" t="str">
        <f>+Veri!$C$51</f>
        <v>Kemal YERLİ</v>
      </c>
      <c r="Y561" s="1324"/>
      <c r="Z561" s="1323">
        <f>+Veri!BO583</f>
        <v>0</v>
      </c>
      <c r="AA561" s="982"/>
      <c r="AB561" s="34"/>
      <c r="AC561" s="982" t="str">
        <f>+Veri!$C$27</f>
        <v>Osman ŞAHİN</v>
      </c>
      <c r="AD561" s="982"/>
      <c r="AE561" s="982"/>
      <c r="AF561" s="982"/>
      <c r="AG561" s="982" t="str">
        <f>+Veri!$C$28</f>
        <v>Hakan ARZU</v>
      </c>
      <c r="AH561" s="982"/>
      <c r="AI561" s="982"/>
      <c r="AJ561" s="982"/>
    </row>
    <row r="562" spans="24:36" ht="15" customHeight="1" x14ac:dyDescent="0.3">
      <c r="X562" s="974" t="s">
        <v>34</v>
      </c>
      <c r="Y562" s="1274"/>
      <c r="Z562" s="1273">
        <f>+Veri!BM583</f>
        <v>0</v>
      </c>
      <c r="AA562" s="974"/>
      <c r="AB562" s="216"/>
      <c r="AC562" s="974" t="s">
        <v>47</v>
      </c>
      <c r="AD562" s="974"/>
      <c r="AE562" s="974"/>
      <c r="AF562" s="974"/>
      <c r="AG562" s="974" t="s">
        <v>49</v>
      </c>
      <c r="AH562" s="974"/>
      <c r="AI562" s="974"/>
      <c r="AJ562" s="974"/>
    </row>
    <row r="563" spans="24:36" ht="15" customHeight="1" x14ac:dyDescent="0.3">
      <c r="X563" s="496"/>
      <c r="Y563" s="496"/>
      <c r="Z563" s="497"/>
      <c r="AA563" s="500"/>
      <c r="AB563" s="496"/>
      <c r="AC563" s="222"/>
      <c r="AD563" s="222"/>
      <c r="AE563" s="222"/>
      <c r="AF563" s="222"/>
      <c r="AG563" s="222"/>
      <c r="AH563" s="222"/>
      <c r="AI563" s="222"/>
      <c r="AJ563" s="222"/>
    </row>
  </sheetData>
  <mergeCells count="574">
    <mergeCell ref="M521:N521"/>
    <mergeCell ref="O522:O523"/>
    <mergeCell ref="Q521:R521"/>
    <mergeCell ref="Q522:R522"/>
    <mergeCell ref="T522:U522"/>
    <mergeCell ref="T523:U523"/>
    <mergeCell ref="P517:U517"/>
    <mergeCell ref="P518:U519"/>
    <mergeCell ref="K517:O517"/>
    <mergeCell ref="K518:O518"/>
    <mergeCell ref="Q523:R523"/>
    <mergeCell ref="T521:U521"/>
    <mergeCell ref="E17:G17"/>
    <mergeCell ref="E40:G40"/>
    <mergeCell ref="E41:G41"/>
    <mergeCell ref="E42:G42"/>
    <mergeCell ref="E35:G35"/>
    <mergeCell ref="E36:G36"/>
    <mergeCell ref="E55:G55"/>
    <mergeCell ref="E56:G56"/>
    <mergeCell ref="E57:G57"/>
    <mergeCell ref="E53:G53"/>
    <mergeCell ref="E54:G54"/>
    <mergeCell ref="E43:G43"/>
    <mergeCell ref="E44:G44"/>
    <mergeCell ref="E45:G45"/>
    <mergeCell ref="E46:G46"/>
    <mergeCell ref="E47:G47"/>
    <mergeCell ref="E48:G48"/>
    <mergeCell ref="E37:G37"/>
    <mergeCell ref="E38:G38"/>
    <mergeCell ref="E39:G39"/>
    <mergeCell ref="E20:G20"/>
    <mergeCell ref="E21:G21"/>
    <mergeCell ref="E22:G22"/>
    <mergeCell ref="E23:G23"/>
    <mergeCell ref="C2:U2"/>
    <mergeCell ref="C3:U3"/>
    <mergeCell ref="C4:U4"/>
    <mergeCell ref="C6:U6"/>
    <mergeCell ref="C7:U7"/>
    <mergeCell ref="P11:U11"/>
    <mergeCell ref="P12:R12"/>
    <mergeCell ref="S12:U12"/>
    <mergeCell ref="E13:G13"/>
    <mergeCell ref="J11:O11"/>
    <mergeCell ref="J12:L12"/>
    <mergeCell ref="M12:O12"/>
    <mergeCell ref="E18:G18"/>
    <mergeCell ref="E19:G19"/>
    <mergeCell ref="E59:G59"/>
    <mergeCell ref="E60:G60"/>
    <mergeCell ref="E49:G49"/>
    <mergeCell ref="E50:G50"/>
    <mergeCell ref="E51:G51"/>
    <mergeCell ref="E52:G52"/>
    <mergeCell ref="E58:G58"/>
    <mergeCell ref="E30:G30"/>
    <mergeCell ref="E31:G31"/>
    <mergeCell ref="E34:G34"/>
    <mergeCell ref="E32:G32"/>
    <mergeCell ref="E24:G24"/>
    <mergeCell ref="E25:G25"/>
    <mergeCell ref="E26:G26"/>
    <mergeCell ref="E27:G27"/>
    <mergeCell ref="E28:G28"/>
    <mergeCell ref="E29:G29"/>
    <mergeCell ref="E33:G33"/>
    <mergeCell ref="E68:G68"/>
    <mergeCell ref="E69:G69"/>
    <mergeCell ref="E70:G70"/>
    <mergeCell ref="E71:G71"/>
    <mergeCell ref="E72:G72"/>
    <mergeCell ref="E73:G73"/>
    <mergeCell ref="E61:G61"/>
    <mergeCell ref="E62:G62"/>
    <mergeCell ref="E63:G63"/>
    <mergeCell ref="E64:G64"/>
    <mergeCell ref="E65:G65"/>
    <mergeCell ref="E67:G67"/>
    <mergeCell ref="E80:G80"/>
    <mergeCell ref="E81:G81"/>
    <mergeCell ref="E82:G82"/>
    <mergeCell ref="E83:G83"/>
    <mergeCell ref="E84:G84"/>
    <mergeCell ref="E85:G85"/>
    <mergeCell ref="E74:G74"/>
    <mergeCell ref="E75:G75"/>
    <mergeCell ref="E76:G76"/>
    <mergeCell ref="E77:G77"/>
    <mergeCell ref="E78:G78"/>
    <mergeCell ref="E79:G79"/>
    <mergeCell ref="E92:G92"/>
    <mergeCell ref="E93:G93"/>
    <mergeCell ref="E94:G94"/>
    <mergeCell ref="E95:G95"/>
    <mergeCell ref="E96:G96"/>
    <mergeCell ref="E97:G97"/>
    <mergeCell ref="E86:G86"/>
    <mergeCell ref="E87:G87"/>
    <mergeCell ref="E88:G88"/>
    <mergeCell ref="E89:G89"/>
    <mergeCell ref="E90:G90"/>
    <mergeCell ref="E91:G91"/>
    <mergeCell ref="E106:G106"/>
    <mergeCell ref="E107:G107"/>
    <mergeCell ref="E108:G108"/>
    <mergeCell ref="E109:G109"/>
    <mergeCell ref="E110:G110"/>
    <mergeCell ref="E111:G111"/>
    <mergeCell ref="E99:G99"/>
    <mergeCell ref="E100:G100"/>
    <mergeCell ref="E101:G101"/>
    <mergeCell ref="E103:G103"/>
    <mergeCell ref="E104:G104"/>
    <mergeCell ref="E105:G105"/>
    <mergeCell ref="E118:G118"/>
    <mergeCell ref="E119:G119"/>
    <mergeCell ref="E120:G120"/>
    <mergeCell ref="E121:G121"/>
    <mergeCell ref="E122:G122"/>
    <mergeCell ref="E123:G123"/>
    <mergeCell ref="E112:G112"/>
    <mergeCell ref="E113:G113"/>
    <mergeCell ref="E114:G114"/>
    <mergeCell ref="E115:G115"/>
    <mergeCell ref="E116:G116"/>
    <mergeCell ref="E117:G117"/>
    <mergeCell ref="E130:G130"/>
    <mergeCell ref="E131:G131"/>
    <mergeCell ref="E132:G132"/>
    <mergeCell ref="E133:G133"/>
    <mergeCell ref="E134:G134"/>
    <mergeCell ref="E135:G135"/>
    <mergeCell ref="E124:G124"/>
    <mergeCell ref="E125:G125"/>
    <mergeCell ref="E126:G126"/>
    <mergeCell ref="E127:G127"/>
    <mergeCell ref="E128:G128"/>
    <mergeCell ref="E129:G129"/>
    <mergeCell ref="E142:G142"/>
    <mergeCell ref="E143:G143"/>
    <mergeCell ref="E144:G144"/>
    <mergeCell ref="E145:G145"/>
    <mergeCell ref="E146:G146"/>
    <mergeCell ref="E147:G147"/>
    <mergeCell ref="E136:G136"/>
    <mergeCell ref="E137:G137"/>
    <mergeCell ref="E138:G138"/>
    <mergeCell ref="E139:G139"/>
    <mergeCell ref="E140:G140"/>
    <mergeCell ref="E141:G141"/>
    <mergeCell ref="E154:G154"/>
    <mergeCell ref="E155:G155"/>
    <mergeCell ref="E156:G156"/>
    <mergeCell ref="E157:G157"/>
    <mergeCell ref="E158:G158"/>
    <mergeCell ref="E159:G159"/>
    <mergeCell ref="E148:G148"/>
    <mergeCell ref="E149:G149"/>
    <mergeCell ref="E150:G150"/>
    <mergeCell ref="E151:G151"/>
    <mergeCell ref="E152:G152"/>
    <mergeCell ref="E153:G153"/>
    <mergeCell ref="E166:G166"/>
    <mergeCell ref="E167:G167"/>
    <mergeCell ref="E168:G168"/>
    <mergeCell ref="E169:G169"/>
    <mergeCell ref="E170:G170"/>
    <mergeCell ref="E171:G171"/>
    <mergeCell ref="E160:G160"/>
    <mergeCell ref="E161:G161"/>
    <mergeCell ref="E162:G162"/>
    <mergeCell ref="E163:G163"/>
    <mergeCell ref="E164:G164"/>
    <mergeCell ref="E165:G165"/>
    <mergeCell ref="E178:G178"/>
    <mergeCell ref="E179:G179"/>
    <mergeCell ref="E180:G180"/>
    <mergeCell ref="E181:G181"/>
    <mergeCell ref="E182:G182"/>
    <mergeCell ref="E183:G183"/>
    <mergeCell ref="E172:G172"/>
    <mergeCell ref="E173:G173"/>
    <mergeCell ref="E174:G174"/>
    <mergeCell ref="E175:G175"/>
    <mergeCell ref="E176:G176"/>
    <mergeCell ref="E177:G177"/>
    <mergeCell ref="E190:G190"/>
    <mergeCell ref="E191:G191"/>
    <mergeCell ref="E192:G192"/>
    <mergeCell ref="E193:G193"/>
    <mergeCell ref="E194:G194"/>
    <mergeCell ref="E195:G195"/>
    <mergeCell ref="E184:G184"/>
    <mergeCell ref="E185:G185"/>
    <mergeCell ref="E186:G186"/>
    <mergeCell ref="E187:G187"/>
    <mergeCell ref="E188:G188"/>
    <mergeCell ref="E189:G189"/>
    <mergeCell ref="E202:G202"/>
    <mergeCell ref="E203:G203"/>
    <mergeCell ref="E204:G204"/>
    <mergeCell ref="E206:G206"/>
    <mergeCell ref="E207:G207"/>
    <mergeCell ref="E208:G208"/>
    <mergeCell ref="E196:G196"/>
    <mergeCell ref="E197:G197"/>
    <mergeCell ref="E198:G198"/>
    <mergeCell ref="E199:G199"/>
    <mergeCell ref="E200:G200"/>
    <mergeCell ref="E201:G201"/>
    <mergeCell ref="E215:G215"/>
    <mergeCell ref="E216:G216"/>
    <mergeCell ref="E217:G217"/>
    <mergeCell ref="E218:G218"/>
    <mergeCell ref="E219:G219"/>
    <mergeCell ref="E220:G220"/>
    <mergeCell ref="E209:G209"/>
    <mergeCell ref="E210:G210"/>
    <mergeCell ref="E211:G211"/>
    <mergeCell ref="E212:G212"/>
    <mergeCell ref="E213:G213"/>
    <mergeCell ref="E214:G214"/>
    <mergeCell ref="E227:G227"/>
    <mergeCell ref="E228:G228"/>
    <mergeCell ref="E229:G229"/>
    <mergeCell ref="E230:G230"/>
    <mergeCell ref="E231:G231"/>
    <mergeCell ref="E232:G232"/>
    <mergeCell ref="E221:G221"/>
    <mergeCell ref="E222:G222"/>
    <mergeCell ref="E223:G223"/>
    <mergeCell ref="E224:G224"/>
    <mergeCell ref="E225:G225"/>
    <mergeCell ref="E226:G226"/>
    <mergeCell ref="E239:G239"/>
    <mergeCell ref="E240:G240"/>
    <mergeCell ref="E241:G241"/>
    <mergeCell ref="E242:G242"/>
    <mergeCell ref="E243:G243"/>
    <mergeCell ref="E244:G244"/>
    <mergeCell ref="E233:G233"/>
    <mergeCell ref="E234:G234"/>
    <mergeCell ref="E235:G235"/>
    <mergeCell ref="E236:G236"/>
    <mergeCell ref="E237:G237"/>
    <mergeCell ref="E238:G238"/>
    <mergeCell ref="E251:G251"/>
    <mergeCell ref="E252:G252"/>
    <mergeCell ref="E253:G253"/>
    <mergeCell ref="E254:G254"/>
    <mergeCell ref="E255:G255"/>
    <mergeCell ref="E256:G256"/>
    <mergeCell ref="E245:G245"/>
    <mergeCell ref="E246:G246"/>
    <mergeCell ref="E247:G247"/>
    <mergeCell ref="E248:G248"/>
    <mergeCell ref="E249:G249"/>
    <mergeCell ref="E250:G250"/>
    <mergeCell ref="E263:G263"/>
    <mergeCell ref="E264:G264"/>
    <mergeCell ref="E265:G265"/>
    <mergeCell ref="E266:G266"/>
    <mergeCell ref="E267:G267"/>
    <mergeCell ref="E268:G268"/>
    <mergeCell ref="E257:G257"/>
    <mergeCell ref="E258:G258"/>
    <mergeCell ref="E259:G259"/>
    <mergeCell ref="E260:G260"/>
    <mergeCell ref="E261:G261"/>
    <mergeCell ref="E262:G262"/>
    <mergeCell ref="E275:G275"/>
    <mergeCell ref="E276:G276"/>
    <mergeCell ref="E277:G277"/>
    <mergeCell ref="E278:G278"/>
    <mergeCell ref="E279:G279"/>
    <mergeCell ref="E280:G280"/>
    <mergeCell ref="E269:G269"/>
    <mergeCell ref="E270:G270"/>
    <mergeCell ref="E271:G271"/>
    <mergeCell ref="E272:G272"/>
    <mergeCell ref="E273:G273"/>
    <mergeCell ref="E274:G274"/>
    <mergeCell ref="E288:G288"/>
    <mergeCell ref="E289:G289"/>
    <mergeCell ref="E290:G290"/>
    <mergeCell ref="E291:G291"/>
    <mergeCell ref="E293:G293"/>
    <mergeCell ref="E294:G294"/>
    <mergeCell ref="E281:G281"/>
    <mergeCell ref="E283:G283"/>
    <mergeCell ref="E284:G284"/>
    <mergeCell ref="E285:G285"/>
    <mergeCell ref="E286:G286"/>
    <mergeCell ref="E287:G287"/>
    <mergeCell ref="E301:G301"/>
    <mergeCell ref="E302:G302"/>
    <mergeCell ref="E303:G303"/>
    <mergeCell ref="E304:G304"/>
    <mergeCell ref="E305:G305"/>
    <mergeCell ref="E306:G306"/>
    <mergeCell ref="E295:G295"/>
    <mergeCell ref="E296:G296"/>
    <mergeCell ref="E297:G297"/>
    <mergeCell ref="E298:G298"/>
    <mergeCell ref="E299:G299"/>
    <mergeCell ref="E300:G300"/>
    <mergeCell ref="E313:G313"/>
    <mergeCell ref="E314:G314"/>
    <mergeCell ref="E315:G315"/>
    <mergeCell ref="E316:G316"/>
    <mergeCell ref="E317:G317"/>
    <mergeCell ref="E318:G318"/>
    <mergeCell ref="E307:G307"/>
    <mergeCell ref="E308:G308"/>
    <mergeCell ref="E309:G309"/>
    <mergeCell ref="E310:G310"/>
    <mergeCell ref="E311:G311"/>
    <mergeCell ref="E312:G312"/>
    <mergeCell ref="E325:G325"/>
    <mergeCell ref="E326:G326"/>
    <mergeCell ref="E327:G327"/>
    <mergeCell ref="E328:G328"/>
    <mergeCell ref="E329:G329"/>
    <mergeCell ref="E330:G330"/>
    <mergeCell ref="E319:G319"/>
    <mergeCell ref="E320:G320"/>
    <mergeCell ref="E321:G321"/>
    <mergeCell ref="E322:G322"/>
    <mergeCell ref="E323:G323"/>
    <mergeCell ref="E324:G324"/>
    <mergeCell ref="E337:G337"/>
    <mergeCell ref="E338:G338"/>
    <mergeCell ref="E339:G339"/>
    <mergeCell ref="E340:G340"/>
    <mergeCell ref="E341:G341"/>
    <mergeCell ref="E342:G342"/>
    <mergeCell ref="E331:G331"/>
    <mergeCell ref="E332:G332"/>
    <mergeCell ref="E333:G333"/>
    <mergeCell ref="E334:G334"/>
    <mergeCell ref="E335:G335"/>
    <mergeCell ref="E336:G336"/>
    <mergeCell ref="E349:G349"/>
    <mergeCell ref="E350:G350"/>
    <mergeCell ref="E351:G351"/>
    <mergeCell ref="E352:G352"/>
    <mergeCell ref="E353:G353"/>
    <mergeCell ref="E354:G354"/>
    <mergeCell ref="E343:G343"/>
    <mergeCell ref="E344:G344"/>
    <mergeCell ref="E345:G345"/>
    <mergeCell ref="E346:G346"/>
    <mergeCell ref="E347:G347"/>
    <mergeCell ref="E348:G348"/>
    <mergeCell ref="E361:G361"/>
    <mergeCell ref="E362:G362"/>
    <mergeCell ref="E363:G363"/>
    <mergeCell ref="E364:G364"/>
    <mergeCell ref="E365:G365"/>
    <mergeCell ref="E366:G366"/>
    <mergeCell ref="E355:G355"/>
    <mergeCell ref="E356:G356"/>
    <mergeCell ref="E357:G357"/>
    <mergeCell ref="E358:G358"/>
    <mergeCell ref="E359:G359"/>
    <mergeCell ref="E360:G360"/>
    <mergeCell ref="E374:G374"/>
    <mergeCell ref="E375:G375"/>
    <mergeCell ref="E376:G376"/>
    <mergeCell ref="E377:G377"/>
    <mergeCell ref="E378:G378"/>
    <mergeCell ref="E379:G379"/>
    <mergeCell ref="E367:G367"/>
    <mergeCell ref="E368:G368"/>
    <mergeCell ref="E369:G369"/>
    <mergeCell ref="E370:G370"/>
    <mergeCell ref="E371:G371"/>
    <mergeCell ref="E372:G372"/>
    <mergeCell ref="E386:G386"/>
    <mergeCell ref="E387:G387"/>
    <mergeCell ref="E388:G388"/>
    <mergeCell ref="E389:G389"/>
    <mergeCell ref="E390:G390"/>
    <mergeCell ref="E391:G391"/>
    <mergeCell ref="E380:G380"/>
    <mergeCell ref="E381:G381"/>
    <mergeCell ref="E382:G382"/>
    <mergeCell ref="E383:G383"/>
    <mergeCell ref="E384:G384"/>
    <mergeCell ref="E385:G385"/>
    <mergeCell ref="E399:G399"/>
    <mergeCell ref="E400:G400"/>
    <mergeCell ref="E401:G401"/>
    <mergeCell ref="E402:G402"/>
    <mergeCell ref="E403:G403"/>
    <mergeCell ref="E404:G404"/>
    <mergeCell ref="E393:G393"/>
    <mergeCell ref="E394:G394"/>
    <mergeCell ref="E395:G395"/>
    <mergeCell ref="E396:G396"/>
    <mergeCell ref="E397:G397"/>
    <mergeCell ref="E398:G398"/>
    <mergeCell ref="E411:G411"/>
    <mergeCell ref="E412:G412"/>
    <mergeCell ref="E413:G413"/>
    <mergeCell ref="E414:G414"/>
    <mergeCell ref="E415:G415"/>
    <mergeCell ref="E416:G416"/>
    <mergeCell ref="E405:G405"/>
    <mergeCell ref="E406:G406"/>
    <mergeCell ref="E407:G407"/>
    <mergeCell ref="E408:G408"/>
    <mergeCell ref="E409:G409"/>
    <mergeCell ref="E410:G410"/>
    <mergeCell ref="E423:G423"/>
    <mergeCell ref="E424:G424"/>
    <mergeCell ref="E425:G425"/>
    <mergeCell ref="E426:G426"/>
    <mergeCell ref="E427:G427"/>
    <mergeCell ref="E428:G428"/>
    <mergeCell ref="E417:G417"/>
    <mergeCell ref="E418:G418"/>
    <mergeCell ref="E419:G419"/>
    <mergeCell ref="E420:G420"/>
    <mergeCell ref="E421:G421"/>
    <mergeCell ref="E422:G422"/>
    <mergeCell ref="E436:G436"/>
    <mergeCell ref="E437:G437"/>
    <mergeCell ref="E438:G438"/>
    <mergeCell ref="E439:G439"/>
    <mergeCell ref="E440:G440"/>
    <mergeCell ref="E441:G441"/>
    <mergeCell ref="E429:G429"/>
    <mergeCell ref="E430:G430"/>
    <mergeCell ref="E431:G431"/>
    <mergeCell ref="E433:G433"/>
    <mergeCell ref="E434:G434"/>
    <mergeCell ref="E435:G435"/>
    <mergeCell ref="E449:G449"/>
    <mergeCell ref="E450:G450"/>
    <mergeCell ref="E451:G451"/>
    <mergeCell ref="E453:G453"/>
    <mergeCell ref="E454:G454"/>
    <mergeCell ref="E455:G455"/>
    <mergeCell ref="E443:G443"/>
    <mergeCell ref="E444:G444"/>
    <mergeCell ref="E445:G445"/>
    <mergeCell ref="E446:G446"/>
    <mergeCell ref="E447:G447"/>
    <mergeCell ref="E448:G448"/>
    <mergeCell ref="E463:G463"/>
    <mergeCell ref="E464:G464"/>
    <mergeCell ref="E465:G465"/>
    <mergeCell ref="E466:G466"/>
    <mergeCell ref="E467:G467"/>
    <mergeCell ref="E468:G468"/>
    <mergeCell ref="E456:G456"/>
    <mergeCell ref="E458:G458"/>
    <mergeCell ref="E459:G459"/>
    <mergeCell ref="E460:G460"/>
    <mergeCell ref="E461:G461"/>
    <mergeCell ref="E462:G462"/>
    <mergeCell ref="E475:G475"/>
    <mergeCell ref="E476:G476"/>
    <mergeCell ref="E477:G477"/>
    <mergeCell ref="E478:G478"/>
    <mergeCell ref="E479:G479"/>
    <mergeCell ref="E480:G480"/>
    <mergeCell ref="E469:G469"/>
    <mergeCell ref="E470:G470"/>
    <mergeCell ref="E471:G471"/>
    <mergeCell ref="E472:G472"/>
    <mergeCell ref="E473:G473"/>
    <mergeCell ref="E474:G474"/>
    <mergeCell ref="E487:G487"/>
    <mergeCell ref="E488:G488"/>
    <mergeCell ref="E489:G489"/>
    <mergeCell ref="E490:G490"/>
    <mergeCell ref="E491:G491"/>
    <mergeCell ref="E492:G492"/>
    <mergeCell ref="E481:G481"/>
    <mergeCell ref="E482:G482"/>
    <mergeCell ref="E483:G483"/>
    <mergeCell ref="E484:G484"/>
    <mergeCell ref="E485:G485"/>
    <mergeCell ref="E486:G486"/>
    <mergeCell ref="E499:G499"/>
    <mergeCell ref="E500:G500"/>
    <mergeCell ref="E501:G501"/>
    <mergeCell ref="E502:G502"/>
    <mergeCell ref="E503:G503"/>
    <mergeCell ref="E504:G504"/>
    <mergeCell ref="E493:G493"/>
    <mergeCell ref="E494:G494"/>
    <mergeCell ref="E495:G495"/>
    <mergeCell ref="E496:G496"/>
    <mergeCell ref="E497:G497"/>
    <mergeCell ref="E498:G498"/>
    <mergeCell ref="E513:G513"/>
    <mergeCell ref="E505:G505"/>
    <mergeCell ref="E506:G506"/>
    <mergeCell ref="E507:G507"/>
    <mergeCell ref="E508:G508"/>
    <mergeCell ref="E509:G509"/>
    <mergeCell ref="E511:G511"/>
    <mergeCell ref="C518:I518"/>
    <mergeCell ref="C517:I517"/>
    <mergeCell ref="C534:I535"/>
    <mergeCell ref="N534:O535"/>
    <mergeCell ref="Q532:R532"/>
    <mergeCell ref="K527:L529"/>
    <mergeCell ref="N527:O529"/>
    <mergeCell ref="N530:O530"/>
    <mergeCell ref="N531:O531"/>
    <mergeCell ref="I524:K526"/>
    <mergeCell ref="L524:N526"/>
    <mergeCell ref="Q529:R529"/>
    <mergeCell ref="Q530:R530"/>
    <mergeCell ref="Q525:R525"/>
    <mergeCell ref="Q526:R526"/>
    <mergeCell ref="K534:L535"/>
    <mergeCell ref="T531:U531"/>
    <mergeCell ref="T532:U532"/>
    <mergeCell ref="Q531:R531"/>
    <mergeCell ref="Q527:R527"/>
    <mergeCell ref="Q528:R528"/>
    <mergeCell ref="AE540:AG540"/>
    <mergeCell ref="Z541:AA541"/>
    <mergeCell ref="AE541:AG541"/>
    <mergeCell ref="S534:T535"/>
    <mergeCell ref="X535:Y535"/>
    <mergeCell ref="Z535:AA535"/>
    <mergeCell ref="AC535:AI535"/>
    <mergeCell ref="X536:Y537"/>
    <mergeCell ref="Z536:AA537"/>
    <mergeCell ref="AD536:AH537"/>
    <mergeCell ref="P534:R535"/>
    <mergeCell ref="T525:U525"/>
    <mergeCell ref="T526:U526"/>
    <mergeCell ref="T527:U527"/>
    <mergeCell ref="T530:U530"/>
    <mergeCell ref="X562:Y562"/>
    <mergeCell ref="Z562:AA562"/>
    <mergeCell ref="AC562:AF562"/>
    <mergeCell ref="AG562:AJ562"/>
    <mergeCell ref="Z547:AA547"/>
    <mergeCell ref="AE547:AG547"/>
    <mergeCell ref="Z548:AA548"/>
    <mergeCell ref="AE548:AG548"/>
    <mergeCell ref="AE549:AG549"/>
    <mergeCell ref="AE551:AG551"/>
    <mergeCell ref="Z552:AA552"/>
    <mergeCell ref="AE552:AG552"/>
    <mergeCell ref="Z553:AA553"/>
    <mergeCell ref="AE553:AG553"/>
    <mergeCell ref="Z554:AA554"/>
    <mergeCell ref="AE556:AG556"/>
    <mergeCell ref="AE557:AG557"/>
    <mergeCell ref="AE558:AG558"/>
    <mergeCell ref="X561:Y561"/>
    <mergeCell ref="Z561:AA561"/>
    <mergeCell ref="AC561:AF561"/>
    <mergeCell ref="AG561:AJ561"/>
    <mergeCell ref="AE542:AG542"/>
    <mergeCell ref="Z543:AA543"/>
    <mergeCell ref="AE543:AG543"/>
    <mergeCell ref="Z544:AA544"/>
    <mergeCell ref="AE544:AG544"/>
    <mergeCell ref="Z545:AA545"/>
    <mergeCell ref="AE545:AG545"/>
    <mergeCell ref="Z546:AA546"/>
    <mergeCell ref="AE546:AG546"/>
  </mergeCells>
  <printOptions horizontalCentered="1" verticalCentered="1"/>
  <pageMargins left="0.43307086614173229" right="0.23622047244094491" top="0.74803149606299213" bottom="0.74803149606299213" header="0.31496062992125984" footer="0.31496062992125984"/>
  <pageSetup paperSize="9" scale="26"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3584-4FAD-4DB7-B932-3276AB62821D}">
  <sheetPr codeName="Sayfa19">
    <pageSetUpPr fitToPage="1"/>
  </sheetPr>
  <dimension ref="A1:AB1172"/>
  <sheetViews>
    <sheetView view="pageBreakPreview" topLeftCell="G112" zoomScale="70" zoomScaleNormal="100" zoomScaleSheetLayoutView="70" workbookViewId="0">
      <selection activeCell="BF11" sqref="BF11:BK11"/>
    </sheetView>
  </sheetViews>
  <sheetFormatPr defaultRowHeight="15" customHeight="1" x14ac:dyDescent="0.3"/>
  <cols>
    <col min="1" max="2" width="8.88671875" style="11"/>
    <col min="3" max="3" width="10.6640625" style="28" customWidth="1"/>
    <col min="4" max="4" width="8.88671875" style="11"/>
    <col min="5" max="7" width="25.77734375" style="11" customWidth="1"/>
    <col min="8" max="8" width="10.109375" style="11" bestFit="1" customWidth="1"/>
    <col min="9" max="9" width="20.77734375" style="24" customWidth="1"/>
    <col min="10" max="10" width="1.77734375" style="11" customWidth="1"/>
    <col min="11" max="11" width="16.88671875" style="11" customWidth="1"/>
    <col min="12" max="12" width="19.44140625" style="26" customWidth="1"/>
    <col min="13" max="13" width="1.77734375" style="11" customWidth="1"/>
    <col min="14" max="14" width="20.77734375" style="676" customWidth="1"/>
    <col min="15" max="16" width="20.77734375" style="516" customWidth="1"/>
    <col min="17" max="17" width="1.77734375" style="609" customWidth="1"/>
    <col min="18" max="20" width="20.77734375" style="11" customWidth="1"/>
    <col min="21" max="21" width="15.44140625" style="11" bestFit="1" customWidth="1"/>
    <col min="23" max="16384" width="8.88671875" style="11"/>
  </cols>
  <sheetData>
    <row r="1" spans="1:24" ht="15" customHeight="1" x14ac:dyDescent="0.3">
      <c r="I1" s="11"/>
      <c r="L1" s="11"/>
      <c r="N1" s="516"/>
      <c r="Q1" s="11"/>
    </row>
    <row r="2" spans="1:24" s="222" customFormat="1" ht="15" customHeight="1" x14ac:dyDescent="0.3">
      <c r="C2" s="982" t="s">
        <v>118</v>
      </c>
      <c r="D2" s="982"/>
      <c r="E2" s="982"/>
      <c r="F2" s="982"/>
      <c r="G2" s="982"/>
      <c r="H2" s="982"/>
      <c r="I2" s="982"/>
      <c r="J2" s="982"/>
      <c r="K2" s="982"/>
      <c r="L2" s="982"/>
      <c r="M2" s="982"/>
      <c r="N2" s="982"/>
      <c r="O2" s="982"/>
      <c r="P2" s="982"/>
      <c r="Q2" s="982"/>
      <c r="R2" s="982"/>
      <c r="S2" s="982"/>
      <c r="T2" s="982"/>
      <c r="V2"/>
    </row>
    <row r="3" spans="1:24" s="222" customFormat="1" ht="15" customHeight="1" x14ac:dyDescent="0.3">
      <c r="C3" s="982" t="s">
        <v>1161</v>
      </c>
      <c r="D3" s="982"/>
      <c r="E3" s="982"/>
      <c r="F3" s="982"/>
      <c r="G3" s="982"/>
      <c r="H3" s="982"/>
      <c r="I3" s="982"/>
      <c r="J3" s="982"/>
      <c r="K3" s="982"/>
      <c r="L3" s="982"/>
      <c r="M3" s="982"/>
      <c r="N3" s="982"/>
      <c r="O3" s="982"/>
      <c r="P3" s="982"/>
      <c r="Q3" s="982"/>
      <c r="R3" s="982"/>
      <c r="S3" s="982"/>
      <c r="T3" s="982"/>
      <c r="V3"/>
    </row>
    <row r="4" spans="1:24" s="222" customFormat="1" ht="15" customHeight="1" x14ac:dyDescent="0.3">
      <c r="C4" s="983" t="s">
        <v>1434</v>
      </c>
      <c r="D4" s="983"/>
      <c r="E4" s="983"/>
      <c r="F4" s="983"/>
      <c r="G4" s="983"/>
      <c r="H4" s="983"/>
      <c r="I4" s="983"/>
      <c r="J4" s="983"/>
      <c r="K4" s="983"/>
      <c r="L4" s="983"/>
      <c r="M4" s="983"/>
      <c r="N4" s="983"/>
      <c r="O4" s="983"/>
      <c r="P4" s="983"/>
      <c r="Q4" s="983"/>
      <c r="R4" s="983"/>
      <c r="S4" s="983"/>
      <c r="T4" s="983"/>
      <c r="V4"/>
    </row>
    <row r="5" spans="1:24" s="222" customFormat="1" ht="15" customHeight="1" x14ac:dyDescent="0.3">
      <c r="C5" s="983" t="s">
        <v>1435</v>
      </c>
      <c r="D5" s="983"/>
      <c r="E5" s="983"/>
      <c r="F5" s="983"/>
      <c r="G5" s="983"/>
      <c r="H5" s="983"/>
      <c r="I5" s="983"/>
      <c r="J5" s="983"/>
      <c r="K5" s="983"/>
      <c r="L5" s="983"/>
      <c r="M5" s="983"/>
      <c r="N5" s="983"/>
      <c r="O5" s="983"/>
      <c r="P5" s="983"/>
      <c r="Q5" s="983"/>
      <c r="R5" s="983"/>
      <c r="S5" s="983"/>
      <c r="T5" s="983"/>
      <c r="V5"/>
    </row>
    <row r="6" spans="1:24" s="222" customFormat="1" ht="15" customHeight="1" x14ac:dyDescent="0.3">
      <c r="C6" s="983"/>
      <c r="D6" s="983"/>
      <c r="E6" s="983"/>
      <c r="F6" s="983"/>
      <c r="G6" s="983"/>
      <c r="H6" s="983"/>
      <c r="I6" s="983"/>
      <c r="J6" s="983"/>
      <c r="K6" s="983"/>
      <c r="L6" s="983"/>
      <c r="M6" s="983"/>
      <c r="N6" s="983"/>
      <c r="O6" s="983"/>
      <c r="P6" s="983"/>
      <c r="Q6" s="983"/>
      <c r="R6" s="983"/>
      <c r="S6" s="983"/>
      <c r="T6" s="983"/>
      <c r="V6"/>
    </row>
    <row r="7" spans="1:24" s="222" customFormat="1" ht="15" customHeight="1" thickBot="1" x14ac:dyDescent="0.35">
      <c r="C7" s="984" t="s">
        <v>37</v>
      </c>
      <c r="D7" s="984"/>
      <c r="E7" s="984"/>
      <c r="F7" s="984"/>
      <c r="G7" s="984"/>
      <c r="H7" s="984"/>
      <c r="I7" s="984"/>
      <c r="J7" s="984"/>
      <c r="K7" s="984"/>
      <c r="L7" s="984"/>
      <c r="M7" s="984"/>
      <c r="N7" s="984"/>
      <c r="O7" s="984"/>
      <c r="P7" s="984"/>
      <c r="Q7" s="984"/>
      <c r="R7" s="984"/>
      <c r="S7" s="984"/>
      <c r="T7" s="984"/>
      <c r="V7"/>
    </row>
    <row r="8" spans="1:24" ht="15" customHeight="1" x14ac:dyDescent="0.3">
      <c r="C8" s="25"/>
      <c r="I8" s="11"/>
      <c r="L8" s="11"/>
      <c r="N8" s="11"/>
      <c r="O8" s="11"/>
      <c r="P8" s="11"/>
      <c r="Q8" s="11"/>
      <c r="T8" s="32"/>
    </row>
    <row r="9" spans="1:24" ht="15" customHeight="1" x14ac:dyDescent="0.3">
      <c r="C9" s="804" t="str">
        <f>"Hakediş No: "&amp;Veri!C21&amp;"   Hakediş Tarihi:  "&amp;TEXT(Veri!C22,"gg.aa.yyyy")</f>
        <v>Hakediş No: 6   Hakediş Tarihi:  30.04.2026</v>
      </c>
      <c r="D9" s="804"/>
      <c r="E9" s="805"/>
      <c r="F9" s="598"/>
      <c r="G9" s="111"/>
      <c r="H9" s="104"/>
      <c r="I9" s="29"/>
      <c r="J9" s="29"/>
      <c r="K9" s="985" t="s">
        <v>1508</v>
      </c>
      <c r="L9" s="987"/>
      <c r="M9" s="432"/>
      <c r="N9" s="985" t="s">
        <v>1222</v>
      </c>
      <c r="O9" s="986"/>
      <c r="P9" s="987"/>
      <c r="Q9" s="432"/>
      <c r="R9" s="985" t="s">
        <v>1452</v>
      </c>
      <c r="S9" s="986"/>
      <c r="T9" s="987"/>
    </row>
    <row r="10" spans="1:24" ht="15" customHeight="1" x14ac:dyDescent="0.3">
      <c r="C10" s="413"/>
      <c r="D10" s="413"/>
      <c r="E10" s="111"/>
      <c r="F10" s="598"/>
      <c r="G10" s="111"/>
      <c r="H10" s="104"/>
      <c r="I10" s="29"/>
      <c r="J10" s="29"/>
      <c r="K10" s="432"/>
      <c r="L10" s="432"/>
      <c r="M10" s="432"/>
      <c r="N10" s="432"/>
      <c r="O10" s="432"/>
      <c r="P10" s="432"/>
      <c r="Q10" s="432"/>
      <c r="R10" s="432"/>
      <c r="S10" s="432"/>
      <c r="T10" s="432"/>
    </row>
    <row r="11" spans="1:24" ht="30" customHeight="1" x14ac:dyDescent="0.3">
      <c r="C11" s="135" t="s">
        <v>1156</v>
      </c>
      <c r="D11" s="135" t="s">
        <v>1157</v>
      </c>
      <c r="E11" s="991" t="s">
        <v>1155</v>
      </c>
      <c r="F11" s="991"/>
      <c r="G11" s="991"/>
      <c r="H11" s="135" t="s">
        <v>1154</v>
      </c>
      <c r="I11" s="465" t="s">
        <v>1450</v>
      </c>
      <c r="J11" s="560"/>
      <c r="K11" s="465" t="s">
        <v>1449</v>
      </c>
      <c r="L11" s="465" t="s">
        <v>1451</v>
      </c>
      <c r="M11" s="560"/>
      <c r="N11" s="465" t="s">
        <v>1476</v>
      </c>
      <c r="O11" s="465" t="s">
        <v>1477</v>
      </c>
      <c r="P11" s="465" t="s">
        <v>1478</v>
      </c>
      <c r="Q11" s="560"/>
      <c r="R11" s="465" t="s">
        <v>1476</v>
      </c>
      <c r="S11" s="465" t="s">
        <v>1477</v>
      </c>
      <c r="T11" s="465" t="s">
        <v>1478</v>
      </c>
      <c r="X11" s="903" t="s">
        <v>1522</v>
      </c>
    </row>
    <row r="12" spans="1:24" ht="15" customHeight="1" x14ac:dyDescent="0.3">
      <c r="C12" s="413"/>
      <c r="D12" s="413"/>
      <c r="E12" s="111"/>
      <c r="F12" s="598"/>
      <c r="G12" s="111"/>
      <c r="H12" s="104"/>
      <c r="I12" s="29"/>
      <c r="J12" s="29"/>
      <c r="K12" s="432"/>
      <c r="L12" s="432"/>
      <c r="M12" s="432"/>
      <c r="N12" s="432"/>
      <c r="O12" s="432"/>
      <c r="P12" s="432"/>
      <c r="Q12" s="432"/>
      <c r="R12" s="432"/>
      <c r="S12" s="432"/>
      <c r="T12" s="432"/>
      <c r="X12" s="903">
        <f>+COUNTIFS($X$16:$X$1033,"RBF")</f>
        <v>0</v>
      </c>
    </row>
    <row r="13" spans="1:24" ht="30" customHeight="1" x14ac:dyDescent="0.3">
      <c r="A13" s="23" t="s">
        <v>1241</v>
      </c>
      <c r="C13" s="640" t="s">
        <v>1228</v>
      </c>
      <c r="D13" s="166"/>
      <c r="E13" s="166"/>
      <c r="F13" s="166"/>
      <c r="G13" s="166"/>
      <c r="H13" s="166"/>
      <c r="I13" s="166"/>
      <c r="J13" s="166"/>
      <c r="K13" s="166"/>
      <c r="L13" s="610">
        <f>+SUMIFS(L:L,A:A,"B")</f>
        <v>21982860999.999996</v>
      </c>
      <c r="M13" s="1005"/>
      <c r="N13" s="999"/>
      <c r="O13" s="1000"/>
      <c r="P13" s="1001"/>
      <c r="Q13" s="1005"/>
      <c r="R13" s="656">
        <f>+SUMIFS(R:R,A:A,"B")</f>
        <v>0</v>
      </c>
      <c r="S13" s="610">
        <f>+SUMIFS(S:S,A:A,"B")</f>
        <v>37210860.43</v>
      </c>
      <c r="T13" s="610">
        <f>+SUMIFS(T:T,A:A,"B")</f>
        <v>37210860.43</v>
      </c>
      <c r="U13" s="307">
        <f>+L13-'[1]Yapılan İşler İcmali'!$K$13</f>
        <v>0</v>
      </c>
      <c r="X13" s="28"/>
    </row>
    <row r="14" spans="1:24" ht="30" customHeight="1" x14ac:dyDescent="0.3">
      <c r="A14" s="262" t="s">
        <v>1240</v>
      </c>
      <c r="C14" s="241"/>
      <c r="D14" s="232" t="s">
        <v>1223</v>
      </c>
      <c r="E14" s="217"/>
      <c r="F14" s="217"/>
      <c r="G14" s="217"/>
      <c r="H14" s="217"/>
      <c r="I14" s="231"/>
      <c r="J14" s="231"/>
      <c r="K14" s="231"/>
      <c r="L14" s="644">
        <f>+SUMIFS(L:L,A:A,"1")</f>
        <v>14142505792.030001</v>
      </c>
      <c r="M14" s="1006"/>
      <c r="N14" s="1002"/>
      <c r="O14" s="1002"/>
      <c r="P14" s="1002"/>
      <c r="Q14" s="1006"/>
      <c r="R14" s="630">
        <f>+SUMIFS(R:R,A:A,"1")</f>
        <v>0</v>
      </c>
      <c r="S14" s="251">
        <f>+SUMIFS(S:S,A:A,"1")</f>
        <v>37210860.43</v>
      </c>
      <c r="T14" s="251">
        <f>+SUMIFS(T:T,A:A,"1")</f>
        <v>37210860.43</v>
      </c>
    </row>
    <row r="15" spans="1:24" ht="30" customHeight="1" x14ac:dyDescent="0.3">
      <c r="A15" s="262">
        <v>1</v>
      </c>
      <c r="C15" s="242"/>
      <c r="D15" s="233" t="s">
        <v>1224</v>
      </c>
      <c r="E15" s="234"/>
      <c r="F15" s="234"/>
      <c r="G15" s="234"/>
      <c r="H15" s="234"/>
      <c r="I15" s="235"/>
      <c r="J15" s="235"/>
      <c r="K15" s="235"/>
      <c r="L15" s="642">
        <f>+SUMIFS(L:L,A:A,"1.A")</f>
        <v>4405699645.8199997</v>
      </c>
      <c r="M15" s="1007"/>
      <c r="N15" s="1003"/>
      <c r="O15" s="1004"/>
      <c r="P15" s="1004"/>
      <c r="Q15" s="1007"/>
      <c r="R15" s="249">
        <f>+SUMIFS(R:R,A:A,"1.A")</f>
        <v>0</v>
      </c>
      <c r="S15" s="249">
        <f>+SUMIFS(S:S,A:A,"1.A")</f>
        <v>0</v>
      </c>
      <c r="T15" s="249">
        <f>+SUMIFS(T:T,A:A,"1.A")</f>
        <v>0</v>
      </c>
    </row>
    <row r="16" spans="1:24" ht="30" customHeight="1" x14ac:dyDescent="0.3">
      <c r="A16" s="262" t="s">
        <v>151</v>
      </c>
      <c r="C16" s="243">
        <v>1</v>
      </c>
      <c r="D16" s="210" t="s">
        <v>223</v>
      </c>
      <c r="E16" s="992" t="s">
        <v>224</v>
      </c>
      <c r="F16" s="993"/>
      <c r="G16" s="994"/>
      <c r="H16" s="604" t="s">
        <v>225</v>
      </c>
      <c r="I16" s="212">
        <v>500</v>
      </c>
      <c r="J16" s="605"/>
      <c r="K16" s="212">
        <v>4600</v>
      </c>
      <c r="L16" s="211">
        <f t="shared" ref="L16:L35" si="0">+ROUND(I16*K16,2)</f>
        <v>2300000</v>
      </c>
      <c r="M16" s="211"/>
      <c r="N16" s="675">
        <f>+'Yeşil Defter'!$K$17</f>
        <v>0</v>
      </c>
      <c r="O16" s="675">
        <f>+'Yeşil Defter'!L16</f>
        <v>0</v>
      </c>
      <c r="P16" s="675">
        <f>+'Yeşil Defter'!M16</f>
        <v>0</v>
      </c>
      <c r="Q16" s="211"/>
      <c r="R16" s="607">
        <f>+ROUND(I16*N16,2)</f>
        <v>0</v>
      </c>
      <c r="S16" s="224">
        <f>+T16-R16</f>
        <v>0</v>
      </c>
      <c r="T16" s="236">
        <f>+ROUND(I16*P16,2)</f>
        <v>0</v>
      </c>
      <c r="X16" s="23" t="str">
        <f>IF(AND(P17&gt;K17*1.2, (P17-K17)*I17 &gt; $L$13*0.01), "RBF", "-")</f>
        <v>-</v>
      </c>
    </row>
    <row r="17" spans="1:24" ht="30" customHeight="1" x14ac:dyDescent="0.3">
      <c r="A17" s="262" t="s">
        <v>151</v>
      </c>
      <c r="C17" s="244">
        <v>2</v>
      </c>
      <c r="D17" s="161" t="s">
        <v>226</v>
      </c>
      <c r="E17" s="969" t="s">
        <v>227</v>
      </c>
      <c r="F17" s="970"/>
      <c r="G17" s="971"/>
      <c r="H17" s="544" t="s">
        <v>228</v>
      </c>
      <c r="I17" s="212">
        <v>4063</v>
      </c>
      <c r="J17" s="605"/>
      <c r="K17" s="212">
        <v>528.66</v>
      </c>
      <c r="L17" s="212">
        <f t="shared" si="0"/>
        <v>2147945.58</v>
      </c>
      <c r="M17" s="602"/>
      <c r="N17" s="675">
        <f>+'Yeşil Defter'!$K$17</f>
        <v>0</v>
      </c>
      <c r="O17" s="675">
        <f>+'Yeşil Defter'!L17</f>
        <v>0</v>
      </c>
      <c r="P17" s="675">
        <f>+'Yeşil Defter'!M17</f>
        <v>0</v>
      </c>
      <c r="Q17" s="212"/>
      <c r="R17" s="605">
        <f>+ROUND(I17*N17,2)</f>
        <v>0</v>
      </c>
      <c r="S17" s="225">
        <f>+T17-R17</f>
        <v>0</v>
      </c>
      <c r="T17" s="237">
        <f>+ROUND(I17*P17,2)</f>
        <v>0</v>
      </c>
      <c r="X17" s="23" t="str">
        <f t="shared" ref="X17:X69" si="1">IF(AND(P18&gt;K18*1.2, (P18-K18)*I18 &gt; $L$13*0.01), "RBF", "-")</f>
        <v>-</v>
      </c>
    </row>
    <row r="18" spans="1:24" ht="30" customHeight="1" x14ac:dyDescent="0.3">
      <c r="A18" s="262" t="s">
        <v>151</v>
      </c>
      <c r="C18" s="244">
        <v>3</v>
      </c>
      <c r="D18" s="161" t="s">
        <v>229</v>
      </c>
      <c r="E18" s="969" t="s">
        <v>230</v>
      </c>
      <c r="F18" s="970"/>
      <c r="G18" s="971"/>
      <c r="H18" s="544" t="s">
        <v>228</v>
      </c>
      <c r="I18" s="212">
        <v>2000</v>
      </c>
      <c r="J18" s="605"/>
      <c r="K18" s="212">
        <v>550.69000000000005</v>
      </c>
      <c r="L18" s="212">
        <f t="shared" si="0"/>
        <v>1101380</v>
      </c>
      <c r="M18" s="602"/>
      <c r="N18" s="675">
        <f>+'Yeşil Defter'!$K$18</f>
        <v>0</v>
      </c>
      <c r="O18" s="675">
        <f>+'Yeşil Defter'!L18</f>
        <v>0</v>
      </c>
      <c r="P18" s="675">
        <f>+'Yeşil Defter'!M18</f>
        <v>0</v>
      </c>
      <c r="Q18" s="212"/>
      <c r="R18" s="605">
        <f t="shared" ref="R18:R35" si="2">+ROUND(I18*N18,2)</f>
        <v>0</v>
      </c>
      <c r="S18" s="225">
        <f t="shared" ref="S18:S35" si="3">+T18-R18</f>
        <v>0</v>
      </c>
      <c r="T18" s="237">
        <f t="shared" ref="T18:T35" si="4">+ROUND(I18*P18,2)</f>
        <v>0</v>
      </c>
      <c r="X18" s="23" t="str">
        <f t="shared" si="1"/>
        <v>-</v>
      </c>
    </row>
    <row r="19" spans="1:24" ht="30" customHeight="1" x14ac:dyDescent="0.3">
      <c r="A19" s="262" t="s">
        <v>151</v>
      </c>
      <c r="C19" s="244">
        <v>4</v>
      </c>
      <c r="D19" s="161" t="s">
        <v>231</v>
      </c>
      <c r="E19" s="969" t="s">
        <v>232</v>
      </c>
      <c r="F19" s="970"/>
      <c r="G19" s="971"/>
      <c r="H19" s="544" t="s">
        <v>228</v>
      </c>
      <c r="I19" s="212">
        <v>10500</v>
      </c>
      <c r="J19" s="605"/>
      <c r="K19" s="212">
        <v>440.55</v>
      </c>
      <c r="L19" s="212">
        <f t="shared" si="0"/>
        <v>4625775</v>
      </c>
      <c r="M19" s="602"/>
      <c r="N19" s="675">
        <f>+'Yeşil Defter'!$K$19</f>
        <v>0</v>
      </c>
      <c r="O19" s="675">
        <f>+'Yeşil Defter'!L19</f>
        <v>0</v>
      </c>
      <c r="P19" s="675">
        <f>+'Yeşil Defter'!M19</f>
        <v>0</v>
      </c>
      <c r="Q19" s="212"/>
      <c r="R19" s="605">
        <f t="shared" si="2"/>
        <v>0</v>
      </c>
      <c r="S19" s="225">
        <f t="shared" si="3"/>
        <v>0</v>
      </c>
      <c r="T19" s="237">
        <f t="shared" si="4"/>
        <v>0</v>
      </c>
      <c r="X19" s="23" t="str">
        <f t="shared" si="1"/>
        <v>-</v>
      </c>
    </row>
    <row r="20" spans="1:24" ht="30" customHeight="1" x14ac:dyDescent="0.3">
      <c r="A20" s="262" t="s">
        <v>151</v>
      </c>
      <c r="C20" s="244">
        <v>5</v>
      </c>
      <c r="D20" s="213" t="s">
        <v>233</v>
      </c>
      <c r="E20" s="969" t="s">
        <v>234</v>
      </c>
      <c r="F20" s="970"/>
      <c r="G20" s="971"/>
      <c r="H20" s="544" t="s">
        <v>228</v>
      </c>
      <c r="I20" s="212">
        <v>1485</v>
      </c>
      <c r="J20" s="605"/>
      <c r="K20" s="212">
        <v>175497.85</v>
      </c>
      <c r="L20" s="212">
        <f t="shared" si="0"/>
        <v>260614307.25</v>
      </c>
      <c r="M20" s="602"/>
      <c r="N20" s="675">
        <f>+'Yeşil Defter'!$K$20</f>
        <v>0</v>
      </c>
      <c r="O20" s="675">
        <f>+'Yeşil Defter'!L20</f>
        <v>0</v>
      </c>
      <c r="P20" s="675">
        <f>+'Yeşil Defter'!M20</f>
        <v>0</v>
      </c>
      <c r="Q20" s="212"/>
      <c r="R20" s="605">
        <f t="shared" si="2"/>
        <v>0</v>
      </c>
      <c r="S20" s="225">
        <f t="shared" si="3"/>
        <v>0</v>
      </c>
      <c r="T20" s="237">
        <f t="shared" si="4"/>
        <v>0</v>
      </c>
      <c r="X20" s="23" t="str">
        <f t="shared" si="1"/>
        <v>-</v>
      </c>
    </row>
    <row r="21" spans="1:24" ht="30" customHeight="1" x14ac:dyDescent="0.3">
      <c r="A21" s="262" t="s">
        <v>151</v>
      </c>
      <c r="C21" s="244">
        <v>6</v>
      </c>
      <c r="D21" s="161" t="s">
        <v>235</v>
      </c>
      <c r="E21" s="969" t="s">
        <v>236</v>
      </c>
      <c r="F21" s="970"/>
      <c r="G21" s="971"/>
      <c r="H21" s="544" t="s">
        <v>228</v>
      </c>
      <c r="I21" s="212">
        <v>300</v>
      </c>
      <c r="J21" s="605"/>
      <c r="K21" s="212">
        <v>26184.71</v>
      </c>
      <c r="L21" s="212">
        <f t="shared" si="0"/>
        <v>7855413</v>
      </c>
      <c r="M21" s="602"/>
      <c r="N21" s="675">
        <f>+'Yeşil Defter'!$K$21</f>
        <v>0</v>
      </c>
      <c r="O21" s="675">
        <f>+'Yeşil Defter'!L21</f>
        <v>0</v>
      </c>
      <c r="P21" s="675">
        <f>+'Yeşil Defter'!M21</f>
        <v>0</v>
      </c>
      <c r="Q21" s="212"/>
      <c r="R21" s="605">
        <f t="shared" si="2"/>
        <v>0</v>
      </c>
      <c r="S21" s="225">
        <f t="shared" si="3"/>
        <v>0</v>
      </c>
      <c r="T21" s="237">
        <f t="shared" si="4"/>
        <v>0</v>
      </c>
      <c r="X21" s="23" t="str">
        <f t="shared" si="1"/>
        <v>-</v>
      </c>
    </row>
    <row r="22" spans="1:24" ht="30" customHeight="1" x14ac:dyDescent="0.3">
      <c r="A22" s="262" t="s">
        <v>151</v>
      </c>
      <c r="C22" s="244">
        <v>7</v>
      </c>
      <c r="D22" s="161" t="s">
        <v>237</v>
      </c>
      <c r="E22" s="969" t="s">
        <v>238</v>
      </c>
      <c r="F22" s="970"/>
      <c r="G22" s="971"/>
      <c r="H22" s="544" t="s">
        <v>228</v>
      </c>
      <c r="I22" s="212">
        <v>1500</v>
      </c>
      <c r="J22" s="605"/>
      <c r="K22" s="212">
        <v>27657.96</v>
      </c>
      <c r="L22" s="212">
        <f t="shared" si="0"/>
        <v>41486940</v>
      </c>
      <c r="M22" s="602"/>
      <c r="N22" s="675">
        <f>+'Yeşil Defter'!$K$22</f>
        <v>0</v>
      </c>
      <c r="O22" s="675">
        <f>+'Yeşil Defter'!L22</f>
        <v>0</v>
      </c>
      <c r="P22" s="675">
        <f>+'Yeşil Defter'!M22</f>
        <v>0</v>
      </c>
      <c r="Q22" s="212"/>
      <c r="R22" s="605">
        <f t="shared" si="2"/>
        <v>0</v>
      </c>
      <c r="S22" s="225">
        <f t="shared" si="3"/>
        <v>0</v>
      </c>
      <c r="T22" s="237">
        <f t="shared" si="4"/>
        <v>0</v>
      </c>
      <c r="X22" s="23" t="str">
        <f t="shared" si="1"/>
        <v>-</v>
      </c>
    </row>
    <row r="23" spans="1:24" ht="30" customHeight="1" x14ac:dyDescent="0.3">
      <c r="A23" s="262" t="s">
        <v>151</v>
      </c>
      <c r="C23" s="244">
        <v>8</v>
      </c>
      <c r="D23" s="213" t="s">
        <v>239</v>
      </c>
      <c r="E23" s="969" t="s">
        <v>240</v>
      </c>
      <c r="F23" s="970"/>
      <c r="G23" s="971"/>
      <c r="H23" s="544" t="s">
        <v>228</v>
      </c>
      <c r="I23" s="212">
        <v>17500</v>
      </c>
      <c r="J23" s="605"/>
      <c r="K23" s="212">
        <v>1734</v>
      </c>
      <c r="L23" s="212">
        <f t="shared" si="0"/>
        <v>30345000</v>
      </c>
      <c r="M23" s="602"/>
      <c r="N23" s="675">
        <f>+'Yeşil Defter'!$K$23</f>
        <v>0</v>
      </c>
      <c r="O23" s="675">
        <f>+'Yeşil Defter'!L23</f>
        <v>0</v>
      </c>
      <c r="P23" s="675">
        <f>+'Yeşil Defter'!M23</f>
        <v>0</v>
      </c>
      <c r="Q23" s="212"/>
      <c r="R23" s="605">
        <f t="shared" si="2"/>
        <v>0</v>
      </c>
      <c r="S23" s="225">
        <f t="shared" si="3"/>
        <v>0</v>
      </c>
      <c r="T23" s="237">
        <f t="shared" si="4"/>
        <v>0</v>
      </c>
      <c r="X23" s="23" t="str">
        <f t="shared" si="1"/>
        <v>-</v>
      </c>
    </row>
    <row r="24" spans="1:24" ht="30" customHeight="1" x14ac:dyDescent="0.3">
      <c r="A24" s="262" t="s">
        <v>151</v>
      </c>
      <c r="C24" s="244">
        <v>9</v>
      </c>
      <c r="D24" s="161" t="s">
        <v>241</v>
      </c>
      <c r="E24" s="969" t="s">
        <v>242</v>
      </c>
      <c r="F24" s="970"/>
      <c r="G24" s="971"/>
      <c r="H24" s="544" t="s">
        <v>202</v>
      </c>
      <c r="I24" s="212">
        <v>1050</v>
      </c>
      <c r="J24" s="605"/>
      <c r="K24" s="212">
        <v>1884</v>
      </c>
      <c r="L24" s="212">
        <f t="shared" si="0"/>
        <v>1978200</v>
      </c>
      <c r="M24" s="602"/>
      <c r="N24" s="675">
        <f>+'Yeşil Defter'!$K$24</f>
        <v>0</v>
      </c>
      <c r="O24" s="675">
        <f>+'Yeşil Defter'!L24</f>
        <v>0</v>
      </c>
      <c r="P24" s="675">
        <f>+'Yeşil Defter'!M24</f>
        <v>0</v>
      </c>
      <c r="Q24" s="212"/>
      <c r="R24" s="605">
        <f t="shared" si="2"/>
        <v>0</v>
      </c>
      <c r="S24" s="225">
        <f t="shared" si="3"/>
        <v>0</v>
      </c>
      <c r="T24" s="237">
        <f t="shared" si="4"/>
        <v>0</v>
      </c>
      <c r="X24" s="23" t="str">
        <f t="shared" si="1"/>
        <v>-</v>
      </c>
    </row>
    <row r="25" spans="1:24" ht="30" customHeight="1" x14ac:dyDescent="0.3">
      <c r="A25" s="262" t="s">
        <v>151</v>
      </c>
      <c r="C25" s="244">
        <v>10</v>
      </c>
      <c r="D25" s="161" t="s">
        <v>243</v>
      </c>
      <c r="E25" s="969" t="s">
        <v>244</v>
      </c>
      <c r="F25" s="970"/>
      <c r="G25" s="971"/>
      <c r="H25" s="544" t="s">
        <v>202</v>
      </c>
      <c r="I25" s="212">
        <v>1200</v>
      </c>
      <c r="J25" s="605"/>
      <c r="K25" s="212">
        <v>960</v>
      </c>
      <c r="L25" s="212">
        <f t="shared" si="0"/>
        <v>1152000</v>
      </c>
      <c r="M25" s="602"/>
      <c r="N25" s="675">
        <f>+'Yeşil Defter'!$K$25</f>
        <v>0</v>
      </c>
      <c r="O25" s="675">
        <f>+'Yeşil Defter'!L25</f>
        <v>0</v>
      </c>
      <c r="P25" s="675">
        <f>+'Yeşil Defter'!M25</f>
        <v>0</v>
      </c>
      <c r="Q25" s="212"/>
      <c r="R25" s="605">
        <f t="shared" si="2"/>
        <v>0</v>
      </c>
      <c r="S25" s="225">
        <f t="shared" si="3"/>
        <v>0</v>
      </c>
      <c r="T25" s="237">
        <f t="shared" si="4"/>
        <v>0</v>
      </c>
      <c r="X25" s="23" t="str">
        <f t="shared" si="1"/>
        <v>-</v>
      </c>
    </row>
    <row r="26" spans="1:24" ht="30" customHeight="1" x14ac:dyDescent="0.3">
      <c r="A26" s="262" t="s">
        <v>151</v>
      </c>
      <c r="C26" s="244">
        <v>11</v>
      </c>
      <c r="D26" s="161" t="s">
        <v>245</v>
      </c>
      <c r="E26" s="969" t="s">
        <v>246</v>
      </c>
      <c r="F26" s="970"/>
      <c r="G26" s="971"/>
      <c r="H26" s="544" t="s">
        <v>247</v>
      </c>
      <c r="I26" s="212">
        <v>2475</v>
      </c>
      <c r="J26" s="605"/>
      <c r="K26" s="212">
        <v>530</v>
      </c>
      <c r="L26" s="212">
        <f t="shared" si="0"/>
        <v>1311750</v>
      </c>
      <c r="M26" s="602"/>
      <c r="N26" s="675">
        <f>+'Yeşil Defter'!$K$26</f>
        <v>0</v>
      </c>
      <c r="O26" s="675">
        <f>+'Yeşil Defter'!L26</f>
        <v>0</v>
      </c>
      <c r="P26" s="675">
        <f>+'Yeşil Defter'!M26</f>
        <v>0</v>
      </c>
      <c r="Q26" s="212"/>
      <c r="R26" s="605">
        <f t="shared" si="2"/>
        <v>0</v>
      </c>
      <c r="S26" s="225">
        <f t="shared" si="3"/>
        <v>0</v>
      </c>
      <c r="T26" s="237">
        <f t="shared" si="4"/>
        <v>0</v>
      </c>
      <c r="X26" s="23" t="str">
        <f t="shared" si="1"/>
        <v>-</v>
      </c>
    </row>
    <row r="27" spans="1:24" ht="30" customHeight="1" x14ac:dyDescent="0.3">
      <c r="A27" s="262" t="s">
        <v>151</v>
      </c>
      <c r="C27" s="244">
        <v>12</v>
      </c>
      <c r="D27" s="161" t="s">
        <v>248</v>
      </c>
      <c r="E27" s="969" t="s">
        <v>249</v>
      </c>
      <c r="F27" s="970"/>
      <c r="G27" s="971"/>
      <c r="H27" s="544" t="s">
        <v>247</v>
      </c>
      <c r="I27" s="212">
        <v>3900</v>
      </c>
      <c r="J27" s="605"/>
      <c r="K27" s="212">
        <v>408</v>
      </c>
      <c r="L27" s="212">
        <f t="shared" si="0"/>
        <v>1591200</v>
      </c>
      <c r="M27" s="602"/>
      <c r="N27" s="675">
        <f>+'Yeşil Defter'!$K$27</f>
        <v>0</v>
      </c>
      <c r="O27" s="675">
        <f>+'Yeşil Defter'!L27</f>
        <v>0</v>
      </c>
      <c r="P27" s="675">
        <f>+'Yeşil Defter'!M27</f>
        <v>0</v>
      </c>
      <c r="Q27" s="212"/>
      <c r="R27" s="605">
        <f t="shared" si="2"/>
        <v>0</v>
      </c>
      <c r="S27" s="225">
        <f t="shared" si="3"/>
        <v>0</v>
      </c>
      <c r="T27" s="237">
        <f t="shared" si="4"/>
        <v>0</v>
      </c>
      <c r="X27" s="23" t="str">
        <f t="shared" si="1"/>
        <v>-</v>
      </c>
    </row>
    <row r="28" spans="1:24" ht="30" customHeight="1" x14ac:dyDescent="0.3">
      <c r="A28" s="262" t="s">
        <v>151</v>
      </c>
      <c r="C28" s="244">
        <v>13</v>
      </c>
      <c r="D28" s="161" t="s">
        <v>250</v>
      </c>
      <c r="E28" s="969" t="s">
        <v>251</v>
      </c>
      <c r="F28" s="970"/>
      <c r="G28" s="971"/>
      <c r="H28" s="544" t="s">
        <v>247</v>
      </c>
      <c r="I28" s="212">
        <v>4125</v>
      </c>
      <c r="J28" s="605"/>
      <c r="K28" s="212">
        <v>396</v>
      </c>
      <c r="L28" s="212">
        <f t="shared" si="0"/>
        <v>1633500</v>
      </c>
      <c r="M28" s="602"/>
      <c r="N28" s="675">
        <f>+'Yeşil Defter'!$K$28</f>
        <v>0</v>
      </c>
      <c r="O28" s="675">
        <f>+'Yeşil Defter'!L28</f>
        <v>0</v>
      </c>
      <c r="P28" s="675">
        <f>+'Yeşil Defter'!M28</f>
        <v>0</v>
      </c>
      <c r="Q28" s="212"/>
      <c r="R28" s="605">
        <f t="shared" si="2"/>
        <v>0</v>
      </c>
      <c r="S28" s="225">
        <f t="shared" si="3"/>
        <v>0</v>
      </c>
      <c r="T28" s="237">
        <f t="shared" si="4"/>
        <v>0</v>
      </c>
      <c r="X28" s="23" t="str">
        <f t="shared" si="1"/>
        <v>-</v>
      </c>
    </row>
    <row r="29" spans="1:24" ht="30" customHeight="1" x14ac:dyDescent="0.3">
      <c r="A29" s="262" t="s">
        <v>151</v>
      </c>
      <c r="C29" s="244">
        <v>14</v>
      </c>
      <c r="D29" s="161" t="s">
        <v>252</v>
      </c>
      <c r="E29" s="969" t="s">
        <v>253</v>
      </c>
      <c r="F29" s="970"/>
      <c r="G29" s="971"/>
      <c r="H29" s="544" t="s">
        <v>247</v>
      </c>
      <c r="I29" s="212">
        <v>5850</v>
      </c>
      <c r="J29" s="605"/>
      <c r="K29" s="212">
        <v>396</v>
      </c>
      <c r="L29" s="212">
        <f t="shared" si="0"/>
        <v>2316600</v>
      </c>
      <c r="M29" s="602"/>
      <c r="N29" s="675">
        <f>+'Yeşil Defter'!$K$29</f>
        <v>0</v>
      </c>
      <c r="O29" s="675">
        <f>+'Yeşil Defter'!L29</f>
        <v>0</v>
      </c>
      <c r="P29" s="675">
        <f>+'Yeşil Defter'!M29</f>
        <v>0</v>
      </c>
      <c r="Q29" s="212"/>
      <c r="R29" s="605">
        <f t="shared" si="2"/>
        <v>0</v>
      </c>
      <c r="S29" s="225">
        <f t="shared" si="3"/>
        <v>0</v>
      </c>
      <c r="T29" s="237">
        <f t="shared" si="4"/>
        <v>0</v>
      </c>
      <c r="X29" s="23" t="str">
        <f t="shared" si="1"/>
        <v>-</v>
      </c>
    </row>
    <row r="30" spans="1:24" ht="30" customHeight="1" x14ac:dyDescent="0.3">
      <c r="A30" s="262" t="s">
        <v>151</v>
      </c>
      <c r="C30" s="244">
        <v>15</v>
      </c>
      <c r="D30" s="213" t="s">
        <v>254</v>
      </c>
      <c r="E30" s="969" t="s">
        <v>255</v>
      </c>
      <c r="F30" s="970"/>
      <c r="G30" s="971"/>
      <c r="H30" s="544" t="s">
        <v>225</v>
      </c>
      <c r="I30" s="212">
        <v>3140</v>
      </c>
      <c r="J30" s="605"/>
      <c r="K30" s="212">
        <v>138744.07</v>
      </c>
      <c r="L30" s="212">
        <f t="shared" si="0"/>
        <v>435656379.80000001</v>
      </c>
      <c r="M30" s="602"/>
      <c r="N30" s="675">
        <f>+'Yeşil Defter'!$K$30</f>
        <v>0</v>
      </c>
      <c r="O30" s="675">
        <f>+'Yeşil Defter'!L30</f>
        <v>0</v>
      </c>
      <c r="P30" s="675">
        <f>+'Yeşil Defter'!M30</f>
        <v>0</v>
      </c>
      <c r="Q30" s="212"/>
      <c r="R30" s="605">
        <f t="shared" si="2"/>
        <v>0</v>
      </c>
      <c r="S30" s="225">
        <f t="shared" si="3"/>
        <v>0</v>
      </c>
      <c r="T30" s="237">
        <f t="shared" si="4"/>
        <v>0</v>
      </c>
      <c r="X30" s="23" t="str">
        <f t="shared" si="1"/>
        <v>-</v>
      </c>
    </row>
    <row r="31" spans="1:24" ht="30" customHeight="1" x14ac:dyDescent="0.3">
      <c r="A31" s="262" t="s">
        <v>151</v>
      </c>
      <c r="C31" s="244">
        <v>16</v>
      </c>
      <c r="D31" s="161" t="s">
        <v>256</v>
      </c>
      <c r="E31" s="969" t="s">
        <v>257</v>
      </c>
      <c r="F31" s="970"/>
      <c r="G31" s="971"/>
      <c r="H31" s="544" t="s">
        <v>228</v>
      </c>
      <c r="I31" s="212">
        <v>3504</v>
      </c>
      <c r="J31" s="605"/>
      <c r="K31" s="212">
        <v>43459.98</v>
      </c>
      <c r="L31" s="212">
        <f t="shared" si="0"/>
        <v>152283769.91999999</v>
      </c>
      <c r="M31" s="602"/>
      <c r="N31" s="675">
        <f>+'Yeşil Defter'!$K$31</f>
        <v>0</v>
      </c>
      <c r="O31" s="675">
        <f>+'Yeşil Defter'!L31</f>
        <v>0</v>
      </c>
      <c r="P31" s="675">
        <f>+'Yeşil Defter'!M31</f>
        <v>0</v>
      </c>
      <c r="Q31" s="212"/>
      <c r="R31" s="605">
        <f t="shared" si="2"/>
        <v>0</v>
      </c>
      <c r="S31" s="225">
        <f t="shared" si="3"/>
        <v>0</v>
      </c>
      <c r="T31" s="237">
        <f t="shared" si="4"/>
        <v>0</v>
      </c>
      <c r="X31" s="23" t="str">
        <f t="shared" si="1"/>
        <v>-</v>
      </c>
    </row>
    <row r="32" spans="1:24" ht="30" customHeight="1" x14ac:dyDescent="0.3">
      <c r="A32" s="262" t="s">
        <v>151</v>
      </c>
      <c r="C32" s="244">
        <v>17</v>
      </c>
      <c r="D32" s="161" t="s">
        <v>258</v>
      </c>
      <c r="E32" s="969" t="s">
        <v>259</v>
      </c>
      <c r="F32" s="970"/>
      <c r="G32" s="971"/>
      <c r="H32" s="544" t="s">
        <v>228</v>
      </c>
      <c r="I32" s="212">
        <v>6114</v>
      </c>
      <c r="J32" s="605"/>
      <c r="K32" s="212">
        <v>115476.85</v>
      </c>
      <c r="L32" s="212">
        <f t="shared" si="0"/>
        <v>706025460.89999998</v>
      </c>
      <c r="M32" s="602"/>
      <c r="N32" s="675">
        <f>+'Yeşil Defter'!$K$32</f>
        <v>0</v>
      </c>
      <c r="O32" s="675">
        <f>+'Yeşil Defter'!L32</f>
        <v>0</v>
      </c>
      <c r="P32" s="675">
        <f>+'Yeşil Defter'!M32</f>
        <v>0</v>
      </c>
      <c r="Q32" s="212"/>
      <c r="R32" s="605">
        <f t="shared" si="2"/>
        <v>0</v>
      </c>
      <c r="S32" s="225">
        <f t="shared" si="3"/>
        <v>0</v>
      </c>
      <c r="T32" s="237">
        <f t="shared" si="4"/>
        <v>0</v>
      </c>
      <c r="X32" s="23" t="str">
        <f t="shared" si="1"/>
        <v>-</v>
      </c>
    </row>
    <row r="33" spans="1:24" ht="30" customHeight="1" x14ac:dyDescent="0.3">
      <c r="A33" s="262" t="s">
        <v>151</v>
      </c>
      <c r="C33" s="244">
        <v>18</v>
      </c>
      <c r="D33" s="161" t="s">
        <v>260</v>
      </c>
      <c r="E33" s="969" t="s">
        <v>261</v>
      </c>
      <c r="F33" s="970"/>
      <c r="G33" s="971"/>
      <c r="H33" s="544" t="s">
        <v>262</v>
      </c>
      <c r="I33" s="703">
        <v>75316</v>
      </c>
      <c r="J33" s="815"/>
      <c r="K33" s="703">
        <v>20487.48</v>
      </c>
      <c r="L33" s="703">
        <f t="shared" si="0"/>
        <v>1543035043.6800001</v>
      </c>
      <c r="M33" s="816"/>
      <c r="N33" s="817">
        <f>+'[2]Yeşil Defter'!$K$33</f>
        <v>0</v>
      </c>
      <c r="O33" s="817">
        <f>+'[2]Yeşil Defter'!L33</f>
        <v>0</v>
      </c>
      <c r="P33" s="817">
        <f>+'[2]Yeşil Defter'!M33</f>
        <v>0</v>
      </c>
      <c r="Q33" s="703"/>
      <c r="R33" s="815">
        <f t="shared" si="2"/>
        <v>0</v>
      </c>
      <c r="S33" s="225">
        <f t="shared" si="3"/>
        <v>0</v>
      </c>
      <c r="T33" s="818">
        <f t="shared" si="4"/>
        <v>0</v>
      </c>
      <c r="X33" s="23" t="str">
        <f t="shared" si="1"/>
        <v>-</v>
      </c>
    </row>
    <row r="34" spans="1:24" ht="30" customHeight="1" x14ac:dyDescent="0.3">
      <c r="A34" s="262" t="s">
        <v>151</v>
      </c>
      <c r="C34" s="244">
        <v>19</v>
      </c>
      <c r="D34" s="161" t="s">
        <v>263</v>
      </c>
      <c r="E34" s="969" t="s">
        <v>264</v>
      </c>
      <c r="F34" s="970"/>
      <c r="G34" s="971"/>
      <c r="H34" s="544" t="s">
        <v>262</v>
      </c>
      <c r="I34" s="212">
        <v>87125</v>
      </c>
      <c r="J34" s="605"/>
      <c r="K34" s="212">
        <v>67.77</v>
      </c>
      <c r="L34" s="212">
        <f t="shared" si="0"/>
        <v>5904461.25</v>
      </c>
      <c r="M34" s="602"/>
      <c r="N34" s="675">
        <f>+'Yeşil Defter'!$K$35</f>
        <v>0</v>
      </c>
      <c r="O34" s="675">
        <f>+'Yeşil Defter'!L35</f>
        <v>0</v>
      </c>
      <c r="P34" s="675">
        <f>+'Yeşil Defter'!M35</f>
        <v>0</v>
      </c>
      <c r="Q34" s="212"/>
      <c r="R34" s="605">
        <f t="shared" si="2"/>
        <v>0</v>
      </c>
      <c r="S34" s="225">
        <f t="shared" si="3"/>
        <v>0</v>
      </c>
      <c r="T34" s="237">
        <f t="shared" si="4"/>
        <v>0</v>
      </c>
      <c r="X34" s="23" t="str">
        <f t="shared" si="1"/>
        <v>-</v>
      </c>
    </row>
    <row r="35" spans="1:24" ht="30" customHeight="1" x14ac:dyDescent="0.3">
      <c r="A35" s="262" t="s">
        <v>151</v>
      </c>
      <c r="C35" s="253">
        <v>20</v>
      </c>
      <c r="D35" s="218" t="s">
        <v>265</v>
      </c>
      <c r="E35" s="988" t="s">
        <v>266</v>
      </c>
      <c r="F35" s="989"/>
      <c r="G35" s="990"/>
      <c r="H35" s="545" t="s">
        <v>225</v>
      </c>
      <c r="I35" s="212">
        <v>5196</v>
      </c>
      <c r="J35" s="605"/>
      <c r="K35" s="212">
        <v>42149.53</v>
      </c>
      <c r="L35" s="220">
        <f t="shared" si="0"/>
        <v>219008957.88</v>
      </c>
      <c r="M35" s="424"/>
      <c r="N35" s="675">
        <f>+'Yeşil Defter'!$K$36</f>
        <v>0</v>
      </c>
      <c r="O35" s="675">
        <f>+'Yeşil Defter'!L36</f>
        <v>0</v>
      </c>
      <c r="P35" s="675">
        <f>+'Yeşil Defter'!M36</f>
        <v>0</v>
      </c>
      <c r="Q35" s="220"/>
      <c r="R35" s="605">
        <f t="shared" si="2"/>
        <v>0</v>
      </c>
      <c r="S35" s="254">
        <f t="shared" si="3"/>
        <v>0</v>
      </c>
      <c r="T35" s="237">
        <f t="shared" si="4"/>
        <v>0</v>
      </c>
      <c r="X35" s="23" t="str">
        <f t="shared" si="1"/>
        <v>-</v>
      </c>
    </row>
    <row r="36" spans="1:24" ht="40.049999999999997" customHeight="1" x14ac:dyDescent="0.3">
      <c r="A36" s="262" t="s">
        <v>1242</v>
      </c>
      <c r="C36" s="258"/>
      <c r="D36" s="258"/>
      <c r="E36" s="972" t="s">
        <v>33</v>
      </c>
      <c r="F36" s="972"/>
      <c r="G36" s="972"/>
      <c r="H36" s="973" t="s">
        <v>29</v>
      </c>
      <c r="I36" s="973"/>
      <c r="J36" s="973"/>
      <c r="K36" s="973"/>
      <c r="L36" s="973"/>
      <c r="M36" s="549"/>
      <c r="N36" s="973" t="s">
        <v>22</v>
      </c>
      <c r="O36" s="973"/>
      <c r="P36" s="973"/>
      <c r="Q36" s="973"/>
      <c r="R36" s="973"/>
      <c r="S36" s="973"/>
      <c r="T36" s="973"/>
      <c r="X36" s="23"/>
    </row>
    <row r="37" spans="1:24" ht="19.95" customHeight="1" x14ac:dyDescent="0.3">
      <c r="A37" s="262" t="s">
        <v>1242</v>
      </c>
      <c r="D37" s="28"/>
      <c r="E37" s="974" t="s">
        <v>1214</v>
      </c>
      <c r="F37" s="974"/>
      <c r="G37" s="974"/>
      <c r="H37" s="975" t="s">
        <v>38</v>
      </c>
      <c r="I37" s="975"/>
      <c r="J37" s="975"/>
      <c r="K37" s="975"/>
      <c r="L37" s="975"/>
      <c r="M37" s="562"/>
      <c r="N37" s="975" t="s">
        <v>1437</v>
      </c>
      <c r="O37" s="975"/>
      <c r="P37" s="975"/>
      <c r="Q37" s="975"/>
      <c r="R37" s="975"/>
      <c r="S37" s="975"/>
      <c r="T37" s="975"/>
      <c r="X37" s="23"/>
    </row>
    <row r="38" spans="1:24" ht="19.95" customHeight="1" x14ac:dyDescent="0.3">
      <c r="A38" s="262" t="s">
        <v>1242</v>
      </c>
      <c r="C38" s="228"/>
      <c r="D38" s="228"/>
      <c r="E38" s="561"/>
      <c r="F38" s="561"/>
      <c r="G38" s="561"/>
      <c r="H38" s="228"/>
      <c r="I38" s="260"/>
      <c r="J38" s="260"/>
      <c r="K38" s="260"/>
      <c r="L38" s="260"/>
      <c r="M38" s="260"/>
      <c r="N38" s="975"/>
      <c r="O38" s="975"/>
      <c r="P38" s="975"/>
      <c r="Q38" s="975"/>
      <c r="R38" s="975"/>
      <c r="S38" s="975"/>
      <c r="T38" s="975"/>
      <c r="X38" s="23"/>
    </row>
    <row r="39" spans="1:24" ht="19.95" customHeight="1" x14ac:dyDescent="0.3">
      <c r="A39" s="262" t="s">
        <v>1242</v>
      </c>
      <c r="C39" s="228"/>
      <c r="D39" s="228"/>
      <c r="E39" s="561"/>
      <c r="F39" s="561"/>
      <c r="G39" s="561"/>
      <c r="H39" s="228"/>
      <c r="I39" s="260"/>
      <c r="J39" s="260"/>
      <c r="K39" s="260"/>
      <c r="L39" s="260"/>
      <c r="M39" s="260"/>
      <c r="N39" s="975"/>
      <c r="O39" s="975"/>
      <c r="P39" s="975"/>
      <c r="Q39" s="975"/>
      <c r="R39" s="975"/>
      <c r="S39" s="975"/>
      <c r="T39" s="975"/>
      <c r="X39" s="23"/>
    </row>
    <row r="40" spans="1:24" ht="19.95" customHeight="1" x14ac:dyDescent="0.3">
      <c r="A40" s="262" t="s">
        <v>1242</v>
      </c>
      <c r="C40" s="228"/>
      <c r="D40" s="228"/>
      <c r="E40" s="561"/>
      <c r="F40" s="561"/>
      <c r="G40" s="561"/>
      <c r="H40" s="228"/>
      <c r="I40" s="260"/>
      <c r="J40" s="260"/>
      <c r="K40" s="260"/>
      <c r="L40" s="260"/>
      <c r="M40" s="260"/>
      <c r="N40" s="260"/>
      <c r="O40" s="260"/>
      <c r="P40" s="260"/>
      <c r="Q40" s="260"/>
      <c r="R40" s="260"/>
      <c r="S40" s="624"/>
      <c r="T40" s="260"/>
      <c r="X40" s="23"/>
    </row>
    <row r="41" spans="1:24" ht="19.95" customHeight="1" x14ac:dyDescent="0.3">
      <c r="A41" s="262" t="s">
        <v>1242</v>
      </c>
      <c r="C41" s="228"/>
      <c r="D41" s="228"/>
      <c r="E41" s="561"/>
      <c r="F41" s="561"/>
      <c r="G41" s="561"/>
      <c r="H41" s="975" t="s">
        <v>32</v>
      </c>
      <c r="I41" s="975"/>
      <c r="J41" s="562"/>
      <c r="K41" s="975" t="s">
        <v>1407</v>
      </c>
      <c r="L41" s="975"/>
      <c r="M41" s="562"/>
      <c r="N41" s="968" t="s">
        <v>54</v>
      </c>
      <c r="O41" s="968"/>
      <c r="P41" s="968" t="s">
        <v>1218</v>
      </c>
      <c r="Q41" s="968"/>
      <c r="R41" s="968"/>
      <c r="S41" s="981" t="s">
        <v>55</v>
      </c>
      <c r="T41" s="981"/>
      <c r="X41" s="23"/>
    </row>
    <row r="42" spans="1:24" ht="19.95" customHeight="1" x14ac:dyDescent="0.3">
      <c r="A42" s="262" t="s">
        <v>1242</v>
      </c>
      <c r="C42" s="228"/>
      <c r="D42" s="228"/>
      <c r="E42" s="561"/>
      <c r="F42" s="561"/>
      <c r="G42" s="561"/>
      <c r="H42" s="976" t="s">
        <v>94</v>
      </c>
      <c r="I42" s="976"/>
      <c r="J42" s="623"/>
      <c r="K42" s="976" t="s">
        <v>94</v>
      </c>
      <c r="L42" s="976"/>
      <c r="M42" s="623"/>
      <c r="N42" s="968" t="s">
        <v>1484</v>
      </c>
      <c r="O42" s="968"/>
      <c r="P42" s="968" t="s">
        <v>1484</v>
      </c>
      <c r="Q42" s="968"/>
      <c r="R42" s="968"/>
      <c r="S42" s="968" t="s">
        <v>1484</v>
      </c>
      <c r="T42" s="968"/>
      <c r="X42" s="23"/>
    </row>
    <row r="43" spans="1:24" ht="19.95" customHeight="1" x14ac:dyDescent="0.3">
      <c r="A43" s="262" t="s">
        <v>1242</v>
      </c>
      <c r="C43" s="228"/>
      <c r="D43" s="228"/>
      <c r="E43" s="561"/>
      <c r="F43" s="561"/>
      <c r="G43" s="561"/>
      <c r="H43" s="976"/>
      <c r="I43" s="976"/>
      <c r="J43" s="623"/>
      <c r="K43" s="976"/>
      <c r="L43" s="976"/>
      <c r="M43" s="623"/>
      <c r="N43" s="968"/>
      <c r="O43" s="968"/>
      <c r="P43" s="968"/>
      <c r="Q43" s="968"/>
      <c r="R43" s="968"/>
      <c r="S43" s="981"/>
      <c r="T43" s="981"/>
      <c r="X43" s="23"/>
    </row>
    <row r="44" spans="1:24" ht="19.95" customHeight="1" x14ac:dyDescent="0.3">
      <c r="A44" s="262" t="s">
        <v>1242</v>
      </c>
      <c r="C44" s="228"/>
      <c r="D44" s="228"/>
      <c r="E44" s="561"/>
      <c r="F44" s="561"/>
      <c r="G44" s="561"/>
      <c r="H44" s="228"/>
      <c r="I44" s="260"/>
      <c r="J44" s="260"/>
      <c r="K44" s="260"/>
      <c r="L44" s="260"/>
      <c r="M44" s="260"/>
      <c r="N44" s="260"/>
      <c r="O44" s="260"/>
      <c r="P44" s="260"/>
      <c r="Q44" s="260"/>
      <c r="R44" s="260"/>
      <c r="S44" s="624"/>
      <c r="T44" s="260"/>
      <c r="X44" s="23"/>
    </row>
    <row r="45" spans="1:24" ht="19.95" customHeight="1" x14ac:dyDescent="0.3">
      <c r="A45" s="262" t="s">
        <v>1242</v>
      </c>
      <c r="C45" s="228"/>
      <c r="D45" s="228"/>
      <c r="E45" s="975" t="s">
        <v>1215</v>
      </c>
      <c r="F45" s="975"/>
      <c r="G45" s="975"/>
      <c r="H45" s="975" t="s">
        <v>1348</v>
      </c>
      <c r="I45" s="975"/>
      <c r="J45" s="975"/>
      <c r="K45" s="975"/>
      <c r="L45" s="975"/>
      <c r="M45" s="562"/>
      <c r="N45" s="977" t="s">
        <v>1217</v>
      </c>
      <c r="O45" s="968"/>
      <c r="P45" s="968"/>
      <c r="Q45" s="968"/>
      <c r="R45" s="968"/>
      <c r="S45" s="968"/>
      <c r="T45" s="968"/>
      <c r="X45" s="23"/>
    </row>
    <row r="46" spans="1:24" ht="19.95" customHeight="1" x14ac:dyDescent="0.3">
      <c r="A46" s="262" t="s">
        <v>1290</v>
      </c>
      <c r="C46" s="228"/>
      <c r="D46" s="228"/>
      <c r="E46" s="975"/>
      <c r="F46" s="975"/>
      <c r="G46" s="975"/>
      <c r="H46" s="975"/>
      <c r="I46" s="975"/>
      <c r="J46" s="975"/>
      <c r="K46" s="975"/>
      <c r="L46" s="975"/>
      <c r="M46" s="562"/>
      <c r="N46" s="968"/>
      <c r="O46" s="968"/>
      <c r="P46" s="968"/>
      <c r="Q46" s="968"/>
      <c r="R46" s="968"/>
      <c r="S46" s="968"/>
      <c r="T46" s="968"/>
      <c r="X46" s="23"/>
    </row>
    <row r="47" spans="1:24" ht="30" customHeight="1" x14ac:dyDescent="0.3">
      <c r="A47" s="262" t="s">
        <v>151</v>
      </c>
      <c r="C47" s="255">
        <v>21</v>
      </c>
      <c r="D47" s="256" t="s">
        <v>267</v>
      </c>
      <c r="E47" s="978" t="s">
        <v>268</v>
      </c>
      <c r="F47" s="979"/>
      <c r="G47" s="980"/>
      <c r="H47" s="546" t="s">
        <v>225</v>
      </c>
      <c r="I47" s="257">
        <v>1535</v>
      </c>
      <c r="J47" s="606"/>
      <c r="K47" s="257">
        <v>12946.85</v>
      </c>
      <c r="L47" s="257">
        <f t="shared" ref="L47:L69" si="5">+ROUND(I47*K47,2)</f>
        <v>19873414.75</v>
      </c>
      <c r="M47" s="603"/>
      <c r="N47" s="675">
        <f>+'Yeşil Defter'!$K$37</f>
        <v>0</v>
      </c>
      <c r="O47" s="675">
        <f>+'Yeşil Defter'!L37</f>
        <v>0</v>
      </c>
      <c r="P47" s="675">
        <f>+'Yeşil Defter'!M37</f>
        <v>0</v>
      </c>
      <c r="Q47" s="257"/>
      <c r="R47" s="606">
        <f t="shared" ref="R47" si="6">+ROUND(I47*N47,2)</f>
        <v>0</v>
      </c>
      <c r="S47" s="247">
        <f t="shared" ref="S47" si="7">+T47-R47</f>
        <v>0</v>
      </c>
      <c r="T47" s="248">
        <f t="shared" ref="T47" si="8">+ROUND(I47*P47,2)</f>
        <v>0</v>
      </c>
      <c r="X47" s="23" t="str">
        <f t="shared" si="1"/>
        <v>-</v>
      </c>
    </row>
    <row r="48" spans="1:24" ht="30" customHeight="1" x14ac:dyDescent="0.3">
      <c r="A48" s="262" t="s">
        <v>151</v>
      </c>
      <c r="C48" s="244">
        <v>22</v>
      </c>
      <c r="D48" s="161" t="s">
        <v>269</v>
      </c>
      <c r="E48" s="969" t="s">
        <v>270</v>
      </c>
      <c r="F48" s="970"/>
      <c r="G48" s="971"/>
      <c r="H48" s="544" t="s">
        <v>225</v>
      </c>
      <c r="I48" s="257">
        <v>1462</v>
      </c>
      <c r="J48" s="606"/>
      <c r="K48" s="257">
        <v>12871.85</v>
      </c>
      <c r="L48" s="212">
        <f t="shared" si="5"/>
        <v>18818644.699999999</v>
      </c>
      <c r="M48" s="602"/>
      <c r="N48" s="675">
        <f>+'Yeşil Defter'!K38</f>
        <v>0</v>
      </c>
      <c r="O48" s="675">
        <f>+'Yeşil Defter'!L38</f>
        <v>0</v>
      </c>
      <c r="P48" s="675">
        <f>+'Yeşil Defter'!M38</f>
        <v>0</v>
      </c>
      <c r="Q48" s="212"/>
      <c r="R48" s="606">
        <f t="shared" ref="R48:R51" si="9">+ROUND(I48*N48,2)</f>
        <v>0</v>
      </c>
      <c r="S48" s="247">
        <f t="shared" ref="S48:S51" si="10">+T48-R48</f>
        <v>0</v>
      </c>
      <c r="T48" s="248">
        <f t="shared" ref="T48:T51" si="11">+ROUND(I48*P48,2)</f>
        <v>0</v>
      </c>
      <c r="X48" s="23" t="str">
        <f t="shared" si="1"/>
        <v>-</v>
      </c>
    </row>
    <row r="49" spans="1:24" ht="30" customHeight="1" x14ac:dyDescent="0.3">
      <c r="A49" s="262" t="s">
        <v>151</v>
      </c>
      <c r="C49" s="244">
        <v>23</v>
      </c>
      <c r="D49" s="213" t="s">
        <v>271</v>
      </c>
      <c r="E49" s="969" t="s">
        <v>272</v>
      </c>
      <c r="F49" s="970"/>
      <c r="G49" s="971"/>
      <c r="H49" s="544" t="s">
        <v>202</v>
      </c>
      <c r="I49" s="257">
        <v>2094</v>
      </c>
      <c r="J49" s="606"/>
      <c r="K49" s="257">
        <v>14706.45</v>
      </c>
      <c r="L49" s="212">
        <f t="shared" si="5"/>
        <v>30795306.300000001</v>
      </c>
      <c r="M49" s="602"/>
      <c r="N49" s="675">
        <f>+'Yeşil Defter'!K39</f>
        <v>0</v>
      </c>
      <c r="O49" s="675">
        <f>+'Yeşil Defter'!L39</f>
        <v>0</v>
      </c>
      <c r="P49" s="675">
        <f>+'Yeşil Defter'!M39</f>
        <v>0</v>
      </c>
      <c r="Q49" s="212"/>
      <c r="R49" s="606">
        <f t="shared" si="9"/>
        <v>0</v>
      </c>
      <c r="S49" s="247">
        <f t="shared" si="10"/>
        <v>0</v>
      </c>
      <c r="T49" s="248">
        <f t="shared" si="11"/>
        <v>0</v>
      </c>
      <c r="X49" s="23" t="str">
        <f t="shared" si="1"/>
        <v>-</v>
      </c>
    </row>
    <row r="50" spans="1:24" ht="30" customHeight="1" x14ac:dyDescent="0.3">
      <c r="A50" s="262" t="s">
        <v>151</v>
      </c>
      <c r="C50" s="244">
        <v>24</v>
      </c>
      <c r="D50" s="161" t="s">
        <v>273</v>
      </c>
      <c r="E50" s="969" t="s">
        <v>274</v>
      </c>
      <c r="F50" s="970"/>
      <c r="G50" s="971"/>
      <c r="H50" s="544" t="s">
        <v>225</v>
      </c>
      <c r="I50" s="257">
        <v>37481</v>
      </c>
      <c r="J50" s="606"/>
      <c r="K50" s="257">
        <v>3073.23</v>
      </c>
      <c r="L50" s="212">
        <f t="shared" si="5"/>
        <v>115187733.63</v>
      </c>
      <c r="M50" s="602"/>
      <c r="N50" s="675">
        <f>+'Yeşil Defter'!K40</f>
        <v>0</v>
      </c>
      <c r="O50" s="675">
        <f>+'Yeşil Defter'!L40</f>
        <v>0</v>
      </c>
      <c r="P50" s="675">
        <f>+'Yeşil Defter'!M40</f>
        <v>0</v>
      </c>
      <c r="Q50" s="212"/>
      <c r="R50" s="606">
        <f t="shared" si="9"/>
        <v>0</v>
      </c>
      <c r="S50" s="247">
        <f t="shared" si="10"/>
        <v>0</v>
      </c>
      <c r="T50" s="248">
        <f t="shared" si="11"/>
        <v>0</v>
      </c>
      <c r="X50" s="23" t="str">
        <f t="shared" si="1"/>
        <v>-</v>
      </c>
    </row>
    <row r="51" spans="1:24" ht="30" customHeight="1" x14ac:dyDescent="0.3">
      <c r="A51" s="262" t="s">
        <v>151</v>
      </c>
      <c r="C51" s="244">
        <v>25</v>
      </c>
      <c r="D51" s="161" t="s">
        <v>275</v>
      </c>
      <c r="E51" s="969" t="s">
        <v>276</v>
      </c>
      <c r="F51" s="970"/>
      <c r="G51" s="971"/>
      <c r="H51" s="544" t="s">
        <v>225</v>
      </c>
      <c r="I51" s="257">
        <v>43633</v>
      </c>
      <c r="J51" s="606"/>
      <c r="K51" s="257">
        <v>2679.52</v>
      </c>
      <c r="L51" s="212">
        <f t="shared" si="5"/>
        <v>116915496.16</v>
      </c>
      <c r="M51" s="602"/>
      <c r="N51" s="675">
        <f>+'Yeşil Defter'!K41</f>
        <v>0</v>
      </c>
      <c r="O51" s="675">
        <f>+'Yeşil Defter'!L41</f>
        <v>0</v>
      </c>
      <c r="P51" s="675">
        <f>+'Yeşil Defter'!M41</f>
        <v>0</v>
      </c>
      <c r="Q51" s="212"/>
      <c r="R51" s="606">
        <f t="shared" si="9"/>
        <v>0</v>
      </c>
      <c r="S51" s="247">
        <f t="shared" si="10"/>
        <v>0</v>
      </c>
      <c r="T51" s="248">
        <f t="shared" si="11"/>
        <v>0</v>
      </c>
      <c r="X51" s="23" t="str">
        <f t="shared" si="1"/>
        <v>-</v>
      </c>
    </row>
    <row r="52" spans="1:24" ht="30" customHeight="1" x14ac:dyDescent="0.3">
      <c r="A52" s="262" t="s">
        <v>151</v>
      </c>
      <c r="C52" s="244">
        <v>26</v>
      </c>
      <c r="D52" s="161" t="s">
        <v>277</v>
      </c>
      <c r="E52" s="969" t="s">
        <v>278</v>
      </c>
      <c r="F52" s="970"/>
      <c r="G52" s="971"/>
      <c r="H52" s="544" t="s">
        <v>225</v>
      </c>
      <c r="I52" s="257">
        <v>23682</v>
      </c>
      <c r="J52" s="606"/>
      <c r="K52" s="257">
        <v>4321.2299999999996</v>
      </c>
      <c r="L52" s="212">
        <f t="shared" si="5"/>
        <v>102335368.86</v>
      </c>
      <c r="M52" s="602"/>
      <c r="N52" s="675">
        <f>+'Yeşil Defter'!K42</f>
        <v>0</v>
      </c>
      <c r="O52" s="675">
        <f>+'Yeşil Defter'!L42</f>
        <v>0</v>
      </c>
      <c r="P52" s="675">
        <f>+'Yeşil Defter'!M42</f>
        <v>0</v>
      </c>
      <c r="Q52" s="212"/>
      <c r="R52" s="606">
        <f t="shared" ref="R52:R69" si="12">+ROUND(I52*N52,2)</f>
        <v>0</v>
      </c>
      <c r="S52" s="247">
        <f t="shared" ref="S52:S69" si="13">+T52-R52</f>
        <v>0</v>
      </c>
      <c r="T52" s="248">
        <f t="shared" ref="T52:T69" si="14">+ROUND(I52*P52,2)</f>
        <v>0</v>
      </c>
      <c r="X52" s="23" t="str">
        <f t="shared" si="1"/>
        <v>-</v>
      </c>
    </row>
    <row r="53" spans="1:24" ht="30" customHeight="1" x14ac:dyDescent="0.3">
      <c r="A53" s="262" t="s">
        <v>151</v>
      </c>
      <c r="C53" s="244">
        <v>27</v>
      </c>
      <c r="D53" s="161" t="s">
        <v>279</v>
      </c>
      <c r="E53" s="969" t="s">
        <v>280</v>
      </c>
      <c r="F53" s="970"/>
      <c r="G53" s="971"/>
      <c r="H53" s="544" t="s">
        <v>225</v>
      </c>
      <c r="I53" s="257">
        <v>26351</v>
      </c>
      <c r="J53" s="606"/>
      <c r="K53" s="257">
        <v>8103.7</v>
      </c>
      <c r="L53" s="212">
        <f t="shared" si="5"/>
        <v>213540598.69999999</v>
      </c>
      <c r="M53" s="602"/>
      <c r="N53" s="675">
        <f>+'Yeşil Defter'!K43</f>
        <v>0</v>
      </c>
      <c r="O53" s="675">
        <f>+'Yeşil Defter'!L43</f>
        <v>0</v>
      </c>
      <c r="P53" s="675">
        <f>+'Yeşil Defter'!M43</f>
        <v>0</v>
      </c>
      <c r="Q53" s="212"/>
      <c r="R53" s="606">
        <f t="shared" si="12"/>
        <v>0</v>
      </c>
      <c r="S53" s="247">
        <f t="shared" si="13"/>
        <v>0</v>
      </c>
      <c r="T53" s="248">
        <f t="shared" si="14"/>
        <v>0</v>
      </c>
      <c r="X53" s="23" t="str">
        <f t="shared" si="1"/>
        <v>-</v>
      </c>
    </row>
    <row r="54" spans="1:24" ht="30" customHeight="1" x14ac:dyDescent="0.3">
      <c r="A54" s="262" t="s">
        <v>151</v>
      </c>
      <c r="C54" s="244">
        <v>28</v>
      </c>
      <c r="D54" s="161" t="s">
        <v>281</v>
      </c>
      <c r="E54" s="969" t="s">
        <v>282</v>
      </c>
      <c r="F54" s="970"/>
      <c r="G54" s="971"/>
      <c r="H54" s="544" t="s">
        <v>225</v>
      </c>
      <c r="I54" s="257">
        <v>36167</v>
      </c>
      <c r="J54" s="606"/>
      <c r="K54" s="257">
        <v>3944.25</v>
      </c>
      <c r="L54" s="212">
        <f t="shared" si="5"/>
        <v>142651689.75</v>
      </c>
      <c r="M54" s="602"/>
      <c r="N54" s="675">
        <f>+'Yeşil Defter'!K44</f>
        <v>0</v>
      </c>
      <c r="O54" s="675">
        <f>+'Yeşil Defter'!L44</f>
        <v>0</v>
      </c>
      <c r="P54" s="675">
        <f>+'Yeşil Defter'!M44</f>
        <v>0</v>
      </c>
      <c r="Q54" s="212"/>
      <c r="R54" s="606">
        <f t="shared" si="12"/>
        <v>0</v>
      </c>
      <c r="S54" s="247">
        <f t="shared" si="13"/>
        <v>0</v>
      </c>
      <c r="T54" s="248">
        <f t="shared" si="14"/>
        <v>0</v>
      </c>
      <c r="X54" s="23" t="str">
        <f t="shared" si="1"/>
        <v>-</v>
      </c>
    </row>
    <row r="55" spans="1:24" ht="30" customHeight="1" x14ac:dyDescent="0.3">
      <c r="A55" s="262" t="s">
        <v>151</v>
      </c>
      <c r="C55" s="244">
        <v>29</v>
      </c>
      <c r="D55" s="161" t="s">
        <v>283</v>
      </c>
      <c r="E55" s="969" t="s">
        <v>1162</v>
      </c>
      <c r="F55" s="970"/>
      <c r="G55" s="971"/>
      <c r="H55" s="544" t="s">
        <v>225</v>
      </c>
      <c r="I55" s="257">
        <v>36167</v>
      </c>
      <c r="J55" s="606"/>
      <c r="K55" s="257">
        <v>920.13</v>
      </c>
      <c r="L55" s="212">
        <f t="shared" si="5"/>
        <v>33278341.710000001</v>
      </c>
      <c r="M55" s="602"/>
      <c r="N55" s="675">
        <f>+'Yeşil Defter'!K63</f>
        <v>0</v>
      </c>
      <c r="O55" s="675">
        <f>+'Yeşil Defter'!L63</f>
        <v>0</v>
      </c>
      <c r="P55" s="675">
        <f>+'Yeşil Defter'!M63</f>
        <v>0</v>
      </c>
      <c r="Q55" s="212"/>
      <c r="R55" s="606">
        <f t="shared" si="12"/>
        <v>0</v>
      </c>
      <c r="S55" s="247">
        <f t="shared" si="13"/>
        <v>0</v>
      </c>
      <c r="T55" s="248">
        <f t="shared" si="14"/>
        <v>0</v>
      </c>
      <c r="X55" s="23" t="str">
        <f t="shared" si="1"/>
        <v>-</v>
      </c>
    </row>
    <row r="56" spans="1:24" ht="30" customHeight="1" x14ac:dyDescent="0.3">
      <c r="A56" s="262" t="s">
        <v>151</v>
      </c>
      <c r="C56" s="244">
        <v>30</v>
      </c>
      <c r="D56" s="161" t="s">
        <v>284</v>
      </c>
      <c r="E56" s="969" t="s">
        <v>285</v>
      </c>
      <c r="F56" s="970"/>
      <c r="G56" s="971"/>
      <c r="H56" s="544" t="s">
        <v>286</v>
      </c>
      <c r="I56" s="257">
        <v>1125000</v>
      </c>
      <c r="J56" s="606"/>
      <c r="K56" s="257">
        <v>1</v>
      </c>
      <c r="L56" s="212">
        <f t="shared" si="5"/>
        <v>1125000</v>
      </c>
      <c r="M56" s="602"/>
      <c r="N56" s="675">
        <f>+'Yeşil Defter'!K64</f>
        <v>0</v>
      </c>
      <c r="O56" s="675">
        <f>+'Yeşil Defter'!L64</f>
        <v>0</v>
      </c>
      <c r="P56" s="675">
        <f>+'Yeşil Defter'!M64</f>
        <v>0</v>
      </c>
      <c r="Q56" s="212"/>
      <c r="R56" s="606">
        <f t="shared" si="12"/>
        <v>0</v>
      </c>
      <c r="S56" s="247">
        <f t="shared" si="13"/>
        <v>0</v>
      </c>
      <c r="T56" s="248">
        <f t="shared" si="14"/>
        <v>0</v>
      </c>
      <c r="X56" s="23" t="str">
        <f t="shared" si="1"/>
        <v>-</v>
      </c>
    </row>
    <row r="57" spans="1:24" ht="30" customHeight="1" x14ac:dyDescent="0.3">
      <c r="A57" s="262" t="s">
        <v>151</v>
      </c>
      <c r="C57" s="244">
        <v>31</v>
      </c>
      <c r="D57" s="161" t="s">
        <v>287</v>
      </c>
      <c r="E57" s="969" t="s">
        <v>288</v>
      </c>
      <c r="F57" s="970"/>
      <c r="G57" s="971"/>
      <c r="H57" s="544" t="s">
        <v>286</v>
      </c>
      <c r="I57" s="257">
        <v>1125000</v>
      </c>
      <c r="J57" s="606"/>
      <c r="K57" s="257">
        <v>1</v>
      </c>
      <c r="L57" s="212">
        <f t="shared" si="5"/>
        <v>1125000</v>
      </c>
      <c r="M57" s="602"/>
      <c r="N57" s="675">
        <f>+'Yeşil Defter'!K65</f>
        <v>0</v>
      </c>
      <c r="O57" s="675">
        <f>+'Yeşil Defter'!L65</f>
        <v>0</v>
      </c>
      <c r="P57" s="675">
        <f>+'Yeşil Defter'!M65</f>
        <v>0</v>
      </c>
      <c r="Q57" s="212"/>
      <c r="R57" s="606">
        <f t="shared" si="12"/>
        <v>0</v>
      </c>
      <c r="S57" s="247">
        <f t="shared" si="13"/>
        <v>0</v>
      </c>
      <c r="T57" s="248">
        <f t="shared" si="14"/>
        <v>0</v>
      </c>
      <c r="X57" s="23" t="str">
        <f t="shared" si="1"/>
        <v>-</v>
      </c>
    </row>
    <row r="58" spans="1:24" ht="30" customHeight="1" x14ac:dyDescent="0.3">
      <c r="A58" s="262" t="s">
        <v>151</v>
      </c>
      <c r="C58" s="244">
        <v>32</v>
      </c>
      <c r="D58" s="161" t="s">
        <v>289</v>
      </c>
      <c r="E58" s="969" t="s">
        <v>290</v>
      </c>
      <c r="F58" s="970"/>
      <c r="G58" s="971"/>
      <c r="H58" s="544" t="s">
        <v>286</v>
      </c>
      <c r="I58" s="257">
        <v>3000000</v>
      </c>
      <c r="J58" s="606"/>
      <c r="K58" s="257">
        <v>1</v>
      </c>
      <c r="L58" s="212">
        <f t="shared" si="5"/>
        <v>3000000</v>
      </c>
      <c r="M58" s="602"/>
      <c r="N58" s="675">
        <f>+'Yeşil Defter'!K66</f>
        <v>0</v>
      </c>
      <c r="O58" s="675">
        <f>+'Yeşil Defter'!L66</f>
        <v>0</v>
      </c>
      <c r="P58" s="675">
        <f>+'Yeşil Defter'!M66</f>
        <v>0</v>
      </c>
      <c r="Q58" s="212"/>
      <c r="R58" s="606">
        <f t="shared" si="12"/>
        <v>0</v>
      </c>
      <c r="S58" s="247">
        <f t="shared" si="13"/>
        <v>0</v>
      </c>
      <c r="T58" s="248">
        <f t="shared" si="14"/>
        <v>0</v>
      </c>
      <c r="X58" s="23" t="str">
        <f t="shared" si="1"/>
        <v>-</v>
      </c>
    </row>
    <row r="59" spans="1:24" ht="30" customHeight="1" x14ac:dyDescent="0.3">
      <c r="A59" s="262" t="s">
        <v>151</v>
      </c>
      <c r="C59" s="244">
        <v>33</v>
      </c>
      <c r="D59" s="161" t="s">
        <v>291</v>
      </c>
      <c r="E59" s="969" t="s">
        <v>292</v>
      </c>
      <c r="F59" s="970"/>
      <c r="G59" s="971"/>
      <c r="H59" s="544" t="s">
        <v>286</v>
      </c>
      <c r="I59" s="257">
        <v>2250000</v>
      </c>
      <c r="J59" s="606"/>
      <c r="K59" s="257">
        <v>1</v>
      </c>
      <c r="L59" s="212">
        <f t="shared" si="5"/>
        <v>2250000</v>
      </c>
      <c r="M59" s="602"/>
      <c r="N59" s="675">
        <f>+'Yeşil Defter'!K67</f>
        <v>0</v>
      </c>
      <c r="O59" s="675">
        <f>+'Yeşil Defter'!L67</f>
        <v>0</v>
      </c>
      <c r="P59" s="675">
        <f>+'Yeşil Defter'!M67</f>
        <v>0</v>
      </c>
      <c r="Q59" s="212"/>
      <c r="R59" s="606">
        <f t="shared" si="12"/>
        <v>0</v>
      </c>
      <c r="S59" s="247">
        <f t="shared" si="13"/>
        <v>0</v>
      </c>
      <c r="T59" s="248">
        <f t="shared" si="14"/>
        <v>0</v>
      </c>
      <c r="X59" s="23" t="str">
        <f t="shared" si="1"/>
        <v>-</v>
      </c>
    </row>
    <row r="60" spans="1:24" ht="30" customHeight="1" x14ac:dyDescent="0.3">
      <c r="A60" s="262" t="s">
        <v>151</v>
      </c>
      <c r="C60" s="244">
        <v>34</v>
      </c>
      <c r="D60" s="161" t="s">
        <v>293</v>
      </c>
      <c r="E60" s="969" t="s">
        <v>294</v>
      </c>
      <c r="F60" s="970"/>
      <c r="G60" s="971"/>
      <c r="H60" s="544" t="s">
        <v>225</v>
      </c>
      <c r="I60" s="257">
        <v>2400</v>
      </c>
      <c r="J60" s="606"/>
      <c r="K60" s="257">
        <v>5500</v>
      </c>
      <c r="L60" s="212">
        <f t="shared" si="5"/>
        <v>13200000</v>
      </c>
      <c r="M60" s="602"/>
      <c r="N60" s="675">
        <f>+'Yeşil Defter'!K68</f>
        <v>0</v>
      </c>
      <c r="O60" s="675">
        <f>+'Yeşil Defter'!L68</f>
        <v>0</v>
      </c>
      <c r="P60" s="675">
        <f>+'Yeşil Defter'!M68</f>
        <v>0</v>
      </c>
      <c r="Q60" s="212"/>
      <c r="R60" s="606">
        <f t="shared" si="12"/>
        <v>0</v>
      </c>
      <c r="S60" s="247">
        <f t="shared" si="13"/>
        <v>0</v>
      </c>
      <c r="T60" s="248">
        <f t="shared" si="14"/>
        <v>0</v>
      </c>
      <c r="X60" s="23" t="str">
        <f t="shared" si="1"/>
        <v>-</v>
      </c>
    </row>
    <row r="61" spans="1:24" ht="30" customHeight="1" x14ac:dyDescent="0.3">
      <c r="A61" s="262" t="s">
        <v>151</v>
      </c>
      <c r="C61" s="244">
        <v>35</v>
      </c>
      <c r="D61" s="161" t="s">
        <v>295</v>
      </c>
      <c r="E61" s="969" t="s">
        <v>296</v>
      </c>
      <c r="F61" s="970"/>
      <c r="G61" s="971"/>
      <c r="H61" s="544" t="s">
        <v>225</v>
      </c>
      <c r="I61" s="257">
        <v>2400</v>
      </c>
      <c r="J61" s="606"/>
      <c r="K61" s="257">
        <v>6500</v>
      </c>
      <c r="L61" s="212">
        <f t="shared" si="5"/>
        <v>15600000</v>
      </c>
      <c r="M61" s="602"/>
      <c r="N61" s="675">
        <f>+'Yeşil Defter'!K69</f>
        <v>0</v>
      </c>
      <c r="O61" s="675">
        <f>+'Yeşil Defter'!L69</f>
        <v>0</v>
      </c>
      <c r="P61" s="675">
        <f>+'Yeşil Defter'!M69</f>
        <v>0</v>
      </c>
      <c r="Q61" s="212"/>
      <c r="R61" s="606">
        <f t="shared" si="12"/>
        <v>0</v>
      </c>
      <c r="S61" s="247">
        <f t="shared" si="13"/>
        <v>0</v>
      </c>
      <c r="T61" s="248">
        <f t="shared" si="14"/>
        <v>0</v>
      </c>
      <c r="X61" s="23" t="str">
        <f t="shared" si="1"/>
        <v>-</v>
      </c>
    </row>
    <row r="62" spans="1:24" ht="30" customHeight="1" x14ac:dyDescent="0.3">
      <c r="A62" s="262" t="s">
        <v>151</v>
      </c>
      <c r="C62" s="244">
        <v>36</v>
      </c>
      <c r="D62" s="161" t="s">
        <v>297</v>
      </c>
      <c r="E62" s="969" t="s">
        <v>298</v>
      </c>
      <c r="F62" s="970"/>
      <c r="G62" s="971"/>
      <c r="H62" s="544" t="s">
        <v>225</v>
      </c>
      <c r="I62" s="257">
        <v>2400</v>
      </c>
      <c r="J62" s="606"/>
      <c r="K62" s="257">
        <v>8000</v>
      </c>
      <c r="L62" s="212">
        <f t="shared" si="5"/>
        <v>19200000</v>
      </c>
      <c r="M62" s="602"/>
      <c r="N62" s="675">
        <f>+'Yeşil Defter'!K70</f>
        <v>0</v>
      </c>
      <c r="O62" s="675">
        <f>+'Yeşil Defter'!L70</f>
        <v>0</v>
      </c>
      <c r="P62" s="675">
        <f>+'Yeşil Defter'!M70</f>
        <v>0</v>
      </c>
      <c r="Q62" s="212"/>
      <c r="R62" s="606">
        <f t="shared" si="12"/>
        <v>0</v>
      </c>
      <c r="S62" s="247">
        <f t="shared" si="13"/>
        <v>0</v>
      </c>
      <c r="T62" s="248">
        <f t="shared" si="14"/>
        <v>0</v>
      </c>
      <c r="X62" s="23" t="str">
        <f t="shared" si="1"/>
        <v>-</v>
      </c>
    </row>
    <row r="63" spans="1:24" ht="30" customHeight="1" x14ac:dyDescent="0.3">
      <c r="A63" s="262" t="s">
        <v>151</v>
      </c>
      <c r="C63" s="244">
        <v>37</v>
      </c>
      <c r="D63" s="161" t="s">
        <v>299</v>
      </c>
      <c r="E63" s="969" t="s">
        <v>300</v>
      </c>
      <c r="F63" s="970"/>
      <c r="G63" s="971"/>
      <c r="H63" s="544" t="s">
        <v>225</v>
      </c>
      <c r="I63" s="257">
        <v>2400</v>
      </c>
      <c r="J63" s="606"/>
      <c r="K63" s="257">
        <v>20500</v>
      </c>
      <c r="L63" s="212">
        <f t="shared" si="5"/>
        <v>49200000</v>
      </c>
      <c r="M63" s="602"/>
      <c r="N63" s="675">
        <f>+'Yeşil Defter'!K71</f>
        <v>0</v>
      </c>
      <c r="O63" s="675">
        <f>+'Yeşil Defter'!L71</f>
        <v>0</v>
      </c>
      <c r="P63" s="675">
        <f>+'Yeşil Defter'!M71</f>
        <v>0</v>
      </c>
      <c r="Q63" s="212"/>
      <c r="R63" s="606">
        <f t="shared" si="12"/>
        <v>0</v>
      </c>
      <c r="S63" s="247">
        <f t="shared" si="13"/>
        <v>0</v>
      </c>
      <c r="T63" s="248">
        <f t="shared" si="14"/>
        <v>0</v>
      </c>
      <c r="X63" s="23" t="str">
        <f t="shared" si="1"/>
        <v>-</v>
      </c>
    </row>
    <row r="64" spans="1:24" ht="30" customHeight="1" x14ac:dyDescent="0.3">
      <c r="A64" s="262" t="s">
        <v>151</v>
      </c>
      <c r="C64" s="244">
        <v>38</v>
      </c>
      <c r="D64" s="161" t="s">
        <v>301</v>
      </c>
      <c r="E64" s="969" t="s">
        <v>302</v>
      </c>
      <c r="F64" s="970"/>
      <c r="G64" s="971"/>
      <c r="H64" s="544" t="s">
        <v>286</v>
      </c>
      <c r="I64" s="257">
        <v>6167886</v>
      </c>
      <c r="J64" s="606"/>
      <c r="K64" s="257">
        <v>1</v>
      </c>
      <c r="L64" s="212">
        <f t="shared" si="5"/>
        <v>6167886</v>
      </c>
      <c r="M64" s="602"/>
      <c r="N64" s="675">
        <f>+'Yeşil Defter'!K72</f>
        <v>0</v>
      </c>
      <c r="O64" s="675">
        <f>+'Yeşil Defter'!L72</f>
        <v>0</v>
      </c>
      <c r="P64" s="675">
        <f>+'Yeşil Defter'!M72</f>
        <v>0</v>
      </c>
      <c r="Q64" s="511"/>
      <c r="R64" s="606">
        <f t="shared" si="12"/>
        <v>0</v>
      </c>
      <c r="S64" s="247">
        <f t="shared" si="13"/>
        <v>0</v>
      </c>
      <c r="T64" s="248">
        <f t="shared" si="14"/>
        <v>0</v>
      </c>
      <c r="X64" s="23" t="str">
        <f t="shared" si="1"/>
        <v>-</v>
      </c>
    </row>
    <row r="65" spans="1:24" ht="30" customHeight="1" x14ac:dyDescent="0.3">
      <c r="A65" s="262" t="s">
        <v>151</v>
      </c>
      <c r="C65" s="244">
        <v>39</v>
      </c>
      <c r="D65" s="161" t="s">
        <v>303</v>
      </c>
      <c r="E65" s="969" t="s">
        <v>304</v>
      </c>
      <c r="F65" s="970"/>
      <c r="G65" s="971"/>
      <c r="H65" s="544" t="s">
        <v>286</v>
      </c>
      <c r="I65" s="257">
        <v>6167886</v>
      </c>
      <c r="J65" s="606"/>
      <c r="K65" s="257">
        <v>1</v>
      </c>
      <c r="L65" s="212">
        <f t="shared" si="5"/>
        <v>6167886</v>
      </c>
      <c r="M65" s="602"/>
      <c r="N65" s="675">
        <f>+'Yeşil Defter'!K73</f>
        <v>0</v>
      </c>
      <c r="O65" s="675">
        <f>+'Yeşil Defter'!L73</f>
        <v>0</v>
      </c>
      <c r="P65" s="675">
        <f>+'Yeşil Defter'!M73</f>
        <v>0</v>
      </c>
      <c r="Q65" s="511"/>
      <c r="R65" s="606">
        <f t="shared" si="12"/>
        <v>0</v>
      </c>
      <c r="S65" s="247">
        <f t="shared" si="13"/>
        <v>0</v>
      </c>
      <c r="T65" s="248">
        <f t="shared" si="14"/>
        <v>0</v>
      </c>
      <c r="X65" s="23" t="str">
        <f t="shared" si="1"/>
        <v>-</v>
      </c>
    </row>
    <row r="66" spans="1:24" ht="30" customHeight="1" x14ac:dyDescent="0.3">
      <c r="A66" s="262" t="s">
        <v>151</v>
      </c>
      <c r="C66" s="244">
        <v>40</v>
      </c>
      <c r="D66" s="161" t="s">
        <v>305</v>
      </c>
      <c r="E66" s="969" t="s">
        <v>306</v>
      </c>
      <c r="F66" s="970"/>
      <c r="G66" s="971"/>
      <c r="H66" s="544" t="s">
        <v>286</v>
      </c>
      <c r="I66" s="257">
        <v>14017922</v>
      </c>
      <c r="J66" s="606"/>
      <c r="K66" s="257">
        <v>1</v>
      </c>
      <c r="L66" s="212">
        <f t="shared" si="5"/>
        <v>14017922</v>
      </c>
      <c r="M66" s="602"/>
      <c r="N66" s="675">
        <f>+'Yeşil Defter'!K74</f>
        <v>0</v>
      </c>
      <c r="O66" s="675">
        <f>+'Yeşil Defter'!L74</f>
        <v>0</v>
      </c>
      <c r="P66" s="675">
        <f>+'Yeşil Defter'!M74</f>
        <v>0</v>
      </c>
      <c r="Q66" s="511"/>
      <c r="R66" s="606">
        <f t="shared" si="12"/>
        <v>0</v>
      </c>
      <c r="S66" s="247">
        <f t="shared" si="13"/>
        <v>0</v>
      </c>
      <c r="T66" s="248">
        <f t="shared" si="14"/>
        <v>0</v>
      </c>
      <c r="X66" s="23" t="str">
        <f t="shared" si="1"/>
        <v>-</v>
      </c>
    </row>
    <row r="67" spans="1:24" ht="30" customHeight="1" x14ac:dyDescent="0.3">
      <c r="A67" s="262" t="s">
        <v>151</v>
      </c>
      <c r="C67" s="244">
        <v>41</v>
      </c>
      <c r="D67" s="161" t="s">
        <v>307</v>
      </c>
      <c r="E67" s="969" t="s">
        <v>308</v>
      </c>
      <c r="F67" s="970"/>
      <c r="G67" s="971"/>
      <c r="H67" s="544" t="s">
        <v>286</v>
      </c>
      <c r="I67" s="257">
        <v>14017922</v>
      </c>
      <c r="J67" s="606"/>
      <c r="K67" s="257">
        <v>1</v>
      </c>
      <c r="L67" s="212">
        <f t="shared" si="5"/>
        <v>14017922</v>
      </c>
      <c r="M67" s="602"/>
      <c r="N67" s="675">
        <f>+'Yeşil Defter'!K75</f>
        <v>0</v>
      </c>
      <c r="O67" s="675">
        <f>+'Yeşil Defter'!L75</f>
        <v>0</v>
      </c>
      <c r="P67" s="675">
        <f>+'Yeşil Defter'!M75</f>
        <v>0</v>
      </c>
      <c r="Q67" s="511"/>
      <c r="R67" s="606">
        <f t="shared" si="12"/>
        <v>0</v>
      </c>
      <c r="S67" s="247">
        <f t="shared" si="13"/>
        <v>0</v>
      </c>
      <c r="T67" s="248">
        <f t="shared" si="14"/>
        <v>0</v>
      </c>
      <c r="X67" s="23" t="str">
        <f t="shared" si="1"/>
        <v>-</v>
      </c>
    </row>
    <row r="68" spans="1:24" ht="30" customHeight="1" x14ac:dyDescent="0.3">
      <c r="A68" s="262" t="s">
        <v>151</v>
      </c>
      <c r="C68" s="244">
        <v>42</v>
      </c>
      <c r="D68" s="161" t="s">
        <v>309</v>
      </c>
      <c r="E68" s="969" t="s">
        <v>310</v>
      </c>
      <c r="F68" s="970"/>
      <c r="G68" s="971"/>
      <c r="H68" s="544" t="s">
        <v>286</v>
      </c>
      <c r="I68" s="257">
        <v>6167886</v>
      </c>
      <c r="J68" s="606"/>
      <c r="K68" s="257">
        <v>1</v>
      </c>
      <c r="L68" s="212">
        <f t="shared" si="5"/>
        <v>6167886</v>
      </c>
      <c r="M68" s="602"/>
      <c r="N68" s="675">
        <f>+'Yeşil Defter'!K76</f>
        <v>0</v>
      </c>
      <c r="O68" s="675">
        <f>+'Yeşil Defter'!L76</f>
        <v>0</v>
      </c>
      <c r="P68" s="675">
        <f>+'Yeşil Defter'!M76</f>
        <v>0</v>
      </c>
      <c r="Q68" s="511"/>
      <c r="R68" s="606">
        <f t="shared" si="12"/>
        <v>0</v>
      </c>
      <c r="S68" s="247">
        <f t="shared" si="13"/>
        <v>0</v>
      </c>
      <c r="T68" s="248">
        <f t="shared" si="14"/>
        <v>0</v>
      </c>
      <c r="X68" s="23" t="str">
        <f t="shared" si="1"/>
        <v>-</v>
      </c>
    </row>
    <row r="69" spans="1:24" ht="30" customHeight="1" x14ac:dyDescent="0.3">
      <c r="A69" s="262" t="s">
        <v>151</v>
      </c>
      <c r="C69" s="244">
        <v>43</v>
      </c>
      <c r="D69" s="161" t="s">
        <v>311</v>
      </c>
      <c r="E69" s="969" t="s">
        <v>312</v>
      </c>
      <c r="F69" s="970"/>
      <c r="G69" s="971"/>
      <c r="H69" s="544" t="s">
        <v>286</v>
      </c>
      <c r="I69" s="257">
        <v>15419714</v>
      </c>
      <c r="J69" s="606"/>
      <c r="K69" s="257">
        <v>1</v>
      </c>
      <c r="L69" s="212">
        <f t="shared" si="5"/>
        <v>15419714</v>
      </c>
      <c r="M69" s="602"/>
      <c r="N69" s="675">
        <f>+'Yeşil Defter'!K77</f>
        <v>0</v>
      </c>
      <c r="O69" s="675">
        <f>+'Yeşil Defter'!L77</f>
        <v>0</v>
      </c>
      <c r="P69" s="675">
        <f>+'Yeşil Defter'!M77</f>
        <v>0</v>
      </c>
      <c r="Q69" s="511"/>
      <c r="R69" s="606">
        <f t="shared" si="12"/>
        <v>0</v>
      </c>
      <c r="S69" s="247">
        <f t="shared" si="13"/>
        <v>0</v>
      </c>
      <c r="T69" s="248">
        <f t="shared" si="14"/>
        <v>0</v>
      </c>
      <c r="X69" s="23" t="str">
        <f t="shared" si="1"/>
        <v>-</v>
      </c>
    </row>
    <row r="70" spans="1:24" ht="40.049999999999997" customHeight="1" x14ac:dyDescent="0.3">
      <c r="A70" s="262" t="s">
        <v>1242</v>
      </c>
      <c r="C70" s="258"/>
      <c r="D70" s="258"/>
      <c r="E70" s="972" t="s">
        <v>33</v>
      </c>
      <c r="F70" s="972"/>
      <c r="G70" s="972"/>
      <c r="H70" s="973" t="s">
        <v>29</v>
      </c>
      <c r="I70" s="973"/>
      <c r="J70" s="973"/>
      <c r="K70" s="973"/>
      <c r="L70" s="973"/>
      <c r="M70" s="549"/>
      <c r="N70" s="973" t="s">
        <v>22</v>
      </c>
      <c r="O70" s="973"/>
      <c r="P70" s="973"/>
      <c r="Q70" s="973"/>
      <c r="R70" s="973"/>
      <c r="S70" s="973"/>
      <c r="T70" s="973"/>
      <c r="X70" s="23"/>
    </row>
    <row r="71" spans="1:24" ht="19.95" customHeight="1" x14ac:dyDescent="0.3">
      <c r="A71" s="262" t="s">
        <v>1242</v>
      </c>
      <c r="D71" s="28"/>
      <c r="E71" s="974" t="s">
        <v>1214</v>
      </c>
      <c r="F71" s="974"/>
      <c r="G71" s="974"/>
      <c r="H71" s="975" t="s">
        <v>38</v>
      </c>
      <c r="I71" s="975"/>
      <c r="J71" s="975"/>
      <c r="K71" s="975"/>
      <c r="L71" s="975"/>
      <c r="M71" s="562"/>
      <c r="N71" s="975" t="s">
        <v>1437</v>
      </c>
      <c r="O71" s="975"/>
      <c r="P71" s="975"/>
      <c r="Q71" s="975"/>
      <c r="R71" s="975"/>
      <c r="S71" s="975"/>
      <c r="T71" s="975"/>
      <c r="X71" s="23"/>
    </row>
    <row r="72" spans="1:24" ht="19.95" customHeight="1" x14ac:dyDescent="0.3">
      <c r="A72" s="262" t="s">
        <v>1242</v>
      </c>
      <c r="C72" s="228"/>
      <c r="D72" s="228"/>
      <c r="E72" s="561"/>
      <c r="F72" s="561"/>
      <c r="G72" s="561"/>
      <c r="H72" s="228"/>
      <c r="I72" s="260"/>
      <c r="J72" s="260"/>
      <c r="K72" s="260"/>
      <c r="L72" s="260"/>
      <c r="M72" s="260"/>
      <c r="N72" s="975"/>
      <c r="O72" s="975"/>
      <c r="P72" s="975"/>
      <c r="Q72" s="975"/>
      <c r="R72" s="975"/>
      <c r="S72" s="975"/>
      <c r="T72" s="975"/>
      <c r="X72" s="23"/>
    </row>
    <row r="73" spans="1:24" ht="19.95" customHeight="1" x14ac:dyDescent="0.3">
      <c r="A73" s="262" t="s">
        <v>1242</v>
      </c>
      <c r="C73" s="228"/>
      <c r="D73" s="228"/>
      <c r="E73" s="561"/>
      <c r="F73" s="561"/>
      <c r="G73" s="561"/>
      <c r="H73" s="228"/>
      <c r="I73" s="260"/>
      <c r="J73" s="260"/>
      <c r="K73" s="260"/>
      <c r="L73" s="260"/>
      <c r="M73" s="260"/>
      <c r="N73" s="975"/>
      <c r="O73" s="975"/>
      <c r="P73" s="975"/>
      <c r="Q73" s="975"/>
      <c r="R73" s="975"/>
      <c r="S73" s="975"/>
      <c r="T73" s="975"/>
      <c r="X73" s="23"/>
    </row>
    <row r="74" spans="1:24" ht="19.95" customHeight="1" x14ac:dyDescent="0.3">
      <c r="A74" s="262" t="s">
        <v>1242</v>
      </c>
      <c r="C74" s="228"/>
      <c r="D74" s="228"/>
      <c r="E74" s="561"/>
      <c r="F74" s="561"/>
      <c r="G74" s="561"/>
      <c r="H74" s="228"/>
      <c r="I74" s="260"/>
      <c r="J74" s="260"/>
      <c r="K74" s="260"/>
      <c r="L74" s="260"/>
      <c r="M74" s="260"/>
      <c r="N74" s="260"/>
      <c r="O74" s="260"/>
      <c r="P74" s="260"/>
      <c r="Q74" s="260"/>
      <c r="R74" s="260"/>
      <c r="S74" s="624"/>
      <c r="T74" s="260"/>
      <c r="X74" s="23"/>
    </row>
    <row r="75" spans="1:24" ht="19.95" customHeight="1" x14ac:dyDescent="0.3">
      <c r="A75" s="262" t="s">
        <v>1242</v>
      </c>
      <c r="C75" s="228"/>
      <c r="D75" s="228"/>
      <c r="E75" s="561"/>
      <c r="F75" s="561"/>
      <c r="G75" s="561"/>
      <c r="H75" s="975" t="s">
        <v>32</v>
      </c>
      <c r="I75" s="975"/>
      <c r="J75" s="562"/>
      <c r="K75" s="975" t="s">
        <v>1407</v>
      </c>
      <c r="L75" s="975"/>
      <c r="M75" s="562"/>
      <c r="N75" s="968" t="s">
        <v>54</v>
      </c>
      <c r="O75" s="968"/>
      <c r="P75" s="968" t="s">
        <v>1218</v>
      </c>
      <c r="Q75" s="968"/>
      <c r="R75" s="968"/>
      <c r="S75" s="981" t="s">
        <v>55</v>
      </c>
      <c r="T75" s="981"/>
      <c r="X75" s="23"/>
    </row>
    <row r="76" spans="1:24" ht="19.95" customHeight="1" x14ac:dyDescent="0.3">
      <c r="A76" s="262" t="s">
        <v>1242</v>
      </c>
      <c r="C76" s="228"/>
      <c r="D76" s="228"/>
      <c r="E76" s="561"/>
      <c r="F76" s="561"/>
      <c r="G76" s="561"/>
      <c r="H76" s="976" t="s">
        <v>94</v>
      </c>
      <c r="I76" s="976"/>
      <c r="J76" s="623"/>
      <c r="K76" s="976" t="s">
        <v>94</v>
      </c>
      <c r="L76" s="976"/>
      <c r="M76" s="623"/>
      <c r="N76" s="968" t="s">
        <v>1484</v>
      </c>
      <c r="O76" s="968"/>
      <c r="P76" s="968" t="s">
        <v>1484</v>
      </c>
      <c r="Q76" s="968"/>
      <c r="R76" s="968"/>
      <c r="S76" s="968" t="s">
        <v>1484</v>
      </c>
      <c r="T76" s="968"/>
      <c r="X76" s="23"/>
    </row>
    <row r="77" spans="1:24" ht="19.95" customHeight="1" x14ac:dyDescent="0.3">
      <c r="A77" s="262" t="s">
        <v>1242</v>
      </c>
      <c r="C77" s="228"/>
      <c r="D77" s="228"/>
      <c r="E77" s="561"/>
      <c r="F77" s="561"/>
      <c r="G77" s="561"/>
      <c r="H77" s="976"/>
      <c r="I77" s="976"/>
      <c r="J77" s="623"/>
      <c r="K77" s="976"/>
      <c r="L77" s="976"/>
      <c r="M77" s="623"/>
      <c r="N77" s="968"/>
      <c r="O77" s="968"/>
      <c r="P77" s="968"/>
      <c r="Q77" s="968"/>
      <c r="R77" s="968"/>
      <c r="S77" s="981"/>
      <c r="T77" s="981"/>
      <c r="X77" s="23"/>
    </row>
    <row r="78" spans="1:24" ht="19.95" customHeight="1" x14ac:dyDescent="0.3">
      <c r="A78" s="262" t="s">
        <v>1242</v>
      </c>
      <c r="C78" s="228"/>
      <c r="D78" s="228"/>
      <c r="E78" s="561"/>
      <c r="F78" s="561"/>
      <c r="G78" s="561"/>
      <c r="H78" s="228"/>
      <c r="I78" s="260"/>
      <c r="J78" s="260"/>
      <c r="K78" s="260"/>
      <c r="L78" s="260"/>
      <c r="M78" s="260"/>
      <c r="N78" s="260"/>
      <c r="O78" s="260"/>
      <c r="P78" s="260"/>
      <c r="Q78" s="260"/>
      <c r="R78" s="260"/>
      <c r="S78" s="624"/>
      <c r="T78" s="260"/>
      <c r="X78" s="23"/>
    </row>
    <row r="79" spans="1:24" ht="19.95" customHeight="1" x14ac:dyDescent="0.3">
      <c r="A79" s="262" t="s">
        <v>1242</v>
      </c>
      <c r="C79" s="228"/>
      <c r="D79" s="228"/>
      <c r="E79" s="975" t="s">
        <v>1215</v>
      </c>
      <c r="F79" s="975"/>
      <c r="G79" s="975"/>
      <c r="H79" s="975" t="s">
        <v>1348</v>
      </c>
      <c r="I79" s="975"/>
      <c r="J79" s="975"/>
      <c r="K79" s="975"/>
      <c r="L79" s="975"/>
      <c r="M79" s="562"/>
      <c r="N79" s="977" t="s">
        <v>1217</v>
      </c>
      <c r="O79" s="968"/>
      <c r="P79" s="968"/>
      <c r="Q79" s="968"/>
      <c r="R79" s="968"/>
      <c r="S79" s="968"/>
      <c r="T79" s="968"/>
      <c r="X79" s="23"/>
    </row>
    <row r="80" spans="1:24" ht="19.95" customHeight="1" x14ac:dyDescent="0.3">
      <c r="A80" s="262" t="s">
        <v>1290</v>
      </c>
      <c r="C80" s="228"/>
      <c r="D80" s="228"/>
      <c r="E80" s="975"/>
      <c r="F80" s="975"/>
      <c r="G80" s="975"/>
      <c r="H80" s="975"/>
      <c r="I80" s="975"/>
      <c r="J80" s="975"/>
      <c r="K80" s="975"/>
      <c r="L80" s="975"/>
      <c r="M80" s="562"/>
      <c r="N80" s="968"/>
      <c r="O80" s="968"/>
      <c r="P80" s="968"/>
      <c r="Q80" s="968"/>
      <c r="R80" s="968"/>
      <c r="S80" s="968"/>
      <c r="T80" s="968"/>
      <c r="X80" s="23"/>
    </row>
    <row r="81" spans="1:24" ht="30" customHeight="1" x14ac:dyDescent="0.3">
      <c r="A81" s="262" t="s">
        <v>151</v>
      </c>
      <c r="C81" s="255">
        <v>44</v>
      </c>
      <c r="D81" s="256" t="s">
        <v>313</v>
      </c>
      <c r="E81" s="978" t="s">
        <v>314</v>
      </c>
      <c r="F81" s="979"/>
      <c r="G81" s="980"/>
      <c r="H81" s="546" t="s">
        <v>286</v>
      </c>
      <c r="I81" s="257">
        <v>4205377</v>
      </c>
      <c r="J81" s="606"/>
      <c r="K81" s="257">
        <v>1</v>
      </c>
      <c r="L81" s="257">
        <f>+ROUND(I81*K81,2)</f>
        <v>4205377</v>
      </c>
      <c r="M81" s="602"/>
      <c r="N81" s="675">
        <f>+'Yeşil Defter'!K78</f>
        <v>0</v>
      </c>
      <c r="O81" s="675">
        <f>+'Yeşil Defter'!L78</f>
        <v>0</v>
      </c>
      <c r="P81" s="675">
        <f>+'Yeşil Defter'!M78</f>
        <v>0</v>
      </c>
      <c r="Q81" s="257"/>
      <c r="R81" s="606">
        <f t="shared" ref="R81" si="15">+ROUND(I81*N81,2)</f>
        <v>0</v>
      </c>
      <c r="S81" s="247">
        <f t="shared" ref="S81" si="16">+T81-R81</f>
        <v>0</v>
      </c>
      <c r="T81" s="248">
        <f t="shared" ref="T81" si="17">+ROUND(I81*P81,2)</f>
        <v>0</v>
      </c>
      <c r="X81" s="23" t="str">
        <f t="shared" ref="X81:X137" si="18">IF(AND(P82&gt;K82*1.2, (P82-K82)*I82 &gt; $L$13*0.01), "RBF", "-")</f>
        <v>-</v>
      </c>
    </row>
    <row r="82" spans="1:24" ht="30" customHeight="1" x14ac:dyDescent="0.3">
      <c r="A82" s="262" t="s">
        <v>151</v>
      </c>
      <c r="C82" s="244">
        <v>45</v>
      </c>
      <c r="D82" s="161" t="s">
        <v>315</v>
      </c>
      <c r="E82" s="969" t="s">
        <v>316</v>
      </c>
      <c r="F82" s="970"/>
      <c r="G82" s="971"/>
      <c r="H82" s="544" t="s">
        <v>286</v>
      </c>
      <c r="I82" s="212">
        <v>4205377</v>
      </c>
      <c r="J82" s="605"/>
      <c r="K82" s="212">
        <v>1</v>
      </c>
      <c r="L82" s="212">
        <f>+ROUND(I82*K82,2)</f>
        <v>4205377</v>
      </c>
      <c r="M82" s="602"/>
      <c r="N82" s="675">
        <f>+'Yeşil Defter'!K79</f>
        <v>0</v>
      </c>
      <c r="O82" s="675">
        <f>+'Yeşil Defter'!L79</f>
        <v>0</v>
      </c>
      <c r="P82" s="675">
        <f>+'Yeşil Defter'!M79</f>
        <v>0</v>
      </c>
      <c r="Q82" s="212"/>
      <c r="R82" s="606">
        <f t="shared" ref="R82:R85" si="19">+ROUND(I82*N82,2)</f>
        <v>0</v>
      </c>
      <c r="S82" s="247">
        <f t="shared" ref="S82:S85" si="20">+T82-R82</f>
        <v>0</v>
      </c>
      <c r="T82" s="248">
        <f t="shared" ref="T82:T85" si="21">+ROUND(I82*P82,2)</f>
        <v>0</v>
      </c>
      <c r="X82" s="23" t="str">
        <f t="shared" si="18"/>
        <v>-</v>
      </c>
    </row>
    <row r="83" spans="1:24" ht="30" customHeight="1" x14ac:dyDescent="0.3">
      <c r="A83" s="262" t="s">
        <v>151</v>
      </c>
      <c r="C83" s="244">
        <v>46</v>
      </c>
      <c r="D83" s="161" t="s">
        <v>317</v>
      </c>
      <c r="E83" s="969" t="s">
        <v>318</v>
      </c>
      <c r="F83" s="970"/>
      <c r="G83" s="971"/>
      <c r="H83" s="544" t="s">
        <v>286</v>
      </c>
      <c r="I83" s="212">
        <v>5326810</v>
      </c>
      <c r="J83" s="605"/>
      <c r="K83" s="212">
        <v>1</v>
      </c>
      <c r="L83" s="212">
        <f>+ROUND(I83*K83,2)</f>
        <v>5326810</v>
      </c>
      <c r="M83" s="602"/>
      <c r="N83" s="675">
        <f>+'Yeşil Defter'!K80</f>
        <v>0</v>
      </c>
      <c r="O83" s="675">
        <f>+'Yeşil Defter'!L80</f>
        <v>0</v>
      </c>
      <c r="P83" s="675">
        <f>+'Yeşil Defter'!M80</f>
        <v>0</v>
      </c>
      <c r="Q83" s="212"/>
      <c r="R83" s="606">
        <f t="shared" si="19"/>
        <v>0</v>
      </c>
      <c r="S83" s="247">
        <f t="shared" si="20"/>
        <v>0</v>
      </c>
      <c r="T83" s="248">
        <f t="shared" si="21"/>
        <v>0</v>
      </c>
      <c r="X83" s="23" t="str">
        <f t="shared" si="18"/>
        <v>-</v>
      </c>
    </row>
    <row r="84" spans="1:24" ht="30" customHeight="1" x14ac:dyDescent="0.3">
      <c r="A84" s="262" t="s">
        <v>151</v>
      </c>
      <c r="C84" s="244">
        <v>47</v>
      </c>
      <c r="D84" s="161" t="s">
        <v>319</v>
      </c>
      <c r="E84" s="969" t="s">
        <v>320</v>
      </c>
      <c r="F84" s="970"/>
      <c r="G84" s="971"/>
      <c r="H84" s="544" t="s">
        <v>286</v>
      </c>
      <c r="I84" s="212">
        <v>5326810</v>
      </c>
      <c r="J84" s="605"/>
      <c r="K84" s="212">
        <v>1</v>
      </c>
      <c r="L84" s="212">
        <f>+ROUND(I84*K84,2)</f>
        <v>5326810</v>
      </c>
      <c r="M84" s="602"/>
      <c r="N84" s="675">
        <f>+'Yeşil Defter'!K81</f>
        <v>0</v>
      </c>
      <c r="O84" s="675">
        <f>+'Yeşil Defter'!L81</f>
        <v>0</v>
      </c>
      <c r="P84" s="675">
        <f>+'Yeşil Defter'!M81</f>
        <v>0</v>
      </c>
      <c r="Q84" s="212"/>
      <c r="R84" s="606">
        <f t="shared" si="19"/>
        <v>0</v>
      </c>
      <c r="S84" s="247">
        <f t="shared" si="20"/>
        <v>0</v>
      </c>
      <c r="T84" s="248">
        <f t="shared" si="21"/>
        <v>0</v>
      </c>
      <c r="X84" s="23" t="str">
        <f t="shared" si="18"/>
        <v>-</v>
      </c>
    </row>
    <row r="85" spans="1:24" ht="30" customHeight="1" x14ac:dyDescent="0.3">
      <c r="A85" s="262" t="s">
        <v>151</v>
      </c>
      <c r="C85" s="244">
        <v>48</v>
      </c>
      <c r="D85" s="161" t="s">
        <v>321</v>
      </c>
      <c r="E85" s="969" t="s">
        <v>322</v>
      </c>
      <c r="F85" s="970"/>
      <c r="G85" s="971"/>
      <c r="H85" s="544" t="s">
        <v>286</v>
      </c>
      <c r="I85" s="212">
        <v>4205377</v>
      </c>
      <c r="J85" s="605"/>
      <c r="K85" s="212">
        <v>1</v>
      </c>
      <c r="L85" s="341">
        <f>+ROUND(I85*K85,2)</f>
        <v>4205377</v>
      </c>
      <c r="M85" s="212"/>
      <c r="N85" s="675">
        <f>+'Yeşil Defter'!K82</f>
        <v>0</v>
      </c>
      <c r="O85" s="675">
        <f>+'Yeşil Defter'!L82</f>
        <v>0</v>
      </c>
      <c r="P85" s="675">
        <f>+'Yeşil Defter'!M82</f>
        <v>0</v>
      </c>
      <c r="Q85" s="212"/>
      <c r="R85" s="606">
        <f t="shared" si="19"/>
        <v>0</v>
      </c>
      <c r="S85" s="247">
        <f t="shared" si="20"/>
        <v>0</v>
      </c>
      <c r="T85" s="248">
        <f t="shared" si="21"/>
        <v>0</v>
      </c>
      <c r="X85" s="23" t="str">
        <f t="shared" si="18"/>
        <v>-</v>
      </c>
    </row>
    <row r="86" spans="1:24" ht="30" customHeight="1" x14ac:dyDescent="0.3">
      <c r="A86" s="262" t="s">
        <v>151</v>
      </c>
      <c r="C86" s="244"/>
      <c r="D86" s="161"/>
      <c r="E86" s="969"/>
      <c r="F86" s="970"/>
      <c r="G86" s="971"/>
      <c r="H86" s="161"/>
      <c r="I86" s="605"/>
      <c r="J86" s="605"/>
      <c r="K86" s="212"/>
      <c r="L86" s="341"/>
      <c r="M86" s="212"/>
      <c r="N86" s="605"/>
      <c r="O86" s="212"/>
      <c r="P86" s="341"/>
      <c r="Q86" s="212"/>
      <c r="R86" s="605"/>
      <c r="S86" s="225"/>
      <c r="T86" s="237"/>
      <c r="X86" s="23"/>
    </row>
    <row r="87" spans="1:24" ht="30" customHeight="1" x14ac:dyDescent="0.3">
      <c r="A87" s="262" t="s">
        <v>151</v>
      </c>
      <c r="C87" s="244"/>
      <c r="D87" s="161"/>
      <c r="E87" s="969"/>
      <c r="F87" s="970"/>
      <c r="G87" s="971"/>
      <c r="H87" s="161"/>
      <c r="I87" s="605"/>
      <c r="J87" s="605"/>
      <c r="K87" s="212"/>
      <c r="L87" s="341"/>
      <c r="M87" s="212"/>
      <c r="N87" s="605"/>
      <c r="O87" s="212"/>
      <c r="P87" s="341"/>
      <c r="Q87" s="212"/>
      <c r="R87" s="605"/>
      <c r="S87" s="225"/>
      <c r="T87" s="237"/>
      <c r="X87" s="23"/>
    </row>
    <row r="88" spans="1:24" ht="30" customHeight="1" x14ac:dyDescent="0.3">
      <c r="A88" s="262" t="s">
        <v>151</v>
      </c>
      <c r="C88" s="244"/>
      <c r="D88" s="161"/>
      <c r="E88" s="969"/>
      <c r="F88" s="970"/>
      <c r="G88" s="971"/>
      <c r="H88" s="161"/>
      <c r="I88" s="605"/>
      <c r="J88" s="605"/>
      <c r="K88" s="212"/>
      <c r="L88" s="341"/>
      <c r="M88" s="212"/>
      <c r="N88" s="605"/>
      <c r="O88" s="212"/>
      <c r="P88" s="341"/>
      <c r="Q88" s="212"/>
      <c r="R88" s="605"/>
      <c r="S88" s="225"/>
      <c r="T88" s="237"/>
      <c r="X88" s="23"/>
    </row>
    <row r="89" spans="1:24" ht="30" customHeight="1" x14ac:dyDescent="0.3">
      <c r="A89" s="262" t="s">
        <v>151</v>
      </c>
      <c r="C89" s="244"/>
      <c r="D89" s="161"/>
      <c r="E89" s="969"/>
      <c r="F89" s="970"/>
      <c r="G89" s="971"/>
      <c r="H89" s="161"/>
      <c r="I89" s="605"/>
      <c r="J89" s="605"/>
      <c r="K89" s="212"/>
      <c r="L89" s="341"/>
      <c r="M89" s="212"/>
      <c r="N89" s="605"/>
      <c r="O89" s="212"/>
      <c r="P89" s="341"/>
      <c r="Q89" s="212"/>
      <c r="R89" s="605"/>
      <c r="S89" s="225"/>
      <c r="T89" s="237"/>
      <c r="X89" s="23"/>
    </row>
    <row r="90" spans="1:24" ht="30" customHeight="1" x14ac:dyDescent="0.3">
      <c r="A90" s="262" t="s">
        <v>151</v>
      </c>
      <c r="C90" s="244"/>
      <c r="D90" s="213"/>
      <c r="E90" s="969"/>
      <c r="F90" s="970"/>
      <c r="G90" s="971"/>
      <c r="H90" s="161"/>
      <c r="I90" s="605"/>
      <c r="J90" s="605"/>
      <c r="K90" s="212"/>
      <c r="L90" s="341"/>
      <c r="M90" s="212"/>
      <c r="N90" s="605"/>
      <c r="O90" s="212"/>
      <c r="P90" s="341"/>
      <c r="Q90" s="212"/>
      <c r="R90" s="605"/>
      <c r="S90" s="225"/>
      <c r="T90" s="237"/>
      <c r="X90" s="23"/>
    </row>
    <row r="91" spans="1:24" ht="30" customHeight="1" x14ac:dyDescent="0.3">
      <c r="A91" s="262" t="s">
        <v>151</v>
      </c>
      <c r="C91" s="244"/>
      <c r="D91" s="161"/>
      <c r="E91" s="969"/>
      <c r="F91" s="970"/>
      <c r="G91" s="971"/>
      <c r="H91" s="161"/>
      <c r="I91" s="605"/>
      <c r="J91" s="605"/>
      <c r="K91" s="212"/>
      <c r="L91" s="341"/>
      <c r="M91" s="212"/>
      <c r="N91" s="605"/>
      <c r="O91" s="212"/>
      <c r="P91" s="341"/>
      <c r="Q91" s="212"/>
      <c r="R91" s="605"/>
      <c r="S91" s="225"/>
      <c r="T91" s="237"/>
      <c r="X91" s="23"/>
    </row>
    <row r="92" spans="1:24" ht="30" customHeight="1" x14ac:dyDescent="0.3">
      <c r="A92" s="262" t="s">
        <v>151</v>
      </c>
      <c r="C92" s="244"/>
      <c r="D92" s="161"/>
      <c r="E92" s="969"/>
      <c r="F92" s="970"/>
      <c r="G92" s="971"/>
      <c r="H92" s="161"/>
      <c r="I92" s="605"/>
      <c r="J92" s="605"/>
      <c r="K92" s="212"/>
      <c r="L92" s="341"/>
      <c r="M92" s="212"/>
      <c r="N92" s="605"/>
      <c r="O92" s="212"/>
      <c r="P92" s="341"/>
      <c r="Q92" s="212"/>
      <c r="R92" s="605"/>
      <c r="S92" s="225"/>
      <c r="T92" s="237"/>
      <c r="X92" s="23"/>
    </row>
    <row r="93" spans="1:24" ht="30" customHeight="1" x14ac:dyDescent="0.3">
      <c r="A93" s="262" t="s">
        <v>151</v>
      </c>
      <c r="C93" s="244"/>
      <c r="D93" s="161"/>
      <c r="E93" s="969"/>
      <c r="F93" s="970"/>
      <c r="G93" s="971"/>
      <c r="H93" s="161"/>
      <c r="I93" s="605"/>
      <c r="J93" s="605"/>
      <c r="K93" s="212"/>
      <c r="L93" s="341"/>
      <c r="M93" s="212"/>
      <c r="N93" s="605"/>
      <c r="O93" s="212"/>
      <c r="P93" s="341"/>
      <c r="Q93" s="212"/>
      <c r="R93" s="605"/>
      <c r="S93" s="225"/>
      <c r="T93" s="237"/>
      <c r="X93" s="23"/>
    </row>
    <row r="94" spans="1:24" ht="30" customHeight="1" x14ac:dyDescent="0.3">
      <c r="A94" s="262" t="s">
        <v>151</v>
      </c>
      <c r="C94" s="244"/>
      <c r="D94" s="161"/>
      <c r="E94" s="969"/>
      <c r="F94" s="970"/>
      <c r="G94" s="971"/>
      <c r="H94" s="161"/>
      <c r="I94" s="605"/>
      <c r="J94" s="605"/>
      <c r="K94" s="212"/>
      <c r="L94" s="341"/>
      <c r="M94" s="212"/>
      <c r="N94" s="605"/>
      <c r="O94" s="212"/>
      <c r="P94" s="341"/>
      <c r="Q94" s="212"/>
      <c r="R94" s="605"/>
      <c r="S94" s="225"/>
      <c r="T94" s="237"/>
      <c r="X94" s="23"/>
    </row>
    <row r="95" spans="1:24" ht="30" customHeight="1" x14ac:dyDescent="0.3">
      <c r="A95" s="262" t="s">
        <v>151</v>
      </c>
      <c r="C95" s="244"/>
      <c r="D95" s="161"/>
      <c r="E95" s="969"/>
      <c r="F95" s="970"/>
      <c r="G95" s="971"/>
      <c r="H95" s="161"/>
      <c r="I95" s="605"/>
      <c r="J95" s="605"/>
      <c r="K95" s="212"/>
      <c r="L95" s="341"/>
      <c r="M95" s="212"/>
      <c r="N95" s="605"/>
      <c r="O95" s="212"/>
      <c r="P95" s="341"/>
      <c r="Q95" s="212"/>
      <c r="R95" s="605"/>
      <c r="S95" s="225"/>
      <c r="T95" s="237"/>
      <c r="X95" s="23"/>
    </row>
    <row r="96" spans="1:24" ht="30" customHeight="1" x14ac:dyDescent="0.3">
      <c r="A96" s="262" t="s">
        <v>151</v>
      </c>
      <c r="C96" s="244"/>
      <c r="D96" s="161"/>
      <c r="E96" s="969"/>
      <c r="F96" s="970"/>
      <c r="G96" s="971"/>
      <c r="H96" s="161"/>
      <c r="I96" s="605"/>
      <c r="J96" s="605"/>
      <c r="K96" s="212"/>
      <c r="L96" s="341"/>
      <c r="M96" s="212"/>
      <c r="N96" s="605"/>
      <c r="O96" s="212"/>
      <c r="P96" s="341"/>
      <c r="Q96" s="212"/>
      <c r="R96" s="605"/>
      <c r="S96" s="225"/>
      <c r="T96" s="237"/>
      <c r="X96" s="23"/>
    </row>
    <row r="97" spans="1:24" ht="30" customHeight="1" x14ac:dyDescent="0.3">
      <c r="A97" s="262" t="s">
        <v>151</v>
      </c>
      <c r="C97" s="244"/>
      <c r="D97" s="161"/>
      <c r="E97" s="969"/>
      <c r="F97" s="970"/>
      <c r="G97" s="971"/>
      <c r="H97" s="161"/>
      <c r="I97" s="605"/>
      <c r="J97" s="605"/>
      <c r="K97" s="212"/>
      <c r="L97" s="341"/>
      <c r="M97" s="212"/>
      <c r="N97" s="605"/>
      <c r="O97" s="212"/>
      <c r="P97" s="341"/>
      <c r="Q97" s="212"/>
      <c r="R97" s="605"/>
      <c r="S97" s="225"/>
      <c r="T97" s="237"/>
      <c r="X97" s="23"/>
    </row>
    <row r="98" spans="1:24" ht="30" customHeight="1" x14ac:dyDescent="0.3">
      <c r="A98" s="262" t="s">
        <v>151</v>
      </c>
      <c r="C98" s="244"/>
      <c r="D98" s="161"/>
      <c r="E98" s="969"/>
      <c r="F98" s="970"/>
      <c r="G98" s="971"/>
      <c r="H98" s="161"/>
      <c r="I98" s="605"/>
      <c r="J98" s="605"/>
      <c r="K98" s="212"/>
      <c r="L98" s="341"/>
      <c r="M98" s="212"/>
      <c r="N98" s="605"/>
      <c r="O98" s="212"/>
      <c r="P98" s="341"/>
      <c r="Q98" s="212"/>
      <c r="R98" s="605"/>
      <c r="S98" s="225"/>
      <c r="T98" s="237"/>
      <c r="X98" s="23"/>
    </row>
    <row r="99" spans="1:24" ht="30" customHeight="1" x14ac:dyDescent="0.3">
      <c r="A99" s="262" t="s">
        <v>151</v>
      </c>
      <c r="C99" s="244"/>
      <c r="D99" s="161"/>
      <c r="E99" s="969"/>
      <c r="F99" s="970"/>
      <c r="G99" s="971"/>
      <c r="H99" s="161"/>
      <c r="I99" s="605"/>
      <c r="J99" s="605"/>
      <c r="K99" s="212"/>
      <c r="L99" s="341"/>
      <c r="M99" s="212"/>
      <c r="N99" s="605"/>
      <c r="O99" s="212"/>
      <c r="P99" s="341"/>
      <c r="Q99" s="212"/>
      <c r="R99" s="605"/>
      <c r="S99" s="225"/>
      <c r="T99" s="237"/>
      <c r="X99" s="23"/>
    </row>
    <row r="100" spans="1:24" ht="30" customHeight="1" x14ac:dyDescent="0.3">
      <c r="A100" s="262" t="s">
        <v>151</v>
      </c>
      <c r="C100" s="244"/>
      <c r="D100" s="213"/>
      <c r="E100" s="969"/>
      <c r="F100" s="970"/>
      <c r="G100" s="971"/>
      <c r="H100" s="161"/>
      <c r="I100" s="605"/>
      <c r="J100" s="605"/>
      <c r="K100" s="212"/>
      <c r="L100" s="341"/>
      <c r="M100" s="212"/>
      <c r="N100" s="605"/>
      <c r="O100" s="212"/>
      <c r="P100" s="341"/>
      <c r="Q100" s="212"/>
      <c r="R100" s="605"/>
      <c r="S100" s="225"/>
      <c r="T100" s="237"/>
      <c r="X100" s="23"/>
    </row>
    <row r="101" spans="1:24" ht="30" customHeight="1" x14ac:dyDescent="0.3">
      <c r="A101" s="262" t="s">
        <v>151</v>
      </c>
      <c r="C101" s="244"/>
      <c r="D101" s="213"/>
      <c r="E101" s="969"/>
      <c r="F101" s="970"/>
      <c r="G101" s="971"/>
      <c r="H101" s="161"/>
      <c r="I101" s="605"/>
      <c r="J101" s="605"/>
      <c r="K101" s="212"/>
      <c r="L101" s="341"/>
      <c r="M101" s="212"/>
      <c r="N101" s="605"/>
      <c r="O101" s="212"/>
      <c r="P101" s="341"/>
      <c r="Q101" s="212"/>
      <c r="R101" s="605"/>
      <c r="S101" s="225"/>
      <c r="T101" s="237"/>
      <c r="X101" s="23"/>
    </row>
    <row r="102" spans="1:24" ht="30" customHeight="1" x14ac:dyDescent="0.3">
      <c r="A102" s="262" t="s">
        <v>151</v>
      </c>
      <c r="C102" s="244"/>
      <c r="D102" s="161"/>
      <c r="E102" s="969"/>
      <c r="F102" s="970"/>
      <c r="G102" s="971"/>
      <c r="H102" s="161"/>
      <c r="I102" s="605"/>
      <c r="J102" s="605"/>
      <c r="K102" s="212"/>
      <c r="L102" s="341"/>
      <c r="M102" s="212"/>
      <c r="N102" s="605"/>
      <c r="O102" s="212"/>
      <c r="P102" s="341"/>
      <c r="Q102" s="212"/>
      <c r="R102" s="605"/>
      <c r="S102" s="225"/>
      <c r="T102" s="237"/>
      <c r="X102" s="23"/>
    </row>
    <row r="103" spans="1:24" ht="30" customHeight="1" x14ac:dyDescent="0.3">
      <c r="A103" s="262" t="s">
        <v>151</v>
      </c>
      <c r="C103" s="244"/>
      <c r="D103" s="161"/>
      <c r="E103" s="969"/>
      <c r="F103" s="970"/>
      <c r="G103" s="971"/>
      <c r="H103" s="658"/>
      <c r="I103" s="605"/>
      <c r="J103" s="605"/>
      <c r="K103" s="212"/>
      <c r="L103" s="341"/>
      <c r="M103" s="302"/>
      <c r="N103" s="605"/>
      <c r="O103" s="212"/>
      <c r="P103" s="341"/>
      <c r="Q103" s="302"/>
      <c r="R103" s="605"/>
      <c r="S103" s="225"/>
      <c r="T103" s="237"/>
      <c r="X103" s="23"/>
    </row>
    <row r="104" spans="1:24" ht="40.049999999999997" customHeight="1" x14ac:dyDescent="0.3">
      <c r="A104" s="262" t="s">
        <v>1242</v>
      </c>
      <c r="C104" s="258"/>
      <c r="D104" s="258"/>
      <c r="E104" s="972" t="s">
        <v>33</v>
      </c>
      <c r="F104" s="972"/>
      <c r="G104" s="972"/>
      <c r="H104" s="973" t="s">
        <v>29</v>
      </c>
      <c r="I104" s="973"/>
      <c r="J104" s="973"/>
      <c r="K104" s="973"/>
      <c r="L104" s="973"/>
      <c r="M104" s="549"/>
      <c r="N104" s="973" t="s">
        <v>22</v>
      </c>
      <c r="O104" s="973"/>
      <c r="P104" s="973"/>
      <c r="Q104" s="973"/>
      <c r="R104" s="973"/>
      <c r="S104" s="973"/>
      <c r="T104" s="973"/>
      <c r="X104" s="23"/>
    </row>
    <row r="105" spans="1:24" ht="19.95" customHeight="1" x14ac:dyDescent="0.3">
      <c r="A105" s="262" t="s">
        <v>1242</v>
      </c>
      <c r="D105" s="28"/>
      <c r="E105" s="974" t="s">
        <v>1214</v>
      </c>
      <c r="F105" s="974"/>
      <c r="G105" s="974"/>
      <c r="H105" s="975" t="s">
        <v>38</v>
      </c>
      <c r="I105" s="975"/>
      <c r="J105" s="975"/>
      <c r="K105" s="975"/>
      <c r="L105" s="975"/>
      <c r="M105" s="562"/>
      <c r="N105" s="975" t="s">
        <v>1437</v>
      </c>
      <c r="O105" s="975"/>
      <c r="P105" s="975"/>
      <c r="Q105" s="975"/>
      <c r="R105" s="975"/>
      <c r="S105" s="975"/>
      <c r="T105" s="975"/>
      <c r="X105" s="23"/>
    </row>
    <row r="106" spans="1:24" ht="19.95" customHeight="1" x14ac:dyDescent="0.3">
      <c r="A106" s="262" t="s">
        <v>1242</v>
      </c>
      <c r="C106" s="228"/>
      <c r="D106" s="228"/>
      <c r="E106" s="561"/>
      <c r="F106" s="561"/>
      <c r="G106" s="561"/>
      <c r="H106" s="228"/>
      <c r="I106" s="260"/>
      <c r="J106" s="260"/>
      <c r="K106" s="260"/>
      <c r="L106" s="260"/>
      <c r="M106" s="260"/>
      <c r="N106" s="975"/>
      <c r="O106" s="975"/>
      <c r="P106" s="975"/>
      <c r="Q106" s="975"/>
      <c r="R106" s="975"/>
      <c r="S106" s="975"/>
      <c r="T106" s="975"/>
      <c r="X106" s="23"/>
    </row>
    <row r="107" spans="1:24" ht="19.95" customHeight="1" x14ac:dyDescent="0.3">
      <c r="A107" s="262" t="s">
        <v>1242</v>
      </c>
      <c r="C107" s="228"/>
      <c r="D107" s="228"/>
      <c r="E107" s="561"/>
      <c r="F107" s="561"/>
      <c r="G107" s="561"/>
      <c r="H107" s="228"/>
      <c r="I107" s="260"/>
      <c r="J107" s="260"/>
      <c r="K107" s="260"/>
      <c r="L107" s="260"/>
      <c r="M107" s="260"/>
      <c r="N107" s="975"/>
      <c r="O107" s="975"/>
      <c r="P107" s="975"/>
      <c r="Q107" s="975"/>
      <c r="R107" s="975"/>
      <c r="S107" s="975"/>
      <c r="T107" s="975"/>
      <c r="X107" s="23"/>
    </row>
    <row r="108" spans="1:24" ht="19.95" customHeight="1" x14ac:dyDescent="0.3">
      <c r="A108" s="262" t="s">
        <v>1242</v>
      </c>
      <c r="C108" s="228"/>
      <c r="D108" s="228"/>
      <c r="E108" s="561"/>
      <c r="F108" s="561"/>
      <c r="G108" s="561"/>
      <c r="H108" s="228"/>
      <c r="I108" s="260"/>
      <c r="J108" s="260"/>
      <c r="K108" s="260"/>
      <c r="L108" s="260"/>
      <c r="M108" s="260"/>
      <c r="N108" s="260"/>
      <c r="O108" s="260"/>
      <c r="P108" s="260"/>
      <c r="Q108" s="260"/>
      <c r="R108" s="260"/>
      <c r="S108" s="624"/>
      <c r="T108" s="260"/>
      <c r="X108" s="23"/>
    </row>
    <row r="109" spans="1:24" ht="19.95" customHeight="1" x14ac:dyDescent="0.3">
      <c r="A109" s="262" t="s">
        <v>1242</v>
      </c>
      <c r="C109" s="228"/>
      <c r="D109" s="228"/>
      <c r="E109" s="561"/>
      <c r="F109" s="561"/>
      <c r="G109" s="561"/>
      <c r="H109" s="975" t="s">
        <v>32</v>
      </c>
      <c r="I109" s="975"/>
      <c r="J109" s="562"/>
      <c r="K109" s="975" t="s">
        <v>1407</v>
      </c>
      <c r="L109" s="975"/>
      <c r="M109" s="562"/>
      <c r="N109" s="968" t="s">
        <v>54</v>
      </c>
      <c r="O109" s="968"/>
      <c r="P109" s="968" t="s">
        <v>1218</v>
      </c>
      <c r="Q109" s="968"/>
      <c r="R109" s="968"/>
      <c r="S109" s="981" t="s">
        <v>55</v>
      </c>
      <c r="T109" s="981"/>
      <c r="X109" s="23"/>
    </row>
    <row r="110" spans="1:24" ht="19.95" customHeight="1" x14ac:dyDescent="0.3">
      <c r="A110" s="262" t="s">
        <v>1242</v>
      </c>
      <c r="C110" s="228"/>
      <c r="D110" s="228"/>
      <c r="E110" s="561"/>
      <c r="F110" s="561"/>
      <c r="G110" s="561"/>
      <c r="H110" s="976" t="s">
        <v>94</v>
      </c>
      <c r="I110" s="976"/>
      <c r="J110" s="623"/>
      <c r="K110" s="976" t="s">
        <v>94</v>
      </c>
      <c r="L110" s="976"/>
      <c r="M110" s="623"/>
      <c r="N110" s="968" t="s">
        <v>1484</v>
      </c>
      <c r="O110" s="968"/>
      <c r="P110" s="968" t="s">
        <v>1484</v>
      </c>
      <c r="Q110" s="968"/>
      <c r="R110" s="968"/>
      <c r="S110" s="968" t="s">
        <v>1484</v>
      </c>
      <c r="T110" s="968"/>
      <c r="X110" s="23"/>
    </row>
    <row r="111" spans="1:24" ht="19.95" customHeight="1" x14ac:dyDescent="0.3">
      <c r="A111" s="262" t="s">
        <v>1242</v>
      </c>
      <c r="C111" s="228"/>
      <c r="D111" s="228"/>
      <c r="E111" s="561"/>
      <c r="F111" s="561"/>
      <c r="G111" s="561"/>
      <c r="H111" s="976"/>
      <c r="I111" s="976"/>
      <c r="J111" s="623"/>
      <c r="K111" s="976"/>
      <c r="L111" s="976"/>
      <c r="M111" s="623"/>
      <c r="N111" s="968"/>
      <c r="O111" s="968"/>
      <c r="P111" s="968"/>
      <c r="Q111" s="968"/>
      <c r="R111" s="968"/>
      <c r="S111" s="981"/>
      <c r="T111" s="981"/>
      <c r="X111" s="23"/>
    </row>
    <row r="112" spans="1:24" ht="19.95" customHeight="1" x14ac:dyDescent="0.3">
      <c r="A112" s="262" t="s">
        <v>1242</v>
      </c>
      <c r="C112" s="228"/>
      <c r="D112" s="228"/>
      <c r="E112" s="561"/>
      <c r="F112" s="561"/>
      <c r="G112" s="561"/>
      <c r="H112" s="228"/>
      <c r="I112" s="260"/>
      <c r="J112" s="260"/>
      <c r="K112" s="260"/>
      <c r="L112" s="260"/>
      <c r="M112" s="260"/>
      <c r="N112" s="260"/>
      <c r="O112" s="260"/>
      <c r="P112" s="260"/>
      <c r="Q112" s="260"/>
      <c r="R112" s="260"/>
      <c r="S112" s="624"/>
      <c r="T112" s="260"/>
      <c r="X112" s="23"/>
    </row>
    <row r="113" spans="1:24" ht="19.95" customHeight="1" x14ac:dyDescent="0.3">
      <c r="A113" s="262" t="s">
        <v>1242</v>
      </c>
      <c r="C113" s="228"/>
      <c r="D113" s="228"/>
      <c r="E113" s="975" t="s">
        <v>1215</v>
      </c>
      <c r="F113" s="975"/>
      <c r="G113" s="975"/>
      <c r="H113" s="975" t="s">
        <v>1348</v>
      </c>
      <c r="I113" s="975"/>
      <c r="J113" s="975"/>
      <c r="K113" s="975"/>
      <c r="L113" s="975"/>
      <c r="M113" s="562"/>
      <c r="N113" s="977" t="s">
        <v>1217</v>
      </c>
      <c r="O113" s="968"/>
      <c r="P113" s="968"/>
      <c r="Q113" s="968"/>
      <c r="R113" s="968"/>
      <c r="S113" s="968"/>
      <c r="T113" s="968"/>
      <c r="X113" s="23"/>
    </row>
    <row r="114" spans="1:24" ht="19.95" customHeight="1" x14ac:dyDescent="0.3">
      <c r="A114" s="262" t="s">
        <v>1290</v>
      </c>
      <c r="C114" s="228"/>
      <c r="D114" s="228"/>
      <c r="E114" s="975"/>
      <c r="F114" s="975"/>
      <c r="G114" s="975"/>
      <c r="H114" s="975"/>
      <c r="I114" s="975"/>
      <c r="J114" s="975"/>
      <c r="K114" s="975"/>
      <c r="L114" s="975"/>
      <c r="M114" s="562"/>
      <c r="N114" s="968"/>
      <c r="O114" s="968"/>
      <c r="P114" s="968"/>
      <c r="Q114" s="968"/>
      <c r="R114" s="968"/>
      <c r="S114" s="968"/>
      <c r="T114" s="968"/>
      <c r="X114" s="23"/>
    </row>
    <row r="115" spans="1:24" ht="30" customHeight="1" x14ac:dyDescent="0.3">
      <c r="A115" s="262">
        <v>1</v>
      </c>
      <c r="C115" s="633"/>
      <c r="D115" s="634" t="s">
        <v>1225</v>
      </c>
      <c r="E115" s="635"/>
      <c r="F115" s="635"/>
      <c r="G115" s="635"/>
      <c r="H115" s="635"/>
      <c r="I115" s="636"/>
      <c r="J115" s="636"/>
      <c r="K115" s="636"/>
      <c r="L115" s="643">
        <f>+SUMIFS(L:L,A:A,"1.B")</f>
        <v>8608381485.9000015</v>
      </c>
      <c r="M115" s="637"/>
      <c r="N115" s="647"/>
      <c r="O115" s="636"/>
      <c r="P115" s="636"/>
      <c r="Q115" s="654"/>
      <c r="R115" s="649">
        <f>+SUMIFS(R:R,A:A,"1.B")</f>
        <v>0</v>
      </c>
      <c r="S115" s="638">
        <f>+SUMIFS(S:S,A:A,"1.B")</f>
        <v>37210860.43</v>
      </c>
      <c r="T115" s="639">
        <f>+SUMIFS(T:T,A:A,"1.B")</f>
        <v>37210860.43</v>
      </c>
      <c r="X115" s="23" t="str">
        <f t="shared" si="18"/>
        <v>-</v>
      </c>
    </row>
    <row r="116" spans="1:24" ht="30" customHeight="1" x14ac:dyDescent="0.3">
      <c r="A116" s="262" t="s">
        <v>152</v>
      </c>
      <c r="C116" s="244">
        <v>49</v>
      </c>
      <c r="D116" s="213" t="s">
        <v>323</v>
      </c>
      <c r="E116" s="969" t="s">
        <v>324</v>
      </c>
      <c r="F116" s="970"/>
      <c r="G116" s="971"/>
      <c r="H116" s="544" t="s">
        <v>228</v>
      </c>
      <c r="I116" s="212">
        <v>5075</v>
      </c>
      <c r="J116" s="605"/>
      <c r="K116" s="212">
        <v>186392.65</v>
      </c>
      <c r="L116" s="212">
        <f t="shared" ref="L116:L137" si="22">+ROUND(I116*K116,2)</f>
        <v>945942698.75</v>
      </c>
      <c r="M116" s="602"/>
      <c r="N116" s="675">
        <f>+'Yeşil Defter'!K113</f>
        <v>0</v>
      </c>
      <c r="O116" s="675">
        <f>+'Yeşil Defter'!L113</f>
        <v>1909.8839999999998</v>
      </c>
      <c r="P116" s="675">
        <f>+'Yeşil Defter'!M113</f>
        <v>1909.8839999999998</v>
      </c>
      <c r="Q116" s="612"/>
      <c r="R116" s="606">
        <f t="shared" ref="R116" si="23">+ROUND(I116*N116,2)</f>
        <v>0</v>
      </c>
      <c r="S116" s="247">
        <f t="shared" ref="S116" si="24">+T116-R116</f>
        <v>9692661.3000000007</v>
      </c>
      <c r="T116" s="248">
        <f t="shared" ref="T116" si="25">+ROUND(I116*P116,2)</f>
        <v>9692661.3000000007</v>
      </c>
      <c r="X116" s="23" t="str">
        <f t="shared" si="18"/>
        <v>-</v>
      </c>
    </row>
    <row r="117" spans="1:24" ht="30" customHeight="1" x14ac:dyDescent="0.3">
      <c r="A117" s="262" t="s">
        <v>152</v>
      </c>
      <c r="C117" s="244">
        <v>50</v>
      </c>
      <c r="D117" s="161" t="s">
        <v>325</v>
      </c>
      <c r="E117" s="969" t="s">
        <v>326</v>
      </c>
      <c r="F117" s="970"/>
      <c r="G117" s="971"/>
      <c r="H117" s="544" t="s">
        <v>228</v>
      </c>
      <c r="I117" s="212">
        <v>600</v>
      </c>
      <c r="J117" s="605"/>
      <c r="K117" s="212">
        <v>910</v>
      </c>
      <c r="L117" s="212">
        <f t="shared" si="22"/>
        <v>546000</v>
      </c>
      <c r="M117" s="602"/>
      <c r="N117" s="675">
        <f>+'Yeşil Defter'!K114</f>
        <v>0</v>
      </c>
      <c r="O117" s="675">
        <f>+'Yeşil Defter'!L114</f>
        <v>0</v>
      </c>
      <c r="P117" s="675">
        <f>+'Yeşil Defter'!M114</f>
        <v>0</v>
      </c>
      <c r="Q117" s="511"/>
      <c r="R117" s="606">
        <f t="shared" ref="R117:R137" si="26">+ROUND(I117*N117,2)</f>
        <v>0</v>
      </c>
      <c r="S117" s="247">
        <f t="shared" ref="S117:S137" si="27">+T117-R117</f>
        <v>0</v>
      </c>
      <c r="T117" s="248">
        <f t="shared" ref="T117:T137" si="28">+ROUND(I117*P117,2)</f>
        <v>0</v>
      </c>
      <c r="X117" s="23" t="str">
        <f t="shared" si="18"/>
        <v>-</v>
      </c>
    </row>
    <row r="118" spans="1:24" ht="30" customHeight="1" x14ac:dyDescent="0.3">
      <c r="A118" s="262" t="s">
        <v>152</v>
      </c>
      <c r="C118" s="244">
        <v>51</v>
      </c>
      <c r="D118" s="161" t="s">
        <v>327</v>
      </c>
      <c r="E118" s="969" t="s">
        <v>238</v>
      </c>
      <c r="F118" s="970"/>
      <c r="G118" s="971"/>
      <c r="H118" s="544" t="s">
        <v>228</v>
      </c>
      <c r="I118" s="212">
        <v>1500</v>
      </c>
      <c r="J118" s="605"/>
      <c r="K118" s="212">
        <v>1785</v>
      </c>
      <c r="L118" s="212">
        <f t="shared" si="22"/>
        <v>2677500</v>
      </c>
      <c r="M118" s="602"/>
      <c r="N118" s="675">
        <f>+'Yeşil Defter'!K115</f>
        <v>0</v>
      </c>
      <c r="O118" s="675">
        <f>+'Yeşil Defter'!L115</f>
        <v>0</v>
      </c>
      <c r="P118" s="675">
        <f>+'Yeşil Defter'!M115</f>
        <v>0</v>
      </c>
      <c r="Q118" s="511"/>
      <c r="R118" s="606">
        <f t="shared" si="26"/>
        <v>0</v>
      </c>
      <c r="S118" s="247">
        <f t="shared" si="27"/>
        <v>0</v>
      </c>
      <c r="T118" s="248">
        <f t="shared" si="28"/>
        <v>0</v>
      </c>
      <c r="X118" s="23" t="str">
        <f t="shared" si="18"/>
        <v>-</v>
      </c>
    </row>
    <row r="119" spans="1:24" ht="30" customHeight="1" x14ac:dyDescent="0.3">
      <c r="A119" s="262" t="s">
        <v>152</v>
      </c>
      <c r="C119" s="244">
        <v>52</v>
      </c>
      <c r="D119" s="213" t="s">
        <v>328</v>
      </c>
      <c r="E119" s="969" t="s">
        <v>329</v>
      </c>
      <c r="F119" s="970"/>
      <c r="G119" s="971"/>
      <c r="H119" s="544" t="s">
        <v>228</v>
      </c>
      <c r="I119" s="212">
        <v>15334</v>
      </c>
      <c r="J119" s="605"/>
      <c r="K119" s="212">
        <v>38798.589999999997</v>
      </c>
      <c r="L119" s="212">
        <f t="shared" si="22"/>
        <v>594937579.05999994</v>
      </c>
      <c r="M119" s="602"/>
      <c r="N119" s="675">
        <f>+'Yeşil Defter'!K116</f>
        <v>0</v>
      </c>
      <c r="O119" s="675">
        <f>+'Yeşil Defter'!L116</f>
        <v>298.29100000000005</v>
      </c>
      <c r="P119" s="675">
        <f>+'Yeşil Defter'!M116</f>
        <v>298.29100000000005</v>
      </c>
      <c r="Q119" s="511"/>
      <c r="R119" s="606">
        <f t="shared" si="26"/>
        <v>0</v>
      </c>
      <c r="S119" s="247">
        <f t="shared" si="27"/>
        <v>4573994.1900000004</v>
      </c>
      <c r="T119" s="248">
        <f t="shared" si="28"/>
        <v>4573994.1900000004</v>
      </c>
      <c r="X119" s="23" t="str">
        <f t="shared" si="18"/>
        <v>-</v>
      </c>
    </row>
    <row r="120" spans="1:24" ht="30" customHeight="1" x14ac:dyDescent="0.3">
      <c r="A120" s="262" t="s">
        <v>152</v>
      </c>
      <c r="C120" s="244">
        <v>53</v>
      </c>
      <c r="D120" s="161" t="s">
        <v>330</v>
      </c>
      <c r="E120" s="969" t="s">
        <v>331</v>
      </c>
      <c r="F120" s="970"/>
      <c r="G120" s="971"/>
      <c r="H120" s="544" t="s">
        <v>202</v>
      </c>
      <c r="I120" s="212">
        <v>248</v>
      </c>
      <c r="J120" s="605"/>
      <c r="K120" s="212">
        <v>19569.89</v>
      </c>
      <c r="L120" s="212">
        <f t="shared" si="22"/>
        <v>4853332.72</v>
      </c>
      <c r="M120" s="602"/>
      <c r="N120" s="675">
        <f>+'Yeşil Defter'!K117</f>
        <v>0</v>
      </c>
      <c r="O120" s="675">
        <f>+'Yeşil Defter'!L117</f>
        <v>0</v>
      </c>
      <c r="P120" s="675">
        <f>+'Yeşil Defter'!M117</f>
        <v>0</v>
      </c>
      <c r="Q120" s="511"/>
      <c r="R120" s="606">
        <f t="shared" si="26"/>
        <v>0</v>
      </c>
      <c r="S120" s="247">
        <f t="shared" si="27"/>
        <v>0</v>
      </c>
      <c r="T120" s="248">
        <f t="shared" si="28"/>
        <v>0</v>
      </c>
      <c r="X120" s="23" t="str">
        <f t="shared" si="18"/>
        <v>-</v>
      </c>
    </row>
    <row r="121" spans="1:24" ht="30" customHeight="1" x14ac:dyDescent="0.3">
      <c r="A121" s="262" t="s">
        <v>152</v>
      </c>
      <c r="C121" s="244">
        <v>54</v>
      </c>
      <c r="D121" s="161" t="s">
        <v>332</v>
      </c>
      <c r="E121" s="969" t="s">
        <v>333</v>
      </c>
      <c r="F121" s="970"/>
      <c r="G121" s="971"/>
      <c r="H121" s="544" t="s">
        <v>202</v>
      </c>
      <c r="I121" s="212">
        <v>371</v>
      </c>
      <c r="J121" s="605"/>
      <c r="K121" s="212">
        <v>10655.78</v>
      </c>
      <c r="L121" s="212">
        <f t="shared" si="22"/>
        <v>3953294.38</v>
      </c>
      <c r="M121" s="602"/>
      <c r="N121" s="675">
        <f>+'Yeşil Defter'!K118</f>
        <v>0</v>
      </c>
      <c r="O121" s="675">
        <f>+'Yeşil Defter'!L118</f>
        <v>0</v>
      </c>
      <c r="P121" s="675">
        <f>+'Yeşil Defter'!M118</f>
        <v>0</v>
      </c>
      <c r="Q121" s="511"/>
      <c r="R121" s="606">
        <f t="shared" si="26"/>
        <v>0</v>
      </c>
      <c r="S121" s="247">
        <f t="shared" si="27"/>
        <v>0</v>
      </c>
      <c r="T121" s="248">
        <f t="shared" si="28"/>
        <v>0</v>
      </c>
      <c r="X121" s="23" t="str">
        <f t="shared" si="18"/>
        <v>-</v>
      </c>
    </row>
    <row r="122" spans="1:24" ht="30" customHeight="1" x14ac:dyDescent="0.3">
      <c r="A122" s="262" t="s">
        <v>152</v>
      </c>
      <c r="C122" s="244">
        <v>55</v>
      </c>
      <c r="D122" s="161" t="s">
        <v>334</v>
      </c>
      <c r="E122" s="969" t="s">
        <v>246</v>
      </c>
      <c r="F122" s="970"/>
      <c r="G122" s="971"/>
      <c r="H122" s="544" t="s">
        <v>247</v>
      </c>
      <c r="I122" s="212">
        <v>2250</v>
      </c>
      <c r="J122" s="605"/>
      <c r="K122" s="212">
        <v>800</v>
      </c>
      <c r="L122" s="212">
        <f t="shared" si="22"/>
        <v>1800000</v>
      </c>
      <c r="M122" s="602"/>
      <c r="N122" s="675">
        <f>+'Yeşil Defter'!K119</f>
        <v>0</v>
      </c>
      <c r="O122" s="675">
        <f>+'Yeşil Defter'!L119</f>
        <v>0</v>
      </c>
      <c r="P122" s="675">
        <f>+'Yeşil Defter'!M119</f>
        <v>0</v>
      </c>
      <c r="Q122" s="511"/>
      <c r="R122" s="606">
        <f t="shared" si="26"/>
        <v>0</v>
      </c>
      <c r="S122" s="247">
        <f t="shared" si="27"/>
        <v>0</v>
      </c>
      <c r="T122" s="248">
        <f t="shared" si="28"/>
        <v>0</v>
      </c>
      <c r="X122" s="23" t="str">
        <f t="shared" si="18"/>
        <v>-</v>
      </c>
    </row>
    <row r="123" spans="1:24" ht="30" customHeight="1" x14ac:dyDescent="0.3">
      <c r="A123" s="262" t="s">
        <v>152</v>
      </c>
      <c r="C123" s="244">
        <v>56</v>
      </c>
      <c r="D123" s="161" t="s">
        <v>335</v>
      </c>
      <c r="E123" s="969" t="s">
        <v>249</v>
      </c>
      <c r="F123" s="970"/>
      <c r="G123" s="971"/>
      <c r="H123" s="544" t="s">
        <v>247</v>
      </c>
      <c r="I123" s="212">
        <v>8000</v>
      </c>
      <c r="J123" s="605"/>
      <c r="K123" s="212">
        <v>2466.42</v>
      </c>
      <c r="L123" s="212">
        <f t="shared" si="22"/>
        <v>19731360</v>
      </c>
      <c r="M123" s="602"/>
      <c r="N123" s="675">
        <f>+'Yeşil Defter'!K120</f>
        <v>0</v>
      </c>
      <c r="O123" s="675">
        <f>+'Yeşil Defter'!L120</f>
        <v>0</v>
      </c>
      <c r="P123" s="675">
        <f>+'Yeşil Defter'!M120</f>
        <v>0</v>
      </c>
      <c r="Q123" s="511"/>
      <c r="R123" s="606">
        <f t="shared" si="26"/>
        <v>0</v>
      </c>
      <c r="S123" s="247">
        <f t="shared" si="27"/>
        <v>0</v>
      </c>
      <c r="T123" s="248">
        <f t="shared" si="28"/>
        <v>0</v>
      </c>
      <c r="X123" s="23" t="str">
        <f t="shared" si="18"/>
        <v>-</v>
      </c>
    </row>
    <row r="124" spans="1:24" ht="30" customHeight="1" x14ac:dyDescent="0.3">
      <c r="A124" s="262" t="s">
        <v>152</v>
      </c>
      <c r="C124" s="244">
        <v>57</v>
      </c>
      <c r="D124" s="161" t="s">
        <v>336</v>
      </c>
      <c r="E124" s="969" t="s">
        <v>251</v>
      </c>
      <c r="F124" s="970"/>
      <c r="G124" s="971"/>
      <c r="H124" s="544" t="s">
        <v>247</v>
      </c>
      <c r="I124" s="212">
        <v>8288</v>
      </c>
      <c r="J124" s="605"/>
      <c r="K124" s="212">
        <v>2401.3000000000002</v>
      </c>
      <c r="L124" s="212">
        <f t="shared" si="22"/>
        <v>19901974.399999999</v>
      </c>
      <c r="M124" s="602"/>
      <c r="N124" s="675">
        <f>+'Yeşil Defter'!K121</f>
        <v>0</v>
      </c>
      <c r="O124" s="675">
        <f>+'Yeşil Defter'!L121</f>
        <v>0</v>
      </c>
      <c r="P124" s="675">
        <f>+'Yeşil Defter'!M121</f>
        <v>0</v>
      </c>
      <c r="Q124" s="511"/>
      <c r="R124" s="606">
        <f t="shared" si="26"/>
        <v>0</v>
      </c>
      <c r="S124" s="247">
        <f t="shared" si="27"/>
        <v>0</v>
      </c>
      <c r="T124" s="248">
        <f t="shared" si="28"/>
        <v>0</v>
      </c>
      <c r="X124" s="23" t="str">
        <f t="shared" si="18"/>
        <v>-</v>
      </c>
    </row>
    <row r="125" spans="1:24" ht="30" customHeight="1" x14ac:dyDescent="0.3">
      <c r="A125" s="262" t="s">
        <v>152</v>
      </c>
      <c r="C125" s="244">
        <v>58</v>
      </c>
      <c r="D125" s="161" t="s">
        <v>337</v>
      </c>
      <c r="E125" s="969" t="s">
        <v>253</v>
      </c>
      <c r="F125" s="970"/>
      <c r="G125" s="971"/>
      <c r="H125" s="544" t="s">
        <v>247</v>
      </c>
      <c r="I125" s="212">
        <v>12000</v>
      </c>
      <c r="J125" s="605"/>
      <c r="K125" s="212">
        <v>2970</v>
      </c>
      <c r="L125" s="212">
        <f t="shared" si="22"/>
        <v>35640000</v>
      </c>
      <c r="M125" s="602"/>
      <c r="N125" s="675">
        <f>+'Yeşil Defter'!K122</f>
        <v>0</v>
      </c>
      <c r="O125" s="675">
        <f>+'Yeşil Defter'!L122</f>
        <v>0</v>
      </c>
      <c r="P125" s="675">
        <f>+'Yeşil Defter'!M122</f>
        <v>0</v>
      </c>
      <c r="Q125" s="511"/>
      <c r="R125" s="606">
        <f t="shared" si="26"/>
        <v>0</v>
      </c>
      <c r="S125" s="247">
        <f t="shared" si="27"/>
        <v>0</v>
      </c>
      <c r="T125" s="248">
        <f t="shared" si="28"/>
        <v>0</v>
      </c>
      <c r="X125" s="23" t="str">
        <f t="shared" si="18"/>
        <v>-</v>
      </c>
    </row>
    <row r="126" spans="1:24" ht="30" customHeight="1" x14ac:dyDescent="0.3">
      <c r="A126" s="262" t="s">
        <v>152</v>
      </c>
      <c r="C126" s="244">
        <v>59</v>
      </c>
      <c r="D126" s="161" t="s">
        <v>338</v>
      </c>
      <c r="E126" s="969" t="s">
        <v>339</v>
      </c>
      <c r="F126" s="970"/>
      <c r="G126" s="971"/>
      <c r="H126" s="544" t="s">
        <v>247</v>
      </c>
      <c r="I126" s="212">
        <v>28000</v>
      </c>
      <c r="J126" s="605"/>
      <c r="K126" s="212">
        <v>7008.23</v>
      </c>
      <c r="L126" s="212">
        <f t="shared" si="22"/>
        <v>196230440</v>
      </c>
      <c r="M126" s="602"/>
      <c r="N126" s="675">
        <f>+'Yeşil Defter'!K123</f>
        <v>0</v>
      </c>
      <c r="O126" s="675">
        <f>+'Yeşil Defter'!L123</f>
        <v>480</v>
      </c>
      <c r="P126" s="675">
        <f>+'Yeşil Defter'!M123</f>
        <v>480</v>
      </c>
      <c r="Q126" s="511"/>
      <c r="R126" s="606">
        <f t="shared" si="26"/>
        <v>0</v>
      </c>
      <c r="S126" s="247">
        <f t="shared" si="27"/>
        <v>13440000</v>
      </c>
      <c r="T126" s="248">
        <f t="shared" si="28"/>
        <v>13440000</v>
      </c>
      <c r="X126" s="23" t="str">
        <f t="shared" si="18"/>
        <v>-</v>
      </c>
    </row>
    <row r="127" spans="1:24" ht="30" customHeight="1" x14ac:dyDescent="0.3">
      <c r="A127" s="262" t="s">
        <v>152</v>
      </c>
      <c r="C127" s="244">
        <v>60</v>
      </c>
      <c r="D127" s="161" t="s">
        <v>340</v>
      </c>
      <c r="E127" s="969" t="s">
        <v>242</v>
      </c>
      <c r="F127" s="970"/>
      <c r="G127" s="971"/>
      <c r="H127" s="544" t="s">
        <v>202</v>
      </c>
      <c r="I127" s="212">
        <v>375</v>
      </c>
      <c r="J127" s="605"/>
      <c r="K127" s="212">
        <v>156606.89000000001</v>
      </c>
      <c r="L127" s="212">
        <f t="shared" si="22"/>
        <v>58727583.75</v>
      </c>
      <c r="M127" s="602"/>
      <c r="N127" s="675">
        <f>+'Yeşil Defter'!K124</f>
        <v>0</v>
      </c>
      <c r="O127" s="675">
        <f>+'Yeşil Defter'!L124</f>
        <v>0</v>
      </c>
      <c r="P127" s="675">
        <f>+'Yeşil Defter'!M124</f>
        <v>0</v>
      </c>
      <c r="Q127" s="511"/>
      <c r="R127" s="606">
        <f t="shared" si="26"/>
        <v>0</v>
      </c>
      <c r="S127" s="247">
        <f t="shared" si="27"/>
        <v>0</v>
      </c>
      <c r="T127" s="248">
        <f t="shared" si="28"/>
        <v>0</v>
      </c>
      <c r="X127" s="23" t="str">
        <f t="shared" si="18"/>
        <v>-</v>
      </c>
    </row>
    <row r="128" spans="1:24" ht="30" customHeight="1" x14ac:dyDescent="0.3">
      <c r="A128" s="262" t="s">
        <v>152</v>
      </c>
      <c r="C128" s="244">
        <v>61</v>
      </c>
      <c r="D128" s="161" t="s">
        <v>341</v>
      </c>
      <c r="E128" s="969" t="s">
        <v>244</v>
      </c>
      <c r="F128" s="970"/>
      <c r="G128" s="971"/>
      <c r="H128" s="544" t="s">
        <v>202</v>
      </c>
      <c r="I128" s="212">
        <v>388</v>
      </c>
      <c r="J128" s="605"/>
      <c r="K128" s="212">
        <v>145635</v>
      </c>
      <c r="L128" s="212">
        <f t="shared" si="22"/>
        <v>56506380</v>
      </c>
      <c r="M128" s="602"/>
      <c r="N128" s="675">
        <f>+'Yeşil Defter'!K125</f>
        <v>0</v>
      </c>
      <c r="O128" s="675">
        <f>+'Yeşil Defter'!L125</f>
        <v>0</v>
      </c>
      <c r="P128" s="675">
        <f>+'Yeşil Defter'!M125</f>
        <v>0</v>
      </c>
      <c r="Q128" s="511"/>
      <c r="R128" s="606">
        <f t="shared" si="26"/>
        <v>0</v>
      </c>
      <c r="S128" s="247">
        <f t="shared" si="27"/>
        <v>0</v>
      </c>
      <c r="T128" s="248">
        <f t="shared" si="28"/>
        <v>0</v>
      </c>
      <c r="X128" s="23" t="str">
        <f t="shared" si="18"/>
        <v>-</v>
      </c>
    </row>
    <row r="129" spans="1:24" ht="30" customHeight="1" x14ac:dyDescent="0.3">
      <c r="A129" s="262" t="s">
        <v>152</v>
      </c>
      <c r="C129" s="244">
        <v>62</v>
      </c>
      <c r="D129" s="213" t="s">
        <v>342</v>
      </c>
      <c r="E129" s="969" t="s">
        <v>343</v>
      </c>
      <c r="F129" s="970"/>
      <c r="G129" s="971"/>
      <c r="H129" s="544" t="s">
        <v>262</v>
      </c>
      <c r="I129" s="212">
        <v>102000</v>
      </c>
      <c r="J129" s="605"/>
      <c r="K129" s="212">
        <v>8410</v>
      </c>
      <c r="L129" s="212">
        <f t="shared" si="22"/>
        <v>857820000</v>
      </c>
      <c r="M129" s="602"/>
      <c r="N129" s="675">
        <f>+'Yeşil Defter'!K126</f>
        <v>0</v>
      </c>
      <c r="O129" s="675">
        <f>+'Yeşil Defter'!L126</f>
        <v>68.646000000000001</v>
      </c>
      <c r="P129" s="675">
        <f>+'Yeşil Defter'!M126</f>
        <v>68.646000000000001</v>
      </c>
      <c r="Q129" s="511"/>
      <c r="R129" s="606">
        <f t="shared" si="26"/>
        <v>0</v>
      </c>
      <c r="S129" s="247">
        <f t="shared" si="27"/>
        <v>7001892</v>
      </c>
      <c r="T129" s="248">
        <f t="shared" si="28"/>
        <v>7001892</v>
      </c>
      <c r="X129" s="23" t="str">
        <f t="shared" si="18"/>
        <v>-</v>
      </c>
    </row>
    <row r="130" spans="1:24" ht="30" customHeight="1" x14ac:dyDescent="0.3">
      <c r="A130" s="262" t="s">
        <v>152</v>
      </c>
      <c r="C130" s="244">
        <v>63</v>
      </c>
      <c r="D130" s="213" t="s">
        <v>344</v>
      </c>
      <c r="E130" s="969" t="s">
        <v>345</v>
      </c>
      <c r="F130" s="970"/>
      <c r="G130" s="971"/>
      <c r="H130" s="544" t="s">
        <v>202</v>
      </c>
      <c r="I130" s="212">
        <v>3400</v>
      </c>
      <c r="J130" s="605"/>
      <c r="K130" s="212">
        <v>360205.7</v>
      </c>
      <c r="L130" s="212">
        <f t="shared" si="22"/>
        <v>1224699380</v>
      </c>
      <c r="M130" s="602"/>
      <c r="N130" s="675">
        <f>+'Yeşil Defter'!K127</f>
        <v>0</v>
      </c>
      <c r="O130" s="675">
        <f>+'Yeşil Defter'!L127</f>
        <v>0</v>
      </c>
      <c r="P130" s="675">
        <f>+'Yeşil Defter'!M127</f>
        <v>0</v>
      </c>
      <c r="Q130" s="511"/>
      <c r="R130" s="606">
        <f t="shared" si="26"/>
        <v>0</v>
      </c>
      <c r="S130" s="247">
        <f t="shared" si="27"/>
        <v>0</v>
      </c>
      <c r="T130" s="248">
        <f t="shared" si="28"/>
        <v>0</v>
      </c>
      <c r="X130" s="23" t="str">
        <f t="shared" si="18"/>
        <v>-</v>
      </c>
    </row>
    <row r="131" spans="1:24" ht="30" customHeight="1" x14ac:dyDescent="0.3">
      <c r="A131" s="262" t="s">
        <v>152</v>
      </c>
      <c r="C131" s="244">
        <v>64</v>
      </c>
      <c r="D131" s="161" t="s">
        <v>346</v>
      </c>
      <c r="E131" s="969" t="s">
        <v>347</v>
      </c>
      <c r="F131" s="970"/>
      <c r="G131" s="971"/>
      <c r="H131" s="544" t="s">
        <v>225</v>
      </c>
      <c r="I131" s="212">
        <v>510</v>
      </c>
      <c r="J131" s="605"/>
      <c r="K131" s="212">
        <v>78502.509999999995</v>
      </c>
      <c r="L131" s="212">
        <f t="shared" si="22"/>
        <v>40036280.100000001</v>
      </c>
      <c r="M131" s="602"/>
      <c r="N131" s="675">
        <f>+'Yeşil Defter'!K128</f>
        <v>0</v>
      </c>
      <c r="O131" s="675">
        <f>+'Yeşil Defter'!L128</f>
        <v>0</v>
      </c>
      <c r="P131" s="675">
        <f>+'Yeşil Defter'!M128</f>
        <v>0</v>
      </c>
      <c r="Q131" s="511"/>
      <c r="R131" s="606">
        <f t="shared" si="26"/>
        <v>0</v>
      </c>
      <c r="S131" s="247">
        <f t="shared" si="27"/>
        <v>0</v>
      </c>
      <c r="T131" s="248">
        <f t="shared" si="28"/>
        <v>0</v>
      </c>
      <c r="X131" s="23" t="str">
        <f t="shared" si="18"/>
        <v>-</v>
      </c>
    </row>
    <row r="132" spans="1:24" ht="30" customHeight="1" x14ac:dyDescent="0.3">
      <c r="A132" s="262" t="s">
        <v>152</v>
      </c>
      <c r="C132" s="244">
        <v>65</v>
      </c>
      <c r="D132" s="161" t="s">
        <v>348</v>
      </c>
      <c r="E132" s="969" t="s">
        <v>349</v>
      </c>
      <c r="F132" s="970"/>
      <c r="G132" s="971"/>
      <c r="H132" s="544" t="s">
        <v>225</v>
      </c>
      <c r="I132" s="212">
        <v>1200</v>
      </c>
      <c r="J132" s="605"/>
      <c r="K132" s="212">
        <v>67207.820000000007</v>
      </c>
      <c r="L132" s="212">
        <f t="shared" si="22"/>
        <v>80649384</v>
      </c>
      <c r="M132" s="602"/>
      <c r="N132" s="675">
        <f>+'Yeşil Defter'!K129</f>
        <v>0</v>
      </c>
      <c r="O132" s="675">
        <f>+'Yeşil Defter'!L129</f>
        <v>0</v>
      </c>
      <c r="P132" s="675">
        <f>+'Yeşil Defter'!M129</f>
        <v>0</v>
      </c>
      <c r="Q132" s="511"/>
      <c r="R132" s="606">
        <f t="shared" si="26"/>
        <v>0</v>
      </c>
      <c r="S132" s="247">
        <f t="shared" si="27"/>
        <v>0</v>
      </c>
      <c r="T132" s="248">
        <f t="shared" si="28"/>
        <v>0</v>
      </c>
      <c r="X132" s="23" t="str">
        <f t="shared" si="18"/>
        <v>-</v>
      </c>
    </row>
    <row r="133" spans="1:24" ht="30" customHeight="1" x14ac:dyDescent="0.3">
      <c r="A133" s="262" t="s">
        <v>152</v>
      </c>
      <c r="C133" s="244">
        <v>66</v>
      </c>
      <c r="D133" s="213" t="s">
        <v>350</v>
      </c>
      <c r="E133" s="969" t="s">
        <v>351</v>
      </c>
      <c r="F133" s="970"/>
      <c r="G133" s="971"/>
      <c r="H133" s="544" t="s">
        <v>202</v>
      </c>
      <c r="I133" s="212">
        <v>2160</v>
      </c>
      <c r="J133" s="605"/>
      <c r="K133" s="212">
        <v>11190.19</v>
      </c>
      <c r="L133" s="212">
        <f t="shared" si="22"/>
        <v>24170810.399999999</v>
      </c>
      <c r="M133" s="602"/>
      <c r="N133" s="675">
        <f>+'Yeşil Defter'!K130</f>
        <v>0</v>
      </c>
      <c r="O133" s="675">
        <f>+'Yeşil Defter'!L130</f>
        <v>0</v>
      </c>
      <c r="P133" s="675">
        <f>+'Yeşil Defter'!M130</f>
        <v>0</v>
      </c>
      <c r="Q133" s="511"/>
      <c r="R133" s="606">
        <f t="shared" si="26"/>
        <v>0</v>
      </c>
      <c r="S133" s="247">
        <f t="shared" si="27"/>
        <v>0</v>
      </c>
      <c r="T133" s="248">
        <f t="shared" si="28"/>
        <v>0</v>
      </c>
      <c r="X133" s="23" t="str">
        <f t="shared" si="18"/>
        <v>-</v>
      </c>
    </row>
    <row r="134" spans="1:24" ht="30" customHeight="1" x14ac:dyDescent="0.3">
      <c r="A134" s="262" t="s">
        <v>152</v>
      </c>
      <c r="C134" s="244">
        <v>67</v>
      </c>
      <c r="D134" s="161" t="s">
        <v>352</v>
      </c>
      <c r="E134" s="969" t="s">
        <v>353</v>
      </c>
      <c r="F134" s="970"/>
      <c r="G134" s="971"/>
      <c r="H134" s="544" t="s">
        <v>225</v>
      </c>
      <c r="I134" s="212">
        <v>4150</v>
      </c>
      <c r="J134" s="605"/>
      <c r="K134" s="212">
        <v>24185.25</v>
      </c>
      <c r="L134" s="212">
        <f t="shared" si="22"/>
        <v>100368787.5</v>
      </c>
      <c r="M134" s="602"/>
      <c r="N134" s="675">
        <f>+'Yeşil Defter'!K131</f>
        <v>0</v>
      </c>
      <c r="O134" s="675">
        <f>+'Yeşil Defter'!L131</f>
        <v>0</v>
      </c>
      <c r="P134" s="675">
        <f>+'Yeşil Defter'!M131</f>
        <v>0</v>
      </c>
      <c r="Q134" s="511"/>
      <c r="R134" s="606">
        <f t="shared" si="26"/>
        <v>0</v>
      </c>
      <c r="S134" s="247">
        <f t="shared" si="27"/>
        <v>0</v>
      </c>
      <c r="T134" s="248">
        <f t="shared" si="28"/>
        <v>0</v>
      </c>
      <c r="X134" s="23" t="str">
        <f t="shared" si="18"/>
        <v>-</v>
      </c>
    </row>
    <row r="135" spans="1:24" ht="30" customHeight="1" x14ac:dyDescent="0.3">
      <c r="A135" s="262" t="s">
        <v>152</v>
      </c>
      <c r="C135" s="244">
        <v>68</v>
      </c>
      <c r="D135" s="161" t="s">
        <v>354</v>
      </c>
      <c r="E135" s="969" t="s">
        <v>355</v>
      </c>
      <c r="F135" s="970"/>
      <c r="G135" s="971"/>
      <c r="H135" s="544" t="s">
        <v>225</v>
      </c>
      <c r="I135" s="212">
        <v>1500</v>
      </c>
      <c r="J135" s="605"/>
      <c r="K135" s="212">
        <v>59207.42</v>
      </c>
      <c r="L135" s="212">
        <f t="shared" si="22"/>
        <v>88811130</v>
      </c>
      <c r="M135" s="602"/>
      <c r="N135" s="675">
        <f>+'Yeşil Defter'!K132</f>
        <v>0</v>
      </c>
      <c r="O135" s="675">
        <f>+'Yeşil Defter'!L132</f>
        <v>0</v>
      </c>
      <c r="P135" s="675">
        <f>+'Yeşil Defter'!M132</f>
        <v>0</v>
      </c>
      <c r="Q135" s="511"/>
      <c r="R135" s="606">
        <f t="shared" si="26"/>
        <v>0</v>
      </c>
      <c r="S135" s="247">
        <f t="shared" si="27"/>
        <v>0</v>
      </c>
      <c r="T135" s="248">
        <f t="shared" si="28"/>
        <v>0</v>
      </c>
      <c r="X135" s="23" t="str">
        <f t="shared" si="18"/>
        <v>-</v>
      </c>
    </row>
    <row r="136" spans="1:24" ht="30" customHeight="1" x14ac:dyDescent="0.3">
      <c r="A136" s="262" t="s">
        <v>152</v>
      </c>
      <c r="C136" s="244">
        <v>69</v>
      </c>
      <c r="D136" s="161" t="s">
        <v>356</v>
      </c>
      <c r="E136" s="969" t="s">
        <v>357</v>
      </c>
      <c r="F136" s="970"/>
      <c r="G136" s="971"/>
      <c r="H136" s="544" t="s">
        <v>225</v>
      </c>
      <c r="I136" s="212">
        <v>500</v>
      </c>
      <c r="J136" s="605"/>
      <c r="K136" s="212">
        <v>36357.33</v>
      </c>
      <c r="L136" s="212">
        <f t="shared" si="22"/>
        <v>18178665</v>
      </c>
      <c r="M136" s="602"/>
      <c r="N136" s="675">
        <f>+'Yeşil Defter'!K133</f>
        <v>0</v>
      </c>
      <c r="O136" s="675">
        <f>+'Yeşil Defter'!L133</f>
        <v>0</v>
      </c>
      <c r="P136" s="675">
        <f>+'Yeşil Defter'!M133</f>
        <v>0</v>
      </c>
      <c r="Q136" s="511"/>
      <c r="R136" s="606">
        <f t="shared" si="26"/>
        <v>0</v>
      </c>
      <c r="S136" s="247">
        <f t="shared" si="27"/>
        <v>0</v>
      </c>
      <c r="T136" s="248">
        <f t="shared" si="28"/>
        <v>0</v>
      </c>
      <c r="X136" s="23" t="str">
        <f t="shared" si="18"/>
        <v>-</v>
      </c>
    </row>
    <row r="137" spans="1:24" ht="30" customHeight="1" x14ac:dyDescent="0.3">
      <c r="A137" s="262" t="s">
        <v>152</v>
      </c>
      <c r="C137" s="244">
        <v>70</v>
      </c>
      <c r="D137" s="161" t="s">
        <v>358</v>
      </c>
      <c r="E137" s="969" t="s">
        <v>359</v>
      </c>
      <c r="F137" s="970"/>
      <c r="G137" s="971"/>
      <c r="H137" s="544" t="s">
        <v>228</v>
      </c>
      <c r="I137" s="212">
        <v>6030</v>
      </c>
      <c r="J137" s="605"/>
      <c r="K137" s="212">
        <v>3898.42</v>
      </c>
      <c r="L137" s="212">
        <f t="shared" si="22"/>
        <v>23507472.600000001</v>
      </c>
      <c r="M137" s="602"/>
      <c r="N137" s="675">
        <f>+'Yeşil Defter'!K134</f>
        <v>0</v>
      </c>
      <c r="O137" s="675">
        <f>+'Yeşil Defter'!L134</f>
        <v>0</v>
      </c>
      <c r="P137" s="675">
        <f>+'Yeşil Defter'!M134</f>
        <v>0</v>
      </c>
      <c r="Q137" s="511"/>
      <c r="R137" s="606">
        <f t="shared" si="26"/>
        <v>0</v>
      </c>
      <c r="S137" s="247">
        <f t="shared" si="27"/>
        <v>0</v>
      </c>
      <c r="T137" s="248">
        <f t="shared" si="28"/>
        <v>0</v>
      </c>
      <c r="X137" s="23" t="str">
        <f t="shared" si="18"/>
        <v>-</v>
      </c>
    </row>
    <row r="138" spans="1:24" ht="40.049999999999997" customHeight="1" x14ac:dyDescent="0.3">
      <c r="A138" s="262" t="s">
        <v>1242</v>
      </c>
      <c r="C138" s="258"/>
      <c r="D138" s="258"/>
      <c r="E138" s="972" t="s">
        <v>33</v>
      </c>
      <c r="F138" s="972"/>
      <c r="G138" s="972"/>
      <c r="H138" s="973" t="s">
        <v>29</v>
      </c>
      <c r="I138" s="973"/>
      <c r="J138" s="973"/>
      <c r="K138" s="973"/>
      <c r="L138" s="973"/>
      <c r="M138" s="549"/>
      <c r="N138" s="973" t="s">
        <v>22</v>
      </c>
      <c r="O138" s="973"/>
      <c r="P138" s="973"/>
      <c r="Q138" s="973"/>
      <c r="R138" s="973"/>
      <c r="S138" s="973"/>
      <c r="T138" s="973"/>
      <c r="X138" s="23"/>
    </row>
    <row r="139" spans="1:24" ht="19.95" customHeight="1" x14ac:dyDescent="0.3">
      <c r="A139" s="262" t="s">
        <v>1242</v>
      </c>
      <c r="D139" s="28"/>
      <c r="E139" s="974" t="s">
        <v>1214</v>
      </c>
      <c r="F139" s="974"/>
      <c r="G139" s="974"/>
      <c r="H139" s="975" t="s">
        <v>38</v>
      </c>
      <c r="I139" s="975"/>
      <c r="J139" s="975"/>
      <c r="K139" s="975"/>
      <c r="L139" s="975"/>
      <c r="M139" s="562"/>
      <c r="N139" s="975" t="s">
        <v>1437</v>
      </c>
      <c r="O139" s="975"/>
      <c r="P139" s="975"/>
      <c r="Q139" s="975"/>
      <c r="R139" s="975"/>
      <c r="S139" s="975"/>
      <c r="T139" s="975"/>
      <c r="X139" s="23"/>
    </row>
    <row r="140" spans="1:24" ht="19.95" customHeight="1" x14ac:dyDescent="0.3">
      <c r="A140" s="262" t="s">
        <v>1242</v>
      </c>
      <c r="C140" s="228"/>
      <c r="D140" s="228"/>
      <c r="E140" s="561"/>
      <c r="F140" s="561"/>
      <c r="G140" s="561"/>
      <c r="H140" s="228"/>
      <c r="I140" s="260"/>
      <c r="J140" s="260"/>
      <c r="K140" s="260"/>
      <c r="L140" s="260"/>
      <c r="M140" s="260"/>
      <c r="N140" s="975"/>
      <c r="O140" s="975"/>
      <c r="P140" s="975"/>
      <c r="Q140" s="975"/>
      <c r="R140" s="975"/>
      <c r="S140" s="975"/>
      <c r="T140" s="975"/>
      <c r="X140" s="23"/>
    </row>
    <row r="141" spans="1:24" ht="19.95" customHeight="1" x14ac:dyDescent="0.3">
      <c r="A141" s="262" t="s">
        <v>1242</v>
      </c>
      <c r="C141" s="228"/>
      <c r="D141" s="228"/>
      <c r="E141" s="561"/>
      <c r="F141" s="561"/>
      <c r="G141" s="561"/>
      <c r="H141" s="228"/>
      <c r="I141" s="260"/>
      <c r="J141" s="260"/>
      <c r="K141" s="260"/>
      <c r="L141" s="260"/>
      <c r="M141" s="260"/>
      <c r="N141" s="975"/>
      <c r="O141" s="975"/>
      <c r="P141" s="975"/>
      <c r="Q141" s="975"/>
      <c r="R141" s="975"/>
      <c r="S141" s="975"/>
      <c r="T141" s="975"/>
      <c r="X141" s="23"/>
    </row>
    <row r="142" spans="1:24" ht="19.95" customHeight="1" x14ac:dyDescent="0.3">
      <c r="A142" s="262" t="s">
        <v>1242</v>
      </c>
      <c r="C142" s="228"/>
      <c r="D142" s="228"/>
      <c r="E142" s="561"/>
      <c r="F142" s="561"/>
      <c r="G142" s="561"/>
      <c r="H142" s="228"/>
      <c r="I142" s="260"/>
      <c r="J142" s="260"/>
      <c r="K142" s="260"/>
      <c r="L142" s="260"/>
      <c r="M142" s="260"/>
      <c r="N142" s="260"/>
      <c r="O142" s="260"/>
      <c r="P142" s="260"/>
      <c r="Q142" s="260"/>
      <c r="R142" s="260"/>
      <c r="S142" s="624"/>
      <c r="T142" s="260"/>
      <c r="X142" s="23"/>
    </row>
    <row r="143" spans="1:24" ht="19.95" customHeight="1" x14ac:dyDescent="0.3">
      <c r="A143" s="262" t="s">
        <v>1242</v>
      </c>
      <c r="C143" s="228"/>
      <c r="D143" s="228"/>
      <c r="E143" s="561"/>
      <c r="F143" s="561"/>
      <c r="G143" s="561"/>
      <c r="H143" s="975" t="s">
        <v>32</v>
      </c>
      <c r="I143" s="975"/>
      <c r="J143" s="562"/>
      <c r="K143" s="975" t="s">
        <v>1407</v>
      </c>
      <c r="L143" s="975"/>
      <c r="M143" s="562"/>
      <c r="N143" s="968" t="s">
        <v>54</v>
      </c>
      <c r="O143" s="968"/>
      <c r="P143" s="968"/>
      <c r="Q143" s="260"/>
      <c r="R143" s="968" t="s">
        <v>1455</v>
      </c>
      <c r="S143" s="968"/>
      <c r="T143" s="968"/>
      <c r="U143" s="260"/>
      <c r="X143" s="23"/>
    </row>
    <row r="144" spans="1:24" ht="19.95" customHeight="1" x14ac:dyDescent="0.3">
      <c r="A144" s="262" t="s">
        <v>1242</v>
      </c>
      <c r="C144" s="228"/>
      <c r="D144" s="228"/>
      <c r="E144" s="561"/>
      <c r="F144" s="561"/>
      <c r="G144" s="561"/>
      <c r="H144" s="976" t="s">
        <v>94</v>
      </c>
      <c r="I144" s="976"/>
      <c r="J144" s="623"/>
      <c r="K144" s="976" t="s">
        <v>94</v>
      </c>
      <c r="L144" s="976"/>
      <c r="M144" s="623"/>
      <c r="N144" s="968" t="s">
        <v>1484</v>
      </c>
      <c r="O144" s="968"/>
      <c r="P144" s="968"/>
      <c r="Q144" s="260"/>
      <c r="R144" s="968" t="s">
        <v>1479</v>
      </c>
      <c r="S144" s="968"/>
      <c r="T144" s="968"/>
      <c r="U144" s="260"/>
      <c r="X144" s="23"/>
    </row>
    <row r="145" spans="1:24" ht="19.95" customHeight="1" x14ac:dyDescent="0.3">
      <c r="A145" s="262" t="s">
        <v>1242</v>
      </c>
      <c r="C145" s="228"/>
      <c r="D145" s="228"/>
      <c r="E145" s="561"/>
      <c r="F145" s="561"/>
      <c r="G145" s="561"/>
      <c r="H145" s="976"/>
      <c r="I145" s="976"/>
      <c r="J145" s="623"/>
      <c r="K145" s="976"/>
      <c r="L145" s="976"/>
      <c r="M145" s="623"/>
      <c r="N145" s="968"/>
      <c r="O145" s="968"/>
      <c r="P145" s="968"/>
      <c r="Q145" s="260"/>
      <c r="R145" s="968"/>
      <c r="S145" s="968"/>
      <c r="T145" s="968"/>
      <c r="U145" s="260"/>
      <c r="X145" s="23"/>
    </row>
    <row r="146" spans="1:24" ht="19.95" customHeight="1" x14ac:dyDescent="0.3">
      <c r="A146" s="262" t="s">
        <v>1242</v>
      </c>
      <c r="C146" s="228"/>
      <c r="D146" s="228"/>
      <c r="E146" s="561"/>
      <c r="F146" s="561"/>
      <c r="G146" s="561"/>
      <c r="H146" s="228"/>
      <c r="I146" s="260"/>
      <c r="J146" s="260"/>
      <c r="K146" s="260"/>
      <c r="L146" s="260"/>
      <c r="M146" s="260"/>
      <c r="N146" s="260"/>
      <c r="O146" s="260"/>
      <c r="P146" s="260"/>
      <c r="Q146" s="260"/>
      <c r="R146" s="260"/>
      <c r="S146" s="624"/>
      <c r="T146" s="260"/>
      <c r="X146" s="23"/>
    </row>
    <row r="147" spans="1:24" ht="19.95" customHeight="1" x14ac:dyDescent="0.3">
      <c r="A147" s="262" t="s">
        <v>1242</v>
      </c>
      <c r="C147" s="228"/>
      <c r="D147" s="228"/>
      <c r="E147" s="975" t="s">
        <v>1215</v>
      </c>
      <c r="F147" s="975"/>
      <c r="G147" s="975"/>
      <c r="H147" s="975" t="s">
        <v>1348</v>
      </c>
      <c r="I147" s="975"/>
      <c r="J147" s="975"/>
      <c r="K147" s="975"/>
      <c r="L147" s="975"/>
      <c r="M147" s="562"/>
      <c r="N147" s="977" t="s">
        <v>1217</v>
      </c>
      <c r="O147" s="968"/>
      <c r="P147" s="968"/>
      <c r="Q147" s="968"/>
      <c r="R147" s="968"/>
      <c r="S147" s="968"/>
      <c r="T147" s="968"/>
      <c r="X147" s="23"/>
    </row>
    <row r="148" spans="1:24" ht="19.95" customHeight="1" x14ac:dyDescent="0.3">
      <c r="A148" s="262" t="s">
        <v>1290</v>
      </c>
      <c r="C148" s="228"/>
      <c r="D148" s="228"/>
      <c r="E148" s="975"/>
      <c r="F148" s="975"/>
      <c r="G148" s="975"/>
      <c r="H148" s="975"/>
      <c r="I148" s="975"/>
      <c r="J148" s="975"/>
      <c r="K148" s="975"/>
      <c r="L148" s="975"/>
      <c r="M148" s="562"/>
      <c r="N148" s="968"/>
      <c r="O148" s="968"/>
      <c r="P148" s="968"/>
      <c r="Q148" s="968"/>
      <c r="R148" s="968"/>
      <c r="S148" s="968"/>
      <c r="T148" s="968"/>
      <c r="X148" s="23"/>
    </row>
    <row r="149" spans="1:24" ht="30" customHeight="1" x14ac:dyDescent="0.3">
      <c r="A149" s="262" t="s">
        <v>152</v>
      </c>
      <c r="C149" s="255">
        <v>71</v>
      </c>
      <c r="D149" s="256" t="s">
        <v>360</v>
      </c>
      <c r="E149" s="978" t="s">
        <v>361</v>
      </c>
      <c r="F149" s="979"/>
      <c r="G149" s="980"/>
      <c r="H149" s="546" t="s">
        <v>228</v>
      </c>
      <c r="I149" s="257">
        <v>10355</v>
      </c>
      <c r="J149" s="606"/>
      <c r="K149" s="257">
        <v>14995.14</v>
      </c>
      <c r="L149" s="257">
        <f t="shared" ref="L149:L157" si="29">+ROUND(I149*K149,2)</f>
        <v>155274674.69999999</v>
      </c>
      <c r="M149" s="603"/>
      <c r="N149" s="675">
        <f>+'Yeşil Defter'!K135</f>
        <v>0</v>
      </c>
      <c r="O149" s="675">
        <f>+'Yeşil Defter'!L135</f>
        <v>0</v>
      </c>
      <c r="P149" s="675">
        <f>+'Yeşil Defter'!M135</f>
        <v>0</v>
      </c>
      <c r="Q149" s="612"/>
      <c r="R149" s="606">
        <f t="shared" ref="R149" si="30">+ROUND(I149*N149,2)</f>
        <v>0</v>
      </c>
      <c r="S149" s="247">
        <f t="shared" ref="S149" si="31">+T149-R149</f>
        <v>0</v>
      </c>
      <c r="T149" s="248">
        <f t="shared" ref="T149" si="32">+ROUND(I149*P149,2)</f>
        <v>0</v>
      </c>
      <c r="X149" s="23" t="str">
        <f t="shared" ref="X149:X205" si="33">IF(AND(P150&gt;K150*1.2, (P150-K150)*I150 &gt; $L$13*0.01), "RBF", "-")</f>
        <v>-</v>
      </c>
    </row>
    <row r="150" spans="1:24" ht="30" customHeight="1" x14ac:dyDescent="0.3">
      <c r="A150" s="262" t="s">
        <v>152</v>
      </c>
      <c r="C150" s="244">
        <v>72</v>
      </c>
      <c r="D150" s="161" t="s">
        <v>362</v>
      </c>
      <c r="E150" s="969" t="s">
        <v>363</v>
      </c>
      <c r="F150" s="970"/>
      <c r="G150" s="971"/>
      <c r="H150" s="544" t="s">
        <v>228</v>
      </c>
      <c r="I150" s="212">
        <v>10355</v>
      </c>
      <c r="J150" s="605"/>
      <c r="K150" s="212">
        <v>29458.35</v>
      </c>
      <c r="L150" s="212">
        <f t="shared" si="29"/>
        <v>305041214.25</v>
      </c>
      <c r="M150" s="602"/>
      <c r="N150" s="675">
        <f>+'Yeşil Defter'!K136</f>
        <v>0</v>
      </c>
      <c r="O150" s="675">
        <f>+'Yeşil Defter'!L136</f>
        <v>0</v>
      </c>
      <c r="P150" s="675">
        <f>+'Yeşil Defter'!M136</f>
        <v>0</v>
      </c>
      <c r="Q150" s="511"/>
      <c r="R150" s="606">
        <f t="shared" ref="R150:R157" si="34">+ROUND(I150*N150,2)</f>
        <v>0</v>
      </c>
      <c r="S150" s="247">
        <f t="shared" ref="S150:S157" si="35">+T150-R150</f>
        <v>0</v>
      </c>
      <c r="T150" s="248">
        <f t="shared" ref="T150:T157" si="36">+ROUND(I150*P150,2)</f>
        <v>0</v>
      </c>
      <c r="X150" s="23" t="str">
        <f t="shared" si="33"/>
        <v>-</v>
      </c>
    </row>
    <row r="151" spans="1:24" ht="30" customHeight="1" x14ac:dyDescent="0.3">
      <c r="A151" s="262" t="s">
        <v>152</v>
      </c>
      <c r="C151" s="244">
        <v>73</v>
      </c>
      <c r="D151" s="161" t="s">
        <v>364</v>
      </c>
      <c r="E151" s="969" t="s">
        <v>365</v>
      </c>
      <c r="F151" s="970"/>
      <c r="G151" s="971"/>
      <c r="H151" s="544" t="s">
        <v>228</v>
      </c>
      <c r="I151" s="212">
        <v>10355</v>
      </c>
      <c r="J151" s="605"/>
      <c r="K151" s="212">
        <v>3917.38</v>
      </c>
      <c r="L151" s="212">
        <f t="shared" si="29"/>
        <v>40564469.899999999</v>
      </c>
      <c r="M151" s="602"/>
      <c r="N151" s="675">
        <f>+'Yeşil Defter'!K137</f>
        <v>0</v>
      </c>
      <c r="O151" s="675">
        <f>+'Yeşil Defter'!L137</f>
        <v>0</v>
      </c>
      <c r="P151" s="675">
        <f>+'Yeşil Defter'!M137</f>
        <v>0</v>
      </c>
      <c r="Q151" s="511"/>
      <c r="R151" s="606">
        <f t="shared" si="34"/>
        <v>0</v>
      </c>
      <c r="S151" s="247">
        <f t="shared" si="35"/>
        <v>0</v>
      </c>
      <c r="T151" s="248">
        <f t="shared" si="36"/>
        <v>0</v>
      </c>
      <c r="X151" s="23" t="str">
        <f t="shared" si="33"/>
        <v>-</v>
      </c>
    </row>
    <row r="152" spans="1:24" ht="30" customHeight="1" x14ac:dyDescent="0.3">
      <c r="A152" s="262" t="s">
        <v>152</v>
      </c>
      <c r="C152" s="244">
        <v>74</v>
      </c>
      <c r="D152" s="161" t="s">
        <v>366</v>
      </c>
      <c r="E152" s="969" t="s">
        <v>367</v>
      </c>
      <c r="F152" s="970"/>
      <c r="G152" s="971"/>
      <c r="H152" s="544" t="s">
        <v>262</v>
      </c>
      <c r="I152" s="212">
        <v>46250</v>
      </c>
      <c r="J152" s="605"/>
      <c r="K152" s="212">
        <v>62.29</v>
      </c>
      <c r="L152" s="212">
        <f t="shared" si="29"/>
        <v>2880912.5</v>
      </c>
      <c r="M152" s="602"/>
      <c r="N152" s="675">
        <f>+'Yeşil Defter'!K138</f>
        <v>0</v>
      </c>
      <c r="O152" s="675">
        <f>+'Yeşil Defter'!L138</f>
        <v>7.4200000000000008</v>
      </c>
      <c r="P152" s="675">
        <f>+'Yeşil Defter'!M138</f>
        <v>7.4200000000000008</v>
      </c>
      <c r="Q152" s="511"/>
      <c r="R152" s="606">
        <f t="shared" si="34"/>
        <v>0</v>
      </c>
      <c r="S152" s="247">
        <f t="shared" si="35"/>
        <v>343175</v>
      </c>
      <c r="T152" s="248">
        <f t="shared" si="36"/>
        <v>343175</v>
      </c>
      <c r="X152" s="23" t="str">
        <f t="shared" si="33"/>
        <v>-</v>
      </c>
    </row>
    <row r="153" spans="1:24" ht="30" customHeight="1" x14ac:dyDescent="0.3">
      <c r="A153" s="262" t="s">
        <v>152</v>
      </c>
      <c r="C153" s="244">
        <v>75</v>
      </c>
      <c r="D153" s="161" t="s">
        <v>368</v>
      </c>
      <c r="E153" s="969" t="s">
        <v>369</v>
      </c>
      <c r="F153" s="970"/>
      <c r="G153" s="971"/>
      <c r="H153" s="544" t="s">
        <v>262</v>
      </c>
      <c r="I153" s="212">
        <v>92500</v>
      </c>
      <c r="J153" s="605"/>
      <c r="K153" s="212">
        <v>4367.51</v>
      </c>
      <c r="L153" s="212">
        <f t="shared" si="29"/>
        <v>403994675</v>
      </c>
      <c r="M153" s="602"/>
      <c r="N153" s="675">
        <f>+'Yeşil Defter'!K139</f>
        <v>0</v>
      </c>
      <c r="O153" s="675">
        <f>+'Yeşil Defter'!L139</f>
        <v>0</v>
      </c>
      <c r="P153" s="675">
        <f>+'Yeşil Defter'!M139</f>
        <v>0</v>
      </c>
      <c r="Q153" s="511"/>
      <c r="R153" s="606">
        <f t="shared" si="34"/>
        <v>0</v>
      </c>
      <c r="S153" s="247">
        <f t="shared" si="35"/>
        <v>0</v>
      </c>
      <c r="T153" s="248">
        <f t="shared" si="36"/>
        <v>0</v>
      </c>
      <c r="X153" s="23" t="str">
        <f t="shared" si="33"/>
        <v>-</v>
      </c>
    </row>
    <row r="154" spans="1:24" ht="30" customHeight="1" x14ac:dyDescent="0.3">
      <c r="A154" s="262" t="s">
        <v>152</v>
      </c>
      <c r="C154" s="244">
        <v>76</v>
      </c>
      <c r="D154" s="161" t="s">
        <v>370</v>
      </c>
      <c r="E154" s="969" t="s">
        <v>371</v>
      </c>
      <c r="F154" s="970"/>
      <c r="G154" s="971"/>
      <c r="H154" s="544" t="s">
        <v>262</v>
      </c>
      <c r="I154" s="212">
        <v>97333</v>
      </c>
      <c r="J154" s="605"/>
      <c r="K154" s="212">
        <v>2581.33</v>
      </c>
      <c r="L154" s="212">
        <f t="shared" si="29"/>
        <v>251248592.88999999</v>
      </c>
      <c r="M154" s="602"/>
      <c r="N154" s="675">
        <f>+'Yeşil Defter'!K140</f>
        <v>0</v>
      </c>
      <c r="O154" s="675">
        <f>+'Yeşil Defter'!L140</f>
        <v>22.183</v>
      </c>
      <c r="P154" s="675">
        <f>+'Yeşil Defter'!M140</f>
        <v>22.183</v>
      </c>
      <c r="Q154" s="511"/>
      <c r="R154" s="606">
        <f t="shared" si="34"/>
        <v>0</v>
      </c>
      <c r="S154" s="247">
        <f t="shared" si="35"/>
        <v>2159137.94</v>
      </c>
      <c r="T154" s="248">
        <f t="shared" si="36"/>
        <v>2159137.94</v>
      </c>
      <c r="X154" s="23" t="str">
        <f t="shared" si="33"/>
        <v>-</v>
      </c>
    </row>
    <row r="155" spans="1:24" ht="30" customHeight="1" x14ac:dyDescent="0.3">
      <c r="A155" s="262" t="s">
        <v>152</v>
      </c>
      <c r="C155" s="244">
        <v>77</v>
      </c>
      <c r="D155" s="161" t="s">
        <v>372</v>
      </c>
      <c r="E155" s="969" t="s">
        <v>373</v>
      </c>
      <c r="F155" s="970"/>
      <c r="G155" s="971"/>
      <c r="H155" s="544" t="s">
        <v>374</v>
      </c>
      <c r="I155" s="212">
        <v>150</v>
      </c>
      <c r="J155" s="605"/>
      <c r="K155" s="212">
        <v>3500</v>
      </c>
      <c r="L155" s="212">
        <f t="shared" si="29"/>
        <v>525000</v>
      </c>
      <c r="M155" s="602"/>
      <c r="N155" s="675">
        <f>+'Yeşil Defter'!K141</f>
        <v>0</v>
      </c>
      <c r="O155" s="675">
        <f>+'Yeşil Defter'!L141</f>
        <v>0</v>
      </c>
      <c r="P155" s="675">
        <f>+'Yeşil Defter'!M141</f>
        <v>0</v>
      </c>
      <c r="Q155" s="511"/>
      <c r="R155" s="606">
        <f t="shared" si="34"/>
        <v>0</v>
      </c>
      <c r="S155" s="247">
        <f t="shared" si="35"/>
        <v>0</v>
      </c>
      <c r="T155" s="248">
        <f t="shared" si="36"/>
        <v>0</v>
      </c>
      <c r="X155" s="23" t="str">
        <f t="shared" si="33"/>
        <v>-</v>
      </c>
    </row>
    <row r="156" spans="1:24" ht="30" customHeight="1" x14ac:dyDescent="0.3">
      <c r="A156" s="262" t="s">
        <v>152</v>
      </c>
      <c r="C156" s="244">
        <v>78</v>
      </c>
      <c r="D156" s="161" t="s">
        <v>375</v>
      </c>
      <c r="E156" s="969" t="s">
        <v>376</v>
      </c>
      <c r="F156" s="970"/>
      <c r="G156" s="971"/>
      <c r="H156" s="544" t="s">
        <v>374</v>
      </c>
      <c r="I156" s="212">
        <v>180</v>
      </c>
      <c r="J156" s="605"/>
      <c r="K156" s="212">
        <v>4500</v>
      </c>
      <c r="L156" s="212">
        <f t="shared" si="29"/>
        <v>810000</v>
      </c>
      <c r="M156" s="602"/>
      <c r="N156" s="675">
        <f>+'Yeşil Defter'!K142</f>
        <v>0</v>
      </c>
      <c r="O156" s="675">
        <f>+'Yeşil Defter'!L142</f>
        <v>0</v>
      </c>
      <c r="P156" s="675">
        <f>+'Yeşil Defter'!M142</f>
        <v>0</v>
      </c>
      <c r="Q156" s="511"/>
      <c r="R156" s="606">
        <f t="shared" si="34"/>
        <v>0</v>
      </c>
      <c r="S156" s="247">
        <f t="shared" si="35"/>
        <v>0</v>
      </c>
      <c r="T156" s="248">
        <f t="shared" si="36"/>
        <v>0</v>
      </c>
      <c r="X156" s="23" t="str">
        <f t="shared" si="33"/>
        <v>-</v>
      </c>
    </row>
    <row r="157" spans="1:24" ht="30" customHeight="1" x14ac:dyDescent="0.3">
      <c r="A157" s="262" t="s">
        <v>152</v>
      </c>
      <c r="C157" s="244">
        <v>79</v>
      </c>
      <c r="D157" s="213" t="s">
        <v>377</v>
      </c>
      <c r="E157" s="969" t="s">
        <v>378</v>
      </c>
      <c r="F157" s="970"/>
      <c r="G157" s="971"/>
      <c r="H157" s="544" t="s">
        <v>202</v>
      </c>
      <c r="I157" s="212">
        <v>340200</v>
      </c>
      <c r="J157" s="605"/>
      <c r="K157" s="212">
        <v>8960.4699999999993</v>
      </c>
      <c r="L157" s="212">
        <f t="shared" si="29"/>
        <v>3048351894</v>
      </c>
      <c r="M157" s="602"/>
      <c r="N157" s="675">
        <f>+'Yeşil Defter'!K143</f>
        <v>0</v>
      </c>
      <c r="O157" s="675">
        <f>+'Yeşil Defter'!L143</f>
        <v>0</v>
      </c>
      <c r="P157" s="675">
        <f>+'Yeşil Defter'!M143</f>
        <v>0</v>
      </c>
      <c r="Q157" s="511"/>
      <c r="R157" s="606">
        <f t="shared" si="34"/>
        <v>0</v>
      </c>
      <c r="S157" s="247">
        <f t="shared" si="35"/>
        <v>0</v>
      </c>
      <c r="T157" s="248">
        <f t="shared" si="36"/>
        <v>0</v>
      </c>
      <c r="X157" s="23" t="str">
        <f t="shared" si="33"/>
        <v>-</v>
      </c>
    </row>
    <row r="158" spans="1:24" ht="30" customHeight="1" x14ac:dyDescent="0.3">
      <c r="A158" s="262">
        <v>1</v>
      </c>
      <c r="C158" s="242"/>
      <c r="D158" s="233" t="s">
        <v>1226</v>
      </c>
      <c r="E158" s="234"/>
      <c r="F158" s="234"/>
      <c r="G158" s="234"/>
      <c r="H158" s="234"/>
      <c r="I158" s="235"/>
      <c r="J158" s="235"/>
      <c r="K158" s="235"/>
      <c r="L158" s="642">
        <f>+SUMIFS(L:L,A:A,"1.C")</f>
        <v>160312500</v>
      </c>
      <c r="M158" s="600"/>
      <c r="N158" s="646"/>
      <c r="O158" s="235"/>
      <c r="P158" s="235"/>
      <c r="Q158" s="655"/>
      <c r="R158" s="650">
        <f>+SUMIFS(R:R,A:A,"1.C")</f>
        <v>0</v>
      </c>
      <c r="S158" s="249">
        <f>+SUMIFS(S:S,A:A,"1.C")</f>
        <v>0</v>
      </c>
      <c r="T158" s="250">
        <f>+SUMIFS(T:T,A:A,"1.C")</f>
        <v>0</v>
      </c>
      <c r="X158" s="23" t="str">
        <f t="shared" si="33"/>
        <v>-</v>
      </c>
    </row>
    <row r="159" spans="1:24" ht="30" customHeight="1" x14ac:dyDescent="0.3">
      <c r="A159" s="262" t="s">
        <v>153</v>
      </c>
      <c r="C159" s="244">
        <v>80</v>
      </c>
      <c r="D159" s="213" t="s">
        <v>379</v>
      </c>
      <c r="E159" s="969" t="s">
        <v>380</v>
      </c>
      <c r="F159" s="970"/>
      <c r="G159" s="971"/>
      <c r="H159" s="544" t="s">
        <v>202</v>
      </c>
      <c r="I159" s="212">
        <v>3750</v>
      </c>
      <c r="J159" s="605"/>
      <c r="K159" s="212">
        <v>2750</v>
      </c>
      <c r="L159" s="212">
        <f>+ROUND(I159*K159,2)</f>
        <v>10312500</v>
      </c>
      <c r="M159" s="602"/>
      <c r="N159" s="675">
        <f>+'Yeşil Defter'!K158</f>
        <v>0</v>
      </c>
      <c r="O159" s="675">
        <f>+'Yeşil Defter'!L158</f>
        <v>0</v>
      </c>
      <c r="P159" s="675">
        <f>+'Yeşil Defter'!M158</f>
        <v>0</v>
      </c>
      <c r="Q159" s="257"/>
      <c r="R159" s="606">
        <f t="shared" ref="R159" si="37">+ROUND(I159*N159,2)</f>
        <v>0</v>
      </c>
      <c r="S159" s="247">
        <f t="shared" ref="S159" si="38">+T159-R159</f>
        <v>0</v>
      </c>
      <c r="T159" s="248">
        <f t="shared" ref="T159" si="39">+ROUND(I159*P159,2)</f>
        <v>0</v>
      </c>
      <c r="X159" s="23" t="str">
        <f t="shared" si="33"/>
        <v>-</v>
      </c>
    </row>
    <row r="160" spans="1:24" ht="30" customHeight="1" x14ac:dyDescent="0.3">
      <c r="A160" s="262" t="s">
        <v>153</v>
      </c>
      <c r="C160" s="244">
        <v>81</v>
      </c>
      <c r="D160" s="213" t="s">
        <v>381</v>
      </c>
      <c r="E160" s="969" t="s">
        <v>382</v>
      </c>
      <c r="F160" s="970"/>
      <c r="G160" s="971"/>
      <c r="H160" s="544" t="s">
        <v>286</v>
      </c>
      <c r="I160" s="212">
        <v>108000000</v>
      </c>
      <c r="J160" s="605"/>
      <c r="K160" s="212">
        <v>1</v>
      </c>
      <c r="L160" s="212">
        <f>+ROUND(I160*K160,2)</f>
        <v>108000000</v>
      </c>
      <c r="M160" s="602"/>
      <c r="N160" s="675">
        <f>+'Yeşil Defter'!K159</f>
        <v>0</v>
      </c>
      <c r="O160" s="675">
        <f>+'Yeşil Defter'!L159</f>
        <v>0</v>
      </c>
      <c r="P160" s="675">
        <f>+'Yeşil Defter'!M159</f>
        <v>0</v>
      </c>
      <c r="Q160" s="212"/>
      <c r="R160" s="606">
        <f t="shared" ref="R160:R161" si="40">+ROUND(I160*N160,2)</f>
        <v>0</v>
      </c>
      <c r="S160" s="247">
        <f t="shared" ref="S160:S161" si="41">+T160-R160</f>
        <v>0</v>
      </c>
      <c r="T160" s="248">
        <f t="shared" ref="T160:T161" si="42">+ROUND(I160*P160,2)</f>
        <v>0</v>
      </c>
      <c r="X160" s="23" t="str">
        <f t="shared" si="33"/>
        <v>-</v>
      </c>
    </row>
    <row r="161" spans="1:24" ht="30" customHeight="1" x14ac:dyDescent="0.3">
      <c r="A161" s="262" t="s">
        <v>153</v>
      </c>
      <c r="C161" s="244">
        <v>82</v>
      </c>
      <c r="D161" s="213" t="s">
        <v>383</v>
      </c>
      <c r="E161" s="969" t="s">
        <v>384</v>
      </c>
      <c r="F161" s="970"/>
      <c r="G161" s="971"/>
      <c r="H161" s="544" t="s">
        <v>286</v>
      </c>
      <c r="I161" s="212">
        <v>42000000</v>
      </c>
      <c r="J161" s="605"/>
      <c r="K161" s="212">
        <v>1</v>
      </c>
      <c r="L161" s="212">
        <f>+ROUND(I161*K161,2)</f>
        <v>42000000</v>
      </c>
      <c r="M161" s="602"/>
      <c r="N161" s="675">
        <f>+'Yeşil Defter'!K160</f>
        <v>0</v>
      </c>
      <c r="O161" s="675">
        <f>+'Yeşil Defter'!L160</f>
        <v>0</v>
      </c>
      <c r="P161" s="675">
        <f>+'Yeşil Defter'!M160</f>
        <v>0</v>
      </c>
      <c r="Q161" s="226"/>
      <c r="R161" s="606">
        <f t="shared" si="40"/>
        <v>0</v>
      </c>
      <c r="S161" s="247">
        <f t="shared" si="41"/>
        <v>0</v>
      </c>
      <c r="T161" s="248">
        <f t="shared" si="42"/>
        <v>0</v>
      </c>
      <c r="X161" s="23" t="str">
        <f t="shared" si="33"/>
        <v>-</v>
      </c>
    </row>
    <row r="162" spans="1:24" ht="30" customHeight="1" x14ac:dyDescent="0.3">
      <c r="A162" s="262" t="s">
        <v>153</v>
      </c>
      <c r="C162" s="244"/>
      <c r="D162" s="213"/>
      <c r="E162" s="969"/>
      <c r="F162" s="970"/>
      <c r="G162" s="971"/>
      <c r="H162" s="161"/>
      <c r="I162" s="605"/>
      <c r="J162" s="605"/>
      <c r="K162" s="212"/>
      <c r="L162" s="341"/>
      <c r="M162" s="212"/>
      <c r="N162" s="657"/>
      <c r="O162" s="212"/>
      <c r="P162" s="341"/>
      <c r="Q162" s="212"/>
      <c r="R162" s="605"/>
      <c r="S162" s="225"/>
      <c r="T162" s="237"/>
      <c r="X162" s="23"/>
    </row>
    <row r="163" spans="1:24" ht="30" customHeight="1" x14ac:dyDescent="0.3">
      <c r="A163" s="262" t="s">
        <v>153</v>
      </c>
      <c r="C163" s="244"/>
      <c r="D163" s="213"/>
      <c r="E163" s="969"/>
      <c r="F163" s="970"/>
      <c r="G163" s="971"/>
      <c r="H163" s="161"/>
      <c r="I163" s="605"/>
      <c r="J163" s="605"/>
      <c r="K163" s="212"/>
      <c r="L163" s="341"/>
      <c r="M163" s="212"/>
      <c r="N163" s="605"/>
      <c r="O163" s="212"/>
      <c r="P163" s="341"/>
      <c r="Q163" s="212"/>
      <c r="R163" s="605"/>
      <c r="S163" s="225"/>
      <c r="T163" s="237"/>
      <c r="X163" s="23"/>
    </row>
    <row r="164" spans="1:24" ht="30" customHeight="1" x14ac:dyDescent="0.3">
      <c r="A164" s="262" t="s">
        <v>153</v>
      </c>
      <c r="C164" s="244"/>
      <c r="D164" s="213"/>
      <c r="E164" s="969"/>
      <c r="F164" s="970"/>
      <c r="G164" s="971"/>
      <c r="H164" s="161"/>
      <c r="I164" s="605"/>
      <c r="J164" s="605"/>
      <c r="K164" s="212"/>
      <c r="L164" s="341"/>
      <c r="M164" s="212"/>
      <c r="N164" s="605"/>
      <c r="O164" s="212"/>
      <c r="P164" s="341"/>
      <c r="Q164" s="212"/>
      <c r="R164" s="605"/>
      <c r="S164" s="225"/>
      <c r="T164" s="237"/>
      <c r="X164" s="23"/>
    </row>
    <row r="165" spans="1:24" ht="30" customHeight="1" x14ac:dyDescent="0.3">
      <c r="A165" s="262" t="s">
        <v>153</v>
      </c>
      <c r="C165" s="244"/>
      <c r="D165" s="213"/>
      <c r="E165" s="969"/>
      <c r="F165" s="970"/>
      <c r="G165" s="971"/>
      <c r="H165" s="161"/>
      <c r="I165" s="605"/>
      <c r="J165" s="605"/>
      <c r="K165" s="212"/>
      <c r="L165" s="341"/>
      <c r="M165" s="212"/>
      <c r="N165" s="605"/>
      <c r="O165" s="212"/>
      <c r="P165" s="341"/>
      <c r="Q165" s="212"/>
      <c r="R165" s="605"/>
      <c r="S165" s="225"/>
      <c r="T165" s="237"/>
      <c r="X165" s="23"/>
    </row>
    <row r="166" spans="1:24" ht="30" customHeight="1" x14ac:dyDescent="0.3">
      <c r="A166" s="262" t="s">
        <v>153</v>
      </c>
      <c r="C166" s="244"/>
      <c r="D166" s="161"/>
      <c r="E166" s="969"/>
      <c r="F166" s="970"/>
      <c r="G166" s="971"/>
      <c r="H166" s="161"/>
      <c r="I166" s="605"/>
      <c r="J166" s="605"/>
      <c r="K166" s="212"/>
      <c r="L166" s="341"/>
      <c r="M166" s="212"/>
      <c r="N166" s="605"/>
      <c r="O166" s="212"/>
      <c r="P166" s="341"/>
      <c r="Q166" s="212"/>
      <c r="R166" s="605"/>
      <c r="S166" s="225"/>
      <c r="T166" s="237"/>
      <c r="X166" s="23"/>
    </row>
    <row r="167" spans="1:24" ht="30" customHeight="1" x14ac:dyDescent="0.3">
      <c r="A167" s="262" t="s">
        <v>153</v>
      </c>
      <c r="C167" s="244"/>
      <c r="D167" s="161"/>
      <c r="E167" s="969"/>
      <c r="F167" s="970"/>
      <c r="G167" s="971"/>
      <c r="H167" s="161"/>
      <c r="I167" s="605"/>
      <c r="J167" s="605"/>
      <c r="K167" s="212"/>
      <c r="L167" s="341"/>
      <c r="M167" s="212"/>
      <c r="N167" s="605"/>
      <c r="O167" s="212"/>
      <c r="P167" s="341"/>
      <c r="Q167" s="212"/>
      <c r="R167" s="605"/>
      <c r="S167" s="225"/>
      <c r="T167" s="237"/>
      <c r="X167" s="23"/>
    </row>
    <row r="168" spans="1:24" ht="30" customHeight="1" x14ac:dyDescent="0.3">
      <c r="A168" s="262" t="s">
        <v>153</v>
      </c>
      <c r="C168" s="244"/>
      <c r="D168" s="161"/>
      <c r="E168" s="969"/>
      <c r="F168" s="970"/>
      <c r="G168" s="971"/>
      <c r="H168" s="161"/>
      <c r="I168" s="605"/>
      <c r="J168" s="605"/>
      <c r="K168" s="212"/>
      <c r="L168" s="341"/>
      <c r="M168" s="212"/>
      <c r="N168" s="605"/>
      <c r="O168" s="212"/>
      <c r="P168" s="341"/>
      <c r="Q168" s="212"/>
      <c r="R168" s="605"/>
      <c r="S168" s="225"/>
      <c r="T168" s="237"/>
      <c r="X168" s="23"/>
    </row>
    <row r="169" spans="1:24" ht="30" customHeight="1" x14ac:dyDescent="0.3">
      <c r="A169" s="262" t="s">
        <v>153</v>
      </c>
      <c r="C169" s="244"/>
      <c r="D169" s="161"/>
      <c r="E169" s="969"/>
      <c r="F169" s="970"/>
      <c r="G169" s="971"/>
      <c r="H169" s="161"/>
      <c r="I169" s="605"/>
      <c r="J169" s="605"/>
      <c r="K169" s="212"/>
      <c r="L169" s="341"/>
      <c r="M169" s="212"/>
      <c r="N169" s="605"/>
      <c r="O169" s="212"/>
      <c r="P169" s="341"/>
      <c r="Q169" s="212"/>
      <c r="R169" s="605"/>
      <c r="S169" s="225"/>
      <c r="T169" s="237"/>
      <c r="X169" s="23"/>
    </row>
    <row r="170" spans="1:24" ht="30" customHeight="1" x14ac:dyDescent="0.3">
      <c r="A170" s="262" t="s">
        <v>153</v>
      </c>
      <c r="C170" s="244"/>
      <c r="D170" s="161"/>
      <c r="E170" s="969"/>
      <c r="F170" s="970"/>
      <c r="G170" s="971"/>
      <c r="H170" s="161"/>
      <c r="I170" s="605"/>
      <c r="J170" s="605"/>
      <c r="K170" s="212"/>
      <c r="L170" s="341"/>
      <c r="M170" s="212"/>
      <c r="N170" s="605"/>
      <c r="O170" s="212"/>
      <c r="P170" s="341"/>
      <c r="Q170" s="212"/>
      <c r="R170" s="605"/>
      <c r="S170" s="225"/>
      <c r="T170" s="237"/>
      <c r="X170" s="23"/>
    </row>
    <row r="171" spans="1:24" ht="30" customHeight="1" x14ac:dyDescent="0.3">
      <c r="A171" s="262" t="s">
        <v>153</v>
      </c>
      <c r="C171" s="244"/>
      <c r="D171" s="161"/>
      <c r="E171" s="969"/>
      <c r="F171" s="970"/>
      <c r="G171" s="971"/>
      <c r="H171" s="658"/>
      <c r="I171" s="605"/>
      <c r="J171" s="605"/>
      <c r="K171" s="212"/>
      <c r="L171" s="341"/>
      <c r="M171" s="302"/>
      <c r="N171" s="605"/>
      <c r="O171" s="212"/>
      <c r="P171" s="341"/>
      <c r="Q171" s="302"/>
      <c r="R171" s="605"/>
      <c r="S171" s="225"/>
      <c r="T171" s="237"/>
      <c r="X171" s="23"/>
    </row>
    <row r="172" spans="1:24" ht="40.049999999999997" customHeight="1" x14ac:dyDescent="0.3">
      <c r="A172" s="262" t="s">
        <v>1242</v>
      </c>
      <c r="C172" s="258"/>
      <c r="D172" s="258"/>
      <c r="E172" s="972" t="s">
        <v>33</v>
      </c>
      <c r="F172" s="972"/>
      <c r="G172" s="972"/>
      <c r="H172" s="973" t="s">
        <v>29</v>
      </c>
      <c r="I172" s="973"/>
      <c r="J172" s="973"/>
      <c r="K172" s="973"/>
      <c r="L172" s="973"/>
      <c r="M172" s="549"/>
      <c r="N172" s="973" t="s">
        <v>22</v>
      </c>
      <c r="O172" s="973"/>
      <c r="P172" s="973"/>
      <c r="Q172" s="973"/>
      <c r="R172" s="973"/>
      <c r="S172" s="973"/>
      <c r="T172" s="973"/>
      <c r="X172" s="23"/>
    </row>
    <row r="173" spans="1:24" ht="19.95" customHeight="1" x14ac:dyDescent="0.3">
      <c r="A173" s="262" t="s">
        <v>1242</v>
      </c>
      <c r="D173" s="28"/>
      <c r="E173" s="974" t="s">
        <v>1214</v>
      </c>
      <c r="F173" s="974"/>
      <c r="G173" s="974"/>
      <c r="H173" s="975" t="s">
        <v>38</v>
      </c>
      <c r="I173" s="975"/>
      <c r="J173" s="975"/>
      <c r="K173" s="975"/>
      <c r="L173" s="975"/>
      <c r="M173" s="562"/>
      <c r="N173" s="975" t="s">
        <v>1437</v>
      </c>
      <c r="O173" s="975"/>
      <c r="P173" s="975"/>
      <c r="Q173" s="975"/>
      <c r="R173" s="975"/>
      <c r="S173" s="975"/>
      <c r="T173" s="975"/>
      <c r="X173" s="23"/>
    </row>
    <row r="174" spans="1:24" ht="19.95" customHeight="1" x14ac:dyDescent="0.3">
      <c r="A174" s="262" t="s">
        <v>1242</v>
      </c>
      <c r="C174" s="228"/>
      <c r="D174" s="228"/>
      <c r="E174" s="561"/>
      <c r="F174" s="561"/>
      <c r="G174" s="561"/>
      <c r="H174" s="228"/>
      <c r="I174" s="260"/>
      <c r="J174" s="260"/>
      <c r="K174" s="260"/>
      <c r="L174" s="260"/>
      <c r="M174" s="260"/>
      <c r="N174" s="975"/>
      <c r="O174" s="975"/>
      <c r="P174" s="975"/>
      <c r="Q174" s="975"/>
      <c r="R174" s="975"/>
      <c r="S174" s="975"/>
      <c r="T174" s="975"/>
      <c r="X174" s="23"/>
    </row>
    <row r="175" spans="1:24" ht="19.95" customHeight="1" x14ac:dyDescent="0.3">
      <c r="A175" s="262" t="s">
        <v>1242</v>
      </c>
      <c r="C175" s="228"/>
      <c r="D175" s="228"/>
      <c r="E175" s="561"/>
      <c r="F175" s="561"/>
      <c r="G175" s="561"/>
      <c r="H175" s="228"/>
      <c r="I175" s="260"/>
      <c r="J175" s="260"/>
      <c r="K175" s="260"/>
      <c r="L175" s="260"/>
      <c r="M175" s="260"/>
      <c r="N175" s="975"/>
      <c r="O175" s="975"/>
      <c r="P175" s="975"/>
      <c r="Q175" s="975"/>
      <c r="R175" s="975"/>
      <c r="S175" s="975"/>
      <c r="T175" s="975"/>
      <c r="X175" s="23"/>
    </row>
    <row r="176" spans="1:24" ht="19.95" customHeight="1" x14ac:dyDescent="0.3">
      <c r="A176" s="262" t="s">
        <v>1242</v>
      </c>
      <c r="C176" s="228"/>
      <c r="D176" s="228"/>
      <c r="E176" s="561"/>
      <c r="F176" s="561"/>
      <c r="G176" s="561"/>
      <c r="H176" s="228"/>
      <c r="I176" s="260"/>
      <c r="J176" s="260"/>
      <c r="K176" s="260"/>
      <c r="L176" s="260"/>
      <c r="M176" s="260"/>
      <c r="N176" s="260"/>
      <c r="O176" s="260"/>
      <c r="P176" s="260"/>
      <c r="Q176" s="260"/>
      <c r="R176" s="260"/>
      <c r="S176" s="624"/>
      <c r="T176" s="260"/>
      <c r="X176" s="23"/>
    </row>
    <row r="177" spans="1:24" ht="19.95" customHeight="1" x14ac:dyDescent="0.3">
      <c r="A177" s="262" t="s">
        <v>1242</v>
      </c>
      <c r="C177" s="228"/>
      <c r="D177" s="228"/>
      <c r="E177" s="561"/>
      <c r="F177" s="561"/>
      <c r="G177" s="561"/>
      <c r="H177" s="975" t="s">
        <v>32</v>
      </c>
      <c r="I177" s="975"/>
      <c r="J177" s="562"/>
      <c r="K177" s="975" t="s">
        <v>1407</v>
      </c>
      <c r="L177" s="975"/>
      <c r="M177" s="562"/>
      <c r="N177" s="968" t="s">
        <v>54</v>
      </c>
      <c r="O177" s="968"/>
      <c r="P177" s="968"/>
      <c r="Q177" s="260"/>
      <c r="R177" s="968" t="s">
        <v>1455</v>
      </c>
      <c r="S177" s="968"/>
      <c r="T177" s="968"/>
      <c r="X177" s="23"/>
    </row>
    <row r="178" spans="1:24" ht="19.95" customHeight="1" x14ac:dyDescent="0.3">
      <c r="A178" s="262" t="s">
        <v>1242</v>
      </c>
      <c r="C178" s="228"/>
      <c r="D178" s="228"/>
      <c r="E178" s="561"/>
      <c r="F178" s="561"/>
      <c r="G178" s="561"/>
      <c r="H178" s="976" t="s">
        <v>94</v>
      </c>
      <c r="I178" s="976"/>
      <c r="J178" s="623"/>
      <c r="K178" s="976" t="s">
        <v>94</v>
      </c>
      <c r="L178" s="976"/>
      <c r="M178" s="623"/>
      <c r="N178" s="968" t="s">
        <v>1484</v>
      </c>
      <c r="O178" s="968"/>
      <c r="P178" s="968"/>
      <c r="Q178" s="260"/>
      <c r="R178" s="968" t="s">
        <v>1479</v>
      </c>
      <c r="S178" s="968"/>
      <c r="T178" s="968"/>
      <c r="X178" s="23"/>
    </row>
    <row r="179" spans="1:24" ht="19.95" customHeight="1" x14ac:dyDescent="0.3">
      <c r="A179" s="262" t="s">
        <v>1242</v>
      </c>
      <c r="C179" s="228"/>
      <c r="D179" s="228"/>
      <c r="E179" s="561"/>
      <c r="F179" s="561"/>
      <c r="G179" s="561"/>
      <c r="H179" s="976"/>
      <c r="I179" s="976"/>
      <c r="J179" s="623"/>
      <c r="K179" s="976"/>
      <c r="L179" s="976"/>
      <c r="M179" s="623"/>
      <c r="N179" s="968"/>
      <c r="O179" s="968"/>
      <c r="P179" s="968"/>
      <c r="Q179" s="260"/>
      <c r="R179" s="968"/>
      <c r="S179" s="968"/>
      <c r="T179" s="968"/>
      <c r="X179" s="23"/>
    </row>
    <row r="180" spans="1:24" ht="19.95" customHeight="1" x14ac:dyDescent="0.3">
      <c r="A180" s="262" t="s">
        <v>1242</v>
      </c>
      <c r="C180" s="228"/>
      <c r="D180" s="228"/>
      <c r="E180" s="561"/>
      <c r="F180" s="561"/>
      <c r="G180" s="561"/>
      <c r="H180" s="228"/>
      <c r="I180" s="260"/>
      <c r="J180" s="260"/>
      <c r="K180" s="260"/>
      <c r="L180" s="260"/>
      <c r="M180" s="260"/>
      <c r="N180" s="260"/>
      <c r="O180" s="260"/>
      <c r="P180" s="260"/>
      <c r="Q180" s="260"/>
      <c r="R180" s="260"/>
      <c r="S180" s="624"/>
      <c r="T180" s="260"/>
      <c r="X180" s="23"/>
    </row>
    <row r="181" spans="1:24" ht="19.95" customHeight="1" x14ac:dyDescent="0.3">
      <c r="A181" s="262" t="s">
        <v>1242</v>
      </c>
      <c r="C181" s="228"/>
      <c r="D181" s="228"/>
      <c r="E181" s="975" t="s">
        <v>1215</v>
      </c>
      <c r="F181" s="975"/>
      <c r="G181" s="975"/>
      <c r="H181" s="975" t="s">
        <v>1348</v>
      </c>
      <c r="I181" s="975"/>
      <c r="J181" s="975"/>
      <c r="K181" s="975"/>
      <c r="L181" s="975"/>
      <c r="M181" s="562"/>
      <c r="N181" s="977" t="s">
        <v>1217</v>
      </c>
      <c r="O181" s="968"/>
      <c r="P181" s="968"/>
      <c r="Q181" s="968"/>
      <c r="R181" s="968"/>
      <c r="S181" s="968"/>
      <c r="T181" s="968"/>
      <c r="X181" s="23"/>
    </row>
    <row r="182" spans="1:24" ht="19.95" customHeight="1" x14ac:dyDescent="0.3">
      <c r="A182" s="262" t="s">
        <v>1290</v>
      </c>
      <c r="C182" s="228"/>
      <c r="D182" s="228"/>
      <c r="E182" s="975"/>
      <c r="F182" s="975"/>
      <c r="G182" s="975"/>
      <c r="H182" s="975"/>
      <c r="I182" s="975"/>
      <c r="J182" s="975"/>
      <c r="K182" s="975"/>
      <c r="L182" s="975"/>
      <c r="M182" s="562"/>
      <c r="N182" s="968"/>
      <c r="O182" s="968"/>
      <c r="P182" s="968"/>
      <c r="Q182" s="968"/>
      <c r="R182" s="968"/>
      <c r="S182" s="968"/>
      <c r="T182" s="968"/>
      <c r="X182" s="23"/>
    </row>
    <row r="183" spans="1:24" ht="30" customHeight="1" x14ac:dyDescent="0.3">
      <c r="A183" s="262">
        <v>1</v>
      </c>
      <c r="C183" s="633"/>
      <c r="D183" s="634" t="s">
        <v>1227</v>
      </c>
      <c r="E183" s="635"/>
      <c r="F183" s="635"/>
      <c r="G183" s="635"/>
      <c r="H183" s="635"/>
      <c r="I183" s="636"/>
      <c r="J183" s="636"/>
      <c r="K183" s="636"/>
      <c r="L183" s="643">
        <f>+SUMIFS(L:L,A:A,"1.D")</f>
        <v>968112160.30999994</v>
      </c>
      <c r="M183" s="637"/>
      <c r="N183" s="647"/>
      <c r="O183" s="636"/>
      <c r="P183" s="636"/>
      <c r="Q183" s="654"/>
      <c r="R183" s="649">
        <f>+SUMIFS(R:R,A:A,"1.D")</f>
        <v>0</v>
      </c>
      <c r="S183" s="638">
        <f>+SUMIFS(S:S,A:A,"1.D")</f>
        <v>0</v>
      </c>
      <c r="T183" s="639">
        <f>+SUMIFS(T:T,A:A,"1.D")</f>
        <v>0</v>
      </c>
      <c r="X183" s="23" t="str">
        <f t="shared" si="33"/>
        <v>-</v>
      </c>
    </row>
    <row r="184" spans="1:24" ht="30" customHeight="1" x14ac:dyDescent="0.3">
      <c r="A184" s="262" t="s">
        <v>154</v>
      </c>
      <c r="C184" s="244">
        <v>83</v>
      </c>
      <c r="D184" s="213" t="s">
        <v>385</v>
      </c>
      <c r="E184" s="969" t="s">
        <v>386</v>
      </c>
      <c r="F184" s="970"/>
      <c r="G184" s="971"/>
      <c r="H184" s="544" t="s">
        <v>225</v>
      </c>
      <c r="I184" s="212">
        <v>1040</v>
      </c>
      <c r="J184" s="605"/>
      <c r="K184" s="212">
        <v>3033.68</v>
      </c>
      <c r="L184" s="212">
        <f t="shared" ref="L184:L205" si="43">+ROUND(I184*K184,2)</f>
        <v>3155027.2</v>
      </c>
      <c r="M184" s="602"/>
      <c r="N184" s="675">
        <f>+'Yeşil Defter'!K205</f>
        <v>0</v>
      </c>
      <c r="O184" s="675">
        <f>+'Yeşil Defter'!L205</f>
        <v>0</v>
      </c>
      <c r="P184" s="675">
        <f>+'Yeşil Defter'!M205</f>
        <v>0</v>
      </c>
      <c r="Q184" s="257"/>
      <c r="R184" s="606">
        <f t="shared" ref="R184:R205" si="44">+ROUND(K184*N184,2)</f>
        <v>0</v>
      </c>
      <c r="S184" s="247">
        <f t="shared" ref="S184:S253" si="45">+T184-R184</f>
        <v>0</v>
      </c>
      <c r="T184" s="248">
        <f t="shared" ref="T184:T205" si="46">+ROUND(K184*P184,2)</f>
        <v>0</v>
      </c>
      <c r="X184" s="23" t="str">
        <f t="shared" si="33"/>
        <v>-</v>
      </c>
    </row>
    <row r="185" spans="1:24" ht="30" customHeight="1" x14ac:dyDescent="0.3">
      <c r="A185" s="262" t="s">
        <v>154</v>
      </c>
      <c r="C185" s="244">
        <v>84</v>
      </c>
      <c r="D185" s="213" t="s">
        <v>387</v>
      </c>
      <c r="E185" s="969" t="s">
        <v>388</v>
      </c>
      <c r="F185" s="970"/>
      <c r="G185" s="971"/>
      <c r="H185" s="544" t="s">
        <v>225</v>
      </c>
      <c r="I185" s="212">
        <v>988</v>
      </c>
      <c r="J185" s="605"/>
      <c r="K185" s="212">
        <v>23957.52</v>
      </c>
      <c r="L185" s="212">
        <f t="shared" si="43"/>
        <v>23670029.760000002</v>
      </c>
      <c r="M185" s="602"/>
      <c r="N185" s="675">
        <f>+'Yeşil Defter'!K206</f>
        <v>0</v>
      </c>
      <c r="O185" s="675">
        <f>+'Yeşil Defter'!L206</f>
        <v>0</v>
      </c>
      <c r="P185" s="675">
        <f>+'Yeşil Defter'!M206</f>
        <v>0</v>
      </c>
      <c r="Q185" s="212"/>
      <c r="R185" s="605">
        <f t="shared" si="44"/>
        <v>0</v>
      </c>
      <c r="S185" s="225">
        <f t="shared" si="45"/>
        <v>0</v>
      </c>
      <c r="T185" s="237">
        <f t="shared" si="46"/>
        <v>0</v>
      </c>
      <c r="X185" s="23" t="str">
        <f t="shared" si="33"/>
        <v>-</v>
      </c>
    </row>
    <row r="186" spans="1:24" ht="30" customHeight="1" x14ac:dyDescent="0.3">
      <c r="A186" s="262" t="s">
        <v>154</v>
      </c>
      <c r="C186" s="244">
        <v>85</v>
      </c>
      <c r="D186" s="213" t="s">
        <v>389</v>
      </c>
      <c r="E186" s="969" t="s">
        <v>390</v>
      </c>
      <c r="F186" s="970"/>
      <c r="G186" s="971"/>
      <c r="H186" s="544" t="s">
        <v>228</v>
      </c>
      <c r="I186" s="212">
        <v>4072</v>
      </c>
      <c r="J186" s="605"/>
      <c r="K186" s="212">
        <v>958.3</v>
      </c>
      <c r="L186" s="212">
        <f t="shared" si="43"/>
        <v>3902197.6</v>
      </c>
      <c r="M186" s="602"/>
      <c r="N186" s="675">
        <f>+'Yeşil Defter'!K207</f>
        <v>0</v>
      </c>
      <c r="O186" s="675">
        <f>+'Yeşil Defter'!L207</f>
        <v>0</v>
      </c>
      <c r="P186" s="675">
        <f>+'Yeşil Defter'!M207</f>
        <v>0</v>
      </c>
      <c r="Q186" s="212"/>
      <c r="R186" s="605">
        <f t="shared" si="44"/>
        <v>0</v>
      </c>
      <c r="S186" s="225">
        <f t="shared" si="45"/>
        <v>0</v>
      </c>
      <c r="T186" s="237">
        <f t="shared" si="46"/>
        <v>0</v>
      </c>
      <c r="X186" s="23" t="str">
        <f t="shared" si="33"/>
        <v>-</v>
      </c>
    </row>
    <row r="187" spans="1:24" ht="30" customHeight="1" x14ac:dyDescent="0.3">
      <c r="A187" s="262" t="s">
        <v>154</v>
      </c>
      <c r="C187" s="244">
        <v>86</v>
      </c>
      <c r="D187" s="161" t="s">
        <v>391</v>
      </c>
      <c r="E187" s="969" t="s">
        <v>392</v>
      </c>
      <c r="F187" s="970"/>
      <c r="G187" s="971"/>
      <c r="H187" s="544" t="s">
        <v>225</v>
      </c>
      <c r="I187" s="212">
        <v>1849</v>
      </c>
      <c r="J187" s="605"/>
      <c r="K187" s="212">
        <v>23920.44</v>
      </c>
      <c r="L187" s="212">
        <f t="shared" si="43"/>
        <v>44228893.560000002</v>
      </c>
      <c r="M187" s="602"/>
      <c r="N187" s="675">
        <f>+'Yeşil Defter'!K208</f>
        <v>0</v>
      </c>
      <c r="O187" s="675">
        <f>+'Yeşil Defter'!L208</f>
        <v>0</v>
      </c>
      <c r="P187" s="675">
        <f>+'Yeşil Defter'!M208</f>
        <v>0</v>
      </c>
      <c r="Q187" s="212"/>
      <c r="R187" s="605">
        <f t="shared" si="44"/>
        <v>0</v>
      </c>
      <c r="S187" s="225">
        <f t="shared" si="45"/>
        <v>0</v>
      </c>
      <c r="T187" s="237">
        <f t="shared" si="46"/>
        <v>0</v>
      </c>
      <c r="X187" s="23" t="str">
        <f t="shared" si="33"/>
        <v>-</v>
      </c>
    </row>
    <row r="188" spans="1:24" ht="30" customHeight="1" x14ac:dyDescent="0.3">
      <c r="A188" s="262" t="s">
        <v>154</v>
      </c>
      <c r="C188" s="244">
        <v>87</v>
      </c>
      <c r="D188" s="161" t="s">
        <v>393</v>
      </c>
      <c r="E188" s="969" t="s">
        <v>394</v>
      </c>
      <c r="F188" s="970"/>
      <c r="G188" s="971"/>
      <c r="H188" s="544" t="s">
        <v>225</v>
      </c>
      <c r="I188" s="212">
        <v>1849</v>
      </c>
      <c r="J188" s="605"/>
      <c r="K188" s="212">
        <v>3058.14</v>
      </c>
      <c r="L188" s="212">
        <f t="shared" si="43"/>
        <v>5654500.8600000003</v>
      </c>
      <c r="M188" s="602"/>
      <c r="N188" s="675">
        <f>+'Yeşil Defter'!K209</f>
        <v>0</v>
      </c>
      <c r="O188" s="675">
        <f>+'Yeşil Defter'!L209</f>
        <v>0</v>
      </c>
      <c r="P188" s="675">
        <f>+'Yeşil Defter'!M209</f>
        <v>0</v>
      </c>
      <c r="Q188" s="212"/>
      <c r="R188" s="605">
        <f t="shared" si="44"/>
        <v>0</v>
      </c>
      <c r="S188" s="225">
        <f t="shared" si="45"/>
        <v>0</v>
      </c>
      <c r="T188" s="237">
        <f t="shared" si="46"/>
        <v>0</v>
      </c>
      <c r="X188" s="23" t="str">
        <f t="shared" si="33"/>
        <v>-</v>
      </c>
    </row>
    <row r="189" spans="1:24" ht="30" customHeight="1" x14ac:dyDescent="0.3">
      <c r="A189" s="262" t="s">
        <v>154</v>
      </c>
      <c r="C189" s="244">
        <v>88</v>
      </c>
      <c r="D189" s="161" t="s">
        <v>395</v>
      </c>
      <c r="E189" s="969" t="s">
        <v>396</v>
      </c>
      <c r="F189" s="970"/>
      <c r="G189" s="971"/>
      <c r="H189" s="544" t="s">
        <v>225</v>
      </c>
      <c r="I189" s="212">
        <v>1849</v>
      </c>
      <c r="J189" s="605"/>
      <c r="K189" s="212">
        <v>3419.9</v>
      </c>
      <c r="L189" s="212">
        <f t="shared" si="43"/>
        <v>6323395.0999999996</v>
      </c>
      <c r="M189" s="602"/>
      <c r="N189" s="675">
        <f>+'Yeşil Defter'!K210</f>
        <v>0</v>
      </c>
      <c r="O189" s="675">
        <f>+'Yeşil Defter'!L210</f>
        <v>0</v>
      </c>
      <c r="P189" s="675">
        <f>+'Yeşil Defter'!M210</f>
        <v>0</v>
      </c>
      <c r="Q189" s="212"/>
      <c r="R189" s="605">
        <f t="shared" si="44"/>
        <v>0</v>
      </c>
      <c r="S189" s="225">
        <f t="shared" si="45"/>
        <v>0</v>
      </c>
      <c r="T189" s="237">
        <f t="shared" si="46"/>
        <v>0</v>
      </c>
      <c r="X189" s="23" t="str">
        <f t="shared" si="33"/>
        <v>-</v>
      </c>
    </row>
    <row r="190" spans="1:24" ht="30" customHeight="1" x14ac:dyDescent="0.3">
      <c r="A190" s="262" t="s">
        <v>154</v>
      </c>
      <c r="C190" s="244">
        <v>89</v>
      </c>
      <c r="D190" s="161" t="s">
        <v>397</v>
      </c>
      <c r="E190" s="969" t="s">
        <v>398</v>
      </c>
      <c r="F190" s="970"/>
      <c r="G190" s="971"/>
      <c r="H190" s="544" t="s">
        <v>225</v>
      </c>
      <c r="I190" s="212">
        <v>3999</v>
      </c>
      <c r="J190" s="605"/>
      <c r="K190" s="212">
        <v>880.44</v>
      </c>
      <c r="L190" s="212">
        <f t="shared" si="43"/>
        <v>3520879.56</v>
      </c>
      <c r="M190" s="602"/>
      <c r="N190" s="675">
        <f>+'Yeşil Defter'!K211</f>
        <v>0</v>
      </c>
      <c r="O190" s="675">
        <f>+'Yeşil Defter'!L211</f>
        <v>0</v>
      </c>
      <c r="P190" s="675">
        <f>+'Yeşil Defter'!M211</f>
        <v>0</v>
      </c>
      <c r="Q190" s="212"/>
      <c r="R190" s="605">
        <f t="shared" si="44"/>
        <v>0</v>
      </c>
      <c r="S190" s="225">
        <f t="shared" si="45"/>
        <v>0</v>
      </c>
      <c r="T190" s="237">
        <f t="shared" si="46"/>
        <v>0</v>
      </c>
      <c r="X190" s="23" t="str">
        <f t="shared" si="33"/>
        <v>-</v>
      </c>
    </row>
    <row r="191" spans="1:24" ht="30" customHeight="1" x14ac:dyDescent="0.3">
      <c r="A191" s="262" t="s">
        <v>154</v>
      </c>
      <c r="C191" s="244">
        <v>90</v>
      </c>
      <c r="D191" s="161" t="s">
        <v>399</v>
      </c>
      <c r="E191" s="969" t="s">
        <v>400</v>
      </c>
      <c r="F191" s="970"/>
      <c r="G191" s="971"/>
      <c r="H191" s="544" t="s">
        <v>225</v>
      </c>
      <c r="I191" s="212">
        <v>3999</v>
      </c>
      <c r="J191" s="605"/>
      <c r="K191" s="212">
        <v>1076.47</v>
      </c>
      <c r="L191" s="212">
        <f t="shared" si="43"/>
        <v>4304803.53</v>
      </c>
      <c r="M191" s="602"/>
      <c r="N191" s="675">
        <f>+'Yeşil Defter'!K212</f>
        <v>0</v>
      </c>
      <c r="O191" s="675">
        <f>+'Yeşil Defter'!L212</f>
        <v>0</v>
      </c>
      <c r="P191" s="675">
        <f>+'Yeşil Defter'!M212</f>
        <v>0</v>
      </c>
      <c r="Q191" s="212"/>
      <c r="R191" s="605">
        <f t="shared" si="44"/>
        <v>0</v>
      </c>
      <c r="S191" s="225">
        <f t="shared" si="45"/>
        <v>0</v>
      </c>
      <c r="T191" s="237">
        <f t="shared" si="46"/>
        <v>0</v>
      </c>
      <c r="X191" s="23" t="str">
        <f t="shared" si="33"/>
        <v>-</v>
      </c>
    </row>
    <row r="192" spans="1:24" ht="30" customHeight="1" x14ac:dyDescent="0.3">
      <c r="A192" s="262" t="s">
        <v>154</v>
      </c>
      <c r="C192" s="244">
        <v>91</v>
      </c>
      <c r="D192" s="161" t="s">
        <v>401</v>
      </c>
      <c r="E192" s="969" t="s">
        <v>402</v>
      </c>
      <c r="F192" s="970"/>
      <c r="G192" s="971"/>
      <c r="H192" s="544" t="s">
        <v>225</v>
      </c>
      <c r="I192" s="212">
        <v>3999</v>
      </c>
      <c r="J192" s="605"/>
      <c r="K192" s="212">
        <v>291.58</v>
      </c>
      <c r="L192" s="212">
        <f t="shared" si="43"/>
        <v>1166028.42</v>
      </c>
      <c r="M192" s="602"/>
      <c r="N192" s="675">
        <f>+'Yeşil Defter'!K213</f>
        <v>0</v>
      </c>
      <c r="O192" s="675">
        <f>+'Yeşil Defter'!L213</f>
        <v>0</v>
      </c>
      <c r="P192" s="675">
        <f>+'Yeşil Defter'!M213</f>
        <v>0</v>
      </c>
      <c r="Q192" s="212"/>
      <c r="R192" s="605">
        <f t="shared" si="44"/>
        <v>0</v>
      </c>
      <c r="S192" s="225">
        <f t="shared" si="45"/>
        <v>0</v>
      </c>
      <c r="T192" s="237">
        <f t="shared" si="46"/>
        <v>0</v>
      </c>
      <c r="X192" s="23" t="str">
        <f t="shared" si="33"/>
        <v>-</v>
      </c>
    </row>
    <row r="193" spans="1:24" ht="30" customHeight="1" x14ac:dyDescent="0.3">
      <c r="A193" s="262" t="s">
        <v>154</v>
      </c>
      <c r="C193" s="244">
        <v>92</v>
      </c>
      <c r="D193" s="161" t="s">
        <v>403</v>
      </c>
      <c r="E193" s="969" t="s">
        <v>404</v>
      </c>
      <c r="F193" s="970"/>
      <c r="G193" s="971"/>
      <c r="H193" s="544" t="s">
        <v>225</v>
      </c>
      <c r="I193" s="212">
        <v>3999</v>
      </c>
      <c r="J193" s="605"/>
      <c r="K193" s="212">
        <v>619.36</v>
      </c>
      <c r="L193" s="212">
        <f t="shared" si="43"/>
        <v>2476820.64</v>
      </c>
      <c r="M193" s="602"/>
      <c r="N193" s="675">
        <f>+'Yeşil Defter'!K214</f>
        <v>0</v>
      </c>
      <c r="O193" s="675">
        <f>+'Yeşil Defter'!L214</f>
        <v>0</v>
      </c>
      <c r="P193" s="675">
        <f>+'Yeşil Defter'!M214</f>
        <v>0</v>
      </c>
      <c r="Q193" s="212"/>
      <c r="R193" s="605">
        <f t="shared" si="44"/>
        <v>0</v>
      </c>
      <c r="S193" s="225">
        <f t="shared" si="45"/>
        <v>0</v>
      </c>
      <c r="T193" s="237">
        <f t="shared" si="46"/>
        <v>0</v>
      </c>
      <c r="X193" s="23" t="str">
        <f t="shared" si="33"/>
        <v>-</v>
      </c>
    </row>
    <row r="194" spans="1:24" ht="30" customHeight="1" x14ac:dyDescent="0.3">
      <c r="A194" s="262" t="s">
        <v>154</v>
      </c>
      <c r="C194" s="244">
        <v>93</v>
      </c>
      <c r="D194" s="161" t="s">
        <v>405</v>
      </c>
      <c r="E194" s="969" t="s">
        <v>406</v>
      </c>
      <c r="F194" s="970"/>
      <c r="G194" s="971"/>
      <c r="H194" s="544" t="s">
        <v>225</v>
      </c>
      <c r="I194" s="212">
        <v>3924</v>
      </c>
      <c r="J194" s="605"/>
      <c r="K194" s="212">
        <v>493.2</v>
      </c>
      <c r="L194" s="212">
        <f t="shared" si="43"/>
        <v>1935316.8</v>
      </c>
      <c r="M194" s="602"/>
      <c r="N194" s="675">
        <f>+'Yeşil Defter'!K215</f>
        <v>0</v>
      </c>
      <c r="O194" s="675">
        <f>+'Yeşil Defter'!L215</f>
        <v>0</v>
      </c>
      <c r="P194" s="675">
        <f>+'Yeşil Defter'!M215</f>
        <v>0</v>
      </c>
      <c r="Q194" s="212"/>
      <c r="R194" s="605">
        <f t="shared" si="44"/>
        <v>0</v>
      </c>
      <c r="S194" s="225">
        <f t="shared" si="45"/>
        <v>0</v>
      </c>
      <c r="T194" s="237">
        <f t="shared" si="46"/>
        <v>0</v>
      </c>
      <c r="X194" s="23" t="str">
        <f t="shared" si="33"/>
        <v>-</v>
      </c>
    </row>
    <row r="195" spans="1:24" ht="30" customHeight="1" x14ac:dyDescent="0.3">
      <c r="A195" s="262" t="s">
        <v>154</v>
      </c>
      <c r="C195" s="244">
        <v>94</v>
      </c>
      <c r="D195" s="161" t="s">
        <v>407</v>
      </c>
      <c r="E195" s="969" t="s">
        <v>408</v>
      </c>
      <c r="F195" s="970"/>
      <c r="G195" s="971"/>
      <c r="H195" s="544" t="s">
        <v>225</v>
      </c>
      <c r="I195" s="212">
        <v>4295</v>
      </c>
      <c r="J195" s="605"/>
      <c r="K195" s="212">
        <v>493.2</v>
      </c>
      <c r="L195" s="212">
        <f t="shared" si="43"/>
        <v>2118294</v>
      </c>
      <c r="M195" s="602"/>
      <c r="N195" s="675">
        <f>+'Yeşil Defter'!K216</f>
        <v>0</v>
      </c>
      <c r="O195" s="675">
        <f>+'Yeşil Defter'!L216</f>
        <v>0</v>
      </c>
      <c r="P195" s="675">
        <f>+'Yeşil Defter'!M216</f>
        <v>0</v>
      </c>
      <c r="Q195" s="212"/>
      <c r="R195" s="605">
        <f t="shared" si="44"/>
        <v>0</v>
      </c>
      <c r="S195" s="225">
        <f t="shared" si="45"/>
        <v>0</v>
      </c>
      <c r="T195" s="237">
        <f t="shared" si="46"/>
        <v>0</v>
      </c>
      <c r="X195" s="23" t="str">
        <f t="shared" si="33"/>
        <v>-</v>
      </c>
    </row>
    <row r="196" spans="1:24" ht="30" customHeight="1" x14ac:dyDescent="0.3">
      <c r="A196" s="262" t="s">
        <v>154</v>
      </c>
      <c r="C196" s="244">
        <v>95</v>
      </c>
      <c r="D196" s="161" t="s">
        <v>409</v>
      </c>
      <c r="E196" s="969" t="s">
        <v>410</v>
      </c>
      <c r="F196" s="970"/>
      <c r="G196" s="971"/>
      <c r="H196" s="544" t="s">
        <v>225</v>
      </c>
      <c r="I196" s="212">
        <v>4295</v>
      </c>
      <c r="J196" s="605"/>
      <c r="K196" s="212">
        <v>493.2</v>
      </c>
      <c r="L196" s="212">
        <f t="shared" si="43"/>
        <v>2118294</v>
      </c>
      <c r="M196" s="602"/>
      <c r="N196" s="675">
        <f>+'Yeşil Defter'!K217</f>
        <v>0</v>
      </c>
      <c r="O196" s="675">
        <f>+'Yeşil Defter'!L217</f>
        <v>0</v>
      </c>
      <c r="P196" s="675">
        <f>+'Yeşil Defter'!M217</f>
        <v>0</v>
      </c>
      <c r="Q196" s="212"/>
      <c r="R196" s="605">
        <f t="shared" si="44"/>
        <v>0</v>
      </c>
      <c r="S196" s="225">
        <f t="shared" si="45"/>
        <v>0</v>
      </c>
      <c r="T196" s="237">
        <f t="shared" si="46"/>
        <v>0</v>
      </c>
      <c r="X196" s="23" t="str">
        <f t="shared" si="33"/>
        <v>-</v>
      </c>
    </row>
    <row r="197" spans="1:24" ht="30" customHeight="1" x14ac:dyDescent="0.3">
      <c r="A197" s="262" t="s">
        <v>154</v>
      </c>
      <c r="C197" s="244">
        <v>96</v>
      </c>
      <c r="D197" s="161" t="s">
        <v>411</v>
      </c>
      <c r="E197" s="969" t="s">
        <v>412</v>
      </c>
      <c r="F197" s="970"/>
      <c r="G197" s="971"/>
      <c r="H197" s="544" t="s">
        <v>225</v>
      </c>
      <c r="I197" s="212">
        <v>3924</v>
      </c>
      <c r="J197" s="605"/>
      <c r="K197" s="212">
        <v>1892.35</v>
      </c>
      <c r="L197" s="212">
        <f t="shared" si="43"/>
        <v>7425581.4000000004</v>
      </c>
      <c r="M197" s="602"/>
      <c r="N197" s="675">
        <f>+'Yeşil Defter'!K218</f>
        <v>0</v>
      </c>
      <c r="O197" s="675">
        <f>+'Yeşil Defter'!L218</f>
        <v>0</v>
      </c>
      <c r="P197" s="675">
        <f>+'Yeşil Defter'!M218</f>
        <v>0</v>
      </c>
      <c r="Q197" s="212"/>
      <c r="R197" s="605">
        <f t="shared" si="44"/>
        <v>0</v>
      </c>
      <c r="S197" s="225">
        <f t="shared" si="45"/>
        <v>0</v>
      </c>
      <c r="T197" s="237">
        <f t="shared" si="46"/>
        <v>0</v>
      </c>
      <c r="X197" s="23" t="str">
        <f t="shared" si="33"/>
        <v>-</v>
      </c>
    </row>
    <row r="198" spans="1:24" ht="30" customHeight="1" x14ac:dyDescent="0.3">
      <c r="A198" s="262" t="s">
        <v>154</v>
      </c>
      <c r="C198" s="244">
        <v>97</v>
      </c>
      <c r="D198" s="161" t="s">
        <v>413</v>
      </c>
      <c r="E198" s="969" t="s">
        <v>414</v>
      </c>
      <c r="F198" s="970"/>
      <c r="G198" s="971"/>
      <c r="H198" s="544" t="s">
        <v>225</v>
      </c>
      <c r="I198" s="212">
        <v>4295</v>
      </c>
      <c r="J198" s="605"/>
      <c r="K198" s="212">
        <v>1892.35</v>
      </c>
      <c r="L198" s="212">
        <f t="shared" si="43"/>
        <v>8127643.25</v>
      </c>
      <c r="M198" s="602"/>
      <c r="N198" s="675">
        <f>+'Yeşil Defter'!K219</f>
        <v>0</v>
      </c>
      <c r="O198" s="675">
        <f>+'Yeşil Defter'!L219</f>
        <v>0</v>
      </c>
      <c r="P198" s="675">
        <f>+'Yeşil Defter'!M219</f>
        <v>0</v>
      </c>
      <c r="Q198" s="212"/>
      <c r="R198" s="605">
        <f t="shared" si="44"/>
        <v>0</v>
      </c>
      <c r="S198" s="225">
        <f t="shared" si="45"/>
        <v>0</v>
      </c>
      <c r="T198" s="237">
        <f t="shared" si="46"/>
        <v>0</v>
      </c>
      <c r="X198" s="23" t="str">
        <f t="shared" si="33"/>
        <v>-</v>
      </c>
    </row>
    <row r="199" spans="1:24" ht="30" customHeight="1" x14ac:dyDescent="0.3">
      <c r="A199" s="262" t="s">
        <v>154</v>
      </c>
      <c r="C199" s="244">
        <v>98</v>
      </c>
      <c r="D199" s="161" t="s">
        <v>415</v>
      </c>
      <c r="E199" s="969" t="s">
        <v>416</v>
      </c>
      <c r="F199" s="970"/>
      <c r="G199" s="971"/>
      <c r="H199" s="544" t="s">
        <v>225</v>
      </c>
      <c r="I199" s="212">
        <v>4295</v>
      </c>
      <c r="J199" s="605"/>
      <c r="K199" s="212">
        <v>1892.35</v>
      </c>
      <c r="L199" s="212">
        <f t="shared" si="43"/>
        <v>8127643.25</v>
      </c>
      <c r="M199" s="602"/>
      <c r="N199" s="675">
        <f>+'Yeşil Defter'!K220</f>
        <v>0</v>
      </c>
      <c r="O199" s="675">
        <f>+'Yeşil Defter'!L220</f>
        <v>0</v>
      </c>
      <c r="P199" s="675">
        <f>+'Yeşil Defter'!M220</f>
        <v>0</v>
      </c>
      <c r="Q199" s="212"/>
      <c r="R199" s="605">
        <f t="shared" si="44"/>
        <v>0</v>
      </c>
      <c r="S199" s="225">
        <f t="shared" si="45"/>
        <v>0</v>
      </c>
      <c r="T199" s="237">
        <f t="shared" si="46"/>
        <v>0</v>
      </c>
      <c r="X199" s="23" t="str">
        <f t="shared" si="33"/>
        <v>-</v>
      </c>
    </row>
    <row r="200" spans="1:24" ht="30" customHeight="1" x14ac:dyDescent="0.3">
      <c r="A200" s="262" t="s">
        <v>154</v>
      </c>
      <c r="C200" s="244">
        <v>99</v>
      </c>
      <c r="D200" s="213" t="s">
        <v>417</v>
      </c>
      <c r="E200" s="969" t="s">
        <v>418</v>
      </c>
      <c r="F200" s="970"/>
      <c r="G200" s="971"/>
      <c r="H200" s="544" t="s">
        <v>225</v>
      </c>
      <c r="I200" s="212">
        <v>3952</v>
      </c>
      <c r="J200" s="605"/>
      <c r="K200" s="212">
        <v>528.38</v>
      </c>
      <c r="L200" s="212">
        <f t="shared" si="43"/>
        <v>2088157.76</v>
      </c>
      <c r="M200" s="602"/>
      <c r="N200" s="675">
        <f>+'Yeşil Defter'!K221</f>
        <v>0</v>
      </c>
      <c r="O200" s="675">
        <f>+'Yeşil Defter'!L221</f>
        <v>0</v>
      </c>
      <c r="P200" s="675">
        <f>+'Yeşil Defter'!M221</f>
        <v>0</v>
      </c>
      <c r="Q200" s="212"/>
      <c r="R200" s="605">
        <f t="shared" si="44"/>
        <v>0</v>
      </c>
      <c r="S200" s="225">
        <f t="shared" si="45"/>
        <v>0</v>
      </c>
      <c r="T200" s="237">
        <f t="shared" si="46"/>
        <v>0</v>
      </c>
      <c r="X200" s="23" t="str">
        <f t="shared" si="33"/>
        <v>-</v>
      </c>
    </row>
    <row r="201" spans="1:24" ht="30" customHeight="1" x14ac:dyDescent="0.3">
      <c r="A201" s="262" t="s">
        <v>154</v>
      </c>
      <c r="C201" s="244">
        <v>100</v>
      </c>
      <c r="D201" s="213" t="s">
        <v>419</v>
      </c>
      <c r="E201" s="969" t="s">
        <v>420</v>
      </c>
      <c r="F201" s="970"/>
      <c r="G201" s="971"/>
      <c r="H201" s="544" t="s">
        <v>225</v>
      </c>
      <c r="I201" s="212">
        <v>5743</v>
      </c>
      <c r="J201" s="605"/>
      <c r="K201" s="212">
        <v>2117.79</v>
      </c>
      <c r="L201" s="212">
        <f t="shared" si="43"/>
        <v>12162467.970000001</v>
      </c>
      <c r="M201" s="602"/>
      <c r="N201" s="675">
        <f>+'Yeşil Defter'!K222</f>
        <v>0</v>
      </c>
      <c r="O201" s="675">
        <f>+'Yeşil Defter'!L222</f>
        <v>0</v>
      </c>
      <c r="P201" s="675">
        <f>+'Yeşil Defter'!M222</f>
        <v>0</v>
      </c>
      <c r="Q201" s="212"/>
      <c r="R201" s="605">
        <f t="shared" si="44"/>
        <v>0</v>
      </c>
      <c r="S201" s="225">
        <f t="shared" si="45"/>
        <v>0</v>
      </c>
      <c r="T201" s="237">
        <f t="shared" si="46"/>
        <v>0</v>
      </c>
      <c r="X201" s="23" t="str">
        <f t="shared" si="33"/>
        <v>-</v>
      </c>
    </row>
    <row r="202" spans="1:24" ht="30" customHeight="1" x14ac:dyDescent="0.3">
      <c r="A202" s="262" t="s">
        <v>154</v>
      </c>
      <c r="C202" s="244">
        <v>101</v>
      </c>
      <c r="D202" s="213" t="s">
        <v>421</v>
      </c>
      <c r="E202" s="969" t="s">
        <v>422</v>
      </c>
      <c r="F202" s="970"/>
      <c r="G202" s="971"/>
      <c r="H202" s="544" t="s">
        <v>225</v>
      </c>
      <c r="I202" s="212">
        <v>910</v>
      </c>
      <c r="J202" s="605"/>
      <c r="K202" s="212">
        <v>14111.21</v>
      </c>
      <c r="L202" s="212">
        <f t="shared" si="43"/>
        <v>12841201.1</v>
      </c>
      <c r="M202" s="602"/>
      <c r="N202" s="675">
        <f>+'Yeşil Defter'!K223</f>
        <v>0</v>
      </c>
      <c r="O202" s="675">
        <f>+'Yeşil Defter'!L223</f>
        <v>0</v>
      </c>
      <c r="P202" s="675">
        <f>+'Yeşil Defter'!M223</f>
        <v>0</v>
      </c>
      <c r="Q202" s="212"/>
      <c r="R202" s="605">
        <f t="shared" si="44"/>
        <v>0</v>
      </c>
      <c r="S202" s="225">
        <f t="shared" si="45"/>
        <v>0</v>
      </c>
      <c r="T202" s="237">
        <f t="shared" si="46"/>
        <v>0</v>
      </c>
      <c r="X202" s="23" t="str">
        <f t="shared" si="33"/>
        <v>-</v>
      </c>
    </row>
    <row r="203" spans="1:24" ht="30" customHeight="1" x14ac:dyDescent="0.3">
      <c r="A203" s="262" t="s">
        <v>154</v>
      </c>
      <c r="C203" s="244">
        <v>102</v>
      </c>
      <c r="D203" s="213" t="s">
        <v>423</v>
      </c>
      <c r="E203" s="969" t="s">
        <v>424</v>
      </c>
      <c r="F203" s="970"/>
      <c r="G203" s="971"/>
      <c r="H203" s="544" t="s">
        <v>202</v>
      </c>
      <c r="I203" s="212">
        <v>1625</v>
      </c>
      <c r="J203" s="605"/>
      <c r="K203" s="212">
        <v>250</v>
      </c>
      <c r="L203" s="212">
        <f t="shared" si="43"/>
        <v>406250</v>
      </c>
      <c r="M203" s="602"/>
      <c r="N203" s="675">
        <f>+'Yeşil Defter'!K224</f>
        <v>0</v>
      </c>
      <c r="O203" s="675">
        <f>+'Yeşil Defter'!L224</f>
        <v>0</v>
      </c>
      <c r="P203" s="675">
        <f>+'Yeşil Defter'!M224</f>
        <v>0</v>
      </c>
      <c r="Q203" s="212"/>
      <c r="R203" s="605">
        <f t="shared" si="44"/>
        <v>0</v>
      </c>
      <c r="S203" s="225">
        <f t="shared" si="45"/>
        <v>0</v>
      </c>
      <c r="T203" s="237">
        <f t="shared" si="46"/>
        <v>0</v>
      </c>
      <c r="X203" s="23" t="str">
        <f t="shared" si="33"/>
        <v>-</v>
      </c>
    </row>
    <row r="204" spans="1:24" ht="30" customHeight="1" x14ac:dyDescent="0.3">
      <c r="A204" s="262" t="s">
        <v>154</v>
      </c>
      <c r="C204" s="244">
        <v>103</v>
      </c>
      <c r="D204" s="213" t="s">
        <v>425</v>
      </c>
      <c r="E204" s="969" t="s">
        <v>426</v>
      </c>
      <c r="F204" s="970"/>
      <c r="G204" s="971"/>
      <c r="H204" s="544" t="s">
        <v>225</v>
      </c>
      <c r="I204" s="212">
        <v>1121</v>
      </c>
      <c r="J204" s="605"/>
      <c r="K204" s="212">
        <v>482.96</v>
      </c>
      <c r="L204" s="212">
        <f t="shared" si="43"/>
        <v>541398.16</v>
      </c>
      <c r="M204" s="602"/>
      <c r="N204" s="675">
        <f>+'Yeşil Defter'!K225</f>
        <v>0</v>
      </c>
      <c r="O204" s="675">
        <f>+'Yeşil Defter'!L225</f>
        <v>0</v>
      </c>
      <c r="P204" s="675">
        <f>+'Yeşil Defter'!M225</f>
        <v>0</v>
      </c>
      <c r="Q204" s="212"/>
      <c r="R204" s="605">
        <f t="shared" si="44"/>
        <v>0</v>
      </c>
      <c r="S204" s="225">
        <f t="shared" si="45"/>
        <v>0</v>
      </c>
      <c r="T204" s="237">
        <f t="shared" si="46"/>
        <v>0</v>
      </c>
      <c r="X204" s="23" t="str">
        <f t="shared" si="33"/>
        <v>-</v>
      </c>
    </row>
    <row r="205" spans="1:24" ht="30" customHeight="1" x14ac:dyDescent="0.3">
      <c r="A205" s="262" t="s">
        <v>154</v>
      </c>
      <c r="C205" s="244">
        <v>104</v>
      </c>
      <c r="D205" s="213" t="s">
        <v>427</v>
      </c>
      <c r="E205" s="969" t="s">
        <v>428</v>
      </c>
      <c r="F205" s="970"/>
      <c r="G205" s="971"/>
      <c r="H205" s="544" t="s">
        <v>202</v>
      </c>
      <c r="I205" s="212">
        <v>2600</v>
      </c>
      <c r="J205" s="605"/>
      <c r="K205" s="212">
        <v>3805.85</v>
      </c>
      <c r="L205" s="212">
        <f t="shared" si="43"/>
        <v>9895210</v>
      </c>
      <c r="M205" s="602"/>
      <c r="N205" s="675">
        <f>+'Yeşil Defter'!K226</f>
        <v>0</v>
      </c>
      <c r="O205" s="675">
        <f>+'Yeşil Defter'!L226</f>
        <v>0</v>
      </c>
      <c r="P205" s="675">
        <f>+'Yeşil Defter'!M226</f>
        <v>0</v>
      </c>
      <c r="Q205" s="212"/>
      <c r="R205" s="605">
        <f t="shared" si="44"/>
        <v>0</v>
      </c>
      <c r="S205" s="225">
        <f t="shared" si="45"/>
        <v>0</v>
      </c>
      <c r="T205" s="237">
        <f t="shared" si="46"/>
        <v>0</v>
      </c>
      <c r="X205" s="23" t="str">
        <f t="shared" si="33"/>
        <v>-</v>
      </c>
    </row>
    <row r="206" spans="1:24" ht="40.049999999999997" customHeight="1" x14ac:dyDescent="0.3">
      <c r="A206" s="262" t="s">
        <v>1242</v>
      </c>
      <c r="C206" s="258"/>
      <c r="D206" s="258"/>
      <c r="E206" s="972" t="s">
        <v>33</v>
      </c>
      <c r="F206" s="972"/>
      <c r="G206" s="972"/>
      <c r="H206" s="973" t="s">
        <v>29</v>
      </c>
      <c r="I206" s="973"/>
      <c r="J206" s="973"/>
      <c r="K206" s="973"/>
      <c r="L206" s="973"/>
      <c r="M206" s="549"/>
      <c r="N206" s="973" t="s">
        <v>22</v>
      </c>
      <c r="O206" s="973"/>
      <c r="P206" s="973"/>
      <c r="Q206" s="973"/>
      <c r="R206" s="973"/>
      <c r="S206" s="973"/>
      <c r="T206" s="973"/>
      <c r="X206" s="23"/>
    </row>
    <row r="207" spans="1:24" ht="19.95" customHeight="1" x14ac:dyDescent="0.3">
      <c r="A207" s="262" t="s">
        <v>1242</v>
      </c>
      <c r="D207" s="28"/>
      <c r="E207" s="974" t="s">
        <v>1214</v>
      </c>
      <c r="F207" s="974"/>
      <c r="G207" s="974"/>
      <c r="H207" s="975" t="s">
        <v>38</v>
      </c>
      <c r="I207" s="975"/>
      <c r="J207" s="975"/>
      <c r="K207" s="975"/>
      <c r="L207" s="975"/>
      <c r="M207" s="562"/>
      <c r="N207" s="975" t="s">
        <v>1437</v>
      </c>
      <c r="O207" s="975"/>
      <c r="P207" s="975"/>
      <c r="Q207" s="975"/>
      <c r="R207" s="975"/>
      <c r="S207" s="975"/>
      <c r="T207" s="975"/>
      <c r="X207" s="23"/>
    </row>
    <row r="208" spans="1:24" ht="19.95" customHeight="1" x14ac:dyDescent="0.3">
      <c r="A208" s="262" t="s">
        <v>1242</v>
      </c>
      <c r="C208" s="228"/>
      <c r="D208" s="228"/>
      <c r="E208" s="561"/>
      <c r="F208" s="561"/>
      <c r="G208" s="561"/>
      <c r="H208" s="228"/>
      <c r="I208" s="260"/>
      <c r="J208" s="260"/>
      <c r="K208" s="260"/>
      <c r="L208" s="260"/>
      <c r="M208" s="260"/>
      <c r="N208" s="975"/>
      <c r="O208" s="975"/>
      <c r="P208" s="975"/>
      <c r="Q208" s="975"/>
      <c r="R208" s="975"/>
      <c r="S208" s="975"/>
      <c r="T208" s="975"/>
      <c r="X208" s="23"/>
    </row>
    <row r="209" spans="1:24" ht="19.95" customHeight="1" x14ac:dyDescent="0.3">
      <c r="A209" s="262" t="s">
        <v>1242</v>
      </c>
      <c r="C209" s="228"/>
      <c r="D209" s="228"/>
      <c r="E209" s="561"/>
      <c r="F209" s="561"/>
      <c r="G209" s="561"/>
      <c r="H209" s="228"/>
      <c r="I209" s="260"/>
      <c r="J209" s="260"/>
      <c r="K209" s="260"/>
      <c r="L209" s="260"/>
      <c r="M209" s="260"/>
      <c r="N209" s="975"/>
      <c r="O209" s="975"/>
      <c r="P209" s="975"/>
      <c r="Q209" s="975"/>
      <c r="R209" s="975"/>
      <c r="S209" s="975"/>
      <c r="T209" s="975"/>
      <c r="X209" s="23"/>
    </row>
    <row r="210" spans="1:24" ht="19.95" customHeight="1" x14ac:dyDescent="0.3">
      <c r="A210" s="262" t="s">
        <v>1242</v>
      </c>
      <c r="C210" s="228"/>
      <c r="D210" s="228"/>
      <c r="E210" s="561"/>
      <c r="F210" s="561"/>
      <c r="G210" s="561"/>
      <c r="H210" s="228"/>
      <c r="I210" s="260"/>
      <c r="J210" s="260"/>
      <c r="K210" s="260"/>
      <c r="L210" s="260"/>
      <c r="M210" s="260"/>
      <c r="N210" s="260"/>
      <c r="O210" s="260"/>
      <c r="P210" s="260"/>
      <c r="Q210" s="260"/>
      <c r="R210" s="260"/>
      <c r="S210" s="624"/>
      <c r="T210" s="260"/>
      <c r="X210" s="23"/>
    </row>
    <row r="211" spans="1:24" ht="19.95" customHeight="1" x14ac:dyDescent="0.3">
      <c r="A211" s="262" t="s">
        <v>1242</v>
      </c>
      <c r="C211" s="228"/>
      <c r="D211" s="228"/>
      <c r="E211" s="561"/>
      <c r="F211" s="561"/>
      <c r="G211" s="561"/>
      <c r="H211" s="975" t="s">
        <v>32</v>
      </c>
      <c r="I211" s="975"/>
      <c r="J211" s="562"/>
      <c r="K211" s="975" t="s">
        <v>1407</v>
      </c>
      <c r="L211" s="975"/>
      <c r="M211" s="562"/>
      <c r="N211" s="968" t="s">
        <v>58</v>
      </c>
      <c r="O211" s="968"/>
      <c r="P211" s="968"/>
      <c r="Q211" s="547"/>
      <c r="R211" s="968" t="s">
        <v>57</v>
      </c>
      <c r="S211" s="968"/>
      <c r="T211" s="968"/>
      <c r="X211" s="23"/>
    </row>
    <row r="212" spans="1:24" ht="19.95" customHeight="1" x14ac:dyDescent="0.3">
      <c r="A212" s="262" t="s">
        <v>1242</v>
      </c>
      <c r="C212" s="228"/>
      <c r="D212" s="228"/>
      <c r="E212" s="561"/>
      <c r="F212" s="561"/>
      <c r="G212" s="561"/>
      <c r="H212" s="976" t="s">
        <v>94</v>
      </c>
      <c r="I212" s="976"/>
      <c r="J212" s="623"/>
      <c r="K212" s="976" t="s">
        <v>94</v>
      </c>
      <c r="L212" s="976"/>
      <c r="M212" s="623"/>
      <c r="N212" s="968" t="s">
        <v>1472</v>
      </c>
      <c r="O212" s="968"/>
      <c r="P212" s="968"/>
      <c r="Q212" s="547"/>
      <c r="R212" s="968" t="s">
        <v>1472</v>
      </c>
      <c r="S212" s="968"/>
      <c r="T212" s="968"/>
      <c r="X212" s="23"/>
    </row>
    <row r="213" spans="1:24" ht="19.95" customHeight="1" x14ac:dyDescent="0.3">
      <c r="A213" s="262" t="s">
        <v>1242</v>
      </c>
      <c r="C213" s="228"/>
      <c r="D213" s="228"/>
      <c r="E213" s="561"/>
      <c r="F213" s="561"/>
      <c r="G213" s="561"/>
      <c r="H213" s="976"/>
      <c r="I213" s="976"/>
      <c r="J213" s="623"/>
      <c r="K213" s="976"/>
      <c r="L213" s="976"/>
      <c r="M213" s="623"/>
      <c r="N213" s="968"/>
      <c r="O213" s="968"/>
      <c r="P213" s="968"/>
      <c r="Q213" s="260"/>
      <c r="R213" s="968"/>
      <c r="S213" s="968"/>
      <c r="T213" s="968"/>
      <c r="X213" s="23"/>
    </row>
    <row r="214" spans="1:24" ht="19.95" customHeight="1" x14ac:dyDescent="0.3">
      <c r="A214" s="262" t="s">
        <v>1242</v>
      </c>
      <c r="C214" s="228"/>
      <c r="D214" s="228"/>
      <c r="E214" s="561"/>
      <c r="F214" s="561"/>
      <c r="G214" s="561"/>
      <c r="H214" s="228"/>
      <c r="I214" s="260"/>
      <c r="J214" s="260"/>
      <c r="K214" s="260"/>
      <c r="L214" s="260"/>
      <c r="M214" s="260"/>
      <c r="N214" s="260"/>
      <c r="O214" s="260"/>
      <c r="P214" s="260"/>
      <c r="Q214" s="260"/>
      <c r="R214" s="260"/>
      <c r="S214" s="624"/>
      <c r="T214" s="260"/>
      <c r="X214" s="23"/>
    </row>
    <row r="215" spans="1:24" ht="19.95" customHeight="1" x14ac:dyDescent="0.3">
      <c r="A215" s="262" t="s">
        <v>1242</v>
      </c>
      <c r="C215" s="228"/>
      <c r="D215" s="228"/>
      <c r="E215" s="975" t="s">
        <v>1215</v>
      </c>
      <c r="F215" s="975"/>
      <c r="G215" s="975"/>
      <c r="H215" s="975" t="s">
        <v>1348</v>
      </c>
      <c r="I215" s="975"/>
      <c r="J215" s="975"/>
      <c r="K215" s="975"/>
      <c r="L215" s="975"/>
      <c r="M215" s="562"/>
      <c r="N215" s="977" t="s">
        <v>1217</v>
      </c>
      <c r="O215" s="968"/>
      <c r="P215" s="968"/>
      <c r="Q215" s="968"/>
      <c r="R215" s="968"/>
      <c r="S215" s="968"/>
      <c r="T215" s="968"/>
      <c r="X215" s="23"/>
    </row>
    <row r="216" spans="1:24" ht="19.95" customHeight="1" x14ac:dyDescent="0.3">
      <c r="A216" s="262" t="s">
        <v>1290</v>
      </c>
      <c r="C216" s="228"/>
      <c r="D216" s="228"/>
      <c r="E216" s="975"/>
      <c r="F216" s="975"/>
      <c r="G216" s="975"/>
      <c r="H216" s="975"/>
      <c r="I216" s="975"/>
      <c r="J216" s="975"/>
      <c r="K216" s="975"/>
      <c r="L216" s="975"/>
      <c r="M216" s="562"/>
      <c r="N216" s="968"/>
      <c r="O216" s="968"/>
      <c r="P216" s="968"/>
      <c r="Q216" s="968"/>
      <c r="R216" s="968"/>
      <c r="S216" s="968"/>
      <c r="T216" s="968"/>
      <c r="X216" s="23"/>
    </row>
    <row r="217" spans="1:24" ht="30" customHeight="1" x14ac:dyDescent="0.3">
      <c r="A217" s="262" t="s">
        <v>154</v>
      </c>
      <c r="C217" s="255">
        <v>105</v>
      </c>
      <c r="D217" s="256" t="s">
        <v>429</v>
      </c>
      <c r="E217" s="978" t="s">
        <v>430</v>
      </c>
      <c r="F217" s="979"/>
      <c r="G217" s="980"/>
      <c r="H217" s="546" t="s">
        <v>202</v>
      </c>
      <c r="I217" s="257">
        <v>2275</v>
      </c>
      <c r="J217" s="606"/>
      <c r="K217" s="257">
        <v>1252.8800000000001</v>
      </c>
      <c r="L217" s="257">
        <f t="shared" ref="L217:L239" si="47">+ROUND(I217*K217,2)</f>
        <v>2850302</v>
      </c>
      <c r="M217" s="603"/>
      <c r="N217" s="675">
        <f>+'Yeşil Defter'!K227</f>
        <v>0</v>
      </c>
      <c r="O217" s="675">
        <f>+'Yeşil Defter'!L227</f>
        <v>0</v>
      </c>
      <c r="P217" s="675">
        <f>+'Yeşil Defter'!M227</f>
        <v>0</v>
      </c>
      <c r="Q217" s="257"/>
      <c r="R217" s="606">
        <f t="shared" ref="R217:R239" si="48">+ROUND(K217*N217,2)</f>
        <v>0</v>
      </c>
      <c r="S217" s="247">
        <f t="shared" si="45"/>
        <v>0</v>
      </c>
      <c r="T217" s="248">
        <f t="shared" ref="T217:T239" si="49">+ROUND(K217*P217,2)</f>
        <v>0</v>
      </c>
      <c r="X217" s="23" t="str">
        <f t="shared" ref="X217:X272" si="50">IF(AND(P218&gt;K218*1.2, (P218-K218)*I218 &gt; $L$13*0.01), "RBF", "-")</f>
        <v>-</v>
      </c>
    </row>
    <row r="218" spans="1:24" ht="30" customHeight="1" x14ac:dyDescent="0.3">
      <c r="A218" s="262" t="s">
        <v>154</v>
      </c>
      <c r="C218" s="244">
        <v>106</v>
      </c>
      <c r="D218" s="161" t="s">
        <v>431</v>
      </c>
      <c r="E218" s="969" t="s">
        <v>432</v>
      </c>
      <c r="F218" s="970"/>
      <c r="G218" s="971"/>
      <c r="H218" s="544" t="s">
        <v>202</v>
      </c>
      <c r="I218" s="212">
        <v>2275</v>
      </c>
      <c r="J218" s="605"/>
      <c r="K218" s="212">
        <v>605.75</v>
      </c>
      <c r="L218" s="212">
        <f t="shared" si="47"/>
        <v>1378081.25</v>
      </c>
      <c r="M218" s="602"/>
      <c r="N218" s="675">
        <f>+'Yeşil Defter'!K228</f>
        <v>0</v>
      </c>
      <c r="O218" s="675">
        <f>+'Yeşil Defter'!L228</f>
        <v>0</v>
      </c>
      <c r="P218" s="675">
        <f>+'Yeşil Defter'!M228</f>
        <v>0</v>
      </c>
      <c r="Q218" s="212"/>
      <c r="R218" s="605">
        <f t="shared" si="48"/>
        <v>0</v>
      </c>
      <c r="S218" s="225">
        <f t="shared" si="45"/>
        <v>0</v>
      </c>
      <c r="T218" s="237">
        <f t="shared" si="49"/>
        <v>0</v>
      </c>
      <c r="X218" s="23" t="str">
        <f t="shared" si="50"/>
        <v>-</v>
      </c>
    </row>
    <row r="219" spans="1:24" ht="30" customHeight="1" x14ac:dyDescent="0.3">
      <c r="A219" s="262" t="s">
        <v>154</v>
      </c>
      <c r="C219" s="244">
        <v>107</v>
      </c>
      <c r="D219" s="161" t="s">
        <v>433</v>
      </c>
      <c r="E219" s="969" t="s">
        <v>434</v>
      </c>
      <c r="F219" s="970"/>
      <c r="G219" s="971"/>
      <c r="H219" s="544" t="s">
        <v>202</v>
      </c>
      <c r="I219" s="212">
        <v>2925</v>
      </c>
      <c r="J219" s="605"/>
      <c r="K219" s="212">
        <v>605.75</v>
      </c>
      <c r="L219" s="212">
        <f t="shared" si="47"/>
        <v>1771818.75</v>
      </c>
      <c r="M219" s="602"/>
      <c r="N219" s="675">
        <f>+'Yeşil Defter'!K229</f>
        <v>0</v>
      </c>
      <c r="O219" s="675">
        <f>+'Yeşil Defter'!L229</f>
        <v>0</v>
      </c>
      <c r="P219" s="675">
        <f>+'Yeşil Defter'!M229</f>
        <v>0</v>
      </c>
      <c r="Q219" s="212"/>
      <c r="R219" s="605">
        <f t="shared" si="48"/>
        <v>0</v>
      </c>
      <c r="S219" s="225">
        <f t="shared" si="45"/>
        <v>0</v>
      </c>
      <c r="T219" s="237">
        <f t="shared" si="49"/>
        <v>0</v>
      </c>
      <c r="X219" s="23" t="str">
        <f t="shared" si="50"/>
        <v>-</v>
      </c>
    </row>
    <row r="220" spans="1:24" ht="30" customHeight="1" x14ac:dyDescent="0.3">
      <c r="A220" s="262" t="s">
        <v>154</v>
      </c>
      <c r="C220" s="244">
        <v>108</v>
      </c>
      <c r="D220" s="161" t="s">
        <v>435</v>
      </c>
      <c r="E220" s="969" t="s">
        <v>436</v>
      </c>
      <c r="F220" s="970"/>
      <c r="G220" s="971"/>
      <c r="H220" s="544" t="s">
        <v>225</v>
      </c>
      <c r="I220" s="212">
        <v>1560</v>
      </c>
      <c r="J220" s="605"/>
      <c r="K220" s="212">
        <v>560.04</v>
      </c>
      <c r="L220" s="212">
        <f t="shared" si="47"/>
        <v>873662.4</v>
      </c>
      <c r="M220" s="602"/>
      <c r="N220" s="675">
        <f>+'Yeşil Defter'!K230</f>
        <v>0</v>
      </c>
      <c r="O220" s="675">
        <f>+'Yeşil Defter'!L230</f>
        <v>0</v>
      </c>
      <c r="P220" s="675">
        <f>+'Yeşil Defter'!M230</f>
        <v>0</v>
      </c>
      <c r="Q220" s="212"/>
      <c r="R220" s="605">
        <f t="shared" si="48"/>
        <v>0</v>
      </c>
      <c r="S220" s="225">
        <f t="shared" si="45"/>
        <v>0</v>
      </c>
      <c r="T220" s="237">
        <f t="shared" si="49"/>
        <v>0</v>
      </c>
      <c r="X220" s="23" t="str">
        <f t="shared" si="50"/>
        <v>-</v>
      </c>
    </row>
    <row r="221" spans="1:24" ht="30" customHeight="1" x14ac:dyDescent="0.3">
      <c r="A221" s="262" t="s">
        <v>154</v>
      </c>
      <c r="C221" s="244">
        <v>109</v>
      </c>
      <c r="D221" s="161" t="s">
        <v>437</v>
      </c>
      <c r="E221" s="969" t="s">
        <v>438</v>
      </c>
      <c r="F221" s="970"/>
      <c r="G221" s="971"/>
      <c r="H221" s="544" t="s">
        <v>225</v>
      </c>
      <c r="I221" s="212">
        <v>2600</v>
      </c>
      <c r="J221" s="605"/>
      <c r="K221" s="212">
        <v>20987.8</v>
      </c>
      <c r="L221" s="212">
        <f t="shared" si="47"/>
        <v>54568280</v>
      </c>
      <c r="M221" s="602"/>
      <c r="N221" s="675">
        <f>+'Yeşil Defter'!K231</f>
        <v>0</v>
      </c>
      <c r="O221" s="675">
        <f>+'Yeşil Defter'!L231</f>
        <v>0</v>
      </c>
      <c r="P221" s="675">
        <f>+'Yeşil Defter'!M231</f>
        <v>0</v>
      </c>
      <c r="Q221" s="212"/>
      <c r="R221" s="605">
        <f t="shared" si="48"/>
        <v>0</v>
      </c>
      <c r="S221" s="225">
        <f t="shared" si="45"/>
        <v>0</v>
      </c>
      <c r="T221" s="237">
        <f t="shared" si="49"/>
        <v>0</v>
      </c>
      <c r="X221" s="23" t="str">
        <f t="shared" si="50"/>
        <v>-</v>
      </c>
    </row>
    <row r="222" spans="1:24" ht="30" customHeight="1" x14ac:dyDescent="0.3">
      <c r="A222" s="262" t="s">
        <v>154</v>
      </c>
      <c r="C222" s="244">
        <v>110</v>
      </c>
      <c r="D222" s="213" t="s">
        <v>439</v>
      </c>
      <c r="E222" s="969" t="s">
        <v>440</v>
      </c>
      <c r="F222" s="970"/>
      <c r="G222" s="971"/>
      <c r="H222" s="544" t="s">
        <v>225</v>
      </c>
      <c r="I222" s="212">
        <v>1300</v>
      </c>
      <c r="J222" s="605"/>
      <c r="K222" s="212">
        <v>17353.38</v>
      </c>
      <c r="L222" s="212">
        <f t="shared" si="47"/>
        <v>22559394</v>
      </c>
      <c r="M222" s="602"/>
      <c r="N222" s="675">
        <f>+'Yeşil Defter'!K232</f>
        <v>0</v>
      </c>
      <c r="O222" s="675">
        <f>+'Yeşil Defter'!L232</f>
        <v>0</v>
      </c>
      <c r="P222" s="675">
        <f>+'Yeşil Defter'!M232</f>
        <v>0</v>
      </c>
      <c r="Q222" s="212"/>
      <c r="R222" s="605">
        <f t="shared" si="48"/>
        <v>0</v>
      </c>
      <c r="S222" s="225">
        <f t="shared" si="45"/>
        <v>0</v>
      </c>
      <c r="T222" s="237">
        <f t="shared" si="49"/>
        <v>0</v>
      </c>
      <c r="X222" s="23" t="str">
        <f t="shared" si="50"/>
        <v>-</v>
      </c>
    </row>
    <row r="223" spans="1:24" ht="30" customHeight="1" x14ac:dyDescent="0.3">
      <c r="A223" s="262" t="s">
        <v>154</v>
      </c>
      <c r="C223" s="244">
        <v>111</v>
      </c>
      <c r="D223" s="161" t="s">
        <v>441</v>
      </c>
      <c r="E223" s="969" t="s">
        <v>442</v>
      </c>
      <c r="F223" s="970"/>
      <c r="G223" s="971"/>
      <c r="H223" s="544" t="s">
        <v>202</v>
      </c>
      <c r="I223" s="212">
        <v>1235</v>
      </c>
      <c r="J223" s="605"/>
      <c r="K223" s="212">
        <v>4497.83</v>
      </c>
      <c r="L223" s="212">
        <f t="shared" si="47"/>
        <v>5554820.0499999998</v>
      </c>
      <c r="M223" s="602"/>
      <c r="N223" s="675">
        <f>+'Yeşil Defter'!K233</f>
        <v>0</v>
      </c>
      <c r="O223" s="675">
        <f>+'Yeşil Defter'!L233</f>
        <v>0</v>
      </c>
      <c r="P223" s="675">
        <f>+'Yeşil Defter'!M233</f>
        <v>0</v>
      </c>
      <c r="Q223" s="212"/>
      <c r="R223" s="605">
        <f t="shared" si="48"/>
        <v>0</v>
      </c>
      <c r="S223" s="225">
        <f t="shared" si="45"/>
        <v>0</v>
      </c>
      <c r="T223" s="237">
        <f t="shared" si="49"/>
        <v>0</v>
      </c>
      <c r="X223" s="23" t="str">
        <f t="shared" si="50"/>
        <v>-</v>
      </c>
    </row>
    <row r="224" spans="1:24" ht="30" customHeight="1" x14ac:dyDescent="0.3">
      <c r="A224" s="262" t="s">
        <v>154</v>
      </c>
      <c r="C224" s="244">
        <v>112</v>
      </c>
      <c r="D224" s="161" t="s">
        <v>443</v>
      </c>
      <c r="E224" s="969" t="s">
        <v>444</v>
      </c>
      <c r="F224" s="970"/>
      <c r="G224" s="971"/>
      <c r="H224" s="544" t="s">
        <v>202</v>
      </c>
      <c r="I224" s="212">
        <v>1235</v>
      </c>
      <c r="J224" s="605"/>
      <c r="K224" s="212">
        <v>2909.43</v>
      </c>
      <c r="L224" s="212">
        <f t="shared" si="47"/>
        <v>3593146.05</v>
      </c>
      <c r="M224" s="602"/>
      <c r="N224" s="675">
        <f>+'Yeşil Defter'!K234</f>
        <v>0</v>
      </c>
      <c r="O224" s="675">
        <f>+'Yeşil Defter'!L234</f>
        <v>0</v>
      </c>
      <c r="P224" s="675">
        <f>+'Yeşil Defter'!M234</f>
        <v>0</v>
      </c>
      <c r="Q224" s="212"/>
      <c r="R224" s="605">
        <f t="shared" si="48"/>
        <v>0</v>
      </c>
      <c r="S224" s="225">
        <f t="shared" si="45"/>
        <v>0</v>
      </c>
      <c r="T224" s="237">
        <f t="shared" si="49"/>
        <v>0</v>
      </c>
      <c r="X224" s="23" t="str">
        <f t="shared" si="50"/>
        <v>-</v>
      </c>
    </row>
    <row r="225" spans="1:24" ht="30" customHeight="1" x14ac:dyDescent="0.3">
      <c r="A225" s="262" t="s">
        <v>154</v>
      </c>
      <c r="C225" s="244">
        <v>113</v>
      </c>
      <c r="D225" s="213" t="s">
        <v>445</v>
      </c>
      <c r="E225" s="969" t="s">
        <v>446</v>
      </c>
      <c r="F225" s="970"/>
      <c r="G225" s="971"/>
      <c r="H225" s="544" t="s">
        <v>225</v>
      </c>
      <c r="I225" s="212">
        <v>4680</v>
      </c>
      <c r="J225" s="605"/>
      <c r="K225" s="212">
        <v>1158.7</v>
      </c>
      <c r="L225" s="212">
        <f t="shared" si="47"/>
        <v>5422716</v>
      </c>
      <c r="M225" s="602"/>
      <c r="N225" s="675">
        <f>+'Yeşil Defter'!K235</f>
        <v>0</v>
      </c>
      <c r="O225" s="675">
        <f>+'Yeşil Defter'!L235</f>
        <v>0</v>
      </c>
      <c r="P225" s="675">
        <f>+'Yeşil Defter'!M235</f>
        <v>0</v>
      </c>
      <c r="Q225" s="212"/>
      <c r="R225" s="605">
        <f t="shared" si="48"/>
        <v>0</v>
      </c>
      <c r="S225" s="225">
        <f t="shared" si="45"/>
        <v>0</v>
      </c>
      <c r="T225" s="237">
        <f t="shared" si="49"/>
        <v>0</v>
      </c>
      <c r="X225" s="23" t="str">
        <f t="shared" si="50"/>
        <v>-</v>
      </c>
    </row>
    <row r="226" spans="1:24" ht="30" customHeight="1" x14ac:dyDescent="0.3">
      <c r="A226" s="262" t="s">
        <v>154</v>
      </c>
      <c r="C226" s="244">
        <v>114</v>
      </c>
      <c r="D226" s="161" t="s">
        <v>447</v>
      </c>
      <c r="E226" s="969" t="s">
        <v>448</v>
      </c>
      <c r="F226" s="970"/>
      <c r="G226" s="971"/>
      <c r="H226" s="544" t="s">
        <v>225</v>
      </c>
      <c r="I226" s="212">
        <v>6175</v>
      </c>
      <c r="J226" s="605"/>
      <c r="K226" s="212">
        <v>13116.45</v>
      </c>
      <c r="L226" s="212">
        <f t="shared" si="47"/>
        <v>80994078.75</v>
      </c>
      <c r="M226" s="602"/>
      <c r="N226" s="675">
        <f>+'Yeşil Defter'!K236</f>
        <v>0</v>
      </c>
      <c r="O226" s="675">
        <f>+'Yeşil Defter'!L236</f>
        <v>0</v>
      </c>
      <c r="P226" s="675">
        <f>+'Yeşil Defter'!M236</f>
        <v>0</v>
      </c>
      <c r="Q226" s="212"/>
      <c r="R226" s="605">
        <f t="shared" si="48"/>
        <v>0</v>
      </c>
      <c r="S226" s="225">
        <f t="shared" si="45"/>
        <v>0</v>
      </c>
      <c r="T226" s="237">
        <f t="shared" si="49"/>
        <v>0</v>
      </c>
      <c r="X226" s="23" t="str">
        <f t="shared" si="50"/>
        <v>-</v>
      </c>
    </row>
    <row r="227" spans="1:24" ht="30" customHeight="1" x14ac:dyDescent="0.3">
      <c r="A227" s="262" t="s">
        <v>154</v>
      </c>
      <c r="C227" s="244">
        <v>115</v>
      </c>
      <c r="D227" s="161" t="s">
        <v>449</v>
      </c>
      <c r="E227" s="969" t="s">
        <v>450</v>
      </c>
      <c r="F227" s="970"/>
      <c r="G227" s="971"/>
      <c r="H227" s="544" t="s">
        <v>225</v>
      </c>
      <c r="I227" s="212">
        <v>6175</v>
      </c>
      <c r="J227" s="605"/>
      <c r="K227" s="212">
        <v>2140.9299999999998</v>
      </c>
      <c r="L227" s="212">
        <f t="shared" si="47"/>
        <v>13220242.75</v>
      </c>
      <c r="M227" s="602"/>
      <c r="N227" s="675">
        <f>+'Yeşil Defter'!K249</f>
        <v>0</v>
      </c>
      <c r="O227" s="675">
        <f>+'Yeşil Defter'!L249</f>
        <v>0</v>
      </c>
      <c r="P227" s="675">
        <f>+'Yeşil Defter'!M249</f>
        <v>0</v>
      </c>
      <c r="Q227" s="212"/>
      <c r="R227" s="605">
        <f t="shared" si="48"/>
        <v>0</v>
      </c>
      <c r="S227" s="225">
        <f t="shared" si="45"/>
        <v>0</v>
      </c>
      <c r="T227" s="237">
        <f t="shared" si="49"/>
        <v>0</v>
      </c>
      <c r="X227" s="23" t="str">
        <f t="shared" si="50"/>
        <v>-</v>
      </c>
    </row>
    <row r="228" spans="1:24" ht="30" customHeight="1" x14ac:dyDescent="0.3">
      <c r="A228" s="262" t="s">
        <v>154</v>
      </c>
      <c r="C228" s="244">
        <v>116</v>
      </c>
      <c r="D228" s="161" t="s">
        <v>451</v>
      </c>
      <c r="E228" s="969" t="s">
        <v>452</v>
      </c>
      <c r="F228" s="970"/>
      <c r="G228" s="971"/>
      <c r="H228" s="544" t="s">
        <v>225</v>
      </c>
      <c r="I228" s="212">
        <v>6175</v>
      </c>
      <c r="J228" s="605"/>
      <c r="K228" s="212">
        <v>2465.06</v>
      </c>
      <c r="L228" s="212">
        <f t="shared" si="47"/>
        <v>15221745.5</v>
      </c>
      <c r="M228" s="602"/>
      <c r="N228" s="675">
        <f>+'Yeşil Defter'!K250</f>
        <v>0</v>
      </c>
      <c r="O228" s="675">
        <f>+'Yeşil Defter'!L250</f>
        <v>0</v>
      </c>
      <c r="P228" s="675">
        <f>+'Yeşil Defter'!M250</f>
        <v>0</v>
      </c>
      <c r="Q228" s="212"/>
      <c r="R228" s="605">
        <f t="shared" si="48"/>
        <v>0</v>
      </c>
      <c r="S228" s="225">
        <f t="shared" si="45"/>
        <v>0</v>
      </c>
      <c r="T228" s="237">
        <f t="shared" si="49"/>
        <v>0</v>
      </c>
      <c r="X228" s="23" t="str">
        <f t="shared" si="50"/>
        <v>-</v>
      </c>
    </row>
    <row r="229" spans="1:24" ht="30" customHeight="1" x14ac:dyDescent="0.3">
      <c r="A229" s="262" t="s">
        <v>154</v>
      </c>
      <c r="C229" s="244">
        <v>117</v>
      </c>
      <c r="D229" s="161" t="s">
        <v>453</v>
      </c>
      <c r="E229" s="969" t="s">
        <v>454</v>
      </c>
      <c r="F229" s="970"/>
      <c r="G229" s="971"/>
      <c r="H229" s="544" t="s">
        <v>225</v>
      </c>
      <c r="I229" s="212">
        <v>3900</v>
      </c>
      <c r="J229" s="605"/>
      <c r="K229" s="212">
        <v>609.66</v>
      </c>
      <c r="L229" s="212">
        <f t="shared" si="47"/>
        <v>2377674</v>
      </c>
      <c r="M229" s="602"/>
      <c r="N229" s="675">
        <f>+'Yeşil Defter'!K251</f>
        <v>0</v>
      </c>
      <c r="O229" s="675">
        <f>+'Yeşil Defter'!L251</f>
        <v>0</v>
      </c>
      <c r="P229" s="675">
        <f>+'Yeşil Defter'!M251</f>
        <v>0</v>
      </c>
      <c r="Q229" s="212"/>
      <c r="R229" s="605">
        <f t="shared" si="48"/>
        <v>0</v>
      </c>
      <c r="S229" s="225">
        <f t="shared" si="45"/>
        <v>0</v>
      </c>
      <c r="T229" s="237">
        <f t="shared" si="49"/>
        <v>0</v>
      </c>
      <c r="X229" s="23" t="str">
        <f t="shared" si="50"/>
        <v>-</v>
      </c>
    </row>
    <row r="230" spans="1:24" ht="30" customHeight="1" x14ac:dyDescent="0.3">
      <c r="A230" s="262" t="s">
        <v>154</v>
      </c>
      <c r="C230" s="244">
        <v>118</v>
      </c>
      <c r="D230" s="161" t="s">
        <v>455</v>
      </c>
      <c r="E230" s="969" t="s">
        <v>456</v>
      </c>
      <c r="F230" s="970"/>
      <c r="G230" s="971"/>
      <c r="H230" s="544" t="s">
        <v>225</v>
      </c>
      <c r="I230" s="212">
        <v>8775</v>
      </c>
      <c r="J230" s="605"/>
      <c r="K230" s="212">
        <v>547.5</v>
      </c>
      <c r="L230" s="212">
        <f t="shared" si="47"/>
        <v>4804312.5</v>
      </c>
      <c r="M230" s="602"/>
      <c r="N230" s="675">
        <f>+'Yeşil Defter'!K252</f>
        <v>0</v>
      </c>
      <c r="O230" s="675">
        <f>+'Yeşil Defter'!L252</f>
        <v>0</v>
      </c>
      <c r="P230" s="675">
        <f>+'Yeşil Defter'!M252</f>
        <v>0</v>
      </c>
      <c r="Q230" s="212"/>
      <c r="R230" s="605">
        <f t="shared" si="48"/>
        <v>0</v>
      </c>
      <c r="S230" s="225">
        <f t="shared" si="45"/>
        <v>0</v>
      </c>
      <c r="T230" s="237">
        <f t="shared" si="49"/>
        <v>0</v>
      </c>
      <c r="X230" s="23" t="str">
        <f t="shared" si="50"/>
        <v>-</v>
      </c>
    </row>
    <row r="231" spans="1:24" ht="30" customHeight="1" x14ac:dyDescent="0.3">
      <c r="A231" s="262" t="s">
        <v>154</v>
      </c>
      <c r="C231" s="244">
        <v>119</v>
      </c>
      <c r="D231" s="161" t="s">
        <v>457</v>
      </c>
      <c r="E231" s="969" t="s">
        <v>458</v>
      </c>
      <c r="F231" s="970"/>
      <c r="G231" s="971"/>
      <c r="H231" s="544" t="s">
        <v>225</v>
      </c>
      <c r="I231" s="212">
        <v>8775</v>
      </c>
      <c r="J231" s="605"/>
      <c r="K231" s="212">
        <v>547.5</v>
      </c>
      <c r="L231" s="212">
        <f t="shared" si="47"/>
        <v>4804312.5</v>
      </c>
      <c r="M231" s="602"/>
      <c r="N231" s="675">
        <f>+'Yeşil Defter'!K253</f>
        <v>0</v>
      </c>
      <c r="O231" s="675">
        <f>+'Yeşil Defter'!L253</f>
        <v>0</v>
      </c>
      <c r="P231" s="675">
        <f>+'Yeşil Defter'!M253</f>
        <v>0</v>
      </c>
      <c r="Q231" s="212"/>
      <c r="R231" s="605">
        <f t="shared" si="48"/>
        <v>0</v>
      </c>
      <c r="S231" s="225">
        <f t="shared" si="45"/>
        <v>0</v>
      </c>
      <c r="T231" s="237">
        <f t="shared" si="49"/>
        <v>0</v>
      </c>
      <c r="X231" s="23" t="str">
        <f t="shared" si="50"/>
        <v>-</v>
      </c>
    </row>
    <row r="232" spans="1:24" ht="30" customHeight="1" x14ac:dyDescent="0.3">
      <c r="A232" s="262" t="s">
        <v>154</v>
      </c>
      <c r="C232" s="244">
        <v>120</v>
      </c>
      <c r="D232" s="161" t="s">
        <v>459</v>
      </c>
      <c r="E232" s="969" t="s">
        <v>460</v>
      </c>
      <c r="F232" s="970"/>
      <c r="G232" s="971"/>
      <c r="H232" s="544" t="s">
        <v>225</v>
      </c>
      <c r="I232" s="212">
        <v>8775</v>
      </c>
      <c r="J232" s="605"/>
      <c r="K232" s="212">
        <v>2991.9</v>
      </c>
      <c r="L232" s="212">
        <f t="shared" si="47"/>
        <v>26253922.5</v>
      </c>
      <c r="M232" s="602"/>
      <c r="N232" s="675">
        <f>+'Yeşil Defter'!K254</f>
        <v>0</v>
      </c>
      <c r="O232" s="675">
        <f>+'Yeşil Defter'!L254</f>
        <v>0</v>
      </c>
      <c r="P232" s="675">
        <f>+'Yeşil Defter'!M254</f>
        <v>0</v>
      </c>
      <c r="Q232" s="212"/>
      <c r="R232" s="605">
        <f t="shared" si="48"/>
        <v>0</v>
      </c>
      <c r="S232" s="225">
        <f t="shared" si="45"/>
        <v>0</v>
      </c>
      <c r="T232" s="237">
        <f t="shared" si="49"/>
        <v>0</v>
      </c>
      <c r="X232" s="23" t="str">
        <f t="shared" si="50"/>
        <v>-</v>
      </c>
    </row>
    <row r="233" spans="1:24" ht="30" customHeight="1" x14ac:dyDescent="0.3">
      <c r="A233" s="262" t="s">
        <v>154</v>
      </c>
      <c r="C233" s="244">
        <v>121</v>
      </c>
      <c r="D233" s="161" t="s">
        <v>461</v>
      </c>
      <c r="E233" s="969" t="s">
        <v>462</v>
      </c>
      <c r="F233" s="970"/>
      <c r="G233" s="971"/>
      <c r="H233" s="544" t="s">
        <v>225</v>
      </c>
      <c r="I233" s="212">
        <v>4185</v>
      </c>
      <c r="J233" s="605"/>
      <c r="K233" s="212">
        <v>800</v>
      </c>
      <c r="L233" s="212">
        <f t="shared" si="47"/>
        <v>3348000</v>
      </c>
      <c r="M233" s="602"/>
      <c r="N233" s="675">
        <f>+'Yeşil Defter'!K255</f>
        <v>0</v>
      </c>
      <c r="O233" s="675">
        <f>+'Yeşil Defter'!L255</f>
        <v>0</v>
      </c>
      <c r="P233" s="675">
        <f>+'Yeşil Defter'!M255</f>
        <v>0</v>
      </c>
      <c r="Q233" s="212"/>
      <c r="R233" s="605">
        <f t="shared" si="48"/>
        <v>0</v>
      </c>
      <c r="S233" s="225">
        <f t="shared" si="45"/>
        <v>0</v>
      </c>
      <c r="T233" s="237">
        <f t="shared" si="49"/>
        <v>0</v>
      </c>
      <c r="X233" s="23" t="str">
        <f t="shared" si="50"/>
        <v>-</v>
      </c>
    </row>
    <row r="234" spans="1:24" ht="30" customHeight="1" x14ac:dyDescent="0.3">
      <c r="A234" s="262" t="s">
        <v>154</v>
      </c>
      <c r="C234" s="244">
        <v>122</v>
      </c>
      <c r="D234" s="161" t="s">
        <v>463</v>
      </c>
      <c r="E234" s="969" t="s">
        <v>464</v>
      </c>
      <c r="F234" s="970"/>
      <c r="G234" s="971"/>
      <c r="H234" s="544" t="s">
        <v>225</v>
      </c>
      <c r="I234" s="212">
        <v>4425</v>
      </c>
      <c r="J234" s="605"/>
      <c r="K234" s="212">
        <v>800</v>
      </c>
      <c r="L234" s="212">
        <f t="shared" si="47"/>
        <v>3540000</v>
      </c>
      <c r="M234" s="602"/>
      <c r="N234" s="675">
        <f>+'Yeşil Defter'!K256</f>
        <v>0</v>
      </c>
      <c r="O234" s="675">
        <f>+'Yeşil Defter'!L256</f>
        <v>0</v>
      </c>
      <c r="P234" s="675">
        <f>+'Yeşil Defter'!M256</f>
        <v>0</v>
      </c>
      <c r="Q234" s="212"/>
      <c r="R234" s="605">
        <f t="shared" si="48"/>
        <v>0</v>
      </c>
      <c r="S234" s="225">
        <f t="shared" si="45"/>
        <v>0</v>
      </c>
      <c r="T234" s="237">
        <f t="shared" si="49"/>
        <v>0</v>
      </c>
      <c r="X234" s="23" t="str">
        <f t="shared" si="50"/>
        <v>-</v>
      </c>
    </row>
    <row r="235" spans="1:24" ht="30" customHeight="1" x14ac:dyDescent="0.3">
      <c r="A235" s="262" t="s">
        <v>154</v>
      </c>
      <c r="C235" s="244">
        <v>123</v>
      </c>
      <c r="D235" s="161" t="s">
        <v>465</v>
      </c>
      <c r="E235" s="969" t="s">
        <v>466</v>
      </c>
      <c r="F235" s="970"/>
      <c r="G235" s="971"/>
      <c r="H235" s="544" t="s">
        <v>225</v>
      </c>
      <c r="I235" s="212">
        <v>4425</v>
      </c>
      <c r="J235" s="605"/>
      <c r="K235" s="212">
        <v>800</v>
      </c>
      <c r="L235" s="212">
        <f t="shared" si="47"/>
        <v>3540000</v>
      </c>
      <c r="M235" s="602"/>
      <c r="N235" s="675">
        <f>+'Yeşil Defter'!K257</f>
        <v>0</v>
      </c>
      <c r="O235" s="675">
        <f>+'Yeşil Defter'!L257</f>
        <v>0</v>
      </c>
      <c r="P235" s="675">
        <f>+'Yeşil Defter'!M257</f>
        <v>0</v>
      </c>
      <c r="Q235" s="212"/>
      <c r="R235" s="605">
        <f t="shared" si="48"/>
        <v>0</v>
      </c>
      <c r="S235" s="225">
        <f t="shared" si="45"/>
        <v>0</v>
      </c>
      <c r="T235" s="237">
        <f t="shared" si="49"/>
        <v>0</v>
      </c>
      <c r="X235" s="23" t="str">
        <f t="shared" si="50"/>
        <v>-</v>
      </c>
    </row>
    <row r="236" spans="1:24" ht="30" customHeight="1" x14ac:dyDescent="0.3">
      <c r="A236" s="262" t="s">
        <v>154</v>
      </c>
      <c r="C236" s="244">
        <v>124</v>
      </c>
      <c r="D236" s="161" t="s">
        <v>467</v>
      </c>
      <c r="E236" s="969" t="s">
        <v>468</v>
      </c>
      <c r="F236" s="970"/>
      <c r="G236" s="971"/>
      <c r="H236" s="544" t="s">
        <v>225</v>
      </c>
      <c r="I236" s="212">
        <v>8215</v>
      </c>
      <c r="J236" s="605"/>
      <c r="K236" s="212">
        <v>2640</v>
      </c>
      <c r="L236" s="212">
        <f t="shared" si="47"/>
        <v>21687600</v>
      </c>
      <c r="M236" s="602"/>
      <c r="N236" s="675">
        <f>+'Yeşil Defter'!K258</f>
        <v>0</v>
      </c>
      <c r="O236" s="675">
        <f>+'Yeşil Defter'!L258</f>
        <v>0</v>
      </c>
      <c r="P236" s="675">
        <f>+'Yeşil Defter'!M258</f>
        <v>0</v>
      </c>
      <c r="Q236" s="212"/>
      <c r="R236" s="605">
        <f t="shared" si="48"/>
        <v>0</v>
      </c>
      <c r="S236" s="225">
        <f t="shared" si="45"/>
        <v>0</v>
      </c>
      <c r="T236" s="237">
        <f t="shared" si="49"/>
        <v>0</v>
      </c>
      <c r="X236" s="23" t="str">
        <f t="shared" si="50"/>
        <v>-</v>
      </c>
    </row>
    <row r="237" spans="1:24" ht="30" customHeight="1" x14ac:dyDescent="0.3">
      <c r="A237" s="262" t="s">
        <v>154</v>
      </c>
      <c r="C237" s="244">
        <v>125</v>
      </c>
      <c r="D237" s="161" t="s">
        <v>469</v>
      </c>
      <c r="E237" s="969" t="s">
        <v>470</v>
      </c>
      <c r="F237" s="970"/>
      <c r="G237" s="971"/>
      <c r="H237" s="544" t="s">
        <v>225</v>
      </c>
      <c r="I237" s="212">
        <v>8599</v>
      </c>
      <c r="J237" s="605"/>
      <c r="K237" s="212">
        <v>2640</v>
      </c>
      <c r="L237" s="212">
        <f t="shared" si="47"/>
        <v>22701360</v>
      </c>
      <c r="M237" s="602"/>
      <c r="N237" s="675">
        <f>+'Yeşil Defter'!K259</f>
        <v>0</v>
      </c>
      <c r="O237" s="675">
        <f>+'Yeşil Defter'!L259</f>
        <v>0</v>
      </c>
      <c r="P237" s="675">
        <f>+'Yeşil Defter'!M259</f>
        <v>0</v>
      </c>
      <c r="Q237" s="212"/>
      <c r="R237" s="605">
        <f t="shared" si="48"/>
        <v>0</v>
      </c>
      <c r="S237" s="225">
        <f t="shared" si="45"/>
        <v>0</v>
      </c>
      <c r="T237" s="237">
        <f t="shared" si="49"/>
        <v>0</v>
      </c>
      <c r="X237" s="23" t="str">
        <f t="shared" si="50"/>
        <v>-</v>
      </c>
    </row>
    <row r="238" spans="1:24" ht="30" customHeight="1" x14ac:dyDescent="0.3">
      <c r="A238" s="262" t="s">
        <v>154</v>
      </c>
      <c r="C238" s="244">
        <v>126</v>
      </c>
      <c r="D238" s="161" t="s">
        <v>471</v>
      </c>
      <c r="E238" s="969" t="s">
        <v>472</v>
      </c>
      <c r="F238" s="970"/>
      <c r="G238" s="971"/>
      <c r="H238" s="544" t="s">
        <v>225</v>
      </c>
      <c r="I238" s="212">
        <v>8599</v>
      </c>
      <c r="J238" s="605"/>
      <c r="K238" s="212">
        <v>2640</v>
      </c>
      <c r="L238" s="212">
        <f t="shared" si="47"/>
        <v>22701360</v>
      </c>
      <c r="M238" s="602"/>
      <c r="N238" s="675">
        <f>+'Yeşil Defter'!K260</f>
        <v>0</v>
      </c>
      <c r="O238" s="675">
        <f>+'Yeşil Defter'!L260</f>
        <v>0</v>
      </c>
      <c r="P238" s="675">
        <f>+'Yeşil Defter'!M260</f>
        <v>0</v>
      </c>
      <c r="Q238" s="212"/>
      <c r="R238" s="605">
        <f t="shared" si="48"/>
        <v>0</v>
      </c>
      <c r="S238" s="225">
        <f t="shared" si="45"/>
        <v>0</v>
      </c>
      <c r="T238" s="237">
        <f t="shared" si="49"/>
        <v>0</v>
      </c>
      <c r="X238" s="23" t="str">
        <f t="shared" si="50"/>
        <v>-</v>
      </c>
    </row>
    <row r="239" spans="1:24" ht="30" customHeight="1" x14ac:dyDescent="0.3">
      <c r="A239" s="262" t="s">
        <v>154</v>
      </c>
      <c r="C239" s="244">
        <v>127</v>
      </c>
      <c r="D239" s="213" t="s">
        <v>473</v>
      </c>
      <c r="E239" s="969" t="s">
        <v>474</v>
      </c>
      <c r="F239" s="970"/>
      <c r="G239" s="971"/>
      <c r="H239" s="544" t="s">
        <v>225</v>
      </c>
      <c r="I239" s="212">
        <v>2311</v>
      </c>
      <c r="J239" s="605"/>
      <c r="K239" s="212">
        <v>607.15</v>
      </c>
      <c r="L239" s="212">
        <f t="shared" si="47"/>
        <v>1403123.65</v>
      </c>
      <c r="M239" s="602"/>
      <c r="N239" s="675">
        <f>+'Yeşil Defter'!K261</f>
        <v>0</v>
      </c>
      <c r="O239" s="675">
        <f>+'Yeşil Defter'!L261</f>
        <v>0</v>
      </c>
      <c r="P239" s="675">
        <f>+'Yeşil Defter'!M261</f>
        <v>0</v>
      </c>
      <c r="Q239" s="212"/>
      <c r="R239" s="605">
        <f t="shared" si="48"/>
        <v>0</v>
      </c>
      <c r="S239" s="225">
        <f t="shared" si="45"/>
        <v>0</v>
      </c>
      <c r="T239" s="237">
        <f t="shared" si="49"/>
        <v>0</v>
      </c>
      <c r="X239" s="23" t="str">
        <f t="shared" si="50"/>
        <v>-</v>
      </c>
    </row>
    <row r="240" spans="1:24" ht="40.049999999999997" customHeight="1" x14ac:dyDescent="0.3">
      <c r="A240" s="262" t="s">
        <v>1242</v>
      </c>
      <c r="C240" s="258"/>
      <c r="D240" s="258"/>
      <c r="E240" s="972" t="s">
        <v>33</v>
      </c>
      <c r="F240" s="972"/>
      <c r="G240" s="972"/>
      <c r="H240" s="973" t="s">
        <v>29</v>
      </c>
      <c r="I240" s="973"/>
      <c r="J240" s="973"/>
      <c r="K240" s="973"/>
      <c r="L240" s="973"/>
      <c r="M240" s="549"/>
      <c r="N240" s="973" t="s">
        <v>22</v>
      </c>
      <c r="O240" s="973"/>
      <c r="P240" s="973"/>
      <c r="Q240" s="973"/>
      <c r="R240" s="973"/>
      <c r="S240" s="973"/>
      <c r="T240" s="973"/>
      <c r="X240" s="23"/>
    </row>
    <row r="241" spans="1:24" ht="19.95" customHeight="1" x14ac:dyDescent="0.3">
      <c r="A241" s="262" t="s">
        <v>1242</v>
      </c>
      <c r="D241" s="28"/>
      <c r="E241" s="974" t="s">
        <v>1214</v>
      </c>
      <c r="F241" s="974"/>
      <c r="G241" s="974"/>
      <c r="H241" s="975" t="s">
        <v>38</v>
      </c>
      <c r="I241" s="975"/>
      <c r="J241" s="975"/>
      <c r="K241" s="975"/>
      <c r="L241" s="975"/>
      <c r="M241" s="562"/>
      <c r="N241" s="975" t="s">
        <v>1437</v>
      </c>
      <c r="O241" s="975"/>
      <c r="P241" s="975"/>
      <c r="Q241" s="975"/>
      <c r="R241" s="975"/>
      <c r="S241" s="975"/>
      <c r="T241" s="975"/>
      <c r="X241" s="23"/>
    </row>
    <row r="242" spans="1:24" ht="19.95" customHeight="1" x14ac:dyDescent="0.3">
      <c r="A242" s="262" t="s">
        <v>1242</v>
      </c>
      <c r="C242" s="228"/>
      <c r="D242" s="228"/>
      <c r="E242" s="561"/>
      <c r="F242" s="561"/>
      <c r="G242" s="561"/>
      <c r="H242" s="228"/>
      <c r="I242" s="260"/>
      <c r="J242" s="260"/>
      <c r="K242" s="260"/>
      <c r="L242" s="260"/>
      <c r="M242" s="260"/>
      <c r="N242" s="975"/>
      <c r="O242" s="975"/>
      <c r="P242" s="975"/>
      <c r="Q242" s="975"/>
      <c r="R242" s="975"/>
      <c r="S242" s="975"/>
      <c r="T242" s="975"/>
      <c r="X242" s="23"/>
    </row>
    <row r="243" spans="1:24" ht="19.95" customHeight="1" x14ac:dyDescent="0.3">
      <c r="A243" s="262" t="s">
        <v>1242</v>
      </c>
      <c r="C243" s="228"/>
      <c r="D243" s="228"/>
      <c r="E243" s="561"/>
      <c r="F243" s="561"/>
      <c r="G243" s="561"/>
      <c r="H243" s="228"/>
      <c r="I243" s="260"/>
      <c r="J243" s="260"/>
      <c r="K243" s="260"/>
      <c r="L243" s="260"/>
      <c r="M243" s="260"/>
      <c r="N243" s="975"/>
      <c r="O243" s="975"/>
      <c r="P243" s="975"/>
      <c r="Q243" s="975"/>
      <c r="R243" s="975"/>
      <c r="S243" s="975"/>
      <c r="T243" s="975"/>
      <c r="X243" s="23"/>
    </row>
    <row r="244" spans="1:24" ht="19.95" customHeight="1" x14ac:dyDescent="0.3">
      <c r="A244" s="262" t="s">
        <v>1242</v>
      </c>
      <c r="C244" s="228"/>
      <c r="D244" s="228"/>
      <c r="E244" s="561"/>
      <c r="F244" s="561"/>
      <c r="G244" s="561"/>
      <c r="H244" s="228"/>
      <c r="I244" s="260"/>
      <c r="J244" s="260"/>
      <c r="K244" s="260"/>
      <c r="L244" s="260"/>
      <c r="M244" s="260"/>
      <c r="N244" s="260"/>
      <c r="O244" s="260"/>
      <c r="P244" s="260"/>
      <c r="Q244" s="260"/>
      <c r="R244" s="260"/>
      <c r="S244" s="624"/>
      <c r="T244" s="260"/>
      <c r="X244" s="23"/>
    </row>
    <row r="245" spans="1:24" ht="19.95" customHeight="1" x14ac:dyDescent="0.3">
      <c r="A245" s="262" t="s">
        <v>1242</v>
      </c>
      <c r="C245" s="228"/>
      <c r="D245" s="228"/>
      <c r="E245" s="561"/>
      <c r="F245" s="561"/>
      <c r="G245" s="561"/>
      <c r="H245" s="975" t="s">
        <v>32</v>
      </c>
      <c r="I245" s="975"/>
      <c r="J245" s="562"/>
      <c r="K245" s="975" t="s">
        <v>1407</v>
      </c>
      <c r="L245" s="975"/>
      <c r="M245" s="562"/>
      <c r="N245" s="968" t="s">
        <v>58</v>
      </c>
      <c r="O245" s="968"/>
      <c r="P245" s="968"/>
      <c r="Q245" s="547"/>
      <c r="R245" s="968" t="s">
        <v>57</v>
      </c>
      <c r="S245" s="968"/>
      <c r="T245" s="968"/>
      <c r="X245" s="23"/>
    </row>
    <row r="246" spans="1:24" ht="19.95" customHeight="1" x14ac:dyDescent="0.3">
      <c r="A246" s="262" t="s">
        <v>1242</v>
      </c>
      <c r="C246" s="228"/>
      <c r="D246" s="228"/>
      <c r="E246" s="561"/>
      <c r="F246" s="561"/>
      <c r="G246" s="561"/>
      <c r="H246" s="976" t="s">
        <v>94</v>
      </c>
      <c r="I246" s="976"/>
      <c r="J246" s="623"/>
      <c r="K246" s="976" t="s">
        <v>94</v>
      </c>
      <c r="L246" s="976"/>
      <c r="M246" s="623"/>
      <c r="N246" s="968" t="s">
        <v>1472</v>
      </c>
      <c r="O246" s="968"/>
      <c r="P246" s="968"/>
      <c r="Q246" s="547"/>
      <c r="R246" s="968" t="s">
        <v>1472</v>
      </c>
      <c r="S246" s="968"/>
      <c r="T246" s="968"/>
      <c r="X246" s="23"/>
    </row>
    <row r="247" spans="1:24" ht="19.95" customHeight="1" x14ac:dyDescent="0.3">
      <c r="A247" s="262" t="s">
        <v>1242</v>
      </c>
      <c r="C247" s="228"/>
      <c r="D247" s="228"/>
      <c r="E247" s="561"/>
      <c r="F247" s="561"/>
      <c r="G247" s="561"/>
      <c r="H247" s="976"/>
      <c r="I247" s="976"/>
      <c r="J247" s="623"/>
      <c r="K247" s="976"/>
      <c r="L247" s="976"/>
      <c r="M247" s="623"/>
      <c r="N247" s="968"/>
      <c r="O247" s="968"/>
      <c r="P247" s="968"/>
      <c r="Q247" s="260"/>
      <c r="R247" s="968"/>
      <c r="S247" s="968"/>
      <c r="T247" s="968"/>
      <c r="X247" s="23"/>
    </row>
    <row r="248" spans="1:24" ht="19.95" customHeight="1" x14ac:dyDescent="0.3">
      <c r="A248" s="262" t="s">
        <v>1242</v>
      </c>
      <c r="C248" s="228"/>
      <c r="D248" s="228"/>
      <c r="E248" s="561"/>
      <c r="F248" s="561"/>
      <c r="G248" s="561"/>
      <c r="H248" s="228"/>
      <c r="I248" s="260"/>
      <c r="J248" s="260"/>
      <c r="K248" s="260"/>
      <c r="L248" s="260"/>
      <c r="M248" s="260"/>
      <c r="N248" s="260"/>
      <c r="O248" s="260"/>
      <c r="P248" s="260"/>
      <c r="Q248" s="260"/>
      <c r="R248" s="260"/>
      <c r="S248" s="624"/>
      <c r="T248" s="260"/>
      <c r="X248" s="23"/>
    </row>
    <row r="249" spans="1:24" ht="19.95" customHeight="1" x14ac:dyDescent="0.3">
      <c r="A249" s="262" t="s">
        <v>1242</v>
      </c>
      <c r="C249" s="228"/>
      <c r="D249" s="228"/>
      <c r="E249" s="975" t="s">
        <v>1215</v>
      </c>
      <c r="F249" s="975"/>
      <c r="G249" s="975"/>
      <c r="H249" s="975" t="s">
        <v>1348</v>
      </c>
      <c r="I249" s="975"/>
      <c r="J249" s="975"/>
      <c r="K249" s="975"/>
      <c r="L249" s="975"/>
      <c r="M249" s="562"/>
      <c r="N249" s="977" t="s">
        <v>1217</v>
      </c>
      <c r="O249" s="968"/>
      <c r="P249" s="968"/>
      <c r="Q249" s="968"/>
      <c r="R249" s="968"/>
      <c r="S249" s="968"/>
      <c r="T249" s="968"/>
      <c r="X249" s="23"/>
    </row>
    <row r="250" spans="1:24" ht="19.95" customHeight="1" x14ac:dyDescent="0.3">
      <c r="A250" s="262" t="s">
        <v>1290</v>
      </c>
      <c r="C250" s="228"/>
      <c r="D250" s="228"/>
      <c r="E250" s="975"/>
      <c r="F250" s="975"/>
      <c r="G250" s="975"/>
      <c r="H250" s="975"/>
      <c r="I250" s="975"/>
      <c r="J250" s="975"/>
      <c r="K250" s="975"/>
      <c r="L250" s="975"/>
      <c r="M250" s="562"/>
      <c r="N250" s="968"/>
      <c r="O250" s="968"/>
      <c r="P250" s="968"/>
      <c r="Q250" s="968"/>
      <c r="R250" s="968"/>
      <c r="S250" s="968"/>
      <c r="T250" s="968"/>
      <c r="X250" s="23"/>
    </row>
    <row r="251" spans="1:24" ht="30" customHeight="1" x14ac:dyDescent="0.3">
      <c r="A251" s="262" t="s">
        <v>154</v>
      </c>
      <c r="C251" s="255">
        <v>128</v>
      </c>
      <c r="D251" s="632" t="s">
        <v>475</v>
      </c>
      <c r="E251" s="978" t="s">
        <v>476</v>
      </c>
      <c r="F251" s="979"/>
      <c r="G251" s="980"/>
      <c r="H251" s="546" t="s">
        <v>225</v>
      </c>
      <c r="I251" s="257">
        <v>2311</v>
      </c>
      <c r="J251" s="606"/>
      <c r="K251" s="257">
        <v>240.25</v>
      </c>
      <c r="L251" s="257">
        <f t="shared" ref="L251:L273" si="51">+ROUND(I251*K251,2)</f>
        <v>555217.75</v>
      </c>
      <c r="M251" s="603"/>
      <c r="N251" s="675">
        <f>+'Yeşil Defter'!K262</f>
        <v>0</v>
      </c>
      <c r="O251" s="675">
        <f>+'Yeşil Defter'!L262</f>
        <v>0</v>
      </c>
      <c r="P251" s="675">
        <f>+'Yeşil Defter'!M262</f>
        <v>0</v>
      </c>
      <c r="Q251" s="257"/>
      <c r="R251" s="606">
        <f t="shared" ref="R251:R273" si="52">+ROUND(K251*N251,2)</f>
        <v>0</v>
      </c>
      <c r="S251" s="247">
        <f t="shared" si="45"/>
        <v>0</v>
      </c>
      <c r="T251" s="248">
        <f t="shared" ref="T251:T273" si="53">+ROUND(K251*P251,2)</f>
        <v>0</v>
      </c>
      <c r="X251" s="23" t="str">
        <f t="shared" si="50"/>
        <v>-</v>
      </c>
    </row>
    <row r="252" spans="1:24" ht="30" customHeight="1" x14ac:dyDescent="0.3">
      <c r="A252" s="262" t="s">
        <v>154</v>
      </c>
      <c r="C252" s="244">
        <v>129</v>
      </c>
      <c r="D252" s="161" t="s">
        <v>477</v>
      </c>
      <c r="E252" s="969" t="s">
        <v>478</v>
      </c>
      <c r="F252" s="970"/>
      <c r="G252" s="971"/>
      <c r="H252" s="544" t="s">
        <v>225</v>
      </c>
      <c r="I252" s="212">
        <v>3120</v>
      </c>
      <c r="J252" s="605"/>
      <c r="K252" s="212">
        <v>476</v>
      </c>
      <c r="L252" s="212">
        <f t="shared" si="51"/>
        <v>1485120</v>
      </c>
      <c r="M252" s="602"/>
      <c r="N252" s="675">
        <f>+'Yeşil Defter'!K263</f>
        <v>0</v>
      </c>
      <c r="O252" s="675">
        <f>+'Yeşil Defter'!L263</f>
        <v>0</v>
      </c>
      <c r="P252" s="675">
        <f>+'Yeşil Defter'!M263</f>
        <v>0</v>
      </c>
      <c r="Q252" s="212"/>
      <c r="R252" s="605">
        <f t="shared" si="52"/>
        <v>0</v>
      </c>
      <c r="S252" s="225">
        <f t="shared" si="45"/>
        <v>0</v>
      </c>
      <c r="T252" s="237">
        <f t="shared" si="53"/>
        <v>0</v>
      </c>
      <c r="X252" s="23" t="str">
        <f t="shared" si="50"/>
        <v>-</v>
      </c>
    </row>
    <row r="253" spans="1:24" ht="30" customHeight="1" x14ac:dyDescent="0.3">
      <c r="A253" s="262" t="s">
        <v>154</v>
      </c>
      <c r="C253" s="244">
        <v>130</v>
      </c>
      <c r="D253" s="161" t="s">
        <v>479</v>
      </c>
      <c r="E253" s="969" t="s">
        <v>480</v>
      </c>
      <c r="F253" s="970"/>
      <c r="G253" s="971"/>
      <c r="H253" s="544" t="s">
        <v>225</v>
      </c>
      <c r="I253" s="212">
        <v>3640</v>
      </c>
      <c r="J253" s="605"/>
      <c r="K253" s="212">
        <v>26.5</v>
      </c>
      <c r="L253" s="212">
        <f t="shared" si="51"/>
        <v>96460</v>
      </c>
      <c r="M253" s="602"/>
      <c r="N253" s="675">
        <f>+'Yeşil Defter'!K264</f>
        <v>0</v>
      </c>
      <c r="O253" s="675">
        <f>+'Yeşil Defter'!L264</f>
        <v>0</v>
      </c>
      <c r="P253" s="675">
        <f>+'Yeşil Defter'!M264</f>
        <v>0</v>
      </c>
      <c r="Q253" s="212"/>
      <c r="R253" s="605">
        <f t="shared" si="52"/>
        <v>0</v>
      </c>
      <c r="S253" s="225">
        <f t="shared" si="45"/>
        <v>0</v>
      </c>
      <c r="T253" s="237">
        <f t="shared" si="53"/>
        <v>0</v>
      </c>
      <c r="X253" s="23" t="str">
        <f t="shared" si="50"/>
        <v>-</v>
      </c>
    </row>
    <row r="254" spans="1:24" ht="30" customHeight="1" x14ac:dyDescent="0.3">
      <c r="A254" s="262" t="s">
        <v>154</v>
      </c>
      <c r="C254" s="244">
        <v>131</v>
      </c>
      <c r="D254" s="161" t="s">
        <v>481</v>
      </c>
      <c r="E254" s="969" t="s">
        <v>482</v>
      </c>
      <c r="F254" s="970"/>
      <c r="G254" s="971"/>
      <c r="H254" s="544" t="s">
        <v>225</v>
      </c>
      <c r="I254" s="212">
        <v>2746</v>
      </c>
      <c r="J254" s="605"/>
      <c r="K254" s="212">
        <v>173.36</v>
      </c>
      <c r="L254" s="212">
        <f t="shared" si="51"/>
        <v>476046.56</v>
      </c>
      <c r="M254" s="602"/>
      <c r="N254" s="675">
        <f>+'Yeşil Defter'!K265</f>
        <v>0</v>
      </c>
      <c r="O254" s="675">
        <f>+'Yeşil Defter'!L265</f>
        <v>0</v>
      </c>
      <c r="P254" s="675">
        <f>+'Yeşil Defter'!M265</f>
        <v>0</v>
      </c>
      <c r="Q254" s="212"/>
      <c r="R254" s="605">
        <f t="shared" si="52"/>
        <v>0</v>
      </c>
      <c r="S254" s="225">
        <f t="shared" ref="S254:S329" si="54">+T254-R254</f>
        <v>0</v>
      </c>
      <c r="T254" s="237">
        <f t="shared" si="53"/>
        <v>0</v>
      </c>
      <c r="X254" s="23" t="str">
        <f t="shared" si="50"/>
        <v>-</v>
      </c>
    </row>
    <row r="255" spans="1:24" ht="30" customHeight="1" x14ac:dyDescent="0.3">
      <c r="A255" s="262" t="s">
        <v>154</v>
      </c>
      <c r="C255" s="244">
        <v>132</v>
      </c>
      <c r="D255" s="161" t="s">
        <v>483</v>
      </c>
      <c r="E255" s="969" t="s">
        <v>484</v>
      </c>
      <c r="F255" s="970"/>
      <c r="G255" s="971"/>
      <c r="H255" s="544" t="s">
        <v>225</v>
      </c>
      <c r="I255" s="212">
        <v>3081</v>
      </c>
      <c r="J255" s="605"/>
      <c r="K255" s="212">
        <v>28308.66</v>
      </c>
      <c r="L255" s="212">
        <f t="shared" si="51"/>
        <v>87218981.459999993</v>
      </c>
      <c r="M255" s="602"/>
      <c r="N255" s="675">
        <f>+'Yeşil Defter'!K266</f>
        <v>0</v>
      </c>
      <c r="O255" s="675">
        <f>+'Yeşil Defter'!L266</f>
        <v>0</v>
      </c>
      <c r="P255" s="675">
        <f>+'Yeşil Defter'!M266</f>
        <v>0</v>
      </c>
      <c r="Q255" s="212"/>
      <c r="R255" s="605">
        <f t="shared" si="52"/>
        <v>0</v>
      </c>
      <c r="S255" s="225">
        <f t="shared" si="54"/>
        <v>0</v>
      </c>
      <c r="T255" s="237">
        <f t="shared" si="53"/>
        <v>0</v>
      </c>
      <c r="X255" s="23" t="str">
        <f t="shared" si="50"/>
        <v>-</v>
      </c>
    </row>
    <row r="256" spans="1:24" ht="30" customHeight="1" x14ac:dyDescent="0.3">
      <c r="A256" s="262" t="s">
        <v>154</v>
      </c>
      <c r="C256" s="244">
        <v>133</v>
      </c>
      <c r="D256" s="213" t="s">
        <v>485</v>
      </c>
      <c r="E256" s="969" t="s">
        <v>486</v>
      </c>
      <c r="F256" s="970"/>
      <c r="G256" s="971"/>
      <c r="H256" s="544" t="s">
        <v>225</v>
      </c>
      <c r="I256" s="212">
        <v>936</v>
      </c>
      <c r="J256" s="605"/>
      <c r="K256" s="212">
        <v>87933.56</v>
      </c>
      <c r="L256" s="212">
        <f t="shared" si="51"/>
        <v>82305812.159999996</v>
      </c>
      <c r="M256" s="602"/>
      <c r="N256" s="675">
        <f>+'Yeşil Defter'!K267</f>
        <v>0</v>
      </c>
      <c r="O256" s="675">
        <f>+'Yeşil Defter'!L267</f>
        <v>0</v>
      </c>
      <c r="P256" s="675">
        <f>+'Yeşil Defter'!M267</f>
        <v>0</v>
      </c>
      <c r="Q256" s="212"/>
      <c r="R256" s="605">
        <f t="shared" si="52"/>
        <v>0</v>
      </c>
      <c r="S256" s="225">
        <f t="shared" si="54"/>
        <v>0</v>
      </c>
      <c r="T256" s="237">
        <f t="shared" si="53"/>
        <v>0</v>
      </c>
      <c r="X256" s="23" t="str">
        <f t="shared" si="50"/>
        <v>-</v>
      </c>
    </row>
    <row r="257" spans="1:24" ht="30" customHeight="1" x14ac:dyDescent="0.3">
      <c r="A257" s="262" t="s">
        <v>154</v>
      </c>
      <c r="C257" s="244">
        <v>134</v>
      </c>
      <c r="D257" s="213" t="s">
        <v>487</v>
      </c>
      <c r="E257" s="969" t="s">
        <v>488</v>
      </c>
      <c r="F257" s="970"/>
      <c r="G257" s="971"/>
      <c r="H257" s="544" t="s">
        <v>225</v>
      </c>
      <c r="I257" s="212">
        <v>1014</v>
      </c>
      <c r="J257" s="605"/>
      <c r="K257" s="212">
        <v>400</v>
      </c>
      <c r="L257" s="212">
        <f t="shared" si="51"/>
        <v>405600</v>
      </c>
      <c r="M257" s="602"/>
      <c r="N257" s="675">
        <f>+'Yeşil Defter'!K268</f>
        <v>0</v>
      </c>
      <c r="O257" s="675">
        <f>+'Yeşil Defter'!L268</f>
        <v>0</v>
      </c>
      <c r="P257" s="675">
        <f>+'Yeşil Defter'!M268</f>
        <v>0</v>
      </c>
      <c r="Q257" s="212"/>
      <c r="R257" s="605">
        <f t="shared" si="52"/>
        <v>0</v>
      </c>
      <c r="S257" s="225">
        <f t="shared" si="54"/>
        <v>0</v>
      </c>
      <c r="T257" s="237">
        <f t="shared" si="53"/>
        <v>0</v>
      </c>
      <c r="X257" s="23" t="str">
        <f t="shared" si="50"/>
        <v>-</v>
      </c>
    </row>
    <row r="258" spans="1:24" ht="30" customHeight="1" x14ac:dyDescent="0.3">
      <c r="A258" s="262" t="s">
        <v>154</v>
      </c>
      <c r="C258" s="244">
        <v>135</v>
      </c>
      <c r="D258" s="213" t="s">
        <v>489</v>
      </c>
      <c r="E258" s="969" t="s">
        <v>490</v>
      </c>
      <c r="F258" s="970"/>
      <c r="G258" s="971"/>
      <c r="H258" s="544" t="s">
        <v>225</v>
      </c>
      <c r="I258" s="212">
        <v>286</v>
      </c>
      <c r="J258" s="605"/>
      <c r="K258" s="212">
        <v>94845.71</v>
      </c>
      <c r="L258" s="212">
        <f t="shared" si="51"/>
        <v>27125873.059999999</v>
      </c>
      <c r="M258" s="602"/>
      <c r="N258" s="675">
        <f>+'Yeşil Defter'!K269</f>
        <v>0</v>
      </c>
      <c r="O258" s="675">
        <f>+'Yeşil Defter'!L269</f>
        <v>0</v>
      </c>
      <c r="P258" s="675">
        <f>+'Yeşil Defter'!M269</f>
        <v>0</v>
      </c>
      <c r="Q258" s="212"/>
      <c r="R258" s="605">
        <f t="shared" si="52"/>
        <v>0</v>
      </c>
      <c r="S258" s="225">
        <f t="shared" si="54"/>
        <v>0</v>
      </c>
      <c r="T258" s="237">
        <f t="shared" si="53"/>
        <v>0</v>
      </c>
      <c r="X258" s="23" t="str">
        <f t="shared" si="50"/>
        <v>-</v>
      </c>
    </row>
    <row r="259" spans="1:24" ht="30" customHeight="1" x14ac:dyDescent="0.3">
      <c r="A259" s="262" t="s">
        <v>154</v>
      </c>
      <c r="C259" s="244">
        <v>136</v>
      </c>
      <c r="D259" s="213" t="s">
        <v>491</v>
      </c>
      <c r="E259" s="969" t="s">
        <v>492</v>
      </c>
      <c r="F259" s="970"/>
      <c r="G259" s="971"/>
      <c r="H259" s="544" t="s">
        <v>225</v>
      </c>
      <c r="I259" s="212">
        <v>11050</v>
      </c>
      <c r="J259" s="605"/>
      <c r="K259" s="212">
        <v>2234.29</v>
      </c>
      <c r="L259" s="212">
        <f t="shared" si="51"/>
        <v>24688904.5</v>
      </c>
      <c r="M259" s="602"/>
      <c r="N259" s="675">
        <f>+'Yeşil Defter'!K270</f>
        <v>0</v>
      </c>
      <c r="O259" s="675">
        <f>+'Yeşil Defter'!L270</f>
        <v>0</v>
      </c>
      <c r="P259" s="675">
        <f>+'Yeşil Defter'!M270</f>
        <v>0</v>
      </c>
      <c r="Q259" s="212"/>
      <c r="R259" s="605">
        <f t="shared" si="52"/>
        <v>0</v>
      </c>
      <c r="S259" s="225">
        <f t="shared" si="54"/>
        <v>0</v>
      </c>
      <c r="T259" s="237">
        <f t="shared" si="53"/>
        <v>0</v>
      </c>
      <c r="X259" s="23" t="str">
        <f t="shared" si="50"/>
        <v>-</v>
      </c>
    </row>
    <row r="260" spans="1:24" ht="30" customHeight="1" x14ac:dyDescent="0.3">
      <c r="A260" s="262" t="s">
        <v>154</v>
      </c>
      <c r="C260" s="244">
        <v>137</v>
      </c>
      <c r="D260" s="213" t="s">
        <v>493</v>
      </c>
      <c r="E260" s="969" t="s">
        <v>494</v>
      </c>
      <c r="F260" s="970"/>
      <c r="G260" s="971"/>
      <c r="H260" s="544" t="s">
        <v>202</v>
      </c>
      <c r="I260" s="212">
        <v>9750</v>
      </c>
      <c r="J260" s="605"/>
      <c r="K260" s="212">
        <v>7567.18</v>
      </c>
      <c r="L260" s="212">
        <f t="shared" si="51"/>
        <v>73780005</v>
      </c>
      <c r="M260" s="602"/>
      <c r="N260" s="675">
        <f>+'Yeşil Defter'!K271</f>
        <v>0</v>
      </c>
      <c r="O260" s="675">
        <f>+'Yeşil Defter'!L271</f>
        <v>0</v>
      </c>
      <c r="P260" s="675">
        <f>+'Yeşil Defter'!M271</f>
        <v>0</v>
      </c>
      <c r="Q260" s="212"/>
      <c r="R260" s="605">
        <f t="shared" si="52"/>
        <v>0</v>
      </c>
      <c r="S260" s="225">
        <f t="shared" si="54"/>
        <v>0</v>
      </c>
      <c r="T260" s="237">
        <f t="shared" si="53"/>
        <v>0</v>
      </c>
      <c r="X260" s="23" t="str">
        <f t="shared" si="50"/>
        <v>-</v>
      </c>
    </row>
    <row r="261" spans="1:24" ht="30" customHeight="1" x14ac:dyDescent="0.3">
      <c r="A261" s="262" t="s">
        <v>154</v>
      </c>
      <c r="C261" s="244">
        <v>138</v>
      </c>
      <c r="D261" s="213" t="s">
        <v>495</v>
      </c>
      <c r="E261" s="969" t="s">
        <v>496</v>
      </c>
      <c r="F261" s="970"/>
      <c r="G261" s="971"/>
      <c r="H261" s="544" t="s">
        <v>202</v>
      </c>
      <c r="I261" s="212">
        <v>10400</v>
      </c>
      <c r="J261" s="605"/>
      <c r="K261" s="212">
        <v>1532.04</v>
      </c>
      <c r="L261" s="212">
        <f t="shared" si="51"/>
        <v>15933216</v>
      </c>
      <c r="M261" s="602"/>
      <c r="N261" s="675">
        <f>+'Yeşil Defter'!K272</f>
        <v>0</v>
      </c>
      <c r="O261" s="675">
        <f>+'Yeşil Defter'!L272</f>
        <v>0</v>
      </c>
      <c r="P261" s="675">
        <f>+'Yeşil Defter'!M272</f>
        <v>0</v>
      </c>
      <c r="Q261" s="212"/>
      <c r="R261" s="605">
        <f t="shared" si="52"/>
        <v>0</v>
      </c>
      <c r="S261" s="225">
        <f t="shared" si="54"/>
        <v>0</v>
      </c>
      <c r="T261" s="237">
        <f t="shared" si="53"/>
        <v>0</v>
      </c>
      <c r="X261" s="23" t="str">
        <f t="shared" si="50"/>
        <v>-</v>
      </c>
    </row>
    <row r="262" spans="1:24" ht="30" customHeight="1" x14ac:dyDescent="0.3">
      <c r="A262" s="262" t="s">
        <v>154</v>
      </c>
      <c r="C262" s="244">
        <v>139</v>
      </c>
      <c r="D262" s="213" t="s">
        <v>497</v>
      </c>
      <c r="E262" s="969" t="s">
        <v>498</v>
      </c>
      <c r="F262" s="970"/>
      <c r="G262" s="971"/>
      <c r="H262" s="544" t="s">
        <v>202</v>
      </c>
      <c r="I262" s="212">
        <v>7150</v>
      </c>
      <c r="J262" s="605"/>
      <c r="K262" s="212">
        <v>9871.18</v>
      </c>
      <c r="L262" s="212">
        <f t="shared" si="51"/>
        <v>70578937</v>
      </c>
      <c r="M262" s="602"/>
      <c r="N262" s="675">
        <f>+'Yeşil Defter'!K273</f>
        <v>0</v>
      </c>
      <c r="O262" s="675">
        <f>+'Yeşil Defter'!L273</f>
        <v>0</v>
      </c>
      <c r="P262" s="675">
        <f>+'Yeşil Defter'!M273</f>
        <v>0</v>
      </c>
      <c r="Q262" s="212"/>
      <c r="R262" s="605">
        <f t="shared" si="52"/>
        <v>0</v>
      </c>
      <c r="S262" s="225">
        <f t="shared" si="54"/>
        <v>0</v>
      </c>
      <c r="T262" s="237">
        <f t="shared" si="53"/>
        <v>0</v>
      </c>
      <c r="X262" s="23" t="str">
        <f t="shared" si="50"/>
        <v>-</v>
      </c>
    </row>
    <row r="263" spans="1:24" ht="30" customHeight="1" x14ac:dyDescent="0.3">
      <c r="A263" s="262" t="s">
        <v>154</v>
      </c>
      <c r="C263" s="244">
        <v>140</v>
      </c>
      <c r="D263" s="213" t="s">
        <v>499</v>
      </c>
      <c r="E263" s="969" t="s">
        <v>500</v>
      </c>
      <c r="F263" s="970"/>
      <c r="G263" s="971"/>
      <c r="H263" s="544" t="s">
        <v>225</v>
      </c>
      <c r="I263" s="212">
        <v>17550</v>
      </c>
      <c r="J263" s="605"/>
      <c r="K263" s="212">
        <v>120</v>
      </c>
      <c r="L263" s="212">
        <f t="shared" si="51"/>
        <v>2106000</v>
      </c>
      <c r="M263" s="602"/>
      <c r="N263" s="675">
        <f>+'Yeşil Defter'!K274</f>
        <v>0</v>
      </c>
      <c r="O263" s="675">
        <f>+'Yeşil Defter'!L274</f>
        <v>0</v>
      </c>
      <c r="P263" s="675">
        <f>+'Yeşil Defter'!M274</f>
        <v>0</v>
      </c>
      <c r="Q263" s="212"/>
      <c r="R263" s="605">
        <f t="shared" si="52"/>
        <v>0</v>
      </c>
      <c r="S263" s="225">
        <f t="shared" si="54"/>
        <v>0</v>
      </c>
      <c r="T263" s="237">
        <f t="shared" si="53"/>
        <v>0</v>
      </c>
      <c r="X263" s="23" t="str">
        <f t="shared" si="50"/>
        <v>-</v>
      </c>
    </row>
    <row r="264" spans="1:24" ht="30" customHeight="1" x14ac:dyDescent="0.3">
      <c r="A264" s="262" t="s">
        <v>154</v>
      </c>
      <c r="C264" s="244">
        <v>141</v>
      </c>
      <c r="D264" s="213" t="s">
        <v>501</v>
      </c>
      <c r="E264" s="969" t="s">
        <v>502</v>
      </c>
      <c r="F264" s="970"/>
      <c r="G264" s="971"/>
      <c r="H264" s="544" t="s">
        <v>202</v>
      </c>
      <c r="I264" s="212">
        <v>7800</v>
      </c>
      <c r="J264" s="605"/>
      <c r="K264" s="212">
        <v>463.6</v>
      </c>
      <c r="L264" s="212">
        <f t="shared" si="51"/>
        <v>3616080</v>
      </c>
      <c r="M264" s="602"/>
      <c r="N264" s="675">
        <f>+'Yeşil Defter'!K275</f>
        <v>0</v>
      </c>
      <c r="O264" s="675">
        <f>+'Yeşil Defter'!L275</f>
        <v>0</v>
      </c>
      <c r="P264" s="675">
        <f>+'Yeşil Defter'!M275</f>
        <v>0</v>
      </c>
      <c r="Q264" s="212"/>
      <c r="R264" s="605">
        <f t="shared" si="52"/>
        <v>0</v>
      </c>
      <c r="S264" s="225">
        <f t="shared" si="54"/>
        <v>0</v>
      </c>
      <c r="T264" s="237">
        <f t="shared" si="53"/>
        <v>0</v>
      </c>
      <c r="X264" s="23" t="str">
        <f t="shared" si="50"/>
        <v>-</v>
      </c>
    </row>
    <row r="265" spans="1:24" ht="30" customHeight="1" x14ac:dyDescent="0.3">
      <c r="A265" s="262" t="s">
        <v>154</v>
      </c>
      <c r="C265" s="244">
        <v>142</v>
      </c>
      <c r="D265" s="213" t="s">
        <v>503</v>
      </c>
      <c r="E265" s="969" t="s">
        <v>504</v>
      </c>
      <c r="F265" s="970"/>
      <c r="G265" s="971"/>
      <c r="H265" s="544" t="s">
        <v>247</v>
      </c>
      <c r="I265" s="212">
        <v>13000</v>
      </c>
      <c r="J265" s="605"/>
      <c r="K265" s="212">
        <v>262</v>
      </c>
      <c r="L265" s="212">
        <f t="shared" si="51"/>
        <v>3406000</v>
      </c>
      <c r="M265" s="602"/>
      <c r="N265" s="675">
        <f>+'Yeşil Defter'!K276</f>
        <v>0</v>
      </c>
      <c r="O265" s="675">
        <f>+'Yeşil Defter'!L276</f>
        <v>0</v>
      </c>
      <c r="P265" s="675">
        <f>+'Yeşil Defter'!M276</f>
        <v>0</v>
      </c>
      <c r="Q265" s="212"/>
      <c r="R265" s="605">
        <f t="shared" si="52"/>
        <v>0</v>
      </c>
      <c r="S265" s="225">
        <f t="shared" si="54"/>
        <v>0</v>
      </c>
      <c r="T265" s="237">
        <f t="shared" si="53"/>
        <v>0</v>
      </c>
      <c r="X265" s="23" t="str">
        <f t="shared" si="50"/>
        <v>-</v>
      </c>
    </row>
    <row r="266" spans="1:24" ht="30" customHeight="1" x14ac:dyDescent="0.3">
      <c r="A266" s="262" t="s">
        <v>154</v>
      </c>
      <c r="C266" s="244">
        <v>143</v>
      </c>
      <c r="D266" s="161" t="s">
        <v>505</v>
      </c>
      <c r="E266" s="969" t="s">
        <v>506</v>
      </c>
      <c r="F266" s="970"/>
      <c r="G266" s="971"/>
      <c r="H266" s="544" t="s">
        <v>247</v>
      </c>
      <c r="I266" s="212">
        <v>5525</v>
      </c>
      <c r="J266" s="605"/>
      <c r="K266" s="212">
        <v>191</v>
      </c>
      <c r="L266" s="212">
        <f t="shared" si="51"/>
        <v>1055275</v>
      </c>
      <c r="M266" s="602"/>
      <c r="N266" s="675">
        <f>+'Yeşil Defter'!K277</f>
        <v>0</v>
      </c>
      <c r="O266" s="675">
        <f>+'Yeşil Defter'!L277</f>
        <v>0</v>
      </c>
      <c r="P266" s="675">
        <f>+'Yeşil Defter'!M277</f>
        <v>0</v>
      </c>
      <c r="Q266" s="212"/>
      <c r="R266" s="605">
        <f t="shared" si="52"/>
        <v>0</v>
      </c>
      <c r="S266" s="225">
        <f t="shared" si="54"/>
        <v>0</v>
      </c>
      <c r="T266" s="237">
        <f t="shared" si="53"/>
        <v>0</v>
      </c>
      <c r="X266" s="23" t="str">
        <f t="shared" si="50"/>
        <v>-</v>
      </c>
    </row>
    <row r="267" spans="1:24" ht="30" customHeight="1" x14ac:dyDescent="0.3">
      <c r="A267" s="262" t="s">
        <v>154</v>
      </c>
      <c r="C267" s="244">
        <v>144</v>
      </c>
      <c r="D267" s="161" t="s">
        <v>507</v>
      </c>
      <c r="E267" s="969" t="s">
        <v>508</v>
      </c>
      <c r="F267" s="970"/>
      <c r="G267" s="971"/>
      <c r="H267" s="544" t="s">
        <v>247</v>
      </c>
      <c r="I267" s="212">
        <v>9490</v>
      </c>
      <c r="J267" s="605"/>
      <c r="K267" s="212">
        <v>76</v>
      </c>
      <c r="L267" s="212">
        <f t="shared" si="51"/>
        <v>721240</v>
      </c>
      <c r="M267" s="602"/>
      <c r="N267" s="675">
        <f>+'Yeşil Defter'!K278</f>
        <v>0</v>
      </c>
      <c r="O267" s="675">
        <f>+'Yeşil Defter'!L278</f>
        <v>0</v>
      </c>
      <c r="P267" s="675">
        <f>+'Yeşil Defter'!M278</f>
        <v>0</v>
      </c>
      <c r="Q267" s="212"/>
      <c r="R267" s="605">
        <f t="shared" si="52"/>
        <v>0</v>
      </c>
      <c r="S267" s="225">
        <f t="shared" si="54"/>
        <v>0</v>
      </c>
      <c r="T267" s="237">
        <f t="shared" si="53"/>
        <v>0</v>
      </c>
      <c r="X267" s="23" t="str">
        <f t="shared" si="50"/>
        <v>-</v>
      </c>
    </row>
    <row r="268" spans="1:24" ht="30" customHeight="1" x14ac:dyDescent="0.3">
      <c r="A268" s="262" t="s">
        <v>154</v>
      </c>
      <c r="C268" s="244">
        <v>145</v>
      </c>
      <c r="D268" s="161" t="s">
        <v>509</v>
      </c>
      <c r="E268" s="969" t="s">
        <v>510</v>
      </c>
      <c r="F268" s="970"/>
      <c r="G268" s="971"/>
      <c r="H268" s="544" t="s">
        <v>247</v>
      </c>
      <c r="I268" s="212">
        <v>40950</v>
      </c>
      <c r="J268" s="605"/>
      <c r="K268" s="212">
        <v>46</v>
      </c>
      <c r="L268" s="212">
        <f t="shared" si="51"/>
        <v>1883700</v>
      </c>
      <c r="M268" s="602"/>
      <c r="N268" s="675">
        <f>+'Yeşil Defter'!K279</f>
        <v>0</v>
      </c>
      <c r="O268" s="675">
        <f>+'Yeşil Defter'!L279</f>
        <v>0</v>
      </c>
      <c r="P268" s="675">
        <f>+'Yeşil Defter'!M279</f>
        <v>0</v>
      </c>
      <c r="Q268" s="212"/>
      <c r="R268" s="605">
        <f t="shared" si="52"/>
        <v>0</v>
      </c>
      <c r="S268" s="225">
        <f t="shared" si="54"/>
        <v>0</v>
      </c>
      <c r="T268" s="237">
        <f t="shared" si="53"/>
        <v>0</v>
      </c>
      <c r="X268" s="23" t="str">
        <f t="shared" si="50"/>
        <v>-</v>
      </c>
    </row>
    <row r="269" spans="1:24" ht="30" customHeight="1" x14ac:dyDescent="0.3">
      <c r="A269" s="262" t="s">
        <v>154</v>
      </c>
      <c r="C269" s="244">
        <v>146</v>
      </c>
      <c r="D269" s="161" t="s">
        <v>511</v>
      </c>
      <c r="E269" s="969" t="s">
        <v>512</v>
      </c>
      <c r="F269" s="970"/>
      <c r="G269" s="971"/>
      <c r="H269" s="544" t="s">
        <v>247</v>
      </c>
      <c r="I269" s="212">
        <v>32500</v>
      </c>
      <c r="J269" s="605"/>
      <c r="K269" s="212">
        <v>61</v>
      </c>
      <c r="L269" s="212">
        <f t="shared" si="51"/>
        <v>1982500</v>
      </c>
      <c r="M269" s="602"/>
      <c r="N269" s="675">
        <f>+'Yeşil Defter'!K280</f>
        <v>0</v>
      </c>
      <c r="O269" s="675">
        <f>+'Yeşil Defter'!L280</f>
        <v>0</v>
      </c>
      <c r="P269" s="675">
        <f>+'Yeşil Defter'!M280</f>
        <v>0</v>
      </c>
      <c r="Q269" s="212"/>
      <c r="R269" s="605">
        <f t="shared" si="52"/>
        <v>0</v>
      </c>
      <c r="S269" s="225">
        <f t="shared" si="54"/>
        <v>0</v>
      </c>
      <c r="T269" s="237">
        <f t="shared" si="53"/>
        <v>0</v>
      </c>
      <c r="X269" s="23" t="str">
        <f t="shared" si="50"/>
        <v>-</v>
      </c>
    </row>
    <row r="270" spans="1:24" ht="30" customHeight="1" x14ac:dyDescent="0.3">
      <c r="A270" s="262" t="s">
        <v>154</v>
      </c>
      <c r="C270" s="244">
        <v>147</v>
      </c>
      <c r="D270" s="161" t="s">
        <v>513</v>
      </c>
      <c r="E270" s="969" t="s">
        <v>514</v>
      </c>
      <c r="F270" s="970"/>
      <c r="G270" s="971"/>
      <c r="H270" s="544" t="s">
        <v>247</v>
      </c>
      <c r="I270" s="212">
        <v>5590</v>
      </c>
      <c r="J270" s="605"/>
      <c r="K270" s="212">
        <v>90</v>
      </c>
      <c r="L270" s="212">
        <f t="shared" si="51"/>
        <v>503100</v>
      </c>
      <c r="M270" s="602"/>
      <c r="N270" s="675">
        <f>+'Yeşil Defter'!K281</f>
        <v>0</v>
      </c>
      <c r="O270" s="675">
        <f>+'Yeşil Defter'!L281</f>
        <v>0</v>
      </c>
      <c r="P270" s="675">
        <f>+'Yeşil Defter'!M281</f>
        <v>0</v>
      </c>
      <c r="Q270" s="212"/>
      <c r="R270" s="605">
        <f t="shared" si="52"/>
        <v>0</v>
      </c>
      <c r="S270" s="225">
        <f t="shared" si="54"/>
        <v>0</v>
      </c>
      <c r="T270" s="237">
        <f t="shared" si="53"/>
        <v>0</v>
      </c>
      <c r="X270" s="23" t="str">
        <f t="shared" si="50"/>
        <v>-</v>
      </c>
    </row>
    <row r="271" spans="1:24" ht="30" customHeight="1" x14ac:dyDescent="0.3">
      <c r="A271" s="262" t="s">
        <v>154</v>
      </c>
      <c r="C271" s="244">
        <v>148</v>
      </c>
      <c r="D271" s="161" t="s">
        <v>515</v>
      </c>
      <c r="E271" s="969" t="s">
        <v>516</v>
      </c>
      <c r="F271" s="970"/>
      <c r="G271" s="971"/>
      <c r="H271" s="544" t="s">
        <v>247</v>
      </c>
      <c r="I271" s="212">
        <v>2860</v>
      </c>
      <c r="J271" s="605"/>
      <c r="K271" s="212">
        <v>52</v>
      </c>
      <c r="L271" s="212">
        <f t="shared" si="51"/>
        <v>148720</v>
      </c>
      <c r="M271" s="602"/>
      <c r="N271" s="675">
        <f>+'Yeşil Defter'!K295</f>
        <v>0</v>
      </c>
      <c r="O271" s="675">
        <f>+'Yeşil Defter'!L295</f>
        <v>0</v>
      </c>
      <c r="P271" s="675">
        <f>+'Yeşil Defter'!M295</f>
        <v>0</v>
      </c>
      <c r="Q271" s="212"/>
      <c r="R271" s="605">
        <f t="shared" si="52"/>
        <v>0</v>
      </c>
      <c r="S271" s="225">
        <f t="shared" si="54"/>
        <v>0</v>
      </c>
      <c r="T271" s="237">
        <f t="shared" si="53"/>
        <v>0</v>
      </c>
      <c r="X271" s="23" t="str">
        <f t="shared" si="50"/>
        <v>-</v>
      </c>
    </row>
    <row r="272" spans="1:24" ht="30" customHeight="1" x14ac:dyDescent="0.3">
      <c r="A272" s="262" t="s">
        <v>154</v>
      </c>
      <c r="C272" s="244">
        <v>149</v>
      </c>
      <c r="D272" s="161" t="s">
        <v>517</v>
      </c>
      <c r="E272" s="969" t="s">
        <v>518</v>
      </c>
      <c r="F272" s="970"/>
      <c r="G272" s="971"/>
      <c r="H272" s="544" t="s">
        <v>247</v>
      </c>
      <c r="I272" s="212">
        <v>5460</v>
      </c>
      <c r="J272" s="605"/>
      <c r="K272" s="212">
        <v>512</v>
      </c>
      <c r="L272" s="212">
        <f t="shared" si="51"/>
        <v>2795520</v>
      </c>
      <c r="M272" s="602"/>
      <c r="N272" s="675">
        <f>+'Yeşil Defter'!K296</f>
        <v>0</v>
      </c>
      <c r="O272" s="675">
        <f>+'Yeşil Defter'!L296</f>
        <v>0</v>
      </c>
      <c r="P272" s="675">
        <f>+'Yeşil Defter'!M296</f>
        <v>0</v>
      </c>
      <c r="Q272" s="212"/>
      <c r="R272" s="605">
        <f t="shared" si="52"/>
        <v>0</v>
      </c>
      <c r="S272" s="225">
        <f t="shared" si="54"/>
        <v>0</v>
      </c>
      <c r="T272" s="237">
        <f t="shared" si="53"/>
        <v>0</v>
      </c>
      <c r="X272" s="23" t="str">
        <f t="shared" si="50"/>
        <v>-</v>
      </c>
    </row>
    <row r="273" spans="1:24" ht="30" customHeight="1" x14ac:dyDescent="0.3">
      <c r="A273" s="262" t="s">
        <v>154</v>
      </c>
      <c r="C273" s="244">
        <v>150</v>
      </c>
      <c r="D273" s="161" t="s">
        <v>519</v>
      </c>
      <c r="E273" s="969" t="s">
        <v>520</v>
      </c>
      <c r="F273" s="970"/>
      <c r="G273" s="971"/>
      <c r="H273" s="544" t="s">
        <v>247</v>
      </c>
      <c r="I273" s="212">
        <v>5460</v>
      </c>
      <c r="J273" s="605"/>
      <c r="K273" s="212">
        <v>90</v>
      </c>
      <c r="L273" s="212">
        <f t="shared" si="51"/>
        <v>491400</v>
      </c>
      <c r="M273" s="602"/>
      <c r="N273" s="675">
        <f>+'Yeşil Defter'!K297</f>
        <v>0</v>
      </c>
      <c r="O273" s="675">
        <f>+'Yeşil Defter'!L297</f>
        <v>0</v>
      </c>
      <c r="P273" s="675">
        <f>+'Yeşil Defter'!M297</f>
        <v>0</v>
      </c>
      <c r="Q273" s="212"/>
      <c r="R273" s="605">
        <f t="shared" si="52"/>
        <v>0</v>
      </c>
      <c r="S273" s="225">
        <f t="shared" si="54"/>
        <v>0</v>
      </c>
      <c r="T273" s="237">
        <f t="shared" si="53"/>
        <v>0</v>
      </c>
      <c r="X273" s="23" t="str">
        <f t="shared" ref="X273:X329" si="55">IF(AND(P274&gt;K274*1.2, (P274-K274)*I274 &gt; $L$13*0.01), "RBF", "-")</f>
        <v>-</v>
      </c>
    </row>
    <row r="274" spans="1:24" ht="40.049999999999997" customHeight="1" x14ac:dyDescent="0.3">
      <c r="A274" s="262" t="s">
        <v>1242</v>
      </c>
      <c r="C274" s="258"/>
      <c r="D274" s="258"/>
      <c r="E274" s="972" t="s">
        <v>33</v>
      </c>
      <c r="F274" s="972"/>
      <c r="G274" s="972"/>
      <c r="H274" s="973" t="s">
        <v>29</v>
      </c>
      <c r="I274" s="973"/>
      <c r="J274" s="973"/>
      <c r="K274" s="973"/>
      <c r="L274" s="973"/>
      <c r="M274" s="549"/>
      <c r="N274" s="973" t="s">
        <v>22</v>
      </c>
      <c r="O274" s="973"/>
      <c r="P274" s="973"/>
      <c r="Q274" s="973"/>
      <c r="R274" s="973"/>
      <c r="S274" s="973"/>
      <c r="T274" s="973"/>
      <c r="X274" s="23"/>
    </row>
    <row r="275" spans="1:24" ht="19.95" customHeight="1" x14ac:dyDescent="0.3">
      <c r="A275" s="262" t="s">
        <v>1242</v>
      </c>
      <c r="D275" s="28"/>
      <c r="E275" s="974" t="s">
        <v>1214</v>
      </c>
      <c r="F275" s="974"/>
      <c r="G275" s="974"/>
      <c r="H275" s="975" t="s">
        <v>38</v>
      </c>
      <c r="I275" s="975"/>
      <c r="J275" s="975"/>
      <c r="K275" s="975"/>
      <c r="L275" s="975"/>
      <c r="M275" s="562"/>
      <c r="N275" s="975" t="s">
        <v>1437</v>
      </c>
      <c r="O275" s="975"/>
      <c r="P275" s="975"/>
      <c r="Q275" s="975"/>
      <c r="R275" s="975"/>
      <c r="S275" s="975"/>
      <c r="T275" s="975"/>
      <c r="X275" s="23"/>
    </row>
    <row r="276" spans="1:24" ht="19.95" customHeight="1" x14ac:dyDescent="0.3">
      <c r="A276" s="262" t="s">
        <v>1242</v>
      </c>
      <c r="C276" s="228"/>
      <c r="D276" s="228"/>
      <c r="E276" s="561"/>
      <c r="F276" s="561"/>
      <c r="G276" s="561"/>
      <c r="H276" s="228"/>
      <c r="I276" s="260"/>
      <c r="J276" s="260"/>
      <c r="K276" s="260"/>
      <c r="L276" s="260"/>
      <c r="M276" s="260"/>
      <c r="N276" s="975"/>
      <c r="O276" s="975"/>
      <c r="P276" s="975"/>
      <c r="Q276" s="975"/>
      <c r="R276" s="975"/>
      <c r="S276" s="975"/>
      <c r="T276" s="975"/>
      <c r="X276" s="23"/>
    </row>
    <row r="277" spans="1:24" ht="19.95" customHeight="1" x14ac:dyDescent="0.3">
      <c r="A277" s="262" t="s">
        <v>1242</v>
      </c>
      <c r="C277" s="228"/>
      <c r="D277" s="228"/>
      <c r="E277" s="561"/>
      <c r="F277" s="561"/>
      <c r="G277" s="561"/>
      <c r="H277" s="228"/>
      <c r="I277" s="260"/>
      <c r="J277" s="260"/>
      <c r="K277" s="260"/>
      <c r="L277" s="260"/>
      <c r="M277" s="260"/>
      <c r="N277" s="975"/>
      <c r="O277" s="975"/>
      <c r="P277" s="975"/>
      <c r="Q277" s="975"/>
      <c r="R277" s="975"/>
      <c r="S277" s="975"/>
      <c r="T277" s="975"/>
      <c r="X277" s="23"/>
    </row>
    <row r="278" spans="1:24" ht="19.95" customHeight="1" x14ac:dyDescent="0.3">
      <c r="A278" s="262" t="s">
        <v>1242</v>
      </c>
      <c r="C278" s="228"/>
      <c r="D278" s="228"/>
      <c r="E278" s="561"/>
      <c r="F278" s="561"/>
      <c r="G278" s="561"/>
      <c r="H278" s="228"/>
      <c r="I278" s="260"/>
      <c r="J278" s="260"/>
      <c r="K278" s="260"/>
      <c r="L278" s="260"/>
      <c r="M278" s="260"/>
      <c r="N278" s="260"/>
      <c r="O278" s="260"/>
      <c r="P278" s="260"/>
      <c r="Q278" s="260"/>
      <c r="R278" s="260"/>
      <c r="S278" s="624"/>
      <c r="T278" s="260"/>
      <c r="X278" s="23"/>
    </row>
    <row r="279" spans="1:24" ht="19.95" customHeight="1" x14ac:dyDescent="0.3">
      <c r="A279" s="262" t="s">
        <v>1242</v>
      </c>
      <c r="C279" s="228"/>
      <c r="D279" s="228"/>
      <c r="E279" s="561"/>
      <c r="F279" s="561"/>
      <c r="G279" s="561"/>
      <c r="H279" s="975" t="s">
        <v>32</v>
      </c>
      <c r="I279" s="975"/>
      <c r="J279" s="562"/>
      <c r="K279" s="975" t="s">
        <v>1407</v>
      </c>
      <c r="L279" s="975"/>
      <c r="M279" s="562"/>
      <c r="N279" s="968" t="s">
        <v>58</v>
      </c>
      <c r="O279" s="968"/>
      <c r="P279" s="968"/>
      <c r="Q279" s="547"/>
      <c r="R279" s="968" t="s">
        <v>57</v>
      </c>
      <c r="S279" s="968"/>
      <c r="T279" s="968"/>
      <c r="X279" s="23"/>
    </row>
    <row r="280" spans="1:24" ht="19.95" customHeight="1" x14ac:dyDescent="0.3">
      <c r="A280" s="262" t="s">
        <v>1242</v>
      </c>
      <c r="C280" s="228"/>
      <c r="D280" s="228"/>
      <c r="E280" s="561"/>
      <c r="F280" s="561"/>
      <c r="G280" s="561"/>
      <c r="H280" s="976" t="s">
        <v>94</v>
      </c>
      <c r="I280" s="976"/>
      <c r="J280" s="623"/>
      <c r="K280" s="976" t="s">
        <v>94</v>
      </c>
      <c r="L280" s="976"/>
      <c r="M280" s="623"/>
      <c r="N280" s="968" t="s">
        <v>1472</v>
      </c>
      <c r="O280" s="968"/>
      <c r="P280" s="968"/>
      <c r="Q280" s="547"/>
      <c r="R280" s="968" t="s">
        <v>1472</v>
      </c>
      <c r="S280" s="968"/>
      <c r="T280" s="968"/>
      <c r="X280" s="23"/>
    </row>
    <row r="281" spans="1:24" ht="19.95" customHeight="1" x14ac:dyDescent="0.3">
      <c r="A281" s="262" t="s">
        <v>1242</v>
      </c>
      <c r="C281" s="228"/>
      <c r="D281" s="228"/>
      <c r="E281" s="561"/>
      <c r="F281" s="561"/>
      <c r="G281" s="561"/>
      <c r="H281" s="976"/>
      <c r="I281" s="976"/>
      <c r="J281" s="623"/>
      <c r="K281" s="976"/>
      <c r="L281" s="976"/>
      <c r="M281" s="623"/>
      <c r="N281" s="968"/>
      <c r="O281" s="968"/>
      <c r="P281" s="968"/>
      <c r="Q281" s="260"/>
      <c r="R281" s="968"/>
      <c r="S281" s="968"/>
      <c r="T281" s="968"/>
      <c r="X281" s="23"/>
    </row>
    <row r="282" spans="1:24" ht="19.95" customHeight="1" x14ac:dyDescent="0.3">
      <c r="A282" s="262" t="s">
        <v>1242</v>
      </c>
      <c r="C282" s="228"/>
      <c r="D282" s="228"/>
      <c r="E282" s="561"/>
      <c r="F282" s="561"/>
      <c r="G282" s="561"/>
      <c r="H282" s="228"/>
      <c r="I282" s="260"/>
      <c r="J282" s="260"/>
      <c r="K282" s="260"/>
      <c r="L282" s="260"/>
      <c r="M282" s="260"/>
      <c r="N282" s="260"/>
      <c r="O282" s="260"/>
      <c r="P282" s="260"/>
      <c r="Q282" s="260"/>
      <c r="R282" s="260"/>
      <c r="S282" s="624"/>
      <c r="T282" s="260"/>
      <c r="X282" s="23"/>
    </row>
    <row r="283" spans="1:24" ht="19.95" customHeight="1" x14ac:dyDescent="0.3">
      <c r="A283" s="262" t="s">
        <v>1242</v>
      </c>
      <c r="C283" s="228"/>
      <c r="D283" s="228"/>
      <c r="E283" s="975" t="s">
        <v>1215</v>
      </c>
      <c r="F283" s="975"/>
      <c r="G283" s="975"/>
      <c r="H283" s="975" t="s">
        <v>1348</v>
      </c>
      <c r="I283" s="975"/>
      <c r="J283" s="975"/>
      <c r="K283" s="975"/>
      <c r="L283" s="975"/>
      <c r="M283" s="562"/>
      <c r="N283" s="977" t="s">
        <v>1217</v>
      </c>
      <c r="O283" s="968"/>
      <c r="P283" s="968"/>
      <c r="Q283" s="968"/>
      <c r="R283" s="968"/>
      <c r="S283" s="968"/>
      <c r="T283" s="968"/>
      <c r="X283" s="23"/>
    </row>
    <row r="284" spans="1:24" ht="19.95" customHeight="1" x14ac:dyDescent="0.3">
      <c r="A284" s="262" t="s">
        <v>1290</v>
      </c>
      <c r="C284" s="228"/>
      <c r="D284" s="228"/>
      <c r="E284" s="975"/>
      <c r="F284" s="975"/>
      <c r="G284" s="975"/>
      <c r="H284" s="975"/>
      <c r="I284" s="975"/>
      <c r="J284" s="975"/>
      <c r="K284" s="975"/>
      <c r="L284" s="975"/>
      <c r="M284" s="562"/>
      <c r="N284" s="968"/>
      <c r="O284" s="968"/>
      <c r="P284" s="968"/>
      <c r="Q284" s="968"/>
      <c r="R284" s="968"/>
      <c r="S284" s="968"/>
      <c r="T284" s="968"/>
      <c r="X284" s="23"/>
    </row>
    <row r="285" spans="1:24" ht="30" customHeight="1" x14ac:dyDescent="0.3">
      <c r="A285" s="262" t="s">
        <v>154</v>
      </c>
      <c r="C285" s="255">
        <v>151</v>
      </c>
      <c r="D285" s="256" t="s">
        <v>521</v>
      </c>
      <c r="E285" s="978" t="s">
        <v>522</v>
      </c>
      <c r="F285" s="979"/>
      <c r="G285" s="980"/>
      <c r="H285" s="546" t="s">
        <v>247</v>
      </c>
      <c r="I285" s="257">
        <v>46800</v>
      </c>
      <c r="J285" s="606"/>
      <c r="K285" s="257">
        <v>8</v>
      </c>
      <c r="L285" s="257">
        <f t="shared" ref="L285:L307" si="56">+ROUND(I285*K285,2)</f>
        <v>374400</v>
      </c>
      <c r="M285" s="603"/>
      <c r="N285" s="675">
        <f>+'Yeşil Defter'!K298</f>
        <v>0</v>
      </c>
      <c r="O285" s="675">
        <f>+'Yeşil Defter'!L298</f>
        <v>0</v>
      </c>
      <c r="P285" s="675">
        <f>+'Yeşil Defter'!M298</f>
        <v>0</v>
      </c>
      <c r="Q285" s="257"/>
      <c r="R285" s="606">
        <f t="shared" ref="R285:R307" si="57">+ROUND(K285*N285,2)</f>
        <v>0</v>
      </c>
      <c r="S285" s="247">
        <f t="shared" si="54"/>
        <v>0</v>
      </c>
      <c r="T285" s="248">
        <f t="shared" ref="T285:T307" si="58">+ROUND(K285*P285,2)</f>
        <v>0</v>
      </c>
      <c r="X285" s="23" t="str">
        <f t="shared" si="55"/>
        <v>-</v>
      </c>
    </row>
    <row r="286" spans="1:24" ht="30" customHeight="1" x14ac:dyDescent="0.3">
      <c r="A286" s="262" t="s">
        <v>154</v>
      </c>
      <c r="C286" s="244">
        <v>152</v>
      </c>
      <c r="D286" s="161" t="s">
        <v>523</v>
      </c>
      <c r="E286" s="969" t="s">
        <v>524</v>
      </c>
      <c r="F286" s="970"/>
      <c r="G286" s="971"/>
      <c r="H286" s="544" t="s">
        <v>247</v>
      </c>
      <c r="I286" s="212">
        <v>42900</v>
      </c>
      <c r="J286" s="605"/>
      <c r="K286" s="212">
        <v>8</v>
      </c>
      <c r="L286" s="212">
        <f t="shared" si="56"/>
        <v>343200</v>
      </c>
      <c r="M286" s="602"/>
      <c r="N286" s="675">
        <f>+'Yeşil Defter'!K299</f>
        <v>0</v>
      </c>
      <c r="O286" s="675">
        <f>+'Yeşil Defter'!L299</f>
        <v>0</v>
      </c>
      <c r="P286" s="675">
        <f>+'Yeşil Defter'!M299</f>
        <v>0</v>
      </c>
      <c r="Q286" s="212"/>
      <c r="R286" s="605">
        <f t="shared" si="57"/>
        <v>0</v>
      </c>
      <c r="S286" s="225">
        <f t="shared" si="54"/>
        <v>0</v>
      </c>
      <c r="T286" s="237">
        <f t="shared" si="58"/>
        <v>0</v>
      </c>
      <c r="X286" s="23" t="str">
        <f t="shared" si="55"/>
        <v>-</v>
      </c>
    </row>
    <row r="287" spans="1:24" ht="30" customHeight="1" x14ac:dyDescent="0.3">
      <c r="A287" s="262" t="s">
        <v>154</v>
      </c>
      <c r="C287" s="244">
        <v>153</v>
      </c>
      <c r="D287" s="161" t="s">
        <v>525</v>
      </c>
      <c r="E287" s="969" t="s">
        <v>526</v>
      </c>
      <c r="F287" s="970"/>
      <c r="G287" s="971"/>
      <c r="H287" s="544" t="s">
        <v>247</v>
      </c>
      <c r="I287" s="212">
        <v>36400</v>
      </c>
      <c r="J287" s="605"/>
      <c r="K287" s="212">
        <v>3</v>
      </c>
      <c r="L287" s="212">
        <f t="shared" si="56"/>
        <v>109200</v>
      </c>
      <c r="M287" s="602"/>
      <c r="N287" s="675">
        <f>+'Yeşil Defter'!K300</f>
        <v>0</v>
      </c>
      <c r="O287" s="675">
        <f>+'Yeşil Defter'!L300</f>
        <v>0</v>
      </c>
      <c r="P287" s="675">
        <f>+'Yeşil Defter'!M300</f>
        <v>0</v>
      </c>
      <c r="Q287" s="212"/>
      <c r="R287" s="605">
        <f t="shared" si="57"/>
        <v>0</v>
      </c>
      <c r="S287" s="225">
        <f t="shared" si="54"/>
        <v>0</v>
      </c>
      <c r="T287" s="237">
        <f t="shared" si="58"/>
        <v>0</v>
      </c>
      <c r="X287" s="23" t="str">
        <f t="shared" si="55"/>
        <v>-</v>
      </c>
    </row>
    <row r="288" spans="1:24" ht="30" customHeight="1" x14ac:dyDescent="0.3">
      <c r="A288" s="262" t="s">
        <v>154</v>
      </c>
      <c r="C288" s="244">
        <v>154</v>
      </c>
      <c r="D288" s="161" t="s">
        <v>527</v>
      </c>
      <c r="E288" s="969" t="s">
        <v>528</v>
      </c>
      <c r="F288" s="970"/>
      <c r="G288" s="971"/>
      <c r="H288" s="544" t="s">
        <v>247</v>
      </c>
      <c r="I288" s="212">
        <v>31200</v>
      </c>
      <c r="J288" s="605"/>
      <c r="K288" s="212">
        <v>5</v>
      </c>
      <c r="L288" s="212">
        <f t="shared" si="56"/>
        <v>156000</v>
      </c>
      <c r="M288" s="602"/>
      <c r="N288" s="675">
        <f>+'Yeşil Defter'!K301</f>
        <v>0</v>
      </c>
      <c r="O288" s="675">
        <f>+'Yeşil Defter'!L301</f>
        <v>0</v>
      </c>
      <c r="P288" s="675">
        <f>+'Yeşil Defter'!M301</f>
        <v>0</v>
      </c>
      <c r="Q288" s="212"/>
      <c r="R288" s="605">
        <f t="shared" si="57"/>
        <v>0</v>
      </c>
      <c r="S288" s="225">
        <f t="shared" si="54"/>
        <v>0</v>
      </c>
      <c r="T288" s="237">
        <f t="shared" si="58"/>
        <v>0</v>
      </c>
      <c r="X288" s="23" t="str">
        <f t="shared" si="55"/>
        <v>-</v>
      </c>
    </row>
    <row r="289" spans="1:24" ht="30" customHeight="1" x14ac:dyDescent="0.3">
      <c r="A289" s="262" t="s">
        <v>154</v>
      </c>
      <c r="C289" s="244">
        <v>155</v>
      </c>
      <c r="D289" s="161" t="s">
        <v>529</v>
      </c>
      <c r="E289" s="969" t="s">
        <v>530</v>
      </c>
      <c r="F289" s="970"/>
      <c r="G289" s="971"/>
      <c r="H289" s="544" t="s">
        <v>247</v>
      </c>
      <c r="I289" s="212">
        <v>35100</v>
      </c>
      <c r="J289" s="605"/>
      <c r="K289" s="212">
        <v>3</v>
      </c>
      <c r="L289" s="212">
        <f t="shared" si="56"/>
        <v>105300</v>
      </c>
      <c r="M289" s="602"/>
      <c r="N289" s="675">
        <f>+'Yeşil Defter'!K302</f>
        <v>0</v>
      </c>
      <c r="O289" s="675">
        <f>+'Yeşil Defter'!L302</f>
        <v>0</v>
      </c>
      <c r="P289" s="675">
        <f>+'Yeşil Defter'!M302</f>
        <v>0</v>
      </c>
      <c r="Q289" s="212"/>
      <c r="R289" s="605">
        <f t="shared" si="57"/>
        <v>0</v>
      </c>
      <c r="S289" s="225">
        <f t="shared" si="54"/>
        <v>0</v>
      </c>
      <c r="T289" s="237">
        <f t="shared" si="58"/>
        <v>0</v>
      </c>
      <c r="X289" s="23" t="str">
        <f t="shared" si="55"/>
        <v>-</v>
      </c>
    </row>
    <row r="290" spans="1:24" ht="30" customHeight="1" x14ac:dyDescent="0.3">
      <c r="A290" s="262" t="s">
        <v>154</v>
      </c>
      <c r="C290" s="244">
        <v>156</v>
      </c>
      <c r="D290" s="161" t="s">
        <v>531</v>
      </c>
      <c r="E290" s="969" t="s">
        <v>532</v>
      </c>
      <c r="F290" s="970"/>
      <c r="G290" s="971"/>
      <c r="H290" s="544" t="s">
        <v>247</v>
      </c>
      <c r="I290" s="212">
        <v>31200</v>
      </c>
      <c r="J290" s="605"/>
      <c r="K290" s="212">
        <v>50</v>
      </c>
      <c r="L290" s="212">
        <f t="shared" si="56"/>
        <v>1560000</v>
      </c>
      <c r="M290" s="602"/>
      <c r="N290" s="675">
        <f>+'Yeşil Defter'!K303</f>
        <v>0</v>
      </c>
      <c r="O290" s="675">
        <f>+'Yeşil Defter'!L303</f>
        <v>0</v>
      </c>
      <c r="P290" s="675">
        <f>+'Yeşil Defter'!M303</f>
        <v>0</v>
      </c>
      <c r="Q290" s="212"/>
      <c r="R290" s="605">
        <f t="shared" si="57"/>
        <v>0</v>
      </c>
      <c r="S290" s="225">
        <f t="shared" si="54"/>
        <v>0</v>
      </c>
      <c r="T290" s="237">
        <f t="shared" si="58"/>
        <v>0</v>
      </c>
      <c r="X290" s="23" t="str">
        <f t="shared" si="55"/>
        <v>-</v>
      </c>
    </row>
    <row r="291" spans="1:24" ht="30" customHeight="1" x14ac:dyDescent="0.3">
      <c r="A291" s="262" t="s">
        <v>154</v>
      </c>
      <c r="C291" s="244">
        <v>157</v>
      </c>
      <c r="D291" s="161" t="s">
        <v>533</v>
      </c>
      <c r="E291" s="969" t="s">
        <v>534</v>
      </c>
      <c r="F291" s="970"/>
      <c r="G291" s="971"/>
      <c r="H291" s="544" t="s">
        <v>247</v>
      </c>
      <c r="I291" s="212">
        <v>27300</v>
      </c>
      <c r="J291" s="605"/>
      <c r="K291" s="212">
        <v>2</v>
      </c>
      <c r="L291" s="212">
        <f t="shared" si="56"/>
        <v>54600</v>
      </c>
      <c r="M291" s="602"/>
      <c r="N291" s="675">
        <f>+'Yeşil Defter'!K304</f>
        <v>0</v>
      </c>
      <c r="O291" s="675">
        <f>+'Yeşil Defter'!L304</f>
        <v>0</v>
      </c>
      <c r="P291" s="675">
        <f>+'Yeşil Defter'!M304</f>
        <v>0</v>
      </c>
      <c r="Q291" s="212"/>
      <c r="R291" s="605">
        <f t="shared" si="57"/>
        <v>0</v>
      </c>
      <c r="S291" s="225">
        <f t="shared" si="54"/>
        <v>0</v>
      </c>
      <c r="T291" s="237">
        <f t="shared" si="58"/>
        <v>0</v>
      </c>
      <c r="X291" s="23" t="str">
        <f t="shared" si="55"/>
        <v>-</v>
      </c>
    </row>
    <row r="292" spans="1:24" ht="30" customHeight="1" x14ac:dyDescent="0.3">
      <c r="A292" s="262" t="s">
        <v>154</v>
      </c>
      <c r="C292" s="244">
        <v>158</v>
      </c>
      <c r="D292" s="161" t="s">
        <v>535</v>
      </c>
      <c r="E292" s="969" t="s">
        <v>536</v>
      </c>
      <c r="F292" s="970"/>
      <c r="G292" s="971"/>
      <c r="H292" s="544" t="s">
        <v>247</v>
      </c>
      <c r="I292" s="212">
        <v>24700</v>
      </c>
      <c r="J292" s="605"/>
      <c r="K292" s="212">
        <v>154</v>
      </c>
      <c r="L292" s="212">
        <f t="shared" si="56"/>
        <v>3803800</v>
      </c>
      <c r="M292" s="602"/>
      <c r="N292" s="675">
        <f>+'Yeşil Defter'!K305</f>
        <v>0</v>
      </c>
      <c r="O292" s="675">
        <f>+'Yeşil Defter'!L305</f>
        <v>0</v>
      </c>
      <c r="P292" s="675">
        <f>+'Yeşil Defter'!M305</f>
        <v>0</v>
      </c>
      <c r="Q292" s="212"/>
      <c r="R292" s="605">
        <f t="shared" si="57"/>
        <v>0</v>
      </c>
      <c r="S292" s="225">
        <f t="shared" si="54"/>
        <v>0</v>
      </c>
      <c r="T292" s="237">
        <f t="shared" si="58"/>
        <v>0</v>
      </c>
      <c r="X292" s="23" t="str">
        <f t="shared" si="55"/>
        <v>-</v>
      </c>
    </row>
    <row r="293" spans="1:24" ht="30" customHeight="1" x14ac:dyDescent="0.3">
      <c r="A293" s="262" t="s">
        <v>154</v>
      </c>
      <c r="C293" s="244">
        <v>159</v>
      </c>
      <c r="D293" s="161" t="s">
        <v>537</v>
      </c>
      <c r="E293" s="969" t="s">
        <v>538</v>
      </c>
      <c r="F293" s="970"/>
      <c r="G293" s="971"/>
      <c r="H293" s="544" t="s">
        <v>247</v>
      </c>
      <c r="I293" s="212">
        <v>13000</v>
      </c>
      <c r="J293" s="605"/>
      <c r="K293" s="212">
        <v>6</v>
      </c>
      <c r="L293" s="212">
        <f t="shared" si="56"/>
        <v>78000</v>
      </c>
      <c r="M293" s="602"/>
      <c r="N293" s="675">
        <f>+'Yeşil Defter'!K306</f>
        <v>0</v>
      </c>
      <c r="O293" s="675">
        <f>+'Yeşil Defter'!L306</f>
        <v>0</v>
      </c>
      <c r="P293" s="675">
        <f>+'Yeşil Defter'!M306</f>
        <v>0</v>
      </c>
      <c r="Q293" s="212"/>
      <c r="R293" s="605">
        <f t="shared" si="57"/>
        <v>0</v>
      </c>
      <c r="S293" s="225">
        <f t="shared" si="54"/>
        <v>0</v>
      </c>
      <c r="T293" s="237">
        <f t="shared" si="58"/>
        <v>0</v>
      </c>
      <c r="X293" s="23" t="str">
        <f t="shared" si="55"/>
        <v>-</v>
      </c>
    </row>
    <row r="294" spans="1:24" ht="30" customHeight="1" x14ac:dyDescent="0.3">
      <c r="A294" s="262" t="s">
        <v>154</v>
      </c>
      <c r="C294" s="244">
        <v>160</v>
      </c>
      <c r="D294" s="161" t="s">
        <v>539</v>
      </c>
      <c r="E294" s="969" t="s">
        <v>540</v>
      </c>
      <c r="F294" s="970"/>
      <c r="G294" s="971"/>
      <c r="H294" s="544" t="s">
        <v>247</v>
      </c>
      <c r="I294" s="212">
        <v>11700</v>
      </c>
      <c r="J294" s="605"/>
      <c r="K294" s="212">
        <v>134</v>
      </c>
      <c r="L294" s="212">
        <f t="shared" si="56"/>
        <v>1567800</v>
      </c>
      <c r="M294" s="602"/>
      <c r="N294" s="675">
        <f>+'Yeşil Defter'!K307</f>
        <v>0</v>
      </c>
      <c r="O294" s="675">
        <f>+'Yeşil Defter'!L307</f>
        <v>0</v>
      </c>
      <c r="P294" s="675">
        <f>+'Yeşil Defter'!M307</f>
        <v>0</v>
      </c>
      <c r="Q294" s="212"/>
      <c r="R294" s="605">
        <f t="shared" si="57"/>
        <v>0</v>
      </c>
      <c r="S294" s="225">
        <f t="shared" si="54"/>
        <v>0</v>
      </c>
      <c r="T294" s="237">
        <f t="shared" si="58"/>
        <v>0</v>
      </c>
      <c r="X294" s="23" t="str">
        <f t="shared" si="55"/>
        <v>-</v>
      </c>
    </row>
    <row r="295" spans="1:24" ht="30" customHeight="1" x14ac:dyDescent="0.3">
      <c r="A295" s="262" t="s">
        <v>154</v>
      </c>
      <c r="C295" s="244">
        <v>161</v>
      </c>
      <c r="D295" s="161" t="s">
        <v>541</v>
      </c>
      <c r="E295" s="969" t="s">
        <v>542</v>
      </c>
      <c r="F295" s="970"/>
      <c r="G295" s="971"/>
      <c r="H295" s="544" t="s">
        <v>247</v>
      </c>
      <c r="I295" s="212">
        <v>11700</v>
      </c>
      <c r="J295" s="605"/>
      <c r="K295" s="212">
        <v>13</v>
      </c>
      <c r="L295" s="212">
        <f t="shared" si="56"/>
        <v>152100</v>
      </c>
      <c r="M295" s="602"/>
      <c r="N295" s="675">
        <f>+'Yeşil Defter'!K308</f>
        <v>0</v>
      </c>
      <c r="O295" s="675">
        <f>+'Yeşil Defter'!L308</f>
        <v>0</v>
      </c>
      <c r="P295" s="675">
        <f>+'Yeşil Defter'!M308</f>
        <v>0</v>
      </c>
      <c r="Q295" s="212"/>
      <c r="R295" s="605">
        <f t="shared" si="57"/>
        <v>0</v>
      </c>
      <c r="S295" s="225">
        <f t="shared" si="54"/>
        <v>0</v>
      </c>
      <c r="T295" s="237">
        <f t="shared" si="58"/>
        <v>0</v>
      </c>
      <c r="X295" s="23" t="str">
        <f t="shared" si="55"/>
        <v>-</v>
      </c>
    </row>
    <row r="296" spans="1:24" ht="30" customHeight="1" x14ac:dyDescent="0.3">
      <c r="A296" s="262" t="s">
        <v>154</v>
      </c>
      <c r="C296" s="244">
        <v>162</v>
      </c>
      <c r="D296" s="161" t="s">
        <v>543</v>
      </c>
      <c r="E296" s="969" t="s">
        <v>544</v>
      </c>
      <c r="F296" s="970"/>
      <c r="G296" s="971"/>
      <c r="H296" s="544" t="s">
        <v>247</v>
      </c>
      <c r="I296" s="212">
        <v>28600</v>
      </c>
      <c r="J296" s="605"/>
      <c r="K296" s="212">
        <v>28</v>
      </c>
      <c r="L296" s="212">
        <f t="shared" si="56"/>
        <v>800800</v>
      </c>
      <c r="M296" s="602"/>
      <c r="N296" s="675">
        <f>+'Yeşil Defter'!K309</f>
        <v>0</v>
      </c>
      <c r="O296" s="675">
        <f>+'Yeşil Defter'!L309</f>
        <v>0</v>
      </c>
      <c r="P296" s="675">
        <f>+'Yeşil Defter'!M309</f>
        <v>0</v>
      </c>
      <c r="Q296" s="212"/>
      <c r="R296" s="605">
        <f t="shared" si="57"/>
        <v>0</v>
      </c>
      <c r="S296" s="225">
        <f t="shared" si="54"/>
        <v>0</v>
      </c>
      <c r="T296" s="237">
        <f t="shared" si="58"/>
        <v>0</v>
      </c>
      <c r="X296" s="23" t="str">
        <f t="shared" si="55"/>
        <v>-</v>
      </c>
    </row>
    <row r="297" spans="1:24" ht="30" customHeight="1" x14ac:dyDescent="0.3">
      <c r="A297" s="262" t="s">
        <v>154</v>
      </c>
      <c r="C297" s="244">
        <v>163</v>
      </c>
      <c r="D297" s="161" t="s">
        <v>545</v>
      </c>
      <c r="E297" s="969" t="s">
        <v>546</v>
      </c>
      <c r="F297" s="970"/>
      <c r="G297" s="971"/>
      <c r="H297" s="544" t="s">
        <v>247</v>
      </c>
      <c r="I297" s="212">
        <v>13000</v>
      </c>
      <c r="J297" s="605"/>
      <c r="K297" s="212">
        <v>34</v>
      </c>
      <c r="L297" s="212">
        <f t="shared" si="56"/>
        <v>442000</v>
      </c>
      <c r="M297" s="602"/>
      <c r="N297" s="675">
        <f>+'Yeşil Defter'!K310</f>
        <v>0</v>
      </c>
      <c r="O297" s="675">
        <f>+'Yeşil Defter'!L310</f>
        <v>0</v>
      </c>
      <c r="P297" s="675">
        <f>+'Yeşil Defter'!M310</f>
        <v>0</v>
      </c>
      <c r="Q297" s="212"/>
      <c r="R297" s="605">
        <f t="shared" si="57"/>
        <v>0</v>
      </c>
      <c r="S297" s="225">
        <f t="shared" si="54"/>
        <v>0</v>
      </c>
      <c r="T297" s="237">
        <f t="shared" si="58"/>
        <v>0</v>
      </c>
      <c r="X297" s="23" t="str">
        <f t="shared" si="55"/>
        <v>-</v>
      </c>
    </row>
    <row r="298" spans="1:24" ht="30" customHeight="1" x14ac:dyDescent="0.3">
      <c r="A298" s="262" t="s">
        <v>154</v>
      </c>
      <c r="C298" s="244">
        <v>164</v>
      </c>
      <c r="D298" s="213" t="s">
        <v>547</v>
      </c>
      <c r="E298" s="969" t="s">
        <v>548</v>
      </c>
      <c r="F298" s="970"/>
      <c r="G298" s="971"/>
      <c r="H298" s="544" t="s">
        <v>374</v>
      </c>
      <c r="I298" s="212">
        <v>1235</v>
      </c>
      <c r="J298" s="605"/>
      <c r="K298" s="212">
        <v>120</v>
      </c>
      <c r="L298" s="212">
        <f t="shared" si="56"/>
        <v>148200</v>
      </c>
      <c r="M298" s="602"/>
      <c r="N298" s="675">
        <f>+'Yeşil Defter'!K311</f>
        <v>0</v>
      </c>
      <c r="O298" s="675">
        <f>+'Yeşil Defter'!L311</f>
        <v>0</v>
      </c>
      <c r="P298" s="675">
        <f>+'Yeşil Defter'!M311</f>
        <v>0</v>
      </c>
      <c r="Q298" s="212"/>
      <c r="R298" s="605">
        <f t="shared" si="57"/>
        <v>0</v>
      </c>
      <c r="S298" s="225">
        <f t="shared" si="54"/>
        <v>0</v>
      </c>
      <c r="T298" s="237">
        <f t="shared" si="58"/>
        <v>0</v>
      </c>
      <c r="X298" s="23" t="str">
        <f t="shared" si="55"/>
        <v>-</v>
      </c>
    </row>
    <row r="299" spans="1:24" ht="30" customHeight="1" x14ac:dyDescent="0.3">
      <c r="A299" s="262" t="s">
        <v>154</v>
      </c>
      <c r="C299" s="244">
        <v>165</v>
      </c>
      <c r="D299" s="213" t="s">
        <v>549</v>
      </c>
      <c r="E299" s="969" t="s">
        <v>550</v>
      </c>
      <c r="F299" s="970"/>
      <c r="G299" s="971"/>
      <c r="H299" s="544" t="s">
        <v>225</v>
      </c>
      <c r="I299" s="212">
        <v>5850</v>
      </c>
      <c r="J299" s="605"/>
      <c r="K299" s="212">
        <v>29.3</v>
      </c>
      <c r="L299" s="212">
        <f t="shared" si="56"/>
        <v>171405</v>
      </c>
      <c r="M299" s="602"/>
      <c r="N299" s="675">
        <f>+'Yeşil Defter'!K312</f>
        <v>0</v>
      </c>
      <c r="O299" s="675">
        <f>+'Yeşil Defter'!L312</f>
        <v>0</v>
      </c>
      <c r="P299" s="675">
        <f>+'Yeşil Defter'!M312</f>
        <v>0</v>
      </c>
      <c r="Q299" s="212"/>
      <c r="R299" s="605">
        <f t="shared" si="57"/>
        <v>0</v>
      </c>
      <c r="S299" s="225">
        <f t="shared" si="54"/>
        <v>0</v>
      </c>
      <c r="T299" s="237">
        <f t="shared" si="58"/>
        <v>0</v>
      </c>
      <c r="X299" s="23" t="str">
        <f t="shared" si="55"/>
        <v>-</v>
      </c>
    </row>
    <row r="300" spans="1:24" ht="30" customHeight="1" x14ac:dyDescent="0.3">
      <c r="A300" s="262" t="s">
        <v>154</v>
      </c>
      <c r="C300" s="244">
        <v>166</v>
      </c>
      <c r="D300" s="213" t="s">
        <v>551</v>
      </c>
      <c r="E300" s="969" t="s">
        <v>552</v>
      </c>
      <c r="F300" s="970"/>
      <c r="G300" s="971"/>
      <c r="H300" s="544" t="s">
        <v>202</v>
      </c>
      <c r="I300" s="212">
        <v>975</v>
      </c>
      <c r="J300" s="605"/>
      <c r="K300" s="212">
        <v>703.32</v>
      </c>
      <c r="L300" s="212">
        <f t="shared" si="56"/>
        <v>685737</v>
      </c>
      <c r="M300" s="602"/>
      <c r="N300" s="675">
        <f>+'Yeşil Defter'!K313</f>
        <v>0</v>
      </c>
      <c r="O300" s="675">
        <f>+'Yeşil Defter'!L313</f>
        <v>0</v>
      </c>
      <c r="P300" s="675">
        <f>+'Yeşil Defter'!M313</f>
        <v>0</v>
      </c>
      <c r="Q300" s="212"/>
      <c r="R300" s="605">
        <f t="shared" si="57"/>
        <v>0</v>
      </c>
      <c r="S300" s="225">
        <f t="shared" si="54"/>
        <v>0</v>
      </c>
      <c r="T300" s="237">
        <f t="shared" si="58"/>
        <v>0</v>
      </c>
      <c r="X300" s="23" t="str">
        <f t="shared" si="55"/>
        <v>-</v>
      </c>
    </row>
    <row r="301" spans="1:24" ht="30" customHeight="1" x14ac:dyDescent="0.3">
      <c r="A301" s="262" t="s">
        <v>154</v>
      </c>
      <c r="C301" s="244">
        <v>167</v>
      </c>
      <c r="D301" s="213" t="s">
        <v>553</v>
      </c>
      <c r="E301" s="969" t="s">
        <v>554</v>
      </c>
      <c r="F301" s="970"/>
      <c r="G301" s="971"/>
      <c r="H301" s="544" t="s">
        <v>202</v>
      </c>
      <c r="I301" s="212">
        <v>8450</v>
      </c>
      <c r="J301" s="605"/>
      <c r="K301" s="212">
        <v>41.15</v>
      </c>
      <c r="L301" s="212">
        <f t="shared" si="56"/>
        <v>347717.5</v>
      </c>
      <c r="M301" s="602"/>
      <c r="N301" s="675">
        <f>+'Yeşil Defter'!K314</f>
        <v>0</v>
      </c>
      <c r="O301" s="675">
        <f>+'Yeşil Defter'!L314</f>
        <v>0</v>
      </c>
      <c r="P301" s="675">
        <f>+'Yeşil Defter'!M314</f>
        <v>0</v>
      </c>
      <c r="Q301" s="212"/>
      <c r="R301" s="605">
        <f t="shared" si="57"/>
        <v>0</v>
      </c>
      <c r="S301" s="225">
        <f t="shared" si="54"/>
        <v>0</v>
      </c>
      <c r="T301" s="237">
        <f t="shared" si="58"/>
        <v>0</v>
      </c>
      <c r="X301" s="23" t="str">
        <f t="shared" si="55"/>
        <v>-</v>
      </c>
    </row>
    <row r="302" spans="1:24" ht="30" customHeight="1" x14ac:dyDescent="0.3">
      <c r="A302" s="262" t="s">
        <v>154</v>
      </c>
      <c r="C302" s="244">
        <v>168</v>
      </c>
      <c r="D302" s="213" t="s">
        <v>555</v>
      </c>
      <c r="E302" s="969" t="s">
        <v>556</v>
      </c>
      <c r="F302" s="970"/>
      <c r="G302" s="971"/>
      <c r="H302" s="544" t="s">
        <v>247</v>
      </c>
      <c r="I302" s="212">
        <v>5850</v>
      </c>
      <c r="J302" s="605"/>
      <c r="K302" s="212">
        <v>980</v>
      </c>
      <c r="L302" s="212">
        <f t="shared" si="56"/>
        <v>5733000</v>
      </c>
      <c r="M302" s="602"/>
      <c r="N302" s="675">
        <f>+'Yeşil Defter'!K315</f>
        <v>0</v>
      </c>
      <c r="O302" s="675">
        <f>+'Yeşil Defter'!L315</f>
        <v>0</v>
      </c>
      <c r="P302" s="675">
        <f>+'Yeşil Defter'!M315</f>
        <v>0</v>
      </c>
      <c r="Q302" s="212"/>
      <c r="R302" s="605">
        <f t="shared" si="57"/>
        <v>0</v>
      </c>
      <c r="S302" s="225">
        <f t="shared" si="54"/>
        <v>0</v>
      </c>
      <c r="T302" s="237">
        <f t="shared" si="58"/>
        <v>0</v>
      </c>
      <c r="X302" s="23" t="str">
        <f t="shared" si="55"/>
        <v>-</v>
      </c>
    </row>
    <row r="303" spans="1:24" ht="30" customHeight="1" x14ac:dyDescent="0.3">
      <c r="A303" s="262" t="s">
        <v>154</v>
      </c>
      <c r="C303" s="244">
        <v>169</v>
      </c>
      <c r="D303" s="213" t="s">
        <v>557</v>
      </c>
      <c r="E303" s="969" t="s">
        <v>558</v>
      </c>
      <c r="F303" s="970"/>
      <c r="G303" s="971"/>
      <c r="H303" s="544" t="s">
        <v>225</v>
      </c>
      <c r="I303" s="212">
        <v>9750</v>
      </c>
      <c r="J303" s="605"/>
      <c r="K303" s="212">
        <v>162.5</v>
      </c>
      <c r="L303" s="212">
        <f t="shared" si="56"/>
        <v>1584375</v>
      </c>
      <c r="M303" s="602"/>
      <c r="N303" s="675">
        <f>+'Yeşil Defter'!K316</f>
        <v>0</v>
      </c>
      <c r="O303" s="675">
        <f>+'Yeşil Defter'!L316</f>
        <v>0</v>
      </c>
      <c r="P303" s="675">
        <f>+'Yeşil Defter'!M316</f>
        <v>0</v>
      </c>
      <c r="Q303" s="212"/>
      <c r="R303" s="605">
        <f t="shared" si="57"/>
        <v>0</v>
      </c>
      <c r="S303" s="225">
        <f t="shared" si="54"/>
        <v>0</v>
      </c>
      <c r="T303" s="237">
        <f t="shared" si="58"/>
        <v>0</v>
      </c>
      <c r="X303" s="23" t="str">
        <f t="shared" si="55"/>
        <v>-</v>
      </c>
    </row>
    <row r="304" spans="1:24" ht="30" customHeight="1" x14ac:dyDescent="0.3">
      <c r="A304" s="262" t="s">
        <v>154</v>
      </c>
      <c r="C304" s="244">
        <v>170</v>
      </c>
      <c r="D304" s="213" t="s">
        <v>559</v>
      </c>
      <c r="E304" s="969" t="s">
        <v>560</v>
      </c>
      <c r="F304" s="970"/>
      <c r="G304" s="971"/>
      <c r="H304" s="544" t="s">
        <v>225</v>
      </c>
      <c r="I304" s="212">
        <v>9750</v>
      </c>
      <c r="J304" s="605"/>
      <c r="K304" s="212">
        <v>16.25</v>
      </c>
      <c r="L304" s="212">
        <f t="shared" si="56"/>
        <v>158437.5</v>
      </c>
      <c r="M304" s="602"/>
      <c r="N304" s="675">
        <f>+'Yeşil Defter'!K317</f>
        <v>0</v>
      </c>
      <c r="O304" s="675">
        <f>+'Yeşil Defter'!L317</f>
        <v>0</v>
      </c>
      <c r="P304" s="675">
        <f>+'Yeşil Defter'!M317</f>
        <v>0</v>
      </c>
      <c r="Q304" s="212"/>
      <c r="R304" s="605">
        <f t="shared" si="57"/>
        <v>0</v>
      </c>
      <c r="S304" s="225">
        <f t="shared" si="54"/>
        <v>0</v>
      </c>
      <c r="T304" s="237">
        <f t="shared" si="58"/>
        <v>0</v>
      </c>
      <c r="X304" s="23" t="str">
        <f t="shared" si="55"/>
        <v>-</v>
      </c>
    </row>
    <row r="305" spans="1:24" ht="30" customHeight="1" x14ac:dyDescent="0.3">
      <c r="A305" s="262" t="s">
        <v>154</v>
      </c>
      <c r="C305" s="244">
        <v>171</v>
      </c>
      <c r="D305" s="213" t="s">
        <v>561</v>
      </c>
      <c r="E305" s="969" t="s">
        <v>562</v>
      </c>
      <c r="F305" s="970"/>
      <c r="G305" s="971"/>
      <c r="H305" s="544" t="s">
        <v>247</v>
      </c>
      <c r="I305" s="212">
        <v>7800</v>
      </c>
      <c r="J305" s="605"/>
      <c r="K305" s="212">
        <v>80</v>
      </c>
      <c r="L305" s="212">
        <f t="shared" si="56"/>
        <v>624000</v>
      </c>
      <c r="M305" s="602"/>
      <c r="N305" s="675">
        <f>+'Yeşil Defter'!K318</f>
        <v>0</v>
      </c>
      <c r="O305" s="675">
        <f>+'Yeşil Defter'!L318</f>
        <v>0</v>
      </c>
      <c r="P305" s="675">
        <f>+'Yeşil Defter'!M318</f>
        <v>0</v>
      </c>
      <c r="Q305" s="212"/>
      <c r="R305" s="605">
        <f t="shared" si="57"/>
        <v>0</v>
      </c>
      <c r="S305" s="225">
        <f t="shared" si="54"/>
        <v>0</v>
      </c>
      <c r="T305" s="237">
        <f t="shared" si="58"/>
        <v>0</v>
      </c>
      <c r="X305" s="23" t="str">
        <f t="shared" si="55"/>
        <v>-</v>
      </c>
    </row>
    <row r="306" spans="1:24" ht="30" customHeight="1" x14ac:dyDescent="0.3">
      <c r="A306" s="262" t="s">
        <v>154</v>
      </c>
      <c r="C306" s="244">
        <v>172</v>
      </c>
      <c r="D306" s="213" t="s">
        <v>563</v>
      </c>
      <c r="E306" s="969" t="s">
        <v>564</v>
      </c>
      <c r="F306" s="970"/>
      <c r="G306" s="971"/>
      <c r="H306" s="544" t="s">
        <v>225</v>
      </c>
      <c r="I306" s="212">
        <v>26000</v>
      </c>
      <c r="J306" s="605"/>
      <c r="K306" s="212">
        <v>80</v>
      </c>
      <c r="L306" s="212">
        <f t="shared" si="56"/>
        <v>2080000</v>
      </c>
      <c r="M306" s="602"/>
      <c r="N306" s="675">
        <f>+'Yeşil Defter'!K319</f>
        <v>0</v>
      </c>
      <c r="O306" s="675">
        <f>+'Yeşil Defter'!L319</f>
        <v>0</v>
      </c>
      <c r="P306" s="675">
        <f>+'Yeşil Defter'!M319</f>
        <v>0</v>
      </c>
      <c r="Q306" s="212"/>
      <c r="R306" s="605">
        <f t="shared" si="57"/>
        <v>0</v>
      </c>
      <c r="S306" s="225">
        <f t="shared" si="54"/>
        <v>0</v>
      </c>
      <c r="T306" s="237">
        <f t="shared" si="58"/>
        <v>0</v>
      </c>
      <c r="X306" s="23" t="str">
        <f t="shared" si="55"/>
        <v>-</v>
      </c>
    </row>
    <row r="307" spans="1:24" ht="30" customHeight="1" x14ac:dyDescent="0.3">
      <c r="A307" s="262" t="s">
        <v>154</v>
      </c>
      <c r="C307" s="244">
        <v>173</v>
      </c>
      <c r="D307" s="213" t="s">
        <v>565</v>
      </c>
      <c r="E307" s="969" t="s">
        <v>566</v>
      </c>
      <c r="F307" s="970"/>
      <c r="G307" s="971"/>
      <c r="H307" s="544" t="s">
        <v>225</v>
      </c>
      <c r="I307" s="212">
        <v>26000</v>
      </c>
      <c r="J307" s="605"/>
      <c r="K307" s="212">
        <v>64.42</v>
      </c>
      <c r="L307" s="212">
        <f t="shared" si="56"/>
        <v>1674920</v>
      </c>
      <c r="M307" s="602"/>
      <c r="N307" s="675">
        <f>+'Yeşil Defter'!K320</f>
        <v>0</v>
      </c>
      <c r="O307" s="675">
        <f>+'Yeşil Defter'!L320</f>
        <v>0</v>
      </c>
      <c r="P307" s="675">
        <f>+'Yeşil Defter'!M320</f>
        <v>0</v>
      </c>
      <c r="Q307" s="212"/>
      <c r="R307" s="605">
        <f t="shared" si="57"/>
        <v>0</v>
      </c>
      <c r="S307" s="225">
        <f t="shared" si="54"/>
        <v>0</v>
      </c>
      <c r="T307" s="237">
        <f t="shared" si="58"/>
        <v>0</v>
      </c>
      <c r="X307" s="23" t="str">
        <f t="shared" si="55"/>
        <v>-</v>
      </c>
    </row>
    <row r="308" spans="1:24" ht="40.049999999999997" customHeight="1" x14ac:dyDescent="0.3">
      <c r="A308" s="262" t="s">
        <v>1242</v>
      </c>
      <c r="C308" s="258"/>
      <c r="D308" s="258"/>
      <c r="E308" s="972" t="s">
        <v>33</v>
      </c>
      <c r="F308" s="972"/>
      <c r="G308" s="972"/>
      <c r="H308" s="973" t="s">
        <v>29</v>
      </c>
      <c r="I308" s="973"/>
      <c r="J308" s="973"/>
      <c r="K308" s="973"/>
      <c r="L308" s="973"/>
      <c r="M308" s="549"/>
      <c r="N308" s="973" t="s">
        <v>22</v>
      </c>
      <c r="O308" s="973"/>
      <c r="P308" s="973"/>
      <c r="Q308" s="973"/>
      <c r="R308" s="973"/>
      <c r="S308" s="973"/>
      <c r="T308" s="973"/>
      <c r="X308" s="23"/>
    </row>
    <row r="309" spans="1:24" ht="19.95" customHeight="1" x14ac:dyDescent="0.3">
      <c r="A309" s="262" t="s">
        <v>1242</v>
      </c>
      <c r="D309" s="28"/>
      <c r="E309" s="974" t="s">
        <v>1214</v>
      </c>
      <c r="F309" s="974"/>
      <c r="G309" s="974"/>
      <c r="H309" s="975" t="s">
        <v>38</v>
      </c>
      <c r="I309" s="975"/>
      <c r="J309" s="975"/>
      <c r="K309" s="975"/>
      <c r="L309" s="975"/>
      <c r="M309" s="562"/>
      <c r="N309" s="975" t="s">
        <v>1437</v>
      </c>
      <c r="O309" s="975"/>
      <c r="P309" s="975"/>
      <c r="Q309" s="975"/>
      <c r="R309" s="975"/>
      <c r="S309" s="975"/>
      <c r="T309" s="975"/>
      <c r="X309" s="23"/>
    </row>
    <row r="310" spans="1:24" ht="19.95" customHeight="1" x14ac:dyDescent="0.3">
      <c r="A310" s="262" t="s">
        <v>1242</v>
      </c>
      <c r="C310" s="228"/>
      <c r="D310" s="228"/>
      <c r="E310" s="561"/>
      <c r="F310" s="561"/>
      <c r="G310" s="561"/>
      <c r="H310" s="228"/>
      <c r="I310" s="260"/>
      <c r="J310" s="260"/>
      <c r="K310" s="260"/>
      <c r="L310" s="260"/>
      <c r="M310" s="260"/>
      <c r="N310" s="975"/>
      <c r="O310" s="975"/>
      <c r="P310" s="975"/>
      <c r="Q310" s="975"/>
      <c r="R310" s="975"/>
      <c r="S310" s="975"/>
      <c r="T310" s="975"/>
      <c r="X310" s="23"/>
    </row>
    <row r="311" spans="1:24" ht="19.95" customHeight="1" x14ac:dyDescent="0.3">
      <c r="A311" s="262" t="s">
        <v>1242</v>
      </c>
      <c r="C311" s="228"/>
      <c r="D311" s="228"/>
      <c r="E311" s="561"/>
      <c r="F311" s="561"/>
      <c r="G311" s="561"/>
      <c r="H311" s="228"/>
      <c r="I311" s="260"/>
      <c r="J311" s="260"/>
      <c r="K311" s="260"/>
      <c r="L311" s="260"/>
      <c r="M311" s="260"/>
      <c r="N311" s="975"/>
      <c r="O311" s="975"/>
      <c r="P311" s="975"/>
      <c r="Q311" s="975"/>
      <c r="R311" s="975"/>
      <c r="S311" s="975"/>
      <c r="T311" s="975"/>
      <c r="X311" s="23"/>
    </row>
    <row r="312" spans="1:24" ht="19.95" customHeight="1" x14ac:dyDescent="0.3">
      <c r="A312" s="262" t="s">
        <v>1242</v>
      </c>
      <c r="C312" s="228"/>
      <c r="D312" s="228"/>
      <c r="E312" s="561"/>
      <c r="F312" s="561"/>
      <c r="G312" s="561"/>
      <c r="H312" s="228"/>
      <c r="I312" s="260"/>
      <c r="J312" s="260"/>
      <c r="K312" s="260"/>
      <c r="L312" s="260"/>
      <c r="M312" s="260"/>
      <c r="N312" s="260"/>
      <c r="O312" s="260"/>
      <c r="P312" s="260"/>
      <c r="Q312" s="260"/>
      <c r="R312" s="260"/>
      <c r="S312" s="624"/>
      <c r="T312" s="260"/>
      <c r="X312" s="23"/>
    </row>
    <row r="313" spans="1:24" ht="19.95" customHeight="1" x14ac:dyDescent="0.3">
      <c r="A313" s="262" t="s">
        <v>1242</v>
      </c>
      <c r="C313" s="228"/>
      <c r="D313" s="228"/>
      <c r="E313" s="561"/>
      <c r="F313" s="561"/>
      <c r="G313" s="561"/>
      <c r="H313" s="975" t="s">
        <v>32</v>
      </c>
      <c r="I313" s="975"/>
      <c r="J313" s="562"/>
      <c r="K313" s="975" t="s">
        <v>1407</v>
      </c>
      <c r="L313" s="975"/>
      <c r="M313" s="562"/>
      <c r="N313" s="968" t="s">
        <v>58</v>
      </c>
      <c r="O313" s="968"/>
      <c r="P313" s="968"/>
      <c r="Q313" s="547"/>
      <c r="R313" s="968" t="s">
        <v>57</v>
      </c>
      <c r="S313" s="968"/>
      <c r="T313" s="968"/>
      <c r="X313" s="23"/>
    </row>
    <row r="314" spans="1:24" ht="19.95" customHeight="1" x14ac:dyDescent="0.3">
      <c r="A314" s="262" t="s">
        <v>1242</v>
      </c>
      <c r="C314" s="228"/>
      <c r="D314" s="228"/>
      <c r="E314" s="561"/>
      <c r="F314" s="561"/>
      <c r="G314" s="561"/>
      <c r="H314" s="976" t="s">
        <v>94</v>
      </c>
      <c r="I314" s="976"/>
      <c r="J314" s="623"/>
      <c r="K314" s="976" t="s">
        <v>94</v>
      </c>
      <c r="L314" s="976"/>
      <c r="M314" s="623"/>
      <c r="N314" s="968" t="s">
        <v>1472</v>
      </c>
      <c r="O314" s="968"/>
      <c r="P314" s="968"/>
      <c r="Q314" s="547"/>
      <c r="R314" s="968" t="s">
        <v>1472</v>
      </c>
      <c r="S314" s="968"/>
      <c r="T314" s="968"/>
      <c r="X314" s="23"/>
    </row>
    <row r="315" spans="1:24" ht="19.95" customHeight="1" x14ac:dyDescent="0.3">
      <c r="A315" s="262" t="s">
        <v>1242</v>
      </c>
      <c r="C315" s="228"/>
      <c r="D315" s="228"/>
      <c r="E315" s="561"/>
      <c r="F315" s="561"/>
      <c r="G315" s="561"/>
      <c r="H315" s="976"/>
      <c r="I315" s="976"/>
      <c r="J315" s="623"/>
      <c r="K315" s="976"/>
      <c r="L315" s="976"/>
      <c r="M315" s="623"/>
      <c r="N315" s="968"/>
      <c r="O315" s="968"/>
      <c r="P315" s="968"/>
      <c r="Q315" s="260"/>
      <c r="R315" s="968"/>
      <c r="S315" s="968"/>
      <c r="T315" s="968"/>
      <c r="X315" s="23"/>
    </row>
    <row r="316" spans="1:24" ht="19.95" customHeight="1" x14ac:dyDescent="0.3">
      <c r="A316" s="262" t="s">
        <v>1242</v>
      </c>
      <c r="C316" s="228"/>
      <c r="D316" s="228"/>
      <c r="E316" s="561"/>
      <c r="F316" s="561"/>
      <c r="G316" s="561"/>
      <c r="H316" s="228"/>
      <c r="I316" s="260"/>
      <c r="J316" s="260"/>
      <c r="K316" s="260"/>
      <c r="L316" s="260"/>
      <c r="M316" s="260"/>
      <c r="N316" s="260"/>
      <c r="O316" s="260"/>
      <c r="P316" s="260"/>
      <c r="Q316" s="260"/>
      <c r="R316" s="260"/>
      <c r="S316" s="624"/>
      <c r="T316" s="260"/>
      <c r="X316" s="23"/>
    </row>
    <row r="317" spans="1:24" ht="19.95" customHeight="1" x14ac:dyDescent="0.3">
      <c r="A317" s="262" t="s">
        <v>1242</v>
      </c>
      <c r="C317" s="228"/>
      <c r="D317" s="228"/>
      <c r="E317" s="975" t="s">
        <v>1215</v>
      </c>
      <c r="F317" s="975"/>
      <c r="G317" s="975"/>
      <c r="H317" s="975" t="s">
        <v>1348</v>
      </c>
      <c r="I317" s="975"/>
      <c r="J317" s="975"/>
      <c r="K317" s="975"/>
      <c r="L317" s="975"/>
      <c r="M317" s="562"/>
      <c r="N317" s="977" t="s">
        <v>1217</v>
      </c>
      <c r="O317" s="968"/>
      <c r="P317" s="968"/>
      <c r="Q317" s="968"/>
      <c r="R317" s="968"/>
      <c r="S317" s="968"/>
      <c r="T317" s="968"/>
      <c r="X317" s="23"/>
    </row>
    <row r="318" spans="1:24" ht="19.95" customHeight="1" x14ac:dyDescent="0.3">
      <c r="A318" s="262" t="s">
        <v>1290</v>
      </c>
      <c r="C318" s="228"/>
      <c r="D318" s="228"/>
      <c r="E318" s="975"/>
      <c r="F318" s="975"/>
      <c r="G318" s="975"/>
      <c r="H318" s="975"/>
      <c r="I318" s="975"/>
      <c r="J318" s="975"/>
      <c r="K318" s="975"/>
      <c r="L318" s="975"/>
      <c r="M318" s="562"/>
      <c r="N318" s="968"/>
      <c r="O318" s="968"/>
      <c r="P318" s="968"/>
      <c r="Q318" s="968"/>
      <c r="R318" s="968"/>
      <c r="S318" s="968"/>
      <c r="T318" s="968"/>
      <c r="X318" s="23"/>
    </row>
    <row r="319" spans="1:24" ht="30" customHeight="1" x14ac:dyDescent="0.3">
      <c r="A319" s="262" t="s">
        <v>154</v>
      </c>
      <c r="C319" s="255">
        <v>174</v>
      </c>
      <c r="D319" s="256" t="s">
        <v>567</v>
      </c>
      <c r="E319" s="978" t="s">
        <v>568</v>
      </c>
      <c r="F319" s="979"/>
      <c r="G319" s="980"/>
      <c r="H319" s="546" t="s">
        <v>225</v>
      </c>
      <c r="I319" s="257">
        <v>26000</v>
      </c>
      <c r="J319" s="606"/>
      <c r="K319" s="257">
        <v>465</v>
      </c>
      <c r="L319" s="257">
        <f t="shared" ref="L319:L329" si="59">+ROUND(I319*K319,2)</f>
        <v>12090000</v>
      </c>
      <c r="M319" s="603"/>
      <c r="N319" s="675">
        <f>+'Yeşil Defter'!K321</f>
        <v>0</v>
      </c>
      <c r="O319" s="675">
        <f>+'Yeşil Defter'!L321</f>
        <v>0</v>
      </c>
      <c r="P319" s="675">
        <f>+'Yeşil Defter'!M321</f>
        <v>0</v>
      </c>
      <c r="Q319" s="257"/>
      <c r="R319" s="606">
        <f t="shared" ref="R319:R329" si="60">+ROUND(K319*N319,2)</f>
        <v>0</v>
      </c>
      <c r="S319" s="247">
        <f t="shared" si="54"/>
        <v>0</v>
      </c>
      <c r="T319" s="248">
        <f t="shared" ref="T319:T329" si="61">+ROUND(K319*P319,2)</f>
        <v>0</v>
      </c>
      <c r="X319" s="23" t="str">
        <f t="shared" si="55"/>
        <v>-</v>
      </c>
    </row>
    <row r="320" spans="1:24" ht="30" customHeight="1" x14ac:dyDescent="0.3">
      <c r="A320" s="262" t="s">
        <v>154</v>
      </c>
      <c r="C320" s="244">
        <v>175</v>
      </c>
      <c r="D320" s="161" t="s">
        <v>569</v>
      </c>
      <c r="E320" s="969" t="s">
        <v>570</v>
      </c>
      <c r="F320" s="970"/>
      <c r="G320" s="971"/>
      <c r="H320" s="544" t="s">
        <v>225</v>
      </c>
      <c r="I320" s="212">
        <v>32500</v>
      </c>
      <c r="J320" s="605"/>
      <c r="K320" s="212">
        <v>33</v>
      </c>
      <c r="L320" s="212">
        <f t="shared" si="59"/>
        <v>1072500</v>
      </c>
      <c r="M320" s="602"/>
      <c r="N320" s="675">
        <f>+'Yeşil Defter'!K322</f>
        <v>0</v>
      </c>
      <c r="O320" s="675">
        <f>+'Yeşil Defter'!L322</f>
        <v>0</v>
      </c>
      <c r="P320" s="675">
        <f>+'Yeşil Defter'!M322</f>
        <v>0</v>
      </c>
      <c r="Q320" s="212"/>
      <c r="R320" s="605">
        <f t="shared" si="60"/>
        <v>0</v>
      </c>
      <c r="S320" s="225">
        <f t="shared" si="54"/>
        <v>0</v>
      </c>
      <c r="T320" s="237">
        <f t="shared" si="61"/>
        <v>0</v>
      </c>
      <c r="X320" s="23" t="str">
        <f t="shared" si="55"/>
        <v>-</v>
      </c>
    </row>
    <row r="321" spans="1:24" ht="30" customHeight="1" x14ac:dyDescent="0.3">
      <c r="A321" s="262" t="s">
        <v>154</v>
      </c>
      <c r="C321" s="244">
        <v>176</v>
      </c>
      <c r="D321" s="213" t="s">
        <v>571</v>
      </c>
      <c r="E321" s="969" t="s">
        <v>572</v>
      </c>
      <c r="F321" s="970"/>
      <c r="G321" s="971"/>
      <c r="H321" s="544" t="s">
        <v>247</v>
      </c>
      <c r="I321" s="212">
        <v>32500</v>
      </c>
      <c r="J321" s="605"/>
      <c r="K321" s="212">
        <v>4</v>
      </c>
      <c r="L321" s="212">
        <f t="shared" si="59"/>
        <v>130000</v>
      </c>
      <c r="M321" s="602"/>
      <c r="N321" s="675">
        <f>+'Yeşil Defter'!K323</f>
        <v>0</v>
      </c>
      <c r="O321" s="675">
        <f>+'Yeşil Defter'!L323</f>
        <v>0</v>
      </c>
      <c r="P321" s="675">
        <f>+'Yeşil Defter'!M323</f>
        <v>0</v>
      </c>
      <c r="Q321" s="212"/>
      <c r="R321" s="605">
        <f t="shared" si="60"/>
        <v>0</v>
      </c>
      <c r="S321" s="225">
        <f t="shared" si="54"/>
        <v>0</v>
      </c>
      <c r="T321" s="237">
        <f t="shared" si="61"/>
        <v>0</v>
      </c>
      <c r="X321" s="23" t="str">
        <f t="shared" si="55"/>
        <v>-</v>
      </c>
    </row>
    <row r="322" spans="1:24" ht="30" customHeight="1" x14ac:dyDescent="0.3">
      <c r="A322" s="262" t="s">
        <v>154</v>
      </c>
      <c r="C322" s="244">
        <v>177</v>
      </c>
      <c r="D322" s="213" t="s">
        <v>573</v>
      </c>
      <c r="E322" s="969" t="s">
        <v>574</v>
      </c>
      <c r="F322" s="970"/>
      <c r="G322" s="971"/>
      <c r="H322" s="544" t="s">
        <v>225</v>
      </c>
      <c r="I322" s="212">
        <v>21645</v>
      </c>
      <c r="J322" s="605"/>
      <c r="K322" s="212">
        <v>114.4</v>
      </c>
      <c r="L322" s="212">
        <f t="shared" si="59"/>
        <v>2476188</v>
      </c>
      <c r="M322" s="602"/>
      <c r="N322" s="675">
        <f>+'Yeşil Defter'!K324</f>
        <v>0</v>
      </c>
      <c r="O322" s="675">
        <f>+'Yeşil Defter'!L324</f>
        <v>0</v>
      </c>
      <c r="P322" s="675">
        <f>+'Yeşil Defter'!M324</f>
        <v>0</v>
      </c>
      <c r="Q322" s="212"/>
      <c r="R322" s="605">
        <f t="shared" si="60"/>
        <v>0</v>
      </c>
      <c r="S322" s="225">
        <f t="shared" si="54"/>
        <v>0</v>
      </c>
      <c r="T322" s="237">
        <f t="shared" si="61"/>
        <v>0</v>
      </c>
      <c r="X322" s="23" t="str">
        <f t="shared" si="55"/>
        <v>-</v>
      </c>
    </row>
    <row r="323" spans="1:24" ht="30" customHeight="1" x14ac:dyDescent="0.3">
      <c r="A323" s="262" t="s">
        <v>154</v>
      </c>
      <c r="C323" s="244">
        <v>178</v>
      </c>
      <c r="D323" s="213" t="s">
        <v>575</v>
      </c>
      <c r="E323" s="969" t="s">
        <v>576</v>
      </c>
      <c r="F323" s="970"/>
      <c r="G323" s="971"/>
      <c r="H323" s="544" t="s">
        <v>202</v>
      </c>
      <c r="I323" s="212">
        <v>5850</v>
      </c>
      <c r="J323" s="605"/>
      <c r="K323" s="212">
        <v>754</v>
      </c>
      <c r="L323" s="212">
        <f t="shared" si="59"/>
        <v>4410900</v>
      </c>
      <c r="M323" s="602"/>
      <c r="N323" s="675">
        <f>+'Yeşil Defter'!K325</f>
        <v>0</v>
      </c>
      <c r="O323" s="675">
        <f>+'Yeşil Defter'!L325</f>
        <v>0</v>
      </c>
      <c r="P323" s="675">
        <f>+'Yeşil Defter'!M325</f>
        <v>0</v>
      </c>
      <c r="Q323" s="212"/>
      <c r="R323" s="605">
        <f t="shared" si="60"/>
        <v>0</v>
      </c>
      <c r="S323" s="225">
        <f t="shared" si="54"/>
        <v>0</v>
      </c>
      <c r="T323" s="237">
        <f t="shared" si="61"/>
        <v>0</v>
      </c>
      <c r="X323" s="23" t="str">
        <f t="shared" si="55"/>
        <v>-</v>
      </c>
    </row>
    <row r="324" spans="1:24" ht="30" customHeight="1" x14ac:dyDescent="0.3">
      <c r="A324" s="262" t="s">
        <v>154</v>
      </c>
      <c r="C324" s="244">
        <v>179</v>
      </c>
      <c r="D324" s="213" t="s">
        <v>577</v>
      </c>
      <c r="E324" s="969" t="s">
        <v>578</v>
      </c>
      <c r="F324" s="970"/>
      <c r="G324" s="971"/>
      <c r="H324" s="544" t="s">
        <v>374</v>
      </c>
      <c r="I324" s="212">
        <v>260</v>
      </c>
      <c r="J324" s="605"/>
      <c r="K324" s="212">
        <v>10500</v>
      </c>
      <c r="L324" s="212">
        <f t="shared" si="59"/>
        <v>2730000</v>
      </c>
      <c r="M324" s="602"/>
      <c r="N324" s="675">
        <f>+'Yeşil Defter'!K326</f>
        <v>0</v>
      </c>
      <c r="O324" s="675">
        <f>+'Yeşil Defter'!L326</f>
        <v>0</v>
      </c>
      <c r="P324" s="675">
        <f>+'Yeşil Defter'!M326</f>
        <v>0</v>
      </c>
      <c r="Q324" s="212"/>
      <c r="R324" s="605">
        <f t="shared" si="60"/>
        <v>0</v>
      </c>
      <c r="S324" s="225">
        <f t="shared" si="54"/>
        <v>0</v>
      </c>
      <c r="T324" s="237">
        <f t="shared" si="61"/>
        <v>0</v>
      </c>
      <c r="X324" s="23" t="str">
        <f t="shared" si="55"/>
        <v>-</v>
      </c>
    </row>
    <row r="325" spans="1:24" ht="30" customHeight="1" x14ac:dyDescent="0.3">
      <c r="A325" s="262" t="s">
        <v>154</v>
      </c>
      <c r="C325" s="244">
        <v>180</v>
      </c>
      <c r="D325" s="213" t="s">
        <v>579</v>
      </c>
      <c r="E325" s="969" t="s">
        <v>580</v>
      </c>
      <c r="F325" s="970"/>
      <c r="G325" s="971"/>
      <c r="H325" s="544" t="s">
        <v>374</v>
      </c>
      <c r="I325" s="212">
        <v>156</v>
      </c>
      <c r="J325" s="605"/>
      <c r="K325" s="212">
        <v>122584</v>
      </c>
      <c r="L325" s="212">
        <f t="shared" si="59"/>
        <v>19123104</v>
      </c>
      <c r="M325" s="602"/>
      <c r="N325" s="675">
        <f>+'Yeşil Defter'!K327</f>
        <v>0</v>
      </c>
      <c r="O325" s="675">
        <f>+'Yeşil Defter'!L327</f>
        <v>0</v>
      </c>
      <c r="P325" s="675">
        <f>+'Yeşil Defter'!M327</f>
        <v>0</v>
      </c>
      <c r="Q325" s="212"/>
      <c r="R325" s="605">
        <f t="shared" si="60"/>
        <v>0</v>
      </c>
      <c r="S325" s="225">
        <f t="shared" si="54"/>
        <v>0</v>
      </c>
      <c r="T325" s="237">
        <f t="shared" si="61"/>
        <v>0</v>
      </c>
      <c r="X325" s="23" t="str">
        <f t="shared" si="55"/>
        <v>-</v>
      </c>
    </row>
    <row r="326" spans="1:24" ht="30" customHeight="1" x14ac:dyDescent="0.3">
      <c r="A326" s="262" t="s">
        <v>154</v>
      </c>
      <c r="C326" s="244">
        <v>181</v>
      </c>
      <c r="D326" s="213" t="s">
        <v>581</v>
      </c>
      <c r="E326" s="969" t="s">
        <v>582</v>
      </c>
      <c r="F326" s="970"/>
      <c r="G326" s="971"/>
      <c r="H326" s="544" t="s">
        <v>225</v>
      </c>
      <c r="I326" s="212">
        <v>585</v>
      </c>
      <c r="J326" s="605"/>
      <c r="K326" s="212">
        <v>8531.25</v>
      </c>
      <c r="L326" s="212">
        <f t="shared" si="59"/>
        <v>4990781.25</v>
      </c>
      <c r="M326" s="602"/>
      <c r="N326" s="675">
        <f>+'Yeşil Defter'!K328</f>
        <v>0</v>
      </c>
      <c r="O326" s="675">
        <f>+'Yeşil Defter'!L328</f>
        <v>0</v>
      </c>
      <c r="P326" s="675">
        <f>+'Yeşil Defter'!M328</f>
        <v>0</v>
      </c>
      <c r="Q326" s="212"/>
      <c r="R326" s="605">
        <f t="shared" si="60"/>
        <v>0</v>
      </c>
      <c r="S326" s="225">
        <f t="shared" si="54"/>
        <v>0</v>
      </c>
      <c r="T326" s="237">
        <f t="shared" si="61"/>
        <v>0</v>
      </c>
      <c r="X326" s="23" t="str">
        <f t="shared" si="55"/>
        <v>-</v>
      </c>
    </row>
    <row r="327" spans="1:24" ht="30" customHeight="1" x14ac:dyDescent="0.3">
      <c r="A327" s="262" t="s">
        <v>154</v>
      </c>
      <c r="C327" s="244">
        <v>182</v>
      </c>
      <c r="D327" s="213" t="s">
        <v>583</v>
      </c>
      <c r="E327" s="969" t="s">
        <v>584</v>
      </c>
      <c r="F327" s="970"/>
      <c r="G327" s="971"/>
      <c r="H327" s="544" t="s">
        <v>247</v>
      </c>
      <c r="I327" s="212">
        <v>156000</v>
      </c>
      <c r="J327" s="605"/>
      <c r="K327" s="212">
        <v>4</v>
      </c>
      <c r="L327" s="212">
        <f t="shared" si="59"/>
        <v>624000</v>
      </c>
      <c r="M327" s="602"/>
      <c r="N327" s="675">
        <f>+'Yeşil Defter'!K341</f>
        <v>0</v>
      </c>
      <c r="O327" s="675">
        <f>+'Yeşil Defter'!L341</f>
        <v>0</v>
      </c>
      <c r="P327" s="675">
        <f>+'Yeşil Defter'!M341</f>
        <v>0</v>
      </c>
      <c r="Q327" s="212"/>
      <c r="R327" s="605">
        <f t="shared" si="60"/>
        <v>0</v>
      </c>
      <c r="S327" s="225">
        <f t="shared" si="54"/>
        <v>0</v>
      </c>
      <c r="T327" s="237">
        <f t="shared" si="61"/>
        <v>0</v>
      </c>
      <c r="X327" s="23" t="str">
        <f t="shared" si="55"/>
        <v>-</v>
      </c>
    </row>
    <row r="328" spans="1:24" ht="30" customHeight="1" x14ac:dyDescent="0.3">
      <c r="A328" s="262" t="s">
        <v>154</v>
      </c>
      <c r="C328" s="244">
        <v>183</v>
      </c>
      <c r="D328" s="213" t="s">
        <v>585</v>
      </c>
      <c r="E328" s="969" t="s">
        <v>586</v>
      </c>
      <c r="F328" s="970"/>
      <c r="G328" s="971"/>
      <c r="H328" s="544" t="s">
        <v>247</v>
      </c>
      <c r="I328" s="212">
        <v>227500</v>
      </c>
      <c r="J328" s="605"/>
      <c r="K328" s="212">
        <v>8</v>
      </c>
      <c r="L328" s="212">
        <f t="shared" si="59"/>
        <v>1820000</v>
      </c>
      <c r="M328" s="602"/>
      <c r="N328" s="675">
        <f>+'Yeşil Defter'!K342</f>
        <v>0</v>
      </c>
      <c r="O328" s="675">
        <f>+'Yeşil Defter'!L342</f>
        <v>0</v>
      </c>
      <c r="P328" s="675">
        <f>+'Yeşil Defter'!M342</f>
        <v>0</v>
      </c>
      <c r="Q328" s="212"/>
      <c r="R328" s="605">
        <f t="shared" si="60"/>
        <v>0</v>
      </c>
      <c r="S328" s="225">
        <f t="shared" si="54"/>
        <v>0</v>
      </c>
      <c r="T328" s="237">
        <f t="shared" si="61"/>
        <v>0</v>
      </c>
      <c r="X328" s="23" t="str">
        <f t="shared" si="55"/>
        <v>-</v>
      </c>
    </row>
    <row r="329" spans="1:24" ht="30" customHeight="1" x14ac:dyDescent="0.3">
      <c r="A329" s="262" t="s">
        <v>154</v>
      </c>
      <c r="C329" s="244">
        <v>184</v>
      </c>
      <c r="D329" s="213" t="s">
        <v>587</v>
      </c>
      <c r="E329" s="969" t="s">
        <v>588</v>
      </c>
      <c r="F329" s="970"/>
      <c r="G329" s="971"/>
      <c r="H329" s="544" t="s">
        <v>247</v>
      </c>
      <c r="I329" s="212">
        <v>292500</v>
      </c>
      <c r="J329" s="605"/>
      <c r="K329" s="212">
        <v>4</v>
      </c>
      <c r="L329" s="341">
        <f t="shared" si="59"/>
        <v>1170000</v>
      </c>
      <c r="M329" s="212"/>
      <c r="N329" s="675">
        <f>+'Yeşil Defter'!K343</f>
        <v>0</v>
      </c>
      <c r="O329" s="675">
        <f>+'Yeşil Defter'!L343</f>
        <v>0</v>
      </c>
      <c r="P329" s="675">
        <f>+'Yeşil Defter'!M343</f>
        <v>0</v>
      </c>
      <c r="Q329" s="212"/>
      <c r="R329" s="605">
        <f t="shared" si="60"/>
        <v>0</v>
      </c>
      <c r="S329" s="225">
        <f t="shared" si="54"/>
        <v>0</v>
      </c>
      <c r="T329" s="237">
        <f t="shared" si="61"/>
        <v>0</v>
      </c>
      <c r="X329" s="23" t="str">
        <f t="shared" si="55"/>
        <v>-</v>
      </c>
    </row>
    <row r="330" spans="1:24" ht="30" customHeight="1" x14ac:dyDescent="0.3">
      <c r="A330" s="262" t="s">
        <v>154</v>
      </c>
      <c r="C330" s="244"/>
      <c r="D330" s="213"/>
      <c r="E330" s="969"/>
      <c r="F330" s="970"/>
      <c r="G330" s="971"/>
      <c r="H330" s="161"/>
      <c r="I330" s="605"/>
      <c r="J330" s="605"/>
      <c r="K330" s="212"/>
      <c r="L330" s="341"/>
      <c r="M330" s="212"/>
      <c r="N330" s="605"/>
      <c r="O330" s="212"/>
      <c r="P330" s="341"/>
      <c r="Q330" s="212"/>
      <c r="R330" s="605"/>
      <c r="S330" s="225"/>
      <c r="T330" s="237"/>
      <c r="X330" s="23"/>
    </row>
    <row r="331" spans="1:24" ht="30" customHeight="1" x14ac:dyDescent="0.3">
      <c r="A331" s="262" t="s">
        <v>154</v>
      </c>
      <c r="C331" s="244"/>
      <c r="D331" s="213"/>
      <c r="E331" s="969"/>
      <c r="F331" s="970"/>
      <c r="G331" s="971"/>
      <c r="H331" s="161"/>
      <c r="I331" s="605"/>
      <c r="J331" s="605"/>
      <c r="K331" s="212"/>
      <c r="L331" s="341"/>
      <c r="M331" s="212"/>
      <c r="N331" s="605"/>
      <c r="O331" s="212"/>
      <c r="P331" s="341"/>
      <c r="Q331" s="212"/>
      <c r="R331" s="605"/>
      <c r="S331" s="225"/>
      <c r="T331" s="237"/>
      <c r="X331" s="23"/>
    </row>
    <row r="332" spans="1:24" ht="30" customHeight="1" x14ac:dyDescent="0.3">
      <c r="A332" s="262" t="s">
        <v>154</v>
      </c>
      <c r="C332" s="244"/>
      <c r="D332" s="213"/>
      <c r="E332" s="969"/>
      <c r="F332" s="970"/>
      <c r="G332" s="971"/>
      <c r="H332" s="161"/>
      <c r="I332" s="605"/>
      <c r="J332" s="605"/>
      <c r="K332" s="212"/>
      <c r="L332" s="341"/>
      <c r="M332" s="212"/>
      <c r="N332" s="605"/>
      <c r="O332" s="212"/>
      <c r="P332" s="341"/>
      <c r="Q332" s="212"/>
      <c r="R332" s="605"/>
      <c r="S332" s="225"/>
      <c r="T332" s="237"/>
      <c r="X332" s="23"/>
    </row>
    <row r="333" spans="1:24" ht="30" customHeight="1" x14ac:dyDescent="0.3">
      <c r="A333" s="262" t="s">
        <v>154</v>
      </c>
      <c r="C333" s="244"/>
      <c r="D333" s="213"/>
      <c r="E333" s="969"/>
      <c r="F333" s="970"/>
      <c r="G333" s="971"/>
      <c r="H333" s="161"/>
      <c r="I333" s="605"/>
      <c r="J333" s="605"/>
      <c r="K333" s="212"/>
      <c r="L333" s="341"/>
      <c r="M333" s="212"/>
      <c r="N333" s="605"/>
      <c r="O333" s="212"/>
      <c r="P333" s="341"/>
      <c r="Q333" s="212"/>
      <c r="R333" s="605"/>
      <c r="S333" s="225"/>
      <c r="T333" s="237"/>
      <c r="X333" s="23"/>
    </row>
    <row r="334" spans="1:24" ht="30" customHeight="1" x14ac:dyDescent="0.3">
      <c r="A334" s="262" t="s">
        <v>154</v>
      </c>
      <c r="C334" s="244"/>
      <c r="D334" s="213"/>
      <c r="E334" s="969"/>
      <c r="F334" s="970"/>
      <c r="G334" s="971"/>
      <c r="H334" s="161"/>
      <c r="I334" s="605"/>
      <c r="J334" s="605"/>
      <c r="K334" s="212"/>
      <c r="L334" s="341"/>
      <c r="M334" s="212"/>
      <c r="N334" s="605"/>
      <c r="O334" s="212"/>
      <c r="P334" s="341"/>
      <c r="Q334" s="212"/>
      <c r="R334" s="605"/>
      <c r="S334" s="225"/>
      <c r="T334" s="237"/>
      <c r="X334" s="23"/>
    </row>
    <row r="335" spans="1:24" ht="30" customHeight="1" x14ac:dyDescent="0.3">
      <c r="A335" s="262" t="s">
        <v>154</v>
      </c>
      <c r="C335" s="244"/>
      <c r="D335" s="213"/>
      <c r="E335" s="969"/>
      <c r="F335" s="970"/>
      <c r="G335" s="971"/>
      <c r="H335" s="161"/>
      <c r="I335" s="605"/>
      <c r="J335" s="605"/>
      <c r="K335" s="212"/>
      <c r="L335" s="341"/>
      <c r="M335" s="212"/>
      <c r="N335" s="605"/>
      <c r="O335" s="212"/>
      <c r="P335" s="341"/>
      <c r="Q335" s="212"/>
      <c r="R335" s="605"/>
      <c r="S335" s="225"/>
      <c r="T335" s="237"/>
      <c r="X335" s="23"/>
    </row>
    <row r="336" spans="1:24" ht="30" customHeight="1" x14ac:dyDescent="0.3">
      <c r="A336" s="262" t="s">
        <v>154</v>
      </c>
      <c r="C336" s="244"/>
      <c r="D336" s="213"/>
      <c r="E336" s="969"/>
      <c r="F336" s="970"/>
      <c r="G336" s="971"/>
      <c r="H336" s="161"/>
      <c r="I336" s="605"/>
      <c r="J336" s="605"/>
      <c r="K336" s="212"/>
      <c r="L336" s="341"/>
      <c r="M336" s="212"/>
      <c r="N336" s="605"/>
      <c r="O336" s="212"/>
      <c r="P336" s="341"/>
      <c r="Q336" s="212"/>
      <c r="R336" s="605"/>
      <c r="S336" s="225"/>
      <c r="T336" s="237"/>
      <c r="X336" s="23"/>
    </row>
    <row r="337" spans="1:24" ht="30" customHeight="1" x14ac:dyDescent="0.3">
      <c r="A337" s="262" t="s">
        <v>154</v>
      </c>
      <c r="C337" s="244"/>
      <c r="D337" s="213"/>
      <c r="E337" s="969"/>
      <c r="F337" s="970"/>
      <c r="G337" s="971"/>
      <c r="H337" s="161"/>
      <c r="I337" s="605"/>
      <c r="J337" s="605"/>
      <c r="K337" s="212"/>
      <c r="L337" s="341"/>
      <c r="M337" s="212"/>
      <c r="N337" s="605"/>
      <c r="O337" s="212"/>
      <c r="P337" s="341"/>
      <c r="Q337" s="212"/>
      <c r="R337" s="605"/>
      <c r="S337" s="225"/>
      <c r="T337" s="237"/>
      <c r="X337" s="23"/>
    </row>
    <row r="338" spans="1:24" ht="30" customHeight="1" x14ac:dyDescent="0.3">
      <c r="A338" s="262" t="s">
        <v>154</v>
      </c>
      <c r="C338" s="244"/>
      <c r="D338" s="213"/>
      <c r="E338" s="969"/>
      <c r="F338" s="970"/>
      <c r="G338" s="971"/>
      <c r="H338" s="161"/>
      <c r="I338" s="605"/>
      <c r="J338" s="605"/>
      <c r="K338" s="212"/>
      <c r="L338" s="341"/>
      <c r="M338" s="212"/>
      <c r="N338" s="605"/>
      <c r="O338" s="212"/>
      <c r="P338" s="341"/>
      <c r="Q338" s="212"/>
      <c r="R338" s="605"/>
      <c r="S338" s="225"/>
      <c r="T338" s="237"/>
      <c r="X338" s="23"/>
    </row>
    <row r="339" spans="1:24" ht="30" customHeight="1" x14ac:dyDescent="0.3">
      <c r="A339" s="262" t="s">
        <v>154</v>
      </c>
      <c r="C339" s="244"/>
      <c r="D339" s="213"/>
      <c r="E339" s="969"/>
      <c r="F339" s="970"/>
      <c r="G339" s="971"/>
      <c r="H339" s="161"/>
      <c r="I339" s="605"/>
      <c r="J339" s="605"/>
      <c r="K339" s="212"/>
      <c r="L339" s="341"/>
      <c r="M339" s="212"/>
      <c r="N339" s="605"/>
      <c r="O339" s="212"/>
      <c r="P339" s="341"/>
      <c r="Q339" s="212"/>
      <c r="R339" s="605"/>
      <c r="S339" s="225"/>
      <c r="T339" s="237"/>
      <c r="X339" s="23"/>
    </row>
    <row r="340" spans="1:24" ht="30" customHeight="1" x14ac:dyDescent="0.3">
      <c r="A340" s="262" t="s">
        <v>154</v>
      </c>
      <c r="C340" s="244"/>
      <c r="D340" s="213"/>
      <c r="E340" s="969"/>
      <c r="F340" s="970"/>
      <c r="G340" s="971"/>
      <c r="H340" s="161"/>
      <c r="I340" s="605"/>
      <c r="J340" s="605"/>
      <c r="K340" s="212"/>
      <c r="L340" s="341"/>
      <c r="M340" s="212"/>
      <c r="N340" s="605"/>
      <c r="O340" s="212"/>
      <c r="P340" s="341"/>
      <c r="Q340" s="212"/>
      <c r="R340" s="605"/>
      <c r="S340" s="225"/>
      <c r="T340" s="237"/>
      <c r="X340" s="23"/>
    </row>
    <row r="341" spans="1:24" ht="30" customHeight="1" x14ac:dyDescent="0.3">
      <c r="A341" s="262" t="s">
        <v>154</v>
      </c>
      <c r="C341" s="244"/>
      <c r="D341" s="213"/>
      <c r="E341" s="969"/>
      <c r="F341" s="970"/>
      <c r="G341" s="971"/>
      <c r="H341" s="658"/>
      <c r="I341" s="605"/>
      <c r="J341" s="605"/>
      <c r="K341" s="212"/>
      <c r="L341" s="341"/>
      <c r="M341" s="302"/>
      <c r="N341" s="605"/>
      <c r="O341" s="212"/>
      <c r="P341" s="341"/>
      <c r="Q341" s="302"/>
      <c r="R341" s="605"/>
      <c r="S341" s="225"/>
      <c r="T341" s="237"/>
      <c r="X341" s="23"/>
    </row>
    <row r="342" spans="1:24" ht="40.049999999999997" customHeight="1" x14ac:dyDescent="0.3">
      <c r="A342" s="262" t="s">
        <v>1242</v>
      </c>
      <c r="C342" s="258"/>
      <c r="D342" s="258"/>
      <c r="E342" s="972" t="s">
        <v>33</v>
      </c>
      <c r="F342" s="972"/>
      <c r="G342" s="972"/>
      <c r="H342" s="973" t="s">
        <v>29</v>
      </c>
      <c r="I342" s="973"/>
      <c r="J342" s="973"/>
      <c r="K342" s="973"/>
      <c r="L342" s="973"/>
      <c r="M342" s="549"/>
      <c r="N342" s="973" t="s">
        <v>22</v>
      </c>
      <c r="O342" s="973"/>
      <c r="P342" s="973"/>
      <c r="Q342" s="973"/>
      <c r="R342" s="973"/>
      <c r="S342" s="973"/>
      <c r="T342" s="973"/>
      <c r="X342" s="23"/>
    </row>
    <row r="343" spans="1:24" ht="19.95" customHeight="1" x14ac:dyDescent="0.3">
      <c r="A343" s="262" t="s">
        <v>1242</v>
      </c>
      <c r="D343" s="28"/>
      <c r="E343" s="974" t="s">
        <v>1214</v>
      </c>
      <c r="F343" s="974"/>
      <c r="G343" s="974"/>
      <c r="H343" s="975" t="s">
        <v>38</v>
      </c>
      <c r="I343" s="975"/>
      <c r="J343" s="975"/>
      <c r="K343" s="975"/>
      <c r="L343" s="975"/>
      <c r="M343" s="562"/>
      <c r="N343" s="975" t="s">
        <v>1437</v>
      </c>
      <c r="O343" s="975"/>
      <c r="P343" s="975"/>
      <c r="Q343" s="975"/>
      <c r="R343" s="975"/>
      <c r="S343" s="975"/>
      <c r="T343" s="975"/>
      <c r="X343" s="23"/>
    </row>
    <row r="344" spans="1:24" ht="19.95" customHeight="1" x14ac:dyDescent="0.3">
      <c r="A344" s="262" t="s">
        <v>1242</v>
      </c>
      <c r="C344" s="228"/>
      <c r="D344" s="228"/>
      <c r="E344" s="561"/>
      <c r="F344" s="561"/>
      <c r="G344" s="561"/>
      <c r="H344" s="228"/>
      <c r="I344" s="260"/>
      <c r="J344" s="260"/>
      <c r="K344" s="260"/>
      <c r="L344" s="260"/>
      <c r="M344" s="260"/>
      <c r="N344" s="975"/>
      <c r="O344" s="975"/>
      <c r="P344" s="975"/>
      <c r="Q344" s="975"/>
      <c r="R344" s="975"/>
      <c r="S344" s="975"/>
      <c r="T344" s="975"/>
      <c r="X344" s="23"/>
    </row>
    <row r="345" spans="1:24" ht="19.95" customHeight="1" x14ac:dyDescent="0.3">
      <c r="A345" s="262" t="s">
        <v>1242</v>
      </c>
      <c r="C345" s="228"/>
      <c r="D345" s="228"/>
      <c r="E345" s="561"/>
      <c r="F345" s="561"/>
      <c r="G345" s="561"/>
      <c r="H345" s="228"/>
      <c r="I345" s="260"/>
      <c r="J345" s="260"/>
      <c r="K345" s="260"/>
      <c r="L345" s="260"/>
      <c r="M345" s="260"/>
      <c r="N345" s="975"/>
      <c r="O345" s="975"/>
      <c r="P345" s="975"/>
      <c r="Q345" s="975"/>
      <c r="R345" s="975"/>
      <c r="S345" s="975"/>
      <c r="T345" s="975"/>
      <c r="X345" s="23"/>
    </row>
    <row r="346" spans="1:24" ht="19.95" customHeight="1" x14ac:dyDescent="0.3">
      <c r="A346" s="262" t="s">
        <v>1242</v>
      </c>
      <c r="C346" s="228"/>
      <c r="D346" s="228"/>
      <c r="E346" s="561"/>
      <c r="F346" s="561"/>
      <c r="G346" s="561"/>
      <c r="H346" s="228"/>
      <c r="I346" s="260"/>
      <c r="J346" s="260"/>
      <c r="K346" s="260"/>
      <c r="L346" s="260"/>
      <c r="M346" s="260"/>
      <c r="N346" s="260"/>
      <c r="O346" s="260"/>
      <c r="P346" s="260"/>
      <c r="Q346" s="260"/>
      <c r="R346" s="260"/>
      <c r="S346" s="624"/>
      <c r="T346" s="260"/>
      <c r="X346" s="23"/>
    </row>
    <row r="347" spans="1:24" ht="19.95" customHeight="1" x14ac:dyDescent="0.3">
      <c r="A347" s="262" t="s">
        <v>1242</v>
      </c>
      <c r="C347" s="228"/>
      <c r="D347" s="228"/>
      <c r="E347" s="561"/>
      <c r="F347" s="561"/>
      <c r="G347" s="561"/>
      <c r="H347" s="975" t="s">
        <v>32</v>
      </c>
      <c r="I347" s="975"/>
      <c r="J347" s="562"/>
      <c r="K347" s="975" t="s">
        <v>1407</v>
      </c>
      <c r="L347" s="975"/>
      <c r="M347" s="562"/>
      <c r="N347" s="968" t="s">
        <v>58</v>
      </c>
      <c r="O347" s="968"/>
      <c r="P347" s="968"/>
      <c r="Q347" s="547"/>
      <c r="R347" s="968" t="s">
        <v>57</v>
      </c>
      <c r="S347" s="968"/>
      <c r="T347" s="968"/>
      <c r="X347" s="23"/>
    </row>
    <row r="348" spans="1:24" ht="19.95" customHeight="1" x14ac:dyDescent="0.3">
      <c r="A348" s="262" t="s">
        <v>1242</v>
      </c>
      <c r="C348" s="228"/>
      <c r="D348" s="228"/>
      <c r="E348" s="561"/>
      <c r="F348" s="561"/>
      <c r="G348" s="561"/>
      <c r="H348" s="976" t="s">
        <v>94</v>
      </c>
      <c r="I348" s="976"/>
      <c r="J348" s="623"/>
      <c r="K348" s="976" t="s">
        <v>94</v>
      </c>
      <c r="L348" s="976"/>
      <c r="M348" s="623"/>
      <c r="N348" s="968" t="s">
        <v>1472</v>
      </c>
      <c r="O348" s="968"/>
      <c r="P348" s="968"/>
      <c r="Q348" s="547"/>
      <c r="R348" s="968" t="s">
        <v>1472</v>
      </c>
      <c r="S348" s="968"/>
      <c r="T348" s="968"/>
      <c r="X348" s="23"/>
    </row>
    <row r="349" spans="1:24" ht="19.95" customHeight="1" x14ac:dyDescent="0.3">
      <c r="A349" s="262" t="s">
        <v>1242</v>
      </c>
      <c r="C349" s="228"/>
      <c r="D349" s="228"/>
      <c r="E349" s="561"/>
      <c r="F349" s="561"/>
      <c r="G349" s="561"/>
      <c r="H349" s="976"/>
      <c r="I349" s="976"/>
      <c r="J349" s="623"/>
      <c r="K349" s="976"/>
      <c r="L349" s="976"/>
      <c r="M349" s="623"/>
      <c r="N349" s="968"/>
      <c r="O349" s="968"/>
      <c r="P349" s="968"/>
      <c r="Q349" s="260"/>
      <c r="R349" s="968"/>
      <c r="S349" s="968"/>
      <c r="T349" s="968"/>
      <c r="X349" s="23"/>
    </row>
    <row r="350" spans="1:24" ht="19.95" customHeight="1" x14ac:dyDescent="0.3">
      <c r="A350" s="262" t="s">
        <v>1242</v>
      </c>
      <c r="C350" s="228"/>
      <c r="D350" s="228"/>
      <c r="E350" s="561"/>
      <c r="F350" s="561"/>
      <c r="G350" s="561"/>
      <c r="H350" s="228"/>
      <c r="I350" s="260"/>
      <c r="J350" s="260"/>
      <c r="K350" s="260"/>
      <c r="L350" s="260"/>
      <c r="M350" s="260"/>
      <c r="N350" s="260"/>
      <c r="O350" s="260"/>
      <c r="P350" s="260"/>
      <c r="Q350" s="260"/>
      <c r="R350" s="260"/>
      <c r="S350" s="624"/>
      <c r="T350" s="260"/>
      <c r="X350" s="23"/>
    </row>
    <row r="351" spans="1:24" ht="19.95" customHeight="1" x14ac:dyDescent="0.3">
      <c r="A351" s="262" t="s">
        <v>1242</v>
      </c>
      <c r="C351" s="228"/>
      <c r="D351" s="228"/>
      <c r="E351" s="975" t="s">
        <v>1215</v>
      </c>
      <c r="F351" s="975"/>
      <c r="G351" s="975"/>
      <c r="H351" s="975" t="s">
        <v>1348</v>
      </c>
      <c r="I351" s="975"/>
      <c r="J351" s="975"/>
      <c r="K351" s="975"/>
      <c r="L351" s="975"/>
      <c r="M351" s="562"/>
      <c r="N351" s="977" t="s">
        <v>1217</v>
      </c>
      <c r="O351" s="968"/>
      <c r="P351" s="968"/>
      <c r="Q351" s="968"/>
      <c r="R351" s="968"/>
      <c r="S351" s="968"/>
      <c r="T351" s="968"/>
      <c r="X351" s="23"/>
    </row>
    <row r="352" spans="1:24" ht="19.95" customHeight="1" x14ac:dyDescent="0.3">
      <c r="A352" s="262" t="s">
        <v>1290</v>
      </c>
      <c r="C352" s="228"/>
      <c r="D352" s="228"/>
      <c r="E352" s="975"/>
      <c r="F352" s="975"/>
      <c r="G352" s="975"/>
      <c r="H352" s="975"/>
      <c r="I352" s="975"/>
      <c r="J352" s="975"/>
      <c r="K352" s="975"/>
      <c r="L352" s="975"/>
      <c r="M352" s="562"/>
      <c r="N352" s="968"/>
      <c r="O352" s="968"/>
      <c r="P352" s="968"/>
      <c r="Q352" s="968"/>
      <c r="R352" s="968"/>
      <c r="S352" s="968"/>
      <c r="T352" s="968"/>
      <c r="X352" s="23"/>
    </row>
    <row r="353" spans="1:24" ht="30" customHeight="1" x14ac:dyDescent="0.3">
      <c r="A353" s="262" t="s">
        <v>1240</v>
      </c>
      <c r="C353" s="625"/>
      <c r="D353" s="626" t="s">
        <v>1229</v>
      </c>
      <c r="E353" s="627"/>
      <c r="F353" s="627"/>
      <c r="G353" s="627"/>
      <c r="H353" s="627"/>
      <c r="I353" s="628"/>
      <c r="J353" s="628"/>
      <c r="K353" s="628"/>
      <c r="L353" s="644">
        <f>+SUMIFS(L:L,A:A,"2")</f>
        <v>1424774746</v>
      </c>
      <c r="M353" s="629"/>
      <c r="N353" s="648"/>
      <c r="O353" s="628"/>
      <c r="P353" s="628"/>
      <c r="Q353" s="611"/>
      <c r="R353" s="651">
        <f>+SUMIFS(R:R,A:A,"2")</f>
        <v>0</v>
      </c>
      <c r="S353" s="630">
        <f>+SUMIFS(S:S,A:A,"2")</f>
        <v>0</v>
      </c>
      <c r="T353" s="631">
        <f>+SUMIFS(T:T,A:A,"2")</f>
        <v>0</v>
      </c>
      <c r="X353" s="23" t="str">
        <f t="shared" ref="X353:X400" si="62">IF(AND(P354&gt;K354*1.2, (P354-K354)*I354 &gt; $L$13*0.01), "RBF", "-")</f>
        <v>-</v>
      </c>
    </row>
    <row r="354" spans="1:24" ht="30" customHeight="1" x14ac:dyDescent="0.3">
      <c r="A354" s="262">
        <v>2</v>
      </c>
      <c r="C354" s="244">
        <v>185</v>
      </c>
      <c r="D354" s="213" t="s">
        <v>589</v>
      </c>
      <c r="E354" s="969" t="s">
        <v>590</v>
      </c>
      <c r="F354" s="970"/>
      <c r="G354" s="971"/>
      <c r="H354" s="544" t="s">
        <v>286</v>
      </c>
      <c r="I354" s="212">
        <v>11275750</v>
      </c>
      <c r="J354" s="605"/>
      <c r="K354" s="212">
        <v>1</v>
      </c>
      <c r="L354" s="212">
        <f t="shared" ref="L354:L375" si="63">+ROUND(I354*K354,2)</f>
        <v>11275750</v>
      </c>
      <c r="M354" s="602"/>
      <c r="N354" s="675">
        <f>+'Yeşil Defter'!K388</f>
        <v>0</v>
      </c>
      <c r="O354" s="675">
        <f>+'Yeşil Defter'!L388</f>
        <v>0</v>
      </c>
      <c r="P354" s="675">
        <f>+'Yeşil Defter'!M388</f>
        <v>0</v>
      </c>
      <c r="Q354" s="212"/>
      <c r="R354" s="605">
        <f t="shared" ref="R354:R375" si="64">+ROUND(K354*N354,2)</f>
        <v>0</v>
      </c>
      <c r="S354" s="225">
        <f t="shared" ref="S354:S363" si="65">+T354-R354</f>
        <v>0</v>
      </c>
      <c r="T354" s="237">
        <f t="shared" ref="T354:T375" si="66">+ROUND(K354*P354,2)</f>
        <v>0</v>
      </c>
      <c r="X354" s="23" t="str">
        <f t="shared" si="62"/>
        <v>-</v>
      </c>
    </row>
    <row r="355" spans="1:24" ht="30" customHeight="1" x14ac:dyDescent="0.3">
      <c r="A355" s="262">
        <v>2</v>
      </c>
      <c r="C355" s="244">
        <v>186</v>
      </c>
      <c r="D355" s="161" t="s">
        <v>591</v>
      </c>
      <c r="E355" s="969" t="s">
        <v>592</v>
      </c>
      <c r="F355" s="970"/>
      <c r="G355" s="971"/>
      <c r="H355" s="544" t="s">
        <v>286</v>
      </c>
      <c r="I355" s="212">
        <v>22517035</v>
      </c>
      <c r="J355" s="605"/>
      <c r="K355" s="212">
        <v>1</v>
      </c>
      <c r="L355" s="212">
        <f t="shared" si="63"/>
        <v>22517035</v>
      </c>
      <c r="M355" s="602"/>
      <c r="N355" s="675">
        <f>+'Yeşil Defter'!K389</f>
        <v>0</v>
      </c>
      <c r="O355" s="675">
        <f>+'Yeşil Defter'!L389</f>
        <v>0</v>
      </c>
      <c r="P355" s="675">
        <f>+'Yeşil Defter'!M389</f>
        <v>0</v>
      </c>
      <c r="Q355" s="212"/>
      <c r="R355" s="605">
        <f t="shared" si="64"/>
        <v>0</v>
      </c>
      <c r="S355" s="225">
        <f t="shared" si="65"/>
        <v>0</v>
      </c>
      <c r="T355" s="237">
        <f t="shared" si="66"/>
        <v>0</v>
      </c>
      <c r="X355" s="23" t="str">
        <f t="shared" si="62"/>
        <v>-</v>
      </c>
    </row>
    <row r="356" spans="1:24" ht="30" customHeight="1" x14ac:dyDescent="0.3">
      <c r="A356" s="262">
        <v>2</v>
      </c>
      <c r="C356" s="244">
        <v>187</v>
      </c>
      <c r="D356" s="161" t="s">
        <v>593</v>
      </c>
      <c r="E356" s="969" t="s">
        <v>594</v>
      </c>
      <c r="F356" s="970"/>
      <c r="G356" s="971"/>
      <c r="H356" s="544" t="s">
        <v>286</v>
      </c>
      <c r="I356" s="212">
        <v>15921572</v>
      </c>
      <c r="J356" s="605"/>
      <c r="K356" s="212">
        <v>1</v>
      </c>
      <c r="L356" s="212">
        <f t="shared" si="63"/>
        <v>15921572</v>
      </c>
      <c r="M356" s="602"/>
      <c r="N356" s="675">
        <f>+'Yeşil Defter'!K390</f>
        <v>0</v>
      </c>
      <c r="O356" s="675">
        <f>+'Yeşil Defter'!L390</f>
        <v>0</v>
      </c>
      <c r="P356" s="675">
        <f>+'Yeşil Defter'!M390</f>
        <v>0</v>
      </c>
      <c r="Q356" s="212"/>
      <c r="R356" s="605">
        <f t="shared" si="64"/>
        <v>0</v>
      </c>
      <c r="S356" s="225">
        <f t="shared" si="65"/>
        <v>0</v>
      </c>
      <c r="T356" s="237">
        <f t="shared" si="66"/>
        <v>0</v>
      </c>
      <c r="X356" s="23" t="str">
        <f t="shared" si="62"/>
        <v>-</v>
      </c>
    </row>
    <row r="357" spans="1:24" ht="30" customHeight="1" x14ac:dyDescent="0.3">
      <c r="A357" s="262">
        <v>2</v>
      </c>
      <c r="C357" s="244">
        <v>188</v>
      </c>
      <c r="D357" s="161" t="s">
        <v>595</v>
      </c>
      <c r="E357" s="969" t="s">
        <v>596</v>
      </c>
      <c r="F357" s="970"/>
      <c r="G357" s="971"/>
      <c r="H357" s="544" t="s">
        <v>286</v>
      </c>
      <c r="I357" s="212">
        <v>15921572</v>
      </c>
      <c r="J357" s="605"/>
      <c r="K357" s="212">
        <v>1</v>
      </c>
      <c r="L357" s="212">
        <f t="shared" si="63"/>
        <v>15921572</v>
      </c>
      <c r="M357" s="602"/>
      <c r="N357" s="675">
        <f>+'Yeşil Defter'!K391</f>
        <v>0</v>
      </c>
      <c r="O357" s="675">
        <f>+'Yeşil Defter'!L391</f>
        <v>0</v>
      </c>
      <c r="P357" s="675">
        <f>+'Yeşil Defter'!M391</f>
        <v>0</v>
      </c>
      <c r="Q357" s="212"/>
      <c r="R357" s="605">
        <f t="shared" si="64"/>
        <v>0</v>
      </c>
      <c r="S357" s="225">
        <f t="shared" si="65"/>
        <v>0</v>
      </c>
      <c r="T357" s="237">
        <f t="shared" si="66"/>
        <v>0</v>
      </c>
      <c r="X357" s="23" t="str">
        <f t="shared" si="62"/>
        <v>-</v>
      </c>
    </row>
    <row r="358" spans="1:24" ht="30" customHeight="1" x14ac:dyDescent="0.3">
      <c r="A358" s="262">
        <v>2</v>
      </c>
      <c r="C358" s="244">
        <v>189</v>
      </c>
      <c r="D358" s="161" t="s">
        <v>597</v>
      </c>
      <c r="E358" s="969" t="s">
        <v>598</v>
      </c>
      <c r="F358" s="970"/>
      <c r="G358" s="971"/>
      <c r="H358" s="544" t="s">
        <v>286</v>
      </c>
      <c r="I358" s="212">
        <v>15921572</v>
      </c>
      <c r="J358" s="605"/>
      <c r="K358" s="212">
        <v>1</v>
      </c>
      <c r="L358" s="212">
        <f t="shared" si="63"/>
        <v>15921572</v>
      </c>
      <c r="M358" s="602"/>
      <c r="N358" s="675">
        <f>+'Yeşil Defter'!K392</f>
        <v>0</v>
      </c>
      <c r="O358" s="675">
        <f>+'Yeşil Defter'!L392</f>
        <v>0</v>
      </c>
      <c r="P358" s="675">
        <f>+'Yeşil Defter'!M392</f>
        <v>0</v>
      </c>
      <c r="Q358" s="212"/>
      <c r="R358" s="605">
        <f t="shared" si="64"/>
        <v>0</v>
      </c>
      <c r="S358" s="225">
        <f t="shared" si="65"/>
        <v>0</v>
      </c>
      <c r="T358" s="237">
        <f t="shared" si="66"/>
        <v>0</v>
      </c>
      <c r="X358" s="23" t="str">
        <f t="shared" si="62"/>
        <v>-</v>
      </c>
    </row>
    <row r="359" spans="1:24" ht="30" customHeight="1" x14ac:dyDescent="0.3">
      <c r="A359" s="262">
        <v>2</v>
      </c>
      <c r="C359" s="244">
        <v>190</v>
      </c>
      <c r="D359" s="161" t="s">
        <v>599</v>
      </c>
      <c r="E359" s="969" t="s">
        <v>600</v>
      </c>
      <c r="F359" s="970"/>
      <c r="G359" s="971"/>
      <c r="H359" s="544" t="s">
        <v>286</v>
      </c>
      <c r="I359" s="212">
        <v>25772110</v>
      </c>
      <c r="J359" s="605"/>
      <c r="K359" s="212">
        <v>1</v>
      </c>
      <c r="L359" s="212">
        <f t="shared" si="63"/>
        <v>25772110</v>
      </c>
      <c r="M359" s="602"/>
      <c r="N359" s="675">
        <f>+'Yeşil Defter'!K393</f>
        <v>0</v>
      </c>
      <c r="O359" s="675">
        <f>+'Yeşil Defter'!L393</f>
        <v>0</v>
      </c>
      <c r="P359" s="675">
        <f>+'Yeşil Defter'!M393</f>
        <v>0</v>
      </c>
      <c r="Q359" s="212"/>
      <c r="R359" s="605">
        <f t="shared" si="64"/>
        <v>0</v>
      </c>
      <c r="S359" s="225">
        <f t="shared" si="65"/>
        <v>0</v>
      </c>
      <c r="T359" s="237">
        <f t="shared" si="66"/>
        <v>0</v>
      </c>
      <c r="X359" s="23" t="str">
        <f t="shared" si="62"/>
        <v>-</v>
      </c>
    </row>
    <row r="360" spans="1:24" ht="30" customHeight="1" x14ac:dyDescent="0.3">
      <c r="A360" s="262">
        <v>2</v>
      </c>
      <c r="C360" s="244">
        <v>191</v>
      </c>
      <c r="D360" s="161" t="s">
        <v>601</v>
      </c>
      <c r="E360" s="969" t="s">
        <v>602</v>
      </c>
      <c r="F360" s="970"/>
      <c r="G360" s="971"/>
      <c r="H360" s="544" t="s">
        <v>286</v>
      </c>
      <c r="I360" s="212">
        <v>8305760</v>
      </c>
      <c r="J360" s="605"/>
      <c r="K360" s="212">
        <v>1</v>
      </c>
      <c r="L360" s="212">
        <f t="shared" si="63"/>
        <v>8305760</v>
      </c>
      <c r="M360" s="602"/>
      <c r="N360" s="675">
        <f>+'Yeşil Defter'!K394</f>
        <v>0</v>
      </c>
      <c r="O360" s="675">
        <f>+'Yeşil Defter'!L394</f>
        <v>0</v>
      </c>
      <c r="P360" s="675">
        <f>+'Yeşil Defter'!M394</f>
        <v>0</v>
      </c>
      <c r="Q360" s="212"/>
      <c r="R360" s="605">
        <f t="shared" si="64"/>
        <v>0</v>
      </c>
      <c r="S360" s="225">
        <f t="shared" si="65"/>
        <v>0</v>
      </c>
      <c r="T360" s="237">
        <f t="shared" si="66"/>
        <v>0</v>
      </c>
      <c r="X360" s="23" t="str">
        <f t="shared" si="62"/>
        <v>-</v>
      </c>
    </row>
    <row r="361" spans="1:24" ht="30" customHeight="1" x14ac:dyDescent="0.3">
      <c r="A361" s="262">
        <v>2</v>
      </c>
      <c r="C361" s="244">
        <v>192</v>
      </c>
      <c r="D361" s="161" t="s">
        <v>603</v>
      </c>
      <c r="E361" s="969" t="s">
        <v>604</v>
      </c>
      <c r="F361" s="970"/>
      <c r="G361" s="971"/>
      <c r="H361" s="544" t="s">
        <v>286</v>
      </c>
      <c r="I361" s="212">
        <v>8305760</v>
      </c>
      <c r="J361" s="605"/>
      <c r="K361" s="212">
        <v>1</v>
      </c>
      <c r="L361" s="212">
        <f t="shared" si="63"/>
        <v>8305760</v>
      </c>
      <c r="M361" s="602"/>
      <c r="N361" s="675">
        <f>+'Yeşil Defter'!K395</f>
        <v>0</v>
      </c>
      <c r="O361" s="675">
        <f>+'Yeşil Defter'!L395</f>
        <v>0</v>
      </c>
      <c r="P361" s="675">
        <f>+'Yeşil Defter'!M395</f>
        <v>0</v>
      </c>
      <c r="Q361" s="212"/>
      <c r="R361" s="605">
        <f t="shared" si="64"/>
        <v>0</v>
      </c>
      <c r="S361" s="225">
        <f t="shared" si="65"/>
        <v>0</v>
      </c>
      <c r="T361" s="237">
        <f t="shared" si="66"/>
        <v>0</v>
      </c>
      <c r="X361" s="23" t="str">
        <f t="shared" si="62"/>
        <v>-</v>
      </c>
    </row>
    <row r="362" spans="1:24" ht="30" customHeight="1" x14ac:dyDescent="0.3">
      <c r="A362" s="262">
        <v>2</v>
      </c>
      <c r="C362" s="244">
        <v>193</v>
      </c>
      <c r="D362" s="161" t="s">
        <v>605</v>
      </c>
      <c r="E362" s="969" t="s">
        <v>606</v>
      </c>
      <c r="F362" s="970"/>
      <c r="G362" s="971"/>
      <c r="H362" s="544" t="s">
        <v>286</v>
      </c>
      <c r="I362" s="212">
        <v>8305760</v>
      </c>
      <c r="J362" s="605"/>
      <c r="K362" s="212">
        <v>1</v>
      </c>
      <c r="L362" s="212">
        <f t="shared" si="63"/>
        <v>8305760</v>
      </c>
      <c r="M362" s="602"/>
      <c r="N362" s="675">
        <f>+'Yeşil Defter'!K396</f>
        <v>0</v>
      </c>
      <c r="O362" s="675">
        <f>+'Yeşil Defter'!L396</f>
        <v>0</v>
      </c>
      <c r="P362" s="675">
        <f>+'Yeşil Defter'!M396</f>
        <v>0</v>
      </c>
      <c r="Q362" s="212"/>
      <c r="R362" s="605">
        <f t="shared" si="64"/>
        <v>0</v>
      </c>
      <c r="S362" s="225">
        <f t="shared" si="65"/>
        <v>0</v>
      </c>
      <c r="T362" s="237">
        <f t="shared" si="66"/>
        <v>0</v>
      </c>
      <c r="X362" s="23" t="str">
        <f t="shared" si="62"/>
        <v>-</v>
      </c>
    </row>
    <row r="363" spans="1:24" ht="30" customHeight="1" x14ac:dyDescent="0.3">
      <c r="A363" s="262">
        <v>2</v>
      </c>
      <c r="C363" s="244">
        <v>194</v>
      </c>
      <c r="D363" s="161" t="s">
        <v>607</v>
      </c>
      <c r="E363" s="969" t="s">
        <v>608</v>
      </c>
      <c r="F363" s="970"/>
      <c r="G363" s="971"/>
      <c r="H363" s="544" t="s">
        <v>286</v>
      </c>
      <c r="I363" s="212">
        <v>8305760</v>
      </c>
      <c r="J363" s="605"/>
      <c r="K363" s="212">
        <v>1</v>
      </c>
      <c r="L363" s="212">
        <f t="shared" si="63"/>
        <v>8305760</v>
      </c>
      <c r="M363" s="602"/>
      <c r="N363" s="675">
        <f>+'Yeşil Defter'!K397</f>
        <v>0</v>
      </c>
      <c r="O363" s="675">
        <f>+'Yeşil Defter'!L397</f>
        <v>0</v>
      </c>
      <c r="P363" s="675">
        <f>+'Yeşil Defter'!M397</f>
        <v>0</v>
      </c>
      <c r="Q363" s="212"/>
      <c r="R363" s="605">
        <f t="shared" si="64"/>
        <v>0</v>
      </c>
      <c r="S363" s="225">
        <f t="shared" si="65"/>
        <v>0</v>
      </c>
      <c r="T363" s="237">
        <f t="shared" si="66"/>
        <v>0</v>
      </c>
      <c r="X363" s="23" t="str">
        <f t="shared" si="62"/>
        <v>-</v>
      </c>
    </row>
    <row r="364" spans="1:24" ht="30" customHeight="1" x14ac:dyDescent="0.3">
      <c r="A364" s="262">
        <v>2</v>
      </c>
      <c r="C364" s="244">
        <v>195</v>
      </c>
      <c r="D364" s="161" t="s">
        <v>609</v>
      </c>
      <c r="E364" s="969" t="s">
        <v>610</v>
      </c>
      <c r="F364" s="970"/>
      <c r="G364" s="971"/>
      <c r="H364" s="544" t="s">
        <v>286</v>
      </c>
      <c r="I364" s="212">
        <v>8305760</v>
      </c>
      <c r="J364" s="605"/>
      <c r="K364" s="212">
        <v>1</v>
      </c>
      <c r="L364" s="212">
        <f t="shared" si="63"/>
        <v>8305760</v>
      </c>
      <c r="M364" s="602"/>
      <c r="N364" s="675">
        <f>+'Yeşil Defter'!K398</f>
        <v>0</v>
      </c>
      <c r="O364" s="675">
        <f>+'Yeşil Defter'!L398</f>
        <v>0</v>
      </c>
      <c r="P364" s="675">
        <f>+'Yeşil Defter'!M398</f>
        <v>0</v>
      </c>
      <c r="Q364" s="212"/>
      <c r="R364" s="605">
        <f t="shared" si="64"/>
        <v>0</v>
      </c>
      <c r="S364" s="225">
        <f t="shared" ref="S364:S460" si="67">+T364-R364</f>
        <v>0</v>
      </c>
      <c r="T364" s="237">
        <f t="shared" si="66"/>
        <v>0</v>
      </c>
      <c r="X364" s="23" t="str">
        <f t="shared" si="62"/>
        <v>-</v>
      </c>
    </row>
    <row r="365" spans="1:24" ht="30" customHeight="1" x14ac:dyDescent="0.3">
      <c r="A365" s="262">
        <v>2</v>
      </c>
      <c r="C365" s="244">
        <v>196</v>
      </c>
      <c r="D365" s="161" t="s">
        <v>611</v>
      </c>
      <c r="E365" s="969" t="s">
        <v>612</v>
      </c>
      <c r="F365" s="970"/>
      <c r="G365" s="971"/>
      <c r="H365" s="544" t="s">
        <v>286</v>
      </c>
      <c r="I365" s="212">
        <v>12296950</v>
      </c>
      <c r="J365" s="605"/>
      <c r="K365" s="212">
        <v>1</v>
      </c>
      <c r="L365" s="212">
        <f t="shared" si="63"/>
        <v>12296950</v>
      </c>
      <c r="M365" s="602"/>
      <c r="N365" s="675">
        <f>+'Yeşil Defter'!K399</f>
        <v>0</v>
      </c>
      <c r="O365" s="675">
        <f>+'Yeşil Defter'!L399</f>
        <v>0</v>
      </c>
      <c r="P365" s="675">
        <f>+'Yeşil Defter'!M399</f>
        <v>0</v>
      </c>
      <c r="Q365" s="212"/>
      <c r="R365" s="605">
        <f t="shared" si="64"/>
        <v>0</v>
      </c>
      <c r="S365" s="225">
        <f t="shared" si="67"/>
        <v>0</v>
      </c>
      <c r="T365" s="237">
        <f t="shared" si="66"/>
        <v>0</v>
      </c>
      <c r="X365" s="23" t="str">
        <f t="shared" si="62"/>
        <v>-</v>
      </c>
    </row>
    <row r="366" spans="1:24" ht="30" customHeight="1" x14ac:dyDescent="0.3">
      <c r="A366" s="262">
        <v>2</v>
      </c>
      <c r="C366" s="244">
        <v>197</v>
      </c>
      <c r="D366" s="161" t="s">
        <v>613</v>
      </c>
      <c r="E366" s="969" t="s">
        <v>614</v>
      </c>
      <c r="F366" s="970"/>
      <c r="G366" s="971"/>
      <c r="H366" s="544" t="s">
        <v>286</v>
      </c>
      <c r="I366" s="212">
        <v>12296950</v>
      </c>
      <c r="J366" s="605"/>
      <c r="K366" s="212">
        <v>1</v>
      </c>
      <c r="L366" s="212">
        <f t="shared" si="63"/>
        <v>12296950</v>
      </c>
      <c r="M366" s="602"/>
      <c r="N366" s="675">
        <f>+'Yeşil Defter'!K400</f>
        <v>0</v>
      </c>
      <c r="O366" s="675">
        <f>+'Yeşil Defter'!L400</f>
        <v>0</v>
      </c>
      <c r="P366" s="675">
        <f>+'Yeşil Defter'!M400</f>
        <v>0</v>
      </c>
      <c r="Q366" s="212"/>
      <c r="R366" s="605">
        <f t="shared" si="64"/>
        <v>0</v>
      </c>
      <c r="S366" s="225">
        <f t="shared" si="67"/>
        <v>0</v>
      </c>
      <c r="T366" s="237">
        <f t="shared" si="66"/>
        <v>0</v>
      </c>
      <c r="X366" s="23" t="str">
        <f t="shared" si="62"/>
        <v>-</v>
      </c>
    </row>
    <row r="367" spans="1:24" ht="30" customHeight="1" x14ac:dyDescent="0.3">
      <c r="A367" s="262">
        <v>2</v>
      </c>
      <c r="C367" s="244">
        <v>198</v>
      </c>
      <c r="D367" s="161" t="s">
        <v>615</v>
      </c>
      <c r="E367" s="969" t="s">
        <v>616</v>
      </c>
      <c r="F367" s="970"/>
      <c r="G367" s="971"/>
      <c r="H367" s="544" t="s">
        <v>286</v>
      </c>
      <c r="I367" s="212">
        <v>12296950</v>
      </c>
      <c r="J367" s="605"/>
      <c r="K367" s="212">
        <v>1</v>
      </c>
      <c r="L367" s="212">
        <f t="shared" si="63"/>
        <v>12296950</v>
      </c>
      <c r="M367" s="602"/>
      <c r="N367" s="675">
        <f>+'Yeşil Defter'!K401</f>
        <v>0</v>
      </c>
      <c r="O367" s="675">
        <f>+'Yeşil Defter'!L401</f>
        <v>0</v>
      </c>
      <c r="P367" s="675">
        <f>+'Yeşil Defter'!M401</f>
        <v>0</v>
      </c>
      <c r="Q367" s="212"/>
      <c r="R367" s="605">
        <f t="shared" si="64"/>
        <v>0</v>
      </c>
      <c r="S367" s="225">
        <f t="shared" si="67"/>
        <v>0</v>
      </c>
      <c r="T367" s="237">
        <f t="shared" si="66"/>
        <v>0</v>
      </c>
      <c r="X367" s="23" t="str">
        <f t="shared" si="62"/>
        <v>-</v>
      </c>
    </row>
    <row r="368" spans="1:24" ht="30" customHeight="1" x14ac:dyDescent="0.3">
      <c r="A368" s="262">
        <v>2</v>
      </c>
      <c r="C368" s="244">
        <v>199</v>
      </c>
      <c r="D368" s="161" t="s">
        <v>617</v>
      </c>
      <c r="E368" s="969" t="s">
        <v>618</v>
      </c>
      <c r="F368" s="970"/>
      <c r="G368" s="971"/>
      <c r="H368" s="544" t="s">
        <v>286</v>
      </c>
      <c r="I368" s="212">
        <v>12296950</v>
      </c>
      <c r="J368" s="605"/>
      <c r="K368" s="212">
        <v>1</v>
      </c>
      <c r="L368" s="212">
        <f t="shared" si="63"/>
        <v>12296950</v>
      </c>
      <c r="M368" s="602"/>
      <c r="N368" s="675">
        <f>+'Yeşil Defter'!K402</f>
        <v>0</v>
      </c>
      <c r="O368" s="675">
        <f>+'Yeşil Defter'!L402</f>
        <v>0</v>
      </c>
      <c r="P368" s="675">
        <f>+'Yeşil Defter'!M402</f>
        <v>0</v>
      </c>
      <c r="Q368" s="212"/>
      <c r="R368" s="605">
        <f t="shared" si="64"/>
        <v>0</v>
      </c>
      <c r="S368" s="225">
        <f t="shared" si="67"/>
        <v>0</v>
      </c>
      <c r="T368" s="237">
        <f t="shared" si="66"/>
        <v>0</v>
      </c>
      <c r="X368" s="23" t="str">
        <f t="shared" si="62"/>
        <v>-</v>
      </c>
    </row>
    <row r="369" spans="1:24" ht="30" customHeight="1" x14ac:dyDescent="0.3">
      <c r="A369" s="262">
        <v>2</v>
      </c>
      <c r="C369" s="244">
        <v>200</v>
      </c>
      <c r="D369" s="161" t="s">
        <v>619</v>
      </c>
      <c r="E369" s="969" t="s">
        <v>620</v>
      </c>
      <c r="F369" s="970"/>
      <c r="G369" s="971"/>
      <c r="H369" s="544" t="s">
        <v>286</v>
      </c>
      <c r="I369" s="212">
        <v>12296950</v>
      </c>
      <c r="J369" s="605"/>
      <c r="K369" s="212">
        <v>1</v>
      </c>
      <c r="L369" s="212">
        <f t="shared" si="63"/>
        <v>12296950</v>
      </c>
      <c r="M369" s="602"/>
      <c r="N369" s="675">
        <f>+'Yeşil Defter'!K403</f>
        <v>0</v>
      </c>
      <c r="O369" s="675">
        <f>+'Yeşil Defter'!L403</f>
        <v>0</v>
      </c>
      <c r="P369" s="675">
        <f>+'Yeşil Defter'!M403</f>
        <v>0</v>
      </c>
      <c r="Q369" s="212"/>
      <c r="R369" s="605">
        <f t="shared" si="64"/>
        <v>0</v>
      </c>
      <c r="S369" s="225">
        <f t="shared" si="67"/>
        <v>0</v>
      </c>
      <c r="T369" s="237">
        <f t="shared" si="66"/>
        <v>0</v>
      </c>
      <c r="X369" s="23" t="str">
        <f t="shared" si="62"/>
        <v>-</v>
      </c>
    </row>
    <row r="370" spans="1:24" ht="30" customHeight="1" x14ac:dyDescent="0.3">
      <c r="A370" s="262">
        <v>2</v>
      </c>
      <c r="C370" s="244">
        <v>201</v>
      </c>
      <c r="D370" s="161" t="s">
        <v>621</v>
      </c>
      <c r="E370" s="969" t="s">
        <v>622</v>
      </c>
      <c r="F370" s="970"/>
      <c r="G370" s="971"/>
      <c r="H370" s="544" t="s">
        <v>286</v>
      </c>
      <c r="I370" s="212">
        <v>10347418</v>
      </c>
      <c r="J370" s="605"/>
      <c r="K370" s="212">
        <v>1</v>
      </c>
      <c r="L370" s="212">
        <f t="shared" si="63"/>
        <v>10347418</v>
      </c>
      <c r="M370" s="602"/>
      <c r="N370" s="675">
        <f>+'Yeşil Defter'!K404</f>
        <v>0</v>
      </c>
      <c r="O370" s="675">
        <f>+'Yeşil Defter'!L404</f>
        <v>0</v>
      </c>
      <c r="P370" s="675">
        <f>+'Yeşil Defter'!M404</f>
        <v>0</v>
      </c>
      <c r="Q370" s="212"/>
      <c r="R370" s="605">
        <f t="shared" si="64"/>
        <v>0</v>
      </c>
      <c r="S370" s="225">
        <f t="shared" si="67"/>
        <v>0</v>
      </c>
      <c r="T370" s="237">
        <f t="shared" si="66"/>
        <v>0</v>
      </c>
      <c r="X370" s="23" t="str">
        <f t="shared" si="62"/>
        <v>-</v>
      </c>
    </row>
    <row r="371" spans="1:24" ht="30" customHeight="1" x14ac:dyDescent="0.3">
      <c r="A371" s="262">
        <v>2</v>
      </c>
      <c r="C371" s="244">
        <v>202</v>
      </c>
      <c r="D371" s="161" t="s">
        <v>623</v>
      </c>
      <c r="E371" s="969" t="s">
        <v>624</v>
      </c>
      <c r="F371" s="970"/>
      <c r="G371" s="971"/>
      <c r="H371" s="544" t="s">
        <v>286</v>
      </c>
      <c r="I371" s="212">
        <v>11316761</v>
      </c>
      <c r="J371" s="605"/>
      <c r="K371" s="212">
        <v>1</v>
      </c>
      <c r="L371" s="212">
        <f t="shared" si="63"/>
        <v>11316761</v>
      </c>
      <c r="M371" s="602"/>
      <c r="N371" s="675">
        <f>+'Yeşil Defter'!K405</f>
        <v>0</v>
      </c>
      <c r="O371" s="675">
        <f>+'Yeşil Defter'!L405</f>
        <v>0</v>
      </c>
      <c r="P371" s="675">
        <f>+'Yeşil Defter'!M405</f>
        <v>0</v>
      </c>
      <c r="Q371" s="212"/>
      <c r="R371" s="605">
        <f t="shared" si="64"/>
        <v>0</v>
      </c>
      <c r="S371" s="225">
        <f t="shared" si="67"/>
        <v>0</v>
      </c>
      <c r="T371" s="237">
        <f t="shared" si="66"/>
        <v>0</v>
      </c>
      <c r="X371" s="23" t="str">
        <f t="shared" si="62"/>
        <v>-</v>
      </c>
    </row>
    <row r="372" spans="1:24" ht="30" customHeight="1" x14ac:dyDescent="0.3">
      <c r="A372" s="262">
        <v>2</v>
      </c>
      <c r="C372" s="244">
        <v>203</v>
      </c>
      <c r="D372" s="161" t="s">
        <v>625</v>
      </c>
      <c r="E372" s="969" t="s">
        <v>626</v>
      </c>
      <c r="F372" s="970"/>
      <c r="G372" s="971"/>
      <c r="H372" s="544" t="s">
        <v>286</v>
      </c>
      <c r="I372" s="212">
        <v>12286105</v>
      </c>
      <c r="J372" s="605"/>
      <c r="K372" s="212">
        <v>1</v>
      </c>
      <c r="L372" s="212">
        <f t="shared" si="63"/>
        <v>12286105</v>
      </c>
      <c r="M372" s="602"/>
      <c r="N372" s="675">
        <f>+'Yeşil Defter'!K406</f>
        <v>0</v>
      </c>
      <c r="O372" s="675">
        <f>+'Yeşil Defter'!L406</f>
        <v>0</v>
      </c>
      <c r="P372" s="675">
        <f>+'Yeşil Defter'!M406</f>
        <v>0</v>
      </c>
      <c r="Q372" s="212"/>
      <c r="R372" s="605">
        <f t="shared" si="64"/>
        <v>0</v>
      </c>
      <c r="S372" s="225">
        <f t="shared" si="67"/>
        <v>0</v>
      </c>
      <c r="T372" s="237">
        <f t="shared" si="66"/>
        <v>0</v>
      </c>
      <c r="X372" s="23" t="str">
        <f t="shared" si="62"/>
        <v>-</v>
      </c>
    </row>
    <row r="373" spans="1:24" ht="30" customHeight="1" x14ac:dyDescent="0.3">
      <c r="A373" s="262">
        <v>2</v>
      </c>
      <c r="C373" s="244">
        <v>204</v>
      </c>
      <c r="D373" s="161" t="s">
        <v>627</v>
      </c>
      <c r="E373" s="969" t="s">
        <v>628</v>
      </c>
      <c r="F373" s="970"/>
      <c r="G373" s="971"/>
      <c r="H373" s="544" t="s">
        <v>286</v>
      </c>
      <c r="I373" s="212">
        <v>11962990</v>
      </c>
      <c r="J373" s="605"/>
      <c r="K373" s="212">
        <v>1</v>
      </c>
      <c r="L373" s="212">
        <f t="shared" si="63"/>
        <v>11962990</v>
      </c>
      <c r="M373" s="602"/>
      <c r="N373" s="675">
        <f>+'Yeşil Defter'!K407</f>
        <v>0</v>
      </c>
      <c r="O373" s="675">
        <f>+'Yeşil Defter'!L407</f>
        <v>0</v>
      </c>
      <c r="P373" s="675">
        <f>+'Yeşil Defter'!M407</f>
        <v>0</v>
      </c>
      <c r="Q373" s="212"/>
      <c r="R373" s="605">
        <f t="shared" si="64"/>
        <v>0</v>
      </c>
      <c r="S373" s="225">
        <f t="shared" si="67"/>
        <v>0</v>
      </c>
      <c r="T373" s="237">
        <f t="shared" si="66"/>
        <v>0</v>
      </c>
      <c r="X373" s="23" t="str">
        <f t="shared" si="62"/>
        <v>-</v>
      </c>
    </row>
    <row r="374" spans="1:24" ht="30" customHeight="1" x14ac:dyDescent="0.3">
      <c r="A374" s="262">
        <v>2</v>
      </c>
      <c r="C374" s="244">
        <v>205</v>
      </c>
      <c r="D374" s="161" t="s">
        <v>629</v>
      </c>
      <c r="E374" s="969" t="s">
        <v>630</v>
      </c>
      <c r="F374" s="970"/>
      <c r="G374" s="971"/>
      <c r="H374" s="544" t="s">
        <v>286</v>
      </c>
      <c r="I374" s="212">
        <v>12286105</v>
      </c>
      <c r="J374" s="605"/>
      <c r="K374" s="212">
        <v>1</v>
      </c>
      <c r="L374" s="212">
        <f t="shared" si="63"/>
        <v>12286105</v>
      </c>
      <c r="M374" s="602"/>
      <c r="N374" s="675">
        <f>+'Yeşil Defter'!K408</f>
        <v>0</v>
      </c>
      <c r="O374" s="675">
        <f>+'Yeşil Defter'!L408</f>
        <v>0</v>
      </c>
      <c r="P374" s="675">
        <f>+'Yeşil Defter'!M408</f>
        <v>0</v>
      </c>
      <c r="Q374" s="212"/>
      <c r="R374" s="605">
        <f t="shared" si="64"/>
        <v>0</v>
      </c>
      <c r="S374" s="225">
        <f t="shared" si="67"/>
        <v>0</v>
      </c>
      <c r="T374" s="237">
        <f t="shared" si="66"/>
        <v>0</v>
      </c>
      <c r="X374" s="23" t="str">
        <f t="shared" si="62"/>
        <v>-</v>
      </c>
    </row>
    <row r="375" spans="1:24" ht="30" customHeight="1" x14ac:dyDescent="0.3">
      <c r="A375" s="262">
        <v>2</v>
      </c>
      <c r="C375" s="244">
        <v>206</v>
      </c>
      <c r="D375" s="161" t="s">
        <v>631</v>
      </c>
      <c r="E375" s="969" t="s">
        <v>632</v>
      </c>
      <c r="F375" s="970"/>
      <c r="G375" s="971"/>
      <c r="H375" s="544" t="s">
        <v>286</v>
      </c>
      <c r="I375" s="212">
        <v>28101296</v>
      </c>
      <c r="J375" s="605"/>
      <c r="K375" s="212">
        <v>1</v>
      </c>
      <c r="L375" s="212">
        <f t="shared" si="63"/>
        <v>28101296</v>
      </c>
      <c r="M375" s="602"/>
      <c r="N375" s="675">
        <f>+'Yeşil Defter'!K409</f>
        <v>0</v>
      </c>
      <c r="O375" s="675">
        <f>+'Yeşil Defter'!L409</f>
        <v>0</v>
      </c>
      <c r="P375" s="675">
        <f>+'Yeşil Defter'!M409</f>
        <v>0</v>
      </c>
      <c r="Q375" s="212"/>
      <c r="R375" s="605">
        <f t="shared" si="64"/>
        <v>0</v>
      </c>
      <c r="S375" s="225">
        <f t="shared" si="67"/>
        <v>0</v>
      </c>
      <c r="T375" s="237">
        <f t="shared" si="66"/>
        <v>0</v>
      </c>
      <c r="X375" s="23" t="str">
        <f t="shared" si="62"/>
        <v>-</v>
      </c>
    </row>
    <row r="376" spans="1:24" ht="40.049999999999997" customHeight="1" x14ac:dyDescent="0.3">
      <c r="A376" s="262" t="s">
        <v>1242</v>
      </c>
      <c r="C376" s="258"/>
      <c r="D376" s="258"/>
      <c r="E376" s="972" t="s">
        <v>33</v>
      </c>
      <c r="F376" s="972"/>
      <c r="G376" s="972"/>
      <c r="H376" s="973" t="s">
        <v>29</v>
      </c>
      <c r="I376" s="973"/>
      <c r="J376" s="973"/>
      <c r="K376" s="973"/>
      <c r="L376" s="973"/>
      <c r="M376" s="549"/>
      <c r="N376" s="973" t="s">
        <v>22</v>
      </c>
      <c r="O376" s="973"/>
      <c r="P376" s="973"/>
      <c r="Q376" s="973"/>
      <c r="R376" s="973"/>
      <c r="S376" s="973"/>
      <c r="T376" s="973"/>
      <c r="X376" s="23"/>
    </row>
    <row r="377" spans="1:24" ht="19.95" customHeight="1" x14ac:dyDescent="0.3">
      <c r="A377" s="262" t="s">
        <v>1242</v>
      </c>
      <c r="D377" s="28"/>
      <c r="E377" s="974" t="s">
        <v>1214</v>
      </c>
      <c r="F377" s="974"/>
      <c r="G377" s="974"/>
      <c r="H377" s="975" t="s">
        <v>38</v>
      </c>
      <c r="I377" s="975"/>
      <c r="J377" s="975"/>
      <c r="K377" s="975"/>
      <c r="L377" s="975"/>
      <c r="M377" s="562"/>
      <c r="N377" s="975" t="s">
        <v>1437</v>
      </c>
      <c r="O377" s="975"/>
      <c r="P377" s="975"/>
      <c r="Q377" s="975"/>
      <c r="R377" s="975"/>
      <c r="S377" s="975"/>
      <c r="T377" s="975"/>
      <c r="X377" s="23"/>
    </row>
    <row r="378" spans="1:24" ht="19.95" customHeight="1" x14ac:dyDescent="0.3">
      <c r="A378" s="262" t="s">
        <v>1242</v>
      </c>
      <c r="C378" s="228"/>
      <c r="D378" s="228"/>
      <c r="E378" s="561"/>
      <c r="F378" s="561"/>
      <c r="G378" s="561"/>
      <c r="H378" s="975" t="s">
        <v>32</v>
      </c>
      <c r="I378" s="975"/>
      <c r="J378" s="562"/>
      <c r="K378" s="975" t="s">
        <v>1407</v>
      </c>
      <c r="L378" s="975"/>
      <c r="M378" s="260"/>
      <c r="N378" s="975"/>
      <c r="O378" s="975"/>
      <c r="P378" s="975"/>
      <c r="Q378" s="975"/>
      <c r="R378" s="975"/>
      <c r="S378" s="975"/>
      <c r="T378" s="975"/>
      <c r="X378" s="23"/>
    </row>
    <row r="379" spans="1:24" ht="19.95" customHeight="1" x14ac:dyDescent="0.3">
      <c r="A379" s="262" t="s">
        <v>1242</v>
      </c>
      <c r="C379" s="228"/>
      <c r="D379" s="228"/>
      <c r="E379" s="561"/>
      <c r="F379" s="561"/>
      <c r="G379" s="561"/>
      <c r="H379" s="976" t="s">
        <v>94</v>
      </c>
      <c r="I379" s="976"/>
      <c r="J379" s="623"/>
      <c r="K379" s="976" t="s">
        <v>94</v>
      </c>
      <c r="L379" s="976"/>
      <c r="M379" s="260"/>
      <c r="N379" s="975"/>
      <c r="O379" s="975"/>
      <c r="P379" s="975"/>
      <c r="Q379" s="975"/>
      <c r="R379" s="975"/>
      <c r="S379" s="975"/>
      <c r="T379" s="975"/>
      <c r="X379" s="23"/>
    </row>
    <row r="380" spans="1:24" ht="19.95" customHeight="1" x14ac:dyDescent="0.3">
      <c r="A380" s="262" t="s">
        <v>1242</v>
      </c>
      <c r="C380" s="228"/>
      <c r="D380" s="228"/>
      <c r="E380" s="561"/>
      <c r="F380" s="561"/>
      <c r="G380" s="561"/>
      <c r="H380" s="976"/>
      <c r="I380" s="976"/>
      <c r="J380" s="623"/>
      <c r="K380" s="976"/>
      <c r="L380" s="976"/>
      <c r="M380" s="261"/>
      <c r="N380" s="260"/>
      <c r="O380" s="260"/>
      <c r="P380" s="260"/>
      <c r="Q380" s="260"/>
      <c r="R380" s="260"/>
      <c r="S380" s="624"/>
      <c r="T380" s="260"/>
      <c r="X380" s="23"/>
    </row>
    <row r="381" spans="1:24" ht="19.95" customHeight="1" x14ac:dyDescent="0.3">
      <c r="A381" s="262" t="s">
        <v>1242</v>
      </c>
      <c r="C381" s="228"/>
      <c r="D381" s="228"/>
      <c r="E381" s="561"/>
      <c r="F381" s="561"/>
      <c r="G381" s="561"/>
      <c r="H381" s="975"/>
      <c r="I381" s="975"/>
      <c r="J381" s="562"/>
      <c r="K381" s="975"/>
      <c r="L381" s="975"/>
      <c r="M381" s="562"/>
      <c r="N381" s="968" t="s">
        <v>28</v>
      </c>
      <c r="O381" s="968"/>
      <c r="P381" s="968"/>
      <c r="Q381" s="968"/>
      <c r="R381" s="968"/>
      <c r="S381" s="968"/>
      <c r="T381" s="968"/>
      <c r="X381" s="23"/>
    </row>
    <row r="382" spans="1:24" ht="19.95" customHeight="1" x14ac:dyDescent="0.3">
      <c r="A382" s="262" t="s">
        <v>1242</v>
      </c>
      <c r="C382" s="228"/>
      <c r="D382" s="228"/>
      <c r="E382" s="561"/>
      <c r="F382" s="561"/>
      <c r="G382" s="561"/>
      <c r="H382" s="976" t="s">
        <v>1220</v>
      </c>
      <c r="I382" s="976"/>
      <c r="J382" s="976"/>
      <c r="K382" s="976"/>
      <c r="L382" s="976"/>
      <c r="M382" s="623"/>
      <c r="N382" s="968" t="s">
        <v>1486</v>
      </c>
      <c r="O382" s="968"/>
      <c r="P382" s="968"/>
      <c r="Q382" s="968"/>
      <c r="R382" s="968"/>
      <c r="S382" s="968"/>
      <c r="T382" s="968"/>
      <c r="X382" s="23"/>
    </row>
    <row r="383" spans="1:24" ht="19.95" customHeight="1" x14ac:dyDescent="0.3">
      <c r="A383" s="262" t="s">
        <v>1242</v>
      </c>
      <c r="C383" s="228"/>
      <c r="D383" s="228"/>
      <c r="E383" s="561"/>
      <c r="F383" s="561"/>
      <c r="G383" s="561"/>
      <c r="H383" s="976"/>
      <c r="I383" s="976"/>
      <c r="J383" s="976"/>
      <c r="K383" s="976"/>
      <c r="L383" s="976"/>
      <c r="M383" s="623"/>
      <c r="N383" s="968"/>
      <c r="O383" s="968"/>
      <c r="P383" s="968"/>
      <c r="Q383" s="968"/>
      <c r="R383" s="968"/>
      <c r="S383" s="968"/>
      <c r="T383" s="968"/>
      <c r="X383" s="23"/>
    </row>
    <row r="384" spans="1:24" ht="19.95" customHeight="1" x14ac:dyDescent="0.3">
      <c r="A384" s="262" t="s">
        <v>1242</v>
      </c>
      <c r="C384" s="228"/>
      <c r="D384" s="228"/>
      <c r="E384" s="561"/>
      <c r="F384" s="561"/>
      <c r="G384" s="561"/>
      <c r="H384" s="261"/>
      <c r="I384" s="261"/>
      <c r="J384" s="261"/>
      <c r="K384" s="261"/>
      <c r="L384" s="261"/>
      <c r="M384" s="261"/>
      <c r="N384" s="260"/>
      <c r="O384" s="260"/>
      <c r="P384" s="260"/>
      <c r="Q384" s="260"/>
      <c r="R384" s="260"/>
      <c r="S384" s="624"/>
      <c r="T384" s="260"/>
      <c r="X384" s="23"/>
    </row>
    <row r="385" spans="1:24" ht="19.95" customHeight="1" x14ac:dyDescent="0.3">
      <c r="A385" s="262" t="s">
        <v>1242</v>
      </c>
      <c r="C385" s="228"/>
      <c r="D385" s="228"/>
      <c r="E385" s="975" t="s">
        <v>1215</v>
      </c>
      <c r="F385" s="975"/>
      <c r="G385" s="975"/>
      <c r="H385" s="975" t="s">
        <v>1348</v>
      </c>
      <c r="I385" s="975"/>
      <c r="J385" s="975"/>
      <c r="K385" s="975"/>
      <c r="L385" s="975"/>
      <c r="M385" s="562"/>
      <c r="N385" s="977" t="s">
        <v>1219</v>
      </c>
      <c r="O385" s="968"/>
      <c r="P385" s="968"/>
      <c r="Q385" s="968"/>
      <c r="R385" s="968"/>
      <c r="S385" s="968"/>
      <c r="T385" s="968"/>
      <c r="X385" s="23"/>
    </row>
    <row r="386" spans="1:24" ht="19.95" customHeight="1" x14ac:dyDescent="0.3">
      <c r="A386" s="262" t="s">
        <v>1290</v>
      </c>
      <c r="C386" s="228"/>
      <c r="D386" s="228"/>
      <c r="E386" s="975"/>
      <c r="F386" s="975"/>
      <c r="G386" s="975"/>
      <c r="H386" s="975"/>
      <c r="I386" s="975"/>
      <c r="J386" s="975"/>
      <c r="K386" s="975"/>
      <c r="L386" s="975"/>
      <c r="M386" s="562"/>
      <c r="N386" s="968"/>
      <c r="O386" s="968"/>
      <c r="P386" s="968"/>
      <c r="Q386" s="968"/>
      <c r="R386" s="968"/>
      <c r="S386" s="968"/>
      <c r="T386" s="968"/>
      <c r="X386" s="23"/>
    </row>
    <row r="387" spans="1:24" ht="30" customHeight="1" x14ac:dyDescent="0.3">
      <c r="A387" s="262">
        <v>2</v>
      </c>
      <c r="C387" s="255">
        <v>207</v>
      </c>
      <c r="D387" s="256" t="s">
        <v>633</v>
      </c>
      <c r="E387" s="978" t="s">
        <v>634</v>
      </c>
      <c r="F387" s="979"/>
      <c r="G387" s="980"/>
      <c r="H387" s="546" t="s">
        <v>286</v>
      </c>
      <c r="I387" s="257">
        <v>1415706</v>
      </c>
      <c r="J387" s="606"/>
      <c r="K387" s="257">
        <v>1</v>
      </c>
      <c r="L387" s="257">
        <f t="shared" ref="L387:L409" si="68">+ROUND(I387*K387,2)</f>
        <v>1415706</v>
      </c>
      <c r="M387" s="603"/>
      <c r="N387" s="675">
        <f>+'Yeşil Defter'!K410</f>
        <v>0</v>
      </c>
      <c r="O387" s="675">
        <f>+'Yeşil Defter'!L410</f>
        <v>0</v>
      </c>
      <c r="P387" s="675">
        <f>+'Yeşil Defter'!M410</f>
        <v>0</v>
      </c>
      <c r="Q387" s="257"/>
      <c r="R387" s="606">
        <f t="shared" ref="R387:R409" si="69">+ROUND(K387*N387,2)</f>
        <v>0</v>
      </c>
      <c r="S387" s="247">
        <f t="shared" si="67"/>
        <v>0</v>
      </c>
      <c r="T387" s="248">
        <f t="shared" ref="T387:T409" si="70">+ROUND(K387*P387,2)</f>
        <v>0</v>
      </c>
      <c r="X387" s="23" t="str">
        <f t="shared" si="62"/>
        <v>-</v>
      </c>
    </row>
    <row r="388" spans="1:24" ht="30" customHeight="1" x14ac:dyDescent="0.3">
      <c r="A388" s="262">
        <v>2</v>
      </c>
      <c r="C388" s="244">
        <v>208</v>
      </c>
      <c r="D388" s="161" t="s">
        <v>635</v>
      </c>
      <c r="E388" s="969" t="s">
        <v>636</v>
      </c>
      <c r="F388" s="970"/>
      <c r="G388" s="971"/>
      <c r="H388" s="544" t="s">
        <v>286</v>
      </c>
      <c r="I388" s="212">
        <v>1415706</v>
      </c>
      <c r="J388" s="605"/>
      <c r="K388" s="212">
        <v>1</v>
      </c>
      <c r="L388" s="212">
        <f t="shared" si="68"/>
        <v>1415706</v>
      </c>
      <c r="M388" s="602"/>
      <c r="N388" s="675">
        <f>+'Yeşil Defter'!K411</f>
        <v>0</v>
      </c>
      <c r="O388" s="675">
        <f>+'Yeşil Defter'!L411</f>
        <v>0</v>
      </c>
      <c r="P388" s="675">
        <f>+'Yeşil Defter'!M411</f>
        <v>0</v>
      </c>
      <c r="Q388" s="212"/>
      <c r="R388" s="605">
        <f t="shared" si="69"/>
        <v>0</v>
      </c>
      <c r="S388" s="225">
        <f t="shared" si="67"/>
        <v>0</v>
      </c>
      <c r="T388" s="237">
        <f t="shared" si="70"/>
        <v>0</v>
      </c>
      <c r="X388" s="23" t="str">
        <f t="shared" si="62"/>
        <v>-</v>
      </c>
    </row>
    <row r="389" spans="1:24" ht="30" customHeight="1" x14ac:dyDescent="0.3">
      <c r="A389" s="262">
        <v>2</v>
      </c>
      <c r="C389" s="244">
        <v>209</v>
      </c>
      <c r="D389" s="161" t="s">
        <v>637</v>
      </c>
      <c r="E389" s="969" t="s">
        <v>638</v>
      </c>
      <c r="F389" s="970"/>
      <c r="G389" s="971"/>
      <c r="H389" s="544" t="s">
        <v>286</v>
      </c>
      <c r="I389" s="212">
        <v>1415706</v>
      </c>
      <c r="J389" s="605"/>
      <c r="K389" s="212">
        <v>1</v>
      </c>
      <c r="L389" s="212">
        <f t="shared" si="68"/>
        <v>1415706</v>
      </c>
      <c r="M389" s="602"/>
      <c r="N389" s="675">
        <f>+'Yeşil Defter'!K412</f>
        <v>0</v>
      </c>
      <c r="O389" s="675">
        <f>+'Yeşil Defter'!L412</f>
        <v>0</v>
      </c>
      <c r="P389" s="675">
        <f>+'Yeşil Defter'!M412</f>
        <v>0</v>
      </c>
      <c r="Q389" s="212"/>
      <c r="R389" s="605">
        <f t="shared" si="69"/>
        <v>0</v>
      </c>
      <c r="S389" s="225">
        <f t="shared" si="67"/>
        <v>0</v>
      </c>
      <c r="T389" s="237">
        <f t="shared" si="70"/>
        <v>0</v>
      </c>
      <c r="X389" s="23" t="str">
        <f t="shared" si="62"/>
        <v>-</v>
      </c>
    </row>
    <row r="390" spans="1:24" ht="30" customHeight="1" x14ac:dyDescent="0.3">
      <c r="A390" s="262">
        <v>2</v>
      </c>
      <c r="C390" s="244">
        <v>210</v>
      </c>
      <c r="D390" s="161" t="s">
        <v>639</v>
      </c>
      <c r="E390" s="969" t="s">
        <v>640</v>
      </c>
      <c r="F390" s="970"/>
      <c r="G390" s="971"/>
      <c r="H390" s="544" t="s">
        <v>286</v>
      </c>
      <c r="I390" s="212">
        <v>1415706</v>
      </c>
      <c r="J390" s="605"/>
      <c r="K390" s="212">
        <v>1</v>
      </c>
      <c r="L390" s="212">
        <f t="shared" si="68"/>
        <v>1415706</v>
      </c>
      <c r="M390" s="602"/>
      <c r="N390" s="675">
        <f>+'Yeşil Defter'!K413</f>
        <v>0</v>
      </c>
      <c r="O390" s="675">
        <f>+'Yeşil Defter'!L413</f>
        <v>0</v>
      </c>
      <c r="P390" s="675">
        <f>+'Yeşil Defter'!M413</f>
        <v>0</v>
      </c>
      <c r="Q390" s="212"/>
      <c r="R390" s="605">
        <f t="shared" si="69"/>
        <v>0</v>
      </c>
      <c r="S390" s="225">
        <f t="shared" si="67"/>
        <v>0</v>
      </c>
      <c r="T390" s="237">
        <f t="shared" si="70"/>
        <v>0</v>
      </c>
      <c r="X390" s="23" t="str">
        <f t="shared" si="62"/>
        <v>-</v>
      </c>
    </row>
    <row r="391" spans="1:24" ht="30" customHeight="1" x14ac:dyDescent="0.3">
      <c r="A391" s="262">
        <v>2</v>
      </c>
      <c r="C391" s="244">
        <v>211</v>
      </c>
      <c r="D391" s="161" t="s">
        <v>641</v>
      </c>
      <c r="E391" s="969" t="s">
        <v>642</v>
      </c>
      <c r="F391" s="970"/>
      <c r="G391" s="971"/>
      <c r="H391" s="544" t="s">
        <v>286</v>
      </c>
      <c r="I391" s="212">
        <v>1415706</v>
      </c>
      <c r="J391" s="605"/>
      <c r="K391" s="212">
        <v>1</v>
      </c>
      <c r="L391" s="212">
        <f t="shared" si="68"/>
        <v>1415706</v>
      </c>
      <c r="M391" s="602"/>
      <c r="N391" s="675">
        <f>+'Yeşil Defter'!K414</f>
        <v>0</v>
      </c>
      <c r="O391" s="675">
        <f>+'Yeşil Defter'!L414</f>
        <v>0</v>
      </c>
      <c r="P391" s="675">
        <f>+'Yeşil Defter'!M414</f>
        <v>0</v>
      </c>
      <c r="Q391" s="212"/>
      <c r="R391" s="605">
        <f t="shared" si="69"/>
        <v>0</v>
      </c>
      <c r="S391" s="225">
        <f t="shared" si="67"/>
        <v>0</v>
      </c>
      <c r="T391" s="237">
        <f t="shared" si="70"/>
        <v>0</v>
      </c>
      <c r="X391" s="23" t="str">
        <f t="shared" si="62"/>
        <v>-</v>
      </c>
    </row>
    <row r="392" spans="1:24" ht="30" customHeight="1" x14ac:dyDescent="0.3">
      <c r="A392" s="262">
        <v>2</v>
      </c>
      <c r="C392" s="244">
        <v>212</v>
      </c>
      <c r="D392" s="161" t="s">
        <v>643</v>
      </c>
      <c r="E392" s="969" t="s">
        <v>644</v>
      </c>
      <c r="F392" s="970"/>
      <c r="G392" s="971"/>
      <c r="H392" s="544" t="s">
        <v>286</v>
      </c>
      <c r="I392" s="212">
        <v>17873116</v>
      </c>
      <c r="J392" s="605"/>
      <c r="K392" s="212">
        <v>1</v>
      </c>
      <c r="L392" s="212">
        <f t="shared" si="68"/>
        <v>17873116</v>
      </c>
      <c r="M392" s="602"/>
      <c r="N392" s="675">
        <f>+'Yeşil Defter'!K415</f>
        <v>0</v>
      </c>
      <c r="O392" s="675">
        <f>+'Yeşil Defter'!L415</f>
        <v>0</v>
      </c>
      <c r="P392" s="675">
        <f>+'Yeşil Defter'!M415</f>
        <v>0</v>
      </c>
      <c r="Q392" s="212"/>
      <c r="R392" s="605">
        <f t="shared" si="69"/>
        <v>0</v>
      </c>
      <c r="S392" s="225">
        <f t="shared" si="67"/>
        <v>0</v>
      </c>
      <c r="T392" s="237">
        <f t="shared" si="70"/>
        <v>0</v>
      </c>
      <c r="X392" s="23" t="str">
        <f t="shared" si="62"/>
        <v>-</v>
      </c>
    </row>
    <row r="393" spans="1:24" ht="30" customHeight="1" x14ac:dyDescent="0.3">
      <c r="A393" s="262">
        <v>2</v>
      </c>
      <c r="C393" s="244">
        <v>213</v>
      </c>
      <c r="D393" s="161" t="s">
        <v>645</v>
      </c>
      <c r="E393" s="969" t="s">
        <v>646</v>
      </c>
      <c r="F393" s="970"/>
      <c r="G393" s="971"/>
      <c r="H393" s="544" t="s">
        <v>286</v>
      </c>
      <c r="I393" s="212">
        <v>21676260</v>
      </c>
      <c r="J393" s="605"/>
      <c r="K393" s="212">
        <v>1</v>
      </c>
      <c r="L393" s="212">
        <f t="shared" si="68"/>
        <v>21676260</v>
      </c>
      <c r="M393" s="602"/>
      <c r="N393" s="675">
        <f>+'Yeşil Defter'!K416</f>
        <v>0</v>
      </c>
      <c r="O393" s="675">
        <f>+'Yeşil Defter'!L416</f>
        <v>0</v>
      </c>
      <c r="P393" s="675">
        <f>+'Yeşil Defter'!M416</f>
        <v>0</v>
      </c>
      <c r="Q393" s="212"/>
      <c r="R393" s="605">
        <f t="shared" si="69"/>
        <v>0</v>
      </c>
      <c r="S393" s="225">
        <f t="shared" si="67"/>
        <v>0</v>
      </c>
      <c r="T393" s="237">
        <f t="shared" si="70"/>
        <v>0</v>
      </c>
      <c r="X393" s="23" t="str">
        <f t="shared" si="62"/>
        <v>-</v>
      </c>
    </row>
    <row r="394" spans="1:24" ht="30" customHeight="1" x14ac:dyDescent="0.3">
      <c r="A394" s="262">
        <v>2</v>
      </c>
      <c r="C394" s="244">
        <v>214</v>
      </c>
      <c r="D394" s="161" t="s">
        <v>647</v>
      </c>
      <c r="E394" s="969" t="s">
        <v>648</v>
      </c>
      <c r="F394" s="970"/>
      <c r="G394" s="971"/>
      <c r="H394" s="544" t="s">
        <v>286</v>
      </c>
      <c r="I394" s="212">
        <v>19075108</v>
      </c>
      <c r="J394" s="605"/>
      <c r="K394" s="212">
        <v>1</v>
      </c>
      <c r="L394" s="212">
        <f t="shared" si="68"/>
        <v>19075108</v>
      </c>
      <c r="M394" s="602"/>
      <c r="N394" s="675">
        <f>+'Yeşil Defter'!K417</f>
        <v>0</v>
      </c>
      <c r="O394" s="675">
        <f>+'Yeşil Defter'!L417</f>
        <v>0</v>
      </c>
      <c r="P394" s="675">
        <f>+'Yeşil Defter'!M417</f>
        <v>0</v>
      </c>
      <c r="Q394" s="212"/>
      <c r="R394" s="605">
        <f t="shared" si="69"/>
        <v>0</v>
      </c>
      <c r="S394" s="225">
        <f t="shared" si="67"/>
        <v>0</v>
      </c>
      <c r="T394" s="237">
        <f t="shared" si="70"/>
        <v>0</v>
      </c>
      <c r="X394" s="23" t="str">
        <f t="shared" si="62"/>
        <v>-</v>
      </c>
    </row>
    <row r="395" spans="1:24" ht="30" customHeight="1" x14ac:dyDescent="0.3">
      <c r="A395" s="262">
        <v>2</v>
      </c>
      <c r="C395" s="244">
        <v>215</v>
      </c>
      <c r="D395" s="161" t="s">
        <v>649</v>
      </c>
      <c r="E395" s="969" t="s">
        <v>650</v>
      </c>
      <c r="F395" s="970"/>
      <c r="G395" s="971"/>
      <c r="H395" s="544" t="s">
        <v>286</v>
      </c>
      <c r="I395" s="212">
        <v>19075108</v>
      </c>
      <c r="J395" s="605"/>
      <c r="K395" s="212">
        <v>1</v>
      </c>
      <c r="L395" s="212">
        <f t="shared" si="68"/>
        <v>19075108</v>
      </c>
      <c r="M395" s="602"/>
      <c r="N395" s="675">
        <f>+'Yeşil Defter'!K418</f>
        <v>0</v>
      </c>
      <c r="O395" s="675">
        <f>+'Yeşil Defter'!L418</f>
        <v>0</v>
      </c>
      <c r="P395" s="675">
        <f>+'Yeşil Defter'!M418</f>
        <v>0</v>
      </c>
      <c r="Q395" s="212"/>
      <c r="R395" s="605">
        <f t="shared" si="69"/>
        <v>0</v>
      </c>
      <c r="S395" s="225">
        <f t="shared" si="67"/>
        <v>0</v>
      </c>
      <c r="T395" s="237">
        <f t="shared" si="70"/>
        <v>0</v>
      </c>
      <c r="X395" s="23" t="str">
        <f t="shared" si="62"/>
        <v>-</v>
      </c>
    </row>
    <row r="396" spans="1:24" ht="30" customHeight="1" x14ac:dyDescent="0.3">
      <c r="A396" s="262">
        <v>2</v>
      </c>
      <c r="C396" s="244">
        <v>216</v>
      </c>
      <c r="D396" s="161" t="s">
        <v>651</v>
      </c>
      <c r="E396" s="969" t="s">
        <v>652</v>
      </c>
      <c r="F396" s="970"/>
      <c r="G396" s="971"/>
      <c r="H396" s="544" t="s">
        <v>286</v>
      </c>
      <c r="I396" s="212">
        <v>19075108</v>
      </c>
      <c r="J396" s="605"/>
      <c r="K396" s="212">
        <v>1</v>
      </c>
      <c r="L396" s="212">
        <f t="shared" si="68"/>
        <v>19075108</v>
      </c>
      <c r="M396" s="602"/>
      <c r="N396" s="675">
        <f>+'Yeşil Defter'!K419</f>
        <v>0</v>
      </c>
      <c r="O396" s="675">
        <f>+'Yeşil Defter'!L419</f>
        <v>0</v>
      </c>
      <c r="P396" s="675">
        <f>+'Yeşil Defter'!M419</f>
        <v>0</v>
      </c>
      <c r="Q396" s="212"/>
      <c r="R396" s="605">
        <f t="shared" si="69"/>
        <v>0</v>
      </c>
      <c r="S396" s="225">
        <f t="shared" si="67"/>
        <v>0</v>
      </c>
      <c r="T396" s="237">
        <f t="shared" si="70"/>
        <v>0</v>
      </c>
      <c r="X396" s="23" t="str">
        <f t="shared" si="62"/>
        <v>-</v>
      </c>
    </row>
    <row r="397" spans="1:24" ht="30" customHeight="1" x14ac:dyDescent="0.3">
      <c r="A397" s="262">
        <v>2</v>
      </c>
      <c r="C397" s="244">
        <v>217</v>
      </c>
      <c r="D397" s="161" t="s">
        <v>653</v>
      </c>
      <c r="E397" s="969" t="s">
        <v>654</v>
      </c>
      <c r="F397" s="970"/>
      <c r="G397" s="971"/>
      <c r="H397" s="544" t="s">
        <v>286</v>
      </c>
      <c r="I397" s="212">
        <v>23121344</v>
      </c>
      <c r="J397" s="605"/>
      <c r="K397" s="212">
        <v>1</v>
      </c>
      <c r="L397" s="212">
        <f t="shared" si="68"/>
        <v>23121344</v>
      </c>
      <c r="M397" s="602"/>
      <c r="N397" s="675">
        <f>+'Yeşil Defter'!K420</f>
        <v>0</v>
      </c>
      <c r="O397" s="675">
        <f>+'Yeşil Defter'!L420</f>
        <v>0</v>
      </c>
      <c r="P397" s="675">
        <f>+'Yeşil Defter'!M420</f>
        <v>0</v>
      </c>
      <c r="Q397" s="212"/>
      <c r="R397" s="605">
        <f t="shared" si="69"/>
        <v>0</v>
      </c>
      <c r="S397" s="225">
        <f t="shared" si="67"/>
        <v>0</v>
      </c>
      <c r="T397" s="237">
        <f t="shared" si="70"/>
        <v>0</v>
      </c>
      <c r="X397" s="23" t="str">
        <f t="shared" si="62"/>
        <v>-</v>
      </c>
    </row>
    <row r="398" spans="1:24" ht="30" customHeight="1" x14ac:dyDescent="0.3">
      <c r="A398" s="262">
        <v>2</v>
      </c>
      <c r="C398" s="244">
        <v>218</v>
      </c>
      <c r="D398" s="161" t="s">
        <v>655</v>
      </c>
      <c r="E398" s="969" t="s">
        <v>656</v>
      </c>
      <c r="F398" s="970"/>
      <c r="G398" s="971"/>
      <c r="H398" s="544" t="s">
        <v>286</v>
      </c>
      <c r="I398" s="212">
        <v>43080843</v>
      </c>
      <c r="J398" s="605"/>
      <c r="K398" s="212">
        <v>1</v>
      </c>
      <c r="L398" s="212">
        <f t="shared" si="68"/>
        <v>43080843</v>
      </c>
      <c r="M398" s="602"/>
      <c r="N398" s="675">
        <f>+'Yeşil Defter'!K433</f>
        <v>0</v>
      </c>
      <c r="O398" s="675">
        <f>+'Yeşil Defter'!L433</f>
        <v>0</v>
      </c>
      <c r="P398" s="675">
        <f>+'Yeşil Defter'!M433</f>
        <v>0</v>
      </c>
      <c r="Q398" s="212"/>
      <c r="R398" s="605">
        <f t="shared" si="69"/>
        <v>0</v>
      </c>
      <c r="S398" s="225">
        <f t="shared" si="67"/>
        <v>0</v>
      </c>
      <c r="T398" s="237">
        <f t="shared" si="70"/>
        <v>0</v>
      </c>
      <c r="X398" s="23" t="str">
        <f t="shared" si="62"/>
        <v>-</v>
      </c>
    </row>
    <row r="399" spans="1:24" ht="30" customHeight="1" x14ac:dyDescent="0.3">
      <c r="A399" s="262">
        <v>2</v>
      </c>
      <c r="C399" s="244">
        <v>219</v>
      </c>
      <c r="D399" s="161" t="s">
        <v>657</v>
      </c>
      <c r="E399" s="969" t="s">
        <v>658</v>
      </c>
      <c r="F399" s="970"/>
      <c r="G399" s="971"/>
      <c r="H399" s="544" t="s">
        <v>286</v>
      </c>
      <c r="I399" s="212">
        <v>2427741</v>
      </c>
      <c r="J399" s="605"/>
      <c r="K399" s="212">
        <v>1</v>
      </c>
      <c r="L399" s="212">
        <f t="shared" si="68"/>
        <v>2427741</v>
      </c>
      <c r="M399" s="602"/>
      <c r="N399" s="675">
        <f>+'Yeşil Defter'!K434</f>
        <v>0</v>
      </c>
      <c r="O399" s="675">
        <f>+'Yeşil Defter'!L434</f>
        <v>0</v>
      </c>
      <c r="P399" s="675">
        <f>+'Yeşil Defter'!M434</f>
        <v>0</v>
      </c>
      <c r="Q399" s="212"/>
      <c r="R399" s="605">
        <f t="shared" si="69"/>
        <v>0</v>
      </c>
      <c r="S399" s="225">
        <f t="shared" si="67"/>
        <v>0</v>
      </c>
      <c r="T399" s="237">
        <f t="shared" si="70"/>
        <v>0</v>
      </c>
      <c r="X399" s="23" t="str">
        <f t="shared" si="62"/>
        <v>-</v>
      </c>
    </row>
    <row r="400" spans="1:24" ht="30" customHeight="1" x14ac:dyDescent="0.3">
      <c r="A400" s="262">
        <v>2</v>
      </c>
      <c r="C400" s="244">
        <v>220</v>
      </c>
      <c r="D400" s="161" t="s">
        <v>659</v>
      </c>
      <c r="E400" s="969" t="s">
        <v>660</v>
      </c>
      <c r="F400" s="970"/>
      <c r="G400" s="971"/>
      <c r="H400" s="544" t="s">
        <v>286</v>
      </c>
      <c r="I400" s="212">
        <v>2554908</v>
      </c>
      <c r="J400" s="605"/>
      <c r="K400" s="212">
        <v>1</v>
      </c>
      <c r="L400" s="212">
        <f t="shared" si="68"/>
        <v>2554908</v>
      </c>
      <c r="M400" s="602"/>
      <c r="N400" s="675">
        <f>+'Yeşil Defter'!K435</f>
        <v>0</v>
      </c>
      <c r="O400" s="675">
        <f>+'Yeşil Defter'!L435</f>
        <v>0</v>
      </c>
      <c r="P400" s="675">
        <f>+'Yeşil Defter'!M435</f>
        <v>0</v>
      </c>
      <c r="Q400" s="212"/>
      <c r="R400" s="605">
        <f t="shared" si="69"/>
        <v>0</v>
      </c>
      <c r="S400" s="225">
        <f t="shared" si="67"/>
        <v>0</v>
      </c>
      <c r="T400" s="237">
        <f t="shared" si="70"/>
        <v>0</v>
      </c>
      <c r="X400" s="23" t="str">
        <f t="shared" si="62"/>
        <v>-</v>
      </c>
    </row>
    <row r="401" spans="1:24" ht="30" customHeight="1" x14ac:dyDescent="0.3">
      <c r="A401" s="262">
        <v>2</v>
      </c>
      <c r="C401" s="244">
        <v>221</v>
      </c>
      <c r="D401" s="161" t="s">
        <v>661</v>
      </c>
      <c r="E401" s="969" t="s">
        <v>662</v>
      </c>
      <c r="F401" s="970"/>
      <c r="G401" s="971"/>
      <c r="H401" s="544" t="s">
        <v>286</v>
      </c>
      <c r="I401" s="212">
        <v>2630053</v>
      </c>
      <c r="J401" s="605"/>
      <c r="K401" s="212">
        <v>1</v>
      </c>
      <c r="L401" s="212">
        <f t="shared" si="68"/>
        <v>2630053</v>
      </c>
      <c r="M401" s="602"/>
      <c r="N401" s="675">
        <f>+'Yeşil Defter'!K436</f>
        <v>0</v>
      </c>
      <c r="O401" s="675">
        <f>+'Yeşil Defter'!L436</f>
        <v>0</v>
      </c>
      <c r="P401" s="675">
        <f>+'Yeşil Defter'!M436</f>
        <v>0</v>
      </c>
      <c r="Q401" s="212"/>
      <c r="R401" s="605">
        <f t="shared" si="69"/>
        <v>0</v>
      </c>
      <c r="S401" s="225">
        <f t="shared" si="67"/>
        <v>0</v>
      </c>
      <c r="T401" s="237">
        <f t="shared" si="70"/>
        <v>0</v>
      </c>
      <c r="X401" s="23" t="str">
        <f t="shared" ref="X401:X462" si="71">IF(AND(P402&gt;K402*1.2, (P402-K402)*I402 &gt; $L$13*0.01), "RBF", "-")</f>
        <v>-</v>
      </c>
    </row>
    <row r="402" spans="1:24" ht="30" customHeight="1" x14ac:dyDescent="0.3">
      <c r="A402" s="262">
        <v>2</v>
      </c>
      <c r="C402" s="244">
        <v>222</v>
      </c>
      <c r="D402" s="161" t="s">
        <v>663</v>
      </c>
      <c r="E402" s="969" t="s">
        <v>664</v>
      </c>
      <c r="F402" s="970"/>
      <c r="G402" s="971"/>
      <c r="H402" s="544" t="s">
        <v>286</v>
      </c>
      <c r="I402" s="212">
        <v>2745660</v>
      </c>
      <c r="J402" s="605"/>
      <c r="K402" s="212">
        <v>1</v>
      </c>
      <c r="L402" s="212">
        <f t="shared" si="68"/>
        <v>2745660</v>
      </c>
      <c r="M402" s="602"/>
      <c r="N402" s="675">
        <f>+'Yeşil Defter'!K437</f>
        <v>0</v>
      </c>
      <c r="O402" s="675">
        <f>+'Yeşil Defter'!L437</f>
        <v>0</v>
      </c>
      <c r="P402" s="675">
        <f>+'Yeşil Defter'!M437</f>
        <v>0</v>
      </c>
      <c r="Q402" s="212"/>
      <c r="R402" s="605">
        <f t="shared" si="69"/>
        <v>0</v>
      </c>
      <c r="S402" s="225">
        <f t="shared" si="67"/>
        <v>0</v>
      </c>
      <c r="T402" s="237">
        <f t="shared" si="70"/>
        <v>0</v>
      </c>
      <c r="X402" s="23" t="str">
        <f t="shared" si="71"/>
        <v>-</v>
      </c>
    </row>
    <row r="403" spans="1:24" ht="30" customHeight="1" x14ac:dyDescent="0.3">
      <c r="A403" s="262">
        <v>2</v>
      </c>
      <c r="C403" s="244">
        <v>223</v>
      </c>
      <c r="D403" s="161" t="s">
        <v>665</v>
      </c>
      <c r="E403" s="969" t="s">
        <v>666</v>
      </c>
      <c r="F403" s="970"/>
      <c r="G403" s="971"/>
      <c r="H403" s="544" t="s">
        <v>286</v>
      </c>
      <c r="I403" s="212">
        <v>2861266</v>
      </c>
      <c r="J403" s="605"/>
      <c r="K403" s="212">
        <v>1</v>
      </c>
      <c r="L403" s="212">
        <f t="shared" si="68"/>
        <v>2861266</v>
      </c>
      <c r="M403" s="602"/>
      <c r="N403" s="675">
        <f>+'Yeşil Defter'!K438</f>
        <v>0</v>
      </c>
      <c r="O403" s="675">
        <f>+'Yeşil Defter'!L438</f>
        <v>0</v>
      </c>
      <c r="P403" s="675">
        <f>+'Yeşil Defter'!M438</f>
        <v>0</v>
      </c>
      <c r="Q403" s="212"/>
      <c r="R403" s="605">
        <f t="shared" si="69"/>
        <v>0</v>
      </c>
      <c r="S403" s="225">
        <f t="shared" si="67"/>
        <v>0</v>
      </c>
      <c r="T403" s="237">
        <f t="shared" si="70"/>
        <v>0</v>
      </c>
      <c r="X403" s="23" t="str">
        <f t="shared" si="71"/>
        <v>-</v>
      </c>
    </row>
    <row r="404" spans="1:24" ht="30" customHeight="1" x14ac:dyDescent="0.3">
      <c r="A404" s="262">
        <v>2</v>
      </c>
      <c r="C404" s="244">
        <v>224</v>
      </c>
      <c r="D404" s="161" t="s">
        <v>667</v>
      </c>
      <c r="E404" s="969" t="s">
        <v>668</v>
      </c>
      <c r="F404" s="970"/>
      <c r="G404" s="971"/>
      <c r="H404" s="544" t="s">
        <v>286</v>
      </c>
      <c r="I404" s="212">
        <v>6098559</v>
      </c>
      <c r="J404" s="605"/>
      <c r="K404" s="212">
        <v>1</v>
      </c>
      <c r="L404" s="212">
        <f t="shared" si="68"/>
        <v>6098559</v>
      </c>
      <c r="M404" s="602"/>
      <c r="N404" s="675">
        <f>+'Yeşil Defter'!K439</f>
        <v>0</v>
      </c>
      <c r="O404" s="675">
        <f>+'Yeşil Defter'!L439</f>
        <v>0</v>
      </c>
      <c r="P404" s="675">
        <f>+'Yeşil Defter'!M439</f>
        <v>0</v>
      </c>
      <c r="Q404" s="212"/>
      <c r="R404" s="605">
        <f t="shared" si="69"/>
        <v>0</v>
      </c>
      <c r="S404" s="225">
        <f t="shared" si="67"/>
        <v>0</v>
      </c>
      <c r="T404" s="237">
        <f t="shared" si="70"/>
        <v>0</v>
      </c>
      <c r="X404" s="23" t="str">
        <f t="shared" si="71"/>
        <v>-</v>
      </c>
    </row>
    <row r="405" spans="1:24" ht="30" customHeight="1" x14ac:dyDescent="0.3">
      <c r="A405" s="262">
        <v>2</v>
      </c>
      <c r="C405" s="244">
        <v>225</v>
      </c>
      <c r="D405" s="161" t="s">
        <v>669</v>
      </c>
      <c r="E405" s="969" t="s">
        <v>670</v>
      </c>
      <c r="F405" s="970"/>
      <c r="G405" s="971"/>
      <c r="H405" s="544" t="s">
        <v>286</v>
      </c>
      <c r="I405" s="212">
        <v>6098559</v>
      </c>
      <c r="J405" s="605"/>
      <c r="K405" s="212">
        <v>1</v>
      </c>
      <c r="L405" s="212">
        <f t="shared" si="68"/>
        <v>6098559</v>
      </c>
      <c r="M405" s="602"/>
      <c r="N405" s="675">
        <f>+'Yeşil Defter'!K440</f>
        <v>0</v>
      </c>
      <c r="O405" s="675">
        <f>+'Yeşil Defter'!L440</f>
        <v>0</v>
      </c>
      <c r="P405" s="675">
        <f>+'Yeşil Defter'!M440</f>
        <v>0</v>
      </c>
      <c r="Q405" s="212"/>
      <c r="R405" s="605">
        <f t="shared" si="69"/>
        <v>0</v>
      </c>
      <c r="S405" s="225">
        <f t="shared" si="67"/>
        <v>0</v>
      </c>
      <c r="T405" s="237">
        <f t="shared" si="70"/>
        <v>0</v>
      </c>
      <c r="X405" s="23" t="str">
        <f t="shared" si="71"/>
        <v>-</v>
      </c>
    </row>
    <row r="406" spans="1:24" ht="30" customHeight="1" x14ac:dyDescent="0.3">
      <c r="A406" s="262">
        <v>2</v>
      </c>
      <c r="C406" s="244">
        <v>226</v>
      </c>
      <c r="D406" s="161" t="s">
        <v>671</v>
      </c>
      <c r="E406" s="969" t="s">
        <v>672</v>
      </c>
      <c r="F406" s="970"/>
      <c r="G406" s="971"/>
      <c r="H406" s="544" t="s">
        <v>286</v>
      </c>
      <c r="I406" s="212">
        <v>6098559</v>
      </c>
      <c r="J406" s="605"/>
      <c r="K406" s="212">
        <v>1</v>
      </c>
      <c r="L406" s="212">
        <f t="shared" si="68"/>
        <v>6098559</v>
      </c>
      <c r="M406" s="602"/>
      <c r="N406" s="675">
        <f>+'Yeşil Defter'!K441</f>
        <v>0</v>
      </c>
      <c r="O406" s="675">
        <f>+'Yeşil Defter'!L441</f>
        <v>0</v>
      </c>
      <c r="P406" s="675">
        <f>+'Yeşil Defter'!M441</f>
        <v>0</v>
      </c>
      <c r="Q406" s="212"/>
      <c r="R406" s="605">
        <f t="shared" si="69"/>
        <v>0</v>
      </c>
      <c r="S406" s="225">
        <f t="shared" si="67"/>
        <v>0</v>
      </c>
      <c r="T406" s="237">
        <f t="shared" si="70"/>
        <v>0</v>
      </c>
      <c r="X406" s="23" t="str">
        <f t="shared" si="71"/>
        <v>-</v>
      </c>
    </row>
    <row r="407" spans="1:24" ht="30" customHeight="1" x14ac:dyDescent="0.3">
      <c r="A407" s="262">
        <v>2</v>
      </c>
      <c r="C407" s="244">
        <v>227</v>
      </c>
      <c r="D407" s="161" t="s">
        <v>673</v>
      </c>
      <c r="E407" s="969" t="s">
        <v>674</v>
      </c>
      <c r="F407" s="970"/>
      <c r="G407" s="971"/>
      <c r="H407" s="544" t="s">
        <v>286</v>
      </c>
      <c r="I407" s="212">
        <v>6098559</v>
      </c>
      <c r="J407" s="605"/>
      <c r="K407" s="212">
        <v>1</v>
      </c>
      <c r="L407" s="212">
        <f t="shared" si="68"/>
        <v>6098559</v>
      </c>
      <c r="M407" s="602"/>
      <c r="N407" s="675">
        <f>+'Yeşil Defter'!K442</f>
        <v>0</v>
      </c>
      <c r="O407" s="675">
        <f>+'Yeşil Defter'!L442</f>
        <v>0</v>
      </c>
      <c r="P407" s="675">
        <f>+'Yeşil Defter'!M442</f>
        <v>0</v>
      </c>
      <c r="Q407" s="212"/>
      <c r="R407" s="605">
        <f t="shared" si="69"/>
        <v>0</v>
      </c>
      <c r="S407" s="225">
        <f t="shared" si="67"/>
        <v>0</v>
      </c>
      <c r="T407" s="237">
        <f t="shared" si="70"/>
        <v>0</v>
      </c>
      <c r="X407" s="23" t="str">
        <f t="shared" si="71"/>
        <v>-</v>
      </c>
    </row>
    <row r="408" spans="1:24" ht="30" customHeight="1" x14ac:dyDescent="0.3">
      <c r="A408" s="262">
        <v>2</v>
      </c>
      <c r="C408" s="244">
        <v>228</v>
      </c>
      <c r="D408" s="161" t="s">
        <v>675</v>
      </c>
      <c r="E408" s="969" t="s">
        <v>676</v>
      </c>
      <c r="F408" s="970"/>
      <c r="G408" s="971"/>
      <c r="H408" s="544" t="s">
        <v>286</v>
      </c>
      <c r="I408" s="212">
        <v>6098559</v>
      </c>
      <c r="J408" s="605"/>
      <c r="K408" s="212">
        <v>1</v>
      </c>
      <c r="L408" s="212">
        <f t="shared" si="68"/>
        <v>6098559</v>
      </c>
      <c r="M408" s="602"/>
      <c r="N408" s="675">
        <f>+'Yeşil Defter'!K443</f>
        <v>0</v>
      </c>
      <c r="O408" s="675">
        <f>+'Yeşil Defter'!L443</f>
        <v>0</v>
      </c>
      <c r="P408" s="675">
        <f>+'Yeşil Defter'!M443</f>
        <v>0</v>
      </c>
      <c r="Q408" s="212"/>
      <c r="R408" s="605">
        <f t="shared" si="69"/>
        <v>0</v>
      </c>
      <c r="S408" s="225">
        <f t="shared" si="67"/>
        <v>0</v>
      </c>
      <c r="T408" s="237">
        <f t="shared" si="70"/>
        <v>0</v>
      </c>
      <c r="X408" s="23" t="str">
        <f t="shared" si="71"/>
        <v>-</v>
      </c>
    </row>
    <row r="409" spans="1:24" ht="30" customHeight="1" x14ac:dyDescent="0.3">
      <c r="A409" s="262">
        <v>2</v>
      </c>
      <c r="C409" s="244">
        <v>229</v>
      </c>
      <c r="D409" s="161" t="s">
        <v>677</v>
      </c>
      <c r="E409" s="969" t="s">
        <v>678</v>
      </c>
      <c r="F409" s="970"/>
      <c r="G409" s="971"/>
      <c r="H409" s="544" t="s">
        <v>286</v>
      </c>
      <c r="I409" s="212">
        <v>2604464</v>
      </c>
      <c r="J409" s="605"/>
      <c r="K409" s="212">
        <v>1</v>
      </c>
      <c r="L409" s="212">
        <f t="shared" si="68"/>
        <v>2604464</v>
      </c>
      <c r="M409" s="602"/>
      <c r="N409" s="675">
        <f>+'Yeşil Defter'!K444</f>
        <v>0</v>
      </c>
      <c r="O409" s="675">
        <f>+'Yeşil Defter'!L444</f>
        <v>0</v>
      </c>
      <c r="P409" s="675">
        <f>+'Yeşil Defter'!M444</f>
        <v>0</v>
      </c>
      <c r="Q409" s="212"/>
      <c r="R409" s="605">
        <f t="shared" si="69"/>
        <v>0</v>
      </c>
      <c r="S409" s="225">
        <f t="shared" si="67"/>
        <v>0</v>
      </c>
      <c r="T409" s="237">
        <f t="shared" si="70"/>
        <v>0</v>
      </c>
      <c r="X409" s="23" t="str">
        <f t="shared" si="71"/>
        <v>-</v>
      </c>
    </row>
    <row r="410" spans="1:24" ht="40.049999999999997" customHeight="1" x14ac:dyDescent="0.3">
      <c r="A410" s="262" t="s">
        <v>1242</v>
      </c>
      <c r="C410" s="258"/>
      <c r="D410" s="258"/>
      <c r="E410" s="972" t="s">
        <v>33</v>
      </c>
      <c r="F410" s="972"/>
      <c r="G410" s="972"/>
      <c r="H410" s="973" t="s">
        <v>29</v>
      </c>
      <c r="I410" s="973"/>
      <c r="J410" s="973"/>
      <c r="K410" s="973"/>
      <c r="L410" s="973"/>
      <c r="M410" s="549"/>
      <c r="N410" s="973" t="s">
        <v>22</v>
      </c>
      <c r="O410" s="973"/>
      <c r="P410" s="973"/>
      <c r="Q410" s="973"/>
      <c r="R410" s="973"/>
      <c r="S410" s="973"/>
      <c r="T410" s="973"/>
      <c r="X410" s="23"/>
    </row>
    <row r="411" spans="1:24" ht="19.95" customHeight="1" x14ac:dyDescent="0.3">
      <c r="A411" s="262" t="s">
        <v>1242</v>
      </c>
      <c r="D411" s="28"/>
      <c r="E411" s="974" t="s">
        <v>1214</v>
      </c>
      <c r="F411" s="974"/>
      <c r="G411" s="974"/>
      <c r="H411" s="975" t="s">
        <v>38</v>
      </c>
      <c r="I411" s="975"/>
      <c r="J411" s="975"/>
      <c r="K411" s="975"/>
      <c r="L411" s="975"/>
      <c r="M411" s="562"/>
      <c r="N411" s="975" t="s">
        <v>1437</v>
      </c>
      <c r="O411" s="975"/>
      <c r="P411" s="975"/>
      <c r="Q411" s="975"/>
      <c r="R411" s="975"/>
      <c r="S411" s="975"/>
      <c r="T411" s="975"/>
      <c r="X411" s="23"/>
    </row>
    <row r="412" spans="1:24" ht="19.95" customHeight="1" x14ac:dyDescent="0.3">
      <c r="A412" s="262" t="s">
        <v>1242</v>
      </c>
      <c r="C412" s="228"/>
      <c r="D412" s="228"/>
      <c r="E412" s="561"/>
      <c r="F412" s="561"/>
      <c r="G412" s="561"/>
      <c r="H412" s="975" t="s">
        <v>32</v>
      </c>
      <c r="I412" s="975"/>
      <c r="J412" s="562"/>
      <c r="K412" s="975" t="s">
        <v>1407</v>
      </c>
      <c r="L412" s="975"/>
      <c r="M412" s="260"/>
      <c r="N412" s="975"/>
      <c r="O412" s="975"/>
      <c r="P412" s="975"/>
      <c r="Q412" s="975"/>
      <c r="R412" s="975"/>
      <c r="S412" s="975"/>
      <c r="T412" s="975"/>
      <c r="X412" s="23"/>
    </row>
    <row r="413" spans="1:24" ht="19.95" customHeight="1" x14ac:dyDescent="0.3">
      <c r="A413" s="262" t="s">
        <v>1242</v>
      </c>
      <c r="C413" s="228"/>
      <c r="D413" s="228"/>
      <c r="E413" s="561"/>
      <c r="F413" s="561"/>
      <c r="G413" s="561"/>
      <c r="H413" s="976" t="s">
        <v>94</v>
      </c>
      <c r="I413" s="976"/>
      <c r="J413" s="623"/>
      <c r="K413" s="976" t="s">
        <v>94</v>
      </c>
      <c r="L413" s="976"/>
      <c r="M413" s="260"/>
      <c r="N413" s="975"/>
      <c r="O413" s="975"/>
      <c r="P413" s="975"/>
      <c r="Q413" s="975"/>
      <c r="R413" s="975"/>
      <c r="S413" s="975"/>
      <c r="T413" s="975"/>
      <c r="X413" s="23"/>
    </row>
    <row r="414" spans="1:24" ht="19.95" customHeight="1" x14ac:dyDescent="0.3">
      <c r="A414" s="262" t="s">
        <v>1242</v>
      </c>
      <c r="C414" s="228"/>
      <c r="D414" s="228"/>
      <c r="E414" s="561"/>
      <c r="F414" s="561"/>
      <c r="G414" s="561"/>
      <c r="H414" s="976"/>
      <c r="I414" s="976"/>
      <c r="J414" s="623"/>
      <c r="K414" s="976"/>
      <c r="L414" s="976"/>
      <c r="M414" s="261"/>
      <c r="N414" s="260"/>
      <c r="O414" s="260"/>
      <c r="P414" s="260"/>
      <c r="Q414" s="260"/>
      <c r="R414" s="260"/>
      <c r="S414" s="260"/>
      <c r="T414" s="260"/>
      <c r="X414" s="23"/>
    </row>
    <row r="415" spans="1:24" ht="19.95" customHeight="1" x14ac:dyDescent="0.3">
      <c r="A415" s="262" t="s">
        <v>1242</v>
      </c>
      <c r="C415" s="228"/>
      <c r="D415" s="228"/>
      <c r="E415" s="561"/>
      <c r="F415" s="561"/>
      <c r="G415" s="561"/>
      <c r="H415" s="975"/>
      <c r="I415" s="975"/>
      <c r="J415" s="562"/>
      <c r="K415" s="975"/>
      <c r="L415" s="975"/>
      <c r="M415" s="562"/>
      <c r="N415" s="968" t="s">
        <v>28</v>
      </c>
      <c r="O415" s="968"/>
      <c r="P415" s="968"/>
      <c r="Q415" s="968"/>
      <c r="R415" s="968"/>
      <c r="S415" s="968"/>
      <c r="T415" s="968"/>
      <c r="X415" s="23"/>
    </row>
    <row r="416" spans="1:24" ht="19.95" customHeight="1" x14ac:dyDescent="0.3">
      <c r="A416" s="262" t="s">
        <v>1242</v>
      </c>
      <c r="C416" s="228"/>
      <c r="D416" s="228"/>
      <c r="E416" s="561"/>
      <c r="F416" s="561"/>
      <c r="G416" s="561"/>
      <c r="H416" s="976" t="s">
        <v>1220</v>
      </c>
      <c r="I416" s="976"/>
      <c r="J416" s="976"/>
      <c r="K416" s="976"/>
      <c r="L416" s="976"/>
      <c r="M416" s="623"/>
      <c r="N416" s="968" t="s">
        <v>1486</v>
      </c>
      <c r="O416" s="968"/>
      <c r="P416" s="968"/>
      <c r="Q416" s="968"/>
      <c r="R416" s="968"/>
      <c r="S416" s="968"/>
      <c r="T416" s="968"/>
      <c r="X416" s="23"/>
    </row>
    <row r="417" spans="1:24" ht="19.95" customHeight="1" x14ac:dyDescent="0.3">
      <c r="A417" s="262" t="s">
        <v>1242</v>
      </c>
      <c r="C417" s="228"/>
      <c r="D417" s="228"/>
      <c r="E417" s="561"/>
      <c r="F417" s="561"/>
      <c r="G417" s="561"/>
      <c r="H417" s="976"/>
      <c r="I417" s="976"/>
      <c r="J417" s="976"/>
      <c r="K417" s="976"/>
      <c r="L417" s="976"/>
      <c r="M417" s="623"/>
      <c r="N417" s="968"/>
      <c r="O417" s="968"/>
      <c r="P417" s="968"/>
      <c r="Q417" s="968"/>
      <c r="R417" s="968"/>
      <c r="S417" s="968"/>
      <c r="T417" s="968"/>
      <c r="X417" s="23"/>
    </row>
    <row r="418" spans="1:24" ht="19.95" customHeight="1" x14ac:dyDescent="0.3">
      <c r="A418" s="262" t="s">
        <v>1242</v>
      </c>
      <c r="C418" s="228"/>
      <c r="D418" s="228"/>
      <c r="E418" s="561"/>
      <c r="F418" s="561"/>
      <c r="G418" s="561"/>
      <c r="H418" s="261"/>
      <c r="I418" s="261"/>
      <c r="J418" s="261"/>
      <c r="K418" s="261"/>
      <c r="L418" s="261"/>
      <c r="M418" s="261"/>
      <c r="N418" s="260"/>
      <c r="O418" s="260"/>
      <c r="P418" s="260"/>
      <c r="Q418" s="260"/>
      <c r="R418" s="260"/>
      <c r="S418" s="624"/>
      <c r="T418" s="260"/>
      <c r="X418" s="23"/>
    </row>
    <row r="419" spans="1:24" ht="19.95" customHeight="1" x14ac:dyDescent="0.3">
      <c r="A419" s="262" t="s">
        <v>1242</v>
      </c>
      <c r="C419" s="228"/>
      <c r="D419" s="228"/>
      <c r="E419" s="975" t="s">
        <v>1215</v>
      </c>
      <c r="F419" s="975"/>
      <c r="G419" s="975"/>
      <c r="H419" s="975" t="s">
        <v>1348</v>
      </c>
      <c r="I419" s="975"/>
      <c r="J419" s="975"/>
      <c r="K419" s="975"/>
      <c r="L419" s="975"/>
      <c r="M419" s="562"/>
      <c r="N419" s="977" t="s">
        <v>1219</v>
      </c>
      <c r="O419" s="968"/>
      <c r="P419" s="968"/>
      <c r="Q419" s="968"/>
      <c r="R419" s="968"/>
      <c r="S419" s="968"/>
      <c r="T419" s="968"/>
      <c r="X419" s="23"/>
    </row>
    <row r="420" spans="1:24" ht="19.95" customHeight="1" x14ac:dyDescent="0.3">
      <c r="A420" s="262" t="s">
        <v>1290</v>
      </c>
      <c r="C420" s="228"/>
      <c r="D420" s="228"/>
      <c r="E420" s="975"/>
      <c r="F420" s="975"/>
      <c r="G420" s="975"/>
      <c r="H420" s="975"/>
      <c r="I420" s="975"/>
      <c r="J420" s="975"/>
      <c r="K420" s="975"/>
      <c r="L420" s="975"/>
      <c r="M420" s="562"/>
      <c r="N420" s="968"/>
      <c r="O420" s="968"/>
      <c r="P420" s="968"/>
      <c r="Q420" s="968"/>
      <c r="R420" s="968"/>
      <c r="S420" s="968"/>
      <c r="T420" s="968"/>
      <c r="X420" s="23"/>
    </row>
    <row r="421" spans="1:24" ht="30" customHeight="1" x14ac:dyDescent="0.3">
      <c r="A421" s="262">
        <v>2</v>
      </c>
      <c r="C421" s="255">
        <v>230</v>
      </c>
      <c r="D421" s="256" t="s">
        <v>679</v>
      </c>
      <c r="E421" s="978" t="s">
        <v>680</v>
      </c>
      <c r="F421" s="979"/>
      <c r="G421" s="980"/>
      <c r="H421" s="546" t="s">
        <v>286</v>
      </c>
      <c r="I421" s="257">
        <v>2604464</v>
      </c>
      <c r="J421" s="606"/>
      <c r="K421" s="257">
        <v>1</v>
      </c>
      <c r="L421" s="257">
        <f t="shared" ref="L421:L443" si="72">+ROUND(I421*K421,2)</f>
        <v>2604464</v>
      </c>
      <c r="M421" s="603"/>
      <c r="N421" s="675">
        <f>+'Yeşil Defter'!K445</f>
        <v>0</v>
      </c>
      <c r="O421" s="675">
        <f>+'Yeşil Defter'!L445</f>
        <v>0</v>
      </c>
      <c r="P421" s="675">
        <f>+'Yeşil Defter'!M445</f>
        <v>0</v>
      </c>
      <c r="Q421" s="257"/>
      <c r="R421" s="606">
        <f t="shared" ref="R421:R443" si="73">+ROUND(K421*N421,2)</f>
        <v>0</v>
      </c>
      <c r="S421" s="247">
        <f t="shared" si="67"/>
        <v>0</v>
      </c>
      <c r="T421" s="248">
        <f t="shared" ref="T421:T443" si="74">+ROUND(K421*P421,2)</f>
        <v>0</v>
      </c>
      <c r="X421" s="23" t="str">
        <f t="shared" si="71"/>
        <v>-</v>
      </c>
    </row>
    <row r="422" spans="1:24" ht="30" customHeight="1" x14ac:dyDescent="0.3">
      <c r="A422" s="262">
        <v>2</v>
      </c>
      <c r="C422" s="244">
        <v>231</v>
      </c>
      <c r="D422" s="161" t="s">
        <v>681</v>
      </c>
      <c r="E422" s="969" t="s">
        <v>682</v>
      </c>
      <c r="F422" s="970"/>
      <c r="G422" s="971"/>
      <c r="H422" s="544" t="s">
        <v>286</v>
      </c>
      <c r="I422" s="212">
        <v>2604464</v>
      </c>
      <c r="J422" s="605"/>
      <c r="K422" s="212">
        <v>1</v>
      </c>
      <c r="L422" s="212">
        <f t="shared" si="72"/>
        <v>2604464</v>
      </c>
      <c r="M422" s="602"/>
      <c r="N422" s="675">
        <f>+'Yeşil Defter'!K446</f>
        <v>0</v>
      </c>
      <c r="O422" s="675">
        <f>+'Yeşil Defter'!L446</f>
        <v>0</v>
      </c>
      <c r="P422" s="675">
        <f>+'Yeşil Defter'!M446</f>
        <v>0</v>
      </c>
      <c r="Q422" s="212"/>
      <c r="R422" s="605">
        <f t="shared" si="73"/>
        <v>0</v>
      </c>
      <c r="S422" s="225">
        <f t="shared" si="67"/>
        <v>0</v>
      </c>
      <c r="T422" s="237">
        <f t="shared" si="74"/>
        <v>0</v>
      </c>
      <c r="X422" s="23" t="str">
        <f t="shared" si="71"/>
        <v>-</v>
      </c>
    </row>
    <row r="423" spans="1:24" ht="30" customHeight="1" x14ac:dyDescent="0.3">
      <c r="A423" s="262">
        <v>2</v>
      </c>
      <c r="C423" s="244">
        <v>232</v>
      </c>
      <c r="D423" s="161" t="s">
        <v>683</v>
      </c>
      <c r="E423" s="969" t="s">
        <v>684</v>
      </c>
      <c r="F423" s="970"/>
      <c r="G423" s="971"/>
      <c r="H423" s="544" t="s">
        <v>286</v>
      </c>
      <c r="I423" s="212">
        <v>2604464</v>
      </c>
      <c r="J423" s="605"/>
      <c r="K423" s="212">
        <v>1</v>
      </c>
      <c r="L423" s="212">
        <f t="shared" si="72"/>
        <v>2604464</v>
      </c>
      <c r="M423" s="602"/>
      <c r="N423" s="675">
        <f>+'Yeşil Defter'!K447</f>
        <v>0</v>
      </c>
      <c r="O423" s="675">
        <f>+'Yeşil Defter'!L447</f>
        <v>0</v>
      </c>
      <c r="P423" s="675">
        <f>+'Yeşil Defter'!M447</f>
        <v>0</v>
      </c>
      <c r="Q423" s="212"/>
      <c r="R423" s="605">
        <f t="shared" si="73"/>
        <v>0</v>
      </c>
      <c r="S423" s="225">
        <f t="shared" si="67"/>
        <v>0</v>
      </c>
      <c r="T423" s="237">
        <f t="shared" si="74"/>
        <v>0</v>
      </c>
      <c r="X423" s="23" t="str">
        <f t="shared" si="71"/>
        <v>-</v>
      </c>
    </row>
    <row r="424" spans="1:24" ht="30" customHeight="1" x14ac:dyDescent="0.3">
      <c r="A424" s="262">
        <v>2</v>
      </c>
      <c r="C424" s="244">
        <v>233</v>
      </c>
      <c r="D424" s="161" t="s">
        <v>685</v>
      </c>
      <c r="E424" s="969" t="s">
        <v>686</v>
      </c>
      <c r="F424" s="970"/>
      <c r="G424" s="971"/>
      <c r="H424" s="544" t="s">
        <v>286</v>
      </c>
      <c r="I424" s="212">
        <v>2604464</v>
      </c>
      <c r="J424" s="605"/>
      <c r="K424" s="212">
        <v>1</v>
      </c>
      <c r="L424" s="212">
        <f t="shared" si="72"/>
        <v>2604464</v>
      </c>
      <c r="M424" s="602"/>
      <c r="N424" s="675">
        <f>+'Yeşil Defter'!K448</f>
        <v>0</v>
      </c>
      <c r="O424" s="675">
        <f>+'Yeşil Defter'!L448</f>
        <v>0</v>
      </c>
      <c r="P424" s="675">
        <f>+'Yeşil Defter'!M448</f>
        <v>0</v>
      </c>
      <c r="Q424" s="212"/>
      <c r="R424" s="605">
        <f t="shared" si="73"/>
        <v>0</v>
      </c>
      <c r="S424" s="225">
        <f t="shared" si="67"/>
        <v>0</v>
      </c>
      <c r="T424" s="237">
        <f t="shared" si="74"/>
        <v>0</v>
      </c>
      <c r="X424" s="23" t="str">
        <f t="shared" si="71"/>
        <v>-</v>
      </c>
    </row>
    <row r="425" spans="1:24" ht="30" customHeight="1" x14ac:dyDescent="0.3">
      <c r="A425" s="262">
        <v>2</v>
      </c>
      <c r="C425" s="244">
        <v>234</v>
      </c>
      <c r="D425" s="161" t="s">
        <v>687</v>
      </c>
      <c r="E425" s="969" t="s">
        <v>688</v>
      </c>
      <c r="F425" s="970"/>
      <c r="G425" s="971"/>
      <c r="H425" s="544" t="s">
        <v>286</v>
      </c>
      <c r="I425" s="212">
        <v>30210926</v>
      </c>
      <c r="J425" s="605"/>
      <c r="K425" s="212">
        <v>1</v>
      </c>
      <c r="L425" s="212">
        <f t="shared" si="72"/>
        <v>30210926</v>
      </c>
      <c r="M425" s="602"/>
      <c r="N425" s="675">
        <f>+'Yeşil Defter'!K449</f>
        <v>0</v>
      </c>
      <c r="O425" s="675">
        <f>+'Yeşil Defter'!L449</f>
        <v>0</v>
      </c>
      <c r="P425" s="675">
        <f>+'Yeşil Defter'!M449</f>
        <v>0</v>
      </c>
      <c r="Q425" s="212"/>
      <c r="R425" s="605">
        <f t="shared" si="73"/>
        <v>0</v>
      </c>
      <c r="S425" s="225">
        <f t="shared" si="67"/>
        <v>0</v>
      </c>
      <c r="T425" s="237">
        <f t="shared" si="74"/>
        <v>0</v>
      </c>
      <c r="X425" s="23" t="str">
        <f t="shared" si="71"/>
        <v>-</v>
      </c>
    </row>
    <row r="426" spans="1:24" ht="30" customHeight="1" x14ac:dyDescent="0.3">
      <c r="A426" s="262">
        <v>2</v>
      </c>
      <c r="C426" s="244">
        <v>235</v>
      </c>
      <c r="D426" s="161" t="s">
        <v>689</v>
      </c>
      <c r="E426" s="969" t="s">
        <v>690</v>
      </c>
      <c r="F426" s="970"/>
      <c r="G426" s="971"/>
      <c r="H426" s="544" t="s">
        <v>286</v>
      </c>
      <c r="I426" s="212">
        <v>26408621</v>
      </c>
      <c r="J426" s="605"/>
      <c r="K426" s="212">
        <v>1</v>
      </c>
      <c r="L426" s="212">
        <f t="shared" si="72"/>
        <v>26408621</v>
      </c>
      <c r="M426" s="602"/>
      <c r="N426" s="675">
        <f>+'Yeşil Defter'!K450</f>
        <v>0</v>
      </c>
      <c r="O426" s="675">
        <f>+'Yeşil Defter'!L450</f>
        <v>0</v>
      </c>
      <c r="P426" s="675">
        <f>+'Yeşil Defter'!M450</f>
        <v>0</v>
      </c>
      <c r="Q426" s="212"/>
      <c r="R426" s="605">
        <f t="shared" si="73"/>
        <v>0</v>
      </c>
      <c r="S426" s="225">
        <f t="shared" si="67"/>
        <v>0</v>
      </c>
      <c r="T426" s="237">
        <f t="shared" si="74"/>
        <v>0</v>
      </c>
      <c r="X426" s="23" t="str">
        <f t="shared" si="71"/>
        <v>-</v>
      </c>
    </row>
    <row r="427" spans="1:24" ht="30" customHeight="1" x14ac:dyDescent="0.3">
      <c r="A427" s="262">
        <v>2</v>
      </c>
      <c r="C427" s="244">
        <v>236</v>
      </c>
      <c r="D427" s="161" t="s">
        <v>691</v>
      </c>
      <c r="E427" s="969" t="s">
        <v>692</v>
      </c>
      <c r="F427" s="970"/>
      <c r="G427" s="971"/>
      <c r="H427" s="544" t="s">
        <v>286</v>
      </c>
      <c r="I427" s="212">
        <v>28071623</v>
      </c>
      <c r="J427" s="605"/>
      <c r="K427" s="212">
        <v>1</v>
      </c>
      <c r="L427" s="212">
        <f t="shared" si="72"/>
        <v>28071623</v>
      </c>
      <c r="M427" s="602"/>
      <c r="N427" s="675">
        <f>+'Yeşil Defter'!K451</f>
        <v>0</v>
      </c>
      <c r="O427" s="675">
        <f>+'Yeşil Defter'!L451</f>
        <v>0</v>
      </c>
      <c r="P427" s="675">
        <f>+'Yeşil Defter'!M451</f>
        <v>0</v>
      </c>
      <c r="Q427" s="212"/>
      <c r="R427" s="605">
        <f t="shared" si="73"/>
        <v>0</v>
      </c>
      <c r="S427" s="225">
        <f t="shared" si="67"/>
        <v>0</v>
      </c>
      <c r="T427" s="237">
        <f t="shared" si="74"/>
        <v>0</v>
      </c>
      <c r="X427" s="23" t="str">
        <f t="shared" si="71"/>
        <v>-</v>
      </c>
    </row>
    <row r="428" spans="1:24" ht="30" customHeight="1" x14ac:dyDescent="0.3">
      <c r="A428" s="262">
        <v>2</v>
      </c>
      <c r="C428" s="244">
        <v>237</v>
      </c>
      <c r="D428" s="161" t="s">
        <v>693</v>
      </c>
      <c r="E428" s="969" t="s">
        <v>694</v>
      </c>
      <c r="F428" s="970"/>
      <c r="G428" s="971"/>
      <c r="H428" s="544" t="s">
        <v>286</v>
      </c>
      <c r="I428" s="212">
        <v>28062953</v>
      </c>
      <c r="J428" s="605"/>
      <c r="K428" s="212">
        <v>1</v>
      </c>
      <c r="L428" s="212">
        <f t="shared" si="72"/>
        <v>28062953</v>
      </c>
      <c r="M428" s="602"/>
      <c r="N428" s="675">
        <f>+'Yeşil Defter'!K452</f>
        <v>0</v>
      </c>
      <c r="O428" s="675">
        <f>+'Yeşil Defter'!L452</f>
        <v>0</v>
      </c>
      <c r="P428" s="675">
        <f>+'Yeşil Defter'!M452</f>
        <v>0</v>
      </c>
      <c r="Q428" s="212"/>
      <c r="R428" s="605">
        <f t="shared" si="73"/>
        <v>0</v>
      </c>
      <c r="S428" s="225">
        <f t="shared" si="67"/>
        <v>0</v>
      </c>
      <c r="T428" s="237">
        <f t="shared" si="74"/>
        <v>0</v>
      </c>
      <c r="X428" s="23" t="str">
        <f t="shared" si="71"/>
        <v>-</v>
      </c>
    </row>
    <row r="429" spans="1:24" ht="30" customHeight="1" x14ac:dyDescent="0.3">
      <c r="A429" s="262">
        <v>2</v>
      </c>
      <c r="C429" s="244">
        <v>238</v>
      </c>
      <c r="D429" s="161" t="s">
        <v>695</v>
      </c>
      <c r="E429" s="969" t="s">
        <v>696</v>
      </c>
      <c r="F429" s="970"/>
      <c r="G429" s="971"/>
      <c r="H429" s="544" t="s">
        <v>286</v>
      </c>
      <c r="I429" s="212">
        <v>33286064</v>
      </c>
      <c r="J429" s="605"/>
      <c r="K429" s="212">
        <v>1</v>
      </c>
      <c r="L429" s="212">
        <f t="shared" si="72"/>
        <v>33286064</v>
      </c>
      <c r="M429" s="602"/>
      <c r="N429" s="675">
        <f>+'Yeşil Defter'!K453</f>
        <v>0</v>
      </c>
      <c r="O429" s="675">
        <f>+'Yeşil Defter'!L453</f>
        <v>0</v>
      </c>
      <c r="P429" s="675">
        <f>+'Yeşil Defter'!M453</f>
        <v>0</v>
      </c>
      <c r="Q429" s="212"/>
      <c r="R429" s="605">
        <f t="shared" si="73"/>
        <v>0</v>
      </c>
      <c r="S429" s="225">
        <f t="shared" si="67"/>
        <v>0</v>
      </c>
      <c r="T429" s="237">
        <f t="shared" si="74"/>
        <v>0</v>
      </c>
      <c r="X429" s="23" t="str">
        <f t="shared" si="71"/>
        <v>-</v>
      </c>
    </row>
    <row r="430" spans="1:24" ht="30" customHeight="1" x14ac:dyDescent="0.3">
      <c r="A430" s="262">
        <v>2</v>
      </c>
      <c r="C430" s="244">
        <v>239</v>
      </c>
      <c r="D430" s="161" t="s">
        <v>697</v>
      </c>
      <c r="E430" s="969" t="s">
        <v>698</v>
      </c>
      <c r="F430" s="970"/>
      <c r="G430" s="971"/>
      <c r="H430" s="544" t="s">
        <v>286</v>
      </c>
      <c r="I430" s="212">
        <v>56812609</v>
      </c>
      <c r="J430" s="605"/>
      <c r="K430" s="212">
        <v>1</v>
      </c>
      <c r="L430" s="212">
        <f t="shared" si="72"/>
        <v>56812609</v>
      </c>
      <c r="M430" s="602"/>
      <c r="N430" s="675">
        <f>+'Yeşil Defter'!K454</f>
        <v>0</v>
      </c>
      <c r="O430" s="675">
        <f>+'Yeşil Defter'!L454</f>
        <v>0</v>
      </c>
      <c r="P430" s="675">
        <f>+'Yeşil Defter'!M454</f>
        <v>0</v>
      </c>
      <c r="Q430" s="212"/>
      <c r="R430" s="605">
        <f t="shared" si="73"/>
        <v>0</v>
      </c>
      <c r="S430" s="225">
        <f t="shared" si="67"/>
        <v>0</v>
      </c>
      <c r="T430" s="237">
        <f t="shared" si="74"/>
        <v>0</v>
      </c>
      <c r="X430" s="23" t="str">
        <f t="shared" si="71"/>
        <v>-</v>
      </c>
    </row>
    <row r="431" spans="1:24" ht="30" customHeight="1" x14ac:dyDescent="0.3">
      <c r="A431" s="262">
        <v>2</v>
      </c>
      <c r="C431" s="244">
        <v>240</v>
      </c>
      <c r="D431" s="161" t="s">
        <v>699</v>
      </c>
      <c r="E431" s="969" t="s">
        <v>700</v>
      </c>
      <c r="F431" s="970"/>
      <c r="G431" s="971"/>
      <c r="H431" s="544" t="s">
        <v>286</v>
      </c>
      <c r="I431" s="212">
        <v>22283195</v>
      </c>
      <c r="J431" s="605"/>
      <c r="K431" s="212">
        <v>1</v>
      </c>
      <c r="L431" s="212">
        <f t="shared" si="72"/>
        <v>22283195</v>
      </c>
      <c r="M431" s="602"/>
      <c r="N431" s="675">
        <f>+'Yeşil Defter'!K455</f>
        <v>0</v>
      </c>
      <c r="O431" s="675">
        <f>+'Yeşil Defter'!L455</f>
        <v>0</v>
      </c>
      <c r="P431" s="675">
        <f>+'Yeşil Defter'!M455</f>
        <v>0</v>
      </c>
      <c r="Q431" s="212"/>
      <c r="R431" s="605">
        <f t="shared" si="73"/>
        <v>0</v>
      </c>
      <c r="S431" s="225">
        <f t="shared" si="67"/>
        <v>0</v>
      </c>
      <c r="T431" s="237">
        <f t="shared" si="74"/>
        <v>0</v>
      </c>
      <c r="X431" s="23" t="str">
        <f t="shared" si="71"/>
        <v>-</v>
      </c>
    </row>
    <row r="432" spans="1:24" ht="30" customHeight="1" x14ac:dyDescent="0.3">
      <c r="A432" s="262">
        <v>2</v>
      </c>
      <c r="C432" s="244">
        <v>241</v>
      </c>
      <c r="D432" s="161" t="s">
        <v>701</v>
      </c>
      <c r="E432" s="969" t="s">
        <v>702</v>
      </c>
      <c r="F432" s="970"/>
      <c r="G432" s="971"/>
      <c r="H432" s="544" t="s">
        <v>286</v>
      </c>
      <c r="I432" s="212">
        <v>19971061</v>
      </c>
      <c r="J432" s="605"/>
      <c r="K432" s="212">
        <v>1</v>
      </c>
      <c r="L432" s="212">
        <f t="shared" si="72"/>
        <v>19971061</v>
      </c>
      <c r="M432" s="602"/>
      <c r="N432" s="675">
        <f>+'Yeşil Defter'!K456</f>
        <v>0</v>
      </c>
      <c r="O432" s="675">
        <f>+'Yeşil Defter'!L456</f>
        <v>0</v>
      </c>
      <c r="P432" s="675">
        <f>+'Yeşil Defter'!M456</f>
        <v>0</v>
      </c>
      <c r="Q432" s="212"/>
      <c r="R432" s="605">
        <f t="shared" si="73"/>
        <v>0</v>
      </c>
      <c r="S432" s="225">
        <f t="shared" si="67"/>
        <v>0</v>
      </c>
      <c r="T432" s="237">
        <f t="shared" si="74"/>
        <v>0</v>
      </c>
      <c r="X432" s="23" t="str">
        <f t="shared" si="71"/>
        <v>-</v>
      </c>
    </row>
    <row r="433" spans="1:24" ht="30" customHeight="1" x14ac:dyDescent="0.3">
      <c r="A433" s="262">
        <v>2</v>
      </c>
      <c r="C433" s="244">
        <v>242</v>
      </c>
      <c r="D433" s="161" t="s">
        <v>703</v>
      </c>
      <c r="E433" s="969" t="s">
        <v>704</v>
      </c>
      <c r="F433" s="970"/>
      <c r="G433" s="971"/>
      <c r="H433" s="544" t="s">
        <v>286</v>
      </c>
      <c r="I433" s="212">
        <v>19971061</v>
      </c>
      <c r="J433" s="605"/>
      <c r="K433" s="212">
        <v>1</v>
      </c>
      <c r="L433" s="212">
        <f t="shared" si="72"/>
        <v>19971061</v>
      </c>
      <c r="M433" s="602"/>
      <c r="N433" s="675">
        <f>+'Yeşil Defter'!K457</f>
        <v>0</v>
      </c>
      <c r="O433" s="675">
        <f>+'Yeşil Defter'!L457</f>
        <v>0</v>
      </c>
      <c r="P433" s="675">
        <f>+'Yeşil Defter'!M457</f>
        <v>0</v>
      </c>
      <c r="Q433" s="212"/>
      <c r="R433" s="605">
        <f t="shared" si="73"/>
        <v>0</v>
      </c>
      <c r="S433" s="225">
        <f t="shared" si="67"/>
        <v>0</v>
      </c>
      <c r="T433" s="237">
        <f t="shared" si="74"/>
        <v>0</v>
      </c>
      <c r="X433" s="23" t="str">
        <f t="shared" si="71"/>
        <v>-</v>
      </c>
    </row>
    <row r="434" spans="1:24" ht="30" customHeight="1" x14ac:dyDescent="0.3">
      <c r="A434" s="262">
        <v>2</v>
      </c>
      <c r="C434" s="244">
        <v>243</v>
      </c>
      <c r="D434" s="161" t="s">
        <v>705</v>
      </c>
      <c r="E434" s="969" t="s">
        <v>706</v>
      </c>
      <c r="F434" s="970"/>
      <c r="G434" s="971"/>
      <c r="H434" s="544" t="s">
        <v>286</v>
      </c>
      <c r="I434" s="212">
        <v>19971061</v>
      </c>
      <c r="J434" s="605"/>
      <c r="K434" s="212">
        <v>1</v>
      </c>
      <c r="L434" s="212">
        <f t="shared" si="72"/>
        <v>19971061</v>
      </c>
      <c r="M434" s="602"/>
      <c r="N434" s="675">
        <f>+'Yeşil Defter'!K458</f>
        <v>0</v>
      </c>
      <c r="O434" s="675">
        <f>+'Yeşil Defter'!L458</f>
        <v>0</v>
      </c>
      <c r="P434" s="675">
        <f>+'Yeşil Defter'!M458</f>
        <v>0</v>
      </c>
      <c r="Q434" s="212"/>
      <c r="R434" s="605">
        <f t="shared" si="73"/>
        <v>0</v>
      </c>
      <c r="S434" s="225">
        <f t="shared" si="67"/>
        <v>0</v>
      </c>
      <c r="T434" s="237">
        <f t="shared" si="74"/>
        <v>0</v>
      </c>
      <c r="X434" s="23" t="str">
        <f t="shared" si="71"/>
        <v>-</v>
      </c>
    </row>
    <row r="435" spans="1:24" ht="30" customHeight="1" x14ac:dyDescent="0.3">
      <c r="A435" s="262">
        <v>2</v>
      </c>
      <c r="C435" s="244">
        <v>244</v>
      </c>
      <c r="D435" s="161" t="s">
        <v>707</v>
      </c>
      <c r="E435" s="969" t="s">
        <v>708</v>
      </c>
      <c r="F435" s="970"/>
      <c r="G435" s="971"/>
      <c r="H435" s="544" t="s">
        <v>286</v>
      </c>
      <c r="I435" s="212">
        <v>23439262</v>
      </c>
      <c r="J435" s="605"/>
      <c r="K435" s="212">
        <v>1</v>
      </c>
      <c r="L435" s="212">
        <f t="shared" si="72"/>
        <v>23439262</v>
      </c>
      <c r="M435" s="602"/>
      <c r="N435" s="675">
        <f>+'Yeşil Defter'!K459</f>
        <v>0</v>
      </c>
      <c r="O435" s="675">
        <f>+'Yeşil Defter'!L459</f>
        <v>0</v>
      </c>
      <c r="P435" s="675">
        <f>+'Yeşil Defter'!M459</f>
        <v>0</v>
      </c>
      <c r="Q435" s="212"/>
      <c r="R435" s="605">
        <f t="shared" si="73"/>
        <v>0</v>
      </c>
      <c r="S435" s="225">
        <f t="shared" si="67"/>
        <v>0</v>
      </c>
      <c r="T435" s="237">
        <f t="shared" si="74"/>
        <v>0</v>
      </c>
      <c r="X435" s="23" t="str">
        <f t="shared" si="71"/>
        <v>-</v>
      </c>
    </row>
    <row r="436" spans="1:24" ht="30" customHeight="1" x14ac:dyDescent="0.3">
      <c r="A436" s="262">
        <v>2</v>
      </c>
      <c r="C436" s="244">
        <v>245</v>
      </c>
      <c r="D436" s="161" t="s">
        <v>709</v>
      </c>
      <c r="E436" s="969" t="s">
        <v>710</v>
      </c>
      <c r="F436" s="970"/>
      <c r="G436" s="971"/>
      <c r="H436" s="544" t="s">
        <v>286</v>
      </c>
      <c r="I436" s="212">
        <v>48019562</v>
      </c>
      <c r="J436" s="605"/>
      <c r="K436" s="212">
        <v>1</v>
      </c>
      <c r="L436" s="212">
        <f t="shared" si="72"/>
        <v>48019562</v>
      </c>
      <c r="M436" s="602"/>
      <c r="N436" s="675">
        <f>+'Yeşil Defter'!K460</f>
        <v>0</v>
      </c>
      <c r="O436" s="675">
        <f>+'Yeşil Defter'!L460</f>
        <v>0</v>
      </c>
      <c r="P436" s="675">
        <f>+'Yeşil Defter'!M460</f>
        <v>0</v>
      </c>
      <c r="Q436" s="212"/>
      <c r="R436" s="605">
        <f t="shared" si="73"/>
        <v>0</v>
      </c>
      <c r="S436" s="225">
        <f t="shared" si="67"/>
        <v>0</v>
      </c>
      <c r="T436" s="237">
        <f t="shared" si="74"/>
        <v>0</v>
      </c>
      <c r="X436" s="23" t="str">
        <f t="shared" si="71"/>
        <v>-</v>
      </c>
    </row>
    <row r="437" spans="1:24" ht="30" customHeight="1" x14ac:dyDescent="0.3">
      <c r="A437" s="262">
        <v>2</v>
      </c>
      <c r="C437" s="244">
        <v>246</v>
      </c>
      <c r="D437" s="161" t="s">
        <v>711</v>
      </c>
      <c r="E437" s="969" t="s">
        <v>712</v>
      </c>
      <c r="F437" s="970"/>
      <c r="G437" s="971"/>
      <c r="H437" s="544" t="s">
        <v>286</v>
      </c>
      <c r="I437" s="212">
        <v>33525948</v>
      </c>
      <c r="J437" s="605"/>
      <c r="K437" s="212">
        <v>1</v>
      </c>
      <c r="L437" s="212">
        <f t="shared" si="72"/>
        <v>33525948</v>
      </c>
      <c r="M437" s="602"/>
      <c r="N437" s="675">
        <f>+'Yeşil Defter'!K461</f>
        <v>0</v>
      </c>
      <c r="O437" s="675">
        <f>+'Yeşil Defter'!L461</f>
        <v>0</v>
      </c>
      <c r="P437" s="675">
        <f>+'Yeşil Defter'!M461</f>
        <v>0</v>
      </c>
      <c r="Q437" s="212"/>
      <c r="R437" s="605">
        <f t="shared" si="73"/>
        <v>0</v>
      </c>
      <c r="S437" s="225">
        <f t="shared" si="67"/>
        <v>0</v>
      </c>
      <c r="T437" s="237">
        <f t="shared" si="74"/>
        <v>0</v>
      </c>
      <c r="X437" s="23" t="str">
        <f t="shared" si="71"/>
        <v>-</v>
      </c>
    </row>
    <row r="438" spans="1:24" ht="30" customHeight="1" x14ac:dyDescent="0.3">
      <c r="A438" s="262">
        <v>2</v>
      </c>
      <c r="C438" s="244">
        <v>247</v>
      </c>
      <c r="D438" s="161" t="s">
        <v>713</v>
      </c>
      <c r="E438" s="969" t="s">
        <v>714</v>
      </c>
      <c r="F438" s="970"/>
      <c r="G438" s="971"/>
      <c r="H438" s="544" t="s">
        <v>286</v>
      </c>
      <c r="I438" s="212">
        <v>33525948</v>
      </c>
      <c r="J438" s="605"/>
      <c r="K438" s="212">
        <v>1</v>
      </c>
      <c r="L438" s="212">
        <f t="shared" si="72"/>
        <v>33525948</v>
      </c>
      <c r="M438" s="602"/>
      <c r="N438" s="675">
        <f>+'Yeşil Defter'!K462</f>
        <v>0</v>
      </c>
      <c r="O438" s="675">
        <f>+'Yeşil Defter'!L462</f>
        <v>0</v>
      </c>
      <c r="P438" s="675">
        <f>+'Yeşil Defter'!M462</f>
        <v>0</v>
      </c>
      <c r="Q438" s="212"/>
      <c r="R438" s="605">
        <f t="shared" si="73"/>
        <v>0</v>
      </c>
      <c r="S438" s="225">
        <f t="shared" si="67"/>
        <v>0</v>
      </c>
      <c r="T438" s="237">
        <f t="shared" si="74"/>
        <v>0</v>
      </c>
      <c r="X438" s="23" t="str">
        <f t="shared" si="71"/>
        <v>-</v>
      </c>
    </row>
    <row r="439" spans="1:24" ht="30" customHeight="1" x14ac:dyDescent="0.3">
      <c r="A439" s="262">
        <v>2</v>
      </c>
      <c r="C439" s="244">
        <v>248</v>
      </c>
      <c r="D439" s="161" t="s">
        <v>715</v>
      </c>
      <c r="E439" s="969" t="s">
        <v>716</v>
      </c>
      <c r="F439" s="970"/>
      <c r="G439" s="971"/>
      <c r="H439" s="544" t="s">
        <v>286</v>
      </c>
      <c r="I439" s="212">
        <v>33525948</v>
      </c>
      <c r="J439" s="605"/>
      <c r="K439" s="212">
        <v>1</v>
      </c>
      <c r="L439" s="212">
        <f t="shared" si="72"/>
        <v>33525948</v>
      </c>
      <c r="M439" s="602"/>
      <c r="N439" s="675">
        <f>+'Yeşil Defter'!K463</f>
        <v>0</v>
      </c>
      <c r="O439" s="675">
        <f>+'Yeşil Defter'!L463</f>
        <v>0</v>
      </c>
      <c r="P439" s="675">
        <f>+'Yeşil Defter'!M463</f>
        <v>0</v>
      </c>
      <c r="Q439" s="212"/>
      <c r="R439" s="605">
        <f t="shared" si="73"/>
        <v>0</v>
      </c>
      <c r="S439" s="225">
        <f t="shared" si="67"/>
        <v>0</v>
      </c>
      <c r="T439" s="237">
        <f t="shared" si="74"/>
        <v>0</v>
      </c>
      <c r="X439" s="23" t="str">
        <f t="shared" si="71"/>
        <v>-</v>
      </c>
    </row>
    <row r="440" spans="1:24" ht="30" customHeight="1" x14ac:dyDescent="0.3">
      <c r="A440" s="262">
        <v>2</v>
      </c>
      <c r="C440" s="244">
        <v>249</v>
      </c>
      <c r="D440" s="161" t="s">
        <v>717</v>
      </c>
      <c r="E440" s="969" t="s">
        <v>718</v>
      </c>
      <c r="F440" s="970"/>
      <c r="G440" s="971"/>
      <c r="H440" s="544" t="s">
        <v>286</v>
      </c>
      <c r="I440" s="212">
        <v>33525948</v>
      </c>
      <c r="J440" s="605"/>
      <c r="K440" s="212">
        <v>1</v>
      </c>
      <c r="L440" s="212">
        <f t="shared" si="72"/>
        <v>33525948</v>
      </c>
      <c r="M440" s="602"/>
      <c r="N440" s="675">
        <f>+'Yeşil Defter'!K464</f>
        <v>0</v>
      </c>
      <c r="O440" s="675">
        <f>+'Yeşil Defter'!L464</f>
        <v>0</v>
      </c>
      <c r="P440" s="675">
        <f>+'Yeşil Defter'!M464</f>
        <v>0</v>
      </c>
      <c r="Q440" s="212"/>
      <c r="R440" s="605">
        <f t="shared" si="73"/>
        <v>0</v>
      </c>
      <c r="S440" s="225">
        <f t="shared" si="67"/>
        <v>0</v>
      </c>
      <c r="T440" s="237">
        <f t="shared" si="74"/>
        <v>0</v>
      </c>
      <c r="X440" s="23" t="str">
        <f t="shared" si="71"/>
        <v>-</v>
      </c>
    </row>
    <row r="441" spans="1:24" ht="30" customHeight="1" x14ac:dyDescent="0.3">
      <c r="A441" s="262">
        <v>2</v>
      </c>
      <c r="C441" s="244">
        <v>250</v>
      </c>
      <c r="D441" s="161" t="s">
        <v>719</v>
      </c>
      <c r="E441" s="969" t="s">
        <v>720</v>
      </c>
      <c r="F441" s="970"/>
      <c r="G441" s="971"/>
      <c r="H441" s="544" t="s">
        <v>286</v>
      </c>
      <c r="I441" s="212">
        <v>47398754</v>
      </c>
      <c r="J441" s="605"/>
      <c r="K441" s="212">
        <v>1</v>
      </c>
      <c r="L441" s="212">
        <f t="shared" si="72"/>
        <v>47398754</v>
      </c>
      <c r="M441" s="602"/>
      <c r="N441" s="675">
        <f>+'Yeşil Defter'!K465</f>
        <v>0</v>
      </c>
      <c r="O441" s="675">
        <f>+'Yeşil Defter'!L465</f>
        <v>0</v>
      </c>
      <c r="P441" s="675">
        <f>+'Yeşil Defter'!M465</f>
        <v>0</v>
      </c>
      <c r="Q441" s="212"/>
      <c r="R441" s="605">
        <f t="shared" si="73"/>
        <v>0</v>
      </c>
      <c r="S441" s="225">
        <f t="shared" si="67"/>
        <v>0</v>
      </c>
      <c r="T441" s="237">
        <f t="shared" si="74"/>
        <v>0</v>
      </c>
      <c r="X441" s="23" t="str">
        <f t="shared" si="71"/>
        <v>-</v>
      </c>
    </row>
    <row r="442" spans="1:24" ht="30" customHeight="1" x14ac:dyDescent="0.3">
      <c r="A442" s="262">
        <v>2</v>
      </c>
      <c r="C442" s="244">
        <v>251</v>
      </c>
      <c r="D442" s="161" t="s">
        <v>721</v>
      </c>
      <c r="E442" s="969" t="s">
        <v>722</v>
      </c>
      <c r="F442" s="970"/>
      <c r="G442" s="971"/>
      <c r="H442" s="544" t="s">
        <v>286</v>
      </c>
      <c r="I442" s="212">
        <v>15780317</v>
      </c>
      <c r="J442" s="605"/>
      <c r="K442" s="212">
        <v>1</v>
      </c>
      <c r="L442" s="212">
        <f t="shared" si="72"/>
        <v>15780317</v>
      </c>
      <c r="M442" s="602"/>
      <c r="N442" s="675">
        <f>+'Yeşil Defter'!K466</f>
        <v>0</v>
      </c>
      <c r="O442" s="675">
        <f>+'Yeşil Defter'!L466</f>
        <v>0</v>
      </c>
      <c r="P442" s="675">
        <f>+'Yeşil Defter'!M466</f>
        <v>0</v>
      </c>
      <c r="Q442" s="212"/>
      <c r="R442" s="605">
        <f t="shared" si="73"/>
        <v>0</v>
      </c>
      <c r="S442" s="225">
        <f t="shared" si="67"/>
        <v>0</v>
      </c>
      <c r="T442" s="237">
        <f t="shared" si="74"/>
        <v>0</v>
      </c>
      <c r="X442" s="23" t="str">
        <f t="shared" si="71"/>
        <v>-</v>
      </c>
    </row>
    <row r="443" spans="1:24" ht="30" customHeight="1" x14ac:dyDescent="0.3">
      <c r="A443" s="262">
        <v>2</v>
      </c>
      <c r="C443" s="244">
        <v>252</v>
      </c>
      <c r="D443" s="161" t="s">
        <v>723</v>
      </c>
      <c r="E443" s="969" t="s">
        <v>724</v>
      </c>
      <c r="F443" s="970"/>
      <c r="G443" s="971"/>
      <c r="H443" s="544" t="s">
        <v>286</v>
      </c>
      <c r="I443" s="212">
        <v>15780317</v>
      </c>
      <c r="J443" s="605"/>
      <c r="K443" s="212">
        <v>1</v>
      </c>
      <c r="L443" s="212">
        <f t="shared" si="72"/>
        <v>15780317</v>
      </c>
      <c r="M443" s="602"/>
      <c r="N443" s="675">
        <f>+'Yeşil Defter'!K479</f>
        <v>0</v>
      </c>
      <c r="O443" s="675">
        <f>+'Yeşil Defter'!L479</f>
        <v>0</v>
      </c>
      <c r="P443" s="675">
        <f>+'Yeşil Defter'!M479</f>
        <v>0</v>
      </c>
      <c r="Q443" s="212"/>
      <c r="R443" s="605">
        <f t="shared" si="73"/>
        <v>0</v>
      </c>
      <c r="S443" s="225">
        <f t="shared" si="67"/>
        <v>0</v>
      </c>
      <c r="T443" s="237">
        <f t="shared" si="74"/>
        <v>0</v>
      </c>
      <c r="X443" s="23" t="str">
        <f t="shared" si="71"/>
        <v>-</v>
      </c>
    </row>
    <row r="444" spans="1:24" ht="40.049999999999997" customHeight="1" x14ac:dyDescent="0.3">
      <c r="A444" s="262" t="s">
        <v>1242</v>
      </c>
      <c r="C444" s="258"/>
      <c r="D444" s="258"/>
      <c r="E444" s="972" t="s">
        <v>33</v>
      </c>
      <c r="F444" s="972"/>
      <c r="G444" s="972"/>
      <c r="H444" s="973" t="s">
        <v>29</v>
      </c>
      <c r="I444" s="973"/>
      <c r="J444" s="973"/>
      <c r="K444" s="973"/>
      <c r="L444" s="973"/>
      <c r="M444" s="549"/>
      <c r="N444" s="973" t="s">
        <v>22</v>
      </c>
      <c r="O444" s="973"/>
      <c r="P444" s="973"/>
      <c r="Q444" s="973"/>
      <c r="R444" s="973"/>
      <c r="S444" s="973"/>
      <c r="T444" s="973"/>
      <c r="X444" s="23"/>
    </row>
    <row r="445" spans="1:24" ht="19.95" customHeight="1" x14ac:dyDescent="0.3">
      <c r="A445" s="262" t="s">
        <v>1242</v>
      </c>
      <c r="D445" s="28"/>
      <c r="E445" s="974" t="s">
        <v>1214</v>
      </c>
      <c r="F445" s="974"/>
      <c r="G445" s="974"/>
      <c r="H445" s="975" t="s">
        <v>38</v>
      </c>
      <c r="I445" s="975"/>
      <c r="J445" s="975"/>
      <c r="K445" s="975"/>
      <c r="L445" s="975"/>
      <c r="M445" s="562"/>
      <c r="N445" s="975" t="s">
        <v>1437</v>
      </c>
      <c r="O445" s="975"/>
      <c r="P445" s="975"/>
      <c r="Q445" s="975"/>
      <c r="R445" s="975"/>
      <c r="S445" s="975"/>
      <c r="T445" s="975"/>
      <c r="X445" s="23"/>
    </row>
    <row r="446" spans="1:24" ht="19.95" customHeight="1" x14ac:dyDescent="0.3">
      <c r="A446" s="262" t="s">
        <v>1242</v>
      </c>
      <c r="C446" s="228"/>
      <c r="D446" s="228"/>
      <c r="E446" s="561"/>
      <c r="F446" s="561"/>
      <c r="G446" s="561"/>
      <c r="H446" s="975" t="s">
        <v>32</v>
      </c>
      <c r="I446" s="975"/>
      <c r="J446" s="562"/>
      <c r="K446" s="975" t="s">
        <v>1407</v>
      </c>
      <c r="L446" s="975"/>
      <c r="M446" s="260"/>
      <c r="N446" s="975"/>
      <c r="O446" s="975"/>
      <c r="P446" s="975"/>
      <c r="Q446" s="975"/>
      <c r="R446" s="975"/>
      <c r="S446" s="975"/>
      <c r="T446" s="975"/>
      <c r="X446" s="23"/>
    </row>
    <row r="447" spans="1:24" ht="19.95" customHeight="1" x14ac:dyDescent="0.3">
      <c r="A447" s="262" t="s">
        <v>1242</v>
      </c>
      <c r="C447" s="228"/>
      <c r="D447" s="228"/>
      <c r="E447" s="561"/>
      <c r="F447" s="561"/>
      <c r="G447" s="561"/>
      <c r="H447" s="976" t="s">
        <v>94</v>
      </c>
      <c r="I447" s="976"/>
      <c r="J447" s="623"/>
      <c r="K447" s="976" t="s">
        <v>94</v>
      </c>
      <c r="L447" s="976"/>
      <c r="M447" s="260"/>
      <c r="N447" s="975"/>
      <c r="O447" s="975"/>
      <c r="P447" s="975"/>
      <c r="Q447" s="975"/>
      <c r="R447" s="975"/>
      <c r="S447" s="975"/>
      <c r="T447" s="975"/>
      <c r="X447" s="23"/>
    </row>
    <row r="448" spans="1:24" ht="19.95" customHeight="1" x14ac:dyDescent="0.3">
      <c r="A448" s="262" t="s">
        <v>1242</v>
      </c>
      <c r="C448" s="228"/>
      <c r="D448" s="228"/>
      <c r="E448" s="561"/>
      <c r="F448" s="561"/>
      <c r="G448" s="561"/>
      <c r="H448" s="976"/>
      <c r="I448" s="976"/>
      <c r="J448" s="623"/>
      <c r="K448" s="976"/>
      <c r="L448" s="976"/>
      <c r="M448" s="261"/>
      <c r="N448" s="260"/>
      <c r="O448" s="260"/>
      <c r="P448" s="260"/>
      <c r="Q448" s="260"/>
      <c r="R448" s="260"/>
      <c r="S448" s="260"/>
      <c r="T448" s="260"/>
      <c r="X448" s="23"/>
    </row>
    <row r="449" spans="1:24" ht="19.95" customHeight="1" x14ac:dyDescent="0.3">
      <c r="A449" s="262" t="s">
        <v>1242</v>
      </c>
      <c r="C449" s="228"/>
      <c r="D449" s="228"/>
      <c r="E449" s="561"/>
      <c r="F449" s="561"/>
      <c r="G449" s="561"/>
      <c r="H449" s="975"/>
      <c r="I449" s="975"/>
      <c r="J449" s="562"/>
      <c r="K449" s="975"/>
      <c r="L449" s="975"/>
      <c r="M449" s="562"/>
      <c r="N449" s="968" t="s">
        <v>28</v>
      </c>
      <c r="O449" s="968"/>
      <c r="P449" s="968"/>
      <c r="Q449" s="968"/>
      <c r="R449" s="968"/>
      <c r="S449" s="968"/>
      <c r="T449" s="968"/>
      <c r="X449" s="23"/>
    </row>
    <row r="450" spans="1:24" ht="19.95" customHeight="1" x14ac:dyDescent="0.3">
      <c r="A450" s="262" t="s">
        <v>1242</v>
      </c>
      <c r="C450" s="228"/>
      <c r="D450" s="228"/>
      <c r="E450" s="561"/>
      <c r="F450" s="561"/>
      <c r="G450" s="561"/>
      <c r="H450" s="976" t="s">
        <v>1220</v>
      </c>
      <c r="I450" s="976"/>
      <c r="J450" s="976"/>
      <c r="K450" s="976"/>
      <c r="L450" s="976"/>
      <c r="M450" s="623"/>
      <c r="N450" s="968" t="s">
        <v>1486</v>
      </c>
      <c r="O450" s="968"/>
      <c r="P450" s="968"/>
      <c r="Q450" s="968"/>
      <c r="R450" s="968"/>
      <c r="S450" s="968"/>
      <c r="T450" s="968"/>
      <c r="X450" s="23"/>
    </row>
    <row r="451" spans="1:24" ht="19.95" customHeight="1" x14ac:dyDescent="0.3">
      <c r="A451" s="262" t="s">
        <v>1242</v>
      </c>
      <c r="C451" s="228"/>
      <c r="D451" s="228"/>
      <c r="E451" s="561"/>
      <c r="F451" s="561"/>
      <c r="G451" s="561"/>
      <c r="H451" s="976"/>
      <c r="I451" s="976"/>
      <c r="J451" s="976"/>
      <c r="K451" s="976"/>
      <c r="L451" s="976"/>
      <c r="M451" s="623"/>
      <c r="N451" s="968"/>
      <c r="O451" s="968"/>
      <c r="P451" s="968"/>
      <c r="Q451" s="968"/>
      <c r="R451" s="968"/>
      <c r="S451" s="968"/>
      <c r="T451" s="968"/>
      <c r="X451" s="23"/>
    </row>
    <row r="452" spans="1:24" ht="19.95" customHeight="1" x14ac:dyDescent="0.3">
      <c r="A452" s="262" t="s">
        <v>1242</v>
      </c>
      <c r="C452" s="228"/>
      <c r="D452" s="228"/>
      <c r="E452" s="561"/>
      <c r="F452" s="561"/>
      <c r="G452" s="561"/>
      <c r="H452" s="228"/>
      <c r="I452" s="260"/>
      <c r="J452" s="260"/>
      <c r="K452" s="260"/>
      <c r="L452" s="260"/>
      <c r="M452" s="260"/>
      <c r="N452" s="260"/>
      <c r="O452" s="260"/>
      <c r="P452" s="260"/>
      <c r="Q452" s="260"/>
      <c r="R452" s="260"/>
      <c r="S452" s="624"/>
      <c r="T452" s="260"/>
      <c r="X452" s="23"/>
    </row>
    <row r="453" spans="1:24" ht="19.95" customHeight="1" x14ac:dyDescent="0.3">
      <c r="A453" s="262" t="s">
        <v>1242</v>
      </c>
      <c r="C453" s="228"/>
      <c r="D453" s="228"/>
      <c r="E453" s="975" t="s">
        <v>1215</v>
      </c>
      <c r="F453" s="975"/>
      <c r="G453" s="975"/>
      <c r="H453" s="975" t="s">
        <v>1348</v>
      </c>
      <c r="I453" s="975"/>
      <c r="J453" s="975"/>
      <c r="K453" s="975"/>
      <c r="L453" s="975"/>
      <c r="M453" s="562"/>
      <c r="N453" s="977" t="s">
        <v>1219</v>
      </c>
      <c r="O453" s="968"/>
      <c r="P453" s="968"/>
      <c r="Q453" s="968"/>
      <c r="R453" s="968"/>
      <c r="S453" s="968"/>
      <c r="T453" s="968"/>
      <c r="X453" s="23"/>
    </row>
    <row r="454" spans="1:24" ht="19.95" customHeight="1" x14ac:dyDescent="0.3">
      <c r="A454" s="262" t="s">
        <v>1290</v>
      </c>
      <c r="C454" s="228"/>
      <c r="D454" s="228"/>
      <c r="E454" s="975"/>
      <c r="F454" s="975"/>
      <c r="G454" s="975"/>
      <c r="H454" s="975"/>
      <c r="I454" s="975"/>
      <c r="J454" s="975"/>
      <c r="K454" s="975"/>
      <c r="L454" s="975"/>
      <c r="M454" s="562"/>
      <c r="N454" s="968"/>
      <c r="O454" s="968"/>
      <c r="P454" s="968"/>
      <c r="Q454" s="968"/>
      <c r="R454" s="968"/>
      <c r="S454" s="968"/>
      <c r="T454" s="968"/>
      <c r="X454" s="23"/>
    </row>
    <row r="455" spans="1:24" ht="30" customHeight="1" x14ac:dyDescent="0.3">
      <c r="A455" s="262">
        <v>2</v>
      </c>
      <c r="C455" s="255">
        <v>253</v>
      </c>
      <c r="D455" s="256" t="s">
        <v>725</v>
      </c>
      <c r="E455" s="978" t="s">
        <v>726</v>
      </c>
      <c r="F455" s="979"/>
      <c r="G455" s="980"/>
      <c r="H455" s="546" t="s">
        <v>286</v>
      </c>
      <c r="I455" s="257">
        <v>15780317</v>
      </c>
      <c r="J455" s="606"/>
      <c r="K455" s="257">
        <v>1</v>
      </c>
      <c r="L455" s="257">
        <f t="shared" ref="L455:L462" si="75">+ROUND(I455*K455,2)</f>
        <v>15780317</v>
      </c>
      <c r="M455" s="603"/>
      <c r="N455" s="675">
        <f>+'Yeşil Defter'!K479</f>
        <v>0</v>
      </c>
      <c r="O455" s="675">
        <f>+'Yeşil Defter'!L479</f>
        <v>0</v>
      </c>
      <c r="P455" s="675">
        <f>+'Yeşil Defter'!M479</f>
        <v>0</v>
      </c>
      <c r="Q455" s="257"/>
      <c r="R455" s="606">
        <f t="shared" ref="R455:R462" si="76">+ROUND(K455*N455,2)</f>
        <v>0</v>
      </c>
      <c r="S455" s="247">
        <f t="shared" si="67"/>
        <v>0</v>
      </c>
      <c r="T455" s="248">
        <f t="shared" ref="T455:T462" si="77">+ROUND(K455*P455,2)</f>
        <v>0</v>
      </c>
      <c r="X455" s="23" t="str">
        <f t="shared" si="71"/>
        <v>-</v>
      </c>
    </row>
    <row r="456" spans="1:24" ht="30" customHeight="1" x14ac:dyDescent="0.3">
      <c r="A456" s="262">
        <v>2</v>
      </c>
      <c r="C456" s="244">
        <v>254</v>
      </c>
      <c r="D456" s="161" t="s">
        <v>727</v>
      </c>
      <c r="E456" s="969" t="s">
        <v>728</v>
      </c>
      <c r="F456" s="970"/>
      <c r="G456" s="971"/>
      <c r="H456" s="544" t="s">
        <v>286</v>
      </c>
      <c r="I456" s="212">
        <v>15780317</v>
      </c>
      <c r="J456" s="605"/>
      <c r="K456" s="212">
        <v>1</v>
      </c>
      <c r="L456" s="212">
        <f t="shared" si="75"/>
        <v>15780317</v>
      </c>
      <c r="M456" s="602"/>
      <c r="N456" s="675">
        <f>+'Yeşil Defter'!K480</f>
        <v>0</v>
      </c>
      <c r="O456" s="675">
        <f>+'Yeşil Defter'!L480</f>
        <v>0</v>
      </c>
      <c r="P456" s="675">
        <f>+'Yeşil Defter'!M480</f>
        <v>0</v>
      </c>
      <c r="Q456" s="212"/>
      <c r="R456" s="605">
        <f t="shared" si="76"/>
        <v>0</v>
      </c>
      <c r="S456" s="225">
        <f t="shared" si="67"/>
        <v>0</v>
      </c>
      <c r="T456" s="237">
        <f t="shared" si="77"/>
        <v>0</v>
      </c>
      <c r="X456" s="23" t="str">
        <f t="shared" si="71"/>
        <v>-</v>
      </c>
    </row>
    <row r="457" spans="1:24" ht="30" customHeight="1" x14ac:dyDescent="0.3">
      <c r="A457" s="262">
        <v>2</v>
      </c>
      <c r="C457" s="244">
        <v>255</v>
      </c>
      <c r="D457" s="161" t="s">
        <v>729</v>
      </c>
      <c r="E457" s="969" t="s">
        <v>730</v>
      </c>
      <c r="F457" s="970"/>
      <c r="G457" s="971"/>
      <c r="H457" s="544" t="s">
        <v>286</v>
      </c>
      <c r="I457" s="212">
        <v>25144461</v>
      </c>
      <c r="J457" s="605"/>
      <c r="K457" s="212">
        <v>1</v>
      </c>
      <c r="L457" s="212">
        <f t="shared" si="75"/>
        <v>25144461</v>
      </c>
      <c r="M457" s="602"/>
      <c r="N457" s="675">
        <f>+'Yeşil Defter'!K481</f>
        <v>0</v>
      </c>
      <c r="O457" s="675">
        <f>+'Yeşil Defter'!L481</f>
        <v>0</v>
      </c>
      <c r="P457" s="675">
        <f>+'Yeşil Defter'!M481</f>
        <v>0</v>
      </c>
      <c r="Q457" s="212"/>
      <c r="R457" s="605">
        <f t="shared" si="76"/>
        <v>0</v>
      </c>
      <c r="S457" s="225">
        <f t="shared" si="67"/>
        <v>0</v>
      </c>
      <c r="T457" s="237">
        <f t="shared" si="77"/>
        <v>0</v>
      </c>
      <c r="X457" s="23" t="str">
        <f t="shared" si="71"/>
        <v>-</v>
      </c>
    </row>
    <row r="458" spans="1:24" ht="30" customHeight="1" x14ac:dyDescent="0.3">
      <c r="A458" s="262">
        <v>2</v>
      </c>
      <c r="C458" s="244">
        <v>256</v>
      </c>
      <c r="D458" s="161" t="s">
        <v>731</v>
      </c>
      <c r="E458" s="969" t="s">
        <v>732</v>
      </c>
      <c r="F458" s="970"/>
      <c r="G458" s="971"/>
      <c r="H458" s="544" t="s">
        <v>286</v>
      </c>
      <c r="I458" s="212">
        <v>38641545</v>
      </c>
      <c r="J458" s="605"/>
      <c r="K458" s="212">
        <v>1</v>
      </c>
      <c r="L458" s="212">
        <f t="shared" si="75"/>
        <v>38641545</v>
      </c>
      <c r="M458" s="602"/>
      <c r="N458" s="675">
        <f>+'Yeşil Defter'!K482</f>
        <v>0</v>
      </c>
      <c r="O458" s="675">
        <f>+'Yeşil Defter'!L482</f>
        <v>0</v>
      </c>
      <c r="P458" s="675">
        <f>+'Yeşil Defter'!M482</f>
        <v>0</v>
      </c>
      <c r="Q458" s="212"/>
      <c r="R458" s="605">
        <f t="shared" si="76"/>
        <v>0</v>
      </c>
      <c r="S458" s="225">
        <f t="shared" si="67"/>
        <v>0</v>
      </c>
      <c r="T458" s="237">
        <f t="shared" si="77"/>
        <v>0</v>
      </c>
      <c r="X458" s="23" t="str">
        <f t="shared" si="71"/>
        <v>-</v>
      </c>
    </row>
    <row r="459" spans="1:24" ht="30" customHeight="1" x14ac:dyDescent="0.3">
      <c r="A459" s="262">
        <v>2</v>
      </c>
      <c r="C459" s="244">
        <v>257</v>
      </c>
      <c r="D459" s="161" t="s">
        <v>733</v>
      </c>
      <c r="E459" s="969" t="s">
        <v>734</v>
      </c>
      <c r="F459" s="970"/>
      <c r="G459" s="971"/>
      <c r="H459" s="544" t="s">
        <v>286</v>
      </c>
      <c r="I459" s="212">
        <v>90828122</v>
      </c>
      <c r="J459" s="605"/>
      <c r="K459" s="212">
        <v>1</v>
      </c>
      <c r="L459" s="212">
        <f t="shared" si="75"/>
        <v>90828122</v>
      </c>
      <c r="M459" s="602"/>
      <c r="N459" s="675">
        <f>+'Yeşil Defter'!K483</f>
        <v>0</v>
      </c>
      <c r="O459" s="675">
        <f>+'Yeşil Defter'!L483</f>
        <v>0</v>
      </c>
      <c r="P459" s="675">
        <f>+'Yeşil Defter'!M483</f>
        <v>0</v>
      </c>
      <c r="Q459" s="212"/>
      <c r="R459" s="605">
        <f t="shared" si="76"/>
        <v>0</v>
      </c>
      <c r="S459" s="225">
        <f t="shared" si="67"/>
        <v>0</v>
      </c>
      <c r="T459" s="237">
        <f t="shared" si="77"/>
        <v>0</v>
      </c>
      <c r="X459" s="23" t="str">
        <f t="shared" si="71"/>
        <v>-</v>
      </c>
    </row>
    <row r="460" spans="1:24" ht="30" customHeight="1" x14ac:dyDescent="0.3">
      <c r="A460" s="262">
        <v>2</v>
      </c>
      <c r="C460" s="244">
        <v>258</v>
      </c>
      <c r="D460" s="161" t="s">
        <v>735</v>
      </c>
      <c r="E460" s="969" t="s">
        <v>736</v>
      </c>
      <c r="F460" s="970"/>
      <c r="G460" s="971"/>
      <c r="H460" s="544" t="s">
        <v>202</v>
      </c>
      <c r="I460" s="212">
        <v>11835</v>
      </c>
      <c r="J460" s="605"/>
      <c r="K460" s="212">
        <v>2500</v>
      </c>
      <c r="L460" s="212">
        <f t="shared" si="75"/>
        <v>29587500</v>
      </c>
      <c r="M460" s="602"/>
      <c r="N460" s="675">
        <f>+'Yeşil Defter'!K484</f>
        <v>0</v>
      </c>
      <c r="O460" s="675">
        <f>+'Yeşil Defter'!L484</f>
        <v>0</v>
      </c>
      <c r="P460" s="675">
        <f>+'Yeşil Defter'!M484</f>
        <v>0</v>
      </c>
      <c r="Q460" s="212"/>
      <c r="R460" s="605">
        <f t="shared" si="76"/>
        <v>0</v>
      </c>
      <c r="S460" s="225">
        <f t="shared" si="67"/>
        <v>0</v>
      </c>
      <c r="T460" s="237">
        <f t="shared" si="77"/>
        <v>0</v>
      </c>
      <c r="X460" s="23" t="str">
        <f t="shared" si="71"/>
        <v>-</v>
      </c>
    </row>
    <row r="461" spans="1:24" ht="30" customHeight="1" x14ac:dyDescent="0.3">
      <c r="A461" s="262">
        <v>2</v>
      </c>
      <c r="C461" s="244">
        <v>259</v>
      </c>
      <c r="D461" s="161" t="s">
        <v>737</v>
      </c>
      <c r="E461" s="969" t="s">
        <v>738</v>
      </c>
      <c r="F461" s="970"/>
      <c r="G461" s="971"/>
      <c r="H461" s="544" t="s">
        <v>202</v>
      </c>
      <c r="I461" s="212">
        <v>6676</v>
      </c>
      <c r="J461" s="605"/>
      <c r="K461" s="212">
        <v>14000</v>
      </c>
      <c r="L461" s="212">
        <f t="shared" si="75"/>
        <v>93464000</v>
      </c>
      <c r="M461" s="602"/>
      <c r="N461" s="675">
        <f>+'Yeşil Defter'!K485</f>
        <v>0</v>
      </c>
      <c r="O461" s="675">
        <f>+'Yeşil Defter'!L485</f>
        <v>0</v>
      </c>
      <c r="P461" s="675">
        <f>+'Yeşil Defter'!M485</f>
        <v>0</v>
      </c>
      <c r="Q461" s="212"/>
      <c r="R461" s="605">
        <f t="shared" si="76"/>
        <v>0</v>
      </c>
      <c r="S461" s="225">
        <f t="shared" ref="S461:S598" si="78">+T461-R461</f>
        <v>0</v>
      </c>
      <c r="T461" s="237">
        <f t="shared" si="77"/>
        <v>0</v>
      </c>
      <c r="X461" s="23" t="str">
        <f t="shared" si="71"/>
        <v>-</v>
      </c>
    </row>
    <row r="462" spans="1:24" ht="30" customHeight="1" x14ac:dyDescent="0.3">
      <c r="A462" s="262">
        <v>2</v>
      </c>
      <c r="C462" s="244">
        <v>260</v>
      </c>
      <c r="D462" s="161" t="s">
        <v>739</v>
      </c>
      <c r="E462" s="969" t="s">
        <v>740</v>
      </c>
      <c r="F462" s="970"/>
      <c r="G462" s="971"/>
      <c r="H462" s="544" t="s">
        <v>286</v>
      </c>
      <c r="I462" s="212">
        <v>22543310</v>
      </c>
      <c r="J462" s="605"/>
      <c r="K462" s="212">
        <v>1</v>
      </c>
      <c r="L462" s="341">
        <f t="shared" si="75"/>
        <v>22543310</v>
      </c>
      <c r="M462" s="212"/>
      <c r="N462" s="675">
        <f>+'Yeşil Defter'!K486</f>
        <v>0</v>
      </c>
      <c r="O462" s="675">
        <f>+'Yeşil Defter'!L486</f>
        <v>0</v>
      </c>
      <c r="P462" s="675">
        <f>+'Yeşil Defter'!M486</f>
        <v>0</v>
      </c>
      <c r="Q462" s="212"/>
      <c r="R462" s="605">
        <f t="shared" si="76"/>
        <v>0</v>
      </c>
      <c r="S462" s="225">
        <f t="shared" si="78"/>
        <v>0</v>
      </c>
      <c r="T462" s="237">
        <f t="shared" si="77"/>
        <v>0</v>
      </c>
      <c r="X462" s="23" t="str">
        <f t="shared" si="71"/>
        <v>-</v>
      </c>
    </row>
    <row r="463" spans="1:24" ht="30" customHeight="1" x14ac:dyDescent="0.3">
      <c r="A463" s="262">
        <v>2</v>
      </c>
      <c r="C463" s="244"/>
      <c r="D463" s="161"/>
      <c r="E463" s="969"/>
      <c r="F463" s="970"/>
      <c r="G463" s="971"/>
      <c r="H463" s="161"/>
      <c r="I463" s="605"/>
      <c r="J463" s="605"/>
      <c r="K463" s="212"/>
      <c r="L463" s="341"/>
      <c r="M463" s="212"/>
      <c r="N463" s="605"/>
      <c r="O463" s="212"/>
      <c r="P463" s="341"/>
      <c r="Q463" s="212"/>
      <c r="R463" s="605"/>
      <c r="S463" s="225"/>
      <c r="T463" s="237"/>
      <c r="X463" s="23"/>
    </row>
    <row r="464" spans="1:24" ht="30" customHeight="1" x14ac:dyDescent="0.3">
      <c r="A464" s="262">
        <v>2</v>
      </c>
      <c r="C464" s="244"/>
      <c r="D464" s="161"/>
      <c r="E464" s="969"/>
      <c r="F464" s="970"/>
      <c r="G464" s="971"/>
      <c r="H464" s="161"/>
      <c r="I464" s="605"/>
      <c r="J464" s="605"/>
      <c r="K464" s="212"/>
      <c r="L464" s="341"/>
      <c r="M464" s="212"/>
      <c r="N464" s="605"/>
      <c r="O464" s="212"/>
      <c r="P464" s="341"/>
      <c r="Q464" s="212"/>
      <c r="R464" s="605"/>
      <c r="S464" s="225"/>
      <c r="T464" s="237"/>
      <c r="X464" s="23"/>
    </row>
    <row r="465" spans="1:24" ht="30" customHeight="1" x14ac:dyDescent="0.3">
      <c r="A465" s="262">
        <v>2</v>
      </c>
      <c r="C465" s="244"/>
      <c r="D465" s="161"/>
      <c r="E465" s="969"/>
      <c r="F465" s="970"/>
      <c r="G465" s="971"/>
      <c r="H465" s="161"/>
      <c r="I465" s="605"/>
      <c r="J465" s="605"/>
      <c r="K465" s="212"/>
      <c r="L465" s="341"/>
      <c r="M465" s="212"/>
      <c r="N465" s="605"/>
      <c r="O465" s="212"/>
      <c r="P465" s="341"/>
      <c r="Q465" s="212"/>
      <c r="R465" s="605"/>
      <c r="S465" s="225"/>
      <c r="T465" s="237"/>
      <c r="X465" s="23"/>
    </row>
    <row r="466" spans="1:24" ht="30" customHeight="1" x14ac:dyDescent="0.3">
      <c r="A466" s="262">
        <v>2</v>
      </c>
      <c r="C466" s="244"/>
      <c r="D466" s="161"/>
      <c r="E466" s="969"/>
      <c r="F466" s="970"/>
      <c r="G466" s="971"/>
      <c r="H466" s="161"/>
      <c r="I466" s="605"/>
      <c r="J466" s="605"/>
      <c r="K466" s="212"/>
      <c r="L466" s="341"/>
      <c r="M466" s="212"/>
      <c r="N466" s="605"/>
      <c r="O466" s="212"/>
      <c r="P466" s="341"/>
      <c r="Q466" s="212"/>
      <c r="R466" s="605"/>
      <c r="S466" s="225"/>
      <c r="T466" s="237"/>
      <c r="X466" s="23"/>
    </row>
    <row r="467" spans="1:24" ht="30" customHeight="1" x14ac:dyDescent="0.3">
      <c r="A467" s="262">
        <v>2</v>
      </c>
      <c r="C467" s="244"/>
      <c r="D467" s="161"/>
      <c r="E467" s="969"/>
      <c r="F467" s="970"/>
      <c r="G467" s="971"/>
      <c r="H467" s="161"/>
      <c r="I467" s="605"/>
      <c r="J467" s="605"/>
      <c r="K467" s="212"/>
      <c r="L467" s="341"/>
      <c r="M467" s="212"/>
      <c r="N467" s="605"/>
      <c r="O467" s="212"/>
      <c r="P467" s="341"/>
      <c r="Q467" s="212"/>
      <c r="R467" s="605"/>
      <c r="S467" s="225"/>
      <c r="T467" s="237"/>
      <c r="X467" s="23"/>
    </row>
    <row r="468" spans="1:24" ht="30" customHeight="1" x14ac:dyDescent="0.3">
      <c r="A468" s="262">
        <v>2</v>
      </c>
      <c r="C468" s="244"/>
      <c r="D468" s="161"/>
      <c r="E468" s="969"/>
      <c r="F468" s="970"/>
      <c r="G468" s="971"/>
      <c r="H468" s="161"/>
      <c r="I468" s="605"/>
      <c r="J468" s="605"/>
      <c r="K468" s="212"/>
      <c r="L468" s="341"/>
      <c r="M468" s="212"/>
      <c r="N468" s="605"/>
      <c r="O468" s="212"/>
      <c r="P468" s="341"/>
      <c r="Q468" s="212"/>
      <c r="R468" s="605"/>
      <c r="S468" s="225"/>
      <c r="T468" s="237"/>
      <c r="X468" s="23"/>
    </row>
    <row r="469" spans="1:24" ht="30" customHeight="1" x14ac:dyDescent="0.3">
      <c r="A469" s="262">
        <v>2</v>
      </c>
      <c r="C469" s="244"/>
      <c r="D469" s="161"/>
      <c r="E469" s="969"/>
      <c r="F469" s="970"/>
      <c r="G469" s="971"/>
      <c r="H469" s="161"/>
      <c r="I469" s="605"/>
      <c r="J469" s="605"/>
      <c r="K469" s="212"/>
      <c r="L469" s="341"/>
      <c r="M469" s="212"/>
      <c r="N469" s="605"/>
      <c r="O469" s="212"/>
      <c r="P469" s="341"/>
      <c r="Q469" s="212"/>
      <c r="R469" s="605"/>
      <c r="S469" s="225"/>
      <c r="T469" s="237"/>
      <c r="X469" s="23"/>
    </row>
    <row r="470" spans="1:24" ht="30" customHeight="1" x14ac:dyDescent="0.3">
      <c r="A470" s="262">
        <v>2</v>
      </c>
      <c r="C470" s="244"/>
      <c r="D470" s="161"/>
      <c r="E470" s="969"/>
      <c r="F470" s="970"/>
      <c r="G470" s="971"/>
      <c r="H470" s="161"/>
      <c r="I470" s="605"/>
      <c r="J470" s="605"/>
      <c r="K470" s="212"/>
      <c r="L470" s="341"/>
      <c r="M470" s="212"/>
      <c r="N470" s="605"/>
      <c r="O470" s="212"/>
      <c r="P470" s="341"/>
      <c r="Q470" s="212"/>
      <c r="R470" s="605"/>
      <c r="S470" s="225"/>
      <c r="T470" s="237"/>
      <c r="X470" s="23"/>
    </row>
    <row r="471" spans="1:24" ht="30" customHeight="1" x14ac:dyDescent="0.3">
      <c r="A471" s="262">
        <v>2</v>
      </c>
      <c r="C471" s="244"/>
      <c r="D471" s="161"/>
      <c r="E471" s="969"/>
      <c r="F471" s="970"/>
      <c r="G471" s="971"/>
      <c r="H471" s="161"/>
      <c r="I471" s="605"/>
      <c r="J471" s="605"/>
      <c r="K471" s="212"/>
      <c r="L471" s="341"/>
      <c r="M471" s="212"/>
      <c r="N471" s="605"/>
      <c r="O471" s="212"/>
      <c r="P471" s="341"/>
      <c r="Q471" s="212"/>
      <c r="R471" s="605"/>
      <c r="S471" s="225"/>
      <c r="T471" s="237"/>
      <c r="X471" s="23"/>
    </row>
    <row r="472" spans="1:24" ht="30" customHeight="1" x14ac:dyDescent="0.3">
      <c r="A472" s="262">
        <v>2</v>
      </c>
      <c r="C472" s="244"/>
      <c r="D472" s="161"/>
      <c r="E472" s="969"/>
      <c r="F472" s="970"/>
      <c r="G472" s="971"/>
      <c r="H472" s="161"/>
      <c r="I472" s="605"/>
      <c r="J472" s="605"/>
      <c r="K472" s="212"/>
      <c r="L472" s="341"/>
      <c r="M472" s="212"/>
      <c r="N472" s="605"/>
      <c r="O472" s="212"/>
      <c r="P472" s="341"/>
      <c r="Q472" s="212"/>
      <c r="R472" s="605"/>
      <c r="S472" s="225"/>
      <c r="T472" s="237"/>
      <c r="X472" s="23"/>
    </row>
    <row r="473" spans="1:24" ht="30" customHeight="1" x14ac:dyDescent="0.3">
      <c r="A473" s="262">
        <v>2</v>
      </c>
      <c r="C473" s="244"/>
      <c r="D473" s="161"/>
      <c r="E473" s="969"/>
      <c r="F473" s="970"/>
      <c r="G473" s="971"/>
      <c r="H473" s="161"/>
      <c r="I473" s="605"/>
      <c r="J473" s="605"/>
      <c r="K473" s="212"/>
      <c r="L473" s="341"/>
      <c r="M473" s="212"/>
      <c r="N473" s="605"/>
      <c r="O473" s="212"/>
      <c r="P473" s="341"/>
      <c r="Q473" s="212"/>
      <c r="R473" s="605"/>
      <c r="S473" s="225"/>
      <c r="T473" s="237"/>
      <c r="X473" s="23"/>
    </row>
    <row r="474" spans="1:24" ht="30" customHeight="1" x14ac:dyDescent="0.3">
      <c r="A474" s="262">
        <v>2</v>
      </c>
      <c r="C474" s="244"/>
      <c r="D474" s="161"/>
      <c r="E474" s="969"/>
      <c r="F474" s="970"/>
      <c r="G474" s="971"/>
      <c r="H474" s="161"/>
      <c r="I474" s="605"/>
      <c r="J474" s="605"/>
      <c r="K474" s="212"/>
      <c r="L474" s="341"/>
      <c r="M474" s="212"/>
      <c r="N474" s="605"/>
      <c r="O474" s="212"/>
      <c r="P474" s="341"/>
      <c r="Q474" s="212"/>
      <c r="R474" s="605"/>
      <c r="S474" s="225"/>
      <c r="T474" s="237"/>
      <c r="X474" s="23"/>
    </row>
    <row r="475" spans="1:24" ht="30" customHeight="1" x14ac:dyDescent="0.3">
      <c r="A475" s="262">
        <v>2</v>
      </c>
      <c r="C475" s="244"/>
      <c r="D475" s="161"/>
      <c r="E475" s="969"/>
      <c r="F475" s="970"/>
      <c r="G475" s="971"/>
      <c r="H475" s="161"/>
      <c r="I475" s="605"/>
      <c r="J475" s="605"/>
      <c r="K475" s="212"/>
      <c r="L475" s="341"/>
      <c r="M475" s="212"/>
      <c r="N475" s="605"/>
      <c r="O475" s="212"/>
      <c r="P475" s="341"/>
      <c r="Q475" s="212"/>
      <c r="R475" s="605"/>
      <c r="S475" s="225"/>
      <c r="T475" s="237"/>
      <c r="X475" s="23"/>
    </row>
    <row r="476" spans="1:24" ht="30" customHeight="1" x14ac:dyDescent="0.3">
      <c r="A476" s="262">
        <v>2</v>
      </c>
      <c r="C476" s="244"/>
      <c r="D476" s="161"/>
      <c r="E476" s="969"/>
      <c r="F476" s="970"/>
      <c r="G476" s="971"/>
      <c r="H476" s="161"/>
      <c r="I476" s="605"/>
      <c r="J476" s="605"/>
      <c r="K476" s="212"/>
      <c r="L476" s="341"/>
      <c r="M476" s="212"/>
      <c r="N476" s="605"/>
      <c r="O476" s="212"/>
      <c r="P476" s="341"/>
      <c r="Q476" s="212"/>
      <c r="R476" s="605"/>
      <c r="S476" s="225"/>
      <c r="T476" s="237"/>
      <c r="X476" s="23"/>
    </row>
    <row r="477" spans="1:24" ht="30" customHeight="1" x14ac:dyDescent="0.3">
      <c r="A477" s="262">
        <v>2</v>
      </c>
      <c r="C477" s="244"/>
      <c r="D477" s="161"/>
      <c r="E477" s="969"/>
      <c r="F477" s="970"/>
      <c r="G477" s="971"/>
      <c r="H477" s="658"/>
      <c r="I477" s="605"/>
      <c r="J477" s="605"/>
      <c r="K477" s="212"/>
      <c r="L477" s="341"/>
      <c r="M477" s="302"/>
      <c r="N477" s="605"/>
      <c r="O477" s="212"/>
      <c r="P477" s="341"/>
      <c r="Q477" s="302"/>
      <c r="R477" s="605"/>
      <c r="S477" s="225"/>
      <c r="T477" s="237"/>
      <c r="X477" s="23"/>
    </row>
    <row r="478" spans="1:24" ht="40.049999999999997" customHeight="1" x14ac:dyDescent="0.3">
      <c r="A478" s="262" t="s">
        <v>1242</v>
      </c>
      <c r="C478" s="258"/>
      <c r="D478" s="258"/>
      <c r="E478" s="972" t="s">
        <v>33</v>
      </c>
      <c r="F478" s="972"/>
      <c r="G478" s="972"/>
      <c r="H478" s="973" t="s">
        <v>29</v>
      </c>
      <c r="I478" s="973"/>
      <c r="J478" s="973"/>
      <c r="K478" s="973"/>
      <c r="L478" s="973"/>
      <c r="M478" s="549"/>
      <c r="N478" s="973" t="s">
        <v>22</v>
      </c>
      <c r="O478" s="973"/>
      <c r="P478" s="973"/>
      <c r="Q478" s="973"/>
      <c r="R478" s="973"/>
      <c r="S478" s="973"/>
      <c r="T478" s="973"/>
      <c r="X478" s="23"/>
    </row>
    <row r="479" spans="1:24" ht="19.95" customHeight="1" x14ac:dyDescent="0.3">
      <c r="A479" s="262" t="s">
        <v>1242</v>
      </c>
      <c r="D479" s="28"/>
      <c r="E479" s="974" t="s">
        <v>1214</v>
      </c>
      <c r="F479" s="974"/>
      <c r="G479" s="974"/>
      <c r="H479" s="975" t="s">
        <v>38</v>
      </c>
      <c r="I479" s="975"/>
      <c r="J479" s="975"/>
      <c r="K479" s="975"/>
      <c r="L479" s="975"/>
      <c r="M479" s="562"/>
      <c r="N479" s="975" t="s">
        <v>1437</v>
      </c>
      <c r="O479" s="975"/>
      <c r="P479" s="975"/>
      <c r="Q479" s="975"/>
      <c r="R479" s="975"/>
      <c r="S479" s="975"/>
      <c r="T479" s="975"/>
      <c r="X479" s="23"/>
    </row>
    <row r="480" spans="1:24" ht="19.95" customHeight="1" x14ac:dyDescent="0.3">
      <c r="A480" s="262" t="s">
        <v>1242</v>
      </c>
      <c r="C480" s="228"/>
      <c r="D480" s="228"/>
      <c r="E480" s="561"/>
      <c r="F480" s="561"/>
      <c r="G480" s="561"/>
      <c r="H480" s="975" t="s">
        <v>32</v>
      </c>
      <c r="I480" s="975"/>
      <c r="J480" s="562"/>
      <c r="K480" s="975" t="s">
        <v>1407</v>
      </c>
      <c r="L480" s="975"/>
      <c r="M480" s="260"/>
      <c r="N480" s="975"/>
      <c r="O480" s="975"/>
      <c r="P480" s="975"/>
      <c r="Q480" s="975"/>
      <c r="R480" s="975"/>
      <c r="S480" s="975"/>
      <c r="T480" s="975"/>
      <c r="X480" s="23"/>
    </row>
    <row r="481" spans="1:24" ht="19.95" customHeight="1" x14ac:dyDescent="0.3">
      <c r="A481" s="262" t="s">
        <v>1242</v>
      </c>
      <c r="C481" s="228"/>
      <c r="D481" s="228"/>
      <c r="E481" s="561"/>
      <c r="F481" s="561"/>
      <c r="G481" s="561"/>
      <c r="H481" s="976" t="s">
        <v>94</v>
      </c>
      <c r="I481" s="976"/>
      <c r="J481" s="623"/>
      <c r="K481" s="976" t="s">
        <v>94</v>
      </c>
      <c r="L481" s="976"/>
      <c r="M481" s="260"/>
      <c r="N481" s="975"/>
      <c r="O481" s="975"/>
      <c r="P481" s="975"/>
      <c r="Q481" s="975"/>
      <c r="R481" s="975"/>
      <c r="S481" s="975"/>
      <c r="T481" s="975"/>
      <c r="X481" s="23"/>
    </row>
    <row r="482" spans="1:24" ht="19.95" customHeight="1" x14ac:dyDescent="0.3">
      <c r="A482" s="262" t="s">
        <v>1242</v>
      </c>
      <c r="C482" s="228"/>
      <c r="D482" s="228"/>
      <c r="E482" s="561"/>
      <c r="F482" s="561"/>
      <c r="G482" s="561"/>
      <c r="H482" s="976"/>
      <c r="I482" s="976"/>
      <c r="J482" s="623"/>
      <c r="K482" s="976"/>
      <c r="L482" s="976"/>
      <c r="M482" s="261"/>
      <c r="N482" s="260"/>
      <c r="O482" s="260"/>
      <c r="P482" s="260"/>
      <c r="Q482" s="260"/>
      <c r="R482" s="260"/>
      <c r="S482" s="260"/>
      <c r="T482" s="260"/>
      <c r="X482" s="23"/>
    </row>
    <row r="483" spans="1:24" ht="19.95" customHeight="1" x14ac:dyDescent="0.3">
      <c r="A483" s="262" t="s">
        <v>1242</v>
      </c>
      <c r="C483" s="228"/>
      <c r="D483" s="228"/>
      <c r="E483" s="561"/>
      <c r="F483" s="561"/>
      <c r="G483" s="561"/>
      <c r="H483" s="975"/>
      <c r="I483" s="975"/>
      <c r="J483" s="562"/>
      <c r="K483" s="975"/>
      <c r="L483" s="975"/>
      <c r="M483" s="562"/>
      <c r="N483" s="968" t="s">
        <v>28</v>
      </c>
      <c r="O483" s="968"/>
      <c r="P483" s="968"/>
      <c r="Q483" s="968"/>
      <c r="R483" s="968"/>
      <c r="S483" s="968"/>
      <c r="T483" s="968"/>
      <c r="X483" s="23"/>
    </row>
    <row r="484" spans="1:24" ht="19.95" customHeight="1" x14ac:dyDescent="0.3">
      <c r="A484" s="262" t="s">
        <v>1242</v>
      </c>
      <c r="C484" s="228"/>
      <c r="D484" s="228"/>
      <c r="E484" s="561"/>
      <c r="F484" s="561"/>
      <c r="G484" s="561"/>
      <c r="H484" s="976" t="s">
        <v>1220</v>
      </c>
      <c r="I484" s="976"/>
      <c r="J484" s="976"/>
      <c r="K484" s="976"/>
      <c r="L484" s="976"/>
      <c r="M484" s="623"/>
      <c r="N484" s="968" t="s">
        <v>1486</v>
      </c>
      <c r="O484" s="968"/>
      <c r="P484" s="968"/>
      <c r="Q484" s="968"/>
      <c r="R484" s="968"/>
      <c r="S484" s="968"/>
      <c r="T484" s="968"/>
      <c r="X484" s="23"/>
    </row>
    <row r="485" spans="1:24" ht="19.95" customHeight="1" x14ac:dyDescent="0.3">
      <c r="A485" s="262" t="s">
        <v>1242</v>
      </c>
      <c r="C485" s="228"/>
      <c r="D485" s="228"/>
      <c r="E485" s="561"/>
      <c r="F485" s="561"/>
      <c r="G485" s="561"/>
      <c r="H485" s="976"/>
      <c r="I485" s="976"/>
      <c r="J485" s="976"/>
      <c r="K485" s="976"/>
      <c r="L485" s="976"/>
      <c r="M485" s="623"/>
      <c r="N485" s="968"/>
      <c r="O485" s="968"/>
      <c r="P485" s="968"/>
      <c r="Q485" s="968"/>
      <c r="R485" s="968"/>
      <c r="S485" s="968"/>
      <c r="T485" s="968"/>
      <c r="X485" s="23"/>
    </row>
    <row r="486" spans="1:24" ht="19.95" customHeight="1" x14ac:dyDescent="0.3">
      <c r="A486" s="262" t="s">
        <v>1242</v>
      </c>
      <c r="C486" s="228"/>
      <c r="D486" s="228"/>
      <c r="E486" s="561"/>
      <c r="F486" s="561"/>
      <c r="G486" s="561"/>
      <c r="H486" s="228"/>
      <c r="I486" s="260"/>
      <c r="J486" s="260"/>
      <c r="K486" s="260"/>
      <c r="L486" s="260"/>
      <c r="M486" s="260"/>
      <c r="N486" s="260"/>
      <c r="O486" s="260"/>
      <c r="P486" s="260"/>
      <c r="Q486" s="260"/>
      <c r="R486" s="260"/>
      <c r="S486" s="624"/>
      <c r="T486" s="260"/>
      <c r="X486" s="23"/>
    </row>
    <row r="487" spans="1:24" ht="19.95" customHeight="1" x14ac:dyDescent="0.3">
      <c r="A487" s="262" t="s">
        <v>1242</v>
      </c>
      <c r="C487" s="228"/>
      <c r="D487" s="228"/>
      <c r="E487" s="975" t="s">
        <v>1215</v>
      </c>
      <c r="F487" s="975"/>
      <c r="G487" s="975"/>
      <c r="H487" s="975" t="s">
        <v>1348</v>
      </c>
      <c r="I487" s="975"/>
      <c r="J487" s="975"/>
      <c r="K487" s="975"/>
      <c r="L487" s="975"/>
      <c r="M487" s="562"/>
      <c r="N487" s="977" t="s">
        <v>1219</v>
      </c>
      <c r="O487" s="968"/>
      <c r="P487" s="968"/>
      <c r="Q487" s="968"/>
      <c r="R487" s="968"/>
      <c r="S487" s="968"/>
      <c r="T487" s="968"/>
      <c r="X487" s="23"/>
    </row>
    <row r="488" spans="1:24" ht="19.95" customHeight="1" x14ac:dyDescent="0.3">
      <c r="A488" s="262" t="s">
        <v>1290</v>
      </c>
      <c r="C488" s="228"/>
      <c r="D488" s="228"/>
      <c r="E488" s="975"/>
      <c r="F488" s="975"/>
      <c r="G488" s="975"/>
      <c r="H488" s="975"/>
      <c r="I488" s="975"/>
      <c r="J488" s="975"/>
      <c r="K488" s="975"/>
      <c r="L488" s="975"/>
      <c r="M488" s="562"/>
      <c r="N488" s="968"/>
      <c r="O488" s="968"/>
      <c r="P488" s="968"/>
      <c r="Q488" s="968"/>
      <c r="R488" s="968"/>
      <c r="S488" s="968"/>
      <c r="T488" s="968"/>
      <c r="X488" s="23"/>
    </row>
    <row r="489" spans="1:24" ht="30" customHeight="1" x14ac:dyDescent="0.3">
      <c r="A489" s="262" t="s">
        <v>1240</v>
      </c>
      <c r="C489" s="625"/>
      <c r="D489" s="626" t="s">
        <v>1230</v>
      </c>
      <c r="E489" s="627"/>
      <c r="F489" s="627"/>
      <c r="G489" s="627"/>
      <c r="H489" s="627"/>
      <c r="I489" s="628"/>
      <c r="J489" s="628"/>
      <c r="K489" s="628"/>
      <c r="L489" s="644">
        <f>+SUMIFS(L:L,A:A,"3")</f>
        <v>3338487540</v>
      </c>
      <c r="M489" s="629"/>
      <c r="N489" s="648"/>
      <c r="O489" s="628"/>
      <c r="P489" s="628"/>
      <c r="Q489" s="611"/>
      <c r="R489" s="651">
        <f>+SUMIFS(R:R,A:A,"3")</f>
        <v>0</v>
      </c>
      <c r="S489" s="630">
        <f>+SUMIFS(S:S,A:A,"3")</f>
        <v>0</v>
      </c>
      <c r="T489" s="631">
        <f>+SUMIFS(T:T,A:A,"3")</f>
        <v>0</v>
      </c>
      <c r="X489" s="23" t="str">
        <f t="shared" ref="X489:X528" si="79">IF(AND(P490&gt;K490*1.2, (P490-K490)*I490 &gt; $L$13*0.01), "RBF", "-")</f>
        <v>-</v>
      </c>
    </row>
    <row r="490" spans="1:24" ht="30" customHeight="1" x14ac:dyDescent="0.3">
      <c r="A490" s="262">
        <v>3</v>
      </c>
      <c r="C490" s="244">
        <v>261</v>
      </c>
      <c r="D490" s="213" t="s">
        <v>741</v>
      </c>
      <c r="E490" s="969" t="s">
        <v>742</v>
      </c>
      <c r="F490" s="970"/>
      <c r="G490" s="971"/>
      <c r="H490" s="544" t="s">
        <v>743</v>
      </c>
      <c r="I490" s="212">
        <v>283693978</v>
      </c>
      <c r="J490" s="605"/>
      <c r="K490" s="212">
        <v>1</v>
      </c>
      <c r="L490" s="212">
        <f t="shared" ref="L490:L498" si="80">+ROUND(I490*K490,2)</f>
        <v>283693978</v>
      </c>
      <c r="M490" s="602"/>
      <c r="N490" s="675">
        <f>+'Yeşil Defter'!K489</f>
        <v>0</v>
      </c>
      <c r="O490" s="675">
        <f>+'Yeşil Defter'!L489</f>
        <v>0</v>
      </c>
      <c r="P490" s="675">
        <f>+'Yeşil Defter'!M489</f>
        <v>0</v>
      </c>
      <c r="Q490" s="212"/>
      <c r="R490" s="605">
        <f t="shared" ref="R490:R498" si="81">+ROUND(K490*N490,2)</f>
        <v>0</v>
      </c>
      <c r="S490" s="225">
        <f t="shared" ref="S490:S498" si="82">+T490-R490</f>
        <v>0</v>
      </c>
      <c r="T490" s="237">
        <f t="shared" ref="T490:T498" si="83">+ROUND(K490*P490,2)</f>
        <v>0</v>
      </c>
      <c r="X490" s="23" t="str">
        <f t="shared" si="79"/>
        <v>-</v>
      </c>
    </row>
    <row r="491" spans="1:24" ht="30" customHeight="1" x14ac:dyDescent="0.3">
      <c r="A491" s="262">
        <v>3</v>
      </c>
      <c r="C491" s="244">
        <v>262</v>
      </c>
      <c r="D491" s="213" t="s">
        <v>744</v>
      </c>
      <c r="E491" s="969" t="s">
        <v>745</v>
      </c>
      <c r="F491" s="970"/>
      <c r="G491" s="971"/>
      <c r="H491" s="544" t="s">
        <v>286</v>
      </c>
      <c r="I491" s="212">
        <v>143604252</v>
      </c>
      <c r="J491" s="605"/>
      <c r="K491" s="212">
        <v>1</v>
      </c>
      <c r="L491" s="212">
        <f t="shared" si="80"/>
        <v>143604252</v>
      </c>
      <c r="M491" s="602"/>
      <c r="N491" s="675">
        <f>+'Yeşil Defter'!K490</f>
        <v>0</v>
      </c>
      <c r="O491" s="675">
        <f>+'Yeşil Defter'!L490</f>
        <v>0</v>
      </c>
      <c r="P491" s="675">
        <f>+'Yeşil Defter'!M490</f>
        <v>0</v>
      </c>
      <c r="Q491" s="212"/>
      <c r="R491" s="605">
        <f t="shared" si="81"/>
        <v>0</v>
      </c>
      <c r="S491" s="225">
        <f t="shared" si="82"/>
        <v>0</v>
      </c>
      <c r="T491" s="237">
        <f t="shared" si="83"/>
        <v>0</v>
      </c>
      <c r="X491" s="23" t="str">
        <f t="shared" si="79"/>
        <v>-</v>
      </c>
    </row>
    <row r="492" spans="1:24" ht="30" customHeight="1" x14ac:dyDescent="0.3">
      <c r="A492" s="262">
        <v>3</v>
      </c>
      <c r="C492" s="244">
        <v>263</v>
      </c>
      <c r="D492" s="213" t="s">
        <v>746</v>
      </c>
      <c r="E492" s="969" t="s">
        <v>747</v>
      </c>
      <c r="F492" s="970"/>
      <c r="G492" s="971"/>
      <c r="H492" s="544" t="s">
        <v>286</v>
      </c>
      <c r="I492" s="212">
        <v>95736168</v>
      </c>
      <c r="J492" s="605"/>
      <c r="K492" s="212">
        <v>1</v>
      </c>
      <c r="L492" s="212">
        <f t="shared" si="80"/>
        <v>95736168</v>
      </c>
      <c r="M492" s="602"/>
      <c r="N492" s="675">
        <f>+'Yeşil Defter'!K491</f>
        <v>0</v>
      </c>
      <c r="O492" s="675">
        <f>+'Yeşil Defter'!L491</f>
        <v>0</v>
      </c>
      <c r="P492" s="675">
        <f>+'Yeşil Defter'!M491</f>
        <v>0</v>
      </c>
      <c r="Q492" s="212"/>
      <c r="R492" s="605">
        <f t="shared" si="81"/>
        <v>0</v>
      </c>
      <c r="S492" s="225">
        <f t="shared" si="82"/>
        <v>0</v>
      </c>
      <c r="T492" s="237">
        <f t="shared" si="83"/>
        <v>0</v>
      </c>
      <c r="X492" s="23" t="str">
        <f t="shared" si="79"/>
        <v>-</v>
      </c>
    </row>
    <row r="493" spans="1:24" ht="30" customHeight="1" x14ac:dyDescent="0.3">
      <c r="A493" s="262">
        <v>3</v>
      </c>
      <c r="C493" s="244">
        <v>264</v>
      </c>
      <c r="D493" s="161" t="s">
        <v>748</v>
      </c>
      <c r="E493" s="969" t="s">
        <v>749</v>
      </c>
      <c r="F493" s="970"/>
      <c r="G493" s="971"/>
      <c r="H493" s="544" t="s">
        <v>286</v>
      </c>
      <c r="I493" s="212">
        <v>1668787435</v>
      </c>
      <c r="J493" s="605"/>
      <c r="K493" s="212">
        <v>1</v>
      </c>
      <c r="L493" s="212">
        <f t="shared" si="80"/>
        <v>1668787435</v>
      </c>
      <c r="M493" s="602"/>
      <c r="N493" s="675">
        <f>+'Yeşil Defter'!K492</f>
        <v>0</v>
      </c>
      <c r="O493" s="675">
        <f>+'Yeşil Defter'!L492</f>
        <v>0</v>
      </c>
      <c r="P493" s="675">
        <f>+'Yeşil Defter'!M492</f>
        <v>0</v>
      </c>
      <c r="Q493" s="212"/>
      <c r="R493" s="605">
        <f t="shared" si="81"/>
        <v>0</v>
      </c>
      <c r="S493" s="225">
        <f t="shared" si="82"/>
        <v>0</v>
      </c>
      <c r="T493" s="237">
        <f t="shared" si="83"/>
        <v>0</v>
      </c>
      <c r="X493" s="23" t="str">
        <f t="shared" si="79"/>
        <v>-</v>
      </c>
    </row>
    <row r="494" spans="1:24" ht="30" customHeight="1" x14ac:dyDescent="0.3">
      <c r="A494" s="262">
        <v>3</v>
      </c>
      <c r="C494" s="244">
        <v>265</v>
      </c>
      <c r="D494" s="161" t="s">
        <v>750</v>
      </c>
      <c r="E494" s="969" t="s">
        <v>751</v>
      </c>
      <c r="F494" s="970"/>
      <c r="G494" s="971"/>
      <c r="H494" s="544" t="s">
        <v>286</v>
      </c>
      <c r="I494" s="212">
        <v>450401959</v>
      </c>
      <c r="J494" s="605"/>
      <c r="K494" s="212">
        <v>1</v>
      </c>
      <c r="L494" s="212">
        <f t="shared" si="80"/>
        <v>450401959</v>
      </c>
      <c r="M494" s="602"/>
      <c r="N494" s="675">
        <f>+'Yeşil Defter'!K493</f>
        <v>0</v>
      </c>
      <c r="O494" s="675">
        <f>+'Yeşil Defter'!L493</f>
        <v>0</v>
      </c>
      <c r="P494" s="675">
        <f>+'Yeşil Defter'!M493</f>
        <v>0</v>
      </c>
      <c r="Q494" s="212"/>
      <c r="R494" s="605">
        <f t="shared" si="81"/>
        <v>0</v>
      </c>
      <c r="S494" s="225">
        <f t="shared" si="82"/>
        <v>0</v>
      </c>
      <c r="T494" s="237">
        <f t="shared" si="83"/>
        <v>0</v>
      </c>
      <c r="X494" s="23" t="str">
        <f t="shared" si="79"/>
        <v>-</v>
      </c>
    </row>
    <row r="495" spans="1:24" ht="30" customHeight="1" x14ac:dyDescent="0.3">
      <c r="A495" s="262">
        <v>3</v>
      </c>
      <c r="C495" s="244">
        <v>266</v>
      </c>
      <c r="D495" s="161" t="s">
        <v>752</v>
      </c>
      <c r="E495" s="969" t="s">
        <v>753</v>
      </c>
      <c r="F495" s="970"/>
      <c r="G495" s="971"/>
      <c r="H495" s="544" t="s">
        <v>247</v>
      </c>
      <c r="I495" s="212">
        <v>99900</v>
      </c>
      <c r="J495" s="605"/>
      <c r="K495" s="212">
        <v>29</v>
      </c>
      <c r="L495" s="212">
        <f t="shared" si="80"/>
        <v>2897100</v>
      </c>
      <c r="M495" s="602"/>
      <c r="N495" s="675">
        <f>+'Yeşil Defter'!K494</f>
        <v>0</v>
      </c>
      <c r="O495" s="675">
        <f>+'Yeşil Defter'!L494</f>
        <v>0</v>
      </c>
      <c r="P495" s="675">
        <f>+'Yeşil Defter'!M494</f>
        <v>0</v>
      </c>
      <c r="Q495" s="212"/>
      <c r="R495" s="605">
        <f t="shared" si="81"/>
        <v>0</v>
      </c>
      <c r="S495" s="225">
        <f t="shared" si="82"/>
        <v>0</v>
      </c>
      <c r="T495" s="237">
        <f t="shared" si="83"/>
        <v>0</v>
      </c>
      <c r="X495" s="23" t="str">
        <f t="shared" si="79"/>
        <v>-</v>
      </c>
    </row>
    <row r="496" spans="1:24" ht="30" customHeight="1" x14ac:dyDescent="0.3">
      <c r="A496" s="262">
        <v>3</v>
      </c>
      <c r="C496" s="244">
        <v>267</v>
      </c>
      <c r="D496" s="161" t="s">
        <v>754</v>
      </c>
      <c r="E496" s="969" t="s">
        <v>755</v>
      </c>
      <c r="F496" s="970"/>
      <c r="G496" s="971"/>
      <c r="H496" s="544" t="s">
        <v>247</v>
      </c>
      <c r="I496" s="212">
        <v>111000</v>
      </c>
      <c r="J496" s="605"/>
      <c r="K496" s="212">
        <v>29</v>
      </c>
      <c r="L496" s="212">
        <f t="shared" si="80"/>
        <v>3219000</v>
      </c>
      <c r="M496" s="602"/>
      <c r="N496" s="675">
        <f>+'Yeşil Defter'!K495</f>
        <v>0</v>
      </c>
      <c r="O496" s="675">
        <f>+'Yeşil Defter'!L495</f>
        <v>0</v>
      </c>
      <c r="P496" s="675">
        <f>+'Yeşil Defter'!M495</f>
        <v>0</v>
      </c>
      <c r="Q496" s="212"/>
      <c r="R496" s="605">
        <f t="shared" si="81"/>
        <v>0</v>
      </c>
      <c r="S496" s="225">
        <f t="shared" si="82"/>
        <v>0</v>
      </c>
      <c r="T496" s="237">
        <f t="shared" si="83"/>
        <v>0</v>
      </c>
      <c r="X496" s="23" t="str">
        <f t="shared" si="79"/>
        <v>-</v>
      </c>
    </row>
    <row r="497" spans="1:24" ht="30" customHeight="1" x14ac:dyDescent="0.3">
      <c r="A497" s="262">
        <v>3</v>
      </c>
      <c r="C497" s="244">
        <v>268</v>
      </c>
      <c r="D497" s="161" t="s">
        <v>756</v>
      </c>
      <c r="E497" s="969" t="s">
        <v>757</v>
      </c>
      <c r="F497" s="970"/>
      <c r="G497" s="971"/>
      <c r="H497" s="544" t="s">
        <v>247</v>
      </c>
      <c r="I497" s="212">
        <v>3496500</v>
      </c>
      <c r="J497" s="605"/>
      <c r="K497" s="212">
        <v>13</v>
      </c>
      <c r="L497" s="212">
        <f t="shared" si="80"/>
        <v>45454500</v>
      </c>
      <c r="M497" s="602"/>
      <c r="N497" s="675">
        <f>+'Yeşil Defter'!K496</f>
        <v>0</v>
      </c>
      <c r="O497" s="675">
        <f>+'Yeşil Defter'!L496</f>
        <v>0</v>
      </c>
      <c r="P497" s="675">
        <f>+'Yeşil Defter'!M496</f>
        <v>0</v>
      </c>
      <c r="Q497" s="212"/>
      <c r="R497" s="605">
        <f t="shared" si="81"/>
        <v>0</v>
      </c>
      <c r="S497" s="225">
        <f t="shared" si="82"/>
        <v>0</v>
      </c>
      <c r="T497" s="237">
        <f t="shared" si="83"/>
        <v>0</v>
      </c>
      <c r="X497" s="23" t="str">
        <f t="shared" si="79"/>
        <v>-</v>
      </c>
    </row>
    <row r="498" spans="1:24" ht="30" customHeight="1" x14ac:dyDescent="0.3">
      <c r="A498" s="262">
        <v>3</v>
      </c>
      <c r="C498" s="244">
        <v>269</v>
      </c>
      <c r="D498" s="213" t="s">
        <v>758</v>
      </c>
      <c r="E498" s="969" t="s">
        <v>759</v>
      </c>
      <c r="F498" s="970"/>
      <c r="G498" s="971"/>
      <c r="H498" s="544" t="s">
        <v>286</v>
      </c>
      <c r="I498" s="212">
        <v>14652117</v>
      </c>
      <c r="J498" s="605"/>
      <c r="K498" s="212">
        <v>44</v>
      </c>
      <c r="L498" s="212">
        <f t="shared" si="80"/>
        <v>644693148</v>
      </c>
      <c r="M498" s="602"/>
      <c r="N498" s="675">
        <f>+'Yeşil Defter'!K497</f>
        <v>0</v>
      </c>
      <c r="O498" s="675">
        <f>+'Yeşil Defter'!L497</f>
        <v>0</v>
      </c>
      <c r="P498" s="675">
        <f>+'Yeşil Defter'!M497</f>
        <v>0</v>
      </c>
      <c r="Q498" s="212"/>
      <c r="R498" s="605">
        <f t="shared" si="81"/>
        <v>0</v>
      </c>
      <c r="S498" s="225">
        <f t="shared" si="82"/>
        <v>0</v>
      </c>
      <c r="T498" s="237">
        <f t="shared" si="83"/>
        <v>0</v>
      </c>
      <c r="X498" s="23" t="str">
        <f t="shared" si="79"/>
        <v>-</v>
      </c>
    </row>
    <row r="499" spans="1:24" ht="30" customHeight="1" x14ac:dyDescent="0.3">
      <c r="A499" s="262">
        <v>3</v>
      </c>
      <c r="C499" s="244"/>
      <c r="D499" s="213"/>
      <c r="E499" s="969"/>
      <c r="F499" s="970"/>
      <c r="G499" s="971"/>
      <c r="H499" s="161"/>
      <c r="I499" s="605"/>
      <c r="J499" s="605"/>
      <c r="K499" s="212"/>
      <c r="L499" s="341"/>
      <c r="M499" s="212"/>
      <c r="N499" s="605"/>
      <c r="O499" s="212"/>
      <c r="P499" s="341"/>
      <c r="Q499" s="212"/>
      <c r="R499" s="605"/>
      <c r="S499" s="225"/>
      <c r="T499" s="237"/>
      <c r="X499" s="23"/>
    </row>
    <row r="500" spans="1:24" ht="30" customHeight="1" x14ac:dyDescent="0.3">
      <c r="A500" s="262">
        <v>3</v>
      </c>
      <c r="C500" s="244"/>
      <c r="D500" s="213"/>
      <c r="E500" s="969"/>
      <c r="F500" s="970"/>
      <c r="G500" s="971"/>
      <c r="H500" s="161"/>
      <c r="I500" s="605"/>
      <c r="J500" s="605"/>
      <c r="K500" s="212"/>
      <c r="L500" s="341"/>
      <c r="M500" s="212"/>
      <c r="N500" s="605"/>
      <c r="O500" s="212"/>
      <c r="P500" s="341"/>
      <c r="Q500" s="212"/>
      <c r="R500" s="605"/>
      <c r="S500" s="225"/>
      <c r="T500" s="237"/>
      <c r="X500" s="23"/>
    </row>
    <row r="501" spans="1:24" ht="30" customHeight="1" x14ac:dyDescent="0.3">
      <c r="A501" s="262">
        <v>3</v>
      </c>
      <c r="C501" s="244"/>
      <c r="D501" s="213"/>
      <c r="E501" s="969"/>
      <c r="F501" s="970"/>
      <c r="G501" s="971"/>
      <c r="H501" s="161"/>
      <c r="I501" s="605"/>
      <c r="J501" s="605"/>
      <c r="K501" s="212"/>
      <c r="L501" s="341"/>
      <c r="M501" s="212"/>
      <c r="N501" s="605"/>
      <c r="O501" s="212"/>
      <c r="P501" s="341"/>
      <c r="Q501" s="212"/>
      <c r="R501" s="605"/>
      <c r="S501" s="225"/>
      <c r="T501" s="237"/>
      <c r="X501" s="23"/>
    </row>
    <row r="502" spans="1:24" ht="30" customHeight="1" x14ac:dyDescent="0.3">
      <c r="A502" s="262">
        <v>3</v>
      </c>
      <c r="C502" s="244"/>
      <c r="D502" s="213"/>
      <c r="E502" s="969"/>
      <c r="F502" s="970"/>
      <c r="G502" s="971"/>
      <c r="H502" s="161"/>
      <c r="I502" s="605"/>
      <c r="J502" s="605"/>
      <c r="K502" s="212"/>
      <c r="L502" s="341"/>
      <c r="M502" s="212"/>
      <c r="N502" s="605"/>
      <c r="O502" s="212"/>
      <c r="P502" s="341"/>
      <c r="Q502" s="212"/>
      <c r="R502" s="605"/>
      <c r="S502" s="225"/>
      <c r="T502" s="237"/>
      <c r="X502" s="23"/>
    </row>
    <row r="503" spans="1:24" ht="30" customHeight="1" x14ac:dyDescent="0.3">
      <c r="A503" s="262">
        <v>3</v>
      </c>
      <c r="C503" s="244"/>
      <c r="D503" s="213"/>
      <c r="E503" s="969"/>
      <c r="F503" s="970"/>
      <c r="G503" s="971"/>
      <c r="H503" s="161"/>
      <c r="I503" s="605"/>
      <c r="J503" s="605"/>
      <c r="K503" s="212"/>
      <c r="L503" s="341"/>
      <c r="M503" s="212"/>
      <c r="N503" s="605"/>
      <c r="O503" s="212"/>
      <c r="P503" s="341"/>
      <c r="Q503" s="212"/>
      <c r="R503" s="605"/>
      <c r="S503" s="225"/>
      <c r="T503" s="237"/>
      <c r="X503" s="23"/>
    </row>
    <row r="504" spans="1:24" ht="30" customHeight="1" x14ac:dyDescent="0.3">
      <c r="A504" s="262">
        <v>3</v>
      </c>
      <c r="C504" s="244"/>
      <c r="D504" s="213"/>
      <c r="E504" s="969"/>
      <c r="F504" s="970"/>
      <c r="G504" s="971"/>
      <c r="H504" s="161"/>
      <c r="I504" s="605"/>
      <c r="J504" s="605"/>
      <c r="K504" s="212"/>
      <c r="L504" s="341"/>
      <c r="M504" s="212"/>
      <c r="N504" s="605"/>
      <c r="O504" s="212"/>
      <c r="P504" s="341"/>
      <c r="Q504" s="212"/>
      <c r="R504" s="605"/>
      <c r="S504" s="225"/>
      <c r="T504" s="237"/>
      <c r="X504" s="23"/>
    </row>
    <row r="505" spans="1:24" ht="30" customHeight="1" x14ac:dyDescent="0.3">
      <c r="A505" s="262">
        <v>3</v>
      </c>
      <c r="C505" s="244"/>
      <c r="D505" s="213"/>
      <c r="E505" s="969"/>
      <c r="F505" s="970"/>
      <c r="G505" s="971"/>
      <c r="H505" s="161"/>
      <c r="I505" s="605"/>
      <c r="J505" s="605"/>
      <c r="K505" s="212"/>
      <c r="L505" s="341"/>
      <c r="M505" s="212"/>
      <c r="N505" s="605"/>
      <c r="O505" s="212"/>
      <c r="P505" s="341"/>
      <c r="Q505" s="212"/>
      <c r="R505" s="605"/>
      <c r="S505" s="225"/>
      <c r="T505" s="237"/>
      <c r="X505" s="23"/>
    </row>
    <row r="506" spans="1:24" ht="30" customHeight="1" x14ac:dyDescent="0.3">
      <c r="A506" s="262">
        <v>3</v>
      </c>
      <c r="C506" s="244"/>
      <c r="D506" s="213"/>
      <c r="E506" s="969"/>
      <c r="F506" s="970"/>
      <c r="G506" s="971"/>
      <c r="H506" s="161"/>
      <c r="I506" s="605"/>
      <c r="J506" s="605"/>
      <c r="K506" s="212"/>
      <c r="L506" s="341"/>
      <c r="M506" s="212"/>
      <c r="N506" s="605"/>
      <c r="O506" s="212"/>
      <c r="P506" s="341"/>
      <c r="Q506" s="212"/>
      <c r="R506" s="605"/>
      <c r="S506" s="225"/>
      <c r="T506" s="237"/>
      <c r="X506" s="23"/>
    </row>
    <row r="507" spans="1:24" ht="30" customHeight="1" x14ac:dyDescent="0.3">
      <c r="A507" s="262">
        <v>3</v>
      </c>
      <c r="C507" s="244"/>
      <c r="D507" s="213"/>
      <c r="E507" s="969"/>
      <c r="F507" s="970"/>
      <c r="G507" s="971"/>
      <c r="H507" s="161"/>
      <c r="I507" s="605"/>
      <c r="J507" s="605"/>
      <c r="K507" s="212"/>
      <c r="L507" s="341"/>
      <c r="M507" s="212"/>
      <c r="N507" s="605"/>
      <c r="O507" s="212"/>
      <c r="P507" s="341"/>
      <c r="Q507" s="212"/>
      <c r="R507" s="605"/>
      <c r="S507" s="225"/>
      <c r="T507" s="237"/>
      <c r="X507" s="23"/>
    </row>
    <row r="508" spans="1:24" ht="30" customHeight="1" x14ac:dyDescent="0.3">
      <c r="A508" s="262">
        <v>3</v>
      </c>
      <c r="C508" s="244"/>
      <c r="D508" s="213"/>
      <c r="E508" s="969"/>
      <c r="F508" s="970"/>
      <c r="G508" s="971"/>
      <c r="H508" s="161"/>
      <c r="I508" s="605"/>
      <c r="J508" s="605"/>
      <c r="K508" s="212"/>
      <c r="L508" s="341"/>
      <c r="M508" s="212"/>
      <c r="N508" s="605"/>
      <c r="O508" s="212"/>
      <c r="P508" s="341"/>
      <c r="Q508" s="212"/>
      <c r="R508" s="605"/>
      <c r="S508" s="225"/>
      <c r="T508" s="237"/>
      <c r="X508" s="23"/>
    </row>
    <row r="509" spans="1:24" ht="30" customHeight="1" x14ac:dyDescent="0.3">
      <c r="A509" s="262">
        <v>3</v>
      </c>
      <c r="C509" s="244"/>
      <c r="D509" s="213"/>
      <c r="E509" s="969"/>
      <c r="F509" s="970"/>
      <c r="G509" s="971"/>
      <c r="H509" s="161"/>
      <c r="I509" s="605"/>
      <c r="J509" s="605"/>
      <c r="K509" s="212"/>
      <c r="L509" s="341"/>
      <c r="M509" s="212"/>
      <c r="N509" s="605"/>
      <c r="O509" s="212"/>
      <c r="P509" s="341"/>
      <c r="Q509" s="212"/>
      <c r="R509" s="605"/>
      <c r="S509" s="225"/>
      <c r="T509" s="237"/>
      <c r="X509" s="23"/>
    </row>
    <row r="510" spans="1:24" ht="30" customHeight="1" x14ac:dyDescent="0.3">
      <c r="A510" s="262">
        <v>3</v>
      </c>
      <c r="C510" s="244"/>
      <c r="D510" s="213"/>
      <c r="E510" s="969"/>
      <c r="F510" s="970"/>
      <c r="G510" s="971"/>
      <c r="H510" s="161"/>
      <c r="I510" s="605"/>
      <c r="J510" s="605"/>
      <c r="K510" s="212"/>
      <c r="L510" s="341"/>
      <c r="M510" s="212"/>
      <c r="N510" s="605"/>
      <c r="O510" s="212"/>
      <c r="P510" s="341"/>
      <c r="Q510" s="212"/>
      <c r="R510" s="605"/>
      <c r="S510" s="225"/>
      <c r="T510" s="237"/>
      <c r="X510" s="23"/>
    </row>
    <row r="511" spans="1:24" ht="30" customHeight="1" x14ac:dyDescent="0.3">
      <c r="A511" s="262">
        <v>3</v>
      </c>
      <c r="C511" s="244"/>
      <c r="D511" s="213"/>
      <c r="E511" s="969"/>
      <c r="F511" s="970"/>
      <c r="G511" s="971"/>
      <c r="H511" s="658"/>
      <c r="I511" s="605"/>
      <c r="J511" s="605"/>
      <c r="K511" s="212"/>
      <c r="L511" s="341"/>
      <c r="M511" s="302"/>
      <c r="N511" s="605"/>
      <c r="O511" s="212"/>
      <c r="P511" s="341"/>
      <c r="Q511" s="302"/>
      <c r="R511" s="605"/>
      <c r="S511" s="225"/>
      <c r="T511" s="237"/>
      <c r="X511" s="23"/>
    </row>
    <row r="512" spans="1:24" ht="40.049999999999997" customHeight="1" x14ac:dyDescent="0.3">
      <c r="A512" s="262" t="s">
        <v>1242</v>
      </c>
      <c r="C512" s="258"/>
      <c r="D512" s="258"/>
      <c r="E512" s="972" t="s">
        <v>33</v>
      </c>
      <c r="F512" s="972"/>
      <c r="G512" s="972"/>
      <c r="H512" s="973" t="s">
        <v>29</v>
      </c>
      <c r="I512" s="973"/>
      <c r="J512" s="973"/>
      <c r="K512" s="973"/>
      <c r="L512" s="973"/>
      <c r="M512" s="549"/>
      <c r="N512" s="973" t="s">
        <v>22</v>
      </c>
      <c r="O512" s="973"/>
      <c r="P512" s="973"/>
      <c r="Q512" s="973"/>
      <c r="R512" s="973"/>
      <c r="S512" s="973"/>
      <c r="T512" s="973"/>
      <c r="X512" s="23"/>
    </row>
    <row r="513" spans="1:24" ht="19.95" customHeight="1" x14ac:dyDescent="0.3">
      <c r="A513" s="262" t="s">
        <v>1242</v>
      </c>
      <c r="D513" s="28"/>
      <c r="E513" s="974" t="s">
        <v>1214</v>
      </c>
      <c r="F513" s="974"/>
      <c r="G513" s="974"/>
      <c r="H513" s="975" t="s">
        <v>38</v>
      </c>
      <c r="I513" s="975"/>
      <c r="J513" s="975"/>
      <c r="K513" s="975"/>
      <c r="L513" s="975"/>
      <c r="M513" s="562"/>
      <c r="N513" s="975" t="s">
        <v>1437</v>
      </c>
      <c r="O513" s="975"/>
      <c r="P513" s="975"/>
      <c r="Q513" s="975"/>
      <c r="R513" s="975"/>
      <c r="S513" s="975"/>
      <c r="T513" s="975"/>
      <c r="X513" s="23"/>
    </row>
    <row r="514" spans="1:24" ht="19.95" customHeight="1" x14ac:dyDescent="0.3">
      <c r="A514" s="262" t="s">
        <v>1242</v>
      </c>
      <c r="C514" s="228"/>
      <c r="D514" s="228"/>
      <c r="E514" s="561"/>
      <c r="F514" s="561"/>
      <c r="G514" s="561"/>
      <c r="H514" s="975" t="s">
        <v>32</v>
      </c>
      <c r="I514" s="975"/>
      <c r="J514" s="562"/>
      <c r="K514" s="975" t="s">
        <v>1407</v>
      </c>
      <c r="L514" s="975"/>
      <c r="M514" s="260"/>
      <c r="N514" s="975"/>
      <c r="O514" s="975"/>
      <c r="P514" s="975"/>
      <c r="Q514" s="975"/>
      <c r="R514" s="975"/>
      <c r="S514" s="975"/>
      <c r="T514" s="975"/>
      <c r="X514" s="23"/>
    </row>
    <row r="515" spans="1:24" ht="19.95" customHeight="1" x14ac:dyDescent="0.3">
      <c r="A515" s="262" t="s">
        <v>1242</v>
      </c>
      <c r="C515" s="228"/>
      <c r="D515" s="228"/>
      <c r="E515" s="561"/>
      <c r="F515" s="561"/>
      <c r="G515" s="561"/>
      <c r="H515" s="976" t="s">
        <v>94</v>
      </c>
      <c r="I515" s="976"/>
      <c r="J515" s="623"/>
      <c r="K515" s="976" t="s">
        <v>94</v>
      </c>
      <c r="L515" s="976"/>
      <c r="M515" s="260"/>
      <c r="N515" s="975"/>
      <c r="O515" s="975"/>
      <c r="P515" s="975"/>
      <c r="Q515" s="975"/>
      <c r="R515" s="975"/>
      <c r="S515" s="975"/>
      <c r="T515" s="975"/>
      <c r="X515" s="23"/>
    </row>
    <row r="516" spans="1:24" ht="19.95" customHeight="1" x14ac:dyDescent="0.3">
      <c r="A516" s="262" t="s">
        <v>1242</v>
      </c>
      <c r="C516" s="228"/>
      <c r="D516" s="228"/>
      <c r="E516" s="561"/>
      <c r="F516" s="561"/>
      <c r="G516" s="561"/>
      <c r="H516" s="976"/>
      <c r="I516" s="976"/>
      <c r="J516" s="623"/>
      <c r="K516" s="976"/>
      <c r="L516" s="976"/>
      <c r="M516" s="261"/>
      <c r="N516" s="260"/>
      <c r="O516" s="260"/>
      <c r="P516" s="260"/>
      <c r="Q516" s="260"/>
      <c r="R516" s="260"/>
      <c r="S516" s="260"/>
      <c r="T516" s="260"/>
      <c r="X516" s="23"/>
    </row>
    <row r="517" spans="1:24" ht="19.95" customHeight="1" x14ac:dyDescent="0.3">
      <c r="A517" s="262" t="s">
        <v>1242</v>
      </c>
      <c r="C517" s="228"/>
      <c r="D517" s="228"/>
      <c r="E517" s="561"/>
      <c r="F517" s="561"/>
      <c r="G517" s="561"/>
      <c r="H517" s="975"/>
      <c r="I517" s="975"/>
      <c r="J517" s="562"/>
      <c r="K517" s="975"/>
      <c r="L517" s="975"/>
      <c r="M517" s="562"/>
      <c r="N517" s="968" t="s">
        <v>28</v>
      </c>
      <c r="O517" s="968"/>
      <c r="P517" s="968"/>
      <c r="Q517" s="968"/>
      <c r="R517" s="968"/>
      <c r="S517" s="968"/>
      <c r="T517" s="968"/>
      <c r="X517" s="23"/>
    </row>
    <row r="518" spans="1:24" ht="19.95" customHeight="1" x14ac:dyDescent="0.3">
      <c r="A518" s="262" t="s">
        <v>1242</v>
      </c>
      <c r="C518" s="228"/>
      <c r="D518" s="228"/>
      <c r="E518" s="561"/>
      <c r="F518" s="561"/>
      <c r="G518" s="561"/>
      <c r="H518" s="976" t="s">
        <v>1220</v>
      </c>
      <c r="I518" s="976"/>
      <c r="J518" s="976"/>
      <c r="K518" s="976"/>
      <c r="L518" s="976"/>
      <c r="M518" s="623"/>
      <c r="N518" s="968" t="s">
        <v>1486</v>
      </c>
      <c r="O518" s="968"/>
      <c r="P518" s="968"/>
      <c r="Q518" s="968"/>
      <c r="R518" s="968"/>
      <c r="S518" s="968"/>
      <c r="T518" s="968"/>
      <c r="X518" s="23"/>
    </row>
    <row r="519" spans="1:24" ht="19.95" customHeight="1" x14ac:dyDescent="0.3">
      <c r="A519" s="262" t="s">
        <v>1242</v>
      </c>
      <c r="C519" s="228"/>
      <c r="D519" s="228"/>
      <c r="E519" s="561"/>
      <c r="F519" s="561"/>
      <c r="G519" s="561"/>
      <c r="H519" s="976"/>
      <c r="I519" s="976"/>
      <c r="J519" s="976"/>
      <c r="K519" s="976"/>
      <c r="L519" s="976"/>
      <c r="M519" s="623"/>
      <c r="N519" s="968"/>
      <c r="O519" s="968"/>
      <c r="P519" s="968"/>
      <c r="Q519" s="968"/>
      <c r="R519" s="968"/>
      <c r="S519" s="968"/>
      <c r="T519" s="968"/>
      <c r="X519" s="23"/>
    </row>
    <row r="520" spans="1:24" ht="19.95" customHeight="1" x14ac:dyDescent="0.3">
      <c r="A520" s="262" t="s">
        <v>1242</v>
      </c>
      <c r="C520" s="228"/>
      <c r="D520" s="228"/>
      <c r="E520" s="561"/>
      <c r="F520" s="561"/>
      <c r="G520" s="561"/>
      <c r="H520" s="228"/>
      <c r="I520" s="260"/>
      <c r="J520" s="260"/>
      <c r="K520" s="260"/>
      <c r="L520" s="260"/>
      <c r="M520" s="260"/>
      <c r="N520" s="260"/>
      <c r="O520" s="260"/>
      <c r="P520" s="260"/>
      <c r="Q520" s="260"/>
      <c r="R520" s="260"/>
      <c r="S520" s="624"/>
      <c r="T520" s="260"/>
      <c r="X520" s="23"/>
    </row>
    <row r="521" spans="1:24" ht="19.95" customHeight="1" x14ac:dyDescent="0.3">
      <c r="A521" s="262" t="s">
        <v>1242</v>
      </c>
      <c r="C521" s="228"/>
      <c r="D521" s="228"/>
      <c r="E521" s="975" t="s">
        <v>1215</v>
      </c>
      <c r="F521" s="975"/>
      <c r="G521" s="975"/>
      <c r="H521" s="975" t="s">
        <v>1348</v>
      </c>
      <c r="I521" s="975"/>
      <c r="J521" s="975"/>
      <c r="K521" s="975"/>
      <c r="L521" s="975"/>
      <c r="M521" s="562"/>
      <c r="N521" s="977" t="s">
        <v>1219</v>
      </c>
      <c r="O521" s="968"/>
      <c r="P521" s="968"/>
      <c r="Q521" s="968"/>
      <c r="R521" s="968"/>
      <c r="S521" s="968"/>
      <c r="T521" s="968"/>
      <c r="X521" s="23"/>
    </row>
    <row r="522" spans="1:24" ht="19.95" customHeight="1" x14ac:dyDescent="0.3">
      <c r="A522" s="262" t="s">
        <v>1290</v>
      </c>
      <c r="C522" s="228"/>
      <c r="D522" s="228"/>
      <c r="E522" s="975"/>
      <c r="F522" s="975"/>
      <c r="G522" s="975"/>
      <c r="H522" s="975"/>
      <c r="I522" s="975"/>
      <c r="J522" s="975"/>
      <c r="K522" s="975"/>
      <c r="L522" s="975"/>
      <c r="M522" s="562"/>
      <c r="N522" s="968"/>
      <c r="O522" s="968"/>
      <c r="P522" s="968"/>
      <c r="Q522" s="968"/>
      <c r="R522" s="968"/>
      <c r="S522" s="968"/>
      <c r="T522" s="968"/>
      <c r="X522" s="23"/>
    </row>
    <row r="523" spans="1:24" ht="30" customHeight="1" x14ac:dyDescent="0.3">
      <c r="A523" s="262" t="s">
        <v>1240</v>
      </c>
      <c r="C523" s="625"/>
      <c r="D523" s="626" t="s">
        <v>1231</v>
      </c>
      <c r="E523" s="627"/>
      <c r="F523" s="627"/>
      <c r="G523" s="627"/>
      <c r="H523" s="627"/>
      <c r="I523" s="628"/>
      <c r="J523" s="628"/>
      <c r="K523" s="628"/>
      <c r="L523" s="644">
        <f>+SUMIFS(L:L,A:A,"4")</f>
        <v>419129552</v>
      </c>
      <c r="M523" s="629"/>
      <c r="N523" s="648"/>
      <c r="O523" s="628"/>
      <c r="P523" s="628"/>
      <c r="Q523" s="611"/>
      <c r="R523" s="651">
        <f>+SUMIFS(R:R,A:A,"4")</f>
        <v>0</v>
      </c>
      <c r="S523" s="630">
        <f>+SUMIFS(S:S,A:A,"4")</f>
        <v>0</v>
      </c>
      <c r="T523" s="631">
        <f>+SUMIFS(T:T,A:A,"4")</f>
        <v>0</v>
      </c>
      <c r="X523" s="23" t="str">
        <f t="shared" si="79"/>
        <v>-</v>
      </c>
    </row>
    <row r="524" spans="1:24" ht="30" customHeight="1" x14ac:dyDescent="0.3">
      <c r="A524" s="262">
        <v>4</v>
      </c>
      <c r="C524" s="244">
        <v>270</v>
      </c>
      <c r="D524" s="161" t="s">
        <v>760</v>
      </c>
      <c r="E524" s="969" t="s">
        <v>761</v>
      </c>
      <c r="F524" s="970"/>
      <c r="G524" s="971"/>
      <c r="H524" s="544" t="s">
        <v>286</v>
      </c>
      <c r="I524" s="212">
        <v>3871125</v>
      </c>
      <c r="J524" s="605"/>
      <c r="K524" s="212">
        <v>1</v>
      </c>
      <c r="L524" s="212">
        <f t="shared" ref="L524:L545" si="84">+ROUND(I524*K524,2)</f>
        <v>3871125</v>
      </c>
      <c r="M524" s="602"/>
      <c r="N524" s="675">
        <f>+'Yeşil Defter'!K526</f>
        <v>0</v>
      </c>
      <c r="O524" s="675">
        <f>+'Yeşil Defter'!L526</f>
        <v>0</v>
      </c>
      <c r="P524" s="675">
        <f>+'Yeşil Defter'!M526</f>
        <v>0</v>
      </c>
      <c r="Q524" s="212"/>
      <c r="R524" s="605">
        <f t="shared" ref="R524:R533" si="85">+ROUND(L524*N524,2)</f>
        <v>0</v>
      </c>
      <c r="S524" s="225">
        <f t="shared" ref="S524:S533" si="86">+ROUND(L524*O524,2)</f>
        <v>0</v>
      </c>
      <c r="T524" s="237">
        <f t="shared" ref="T524:T533" si="87">+ROUND(L524*P524,2)</f>
        <v>0</v>
      </c>
      <c r="X524" s="23" t="str">
        <f t="shared" si="79"/>
        <v>-</v>
      </c>
    </row>
    <row r="525" spans="1:24" ht="30" customHeight="1" x14ac:dyDescent="0.3">
      <c r="A525" s="262">
        <v>4</v>
      </c>
      <c r="C525" s="244">
        <v>271</v>
      </c>
      <c r="D525" s="161" t="s">
        <v>762</v>
      </c>
      <c r="E525" s="969" t="s">
        <v>763</v>
      </c>
      <c r="F525" s="970"/>
      <c r="G525" s="971"/>
      <c r="H525" s="544" t="s">
        <v>286</v>
      </c>
      <c r="I525" s="212">
        <v>2150625</v>
      </c>
      <c r="J525" s="605"/>
      <c r="K525" s="212">
        <v>1</v>
      </c>
      <c r="L525" s="212">
        <f t="shared" si="84"/>
        <v>2150625</v>
      </c>
      <c r="M525" s="602"/>
      <c r="N525" s="675">
        <f>+'Yeşil Defter'!K527</f>
        <v>0</v>
      </c>
      <c r="O525" s="675">
        <f>+'Yeşil Defter'!L527</f>
        <v>0</v>
      </c>
      <c r="P525" s="675">
        <f>+'Yeşil Defter'!M527</f>
        <v>0</v>
      </c>
      <c r="Q525" s="212"/>
      <c r="R525" s="605">
        <f t="shared" si="85"/>
        <v>0</v>
      </c>
      <c r="S525" s="225">
        <f t="shared" si="86"/>
        <v>0</v>
      </c>
      <c r="T525" s="237">
        <f t="shared" si="87"/>
        <v>0</v>
      </c>
      <c r="X525" s="23" t="str">
        <f t="shared" si="79"/>
        <v>-</v>
      </c>
    </row>
    <row r="526" spans="1:24" ht="30" customHeight="1" x14ac:dyDescent="0.3">
      <c r="A526" s="262">
        <v>4</v>
      </c>
      <c r="C526" s="244">
        <v>272</v>
      </c>
      <c r="D526" s="161" t="s">
        <v>764</v>
      </c>
      <c r="E526" s="969" t="s">
        <v>765</v>
      </c>
      <c r="F526" s="970"/>
      <c r="G526" s="971"/>
      <c r="H526" s="544" t="s">
        <v>286</v>
      </c>
      <c r="I526" s="212">
        <v>2368000</v>
      </c>
      <c r="J526" s="605"/>
      <c r="K526" s="212">
        <v>1</v>
      </c>
      <c r="L526" s="212">
        <f t="shared" si="84"/>
        <v>2368000</v>
      </c>
      <c r="M526" s="602"/>
      <c r="N526" s="675">
        <f>+'Yeşil Defter'!K528</f>
        <v>0</v>
      </c>
      <c r="O526" s="675">
        <f>+'Yeşil Defter'!L528</f>
        <v>0</v>
      </c>
      <c r="P526" s="675">
        <f>+'Yeşil Defter'!M528</f>
        <v>0</v>
      </c>
      <c r="Q526" s="212"/>
      <c r="R526" s="605">
        <f t="shared" si="85"/>
        <v>0</v>
      </c>
      <c r="S526" s="225">
        <f t="shared" si="86"/>
        <v>0</v>
      </c>
      <c r="T526" s="237">
        <f t="shared" si="87"/>
        <v>0</v>
      </c>
      <c r="X526" s="23" t="str">
        <f t="shared" si="79"/>
        <v>-</v>
      </c>
    </row>
    <row r="527" spans="1:24" ht="30" customHeight="1" x14ac:dyDescent="0.3">
      <c r="A527" s="262">
        <v>4</v>
      </c>
      <c r="C527" s="244">
        <v>273</v>
      </c>
      <c r="D527" s="161" t="s">
        <v>766</v>
      </c>
      <c r="E527" s="969" t="s">
        <v>767</v>
      </c>
      <c r="F527" s="970"/>
      <c r="G527" s="971"/>
      <c r="H527" s="544" t="s">
        <v>286</v>
      </c>
      <c r="I527" s="212">
        <v>2890625</v>
      </c>
      <c r="J527" s="605"/>
      <c r="K527" s="212">
        <v>1</v>
      </c>
      <c r="L527" s="212">
        <f t="shared" si="84"/>
        <v>2890625</v>
      </c>
      <c r="M527" s="602"/>
      <c r="N527" s="675">
        <f>+'Yeşil Defter'!K529</f>
        <v>0</v>
      </c>
      <c r="O527" s="675">
        <f>+'Yeşil Defter'!L529</f>
        <v>0</v>
      </c>
      <c r="P527" s="675">
        <f>+'Yeşil Defter'!M529</f>
        <v>0</v>
      </c>
      <c r="Q527" s="212"/>
      <c r="R527" s="605">
        <f t="shared" si="85"/>
        <v>0</v>
      </c>
      <c r="S527" s="225">
        <f t="shared" si="86"/>
        <v>0</v>
      </c>
      <c r="T527" s="237">
        <f t="shared" si="87"/>
        <v>0</v>
      </c>
      <c r="X527" s="23" t="str">
        <f t="shared" si="79"/>
        <v>-</v>
      </c>
    </row>
    <row r="528" spans="1:24" ht="30" customHeight="1" x14ac:dyDescent="0.3">
      <c r="A528" s="262">
        <v>4</v>
      </c>
      <c r="C528" s="244">
        <v>274</v>
      </c>
      <c r="D528" s="161" t="s">
        <v>768</v>
      </c>
      <c r="E528" s="969" t="s">
        <v>769</v>
      </c>
      <c r="F528" s="970"/>
      <c r="G528" s="971"/>
      <c r="H528" s="544" t="s">
        <v>286</v>
      </c>
      <c r="I528" s="212">
        <v>1077625</v>
      </c>
      <c r="J528" s="605"/>
      <c r="K528" s="212">
        <v>1</v>
      </c>
      <c r="L528" s="212">
        <f t="shared" si="84"/>
        <v>1077625</v>
      </c>
      <c r="M528" s="602"/>
      <c r="N528" s="675">
        <f>+'Yeşil Defter'!K530</f>
        <v>0</v>
      </c>
      <c r="O528" s="675">
        <f>+'Yeşil Defter'!L530</f>
        <v>0</v>
      </c>
      <c r="P528" s="675">
        <f>+'Yeşil Defter'!M530</f>
        <v>0</v>
      </c>
      <c r="Q528" s="212"/>
      <c r="R528" s="605">
        <f t="shared" si="85"/>
        <v>0</v>
      </c>
      <c r="S528" s="225">
        <f t="shared" si="86"/>
        <v>0</v>
      </c>
      <c r="T528" s="237">
        <f t="shared" si="87"/>
        <v>0</v>
      </c>
      <c r="X528" s="23" t="str">
        <f t="shared" si="79"/>
        <v>-</v>
      </c>
    </row>
    <row r="529" spans="1:24" ht="30" customHeight="1" x14ac:dyDescent="0.3">
      <c r="A529" s="262">
        <v>4</v>
      </c>
      <c r="C529" s="244">
        <v>275</v>
      </c>
      <c r="D529" s="161" t="s">
        <v>770</v>
      </c>
      <c r="E529" s="969" t="s">
        <v>771</v>
      </c>
      <c r="F529" s="970"/>
      <c r="G529" s="971"/>
      <c r="H529" s="544" t="s">
        <v>286</v>
      </c>
      <c r="I529" s="212">
        <v>1077625</v>
      </c>
      <c r="J529" s="605"/>
      <c r="K529" s="212">
        <v>1</v>
      </c>
      <c r="L529" s="212">
        <f t="shared" si="84"/>
        <v>1077625</v>
      </c>
      <c r="M529" s="602"/>
      <c r="N529" s="675">
        <f>+'Yeşil Defter'!K531</f>
        <v>0</v>
      </c>
      <c r="O529" s="675">
        <f>+'Yeşil Defter'!L531</f>
        <v>0</v>
      </c>
      <c r="P529" s="675">
        <f>+'Yeşil Defter'!M531</f>
        <v>0</v>
      </c>
      <c r="Q529" s="212"/>
      <c r="R529" s="605">
        <f t="shared" si="85"/>
        <v>0</v>
      </c>
      <c r="S529" s="225">
        <f t="shared" si="86"/>
        <v>0</v>
      </c>
      <c r="T529" s="237">
        <f t="shared" si="87"/>
        <v>0</v>
      </c>
      <c r="X529" s="23" t="str">
        <f t="shared" ref="X529:X592" si="88">IF(AND(P530&gt;K530*1.2, (P530-K530)*I530 &gt; $L$13*0.01), "RBF", "-")</f>
        <v>-</v>
      </c>
    </row>
    <row r="530" spans="1:24" ht="30" customHeight="1" x14ac:dyDescent="0.3">
      <c r="A530" s="262">
        <v>4</v>
      </c>
      <c r="C530" s="244">
        <v>276</v>
      </c>
      <c r="D530" s="161" t="s">
        <v>772</v>
      </c>
      <c r="E530" s="969" t="s">
        <v>773</v>
      </c>
      <c r="F530" s="970"/>
      <c r="G530" s="971"/>
      <c r="H530" s="544" t="s">
        <v>286</v>
      </c>
      <c r="I530" s="212">
        <v>434750</v>
      </c>
      <c r="J530" s="605"/>
      <c r="K530" s="212">
        <v>1</v>
      </c>
      <c r="L530" s="212">
        <f t="shared" si="84"/>
        <v>434750</v>
      </c>
      <c r="M530" s="602"/>
      <c r="N530" s="675">
        <f>+'Yeşil Defter'!K532</f>
        <v>0</v>
      </c>
      <c r="O530" s="675">
        <f>+'Yeşil Defter'!L532</f>
        <v>0</v>
      </c>
      <c r="P530" s="675">
        <f>+'Yeşil Defter'!M532</f>
        <v>0</v>
      </c>
      <c r="Q530" s="212"/>
      <c r="R530" s="605">
        <f t="shared" si="85"/>
        <v>0</v>
      </c>
      <c r="S530" s="225">
        <f t="shared" si="86"/>
        <v>0</v>
      </c>
      <c r="T530" s="237">
        <f t="shared" si="87"/>
        <v>0</v>
      </c>
      <c r="X530" s="23" t="str">
        <f t="shared" si="88"/>
        <v>-</v>
      </c>
    </row>
    <row r="531" spans="1:24" ht="30" customHeight="1" x14ac:dyDescent="0.3">
      <c r="A531" s="262">
        <v>4</v>
      </c>
      <c r="C531" s="244">
        <v>277</v>
      </c>
      <c r="D531" s="161" t="s">
        <v>774</v>
      </c>
      <c r="E531" s="969" t="s">
        <v>775</v>
      </c>
      <c r="F531" s="970"/>
      <c r="G531" s="971"/>
      <c r="H531" s="544" t="s">
        <v>286</v>
      </c>
      <c r="I531" s="212">
        <v>1077625</v>
      </c>
      <c r="J531" s="605"/>
      <c r="K531" s="212">
        <v>1</v>
      </c>
      <c r="L531" s="212">
        <f t="shared" si="84"/>
        <v>1077625</v>
      </c>
      <c r="M531" s="602"/>
      <c r="N531" s="675">
        <f>+'Yeşil Defter'!K533</f>
        <v>0</v>
      </c>
      <c r="O531" s="675">
        <f>+'Yeşil Defter'!L533</f>
        <v>0</v>
      </c>
      <c r="P531" s="675">
        <f>+'Yeşil Defter'!M533</f>
        <v>0</v>
      </c>
      <c r="Q531" s="212"/>
      <c r="R531" s="605">
        <f t="shared" si="85"/>
        <v>0</v>
      </c>
      <c r="S531" s="225">
        <f t="shared" si="86"/>
        <v>0</v>
      </c>
      <c r="T531" s="237">
        <f t="shared" si="87"/>
        <v>0</v>
      </c>
      <c r="X531" s="23" t="str">
        <f t="shared" si="88"/>
        <v>-</v>
      </c>
    </row>
    <row r="532" spans="1:24" ht="30" customHeight="1" x14ac:dyDescent="0.3">
      <c r="A532" s="262">
        <v>4</v>
      </c>
      <c r="C532" s="244">
        <v>278</v>
      </c>
      <c r="D532" s="161" t="s">
        <v>776</v>
      </c>
      <c r="E532" s="969" t="s">
        <v>777</v>
      </c>
      <c r="F532" s="970"/>
      <c r="G532" s="971"/>
      <c r="H532" s="544" t="s">
        <v>286</v>
      </c>
      <c r="I532" s="212">
        <v>864875</v>
      </c>
      <c r="J532" s="605"/>
      <c r="K532" s="212">
        <v>1</v>
      </c>
      <c r="L532" s="212">
        <f t="shared" si="84"/>
        <v>864875</v>
      </c>
      <c r="M532" s="602"/>
      <c r="N532" s="675">
        <f>+'Yeşil Defter'!K534</f>
        <v>0</v>
      </c>
      <c r="O532" s="675">
        <f>+'Yeşil Defter'!L534</f>
        <v>0</v>
      </c>
      <c r="P532" s="675">
        <f>+'Yeşil Defter'!M534</f>
        <v>0</v>
      </c>
      <c r="Q532" s="212"/>
      <c r="R532" s="605">
        <f t="shared" si="85"/>
        <v>0</v>
      </c>
      <c r="S532" s="225">
        <f t="shared" si="86"/>
        <v>0</v>
      </c>
      <c r="T532" s="237">
        <f t="shared" si="87"/>
        <v>0</v>
      </c>
      <c r="X532" s="23" t="str">
        <f t="shared" si="88"/>
        <v>-</v>
      </c>
    </row>
    <row r="533" spans="1:24" ht="30" customHeight="1" x14ac:dyDescent="0.3">
      <c r="A533" s="262">
        <v>4</v>
      </c>
      <c r="C533" s="244">
        <v>279</v>
      </c>
      <c r="D533" s="161" t="s">
        <v>778</v>
      </c>
      <c r="E533" s="969" t="s">
        <v>779</v>
      </c>
      <c r="F533" s="970"/>
      <c r="G533" s="971"/>
      <c r="H533" s="544" t="s">
        <v>286</v>
      </c>
      <c r="I533" s="212">
        <v>864875</v>
      </c>
      <c r="J533" s="605"/>
      <c r="K533" s="212">
        <v>1</v>
      </c>
      <c r="L533" s="212">
        <f t="shared" si="84"/>
        <v>864875</v>
      </c>
      <c r="M533" s="602"/>
      <c r="N533" s="675">
        <f>+'Yeşil Defter'!K535</f>
        <v>0</v>
      </c>
      <c r="O533" s="675">
        <f>+'Yeşil Defter'!L535</f>
        <v>0</v>
      </c>
      <c r="P533" s="675">
        <f>+'Yeşil Defter'!M535</f>
        <v>0</v>
      </c>
      <c r="Q533" s="212"/>
      <c r="R533" s="605">
        <f t="shared" si="85"/>
        <v>0</v>
      </c>
      <c r="S533" s="225">
        <f t="shared" si="86"/>
        <v>0</v>
      </c>
      <c r="T533" s="237">
        <f t="shared" si="87"/>
        <v>0</v>
      </c>
      <c r="X533" s="23" t="str">
        <f t="shared" si="88"/>
        <v>-</v>
      </c>
    </row>
    <row r="534" spans="1:24" ht="30" customHeight="1" x14ac:dyDescent="0.3">
      <c r="A534" s="262">
        <v>4</v>
      </c>
      <c r="C534" s="244">
        <v>280</v>
      </c>
      <c r="D534" s="161" t="s">
        <v>780</v>
      </c>
      <c r="E534" s="969" t="s">
        <v>781</v>
      </c>
      <c r="F534" s="970"/>
      <c r="G534" s="971"/>
      <c r="H534" s="544" t="s">
        <v>286</v>
      </c>
      <c r="I534" s="212">
        <v>11119432</v>
      </c>
      <c r="J534" s="605"/>
      <c r="K534" s="212">
        <v>1</v>
      </c>
      <c r="L534" s="212">
        <f t="shared" si="84"/>
        <v>11119432</v>
      </c>
      <c r="M534" s="602"/>
      <c r="N534" s="675">
        <f>+'Yeşil Defter'!K536</f>
        <v>0</v>
      </c>
      <c r="O534" s="675">
        <f>+'Yeşil Defter'!L536</f>
        <v>0</v>
      </c>
      <c r="P534" s="675">
        <f>+'Yeşil Defter'!M536</f>
        <v>0</v>
      </c>
      <c r="Q534" s="212"/>
      <c r="R534" s="605">
        <f t="shared" ref="R534:R545" si="89">+ROUND(K534*N534,2)</f>
        <v>0</v>
      </c>
      <c r="S534" s="225">
        <f t="shared" ref="S534:S535" si="90">+T534-R534</f>
        <v>0</v>
      </c>
      <c r="T534" s="237">
        <f t="shared" ref="T534:T545" si="91">+ROUND(K534*P534,2)</f>
        <v>0</v>
      </c>
      <c r="X534" s="23" t="str">
        <f t="shared" si="88"/>
        <v>-</v>
      </c>
    </row>
    <row r="535" spans="1:24" ht="30" customHeight="1" x14ac:dyDescent="0.3">
      <c r="A535" s="262">
        <v>4</v>
      </c>
      <c r="C535" s="244">
        <v>281</v>
      </c>
      <c r="D535" s="161" t="s">
        <v>782</v>
      </c>
      <c r="E535" s="969" t="s">
        <v>783</v>
      </c>
      <c r="F535" s="970"/>
      <c r="G535" s="971"/>
      <c r="H535" s="544" t="s">
        <v>286</v>
      </c>
      <c r="I535" s="212">
        <v>12141908</v>
      </c>
      <c r="J535" s="605"/>
      <c r="K535" s="212">
        <v>1</v>
      </c>
      <c r="L535" s="212">
        <f t="shared" si="84"/>
        <v>12141908</v>
      </c>
      <c r="M535" s="602"/>
      <c r="N535" s="675">
        <f>+'Yeşil Defter'!K537</f>
        <v>0</v>
      </c>
      <c r="O535" s="675">
        <f>+'Yeşil Defter'!L537</f>
        <v>0</v>
      </c>
      <c r="P535" s="675">
        <f>+'Yeşil Defter'!M537</f>
        <v>0</v>
      </c>
      <c r="Q535" s="212"/>
      <c r="R535" s="605">
        <f t="shared" si="89"/>
        <v>0</v>
      </c>
      <c r="S535" s="225">
        <f t="shared" si="90"/>
        <v>0</v>
      </c>
      <c r="T535" s="237">
        <f t="shared" si="91"/>
        <v>0</v>
      </c>
      <c r="X535" s="23" t="str">
        <f t="shared" si="88"/>
        <v>-</v>
      </c>
    </row>
    <row r="536" spans="1:24" ht="30" customHeight="1" x14ac:dyDescent="0.3">
      <c r="A536" s="262">
        <v>4</v>
      </c>
      <c r="C536" s="244">
        <v>282</v>
      </c>
      <c r="D536" s="161" t="s">
        <v>784</v>
      </c>
      <c r="E536" s="969" t="s">
        <v>785</v>
      </c>
      <c r="F536" s="970"/>
      <c r="G536" s="971"/>
      <c r="H536" s="544" t="s">
        <v>286</v>
      </c>
      <c r="I536" s="212">
        <v>12780956</v>
      </c>
      <c r="J536" s="605"/>
      <c r="K536" s="212">
        <v>1</v>
      </c>
      <c r="L536" s="212">
        <f t="shared" si="84"/>
        <v>12780956</v>
      </c>
      <c r="M536" s="602"/>
      <c r="N536" s="675">
        <f>+'Yeşil Defter'!K538</f>
        <v>0</v>
      </c>
      <c r="O536" s="675">
        <f>+'Yeşil Defter'!L538</f>
        <v>0</v>
      </c>
      <c r="P536" s="675">
        <f>+'Yeşil Defter'!M538</f>
        <v>0</v>
      </c>
      <c r="Q536" s="212"/>
      <c r="R536" s="605">
        <f t="shared" si="89"/>
        <v>0</v>
      </c>
      <c r="S536" s="225">
        <f t="shared" si="78"/>
        <v>0</v>
      </c>
      <c r="T536" s="237">
        <f t="shared" si="91"/>
        <v>0</v>
      </c>
      <c r="X536" s="23" t="str">
        <f t="shared" si="88"/>
        <v>-</v>
      </c>
    </row>
    <row r="537" spans="1:24" ht="30" customHeight="1" x14ac:dyDescent="0.3">
      <c r="A537" s="262">
        <v>4</v>
      </c>
      <c r="C537" s="244">
        <v>283</v>
      </c>
      <c r="D537" s="161" t="s">
        <v>786</v>
      </c>
      <c r="E537" s="969" t="s">
        <v>787</v>
      </c>
      <c r="F537" s="970"/>
      <c r="G537" s="971"/>
      <c r="H537" s="544" t="s">
        <v>286</v>
      </c>
      <c r="I537" s="212">
        <v>11502861</v>
      </c>
      <c r="J537" s="605"/>
      <c r="K537" s="212">
        <v>1</v>
      </c>
      <c r="L537" s="212">
        <f t="shared" si="84"/>
        <v>11502861</v>
      </c>
      <c r="M537" s="602"/>
      <c r="N537" s="675">
        <f>+'Yeşil Defter'!K539</f>
        <v>0</v>
      </c>
      <c r="O537" s="675">
        <f>+'Yeşil Defter'!L539</f>
        <v>0</v>
      </c>
      <c r="P537" s="675">
        <f>+'Yeşil Defter'!M539</f>
        <v>0</v>
      </c>
      <c r="Q537" s="212"/>
      <c r="R537" s="605">
        <f t="shared" si="89"/>
        <v>0</v>
      </c>
      <c r="S537" s="225">
        <f t="shared" si="78"/>
        <v>0</v>
      </c>
      <c r="T537" s="237">
        <f t="shared" si="91"/>
        <v>0</v>
      </c>
      <c r="X537" s="23" t="str">
        <f t="shared" si="88"/>
        <v>-</v>
      </c>
    </row>
    <row r="538" spans="1:24" ht="30" customHeight="1" x14ac:dyDescent="0.3">
      <c r="A538" s="262">
        <v>4</v>
      </c>
      <c r="C538" s="244">
        <v>284</v>
      </c>
      <c r="D538" s="161" t="s">
        <v>788</v>
      </c>
      <c r="E538" s="969" t="s">
        <v>789</v>
      </c>
      <c r="F538" s="970"/>
      <c r="G538" s="971"/>
      <c r="H538" s="544" t="s">
        <v>286</v>
      </c>
      <c r="I538" s="212">
        <v>12141908</v>
      </c>
      <c r="J538" s="605"/>
      <c r="K538" s="212">
        <v>1</v>
      </c>
      <c r="L538" s="212">
        <f t="shared" si="84"/>
        <v>12141908</v>
      </c>
      <c r="M538" s="602"/>
      <c r="N538" s="675">
        <f>+'Yeşil Defter'!K540</f>
        <v>0</v>
      </c>
      <c r="O538" s="675">
        <f>+'Yeşil Defter'!L540</f>
        <v>0</v>
      </c>
      <c r="P538" s="675">
        <f>+'Yeşil Defter'!M540</f>
        <v>0</v>
      </c>
      <c r="Q538" s="212"/>
      <c r="R538" s="605">
        <f t="shared" si="89"/>
        <v>0</v>
      </c>
      <c r="S538" s="225">
        <f t="shared" si="78"/>
        <v>0</v>
      </c>
      <c r="T538" s="237">
        <f t="shared" si="91"/>
        <v>0</v>
      </c>
      <c r="X538" s="23" t="str">
        <f t="shared" si="88"/>
        <v>-</v>
      </c>
    </row>
    <row r="539" spans="1:24" ht="30" customHeight="1" x14ac:dyDescent="0.3">
      <c r="A539" s="262">
        <v>4</v>
      </c>
      <c r="C539" s="244">
        <v>285</v>
      </c>
      <c r="D539" s="161" t="s">
        <v>790</v>
      </c>
      <c r="E539" s="969" t="s">
        <v>791</v>
      </c>
      <c r="F539" s="970"/>
      <c r="G539" s="971"/>
      <c r="H539" s="544" t="s">
        <v>286</v>
      </c>
      <c r="I539" s="212">
        <v>1254994</v>
      </c>
      <c r="J539" s="605"/>
      <c r="K539" s="212">
        <v>1</v>
      </c>
      <c r="L539" s="212">
        <f t="shared" si="84"/>
        <v>1254994</v>
      </c>
      <c r="M539" s="602"/>
      <c r="N539" s="675">
        <f>+'Yeşil Defter'!K541</f>
        <v>0</v>
      </c>
      <c r="O539" s="675">
        <f>+'Yeşil Defter'!L541</f>
        <v>0</v>
      </c>
      <c r="P539" s="675">
        <f>+'Yeşil Defter'!M541</f>
        <v>0</v>
      </c>
      <c r="Q539" s="212"/>
      <c r="R539" s="605">
        <f t="shared" si="89"/>
        <v>0</v>
      </c>
      <c r="S539" s="225">
        <f t="shared" si="78"/>
        <v>0</v>
      </c>
      <c r="T539" s="237">
        <f t="shared" si="91"/>
        <v>0</v>
      </c>
      <c r="X539" s="23" t="str">
        <f t="shared" si="88"/>
        <v>-</v>
      </c>
    </row>
    <row r="540" spans="1:24" ht="30" customHeight="1" x14ac:dyDescent="0.3">
      <c r="A540" s="262">
        <v>4</v>
      </c>
      <c r="C540" s="244">
        <v>286</v>
      </c>
      <c r="D540" s="161" t="s">
        <v>792</v>
      </c>
      <c r="E540" s="969" t="s">
        <v>793</v>
      </c>
      <c r="F540" s="970"/>
      <c r="G540" s="971"/>
      <c r="H540" s="544" t="s">
        <v>286</v>
      </c>
      <c r="I540" s="212">
        <v>15222263</v>
      </c>
      <c r="J540" s="605"/>
      <c r="K540" s="212">
        <v>1</v>
      </c>
      <c r="L540" s="212">
        <f t="shared" si="84"/>
        <v>15222263</v>
      </c>
      <c r="M540" s="602"/>
      <c r="N540" s="675">
        <f>+'Yeşil Defter'!K542</f>
        <v>0</v>
      </c>
      <c r="O540" s="675">
        <f>+'Yeşil Defter'!L542</f>
        <v>0</v>
      </c>
      <c r="P540" s="675">
        <f>+'Yeşil Defter'!M542</f>
        <v>0</v>
      </c>
      <c r="Q540" s="212"/>
      <c r="R540" s="605">
        <f t="shared" si="89"/>
        <v>0</v>
      </c>
      <c r="S540" s="225">
        <f t="shared" si="78"/>
        <v>0</v>
      </c>
      <c r="T540" s="237">
        <f t="shared" si="91"/>
        <v>0</v>
      </c>
      <c r="X540" s="23" t="str">
        <f t="shared" si="88"/>
        <v>-</v>
      </c>
    </row>
    <row r="541" spans="1:24" ht="30" customHeight="1" x14ac:dyDescent="0.3">
      <c r="A541" s="262">
        <v>4</v>
      </c>
      <c r="C541" s="244">
        <v>287</v>
      </c>
      <c r="D541" s="161" t="s">
        <v>794</v>
      </c>
      <c r="E541" s="969" t="s">
        <v>1163</v>
      </c>
      <c r="F541" s="970"/>
      <c r="G541" s="971"/>
      <c r="H541" s="544" t="s">
        <v>286</v>
      </c>
      <c r="I541" s="212">
        <v>3008331</v>
      </c>
      <c r="J541" s="605"/>
      <c r="K541" s="212">
        <v>1</v>
      </c>
      <c r="L541" s="212">
        <f t="shared" si="84"/>
        <v>3008331</v>
      </c>
      <c r="M541" s="602"/>
      <c r="N541" s="675">
        <f>+'Yeşil Defter'!K543</f>
        <v>0</v>
      </c>
      <c r="O541" s="675">
        <f>+'Yeşil Defter'!L543</f>
        <v>0</v>
      </c>
      <c r="P541" s="675">
        <f>+'Yeşil Defter'!M543</f>
        <v>0</v>
      </c>
      <c r="Q541" s="212"/>
      <c r="R541" s="605">
        <f t="shared" si="89"/>
        <v>0</v>
      </c>
      <c r="S541" s="225">
        <f t="shared" si="78"/>
        <v>0</v>
      </c>
      <c r="T541" s="237">
        <f t="shared" si="91"/>
        <v>0</v>
      </c>
      <c r="X541" s="23" t="str">
        <f t="shared" si="88"/>
        <v>-</v>
      </c>
    </row>
    <row r="542" spans="1:24" ht="30" customHeight="1" x14ac:dyDescent="0.3">
      <c r="A542" s="262">
        <v>4</v>
      </c>
      <c r="C542" s="244">
        <v>288</v>
      </c>
      <c r="D542" s="161" t="s">
        <v>795</v>
      </c>
      <c r="E542" s="969" t="s">
        <v>1171</v>
      </c>
      <c r="F542" s="970"/>
      <c r="G542" s="971"/>
      <c r="H542" s="544" t="s">
        <v>286</v>
      </c>
      <c r="I542" s="212">
        <v>3008331</v>
      </c>
      <c r="J542" s="605"/>
      <c r="K542" s="212">
        <v>1</v>
      </c>
      <c r="L542" s="212">
        <f t="shared" si="84"/>
        <v>3008331</v>
      </c>
      <c r="M542" s="602"/>
      <c r="N542" s="675">
        <f>+'Yeşil Defter'!K544</f>
        <v>0</v>
      </c>
      <c r="O542" s="675">
        <f>+'Yeşil Defter'!L544</f>
        <v>0</v>
      </c>
      <c r="P542" s="675">
        <f>+'Yeşil Defter'!M544</f>
        <v>0</v>
      </c>
      <c r="Q542" s="212"/>
      <c r="R542" s="605">
        <f t="shared" si="89"/>
        <v>0</v>
      </c>
      <c r="S542" s="225">
        <f t="shared" si="78"/>
        <v>0</v>
      </c>
      <c r="T542" s="237">
        <f t="shared" si="91"/>
        <v>0</v>
      </c>
      <c r="X542" s="23" t="str">
        <f t="shared" si="88"/>
        <v>-</v>
      </c>
    </row>
    <row r="543" spans="1:24" ht="30" customHeight="1" x14ac:dyDescent="0.3">
      <c r="A543" s="262">
        <v>4</v>
      </c>
      <c r="C543" s="244">
        <v>289</v>
      </c>
      <c r="D543" s="161" t="s">
        <v>796</v>
      </c>
      <c r="E543" s="969" t="s">
        <v>1179</v>
      </c>
      <c r="F543" s="970"/>
      <c r="G543" s="971"/>
      <c r="H543" s="544" t="s">
        <v>286</v>
      </c>
      <c r="I543" s="212">
        <v>3008331</v>
      </c>
      <c r="J543" s="605"/>
      <c r="K543" s="212">
        <v>1</v>
      </c>
      <c r="L543" s="212">
        <f t="shared" si="84"/>
        <v>3008331</v>
      </c>
      <c r="M543" s="602"/>
      <c r="N543" s="675">
        <f>+'Yeşil Defter'!K545</f>
        <v>0</v>
      </c>
      <c r="O543" s="675">
        <f>+'Yeşil Defter'!L545</f>
        <v>0</v>
      </c>
      <c r="P543" s="675">
        <f>+'Yeşil Defter'!M545</f>
        <v>0</v>
      </c>
      <c r="Q543" s="212"/>
      <c r="R543" s="605">
        <f t="shared" si="89"/>
        <v>0</v>
      </c>
      <c r="S543" s="225">
        <f t="shared" si="78"/>
        <v>0</v>
      </c>
      <c r="T543" s="237">
        <f t="shared" si="91"/>
        <v>0</v>
      </c>
      <c r="X543" s="23" t="str">
        <f t="shared" si="88"/>
        <v>-</v>
      </c>
    </row>
    <row r="544" spans="1:24" ht="30" customHeight="1" x14ac:dyDescent="0.3">
      <c r="A544" s="262">
        <v>4</v>
      </c>
      <c r="C544" s="244">
        <v>290</v>
      </c>
      <c r="D544" s="161" t="s">
        <v>797</v>
      </c>
      <c r="E544" s="969" t="s">
        <v>1187</v>
      </c>
      <c r="F544" s="970"/>
      <c r="G544" s="971"/>
      <c r="H544" s="544" t="s">
        <v>286</v>
      </c>
      <c r="I544" s="212">
        <v>3008331</v>
      </c>
      <c r="J544" s="605"/>
      <c r="K544" s="212">
        <v>1</v>
      </c>
      <c r="L544" s="212">
        <f t="shared" si="84"/>
        <v>3008331</v>
      </c>
      <c r="M544" s="602"/>
      <c r="N544" s="675">
        <f>+'Yeşil Defter'!K546</f>
        <v>0</v>
      </c>
      <c r="O544" s="675">
        <f>+'Yeşil Defter'!L546</f>
        <v>0</v>
      </c>
      <c r="P544" s="675">
        <f>+'Yeşil Defter'!M546</f>
        <v>0</v>
      </c>
      <c r="Q544" s="212"/>
      <c r="R544" s="605">
        <f t="shared" si="89"/>
        <v>0</v>
      </c>
      <c r="S544" s="225">
        <f t="shared" si="78"/>
        <v>0</v>
      </c>
      <c r="T544" s="237">
        <f t="shared" si="91"/>
        <v>0</v>
      </c>
      <c r="X544" s="23" t="str">
        <f t="shared" si="88"/>
        <v>-</v>
      </c>
    </row>
    <row r="545" spans="1:24" ht="30" customHeight="1" x14ac:dyDescent="0.3">
      <c r="A545" s="262">
        <v>4</v>
      </c>
      <c r="C545" s="244">
        <v>291</v>
      </c>
      <c r="D545" s="161" t="s">
        <v>798</v>
      </c>
      <c r="E545" s="969" t="s">
        <v>799</v>
      </c>
      <c r="F545" s="970"/>
      <c r="G545" s="971"/>
      <c r="H545" s="544" t="s">
        <v>286</v>
      </c>
      <c r="I545" s="212">
        <v>3008331</v>
      </c>
      <c r="J545" s="605"/>
      <c r="K545" s="212">
        <v>1</v>
      </c>
      <c r="L545" s="212">
        <f t="shared" si="84"/>
        <v>3008331</v>
      </c>
      <c r="M545" s="602"/>
      <c r="N545" s="675">
        <f>+'Yeşil Defter'!K547</f>
        <v>0</v>
      </c>
      <c r="O545" s="675">
        <f>+'Yeşil Defter'!L547</f>
        <v>0</v>
      </c>
      <c r="P545" s="675">
        <f>+'Yeşil Defter'!M547</f>
        <v>0</v>
      </c>
      <c r="Q545" s="212"/>
      <c r="R545" s="605">
        <f t="shared" si="89"/>
        <v>0</v>
      </c>
      <c r="S545" s="225">
        <f t="shared" si="78"/>
        <v>0</v>
      </c>
      <c r="T545" s="237">
        <f t="shared" si="91"/>
        <v>0</v>
      </c>
      <c r="X545" s="23" t="str">
        <f t="shared" si="88"/>
        <v>-</v>
      </c>
    </row>
    <row r="546" spans="1:24" ht="40.049999999999997" customHeight="1" x14ac:dyDescent="0.3">
      <c r="A546" s="262" t="s">
        <v>1242</v>
      </c>
      <c r="C546" s="258"/>
      <c r="D546" s="258"/>
      <c r="E546" s="972" t="s">
        <v>33</v>
      </c>
      <c r="F546" s="972"/>
      <c r="G546" s="972"/>
      <c r="H546" s="973" t="s">
        <v>29</v>
      </c>
      <c r="I546" s="973"/>
      <c r="J546" s="973"/>
      <c r="K546" s="973"/>
      <c r="L546" s="973"/>
      <c r="M546" s="549"/>
      <c r="N546" s="973" t="s">
        <v>22</v>
      </c>
      <c r="O546" s="973"/>
      <c r="P546" s="973"/>
      <c r="Q546" s="973"/>
      <c r="R546" s="973"/>
      <c r="S546" s="973"/>
      <c r="T546" s="973"/>
      <c r="X546" s="23"/>
    </row>
    <row r="547" spans="1:24" ht="19.95" customHeight="1" x14ac:dyDescent="0.3">
      <c r="A547" s="262" t="s">
        <v>1242</v>
      </c>
      <c r="D547" s="28"/>
      <c r="E547" s="974" t="s">
        <v>1214</v>
      </c>
      <c r="F547" s="974"/>
      <c r="G547" s="974"/>
      <c r="H547" s="975" t="s">
        <v>38</v>
      </c>
      <c r="I547" s="975"/>
      <c r="J547" s="975"/>
      <c r="K547" s="975"/>
      <c r="L547" s="975"/>
      <c r="M547" s="562"/>
      <c r="N547" s="975" t="s">
        <v>1437</v>
      </c>
      <c r="O547" s="975"/>
      <c r="P547" s="975"/>
      <c r="Q547" s="975"/>
      <c r="R547" s="975"/>
      <c r="S547" s="975"/>
      <c r="T547" s="975"/>
      <c r="X547" s="23"/>
    </row>
    <row r="548" spans="1:24" ht="19.95" customHeight="1" x14ac:dyDescent="0.3">
      <c r="A548" s="262" t="s">
        <v>1242</v>
      </c>
      <c r="C548" s="228"/>
      <c r="D548" s="228"/>
      <c r="E548" s="561"/>
      <c r="F548" s="561"/>
      <c r="G548" s="561"/>
      <c r="H548" s="975" t="s">
        <v>32</v>
      </c>
      <c r="I548" s="975"/>
      <c r="J548" s="562"/>
      <c r="K548" s="975" t="s">
        <v>1407</v>
      </c>
      <c r="L548" s="975"/>
      <c r="M548" s="260"/>
      <c r="N548" s="975"/>
      <c r="O548" s="975"/>
      <c r="P548" s="975"/>
      <c r="Q548" s="975"/>
      <c r="R548" s="975"/>
      <c r="S548" s="975"/>
      <c r="T548" s="975"/>
      <c r="X548" s="23"/>
    </row>
    <row r="549" spans="1:24" ht="19.95" customHeight="1" x14ac:dyDescent="0.3">
      <c r="A549" s="262" t="s">
        <v>1242</v>
      </c>
      <c r="C549" s="228"/>
      <c r="D549" s="228"/>
      <c r="E549" s="561"/>
      <c r="F549" s="561"/>
      <c r="G549" s="561"/>
      <c r="H549" s="976" t="s">
        <v>94</v>
      </c>
      <c r="I549" s="976"/>
      <c r="J549" s="623"/>
      <c r="K549" s="976" t="s">
        <v>94</v>
      </c>
      <c r="L549" s="976"/>
      <c r="M549" s="260"/>
      <c r="N549" s="975"/>
      <c r="O549" s="975"/>
      <c r="P549" s="975"/>
      <c r="Q549" s="975"/>
      <c r="R549" s="975"/>
      <c r="S549" s="975"/>
      <c r="T549" s="975"/>
      <c r="X549" s="23"/>
    </row>
    <row r="550" spans="1:24" ht="19.95" customHeight="1" x14ac:dyDescent="0.3">
      <c r="A550" s="262" t="s">
        <v>1242</v>
      </c>
      <c r="C550" s="228"/>
      <c r="D550" s="228"/>
      <c r="E550" s="561"/>
      <c r="F550" s="561"/>
      <c r="G550" s="561"/>
      <c r="H550" s="976"/>
      <c r="I550" s="976"/>
      <c r="J550" s="623"/>
      <c r="K550" s="976"/>
      <c r="L550" s="976"/>
      <c r="M550" s="261"/>
      <c r="N550" s="260"/>
      <c r="O550" s="260"/>
      <c r="P550" s="260"/>
      <c r="Q550" s="260"/>
      <c r="R550" s="260"/>
      <c r="S550" s="260"/>
      <c r="T550" s="260"/>
      <c r="X550" s="23"/>
    </row>
    <row r="551" spans="1:24" ht="19.95" customHeight="1" x14ac:dyDescent="0.3">
      <c r="A551" s="262" t="s">
        <v>1242</v>
      </c>
      <c r="C551" s="228"/>
      <c r="D551" s="228"/>
      <c r="E551" s="561"/>
      <c r="F551" s="561"/>
      <c r="G551" s="561"/>
      <c r="H551" s="975"/>
      <c r="I551" s="975"/>
      <c r="J551" s="562"/>
      <c r="K551" s="975"/>
      <c r="L551" s="975"/>
      <c r="M551" s="562"/>
      <c r="N551" s="968" t="s">
        <v>52</v>
      </c>
      <c r="O551" s="968"/>
      <c r="P551" s="968"/>
      <c r="Q551" s="260"/>
      <c r="R551" s="968" t="s">
        <v>28</v>
      </c>
      <c r="S551" s="968"/>
      <c r="T551" s="968"/>
      <c r="X551" s="23"/>
    </row>
    <row r="552" spans="1:24" ht="19.95" customHeight="1" x14ac:dyDescent="0.3">
      <c r="A552" s="262" t="s">
        <v>1242</v>
      </c>
      <c r="C552" s="228"/>
      <c r="D552" s="228"/>
      <c r="E552" s="561"/>
      <c r="F552" s="561"/>
      <c r="G552" s="561"/>
      <c r="H552" s="976" t="s">
        <v>1220</v>
      </c>
      <c r="I552" s="976"/>
      <c r="J552" s="976"/>
      <c r="K552" s="976"/>
      <c r="L552" s="976"/>
      <c r="M552" s="623"/>
      <c r="N552" s="968" t="s">
        <v>1485</v>
      </c>
      <c r="O552" s="968"/>
      <c r="P552" s="968"/>
      <c r="Q552" s="260"/>
      <c r="R552" s="968" t="s">
        <v>1486</v>
      </c>
      <c r="S552" s="968"/>
      <c r="T552" s="968"/>
      <c r="X552" s="23"/>
    </row>
    <row r="553" spans="1:24" ht="19.95" customHeight="1" x14ac:dyDescent="0.3">
      <c r="A553" s="262" t="s">
        <v>1242</v>
      </c>
      <c r="C553" s="228"/>
      <c r="D553" s="228"/>
      <c r="E553" s="561"/>
      <c r="F553" s="561"/>
      <c r="G553" s="561"/>
      <c r="H553" s="976"/>
      <c r="I553" s="976"/>
      <c r="J553" s="976"/>
      <c r="K553" s="976"/>
      <c r="L553" s="976"/>
      <c r="M553" s="623"/>
      <c r="N553" s="968"/>
      <c r="O553" s="968"/>
      <c r="P553" s="968"/>
      <c r="Q553" s="260"/>
      <c r="R553" s="968"/>
      <c r="S553" s="968"/>
      <c r="T553" s="968"/>
      <c r="X553" s="23"/>
    </row>
    <row r="554" spans="1:24" ht="19.95" customHeight="1" x14ac:dyDescent="0.3">
      <c r="A554" s="262" t="s">
        <v>1242</v>
      </c>
      <c r="C554" s="228"/>
      <c r="D554" s="228"/>
      <c r="E554" s="561"/>
      <c r="F554" s="561"/>
      <c r="G554" s="561"/>
      <c r="H554" s="228"/>
      <c r="I554" s="260"/>
      <c r="J554" s="260"/>
      <c r="K554" s="260"/>
      <c r="L554" s="260"/>
      <c r="M554" s="260"/>
      <c r="N554" s="260"/>
      <c r="O554" s="260"/>
      <c r="P554" s="260"/>
      <c r="Q554" s="260"/>
      <c r="R554" s="260"/>
      <c r="S554" s="260"/>
      <c r="T554" s="260"/>
      <c r="X554" s="23"/>
    </row>
    <row r="555" spans="1:24" ht="19.95" customHeight="1" x14ac:dyDescent="0.3">
      <c r="A555" s="262" t="s">
        <v>1242</v>
      </c>
      <c r="C555" s="228"/>
      <c r="D555" s="228"/>
      <c r="E555" s="975" t="s">
        <v>1215</v>
      </c>
      <c r="F555" s="975"/>
      <c r="G555" s="975"/>
      <c r="H555" s="975" t="s">
        <v>1348</v>
      </c>
      <c r="I555" s="975"/>
      <c r="J555" s="975"/>
      <c r="K555" s="975"/>
      <c r="L555" s="975"/>
      <c r="M555" s="562"/>
      <c r="N555" s="977" t="s">
        <v>1219</v>
      </c>
      <c r="O555" s="968"/>
      <c r="P555" s="968"/>
      <c r="Q555" s="968"/>
      <c r="R555" s="968"/>
      <c r="S555" s="968"/>
      <c r="T555" s="968"/>
      <c r="X555" s="23"/>
    </row>
    <row r="556" spans="1:24" ht="19.95" customHeight="1" x14ac:dyDescent="0.3">
      <c r="A556" s="262" t="s">
        <v>1290</v>
      </c>
      <c r="C556" s="228"/>
      <c r="D556" s="228"/>
      <c r="E556" s="975"/>
      <c r="F556" s="975"/>
      <c r="G556" s="975"/>
      <c r="H556" s="975"/>
      <c r="I556" s="975"/>
      <c r="J556" s="975"/>
      <c r="K556" s="975"/>
      <c r="L556" s="975"/>
      <c r="M556" s="562"/>
      <c r="N556" s="968"/>
      <c r="O556" s="968"/>
      <c r="P556" s="968"/>
      <c r="Q556" s="968"/>
      <c r="R556" s="968"/>
      <c r="S556" s="968"/>
      <c r="T556" s="968"/>
      <c r="X556" s="23"/>
    </row>
    <row r="557" spans="1:24" ht="30" customHeight="1" x14ac:dyDescent="0.3">
      <c r="A557" s="262">
        <v>4</v>
      </c>
      <c r="C557" s="255">
        <v>292</v>
      </c>
      <c r="D557" s="256" t="s">
        <v>800</v>
      </c>
      <c r="E557" s="978" t="s">
        <v>801</v>
      </c>
      <c r="F557" s="979"/>
      <c r="G557" s="980"/>
      <c r="H557" s="546" t="s">
        <v>286</v>
      </c>
      <c r="I557" s="257">
        <v>9226875</v>
      </c>
      <c r="J557" s="606"/>
      <c r="K557" s="257">
        <v>1</v>
      </c>
      <c r="L557" s="257">
        <f t="shared" ref="L557:L579" si="92">+ROUND(I557*K557,2)</f>
        <v>9226875</v>
      </c>
      <c r="M557" s="603"/>
      <c r="N557" s="675">
        <f>+'Yeşil Defter'!K548</f>
        <v>0</v>
      </c>
      <c r="O557" s="675">
        <f>+'Yeşil Defter'!L548</f>
        <v>0</v>
      </c>
      <c r="P557" s="675">
        <f>+'Yeşil Defter'!M548</f>
        <v>0</v>
      </c>
      <c r="Q557" s="257"/>
      <c r="R557" s="606">
        <f t="shared" ref="R557:R579" si="93">+ROUND(K557*N557,2)</f>
        <v>0</v>
      </c>
      <c r="S557" s="247">
        <f t="shared" si="78"/>
        <v>0</v>
      </c>
      <c r="T557" s="248">
        <f t="shared" ref="T557:T579" si="94">+ROUND(K557*P557,2)</f>
        <v>0</v>
      </c>
      <c r="X557" s="23" t="str">
        <f t="shared" si="88"/>
        <v>-</v>
      </c>
    </row>
    <row r="558" spans="1:24" ht="30" customHeight="1" x14ac:dyDescent="0.3">
      <c r="A558" s="262">
        <v>4</v>
      </c>
      <c r="C558" s="244">
        <v>293</v>
      </c>
      <c r="D558" s="161" t="s">
        <v>802</v>
      </c>
      <c r="E558" s="969" t="s">
        <v>1164</v>
      </c>
      <c r="F558" s="970"/>
      <c r="G558" s="971"/>
      <c r="H558" s="544" t="s">
        <v>286</v>
      </c>
      <c r="I558" s="212">
        <v>2510820</v>
      </c>
      <c r="J558" s="605"/>
      <c r="K558" s="212">
        <v>1</v>
      </c>
      <c r="L558" s="212">
        <f t="shared" si="92"/>
        <v>2510820</v>
      </c>
      <c r="M558" s="602"/>
      <c r="N558" s="675">
        <f>+'Yeşil Defter'!K549</f>
        <v>0</v>
      </c>
      <c r="O558" s="675">
        <f>+'Yeşil Defter'!L549</f>
        <v>0</v>
      </c>
      <c r="P558" s="675">
        <f>+'Yeşil Defter'!M549</f>
        <v>0</v>
      </c>
      <c r="Q558" s="212"/>
      <c r="R558" s="605">
        <f t="shared" si="93"/>
        <v>0</v>
      </c>
      <c r="S558" s="225">
        <f t="shared" si="78"/>
        <v>0</v>
      </c>
      <c r="T558" s="237">
        <f t="shared" si="94"/>
        <v>0</v>
      </c>
      <c r="X558" s="23" t="str">
        <f t="shared" si="88"/>
        <v>-</v>
      </c>
    </row>
    <row r="559" spans="1:24" ht="30" customHeight="1" x14ac:dyDescent="0.3">
      <c r="A559" s="262">
        <v>4</v>
      </c>
      <c r="C559" s="244">
        <v>294</v>
      </c>
      <c r="D559" s="161" t="s">
        <v>803</v>
      </c>
      <c r="E559" s="969" t="s">
        <v>1172</v>
      </c>
      <c r="F559" s="970"/>
      <c r="G559" s="971"/>
      <c r="H559" s="544" t="s">
        <v>286</v>
      </c>
      <c r="I559" s="212">
        <v>2741700</v>
      </c>
      <c r="J559" s="605"/>
      <c r="K559" s="212">
        <v>1</v>
      </c>
      <c r="L559" s="212">
        <f t="shared" si="92"/>
        <v>2741700</v>
      </c>
      <c r="M559" s="602"/>
      <c r="N559" s="675">
        <f>+'Yeşil Defter'!K550</f>
        <v>0</v>
      </c>
      <c r="O559" s="675">
        <f>+'Yeşil Defter'!L550</f>
        <v>0</v>
      </c>
      <c r="P559" s="675">
        <f>+'Yeşil Defter'!M550</f>
        <v>0</v>
      </c>
      <c r="Q559" s="212"/>
      <c r="R559" s="605">
        <f t="shared" si="93"/>
        <v>0</v>
      </c>
      <c r="S559" s="225">
        <f t="shared" si="78"/>
        <v>0</v>
      </c>
      <c r="T559" s="237">
        <f t="shared" si="94"/>
        <v>0</v>
      </c>
      <c r="X559" s="23" t="str">
        <f t="shared" si="88"/>
        <v>-</v>
      </c>
    </row>
    <row r="560" spans="1:24" ht="30" customHeight="1" x14ac:dyDescent="0.3">
      <c r="A560" s="262">
        <v>4</v>
      </c>
      <c r="C560" s="244">
        <v>295</v>
      </c>
      <c r="D560" s="161" t="s">
        <v>804</v>
      </c>
      <c r="E560" s="969" t="s">
        <v>1180</v>
      </c>
      <c r="F560" s="970"/>
      <c r="G560" s="971"/>
      <c r="H560" s="544" t="s">
        <v>286</v>
      </c>
      <c r="I560" s="212">
        <v>2886000</v>
      </c>
      <c r="J560" s="605"/>
      <c r="K560" s="212">
        <v>1</v>
      </c>
      <c r="L560" s="212">
        <f t="shared" si="92"/>
        <v>2886000</v>
      </c>
      <c r="M560" s="602"/>
      <c r="N560" s="675">
        <f>+'Yeşil Defter'!K551</f>
        <v>0</v>
      </c>
      <c r="O560" s="675">
        <f>+'Yeşil Defter'!L551</f>
        <v>0</v>
      </c>
      <c r="P560" s="675">
        <f>+'Yeşil Defter'!M551</f>
        <v>0</v>
      </c>
      <c r="Q560" s="212"/>
      <c r="R560" s="605">
        <f t="shared" si="93"/>
        <v>0</v>
      </c>
      <c r="S560" s="225">
        <f t="shared" si="78"/>
        <v>0</v>
      </c>
      <c r="T560" s="237">
        <f t="shared" si="94"/>
        <v>0</v>
      </c>
      <c r="X560" s="23" t="str">
        <f t="shared" si="88"/>
        <v>-</v>
      </c>
    </row>
    <row r="561" spans="1:24" ht="30" customHeight="1" x14ac:dyDescent="0.3">
      <c r="A561" s="262">
        <v>4</v>
      </c>
      <c r="C561" s="244">
        <v>296</v>
      </c>
      <c r="D561" s="161" t="s">
        <v>805</v>
      </c>
      <c r="E561" s="969" t="s">
        <v>1188</v>
      </c>
      <c r="F561" s="970"/>
      <c r="G561" s="971"/>
      <c r="H561" s="544" t="s">
        <v>286</v>
      </c>
      <c r="I561" s="212">
        <v>2597400</v>
      </c>
      <c r="J561" s="605"/>
      <c r="K561" s="212">
        <v>1</v>
      </c>
      <c r="L561" s="212">
        <f t="shared" si="92"/>
        <v>2597400</v>
      </c>
      <c r="M561" s="602"/>
      <c r="N561" s="675">
        <f>+'Yeşil Defter'!K552</f>
        <v>0</v>
      </c>
      <c r="O561" s="675">
        <f>+'Yeşil Defter'!L552</f>
        <v>0</v>
      </c>
      <c r="P561" s="675">
        <f>+'Yeşil Defter'!M552</f>
        <v>0</v>
      </c>
      <c r="Q561" s="212"/>
      <c r="R561" s="605">
        <f t="shared" si="93"/>
        <v>0</v>
      </c>
      <c r="S561" s="225">
        <f t="shared" si="78"/>
        <v>0</v>
      </c>
      <c r="T561" s="237">
        <f t="shared" si="94"/>
        <v>0</v>
      </c>
      <c r="X561" s="23" t="str">
        <f t="shared" si="88"/>
        <v>-</v>
      </c>
    </row>
    <row r="562" spans="1:24" ht="30" customHeight="1" x14ac:dyDescent="0.3">
      <c r="A562" s="262">
        <v>4</v>
      </c>
      <c r="C562" s="244">
        <v>297</v>
      </c>
      <c r="D562" s="161" t="s">
        <v>806</v>
      </c>
      <c r="E562" s="969" t="s">
        <v>807</v>
      </c>
      <c r="F562" s="970"/>
      <c r="G562" s="971"/>
      <c r="H562" s="544" t="s">
        <v>286</v>
      </c>
      <c r="I562" s="212">
        <v>2741700</v>
      </c>
      <c r="J562" s="605"/>
      <c r="K562" s="212">
        <v>1</v>
      </c>
      <c r="L562" s="212">
        <f t="shared" si="92"/>
        <v>2741700</v>
      </c>
      <c r="M562" s="602"/>
      <c r="N562" s="675">
        <f>+'Yeşil Defter'!K553</f>
        <v>0</v>
      </c>
      <c r="O562" s="675">
        <f>+'Yeşil Defter'!L553</f>
        <v>0</v>
      </c>
      <c r="P562" s="675">
        <f>+'Yeşil Defter'!M553</f>
        <v>0</v>
      </c>
      <c r="Q562" s="212"/>
      <c r="R562" s="605">
        <f t="shared" si="93"/>
        <v>0</v>
      </c>
      <c r="S562" s="225">
        <f t="shared" si="78"/>
        <v>0</v>
      </c>
      <c r="T562" s="237">
        <f t="shared" si="94"/>
        <v>0</v>
      </c>
      <c r="X562" s="23" t="str">
        <f t="shared" si="88"/>
        <v>-</v>
      </c>
    </row>
    <row r="563" spans="1:24" ht="30" customHeight="1" x14ac:dyDescent="0.3">
      <c r="A563" s="262">
        <v>4</v>
      </c>
      <c r="C563" s="244">
        <v>298</v>
      </c>
      <c r="D563" s="161" t="s">
        <v>808</v>
      </c>
      <c r="E563" s="969" t="s">
        <v>809</v>
      </c>
      <c r="F563" s="970"/>
      <c r="G563" s="971"/>
      <c r="H563" s="544" t="s">
        <v>286</v>
      </c>
      <c r="I563" s="212">
        <v>5295625</v>
      </c>
      <c r="J563" s="605"/>
      <c r="K563" s="212">
        <v>1</v>
      </c>
      <c r="L563" s="212">
        <f t="shared" si="92"/>
        <v>5295625</v>
      </c>
      <c r="M563" s="602"/>
      <c r="N563" s="675">
        <f>+'Yeşil Defter'!K554</f>
        <v>0</v>
      </c>
      <c r="O563" s="675">
        <f>+'Yeşil Defter'!L554</f>
        <v>0</v>
      </c>
      <c r="P563" s="675">
        <f>+'Yeşil Defter'!M554</f>
        <v>0</v>
      </c>
      <c r="Q563" s="212"/>
      <c r="R563" s="605">
        <f t="shared" si="93"/>
        <v>0</v>
      </c>
      <c r="S563" s="225">
        <f t="shared" si="78"/>
        <v>0</v>
      </c>
      <c r="T563" s="237">
        <f t="shared" si="94"/>
        <v>0</v>
      </c>
      <c r="X563" s="23" t="str">
        <f t="shared" si="88"/>
        <v>-</v>
      </c>
    </row>
    <row r="564" spans="1:24" ht="30" customHeight="1" x14ac:dyDescent="0.3">
      <c r="A564" s="262">
        <v>4</v>
      </c>
      <c r="C564" s="244">
        <v>299</v>
      </c>
      <c r="D564" s="161" t="s">
        <v>810</v>
      </c>
      <c r="E564" s="969" t="s">
        <v>811</v>
      </c>
      <c r="F564" s="970"/>
      <c r="G564" s="971"/>
      <c r="H564" s="544" t="s">
        <v>286</v>
      </c>
      <c r="I564" s="212">
        <v>4551786</v>
      </c>
      <c r="J564" s="605"/>
      <c r="K564" s="212">
        <v>1</v>
      </c>
      <c r="L564" s="212">
        <f t="shared" si="92"/>
        <v>4551786</v>
      </c>
      <c r="M564" s="602"/>
      <c r="N564" s="675">
        <f>+'Yeşil Defter'!K555</f>
        <v>0</v>
      </c>
      <c r="O564" s="675">
        <f>+'Yeşil Defter'!L555</f>
        <v>0</v>
      </c>
      <c r="P564" s="675">
        <f>+'Yeşil Defter'!M555</f>
        <v>0</v>
      </c>
      <c r="Q564" s="212"/>
      <c r="R564" s="605">
        <f t="shared" si="93"/>
        <v>0</v>
      </c>
      <c r="S564" s="225">
        <f t="shared" si="78"/>
        <v>0</v>
      </c>
      <c r="T564" s="237">
        <f t="shared" si="94"/>
        <v>0</v>
      </c>
      <c r="X564" s="23" t="str">
        <f t="shared" si="88"/>
        <v>-</v>
      </c>
    </row>
    <row r="565" spans="1:24" ht="30" customHeight="1" x14ac:dyDescent="0.3">
      <c r="A565" s="262">
        <v>4</v>
      </c>
      <c r="C565" s="244">
        <v>300</v>
      </c>
      <c r="D565" s="161" t="s">
        <v>812</v>
      </c>
      <c r="E565" s="969" t="s">
        <v>1165</v>
      </c>
      <c r="F565" s="970"/>
      <c r="G565" s="971"/>
      <c r="H565" s="544" t="s">
        <v>286</v>
      </c>
      <c r="I565" s="212">
        <v>6679425</v>
      </c>
      <c r="J565" s="605"/>
      <c r="K565" s="212">
        <v>1</v>
      </c>
      <c r="L565" s="212">
        <f t="shared" si="92"/>
        <v>6679425</v>
      </c>
      <c r="M565" s="602"/>
      <c r="N565" s="675">
        <f>+'Yeşil Defter'!K556</f>
        <v>0</v>
      </c>
      <c r="O565" s="675">
        <f>+'Yeşil Defter'!L556</f>
        <v>0</v>
      </c>
      <c r="P565" s="675">
        <f>+'Yeşil Defter'!M556</f>
        <v>0</v>
      </c>
      <c r="Q565" s="212"/>
      <c r="R565" s="605">
        <f t="shared" si="93"/>
        <v>0</v>
      </c>
      <c r="S565" s="225">
        <f t="shared" si="78"/>
        <v>0</v>
      </c>
      <c r="T565" s="237">
        <f t="shared" si="94"/>
        <v>0</v>
      </c>
      <c r="X565" s="23" t="str">
        <f t="shared" si="88"/>
        <v>-</v>
      </c>
    </row>
    <row r="566" spans="1:24" ht="30" customHeight="1" x14ac:dyDescent="0.3">
      <c r="A566" s="262">
        <v>4</v>
      </c>
      <c r="C566" s="244">
        <v>301</v>
      </c>
      <c r="D566" s="161" t="s">
        <v>813</v>
      </c>
      <c r="E566" s="969" t="s">
        <v>1173</v>
      </c>
      <c r="F566" s="970"/>
      <c r="G566" s="971"/>
      <c r="H566" s="544" t="s">
        <v>286</v>
      </c>
      <c r="I566" s="212">
        <v>7293625</v>
      </c>
      <c r="J566" s="605"/>
      <c r="K566" s="212">
        <v>1</v>
      </c>
      <c r="L566" s="212">
        <f t="shared" si="92"/>
        <v>7293625</v>
      </c>
      <c r="M566" s="602"/>
      <c r="N566" s="675">
        <f>+'Yeşil Defter'!K557</f>
        <v>0</v>
      </c>
      <c r="O566" s="675">
        <f>+'Yeşil Defter'!L557</f>
        <v>0</v>
      </c>
      <c r="P566" s="675">
        <f>+'Yeşil Defter'!M557</f>
        <v>0</v>
      </c>
      <c r="Q566" s="212"/>
      <c r="R566" s="605">
        <f t="shared" si="93"/>
        <v>0</v>
      </c>
      <c r="S566" s="225">
        <f t="shared" si="78"/>
        <v>0</v>
      </c>
      <c r="T566" s="237">
        <f t="shared" si="94"/>
        <v>0</v>
      </c>
      <c r="X566" s="23" t="str">
        <f t="shared" si="88"/>
        <v>-</v>
      </c>
    </row>
    <row r="567" spans="1:24" ht="30" customHeight="1" x14ac:dyDescent="0.3">
      <c r="A567" s="262">
        <v>4</v>
      </c>
      <c r="C567" s="244">
        <v>302</v>
      </c>
      <c r="D567" s="161" t="s">
        <v>814</v>
      </c>
      <c r="E567" s="969" t="s">
        <v>1181</v>
      </c>
      <c r="F567" s="970"/>
      <c r="G567" s="971"/>
      <c r="H567" s="544" t="s">
        <v>286</v>
      </c>
      <c r="I567" s="212">
        <v>7677500</v>
      </c>
      <c r="J567" s="605"/>
      <c r="K567" s="212">
        <v>1</v>
      </c>
      <c r="L567" s="212">
        <f t="shared" si="92"/>
        <v>7677500</v>
      </c>
      <c r="M567" s="602"/>
      <c r="N567" s="675">
        <f>+'Yeşil Defter'!K558</f>
        <v>0</v>
      </c>
      <c r="O567" s="675">
        <f>+'Yeşil Defter'!L558</f>
        <v>0</v>
      </c>
      <c r="P567" s="675">
        <f>+'Yeşil Defter'!M558</f>
        <v>0</v>
      </c>
      <c r="Q567" s="212"/>
      <c r="R567" s="605">
        <f t="shared" si="93"/>
        <v>0</v>
      </c>
      <c r="S567" s="225">
        <f t="shared" si="78"/>
        <v>0</v>
      </c>
      <c r="T567" s="237">
        <f t="shared" si="94"/>
        <v>0</v>
      </c>
      <c r="X567" s="23" t="str">
        <f t="shared" si="88"/>
        <v>-</v>
      </c>
    </row>
    <row r="568" spans="1:24" ht="30" customHeight="1" x14ac:dyDescent="0.3">
      <c r="A568" s="262">
        <v>4</v>
      </c>
      <c r="C568" s="244">
        <v>303</v>
      </c>
      <c r="D568" s="161" t="s">
        <v>815</v>
      </c>
      <c r="E568" s="969" t="s">
        <v>1189</v>
      </c>
      <c r="F568" s="970"/>
      <c r="G568" s="971"/>
      <c r="H568" s="544" t="s">
        <v>286</v>
      </c>
      <c r="I568" s="212">
        <v>6909750</v>
      </c>
      <c r="J568" s="605"/>
      <c r="K568" s="212">
        <v>1</v>
      </c>
      <c r="L568" s="212">
        <f t="shared" si="92"/>
        <v>6909750</v>
      </c>
      <c r="M568" s="602"/>
      <c r="N568" s="675">
        <f>+'Yeşil Defter'!K571</f>
        <v>0</v>
      </c>
      <c r="O568" s="675">
        <f>+'Yeşil Defter'!L571</f>
        <v>0</v>
      </c>
      <c r="P568" s="675">
        <f>+'Yeşil Defter'!M571</f>
        <v>0</v>
      </c>
      <c r="Q568" s="212"/>
      <c r="R568" s="605">
        <f t="shared" si="93"/>
        <v>0</v>
      </c>
      <c r="S568" s="225">
        <f t="shared" si="78"/>
        <v>0</v>
      </c>
      <c r="T568" s="237">
        <f t="shared" si="94"/>
        <v>0</v>
      </c>
      <c r="X568" s="23" t="str">
        <f t="shared" si="88"/>
        <v>-</v>
      </c>
    </row>
    <row r="569" spans="1:24" ht="30" customHeight="1" x14ac:dyDescent="0.3">
      <c r="A569" s="262">
        <v>4</v>
      </c>
      <c r="C569" s="244">
        <v>304</v>
      </c>
      <c r="D569" s="161" t="s">
        <v>816</v>
      </c>
      <c r="E569" s="969" t="s">
        <v>817</v>
      </c>
      <c r="F569" s="970"/>
      <c r="G569" s="971"/>
      <c r="H569" s="544" t="s">
        <v>286</v>
      </c>
      <c r="I569" s="212">
        <v>7293625</v>
      </c>
      <c r="J569" s="605"/>
      <c r="K569" s="212">
        <v>1</v>
      </c>
      <c r="L569" s="212">
        <f t="shared" si="92"/>
        <v>7293625</v>
      </c>
      <c r="M569" s="602"/>
      <c r="N569" s="675">
        <f>+'Yeşil Defter'!K572</f>
        <v>0</v>
      </c>
      <c r="O569" s="675">
        <f>+'Yeşil Defter'!L572</f>
        <v>0</v>
      </c>
      <c r="P569" s="675">
        <f>+'Yeşil Defter'!M572</f>
        <v>0</v>
      </c>
      <c r="Q569" s="212"/>
      <c r="R569" s="605">
        <f t="shared" si="93"/>
        <v>0</v>
      </c>
      <c r="S569" s="225">
        <f t="shared" si="78"/>
        <v>0</v>
      </c>
      <c r="T569" s="237">
        <f t="shared" si="94"/>
        <v>0</v>
      </c>
      <c r="X569" s="23" t="str">
        <f t="shared" si="88"/>
        <v>-</v>
      </c>
    </row>
    <row r="570" spans="1:24" ht="30" customHeight="1" x14ac:dyDescent="0.3">
      <c r="A570" s="262">
        <v>4</v>
      </c>
      <c r="C570" s="244">
        <v>305</v>
      </c>
      <c r="D570" s="161" t="s">
        <v>818</v>
      </c>
      <c r="E570" s="969" t="s">
        <v>819</v>
      </c>
      <c r="F570" s="970"/>
      <c r="G570" s="971"/>
      <c r="H570" s="544" t="s">
        <v>286</v>
      </c>
      <c r="I570" s="212">
        <v>38724553</v>
      </c>
      <c r="J570" s="605"/>
      <c r="K570" s="212">
        <v>1</v>
      </c>
      <c r="L570" s="212">
        <f t="shared" si="92"/>
        <v>38724553</v>
      </c>
      <c r="M570" s="602"/>
      <c r="N570" s="675">
        <f>+'Yeşil Defter'!K573</f>
        <v>0</v>
      </c>
      <c r="O570" s="675">
        <f>+'Yeşil Defter'!L573</f>
        <v>0</v>
      </c>
      <c r="P570" s="675">
        <f>+'Yeşil Defter'!M573</f>
        <v>0</v>
      </c>
      <c r="Q570" s="212"/>
      <c r="R570" s="605">
        <f t="shared" si="93"/>
        <v>0</v>
      </c>
      <c r="S570" s="225">
        <f t="shared" si="78"/>
        <v>0</v>
      </c>
      <c r="T570" s="237">
        <f t="shared" si="94"/>
        <v>0</v>
      </c>
      <c r="X570" s="23" t="str">
        <f t="shared" si="88"/>
        <v>-</v>
      </c>
    </row>
    <row r="571" spans="1:24" ht="30" customHeight="1" x14ac:dyDescent="0.3">
      <c r="A571" s="262">
        <v>4</v>
      </c>
      <c r="C571" s="244">
        <v>306</v>
      </c>
      <c r="D571" s="161" t="s">
        <v>820</v>
      </c>
      <c r="E571" s="969" t="s">
        <v>821</v>
      </c>
      <c r="F571" s="970"/>
      <c r="G571" s="971"/>
      <c r="H571" s="544" t="s">
        <v>286</v>
      </c>
      <c r="I571" s="212">
        <v>4556411</v>
      </c>
      <c r="J571" s="605"/>
      <c r="K571" s="212">
        <v>1</v>
      </c>
      <c r="L571" s="212">
        <f t="shared" si="92"/>
        <v>4556411</v>
      </c>
      <c r="M571" s="602"/>
      <c r="N571" s="675">
        <f>+'Yeşil Defter'!K574</f>
        <v>0</v>
      </c>
      <c r="O571" s="675">
        <f>+'Yeşil Defter'!L574</f>
        <v>0</v>
      </c>
      <c r="P571" s="675">
        <f>+'Yeşil Defter'!M574</f>
        <v>0</v>
      </c>
      <c r="Q571" s="212"/>
      <c r="R571" s="605">
        <f t="shared" si="93"/>
        <v>0</v>
      </c>
      <c r="S571" s="225">
        <f t="shared" si="78"/>
        <v>0</v>
      </c>
      <c r="T571" s="237">
        <f t="shared" si="94"/>
        <v>0</v>
      </c>
      <c r="X571" s="23" t="str">
        <f t="shared" si="88"/>
        <v>-</v>
      </c>
    </row>
    <row r="572" spans="1:24" ht="30" customHeight="1" x14ac:dyDescent="0.3">
      <c r="A572" s="262">
        <v>4</v>
      </c>
      <c r="C572" s="244">
        <v>307</v>
      </c>
      <c r="D572" s="161" t="s">
        <v>822</v>
      </c>
      <c r="E572" s="969" t="s">
        <v>1166</v>
      </c>
      <c r="F572" s="970"/>
      <c r="G572" s="971"/>
      <c r="H572" s="544" t="s">
        <v>286</v>
      </c>
      <c r="I572" s="212">
        <v>3358141</v>
      </c>
      <c r="J572" s="605"/>
      <c r="K572" s="212">
        <v>1</v>
      </c>
      <c r="L572" s="212">
        <f t="shared" si="92"/>
        <v>3358141</v>
      </c>
      <c r="M572" s="602"/>
      <c r="N572" s="675">
        <f>+'Yeşil Defter'!K575</f>
        <v>0</v>
      </c>
      <c r="O572" s="675">
        <f>+'Yeşil Defter'!L575</f>
        <v>0</v>
      </c>
      <c r="P572" s="675">
        <f>+'Yeşil Defter'!M575</f>
        <v>0</v>
      </c>
      <c r="Q572" s="212"/>
      <c r="R572" s="605">
        <f t="shared" si="93"/>
        <v>0</v>
      </c>
      <c r="S572" s="225">
        <f t="shared" si="78"/>
        <v>0</v>
      </c>
      <c r="T572" s="237">
        <f t="shared" si="94"/>
        <v>0</v>
      </c>
      <c r="X572" s="23" t="str">
        <f t="shared" si="88"/>
        <v>-</v>
      </c>
    </row>
    <row r="573" spans="1:24" ht="30" customHeight="1" x14ac:dyDescent="0.3">
      <c r="A573" s="262">
        <v>4</v>
      </c>
      <c r="C573" s="244">
        <v>308</v>
      </c>
      <c r="D573" s="161" t="s">
        <v>823</v>
      </c>
      <c r="E573" s="969" t="s">
        <v>1174</v>
      </c>
      <c r="F573" s="970"/>
      <c r="G573" s="971"/>
      <c r="H573" s="544" t="s">
        <v>286</v>
      </c>
      <c r="I573" s="212">
        <v>3666936</v>
      </c>
      <c r="J573" s="605"/>
      <c r="K573" s="212">
        <v>1</v>
      </c>
      <c r="L573" s="212">
        <f t="shared" si="92"/>
        <v>3666936</v>
      </c>
      <c r="M573" s="602"/>
      <c r="N573" s="675">
        <f>+'Yeşil Defter'!K576</f>
        <v>0</v>
      </c>
      <c r="O573" s="675">
        <f>+'Yeşil Defter'!L576</f>
        <v>0</v>
      </c>
      <c r="P573" s="675">
        <f>+'Yeşil Defter'!M576</f>
        <v>0</v>
      </c>
      <c r="Q573" s="212"/>
      <c r="R573" s="605">
        <f t="shared" si="93"/>
        <v>0</v>
      </c>
      <c r="S573" s="225">
        <f t="shared" si="78"/>
        <v>0</v>
      </c>
      <c r="T573" s="237">
        <f t="shared" si="94"/>
        <v>0</v>
      </c>
      <c r="X573" s="23" t="str">
        <f t="shared" si="88"/>
        <v>-</v>
      </c>
    </row>
    <row r="574" spans="1:24" ht="30" customHeight="1" x14ac:dyDescent="0.3">
      <c r="A574" s="262">
        <v>4</v>
      </c>
      <c r="C574" s="244">
        <v>309</v>
      </c>
      <c r="D574" s="161" t="s">
        <v>824</v>
      </c>
      <c r="E574" s="969" t="s">
        <v>1182</v>
      </c>
      <c r="F574" s="970"/>
      <c r="G574" s="971"/>
      <c r="H574" s="544" t="s">
        <v>286</v>
      </c>
      <c r="I574" s="212">
        <v>3859933</v>
      </c>
      <c r="J574" s="605"/>
      <c r="K574" s="212">
        <v>1</v>
      </c>
      <c r="L574" s="212">
        <f t="shared" si="92"/>
        <v>3859933</v>
      </c>
      <c r="M574" s="602"/>
      <c r="N574" s="675">
        <f>+'Yeşil Defter'!K577</f>
        <v>0</v>
      </c>
      <c r="O574" s="675">
        <f>+'Yeşil Defter'!L577</f>
        <v>0</v>
      </c>
      <c r="P574" s="675">
        <f>+'Yeşil Defter'!M577</f>
        <v>0</v>
      </c>
      <c r="Q574" s="212"/>
      <c r="R574" s="605">
        <f t="shared" si="93"/>
        <v>0</v>
      </c>
      <c r="S574" s="225">
        <f t="shared" si="78"/>
        <v>0</v>
      </c>
      <c r="T574" s="237">
        <f t="shared" si="94"/>
        <v>0</v>
      </c>
      <c r="X574" s="23" t="str">
        <f t="shared" si="88"/>
        <v>-</v>
      </c>
    </row>
    <row r="575" spans="1:24" ht="30" customHeight="1" x14ac:dyDescent="0.3">
      <c r="A575" s="262">
        <v>4</v>
      </c>
      <c r="C575" s="244">
        <v>310</v>
      </c>
      <c r="D575" s="161" t="s">
        <v>825</v>
      </c>
      <c r="E575" s="969" t="s">
        <v>1190</v>
      </c>
      <c r="F575" s="970"/>
      <c r="G575" s="971"/>
      <c r="H575" s="544" t="s">
        <v>286</v>
      </c>
      <c r="I575" s="212">
        <v>3473939</v>
      </c>
      <c r="J575" s="605"/>
      <c r="K575" s="212">
        <v>1</v>
      </c>
      <c r="L575" s="212">
        <f t="shared" si="92"/>
        <v>3473939</v>
      </c>
      <c r="M575" s="602"/>
      <c r="N575" s="675">
        <f>+'Yeşil Defter'!K578</f>
        <v>0</v>
      </c>
      <c r="O575" s="675">
        <f>+'Yeşil Defter'!L578</f>
        <v>0</v>
      </c>
      <c r="P575" s="675">
        <f>+'Yeşil Defter'!M578</f>
        <v>0</v>
      </c>
      <c r="Q575" s="212"/>
      <c r="R575" s="605">
        <f t="shared" si="93"/>
        <v>0</v>
      </c>
      <c r="S575" s="225">
        <f t="shared" si="78"/>
        <v>0</v>
      </c>
      <c r="T575" s="237">
        <f t="shared" si="94"/>
        <v>0</v>
      </c>
      <c r="X575" s="23" t="str">
        <f t="shared" si="88"/>
        <v>-</v>
      </c>
    </row>
    <row r="576" spans="1:24" ht="30" customHeight="1" x14ac:dyDescent="0.3">
      <c r="A576" s="262">
        <v>4</v>
      </c>
      <c r="C576" s="244">
        <v>311</v>
      </c>
      <c r="D576" s="161" t="s">
        <v>826</v>
      </c>
      <c r="E576" s="969" t="s">
        <v>827</v>
      </c>
      <c r="F576" s="970"/>
      <c r="G576" s="971"/>
      <c r="H576" s="544" t="s">
        <v>286</v>
      </c>
      <c r="I576" s="212">
        <v>3666936</v>
      </c>
      <c r="J576" s="605"/>
      <c r="K576" s="212">
        <v>1</v>
      </c>
      <c r="L576" s="212">
        <f t="shared" si="92"/>
        <v>3666936</v>
      </c>
      <c r="M576" s="602"/>
      <c r="N576" s="675">
        <f>+'Yeşil Defter'!K579</f>
        <v>0</v>
      </c>
      <c r="O576" s="675">
        <f>+'Yeşil Defter'!L579</f>
        <v>0</v>
      </c>
      <c r="P576" s="675">
        <f>+'Yeşil Defter'!M579</f>
        <v>0</v>
      </c>
      <c r="Q576" s="212"/>
      <c r="R576" s="605">
        <f t="shared" si="93"/>
        <v>0</v>
      </c>
      <c r="S576" s="225">
        <f t="shared" si="78"/>
        <v>0</v>
      </c>
      <c r="T576" s="237">
        <f t="shared" si="94"/>
        <v>0</v>
      </c>
      <c r="X576" s="23" t="str">
        <f t="shared" si="88"/>
        <v>-</v>
      </c>
    </row>
    <row r="577" spans="1:24" ht="30" customHeight="1" x14ac:dyDescent="0.3">
      <c r="A577" s="262">
        <v>4</v>
      </c>
      <c r="C577" s="244">
        <v>312</v>
      </c>
      <c r="D577" s="161" t="s">
        <v>828</v>
      </c>
      <c r="E577" s="969" t="s">
        <v>829</v>
      </c>
      <c r="F577" s="970"/>
      <c r="G577" s="971"/>
      <c r="H577" s="544" t="s">
        <v>286</v>
      </c>
      <c r="I577" s="212">
        <v>2070501</v>
      </c>
      <c r="J577" s="605"/>
      <c r="K577" s="212">
        <v>1</v>
      </c>
      <c r="L577" s="212">
        <f t="shared" si="92"/>
        <v>2070501</v>
      </c>
      <c r="M577" s="602"/>
      <c r="N577" s="675">
        <f>+'Yeşil Defter'!K580</f>
        <v>0</v>
      </c>
      <c r="O577" s="675">
        <f>+'Yeşil Defter'!L580</f>
        <v>0</v>
      </c>
      <c r="P577" s="675">
        <f>+'Yeşil Defter'!M580</f>
        <v>0</v>
      </c>
      <c r="Q577" s="212"/>
      <c r="R577" s="605">
        <f t="shared" si="93"/>
        <v>0</v>
      </c>
      <c r="S577" s="225">
        <f t="shared" si="78"/>
        <v>0</v>
      </c>
      <c r="T577" s="237">
        <f t="shared" si="94"/>
        <v>0</v>
      </c>
      <c r="X577" s="23" t="str">
        <f t="shared" si="88"/>
        <v>-</v>
      </c>
    </row>
    <row r="578" spans="1:24" ht="30" customHeight="1" x14ac:dyDescent="0.3">
      <c r="A578" s="262">
        <v>4</v>
      </c>
      <c r="C578" s="244">
        <v>313</v>
      </c>
      <c r="D578" s="161" t="s">
        <v>830</v>
      </c>
      <c r="E578" s="969" t="s">
        <v>1167</v>
      </c>
      <c r="F578" s="970"/>
      <c r="G578" s="971"/>
      <c r="H578" s="544" t="s">
        <v>286</v>
      </c>
      <c r="I578" s="212">
        <v>5740604</v>
      </c>
      <c r="J578" s="605"/>
      <c r="K578" s="212">
        <v>1</v>
      </c>
      <c r="L578" s="212">
        <f t="shared" si="92"/>
        <v>5740604</v>
      </c>
      <c r="M578" s="602"/>
      <c r="N578" s="675">
        <f>+'Yeşil Defter'!K581</f>
        <v>0</v>
      </c>
      <c r="O578" s="675">
        <f>+'Yeşil Defter'!L581</f>
        <v>0</v>
      </c>
      <c r="P578" s="675">
        <f>+'Yeşil Defter'!M581</f>
        <v>0</v>
      </c>
      <c r="Q578" s="212"/>
      <c r="R578" s="605">
        <f t="shared" si="93"/>
        <v>0</v>
      </c>
      <c r="S578" s="225">
        <f t="shared" si="78"/>
        <v>0</v>
      </c>
      <c r="T578" s="237">
        <f t="shared" si="94"/>
        <v>0</v>
      </c>
      <c r="X578" s="23" t="str">
        <f t="shared" si="88"/>
        <v>-</v>
      </c>
    </row>
    <row r="579" spans="1:24" ht="30" customHeight="1" x14ac:dyDescent="0.3">
      <c r="A579" s="262">
        <v>4</v>
      </c>
      <c r="C579" s="244">
        <v>314</v>
      </c>
      <c r="D579" s="161" t="s">
        <v>831</v>
      </c>
      <c r="E579" s="969" t="s">
        <v>1175</v>
      </c>
      <c r="F579" s="970"/>
      <c r="G579" s="971"/>
      <c r="H579" s="544" t="s">
        <v>286</v>
      </c>
      <c r="I579" s="212">
        <v>6268475</v>
      </c>
      <c r="J579" s="605"/>
      <c r="K579" s="212">
        <v>1</v>
      </c>
      <c r="L579" s="212">
        <f t="shared" si="92"/>
        <v>6268475</v>
      </c>
      <c r="M579" s="602"/>
      <c r="N579" s="675">
        <f>+'Yeşil Defter'!K582</f>
        <v>0</v>
      </c>
      <c r="O579" s="675">
        <f>+'Yeşil Defter'!L582</f>
        <v>0</v>
      </c>
      <c r="P579" s="675">
        <f>+'Yeşil Defter'!M582</f>
        <v>0</v>
      </c>
      <c r="Q579" s="212"/>
      <c r="R579" s="605">
        <f t="shared" si="93"/>
        <v>0</v>
      </c>
      <c r="S579" s="225">
        <f t="shared" si="78"/>
        <v>0</v>
      </c>
      <c r="T579" s="237">
        <f t="shared" si="94"/>
        <v>0</v>
      </c>
      <c r="X579" s="23" t="str">
        <f t="shared" si="88"/>
        <v>-</v>
      </c>
    </row>
    <row r="580" spans="1:24" ht="40.049999999999997" customHeight="1" x14ac:dyDescent="0.3">
      <c r="A580" s="262" t="s">
        <v>1242</v>
      </c>
      <c r="C580" s="258"/>
      <c r="D580" s="258"/>
      <c r="E580" s="972" t="s">
        <v>33</v>
      </c>
      <c r="F580" s="972"/>
      <c r="G580" s="972"/>
      <c r="H580" s="973" t="s">
        <v>29</v>
      </c>
      <c r="I580" s="973"/>
      <c r="J580" s="973"/>
      <c r="K580" s="973"/>
      <c r="L580" s="973"/>
      <c r="M580" s="549"/>
      <c r="N580" s="973" t="s">
        <v>22</v>
      </c>
      <c r="O580" s="973"/>
      <c r="P580" s="973"/>
      <c r="Q580" s="973"/>
      <c r="R580" s="973"/>
      <c r="S580" s="973"/>
      <c r="T580" s="973"/>
      <c r="X580" s="23"/>
    </row>
    <row r="581" spans="1:24" ht="19.95" customHeight="1" x14ac:dyDescent="0.3">
      <c r="A581" s="262" t="s">
        <v>1242</v>
      </c>
      <c r="D581" s="28"/>
      <c r="E581" s="974" t="s">
        <v>1214</v>
      </c>
      <c r="F581" s="974"/>
      <c r="G581" s="974"/>
      <c r="H581" s="975" t="s">
        <v>38</v>
      </c>
      <c r="I581" s="975"/>
      <c r="J581" s="975"/>
      <c r="K581" s="975"/>
      <c r="L581" s="975"/>
      <c r="M581" s="562"/>
      <c r="N581" s="975" t="s">
        <v>1437</v>
      </c>
      <c r="O581" s="975"/>
      <c r="P581" s="975"/>
      <c r="Q581" s="975"/>
      <c r="R581" s="975"/>
      <c r="S581" s="975"/>
      <c r="T581" s="975"/>
      <c r="X581" s="23"/>
    </row>
    <row r="582" spans="1:24" ht="19.95" customHeight="1" x14ac:dyDescent="0.3">
      <c r="A582" s="262" t="s">
        <v>1242</v>
      </c>
      <c r="C582" s="228"/>
      <c r="D582" s="228"/>
      <c r="E582" s="561"/>
      <c r="F582" s="561"/>
      <c r="G582" s="561"/>
      <c r="H582" s="975" t="s">
        <v>32</v>
      </c>
      <c r="I582" s="975"/>
      <c r="J582" s="562"/>
      <c r="K582" s="975" t="s">
        <v>1407</v>
      </c>
      <c r="L582" s="975"/>
      <c r="M582" s="260"/>
      <c r="N582" s="975"/>
      <c r="O582" s="975"/>
      <c r="P582" s="975"/>
      <c r="Q582" s="975"/>
      <c r="R582" s="975"/>
      <c r="S582" s="975"/>
      <c r="T582" s="975"/>
      <c r="X582" s="23"/>
    </row>
    <row r="583" spans="1:24" ht="19.95" customHeight="1" x14ac:dyDescent="0.3">
      <c r="A583" s="262" t="s">
        <v>1242</v>
      </c>
      <c r="C583" s="228"/>
      <c r="D583" s="228"/>
      <c r="E583" s="561"/>
      <c r="F583" s="561"/>
      <c r="G583" s="561"/>
      <c r="H583" s="976" t="s">
        <v>94</v>
      </c>
      <c r="I583" s="976"/>
      <c r="J583" s="623"/>
      <c r="K583" s="976" t="s">
        <v>94</v>
      </c>
      <c r="L583" s="976"/>
      <c r="M583" s="260"/>
      <c r="N583" s="975"/>
      <c r="O583" s="975"/>
      <c r="P583" s="975"/>
      <c r="Q583" s="975"/>
      <c r="R583" s="975"/>
      <c r="S583" s="975"/>
      <c r="T583" s="975"/>
      <c r="X583" s="23"/>
    </row>
    <row r="584" spans="1:24" ht="19.95" customHeight="1" x14ac:dyDescent="0.3">
      <c r="A584" s="262" t="s">
        <v>1242</v>
      </c>
      <c r="C584" s="228"/>
      <c r="D584" s="228"/>
      <c r="E584" s="561"/>
      <c r="F584" s="561"/>
      <c r="G584" s="561"/>
      <c r="H584" s="976"/>
      <c r="I584" s="976"/>
      <c r="J584" s="623"/>
      <c r="K584" s="976"/>
      <c r="L584" s="976"/>
      <c r="M584" s="261"/>
      <c r="N584" s="260"/>
      <c r="O584" s="260"/>
      <c r="P584" s="260"/>
      <c r="Q584" s="260"/>
      <c r="R584" s="260"/>
      <c r="S584" s="260"/>
      <c r="T584" s="260"/>
      <c r="X584" s="23"/>
    </row>
    <row r="585" spans="1:24" ht="19.95" customHeight="1" x14ac:dyDescent="0.3">
      <c r="A585" s="262" t="s">
        <v>1242</v>
      </c>
      <c r="C585" s="228"/>
      <c r="D585" s="228"/>
      <c r="E585" s="561"/>
      <c r="F585" s="561"/>
      <c r="G585" s="561"/>
      <c r="H585" s="975"/>
      <c r="I585" s="975"/>
      <c r="J585" s="562"/>
      <c r="K585" s="975"/>
      <c r="L585" s="975"/>
      <c r="M585" s="562"/>
      <c r="N585" s="968" t="s">
        <v>52</v>
      </c>
      <c r="O585" s="968"/>
      <c r="P585" s="968"/>
      <c r="Q585" s="968"/>
      <c r="R585" s="968"/>
      <c r="S585" s="968"/>
      <c r="T585" s="968"/>
      <c r="X585" s="23"/>
    </row>
    <row r="586" spans="1:24" ht="19.95" customHeight="1" x14ac:dyDescent="0.3">
      <c r="A586" s="262" t="s">
        <v>1242</v>
      </c>
      <c r="C586" s="228"/>
      <c r="D586" s="228"/>
      <c r="E586" s="561"/>
      <c r="F586" s="561"/>
      <c r="G586" s="561"/>
      <c r="H586" s="976" t="s">
        <v>1220</v>
      </c>
      <c r="I586" s="976"/>
      <c r="J586" s="976"/>
      <c r="K586" s="976"/>
      <c r="L586" s="976"/>
      <c r="M586" s="623"/>
      <c r="N586" s="968" t="s">
        <v>1485</v>
      </c>
      <c r="O586" s="968"/>
      <c r="P586" s="968"/>
      <c r="Q586" s="968"/>
      <c r="R586" s="968"/>
      <c r="S586" s="968"/>
      <c r="T586" s="968"/>
      <c r="X586" s="23"/>
    </row>
    <row r="587" spans="1:24" ht="19.95" customHeight="1" x14ac:dyDescent="0.3">
      <c r="A587" s="262" t="s">
        <v>1242</v>
      </c>
      <c r="C587" s="228"/>
      <c r="D587" s="228"/>
      <c r="E587" s="561"/>
      <c r="F587" s="561"/>
      <c r="G587" s="561"/>
      <c r="H587" s="976"/>
      <c r="I587" s="976"/>
      <c r="J587" s="976"/>
      <c r="K587" s="976"/>
      <c r="L587" s="976"/>
      <c r="M587" s="623"/>
      <c r="N587" s="968"/>
      <c r="O587" s="968"/>
      <c r="P587" s="968"/>
      <c r="Q587" s="968"/>
      <c r="R587" s="968"/>
      <c r="S587" s="968"/>
      <c r="T587" s="968"/>
      <c r="X587" s="23"/>
    </row>
    <row r="588" spans="1:24" ht="19.95" customHeight="1" x14ac:dyDescent="0.3">
      <c r="A588" s="262" t="s">
        <v>1242</v>
      </c>
      <c r="C588" s="228"/>
      <c r="D588" s="228"/>
      <c r="E588" s="561"/>
      <c r="F588" s="561"/>
      <c r="G588" s="561"/>
      <c r="H588" s="228"/>
      <c r="I588" s="260"/>
      <c r="J588" s="260"/>
      <c r="K588" s="260"/>
      <c r="L588" s="260"/>
      <c r="M588" s="260"/>
      <c r="N588" s="260"/>
      <c r="O588" s="260"/>
      <c r="P588" s="260"/>
      <c r="Q588" s="260"/>
      <c r="R588" s="260"/>
      <c r="S588" s="624"/>
      <c r="T588" s="260"/>
      <c r="X588" s="23"/>
    </row>
    <row r="589" spans="1:24" ht="19.95" customHeight="1" x14ac:dyDescent="0.3">
      <c r="A589" s="262" t="s">
        <v>1242</v>
      </c>
      <c r="C589" s="228"/>
      <c r="D589" s="228"/>
      <c r="E589" s="975" t="s">
        <v>1215</v>
      </c>
      <c r="F589" s="975"/>
      <c r="G589" s="975"/>
      <c r="H589" s="975" t="s">
        <v>1348</v>
      </c>
      <c r="I589" s="975"/>
      <c r="J589" s="975"/>
      <c r="K589" s="975"/>
      <c r="L589" s="975"/>
      <c r="M589" s="562"/>
      <c r="N589" s="977" t="s">
        <v>1219</v>
      </c>
      <c r="O589" s="968"/>
      <c r="P589" s="968"/>
      <c r="Q589" s="968"/>
      <c r="R589" s="968"/>
      <c r="S589" s="968"/>
      <c r="T589" s="968"/>
      <c r="X589" s="23"/>
    </row>
    <row r="590" spans="1:24" ht="19.95" customHeight="1" x14ac:dyDescent="0.3">
      <c r="A590" s="262" t="s">
        <v>1290</v>
      </c>
      <c r="C590" s="228"/>
      <c r="D590" s="228"/>
      <c r="E590" s="975"/>
      <c r="F590" s="975"/>
      <c r="G590" s="975"/>
      <c r="H590" s="975"/>
      <c r="I590" s="975"/>
      <c r="J590" s="975"/>
      <c r="K590" s="975"/>
      <c r="L590" s="975"/>
      <c r="M590" s="562"/>
      <c r="N590" s="968"/>
      <c r="O590" s="968"/>
      <c r="P590" s="968"/>
      <c r="Q590" s="968"/>
      <c r="R590" s="968"/>
      <c r="S590" s="968"/>
      <c r="T590" s="968"/>
      <c r="X590" s="23"/>
    </row>
    <row r="591" spans="1:24" ht="30" customHeight="1" x14ac:dyDescent="0.3">
      <c r="A591" s="262">
        <v>4</v>
      </c>
      <c r="C591" s="255">
        <v>315</v>
      </c>
      <c r="D591" s="256" t="s">
        <v>832</v>
      </c>
      <c r="E591" s="978" t="s">
        <v>1183</v>
      </c>
      <c r="F591" s="979"/>
      <c r="G591" s="980"/>
      <c r="H591" s="546" t="s">
        <v>286</v>
      </c>
      <c r="I591" s="257">
        <v>6598395</v>
      </c>
      <c r="J591" s="606"/>
      <c r="K591" s="257">
        <v>1</v>
      </c>
      <c r="L591" s="257">
        <f t="shared" ref="L591:L613" si="95">+ROUND(I591*K591,2)</f>
        <v>6598395</v>
      </c>
      <c r="M591" s="603"/>
      <c r="N591" s="675">
        <f>+'Yeşil Defter'!K583</f>
        <v>0</v>
      </c>
      <c r="O591" s="675">
        <f>+'Yeşil Defter'!L583</f>
        <v>0</v>
      </c>
      <c r="P591" s="675">
        <f>+'Yeşil Defter'!M583</f>
        <v>0</v>
      </c>
      <c r="Q591" s="257"/>
      <c r="R591" s="606">
        <f t="shared" ref="R591:R613" si="96">+ROUND(K591*N591,2)</f>
        <v>0</v>
      </c>
      <c r="S591" s="247">
        <f t="shared" si="78"/>
        <v>0</v>
      </c>
      <c r="T591" s="248">
        <f t="shared" ref="T591:T613" si="97">+ROUND(K591*P591,2)</f>
        <v>0</v>
      </c>
      <c r="X591" s="23" t="str">
        <f t="shared" si="88"/>
        <v>-</v>
      </c>
    </row>
    <row r="592" spans="1:24" ht="30" customHeight="1" x14ac:dyDescent="0.3">
      <c r="A592" s="262">
        <v>4</v>
      </c>
      <c r="C592" s="244">
        <v>316</v>
      </c>
      <c r="D592" s="161" t="s">
        <v>833</v>
      </c>
      <c r="E592" s="969" t="s">
        <v>1191</v>
      </c>
      <c r="F592" s="970"/>
      <c r="G592" s="971"/>
      <c r="H592" s="544" t="s">
        <v>286</v>
      </c>
      <c r="I592" s="212">
        <v>5938556</v>
      </c>
      <c r="J592" s="605"/>
      <c r="K592" s="212">
        <v>1</v>
      </c>
      <c r="L592" s="212">
        <f t="shared" si="95"/>
        <v>5938556</v>
      </c>
      <c r="M592" s="602"/>
      <c r="N592" s="675">
        <f>+'Yeşil Defter'!K584</f>
        <v>0</v>
      </c>
      <c r="O592" s="675">
        <f>+'Yeşil Defter'!L584</f>
        <v>0</v>
      </c>
      <c r="P592" s="675">
        <f>+'Yeşil Defter'!M584</f>
        <v>0</v>
      </c>
      <c r="Q592" s="212"/>
      <c r="R592" s="605">
        <f t="shared" si="96"/>
        <v>0</v>
      </c>
      <c r="S592" s="225">
        <f t="shared" si="78"/>
        <v>0</v>
      </c>
      <c r="T592" s="237">
        <f t="shared" si="97"/>
        <v>0</v>
      </c>
      <c r="X592" s="23" t="str">
        <f t="shared" si="88"/>
        <v>-</v>
      </c>
    </row>
    <row r="593" spans="1:24" ht="30" customHeight="1" x14ac:dyDescent="0.3">
      <c r="A593" s="262">
        <v>4</v>
      </c>
      <c r="C593" s="244">
        <v>317</v>
      </c>
      <c r="D593" s="161" t="s">
        <v>834</v>
      </c>
      <c r="E593" s="969" t="s">
        <v>835</v>
      </c>
      <c r="F593" s="970"/>
      <c r="G593" s="971"/>
      <c r="H593" s="544" t="s">
        <v>286</v>
      </c>
      <c r="I593" s="212">
        <v>6268475</v>
      </c>
      <c r="J593" s="605"/>
      <c r="K593" s="212">
        <v>1</v>
      </c>
      <c r="L593" s="212">
        <f t="shared" si="95"/>
        <v>6268475</v>
      </c>
      <c r="M593" s="602"/>
      <c r="N593" s="675">
        <f>+'Yeşil Defter'!K585</f>
        <v>0</v>
      </c>
      <c r="O593" s="675">
        <f>+'Yeşil Defter'!L585</f>
        <v>0</v>
      </c>
      <c r="P593" s="675">
        <f>+'Yeşil Defter'!M585</f>
        <v>0</v>
      </c>
      <c r="Q593" s="212"/>
      <c r="R593" s="605">
        <f t="shared" si="96"/>
        <v>0</v>
      </c>
      <c r="S593" s="225">
        <f t="shared" si="78"/>
        <v>0</v>
      </c>
      <c r="T593" s="237">
        <f t="shared" si="97"/>
        <v>0</v>
      </c>
      <c r="X593" s="23" t="str">
        <f t="shared" ref="X593:X636" si="98">IF(AND(P594&gt;K594*1.2, (P594-K594)*I594 &gt; $L$13*0.01), "RBF", "-")</f>
        <v>-</v>
      </c>
    </row>
    <row r="594" spans="1:24" ht="30" customHeight="1" x14ac:dyDescent="0.3">
      <c r="A594" s="262">
        <v>4</v>
      </c>
      <c r="C594" s="244">
        <v>318</v>
      </c>
      <c r="D594" s="161" t="s">
        <v>836</v>
      </c>
      <c r="E594" s="969" t="s">
        <v>837</v>
      </c>
      <c r="F594" s="970"/>
      <c r="G594" s="971"/>
      <c r="H594" s="544" t="s">
        <v>286</v>
      </c>
      <c r="I594" s="212">
        <v>21648954</v>
      </c>
      <c r="J594" s="605"/>
      <c r="K594" s="212">
        <v>1</v>
      </c>
      <c r="L594" s="212">
        <f t="shared" si="95"/>
        <v>21648954</v>
      </c>
      <c r="M594" s="602"/>
      <c r="N594" s="675">
        <f>+'Yeşil Defter'!K586</f>
        <v>0</v>
      </c>
      <c r="O594" s="675">
        <f>+'Yeşil Defter'!L586</f>
        <v>0</v>
      </c>
      <c r="P594" s="675">
        <f>+'Yeşil Defter'!M586</f>
        <v>0</v>
      </c>
      <c r="Q594" s="212"/>
      <c r="R594" s="605">
        <f t="shared" si="96"/>
        <v>0</v>
      </c>
      <c r="S594" s="225">
        <f t="shared" si="78"/>
        <v>0</v>
      </c>
      <c r="T594" s="237">
        <f t="shared" si="97"/>
        <v>0</v>
      </c>
      <c r="X594" s="23" t="str">
        <f t="shared" si="98"/>
        <v>-</v>
      </c>
    </row>
    <row r="595" spans="1:24" ht="30" customHeight="1" x14ac:dyDescent="0.3">
      <c r="A595" s="262">
        <v>4</v>
      </c>
      <c r="C595" s="244">
        <v>319</v>
      </c>
      <c r="D595" s="161" t="s">
        <v>838</v>
      </c>
      <c r="E595" s="969" t="s">
        <v>1168</v>
      </c>
      <c r="F595" s="970"/>
      <c r="G595" s="971"/>
      <c r="H595" s="544" t="s">
        <v>286</v>
      </c>
      <c r="I595" s="212">
        <v>518000</v>
      </c>
      <c r="J595" s="605"/>
      <c r="K595" s="212">
        <v>1</v>
      </c>
      <c r="L595" s="212">
        <f t="shared" si="95"/>
        <v>518000</v>
      </c>
      <c r="M595" s="602"/>
      <c r="N595" s="675">
        <f>+'Yeşil Defter'!K587</f>
        <v>0</v>
      </c>
      <c r="O595" s="675">
        <f>+'Yeşil Defter'!L587</f>
        <v>0</v>
      </c>
      <c r="P595" s="675">
        <f>+'Yeşil Defter'!M587</f>
        <v>0</v>
      </c>
      <c r="Q595" s="212"/>
      <c r="R595" s="605">
        <f t="shared" si="96"/>
        <v>0</v>
      </c>
      <c r="S595" s="225">
        <f t="shared" si="78"/>
        <v>0</v>
      </c>
      <c r="T595" s="237">
        <f t="shared" si="97"/>
        <v>0</v>
      </c>
      <c r="X595" s="23" t="str">
        <f t="shared" si="98"/>
        <v>-</v>
      </c>
    </row>
    <row r="596" spans="1:24" ht="30" customHeight="1" x14ac:dyDescent="0.3">
      <c r="A596" s="262">
        <v>4</v>
      </c>
      <c r="C596" s="244">
        <v>320</v>
      </c>
      <c r="D596" s="161" t="s">
        <v>839</v>
      </c>
      <c r="E596" s="969" t="s">
        <v>1176</v>
      </c>
      <c r="F596" s="970"/>
      <c r="G596" s="971"/>
      <c r="H596" s="544" t="s">
        <v>286</v>
      </c>
      <c r="I596" s="212">
        <v>518000</v>
      </c>
      <c r="J596" s="605"/>
      <c r="K596" s="212">
        <v>1</v>
      </c>
      <c r="L596" s="212">
        <f t="shared" si="95"/>
        <v>518000</v>
      </c>
      <c r="M596" s="602"/>
      <c r="N596" s="675">
        <f>+'Yeşil Defter'!K588</f>
        <v>0</v>
      </c>
      <c r="O596" s="675">
        <f>+'Yeşil Defter'!L588</f>
        <v>0</v>
      </c>
      <c r="P596" s="675">
        <f>+'Yeşil Defter'!M588</f>
        <v>0</v>
      </c>
      <c r="Q596" s="212"/>
      <c r="R596" s="605">
        <f t="shared" si="96"/>
        <v>0</v>
      </c>
      <c r="S596" s="225">
        <f t="shared" si="78"/>
        <v>0</v>
      </c>
      <c r="T596" s="237">
        <f t="shared" si="97"/>
        <v>0</v>
      </c>
      <c r="X596" s="23" t="str">
        <f t="shared" si="98"/>
        <v>-</v>
      </c>
    </row>
    <row r="597" spans="1:24" ht="30" customHeight="1" x14ac:dyDescent="0.3">
      <c r="A597" s="262">
        <v>4</v>
      </c>
      <c r="C597" s="244">
        <v>321</v>
      </c>
      <c r="D597" s="161" t="s">
        <v>840</v>
      </c>
      <c r="E597" s="969" t="s">
        <v>1184</v>
      </c>
      <c r="F597" s="970"/>
      <c r="G597" s="971"/>
      <c r="H597" s="544" t="s">
        <v>286</v>
      </c>
      <c r="I597" s="212">
        <v>518000</v>
      </c>
      <c r="J597" s="605"/>
      <c r="K597" s="212">
        <v>1</v>
      </c>
      <c r="L597" s="212">
        <f t="shared" si="95"/>
        <v>518000</v>
      </c>
      <c r="M597" s="602"/>
      <c r="N597" s="675">
        <f>+'Yeşil Defter'!K589</f>
        <v>0</v>
      </c>
      <c r="O597" s="675">
        <f>+'Yeşil Defter'!L589</f>
        <v>0</v>
      </c>
      <c r="P597" s="675">
        <f>+'Yeşil Defter'!M589</f>
        <v>0</v>
      </c>
      <c r="Q597" s="212"/>
      <c r="R597" s="605">
        <f t="shared" si="96"/>
        <v>0</v>
      </c>
      <c r="S597" s="225">
        <f t="shared" si="78"/>
        <v>0</v>
      </c>
      <c r="T597" s="237">
        <f t="shared" si="97"/>
        <v>0</v>
      </c>
      <c r="X597" s="23" t="str">
        <f t="shared" si="98"/>
        <v>-</v>
      </c>
    </row>
    <row r="598" spans="1:24" ht="30" customHeight="1" x14ac:dyDescent="0.3">
      <c r="A598" s="262">
        <v>4</v>
      </c>
      <c r="C598" s="244">
        <v>322</v>
      </c>
      <c r="D598" s="161" t="s">
        <v>841</v>
      </c>
      <c r="E598" s="969" t="s">
        <v>1192</v>
      </c>
      <c r="F598" s="970"/>
      <c r="G598" s="971"/>
      <c r="H598" s="544" t="s">
        <v>286</v>
      </c>
      <c r="I598" s="212">
        <v>518000</v>
      </c>
      <c r="J598" s="605"/>
      <c r="K598" s="212">
        <v>1</v>
      </c>
      <c r="L598" s="212">
        <f t="shared" si="95"/>
        <v>518000</v>
      </c>
      <c r="M598" s="602"/>
      <c r="N598" s="675">
        <f>+'Yeşil Defter'!K590</f>
        <v>0</v>
      </c>
      <c r="O598" s="675">
        <f>+'Yeşil Defter'!L590</f>
        <v>0</v>
      </c>
      <c r="P598" s="675">
        <f>+'Yeşil Defter'!M590</f>
        <v>0</v>
      </c>
      <c r="Q598" s="212"/>
      <c r="R598" s="605">
        <f t="shared" si="96"/>
        <v>0</v>
      </c>
      <c r="S598" s="225">
        <f t="shared" si="78"/>
        <v>0</v>
      </c>
      <c r="T598" s="237">
        <f t="shared" si="97"/>
        <v>0</v>
      </c>
      <c r="X598" s="23" t="str">
        <f t="shared" si="98"/>
        <v>-</v>
      </c>
    </row>
    <row r="599" spans="1:24" ht="30" customHeight="1" x14ac:dyDescent="0.3">
      <c r="A599" s="262">
        <v>4</v>
      </c>
      <c r="C599" s="244">
        <v>323</v>
      </c>
      <c r="D599" s="161" t="s">
        <v>842</v>
      </c>
      <c r="E599" s="969" t="s">
        <v>843</v>
      </c>
      <c r="F599" s="970"/>
      <c r="G599" s="971"/>
      <c r="H599" s="544" t="s">
        <v>286</v>
      </c>
      <c r="I599" s="212">
        <v>518000</v>
      </c>
      <c r="J599" s="605"/>
      <c r="K599" s="212">
        <v>1</v>
      </c>
      <c r="L599" s="212">
        <f t="shared" si="95"/>
        <v>518000</v>
      </c>
      <c r="M599" s="602"/>
      <c r="N599" s="675">
        <f>+'Yeşil Defter'!K591</f>
        <v>0</v>
      </c>
      <c r="O599" s="675">
        <f>+'Yeşil Defter'!L591</f>
        <v>0</v>
      </c>
      <c r="P599" s="675">
        <f>+'Yeşil Defter'!M591</f>
        <v>0</v>
      </c>
      <c r="Q599" s="212"/>
      <c r="R599" s="605">
        <f t="shared" si="96"/>
        <v>0</v>
      </c>
      <c r="S599" s="225">
        <f t="shared" ref="S599:S712" si="99">+T599-R599</f>
        <v>0</v>
      </c>
      <c r="T599" s="237">
        <f t="shared" si="97"/>
        <v>0</v>
      </c>
      <c r="X599" s="23" t="str">
        <f t="shared" si="98"/>
        <v>-</v>
      </c>
    </row>
    <row r="600" spans="1:24" ht="30" customHeight="1" x14ac:dyDescent="0.3">
      <c r="A600" s="262">
        <v>4</v>
      </c>
      <c r="C600" s="244">
        <v>324</v>
      </c>
      <c r="D600" s="161" t="s">
        <v>844</v>
      </c>
      <c r="E600" s="969" t="s">
        <v>845</v>
      </c>
      <c r="F600" s="970"/>
      <c r="G600" s="971"/>
      <c r="H600" s="544" t="s">
        <v>286</v>
      </c>
      <c r="I600" s="212">
        <v>971250</v>
      </c>
      <c r="J600" s="605"/>
      <c r="K600" s="212">
        <v>1</v>
      </c>
      <c r="L600" s="212">
        <f t="shared" si="95"/>
        <v>971250</v>
      </c>
      <c r="M600" s="602"/>
      <c r="N600" s="675">
        <f>+'Yeşil Defter'!K592</f>
        <v>0</v>
      </c>
      <c r="O600" s="675">
        <f>+'Yeşil Defter'!L592</f>
        <v>0</v>
      </c>
      <c r="P600" s="675">
        <f>+'Yeşil Defter'!M592</f>
        <v>0</v>
      </c>
      <c r="Q600" s="212"/>
      <c r="R600" s="605">
        <f t="shared" si="96"/>
        <v>0</v>
      </c>
      <c r="S600" s="225">
        <f t="shared" si="99"/>
        <v>0</v>
      </c>
      <c r="T600" s="237">
        <f t="shared" si="97"/>
        <v>0</v>
      </c>
      <c r="X600" s="23" t="str">
        <f t="shared" si="98"/>
        <v>-</v>
      </c>
    </row>
    <row r="601" spans="1:24" ht="30" customHeight="1" x14ac:dyDescent="0.3">
      <c r="A601" s="262">
        <v>4</v>
      </c>
      <c r="C601" s="244">
        <v>325</v>
      </c>
      <c r="D601" s="161" t="s">
        <v>846</v>
      </c>
      <c r="E601" s="969" t="s">
        <v>1169</v>
      </c>
      <c r="F601" s="970"/>
      <c r="G601" s="971"/>
      <c r="H601" s="544" t="s">
        <v>286</v>
      </c>
      <c r="I601" s="212">
        <v>3586388</v>
      </c>
      <c r="J601" s="605"/>
      <c r="K601" s="212">
        <v>1</v>
      </c>
      <c r="L601" s="212">
        <f t="shared" si="95"/>
        <v>3586388</v>
      </c>
      <c r="M601" s="602"/>
      <c r="N601" s="675">
        <f>+'Yeşil Defter'!K593</f>
        <v>0</v>
      </c>
      <c r="O601" s="675">
        <f>+'Yeşil Defter'!L593</f>
        <v>0</v>
      </c>
      <c r="P601" s="675">
        <f>+'Yeşil Defter'!M593</f>
        <v>0</v>
      </c>
      <c r="Q601" s="212"/>
      <c r="R601" s="605">
        <f t="shared" si="96"/>
        <v>0</v>
      </c>
      <c r="S601" s="225">
        <f t="shared" si="99"/>
        <v>0</v>
      </c>
      <c r="T601" s="237">
        <f t="shared" si="97"/>
        <v>0</v>
      </c>
      <c r="X601" s="23" t="str">
        <f t="shared" si="98"/>
        <v>-</v>
      </c>
    </row>
    <row r="602" spans="1:24" ht="30" customHeight="1" x14ac:dyDescent="0.3">
      <c r="A602" s="262">
        <v>4</v>
      </c>
      <c r="C602" s="244">
        <v>326</v>
      </c>
      <c r="D602" s="161" t="s">
        <v>847</v>
      </c>
      <c r="E602" s="969" t="s">
        <v>1177</v>
      </c>
      <c r="F602" s="970"/>
      <c r="G602" s="971"/>
      <c r="H602" s="544" t="s">
        <v>286</v>
      </c>
      <c r="I602" s="212">
        <v>3916171</v>
      </c>
      <c r="J602" s="605"/>
      <c r="K602" s="212">
        <v>1</v>
      </c>
      <c r="L602" s="212">
        <f t="shared" si="95"/>
        <v>3916171</v>
      </c>
      <c r="M602" s="602"/>
      <c r="N602" s="675">
        <f>+'Yeşil Defter'!K594</f>
        <v>0</v>
      </c>
      <c r="O602" s="675">
        <f>+'Yeşil Defter'!L594</f>
        <v>0</v>
      </c>
      <c r="P602" s="675">
        <f>+'Yeşil Defter'!M594</f>
        <v>0</v>
      </c>
      <c r="Q602" s="212"/>
      <c r="R602" s="605">
        <f t="shared" si="96"/>
        <v>0</v>
      </c>
      <c r="S602" s="225">
        <f t="shared" si="99"/>
        <v>0</v>
      </c>
      <c r="T602" s="237">
        <f t="shared" si="97"/>
        <v>0</v>
      </c>
      <c r="X602" s="23" t="str">
        <f t="shared" si="98"/>
        <v>-</v>
      </c>
    </row>
    <row r="603" spans="1:24" ht="30" customHeight="1" x14ac:dyDescent="0.3">
      <c r="A603" s="262">
        <v>4</v>
      </c>
      <c r="C603" s="244">
        <v>327</v>
      </c>
      <c r="D603" s="161" t="s">
        <v>848</v>
      </c>
      <c r="E603" s="969" t="s">
        <v>1185</v>
      </c>
      <c r="F603" s="970"/>
      <c r="G603" s="971"/>
      <c r="H603" s="544" t="s">
        <v>286</v>
      </c>
      <c r="I603" s="212">
        <v>4122285</v>
      </c>
      <c r="J603" s="605"/>
      <c r="K603" s="212">
        <v>1</v>
      </c>
      <c r="L603" s="212">
        <f t="shared" si="95"/>
        <v>4122285</v>
      </c>
      <c r="M603" s="602"/>
      <c r="N603" s="675">
        <f>+'Yeşil Defter'!K595</f>
        <v>0</v>
      </c>
      <c r="O603" s="675">
        <f>+'Yeşil Defter'!L595</f>
        <v>0</v>
      </c>
      <c r="P603" s="675">
        <f>+'Yeşil Defter'!M595</f>
        <v>0</v>
      </c>
      <c r="Q603" s="212"/>
      <c r="R603" s="605">
        <f t="shared" si="96"/>
        <v>0</v>
      </c>
      <c r="S603" s="225">
        <f t="shared" si="99"/>
        <v>0</v>
      </c>
      <c r="T603" s="237">
        <f t="shared" si="97"/>
        <v>0</v>
      </c>
      <c r="X603" s="23" t="str">
        <f t="shared" si="98"/>
        <v>-</v>
      </c>
    </row>
    <row r="604" spans="1:24" ht="30" customHeight="1" x14ac:dyDescent="0.3">
      <c r="A604" s="262">
        <v>4</v>
      </c>
      <c r="C604" s="244">
        <v>328</v>
      </c>
      <c r="D604" s="161" t="s">
        <v>849</v>
      </c>
      <c r="E604" s="969" t="s">
        <v>1193</v>
      </c>
      <c r="F604" s="970"/>
      <c r="G604" s="971"/>
      <c r="H604" s="544" t="s">
        <v>286</v>
      </c>
      <c r="I604" s="212">
        <v>3710056</v>
      </c>
      <c r="J604" s="605"/>
      <c r="K604" s="212">
        <v>1</v>
      </c>
      <c r="L604" s="212">
        <f t="shared" si="95"/>
        <v>3710056</v>
      </c>
      <c r="M604" s="602"/>
      <c r="N604" s="675">
        <f>+'Yeşil Defter'!K596</f>
        <v>0</v>
      </c>
      <c r="O604" s="675">
        <f>+'Yeşil Defter'!L596</f>
        <v>0</v>
      </c>
      <c r="P604" s="675">
        <f>+'Yeşil Defter'!M596</f>
        <v>0</v>
      </c>
      <c r="Q604" s="212"/>
      <c r="R604" s="605">
        <f t="shared" si="96"/>
        <v>0</v>
      </c>
      <c r="S604" s="225">
        <f t="shared" si="99"/>
        <v>0</v>
      </c>
      <c r="T604" s="237">
        <f t="shared" si="97"/>
        <v>0</v>
      </c>
      <c r="X604" s="23" t="str">
        <f t="shared" si="98"/>
        <v>-</v>
      </c>
    </row>
    <row r="605" spans="1:24" ht="30" customHeight="1" x14ac:dyDescent="0.3">
      <c r="A605" s="262">
        <v>4</v>
      </c>
      <c r="C605" s="244">
        <v>329</v>
      </c>
      <c r="D605" s="161" t="s">
        <v>850</v>
      </c>
      <c r="E605" s="969" t="s">
        <v>851</v>
      </c>
      <c r="F605" s="970"/>
      <c r="G605" s="971"/>
      <c r="H605" s="544" t="s">
        <v>286</v>
      </c>
      <c r="I605" s="212">
        <v>3916171</v>
      </c>
      <c r="J605" s="605"/>
      <c r="K605" s="212">
        <v>1</v>
      </c>
      <c r="L605" s="212">
        <f t="shared" si="95"/>
        <v>3916171</v>
      </c>
      <c r="M605" s="602"/>
      <c r="N605" s="675">
        <f>+'Yeşil Defter'!K597</f>
        <v>0</v>
      </c>
      <c r="O605" s="675">
        <f>+'Yeşil Defter'!L597</f>
        <v>0</v>
      </c>
      <c r="P605" s="675">
        <f>+'Yeşil Defter'!M597</f>
        <v>0</v>
      </c>
      <c r="Q605" s="212"/>
      <c r="R605" s="605">
        <f t="shared" si="96"/>
        <v>0</v>
      </c>
      <c r="S605" s="225">
        <f t="shared" si="99"/>
        <v>0</v>
      </c>
      <c r="T605" s="237">
        <f t="shared" si="97"/>
        <v>0</v>
      </c>
      <c r="X605" s="23" t="str">
        <f t="shared" si="98"/>
        <v>-</v>
      </c>
    </row>
    <row r="606" spans="1:24" ht="30" customHeight="1" x14ac:dyDescent="0.3">
      <c r="A606" s="262">
        <v>4</v>
      </c>
      <c r="C606" s="244">
        <v>330</v>
      </c>
      <c r="D606" s="161" t="s">
        <v>852</v>
      </c>
      <c r="E606" s="969" t="s">
        <v>853</v>
      </c>
      <c r="F606" s="970"/>
      <c r="G606" s="971"/>
      <c r="H606" s="544" t="s">
        <v>286</v>
      </c>
      <c r="I606" s="212">
        <v>1860887</v>
      </c>
      <c r="J606" s="605"/>
      <c r="K606" s="212">
        <v>1</v>
      </c>
      <c r="L606" s="212">
        <f t="shared" si="95"/>
        <v>1860887</v>
      </c>
      <c r="M606" s="602"/>
      <c r="N606" s="675">
        <f>+'Yeşil Defter'!K598</f>
        <v>0</v>
      </c>
      <c r="O606" s="675">
        <f>+'Yeşil Defter'!L598</f>
        <v>0</v>
      </c>
      <c r="P606" s="675">
        <f>+'Yeşil Defter'!M598</f>
        <v>0</v>
      </c>
      <c r="Q606" s="212"/>
      <c r="R606" s="605">
        <f t="shared" si="96"/>
        <v>0</v>
      </c>
      <c r="S606" s="225">
        <f t="shared" si="99"/>
        <v>0</v>
      </c>
      <c r="T606" s="237">
        <f t="shared" si="97"/>
        <v>0</v>
      </c>
      <c r="X606" s="23" t="str">
        <f t="shared" si="98"/>
        <v>-</v>
      </c>
    </row>
    <row r="607" spans="1:24" ht="30" customHeight="1" x14ac:dyDescent="0.3">
      <c r="A607" s="262">
        <v>4</v>
      </c>
      <c r="C607" s="244">
        <v>331</v>
      </c>
      <c r="D607" s="161" t="s">
        <v>854</v>
      </c>
      <c r="E607" s="969" t="s">
        <v>1170</v>
      </c>
      <c r="F607" s="970"/>
      <c r="G607" s="971"/>
      <c r="H607" s="544" t="s">
        <v>286</v>
      </c>
      <c r="I607" s="212">
        <v>929625</v>
      </c>
      <c r="J607" s="605"/>
      <c r="K607" s="212">
        <v>1</v>
      </c>
      <c r="L607" s="212">
        <f t="shared" si="95"/>
        <v>929625</v>
      </c>
      <c r="M607" s="602"/>
      <c r="N607" s="675">
        <f>+'Yeşil Defter'!K599</f>
        <v>0</v>
      </c>
      <c r="O607" s="675">
        <f>+'Yeşil Defter'!L599</f>
        <v>0</v>
      </c>
      <c r="P607" s="675">
        <f>+'Yeşil Defter'!M599</f>
        <v>0</v>
      </c>
      <c r="Q607" s="212"/>
      <c r="R607" s="605">
        <f t="shared" si="96"/>
        <v>0</v>
      </c>
      <c r="S607" s="225">
        <f t="shared" si="99"/>
        <v>0</v>
      </c>
      <c r="T607" s="237">
        <f t="shared" si="97"/>
        <v>0</v>
      </c>
      <c r="X607" s="23" t="str">
        <f t="shared" si="98"/>
        <v>-</v>
      </c>
    </row>
    <row r="608" spans="1:24" ht="30" customHeight="1" x14ac:dyDescent="0.3">
      <c r="A608" s="262">
        <v>4</v>
      </c>
      <c r="C608" s="244">
        <v>332</v>
      </c>
      <c r="D608" s="161" t="s">
        <v>855</v>
      </c>
      <c r="E608" s="969" t="s">
        <v>1178</v>
      </c>
      <c r="F608" s="970"/>
      <c r="G608" s="971"/>
      <c r="H608" s="544" t="s">
        <v>286</v>
      </c>
      <c r="I608" s="212">
        <v>929625</v>
      </c>
      <c r="J608" s="605"/>
      <c r="K608" s="212">
        <v>1</v>
      </c>
      <c r="L608" s="212">
        <f t="shared" si="95"/>
        <v>929625</v>
      </c>
      <c r="M608" s="602"/>
      <c r="N608" s="675">
        <f>+'Yeşil Defter'!K600</f>
        <v>0</v>
      </c>
      <c r="O608" s="675">
        <f>+'Yeşil Defter'!L600</f>
        <v>0</v>
      </c>
      <c r="P608" s="675">
        <f>+'Yeşil Defter'!M600</f>
        <v>0</v>
      </c>
      <c r="Q608" s="212"/>
      <c r="R608" s="605">
        <f t="shared" si="96"/>
        <v>0</v>
      </c>
      <c r="S608" s="225">
        <f t="shared" si="99"/>
        <v>0</v>
      </c>
      <c r="T608" s="237">
        <f t="shared" si="97"/>
        <v>0</v>
      </c>
      <c r="X608" s="23" t="str">
        <f t="shared" si="98"/>
        <v>-</v>
      </c>
    </row>
    <row r="609" spans="1:24" ht="30" customHeight="1" x14ac:dyDescent="0.3">
      <c r="A609" s="262">
        <v>4</v>
      </c>
      <c r="C609" s="244">
        <v>333</v>
      </c>
      <c r="D609" s="161" t="s">
        <v>856</v>
      </c>
      <c r="E609" s="969" t="s">
        <v>1186</v>
      </c>
      <c r="F609" s="970"/>
      <c r="G609" s="971"/>
      <c r="H609" s="544" t="s">
        <v>286</v>
      </c>
      <c r="I609" s="212">
        <v>929625</v>
      </c>
      <c r="J609" s="605"/>
      <c r="K609" s="212">
        <v>1</v>
      </c>
      <c r="L609" s="212">
        <f t="shared" si="95"/>
        <v>929625</v>
      </c>
      <c r="M609" s="602"/>
      <c r="N609" s="675">
        <f>+'Yeşil Defter'!K601</f>
        <v>0</v>
      </c>
      <c r="O609" s="675">
        <f>+'Yeşil Defter'!L601</f>
        <v>0</v>
      </c>
      <c r="P609" s="675">
        <f>+'Yeşil Defter'!M601</f>
        <v>0</v>
      </c>
      <c r="Q609" s="212"/>
      <c r="R609" s="605">
        <f t="shared" si="96"/>
        <v>0</v>
      </c>
      <c r="S609" s="225">
        <f t="shared" si="99"/>
        <v>0</v>
      </c>
      <c r="T609" s="237">
        <f t="shared" si="97"/>
        <v>0</v>
      </c>
      <c r="X609" s="23" t="str">
        <f t="shared" si="98"/>
        <v>-</v>
      </c>
    </row>
    <row r="610" spans="1:24" ht="30" customHeight="1" x14ac:dyDescent="0.3">
      <c r="A610" s="262">
        <v>4</v>
      </c>
      <c r="C610" s="244">
        <v>334</v>
      </c>
      <c r="D610" s="161" t="s">
        <v>857</v>
      </c>
      <c r="E610" s="969" t="s">
        <v>1194</v>
      </c>
      <c r="F610" s="970"/>
      <c r="G610" s="971"/>
      <c r="H610" s="544" t="s">
        <v>286</v>
      </c>
      <c r="I610" s="212">
        <v>929625</v>
      </c>
      <c r="J610" s="605"/>
      <c r="K610" s="212">
        <v>1</v>
      </c>
      <c r="L610" s="212">
        <f t="shared" si="95"/>
        <v>929625</v>
      </c>
      <c r="M610" s="602"/>
      <c r="N610" s="675">
        <f>+'Yeşil Defter'!K602</f>
        <v>0</v>
      </c>
      <c r="O610" s="675">
        <f>+'Yeşil Defter'!L602</f>
        <v>0</v>
      </c>
      <c r="P610" s="675">
        <f>+'Yeşil Defter'!M602</f>
        <v>0</v>
      </c>
      <c r="Q610" s="212"/>
      <c r="R610" s="605">
        <f t="shared" si="96"/>
        <v>0</v>
      </c>
      <c r="S610" s="225">
        <f t="shared" si="99"/>
        <v>0</v>
      </c>
      <c r="T610" s="237">
        <f t="shared" si="97"/>
        <v>0</v>
      </c>
      <c r="X610" s="23" t="str">
        <f t="shared" si="98"/>
        <v>-</v>
      </c>
    </row>
    <row r="611" spans="1:24" ht="30" customHeight="1" x14ac:dyDescent="0.3">
      <c r="A611" s="262">
        <v>4</v>
      </c>
      <c r="C611" s="244">
        <v>335</v>
      </c>
      <c r="D611" s="161" t="s">
        <v>858</v>
      </c>
      <c r="E611" s="969" t="s">
        <v>859</v>
      </c>
      <c r="F611" s="970"/>
      <c r="G611" s="971"/>
      <c r="H611" s="544" t="s">
        <v>286</v>
      </c>
      <c r="I611" s="212">
        <v>929625</v>
      </c>
      <c r="J611" s="605"/>
      <c r="K611" s="212">
        <v>1</v>
      </c>
      <c r="L611" s="212">
        <f t="shared" si="95"/>
        <v>929625</v>
      </c>
      <c r="M611" s="602"/>
      <c r="N611" s="675">
        <f>+'Yeşil Defter'!K603</f>
        <v>0</v>
      </c>
      <c r="O611" s="675">
        <f>+'Yeşil Defter'!L603</f>
        <v>0</v>
      </c>
      <c r="P611" s="675">
        <f>+'Yeşil Defter'!M603</f>
        <v>0</v>
      </c>
      <c r="Q611" s="212"/>
      <c r="R611" s="605">
        <f t="shared" si="96"/>
        <v>0</v>
      </c>
      <c r="S611" s="225">
        <f t="shared" si="99"/>
        <v>0</v>
      </c>
      <c r="T611" s="237">
        <f t="shared" si="97"/>
        <v>0</v>
      </c>
      <c r="X611" s="23" t="str">
        <f t="shared" si="98"/>
        <v>-</v>
      </c>
    </row>
    <row r="612" spans="1:24" ht="30" customHeight="1" x14ac:dyDescent="0.3">
      <c r="A612" s="262">
        <v>4</v>
      </c>
      <c r="C612" s="244">
        <v>336</v>
      </c>
      <c r="D612" s="161" t="s">
        <v>860</v>
      </c>
      <c r="E612" s="969" t="s">
        <v>861</v>
      </c>
      <c r="F612" s="970"/>
      <c r="G612" s="971"/>
      <c r="H612" s="544" t="s">
        <v>286</v>
      </c>
      <c r="I612" s="212">
        <v>1859250</v>
      </c>
      <c r="J612" s="605"/>
      <c r="K612" s="212">
        <v>1</v>
      </c>
      <c r="L612" s="212">
        <f t="shared" si="95"/>
        <v>1859250</v>
      </c>
      <c r="M612" s="602"/>
      <c r="N612" s="675">
        <f>+'Yeşil Defter'!K604</f>
        <v>0</v>
      </c>
      <c r="O612" s="675">
        <f>+'Yeşil Defter'!L604</f>
        <v>0</v>
      </c>
      <c r="P612" s="675">
        <f>+'Yeşil Defter'!M604</f>
        <v>0</v>
      </c>
      <c r="Q612" s="212"/>
      <c r="R612" s="605">
        <f t="shared" si="96"/>
        <v>0</v>
      </c>
      <c r="S612" s="225">
        <f t="shared" si="99"/>
        <v>0</v>
      </c>
      <c r="T612" s="237">
        <f t="shared" si="97"/>
        <v>0</v>
      </c>
      <c r="X612" s="23" t="str">
        <f t="shared" si="98"/>
        <v>-</v>
      </c>
    </row>
    <row r="613" spans="1:24" ht="30" customHeight="1" x14ac:dyDescent="0.3">
      <c r="A613" s="262">
        <v>4</v>
      </c>
      <c r="C613" s="244">
        <v>337</v>
      </c>
      <c r="D613" s="161" t="s">
        <v>862</v>
      </c>
      <c r="E613" s="969" t="s">
        <v>863</v>
      </c>
      <c r="F613" s="970"/>
      <c r="G613" s="971"/>
      <c r="H613" s="544" t="s">
        <v>247</v>
      </c>
      <c r="I613" s="212">
        <v>132000</v>
      </c>
      <c r="J613" s="605"/>
      <c r="K613" s="212">
        <v>64</v>
      </c>
      <c r="L613" s="212">
        <f t="shared" si="95"/>
        <v>8448000</v>
      </c>
      <c r="M613" s="602"/>
      <c r="N613" s="675">
        <f>+'Yeşil Defter'!K605</f>
        <v>0</v>
      </c>
      <c r="O613" s="675">
        <f>+'Yeşil Defter'!L605</f>
        <v>0</v>
      </c>
      <c r="P613" s="675">
        <f>+'Yeşil Defter'!M605</f>
        <v>0</v>
      </c>
      <c r="Q613" s="212"/>
      <c r="R613" s="605">
        <f t="shared" si="96"/>
        <v>0</v>
      </c>
      <c r="S613" s="225">
        <f t="shared" si="99"/>
        <v>0</v>
      </c>
      <c r="T613" s="237">
        <f t="shared" si="97"/>
        <v>0</v>
      </c>
      <c r="X613" s="23" t="str">
        <f t="shared" si="98"/>
        <v>-</v>
      </c>
    </row>
    <row r="614" spans="1:24" ht="40.049999999999997" customHeight="1" x14ac:dyDescent="0.3">
      <c r="A614" s="262" t="s">
        <v>1242</v>
      </c>
      <c r="C614" s="258"/>
      <c r="D614" s="258"/>
      <c r="E614" s="972" t="s">
        <v>33</v>
      </c>
      <c r="F614" s="972"/>
      <c r="G614" s="972"/>
      <c r="H614" s="973" t="s">
        <v>29</v>
      </c>
      <c r="I614" s="973"/>
      <c r="J614" s="973"/>
      <c r="K614" s="973"/>
      <c r="L614" s="973"/>
      <c r="M614" s="549"/>
      <c r="N614" s="973" t="s">
        <v>22</v>
      </c>
      <c r="O614" s="973"/>
      <c r="P614" s="973"/>
      <c r="Q614" s="973"/>
      <c r="R614" s="973"/>
      <c r="S614" s="973"/>
      <c r="T614" s="973"/>
      <c r="X614" s="23"/>
    </row>
    <row r="615" spans="1:24" ht="19.95" customHeight="1" x14ac:dyDescent="0.3">
      <c r="A615" s="262" t="s">
        <v>1242</v>
      </c>
      <c r="D615" s="28"/>
      <c r="E615" s="974" t="s">
        <v>1214</v>
      </c>
      <c r="F615" s="974"/>
      <c r="G615" s="974"/>
      <c r="H615" s="975" t="s">
        <v>38</v>
      </c>
      <c r="I615" s="975"/>
      <c r="J615" s="975"/>
      <c r="K615" s="975"/>
      <c r="L615" s="975"/>
      <c r="M615" s="562"/>
      <c r="N615" s="975" t="s">
        <v>1437</v>
      </c>
      <c r="O615" s="975"/>
      <c r="P615" s="975"/>
      <c r="Q615" s="975"/>
      <c r="R615" s="975"/>
      <c r="S615" s="975"/>
      <c r="T615" s="975"/>
      <c r="X615" s="23"/>
    </row>
    <row r="616" spans="1:24" ht="19.95" customHeight="1" x14ac:dyDescent="0.3">
      <c r="A616" s="262" t="s">
        <v>1242</v>
      </c>
      <c r="C616" s="228"/>
      <c r="D616" s="228"/>
      <c r="E616" s="561"/>
      <c r="F616" s="561"/>
      <c r="G616" s="561"/>
      <c r="H616" s="975" t="s">
        <v>32</v>
      </c>
      <c r="I616" s="975"/>
      <c r="J616" s="562"/>
      <c r="K616" s="975" t="s">
        <v>1407</v>
      </c>
      <c r="L616" s="975"/>
      <c r="M616" s="260"/>
      <c r="N616" s="975"/>
      <c r="O616" s="975"/>
      <c r="P616" s="975"/>
      <c r="Q616" s="975"/>
      <c r="R616" s="975"/>
      <c r="S616" s="975"/>
      <c r="T616" s="975"/>
      <c r="X616" s="23"/>
    </row>
    <row r="617" spans="1:24" ht="19.95" customHeight="1" x14ac:dyDescent="0.3">
      <c r="A617" s="262" t="s">
        <v>1242</v>
      </c>
      <c r="C617" s="228"/>
      <c r="D617" s="228"/>
      <c r="E617" s="561"/>
      <c r="F617" s="561"/>
      <c r="G617" s="561"/>
      <c r="H617" s="976" t="s">
        <v>94</v>
      </c>
      <c r="I617" s="976"/>
      <c r="J617" s="623"/>
      <c r="K617" s="976" t="s">
        <v>94</v>
      </c>
      <c r="L617" s="976"/>
      <c r="M617" s="260"/>
      <c r="N617" s="975"/>
      <c r="O617" s="975"/>
      <c r="P617" s="975"/>
      <c r="Q617" s="975"/>
      <c r="R617" s="975"/>
      <c r="S617" s="975"/>
      <c r="T617" s="975"/>
      <c r="X617" s="23"/>
    </row>
    <row r="618" spans="1:24" ht="19.95" customHeight="1" x14ac:dyDescent="0.3">
      <c r="A618" s="262" t="s">
        <v>1242</v>
      </c>
      <c r="C618" s="228"/>
      <c r="D618" s="228"/>
      <c r="E618" s="561"/>
      <c r="F618" s="561"/>
      <c r="G618" s="561"/>
      <c r="H618" s="976"/>
      <c r="I618" s="976"/>
      <c r="J618" s="623"/>
      <c r="K618" s="976"/>
      <c r="L618" s="976"/>
      <c r="M618" s="261"/>
      <c r="N618" s="260"/>
      <c r="O618" s="260"/>
      <c r="P618" s="260"/>
      <c r="Q618" s="260"/>
      <c r="R618" s="260"/>
      <c r="S618" s="260"/>
      <c r="T618" s="260"/>
      <c r="X618" s="23"/>
    </row>
    <row r="619" spans="1:24" ht="19.95" customHeight="1" x14ac:dyDescent="0.3">
      <c r="A619" s="262" t="s">
        <v>1242</v>
      </c>
      <c r="C619" s="228"/>
      <c r="D619" s="228"/>
      <c r="E619" s="561"/>
      <c r="F619" s="561"/>
      <c r="G619" s="561"/>
      <c r="H619" s="975"/>
      <c r="I619" s="975"/>
      <c r="J619" s="562"/>
      <c r="K619" s="975"/>
      <c r="L619" s="975"/>
      <c r="M619" s="562"/>
      <c r="N619" s="968" t="s">
        <v>52</v>
      </c>
      <c r="O619" s="968"/>
      <c r="P619" s="968"/>
      <c r="Q619" s="968"/>
      <c r="R619" s="968"/>
      <c r="S619" s="968"/>
      <c r="T619" s="968"/>
      <c r="X619" s="23"/>
    </row>
    <row r="620" spans="1:24" ht="19.95" customHeight="1" x14ac:dyDescent="0.3">
      <c r="A620" s="262" t="s">
        <v>1242</v>
      </c>
      <c r="C620" s="228"/>
      <c r="D620" s="228"/>
      <c r="E620" s="561"/>
      <c r="F620" s="561"/>
      <c r="G620" s="561"/>
      <c r="H620" s="976" t="s">
        <v>1220</v>
      </c>
      <c r="I620" s="976"/>
      <c r="J620" s="976"/>
      <c r="K620" s="976"/>
      <c r="L620" s="976"/>
      <c r="M620" s="623"/>
      <c r="N620" s="968" t="s">
        <v>1485</v>
      </c>
      <c r="O620" s="968"/>
      <c r="P620" s="968"/>
      <c r="Q620" s="968"/>
      <c r="R620" s="968"/>
      <c r="S620" s="968"/>
      <c r="T620" s="968"/>
      <c r="X620" s="23"/>
    </row>
    <row r="621" spans="1:24" ht="19.95" customHeight="1" x14ac:dyDescent="0.3">
      <c r="A621" s="262" t="s">
        <v>1242</v>
      </c>
      <c r="C621" s="228"/>
      <c r="D621" s="228"/>
      <c r="E621" s="561"/>
      <c r="F621" s="561"/>
      <c r="G621" s="561"/>
      <c r="H621" s="976"/>
      <c r="I621" s="976"/>
      <c r="J621" s="976"/>
      <c r="K621" s="976"/>
      <c r="L621" s="976"/>
      <c r="M621" s="623"/>
      <c r="N621" s="968"/>
      <c r="O621" s="968"/>
      <c r="P621" s="968"/>
      <c r="Q621" s="968"/>
      <c r="R621" s="968"/>
      <c r="S621" s="968"/>
      <c r="T621" s="968"/>
      <c r="X621" s="23"/>
    </row>
    <row r="622" spans="1:24" ht="19.95" customHeight="1" x14ac:dyDescent="0.3">
      <c r="A622" s="262" t="s">
        <v>1242</v>
      </c>
      <c r="C622" s="228"/>
      <c r="D622" s="228"/>
      <c r="E622" s="561"/>
      <c r="F622" s="561"/>
      <c r="G622" s="561"/>
      <c r="H622" s="228"/>
      <c r="I622" s="260"/>
      <c r="J622" s="260"/>
      <c r="K622" s="260"/>
      <c r="L622" s="260"/>
      <c r="M622" s="260"/>
      <c r="N622" s="260"/>
      <c r="O622" s="260"/>
      <c r="P622" s="260"/>
      <c r="Q622" s="260"/>
      <c r="R622" s="260"/>
      <c r="S622" s="624"/>
      <c r="T622" s="260"/>
      <c r="X622" s="23"/>
    </row>
    <row r="623" spans="1:24" ht="19.95" customHeight="1" x14ac:dyDescent="0.3">
      <c r="A623" s="262" t="s">
        <v>1242</v>
      </c>
      <c r="C623" s="228"/>
      <c r="D623" s="228"/>
      <c r="E623" s="975" t="s">
        <v>1215</v>
      </c>
      <c r="F623" s="975"/>
      <c r="G623" s="975"/>
      <c r="H623" s="975" t="s">
        <v>1348</v>
      </c>
      <c r="I623" s="975"/>
      <c r="J623" s="975"/>
      <c r="K623" s="975"/>
      <c r="L623" s="975"/>
      <c r="M623" s="562"/>
      <c r="N623" s="977" t="s">
        <v>1219</v>
      </c>
      <c r="O623" s="968"/>
      <c r="P623" s="968"/>
      <c r="Q623" s="968"/>
      <c r="R623" s="968"/>
      <c r="S623" s="968"/>
      <c r="T623" s="968"/>
      <c r="X623" s="23"/>
    </row>
    <row r="624" spans="1:24" ht="19.95" customHeight="1" x14ac:dyDescent="0.3">
      <c r="A624" s="262" t="s">
        <v>1290</v>
      </c>
      <c r="C624" s="228"/>
      <c r="D624" s="228"/>
      <c r="E624" s="975"/>
      <c r="F624" s="975"/>
      <c r="G624" s="975"/>
      <c r="H624" s="975"/>
      <c r="I624" s="975"/>
      <c r="J624" s="975"/>
      <c r="K624" s="975"/>
      <c r="L624" s="975"/>
      <c r="M624" s="562"/>
      <c r="N624" s="968"/>
      <c r="O624" s="968"/>
      <c r="P624" s="968"/>
      <c r="Q624" s="968"/>
      <c r="R624" s="968"/>
      <c r="S624" s="968"/>
      <c r="T624" s="968"/>
      <c r="X624" s="23"/>
    </row>
    <row r="625" spans="1:24" ht="30" customHeight="1" x14ac:dyDescent="0.3">
      <c r="A625" s="262">
        <v>4</v>
      </c>
      <c r="C625" s="255">
        <v>338</v>
      </c>
      <c r="D625" s="256" t="s">
        <v>864</v>
      </c>
      <c r="E625" s="978" t="s">
        <v>865</v>
      </c>
      <c r="F625" s="979"/>
      <c r="G625" s="980"/>
      <c r="H625" s="546" t="s">
        <v>247</v>
      </c>
      <c r="I625" s="257">
        <v>165000</v>
      </c>
      <c r="J625" s="606"/>
      <c r="K625" s="257">
        <v>10</v>
      </c>
      <c r="L625" s="257">
        <f t="shared" ref="L625:L636" si="100">+ROUND(I625*K625,2)</f>
        <v>1650000</v>
      </c>
      <c r="M625" s="603"/>
      <c r="N625" s="675">
        <f>+'Yeşil Defter'!K617</f>
        <v>0</v>
      </c>
      <c r="O625" s="675">
        <f>+'Yeşil Defter'!L617</f>
        <v>0</v>
      </c>
      <c r="P625" s="675">
        <f>+'Yeşil Defter'!M617</f>
        <v>0</v>
      </c>
      <c r="Q625" s="257"/>
      <c r="R625" s="606">
        <f t="shared" ref="R625:R636" si="101">+ROUND(K625*N625,2)</f>
        <v>0</v>
      </c>
      <c r="S625" s="247">
        <f t="shared" si="99"/>
        <v>0</v>
      </c>
      <c r="T625" s="248">
        <f t="shared" ref="T625:T636" si="102">+ROUND(K625*P625,2)</f>
        <v>0</v>
      </c>
      <c r="X625" s="23" t="str">
        <f t="shared" si="98"/>
        <v>-</v>
      </c>
    </row>
    <row r="626" spans="1:24" ht="30" customHeight="1" x14ac:dyDescent="0.3">
      <c r="A626" s="262">
        <v>4</v>
      </c>
      <c r="C626" s="244">
        <v>339</v>
      </c>
      <c r="D626" s="161" t="s">
        <v>866</v>
      </c>
      <c r="E626" s="969" t="s">
        <v>867</v>
      </c>
      <c r="F626" s="970"/>
      <c r="G626" s="971"/>
      <c r="H626" s="544" t="s">
        <v>286</v>
      </c>
      <c r="I626" s="212">
        <v>22000000</v>
      </c>
      <c r="J626" s="605"/>
      <c r="K626" s="212">
        <v>1</v>
      </c>
      <c r="L626" s="212">
        <f t="shared" si="100"/>
        <v>22000000</v>
      </c>
      <c r="M626" s="602"/>
      <c r="N626" s="675">
        <f>+'Yeşil Defter'!K618</f>
        <v>0</v>
      </c>
      <c r="O626" s="675">
        <f>+'Yeşil Defter'!L618</f>
        <v>0</v>
      </c>
      <c r="P626" s="675">
        <f>+'Yeşil Defter'!M618</f>
        <v>0</v>
      </c>
      <c r="Q626" s="212"/>
      <c r="R626" s="605">
        <f t="shared" si="101"/>
        <v>0</v>
      </c>
      <c r="S626" s="225">
        <f t="shared" si="99"/>
        <v>0</v>
      </c>
      <c r="T626" s="237">
        <f t="shared" si="102"/>
        <v>0</v>
      </c>
      <c r="X626" s="23" t="str">
        <f t="shared" si="98"/>
        <v>-</v>
      </c>
    </row>
    <row r="627" spans="1:24" ht="30" customHeight="1" x14ac:dyDescent="0.3">
      <c r="A627" s="262">
        <v>4</v>
      </c>
      <c r="C627" s="244">
        <v>340</v>
      </c>
      <c r="D627" s="213" t="s">
        <v>868</v>
      </c>
      <c r="E627" s="969" t="s">
        <v>869</v>
      </c>
      <c r="F627" s="970"/>
      <c r="G627" s="971"/>
      <c r="H627" s="544" t="s">
        <v>286</v>
      </c>
      <c r="I627" s="212">
        <v>20070000</v>
      </c>
      <c r="J627" s="605"/>
      <c r="K627" s="212">
        <v>1</v>
      </c>
      <c r="L627" s="212">
        <f t="shared" si="100"/>
        <v>20070000</v>
      </c>
      <c r="M627" s="602"/>
      <c r="N627" s="675">
        <f>+'Yeşil Defter'!K619</f>
        <v>0</v>
      </c>
      <c r="O627" s="675">
        <f>+'Yeşil Defter'!L619</f>
        <v>0</v>
      </c>
      <c r="P627" s="675">
        <f>+'Yeşil Defter'!M619</f>
        <v>0</v>
      </c>
      <c r="Q627" s="212"/>
      <c r="R627" s="605">
        <f t="shared" si="101"/>
        <v>0</v>
      </c>
      <c r="S627" s="225">
        <f t="shared" si="99"/>
        <v>0</v>
      </c>
      <c r="T627" s="237">
        <f t="shared" si="102"/>
        <v>0</v>
      </c>
      <c r="X627" s="23" t="str">
        <f t="shared" si="98"/>
        <v>-</v>
      </c>
    </row>
    <row r="628" spans="1:24" ht="30" customHeight="1" x14ac:dyDescent="0.3">
      <c r="A628" s="262">
        <v>4</v>
      </c>
      <c r="C628" s="244">
        <v>341</v>
      </c>
      <c r="D628" s="213" t="s">
        <v>870</v>
      </c>
      <c r="E628" s="969" t="s">
        <v>871</v>
      </c>
      <c r="F628" s="970"/>
      <c r="G628" s="971"/>
      <c r="H628" s="544" t="s">
        <v>286</v>
      </c>
      <c r="I628" s="212">
        <v>8989594</v>
      </c>
      <c r="J628" s="605"/>
      <c r="K628" s="212">
        <v>1</v>
      </c>
      <c r="L628" s="212">
        <f t="shared" si="100"/>
        <v>8989594</v>
      </c>
      <c r="M628" s="602"/>
      <c r="N628" s="675">
        <f>+'Yeşil Defter'!K620</f>
        <v>0</v>
      </c>
      <c r="O628" s="675">
        <f>+'Yeşil Defter'!L620</f>
        <v>0</v>
      </c>
      <c r="P628" s="675">
        <f>+'Yeşil Defter'!M620</f>
        <v>0</v>
      </c>
      <c r="Q628" s="212"/>
      <c r="R628" s="605">
        <f t="shared" si="101"/>
        <v>0</v>
      </c>
      <c r="S628" s="225">
        <f t="shared" si="99"/>
        <v>0</v>
      </c>
      <c r="T628" s="237">
        <f t="shared" si="102"/>
        <v>0</v>
      </c>
      <c r="X628" s="23" t="str">
        <f t="shared" si="98"/>
        <v>-</v>
      </c>
    </row>
    <row r="629" spans="1:24" ht="30" customHeight="1" x14ac:dyDescent="0.3">
      <c r="A629" s="262">
        <v>4</v>
      </c>
      <c r="C629" s="244">
        <v>342</v>
      </c>
      <c r="D629" s="213" t="s">
        <v>872</v>
      </c>
      <c r="E629" s="969" t="s">
        <v>873</v>
      </c>
      <c r="F629" s="970"/>
      <c r="G629" s="971"/>
      <c r="H629" s="544" t="s">
        <v>286</v>
      </c>
      <c r="I629" s="212">
        <v>3641429</v>
      </c>
      <c r="J629" s="605"/>
      <c r="K629" s="212">
        <v>1</v>
      </c>
      <c r="L629" s="212">
        <f t="shared" si="100"/>
        <v>3641429</v>
      </c>
      <c r="M629" s="602"/>
      <c r="N629" s="675">
        <f>+'Yeşil Defter'!K621</f>
        <v>0</v>
      </c>
      <c r="O629" s="675">
        <f>+'Yeşil Defter'!L621</f>
        <v>0</v>
      </c>
      <c r="P629" s="675">
        <f>+'Yeşil Defter'!M621</f>
        <v>0</v>
      </c>
      <c r="Q629" s="212"/>
      <c r="R629" s="605">
        <f t="shared" si="101"/>
        <v>0</v>
      </c>
      <c r="S629" s="225">
        <f t="shared" si="99"/>
        <v>0</v>
      </c>
      <c r="T629" s="237">
        <f t="shared" si="102"/>
        <v>0</v>
      </c>
      <c r="X629" s="23" t="str">
        <f t="shared" si="98"/>
        <v>-</v>
      </c>
    </row>
    <row r="630" spans="1:24" ht="30" customHeight="1" x14ac:dyDescent="0.3">
      <c r="A630" s="262">
        <v>4</v>
      </c>
      <c r="C630" s="244">
        <v>343</v>
      </c>
      <c r="D630" s="213" t="s">
        <v>874</v>
      </c>
      <c r="E630" s="969" t="s">
        <v>875</v>
      </c>
      <c r="F630" s="970"/>
      <c r="G630" s="971"/>
      <c r="H630" s="544" t="s">
        <v>286</v>
      </c>
      <c r="I630" s="212">
        <v>6993000</v>
      </c>
      <c r="J630" s="605"/>
      <c r="K630" s="212">
        <v>1</v>
      </c>
      <c r="L630" s="212">
        <f t="shared" si="100"/>
        <v>6993000</v>
      </c>
      <c r="M630" s="602"/>
      <c r="N630" s="675">
        <f>+'Yeşil Defter'!K622</f>
        <v>0</v>
      </c>
      <c r="O630" s="675">
        <f>+'Yeşil Defter'!L622</f>
        <v>0</v>
      </c>
      <c r="P630" s="675">
        <f>+'Yeşil Defter'!M622</f>
        <v>0</v>
      </c>
      <c r="Q630" s="212"/>
      <c r="R630" s="605">
        <f t="shared" si="101"/>
        <v>0</v>
      </c>
      <c r="S630" s="225">
        <f t="shared" si="99"/>
        <v>0</v>
      </c>
      <c r="T630" s="237">
        <f t="shared" si="102"/>
        <v>0</v>
      </c>
      <c r="X630" s="23" t="str">
        <f t="shared" si="98"/>
        <v>-</v>
      </c>
    </row>
    <row r="631" spans="1:24" ht="30" customHeight="1" x14ac:dyDescent="0.3">
      <c r="A631" s="262">
        <v>4</v>
      </c>
      <c r="C631" s="244">
        <v>344</v>
      </c>
      <c r="D631" s="213" t="s">
        <v>876</v>
      </c>
      <c r="E631" s="969" t="s">
        <v>877</v>
      </c>
      <c r="F631" s="970"/>
      <c r="G631" s="971"/>
      <c r="H631" s="544" t="s">
        <v>286</v>
      </c>
      <c r="I631" s="212">
        <v>1656379</v>
      </c>
      <c r="J631" s="605"/>
      <c r="K631" s="212">
        <v>1</v>
      </c>
      <c r="L631" s="212">
        <f t="shared" si="100"/>
        <v>1656379</v>
      </c>
      <c r="M631" s="602"/>
      <c r="N631" s="675">
        <f>+'Yeşil Defter'!K623</f>
        <v>0</v>
      </c>
      <c r="O631" s="675">
        <f>+'Yeşil Defter'!L623</f>
        <v>0</v>
      </c>
      <c r="P631" s="675">
        <f>+'Yeşil Defter'!M623</f>
        <v>0</v>
      </c>
      <c r="Q631" s="212"/>
      <c r="R631" s="605">
        <f t="shared" si="101"/>
        <v>0</v>
      </c>
      <c r="S631" s="225">
        <f t="shared" si="99"/>
        <v>0</v>
      </c>
      <c r="T631" s="237">
        <f t="shared" si="102"/>
        <v>0</v>
      </c>
      <c r="X631" s="23" t="str">
        <f t="shared" si="98"/>
        <v>-</v>
      </c>
    </row>
    <row r="632" spans="1:24" ht="30" customHeight="1" x14ac:dyDescent="0.3">
      <c r="A632" s="262">
        <v>4</v>
      </c>
      <c r="C632" s="244">
        <v>345</v>
      </c>
      <c r="D632" s="213" t="s">
        <v>878</v>
      </c>
      <c r="E632" s="969" t="s">
        <v>879</v>
      </c>
      <c r="F632" s="970"/>
      <c r="G632" s="971"/>
      <c r="H632" s="544" t="s">
        <v>286</v>
      </c>
      <c r="I632" s="212">
        <v>10963100</v>
      </c>
      <c r="J632" s="605"/>
      <c r="K632" s="212">
        <v>1</v>
      </c>
      <c r="L632" s="212">
        <f t="shared" si="100"/>
        <v>10963100</v>
      </c>
      <c r="M632" s="602"/>
      <c r="N632" s="675">
        <f>+'Yeşil Defter'!K624</f>
        <v>0</v>
      </c>
      <c r="O632" s="675">
        <f>+'Yeşil Defter'!L624</f>
        <v>0</v>
      </c>
      <c r="P632" s="675">
        <f>+'Yeşil Defter'!M624</f>
        <v>0</v>
      </c>
      <c r="Q632" s="212"/>
      <c r="R632" s="605">
        <f t="shared" si="101"/>
        <v>0</v>
      </c>
      <c r="S632" s="225">
        <f t="shared" si="99"/>
        <v>0</v>
      </c>
      <c r="T632" s="237">
        <f t="shared" si="102"/>
        <v>0</v>
      </c>
      <c r="X632" s="23" t="str">
        <f t="shared" si="98"/>
        <v>-</v>
      </c>
    </row>
    <row r="633" spans="1:24" ht="30" customHeight="1" x14ac:dyDescent="0.3">
      <c r="A633" s="262">
        <v>4</v>
      </c>
      <c r="C633" s="244">
        <v>346</v>
      </c>
      <c r="D633" s="213" t="s">
        <v>880</v>
      </c>
      <c r="E633" s="969" t="s">
        <v>881</v>
      </c>
      <c r="F633" s="970"/>
      <c r="G633" s="971"/>
      <c r="H633" s="544" t="s">
        <v>286</v>
      </c>
      <c r="I633" s="212">
        <v>377400</v>
      </c>
      <c r="J633" s="605"/>
      <c r="K633" s="212">
        <v>1</v>
      </c>
      <c r="L633" s="212">
        <f t="shared" si="100"/>
        <v>377400</v>
      </c>
      <c r="M633" s="602"/>
      <c r="N633" s="675">
        <f>+'Yeşil Defter'!K625</f>
        <v>0</v>
      </c>
      <c r="O633" s="675">
        <f>+'Yeşil Defter'!L625</f>
        <v>0</v>
      </c>
      <c r="P633" s="675">
        <f>+'Yeşil Defter'!M625</f>
        <v>0</v>
      </c>
      <c r="Q633" s="212"/>
      <c r="R633" s="605">
        <f t="shared" si="101"/>
        <v>0</v>
      </c>
      <c r="S633" s="225">
        <f t="shared" si="99"/>
        <v>0</v>
      </c>
      <c r="T633" s="237">
        <f t="shared" si="102"/>
        <v>0</v>
      </c>
      <c r="X633" s="23" t="str">
        <f t="shared" si="98"/>
        <v>-</v>
      </c>
    </row>
    <row r="634" spans="1:24" ht="30" customHeight="1" x14ac:dyDescent="0.3">
      <c r="A634" s="262">
        <v>4</v>
      </c>
      <c r="C634" s="244">
        <v>347</v>
      </c>
      <c r="D634" s="213" t="s">
        <v>882</v>
      </c>
      <c r="E634" s="969" t="s">
        <v>883</v>
      </c>
      <c r="F634" s="970"/>
      <c r="G634" s="971"/>
      <c r="H634" s="544" t="s">
        <v>286</v>
      </c>
      <c r="I634" s="212">
        <v>521700</v>
      </c>
      <c r="J634" s="605"/>
      <c r="K634" s="212">
        <v>1</v>
      </c>
      <c r="L634" s="212">
        <f t="shared" si="100"/>
        <v>521700</v>
      </c>
      <c r="M634" s="602"/>
      <c r="N634" s="675">
        <f>+'Yeşil Defter'!K626</f>
        <v>0</v>
      </c>
      <c r="O634" s="675">
        <f>+'Yeşil Defter'!L626</f>
        <v>0</v>
      </c>
      <c r="P634" s="675">
        <f>+'Yeşil Defter'!M626</f>
        <v>0</v>
      </c>
      <c r="Q634" s="212"/>
      <c r="R634" s="605">
        <f t="shared" si="101"/>
        <v>0</v>
      </c>
      <c r="S634" s="225">
        <f t="shared" si="99"/>
        <v>0</v>
      </c>
      <c r="T634" s="237">
        <f t="shared" si="102"/>
        <v>0</v>
      </c>
      <c r="X634" s="23" t="str">
        <f t="shared" si="98"/>
        <v>-</v>
      </c>
    </row>
    <row r="635" spans="1:24" ht="30" customHeight="1" x14ac:dyDescent="0.3">
      <c r="A635" s="262">
        <v>4</v>
      </c>
      <c r="C635" s="244">
        <v>348</v>
      </c>
      <c r="D635" s="213" t="s">
        <v>884</v>
      </c>
      <c r="E635" s="969" t="s">
        <v>885</v>
      </c>
      <c r="F635" s="970"/>
      <c r="G635" s="971"/>
      <c r="H635" s="544" t="s">
        <v>286</v>
      </c>
      <c r="I635" s="212">
        <v>9020600</v>
      </c>
      <c r="J635" s="605"/>
      <c r="K635" s="212">
        <v>1</v>
      </c>
      <c r="L635" s="212">
        <f t="shared" si="100"/>
        <v>9020600</v>
      </c>
      <c r="M635" s="602"/>
      <c r="N635" s="675">
        <f>+'Yeşil Defter'!K627</f>
        <v>0</v>
      </c>
      <c r="O635" s="675">
        <f>+'Yeşil Defter'!L627</f>
        <v>0</v>
      </c>
      <c r="P635" s="675">
        <f>+'Yeşil Defter'!M627</f>
        <v>0</v>
      </c>
      <c r="Q635" s="212"/>
      <c r="R635" s="605">
        <f t="shared" si="101"/>
        <v>0</v>
      </c>
      <c r="S635" s="225">
        <f t="shared" si="99"/>
        <v>0</v>
      </c>
      <c r="T635" s="237">
        <f t="shared" si="102"/>
        <v>0</v>
      </c>
      <c r="X635" s="23" t="str">
        <f t="shared" si="98"/>
        <v>-</v>
      </c>
    </row>
    <row r="636" spans="1:24" ht="30" customHeight="1" x14ac:dyDescent="0.3">
      <c r="A636" s="262">
        <v>4</v>
      </c>
      <c r="C636" s="244">
        <v>349</v>
      </c>
      <c r="D636" s="213" t="s">
        <v>886</v>
      </c>
      <c r="E636" s="969" t="s">
        <v>887</v>
      </c>
      <c r="F636" s="970"/>
      <c r="G636" s="971"/>
      <c r="H636" s="544" t="s">
        <v>286</v>
      </c>
      <c r="I636" s="212">
        <v>1487400</v>
      </c>
      <c r="J636" s="605"/>
      <c r="K636" s="212">
        <v>1</v>
      </c>
      <c r="L636" s="212">
        <f t="shared" si="100"/>
        <v>1487400</v>
      </c>
      <c r="M636" s="602"/>
      <c r="N636" s="675">
        <f>+'Yeşil Defter'!K628</f>
        <v>0</v>
      </c>
      <c r="O636" s="675">
        <f>+'Yeşil Defter'!L628</f>
        <v>0</v>
      </c>
      <c r="P636" s="675">
        <f>+'Yeşil Defter'!M628</f>
        <v>0</v>
      </c>
      <c r="Q636" s="212"/>
      <c r="R636" s="605">
        <f t="shared" si="101"/>
        <v>0</v>
      </c>
      <c r="S636" s="225">
        <f t="shared" si="99"/>
        <v>0</v>
      </c>
      <c r="T636" s="237">
        <f t="shared" si="102"/>
        <v>0</v>
      </c>
      <c r="X636" s="23" t="str">
        <f t="shared" si="98"/>
        <v>-</v>
      </c>
    </row>
    <row r="637" spans="1:24" ht="30" customHeight="1" x14ac:dyDescent="0.3">
      <c r="A637" s="262">
        <v>4</v>
      </c>
      <c r="C637" s="244"/>
      <c r="D637" s="213"/>
      <c r="E637" s="969"/>
      <c r="F637" s="970"/>
      <c r="G637" s="971"/>
      <c r="H637" s="161"/>
      <c r="I637" s="605"/>
      <c r="J637" s="605"/>
      <c r="K637" s="212"/>
      <c r="L637" s="341"/>
      <c r="M637" s="212"/>
      <c r="N637" s="605"/>
      <c r="O637" s="212"/>
      <c r="P637" s="341"/>
      <c r="Q637" s="212"/>
      <c r="R637" s="605"/>
      <c r="S637" s="225"/>
      <c r="T637" s="237"/>
      <c r="X637" s="23"/>
    </row>
    <row r="638" spans="1:24" ht="30" customHeight="1" x14ac:dyDescent="0.3">
      <c r="A638" s="262">
        <v>4</v>
      </c>
      <c r="C638" s="244"/>
      <c r="D638" s="213"/>
      <c r="E638" s="969"/>
      <c r="F638" s="970"/>
      <c r="G638" s="971"/>
      <c r="H638" s="161"/>
      <c r="I638" s="605"/>
      <c r="J638" s="605"/>
      <c r="K638" s="212"/>
      <c r="L638" s="341"/>
      <c r="M638" s="212"/>
      <c r="N638" s="605"/>
      <c r="O638" s="212"/>
      <c r="P638" s="341"/>
      <c r="Q638" s="212"/>
      <c r="R638" s="605"/>
      <c r="S638" s="225"/>
      <c r="T638" s="237"/>
      <c r="X638" s="23"/>
    </row>
    <row r="639" spans="1:24" ht="30" customHeight="1" x14ac:dyDescent="0.3">
      <c r="A639" s="262">
        <v>4</v>
      </c>
      <c r="C639" s="244"/>
      <c r="D639" s="213"/>
      <c r="E639" s="969"/>
      <c r="F639" s="970"/>
      <c r="G639" s="971"/>
      <c r="H639" s="161"/>
      <c r="I639" s="605"/>
      <c r="J639" s="605"/>
      <c r="K639" s="212"/>
      <c r="L639" s="341"/>
      <c r="M639" s="212"/>
      <c r="N639" s="605"/>
      <c r="O639" s="212"/>
      <c r="P639" s="341"/>
      <c r="Q639" s="212"/>
      <c r="R639" s="605"/>
      <c r="S639" s="225"/>
      <c r="T639" s="237"/>
      <c r="X639" s="23"/>
    </row>
    <row r="640" spans="1:24" ht="30" customHeight="1" x14ac:dyDescent="0.3">
      <c r="A640" s="262">
        <v>4</v>
      </c>
      <c r="C640" s="244"/>
      <c r="D640" s="213"/>
      <c r="E640" s="969"/>
      <c r="F640" s="970"/>
      <c r="G640" s="971"/>
      <c r="H640" s="161"/>
      <c r="I640" s="605"/>
      <c r="J640" s="605"/>
      <c r="K640" s="212"/>
      <c r="L640" s="341"/>
      <c r="M640" s="212"/>
      <c r="N640" s="605"/>
      <c r="O640" s="212"/>
      <c r="P640" s="341"/>
      <c r="Q640" s="212"/>
      <c r="R640" s="605"/>
      <c r="S640" s="225"/>
      <c r="T640" s="237"/>
      <c r="X640" s="23"/>
    </row>
    <row r="641" spans="1:24" ht="30" customHeight="1" x14ac:dyDescent="0.3">
      <c r="A641" s="262">
        <v>4</v>
      </c>
      <c r="C641" s="244"/>
      <c r="D641" s="213"/>
      <c r="E641" s="969"/>
      <c r="F641" s="970"/>
      <c r="G641" s="971"/>
      <c r="H641" s="161"/>
      <c r="I641" s="605"/>
      <c r="J641" s="605"/>
      <c r="K641" s="212"/>
      <c r="L641" s="341"/>
      <c r="M641" s="212"/>
      <c r="N641" s="605"/>
      <c r="O641" s="212"/>
      <c r="P641" s="341"/>
      <c r="Q641" s="212"/>
      <c r="R641" s="605"/>
      <c r="S641" s="225"/>
      <c r="T641" s="237"/>
      <c r="X641" s="23"/>
    </row>
    <row r="642" spans="1:24" ht="30" customHeight="1" x14ac:dyDescent="0.3">
      <c r="A642" s="262">
        <v>4</v>
      </c>
      <c r="C642" s="244"/>
      <c r="D642" s="213"/>
      <c r="E642" s="969"/>
      <c r="F642" s="970"/>
      <c r="G642" s="971"/>
      <c r="H642" s="161"/>
      <c r="I642" s="605"/>
      <c r="J642" s="605"/>
      <c r="K642" s="212"/>
      <c r="L642" s="341"/>
      <c r="M642" s="212"/>
      <c r="N642" s="605"/>
      <c r="O642" s="212"/>
      <c r="P642" s="341"/>
      <c r="Q642" s="212"/>
      <c r="R642" s="605"/>
      <c r="S642" s="225"/>
      <c r="T642" s="237"/>
      <c r="X642" s="23"/>
    </row>
    <row r="643" spans="1:24" ht="30" customHeight="1" x14ac:dyDescent="0.3">
      <c r="A643" s="262">
        <v>4</v>
      </c>
      <c r="C643" s="244"/>
      <c r="D643" s="213"/>
      <c r="E643" s="969"/>
      <c r="F643" s="970"/>
      <c r="G643" s="971"/>
      <c r="H643" s="161"/>
      <c r="I643" s="605"/>
      <c r="J643" s="605"/>
      <c r="K643" s="212"/>
      <c r="L643" s="341"/>
      <c r="M643" s="212"/>
      <c r="N643" s="605"/>
      <c r="O643" s="212"/>
      <c r="P643" s="341"/>
      <c r="Q643" s="212"/>
      <c r="R643" s="605"/>
      <c r="S643" s="225"/>
      <c r="T643" s="237"/>
      <c r="X643" s="23"/>
    </row>
    <row r="644" spans="1:24" ht="30" customHeight="1" x14ac:dyDescent="0.3">
      <c r="A644" s="262">
        <v>4</v>
      </c>
      <c r="C644" s="244"/>
      <c r="D644" s="213"/>
      <c r="E644" s="969"/>
      <c r="F644" s="970"/>
      <c r="G644" s="971"/>
      <c r="H644" s="161"/>
      <c r="I644" s="605"/>
      <c r="J644" s="605"/>
      <c r="K644" s="212"/>
      <c r="L644" s="341"/>
      <c r="M644" s="212"/>
      <c r="N644" s="605"/>
      <c r="O644" s="212"/>
      <c r="P644" s="341"/>
      <c r="Q644" s="212"/>
      <c r="R644" s="605"/>
      <c r="S644" s="225"/>
      <c r="T644" s="237"/>
      <c r="X644" s="23"/>
    </row>
    <row r="645" spans="1:24" ht="30" customHeight="1" x14ac:dyDescent="0.3">
      <c r="A645" s="262">
        <v>4</v>
      </c>
      <c r="C645" s="244"/>
      <c r="D645" s="213"/>
      <c r="E645" s="969"/>
      <c r="F645" s="970"/>
      <c r="G645" s="971"/>
      <c r="H645" s="161"/>
      <c r="I645" s="605"/>
      <c r="J645" s="605"/>
      <c r="K645" s="212"/>
      <c r="L645" s="341"/>
      <c r="M645" s="212"/>
      <c r="N645" s="605"/>
      <c r="O645" s="212"/>
      <c r="P645" s="341"/>
      <c r="Q645" s="212"/>
      <c r="R645" s="605"/>
      <c r="S645" s="225"/>
      <c r="T645" s="237"/>
      <c r="X645" s="23"/>
    </row>
    <row r="646" spans="1:24" ht="30" customHeight="1" x14ac:dyDescent="0.3">
      <c r="A646" s="262">
        <v>4</v>
      </c>
      <c r="C646" s="244"/>
      <c r="D646" s="213"/>
      <c r="E646" s="969"/>
      <c r="F646" s="970"/>
      <c r="G646" s="971"/>
      <c r="H646" s="161"/>
      <c r="I646" s="605"/>
      <c r="J646" s="605"/>
      <c r="K646" s="212"/>
      <c r="L646" s="341"/>
      <c r="M646" s="212"/>
      <c r="N646" s="605"/>
      <c r="O646" s="212"/>
      <c r="P646" s="341"/>
      <c r="Q646" s="212"/>
      <c r="R646" s="605"/>
      <c r="S646" s="225"/>
      <c r="T646" s="237"/>
      <c r="X646" s="23"/>
    </row>
    <row r="647" spans="1:24" ht="30" customHeight="1" x14ac:dyDescent="0.3">
      <c r="A647" s="262">
        <v>4</v>
      </c>
      <c r="C647" s="244"/>
      <c r="D647" s="213"/>
      <c r="E647" s="969"/>
      <c r="F647" s="970"/>
      <c r="G647" s="971"/>
      <c r="H647" s="658"/>
      <c r="I647" s="605"/>
      <c r="J647" s="605"/>
      <c r="K647" s="212"/>
      <c r="L647" s="341"/>
      <c r="M647" s="302"/>
      <c r="N647" s="605"/>
      <c r="O647" s="212"/>
      <c r="P647" s="341"/>
      <c r="Q647" s="302"/>
      <c r="R647" s="605"/>
      <c r="S647" s="225"/>
      <c r="T647" s="237"/>
      <c r="X647" s="23"/>
    </row>
    <row r="648" spans="1:24" ht="40.049999999999997" customHeight="1" x14ac:dyDescent="0.3">
      <c r="A648" s="262" t="s">
        <v>1242</v>
      </c>
      <c r="C648" s="258"/>
      <c r="D648" s="258"/>
      <c r="E648" s="972" t="s">
        <v>33</v>
      </c>
      <c r="F648" s="972"/>
      <c r="G648" s="972"/>
      <c r="H648" s="973" t="s">
        <v>29</v>
      </c>
      <c r="I648" s="973"/>
      <c r="J648" s="973"/>
      <c r="K648" s="973"/>
      <c r="L648" s="973"/>
      <c r="M648" s="549"/>
      <c r="N648" s="973" t="s">
        <v>22</v>
      </c>
      <c r="O648" s="973"/>
      <c r="P648" s="973"/>
      <c r="Q648" s="973"/>
      <c r="R648" s="973"/>
      <c r="S648" s="973"/>
      <c r="T648" s="973"/>
      <c r="X648" s="23"/>
    </row>
    <row r="649" spans="1:24" ht="19.95" customHeight="1" x14ac:dyDescent="0.3">
      <c r="A649" s="262" t="s">
        <v>1242</v>
      </c>
      <c r="D649" s="28"/>
      <c r="E649" s="974" t="s">
        <v>1214</v>
      </c>
      <c r="F649" s="974"/>
      <c r="G649" s="974"/>
      <c r="H649" s="975" t="s">
        <v>38</v>
      </c>
      <c r="I649" s="975"/>
      <c r="J649" s="975"/>
      <c r="K649" s="975"/>
      <c r="L649" s="975"/>
      <c r="M649" s="562"/>
      <c r="N649" s="975" t="s">
        <v>1437</v>
      </c>
      <c r="O649" s="975"/>
      <c r="P649" s="975"/>
      <c r="Q649" s="975"/>
      <c r="R649" s="975"/>
      <c r="S649" s="975"/>
      <c r="T649" s="975"/>
      <c r="X649" s="23"/>
    </row>
    <row r="650" spans="1:24" ht="19.95" customHeight="1" x14ac:dyDescent="0.3">
      <c r="A650" s="262" t="s">
        <v>1242</v>
      </c>
      <c r="C650" s="228"/>
      <c r="D650" s="228"/>
      <c r="E650" s="561"/>
      <c r="F650" s="561"/>
      <c r="G650" s="561"/>
      <c r="H650" s="975" t="s">
        <v>32</v>
      </c>
      <c r="I650" s="975"/>
      <c r="J650" s="562"/>
      <c r="K650" s="975" t="s">
        <v>1407</v>
      </c>
      <c r="L650" s="975"/>
      <c r="M650" s="260"/>
      <c r="N650" s="975"/>
      <c r="O650" s="975"/>
      <c r="P650" s="975"/>
      <c r="Q650" s="975"/>
      <c r="R650" s="975"/>
      <c r="S650" s="975"/>
      <c r="T650" s="975"/>
      <c r="X650" s="23"/>
    </row>
    <row r="651" spans="1:24" ht="19.95" customHeight="1" x14ac:dyDescent="0.3">
      <c r="A651" s="262" t="s">
        <v>1242</v>
      </c>
      <c r="C651" s="228"/>
      <c r="D651" s="228"/>
      <c r="E651" s="561"/>
      <c r="F651" s="561"/>
      <c r="G651" s="561"/>
      <c r="H651" s="976" t="s">
        <v>94</v>
      </c>
      <c r="I651" s="976"/>
      <c r="J651" s="623"/>
      <c r="K651" s="976" t="s">
        <v>94</v>
      </c>
      <c r="L651" s="976"/>
      <c r="M651" s="260"/>
      <c r="N651" s="975"/>
      <c r="O651" s="975"/>
      <c r="P651" s="975"/>
      <c r="Q651" s="975"/>
      <c r="R651" s="975"/>
      <c r="S651" s="975"/>
      <c r="T651" s="975"/>
      <c r="X651" s="23"/>
    </row>
    <row r="652" spans="1:24" ht="19.95" customHeight="1" x14ac:dyDescent="0.3">
      <c r="A652" s="262" t="s">
        <v>1242</v>
      </c>
      <c r="C652" s="228"/>
      <c r="D652" s="228"/>
      <c r="E652" s="561"/>
      <c r="F652" s="561"/>
      <c r="G652" s="561"/>
      <c r="H652" s="976"/>
      <c r="I652" s="976"/>
      <c r="J652" s="623"/>
      <c r="K652" s="976"/>
      <c r="L652" s="976"/>
      <c r="M652" s="261"/>
      <c r="N652" s="260"/>
      <c r="O652" s="260"/>
      <c r="P652" s="260"/>
      <c r="Q652" s="260"/>
      <c r="R652" s="260"/>
      <c r="S652" s="260"/>
      <c r="T652" s="260"/>
      <c r="X652" s="23"/>
    </row>
    <row r="653" spans="1:24" ht="19.95" customHeight="1" x14ac:dyDescent="0.3">
      <c r="A653" s="262" t="s">
        <v>1242</v>
      </c>
      <c r="C653" s="228"/>
      <c r="D653" s="228"/>
      <c r="E653" s="561"/>
      <c r="F653" s="561"/>
      <c r="G653" s="561"/>
      <c r="H653" s="975"/>
      <c r="I653" s="975"/>
      <c r="J653" s="562"/>
      <c r="K653" s="975"/>
      <c r="L653" s="975"/>
      <c r="M653" s="562"/>
      <c r="N653" s="968" t="s">
        <v>52</v>
      </c>
      <c r="O653" s="968"/>
      <c r="P653" s="968"/>
      <c r="Q653" s="260"/>
      <c r="R653" s="968" t="s">
        <v>28</v>
      </c>
      <c r="S653" s="968"/>
      <c r="T653" s="968"/>
      <c r="X653" s="23"/>
    </row>
    <row r="654" spans="1:24" ht="19.95" customHeight="1" x14ac:dyDescent="0.3">
      <c r="A654" s="262" t="s">
        <v>1242</v>
      </c>
      <c r="C654" s="228"/>
      <c r="D654" s="228"/>
      <c r="E654" s="561"/>
      <c r="F654" s="561"/>
      <c r="G654" s="561"/>
      <c r="H654" s="976" t="s">
        <v>1220</v>
      </c>
      <c r="I654" s="976"/>
      <c r="J654" s="976"/>
      <c r="K654" s="976"/>
      <c r="L654" s="976"/>
      <c r="M654" s="623"/>
      <c r="N654" s="968" t="s">
        <v>1485</v>
      </c>
      <c r="O654" s="968"/>
      <c r="P654" s="968"/>
      <c r="Q654" s="260"/>
      <c r="R654" s="968" t="s">
        <v>1486</v>
      </c>
      <c r="S654" s="968"/>
      <c r="T654" s="968"/>
      <c r="X654" s="23"/>
    </row>
    <row r="655" spans="1:24" ht="19.95" customHeight="1" x14ac:dyDescent="0.3">
      <c r="A655" s="262" t="s">
        <v>1242</v>
      </c>
      <c r="C655" s="228"/>
      <c r="D655" s="228"/>
      <c r="E655" s="561"/>
      <c r="F655" s="561"/>
      <c r="G655" s="561"/>
      <c r="H655" s="976"/>
      <c r="I655" s="976"/>
      <c r="J655" s="976"/>
      <c r="K655" s="976"/>
      <c r="L655" s="976"/>
      <c r="M655" s="623"/>
      <c r="N655" s="968"/>
      <c r="O655" s="968"/>
      <c r="P655" s="968"/>
      <c r="Q655" s="260"/>
      <c r="R655" s="968"/>
      <c r="S655" s="968"/>
      <c r="T655" s="968"/>
      <c r="X655" s="23"/>
    </row>
    <row r="656" spans="1:24" ht="19.95" customHeight="1" x14ac:dyDescent="0.3">
      <c r="A656" s="262" t="s">
        <v>1242</v>
      </c>
      <c r="C656" s="228"/>
      <c r="D656" s="228"/>
      <c r="E656" s="561"/>
      <c r="F656" s="561"/>
      <c r="G656" s="561"/>
      <c r="H656" s="228"/>
      <c r="I656" s="260"/>
      <c r="J656" s="260"/>
      <c r="K656" s="260"/>
      <c r="L656" s="260"/>
      <c r="M656" s="260"/>
      <c r="N656" s="260"/>
      <c r="O656" s="260"/>
      <c r="P656" s="260"/>
      <c r="Q656" s="260"/>
      <c r="R656" s="260"/>
      <c r="S656" s="624"/>
      <c r="T656" s="260"/>
      <c r="X656" s="23"/>
    </row>
    <row r="657" spans="1:24" ht="19.95" customHeight="1" x14ac:dyDescent="0.3">
      <c r="A657" s="262" t="s">
        <v>1242</v>
      </c>
      <c r="C657" s="228"/>
      <c r="D657" s="228"/>
      <c r="E657" s="975" t="s">
        <v>1215</v>
      </c>
      <c r="F657" s="975"/>
      <c r="G657" s="975"/>
      <c r="H657" s="975" t="s">
        <v>1348</v>
      </c>
      <c r="I657" s="975"/>
      <c r="J657" s="975"/>
      <c r="K657" s="975"/>
      <c r="L657" s="975"/>
      <c r="M657" s="562"/>
      <c r="N657" s="977" t="s">
        <v>1219</v>
      </c>
      <c r="O657" s="968"/>
      <c r="P657" s="968"/>
      <c r="Q657" s="968"/>
      <c r="R657" s="968"/>
      <c r="S657" s="968"/>
      <c r="T657" s="968"/>
      <c r="X657" s="23"/>
    </row>
    <row r="658" spans="1:24" ht="19.95" customHeight="1" x14ac:dyDescent="0.3">
      <c r="A658" s="262" t="s">
        <v>1290</v>
      </c>
      <c r="C658" s="228"/>
      <c r="D658" s="228"/>
      <c r="E658" s="975"/>
      <c r="F658" s="975"/>
      <c r="G658" s="975"/>
      <c r="H658" s="975"/>
      <c r="I658" s="975"/>
      <c r="J658" s="975"/>
      <c r="K658" s="975"/>
      <c r="L658" s="975"/>
      <c r="M658" s="562"/>
      <c r="N658" s="968"/>
      <c r="O658" s="968"/>
      <c r="P658" s="968"/>
      <c r="Q658" s="968"/>
      <c r="R658" s="968"/>
      <c r="S658" s="968"/>
      <c r="T658" s="968"/>
      <c r="X658" s="23"/>
    </row>
    <row r="659" spans="1:24" ht="30" customHeight="1" x14ac:dyDescent="0.3">
      <c r="A659" s="262" t="s">
        <v>1240</v>
      </c>
      <c r="C659" s="625"/>
      <c r="D659" s="626" t="s">
        <v>1232</v>
      </c>
      <c r="E659" s="627"/>
      <c r="F659" s="627"/>
      <c r="G659" s="627"/>
      <c r="H659" s="627"/>
      <c r="I659" s="628"/>
      <c r="J659" s="628"/>
      <c r="K659" s="628"/>
      <c r="L659" s="644">
        <f>+SUMIFS(L:L,A:A,"5")</f>
        <v>274307568</v>
      </c>
      <c r="M659" s="629"/>
      <c r="N659" s="648"/>
      <c r="O659" s="628"/>
      <c r="P659" s="628"/>
      <c r="Q659" s="611"/>
      <c r="R659" s="651">
        <f>+SUMIFS(R:R,A:A,"5")</f>
        <v>0</v>
      </c>
      <c r="S659" s="630">
        <f>+SUMIFS(S:S,A:A,"5")</f>
        <v>0</v>
      </c>
      <c r="T659" s="631">
        <f>+SUMIFS(T:T,A:A,"5")</f>
        <v>0</v>
      </c>
      <c r="X659" s="23" t="str">
        <f t="shared" ref="X659:X715" si="103">IF(AND(P660&gt;K660*1.2, (P660-K660)*I660 &gt; $L$13*0.01), "RBF", "-")</f>
        <v>-</v>
      </c>
    </row>
    <row r="660" spans="1:24" ht="30" customHeight="1" x14ac:dyDescent="0.3">
      <c r="A660" s="262">
        <v>5</v>
      </c>
      <c r="C660" s="244">
        <v>350</v>
      </c>
      <c r="D660" s="161" t="s">
        <v>888</v>
      </c>
      <c r="E660" s="969" t="s">
        <v>889</v>
      </c>
      <c r="F660" s="970"/>
      <c r="G660" s="971"/>
      <c r="H660" s="544" t="s">
        <v>286</v>
      </c>
      <c r="I660" s="212">
        <v>5075000</v>
      </c>
      <c r="J660" s="605"/>
      <c r="K660" s="212">
        <v>1</v>
      </c>
      <c r="L660" s="212">
        <f t="shared" ref="L660:L677" si="104">+ROUND(I660*K660,2)</f>
        <v>5075000</v>
      </c>
      <c r="M660" s="602"/>
      <c r="N660" s="675">
        <f>+'Yeşil Defter'!K664</f>
        <v>0</v>
      </c>
      <c r="O660" s="675">
        <f>+'Yeşil Defter'!L664</f>
        <v>0</v>
      </c>
      <c r="P660" s="675">
        <f>+'Yeşil Defter'!M664</f>
        <v>0</v>
      </c>
      <c r="Q660" s="212"/>
      <c r="R660" s="605">
        <f t="shared" ref="R660:R662" si="105">+ROUND(L660*N660,2)</f>
        <v>0</v>
      </c>
      <c r="S660" s="225">
        <f t="shared" ref="S660:S662" si="106">+ROUND(L660*O660,2)</f>
        <v>0</v>
      </c>
      <c r="T660" s="237">
        <f t="shared" ref="T660:T662" si="107">+ROUND(L660*P660,2)</f>
        <v>0</v>
      </c>
      <c r="X660" s="23" t="str">
        <f t="shared" si="103"/>
        <v>-</v>
      </c>
    </row>
    <row r="661" spans="1:24" ht="30" customHeight="1" x14ac:dyDescent="0.3">
      <c r="A661" s="262">
        <v>5</v>
      </c>
      <c r="C661" s="244">
        <v>351</v>
      </c>
      <c r="D661" s="161" t="s">
        <v>890</v>
      </c>
      <c r="E661" s="969" t="s">
        <v>891</v>
      </c>
      <c r="F661" s="970"/>
      <c r="G661" s="971"/>
      <c r="H661" s="544" t="s">
        <v>286</v>
      </c>
      <c r="I661" s="212">
        <v>2081250</v>
      </c>
      <c r="J661" s="605"/>
      <c r="K661" s="212">
        <v>1</v>
      </c>
      <c r="L661" s="212">
        <f t="shared" si="104"/>
        <v>2081250</v>
      </c>
      <c r="M661" s="602"/>
      <c r="N661" s="675">
        <f>+'Yeşil Defter'!K665</f>
        <v>0</v>
      </c>
      <c r="O661" s="675">
        <f>+'Yeşil Defter'!L665</f>
        <v>0</v>
      </c>
      <c r="P661" s="675">
        <f>+'Yeşil Defter'!M665</f>
        <v>0</v>
      </c>
      <c r="Q661" s="212"/>
      <c r="R661" s="605">
        <f t="shared" si="105"/>
        <v>0</v>
      </c>
      <c r="S661" s="225">
        <f t="shared" si="106"/>
        <v>0</v>
      </c>
      <c r="T661" s="237">
        <f t="shared" si="107"/>
        <v>0</v>
      </c>
      <c r="X661" s="23" t="str">
        <f t="shared" si="103"/>
        <v>-</v>
      </c>
    </row>
    <row r="662" spans="1:24" ht="30" customHeight="1" x14ac:dyDescent="0.3">
      <c r="A662" s="262">
        <v>5</v>
      </c>
      <c r="C662" s="244">
        <v>352</v>
      </c>
      <c r="D662" s="161" t="s">
        <v>892</v>
      </c>
      <c r="E662" s="969" t="s">
        <v>893</v>
      </c>
      <c r="F662" s="970"/>
      <c r="G662" s="971"/>
      <c r="H662" s="544" t="s">
        <v>286</v>
      </c>
      <c r="I662" s="212">
        <v>2081250</v>
      </c>
      <c r="J662" s="605"/>
      <c r="K662" s="212">
        <v>1</v>
      </c>
      <c r="L662" s="212">
        <f t="shared" si="104"/>
        <v>2081250</v>
      </c>
      <c r="M662" s="602"/>
      <c r="N662" s="675">
        <f>+'Yeşil Defter'!K666</f>
        <v>0</v>
      </c>
      <c r="O662" s="675">
        <f>+'Yeşil Defter'!L666</f>
        <v>0</v>
      </c>
      <c r="P662" s="675">
        <f>+'Yeşil Defter'!M666</f>
        <v>0</v>
      </c>
      <c r="Q662" s="212"/>
      <c r="R662" s="605">
        <f t="shared" si="105"/>
        <v>0</v>
      </c>
      <c r="S662" s="225">
        <f t="shared" si="106"/>
        <v>0</v>
      </c>
      <c r="T662" s="237">
        <f t="shared" si="107"/>
        <v>0</v>
      </c>
      <c r="X662" s="23" t="str">
        <f t="shared" si="103"/>
        <v>-</v>
      </c>
    </row>
    <row r="663" spans="1:24" ht="30" customHeight="1" x14ac:dyDescent="0.3">
      <c r="A663" s="262">
        <v>5</v>
      </c>
      <c r="C663" s="244">
        <v>353</v>
      </c>
      <c r="D663" s="161" t="s">
        <v>894</v>
      </c>
      <c r="E663" s="969" t="s">
        <v>895</v>
      </c>
      <c r="F663" s="970"/>
      <c r="G663" s="971"/>
      <c r="H663" s="544" t="s">
        <v>286</v>
      </c>
      <c r="I663" s="212">
        <v>17280388</v>
      </c>
      <c r="J663" s="605"/>
      <c r="K663" s="212">
        <v>1</v>
      </c>
      <c r="L663" s="212">
        <f t="shared" si="104"/>
        <v>17280388</v>
      </c>
      <c r="M663" s="602"/>
      <c r="N663" s="675">
        <f>+'Yeşil Defter'!K667</f>
        <v>0</v>
      </c>
      <c r="O663" s="675">
        <f>+'Yeşil Defter'!L667</f>
        <v>0</v>
      </c>
      <c r="P663" s="675">
        <f>+'Yeşil Defter'!M667</f>
        <v>0</v>
      </c>
      <c r="Q663" s="212"/>
      <c r="R663" s="605">
        <f t="shared" ref="R663:R677" si="108">+ROUND(K663*N663,2)</f>
        <v>0</v>
      </c>
      <c r="S663" s="225">
        <f t="shared" ref="S663:S669" si="109">+T663-R663</f>
        <v>0</v>
      </c>
      <c r="T663" s="237">
        <f t="shared" ref="T663:T677" si="110">+ROUND(K663*P663,2)</f>
        <v>0</v>
      </c>
      <c r="X663" s="23" t="str">
        <f t="shared" si="103"/>
        <v>-</v>
      </c>
    </row>
    <row r="664" spans="1:24" ht="30" customHeight="1" x14ac:dyDescent="0.3">
      <c r="A664" s="262">
        <v>5</v>
      </c>
      <c r="C664" s="244">
        <v>354</v>
      </c>
      <c r="D664" s="161" t="s">
        <v>896</v>
      </c>
      <c r="E664" s="969" t="s">
        <v>897</v>
      </c>
      <c r="F664" s="970"/>
      <c r="G664" s="971"/>
      <c r="H664" s="544" t="s">
        <v>286</v>
      </c>
      <c r="I664" s="212">
        <v>17280388</v>
      </c>
      <c r="J664" s="605"/>
      <c r="K664" s="212">
        <v>1</v>
      </c>
      <c r="L664" s="212">
        <f t="shared" si="104"/>
        <v>17280388</v>
      </c>
      <c r="M664" s="602"/>
      <c r="N664" s="675">
        <f>+'Yeşil Defter'!K668</f>
        <v>0</v>
      </c>
      <c r="O664" s="675">
        <f>+'Yeşil Defter'!L668</f>
        <v>0</v>
      </c>
      <c r="P664" s="675">
        <f>+'Yeşil Defter'!M668</f>
        <v>0</v>
      </c>
      <c r="Q664" s="212"/>
      <c r="R664" s="605">
        <f t="shared" si="108"/>
        <v>0</v>
      </c>
      <c r="S664" s="225">
        <f t="shared" si="109"/>
        <v>0</v>
      </c>
      <c r="T664" s="237">
        <f t="shared" si="110"/>
        <v>0</v>
      </c>
      <c r="X664" s="23" t="str">
        <f t="shared" si="103"/>
        <v>-</v>
      </c>
    </row>
    <row r="665" spans="1:24" ht="30" customHeight="1" x14ac:dyDescent="0.3">
      <c r="A665" s="262">
        <v>5</v>
      </c>
      <c r="C665" s="244">
        <v>355</v>
      </c>
      <c r="D665" s="161" t="s">
        <v>898</v>
      </c>
      <c r="E665" s="969" t="s">
        <v>899</v>
      </c>
      <c r="F665" s="970"/>
      <c r="G665" s="971"/>
      <c r="H665" s="544" t="s">
        <v>286</v>
      </c>
      <c r="I665" s="212">
        <v>17280388</v>
      </c>
      <c r="J665" s="605"/>
      <c r="K665" s="212">
        <v>1</v>
      </c>
      <c r="L665" s="212">
        <f t="shared" si="104"/>
        <v>17280388</v>
      </c>
      <c r="M665" s="602"/>
      <c r="N665" s="675">
        <f>+'Yeşil Defter'!K669</f>
        <v>0</v>
      </c>
      <c r="O665" s="675">
        <f>+'Yeşil Defter'!L669</f>
        <v>0</v>
      </c>
      <c r="P665" s="675">
        <f>+'Yeşil Defter'!M669</f>
        <v>0</v>
      </c>
      <c r="Q665" s="212"/>
      <c r="R665" s="605">
        <f t="shared" si="108"/>
        <v>0</v>
      </c>
      <c r="S665" s="225">
        <f t="shared" si="109"/>
        <v>0</v>
      </c>
      <c r="T665" s="237">
        <f t="shared" si="110"/>
        <v>0</v>
      </c>
      <c r="X665" s="23" t="str">
        <f t="shared" si="103"/>
        <v>-</v>
      </c>
    </row>
    <row r="666" spans="1:24" ht="30" customHeight="1" x14ac:dyDescent="0.3">
      <c r="A666" s="262">
        <v>5</v>
      </c>
      <c r="C666" s="244">
        <v>356</v>
      </c>
      <c r="D666" s="161" t="s">
        <v>900</v>
      </c>
      <c r="E666" s="969" t="s">
        <v>901</v>
      </c>
      <c r="F666" s="970"/>
      <c r="G666" s="971"/>
      <c r="H666" s="544" t="s">
        <v>286</v>
      </c>
      <c r="I666" s="212">
        <v>17280388</v>
      </c>
      <c r="J666" s="605"/>
      <c r="K666" s="212">
        <v>1</v>
      </c>
      <c r="L666" s="212">
        <f t="shared" si="104"/>
        <v>17280388</v>
      </c>
      <c r="M666" s="602"/>
      <c r="N666" s="675">
        <f>+'Yeşil Defter'!K670</f>
        <v>0</v>
      </c>
      <c r="O666" s="675">
        <f>+'Yeşil Defter'!L670</f>
        <v>0</v>
      </c>
      <c r="P666" s="675">
        <f>+'Yeşil Defter'!M670</f>
        <v>0</v>
      </c>
      <c r="Q666" s="212"/>
      <c r="R666" s="605">
        <f t="shared" si="108"/>
        <v>0</v>
      </c>
      <c r="S666" s="225">
        <f t="shared" si="109"/>
        <v>0</v>
      </c>
      <c r="T666" s="237">
        <f t="shared" si="110"/>
        <v>0</v>
      </c>
      <c r="X666" s="23" t="str">
        <f t="shared" si="103"/>
        <v>-</v>
      </c>
    </row>
    <row r="667" spans="1:24" ht="30" customHeight="1" x14ac:dyDescent="0.3">
      <c r="A667" s="262">
        <v>5</v>
      </c>
      <c r="C667" s="244">
        <v>357</v>
      </c>
      <c r="D667" s="161" t="s">
        <v>902</v>
      </c>
      <c r="E667" s="969" t="s">
        <v>903</v>
      </c>
      <c r="F667" s="970"/>
      <c r="G667" s="971"/>
      <c r="H667" s="544" t="s">
        <v>286</v>
      </c>
      <c r="I667" s="212">
        <v>17280388</v>
      </c>
      <c r="J667" s="605"/>
      <c r="K667" s="212">
        <v>1</v>
      </c>
      <c r="L667" s="212">
        <f t="shared" si="104"/>
        <v>17280388</v>
      </c>
      <c r="M667" s="602"/>
      <c r="N667" s="675">
        <f>+'Yeşil Defter'!K671</f>
        <v>0</v>
      </c>
      <c r="O667" s="675">
        <f>+'Yeşil Defter'!L671</f>
        <v>0</v>
      </c>
      <c r="P667" s="675">
        <f>+'Yeşil Defter'!M671</f>
        <v>0</v>
      </c>
      <c r="Q667" s="212"/>
      <c r="R667" s="605">
        <f t="shared" si="108"/>
        <v>0</v>
      </c>
      <c r="S667" s="225">
        <f t="shared" si="109"/>
        <v>0</v>
      </c>
      <c r="T667" s="237">
        <f t="shared" si="110"/>
        <v>0</v>
      </c>
      <c r="X667" s="23" t="str">
        <f t="shared" si="103"/>
        <v>-</v>
      </c>
    </row>
    <row r="668" spans="1:24" ht="30" customHeight="1" x14ac:dyDescent="0.3">
      <c r="A668" s="262">
        <v>5</v>
      </c>
      <c r="C668" s="244">
        <v>358</v>
      </c>
      <c r="D668" s="161" t="s">
        <v>904</v>
      </c>
      <c r="E668" s="969" t="s">
        <v>905</v>
      </c>
      <c r="F668" s="970"/>
      <c r="G668" s="971"/>
      <c r="H668" s="544" t="s">
        <v>286</v>
      </c>
      <c r="I668" s="212">
        <v>30092779</v>
      </c>
      <c r="J668" s="605"/>
      <c r="K668" s="212">
        <v>1</v>
      </c>
      <c r="L668" s="212">
        <f t="shared" si="104"/>
        <v>30092779</v>
      </c>
      <c r="M668" s="602"/>
      <c r="N668" s="675">
        <f>+'Yeşil Defter'!K672</f>
        <v>0</v>
      </c>
      <c r="O668" s="675">
        <f>+'Yeşil Defter'!L672</f>
        <v>0</v>
      </c>
      <c r="P668" s="675">
        <f>+'Yeşil Defter'!M672</f>
        <v>0</v>
      </c>
      <c r="Q668" s="212"/>
      <c r="R668" s="605">
        <f t="shared" si="108"/>
        <v>0</v>
      </c>
      <c r="S668" s="225">
        <f t="shared" si="109"/>
        <v>0</v>
      </c>
      <c r="T668" s="237">
        <f t="shared" si="110"/>
        <v>0</v>
      </c>
      <c r="X668" s="23" t="str">
        <f t="shared" si="103"/>
        <v>-</v>
      </c>
    </row>
    <row r="669" spans="1:24" ht="30" customHeight="1" x14ac:dyDescent="0.3">
      <c r="A669" s="262">
        <v>5</v>
      </c>
      <c r="C669" s="244">
        <v>359</v>
      </c>
      <c r="D669" s="161" t="s">
        <v>906</v>
      </c>
      <c r="E669" s="969" t="s">
        <v>907</v>
      </c>
      <c r="F669" s="970"/>
      <c r="G669" s="971"/>
      <c r="H669" s="544" t="s">
        <v>286</v>
      </c>
      <c r="I669" s="212">
        <v>32859931</v>
      </c>
      <c r="J669" s="605"/>
      <c r="K669" s="212">
        <v>1</v>
      </c>
      <c r="L669" s="212">
        <f t="shared" si="104"/>
        <v>32859931</v>
      </c>
      <c r="M669" s="602"/>
      <c r="N669" s="675">
        <f>+'Yeşil Defter'!K673</f>
        <v>0</v>
      </c>
      <c r="O669" s="675">
        <f>+'Yeşil Defter'!L673</f>
        <v>0</v>
      </c>
      <c r="P669" s="675">
        <f>+'Yeşil Defter'!M673</f>
        <v>0</v>
      </c>
      <c r="Q669" s="212"/>
      <c r="R669" s="605">
        <f t="shared" si="108"/>
        <v>0</v>
      </c>
      <c r="S669" s="225">
        <f t="shared" si="109"/>
        <v>0</v>
      </c>
      <c r="T669" s="237">
        <f t="shared" si="110"/>
        <v>0</v>
      </c>
      <c r="X669" s="23" t="str">
        <f t="shared" si="103"/>
        <v>-</v>
      </c>
    </row>
    <row r="670" spans="1:24" ht="30" customHeight="1" x14ac:dyDescent="0.3">
      <c r="A670" s="262">
        <v>5</v>
      </c>
      <c r="C670" s="244">
        <v>360</v>
      </c>
      <c r="D670" s="161" t="s">
        <v>908</v>
      </c>
      <c r="E670" s="969" t="s">
        <v>909</v>
      </c>
      <c r="F670" s="970"/>
      <c r="G670" s="971"/>
      <c r="H670" s="544" t="s">
        <v>286</v>
      </c>
      <c r="I670" s="212">
        <v>34589401</v>
      </c>
      <c r="J670" s="605"/>
      <c r="K670" s="212">
        <v>1</v>
      </c>
      <c r="L670" s="212">
        <f t="shared" si="104"/>
        <v>34589401</v>
      </c>
      <c r="M670" s="602"/>
      <c r="N670" s="675">
        <f>+'Yeşil Defter'!K674</f>
        <v>0</v>
      </c>
      <c r="O670" s="675">
        <f>+'Yeşil Defter'!L674</f>
        <v>0</v>
      </c>
      <c r="P670" s="675">
        <f>+'Yeşil Defter'!M674</f>
        <v>0</v>
      </c>
      <c r="Q670" s="212"/>
      <c r="R670" s="605">
        <f t="shared" si="108"/>
        <v>0</v>
      </c>
      <c r="S670" s="225">
        <f t="shared" si="99"/>
        <v>0</v>
      </c>
      <c r="T670" s="237">
        <f t="shared" si="110"/>
        <v>0</v>
      </c>
      <c r="X670" s="23" t="str">
        <f t="shared" si="103"/>
        <v>-</v>
      </c>
    </row>
    <row r="671" spans="1:24" ht="30" customHeight="1" x14ac:dyDescent="0.3">
      <c r="A671" s="262">
        <v>5</v>
      </c>
      <c r="C671" s="244">
        <v>361</v>
      </c>
      <c r="D671" s="161" t="s">
        <v>910</v>
      </c>
      <c r="E671" s="969" t="s">
        <v>911</v>
      </c>
      <c r="F671" s="970"/>
      <c r="G671" s="971"/>
      <c r="H671" s="544" t="s">
        <v>286</v>
      </c>
      <c r="I671" s="212">
        <v>31130461</v>
      </c>
      <c r="J671" s="605"/>
      <c r="K671" s="212">
        <v>1</v>
      </c>
      <c r="L671" s="212">
        <f t="shared" si="104"/>
        <v>31130461</v>
      </c>
      <c r="M671" s="602"/>
      <c r="N671" s="675">
        <f>+'Yeşil Defter'!K675</f>
        <v>0</v>
      </c>
      <c r="O671" s="675">
        <f>+'Yeşil Defter'!L675</f>
        <v>0</v>
      </c>
      <c r="P671" s="675">
        <f>+'Yeşil Defter'!M675</f>
        <v>0</v>
      </c>
      <c r="Q671" s="212"/>
      <c r="R671" s="605">
        <f t="shared" si="108"/>
        <v>0</v>
      </c>
      <c r="S671" s="225">
        <f t="shared" si="99"/>
        <v>0</v>
      </c>
      <c r="T671" s="237">
        <f t="shared" si="110"/>
        <v>0</v>
      </c>
      <c r="X671" s="23" t="str">
        <f t="shared" si="103"/>
        <v>-</v>
      </c>
    </row>
    <row r="672" spans="1:24" ht="30" customHeight="1" x14ac:dyDescent="0.3">
      <c r="A672" s="262">
        <v>5</v>
      </c>
      <c r="C672" s="244">
        <v>362</v>
      </c>
      <c r="D672" s="161" t="s">
        <v>912</v>
      </c>
      <c r="E672" s="969" t="s">
        <v>913</v>
      </c>
      <c r="F672" s="970"/>
      <c r="G672" s="971"/>
      <c r="H672" s="544" t="s">
        <v>286</v>
      </c>
      <c r="I672" s="212">
        <v>32859931</v>
      </c>
      <c r="J672" s="605"/>
      <c r="K672" s="212">
        <v>1</v>
      </c>
      <c r="L672" s="212">
        <f t="shared" si="104"/>
        <v>32859931</v>
      </c>
      <c r="M672" s="602"/>
      <c r="N672" s="675">
        <f>+'Yeşil Defter'!K676</f>
        <v>0</v>
      </c>
      <c r="O672" s="675">
        <f>+'Yeşil Defter'!L676</f>
        <v>0</v>
      </c>
      <c r="P672" s="675">
        <f>+'Yeşil Defter'!M676</f>
        <v>0</v>
      </c>
      <c r="Q672" s="212"/>
      <c r="R672" s="605">
        <f t="shared" si="108"/>
        <v>0</v>
      </c>
      <c r="S672" s="225">
        <f t="shared" si="99"/>
        <v>0</v>
      </c>
      <c r="T672" s="237">
        <f t="shared" si="110"/>
        <v>0</v>
      </c>
      <c r="X672" s="23" t="str">
        <f t="shared" si="103"/>
        <v>-</v>
      </c>
    </row>
    <row r="673" spans="1:24" ht="30" customHeight="1" x14ac:dyDescent="0.3">
      <c r="A673" s="262">
        <v>5</v>
      </c>
      <c r="C673" s="244">
        <v>363</v>
      </c>
      <c r="D673" s="161" t="s">
        <v>914</v>
      </c>
      <c r="E673" s="969" t="s">
        <v>915</v>
      </c>
      <c r="F673" s="970"/>
      <c r="G673" s="971"/>
      <c r="H673" s="544" t="s">
        <v>286</v>
      </c>
      <c r="I673" s="212">
        <v>3427125</v>
      </c>
      <c r="J673" s="605"/>
      <c r="K673" s="212">
        <v>1</v>
      </c>
      <c r="L673" s="212">
        <f t="shared" si="104"/>
        <v>3427125</v>
      </c>
      <c r="M673" s="602"/>
      <c r="N673" s="675">
        <f>+'Yeşil Defter'!K677</f>
        <v>0</v>
      </c>
      <c r="O673" s="675">
        <f>+'Yeşil Defter'!L677</f>
        <v>0</v>
      </c>
      <c r="P673" s="675">
        <f>+'Yeşil Defter'!M677</f>
        <v>0</v>
      </c>
      <c r="Q673" s="212"/>
      <c r="R673" s="605">
        <f t="shared" si="108"/>
        <v>0</v>
      </c>
      <c r="S673" s="225">
        <f t="shared" si="99"/>
        <v>0</v>
      </c>
      <c r="T673" s="237">
        <f t="shared" si="110"/>
        <v>0</v>
      </c>
      <c r="X673" s="23" t="str">
        <f t="shared" si="103"/>
        <v>-</v>
      </c>
    </row>
    <row r="674" spans="1:24" ht="30" customHeight="1" x14ac:dyDescent="0.3">
      <c r="A674" s="262">
        <v>5</v>
      </c>
      <c r="C674" s="244">
        <v>364</v>
      </c>
      <c r="D674" s="161" t="s">
        <v>916</v>
      </c>
      <c r="E674" s="969" t="s">
        <v>917</v>
      </c>
      <c r="F674" s="970"/>
      <c r="G674" s="971"/>
      <c r="H674" s="544" t="s">
        <v>286</v>
      </c>
      <c r="I674" s="212">
        <v>3427125</v>
      </c>
      <c r="J674" s="605"/>
      <c r="K674" s="212">
        <v>1</v>
      </c>
      <c r="L674" s="212">
        <f t="shared" si="104"/>
        <v>3427125</v>
      </c>
      <c r="M674" s="602"/>
      <c r="N674" s="675">
        <f>+'Yeşil Defter'!K678</f>
        <v>0</v>
      </c>
      <c r="O674" s="675">
        <f>+'Yeşil Defter'!L678</f>
        <v>0</v>
      </c>
      <c r="P674" s="675">
        <f>+'Yeşil Defter'!M678</f>
        <v>0</v>
      </c>
      <c r="Q674" s="212"/>
      <c r="R674" s="605">
        <f t="shared" si="108"/>
        <v>0</v>
      </c>
      <c r="S674" s="225">
        <f t="shared" si="99"/>
        <v>0</v>
      </c>
      <c r="T674" s="237">
        <f t="shared" si="110"/>
        <v>0</v>
      </c>
      <c r="X674" s="23" t="str">
        <f t="shared" si="103"/>
        <v>-</v>
      </c>
    </row>
    <row r="675" spans="1:24" ht="30" customHeight="1" x14ac:dyDescent="0.3">
      <c r="A675" s="262">
        <v>5</v>
      </c>
      <c r="C675" s="244">
        <v>365</v>
      </c>
      <c r="D675" s="161" t="s">
        <v>918</v>
      </c>
      <c r="E675" s="969" t="s">
        <v>919</v>
      </c>
      <c r="F675" s="970"/>
      <c r="G675" s="971"/>
      <c r="H675" s="544" t="s">
        <v>286</v>
      </c>
      <c r="I675" s="212">
        <v>3427125</v>
      </c>
      <c r="J675" s="605"/>
      <c r="K675" s="212">
        <v>1</v>
      </c>
      <c r="L675" s="212">
        <f t="shared" si="104"/>
        <v>3427125</v>
      </c>
      <c r="M675" s="602"/>
      <c r="N675" s="675">
        <f>+'Yeşil Defter'!K679</f>
        <v>0</v>
      </c>
      <c r="O675" s="675">
        <f>+'Yeşil Defter'!L679</f>
        <v>0</v>
      </c>
      <c r="P675" s="675">
        <f>+'Yeşil Defter'!M679</f>
        <v>0</v>
      </c>
      <c r="Q675" s="212"/>
      <c r="R675" s="605">
        <f t="shared" si="108"/>
        <v>0</v>
      </c>
      <c r="S675" s="225">
        <f t="shared" si="99"/>
        <v>0</v>
      </c>
      <c r="T675" s="237">
        <f t="shared" si="110"/>
        <v>0</v>
      </c>
      <c r="X675" s="23" t="str">
        <f t="shared" si="103"/>
        <v>-</v>
      </c>
    </row>
    <row r="676" spans="1:24" ht="30" customHeight="1" x14ac:dyDescent="0.3">
      <c r="A676" s="262">
        <v>5</v>
      </c>
      <c r="C676" s="244">
        <v>366</v>
      </c>
      <c r="D676" s="161" t="s">
        <v>920</v>
      </c>
      <c r="E676" s="969" t="s">
        <v>921</v>
      </c>
      <c r="F676" s="970"/>
      <c r="G676" s="971"/>
      <c r="H676" s="544" t="s">
        <v>286</v>
      </c>
      <c r="I676" s="212">
        <v>3427125</v>
      </c>
      <c r="J676" s="605"/>
      <c r="K676" s="212">
        <v>1</v>
      </c>
      <c r="L676" s="212">
        <f t="shared" si="104"/>
        <v>3427125</v>
      </c>
      <c r="M676" s="602"/>
      <c r="N676" s="675">
        <f>+'Yeşil Defter'!K680</f>
        <v>0</v>
      </c>
      <c r="O676" s="675">
        <f>+'Yeşil Defter'!L680</f>
        <v>0</v>
      </c>
      <c r="P676" s="675">
        <f>+'Yeşil Defter'!M680</f>
        <v>0</v>
      </c>
      <c r="Q676" s="212"/>
      <c r="R676" s="605">
        <f t="shared" si="108"/>
        <v>0</v>
      </c>
      <c r="S676" s="225">
        <f t="shared" si="99"/>
        <v>0</v>
      </c>
      <c r="T676" s="237">
        <f t="shared" si="110"/>
        <v>0</v>
      </c>
      <c r="X676" s="23" t="str">
        <f t="shared" si="103"/>
        <v>-</v>
      </c>
    </row>
    <row r="677" spans="1:24" ht="30" customHeight="1" x14ac:dyDescent="0.3">
      <c r="A677" s="262">
        <v>5</v>
      </c>
      <c r="C677" s="244">
        <v>367</v>
      </c>
      <c r="D677" s="161" t="s">
        <v>922</v>
      </c>
      <c r="E677" s="969" t="s">
        <v>923</v>
      </c>
      <c r="F677" s="970"/>
      <c r="G677" s="971"/>
      <c r="H677" s="544" t="s">
        <v>286</v>
      </c>
      <c r="I677" s="212">
        <v>3427125</v>
      </c>
      <c r="J677" s="605"/>
      <c r="K677" s="212">
        <v>1</v>
      </c>
      <c r="L677" s="341">
        <f t="shared" si="104"/>
        <v>3427125</v>
      </c>
      <c r="M677" s="212"/>
      <c r="N677" s="675">
        <f>+'Yeşil Defter'!K681</f>
        <v>0</v>
      </c>
      <c r="O677" s="675">
        <f>+'Yeşil Defter'!L681</f>
        <v>0</v>
      </c>
      <c r="P677" s="675">
        <f>+'Yeşil Defter'!M681</f>
        <v>0</v>
      </c>
      <c r="Q677" s="212"/>
      <c r="R677" s="605">
        <f t="shared" si="108"/>
        <v>0</v>
      </c>
      <c r="S677" s="225">
        <f t="shared" si="99"/>
        <v>0</v>
      </c>
      <c r="T677" s="237">
        <f t="shared" si="110"/>
        <v>0</v>
      </c>
      <c r="X677" s="23" t="str">
        <f t="shared" si="103"/>
        <v>-</v>
      </c>
    </row>
    <row r="678" spans="1:24" ht="30" customHeight="1" x14ac:dyDescent="0.3">
      <c r="A678" s="262">
        <v>5</v>
      </c>
      <c r="C678" s="244"/>
      <c r="D678" s="161"/>
      <c r="E678" s="969"/>
      <c r="F678" s="970"/>
      <c r="G678" s="971"/>
      <c r="H678" s="161"/>
      <c r="I678" s="605"/>
      <c r="J678" s="605"/>
      <c r="K678" s="212"/>
      <c r="L678" s="341"/>
      <c r="M678" s="212"/>
      <c r="N678" s="605"/>
      <c r="O678" s="212"/>
      <c r="P678" s="341"/>
      <c r="Q678" s="212"/>
      <c r="R678" s="605"/>
      <c r="S678" s="225"/>
      <c r="T678" s="237"/>
      <c r="X678" s="23"/>
    </row>
    <row r="679" spans="1:24" ht="30" customHeight="1" x14ac:dyDescent="0.3">
      <c r="A679" s="262">
        <v>5</v>
      </c>
      <c r="C679" s="244"/>
      <c r="D679" s="161"/>
      <c r="E679" s="969"/>
      <c r="F679" s="970"/>
      <c r="G679" s="971"/>
      <c r="H679" s="161"/>
      <c r="I679" s="605"/>
      <c r="J679" s="605"/>
      <c r="K679" s="212"/>
      <c r="L679" s="341"/>
      <c r="M679" s="212"/>
      <c r="N679" s="605"/>
      <c r="O679" s="212"/>
      <c r="P679" s="341"/>
      <c r="Q679" s="212"/>
      <c r="R679" s="605"/>
      <c r="S679" s="225"/>
      <c r="T679" s="237"/>
      <c r="X679" s="23"/>
    </row>
    <row r="680" spans="1:24" ht="30" customHeight="1" x14ac:dyDescent="0.3">
      <c r="A680" s="262">
        <v>5</v>
      </c>
      <c r="C680" s="244"/>
      <c r="D680" s="161"/>
      <c r="E680" s="969"/>
      <c r="F680" s="970"/>
      <c r="G680" s="971"/>
      <c r="H680" s="161"/>
      <c r="I680" s="605"/>
      <c r="J680" s="605"/>
      <c r="K680" s="212"/>
      <c r="L680" s="341"/>
      <c r="M680" s="212"/>
      <c r="N680" s="605"/>
      <c r="O680" s="212"/>
      <c r="P680" s="341"/>
      <c r="Q680" s="212"/>
      <c r="R680" s="605"/>
      <c r="S680" s="225"/>
      <c r="T680" s="237"/>
      <c r="X680" s="23"/>
    </row>
    <row r="681" spans="1:24" ht="30" customHeight="1" x14ac:dyDescent="0.3">
      <c r="A681" s="262">
        <v>5</v>
      </c>
      <c r="C681" s="244"/>
      <c r="D681" s="161"/>
      <c r="E681" s="969"/>
      <c r="F681" s="970"/>
      <c r="G681" s="971"/>
      <c r="H681" s="658"/>
      <c r="I681" s="605"/>
      <c r="J681" s="605"/>
      <c r="K681" s="212"/>
      <c r="L681" s="341"/>
      <c r="M681" s="302"/>
      <c r="N681" s="605"/>
      <c r="O681" s="212"/>
      <c r="P681" s="341"/>
      <c r="Q681" s="302"/>
      <c r="R681" s="605"/>
      <c r="S681" s="225"/>
      <c r="T681" s="237"/>
      <c r="X681" s="23"/>
    </row>
    <row r="682" spans="1:24" ht="40.049999999999997" customHeight="1" x14ac:dyDescent="0.3">
      <c r="A682" s="262" t="s">
        <v>1242</v>
      </c>
      <c r="C682" s="258"/>
      <c r="D682" s="258"/>
      <c r="E682" s="972" t="s">
        <v>33</v>
      </c>
      <c r="F682" s="972"/>
      <c r="G682" s="972"/>
      <c r="H682" s="973" t="s">
        <v>29</v>
      </c>
      <c r="I682" s="973"/>
      <c r="J682" s="973"/>
      <c r="K682" s="973"/>
      <c r="L682" s="973"/>
      <c r="M682" s="549"/>
      <c r="N682" s="973" t="s">
        <v>22</v>
      </c>
      <c r="O682" s="973"/>
      <c r="P682" s="973"/>
      <c r="Q682" s="973"/>
      <c r="R682" s="973"/>
      <c r="S682" s="973"/>
      <c r="T682" s="973"/>
      <c r="X682" s="23"/>
    </row>
    <row r="683" spans="1:24" ht="19.95" customHeight="1" x14ac:dyDescent="0.3">
      <c r="A683" s="262" t="s">
        <v>1242</v>
      </c>
      <c r="D683" s="28"/>
      <c r="E683" s="974" t="s">
        <v>1214</v>
      </c>
      <c r="F683" s="974"/>
      <c r="G683" s="974"/>
      <c r="H683" s="975" t="s">
        <v>38</v>
      </c>
      <c r="I683" s="975"/>
      <c r="J683" s="975"/>
      <c r="K683" s="975"/>
      <c r="L683" s="975"/>
      <c r="M683" s="562"/>
      <c r="N683" s="975" t="s">
        <v>1437</v>
      </c>
      <c r="O683" s="975"/>
      <c r="P683" s="975"/>
      <c r="Q683" s="975"/>
      <c r="R683" s="975"/>
      <c r="S683" s="975"/>
      <c r="T683" s="975"/>
      <c r="X683" s="23"/>
    </row>
    <row r="684" spans="1:24" ht="19.95" customHeight="1" x14ac:dyDescent="0.3">
      <c r="A684" s="262" t="s">
        <v>1242</v>
      </c>
      <c r="C684" s="228"/>
      <c r="D684" s="228"/>
      <c r="E684" s="561"/>
      <c r="F684" s="561"/>
      <c r="G684" s="561"/>
      <c r="H684" s="975" t="s">
        <v>32</v>
      </c>
      <c r="I684" s="975"/>
      <c r="J684" s="562"/>
      <c r="K684" s="975" t="s">
        <v>1407</v>
      </c>
      <c r="L684" s="975"/>
      <c r="M684" s="260"/>
      <c r="N684" s="975"/>
      <c r="O684" s="975"/>
      <c r="P684" s="975"/>
      <c r="Q684" s="975"/>
      <c r="R684" s="975"/>
      <c r="S684" s="975"/>
      <c r="T684" s="975"/>
      <c r="X684" s="23"/>
    </row>
    <row r="685" spans="1:24" ht="19.95" customHeight="1" x14ac:dyDescent="0.3">
      <c r="A685" s="262" t="s">
        <v>1242</v>
      </c>
      <c r="C685" s="228"/>
      <c r="D685" s="228"/>
      <c r="E685" s="561"/>
      <c r="F685" s="561"/>
      <c r="G685" s="561"/>
      <c r="H685" s="976" t="s">
        <v>94</v>
      </c>
      <c r="I685" s="976"/>
      <c r="J685" s="623"/>
      <c r="K685" s="976" t="s">
        <v>94</v>
      </c>
      <c r="L685" s="976"/>
      <c r="M685" s="260"/>
      <c r="N685" s="975"/>
      <c r="O685" s="975"/>
      <c r="P685" s="975"/>
      <c r="Q685" s="975"/>
      <c r="R685" s="975"/>
      <c r="S685" s="975"/>
      <c r="T685" s="975"/>
      <c r="X685" s="23"/>
    </row>
    <row r="686" spans="1:24" ht="19.95" customHeight="1" x14ac:dyDescent="0.3">
      <c r="A686" s="262" t="s">
        <v>1242</v>
      </c>
      <c r="C686" s="228"/>
      <c r="D686" s="228"/>
      <c r="E686" s="561"/>
      <c r="F686" s="561"/>
      <c r="G686" s="561"/>
      <c r="H686" s="976"/>
      <c r="I686" s="976"/>
      <c r="J686" s="623"/>
      <c r="K686" s="976"/>
      <c r="L686" s="976"/>
      <c r="M686" s="261"/>
      <c r="N686" s="260"/>
      <c r="O686" s="260"/>
      <c r="P686" s="260"/>
      <c r="Q686" s="260"/>
      <c r="R686" s="260"/>
      <c r="S686" s="260"/>
      <c r="T686" s="260"/>
      <c r="X686" s="23"/>
    </row>
    <row r="687" spans="1:24" ht="19.95" customHeight="1" x14ac:dyDescent="0.3">
      <c r="A687" s="262" t="s">
        <v>1242</v>
      </c>
      <c r="C687" s="228"/>
      <c r="D687" s="228"/>
      <c r="E687" s="561"/>
      <c r="F687" s="561"/>
      <c r="G687" s="561"/>
      <c r="H687" s="975"/>
      <c r="I687" s="975"/>
      <c r="J687" s="562"/>
      <c r="K687" s="975"/>
      <c r="L687" s="975"/>
      <c r="M687" s="562"/>
      <c r="N687" s="968" t="s">
        <v>1244</v>
      </c>
      <c r="O687" s="968"/>
      <c r="P687" s="968"/>
      <c r="Q687" s="968"/>
      <c r="R687" s="968"/>
      <c r="S687" s="968"/>
      <c r="T687" s="968"/>
      <c r="X687" s="23"/>
    </row>
    <row r="688" spans="1:24" ht="19.95" customHeight="1" x14ac:dyDescent="0.3">
      <c r="A688" s="262" t="s">
        <v>1242</v>
      </c>
      <c r="C688" s="228"/>
      <c r="D688" s="228"/>
      <c r="E688" s="561"/>
      <c r="F688" s="561"/>
      <c r="G688" s="561"/>
      <c r="H688" s="976" t="s">
        <v>1220</v>
      </c>
      <c r="I688" s="976"/>
      <c r="J688" s="976"/>
      <c r="K688" s="976"/>
      <c r="L688" s="976"/>
      <c r="M688" s="623"/>
      <c r="N688" s="968" t="s">
        <v>1483</v>
      </c>
      <c r="O688" s="968"/>
      <c r="P688" s="968"/>
      <c r="Q688" s="968"/>
      <c r="R688" s="968"/>
      <c r="S688" s="968"/>
      <c r="T688" s="968"/>
      <c r="X688" s="23"/>
    </row>
    <row r="689" spans="1:24" ht="19.95" customHeight="1" x14ac:dyDescent="0.3">
      <c r="A689" s="262" t="s">
        <v>1242</v>
      </c>
      <c r="C689" s="228"/>
      <c r="D689" s="228"/>
      <c r="E689" s="561"/>
      <c r="F689" s="561"/>
      <c r="G689" s="561"/>
      <c r="H689" s="976"/>
      <c r="I689" s="976"/>
      <c r="J689" s="976"/>
      <c r="K689" s="976"/>
      <c r="L689" s="976"/>
      <c r="M689" s="623"/>
      <c r="N689" s="968"/>
      <c r="O689" s="968"/>
      <c r="P689" s="968"/>
      <c r="Q689" s="968"/>
      <c r="R689" s="968"/>
      <c r="S689" s="968"/>
      <c r="T689" s="968"/>
      <c r="X689" s="23"/>
    </row>
    <row r="690" spans="1:24" ht="19.95" customHeight="1" x14ac:dyDescent="0.3">
      <c r="A690" s="262" t="s">
        <v>1242</v>
      </c>
      <c r="C690" s="228"/>
      <c r="D690" s="228"/>
      <c r="E690" s="561"/>
      <c r="F690" s="561"/>
      <c r="G690" s="561"/>
      <c r="H690" s="228"/>
      <c r="I690" s="260"/>
      <c r="J690" s="260"/>
      <c r="K690" s="260"/>
      <c r="L690" s="260"/>
      <c r="M690" s="260"/>
      <c r="N690" s="260"/>
      <c r="O690" s="260"/>
      <c r="P690" s="260"/>
      <c r="Q690" s="260"/>
      <c r="R690" s="260"/>
      <c r="S690" s="624"/>
      <c r="T690" s="260"/>
      <c r="X690" s="23"/>
    </row>
    <row r="691" spans="1:24" ht="19.95" customHeight="1" x14ac:dyDescent="0.3">
      <c r="A691" s="262" t="s">
        <v>1242</v>
      </c>
      <c r="C691" s="228"/>
      <c r="D691" s="228"/>
      <c r="E691" s="975" t="s">
        <v>1215</v>
      </c>
      <c r="F691" s="975"/>
      <c r="G691" s="975"/>
      <c r="H691" s="975" t="s">
        <v>1348</v>
      </c>
      <c r="I691" s="975"/>
      <c r="J691" s="975"/>
      <c r="K691" s="975"/>
      <c r="L691" s="975"/>
      <c r="M691" s="562"/>
      <c r="N691" s="977" t="s">
        <v>1219</v>
      </c>
      <c r="O691" s="968"/>
      <c r="P691" s="968"/>
      <c r="Q691" s="968"/>
      <c r="R691" s="968"/>
      <c r="S691" s="968"/>
      <c r="T691" s="968"/>
      <c r="X691" s="23"/>
    </row>
    <row r="692" spans="1:24" ht="19.95" customHeight="1" x14ac:dyDescent="0.3">
      <c r="A692" s="262" t="s">
        <v>1290</v>
      </c>
      <c r="C692" s="228"/>
      <c r="D692" s="228"/>
      <c r="E692" s="975"/>
      <c r="F692" s="975"/>
      <c r="G692" s="975"/>
      <c r="H692" s="975"/>
      <c r="I692" s="975"/>
      <c r="J692" s="975"/>
      <c r="K692" s="975"/>
      <c r="L692" s="975"/>
      <c r="M692" s="562"/>
      <c r="N692" s="968"/>
      <c r="O692" s="968"/>
      <c r="P692" s="968"/>
      <c r="Q692" s="968"/>
      <c r="R692" s="968"/>
      <c r="S692" s="968"/>
      <c r="T692" s="968"/>
      <c r="X692" s="23"/>
    </row>
    <row r="693" spans="1:24" ht="30" customHeight="1" x14ac:dyDescent="0.3">
      <c r="A693" s="262" t="s">
        <v>1240</v>
      </c>
      <c r="C693" s="625"/>
      <c r="D693" s="626" t="s">
        <v>1233</v>
      </c>
      <c r="E693" s="627"/>
      <c r="F693" s="627"/>
      <c r="G693" s="627"/>
      <c r="H693" s="627"/>
      <c r="I693" s="628"/>
      <c r="J693" s="628"/>
      <c r="K693" s="628"/>
      <c r="L693" s="644">
        <f>+SUMIFS(L:L,A:A,"6")</f>
        <v>360484829</v>
      </c>
      <c r="M693" s="629"/>
      <c r="N693" s="648"/>
      <c r="O693" s="628"/>
      <c r="P693" s="628"/>
      <c r="Q693" s="611"/>
      <c r="R693" s="651">
        <f>+SUMIFS(R:R,A:A,"6")</f>
        <v>0</v>
      </c>
      <c r="S693" s="630">
        <f>+SUMIFS(S:S,A:A,"6")</f>
        <v>0</v>
      </c>
      <c r="T693" s="631">
        <f>+SUMIFS(T:T,A:A,"6")</f>
        <v>0</v>
      </c>
      <c r="X693" s="23" t="str">
        <f t="shared" si="103"/>
        <v>-</v>
      </c>
    </row>
    <row r="694" spans="1:24" ht="30" customHeight="1" x14ac:dyDescent="0.3">
      <c r="A694" s="262">
        <v>6</v>
      </c>
      <c r="C694" s="244">
        <v>368</v>
      </c>
      <c r="D694" s="161" t="s">
        <v>924</v>
      </c>
      <c r="E694" s="969" t="s">
        <v>925</v>
      </c>
      <c r="F694" s="970"/>
      <c r="G694" s="971"/>
      <c r="H694" s="544" t="s">
        <v>286</v>
      </c>
      <c r="I694" s="212">
        <v>2747944</v>
      </c>
      <c r="J694" s="605"/>
      <c r="K694" s="212">
        <v>1</v>
      </c>
      <c r="L694" s="212">
        <f t="shared" ref="L694:L715" si="111">+ROUND(I694*K694,2)</f>
        <v>2747944</v>
      </c>
      <c r="M694" s="602"/>
      <c r="N694" s="675">
        <f>+'Yeşil Defter'!K710</f>
        <v>0</v>
      </c>
      <c r="O694" s="675">
        <f>+'Yeşil Defter'!L710</f>
        <v>0</v>
      </c>
      <c r="P694" s="675">
        <f>+'Yeşil Defter'!M710</f>
        <v>0</v>
      </c>
      <c r="Q694" s="212"/>
      <c r="R694" s="605">
        <f t="shared" ref="R694:R699" si="112">+ROUND(L694*N694,2)</f>
        <v>0</v>
      </c>
      <c r="S694" s="225">
        <f t="shared" ref="S694:S699" si="113">+ROUND(L694*O694,2)</f>
        <v>0</v>
      </c>
      <c r="T694" s="237">
        <f t="shared" ref="T694:T699" si="114">+ROUND(L694*P694,2)</f>
        <v>0</v>
      </c>
      <c r="X694" s="23" t="str">
        <f t="shared" si="103"/>
        <v>-</v>
      </c>
    </row>
    <row r="695" spans="1:24" ht="30" customHeight="1" x14ac:dyDescent="0.3">
      <c r="A695" s="262">
        <v>6</v>
      </c>
      <c r="C695" s="244">
        <v>369</v>
      </c>
      <c r="D695" s="161" t="s">
        <v>926</v>
      </c>
      <c r="E695" s="969" t="s">
        <v>927</v>
      </c>
      <c r="F695" s="970"/>
      <c r="G695" s="971"/>
      <c r="H695" s="544" t="s">
        <v>286</v>
      </c>
      <c r="I695" s="212">
        <v>2747944</v>
      </c>
      <c r="J695" s="605"/>
      <c r="K695" s="212">
        <v>1</v>
      </c>
      <c r="L695" s="212">
        <f t="shared" si="111"/>
        <v>2747944</v>
      </c>
      <c r="M695" s="602"/>
      <c r="N695" s="675">
        <f>+'Yeşil Defter'!K711</f>
        <v>0</v>
      </c>
      <c r="O695" s="675">
        <f>+'Yeşil Defter'!L711</f>
        <v>0</v>
      </c>
      <c r="P695" s="675">
        <f>+'Yeşil Defter'!M711</f>
        <v>0</v>
      </c>
      <c r="Q695" s="212"/>
      <c r="R695" s="605">
        <f t="shared" si="112"/>
        <v>0</v>
      </c>
      <c r="S695" s="225">
        <f t="shared" si="113"/>
        <v>0</v>
      </c>
      <c r="T695" s="237">
        <f t="shared" si="114"/>
        <v>0</v>
      </c>
      <c r="X695" s="23" t="str">
        <f t="shared" si="103"/>
        <v>-</v>
      </c>
    </row>
    <row r="696" spans="1:24" ht="30" customHeight="1" x14ac:dyDescent="0.3">
      <c r="A696" s="262">
        <v>6</v>
      </c>
      <c r="C696" s="244">
        <v>370</v>
      </c>
      <c r="D696" s="161" t="s">
        <v>928</v>
      </c>
      <c r="E696" s="969" t="s">
        <v>929</v>
      </c>
      <c r="F696" s="970"/>
      <c r="G696" s="971"/>
      <c r="H696" s="544" t="s">
        <v>286</v>
      </c>
      <c r="I696" s="212">
        <v>2747944</v>
      </c>
      <c r="J696" s="605"/>
      <c r="K696" s="212">
        <v>1</v>
      </c>
      <c r="L696" s="212">
        <f t="shared" si="111"/>
        <v>2747944</v>
      </c>
      <c r="M696" s="602"/>
      <c r="N696" s="675">
        <f>+'Yeşil Defter'!K712</f>
        <v>0</v>
      </c>
      <c r="O696" s="675">
        <f>+'Yeşil Defter'!L712</f>
        <v>0</v>
      </c>
      <c r="P696" s="675">
        <f>+'Yeşil Defter'!M712</f>
        <v>0</v>
      </c>
      <c r="Q696" s="212"/>
      <c r="R696" s="605">
        <f t="shared" si="112"/>
        <v>0</v>
      </c>
      <c r="S696" s="225">
        <f t="shared" si="113"/>
        <v>0</v>
      </c>
      <c r="T696" s="237">
        <f t="shared" si="114"/>
        <v>0</v>
      </c>
      <c r="X696" s="23" t="str">
        <f t="shared" si="103"/>
        <v>-</v>
      </c>
    </row>
    <row r="697" spans="1:24" ht="30" customHeight="1" x14ac:dyDescent="0.3">
      <c r="A697" s="262">
        <v>6</v>
      </c>
      <c r="C697" s="244">
        <v>371</v>
      </c>
      <c r="D697" s="161" t="s">
        <v>930</v>
      </c>
      <c r="E697" s="969" t="s">
        <v>931</v>
      </c>
      <c r="F697" s="970"/>
      <c r="G697" s="971"/>
      <c r="H697" s="544" t="s">
        <v>286</v>
      </c>
      <c r="I697" s="212">
        <v>2747944</v>
      </c>
      <c r="J697" s="605"/>
      <c r="K697" s="212">
        <v>1</v>
      </c>
      <c r="L697" s="212">
        <f t="shared" si="111"/>
        <v>2747944</v>
      </c>
      <c r="M697" s="602"/>
      <c r="N697" s="675">
        <f>+'Yeşil Defter'!K713</f>
        <v>0</v>
      </c>
      <c r="O697" s="675">
        <f>+'Yeşil Defter'!L713</f>
        <v>0</v>
      </c>
      <c r="P697" s="675">
        <f>+'Yeşil Defter'!M713</f>
        <v>0</v>
      </c>
      <c r="Q697" s="212"/>
      <c r="R697" s="605">
        <f t="shared" si="112"/>
        <v>0</v>
      </c>
      <c r="S697" s="225">
        <f t="shared" si="113"/>
        <v>0</v>
      </c>
      <c r="T697" s="237">
        <f t="shared" si="114"/>
        <v>0</v>
      </c>
      <c r="X697" s="23" t="str">
        <f t="shared" si="103"/>
        <v>-</v>
      </c>
    </row>
    <row r="698" spans="1:24" ht="30" customHeight="1" x14ac:dyDescent="0.3">
      <c r="A698" s="262">
        <v>6</v>
      </c>
      <c r="C698" s="244">
        <v>372</v>
      </c>
      <c r="D698" s="161" t="s">
        <v>932</v>
      </c>
      <c r="E698" s="969" t="s">
        <v>933</v>
      </c>
      <c r="F698" s="970"/>
      <c r="G698" s="971"/>
      <c r="H698" s="544" t="s">
        <v>286</v>
      </c>
      <c r="I698" s="212">
        <v>2747944</v>
      </c>
      <c r="J698" s="605"/>
      <c r="K698" s="212">
        <v>1</v>
      </c>
      <c r="L698" s="212">
        <f t="shared" si="111"/>
        <v>2747944</v>
      </c>
      <c r="M698" s="602"/>
      <c r="N698" s="675">
        <f>+'Yeşil Defter'!K714</f>
        <v>0</v>
      </c>
      <c r="O698" s="675">
        <f>+'Yeşil Defter'!L714</f>
        <v>0</v>
      </c>
      <c r="P698" s="675">
        <f>+'Yeşil Defter'!M714</f>
        <v>0</v>
      </c>
      <c r="Q698" s="212"/>
      <c r="R698" s="605">
        <f t="shared" si="112"/>
        <v>0</v>
      </c>
      <c r="S698" s="225">
        <f t="shared" si="113"/>
        <v>0</v>
      </c>
      <c r="T698" s="237">
        <f t="shared" si="114"/>
        <v>0</v>
      </c>
      <c r="X698" s="23" t="str">
        <f t="shared" si="103"/>
        <v>-</v>
      </c>
    </row>
    <row r="699" spans="1:24" ht="30" customHeight="1" x14ac:dyDescent="0.3">
      <c r="A699" s="262">
        <v>6</v>
      </c>
      <c r="C699" s="244">
        <v>373</v>
      </c>
      <c r="D699" s="161" t="s">
        <v>934</v>
      </c>
      <c r="E699" s="969" t="s">
        <v>935</v>
      </c>
      <c r="F699" s="970"/>
      <c r="G699" s="971"/>
      <c r="H699" s="544" t="s">
        <v>286</v>
      </c>
      <c r="I699" s="212">
        <v>2747944</v>
      </c>
      <c r="J699" s="605"/>
      <c r="K699" s="212">
        <v>1</v>
      </c>
      <c r="L699" s="212">
        <f t="shared" si="111"/>
        <v>2747944</v>
      </c>
      <c r="M699" s="602"/>
      <c r="N699" s="675">
        <f>+'Yeşil Defter'!K715</f>
        <v>0</v>
      </c>
      <c r="O699" s="675">
        <f>+'Yeşil Defter'!L715</f>
        <v>0</v>
      </c>
      <c r="P699" s="675">
        <f>+'Yeşil Defter'!M715</f>
        <v>0</v>
      </c>
      <c r="Q699" s="212"/>
      <c r="R699" s="605">
        <f t="shared" si="112"/>
        <v>0</v>
      </c>
      <c r="S699" s="225">
        <f t="shared" si="113"/>
        <v>0</v>
      </c>
      <c r="T699" s="237">
        <f t="shared" si="114"/>
        <v>0</v>
      </c>
      <c r="X699" s="23" t="str">
        <f t="shared" si="103"/>
        <v>-</v>
      </c>
    </row>
    <row r="700" spans="1:24" ht="30" customHeight="1" x14ac:dyDescent="0.3">
      <c r="A700" s="262">
        <v>6</v>
      </c>
      <c r="C700" s="244">
        <v>374</v>
      </c>
      <c r="D700" s="161" t="s">
        <v>936</v>
      </c>
      <c r="E700" s="969" t="s">
        <v>937</v>
      </c>
      <c r="F700" s="970"/>
      <c r="G700" s="971"/>
      <c r="H700" s="544" t="s">
        <v>286</v>
      </c>
      <c r="I700" s="212">
        <v>5779751</v>
      </c>
      <c r="J700" s="605"/>
      <c r="K700" s="212">
        <v>1</v>
      </c>
      <c r="L700" s="212">
        <f t="shared" si="111"/>
        <v>5779751</v>
      </c>
      <c r="M700" s="602"/>
      <c r="N700" s="675">
        <f>+'Yeşil Defter'!K716</f>
        <v>0</v>
      </c>
      <c r="O700" s="675">
        <f>+'Yeşil Defter'!L716</f>
        <v>0</v>
      </c>
      <c r="P700" s="675">
        <f>+'Yeşil Defter'!M716</f>
        <v>0</v>
      </c>
      <c r="Q700" s="212"/>
      <c r="R700" s="605">
        <f t="shared" ref="R700:R715" si="115">+ROUND(K700*N700,2)</f>
        <v>0</v>
      </c>
      <c r="S700" s="225">
        <f t="shared" si="99"/>
        <v>0</v>
      </c>
      <c r="T700" s="237">
        <f t="shared" ref="T700:T715" si="116">+ROUND(K700*P700,2)</f>
        <v>0</v>
      </c>
      <c r="X700" s="23" t="str">
        <f t="shared" si="103"/>
        <v>-</v>
      </c>
    </row>
    <row r="701" spans="1:24" ht="30" customHeight="1" x14ac:dyDescent="0.3">
      <c r="A701" s="262">
        <v>6</v>
      </c>
      <c r="C701" s="244">
        <v>375</v>
      </c>
      <c r="D701" s="161" t="s">
        <v>938</v>
      </c>
      <c r="E701" s="969" t="s">
        <v>939</v>
      </c>
      <c r="F701" s="970"/>
      <c r="G701" s="971"/>
      <c r="H701" s="544" t="s">
        <v>286</v>
      </c>
      <c r="I701" s="212">
        <v>6311222</v>
      </c>
      <c r="J701" s="605"/>
      <c r="K701" s="212">
        <v>1</v>
      </c>
      <c r="L701" s="212">
        <f t="shared" si="111"/>
        <v>6311222</v>
      </c>
      <c r="M701" s="602"/>
      <c r="N701" s="675">
        <f>+'Yeşil Defter'!K717</f>
        <v>0</v>
      </c>
      <c r="O701" s="675">
        <f>+'Yeşil Defter'!L717</f>
        <v>0</v>
      </c>
      <c r="P701" s="675">
        <f>+'Yeşil Defter'!M717</f>
        <v>0</v>
      </c>
      <c r="Q701" s="212"/>
      <c r="R701" s="605">
        <f t="shared" si="115"/>
        <v>0</v>
      </c>
      <c r="S701" s="225">
        <f t="shared" si="99"/>
        <v>0</v>
      </c>
      <c r="T701" s="237">
        <f t="shared" si="116"/>
        <v>0</v>
      </c>
      <c r="X701" s="23" t="str">
        <f t="shared" si="103"/>
        <v>-</v>
      </c>
    </row>
    <row r="702" spans="1:24" ht="30" customHeight="1" x14ac:dyDescent="0.3">
      <c r="A702" s="262">
        <v>6</v>
      </c>
      <c r="C702" s="244">
        <v>376</v>
      </c>
      <c r="D702" s="161" t="s">
        <v>940</v>
      </c>
      <c r="E702" s="969" t="s">
        <v>941</v>
      </c>
      <c r="F702" s="970"/>
      <c r="G702" s="971"/>
      <c r="H702" s="544" t="s">
        <v>286</v>
      </c>
      <c r="I702" s="212">
        <v>6643392</v>
      </c>
      <c r="J702" s="605"/>
      <c r="K702" s="212">
        <v>1</v>
      </c>
      <c r="L702" s="212">
        <f t="shared" si="111"/>
        <v>6643392</v>
      </c>
      <c r="M702" s="602"/>
      <c r="N702" s="675">
        <f>+'Yeşil Defter'!K718</f>
        <v>0</v>
      </c>
      <c r="O702" s="675">
        <f>+'Yeşil Defter'!L718</f>
        <v>0</v>
      </c>
      <c r="P702" s="675">
        <f>+'Yeşil Defter'!M718</f>
        <v>0</v>
      </c>
      <c r="Q702" s="212"/>
      <c r="R702" s="605">
        <f t="shared" si="115"/>
        <v>0</v>
      </c>
      <c r="S702" s="225">
        <f t="shared" si="99"/>
        <v>0</v>
      </c>
      <c r="T702" s="237">
        <f t="shared" si="116"/>
        <v>0</v>
      </c>
      <c r="X702" s="23" t="str">
        <f t="shared" si="103"/>
        <v>-</v>
      </c>
    </row>
    <row r="703" spans="1:24" ht="30" customHeight="1" x14ac:dyDescent="0.3">
      <c r="A703" s="262">
        <v>6</v>
      </c>
      <c r="C703" s="244">
        <v>377</v>
      </c>
      <c r="D703" s="161" t="s">
        <v>942</v>
      </c>
      <c r="E703" s="969" t="s">
        <v>943</v>
      </c>
      <c r="F703" s="970"/>
      <c r="G703" s="971"/>
      <c r="H703" s="544" t="s">
        <v>286</v>
      </c>
      <c r="I703" s="212">
        <v>5979052</v>
      </c>
      <c r="J703" s="605"/>
      <c r="K703" s="212">
        <v>1</v>
      </c>
      <c r="L703" s="212">
        <f t="shared" si="111"/>
        <v>5979052</v>
      </c>
      <c r="M703" s="602"/>
      <c r="N703" s="675">
        <f>+'Yeşil Defter'!K719</f>
        <v>0</v>
      </c>
      <c r="O703" s="675">
        <f>+'Yeşil Defter'!L719</f>
        <v>0</v>
      </c>
      <c r="P703" s="675">
        <f>+'Yeşil Defter'!M719</f>
        <v>0</v>
      </c>
      <c r="Q703" s="212"/>
      <c r="R703" s="605">
        <f t="shared" si="115"/>
        <v>0</v>
      </c>
      <c r="S703" s="225">
        <f t="shared" si="99"/>
        <v>0</v>
      </c>
      <c r="T703" s="237">
        <f t="shared" si="116"/>
        <v>0</v>
      </c>
      <c r="X703" s="23" t="str">
        <f t="shared" si="103"/>
        <v>-</v>
      </c>
    </row>
    <row r="704" spans="1:24" ht="30" customHeight="1" x14ac:dyDescent="0.3">
      <c r="A704" s="262">
        <v>6</v>
      </c>
      <c r="C704" s="244">
        <v>378</v>
      </c>
      <c r="D704" s="161" t="s">
        <v>944</v>
      </c>
      <c r="E704" s="969" t="s">
        <v>945</v>
      </c>
      <c r="F704" s="970"/>
      <c r="G704" s="971"/>
      <c r="H704" s="544" t="s">
        <v>286</v>
      </c>
      <c r="I704" s="212">
        <v>6311222</v>
      </c>
      <c r="J704" s="605"/>
      <c r="K704" s="212">
        <v>1</v>
      </c>
      <c r="L704" s="212">
        <f t="shared" si="111"/>
        <v>6311222</v>
      </c>
      <c r="M704" s="602"/>
      <c r="N704" s="675">
        <f>+'Yeşil Defter'!K720</f>
        <v>0</v>
      </c>
      <c r="O704" s="675">
        <f>+'Yeşil Defter'!L720</f>
        <v>0</v>
      </c>
      <c r="P704" s="675">
        <f>+'Yeşil Defter'!M720</f>
        <v>0</v>
      </c>
      <c r="Q704" s="212"/>
      <c r="R704" s="605">
        <f t="shared" si="115"/>
        <v>0</v>
      </c>
      <c r="S704" s="225">
        <f t="shared" si="99"/>
        <v>0</v>
      </c>
      <c r="T704" s="237">
        <f t="shared" si="116"/>
        <v>0</v>
      </c>
      <c r="X704" s="23" t="str">
        <f t="shared" si="103"/>
        <v>-</v>
      </c>
    </row>
    <row r="705" spans="1:24" ht="30" customHeight="1" x14ac:dyDescent="0.3">
      <c r="A705" s="262">
        <v>6</v>
      </c>
      <c r="C705" s="244">
        <v>379</v>
      </c>
      <c r="D705" s="161" t="s">
        <v>946</v>
      </c>
      <c r="E705" s="969" t="s">
        <v>947</v>
      </c>
      <c r="F705" s="970"/>
      <c r="G705" s="971"/>
      <c r="H705" s="544" t="s">
        <v>286</v>
      </c>
      <c r="I705" s="212">
        <v>1769063</v>
      </c>
      <c r="J705" s="605"/>
      <c r="K705" s="212">
        <v>1</v>
      </c>
      <c r="L705" s="212">
        <f t="shared" si="111"/>
        <v>1769063</v>
      </c>
      <c r="M705" s="602"/>
      <c r="N705" s="675">
        <f>+'Yeşil Defter'!K721</f>
        <v>0</v>
      </c>
      <c r="O705" s="675">
        <f>+'Yeşil Defter'!L721</f>
        <v>0</v>
      </c>
      <c r="P705" s="675">
        <f>+'Yeşil Defter'!M721</f>
        <v>0</v>
      </c>
      <c r="Q705" s="212"/>
      <c r="R705" s="605">
        <f t="shared" si="115"/>
        <v>0</v>
      </c>
      <c r="S705" s="225">
        <f t="shared" si="99"/>
        <v>0</v>
      </c>
      <c r="T705" s="237">
        <f t="shared" si="116"/>
        <v>0</v>
      </c>
      <c r="X705" s="23" t="str">
        <f t="shared" si="103"/>
        <v>-</v>
      </c>
    </row>
    <row r="706" spans="1:24" ht="30" customHeight="1" x14ac:dyDescent="0.3">
      <c r="A706" s="262">
        <v>6</v>
      </c>
      <c r="C706" s="244">
        <v>380</v>
      </c>
      <c r="D706" s="161" t="s">
        <v>948</v>
      </c>
      <c r="E706" s="969" t="s">
        <v>949</v>
      </c>
      <c r="F706" s="970"/>
      <c r="G706" s="971"/>
      <c r="H706" s="544" t="s">
        <v>286</v>
      </c>
      <c r="I706" s="212">
        <v>23957287</v>
      </c>
      <c r="J706" s="605"/>
      <c r="K706" s="212">
        <v>1</v>
      </c>
      <c r="L706" s="212">
        <f t="shared" si="111"/>
        <v>23957287</v>
      </c>
      <c r="M706" s="602"/>
      <c r="N706" s="675">
        <f>+'Yeşil Defter'!K722</f>
        <v>0</v>
      </c>
      <c r="O706" s="675">
        <f>+'Yeşil Defter'!L722</f>
        <v>0</v>
      </c>
      <c r="P706" s="675">
        <f>+'Yeşil Defter'!M722</f>
        <v>0</v>
      </c>
      <c r="Q706" s="212"/>
      <c r="R706" s="605">
        <f t="shared" si="115"/>
        <v>0</v>
      </c>
      <c r="S706" s="225">
        <f t="shared" si="99"/>
        <v>0</v>
      </c>
      <c r="T706" s="237">
        <f t="shared" si="116"/>
        <v>0</v>
      </c>
      <c r="X706" s="23" t="str">
        <f t="shared" si="103"/>
        <v>-</v>
      </c>
    </row>
    <row r="707" spans="1:24" ht="30" customHeight="1" x14ac:dyDescent="0.3">
      <c r="A707" s="262">
        <v>6</v>
      </c>
      <c r="C707" s="244">
        <v>381</v>
      </c>
      <c r="D707" s="161" t="s">
        <v>950</v>
      </c>
      <c r="E707" s="969" t="s">
        <v>951</v>
      </c>
      <c r="F707" s="970"/>
      <c r="G707" s="971"/>
      <c r="H707" s="544" t="s">
        <v>286</v>
      </c>
      <c r="I707" s="212">
        <v>26160256</v>
      </c>
      <c r="J707" s="605"/>
      <c r="K707" s="212">
        <v>1</v>
      </c>
      <c r="L707" s="212">
        <f t="shared" si="111"/>
        <v>26160256</v>
      </c>
      <c r="M707" s="602"/>
      <c r="N707" s="675">
        <f>+'Yeşil Defter'!K723</f>
        <v>0</v>
      </c>
      <c r="O707" s="675">
        <f>+'Yeşil Defter'!L723</f>
        <v>0</v>
      </c>
      <c r="P707" s="675">
        <f>+'Yeşil Defter'!M723</f>
        <v>0</v>
      </c>
      <c r="Q707" s="212"/>
      <c r="R707" s="605">
        <f t="shared" si="115"/>
        <v>0</v>
      </c>
      <c r="S707" s="225">
        <f t="shared" si="99"/>
        <v>0</v>
      </c>
      <c r="T707" s="237">
        <f t="shared" si="116"/>
        <v>0</v>
      </c>
      <c r="X707" s="23" t="str">
        <f t="shared" si="103"/>
        <v>-</v>
      </c>
    </row>
    <row r="708" spans="1:24" ht="30" customHeight="1" x14ac:dyDescent="0.3">
      <c r="A708" s="262">
        <v>6</v>
      </c>
      <c r="C708" s="244">
        <v>382</v>
      </c>
      <c r="D708" s="161" t="s">
        <v>952</v>
      </c>
      <c r="E708" s="969" t="s">
        <v>953</v>
      </c>
      <c r="F708" s="970"/>
      <c r="G708" s="971"/>
      <c r="H708" s="544" t="s">
        <v>286</v>
      </c>
      <c r="I708" s="212">
        <v>27537111</v>
      </c>
      <c r="J708" s="605"/>
      <c r="K708" s="212">
        <v>1</v>
      </c>
      <c r="L708" s="212">
        <f t="shared" si="111"/>
        <v>27537111</v>
      </c>
      <c r="M708" s="602"/>
      <c r="N708" s="675">
        <f>+'Yeşil Defter'!K724</f>
        <v>0</v>
      </c>
      <c r="O708" s="675">
        <f>+'Yeşil Defter'!L724</f>
        <v>0</v>
      </c>
      <c r="P708" s="675">
        <f>+'Yeşil Defter'!M724</f>
        <v>0</v>
      </c>
      <c r="Q708" s="212"/>
      <c r="R708" s="605">
        <f t="shared" si="115"/>
        <v>0</v>
      </c>
      <c r="S708" s="225">
        <f t="shared" si="99"/>
        <v>0</v>
      </c>
      <c r="T708" s="237">
        <f t="shared" si="116"/>
        <v>0</v>
      </c>
      <c r="X708" s="23" t="str">
        <f t="shared" si="103"/>
        <v>-</v>
      </c>
    </row>
    <row r="709" spans="1:24" ht="30" customHeight="1" x14ac:dyDescent="0.3">
      <c r="A709" s="262">
        <v>6</v>
      </c>
      <c r="C709" s="244">
        <v>383</v>
      </c>
      <c r="D709" s="161" t="s">
        <v>954</v>
      </c>
      <c r="E709" s="969" t="s">
        <v>955</v>
      </c>
      <c r="F709" s="970"/>
      <c r="G709" s="971"/>
      <c r="H709" s="544" t="s">
        <v>286</v>
      </c>
      <c r="I709" s="212">
        <v>24783400</v>
      </c>
      <c r="J709" s="605"/>
      <c r="K709" s="212">
        <v>1</v>
      </c>
      <c r="L709" s="212">
        <f t="shared" si="111"/>
        <v>24783400</v>
      </c>
      <c r="M709" s="602"/>
      <c r="N709" s="675">
        <f>+'Yeşil Defter'!K725</f>
        <v>0</v>
      </c>
      <c r="O709" s="675">
        <f>+'Yeşil Defter'!L725</f>
        <v>0</v>
      </c>
      <c r="P709" s="675">
        <f>+'Yeşil Defter'!M725</f>
        <v>0</v>
      </c>
      <c r="Q709" s="212"/>
      <c r="R709" s="605">
        <f t="shared" si="115"/>
        <v>0</v>
      </c>
      <c r="S709" s="225">
        <f t="shared" si="99"/>
        <v>0</v>
      </c>
      <c r="T709" s="237">
        <f t="shared" si="116"/>
        <v>0</v>
      </c>
      <c r="X709" s="23" t="str">
        <f t="shared" si="103"/>
        <v>-</v>
      </c>
    </row>
    <row r="710" spans="1:24" ht="30" customHeight="1" x14ac:dyDescent="0.3">
      <c r="A710" s="262">
        <v>6</v>
      </c>
      <c r="C710" s="244">
        <v>384</v>
      </c>
      <c r="D710" s="161" t="s">
        <v>956</v>
      </c>
      <c r="E710" s="969" t="s">
        <v>957</v>
      </c>
      <c r="F710" s="970"/>
      <c r="G710" s="971"/>
      <c r="H710" s="544" t="s">
        <v>286</v>
      </c>
      <c r="I710" s="212">
        <v>26160256</v>
      </c>
      <c r="J710" s="605"/>
      <c r="K710" s="212">
        <v>1</v>
      </c>
      <c r="L710" s="212">
        <f t="shared" si="111"/>
        <v>26160256</v>
      </c>
      <c r="M710" s="602"/>
      <c r="N710" s="675">
        <f>+'Yeşil Defter'!K726</f>
        <v>0</v>
      </c>
      <c r="O710" s="675">
        <f>+'Yeşil Defter'!L726</f>
        <v>0</v>
      </c>
      <c r="P710" s="675">
        <f>+'Yeşil Defter'!M726</f>
        <v>0</v>
      </c>
      <c r="Q710" s="212"/>
      <c r="R710" s="605">
        <f t="shared" si="115"/>
        <v>0</v>
      </c>
      <c r="S710" s="225">
        <f t="shared" si="99"/>
        <v>0</v>
      </c>
      <c r="T710" s="237">
        <f t="shared" si="116"/>
        <v>0</v>
      </c>
      <c r="X710" s="23" t="str">
        <f t="shared" si="103"/>
        <v>-</v>
      </c>
    </row>
    <row r="711" spans="1:24" ht="30" customHeight="1" x14ac:dyDescent="0.3">
      <c r="A711" s="262">
        <v>6</v>
      </c>
      <c r="C711" s="244">
        <v>385</v>
      </c>
      <c r="D711" s="161" t="s">
        <v>958</v>
      </c>
      <c r="E711" s="969" t="s">
        <v>959</v>
      </c>
      <c r="F711" s="970"/>
      <c r="G711" s="971"/>
      <c r="H711" s="544" t="s">
        <v>286</v>
      </c>
      <c r="I711" s="212">
        <v>61312053</v>
      </c>
      <c r="J711" s="605"/>
      <c r="K711" s="212">
        <v>1</v>
      </c>
      <c r="L711" s="212">
        <f t="shared" si="111"/>
        <v>61312053</v>
      </c>
      <c r="M711" s="602"/>
      <c r="N711" s="675">
        <f>+'Yeşil Defter'!K727</f>
        <v>0</v>
      </c>
      <c r="O711" s="675">
        <f>+'Yeşil Defter'!L727</f>
        <v>0</v>
      </c>
      <c r="P711" s="675">
        <f>+'Yeşil Defter'!M727</f>
        <v>0</v>
      </c>
      <c r="Q711" s="212"/>
      <c r="R711" s="605">
        <f t="shared" si="115"/>
        <v>0</v>
      </c>
      <c r="S711" s="225">
        <f t="shared" si="99"/>
        <v>0</v>
      </c>
      <c r="T711" s="237">
        <f t="shared" si="116"/>
        <v>0</v>
      </c>
      <c r="X711" s="23" t="str">
        <f t="shared" si="103"/>
        <v>-</v>
      </c>
    </row>
    <row r="712" spans="1:24" ht="30" customHeight="1" x14ac:dyDescent="0.3">
      <c r="A712" s="262">
        <v>6</v>
      </c>
      <c r="C712" s="244">
        <v>386</v>
      </c>
      <c r="D712" s="161" t="s">
        <v>960</v>
      </c>
      <c r="E712" s="969" t="s">
        <v>961</v>
      </c>
      <c r="F712" s="970"/>
      <c r="G712" s="971"/>
      <c r="H712" s="544" t="s">
        <v>286</v>
      </c>
      <c r="I712" s="212">
        <v>7050905</v>
      </c>
      <c r="J712" s="605"/>
      <c r="K712" s="212">
        <v>1</v>
      </c>
      <c r="L712" s="212">
        <f t="shared" si="111"/>
        <v>7050905</v>
      </c>
      <c r="M712" s="602"/>
      <c r="N712" s="675">
        <f>+'Yeşil Defter'!K728</f>
        <v>0</v>
      </c>
      <c r="O712" s="675">
        <f>+'Yeşil Defter'!L728</f>
        <v>0</v>
      </c>
      <c r="P712" s="675">
        <f>+'Yeşil Defter'!M728</f>
        <v>0</v>
      </c>
      <c r="Q712" s="212"/>
      <c r="R712" s="605">
        <f t="shared" si="115"/>
        <v>0</v>
      </c>
      <c r="S712" s="225">
        <f t="shared" si="99"/>
        <v>0</v>
      </c>
      <c r="T712" s="237">
        <f t="shared" si="116"/>
        <v>0</v>
      </c>
      <c r="X712" s="23" t="str">
        <f t="shared" si="103"/>
        <v>-</v>
      </c>
    </row>
    <row r="713" spans="1:24" ht="30" customHeight="1" x14ac:dyDescent="0.3">
      <c r="A713" s="262">
        <v>6</v>
      </c>
      <c r="C713" s="244">
        <v>387</v>
      </c>
      <c r="D713" s="161" t="s">
        <v>962</v>
      </c>
      <c r="E713" s="969" t="s">
        <v>963</v>
      </c>
      <c r="F713" s="970"/>
      <c r="G713" s="971"/>
      <c r="H713" s="544" t="s">
        <v>286</v>
      </c>
      <c r="I713" s="212">
        <v>7050905</v>
      </c>
      <c r="J713" s="605"/>
      <c r="K713" s="212">
        <v>1</v>
      </c>
      <c r="L713" s="212">
        <f t="shared" si="111"/>
        <v>7050905</v>
      </c>
      <c r="M713" s="602"/>
      <c r="N713" s="675">
        <f>+'Yeşil Defter'!K729</f>
        <v>0</v>
      </c>
      <c r="O713" s="675">
        <f>+'Yeşil Defter'!L729</f>
        <v>0</v>
      </c>
      <c r="P713" s="675">
        <f>+'Yeşil Defter'!M729</f>
        <v>0</v>
      </c>
      <c r="Q713" s="212"/>
      <c r="R713" s="605">
        <f t="shared" si="115"/>
        <v>0</v>
      </c>
      <c r="S713" s="225">
        <f t="shared" ref="S713:S770" si="117">+T713-R713</f>
        <v>0</v>
      </c>
      <c r="T713" s="237">
        <f t="shared" si="116"/>
        <v>0</v>
      </c>
      <c r="X713" s="23" t="str">
        <f t="shared" si="103"/>
        <v>-</v>
      </c>
    </row>
    <row r="714" spans="1:24" ht="30" customHeight="1" x14ac:dyDescent="0.3">
      <c r="A714" s="262">
        <v>6</v>
      </c>
      <c r="C714" s="244">
        <v>388</v>
      </c>
      <c r="D714" s="161" t="s">
        <v>964</v>
      </c>
      <c r="E714" s="969" t="s">
        <v>965</v>
      </c>
      <c r="F714" s="970"/>
      <c r="G714" s="971"/>
      <c r="H714" s="544" t="s">
        <v>286</v>
      </c>
      <c r="I714" s="212">
        <v>7050905</v>
      </c>
      <c r="J714" s="605"/>
      <c r="K714" s="212">
        <v>1</v>
      </c>
      <c r="L714" s="212">
        <f t="shared" si="111"/>
        <v>7050905</v>
      </c>
      <c r="M714" s="602"/>
      <c r="N714" s="675">
        <f>+'Yeşil Defter'!K730</f>
        <v>0</v>
      </c>
      <c r="O714" s="675">
        <f>+'Yeşil Defter'!L730</f>
        <v>0</v>
      </c>
      <c r="P714" s="675">
        <f>+'Yeşil Defter'!M730</f>
        <v>0</v>
      </c>
      <c r="Q714" s="212"/>
      <c r="R714" s="605">
        <f t="shared" si="115"/>
        <v>0</v>
      </c>
      <c r="S714" s="225">
        <f t="shared" si="117"/>
        <v>0</v>
      </c>
      <c r="T714" s="237">
        <f t="shared" si="116"/>
        <v>0</v>
      </c>
      <c r="X714" s="23" t="str">
        <f t="shared" si="103"/>
        <v>-</v>
      </c>
    </row>
    <row r="715" spans="1:24" ht="30" customHeight="1" x14ac:dyDescent="0.3">
      <c r="A715" s="262">
        <v>6</v>
      </c>
      <c r="C715" s="244">
        <v>389</v>
      </c>
      <c r="D715" s="161" t="s">
        <v>966</v>
      </c>
      <c r="E715" s="969" t="s">
        <v>967</v>
      </c>
      <c r="F715" s="970"/>
      <c r="G715" s="971"/>
      <c r="H715" s="544" t="s">
        <v>286</v>
      </c>
      <c r="I715" s="212">
        <v>7050905</v>
      </c>
      <c r="J715" s="605"/>
      <c r="K715" s="212">
        <v>1</v>
      </c>
      <c r="L715" s="212">
        <f t="shared" si="111"/>
        <v>7050905</v>
      </c>
      <c r="M715" s="602"/>
      <c r="N715" s="675">
        <f>+'Yeşil Defter'!K731</f>
        <v>0</v>
      </c>
      <c r="O715" s="675">
        <f>+'Yeşil Defter'!L731</f>
        <v>0</v>
      </c>
      <c r="P715" s="675">
        <f>+'Yeşil Defter'!M731</f>
        <v>0</v>
      </c>
      <c r="Q715" s="212"/>
      <c r="R715" s="605">
        <f t="shared" si="115"/>
        <v>0</v>
      </c>
      <c r="S715" s="225">
        <f t="shared" si="117"/>
        <v>0</v>
      </c>
      <c r="T715" s="237">
        <f t="shared" si="116"/>
        <v>0</v>
      </c>
      <c r="X715" s="23" t="str">
        <f t="shared" si="103"/>
        <v>-</v>
      </c>
    </row>
    <row r="716" spans="1:24" ht="40.049999999999997" customHeight="1" x14ac:dyDescent="0.3">
      <c r="A716" s="262" t="s">
        <v>1242</v>
      </c>
      <c r="C716" s="258"/>
      <c r="D716" s="258"/>
      <c r="E716" s="972" t="s">
        <v>33</v>
      </c>
      <c r="F716" s="972"/>
      <c r="G716" s="972"/>
      <c r="H716" s="973" t="s">
        <v>29</v>
      </c>
      <c r="I716" s="973"/>
      <c r="J716" s="973"/>
      <c r="K716" s="973"/>
      <c r="L716" s="973"/>
      <c r="M716" s="549"/>
      <c r="N716" s="973" t="s">
        <v>22</v>
      </c>
      <c r="O716" s="973"/>
      <c r="P716" s="973"/>
      <c r="Q716" s="973"/>
      <c r="R716" s="973"/>
      <c r="S716" s="973"/>
      <c r="T716" s="973"/>
      <c r="X716" s="23"/>
    </row>
    <row r="717" spans="1:24" ht="19.95" customHeight="1" x14ac:dyDescent="0.3">
      <c r="A717" s="262" t="s">
        <v>1242</v>
      </c>
      <c r="D717" s="28"/>
      <c r="E717" s="974" t="s">
        <v>1214</v>
      </c>
      <c r="F717" s="974"/>
      <c r="G717" s="974"/>
      <c r="H717" s="975" t="s">
        <v>38</v>
      </c>
      <c r="I717" s="975"/>
      <c r="J717" s="975"/>
      <c r="K717" s="975"/>
      <c r="L717" s="975"/>
      <c r="M717" s="562"/>
      <c r="N717" s="975" t="s">
        <v>1437</v>
      </c>
      <c r="O717" s="975"/>
      <c r="P717" s="975"/>
      <c r="Q717" s="975"/>
      <c r="R717" s="975"/>
      <c r="S717" s="975"/>
      <c r="T717" s="975"/>
      <c r="X717" s="23"/>
    </row>
    <row r="718" spans="1:24" ht="19.95" customHeight="1" x14ac:dyDescent="0.3">
      <c r="A718" s="262" t="s">
        <v>1242</v>
      </c>
      <c r="C718" s="228"/>
      <c r="D718" s="228"/>
      <c r="E718" s="561"/>
      <c r="F718" s="561"/>
      <c r="G718" s="561"/>
      <c r="H718" s="975" t="s">
        <v>32</v>
      </c>
      <c r="I718" s="975"/>
      <c r="J718" s="562"/>
      <c r="K718" s="975" t="s">
        <v>1407</v>
      </c>
      <c r="L718" s="975"/>
      <c r="M718" s="260"/>
      <c r="N718" s="975"/>
      <c r="O718" s="975"/>
      <c r="P718" s="975"/>
      <c r="Q718" s="975"/>
      <c r="R718" s="975"/>
      <c r="S718" s="975"/>
      <c r="T718" s="975"/>
      <c r="X718" s="23"/>
    </row>
    <row r="719" spans="1:24" ht="19.95" customHeight="1" x14ac:dyDescent="0.3">
      <c r="A719" s="262" t="s">
        <v>1242</v>
      </c>
      <c r="C719" s="228"/>
      <c r="D719" s="228"/>
      <c r="E719" s="561"/>
      <c r="F719" s="561"/>
      <c r="G719" s="561"/>
      <c r="H719" s="976" t="s">
        <v>94</v>
      </c>
      <c r="I719" s="976"/>
      <c r="J719" s="623"/>
      <c r="K719" s="976" t="s">
        <v>94</v>
      </c>
      <c r="L719" s="976"/>
      <c r="M719" s="260"/>
      <c r="N719" s="975"/>
      <c r="O719" s="975"/>
      <c r="P719" s="975"/>
      <c r="Q719" s="975"/>
      <c r="R719" s="975"/>
      <c r="S719" s="975"/>
      <c r="T719" s="975"/>
      <c r="X719" s="23"/>
    </row>
    <row r="720" spans="1:24" ht="19.95" customHeight="1" x14ac:dyDescent="0.3">
      <c r="A720" s="262" t="s">
        <v>1242</v>
      </c>
      <c r="C720" s="228"/>
      <c r="D720" s="228"/>
      <c r="E720" s="561"/>
      <c r="F720" s="561"/>
      <c r="G720" s="561"/>
      <c r="H720" s="976"/>
      <c r="I720" s="976"/>
      <c r="J720" s="623"/>
      <c r="K720" s="976"/>
      <c r="L720" s="976"/>
      <c r="M720" s="261"/>
      <c r="N720" s="260"/>
      <c r="O720" s="260"/>
      <c r="P720" s="260"/>
      <c r="Q720" s="260"/>
      <c r="R720" s="260"/>
      <c r="S720" s="260"/>
      <c r="T720" s="260"/>
      <c r="X720" s="23"/>
    </row>
    <row r="721" spans="1:24" ht="19.95" customHeight="1" x14ac:dyDescent="0.3">
      <c r="A721" s="262" t="s">
        <v>1242</v>
      </c>
      <c r="C721" s="228"/>
      <c r="D721" s="228"/>
      <c r="E721" s="561"/>
      <c r="F721" s="561"/>
      <c r="G721" s="561"/>
      <c r="H721" s="975"/>
      <c r="I721" s="975"/>
      <c r="J721" s="562"/>
      <c r="K721" s="975"/>
      <c r="L721" s="975"/>
      <c r="M721" s="562"/>
      <c r="N721" s="968" t="s">
        <v>1244</v>
      </c>
      <c r="O721" s="968"/>
      <c r="P721" s="968"/>
      <c r="Q721" s="260"/>
      <c r="R721" s="968" t="s">
        <v>52</v>
      </c>
      <c r="S721" s="968"/>
      <c r="T721" s="968"/>
      <c r="X721" s="23"/>
    </row>
    <row r="722" spans="1:24" ht="19.95" customHeight="1" x14ac:dyDescent="0.3">
      <c r="A722" s="262" t="s">
        <v>1242</v>
      </c>
      <c r="C722" s="228"/>
      <c r="D722" s="228"/>
      <c r="E722" s="561"/>
      <c r="F722" s="561"/>
      <c r="G722" s="561"/>
      <c r="H722" s="976" t="s">
        <v>1220</v>
      </c>
      <c r="I722" s="976"/>
      <c r="J722" s="976"/>
      <c r="K722" s="976"/>
      <c r="L722" s="976"/>
      <c r="M722" s="623"/>
      <c r="N722" s="968" t="s">
        <v>1483</v>
      </c>
      <c r="O722" s="968"/>
      <c r="P722" s="968"/>
      <c r="Q722" s="260"/>
      <c r="R722" s="968" t="s">
        <v>1485</v>
      </c>
      <c r="S722" s="968"/>
      <c r="T722" s="968"/>
      <c r="X722" s="23"/>
    </row>
    <row r="723" spans="1:24" ht="19.95" customHeight="1" x14ac:dyDescent="0.3">
      <c r="A723" s="262" t="s">
        <v>1242</v>
      </c>
      <c r="C723" s="228"/>
      <c r="D723" s="228"/>
      <c r="E723" s="561"/>
      <c r="F723" s="561"/>
      <c r="G723" s="561"/>
      <c r="H723" s="976"/>
      <c r="I723" s="976"/>
      <c r="J723" s="976"/>
      <c r="K723" s="976"/>
      <c r="L723" s="976"/>
      <c r="M723" s="623"/>
      <c r="N723" s="968"/>
      <c r="O723" s="968"/>
      <c r="P723" s="968"/>
      <c r="Q723" s="260"/>
      <c r="R723" s="968"/>
      <c r="S723" s="968"/>
      <c r="T723" s="968"/>
      <c r="X723" s="23"/>
    </row>
    <row r="724" spans="1:24" ht="19.95" customHeight="1" x14ac:dyDescent="0.3">
      <c r="A724" s="262" t="s">
        <v>1242</v>
      </c>
      <c r="C724" s="228"/>
      <c r="D724" s="228"/>
      <c r="E724" s="561"/>
      <c r="F724" s="561"/>
      <c r="G724" s="561"/>
      <c r="H724" s="228"/>
      <c r="I724" s="260"/>
      <c r="J724" s="260"/>
      <c r="K724" s="260"/>
      <c r="L724" s="260"/>
      <c r="M724" s="260"/>
      <c r="N724" s="260"/>
      <c r="O724" s="260"/>
      <c r="P724" s="260"/>
      <c r="Q724" s="260"/>
      <c r="R724" s="260"/>
      <c r="S724" s="624"/>
      <c r="T724" s="260"/>
      <c r="X724" s="23"/>
    </row>
    <row r="725" spans="1:24" ht="19.95" customHeight="1" x14ac:dyDescent="0.3">
      <c r="A725" s="262" t="s">
        <v>1242</v>
      </c>
      <c r="C725" s="228"/>
      <c r="D725" s="228"/>
      <c r="E725" s="975" t="s">
        <v>1215</v>
      </c>
      <c r="F725" s="975"/>
      <c r="G725" s="975"/>
      <c r="H725" s="975" t="s">
        <v>1348</v>
      </c>
      <c r="I725" s="975"/>
      <c r="J725" s="975"/>
      <c r="K725" s="975"/>
      <c r="L725" s="975"/>
      <c r="M725" s="562"/>
      <c r="N725" s="977" t="s">
        <v>1219</v>
      </c>
      <c r="O725" s="968"/>
      <c r="P725" s="968"/>
      <c r="Q725" s="968"/>
      <c r="R725" s="968"/>
      <c r="S725" s="968"/>
      <c r="T725" s="968"/>
      <c r="X725" s="23"/>
    </row>
    <row r="726" spans="1:24" ht="19.95" customHeight="1" x14ac:dyDescent="0.3">
      <c r="A726" s="262" t="s">
        <v>1290</v>
      </c>
      <c r="C726" s="228"/>
      <c r="D726" s="228"/>
      <c r="E726" s="975"/>
      <c r="F726" s="975"/>
      <c r="G726" s="975"/>
      <c r="H726" s="975"/>
      <c r="I726" s="975"/>
      <c r="J726" s="975"/>
      <c r="K726" s="975"/>
      <c r="L726" s="975"/>
      <c r="M726" s="562"/>
      <c r="N726" s="968"/>
      <c r="O726" s="968"/>
      <c r="P726" s="968"/>
      <c r="Q726" s="968"/>
      <c r="R726" s="968"/>
      <c r="S726" s="968"/>
      <c r="T726" s="968"/>
      <c r="X726" s="23"/>
    </row>
    <row r="727" spans="1:24" ht="30" customHeight="1" x14ac:dyDescent="0.3">
      <c r="A727" s="262">
        <v>6</v>
      </c>
      <c r="C727" s="255">
        <v>390</v>
      </c>
      <c r="D727" s="256" t="s">
        <v>968</v>
      </c>
      <c r="E727" s="978" t="s">
        <v>969</v>
      </c>
      <c r="F727" s="979"/>
      <c r="G727" s="980"/>
      <c r="H727" s="546" t="s">
        <v>286</v>
      </c>
      <c r="I727" s="257">
        <v>7050905</v>
      </c>
      <c r="J727" s="606"/>
      <c r="K727" s="257">
        <v>1</v>
      </c>
      <c r="L727" s="257">
        <f t="shared" ref="L727:L743" si="118">+ROUND(I727*K727,2)</f>
        <v>7050905</v>
      </c>
      <c r="M727" s="603"/>
      <c r="N727" s="675">
        <f>+'Yeşil Defter'!K732</f>
        <v>0</v>
      </c>
      <c r="O727" s="675">
        <f>+'Yeşil Defter'!L732</f>
        <v>0</v>
      </c>
      <c r="P727" s="675">
        <f>+'Yeşil Defter'!M732</f>
        <v>0</v>
      </c>
      <c r="Q727" s="257"/>
      <c r="R727" s="606">
        <f t="shared" ref="R727:R743" si="119">+ROUND(K727*N727,2)</f>
        <v>0</v>
      </c>
      <c r="S727" s="247">
        <f t="shared" si="117"/>
        <v>0</v>
      </c>
      <c r="T727" s="248">
        <f t="shared" ref="T727:T743" si="120">+ROUND(K727*P727,2)</f>
        <v>0</v>
      </c>
      <c r="X727" s="23" t="str">
        <f t="shared" ref="X727:X770" si="121">IF(AND(P728&gt;K728*1.2, (P728-K728)*I728 &gt; $L$13*0.01), "RBF", "-")</f>
        <v>-</v>
      </c>
    </row>
    <row r="728" spans="1:24" ht="30" customHeight="1" x14ac:dyDescent="0.3">
      <c r="A728" s="262">
        <v>6</v>
      </c>
      <c r="C728" s="244">
        <v>391</v>
      </c>
      <c r="D728" s="161" t="s">
        <v>970</v>
      </c>
      <c r="E728" s="969" t="s">
        <v>971</v>
      </c>
      <c r="F728" s="970"/>
      <c r="G728" s="971"/>
      <c r="H728" s="544" t="s">
        <v>286</v>
      </c>
      <c r="I728" s="212">
        <v>3644778</v>
      </c>
      <c r="J728" s="605"/>
      <c r="K728" s="212">
        <v>1</v>
      </c>
      <c r="L728" s="212">
        <f t="shared" si="118"/>
        <v>3644778</v>
      </c>
      <c r="M728" s="602"/>
      <c r="N728" s="675">
        <f>+'Yeşil Defter'!K733</f>
        <v>0</v>
      </c>
      <c r="O728" s="675">
        <f>+'Yeşil Defter'!L733</f>
        <v>0</v>
      </c>
      <c r="P728" s="675">
        <f>+'Yeşil Defter'!M733</f>
        <v>0</v>
      </c>
      <c r="Q728" s="212"/>
      <c r="R728" s="605">
        <f t="shared" si="119"/>
        <v>0</v>
      </c>
      <c r="S728" s="225">
        <f t="shared" si="117"/>
        <v>0</v>
      </c>
      <c r="T728" s="237">
        <f t="shared" si="120"/>
        <v>0</v>
      </c>
      <c r="X728" s="23" t="str">
        <f t="shared" si="121"/>
        <v>-</v>
      </c>
    </row>
    <row r="729" spans="1:24" ht="30" customHeight="1" x14ac:dyDescent="0.3">
      <c r="A729" s="262">
        <v>6</v>
      </c>
      <c r="C729" s="244">
        <v>392</v>
      </c>
      <c r="D729" s="161" t="s">
        <v>972</v>
      </c>
      <c r="E729" s="969" t="s">
        <v>973</v>
      </c>
      <c r="F729" s="970"/>
      <c r="G729" s="971"/>
      <c r="H729" s="544" t="s">
        <v>286</v>
      </c>
      <c r="I729" s="212">
        <v>3644778</v>
      </c>
      <c r="J729" s="605"/>
      <c r="K729" s="212">
        <v>1</v>
      </c>
      <c r="L729" s="212">
        <f t="shared" si="118"/>
        <v>3644778</v>
      </c>
      <c r="M729" s="602"/>
      <c r="N729" s="675">
        <f>+'Yeşil Defter'!K734</f>
        <v>0</v>
      </c>
      <c r="O729" s="675">
        <f>+'Yeşil Defter'!L734</f>
        <v>0</v>
      </c>
      <c r="P729" s="675">
        <f>+'Yeşil Defter'!M734</f>
        <v>0</v>
      </c>
      <c r="Q729" s="212"/>
      <c r="R729" s="605">
        <f t="shared" si="119"/>
        <v>0</v>
      </c>
      <c r="S729" s="225">
        <f t="shared" si="117"/>
        <v>0</v>
      </c>
      <c r="T729" s="237">
        <f t="shared" si="120"/>
        <v>0</v>
      </c>
      <c r="X729" s="23" t="str">
        <f t="shared" si="121"/>
        <v>-</v>
      </c>
    </row>
    <row r="730" spans="1:24" ht="30" customHeight="1" x14ac:dyDescent="0.3">
      <c r="A730" s="262">
        <v>6</v>
      </c>
      <c r="C730" s="244">
        <v>393</v>
      </c>
      <c r="D730" s="161" t="s">
        <v>974</v>
      </c>
      <c r="E730" s="969" t="s">
        <v>975</v>
      </c>
      <c r="F730" s="970"/>
      <c r="G730" s="971"/>
      <c r="H730" s="544" t="s">
        <v>286</v>
      </c>
      <c r="I730" s="212">
        <v>3644778</v>
      </c>
      <c r="J730" s="605"/>
      <c r="K730" s="212">
        <v>1</v>
      </c>
      <c r="L730" s="212">
        <f t="shared" si="118"/>
        <v>3644778</v>
      </c>
      <c r="M730" s="602"/>
      <c r="N730" s="675">
        <f>+'Yeşil Defter'!K735</f>
        <v>0</v>
      </c>
      <c r="O730" s="675">
        <f>+'Yeşil Defter'!L735</f>
        <v>0</v>
      </c>
      <c r="P730" s="675">
        <f>+'Yeşil Defter'!M735</f>
        <v>0</v>
      </c>
      <c r="Q730" s="212"/>
      <c r="R730" s="605">
        <f t="shared" si="119"/>
        <v>0</v>
      </c>
      <c r="S730" s="225">
        <f t="shared" si="117"/>
        <v>0</v>
      </c>
      <c r="T730" s="237">
        <f t="shared" si="120"/>
        <v>0</v>
      </c>
      <c r="X730" s="23" t="str">
        <f t="shared" si="121"/>
        <v>-</v>
      </c>
    </row>
    <row r="731" spans="1:24" ht="30" customHeight="1" x14ac:dyDescent="0.3">
      <c r="A731" s="262">
        <v>6</v>
      </c>
      <c r="C731" s="244">
        <v>394</v>
      </c>
      <c r="D731" s="161" t="s">
        <v>976</v>
      </c>
      <c r="E731" s="969" t="s">
        <v>977</v>
      </c>
      <c r="F731" s="970"/>
      <c r="G731" s="971"/>
      <c r="H731" s="544" t="s">
        <v>286</v>
      </c>
      <c r="I731" s="212">
        <v>3644778</v>
      </c>
      <c r="J731" s="605"/>
      <c r="K731" s="212">
        <v>1</v>
      </c>
      <c r="L731" s="212">
        <f t="shared" si="118"/>
        <v>3644778</v>
      </c>
      <c r="M731" s="602"/>
      <c r="N731" s="675">
        <f>+'Yeşil Defter'!K736</f>
        <v>0</v>
      </c>
      <c r="O731" s="675">
        <f>+'Yeşil Defter'!L736</f>
        <v>0</v>
      </c>
      <c r="P731" s="675">
        <f>+'Yeşil Defter'!M736</f>
        <v>0</v>
      </c>
      <c r="Q731" s="212"/>
      <c r="R731" s="605">
        <f t="shared" si="119"/>
        <v>0</v>
      </c>
      <c r="S731" s="225">
        <f t="shared" si="117"/>
        <v>0</v>
      </c>
      <c r="T731" s="237">
        <f t="shared" si="120"/>
        <v>0</v>
      </c>
      <c r="X731" s="23" t="str">
        <f t="shared" si="121"/>
        <v>-</v>
      </c>
    </row>
    <row r="732" spans="1:24" ht="30" customHeight="1" x14ac:dyDescent="0.3">
      <c r="A732" s="262">
        <v>6</v>
      </c>
      <c r="C732" s="244">
        <v>395</v>
      </c>
      <c r="D732" s="161" t="s">
        <v>978</v>
      </c>
      <c r="E732" s="969" t="s">
        <v>979</v>
      </c>
      <c r="F732" s="970"/>
      <c r="G732" s="971"/>
      <c r="H732" s="544" t="s">
        <v>286</v>
      </c>
      <c r="I732" s="212">
        <v>3644778</v>
      </c>
      <c r="J732" s="605"/>
      <c r="K732" s="212">
        <v>1</v>
      </c>
      <c r="L732" s="212">
        <f t="shared" si="118"/>
        <v>3644778</v>
      </c>
      <c r="M732" s="602"/>
      <c r="N732" s="675">
        <f>+'Yeşil Defter'!K737</f>
        <v>0</v>
      </c>
      <c r="O732" s="675">
        <f>+'Yeşil Defter'!L737</f>
        <v>0</v>
      </c>
      <c r="P732" s="675">
        <f>+'Yeşil Defter'!M737</f>
        <v>0</v>
      </c>
      <c r="Q732" s="212"/>
      <c r="R732" s="605">
        <f t="shared" si="119"/>
        <v>0</v>
      </c>
      <c r="S732" s="225">
        <f t="shared" si="117"/>
        <v>0</v>
      </c>
      <c r="T732" s="237">
        <f t="shared" si="120"/>
        <v>0</v>
      </c>
      <c r="X732" s="23" t="str">
        <f t="shared" si="121"/>
        <v>-</v>
      </c>
    </row>
    <row r="733" spans="1:24" ht="30" customHeight="1" x14ac:dyDescent="0.3">
      <c r="A733" s="262">
        <v>6</v>
      </c>
      <c r="C733" s="244">
        <v>396</v>
      </c>
      <c r="D733" s="161" t="s">
        <v>980</v>
      </c>
      <c r="E733" s="969" t="s">
        <v>981</v>
      </c>
      <c r="F733" s="970"/>
      <c r="G733" s="971"/>
      <c r="H733" s="544" t="s">
        <v>286</v>
      </c>
      <c r="I733" s="212">
        <v>1341518</v>
      </c>
      <c r="J733" s="605"/>
      <c r="K733" s="212">
        <v>1</v>
      </c>
      <c r="L733" s="212">
        <f t="shared" si="118"/>
        <v>1341518</v>
      </c>
      <c r="M733" s="602"/>
      <c r="N733" s="675">
        <f>+'Yeşil Defter'!K738</f>
        <v>0</v>
      </c>
      <c r="O733" s="675">
        <f>+'Yeşil Defter'!L738</f>
        <v>0</v>
      </c>
      <c r="P733" s="675">
        <f>+'Yeşil Defter'!M738</f>
        <v>0</v>
      </c>
      <c r="Q733" s="212"/>
      <c r="R733" s="605">
        <f t="shared" si="119"/>
        <v>0</v>
      </c>
      <c r="S733" s="225">
        <f t="shared" si="117"/>
        <v>0</v>
      </c>
      <c r="T733" s="237">
        <f t="shared" si="120"/>
        <v>0</v>
      </c>
      <c r="X733" s="23" t="str">
        <f t="shared" si="121"/>
        <v>-</v>
      </c>
    </row>
    <row r="734" spans="1:24" ht="30" customHeight="1" x14ac:dyDescent="0.3">
      <c r="A734" s="262">
        <v>6</v>
      </c>
      <c r="C734" s="244">
        <v>397</v>
      </c>
      <c r="D734" s="161" t="s">
        <v>982</v>
      </c>
      <c r="E734" s="969" t="s">
        <v>983</v>
      </c>
      <c r="F734" s="970"/>
      <c r="G734" s="971"/>
      <c r="H734" s="544" t="s">
        <v>286</v>
      </c>
      <c r="I734" s="212">
        <v>1464876</v>
      </c>
      <c r="J734" s="605"/>
      <c r="K734" s="212">
        <v>1</v>
      </c>
      <c r="L734" s="212">
        <f t="shared" si="118"/>
        <v>1464876</v>
      </c>
      <c r="M734" s="602"/>
      <c r="N734" s="675">
        <f>+'Yeşil Defter'!K739</f>
        <v>0</v>
      </c>
      <c r="O734" s="675">
        <f>+'Yeşil Defter'!L739</f>
        <v>0</v>
      </c>
      <c r="P734" s="675">
        <f>+'Yeşil Defter'!M739</f>
        <v>0</v>
      </c>
      <c r="Q734" s="212"/>
      <c r="R734" s="605">
        <f t="shared" si="119"/>
        <v>0</v>
      </c>
      <c r="S734" s="225">
        <f t="shared" si="117"/>
        <v>0</v>
      </c>
      <c r="T734" s="237">
        <f t="shared" si="120"/>
        <v>0</v>
      </c>
      <c r="X734" s="23" t="str">
        <f t="shared" si="121"/>
        <v>-</v>
      </c>
    </row>
    <row r="735" spans="1:24" ht="30" customHeight="1" x14ac:dyDescent="0.3">
      <c r="A735" s="262">
        <v>6</v>
      </c>
      <c r="C735" s="244">
        <v>398</v>
      </c>
      <c r="D735" s="161" t="s">
        <v>984</v>
      </c>
      <c r="E735" s="969" t="s">
        <v>985</v>
      </c>
      <c r="F735" s="970"/>
      <c r="G735" s="971"/>
      <c r="H735" s="544" t="s">
        <v>286</v>
      </c>
      <c r="I735" s="212">
        <v>1541975</v>
      </c>
      <c r="J735" s="605"/>
      <c r="K735" s="212">
        <v>1</v>
      </c>
      <c r="L735" s="212">
        <f t="shared" si="118"/>
        <v>1541975</v>
      </c>
      <c r="M735" s="602"/>
      <c r="N735" s="675">
        <f>+'Yeşil Defter'!K740</f>
        <v>0</v>
      </c>
      <c r="O735" s="675">
        <f>+'Yeşil Defter'!L740</f>
        <v>0</v>
      </c>
      <c r="P735" s="675">
        <f>+'Yeşil Defter'!M740</f>
        <v>0</v>
      </c>
      <c r="Q735" s="212"/>
      <c r="R735" s="605">
        <f t="shared" si="119"/>
        <v>0</v>
      </c>
      <c r="S735" s="225">
        <f t="shared" si="117"/>
        <v>0</v>
      </c>
      <c r="T735" s="237">
        <f t="shared" si="120"/>
        <v>0</v>
      </c>
      <c r="X735" s="23" t="str">
        <f t="shared" si="121"/>
        <v>-</v>
      </c>
    </row>
    <row r="736" spans="1:24" ht="30" customHeight="1" x14ac:dyDescent="0.3">
      <c r="A736" s="262">
        <v>6</v>
      </c>
      <c r="C736" s="244">
        <v>399</v>
      </c>
      <c r="D736" s="161" t="s">
        <v>986</v>
      </c>
      <c r="E736" s="969" t="s">
        <v>987</v>
      </c>
      <c r="F736" s="970"/>
      <c r="G736" s="971"/>
      <c r="H736" s="544" t="s">
        <v>286</v>
      </c>
      <c r="I736" s="212">
        <v>1387778</v>
      </c>
      <c r="J736" s="605"/>
      <c r="K736" s="212">
        <v>1</v>
      </c>
      <c r="L736" s="212">
        <f t="shared" si="118"/>
        <v>1387778</v>
      </c>
      <c r="M736" s="602"/>
      <c r="N736" s="675">
        <f>+'Yeşil Defter'!K741</f>
        <v>0</v>
      </c>
      <c r="O736" s="675">
        <f>+'Yeşil Defter'!L741</f>
        <v>0</v>
      </c>
      <c r="P736" s="675">
        <f>+'Yeşil Defter'!M741</f>
        <v>0</v>
      </c>
      <c r="Q736" s="212"/>
      <c r="R736" s="605">
        <f t="shared" si="119"/>
        <v>0</v>
      </c>
      <c r="S736" s="225">
        <f t="shared" si="117"/>
        <v>0</v>
      </c>
      <c r="T736" s="237">
        <f t="shared" si="120"/>
        <v>0</v>
      </c>
      <c r="X736" s="23" t="str">
        <f t="shared" si="121"/>
        <v>-</v>
      </c>
    </row>
    <row r="737" spans="1:24" ht="30" customHeight="1" x14ac:dyDescent="0.3">
      <c r="A737" s="262">
        <v>6</v>
      </c>
      <c r="C737" s="244">
        <v>400</v>
      </c>
      <c r="D737" s="161" t="s">
        <v>988</v>
      </c>
      <c r="E737" s="969" t="s">
        <v>989</v>
      </c>
      <c r="F737" s="970"/>
      <c r="G737" s="971"/>
      <c r="H737" s="544" t="s">
        <v>286</v>
      </c>
      <c r="I737" s="212">
        <v>1464876</v>
      </c>
      <c r="J737" s="605"/>
      <c r="K737" s="212">
        <v>1</v>
      </c>
      <c r="L737" s="212">
        <f t="shared" si="118"/>
        <v>1464876</v>
      </c>
      <c r="M737" s="602"/>
      <c r="N737" s="675">
        <f>+'Yeşil Defter'!K742</f>
        <v>0</v>
      </c>
      <c r="O737" s="675">
        <f>+'Yeşil Defter'!L742</f>
        <v>0</v>
      </c>
      <c r="P737" s="675">
        <f>+'Yeşil Defter'!M742</f>
        <v>0</v>
      </c>
      <c r="Q737" s="212"/>
      <c r="R737" s="605">
        <f t="shared" si="119"/>
        <v>0</v>
      </c>
      <c r="S737" s="225">
        <f t="shared" si="117"/>
        <v>0</v>
      </c>
      <c r="T737" s="237">
        <f t="shared" si="120"/>
        <v>0</v>
      </c>
      <c r="X737" s="23" t="str">
        <f t="shared" si="121"/>
        <v>-</v>
      </c>
    </row>
    <row r="738" spans="1:24" ht="30" customHeight="1" x14ac:dyDescent="0.3">
      <c r="A738" s="262">
        <v>6</v>
      </c>
      <c r="C738" s="244">
        <v>401</v>
      </c>
      <c r="D738" s="161" t="s">
        <v>990</v>
      </c>
      <c r="E738" s="969" t="s">
        <v>991</v>
      </c>
      <c r="F738" s="970"/>
      <c r="G738" s="971"/>
      <c r="H738" s="544" t="s">
        <v>286</v>
      </c>
      <c r="I738" s="212">
        <v>9231212</v>
      </c>
      <c r="J738" s="605"/>
      <c r="K738" s="212">
        <v>1</v>
      </c>
      <c r="L738" s="212">
        <f t="shared" si="118"/>
        <v>9231212</v>
      </c>
      <c r="M738" s="602"/>
      <c r="N738" s="675">
        <f>+'Yeşil Defter'!K743</f>
        <v>0</v>
      </c>
      <c r="O738" s="675">
        <f>+'Yeşil Defter'!L743</f>
        <v>0</v>
      </c>
      <c r="P738" s="675">
        <f>+'Yeşil Defter'!M743</f>
        <v>0</v>
      </c>
      <c r="Q738" s="212"/>
      <c r="R738" s="605">
        <f t="shared" si="119"/>
        <v>0</v>
      </c>
      <c r="S738" s="225">
        <f t="shared" si="117"/>
        <v>0</v>
      </c>
      <c r="T738" s="237">
        <f t="shared" si="120"/>
        <v>0</v>
      </c>
      <c r="X738" s="23" t="str">
        <f t="shared" si="121"/>
        <v>-</v>
      </c>
    </row>
    <row r="739" spans="1:24" ht="30" customHeight="1" x14ac:dyDescent="0.3">
      <c r="A739" s="262">
        <v>6</v>
      </c>
      <c r="C739" s="244">
        <v>402</v>
      </c>
      <c r="D739" s="161" t="s">
        <v>992</v>
      </c>
      <c r="E739" s="969" t="s">
        <v>993</v>
      </c>
      <c r="F739" s="970"/>
      <c r="G739" s="971"/>
      <c r="H739" s="544" t="s">
        <v>286</v>
      </c>
      <c r="I739" s="212">
        <v>11006961</v>
      </c>
      <c r="J739" s="605"/>
      <c r="K739" s="212">
        <v>1</v>
      </c>
      <c r="L739" s="212">
        <f t="shared" si="118"/>
        <v>11006961</v>
      </c>
      <c r="M739" s="602"/>
      <c r="N739" s="675">
        <f>+'Yeşil Defter'!K756</f>
        <v>0</v>
      </c>
      <c r="O739" s="675">
        <f>+'Yeşil Defter'!L756</f>
        <v>0</v>
      </c>
      <c r="P739" s="675">
        <f>+'Yeşil Defter'!M756</f>
        <v>0</v>
      </c>
      <c r="Q739" s="212"/>
      <c r="R739" s="605">
        <f t="shared" si="119"/>
        <v>0</v>
      </c>
      <c r="S739" s="225">
        <f t="shared" si="117"/>
        <v>0</v>
      </c>
      <c r="T739" s="237">
        <f t="shared" si="120"/>
        <v>0</v>
      </c>
      <c r="X739" s="23" t="str">
        <f t="shared" si="121"/>
        <v>-</v>
      </c>
    </row>
    <row r="740" spans="1:24" ht="30" customHeight="1" x14ac:dyDescent="0.3">
      <c r="A740" s="262">
        <v>6</v>
      </c>
      <c r="C740" s="244">
        <v>403</v>
      </c>
      <c r="D740" s="161" t="s">
        <v>994</v>
      </c>
      <c r="E740" s="969" t="s">
        <v>995</v>
      </c>
      <c r="F740" s="970"/>
      <c r="G740" s="971"/>
      <c r="H740" s="544" t="s">
        <v>286</v>
      </c>
      <c r="I740" s="212">
        <v>12196079</v>
      </c>
      <c r="J740" s="605"/>
      <c r="K740" s="212">
        <v>1</v>
      </c>
      <c r="L740" s="212">
        <f t="shared" si="118"/>
        <v>12196079</v>
      </c>
      <c r="M740" s="602"/>
      <c r="N740" s="675">
        <f>+'Yeşil Defter'!K757</f>
        <v>0</v>
      </c>
      <c r="O740" s="675">
        <f>+'Yeşil Defter'!L757</f>
        <v>0</v>
      </c>
      <c r="P740" s="675">
        <f>+'Yeşil Defter'!M757</f>
        <v>0</v>
      </c>
      <c r="Q740" s="212"/>
      <c r="R740" s="605">
        <f t="shared" si="119"/>
        <v>0</v>
      </c>
      <c r="S740" s="225">
        <f t="shared" si="117"/>
        <v>0</v>
      </c>
      <c r="T740" s="237">
        <f t="shared" si="120"/>
        <v>0</v>
      </c>
      <c r="X740" s="23" t="str">
        <f t="shared" si="121"/>
        <v>-</v>
      </c>
    </row>
    <row r="741" spans="1:24" ht="30" customHeight="1" x14ac:dyDescent="0.3">
      <c r="A741" s="262">
        <v>6</v>
      </c>
      <c r="C741" s="244">
        <v>404</v>
      </c>
      <c r="D741" s="161" t="s">
        <v>996</v>
      </c>
      <c r="E741" s="969" t="s">
        <v>997</v>
      </c>
      <c r="F741" s="970"/>
      <c r="G741" s="971"/>
      <c r="H741" s="544" t="s">
        <v>286</v>
      </c>
      <c r="I741" s="212">
        <v>9878824</v>
      </c>
      <c r="J741" s="605"/>
      <c r="K741" s="212">
        <v>1</v>
      </c>
      <c r="L741" s="212">
        <f t="shared" si="118"/>
        <v>9878824</v>
      </c>
      <c r="M741" s="602"/>
      <c r="N741" s="675">
        <f>+'Yeşil Defter'!K758</f>
        <v>0</v>
      </c>
      <c r="O741" s="675">
        <f>+'Yeşil Defter'!L758</f>
        <v>0</v>
      </c>
      <c r="P741" s="675">
        <f>+'Yeşil Defter'!M758</f>
        <v>0</v>
      </c>
      <c r="Q741" s="212"/>
      <c r="R741" s="605">
        <f t="shared" si="119"/>
        <v>0</v>
      </c>
      <c r="S741" s="225">
        <f t="shared" si="117"/>
        <v>0</v>
      </c>
      <c r="T741" s="237">
        <f t="shared" si="120"/>
        <v>0</v>
      </c>
      <c r="X741" s="23" t="str">
        <f t="shared" si="121"/>
        <v>-</v>
      </c>
    </row>
    <row r="742" spans="1:24" ht="30" customHeight="1" x14ac:dyDescent="0.3">
      <c r="A742" s="262">
        <v>6</v>
      </c>
      <c r="C742" s="244">
        <v>405</v>
      </c>
      <c r="D742" s="161" t="s">
        <v>998</v>
      </c>
      <c r="E742" s="969" t="s">
        <v>999</v>
      </c>
      <c r="F742" s="970"/>
      <c r="G742" s="971"/>
      <c r="H742" s="544" t="s">
        <v>286</v>
      </c>
      <c r="I742" s="212">
        <v>11006961</v>
      </c>
      <c r="J742" s="605"/>
      <c r="K742" s="212">
        <v>1</v>
      </c>
      <c r="L742" s="212">
        <f t="shared" si="118"/>
        <v>11006961</v>
      </c>
      <c r="M742" s="602"/>
      <c r="N742" s="675">
        <f>+'Yeşil Defter'!K759</f>
        <v>0</v>
      </c>
      <c r="O742" s="675">
        <f>+'Yeşil Defter'!L759</f>
        <v>0</v>
      </c>
      <c r="P742" s="675">
        <f>+'Yeşil Defter'!M759</f>
        <v>0</v>
      </c>
      <c r="Q742" s="212"/>
      <c r="R742" s="605">
        <f t="shared" si="119"/>
        <v>0</v>
      </c>
      <c r="S742" s="225">
        <f t="shared" si="117"/>
        <v>0</v>
      </c>
      <c r="T742" s="237">
        <f t="shared" si="120"/>
        <v>0</v>
      </c>
      <c r="X742" s="23" t="str">
        <f t="shared" si="121"/>
        <v>-</v>
      </c>
    </row>
    <row r="743" spans="1:24" ht="30" customHeight="1" x14ac:dyDescent="0.3">
      <c r="A743" s="262">
        <v>6</v>
      </c>
      <c r="C743" s="244">
        <v>406</v>
      </c>
      <c r="D743" s="161" t="s">
        <v>1000</v>
      </c>
      <c r="E743" s="969" t="s">
        <v>1001</v>
      </c>
      <c r="F743" s="970"/>
      <c r="G743" s="971"/>
      <c r="H743" s="544" t="s">
        <v>286</v>
      </c>
      <c r="I743" s="212">
        <v>7293625</v>
      </c>
      <c r="J743" s="605"/>
      <c r="K743" s="212">
        <v>1</v>
      </c>
      <c r="L743" s="212">
        <f t="shared" si="118"/>
        <v>7293625</v>
      </c>
      <c r="M743" s="602"/>
      <c r="N743" s="675">
        <f>+'Yeşil Defter'!K760</f>
        <v>0</v>
      </c>
      <c r="O743" s="675">
        <f>+'Yeşil Defter'!L760</f>
        <v>0</v>
      </c>
      <c r="P743" s="675">
        <f>+'Yeşil Defter'!M760</f>
        <v>0</v>
      </c>
      <c r="Q743" s="212"/>
      <c r="R743" s="605">
        <f t="shared" si="119"/>
        <v>0</v>
      </c>
      <c r="S743" s="225">
        <f t="shared" si="117"/>
        <v>0</v>
      </c>
      <c r="T743" s="237">
        <f t="shared" si="120"/>
        <v>0</v>
      </c>
      <c r="X743" s="23" t="str">
        <f t="shared" si="121"/>
        <v>-</v>
      </c>
    </row>
    <row r="744" spans="1:24" ht="30" customHeight="1" x14ac:dyDescent="0.3">
      <c r="A744" s="262">
        <v>6</v>
      </c>
      <c r="C744" s="244"/>
      <c r="D744" s="161"/>
      <c r="E744" s="969"/>
      <c r="F744" s="970"/>
      <c r="G744" s="971"/>
      <c r="H744" s="161"/>
      <c r="I744" s="605"/>
      <c r="J744" s="605"/>
      <c r="K744" s="212"/>
      <c r="L744" s="341"/>
      <c r="M744" s="212"/>
      <c r="N744" s="605"/>
      <c r="O744" s="212"/>
      <c r="P744" s="341"/>
      <c r="Q744" s="212"/>
      <c r="R744" s="605"/>
      <c r="S744" s="225"/>
      <c r="T744" s="237"/>
      <c r="X744" s="23"/>
    </row>
    <row r="745" spans="1:24" ht="30" customHeight="1" x14ac:dyDescent="0.3">
      <c r="A745" s="262">
        <v>6</v>
      </c>
      <c r="C745" s="244"/>
      <c r="D745" s="161"/>
      <c r="E745" s="969"/>
      <c r="F745" s="970"/>
      <c r="G745" s="971"/>
      <c r="H745" s="161"/>
      <c r="I745" s="605"/>
      <c r="J745" s="605"/>
      <c r="K745" s="212"/>
      <c r="L745" s="341"/>
      <c r="M745" s="212"/>
      <c r="N745" s="605"/>
      <c r="O745" s="212"/>
      <c r="P745" s="341"/>
      <c r="Q745" s="212"/>
      <c r="R745" s="605"/>
      <c r="S745" s="225"/>
      <c r="T745" s="237"/>
      <c r="X745" s="23"/>
    </row>
    <row r="746" spans="1:24" ht="30" customHeight="1" x14ac:dyDescent="0.3">
      <c r="A746" s="262">
        <v>6</v>
      </c>
      <c r="C746" s="244"/>
      <c r="D746" s="161"/>
      <c r="E746" s="969"/>
      <c r="F746" s="970"/>
      <c r="G746" s="971"/>
      <c r="H746" s="161"/>
      <c r="I746" s="605"/>
      <c r="J746" s="605"/>
      <c r="K746" s="212"/>
      <c r="L746" s="341"/>
      <c r="M746" s="212"/>
      <c r="N746" s="605"/>
      <c r="O746" s="212"/>
      <c r="P746" s="341"/>
      <c r="Q746" s="212"/>
      <c r="R746" s="605"/>
      <c r="S746" s="225"/>
      <c r="T746" s="237"/>
      <c r="X746" s="23"/>
    </row>
    <row r="747" spans="1:24" ht="30" customHeight="1" x14ac:dyDescent="0.3">
      <c r="A747" s="262">
        <v>6</v>
      </c>
      <c r="C747" s="244"/>
      <c r="D747" s="161"/>
      <c r="E747" s="969"/>
      <c r="F747" s="970"/>
      <c r="G747" s="971"/>
      <c r="H747" s="161"/>
      <c r="I747" s="605"/>
      <c r="J747" s="605"/>
      <c r="K747" s="212"/>
      <c r="L747" s="341"/>
      <c r="M747" s="212"/>
      <c r="N747" s="605"/>
      <c r="O747" s="212"/>
      <c r="P747" s="341"/>
      <c r="Q747" s="212"/>
      <c r="R747" s="605"/>
      <c r="S747" s="225"/>
      <c r="T747" s="237"/>
      <c r="X747" s="23"/>
    </row>
    <row r="748" spans="1:24" ht="30" customHeight="1" x14ac:dyDescent="0.3">
      <c r="A748" s="262">
        <v>6</v>
      </c>
      <c r="C748" s="244"/>
      <c r="D748" s="161"/>
      <c r="E748" s="969"/>
      <c r="F748" s="970"/>
      <c r="G748" s="971"/>
      <c r="H748" s="161"/>
      <c r="I748" s="605"/>
      <c r="J748" s="605"/>
      <c r="K748" s="212"/>
      <c r="L748" s="341"/>
      <c r="M748" s="212"/>
      <c r="N748" s="605"/>
      <c r="O748" s="212"/>
      <c r="P748" s="341"/>
      <c r="Q748" s="212"/>
      <c r="R748" s="605"/>
      <c r="S748" s="225"/>
      <c r="T748" s="237"/>
      <c r="X748" s="23"/>
    </row>
    <row r="749" spans="1:24" ht="30" customHeight="1" x14ac:dyDescent="0.3">
      <c r="A749" s="262">
        <v>6</v>
      </c>
      <c r="C749" s="244"/>
      <c r="D749" s="161"/>
      <c r="E749" s="969"/>
      <c r="F749" s="970"/>
      <c r="G749" s="971"/>
      <c r="H749" s="658"/>
      <c r="I749" s="605"/>
      <c r="J749" s="605"/>
      <c r="K749" s="212"/>
      <c r="L749" s="341"/>
      <c r="M749" s="302"/>
      <c r="N749" s="605"/>
      <c r="O749" s="212"/>
      <c r="P749" s="341"/>
      <c r="Q749" s="302"/>
      <c r="R749" s="605"/>
      <c r="S749" s="225"/>
      <c r="T749" s="237"/>
      <c r="X749" s="23"/>
    </row>
    <row r="750" spans="1:24" ht="40.049999999999997" customHeight="1" x14ac:dyDescent="0.3">
      <c r="A750" s="262" t="s">
        <v>1242</v>
      </c>
      <c r="C750" s="258"/>
      <c r="D750" s="258"/>
      <c r="E750" s="972" t="s">
        <v>33</v>
      </c>
      <c r="F750" s="972"/>
      <c r="G750" s="972"/>
      <c r="H750" s="973" t="s">
        <v>29</v>
      </c>
      <c r="I750" s="973"/>
      <c r="J750" s="973"/>
      <c r="K750" s="973"/>
      <c r="L750" s="973"/>
      <c r="M750" s="549"/>
      <c r="N750" s="973" t="s">
        <v>22</v>
      </c>
      <c r="O750" s="973"/>
      <c r="P750" s="973"/>
      <c r="Q750" s="973"/>
      <c r="R750" s="973"/>
      <c r="S750" s="973"/>
      <c r="T750" s="973"/>
      <c r="X750" s="23"/>
    </row>
    <row r="751" spans="1:24" ht="19.95" customHeight="1" x14ac:dyDescent="0.3">
      <c r="A751" s="262" t="s">
        <v>1242</v>
      </c>
      <c r="D751" s="28"/>
      <c r="E751" s="974" t="s">
        <v>1214</v>
      </c>
      <c r="F751" s="974"/>
      <c r="G751" s="974"/>
      <c r="H751" s="975" t="s">
        <v>38</v>
      </c>
      <c r="I751" s="975"/>
      <c r="J751" s="975"/>
      <c r="K751" s="975"/>
      <c r="L751" s="975"/>
      <c r="M751" s="562"/>
      <c r="N751" s="975" t="s">
        <v>1437</v>
      </c>
      <c r="O751" s="975"/>
      <c r="P751" s="975"/>
      <c r="Q751" s="975"/>
      <c r="R751" s="975"/>
      <c r="S751" s="975"/>
      <c r="T751" s="975"/>
      <c r="X751" s="23"/>
    </row>
    <row r="752" spans="1:24" ht="19.95" customHeight="1" x14ac:dyDescent="0.3">
      <c r="A752" s="262" t="s">
        <v>1242</v>
      </c>
      <c r="C752" s="228"/>
      <c r="D752" s="228"/>
      <c r="E752" s="561"/>
      <c r="F752" s="561"/>
      <c r="G752" s="561"/>
      <c r="H752" s="975" t="s">
        <v>32</v>
      </c>
      <c r="I752" s="975"/>
      <c r="J752" s="562"/>
      <c r="K752" s="975" t="s">
        <v>1407</v>
      </c>
      <c r="L752" s="975"/>
      <c r="M752" s="260"/>
      <c r="N752" s="975"/>
      <c r="O752" s="975"/>
      <c r="P752" s="975"/>
      <c r="Q752" s="975"/>
      <c r="R752" s="975"/>
      <c r="S752" s="975"/>
      <c r="T752" s="975"/>
      <c r="X752" s="23"/>
    </row>
    <row r="753" spans="1:24" ht="19.95" customHeight="1" x14ac:dyDescent="0.3">
      <c r="A753" s="262" t="s">
        <v>1242</v>
      </c>
      <c r="C753" s="228"/>
      <c r="D753" s="228"/>
      <c r="E753" s="561"/>
      <c r="F753" s="561"/>
      <c r="G753" s="561"/>
      <c r="H753" s="976" t="s">
        <v>94</v>
      </c>
      <c r="I753" s="976"/>
      <c r="J753" s="623"/>
      <c r="K753" s="976" t="s">
        <v>94</v>
      </c>
      <c r="L753" s="976"/>
      <c r="M753" s="260"/>
      <c r="N753" s="975"/>
      <c r="O753" s="975"/>
      <c r="P753" s="975"/>
      <c r="Q753" s="975"/>
      <c r="R753" s="975"/>
      <c r="S753" s="975"/>
      <c r="T753" s="975"/>
      <c r="X753" s="23"/>
    </row>
    <row r="754" spans="1:24" ht="19.95" customHeight="1" x14ac:dyDescent="0.3">
      <c r="A754" s="262" t="s">
        <v>1242</v>
      </c>
      <c r="C754" s="228"/>
      <c r="D754" s="228"/>
      <c r="E754" s="561"/>
      <c r="F754" s="561"/>
      <c r="G754" s="561"/>
      <c r="H754" s="976"/>
      <c r="I754" s="976"/>
      <c r="J754" s="623"/>
      <c r="K754" s="976"/>
      <c r="L754" s="976"/>
      <c r="M754" s="261"/>
      <c r="N754" s="260"/>
      <c r="O754" s="260"/>
      <c r="P754" s="260"/>
      <c r="Q754" s="260"/>
      <c r="R754" s="260"/>
      <c r="S754" s="260"/>
      <c r="T754" s="260"/>
      <c r="X754" s="23"/>
    </row>
    <row r="755" spans="1:24" ht="19.95" customHeight="1" x14ac:dyDescent="0.3">
      <c r="A755" s="262" t="s">
        <v>1242</v>
      </c>
      <c r="C755" s="228"/>
      <c r="D755" s="228"/>
      <c r="E755" s="561"/>
      <c r="F755" s="561"/>
      <c r="G755" s="561"/>
      <c r="H755" s="975"/>
      <c r="I755" s="975"/>
      <c r="J755" s="562"/>
      <c r="K755" s="975"/>
      <c r="L755" s="975"/>
      <c r="M755" s="562"/>
      <c r="N755" s="968" t="s">
        <v>1244</v>
      </c>
      <c r="O755" s="968"/>
      <c r="P755" s="968"/>
      <c r="Q755" s="968"/>
      <c r="R755" s="968"/>
      <c r="S755" s="968"/>
      <c r="T755" s="968"/>
      <c r="X755" s="23"/>
    </row>
    <row r="756" spans="1:24" ht="19.95" customHeight="1" x14ac:dyDescent="0.3">
      <c r="A756" s="262" t="s">
        <v>1242</v>
      </c>
      <c r="C756" s="228"/>
      <c r="D756" s="228"/>
      <c r="E756" s="561"/>
      <c r="F756" s="561"/>
      <c r="G756" s="561"/>
      <c r="H756" s="976" t="s">
        <v>1220</v>
      </c>
      <c r="I756" s="976"/>
      <c r="J756" s="976"/>
      <c r="K756" s="976"/>
      <c r="L756" s="976"/>
      <c r="M756" s="623"/>
      <c r="N756" s="968" t="s">
        <v>1483</v>
      </c>
      <c r="O756" s="968"/>
      <c r="P756" s="968"/>
      <c r="Q756" s="968"/>
      <c r="R756" s="968"/>
      <c r="S756" s="968"/>
      <c r="T756" s="968"/>
      <c r="X756" s="23"/>
    </row>
    <row r="757" spans="1:24" ht="19.95" customHeight="1" x14ac:dyDescent="0.3">
      <c r="A757" s="262" t="s">
        <v>1242</v>
      </c>
      <c r="C757" s="228"/>
      <c r="D757" s="228"/>
      <c r="E757" s="561"/>
      <c r="F757" s="561"/>
      <c r="G757" s="561"/>
      <c r="H757" s="976"/>
      <c r="I757" s="976"/>
      <c r="J757" s="976"/>
      <c r="K757" s="976"/>
      <c r="L757" s="976"/>
      <c r="M757" s="623"/>
      <c r="N757" s="968"/>
      <c r="O757" s="968"/>
      <c r="P757" s="968"/>
      <c r="Q757" s="968"/>
      <c r="R757" s="968"/>
      <c r="S757" s="968"/>
      <c r="T757" s="968"/>
      <c r="X757" s="23"/>
    </row>
    <row r="758" spans="1:24" ht="19.95" customHeight="1" x14ac:dyDescent="0.3">
      <c r="A758" s="262" t="s">
        <v>1242</v>
      </c>
      <c r="C758" s="228"/>
      <c r="D758" s="228"/>
      <c r="E758" s="561"/>
      <c r="F758" s="561"/>
      <c r="G758" s="561"/>
      <c r="H758" s="228"/>
      <c r="I758" s="260"/>
      <c r="J758" s="260"/>
      <c r="K758" s="260"/>
      <c r="L758" s="260"/>
      <c r="M758" s="260"/>
      <c r="N758" s="260"/>
      <c r="O758" s="260"/>
      <c r="P758" s="260"/>
      <c r="Q758" s="260"/>
      <c r="R758" s="260"/>
      <c r="S758" s="624"/>
      <c r="T758" s="260"/>
      <c r="X758" s="23"/>
    </row>
    <row r="759" spans="1:24" ht="19.95" customHeight="1" x14ac:dyDescent="0.3">
      <c r="A759" s="262" t="s">
        <v>1242</v>
      </c>
      <c r="C759" s="228"/>
      <c r="D759" s="228"/>
      <c r="E759" s="975" t="s">
        <v>1215</v>
      </c>
      <c r="F759" s="975"/>
      <c r="G759" s="975"/>
      <c r="H759" s="975" t="s">
        <v>1348</v>
      </c>
      <c r="I759" s="975"/>
      <c r="J759" s="975"/>
      <c r="K759" s="975"/>
      <c r="L759" s="975"/>
      <c r="M759" s="562"/>
      <c r="N759" s="977" t="s">
        <v>1219</v>
      </c>
      <c r="O759" s="968"/>
      <c r="P759" s="968"/>
      <c r="Q759" s="968"/>
      <c r="R759" s="968"/>
      <c r="S759" s="968"/>
      <c r="T759" s="968"/>
      <c r="X759" s="23"/>
    </row>
    <row r="760" spans="1:24" ht="19.95" customHeight="1" x14ac:dyDescent="0.3">
      <c r="A760" s="262" t="s">
        <v>1290</v>
      </c>
      <c r="C760" s="228"/>
      <c r="D760" s="228"/>
      <c r="E760" s="975"/>
      <c r="F760" s="975"/>
      <c r="G760" s="975"/>
      <c r="H760" s="975"/>
      <c r="I760" s="975"/>
      <c r="J760" s="975"/>
      <c r="K760" s="975"/>
      <c r="L760" s="975"/>
      <c r="M760" s="562"/>
      <c r="N760" s="968"/>
      <c r="O760" s="968"/>
      <c r="P760" s="968"/>
      <c r="Q760" s="968"/>
      <c r="R760" s="968"/>
      <c r="S760" s="968"/>
      <c r="T760" s="968"/>
      <c r="X760" s="23"/>
    </row>
    <row r="761" spans="1:24" ht="30" customHeight="1" x14ac:dyDescent="0.3">
      <c r="A761" s="262" t="s">
        <v>1240</v>
      </c>
      <c r="C761" s="625"/>
      <c r="D761" s="626" t="s">
        <v>1234</v>
      </c>
      <c r="E761" s="627"/>
      <c r="F761" s="627"/>
      <c r="G761" s="627"/>
      <c r="H761" s="627"/>
      <c r="I761" s="628"/>
      <c r="J761" s="628"/>
      <c r="K761" s="628"/>
      <c r="L761" s="644">
        <f>+SUMIFS(L:L,A:A,"7")</f>
        <v>318420015</v>
      </c>
      <c r="M761" s="629"/>
      <c r="N761" s="648"/>
      <c r="O761" s="628"/>
      <c r="P761" s="628"/>
      <c r="Q761" s="611"/>
      <c r="R761" s="651">
        <f>+SUMIFS(R:R,A:A,"7")</f>
        <v>0</v>
      </c>
      <c r="S761" s="630">
        <f>+SUMIFS(S:S,A:A,"7")</f>
        <v>0</v>
      </c>
      <c r="T761" s="631">
        <f>+SUMIFS(T:T,A:A,"7")</f>
        <v>0</v>
      </c>
      <c r="X761" s="23" t="str">
        <f t="shared" si="121"/>
        <v>-</v>
      </c>
    </row>
    <row r="762" spans="1:24" ht="30" customHeight="1" x14ac:dyDescent="0.3">
      <c r="A762" s="262">
        <v>7</v>
      </c>
      <c r="C762" s="244">
        <v>407</v>
      </c>
      <c r="D762" s="213" t="s">
        <v>1002</v>
      </c>
      <c r="E762" s="969" t="s">
        <v>1003</v>
      </c>
      <c r="F762" s="970"/>
      <c r="G762" s="971"/>
      <c r="H762" s="544" t="s">
        <v>286</v>
      </c>
      <c r="I762" s="212">
        <v>3750000</v>
      </c>
      <c r="J762" s="605"/>
      <c r="K762" s="212">
        <v>1</v>
      </c>
      <c r="L762" s="212">
        <f t="shared" ref="L762:L770" si="122">+ROUND(I762*K762,2)</f>
        <v>3750000</v>
      </c>
      <c r="M762" s="602"/>
      <c r="N762" s="675">
        <f>+'Yeşil Defter'!K762</f>
        <v>0</v>
      </c>
      <c r="O762" s="675">
        <f>+'Yeşil Defter'!L762</f>
        <v>0</v>
      </c>
      <c r="P762" s="675">
        <f>+'Yeşil Defter'!M762</f>
        <v>0</v>
      </c>
      <c r="Q762" s="212"/>
      <c r="R762" s="605">
        <f t="shared" ref="R762:R770" si="123">+ROUND(K762*N762,2)</f>
        <v>0</v>
      </c>
      <c r="S762" s="225">
        <f t="shared" ref="S762:S766" si="124">+T762-R762</f>
        <v>0</v>
      </c>
      <c r="T762" s="237">
        <f t="shared" ref="T762:T770" si="125">+ROUND(K762*P762,2)</f>
        <v>0</v>
      </c>
      <c r="X762" s="23" t="str">
        <f t="shared" si="121"/>
        <v>-</v>
      </c>
    </row>
    <row r="763" spans="1:24" ht="30" customHeight="1" x14ac:dyDescent="0.3">
      <c r="A763" s="262">
        <v>7</v>
      </c>
      <c r="C763" s="244">
        <v>408</v>
      </c>
      <c r="D763" s="161" t="s">
        <v>1004</v>
      </c>
      <c r="E763" s="969" t="s">
        <v>1005</v>
      </c>
      <c r="F763" s="970"/>
      <c r="G763" s="971"/>
      <c r="H763" s="544" t="s">
        <v>247</v>
      </c>
      <c r="I763" s="212">
        <v>5273388</v>
      </c>
      <c r="J763" s="605"/>
      <c r="K763" s="212">
        <v>30</v>
      </c>
      <c r="L763" s="212">
        <f t="shared" si="122"/>
        <v>158201640</v>
      </c>
      <c r="M763" s="602"/>
      <c r="N763" s="675">
        <f>+'Yeşil Defter'!K763</f>
        <v>0</v>
      </c>
      <c r="O763" s="675">
        <f>+'Yeşil Defter'!L763</f>
        <v>0</v>
      </c>
      <c r="P763" s="675">
        <f>+'Yeşil Defter'!M763</f>
        <v>0</v>
      </c>
      <c r="Q763" s="212"/>
      <c r="R763" s="605">
        <f t="shared" si="123"/>
        <v>0</v>
      </c>
      <c r="S763" s="225">
        <f t="shared" si="124"/>
        <v>0</v>
      </c>
      <c r="T763" s="237">
        <f t="shared" si="125"/>
        <v>0</v>
      </c>
      <c r="X763" s="23" t="str">
        <f t="shared" si="121"/>
        <v>-</v>
      </c>
    </row>
    <row r="764" spans="1:24" ht="30" customHeight="1" x14ac:dyDescent="0.3">
      <c r="A764" s="262">
        <v>7</v>
      </c>
      <c r="C764" s="244">
        <v>409</v>
      </c>
      <c r="D764" s="161" t="s">
        <v>1006</v>
      </c>
      <c r="E764" s="969" t="s">
        <v>1007</v>
      </c>
      <c r="F764" s="970"/>
      <c r="G764" s="971"/>
      <c r="H764" s="544" t="s">
        <v>247</v>
      </c>
      <c r="I764" s="212">
        <v>5494500</v>
      </c>
      <c r="J764" s="605"/>
      <c r="K764" s="212">
        <v>2</v>
      </c>
      <c r="L764" s="212">
        <f t="shared" si="122"/>
        <v>10989000</v>
      </c>
      <c r="M764" s="602"/>
      <c r="N764" s="675">
        <f>+'Yeşil Defter'!K764</f>
        <v>0</v>
      </c>
      <c r="O764" s="675">
        <f>+'Yeşil Defter'!L764</f>
        <v>0</v>
      </c>
      <c r="P764" s="675">
        <f>+'Yeşil Defter'!M764</f>
        <v>0</v>
      </c>
      <c r="Q764" s="212"/>
      <c r="R764" s="605">
        <f t="shared" si="123"/>
        <v>0</v>
      </c>
      <c r="S764" s="225">
        <f t="shared" si="124"/>
        <v>0</v>
      </c>
      <c r="T764" s="237">
        <f t="shared" si="125"/>
        <v>0</v>
      </c>
      <c r="X764" s="23" t="str">
        <f t="shared" si="121"/>
        <v>-</v>
      </c>
    </row>
    <row r="765" spans="1:24" ht="30" customHeight="1" x14ac:dyDescent="0.3">
      <c r="A765" s="262">
        <v>7</v>
      </c>
      <c r="C765" s="244">
        <v>410</v>
      </c>
      <c r="D765" s="161" t="s">
        <v>1008</v>
      </c>
      <c r="E765" s="969" t="s">
        <v>1009</v>
      </c>
      <c r="F765" s="970"/>
      <c r="G765" s="971"/>
      <c r="H765" s="544" t="s">
        <v>247</v>
      </c>
      <c r="I765" s="212">
        <v>6160500</v>
      </c>
      <c r="J765" s="605"/>
      <c r="K765" s="212">
        <v>2</v>
      </c>
      <c r="L765" s="212">
        <f t="shared" si="122"/>
        <v>12321000</v>
      </c>
      <c r="M765" s="602"/>
      <c r="N765" s="675">
        <f>+'Yeşil Defter'!K765</f>
        <v>0</v>
      </c>
      <c r="O765" s="675">
        <f>+'Yeşil Defter'!L765</f>
        <v>0</v>
      </c>
      <c r="P765" s="675">
        <f>+'Yeşil Defter'!M765</f>
        <v>0</v>
      </c>
      <c r="Q765" s="212"/>
      <c r="R765" s="605">
        <f t="shared" si="123"/>
        <v>0</v>
      </c>
      <c r="S765" s="225">
        <f t="shared" si="124"/>
        <v>0</v>
      </c>
      <c r="T765" s="237">
        <f t="shared" si="125"/>
        <v>0</v>
      </c>
      <c r="X765" s="23" t="str">
        <f t="shared" si="121"/>
        <v>-</v>
      </c>
    </row>
    <row r="766" spans="1:24" ht="30" customHeight="1" x14ac:dyDescent="0.3">
      <c r="A766" s="262">
        <v>7</v>
      </c>
      <c r="C766" s="244">
        <v>411</v>
      </c>
      <c r="D766" s="161" t="s">
        <v>1010</v>
      </c>
      <c r="E766" s="969" t="s">
        <v>1011</v>
      </c>
      <c r="F766" s="970"/>
      <c r="G766" s="971"/>
      <c r="H766" s="544" t="s">
        <v>247</v>
      </c>
      <c r="I766" s="212">
        <v>2705625</v>
      </c>
      <c r="J766" s="605"/>
      <c r="K766" s="212">
        <v>5</v>
      </c>
      <c r="L766" s="212">
        <f t="shared" si="122"/>
        <v>13528125</v>
      </c>
      <c r="M766" s="602"/>
      <c r="N766" s="675">
        <f>+'Yeşil Defter'!K766</f>
        <v>0</v>
      </c>
      <c r="O766" s="675">
        <f>+'Yeşil Defter'!L766</f>
        <v>0</v>
      </c>
      <c r="P766" s="675">
        <f>+'Yeşil Defter'!M766</f>
        <v>0</v>
      </c>
      <c r="Q766" s="212"/>
      <c r="R766" s="605">
        <f t="shared" si="123"/>
        <v>0</v>
      </c>
      <c r="S766" s="225">
        <f t="shared" si="124"/>
        <v>0</v>
      </c>
      <c r="T766" s="237">
        <f t="shared" si="125"/>
        <v>0</v>
      </c>
      <c r="X766" s="23" t="str">
        <f t="shared" si="121"/>
        <v>-</v>
      </c>
    </row>
    <row r="767" spans="1:24" ht="30" customHeight="1" x14ac:dyDescent="0.3">
      <c r="A767" s="262">
        <v>7</v>
      </c>
      <c r="C767" s="244">
        <v>412</v>
      </c>
      <c r="D767" s="161" t="s">
        <v>1012</v>
      </c>
      <c r="E767" s="969" t="s">
        <v>1013</v>
      </c>
      <c r="F767" s="970"/>
      <c r="G767" s="971"/>
      <c r="H767" s="544" t="s">
        <v>247</v>
      </c>
      <c r="I767" s="212">
        <v>3371625</v>
      </c>
      <c r="J767" s="605"/>
      <c r="K767" s="212">
        <v>4</v>
      </c>
      <c r="L767" s="212">
        <f t="shared" si="122"/>
        <v>13486500</v>
      </c>
      <c r="M767" s="602"/>
      <c r="N767" s="675">
        <f>+'Yeşil Defter'!K767</f>
        <v>0</v>
      </c>
      <c r="O767" s="675">
        <f>+'Yeşil Defter'!L767</f>
        <v>0</v>
      </c>
      <c r="P767" s="675">
        <f>+'Yeşil Defter'!M767</f>
        <v>0</v>
      </c>
      <c r="Q767" s="212"/>
      <c r="R767" s="605">
        <f t="shared" si="123"/>
        <v>0</v>
      </c>
      <c r="S767" s="225">
        <f t="shared" si="117"/>
        <v>0</v>
      </c>
      <c r="T767" s="237">
        <f t="shared" si="125"/>
        <v>0</v>
      </c>
      <c r="X767" s="23" t="str">
        <f t="shared" si="121"/>
        <v>-</v>
      </c>
    </row>
    <row r="768" spans="1:24" ht="30" customHeight="1" x14ac:dyDescent="0.3">
      <c r="A768" s="262">
        <v>7</v>
      </c>
      <c r="C768" s="244">
        <v>413</v>
      </c>
      <c r="D768" s="161" t="s">
        <v>1014</v>
      </c>
      <c r="E768" s="969" t="s">
        <v>1015</v>
      </c>
      <c r="F768" s="970"/>
      <c r="G768" s="971"/>
      <c r="H768" s="544" t="s">
        <v>247</v>
      </c>
      <c r="I768" s="212">
        <v>3454875</v>
      </c>
      <c r="J768" s="605"/>
      <c r="K768" s="212">
        <v>10</v>
      </c>
      <c r="L768" s="212">
        <f t="shared" si="122"/>
        <v>34548750</v>
      </c>
      <c r="M768" s="602"/>
      <c r="N768" s="675">
        <f>+'Yeşil Defter'!K768</f>
        <v>0</v>
      </c>
      <c r="O768" s="675">
        <f>+'Yeşil Defter'!L768</f>
        <v>0</v>
      </c>
      <c r="P768" s="675">
        <f>+'Yeşil Defter'!M768</f>
        <v>0</v>
      </c>
      <c r="Q768" s="212"/>
      <c r="R768" s="605">
        <f t="shared" si="123"/>
        <v>0</v>
      </c>
      <c r="S768" s="225">
        <f t="shared" si="117"/>
        <v>0</v>
      </c>
      <c r="T768" s="237">
        <f t="shared" si="125"/>
        <v>0</v>
      </c>
      <c r="X768" s="23" t="str">
        <f t="shared" si="121"/>
        <v>-</v>
      </c>
    </row>
    <row r="769" spans="1:24" ht="30" customHeight="1" x14ac:dyDescent="0.3">
      <c r="A769" s="262">
        <v>7</v>
      </c>
      <c r="C769" s="244">
        <v>414</v>
      </c>
      <c r="D769" s="161" t="s">
        <v>1016</v>
      </c>
      <c r="E769" s="969" t="s">
        <v>1017</v>
      </c>
      <c r="F769" s="970"/>
      <c r="G769" s="971"/>
      <c r="H769" s="544" t="s">
        <v>247</v>
      </c>
      <c r="I769" s="212">
        <v>3538125</v>
      </c>
      <c r="J769" s="605"/>
      <c r="K769" s="212">
        <v>10</v>
      </c>
      <c r="L769" s="212">
        <f t="shared" si="122"/>
        <v>35381250</v>
      </c>
      <c r="M769" s="602"/>
      <c r="N769" s="675">
        <f>+'Yeşil Defter'!K769</f>
        <v>0</v>
      </c>
      <c r="O769" s="675">
        <f>+'Yeşil Defter'!L769</f>
        <v>0</v>
      </c>
      <c r="P769" s="675">
        <f>+'Yeşil Defter'!M769</f>
        <v>0</v>
      </c>
      <c r="Q769" s="212"/>
      <c r="R769" s="605">
        <f t="shared" si="123"/>
        <v>0</v>
      </c>
      <c r="S769" s="225">
        <f t="shared" si="117"/>
        <v>0</v>
      </c>
      <c r="T769" s="237">
        <f t="shared" si="125"/>
        <v>0</v>
      </c>
      <c r="X769" s="23" t="str">
        <f t="shared" si="121"/>
        <v>-</v>
      </c>
    </row>
    <row r="770" spans="1:24" ht="30" customHeight="1" x14ac:dyDescent="0.3">
      <c r="A770" s="262">
        <v>7</v>
      </c>
      <c r="C770" s="244">
        <v>415</v>
      </c>
      <c r="D770" s="161" t="s">
        <v>1018</v>
      </c>
      <c r="E770" s="969" t="s">
        <v>1019</v>
      </c>
      <c r="F770" s="970"/>
      <c r="G770" s="971"/>
      <c r="H770" s="544" t="s">
        <v>247</v>
      </c>
      <c r="I770" s="212">
        <v>3621375</v>
      </c>
      <c r="J770" s="605"/>
      <c r="K770" s="212">
        <v>10</v>
      </c>
      <c r="L770" s="212">
        <f t="shared" si="122"/>
        <v>36213750</v>
      </c>
      <c r="M770" s="602"/>
      <c r="N770" s="675">
        <f>+'Yeşil Defter'!K770</f>
        <v>0</v>
      </c>
      <c r="O770" s="675">
        <f>+'Yeşil Defter'!L770</f>
        <v>0</v>
      </c>
      <c r="P770" s="675">
        <f>+'Yeşil Defter'!M770</f>
        <v>0</v>
      </c>
      <c r="Q770" s="212"/>
      <c r="R770" s="605">
        <f t="shared" si="123"/>
        <v>0</v>
      </c>
      <c r="S770" s="225">
        <f t="shared" si="117"/>
        <v>0</v>
      </c>
      <c r="T770" s="237">
        <f t="shared" si="125"/>
        <v>0</v>
      </c>
      <c r="X770" s="23" t="str">
        <f t="shared" si="121"/>
        <v>-</v>
      </c>
    </row>
    <row r="771" spans="1:24" ht="30" customHeight="1" x14ac:dyDescent="0.3">
      <c r="A771" s="262">
        <v>7</v>
      </c>
      <c r="C771" s="244"/>
      <c r="D771" s="161"/>
      <c r="E771" s="969"/>
      <c r="F771" s="970"/>
      <c r="G771" s="971"/>
      <c r="H771" s="161"/>
      <c r="I771" s="605"/>
      <c r="J771" s="605"/>
      <c r="K771" s="212"/>
      <c r="L771" s="341"/>
      <c r="M771" s="212"/>
      <c r="N771" s="605"/>
      <c r="O771" s="212"/>
      <c r="P771" s="341"/>
      <c r="Q771" s="212"/>
      <c r="R771" s="605"/>
      <c r="S771" s="225"/>
      <c r="T771" s="237"/>
      <c r="X771" s="23"/>
    </row>
    <row r="772" spans="1:24" ht="30" customHeight="1" x14ac:dyDescent="0.3">
      <c r="A772" s="262">
        <v>7</v>
      </c>
      <c r="C772" s="244"/>
      <c r="D772" s="161"/>
      <c r="E772" s="969"/>
      <c r="F772" s="970"/>
      <c r="G772" s="971"/>
      <c r="H772" s="161"/>
      <c r="I772" s="605"/>
      <c r="J772" s="605"/>
      <c r="K772" s="212"/>
      <c r="L772" s="341"/>
      <c r="M772" s="212"/>
      <c r="N772" s="605"/>
      <c r="O772" s="212"/>
      <c r="P772" s="341"/>
      <c r="Q772" s="212"/>
      <c r="R772" s="605"/>
      <c r="S772" s="225"/>
      <c r="T772" s="237"/>
      <c r="X772" s="23"/>
    </row>
    <row r="773" spans="1:24" ht="30" customHeight="1" x14ac:dyDescent="0.3">
      <c r="A773" s="262">
        <v>7</v>
      </c>
      <c r="C773" s="244"/>
      <c r="D773" s="161"/>
      <c r="E773" s="969"/>
      <c r="F773" s="970"/>
      <c r="G773" s="971"/>
      <c r="H773" s="161"/>
      <c r="I773" s="605"/>
      <c r="J773" s="605"/>
      <c r="K773" s="212"/>
      <c r="L773" s="341"/>
      <c r="M773" s="212"/>
      <c r="N773" s="605"/>
      <c r="O773" s="212"/>
      <c r="P773" s="341"/>
      <c r="Q773" s="212"/>
      <c r="R773" s="605"/>
      <c r="S773" s="225"/>
      <c r="T773" s="237"/>
      <c r="X773" s="23"/>
    </row>
    <row r="774" spans="1:24" ht="30" customHeight="1" x14ac:dyDescent="0.3">
      <c r="A774" s="262">
        <v>7</v>
      </c>
      <c r="C774" s="244"/>
      <c r="D774" s="161"/>
      <c r="E774" s="969"/>
      <c r="F774" s="970"/>
      <c r="G774" s="971"/>
      <c r="H774" s="161"/>
      <c r="I774" s="605"/>
      <c r="J774" s="605"/>
      <c r="K774" s="212"/>
      <c r="L774" s="341"/>
      <c r="M774" s="212"/>
      <c r="N774" s="605"/>
      <c r="O774" s="212"/>
      <c r="P774" s="341"/>
      <c r="Q774" s="212"/>
      <c r="R774" s="605"/>
      <c r="S774" s="225"/>
      <c r="T774" s="237"/>
      <c r="X774" s="23"/>
    </row>
    <row r="775" spans="1:24" ht="30" customHeight="1" x14ac:dyDescent="0.3">
      <c r="A775" s="262">
        <v>7</v>
      </c>
      <c r="C775" s="244"/>
      <c r="D775" s="161"/>
      <c r="E775" s="969"/>
      <c r="F775" s="970"/>
      <c r="G775" s="971"/>
      <c r="H775" s="161"/>
      <c r="I775" s="605"/>
      <c r="J775" s="605"/>
      <c r="K775" s="212"/>
      <c r="L775" s="341"/>
      <c r="M775" s="212"/>
      <c r="N775" s="605"/>
      <c r="O775" s="212"/>
      <c r="P775" s="341"/>
      <c r="Q775" s="212"/>
      <c r="R775" s="605"/>
      <c r="S775" s="225"/>
      <c r="T775" s="237"/>
      <c r="X775" s="23"/>
    </row>
    <row r="776" spans="1:24" ht="30" customHeight="1" x14ac:dyDescent="0.3">
      <c r="A776" s="262">
        <v>7</v>
      </c>
      <c r="C776" s="244"/>
      <c r="D776" s="161"/>
      <c r="E776" s="969"/>
      <c r="F776" s="970"/>
      <c r="G776" s="971"/>
      <c r="H776" s="161"/>
      <c r="I776" s="605"/>
      <c r="J776" s="605"/>
      <c r="K776" s="212"/>
      <c r="L776" s="341"/>
      <c r="M776" s="212"/>
      <c r="N776" s="605"/>
      <c r="O776" s="212"/>
      <c r="P776" s="341"/>
      <c r="Q776" s="212"/>
      <c r="R776" s="605"/>
      <c r="S776" s="225"/>
      <c r="T776" s="237"/>
      <c r="X776" s="23"/>
    </row>
    <row r="777" spans="1:24" ht="30" customHeight="1" x14ac:dyDescent="0.3">
      <c r="A777" s="262">
        <v>7</v>
      </c>
      <c r="C777" s="244"/>
      <c r="D777" s="161"/>
      <c r="E777" s="969"/>
      <c r="F777" s="970"/>
      <c r="G777" s="971"/>
      <c r="H777" s="161"/>
      <c r="I777" s="605"/>
      <c r="J777" s="605"/>
      <c r="K777" s="212"/>
      <c r="L777" s="341"/>
      <c r="M777" s="212"/>
      <c r="N777" s="605"/>
      <c r="O777" s="212"/>
      <c r="P777" s="341"/>
      <c r="Q777" s="212"/>
      <c r="R777" s="605"/>
      <c r="S777" s="225"/>
      <c r="T777" s="237"/>
      <c r="X777" s="23"/>
    </row>
    <row r="778" spans="1:24" ht="30" customHeight="1" x14ac:dyDescent="0.3">
      <c r="A778" s="262">
        <v>7</v>
      </c>
      <c r="C778" s="244"/>
      <c r="D778" s="161"/>
      <c r="E778" s="969"/>
      <c r="F778" s="970"/>
      <c r="G778" s="971"/>
      <c r="H778" s="161"/>
      <c r="I778" s="605"/>
      <c r="J778" s="605"/>
      <c r="K778" s="212"/>
      <c r="L778" s="341"/>
      <c r="M778" s="212"/>
      <c r="N778" s="605"/>
      <c r="O778" s="212"/>
      <c r="P778" s="341"/>
      <c r="Q778" s="212"/>
      <c r="R778" s="605"/>
      <c r="S778" s="225"/>
      <c r="T778" s="237"/>
      <c r="X778" s="23"/>
    </row>
    <row r="779" spans="1:24" ht="30" customHeight="1" x14ac:dyDescent="0.3">
      <c r="A779" s="262">
        <v>7</v>
      </c>
      <c r="C779" s="244"/>
      <c r="D779" s="161"/>
      <c r="E779" s="969"/>
      <c r="F779" s="970"/>
      <c r="G779" s="971"/>
      <c r="H779" s="161"/>
      <c r="I779" s="605"/>
      <c r="J779" s="605"/>
      <c r="K779" s="212"/>
      <c r="L779" s="341"/>
      <c r="M779" s="212"/>
      <c r="N779" s="605"/>
      <c r="O779" s="212"/>
      <c r="P779" s="341"/>
      <c r="Q779" s="212"/>
      <c r="R779" s="605"/>
      <c r="S779" s="225"/>
      <c r="T779" s="237"/>
      <c r="X779" s="23"/>
    </row>
    <row r="780" spans="1:24" ht="30" customHeight="1" x14ac:dyDescent="0.3">
      <c r="A780" s="262">
        <v>7</v>
      </c>
      <c r="C780" s="244"/>
      <c r="D780" s="161"/>
      <c r="E780" s="969"/>
      <c r="F780" s="970"/>
      <c r="G780" s="971"/>
      <c r="H780" s="161"/>
      <c r="I780" s="605"/>
      <c r="J780" s="605"/>
      <c r="K780" s="212"/>
      <c r="L780" s="341"/>
      <c r="M780" s="212"/>
      <c r="N780" s="605"/>
      <c r="O780" s="212"/>
      <c r="P780" s="341"/>
      <c r="Q780" s="212"/>
      <c r="R780" s="605"/>
      <c r="S780" s="225"/>
      <c r="T780" s="237"/>
      <c r="X780" s="23"/>
    </row>
    <row r="781" spans="1:24" ht="30" customHeight="1" x14ac:dyDescent="0.3">
      <c r="A781" s="262">
        <v>7</v>
      </c>
      <c r="C781" s="244"/>
      <c r="D781" s="161"/>
      <c r="E781" s="969"/>
      <c r="F781" s="970"/>
      <c r="G781" s="971"/>
      <c r="H781" s="161"/>
      <c r="I781" s="605"/>
      <c r="J781" s="605"/>
      <c r="K781" s="212"/>
      <c r="L781" s="341"/>
      <c r="M781" s="212"/>
      <c r="N781" s="605"/>
      <c r="O781" s="212"/>
      <c r="P781" s="341"/>
      <c r="Q781" s="212"/>
      <c r="R781" s="605"/>
      <c r="S781" s="225"/>
      <c r="T781" s="237"/>
      <c r="X781" s="23"/>
    </row>
    <row r="782" spans="1:24" ht="30" customHeight="1" x14ac:dyDescent="0.3">
      <c r="A782" s="262">
        <v>7</v>
      </c>
      <c r="C782" s="244"/>
      <c r="D782" s="161"/>
      <c r="E782" s="969"/>
      <c r="F782" s="970"/>
      <c r="G782" s="971"/>
      <c r="H782" s="161"/>
      <c r="I782" s="605"/>
      <c r="J782" s="605"/>
      <c r="K782" s="212"/>
      <c r="L782" s="341"/>
      <c r="M782" s="212"/>
      <c r="N782" s="605"/>
      <c r="O782" s="212"/>
      <c r="P782" s="341"/>
      <c r="Q782" s="212"/>
      <c r="R782" s="605"/>
      <c r="S782" s="225"/>
      <c r="T782" s="237"/>
      <c r="X782" s="23"/>
    </row>
    <row r="783" spans="1:24" ht="30" customHeight="1" x14ac:dyDescent="0.3">
      <c r="A783" s="262">
        <v>7</v>
      </c>
      <c r="C783" s="244"/>
      <c r="D783" s="161"/>
      <c r="E783" s="969"/>
      <c r="F783" s="970"/>
      <c r="G783" s="971"/>
      <c r="H783" s="658"/>
      <c r="I783" s="605"/>
      <c r="J783" s="605"/>
      <c r="K783" s="212"/>
      <c r="L783" s="341"/>
      <c r="M783" s="302"/>
      <c r="N783" s="605"/>
      <c r="O783" s="212"/>
      <c r="P783" s="341"/>
      <c r="Q783" s="302"/>
      <c r="R783" s="605"/>
      <c r="S783" s="225"/>
      <c r="T783" s="237"/>
      <c r="X783" s="23"/>
    </row>
    <row r="784" spans="1:24" ht="40.049999999999997" customHeight="1" x14ac:dyDescent="0.3">
      <c r="A784" s="262" t="s">
        <v>1242</v>
      </c>
      <c r="C784" s="258"/>
      <c r="D784" s="258"/>
      <c r="E784" s="972" t="s">
        <v>33</v>
      </c>
      <c r="F784" s="972"/>
      <c r="G784" s="972"/>
      <c r="H784" s="973" t="s">
        <v>29</v>
      </c>
      <c r="I784" s="973"/>
      <c r="J784" s="973"/>
      <c r="K784" s="973"/>
      <c r="L784" s="973"/>
      <c r="M784" s="549"/>
      <c r="N784" s="973" t="s">
        <v>22</v>
      </c>
      <c r="O784" s="973"/>
      <c r="P784" s="973"/>
      <c r="Q784" s="973"/>
      <c r="R784" s="973"/>
      <c r="S784" s="973"/>
      <c r="T784" s="973"/>
      <c r="X784" s="23"/>
    </row>
    <row r="785" spans="1:24" ht="19.95" customHeight="1" x14ac:dyDescent="0.3">
      <c r="A785" s="262" t="s">
        <v>1242</v>
      </c>
      <c r="D785" s="28"/>
      <c r="E785" s="974" t="s">
        <v>1214</v>
      </c>
      <c r="F785" s="974"/>
      <c r="G785" s="974"/>
      <c r="H785" s="975" t="s">
        <v>38</v>
      </c>
      <c r="I785" s="975"/>
      <c r="J785" s="975"/>
      <c r="K785" s="975"/>
      <c r="L785" s="975"/>
      <c r="M785" s="562"/>
      <c r="N785" s="975" t="s">
        <v>1437</v>
      </c>
      <c r="O785" s="975"/>
      <c r="P785" s="975"/>
      <c r="Q785" s="975"/>
      <c r="R785" s="975"/>
      <c r="S785" s="975"/>
      <c r="T785" s="975"/>
      <c r="X785" s="23"/>
    </row>
    <row r="786" spans="1:24" ht="19.95" customHeight="1" x14ac:dyDescent="0.3">
      <c r="A786" s="262" t="s">
        <v>1242</v>
      </c>
      <c r="C786" s="228"/>
      <c r="D786" s="228"/>
      <c r="E786" s="561"/>
      <c r="F786" s="561"/>
      <c r="G786" s="561"/>
      <c r="H786" s="975" t="s">
        <v>32</v>
      </c>
      <c r="I786" s="975"/>
      <c r="J786" s="562"/>
      <c r="K786" s="975" t="s">
        <v>1407</v>
      </c>
      <c r="L786" s="975"/>
      <c r="M786" s="260"/>
      <c r="N786" s="975"/>
      <c r="O786" s="975"/>
      <c r="P786" s="975"/>
      <c r="Q786" s="975"/>
      <c r="R786" s="975"/>
      <c r="S786" s="975"/>
      <c r="T786" s="975"/>
      <c r="X786" s="23"/>
    </row>
    <row r="787" spans="1:24" ht="19.95" customHeight="1" x14ac:dyDescent="0.3">
      <c r="A787" s="262" t="s">
        <v>1242</v>
      </c>
      <c r="C787" s="228"/>
      <c r="D787" s="228"/>
      <c r="E787" s="561"/>
      <c r="F787" s="561"/>
      <c r="G787" s="561"/>
      <c r="H787" s="976" t="s">
        <v>94</v>
      </c>
      <c r="I787" s="976"/>
      <c r="J787" s="623"/>
      <c r="K787" s="976" t="s">
        <v>94</v>
      </c>
      <c r="L787" s="976"/>
      <c r="M787" s="260"/>
      <c r="N787" s="975"/>
      <c r="O787" s="975"/>
      <c r="P787" s="975"/>
      <c r="Q787" s="975"/>
      <c r="R787" s="975"/>
      <c r="S787" s="975"/>
      <c r="T787" s="975"/>
      <c r="X787" s="23"/>
    </row>
    <row r="788" spans="1:24" ht="19.95" customHeight="1" x14ac:dyDescent="0.3">
      <c r="A788" s="262" t="s">
        <v>1242</v>
      </c>
      <c r="C788" s="228"/>
      <c r="D788" s="228"/>
      <c r="E788" s="561"/>
      <c r="F788" s="561"/>
      <c r="G788" s="561"/>
      <c r="H788" s="976"/>
      <c r="I788" s="976"/>
      <c r="J788" s="623"/>
      <c r="K788" s="976"/>
      <c r="L788" s="976"/>
      <c r="M788" s="261"/>
      <c r="N788" s="260"/>
      <c r="O788" s="260"/>
      <c r="P788" s="260"/>
      <c r="Q788" s="260"/>
      <c r="R788" s="260"/>
      <c r="S788" s="624"/>
      <c r="T788" s="260"/>
      <c r="X788" s="23"/>
    </row>
    <row r="789" spans="1:24" ht="19.95" customHeight="1" x14ac:dyDescent="0.3">
      <c r="A789" s="262" t="s">
        <v>1242</v>
      </c>
      <c r="C789" s="228"/>
      <c r="D789" s="228"/>
      <c r="E789" s="561"/>
      <c r="F789" s="561"/>
      <c r="G789" s="561"/>
      <c r="H789" s="975"/>
      <c r="I789" s="975"/>
      <c r="J789" s="562"/>
      <c r="K789" s="975"/>
      <c r="L789" s="975"/>
      <c r="M789" s="562"/>
      <c r="N789" s="968" t="s">
        <v>1244</v>
      </c>
      <c r="O789" s="968"/>
      <c r="P789" s="968"/>
      <c r="Q789" s="968"/>
      <c r="R789" s="968"/>
      <c r="S789" s="968"/>
      <c r="T789" s="968"/>
      <c r="X789" s="23"/>
    </row>
    <row r="790" spans="1:24" ht="19.95" customHeight="1" x14ac:dyDescent="0.3">
      <c r="A790" s="262" t="s">
        <v>1242</v>
      </c>
      <c r="C790" s="228"/>
      <c r="D790" s="228"/>
      <c r="E790" s="561"/>
      <c r="F790" s="561"/>
      <c r="G790" s="561"/>
      <c r="H790" s="976" t="s">
        <v>1220</v>
      </c>
      <c r="I790" s="976"/>
      <c r="J790" s="976"/>
      <c r="K790" s="976"/>
      <c r="L790" s="976"/>
      <c r="M790" s="623"/>
      <c r="N790" s="968" t="s">
        <v>1483</v>
      </c>
      <c r="O790" s="968"/>
      <c r="P790" s="968"/>
      <c r="Q790" s="968"/>
      <c r="R790" s="968"/>
      <c r="S790" s="968"/>
      <c r="T790" s="968"/>
      <c r="X790" s="23"/>
    </row>
    <row r="791" spans="1:24" ht="19.95" customHeight="1" x14ac:dyDescent="0.3">
      <c r="A791" s="262" t="s">
        <v>1242</v>
      </c>
      <c r="C791" s="228"/>
      <c r="D791" s="228"/>
      <c r="E791" s="561"/>
      <c r="F791" s="561"/>
      <c r="G791" s="561"/>
      <c r="H791" s="976"/>
      <c r="I791" s="976"/>
      <c r="J791" s="976"/>
      <c r="K791" s="976"/>
      <c r="L791" s="976"/>
      <c r="M791" s="623"/>
      <c r="N791" s="968"/>
      <c r="O791" s="968"/>
      <c r="P791" s="968"/>
      <c r="Q791" s="968"/>
      <c r="R791" s="968"/>
      <c r="S791" s="968"/>
      <c r="T791" s="968"/>
      <c r="X791" s="23"/>
    </row>
    <row r="792" spans="1:24" ht="19.95" customHeight="1" x14ac:dyDescent="0.3">
      <c r="A792" s="262" t="s">
        <v>1242</v>
      </c>
      <c r="C792" s="228"/>
      <c r="D792" s="228"/>
      <c r="E792" s="561"/>
      <c r="F792" s="561"/>
      <c r="G792" s="561"/>
      <c r="H792" s="228"/>
      <c r="I792" s="260"/>
      <c r="J792" s="260"/>
      <c r="K792" s="260"/>
      <c r="L792" s="260"/>
      <c r="M792" s="260"/>
      <c r="N792" s="260"/>
      <c r="O792" s="260"/>
      <c r="P792" s="260"/>
      <c r="Q792" s="260"/>
      <c r="R792" s="260"/>
      <c r="S792" s="624"/>
      <c r="T792" s="260"/>
      <c r="X792" s="23"/>
    </row>
    <row r="793" spans="1:24" ht="19.95" customHeight="1" x14ac:dyDescent="0.3">
      <c r="A793" s="262" t="s">
        <v>1242</v>
      </c>
      <c r="C793" s="228"/>
      <c r="D793" s="228"/>
      <c r="E793" s="975" t="s">
        <v>1215</v>
      </c>
      <c r="F793" s="975"/>
      <c r="G793" s="975"/>
      <c r="H793" s="975" t="s">
        <v>1348</v>
      </c>
      <c r="I793" s="975"/>
      <c r="J793" s="975"/>
      <c r="K793" s="975"/>
      <c r="L793" s="975"/>
      <c r="M793" s="562"/>
      <c r="N793" s="977" t="s">
        <v>1219</v>
      </c>
      <c r="O793" s="968"/>
      <c r="P793" s="968"/>
      <c r="Q793" s="968"/>
      <c r="R793" s="968"/>
      <c r="S793" s="968"/>
      <c r="T793" s="968"/>
      <c r="X793" s="23"/>
    </row>
    <row r="794" spans="1:24" ht="19.95" customHeight="1" x14ac:dyDescent="0.3">
      <c r="A794" s="262" t="s">
        <v>1290</v>
      </c>
      <c r="C794" s="228"/>
      <c r="D794" s="228"/>
      <c r="E794" s="975"/>
      <c r="F794" s="975"/>
      <c r="G794" s="975"/>
      <c r="H794" s="975"/>
      <c r="I794" s="975"/>
      <c r="J794" s="975"/>
      <c r="K794" s="975"/>
      <c r="L794" s="975"/>
      <c r="M794" s="562"/>
      <c r="N794" s="968"/>
      <c r="O794" s="968"/>
      <c r="P794" s="968"/>
      <c r="Q794" s="968"/>
      <c r="R794" s="968"/>
      <c r="S794" s="968"/>
      <c r="T794" s="968"/>
      <c r="X794" s="23"/>
    </row>
    <row r="795" spans="1:24" ht="30" customHeight="1" x14ac:dyDescent="0.3">
      <c r="A795" s="262" t="s">
        <v>1240</v>
      </c>
      <c r="C795" s="625"/>
      <c r="D795" s="626" t="s">
        <v>1235</v>
      </c>
      <c r="E795" s="627"/>
      <c r="F795" s="627"/>
      <c r="G795" s="627"/>
      <c r="H795" s="627"/>
      <c r="I795" s="628"/>
      <c r="J795" s="628"/>
      <c r="K795" s="628"/>
      <c r="L795" s="644">
        <f>+SUMIFS(L:L,A:A,"8")</f>
        <v>547112411.12</v>
      </c>
      <c r="M795" s="629"/>
      <c r="N795" s="648"/>
      <c r="O795" s="628"/>
      <c r="P795" s="628"/>
      <c r="Q795" s="611"/>
      <c r="R795" s="651">
        <f>+SUMIFS(R:R,A:A,"8")</f>
        <v>0</v>
      </c>
      <c r="S795" s="630">
        <f>+SUMIFS(S:S,A:A,"8")</f>
        <v>0</v>
      </c>
      <c r="T795" s="631">
        <f>+SUMIFS(T:T,A:A,"8")</f>
        <v>0</v>
      </c>
      <c r="X795" s="23" t="str">
        <f t="shared" ref="X795:X833" si="126">IF(AND(P796&gt;K796*1.2, (P796-K796)*I796 &gt; $L$13*0.01), "RBF", "-")</f>
        <v>-</v>
      </c>
    </row>
    <row r="796" spans="1:24" ht="30" customHeight="1" x14ac:dyDescent="0.3">
      <c r="A796" s="262">
        <v>8</v>
      </c>
      <c r="C796" s="244">
        <v>416</v>
      </c>
      <c r="D796" s="213" t="s">
        <v>1020</v>
      </c>
      <c r="E796" s="969" t="s">
        <v>1021</v>
      </c>
      <c r="F796" s="970"/>
      <c r="G796" s="971"/>
      <c r="H796" s="544" t="s">
        <v>286</v>
      </c>
      <c r="I796" s="212">
        <v>3750000</v>
      </c>
      <c r="J796" s="605"/>
      <c r="K796" s="212">
        <v>1</v>
      </c>
      <c r="L796" s="212">
        <f t="shared" ref="L796:L804" si="127">+ROUND(I796*K796,2)</f>
        <v>3750000</v>
      </c>
      <c r="M796" s="602"/>
      <c r="N796" s="675">
        <f>+'Yeşil Defter'!K802</f>
        <v>0</v>
      </c>
      <c r="O796" s="675">
        <f>+'Yeşil Defter'!L802</f>
        <v>0</v>
      </c>
      <c r="P796" s="675">
        <f>+'Yeşil Defter'!M802</f>
        <v>0</v>
      </c>
      <c r="Q796" s="212"/>
      <c r="R796" s="605">
        <f t="shared" ref="R796:R804" si="128">+ROUND(K796*N796,2)</f>
        <v>0</v>
      </c>
      <c r="S796" s="225">
        <f t="shared" ref="S796:S804" si="129">+T796-R796</f>
        <v>0</v>
      </c>
      <c r="T796" s="237">
        <f t="shared" ref="T796:T804" si="130">+ROUND(K796*P796,2)</f>
        <v>0</v>
      </c>
      <c r="X796" s="23" t="str">
        <f t="shared" si="126"/>
        <v>-</v>
      </c>
    </row>
    <row r="797" spans="1:24" ht="30" customHeight="1" x14ac:dyDescent="0.3">
      <c r="A797" s="262">
        <v>8</v>
      </c>
      <c r="C797" s="244">
        <v>417</v>
      </c>
      <c r="D797" s="213" t="s">
        <v>1022</v>
      </c>
      <c r="E797" s="969" t="s">
        <v>1023</v>
      </c>
      <c r="F797" s="970"/>
      <c r="G797" s="971"/>
      <c r="H797" s="544" t="s">
        <v>202</v>
      </c>
      <c r="I797" s="212">
        <v>7088</v>
      </c>
      <c r="J797" s="605"/>
      <c r="K797" s="212">
        <v>9555.85</v>
      </c>
      <c r="L797" s="212">
        <f t="shared" si="127"/>
        <v>67731864.799999997</v>
      </c>
      <c r="M797" s="602"/>
      <c r="N797" s="675">
        <f>+'Yeşil Defter'!K803</f>
        <v>0</v>
      </c>
      <c r="O797" s="675">
        <f>+'Yeşil Defter'!L803</f>
        <v>0</v>
      </c>
      <c r="P797" s="675">
        <f>+'Yeşil Defter'!M803</f>
        <v>0</v>
      </c>
      <c r="Q797" s="212"/>
      <c r="R797" s="605">
        <f t="shared" si="128"/>
        <v>0</v>
      </c>
      <c r="S797" s="225">
        <f t="shared" si="129"/>
        <v>0</v>
      </c>
      <c r="T797" s="237">
        <f t="shared" si="130"/>
        <v>0</v>
      </c>
      <c r="X797" s="23" t="str">
        <f t="shared" si="126"/>
        <v>-</v>
      </c>
    </row>
    <row r="798" spans="1:24" ht="30" customHeight="1" x14ac:dyDescent="0.3">
      <c r="A798" s="262">
        <v>8</v>
      </c>
      <c r="C798" s="244">
        <v>418</v>
      </c>
      <c r="D798" s="161" t="s">
        <v>1024</v>
      </c>
      <c r="E798" s="969" t="s">
        <v>1025</v>
      </c>
      <c r="F798" s="970"/>
      <c r="G798" s="971"/>
      <c r="H798" s="544" t="s">
        <v>202</v>
      </c>
      <c r="I798" s="212">
        <v>37178</v>
      </c>
      <c r="J798" s="605"/>
      <c r="K798" s="212">
        <v>11306.44</v>
      </c>
      <c r="L798" s="212">
        <f t="shared" si="127"/>
        <v>420350826.31999999</v>
      </c>
      <c r="M798" s="602"/>
      <c r="N798" s="675">
        <f>+'Yeşil Defter'!K804</f>
        <v>0</v>
      </c>
      <c r="O798" s="675">
        <f>+'Yeşil Defter'!L804</f>
        <v>0</v>
      </c>
      <c r="P798" s="675">
        <f>+'Yeşil Defter'!M804</f>
        <v>0</v>
      </c>
      <c r="Q798" s="212"/>
      <c r="R798" s="605">
        <f t="shared" si="128"/>
        <v>0</v>
      </c>
      <c r="S798" s="225">
        <f t="shared" si="129"/>
        <v>0</v>
      </c>
      <c r="T798" s="237">
        <f t="shared" si="130"/>
        <v>0</v>
      </c>
      <c r="X798" s="23" t="str">
        <f t="shared" si="126"/>
        <v>-</v>
      </c>
    </row>
    <row r="799" spans="1:24" ht="30" customHeight="1" x14ac:dyDescent="0.3">
      <c r="A799" s="262">
        <v>8</v>
      </c>
      <c r="C799" s="244">
        <v>419</v>
      </c>
      <c r="D799" s="161" t="s">
        <v>1026</v>
      </c>
      <c r="E799" s="969" t="s">
        <v>1027</v>
      </c>
      <c r="F799" s="970"/>
      <c r="G799" s="971"/>
      <c r="H799" s="544" t="s">
        <v>247</v>
      </c>
      <c r="I799" s="212">
        <v>4375000</v>
      </c>
      <c r="J799" s="605"/>
      <c r="K799" s="212">
        <v>4</v>
      </c>
      <c r="L799" s="212">
        <f t="shared" si="127"/>
        <v>17500000</v>
      </c>
      <c r="M799" s="602"/>
      <c r="N799" s="675">
        <f>+'Yeşil Defter'!K805</f>
        <v>0</v>
      </c>
      <c r="O799" s="675">
        <f>+'Yeşil Defter'!L805</f>
        <v>0</v>
      </c>
      <c r="P799" s="675">
        <f>+'Yeşil Defter'!M805</f>
        <v>0</v>
      </c>
      <c r="Q799" s="212"/>
      <c r="R799" s="605">
        <f t="shared" si="128"/>
        <v>0</v>
      </c>
      <c r="S799" s="225">
        <f t="shared" si="129"/>
        <v>0</v>
      </c>
      <c r="T799" s="237">
        <f t="shared" si="130"/>
        <v>0</v>
      </c>
      <c r="X799" s="23" t="str">
        <f t="shared" si="126"/>
        <v>-</v>
      </c>
    </row>
    <row r="800" spans="1:24" ht="30" customHeight="1" x14ac:dyDescent="0.3">
      <c r="A800" s="262">
        <v>8</v>
      </c>
      <c r="C800" s="244">
        <v>420</v>
      </c>
      <c r="D800" s="161" t="s">
        <v>1028</v>
      </c>
      <c r="E800" s="969" t="s">
        <v>1029</v>
      </c>
      <c r="F800" s="970"/>
      <c r="G800" s="971"/>
      <c r="H800" s="544" t="s">
        <v>247</v>
      </c>
      <c r="I800" s="212">
        <v>4687500</v>
      </c>
      <c r="J800" s="605"/>
      <c r="K800" s="212">
        <v>4</v>
      </c>
      <c r="L800" s="212">
        <f t="shared" si="127"/>
        <v>18750000</v>
      </c>
      <c r="M800" s="602"/>
      <c r="N800" s="675">
        <f>+'Yeşil Defter'!K806</f>
        <v>0</v>
      </c>
      <c r="O800" s="675">
        <f>+'Yeşil Defter'!L806</f>
        <v>0</v>
      </c>
      <c r="P800" s="675">
        <f>+'Yeşil Defter'!M806</f>
        <v>0</v>
      </c>
      <c r="Q800" s="212"/>
      <c r="R800" s="605">
        <f t="shared" si="128"/>
        <v>0</v>
      </c>
      <c r="S800" s="225">
        <f t="shared" si="129"/>
        <v>0</v>
      </c>
      <c r="T800" s="237">
        <f t="shared" si="130"/>
        <v>0</v>
      </c>
      <c r="X800" s="23" t="str">
        <f t="shared" si="126"/>
        <v>-</v>
      </c>
    </row>
    <row r="801" spans="1:24" ht="30" customHeight="1" x14ac:dyDescent="0.3">
      <c r="A801" s="262">
        <v>8</v>
      </c>
      <c r="C801" s="244">
        <v>421</v>
      </c>
      <c r="D801" s="213" t="s">
        <v>1030</v>
      </c>
      <c r="E801" s="969" t="s">
        <v>1031</v>
      </c>
      <c r="F801" s="970"/>
      <c r="G801" s="971"/>
      <c r="H801" s="544" t="s">
        <v>247</v>
      </c>
      <c r="I801" s="212">
        <v>6875000</v>
      </c>
      <c r="J801" s="605"/>
      <c r="K801" s="212">
        <v>2</v>
      </c>
      <c r="L801" s="212">
        <f t="shared" si="127"/>
        <v>13750000</v>
      </c>
      <c r="M801" s="602"/>
      <c r="N801" s="675">
        <f>+'Yeşil Defter'!K807</f>
        <v>0</v>
      </c>
      <c r="O801" s="675">
        <f>+'Yeşil Defter'!L807</f>
        <v>0</v>
      </c>
      <c r="P801" s="675">
        <f>+'Yeşil Defter'!M807</f>
        <v>0</v>
      </c>
      <c r="Q801" s="212"/>
      <c r="R801" s="605">
        <f t="shared" si="128"/>
        <v>0</v>
      </c>
      <c r="S801" s="225">
        <f t="shared" si="129"/>
        <v>0</v>
      </c>
      <c r="T801" s="237">
        <f t="shared" si="130"/>
        <v>0</v>
      </c>
      <c r="X801" s="23" t="str">
        <f t="shared" si="126"/>
        <v>-</v>
      </c>
    </row>
    <row r="802" spans="1:24" ht="30" customHeight="1" x14ac:dyDescent="0.3">
      <c r="A802" s="262">
        <v>8</v>
      </c>
      <c r="C802" s="244">
        <v>422</v>
      </c>
      <c r="D802" s="213" t="s">
        <v>1032</v>
      </c>
      <c r="E802" s="969" t="s">
        <v>1033</v>
      </c>
      <c r="F802" s="970"/>
      <c r="G802" s="971"/>
      <c r="H802" s="544" t="s">
        <v>247</v>
      </c>
      <c r="I802" s="212">
        <v>437500</v>
      </c>
      <c r="J802" s="605"/>
      <c r="K802" s="212">
        <v>2</v>
      </c>
      <c r="L802" s="212">
        <f t="shared" si="127"/>
        <v>875000</v>
      </c>
      <c r="M802" s="602"/>
      <c r="N802" s="675">
        <f>+'Yeşil Defter'!K808</f>
        <v>0</v>
      </c>
      <c r="O802" s="675">
        <f>+'Yeşil Defter'!L808</f>
        <v>0</v>
      </c>
      <c r="P802" s="675">
        <f>+'Yeşil Defter'!M808</f>
        <v>0</v>
      </c>
      <c r="Q802" s="212"/>
      <c r="R802" s="605">
        <f t="shared" si="128"/>
        <v>0</v>
      </c>
      <c r="S802" s="225">
        <f t="shared" si="129"/>
        <v>0</v>
      </c>
      <c r="T802" s="237">
        <f t="shared" si="130"/>
        <v>0</v>
      </c>
      <c r="X802" s="23" t="str">
        <f t="shared" si="126"/>
        <v>-</v>
      </c>
    </row>
    <row r="803" spans="1:24" ht="30" customHeight="1" x14ac:dyDescent="0.3">
      <c r="A803" s="262">
        <v>8</v>
      </c>
      <c r="C803" s="244">
        <v>423</v>
      </c>
      <c r="D803" s="213" t="s">
        <v>1034</v>
      </c>
      <c r="E803" s="969" t="s">
        <v>1035</v>
      </c>
      <c r="F803" s="970"/>
      <c r="G803" s="971"/>
      <c r="H803" s="544" t="s">
        <v>286</v>
      </c>
      <c r="I803" s="212">
        <v>3125000</v>
      </c>
      <c r="J803" s="605"/>
      <c r="K803" s="212">
        <v>1</v>
      </c>
      <c r="L803" s="212">
        <f t="shared" si="127"/>
        <v>3125000</v>
      </c>
      <c r="M803" s="602"/>
      <c r="N803" s="675">
        <f>+'Yeşil Defter'!K809</f>
        <v>0</v>
      </c>
      <c r="O803" s="675">
        <f>+'Yeşil Defter'!L809</f>
        <v>0</v>
      </c>
      <c r="P803" s="675">
        <f>+'Yeşil Defter'!M809</f>
        <v>0</v>
      </c>
      <c r="Q803" s="212"/>
      <c r="R803" s="605">
        <f t="shared" si="128"/>
        <v>0</v>
      </c>
      <c r="S803" s="225">
        <f t="shared" si="129"/>
        <v>0</v>
      </c>
      <c r="T803" s="237">
        <f t="shared" si="130"/>
        <v>0</v>
      </c>
      <c r="X803" s="23" t="str">
        <f t="shared" si="126"/>
        <v>-</v>
      </c>
    </row>
    <row r="804" spans="1:24" ht="30" customHeight="1" x14ac:dyDescent="0.3">
      <c r="A804" s="262">
        <v>8</v>
      </c>
      <c r="C804" s="244">
        <v>424</v>
      </c>
      <c r="D804" s="213" t="s">
        <v>1036</v>
      </c>
      <c r="E804" s="969" t="s">
        <v>1037</v>
      </c>
      <c r="F804" s="970"/>
      <c r="G804" s="971"/>
      <c r="H804" s="544" t="s">
        <v>225</v>
      </c>
      <c r="I804" s="212">
        <v>19688</v>
      </c>
      <c r="J804" s="605"/>
      <c r="K804" s="212">
        <v>65</v>
      </c>
      <c r="L804" s="212">
        <f t="shared" si="127"/>
        <v>1279720</v>
      </c>
      <c r="M804" s="602"/>
      <c r="N804" s="675">
        <f>+'Yeşil Defter'!K810</f>
        <v>0</v>
      </c>
      <c r="O804" s="675">
        <f>+'Yeşil Defter'!L810</f>
        <v>0</v>
      </c>
      <c r="P804" s="675">
        <f>+'Yeşil Defter'!M810</f>
        <v>0</v>
      </c>
      <c r="Q804" s="212"/>
      <c r="R804" s="605">
        <f t="shared" si="128"/>
        <v>0</v>
      </c>
      <c r="S804" s="225">
        <f t="shared" si="129"/>
        <v>0</v>
      </c>
      <c r="T804" s="237">
        <f t="shared" si="130"/>
        <v>0</v>
      </c>
      <c r="X804" s="23" t="str">
        <f t="shared" si="126"/>
        <v>-</v>
      </c>
    </row>
    <row r="805" spans="1:24" ht="30" customHeight="1" x14ac:dyDescent="0.3">
      <c r="A805" s="262">
        <v>8</v>
      </c>
      <c r="C805" s="244"/>
      <c r="D805" s="213"/>
      <c r="E805" s="969"/>
      <c r="F805" s="970"/>
      <c r="G805" s="971"/>
      <c r="H805" s="161"/>
      <c r="I805" s="605"/>
      <c r="J805" s="605"/>
      <c r="K805" s="212"/>
      <c r="L805" s="341"/>
      <c r="M805" s="212"/>
      <c r="N805" s="605"/>
      <c r="O805" s="212"/>
      <c r="P805" s="341"/>
      <c r="Q805" s="212"/>
      <c r="R805" s="605"/>
      <c r="S805" s="225"/>
      <c r="T805" s="237"/>
      <c r="X805" s="23"/>
    </row>
    <row r="806" spans="1:24" ht="30" customHeight="1" x14ac:dyDescent="0.3">
      <c r="A806" s="262">
        <v>8</v>
      </c>
      <c r="C806" s="244"/>
      <c r="D806" s="213"/>
      <c r="E806" s="969"/>
      <c r="F806" s="970"/>
      <c r="G806" s="971"/>
      <c r="H806" s="161"/>
      <c r="I806" s="605"/>
      <c r="J806" s="605"/>
      <c r="K806" s="212"/>
      <c r="L806" s="341"/>
      <c r="M806" s="212"/>
      <c r="N806" s="605"/>
      <c r="O806" s="212"/>
      <c r="P806" s="341"/>
      <c r="Q806" s="212"/>
      <c r="R806" s="605"/>
      <c r="S806" s="225"/>
      <c r="T806" s="237"/>
      <c r="X806" s="23"/>
    </row>
    <row r="807" spans="1:24" ht="30" customHeight="1" x14ac:dyDescent="0.3">
      <c r="A807" s="262">
        <v>8</v>
      </c>
      <c r="C807" s="244"/>
      <c r="D807" s="213"/>
      <c r="E807" s="969"/>
      <c r="F807" s="970"/>
      <c r="G807" s="971"/>
      <c r="H807" s="161"/>
      <c r="I807" s="605"/>
      <c r="J807" s="605"/>
      <c r="K807" s="212"/>
      <c r="L807" s="341"/>
      <c r="M807" s="212"/>
      <c r="N807" s="605"/>
      <c r="O807" s="212"/>
      <c r="P807" s="341"/>
      <c r="Q807" s="212"/>
      <c r="R807" s="605"/>
      <c r="S807" s="225"/>
      <c r="T807" s="237"/>
      <c r="X807" s="23"/>
    </row>
    <row r="808" spans="1:24" ht="30" customHeight="1" x14ac:dyDescent="0.3">
      <c r="A808" s="262">
        <v>8</v>
      </c>
      <c r="C808" s="244"/>
      <c r="D808" s="213"/>
      <c r="E808" s="969"/>
      <c r="F808" s="970"/>
      <c r="G808" s="971"/>
      <c r="H808" s="161"/>
      <c r="I808" s="605"/>
      <c r="J808" s="605"/>
      <c r="K808" s="212"/>
      <c r="L808" s="341"/>
      <c r="M808" s="212"/>
      <c r="N808" s="605"/>
      <c r="O808" s="212"/>
      <c r="P808" s="341"/>
      <c r="Q808" s="212"/>
      <c r="R808" s="605"/>
      <c r="S808" s="225"/>
      <c r="T808" s="237"/>
      <c r="X808" s="23"/>
    </row>
    <row r="809" spans="1:24" ht="30" customHeight="1" x14ac:dyDescent="0.3">
      <c r="A809" s="262">
        <v>8</v>
      </c>
      <c r="C809" s="244"/>
      <c r="D809" s="213"/>
      <c r="E809" s="969"/>
      <c r="F809" s="970"/>
      <c r="G809" s="971"/>
      <c r="H809" s="161"/>
      <c r="I809" s="605"/>
      <c r="J809" s="605"/>
      <c r="K809" s="212"/>
      <c r="L809" s="341"/>
      <c r="M809" s="212"/>
      <c r="N809" s="605"/>
      <c r="O809" s="212"/>
      <c r="P809" s="341"/>
      <c r="Q809" s="212"/>
      <c r="R809" s="605"/>
      <c r="S809" s="225"/>
      <c r="T809" s="237"/>
      <c r="X809" s="23"/>
    </row>
    <row r="810" spans="1:24" ht="30" customHeight="1" x14ac:dyDescent="0.3">
      <c r="A810" s="262">
        <v>8</v>
      </c>
      <c r="C810" s="244"/>
      <c r="D810" s="213"/>
      <c r="E810" s="969"/>
      <c r="F810" s="970"/>
      <c r="G810" s="971"/>
      <c r="H810" s="161"/>
      <c r="I810" s="605"/>
      <c r="J810" s="605"/>
      <c r="K810" s="212"/>
      <c r="L810" s="341"/>
      <c r="M810" s="212"/>
      <c r="N810" s="605"/>
      <c r="O810" s="212"/>
      <c r="P810" s="341"/>
      <c r="Q810" s="212"/>
      <c r="R810" s="605"/>
      <c r="S810" s="225"/>
      <c r="T810" s="237"/>
      <c r="X810" s="23"/>
    </row>
    <row r="811" spans="1:24" ht="30" customHeight="1" x14ac:dyDescent="0.3">
      <c r="A811" s="262">
        <v>8</v>
      </c>
      <c r="C811" s="244"/>
      <c r="D811" s="213"/>
      <c r="E811" s="969"/>
      <c r="F811" s="970"/>
      <c r="G811" s="971"/>
      <c r="H811" s="161"/>
      <c r="I811" s="605"/>
      <c r="J811" s="605"/>
      <c r="K811" s="212"/>
      <c r="L811" s="341"/>
      <c r="M811" s="212"/>
      <c r="N811" s="605"/>
      <c r="O811" s="212"/>
      <c r="P811" s="341"/>
      <c r="Q811" s="212"/>
      <c r="R811" s="605"/>
      <c r="S811" s="225"/>
      <c r="T811" s="237"/>
      <c r="X811" s="23"/>
    </row>
    <row r="812" spans="1:24" ht="30" customHeight="1" x14ac:dyDescent="0.3">
      <c r="A812" s="262">
        <v>8</v>
      </c>
      <c r="C812" s="244"/>
      <c r="D812" s="213"/>
      <c r="E812" s="969"/>
      <c r="F812" s="970"/>
      <c r="G812" s="971"/>
      <c r="H812" s="161"/>
      <c r="I812" s="605"/>
      <c r="J812" s="605"/>
      <c r="K812" s="212"/>
      <c r="L812" s="341"/>
      <c r="M812" s="212"/>
      <c r="N812" s="605"/>
      <c r="O812" s="212"/>
      <c r="P812" s="341"/>
      <c r="Q812" s="212"/>
      <c r="R812" s="605"/>
      <c r="S812" s="225"/>
      <c r="T812" s="237"/>
      <c r="X812" s="23"/>
    </row>
    <row r="813" spans="1:24" ht="30" customHeight="1" x14ac:dyDescent="0.3">
      <c r="A813" s="262">
        <v>8</v>
      </c>
      <c r="C813" s="244"/>
      <c r="D813" s="213"/>
      <c r="E813" s="969"/>
      <c r="F813" s="970"/>
      <c r="G813" s="971"/>
      <c r="H813" s="161"/>
      <c r="I813" s="605"/>
      <c r="J813" s="605"/>
      <c r="K813" s="212"/>
      <c r="L813" s="341"/>
      <c r="M813" s="212"/>
      <c r="N813" s="605"/>
      <c r="O813" s="212"/>
      <c r="P813" s="341"/>
      <c r="Q813" s="212"/>
      <c r="R813" s="605"/>
      <c r="S813" s="225"/>
      <c r="T813" s="237"/>
      <c r="X813" s="23"/>
    </row>
    <row r="814" spans="1:24" ht="30" customHeight="1" x14ac:dyDescent="0.3">
      <c r="A814" s="262">
        <v>8</v>
      </c>
      <c r="C814" s="244"/>
      <c r="D814" s="213"/>
      <c r="E814" s="969"/>
      <c r="F814" s="970"/>
      <c r="G814" s="971"/>
      <c r="H814" s="161"/>
      <c r="I814" s="605"/>
      <c r="J814" s="605"/>
      <c r="K814" s="212"/>
      <c r="L814" s="341"/>
      <c r="M814" s="212"/>
      <c r="N814" s="605"/>
      <c r="O814" s="212"/>
      <c r="P814" s="341"/>
      <c r="Q814" s="212"/>
      <c r="R814" s="605"/>
      <c r="S814" s="225"/>
      <c r="T814" s="237"/>
      <c r="X814" s="23"/>
    </row>
    <row r="815" spans="1:24" ht="30" customHeight="1" x14ac:dyDescent="0.3">
      <c r="A815" s="262">
        <v>8</v>
      </c>
      <c r="C815" s="244"/>
      <c r="D815" s="213"/>
      <c r="E815" s="969"/>
      <c r="F815" s="970"/>
      <c r="G815" s="971"/>
      <c r="H815" s="161"/>
      <c r="I815" s="605"/>
      <c r="J815" s="605"/>
      <c r="K815" s="212"/>
      <c r="L815" s="341"/>
      <c r="M815" s="212"/>
      <c r="N815" s="605"/>
      <c r="O815" s="212"/>
      <c r="P815" s="341"/>
      <c r="Q815" s="212"/>
      <c r="R815" s="605"/>
      <c r="S815" s="225"/>
      <c r="T815" s="237"/>
      <c r="X815" s="23"/>
    </row>
    <row r="816" spans="1:24" ht="30" customHeight="1" x14ac:dyDescent="0.3">
      <c r="A816" s="262">
        <v>8</v>
      </c>
      <c r="C816" s="244"/>
      <c r="D816" s="213"/>
      <c r="E816" s="969"/>
      <c r="F816" s="970"/>
      <c r="G816" s="971"/>
      <c r="H816" s="161"/>
      <c r="I816" s="605"/>
      <c r="J816" s="605"/>
      <c r="K816" s="212"/>
      <c r="L816" s="341"/>
      <c r="M816" s="212"/>
      <c r="N816" s="605"/>
      <c r="O816" s="212"/>
      <c r="P816" s="341"/>
      <c r="Q816" s="212"/>
      <c r="R816" s="605"/>
      <c r="S816" s="225"/>
      <c r="T816" s="237"/>
      <c r="X816" s="23"/>
    </row>
    <row r="817" spans="1:24" ht="30" customHeight="1" x14ac:dyDescent="0.3">
      <c r="A817" s="262">
        <v>8</v>
      </c>
      <c r="C817" s="244"/>
      <c r="D817" s="213"/>
      <c r="E817" s="969"/>
      <c r="F817" s="970"/>
      <c r="G817" s="971"/>
      <c r="H817" s="658"/>
      <c r="I817" s="605"/>
      <c r="J817" s="605"/>
      <c r="K817" s="212"/>
      <c r="L817" s="341"/>
      <c r="M817" s="302"/>
      <c r="N817" s="605"/>
      <c r="O817" s="212"/>
      <c r="P817" s="341"/>
      <c r="Q817" s="302"/>
      <c r="R817" s="605"/>
      <c r="S817" s="225"/>
      <c r="T817" s="237"/>
      <c r="X817" s="23"/>
    </row>
    <row r="818" spans="1:24" ht="40.049999999999997" customHeight="1" x14ac:dyDescent="0.3">
      <c r="A818" s="262" t="s">
        <v>1242</v>
      </c>
      <c r="C818" s="258"/>
      <c r="D818" s="258"/>
      <c r="E818" s="972" t="s">
        <v>33</v>
      </c>
      <c r="F818" s="972"/>
      <c r="G818" s="972"/>
      <c r="H818" s="973" t="s">
        <v>29</v>
      </c>
      <c r="I818" s="973"/>
      <c r="J818" s="973"/>
      <c r="K818" s="973"/>
      <c r="L818" s="973"/>
      <c r="M818" s="549"/>
      <c r="N818" s="973" t="s">
        <v>22</v>
      </c>
      <c r="O818" s="973"/>
      <c r="P818" s="973"/>
      <c r="Q818" s="973"/>
      <c r="R818" s="973"/>
      <c r="S818" s="973"/>
      <c r="T818" s="973"/>
      <c r="X818" s="23"/>
    </row>
    <row r="819" spans="1:24" ht="19.95" customHeight="1" x14ac:dyDescent="0.3">
      <c r="A819" s="262" t="s">
        <v>1242</v>
      </c>
      <c r="D819" s="28"/>
      <c r="E819" s="974" t="s">
        <v>1214</v>
      </c>
      <c r="F819" s="974"/>
      <c r="G819" s="974"/>
      <c r="H819" s="975" t="s">
        <v>38</v>
      </c>
      <c r="I819" s="975"/>
      <c r="J819" s="975"/>
      <c r="K819" s="975"/>
      <c r="L819" s="975"/>
      <c r="M819" s="562"/>
      <c r="N819" s="975" t="s">
        <v>1437</v>
      </c>
      <c r="O819" s="975"/>
      <c r="P819" s="975"/>
      <c r="Q819" s="975"/>
      <c r="R819" s="975"/>
      <c r="S819" s="975"/>
      <c r="T819" s="975"/>
      <c r="X819" s="23"/>
    </row>
    <row r="820" spans="1:24" ht="19.95" customHeight="1" x14ac:dyDescent="0.3">
      <c r="A820" s="262" t="s">
        <v>1242</v>
      </c>
      <c r="C820" s="228"/>
      <c r="D820" s="228"/>
      <c r="E820" s="561"/>
      <c r="F820" s="561"/>
      <c r="G820" s="561"/>
      <c r="H820" s="228"/>
      <c r="I820" s="260"/>
      <c r="J820" s="260"/>
      <c r="K820" s="260"/>
      <c r="L820" s="260"/>
      <c r="M820" s="260"/>
      <c r="N820" s="975"/>
      <c r="O820" s="975"/>
      <c r="P820" s="975"/>
      <c r="Q820" s="975"/>
      <c r="R820" s="975"/>
      <c r="S820" s="975"/>
      <c r="T820" s="975"/>
      <c r="X820" s="23"/>
    </row>
    <row r="821" spans="1:24" ht="19.95" customHeight="1" x14ac:dyDescent="0.3">
      <c r="A821" s="262" t="s">
        <v>1242</v>
      </c>
      <c r="C821" s="228"/>
      <c r="D821" s="228"/>
      <c r="E821" s="561"/>
      <c r="F821" s="561"/>
      <c r="G821" s="561"/>
      <c r="H821" s="228"/>
      <c r="I821" s="260"/>
      <c r="J821" s="260"/>
      <c r="K821" s="260"/>
      <c r="L821" s="260"/>
      <c r="M821" s="260"/>
      <c r="N821" s="975"/>
      <c r="O821" s="975"/>
      <c r="P821" s="975"/>
      <c r="Q821" s="975"/>
      <c r="R821" s="975"/>
      <c r="S821" s="975"/>
      <c r="T821" s="975"/>
      <c r="X821" s="23"/>
    </row>
    <row r="822" spans="1:24" ht="19.95" customHeight="1" x14ac:dyDescent="0.3">
      <c r="A822" s="262" t="s">
        <v>1242</v>
      </c>
      <c r="C822" s="228"/>
      <c r="D822" s="228"/>
      <c r="E822" s="561"/>
      <c r="F822" s="561"/>
      <c r="G822" s="561"/>
      <c r="H822" s="261"/>
      <c r="I822" s="261"/>
      <c r="J822" s="261"/>
      <c r="K822" s="261"/>
      <c r="L822" s="261"/>
      <c r="M822" s="261"/>
      <c r="N822" s="260"/>
      <c r="O822" s="260"/>
      <c r="P822" s="260"/>
      <c r="Q822" s="260"/>
      <c r="R822" s="260"/>
      <c r="S822" s="624"/>
      <c r="T822" s="260"/>
      <c r="X822" s="23"/>
    </row>
    <row r="823" spans="1:24" ht="19.95" customHeight="1" x14ac:dyDescent="0.3">
      <c r="A823" s="262" t="s">
        <v>1242</v>
      </c>
      <c r="C823" s="228"/>
      <c r="D823" s="228"/>
      <c r="E823" s="561"/>
      <c r="F823" s="561"/>
      <c r="G823" s="561"/>
      <c r="H823" s="975" t="s">
        <v>32</v>
      </c>
      <c r="I823" s="975"/>
      <c r="J823" s="562"/>
      <c r="K823" s="975" t="s">
        <v>1407</v>
      </c>
      <c r="L823" s="975"/>
      <c r="M823" s="562"/>
      <c r="N823" s="968" t="s">
        <v>55</v>
      </c>
      <c r="O823" s="968"/>
      <c r="P823" s="968"/>
      <c r="Q823" s="968"/>
      <c r="R823" s="968"/>
      <c r="S823" s="968"/>
      <c r="T823" s="968"/>
      <c r="X823" s="23"/>
    </row>
    <row r="824" spans="1:24" ht="19.95" customHeight="1" x14ac:dyDescent="0.3">
      <c r="A824" s="262" t="s">
        <v>1242</v>
      </c>
      <c r="C824" s="228"/>
      <c r="D824" s="228"/>
      <c r="E824" s="561"/>
      <c r="F824" s="561"/>
      <c r="G824" s="561"/>
      <c r="H824" s="976" t="s">
        <v>94</v>
      </c>
      <c r="I824" s="976"/>
      <c r="J824" s="623"/>
      <c r="K824" s="976" t="s">
        <v>94</v>
      </c>
      <c r="L824" s="976"/>
      <c r="M824" s="623"/>
      <c r="N824" s="968" t="s">
        <v>1484</v>
      </c>
      <c r="O824" s="968"/>
      <c r="P824" s="968"/>
      <c r="Q824" s="968"/>
      <c r="R824" s="968"/>
      <c r="S824" s="968"/>
      <c r="T824" s="968"/>
      <c r="X824" s="23"/>
    </row>
    <row r="825" spans="1:24" ht="19.95" customHeight="1" x14ac:dyDescent="0.3">
      <c r="A825" s="262" t="s">
        <v>1242</v>
      </c>
      <c r="C825" s="228"/>
      <c r="D825" s="228"/>
      <c r="E825" s="561"/>
      <c r="F825" s="561"/>
      <c r="G825" s="561"/>
      <c r="H825" s="976"/>
      <c r="I825" s="976"/>
      <c r="J825" s="623"/>
      <c r="K825" s="976"/>
      <c r="L825" s="976"/>
      <c r="M825" s="623"/>
      <c r="N825" s="968"/>
      <c r="O825" s="968"/>
      <c r="P825" s="968"/>
      <c r="Q825" s="968"/>
      <c r="R825" s="968"/>
      <c r="S825" s="968"/>
      <c r="T825" s="968"/>
      <c r="X825" s="23"/>
    </row>
    <row r="826" spans="1:24" ht="19.95" customHeight="1" x14ac:dyDescent="0.3">
      <c r="A826" s="262" t="s">
        <v>1242</v>
      </c>
      <c r="C826" s="228"/>
      <c r="D826" s="228"/>
      <c r="E826" s="561"/>
      <c r="F826" s="561"/>
      <c r="G826" s="561"/>
      <c r="H826" s="228"/>
      <c r="I826" s="260"/>
      <c r="J826" s="260"/>
      <c r="K826" s="260"/>
      <c r="L826" s="260"/>
      <c r="M826" s="260"/>
      <c r="N826" s="260"/>
      <c r="O826" s="260"/>
      <c r="P826" s="260"/>
      <c r="Q826" s="260"/>
      <c r="R826" s="260"/>
      <c r="S826" s="624"/>
      <c r="T826" s="260"/>
      <c r="X826" s="23"/>
    </row>
    <row r="827" spans="1:24" ht="19.95" customHeight="1" x14ac:dyDescent="0.3">
      <c r="A827" s="262" t="s">
        <v>1242</v>
      </c>
      <c r="C827" s="228"/>
      <c r="D827" s="228"/>
      <c r="E827" s="975" t="s">
        <v>1215</v>
      </c>
      <c r="F827" s="975"/>
      <c r="G827" s="975"/>
      <c r="H827" s="975" t="s">
        <v>1348</v>
      </c>
      <c r="I827" s="975"/>
      <c r="J827" s="975"/>
      <c r="K827" s="975"/>
      <c r="L827" s="975"/>
      <c r="M827" s="562"/>
      <c r="N827" s="977" t="s">
        <v>1217</v>
      </c>
      <c r="O827" s="968"/>
      <c r="P827" s="968"/>
      <c r="Q827" s="968"/>
      <c r="R827" s="968"/>
      <c r="S827" s="968"/>
      <c r="T827" s="968"/>
      <c r="X827" s="23"/>
    </row>
    <row r="828" spans="1:24" ht="19.95" customHeight="1" x14ac:dyDescent="0.3">
      <c r="A828" s="262" t="s">
        <v>1290</v>
      </c>
      <c r="C828" s="228"/>
      <c r="D828" s="228"/>
      <c r="E828" s="975"/>
      <c r="F828" s="975"/>
      <c r="G828" s="975"/>
      <c r="H828" s="975"/>
      <c r="I828" s="975"/>
      <c r="J828" s="975"/>
      <c r="K828" s="975"/>
      <c r="L828" s="975"/>
      <c r="M828" s="562"/>
      <c r="N828" s="968"/>
      <c r="O828" s="968"/>
      <c r="P828" s="968"/>
      <c r="Q828" s="968"/>
      <c r="R828" s="968"/>
      <c r="S828" s="968"/>
      <c r="T828" s="968"/>
      <c r="X828" s="23"/>
    </row>
    <row r="829" spans="1:24" ht="30" customHeight="1" x14ac:dyDescent="0.3">
      <c r="A829" s="262" t="s">
        <v>1240</v>
      </c>
      <c r="C829" s="625"/>
      <c r="D829" s="626" t="s">
        <v>1236</v>
      </c>
      <c r="E829" s="627"/>
      <c r="F829" s="627"/>
      <c r="G829" s="627"/>
      <c r="H829" s="627"/>
      <c r="I829" s="628"/>
      <c r="J829" s="628"/>
      <c r="K829" s="628"/>
      <c r="L829" s="644">
        <f>+SUMIFS(L:L,A:A,"9")</f>
        <v>221794750</v>
      </c>
      <c r="M829" s="629"/>
      <c r="N829" s="648"/>
      <c r="O829" s="628"/>
      <c r="P829" s="628"/>
      <c r="Q829" s="611"/>
      <c r="R829" s="651">
        <f>+SUMIFS(R:R,A:A,"9")</f>
        <v>0</v>
      </c>
      <c r="S829" s="630">
        <f>+SUMIFS(S:S,A:A,"9")</f>
        <v>0</v>
      </c>
      <c r="T829" s="631">
        <f>+SUMIFS(T:T,A:A,"9")</f>
        <v>0</v>
      </c>
      <c r="X829" s="23" t="str">
        <f t="shared" si="126"/>
        <v>-</v>
      </c>
    </row>
    <row r="830" spans="1:24" ht="30" customHeight="1" x14ac:dyDescent="0.3">
      <c r="A830" s="262">
        <v>9</v>
      </c>
      <c r="C830" s="244">
        <v>425</v>
      </c>
      <c r="D830" s="213" t="s">
        <v>1038</v>
      </c>
      <c r="E830" s="969" t="s">
        <v>1039</v>
      </c>
      <c r="F830" s="970"/>
      <c r="G830" s="971"/>
      <c r="H830" s="544" t="s">
        <v>286</v>
      </c>
      <c r="I830" s="212">
        <v>29785000</v>
      </c>
      <c r="J830" s="605"/>
      <c r="K830" s="212">
        <v>1</v>
      </c>
      <c r="L830" s="212">
        <f>+ROUND(I830*K830,2)</f>
        <v>29785000</v>
      </c>
      <c r="M830" s="602"/>
      <c r="N830" s="675">
        <f>+'Yeşil Defter'!K848</f>
        <v>0</v>
      </c>
      <c r="O830" s="675">
        <f>+'Yeşil Defter'!L848</f>
        <v>0</v>
      </c>
      <c r="P830" s="675">
        <f>+'Yeşil Defter'!M848</f>
        <v>0</v>
      </c>
      <c r="Q830" s="212"/>
      <c r="R830" s="605">
        <f t="shared" ref="R830:R833" si="131">+ROUND(L830*N830,2)</f>
        <v>0</v>
      </c>
      <c r="S830" s="225">
        <f t="shared" ref="S830:S833" si="132">+ROUND(L830*O830,2)</f>
        <v>0</v>
      </c>
      <c r="T830" s="237">
        <f t="shared" ref="T830:T833" si="133">+ROUND(L830*P830,2)</f>
        <v>0</v>
      </c>
      <c r="X830" s="23" t="str">
        <f t="shared" si="126"/>
        <v>-</v>
      </c>
    </row>
    <row r="831" spans="1:24" ht="30" customHeight="1" x14ac:dyDescent="0.3">
      <c r="A831" s="262">
        <v>9</v>
      </c>
      <c r="C831" s="244">
        <v>426</v>
      </c>
      <c r="D831" s="213" t="s">
        <v>1040</v>
      </c>
      <c r="E831" s="969" t="s">
        <v>1041</v>
      </c>
      <c r="F831" s="970"/>
      <c r="G831" s="971"/>
      <c r="H831" s="544" t="s">
        <v>286</v>
      </c>
      <c r="I831" s="212">
        <v>119140000</v>
      </c>
      <c r="J831" s="605"/>
      <c r="K831" s="212">
        <v>1</v>
      </c>
      <c r="L831" s="212">
        <f>+ROUND(I831*K831,2)</f>
        <v>119140000</v>
      </c>
      <c r="M831" s="602"/>
      <c r="N831" s="675">
        <f>+'Yeşil Defter'!K849</f>
        <v>0</v>
      </c>
      <c r="O831" s="675">
        <f>+'Yeşil Defter'!L849</f>
        <v>0</v>
      </c>
      <c r="P831" s="675">
        <f>+'Yeşil Defter'!M849</f>
        <v>0</v>
      </c>
      <c r="Q831" s="212"/>
      <c r="R831" s="605">
        <f t="shared" si="131"/>
        <v>0</v>
      </c>
      <c r="S831" s="225">
        <f t="shared" si="132"/>
        <v>0</v>
      </c>
      <c r="T831" s="237">
        <f t="shared" si="133"/>
        <v>0</v>
      </c>
      <c r="X831" s="23" t="str">
        <f t="shared" si="126"/>
        <v>-</v>
      </c>
    </row>
    <row r="832" spans="1:24" ht="30" customHeight="1" x14ac:dyDescent="0.3">
      <c r="A832" s="262">
        <v>9</v>
      </c>
      <c r="C832" s="244">
        <v>427</v>
      </c>
      <c r="D832" s="213" t="s">
        <v>1042</v>
      </c>
      <c r="E832" s="969" t="s">
        <v>1043</v>
      </c>
      <c r="F832" s="970"/>
      <c r="G832" s="971"/>
      <c r="H832" s="544" t="s">
        <v>286</v>
      </c>
      <c r="I832" s="212">
        <v>3869750</v>
      </c>
      <c r="J832" s="605"/>
      <c r="K832" s="212">
        <v>1</v>
      </c>
      <c r="L832" s="212">
        <f>+ROUND(I832*K832,2)</f>
        <v>3869750</v>
      </c>
      <c r="M832" s="602"/>
      <c r="N832" s="675">
        <f>+'Yeşil Defter'!K850</f>
        <v>0</v>
      </c>
      <c r="O832" s="675">
        <f>+'Yeşil Defter'!L850</f>
        <v>0</v>
      </c>
      <c r="P832" s="675">
        <f>+'Yeşil Defter'!M850</f>
        <v>0</v>
      </c>
      <c r="Q832" s="212"/>
      <c r="R832" s="605">
        <f t="shared" si="131"/>
        <v>0</v>
      </c>
      <c r="S832" s="225">
        <f t="shared" si="132"/>
        <v>0</v>
      </c>
      <c r="T832" s="237">
        <f t="shared" si="133"/>
        <v>0</v>
      </c>
      <c r="X832" s="23" t="str">
        <f t="shared" si="126"/>
        <v>-</v>
      </c>
    </row>
    <row r="833" spans="1:24" ht="30" customHeight="1" x14ac:dyDescent="0.3">
      <c r="A833" s="262">
        <v>9</v>
      </c>
      <c r="C833" s="244">
        <v>428</v>
      </c>
      <c r="D833" s="213" t="s">
        <v>1044</v>
      </c>
      <c r="E833" s="969" t="s">
        <v>1045</v>
      </c>
      <c r="F833" s="970"/>
      <c r="G833" s="971"/>
      <c r="H833" s="544" t="s">
        <v>286</v>
      </c>
      <c r="I833" s="212">
        <v>69000000</v>
      </c>
      <c r="J833" s="605"/>
      <c r="K833" s="212">
        <v>1</v>
      </c>
      <c r="L833" s="212">
        <f>+ROUND(I833*K833,2)</f>
        <v>69000000</v>
      </c>
      <c r="M833" s="602"/>
      <c r="N833" s="675">
        <f>+'Yeşil Defter'!K851</f>
        <v>0</v>
      </c>
      <c r="O833" s="675">
        <f>+'Yeşil Defter'!L851</f>
        <v>0</v>
      </c>
      <c r="P833" s="675">
        <f>+'Yeşil Defter'!M851</f>
        <v>0</v>
      </c>
      <c r="Q833" s="212"/>
      <c r="R833" s="605">
        <f t="shared" si="131"/>
        <v>0</v>
      </c>
      <c r="S833" s="225">
        <f t="shared" si="132"/>
        <v>0</v>
      </c>
      <c r="T833" s="237">
        <f t="shared" si="133"/>
        <v>0</v>
      </c>
      <c r="X833" s="23" t="str">
        <f t="shared" si="126"/>
        <v>-</v>
      </c>
    </row>
    <row r="834" spans="1:24" ht="30" customHeight="1" x14ac:dyDescent="0.3">
      <c r="A834" s="262">
        <v>9</v>
      </c>
      <c r="C834" s="244"/>
      <c r="D834" s="213"/>
      <c r="E834" s="969"/>
      <c r="F834" s="970"/>
      <c r="G834" s="971"/>
      <c r="H834" s="161"/>
      <c r="I834" s="605"/>
      <c r="J834" s="605"/>
      <c r="K834" s="212"/>
      <c r="L834" s="341"/>
      <c r="M834" s="212"/>
      <c r="N834" s="605"/>
      <c r="O834" s="212"/>
      <c r="P834" s="341"/>
      <c r="Q834" s="212"/>
      <c r="R834" s="605"/>
      <c r="S834" s="225"/>
      <c r="T834" s="237"/>
      <c r="X834" s="23"/>
    </row>
    <row r="835" spans="1:24" ht="30" customHeight="1" x14ac:dyDescent="0.3">
      <c r="A835" s="262">
        <v>9</v>
      </c>
      <c r="C835" s="244"/>
      <c r="D835" s="213"/>
      <c r="E835" s="969"/>
      <c r="F835" s="970"/>
      <c r="G835" s="971"/>
      <c r="H835" s="161"/>
      <c r="I835" s="605"/>
      <c r="J835" s="605"/>
      <c r="K835" s="212"/>
      <c r="L835" s="341"/>
      <c r="M835" s="212"/>
      <c r="N835" s="605"/>
      <c r="O835" s="212"/>
      <c r="P835" s="341"/>
      <c r="Q835" s="212"/>
      <c r="R835" s="605"/>
      <c r="S835" s="225"/>
      <c r="T835" s="237"/>
      <c r="X835" s="23"/>
    </row>
    <row r="836" spans="1:24" ht="30" customHeight="1" x14ac:dyDescent="0.3">
      <c r="A836" s="262">
        <v>9</v>
      </c>
      <c r="C836" s="244"/>
      <c r="D836" s="213"/>
      <c r="E836" s="969"/>
      <c r="F836" s="970"/>
      <c r="G836" s="971"/>
      <c r="H836" s="161"/>
      <c r="I836" s="605"/>
      <c r="J836" s="605"/>
      <c r="K836" s="212"/>
      <c r="L836" s="341"/>
      <c r="M836" s="212"/>
      <c r="N836" s="605"/>
      <c r="O836" s="212"/>
      <c r="P836" s="341"/>
      <c r="Q836" s="212"/>
      <c r="R836" s="605"/>
      <c r="S836" s="225"/>
      <c r="T836" s="237"/>
      <c r="X836" s="23"/>
    </row>
    <row r="837" spans="1:24" ht="30" customHeight="1" x14ac:dyDescent="0.3">
      <c r="A837" s="262">
        <v>9</v>
      </c>
      <c r="C837" s="244"/>
      <c r="D837" s="213"/>
      <c r="E837" s="969"/>
      <c r="F837" s="970"/>
      <c r="G837" s="971"/>
      <c r="H837" s="161"/>
      <c r="I837" s="605"/>
      <c r="J837" s="605"/>
      <c r="K837" s="212"/>
      <c r="L837" s="341"/>
      <c r="M837" s="212"/>
      <c r="N837" s="605"/>
      <c r="O837" s="212"/>
      <c r="P837" s="341"/>
      <c r="Q837" s="212"/>
      <c r="R837" s="605"/>
      <c r="S837" s="225"/>
      <c r="T837" s="237"/>
      <c r="X837" s="23"/>
    </row>
    <row r="838" spans="1:24" ht="30" customHeight="1" x14ac:dyDescent="0.3">
      <c r="A838" s="262">
        <v>9</v>
      </c>
      <c r="C838" s="244"/>
      <c r="D838" s="213"/>
      <c r="E838" s="969"/>
      <c r="F838" s="970"/>
      <c r="G838" s="971"/>
      <c r="H838" s="161"/>
      <c r="I838" s="605"/>
      <c r="J838" s="605"/>
      <c r="K838" s="212"/>
      <c r="L838" s="341"/>
      <c r="M838" s="212"/>
      <c r="N838" s="605"/>
      <c r="O838" s="212"/>
      <c r="P838" s="341"/>
      <c r="Q838" s="212"/>
      <c r="R838" s="605"/>
      <c r="S838" s="225"/>
      <c r="T838" s="237"/>
      <c r="X838" s="23"/>
    </row>
    <row r="839" spans="1:24" ht="30" customHeight="1" x14ac:dyDescent="0.3">
      <c r="A839" s="262">
        <v>9</v>
      </c>
      <c r="C839" s="244"/>
      <c r="D839" s="213"/>
      <c r="E839" s="969"/>
      <c r="F839" s="970"/>
      <c r="G839" s="971"/>
      <c r="H839" s="161"/>
      <c r="I839" s="605"/>
      <c r="J839" s="605"/>
      <c r="K839" s="212"/>
      <c r="L839" s="341"/>
      <c r="M839" s="212"/>
      <c r="N839" s="605"/>
      <c r="O839" s="212"/>
      <c r="P839" s="341"/>
      <c r="Q839" s="212"/>
      <c r="R839" s="605"/>
      <c r="S839" s="225"/>
      <c r="T839" s="237"/>
      <c r="X839" s="23"/>
    </row>
    <row r="840" spans="1:24" ht="30" customHeight="1" x14ac:dyDescent="0.3">
      <c r="A840" s="262">
        <v>9</v>
      </c>
      <c r="C840" s="244"/>
      <c r="D840" s="213"/>
      <c r="E840" s="969"/>
      <c r="F840" s="970"/>
      <c r="G840" s="971"/>
      <c r="H840" s="161"/>
      <c r="I840" s="605"/>
      <c r="J840" s="605"/>
      <c r="K840" s="212"/>
      <c r="L840" s="341"/>
      <c r="M840" s="212"/>
      <c r="N840" s="605"/>
      <c r="O840" s="212"/>
      <c r="P840" s="341"/>
      <c r="Q840" s="212"/>
      <c r="R840" s="605"/>
      <c r="S840" s="225"/>
      <c r="T840" s="237"/>
      <c r="X840" s="23"/>
    </row>
    <row r="841" spans="1:24" ht="30" customHeight="1" x14ac:dyDescent="0.3">
      <c r="A841" s="262">
        <v>9</v>
      </c>
      <c r="C841" s="244"/>
      <c r="D841" s="213"/>
      <c r="E841" s="969"/>
      <c r="F841" s="970"/>
      <c r="G841" s="971"/>
      <c r="H841" s="161"/>
      <c r="I841" s="605"/>
      <c r="J841" s="605"/>
      <c r="K841" s="212"/>
      <c r="L841" s="341"/>
      <c r="M841" s="212"/>
      <c r="N841" s="605"/>
      <c r="O841" s="212"/>
      <c r="P841" s="341"/>
      <c r="Q841" s="212"/>
      <c r="R841" s="605"/>
      <c r="S841" s="225"/>
      <c r="T841" s="237"/>
      <c r="X841" s="23"/>
    </row>
    <row r="842" spans="1:24" ht="30" customHeight="1" x14ac:dyDescent="0.3">
      <c r="A842" s="262">
        <v>9</v>
      </c>
      <c r="C842" s="244"/>
      <c r="D842" s="213"/>
      <c r="E842" s="969"/>
      <c r="F842" s="970"/>
      <c r="G842" s="971"/>
      <c r="H842" s="161"/>
      <c r="I842" s="605"/>
      <c r="J842" s="605"/>
      <c r="K842" s="212"/>
      <c r="L842" s="341"/>
      <c r="M842" s="212"/>
      <c r="N842" s="605"/>
      <c r="O842" s="212"/>
      <c r="P842" s="341"/>
      <c r="Q842" s="212"/>
      <c r="R842" s="605"/>
      <c r="S842" s="225"/>
      <c r="T842" s="237"/>
      <c r="X842" s="23"/>
    </row>
    <row r="843" spans="1:24" ht="30" customHeight="1" x14ac:dyDescent="0.3">
      <c r="A843" s="262">
        <v>9</v>
      </c>
      <c r="C843" s="244"/>
      <c r="D843" s="213"/>
      <c r="E843" s="969"/>
      <c r="F843" s="970"/>
      <c r="G843" s="971"/>
      <c r="H843" s="161"/>
      <c r="I843" s="605"/>
      <c r="J843" s="605"/>
      <c r="K843" s="212"/>
      <c r="L843" s="341"/>
      <c r="M843" s="212"/>
      <c r="N843" s="605"/>
      <c r="O843" s="212"/>
      <c r="P843" s="341"/>
      <c r="Q843" s="212"/>
      <c r="R843" s="605"/>
      <c r="S843" s="225"/>
      <c r="T843" s="237"/>
      <c r="X843" s="23"/>
    </row>
    <row r="844" spans="1:24" ht="30" customHeight="1" x14ac:dyDescent="0.3">
      <c r="A844" s="262">
        <v>9</v>
      </c>
      <c r="C844" s="244"/>
      <c r="D844" s="213"/>
      <c r="E844" s="969"/>
      <c r="F844" s="970"/>
      <c r="G844" s="971"/>
      <c r="H844" s="161"/>
      <c r="I844" s="605"/>
      <c r="J844" s="605"/>
      <c r="K844" s="212"/>
      <c r="L844" s="341"/>
      <c r="M844" s="212"/>
      <c r="N844" s="605"/>
      <c r="O844" s="212"/>
      <c r="P844" s="341"/>
      <c r="Q844" s="212"/>
      <c r="R844" s="605"/>
      <c r="S844" s="225"/>
      <c r="T844" s="237"/>
      <c r="X844" s="23"/>
    </row>
    <row r="845" spans="1:24" ht="30" customHeight="1" x14ac:dyDescent="0.3">
      <c r="A845" s="262">
        <v>9</v>
      </c>
      <c r="C845" s="244"/>
      <c r="D845" s="213"/>
      <c r="E845" s="969"/>
      <c r="F845" s="970"/>
      <c r="G845" s="971"/>
      <c r="H845" s="161"/>
      <c r="I845" s="605"/>
      <c r="J845" s="605"/>
      <c r="K845" s="212"/>
      <c r="L845" s="341"/>
      <c r="M845" s="212"/>
      <c r="N845" s="605"/>
      <c r="O845" s="212"/>
      <c r="P845" s="341"/>
      <c r="Q845" s="212"/>
      <c r="R845" s="605"/>
      <c r="S845" s="225"/>
      <c r="T845" s="237"/>
      <c r="X845" s="23"/>
    </row>
    <row r="846" spans="1:24" ht="30" customHeight="1" x14ac:dyDescent="0.3">
      <c r="A846" s="262">
        <v>9</v>
      </c>
      <c r="C846" s="244"/>
      <c r="D846" s="213"/>
      <c r="E846" s="969"/>
      <c r="F846" s="970"/>
      <c r="G846" s="971"/>
      <c r="H846" s="161"/>
      <c r="I846" s="605"/>
      <c r="J846" s="605"/>
      <c r="K846" s="212"/>
      <c r="L846" s="341"/>
      <c r="M846" s="212"/>
      <c r="N846" s="605"/>
      <c r="O846" s="212"/>
      <c r="P846" s="341"/>
      <c r="Q846" s="212"/>
      <c r="R846" s="605"/>
      <c r="S846" s="225"/>
      <c r="T846" s="237"/>
      <c r="X846" s="23"/>
    </row>
    <row r="847" spans="1:24" ht="30" customHeight="1" x14ac:dyDescent="0.3">
      <c r="A847" s="262">
        <v>9</v>
      </c>
      <c r="C847" s="244"/>
      <c r="D847" s="213"/>
      <c r="E847" s="969"/>
      <c r="F847" s="970"/>
      <c r="G847" s="971"/>
      <c r="H847" s="161"/>
      <c r="I847" s="605"/>
      <c r="J847" s="605"/>
      <c r="K847" s="212"/>
      <c r="L847" s="341"/>
      <c r="M847" s="212"/>
      <c r="N847" s="605"/>
      <c r="O847" s="212"/>
      <c r="P847" s="341"/>
      <c r="Q847" s="212"/>
      <c r="R847" s="605"/>
      <c r="S847" s="225"/>
      <c r="T847" s="237"/>
      <c r="X847" s="23"/>
    </row>
    <row r="848" spans="1:24" ht="30" customHeight="1" x14ac:dyDescent="0.3">
      <c r="A848" s="262">
        <v>9</v>
      </c>
      <c r="C848" s="244"/>
      <c r="D848" s="213"/>
      <c r="E848" s="969"/>
      <c r="F848" s="970"/>
      <c r="G848" s="971"/>
      <c r="H848" s="161"/>
      <c r="I848" s="605"/>
      <c r="J848" s="605"/>
      <c r="K848" s="212"/>
      <c r="L848" s="341"/>
      <c r="M848" s="212"/>
      <c r="N848" s="605"/>
      <c r="O848" s="212"/>
      <c r="P848" s="341"/>
      <c r="Q848" s="212"/>
      <c r="R848" s="605"/>
      <c r="S848" s="225"/>
      <c r="T848" s="237"/>
      <c r="X848" s="23"/>
    </row>
    <row r="849" spans="1:24" ht="30" customHeight="1" x14ac:dyDescent="0.3">
      <c r="A849" s="262">
        <v>9</v>
      </c>
      <c r="C849" s="244"/>
      <c r="D849" s="213"/>
      <c r="E849" s="969"/>
      <c r="F849" s="970"/>
      <c r="G849" s="971"/>
      <c r="H849" s="161"/>
      <c r="I849" s="605"/>
      <c r="J849" s="605"/>
      <c r="K849" s="212"/>
      <c r="L849" s="341"/>
      <c r="M849" s="212"/>
      <c r="N849" s="605"/>
      <c r="O849" s="212"/>
      <c r="P849" s="341"/>
      <c r="Q849" s="212"/>
      <c r="R849" s="605"/>
      <c r="S849" s="225"/>
      <c r="T849" s="237"/>
      <c r="X849" s="23"/>
    </row>
    <row r="850" spans="1:24" ht="30" customHeight="1" x14ac:dyDescent="0.3">
      <c r="A850" s="262">
        <v>9</v>
      </c>
      <c r="C850" s="244"/>
      <c r="D850" s="213"/>
      <c r="E850" s="969"/>
      <c r="F850" s="970"/>
      <c r="G850" s="971"/>
      <c r="H850" s="161"/>
      <c r="I850" s="605"/>
      <c r="J850" s="605"/>
      <c r="K850" s="212"/>
      <c r="L850" s="341"/>
      <c r="M850" s="212"/>
      <c r="N850" s="605"/>
      <c r="O850" s="212"/>
      <c r="P850" s="341"/>
      <c r="Q850" s="212"/>
      <c r="R850" s="605"/>
      <c r="S850" s="225"/>
      <c r="T850" s="237"/>
      <c r="X850" s="23"/>
    </row>
    <row r="851" spans="1:24" ht="30" customHeight="1" x14ac:dyDescent="0.3">
      <c r="A851" s="262">
        <v>9</v>
      </c>
      <c r="C851" s="244"/>
      <c r="D851" s="213"/>
      <c r="E851" s="969"/>
      <c r="F851" s="970"/>
      <c r="G851" s="971"/>
      <c r="H851" s="658"/>
      <c r="I851" s="605"/>
      <c r="J851" s="605"/>
      <c r="K851" s="212"/>
      <c r="L851" s="341"/>
      <c r="M851" s="302"/>
      <c r="N851" s="605"/>
      <c r="O851" s="212"/>
      <c r="P851" s="341"/>
      <c r="Q851" s="302"/>
      <c r="R851" s="605"/>
      <c r="S851" s="225"/>
      <c r="T851" s="237"/>
      <c r="X851" s="23"/>
    </row>
    <row r="852" spans="1:24" ht="40.049999999999997" customHeight="1" x14ac:dyDescent="0.3">
      <c r="A852" s="262" t="s">
        <v>1242</v>
      </c>
      <c r="C852" s="258"/>
      <c r="D852" s="258"/>
      <c r="E852" s="972" t="s">
        <v>33</v>
      </c>
      <c r="F852" s="972"/>
      <c r="G852" s="972"/>
      <c r="H852" s="973" t="s">
        <v>29</v>
      </c>
      <c r="I852" s="973"/>
      <c r="J852" s="973"/>
      <c r="K852" s="973"/>
      <c r="L852" s="973"/>
      <c r="M852" s="549"/>
      <c r="N852" s="973" t="s">
        <v>22</v>
      </c>
      <c r="O852" s="973"/>
      <c r="P852" s="973"/>
      <c r="Q852" s="973"/>
      <c r="R852" s="973"/>
      <c r="S852" s="973"/>
      <c r="T852" s="973"/>
      <c r="X852" s="23"/>
    </row>
    <row r="853" spans="1:24" ht="19.95" customHeight="1" x14ac:dyDescent="0.3">
      <c r="A853" s="262" t="s">
        <v>1242</v>
      </c>
      <c r="D853" s="28"/>
      <c r="E853" s="974" t="s">
        <v>1214</v>
      </c>
      <c r="F853" s="974"/>
      <c r="G853" s="974"/>
      <c r="H853" s="975" t="s">
        <v>38</v>
      </c>
      <c r="I853" s="975"/>
      <c r="J853" s="975"/>
      <c r="K853" s="975"/>
      <c r="L853" s="975"/>
      <c r="M853" s="562"/>
      <c r="N853" s="975" t="s">
        <v>1437</v>
      </c>
      <c r="O853" s="975"/>
      <c r="P853" s="975"/>
      <c r="Q853" s="975"/>
      <c r="R853" s="975"/>
      <c r="S853" s="975"/>
      <c r="T853" s="975"/>
      <c r="X853" s="23"/>
    </row>
    <row r="854" spans="1:24" ht="19.95" customHeight="1" x14ac:dyDescent="0.3">
      <c r="A854" s="262" t="s">
        <v>1242</v>
      </c>
      <c r="C854" s="228"/>
      <c r="D854" s="228"/>
      <c r="E854" s="561"/>
      <c r="F854" s="561"/>
      <c r="G854" s="561"/>
      <c r="H854" s="228"/>
      <c r="I854" s="260"/>
      <c r="J854" s="260"/>
      <c r="K854" s="260"/>
      <c r="L854" s="260"/>
      <c r="M854" s="260"/>
      <c r="N854" s="975"/>
      <c r="O854" s="975"/>
      <c r="P854" s="975"/>
      <c r="Q854" s="975"/>
      <c r="R854" s="975"/>
      <c r="S854" s="975"/>
      <c r="T854" s="975"/>
      <c r="X854" s="23"/>
    </row>
    <row r="855" spans="1:24" ht="19.95" customHeight="1" x14ac:dyDescent="0.3">
      <c r="A855" s="262" t="s">
        <v>1242</v>
      </c>
      <c r="C855" s="228"/>
      <c r="D855" s="228"/>
      <c r="E855" s="561"/>
      <c r="F855" s="561"/>
      <c r="G855" s="561"/>
      <c r="H855" s="228"/>
      <c r="I855" s="260"/>
      <c r="J855" s="260"/>
      <c r="K855" s="260"/>
      <c r="L855" s="260"/>
      <c r="M855" s="260"/>
      <c r="N855" s="975"/>
      <c r="O855" s="975"/>
      <c r="P855" s="975"/>
      <c r="Q855" s="975"/>
      <c r="R855" s="975"/>
      <c r="S855" s="975"/>
      <c r="T855" s="975"/>
      <c r="X855" s="23"/>
    </row>
    <row r="856" spans="1:24" ht="19.95" customHeight="1" x14ac:dyDescent="0.3">
      <c r="A856" s="262" t="s">
        <v>1242</v>
      </c>
      <c r="C856" s="228"/>
      <c r="D856" s="228"/>
      <c r="E856" s="561"/>
      <c r="F856" s="561"/>
      <c r="G856" s="561"/>
      <c r="H856" s="261"/>
      <c r="I856" s="261"/>
      <c r="J856" s="261"/>
      <c r="K856" s="261"/>
      <c r="L856" s="261"/>
      <c r="M856" s="261"/>
      <c r="N856" s="995"/>
      <c r="O856" s="995"/>
      <c r="P856" s="995"/>
      <c r="Q856" s="550"/>
      <c r="R856" s="995"/>
      <c r="S856" s="995"/>
      <c r="T856" s="995"/>
      <c r="X856" s="23"/>
    </row>
    <row r="857" spans="1:24" ht="19.95" customHeight="1" x14ac:dyDescent="0.3">
      <c r="A857" s="262" t="s">
        <v>1242</v>
      </c>
      <c r="C857" s="228"/>
      <c r="D857" s="228"/>
      <c r="E857" s="561"/>
      <c r="F857" s="561"/>
      <c r="G857" s="561"/>
      <c r="H857" s="261"/>
      <c r="I857" s="261"/>
      <c r="J857" s="261"/>
      <c r="K857" s="261"/>
      <c r="L857" s="261"/>
      <c r="M857" s="261"/>
      <c r="N857" s="995"/>
      <c r="O857" s="995"/>
      <c r="P857" s="995"/>
      <c r="Q857" s="550"/>
      <c r="R857" s="995"/>
      <c r="S857" s="995"/>
      <c r="T857" s="995"/>
      <c r="X857" s="23"/>
    </row>
    <row r="858" spans="1:24" ht="19.95" customHeight="1" x14ac:dyDescent="0.3">
      <c r="A858" s="262" t="s">
        <v>1242</v>
      </c>
      <c r="C858" s="228"/>
      <c r="D858" s="228"/>
      <c r="E858" s="561"/>
      <c r="F858" s="561"/>
      <c r="G858" s="561"/>
      <c r="H858" s="975" t="s">
        <v>32</v>
      </c>
      <c r="I858" s="975"/>
      <c r="J858" s="562"/>
      <c r="K858" s="975" t="s">
        <v>1407</v>
      </c>
      <c r="L858" s="975"/>
      <c r="M858" s="562"/>
      <c r="N858" s="494"/>
      <c r="O858" s="494"/>
      <c r="P858" s="494"/>
      <c r="Q858" s="494"/>
      <c r="R858" s="494"/>
      <c r="S858" s="494"/>
      <c r="T858" s="494"/>
      <c r="X858" s="23"/>
    </row>
    <row r="859" spans="1:24" ht="19.95" customHeight="1" x14ac:dyDescent="0.3">
      <c r="A859" s="262" t="s">
        <v>1242</v>
      </c>
      <c r="C859" s="228"/>
      <c r="D859" s="228"/>
      <c r="E859" s="561"/>
      <c r="F859" s="561"/>
      <c r="G859" s="561"/>
      <c r="H859" s="976" t="s">
        <v>94</v>
      </c>
      <c r="I859" s="976"/>
      <c r="J859" s="623"/>
      <c r="K859" s="976" t="s">
        <v>94</v>
      </c>
      <c r="L859" s="976"/>
      <c r="M859" s="623"/>
      <c r="N859" s="494"/>
      <c r="O859" s="494"/>
      <c r="P859" s="494"/>
      <c r="Q859" s="494"/>
      <c r="R859" s="494"/>
      <c r="S859" s="494"/>
      <c r="T859" s="494"/>
      <c r="X859" s="23"/>
    </row>
    <row r="860" spans="1:24" ht="19.95" customHeight="1" x14ac:dyDescent="0.3">
      <c r="A860" s="262" t="s">
        <v>1242</v>
      </c>
      <c r="C860" s="228"/>
      <c r="D860" s="228"/>
      <c r="E860" s="561"/>
      <c r="F860" s="561"/>
      <c r="G860" s="561"/>
      <c r="H860" s="976"/>
      <c r="I860" s="976"/>
      <c r="J860" s="623"/>
      <c r="K860" s="976"/>
      <c r="L860" s="976"/>
      <c r="M860" s="623"/>
      <c r="N860" s="995"/>
      <c r="O860" s="995"/>
      <c r="P860" s="995"/>
      <c r="Q860" s="550"/>
      <c r="R860" s="995"/>
      <c r="S860" s="995"/>
      <c r="T860" s="995"/>
      <c r="X860" s="23"/>
    </row>
    <row r="861" spans="1:24" ht="19.95" customHeight="1" x14ac:dyDescent="0.3">
      <c r="A861" s="262" t="s">
        <v>1242</v>
      </c>
      <c r="C861" s="228"/>
      <c r="D861" s="228"/>
      <c r="E861" s="561"/>
      <c r="F861" s="561"/>
      <c r="G861" s="561"/>
      <c r="H861" s="261"/>
      <c r="I861" s="261"/>
      <c r="J861" s="261"/>
      <c r="K861" s="261"/>
      <c r="L861" s="261"/>
      <c r="M861" s="261"/>
      <c r="N861" s="995"/>
      <c r="O861" s="995"/>
      <c r="P861" s="995"/>
      <c r="Q861" s="550"/>
      <c r="R861" s="995"/>
      <c r="S861" s="995"/>
      <c r="T861" s="995"/>
      <c r="X861" s="23"/>
    </row>
    <row r="862" spans="1:24" ht="19.95" customHeight="1" x14ac:dyDescent="0.3">
      <c r="A862" s="262" t="s">
        <v>1242</v>
      </c>
      <c r="C862" s="228"/>
      <c r="D862" s="228"/>
      <c r="E862" s="561"/>
      <c r="F862" s="561"/>
      <c r="G862" s="561"/>
      <c r="H862" s="228"/>
      <c r="I862" s="260"/>
      <c r="J862" s="260"/>
      <c r="K862" s="260"/>
      <c r="L862" s="260"/>
      <c r="M862" s="260"/>
      <c r="N862" s="260"/>
      <c r="O862" s="260"/>
      <c r="P862" s="260"/>
      <c r="Q862" s="260"/>
      <c r="R862" s="260"/>
      <c r="S862" s="624"/>
      <c r="T862" s="260"/>
      <c r="X862" s="23"/>
    </row>
    <row r="863" spans="1:24" ht="19.95" customHeight="1" x14ac:dyDescent="0.3">
      <c r="A863" s="262" t="s">
        <v>1242</v>
      </c>
      <c r="C863" s="228"/>
      <c r="D863" s="228"/>
      <c r="E863" s="561"/>
      <c r="F863" s="561"/>
      <c r="G863" s="561"/>
      <c r="H863" s="228"/>
      <c r="I863" s="260"/>
      <c r="J863" s="260"/>
      <c r="K863" s="260"/>
      <c r="L863" s="260"/>
      <c r="M863" s="260"/>
      <c r="N863" s="260"/>
      <c r="O863" s="260"/>
      <c r="P863" s="260"/>
      <c r="Q863" s="260"/>
      <c r="R863" s="260"/>
      <c r="S863" s="624"/>
      <c r="T863" s="260"/>
      <c r="X863" s="23"/>
    </row>
    <row r="864" spans="1:24" ht="19.95" customHeight="1" x14ac:dyDescent="0.3">
      <c r="A864" s="262" t="s">
        <v>1242</v>
      </c>
      <c r="C864" s="228"/>
      <c r="D864" s="228"/>
      <c r="E864" s="975" t="s">
        <v>1215</v>
      </c>
      <c r="F864" s="975"/>
      <c r="G864" s="975"/>
      <c r="H864" s="975" t="s">
        <v>1348</v>
      </c>
      <c r="I864" s="975"/>
      <c r="J864" s="975"/>
      <c r="K864" s="975"/>
      <c r="L864" s="975"/>
      <c r="M864" s="562"/>
      <c r="N864" s="977" t="s">
        <v>1219</v>
      </c>
      <c r="O864" s="977"/>
      <c r="P864" s="977"/>
      <c r="Q864" s="977"/>
      <c r="R864" s="977"/>
      <c r="S864" s="977"/>
      <c r="T864" s="977"/>
      <c r="X864" s="23"/>
    </row>
    <row r="865" spans="1:24" ht="19.95" customHeight="1" x14ac:dyDescent="0.3">
      <c r="A865" s="262" t="s">
        <v>1290</v>
      </c>
      <c r="C865" s="228"/>
      <c r="D865" s="228"/>
      <c r="E865" s="975"/>
      <c r="F865" s="975"/>
      <c r="G865" s="975"/>
      <c r="H865" s="975"/>
      <c r="I865" s="975"/>
      <c r="J865" s="975"/>
      <c r="K865" s="975"/>
      <c r="L865" s="975"/>
      <c r="M865" s="562"/>
      <c r="N865" s="977"/>
      <c r="O865" s="977"/>
      <c r="P865" s="977"/>
      <c r="Q865" s="977"/>
      <c r="R865" s="977"/>
      <c r="S865" s="977"/>
      <c r="T865" s="977"/>
      <c r="X865" s="23"/>
    </row>
    <row r="866" spans="1:24" ht="30" customHeight="1" x14ac:dyDescent="0.3">
      <c r="A866" s="262" t="s">
        <v>1240</v>
      </c>
      <c r="C866" s="625"/>
      <c r="D866" s="626" t="s">
        <v>1237</v>
      </c>
      <c r="E866" s="627"/>
      <c r="F866" s="627"/>
      <c r="G866" s="627"/>
      <c r="H866" s="627"/>
      <c r="I866" s="628"/>
      <c r="J866" s="628"/>
      <c r="K866" s="628"/>
      <c r="L866" s="644">
        <f>+SUMIFS(L:L,A:A,"10")</f>
        <v>785843796.85000002</v>
      </c>
      <c r="M866" s="629"/>
      <c r="N866" s="648"/>
      <c r="O866" s="628"/>
      <c r="P866" s="628"/>
      <c r="Q866" s="611"/>
      <c r="R866" s="651">
        <f>+SUMIFS(R:R,A:A,"10")</f>
        <v>0</v>
      </c>
      <c r="S866" s="630">
        <f>+SUMIFS(S:S,A:A,"10")</f>
        <v>0</v>
      </c>
      <c r="T866" s="631">
        <f>+SUMIFS(T:T,A:A,"10")</f>
        <v>0</v>
      </c>
      <c r="X866" s="23" t="str">
        <f t="shared" ref="X866:X912" si="134">IF(AND(P867&gt;K867*1.2, (P867-K867)*I867 &gt; $L$13*0.01), "RBF", "-")</f>
        <v>-</v>
      </c>
    </row>
    <row r="867" spans="1:24" ht="30" customHeight="1" x14ac:dyDescent="0.3">
      <c r="A867" s="262">
        <v>10</v>
      </c>
      <c r="C867" s="244">
        <v>429</v>
      </c>
      <c r="D867" s="213" t="s">
        <v>1046</v>
      </c>
      <c r="E867" s="969" t="s">
        <v>1047</v>
      </c>
      <c r="F867" s="970"/>
      <c r="G867" s="971"/>
      <c r="H867" s="544" t="s">
        <v>286</v>
      </c>
      <c r="I867" s="212">
        <v>3920576</v>
      </c>
      <c r="J867" s="605"/>
      <c r="K867" s="212">
        <v>1</v>
      </c>
      <c r="L867" s="212">
        <f t="shared" ref="L867" si="135">+ROUND(I867*K867,2)</f>
        <v>3920576</v>
      </c>
      <c r="M867" s="602"/>
      <c r="N867" s="675">
        <f>+'Yeşil Defter'!K900</f>
        <v>0</v>
      </c>
      <c r="O867" s="675">
        <f>+'Yeşil Defter'!L900</f>
        <v>0</v>
      </c>
      <c r="P867" s="675">
        <f>+'Yeşil Defter'!M900</f>
        <v>0</v>
      </c>
      <c r="Q867" s="212"/>
      <c r="R867" s="605">
        <f>+ROUND(L867*N867,2)</f>
        <v>0</v>
      </c>
      <c r="S867" s="605">
        <f>+ROUND(L867*O867,2)</f>
        <v>0</v>
      </c>
      <c r="T867" s="605">
        <f>+ROUND(L867*P867,2)</f>
        <v>0</v>
      </c>
      <c r="X867" s="23" t="str">
        <f t="shared" si="134"/>
        <v>-</v>
      </c>
    </row>
    <row r="868" spans="1:24" ht="30" customHeight="1" x14ac:dyDescent="0.3">
      <c r="A868" s="262">
        <v>10</v>
      </c>
      <c r="C868" s="244"/>
      <c r="D868" s="161"/>
      <c r="E868" s="969"/>
      <c r="F868" s="970"/>
      <c r="G868" s="971"/>
      <c r="H868" s="544"/>
      <c r="I868" s="212"/>
      <c r="J868" s="605"/>
      <c r="K868" s="212"/>
      <c r="L868" s="212"/>
      <c r="M868" s="602"/>
      <c r="N868" s="675"/>
      <c r="O868" s="675"/>
      <c r="P868" s="675"/>
      <c r="Q868" s="212"/>
      <c r="R868" s="605"/>
      <c r="S868" s="225"/>
      <c r="T868" s="237"/>
      <c r="X868" s="23"/>
    </row>
    <row r="869" spans="1:24" ht="30" customHeight="1" x14ac:dyDescent="0.3">
      <c r="A869" s="262">
        <v>10</v>
      </c>
      <c r="C869" s="244"/>
      <c r="D869" s="161"/>
      <c r="E869" s="969"/>
      <c r="F869" s="970"/>
      <c r="G869" s="971"/>
      <c r="H869" s="544"/>
      <c r="I869" s="212"/>
      <c r="J869" s="605"/>
      <c r="K869" s="212"/>
      <c r="L869" s="212"/>
      <c r="M869" s="602"/>
      <c r="N869" s="675"/>
      <c r="O869" s="675"/>
      <c r="P869" s="675"/>
      <c r="Q869" s="212"/>
      <c r="R869" s="605"/>
      <c r="S869" s="225"/>
      <c r="T869" s="237"/>
      <c r="X869" s="23"/>
    </row>
    <row r="870" spans="1:24" ht="30" customHeight="1" x14ac:dyDescent="0.3">
      <c r="A870" s="262">
        <v>10</v>
      </c>
      <c r="C870" s="244"/>
      <c r="D870" s="161"/>
      <c r="E870" s="969"/>
      <c r="F870" s="970"/>
      <c r="G870" s="971"/>
      <c r="H870" s="544"/>
      <c r="I870" s="212"/>
      <c r="J870" s="605"/>
      <c r="K870" s="212"/>
      <c r="L870" s="212"/>
      <c r="M870" s="602"/>
      <c r="N870" s="675"/>
      <c r="O870" s="675"/>
      <c r="P870" s="675"/>
      <c r="Q870" s="212"/>
      <c r="R870" s="605"/>
      <c r="S870" s="225"/>
      <c r="T870" s="237"/>
      <c r="X870" s="23"/>
    </row>
    <row r="871" spans="1:24" ht="30" customHeight="1" x14ac:dyDescent="0.3">
      <c r="A871" s="262">
        <v>10</v>
      </c>
      <c r="C871" s="244"/>
      <c r="D871" s="161"/>
      <c r="E871" s="969"/>
      <c r="F871" s="970"/>
      <c r="G871" s="971"/>
      <c r="H871" s="544"/>
      <c r="I871" s="212"/>
      <c r="J871" s="605"/>
      <c r="K871" s="212"/>
      <c r="L871" s="212"/>
      <c r="M871" s="602"/>
      <c r="N871" s="675"/>
      <c r="O871" s="675"/>
      <c r="P871" s="675"/>
      <c r="Q871" s="212"/>
      <c r="R871" s="605"/>
      <c r="S871" s="225"/>
      <c r="T871" s="237"/>
      <c r="X871" s="23"/>
    </row>
    <row r="872" spans="1:24" ht="30" customHeight="1" x14ac:dyDescent="0.3">
      <c r="A872" s="262">
        <v>10</v>
      </c>
      <c r="C872" s="244"/>
      <c r="D872" s="161"/>
      <c r="E872" s="969"/>
      <c r="F872" s="970"/>
      <c r="G872" s="971"/>
      <c r="H872" s="544"/>
      <c r="I872" s="212"/>
      <c r="J872" s="605"/>
      <c r="K872" s="212"/>
      <c r="L872" s="212"/>
      <c r="M872" s="602"/>
      <c r="N872" s="675"/>
      <c r="O872" s="675"/>
      <c r="P872" s="675"/>
      <c r="Q872" s="212"/>
      <c r="R872" s="605"/>
      <c r="S872" s="225"/>
      <c r="T872" s="237"/>
      <c r="X872" s="23"/>
    </row>
    <row r="873" spans="1:24" ht="30" customHeight="1" x14ac:dyDescent="0.3">
      <c r="A873" s="262">
        <v>10</v>
      </c>
      <c r="C873" s="244"/>
      <c r="D873" s="161"/>
      <c r="E873" s="969"/>
      <c r="F873" s="970"/>
      <c r="G873" s="971"/>
      <c r="H873" s="544"/>
      <c r="I873" s="212"/>
      <c r="J873" s="605"/>
      <c r="K873" s="212"/>
      <c r="L873" s="212"/>
      <c r="M873" s="602"/>
      <c r="N873" s="675"/>
      <c r="O873" s="675"/>
      <c r="P873" s="675"/>
      <c r="Q873" s="212"/>
      <c r="R873" s="605"/>
      <c r="S873" s="225"/>
      <c r="T873" s="237"/>
      <c r="X873" s="23"/>
    </row>
    <row r="874" spans="1:24" ht="30" customHeight="1" x14ac:dyDescent="0.3">
      <c r="A874" s="262">
        <v>10</v>
      </c>
      <c r="C874" s="244"/>
      <c r="D874" s="161"/>
      <c r="E874" s="969"/>
      <c r="F874" s="970"/>
      <c r="G874" s="971"/>
      <c r="H874" s="544"/>
      <c r="I874" s="212"/>
      <c r="J874" s="605"/>
      <c r="K874" s="212"/>
      <c r="L874" s="212"/>
      <c r="M874" s="602"/>
      <c r="N874" s="675"/>
      <c r="O874" s="675"/>
      <c r="P874" s="675"/>
      <c r="Q874" s="212"/>
      <c r="R874" s="605"/>
      <c r="S874" s="225"/>
      <c r="T874" s="237"/>
      <c r="X874" s="23"/>
    </row>
    <row r="875" spans="1:24" ht="30" customHeight="1" x14ac:dyDescent="0.3">
      <c r="A875" s="262">
        <v>10</v>
      </c>
      <c r="C875" s="244"/>
      <c r="D875" s="161"/>
      <c r="E875" s="969"/>
      <c r="F875" s="970"/>
      <c r="G875" s="971"/>
      <c r="H875" s="544"/>
      <c r="I875" s="212"/>
      <c r="J875" s="605"/>
      <c r="K875" s="212"/>
      <c r="L875" s="212"/>
      <c r="M875" s="602"/>
      <c r="N875" s="675"/>
      <c r="O875" s="675"/>
      <c r="P875" s="675"/>
      <c r="Q875" s="212"/>
      <c r="R875" s="605"/>
      <c r="S875" s="225"/>
      <c r="T875" s="237"/>
      <c r="X875" s="23"/>
    </row>
    <row r="876" spans="1:24" ht="30" customHeight="1" x14ac:dyDescent="0.3">
      <c r="A876" s="262">
        <v>10</v>
      </c>
      <c r="C876" s="244"/>
      <c r="D876" s="161"/>
      <c r="E876" s="969"/>
      <c r="F876" s="970"/>
      <c r="G876" s="971"/>
      <c r="H876" s="544"/>
      <c r="I876" s="212"/>
      <c r="J876" s="605"/>
      <c r="K876" s="212"/>
      <c r="L876" s="212"/>
      <c r="M876" s="602"/>
      <c r="N876" s="675"/>
      <c r="O876" s="675"/>
      <c r="P876" s="675"/>
      <c r="Q876" s="212"/>
      <c r="R876" s="605"/>
      <c r="S876" s="225"/>
      <c r="T876" s="237"/>
      <c r="X876" s="23"/>
    </row>
    <row r="877" spans="1:24" ht="30" customHeight="1" x14ac:dyDescent="0.3">
      <c r="A877" s="262">
        <v>10</v>
      </c>
      <c r="C877" s="244"/>
      <c r="D877" s="161"/>
      <c r="E877" s="969"/>
      <c r="F877" s="970"/>
      <c r="G877" s="971"/>
      <c r="H877" s="544"/>
      <c r="I877" s="212"/>
      <c r="J877" s="605"/>
      <c r="K877" s="212"/>
      <c r="L877" s="212"/>
      <c r="M877" s="602"/>
      <c r="N877" s="675"/>
      <c r="O877" s="675"/>
      <c r="P877" s="675"/>
      <c r="Q877" s="212"/>
      <c r="R877" s="605"/>
      <c r="S877" s="225"/>
      <c r="T877" s="237"/>
      <c r="X877" s="23"/>
    </row>
    <row r="878" spans="1:24" ht="30" customHeight="1" x14ac:dyDescent="0.3">
      <c r="A878" s="262">
        <v>10</v>
      </c>
      <c r="C878" s="244"/>
      <c r="D878" s="161"/>
      <c r="E878" s="969"/>
      <c r="F878" s="970"/>
      <c r="G878" s="971"/>
      <c r="H878" s="544"/>
      <c r="I878" s="212"/>
      <c r="J878" s="605"/>
      <c r="K878" s="212"/>
      <c r="L878" s="212"/>
      <c r="M878" s="602"/>
      <c r="N878" s="675"/>
      <c r="O878" s="675"/>
      <c r="P878" s="675"/>
      <c r="Q878" s="212"/>
      <c r="R878" s="605"/>
      <c r="S878" s="225"/>
      <c r="T878" s="237"/>
      <c r="X878" s="23"/>
    </row>
    <row r="879" spans="1:24" ht="30" customHeight="1" x14ac:dyDescent="0.3">
      <c r="A879" s="262">
        <v>10</v>
      </c>
      <c r="C879" s="244"/>
      <c r="D879" s="161"/>
      <c r="E879" s="969"/>
      <c r="F879" s="970"/>
      <c r="G879" s="971"/>
      <c r="H879" s="544"/>
      <c r="I879" s="212"/>
      <c r="J879" s="605"/>
      <c r="K879" s="212"/>
      <c r="L879" s="212"/>
      <c r="M879" s="602"/>
      <c r="N879" s="675"/>
      <c r="O879" s="675"/>
      <c r="P879" s="675"/>
      <c r="Q879" s="212"/>
      <c r="R879" s="605"/>
      <c r="S879" s="225"/>
      <c r="T879" s="237"/>
      <c r="X879" s="23"/>
    </row>
    <row r="880" spans="1:24" ht="30" customHeight="1" x14ac:dyDescent="0.3">
      <c r="A880" s="262">
        <v>10</v>
      </c>
      <c r="C880" s="244"/>
      <c r="D880" s="161"/>
      <c r="E880" s="969"/>
      <c r="F880" s="970"/>
      <c r="G880" s="971"/>
      <c r="H880" s="544"/>
      <c r="I880" s="212"/>
      <c r="J880" s="605"/>
      <c r="K880" s="212"/>
      <c r="L880" s="212"/>
      <c r="M880" s="602"/>
      <c r="N880" s="675"/>
      <c r="O880" s="675"/>
      <c r="P880" s="675"/>
      <c r="Q880" s="212"/>
      <c r="R880" s="605"/>
      <c r="S880" s="225"/>
      <c r="T880" s="237"/>
      <c r="X880" s="23"/>
    </row>
    <row r="881" spans="1:24" ht="30" customHeight="1" x14ac:dyDescent="0.3">
      <c r="A881" s="262">
        <v>10</v>
      </c>
      <c r="C881" s="244"/>
      <c r="D881" s="161"/>
      <c r="E881" s="969"/>
      <c r="F881" s="970"/>
      <c r="G881" s="971"/>
      <c r="H881" s="544"/>
      <c r="I881" s="212"/>
      <c r="J881" s="605"/>
      <c r="K881" s="212"/>
      <c r="L881" s="212"/>
      <c r="M881" s="602"/>
      <c r="N881" s="675"/>
      <c r="O881" s="675"/>
      <c r="P881" s="675"/>
      <c r="Q881" s="212"/>
      <c r="R881" s="605"/>
      <c r="S881" s="225"/>
      <c r="T881" s="237"/>
      <c r="X881" s="23"/>
    </row>
    <row r="882" spans="1:24" ht="30" customHeight="1" x14ac:dyDescent="0.3">
      <c r="A882" s="262">
        <v>10</v>
      </c>
      <c r="C882" s="244"/>
      <c r="D882" s="161"/>
      <c r="E882" s="969"/>
      <c r="F882" s="970"/>
      <c r="G882" s="971"/>
      <c r="H882" s="544"/>
      <c r="I882" s="212"/>
      <c r="J882" s="605"/>
      <c r="K882" s="212"/>
      <c r="L882" s="212"/>
      <c r="M882" s="602"/>
      <c r="N882" s="675"/>
      <c r="O882" s="675"/>
      <c r="P882" s="675"/>
      <c r="Q882" s="212"/>
      <c r="R882" s="605"/>
      <c r="S882" s="225"/>
      <c r="T882" s="237"/>
      <c r="X882" s="23"/>
    </row>
    <row r="883" spans="1:24" ht="30" customHeight="1" x14ac:dyDescent="0.3">
      <c r="A883" s="262">
        <v>10</v>
      </c>
      <c r="C883" s="244"/>
      <c r="D883" s="161"/>
      <c r="E883" s="969"/>
      <c r="F883" s="970"/>
      <c r="G883" s="971"/>
      <c r="H883" s="544"/>
      <c r="I883" s="212"/>
      <c r="J883" s="605"/>
      <c r="K883" s="212"/>
      <c r="L883" s="212"/>
      <c r="M883" s="602"/>
      <c r="N883" s="675"/>
      <c r="O883" s="675"/>
      <c r="P883" s="675"/>
      <c r="Q883" s="212"/>
      <c r="R883" s="605"/>
      <c r="S883" s="225"/>
      <c r="T883" s="237"/>
      <c r="X883" s="23"/>
    </row>
    <row r="884" spans="1:24" ht="30" customHeight="1" x14ac:dyDescent="0.3">
      <c r="A884" s="262">
        <v>10</v>
      </c>
      <c r="C884" s="244"/>
      <c r="D884" s="161"/>
      <c r="E884" s="969"/>
      <c r="F884" s="970"/>
      <c r="G884" s="971"/>
      <c r="H884" s="544"/>
      <c r="I884" s="212"/>
      <c r="J884" s="605"/>
      <c r="K884" s="212"/>
      <c r="L884" s="212"/>
      <c r="M884" s="602"/>
      <c r="N884" s="675"/>
      <c r="O884" s="675"/>
      <c r="P884" s="675"/>
      <c r="Q884" s="212"/>
      <c r="R884" s="605"/>
      <c r="S884" s="225"/>
      <c r="T884" s="237"/>
      <c r="X884" s="23"/>
    </row>
    <row r="885" spans="1:24" ht="30" customHeight="1" x14ac:dyDescent="0.3">
      <c r="A885" s="262">
        <v>10</v>
      </c>
      <c r="C885" s="244"/>
      <c r="D885" s="161"/>
      <c r="E885" s="969"/>
      <c r="F885" s="970"/>
      <c r="G885" s="971"/>
      <c r="H885" s="544"/>
      <c r="I885" s="212"/>
      <c r="J885" s="605"/>
      <c r="K885" s="212"/>
      <c r="L885" s="212"/>
      <c r="M885" s="602"/>
      <c r="N885" s="675"/>
      <c r="O885" s="675"/>
      <c r="P885" s="675"/>
      <c r="Q885" s="212"/>
      <c r="R885" s="605"/>
      <c r="S885" s="225"/>
      <c r="T885" s="237"/>
      <c r="X885" s="23"/>
    </row>
    <row r="886" spans="1:24" ht="30" customHeight="1" x14ac:dyDescent="0.3">
      <c r="A886" s="262">
        <v>10</v>
      </c>
      <c r="C886" s="244"/>
      <c r="D886" s="161"/>
      <c r="E886" s="969"/>
      <c r="F886" s="970"/>
      <c r="G886" s="971"/>
      <c r="H886" s="544"/>
      <c r="I886" s="212"/>
      <c r="J886" s="605"/>
      <c r="K886" s="212"/>
      <c r="L886" s="212"/>
      <c r="M886" s="602"/>
      <c r="N886" s="675"/>
      <c r="O886" s="675"/>
      <c r="P886" s="675"/>
      <c r="Q886" s="212"/>
      <c r="R886" s="605"/>
      <c r="S886" s="225"/>
      <c r="T886" s="237"/>
      <c r="X886" s="23"/>
    </row>
    <row r="887" spans="1:24" ht="30" customHeight="1" x14ac:dyDescent="0.3">
      <c r="A887" s="262">
        <v>10</v>
      </c>
      <c r="C887" s="244"/>
      <c r="D887" s="161"/>
      <c r="E887" s="969"/>
      <c r="F887" s="970"/>
      <c r="G887" s="971"/>
      <c r="H887" s="544"/>
      <c r="I887" s="212"/>
      <c r="J887" s="605"/>
      <c r="K887" s="212"/>
      <c r="L887" s="212"/>
      <c r="M887" s="602"/>
      <c r="N887" s="675"/>
      <c r="O887" s="675"/>
      <c r="P887" s="675"/>
      <c r="Q887" s="212"/>
      <c r="R887" s="605"/>
      <c r="S887" s="225"/>
      <c r="T887" s="237"/>
      <c r="X887" s="23"/>
    </row>
    <row r="888" spans="1:24" ht="30" customHeight="1" x14ac:dyDescent="0.3">
      <c r="A888" s="262">
        <v>10</v>
      </c>
      <c r="C888" s="244"/>
      <c r="D888" s="161"/>
      <c r="E888" s="969"/>
      <c r="F888" s="970"/>
      <c r="G888" s="971"/>
      <c r="H888" s="544"/>
      <c r="I888" s="212"/>
      <c r="J888" s="605"/>
      <c r="K888" s="212"/>
      <c r="L888" s="212"/>
      <c r="M888" s="602"/>
      <c r="N888" s="675"/>
      <c r="O888" s="675"/>
      <c r="P888" s="675"/>
      <c r="Q888" s="212"/>
      <c r="R888" s="605"/>
      <c r="S888" s="225"/>
      <c r="T888" s="237"/>
      <c r="X888" s="23"/>
    </row>
    <row r="889" spans="1:24" ht="40.049999999999997" customHeight="1" x14ac:dyDescent="0.3">
      <c r="A889" s="262" t="s">
        <v>1242</v>
      </c>
      <c r="C889" s="258"/>
      <c r="D889" s="258"/>
      <c r="E889" s="972" t="s">
        <v>33</v>
      </c>
      <c r="F889" s="972"/>
      <c r="G889" s="972"/>
      <c r="H889" s="973" t="s">
        <v>29</v>
      </c>
      <c r="I889" s="973"/>
      <c r="J889" s="973"/>
      <c r="K889" s="973"/>
      <c r="L889" s="973"/>
      <c r="M889" s="549"/>
      <c r="N889" s="973" t="s">
        <v>22</v>
      </c>
      <c r="O889" s="973"/>
      <c r="P889" s="973"/>
      <c r="Q889" s="973"/>
      <c r="R889" s="973"/>
      <c r="S889" s="973"/>
      <c r="T889" s="973"/>
      <c r="X889" s="23"/>
    </row>
    <row r="890" spans="1:24" ht="19.95" customHeight="1" x14ac:dyDescent="0.3">
      <c r="A890" s="262" t="s">
        <v>1242</v>
      </c>
      <c r="D890" s="28"/>
      <c r="E890" s="974" t="s">
        <v>1214</v>
      </c>
      <c r="F890" s="974"/>
      <c r="G890" s="974"/>
      <c r="H890" s="975" t="s">
        <v>38</v>
      </c>
      <c r="I890" s="975"/>
      <c r="J890" s="975"/>
      <c r="K890" s="975"/>
      <c r="L890" s="975"/>
      <c r="M890" s="562"/>
      <c r="N890" s="975" t="s">
        <v>1437</v>
      </c>
      <c r="O890" s="975"/>
      <c r="P890" s="975"/>
      <c r="Q890" s="975"/>
      <c r="R890" s="975"/>
      <c r="S890" s="975"/>
      <c r="T890" s="975"/>
      <c r="X890" s="23"/>
    </row>
    <row r="891" spans="1:24" ht="19.95" customHeight="1" x14ac:dyDescent="0.3">
      <c r="A891" s="262" t="s">
        <v>1242</v>
      </c>
      <c r="C891" s="228"/>
      <c r="D891" s="228"/>
      <c r="E891" s="561"/>
      <c r="F891" s="561"/>
      <c r="G891" s="561"/>
      <c r="H891" s="975" t="s">
        <v>32</v>
      </c>
      <c r="I891" s="975"/>
      <c r="J891" s="562"/>
      <c r="K891" s="975" t="s">
        <v>1407</v>
      </c>
      <c r="L891" s="975"/>
      <c r="M891" s="260"/>
      <c r="N891" s="975"/>
      <c r="O891" s="975"/>
      <c r="P891" s="975"/>
      <c r="Q891" s="975"/>
      <c r="R891" s="975"/>
      <c r="S891" s="975"/>
      <c r="T891" s="975"/>
      <c r="X891" s="23"/>
    </row>
    <row r="892" spans="1:24" ht="19.95" customHeight="1" x14ac:dyDescent="0.3">
      <c r="A892" s="262" t="s">
        <v>1242</v>
      </c>
      <c r="C892" s="228"/>
      <c r="D892" s="228"/>
      <c r="E892" s="561"/>
      <c r="F892" s="561"/>
      <c r="G892" s="561"/>
      <c r="H892" s="976" t="s">
        <v>94</v>
      </c>
      <c r="I892" s="976"/>
      <c r="J892" s="623"/>
      <c r="K892" s="976" t="s">
        <v>94</v>
      </c>
      <c r="L892" s="976"/>
      <c r="M892" s="260"/>
      <c r="N892" s="975"/>
      <c r="O892" s="975"/>
      <c r="P892" s="975"/>
      <c r="Q892" s="975"/>
      <c r="R892" s="975"/>
      <c r="S892" s="975"/>
      <c r="T892" s="975"/>
      <c r="X892" s="23"/>
    </row>
    <row r="893" spans="1:24" ht="19.95" customHeight="1" x14ac:dyDescent="0.3">
      <c r="A893" s="262" t="s">
        <v>1242</v>
      </c>
      <c r="C893" s="228"/>
      <c r="D893" s="228"/>
      <c r="E893" s="561"/>
      <c r="F893" s="561"/>
      <c r="G893" s="561"/>
      <c r="H893" s="976"/>
      <c r="I893" s="976"/>
      <c r="J893" s="623"/>
      <c r="K893" s="976"/>
      <c r="L893" s="976"/>
      <c r="M893" s="261"/>
      <c r="N893" s="260"/>
      <c r="O893" s="260"/>
      <c r="P893" s="260"/>
      <c r="Q893" s="260"/>
      <c r="R893" s="260"/>
      <c r="S893" s="260"/>
      <c r="T893" s="260"/>
      <c r="X893" s="23"/>
    </row>
    <row r="894" spans="1:24" ht="19.95" customHeight="1" x14ac:dyDescent="0.3">
      <c r="A894" s="262" t="s">
        <v>1242</v>
      </c>
      <c r="C894" s="228"/>
      <c r="D894" s="228"/>
      <c r="E894" s="561"/>
      <c r="F894" s="561"/>
      <c r="G894" s="561"/>
      <c r="H894" s="975"/>
      <c r="I894" s="975"/>
      <c r="J894" s="562"/>
      <c r="K894" s="975"/>
      <c r="L894" s="975"/>
      <c r="M894" s="562"/>
      <c r="N894" s="968" t="s">
        <v>28</v>
      </c>
      <c r="O894" s="968"/>
      <c r="P894" s="968" t="s">
        <v>58</v>
      </c>
      <c r="Q894" s="968"/>
      <c r="R894" s="968"/>
      <c r="S894" s="968" t="s">
        <v>57</v>
      </c>
      <c r="T894" s="968"/>
      <c r="X894" s="23"/>
    </row>
    <row r="895" spans="1:24" ht="19.95" customHeight="1" x14ac:dyDescent="0.3">
      <c r="A895" s="262" t="s">
        <v>1242</v>
      </c>
      <c r="C895" s="228"/>
      <c r="D895" s="228"/>
      <c r="E895" s="561"/>
      <c r="F895" s="561"/>
      <c r="G895" s="561"/>
      <c r="H895" s="976" t="s">
        <v>1220</v>
      </c>
      <c r="I895" s="976"/>
      <c r="J895" s="976"/>
      <c r="K895" s="976"/>
      <c r="L895" s="976"/>
      <c r="M895" s="623"/>
      <c r="N895" s="968" t="s">
        <v>1486</v>
      </c>
      <c r="O895" s="968"/>
      <c r="P895" s="968" t="s">
        <v>1472</v>
      </c>
      <c r="Q895" s="968"/>
      <c r="R895" s="968"/>
      <c r="S895" s="968" t="s">
        <v>1472</v>
      </c>
      <c r="T895" s="968"/>
      <c r="X895" s="23"/>
    </row>
    <row r="896" spans="1:24" ht="19.95" customHeight="1" x14ac:dyDescent="0.3">
      <c r="A896" s="262" t="s">
        <v>1242</v>
      </c>
      <c r="C896" s="228"/>
      <c r="D896" s="228"/>
      <c r="E896" s="561"/>
      <c r="F896" s="561"/>
      <c r="G896" s="561"/>
      <c r="H896" s="976"/>
      <c r="I896" s="976"/>
      <c r="J896" s="976"/>
      <c r="K896" s="976"/>
      <c r="L896" s="976"/>
      <c r="M896" s="623"/>
      <c r="N896" s="968"/>
      <c r="O896" s="968"/>
      <c r="P896" s="968"/>
      <c r="Q896" s="968"/>
      <c r="R896" s="968"/>
      <c r="S896" s="968"/>
      <c r="T896" s="968"/>
      <c r="X896" s="23"/>
    </row>
    <row r="897" spans="1:24" ht="19.95" customHeight="1" x14ac:dyDescent="0.3">
      <c r="A897" s="262" t="s">
        <v>1242</v>
      </c>
      <c r="C897" s="228"/>
      <c r="D897" s="228"/>
      <c r="E897" s="561"/>
      <c r="F897" s="561"/>
      <c r="G897" s="561"/>
      <c r="H897" s="261"/>
      <c r="I897" s="261"/>
      <c r="J897" s="261"/>
      <c r="K897" s="261"/>
      <c r="L897" s="261"/>
      <c r="M897" s="261"/>
      <c r="N897" s="260"/>
      <c r="O897" s="260"/>
      <c r="P897" s="260"/>
      <c r="Q897" s="260"/>
      <c r="R897" s="260"/>
      <c r="S897" s="260"/>
      <c r="T897" s="260"/>
      <c r="X897" s="23"/>
    </row>
    <row r="898" spans="1:24" ht="19.95" customHeight="1" x14ac:dyDescent="0.3">
      <c r="A898" s="262" t="s">
        <v>1242</v>
      </c>
      <c r="C898" s="228"/>
      <c r="D898" s="228"/>
      <c r="E898" s="975" t="s">
        <v>1215</v>
      </c>
      <c r="F898" s="975"/>
      <c r="G898" s="975"/>
      <c r="H898" s="975" t="s">
        <v>1348</v>
      </c>
      <c r="I898" s="975"/>
      <c r="J898" s="975"/>
      <c r="K898" s="975"/>
      <c r="L898" s="975"/>
      <c r="M898" s="562"/>
      <c r="N898" s="977" t="s">
        <v>1217</v>
      </c>
      <c r="O898" s="977"/>
      <c r="P898" s="977"/>
      <c r="Q898" s="260"/>
      <c r="R898" s="977" t="s">
        <v>1219</v>
      </c>
      <c r="S898" s="977"/>
      <c r="T898" s="977"/>
      <c r="X898" s="23"/>
    </row>
    <row r="899" spans="1:24" ht="19.95" customHeight="1" x14ac:dyDescent="0.3">
      <c r="A899" s="262" t="s">
        <v>1290</v>
      </c>
      <c r="C899" s="228"/>
      <c r="D899" s="228"/>
      <c r="E899" s="975"/>
      <c r="F899" s="975"/>
      <c r="G899" s="975"/>
      <c r="H899" s="975"/>
      <c r="I899" s="975"/>
      <c r="J899" s="975"/>
      <c r="K899" s="975"/>
      <c r="L899" s="975"/>
      <c r="M899" s="562"/>
      <c r="N899" s="977"/>
      <c r="O899" s="977"/>
      <c r="P899" s="977"/>
      <c r="Q899" s="260"/>
      <c r="R899" s="977"/>
      <c r="S899" s="977"/>
      <c r="T899" s="977"/>
      <c r="X899" s="23"/>
    </row>
    <row r="900" spans="1:24" ht="30" customHeight="1" x14ac:dyDescent="0.3">
      <c r="A900" s="262" t="s">
        <v>1240</v>
      </c>
      <c r="C900" s="625"/>
      <c r="D900" s="626" t="s">
        <v>1237</v>
      </c>
      <c r="E900" s="627"/>
      <c r="F900" s="627"/>
      <c r="G900" s="627"/>
      <c r="H900" s="627"/>
      <c r="I900" s="628"/>
      <c r="J900" s="628"/>
      <c r="K900" s="628"/>
      <c r="L900" s="644"/>
      <c r="M900" s="629"/>
      <c r="N900" s="648"/>
      <c r="O900" s="628"/>
      <c r="P900" s="628"/>
      <c r="Q900" s="611"/>
      <c r="R900" s="651"/>
      <c r="S900" s="630"/>
      <c r="T900" s="631"/>
      <c r="X900" s="23"/>
    </row>
    <row r="901" spans="1:24" ht="30" customHeight="1" x14ac:dyDescent="0.3">
      <c r="A901" s="262">
        <v>10</v>
      </c>
      <c r="C901" s="244"/>
      <c r="D901" s="213"/>
      <c r="E901" s="969"/>
      <c r="F901" s="970"/>
      <c r="G901" s="971"/>
      <c r="H901" s="544"/>
      <c r="I901" s="212"/>
      <c r="J901" s="605"/>
      <c r="K901" s="212"/>
      <c r="L901" s="212"/>
      <c r="M901" s="602"/>
      <c r="N901" s="675"/>
      <c r="O901" s="675"/>
      <c r="P901" s="675"/>
      <c r="Q901" s="212"/>
      <c r="R901" s="605"/>
      <c r="S901" s="605"/>
      <c r="T901" s="605"/>
      <c r="X901" s="23"/>
    </row>
    <row r="902" spans="1:24" ht="30" customHeight="1" x14ac:dyDescent="0.3">
      <c r="A902" s="262">
        <v>10</v>
      </c>
      <c r="C902" s="244">
        <v>430</v>
      </c>
      <c r="D902" s="161" t="s">
        <v>1048</v>
      </c>
      <c r="E902" s="969" t="s">
        <v>1049</v>
      </c>
      <c r="F902" s="970"/>
      <c r="G902" s="971"/>
      <c r="H902" s="544" t="s">
        <v>286</v>
      </c>
      <c r="I902" s="212">
        <v>17953221</v>
      </c>
      <c r="J902" s="605"/>
      <c r="K902" s="212">
        <v>1</v>
      </c>
      <c r="L902" s="212">
        <f t="shared" ref="L902:L922" si="136">+ROUND(I902*K902,2)</f>
        <v>17953221</v>
      </c>
      <c r="M902" s="602"/>
      <c r="N902" s="675">
        <f>+'Yeşil Defter'!K945</f>
        <v>0</v>
      </c>
      <c r="O902" s="675">
        <f>+'Yeşil Defter'!L945</f>
        <v>0</v>
      </c>
      <c r="P902" s="675">
        <f>+'Yeşil Defter'!M945</f>
        <v>0</v>
      </c>
      <c r="Q902" s="212"/>
      <c r="R902" s="605">
        <f>+ROUND(L902*N902,2)</f>
        <v>0</v>
      </c>
      <c r="S902" s="225">
        <f>+ROUND(L902*O902,2)</f>
        <v>0</v>
      </c>
      <c r="T902" s="237">
        <f>+ROUND(L902*P902,2)</f>
        <v>0</v>
      </c>
      <c r="X902" s="23" t="str">
        <f t="shared" si="134"/>
        <v>-</v>
      </c>
    </row>
    <row r="903" spans="1:24" ht="30" customHeight="1" x14ac:dyDescent="0.3">
      <c r="A903" s="262">
        <v>10</v>
      </c>
      <c r="C903" s="244">
        <v>431</v>
      </c>
      <c r="D903" s="161" t="s">
        <v>1050</v>
      </c>
      <c r="E903" s="969" t="s">
        <v>1051</v>
      </c>
      <c r="F903" s="970"/>
      <c r="G903" s="971"/>
      <c r="H903" s="544" t="s">
        <v>286</v>
      </c>
      <c r="I903" s="212">
        <v>11111515</v>
      </c>
      <c r="J903" s="605"/>
      <c r="K903" s="212">
        <v>1</v>
      </c>
      <c r="L903" s="212">
        <f t="shared" si="136"/>
        <v>11111515</v>
      </c>
      <c r="M903" s="602"/>
      <c r="N903" s="675">
        <f>+'Yeşil Defter'!K946</f>
        <v>0</v>
      </c>
      <c r="O903" s="675">
        <f>+'Yeşil Defter'!L946</f>
        <v>0</v>
      </c>
      <c r="P903" s="675">
        <f>+'Yeşil Defter'!M946</f>
        <v>0</v>
      </c>
      <c r="Q903" s="212"/>
      <c r="R903" s="605">
        <f t="shared" ref="R903:R922" si="137">+ROUND(L903*N903,2)</f>
        <v>0</v>
      </c>
      <c r="S903" s="225">
        <f t="shared" ref="S903:S922" si="138">+ROUND(L903*O903,2)</f>
        <v>0</v>
      </c>
      <c r="T903" s="237">
        <f t="shared" ref="T903:T922" si="139">+ROUND(L903*P903,2)</f>
        <v>0</v>
      </c>
      <c r="X903" s="23" t="str">
        <f t="shared" si="134"/>
        <v>-</v>
      </c>
    </row>
    <row r="904" spans="1:24" ht="30" customHeight="1" x14ac:dyDescent="0.3">
      <c r="A904" s="262">
        <v>10</v>
      </c>
      <c r="C904" s="244">
        <v>432</v>
      </c>
      <c r="D904" s="161" t="s">
        <v>1052</v>
      </c>
      <c r="E904" s="969" t="s">
        <v>1053</v>
      </c>
      <c r="F904" s="970"/>
      <c r="G904" s="971"/>
      <c r="H904" s="544" t="s">
        <v>286</v>
      </c>
      <c r="I904" s="212">
        <v>19526276</v>
      </c>
      <c r="J904" s="605"/>
      <c r="K904" s="212">
        <v>1</v>
      </c>
      <c r="L904" s="212">
        <f t="shared" si="136"/>
        <v>19526276</v>
      </c>
      <c r="M904" s="602"/>
      <c r="N904" s="675">
        <f>+'Yeşil Defter'!K947</f>
        <v>0</v>
      </c>
      <c r="O904" s="675">
        <f>+'Yeşil Defter'!L947</f>
        <v>0</v>
      </c>
      <c r="P904" s="675">
        <f>+'Yeşil Defter'!M947</f>
        <v>0</v>
      </c>
      <c r="Q904" s="212"/>
      <c r="R904" s="605">
        <f t="shared" si="137"/>
        <v>0</v>
      </c>
      <c r="S904" s="225">
        <f t="shared" si="138"/>
        <v>0</v>
      </c>
      <c r="T904" s="237">
        <f t="shared" si="139"/>
        <v>0</v>
      </c>
      <c r="X904" s="23" t="str">
        <f t="shared" si="134"/>
        <v>-</v>
      </c>
    </row>
    <row r="905" spans="1:24" ht="30" customHeight="1" x14ac:dyDescent="0.3">
      <c r="A905" s="262">
        <v>10</v>
      </c>
      <c r="C905" s="244">
        <v>433</v>
      </c>
      <c r="D905" s="161" t="s">
        <v>1054</v>
      </c>
      <c r="E905" s="969" t="s">
        <v>1055</v>
      </c>
      <c r="F905" s="970"/>
      <c r="G905" s="971"/>
      <c r="H905" s="544" t="s">
        <v>286</v>
      </c>
      <c r="I905" s="212">
        <v>17245708</v>
      </c>
      <c r="J905" s="605"/>
      <c r="K905" s="212">
        <v>1</v>
      </c>
      <c r="L905" s="212">
        <f t="shared" si="136"/>
        <v>17245708</v>
      </c>
      <c r="M905" s="602"/>
      <c r="N905" s="675">
        <f>+'Yeşil Defter'!K948</f>
        <v>0</v>
      </c>
      <c r="O905" s="675">
        <f>+'Yeşil Defter'!L948</f>
        <v>0</v>
      </c>
      <c r="P905" s="675">
        <f>+'Yeşil Defter'!M948</f>
        <v>0</v>
      </c>
      <c r="Q905" s="212"/>
      <c r="R905" s="605">
        <f t="shared" si="137"/>
        <v>0</v>
      </c>
      <c r="S905" s="225">
        <f t="shared" si="138"/>
        <v>0</v>
      </c>
      <c r="T905" s="237">
        <f t="shared" si="139"/>
        <v>0</v>
      </c>
      <c r="X905" s="23" t="str">
        <f t="shared" si="134"/>
        <v>-</v>
      </c>
    </row>
    <row r="906" spans="1:24" ht="30" customHeight="1" x14ac:dyDescent="0.3">
      <c r="A906" s="262">
        <v>10</v>
      </c>
      <c r="C906" s="244">
        <v>434</v>
      </c>
      <c r="D906" s="161" t="s">
        <v>1056</v>
      </c>
      <c r="E906" s="969" t="s">
        <v>1057</v>
      </c>
      <c r="F906" s="970"/>
      <c r="G906" s="971"/>
      <c r="H906" s="544" t="s">
        <v>286</v>
      </c>
      <c r="I906" s="212">
        <v>17453800</v>
      </c>
      <c r="J906" s="605"/>
      <c r="K906" s="212">
        <v>1</v>
      </c>
      <c r="L906" s="212">
        <f t="shared" si="136"/>
        <v>17453800</v>
      </c>
      <c r="M906" s="602"/>
      <c r="N906" s="675">
        <f>+'Yeşil Defter'!K949</f>
        <v>0</v>
      </c>
      <c r="O906" s="675">
        <f>+'Yeşil Defter'!L949</f>
        <v>0</v>
      </c>
      <c r="P906" s="675">
        <f>+'Yeşil Defter'!M949</f>
        <v>0</v>
      </c>
      <c r="Q906" s="212"/>
      <c r="R906" s="605">
        <f t="shared" si="137"/>
        <v>0</v>
      </c>
      <c r="S906" s="225">
        <f t="shared" si="138"/>
        <v>0</v>
      </c>
      <c r="T906" s="237">
        <f t="shared" si="139"/>
        <v>0</v>
      </c>
      <c r="X906" s="23" t="str">
        <f t="shared" si="134"/>
        <v>-</v>
      </c>
    </row>
    <row r="907" spans="1:24" ht="30" customHeight="1" x14ac:dyDescent="0.3">
      <c r="A907" s="262">
        <v>10</v>
      </c>
      <c r="C907" s="244">
        <v>435</v>
      </c>
      <c r="D907" s="161" t="s">
        <v>1058</v>
      </c>
      <c r="E907" s="969" t="s">
        <v>1059</v>
      </c>
      <c r="F907" s="970"/>
      <c r="G907" s="971"/>
      <c r="H907" s="544" t="s">
        <v>286</v>
      </c>
      <c r="I907" s="212">
        <v>8928056</v>
      </c>
      <c r="J907" s="605"/>
      <c r="K907" s="212">
        <v>1</v>
      </c>
      <c r="L907" s="212">
        <f t="shared" si="136"/>
        <v>8928056</v>
      </c>
      <c r="M907" s="602"/>
      <c r="N907" s="675">
        <f>+'Yeşil Defter'!K950</f>
        <v>0</v>
      </c>
      <c r="O907" s="675">
        <f>+'Yeşil Defter'!L950</f>
        <v>0</v>
      </c>
      <c r="P907" s="675">
        <f>+'Yeşil Defter'!M950</f>
        <v>0</v>
      </c>
      <c r="Q907" s="212"/>
      <c r="R907" s="605">
        <f t="shared" si="137"/>
        <v>0</v>
      </c>
      <c r="S907" s="225">
        <f t="shared" si="138"/>
        <v>0</v>
      </c>
      <c r="T907" s="237">
        <f t="shared" si="139"/>
        <v>0</v>
      </c>
      <c r="X907" s="23" t="str">
        <f t="shared" si="134"/>
        <v>-</v>
      </c>
    </row>
    <row r="908" spans="1:24" ht="30" customHeight="1" x14ac:dyDescent="0.3">
      <c r="A908" s="262">
        <v>10</v>
      </c>
      <c r="C908" s="244">
        <v>436</v>
      </c>
      <c r="D908" s="161" t="s">
        <v>1060</v>
      </c>
      <c r="E908" s="969" t="s">
        <v>1061</v>
      </c>
      <c r="F908" s="970"/>
      <c r="G908" s="971"/>
      <c r="H908" s="544" t="s">
        <v>286</v>
      </c>
      <c r="I908" s="212">
        <v>6744596</v>
      </c>
      <c r="J908" s="605"/>
      <c r="K908" s="212">
        <v>1</v>
      </c>
      <c r="L908" s="212">
        <f t="shared" si="136"/>
        <v>6744596</v>
      </c>
      <c r="M908" s="602"/>
      <c r="N908" s="675">
        <f>+'Yeşil Defter'!K951</f>
        <v>0</v>
      </c>
      <c r="O908" s="675">
        <f>+'Yeşil Defter'!L951</f>
        <v>0</v>
      </c>
      <c r="P908" s="675">
        <f>+'Yeşil Defter'!M951</f>
        <v>0</v>
      </c>
      <c r="Q908" s="212"/>
      <c r="R908" s="605">
        <f t="shared" si="137"/>
        <v>0</v>
      </c>
      <c r="S908" s="225">
        <f t="shared" si="138"/>
        <v>0</v>
      </c>
      <c r="T908" s="237">
        <f t="shared" si="139"/>
        <v>0</v>
      </c>
      <c r="X908" s="23" t="str">
        <f t="shared" si="134"/>
        <v>-</v>
      </c>
    </row>
    <row r="909" spans="1:24" ht="30" customHeight="1" x14ac:dyDescent="0.3">
      <c r="A909" s="262">
        <v>10</v>
      </c>
      <c r="C909" s="244">
        <v>437</v>
      </c>
      <c r="D909" s="161" t="s">
        <v>1062</v>
      </c>
      <c r="E909" s="969" t="s">
        <v>1063</v>
      </c>
      <c r="F909" s="970"/>
      <c r="G909" s="971"/>
      <c r="H909" s="544" t="s">
        <v>286</v>
      </c>
      <c r="I909" s="212">
        <v>8969674</v>
      </c>
      <c r="J909" s="605"/>
      <c r="K909" s="212">
        <v>1</v>
      </c>
      <c r="L909" s="212">
        <f t="shared" si="136"/>
        <v>8969674</v>
      </c>
      <c r="M909" s="602"/>
      <c r="N909" s="675">
        <f>+'Yeşil Defter'!K952</f>
        <v>0</v>
      </c>
      <c r="O909" s="675">
        <f>+'Yeşil Defter'!L952</f>
        <v>0</v>
      </c>
      <c r="P909" s="675">
        <f>+'Yeşil Defter'!M952</f>
        <v>0</v>
      </c>
      <c r="Q909" s="212"/>
      <c r="R909" s="605">
        <f t="shared" si="137"/>
        <v>0</v>
      </c>
      <c r="S909" s="225">
        <f t="shared" si="138"/>
        <v>0</v>
      </c>
      <c r="T909" s="237">
        <f t="shared" si="139"/>
        <v>0</v>
      </c>
      <c r="X909" s="23" t="str">
        <f t="shared" si="134"/>
        <v>-</v>
      </c>
    </row>
    <row r="910" spans="1:24" ht="30" customHeight="1" x14ac:dyDescent="0.3">
      <c r="A910" s="262">
        <v>10</v>
      </c>
      <c r="C910" s="244">
        <v>438</v>
      </c>
      <c r="D910" s="161" t="s">
        <v>1064</v>
      </c>
      <c r="E910" s="969" t="s">
        <v>1065</v>
      </c>
      <c r="F910" s="970"/>
      <c r="G910" s="971"/>
      <c r="H910" s="544" t="s">
        <v>286</v>
      </c>
      <c r="I910" s="212">
        <v>8928056</v>
      </c>
      <c r="J910" s="605"/>
      <c r="K910" s="212">
        <v>1</v>
      </c>
      <c r="L910" s="212">
        <f t="shared" si="136"/>
        <v>8928056</v>
      </c>
      <c r="M910" s="602"/>
      <c r="N910" s="675">
        <f>+'Yeşil Defter'!K953</f>
        <v>0</v>
      </c>
      <c r="O910" s="675">
        <f>+'Yeşil Defter'!L953</f>
        <v>0</v>
      </c>
      <c r="P910" s="675">
        <f>+'Yeşil Defter'!M953</f>
        <v>0</v>
      </c>
      <c r="Q910" s="212"/>
      <c r="R910" s="605">
        <f t="shared" si="137"/>
        <v>0</v>
      </c>
      <c r="S910" s="225">
        <f t="shared" si="138"/>
        <v>0</v>
      </c>
      <c r="T910" s="237">
        <f t="shared" si="139"/>
        <v>0</v>
      </c>
      <c r="X910" s="23" t="str">
        <f t="shared" si="134"/>
        <v>-</v>
      </c>
    </row>
    <row r="911" spans="1:24" ht="30" customHeight="1" x14ac:dyDescent="0.3">
      <c r="A911" s="262">
        <v>10</v>
      </c>
      <c r="C911" s="244">
        <v>439</v>
      </c>
      <c r="D911" s="161" t="s">
        <v>1066</v>
      </c>
      <c r="E911" s="969" t="s">
        <v>1067</v>
      </c>
      <c r="F911" s="970"/>
      <c r="G911" s="971"/>
      <c r="H911" s="544" t="s">
        <v>286</v>
      </c>
      <c r="I911" s="212">
        <v>4464028</v>
      </c>
      <c r="J911" s="605"/>
      <c r="K911" s="212">
        <v>1</v>
      </c>
      <c r="L911" s="212">
        <f t="shared" si="136"/>
        <v>4464028</v>
      </c>
      <c r="M911" s="602"/>
      <c r="N911" s="675">
        <f>+'Yeşil Defter'!K954</f>
        <v>0</v>
      </c>
      <c r="O911" s="675">
        <f>+'Yeşil Defter'!L954</f>
        <v>0</v>
      </c>
      <c r="P911" s="675">
        <f>+'Yeşil Defter'!M954</f>
        <v>0</v>
      </c>
      <c r="Q911" s="212"/>
      <c r="R911" s="605">
        <f t="shared" si="137"/>
        <v>0</v>
      </c>
      <c r="S911" s="225">
        <f t="shared" si="138"/>
        <v>0</v>
      </c>
      <c r="T911" s="237">
        <f t="shared" si="139"/>
        <v>0</v>
      </c>
      <c r="X911" s="23" t="str">
        <f t="shared" si="134"/>
        <v>-</v>
      </c>
    </row>
    <row r="912" spans="1:24" ht="30" customHeight="1" x14ac:dyDescent="0.3">
      <c r="A912" s="262">
        <v>10</v>
      </c>
      <c r="C912" s="244">
        <v>440</v>
      </c>
      <c r="D912" s="161" t="s">
        <v>1068</v>
      </c>
      <c r="E912" s="969" t="s">
        <v>1069</v>
      </c>
      <c r="F912" s="970"/>
      <c r="G912" s="971"/>
      <c r="H912" s="544" t="s">
        <v>286</v>
      </c>
      <c r="I912" s="212">
        <v>4505646</v>
      </c>
      <c r="J912" s="605"/>
      <c r="K912" s="212">
        <v>1</v>
      </c>
      <c r="L912" s="212">
        <f t="shared" si="136"/>
        <v>4505646</v>
      </c>
      <c r="M912" s="602"/>
      <c r="N912" s="675">
        <f>+'Yeşil Defter'!K955</f>
        <v>0</v>
      </c>
      <c r="O912" s="675">
        <f>+'Yeşil Defter'!L955</f>
        <v>0</v>
      </c>
      <c r="P912" s="675">
        <f>+'Yeşil Defter'!M955</f>
        <v>0</v>
      </c>
      <c r="Q912" s="212"/>
      <c r="R912" s="605">
        <f t="shared" si="137"/>
        <v>0</v>
      </c>
      <c r="S912" s="225">
        <f t="shared" si="138"/>
        <v>0</v>
      </c>
      <c r="T912" s="237">
        <f t="shared" si="139"/>
        <v>0</v>
      </c>
      <c r="X912" s="23" t="str">
        <f t="shared" si="134"/>
        <v>-</v>
      </c>
    </row>
    <row r="913" spans="1:28" ht="30" customHeight="1" x14ac:dyDescent="0.3">
      <c r="A913" s="262">
        <v>10</v>
      </c>
      <c r="C913" s="244">
        <v>441</v>
      </c>
      <c r="D913" s="161" t="s">
        <v>1070</v>
      </c>
      <c r="E913" s="969" t="s">
        <v>1071</v>
      </c>
      <c r="F913" s="970"/>
      <c r="G913" s="971"/>
      <c r="H913" s="544" t="s">
        <v>286</v>
      </c>
      <c r="I913" s="212">
        <v>2280569</v>
      </c>
      <c r="J913" s="605"/>
      <c r="K913" s="212">
        <v>1</v>
      </c>
      <c r="L913" s="212">
        <f t="shared" si="136"/>
        <v>2280569</v>
      </c>
      <c r="M913" s="602"/>
      <c r="N913" s="675">
        <f>+'Yeşil Defter'!K956</f>
        <v>0</v>
      </c>
      <c r="O913" s="675">
        <f>+'Yeşil Defter'!L956</f>
        <v>0</v>
      </c>
      <c r="P913" s="675">
        <f>+'Yeşil Defter'!M956</f>
        <v>0</v>
      </c>
      <c r="Q913" s="212"/>
      <c r="R913" s="605">
        <f t="shared" si="137"/>
        <v>0</v>
      </c>
      <c r="S913" s="225">
        <f t="shared" si="138"/>
        <v>0</v>
      </c>
      <c r="T913" s="237">
        <f t="shared" si="139"/>
        <v>0</v>
      </c>
      <c r="X913" s="23" t="str">
        <f t="shared" ref="X913:X973" si="140">IF(AND(P914&gt;K914*1.2, (P914-K914)*I914 &gt; $L$13*0.01), "RBF", "-")</f>
        <v>-</v>
      </c>
    </row>
    <row r="914" spans="1:28" ht="30" customHeight="1" x14ac:dyDescent="0.3">
      <c r="A914" s="262">
        <v>10</v>
      </c>
      <c r="C914" s="244">
        <v>442</v>
      </c>
      <c r="D914" s="161" t="s">
        <v>1072</v>
      </c>
      <c r="E914" s="969" t="s">
        <v>1073</v>
      </c>
      <c r="F914" s="970"/>
      <c r="G914" s="971"/>
      <c r="H914" s="544" t="s">
        <v>286</v>
      </c>
      <c r="I914" s="212">
        <v>20326677</v>
      </c>
      <c r="J914" s="605"/>
      <c r="K914" s="212">
        <v>1</v>
      </c>
      <c r="L914" s="212">
        <f t="shared" si="136"/>
        <v>20326677</v>
      </c>
      <c r="M914" s="602"/>
      <c r="N914" s="675">
        <f>+'Yeşil Defter'!K957</f>
        <v>0</v>
      </c>
      <c r="O914" s="675">
        <f>+'Yeşil Defter'!L957</f>
        <v>0</v>
      </c>
      <c r="P914" s="675">
        <f>+'Yeşil Defter'!M957</f>
        <v>0</v>
      </c>
      <c r="Q914" s="212"/>
      <c r="R914" s="605">
        <f t="shared" si="137"/>
        <v>0</v>
      </c>
      <c r="S914" s="225">
        <f t="shared" si="138"/>
        <v>0</v>
      </c>
      <c r="T914" s="237">
        <f t="shared" si="139"/>
        <v>0</v>
      </c>
      <c r="X914" s="23" t="str">
        <f t="shared" si="140"/>
        <v>-</v>
      </c>
    </row>
    <row r="915" spans="1:28" ht="30" customHeight="1" x14ac:dyDescent="0.3">
      <c r="A915" s="262">
        <v>10</v>
      </c>
      <c r="C915" s="244">
        <v>443</v>
      </c>
      <c r="D915" s="161" t="s">
        <v>1074</v>
      </c>
      <c r="E915" s="969" t="s">
        <v>1075</v>
      </c>
      <c r="F915" s="970"/>
      <c r="G915" s="971"/>
      <c r="H915" s="544" t="s">
        <v>286</v>
      </c>
      <c r="I915" s="212">
        <v>46314363</v>
      </c>
      <c r="J915" s="605"/>
      <c r="K915" s="212">
        <v>1</v>
      </c>
      <c r="L915" s="212">
        <f t="shared" si="136"/>
        <v>46314363</v>
      </c>
      <c r="M915" s="602"/>
      <c r="N915" s="675">
        <f>+'Yeşil Defter'!K958</f>
        <v>0</v>
      </c>
      <c r="O915" s="675">
        <f>+'Yeşil Defter'!L958</f>
        <v>0</v>
      </c>
      <c r="P915" s="675">
        <f>+'Yeşil Defter'!M958</f>
        <v>0</v>
      </c>
      <c r="Q915" s="212"/>
      <c r="R915" s="605">
        <f t="shared" si="137"/>
        <v>0</v>
      </c>
      <c r="S915" s="225">
        <f t="shared" si="138"/>
        <v>0</v>
      </c>
      <c r="T915" s="237">
        <f t="shared" si="139"/>
        <v>0</v>
      </c>
      <c r="X915" s="23" t="str">
        <f t="shared" si="140"/>
        <v>-</v>
      </c>
    </row>
    <row r="916" spans="1:28" ht="30" customHeight="1" x14ac:dyDescent="0.3">
      <c r="A916" s="262">
        <v>10</v>
      </c>
      <c r="C916" s="244">
        <v>444</v>
      </c>
      <c r="D916" s="161" t="s">
        <v>1076</v>
      </c>
      <c r="E916" s="969" t="s">
        <v>1077</v>
      </c>
      <c r="F916" s="970"/>
      <c r="G916" s="971"/>
      <c r="H916" s="544" t="s">
        <v>286</v>
      </c>
      <c r="I916" s="212">
        <v>46314363</v>
      </c>
      <c r="J916" s="605"/>
      <c r="K916" s="212">
        <v>1</v>
      </c>
      <c r="L916" s="212">
        <f t="shared" si="136"/>
        <v>46314363</v>
      </c>
      <c r="M916" s="602"/>
      <c r="N916" s="675">
        <f>+'Yeşil Defter'!K959</f>
        <v>0</v>
      </c>
      <c r="O916" s="675">
        <f>+'Yeşil Defter'!L959</f>
        <v>0</v>
      </c>
      <c r="P916" s="675">
        <f>+'Yeşil Defter'!M959</f>
        <v>0</v>
      </c>
      <c r="Q916" s="212"/>
      <c r="R916" s="605">
        <f t="shared" si="137"/>
        <v>0</v>
      </c>
      <c r="S916" s="225">
        <f t="shared" si="138"/>
        <v>0</v>
      </c>
      <c r="T916" s="237">
        <f t="shared" si="139"/>
        <v>0</v>
      </c>
      <c r="X916" s="23" t="str">
        <f t="shared" si="140"/>
        <v>-</v>
      </c>
    </row>
    <row r="917" spans="1:28" ht="30" customHeight="1" x14ac:dyDescent="0.3">
      <c r="A917" s="262">
        <v>10</v>
      </c>
      <c r="C917" s="244">
        <v>445</v>
      </c>
      <c r="D917" s="161" t="s">
        <v>1078</v>
      </c>
      <c r="E917" s="969" t="s">
        <v>1079</v>
      </c>
      <c r="F917" s="970"/>
      <c r="G917" s="971"/>
      <c r="H917" s="544" t="s">
        <v>286</v>
      </c>
      <c r="I917" s="212">
        <v>46314363</v>
      </c>
      <c r="J917" s="605"/>
      <c r="K917" s="212">
        <v>1</v>
      </c>
      <c r="L917" s="212">
        <f t="shared" si="136"/>
        <v>46314363</v>
      </c>
      <c r="M917" s="602"/>
      <c r="N917" s="675">
        <f>+'Yeşil Defter'!K960</f>
        <v>0</v>
      </c>
      <c r="O917" s="675">
        <f>+'Yeşil Defter'!L960</f>
        <v>0</v>
      </c>
      <c r="P917" s="675">
        <f>+'Yeşil Defter'!M960</f>
        <v>0</v>
      </c>
      <c r="Q917" s="212"/>
      <c r="R917" s="605">
        <f t="shared" si="137"/>
        <v>0</v>
      </c>
      <c r="S917" s="225">
        <f t="shared" si="138"/>
        <v>0</v>
      </c>
      <c r="T917" s="237">
        <f t="shared" si="139"/>
        <v>0</v>
      </c>
      <c r="X917" s="23" t="str">
        <f t="shared" si="140"/>
        <v>-</v>
      </c>
    </row>
    <row r="918" spans="1:28" ht="30" customHeight="1" x14ac:dyDescent="0.3">
      <c r="A918" s="262">
        <v>10</v>
      </c>
      <c r="C918" s="244">
        <v>446</v>
      </c>
      <c r="D918" s="161" t="s">
        <v>1080</v>
      </c>
      <c r="E918" s="969" t="s">
        <v>1081</v>
      </c>
      <c r="F918" s="970"/>
      <c r="G918" s="971"/>
      <c r="H918" s="544" t="s">
        <v>286</v>
      </c>
      <c r="I918" s="212">
        <v>46314363</v>
      </c>
      <c r="J918" s="605"/>
      <c r="K918" s="212">
        <v>1</v>
      </c>
      <c r="L918" s="212">
        <f t="shared" si="136"/>
        <v>46314363</v>
      </c>
      <c r="M918" s="602"/>
      <c r="N918" s="675">
        <f>+'Yeşil Defter'!K961</f>
        <v>0</v>
      </c>
      <c r="O918" s="675">
        <f>+'Yeşil Defter'!L961</f>
        <v>0</v>
      </c>
      <c r="P918" s="675">
        <f>+'Yeşil Defter'!M961</f>
        <v>0</v>
      </c>
      <c r="Q918" s="212"/>
      <c r="R918" s="605">
        <f t="shared" si="137"/>
        <v>0</v>
      </c>
      <c r="S918" s="225">
        <f t="shared" si="138"/>
        <v>0</v>
      </c>
      <c r="T918" s="237">
        <f t="shared" si="139"/>
        <v>0</v>
      </c>
      <c r="X918" s="23" t="str">
        <f t="shared" si="140"/>
        <v>-</v>
      </c>
    </row>
    <row r="919" spans="1:28" ht="30" customHeight="1" x14ac:dyDescent="0.3">
      <c r="A919" s="262">
        <v>10</v>
      </c>
      <c r="C919" s="244">
        <v>447</v>
      </c>
      <c r="D919" s="161" t="s">
        <v>1082</v>
      </c>
      <c r="E919" s="969" t="s">
        <v>1083</v>
      </c>
      <c r="F919" s="970"/>
      <c r="G919" s="971"/>
      <c r="H919" s="544" t="s">
        <v>286</v>
      </c>
      <c r="I919" s="212">
        <v>46314363</v>
      </c>
      <c r="J919" s="605"/>
      <c r="K919" s="212">
        <v>1</v>
      </c>
      <c r="L919" s="212">
        <f t="shared" si="136"/>
        <v>46314363</v>
      </c>
      <c r="M919" s="602"/>
      <c r="N919" s="675">
        <f>+'Yeşil Defter'!K962</f>
        <v>0</v>
      </c>
      <c r="O919" s="675">
        <f>+'Yeşil Defter'!L962</f>
        <v>0</v>
      </c>
      <c r="P919" s="675">
        <f>+'Yeşil Defter'!M962</f>
        <v>0</v>
      </c>
      <c r="Q919" s="212"/>
      <c r="R919" s="605">
        <f t="shared" si="137"/>
        <v>0</v>
      </c>
      <c r="S919" s="225">
        <f t="shared" si="138"/>
        <v>0</v>
      </c>
      <c r="T919" s="237">
        <f t="shared" si="139"/>
        <v>0</v>
      </c>
      <c r="X919" s="23" t="str">
        <f t="shared" si="140"/>
        <v>-</v>
      </c>
    </row>
    <row r="920" spans="1:28" ht="30" customHeight="1" x14ac:dyDescent="0.3">
      <c r="A920" s="262">
        <v>10</v>
      </c>
      <c r="C920" s="244">
        <v>448</v>
      </c>
      <c r="D920" s="161" t="s">
        <v>1084</v>
      </c>
      <c r="E920" s="969" t="s">
        <v>1085</v>
      </c>
      <c r="F920" s="970"/>
      <c r="G920" s="971"/>
      <c r="H920" s="544" t="s">
        <v>286</v>
      </c>
      <c r="I920" s="212">
        <v>46314363</v>
      </c>
      <c r="J920" s="605"/>
      <c r="K920" s="212">
        <v>1</v>
      </c>
      <c r="L920" s="212">
        <f t="shared" si="136"/>
        <v>46314363</v>
      </c>
      <c r="M920" s="602"/>
      <c r="N920" s="675">
        <f>+'Yeşil Defter'!K963</f>
        <v>0</v>
      </c>
      <c r="O920" s="675">
        <f>+'Yeşil Defter'!L963</f>
        <v>0</v>
      </c>
      <c r="P920" s="675">
        <f>+'Yeşil Defter'!M963</f>
        <v>0</v>
      </c>
      <c r="Q920" s="212"/>
      <c r="R920" s="605">
        <f t="shared" si="137"/>
        <v>0</v>
      </c>
      <c r="S920" s="225">
        <f t="shared" si="138"/>
        <v>0</v>
      </c>
      <c r="T920" s="237">
        <f t="shared" si="139"/>
        <v>0</v>
      </c>
      <c r="X920" s="23" t="str">
        <f t="shared" si="140"/>
        <v>-</v>
      </c>
    </row>
    <row r="921" spans="1:28" ht="30" customHeight="1" x14ac:dyDescent="0.3">
      <c r="A921" s="262">
        <v>10</v>
      </c>
      <c r="C921" s="244">
        <v>449</v>
      </c>
      <c r="D921" s="161" t="s">
        <v>1086</v>
      </c>
      <c r="E921" s="969" t="s">
        <v>1087</v>
      </c>
      <c r="F921" s="970"/>
      <c r="G921" s="971"/>
      <c r="H921" s="544" t="s">
        <v>286</v>
      </c>
      <c r="I921" s="212">
        <v>46314363</v>
      </c>
      <c r="J921" s="605"/>
      <c r="K921" s="212">
        <v>1</v>
      </c>
      <c r="L921" s="212">
        <f t="shared" si="136"/>
        <v>46314363</v>
      </c>
      <c r="M921" s="602"/>
      <c r="N921" s="675">
        <f>+'Yeşil Defter'!K964</f>
        <v>0</v>
      </c>
      <c r="O921" s="675">
        <f>+'Yeşil Defter'!L964</f>
        <v>0</v>
      </c>
      <c r="P921" s="675">
        <f>+'Yeşil Defter'!M964</f>
        <v>0</v>
      </c>
      <c r="Q921" s="212"/>
      <c r="R921" s="605">
        <f t="shared" si="137"/>
        <v>0</v>
      </c>
      <c r="S921" s="225">
        <f t="shared" si="138"/>
        <v>0</v>
      </c>
      <c r="T921" s="237">
        <f t="shared" si="139"/>
        <v>0</v>
      </c>
      <c r="X921" s="23" t="str">
        <f t="shared" si="140"/>
        <v>-</v>
      </c>
    </row>
    <row r="922" spans="1:28" ht="30" customHeight="1" x14ac:dyDescent="0.3">
      <c r="A922" s="262">
        <v>10</v>
      </c>
      <c r="C922" s="244">
        <v>450</v>
      </c>
      <c r="D922" s="161" t="s">
        <v>1088</v>
      </c>
      <c r="E922" s="969" t="s">
        <v>1089</v>
      </c>
      <c r="F922" s="970"/>
      <c r="G922" s="971"/>
      <c r="H922" s="544" t="s">
        <v>286</v>
      </c>
      <c r="I922" s="212">
        <v>19421929</v>
      </c>
      <c r="J922" s="605"/>
      <c r="K922" s="212">
        <v>1</v>
      </c>
      <c r="L922" s="212">
        <f t="shared" si="136"/>
        <v>19421929</v>
      </c>
      <c r="M922" s="602"/>
      <c r="N922" s="675">
        <f>+'Yeşil Defter'!K965</f>
        <v>0</v>
      </c>
      <c r="O922" s="675">
        <f>+'Yeşil Defter'!L965</f>
        <v>0</v>
      </c>
      <c r="P922" s="675">
        <f>+'Yeşil Defter'!M965</f>
        <v>0</v>
      </c>
      <c r="Q922" s="212"/>
      <c r="R922" s="605">
        <f t="shared" si="137"/>
        <v>0</v>
      </c>
      <c r="S922" s="225">
        <f t="shared" si="138"/>
        <v>0</v>
      </c>
      <c r="T922" s="237">
        <f t="shared" si="139"/>
        <v>0</v>
      </c>
      <c r="X922" s="23" t="str">
        <f t="shared" si="140"/>
        <v>-</v>
      </c>
    </row>
    <row r="923" spans="1:28" ht="40.049999999999997" customHeight="1" x14ac:dyDescent="0.3">
      <c r="A923" s="262" t="s">
        <v>1242</v>
      </c>
      <c r="C923" s="258"/>
      <c r="D923" s="258"/>
      <c r="E923" s="972" t="s">
        <v>33</v>
      </c>
      <c r="F923" s="972"/>
      <c r="G923" s="972"/>
      <c r="H923" s="973" t="s">
        <v>29</v>
      </c>
      <c r="I923" s="973"/>
      <c r="J923" s="973"/>
      <c r="K923" s="973"/>
      <c r="L923" s="973"/>
      <c r="M923" s="549"/>
      <c r="N923" s="973" t="s">
        <v>22</v>
      </c>
      <c r="O923" s="973"/>
      <c r="P923" s="973"/>
      <c r="Q923" s="973"/>
      <c r="R923" s="973"/>
      <c r="S923" s="973"/>
      <c r="T923" s="973"/>
      <c r="X923" s="23"/>
    </row>
    <row r="924" spans="1:28" ht="19.95" customHeight="1" x14ac:dyDescent="0.3">
      <c r="A924" s="262" t="s">
        <v>1242</v>
      </c>
      <c r="D924" s="28"/>
      <c r="E924" s="974" t="s">
        <v>1214</v>
      </c>
      <c r="F924" s="974"/>
      <c r="G924" s="974"/>
      <c r="H924" s="975" t="s">
        <v>38</v>
      </c>
      <c r="I924" s="975"/>
      <c r="J924" s="975"/>
      <c r="K924" s="975"/>
      <c r="L924" s="975"/>
      <c r="M924" s="562"/>
      <c r="N924" s="975" t="s">
        <v>1437</v>
      </c>
      <c r="O924" s="975"/>
      <c r="P924" s="975"/>
      <c r="Q924" s="975"/>
      <c r="R924" s="975"/>
      <c r="S924" s="975"/>
      <c r="T924" s="975"/>
      <c r="X924" s="23"/>
    </row>
    <row r="925" spans="1:28" ht="19.95" customHeight="1" x14ac:dyDescent="0.3">
      <c r="A925" s="262" t="s">
        <v>1242</v>
      </c>
      <c r="C925" s="228"/>
      <c r="D925" s="228"/>
      <c r="E925" s="561"/>
      <c r="F925" s="561"/>
      <c r="G925" s="561"/>
      <c r="H925" s="975" t="s">
        <v>32</v>
      </c>
      <c r="I925" s="975"/>
      <c r="J925" s="562"/>
      <c r="K925" s="975" t="s">
        <v>1407</v>
      </c>
      <c r="L925" s="975"/>
      <c r="M925" s="260"/>
      <c r="N925" s="975"/>
      <c r="O925" s="975"/>
      <c r="P925" s="975"/>
      <c r="Q925" s="975"/>
      <c r="R925" s="975"/>
      <c r="S925" s="975"/>
      <c r="T925" s="975"/>
      <c r="X925" s="23"/>
    </row>
    <row r="926" spans="1:28" ht="19.95" customHeight="1" x14ac:dyDescent="0.3">
      <c r="A926" s="262" t="s">
        <v>1242</v>
      </c>
      <c r="C926" s="228"/>
      <c r="D926" s="228"/>
      <c r="E926" s="561"/>
      <c r="F926" s="561"/>
      <c r="G926" s="561"/>
      <c r="H926" s="976" t="s">
        <v>94</v>
      </c>
      <c r="I926" s="976"/>
      <c r="J926" s="623"/>
      <c r="K926" s="976" t="s">
        <v>94</v>
      </c>
      <c r="L926" s="976"/>
      <c r="M926" s="260"/>
      <c r="N926" s="975"/>
      <c r="O926" s="975"/>
      <c r="P926" s="975"/>
      <c r="Q926" s="975"/>
      <c r="R926" s="975"/>
      <c r="S926" s="975"/>
      <c r="T926" s="975"/>
      <c r="X926" s="23"/>
    </row>
    <row r="927" spans="1:28" ht="19.95" customHeight="1" x14ac:dyDescent="0.3">
      <c r="A927" s="262" t="s">
        <v>1242</v>
      </c>
      <c r="C927" s="228"/>
      <c r="D927" s="228"/>
      <c r="E927" s="561"/>
      <c r="F927" s="561"/>
      <c r="G927" s="561"/>
      <c r="H927" s="976"/>
      <c r="I927" s="976"/>
      <c r="J927" s="623"/>
      <c r="K927" s="976"/>
      <c r="L927" s="976"/>
      <c r="M927" s="261"/>
      <c r="N927" s="260"/>
      <c r="O927" s="260"/>
      <c r="P927" s="260"/>
      <c r="Q927" s="260"/>
      <c r="R927" s="260"/>
      <c r="S927" s="260"/>
      <c r="T927" s="260"/>
      <c r="U927" s="968" t="s">
        <v>58</v>
      </c>
      <c r="V927" s="968"/>
      <c r="W927" s="968"/>
      <c r="X927" s="23"/>
      <c r="Y927" s="547"/>
      <c r="Z927" s="260" t="s">
        <v>57</v>
      </c>
      <c r="AA927" s="260"/>
      <c r="AB927" s="260"/>
    </row>
    <row r="928" spans="1:28" ht="19.95" customHeight="1" x14ac:dyDescent="0.3">
      <c r="A928" s="262" t="s">
        <v>1242</v>
      </c>
      <c r="C928" s="228"/>
      <c r="D928" s="228"/>
      <c r="E928" s="561"/>
      <c r="F928" s="561"/>
      <c r="G928" s="561"/>
      <c r="H928" s="975"/>
      <c r="I928" s="975"/>
      <c r="J928" s="562"/>
      <c r="K928" s="975"/>
      <c r="L928" s="975"/>
      <c r="M928" s="562"/>
      <c r="N928" s="968" t="s">
        <v>28</v>
      </c>
      <c r="O928" s="968"/>
      <c r="P928" s="968"/>
      <c r="Q928" s="968"/>
      <c r="R928" s="968"/>
      <c r="S928" s="968"/>
      <c r="T928" s="968"/>
      <c r="U928" s="968" t="s">
        <v>1472</v>
      </c>
      <c r="V928" s="968"/>
      <c r="W928" s="968"/>
      <c r="X928" s="23"/>
      <c r="Y928" s="547"/>
      <c r="Z928" s="260" t="s">
        <v>1472</v>
      </c>
      <c r="AA928" s="260"/>
      <c r="AB928" s="260"/>
    </row>
    <row r="929" spans="1:24" ht="19.95" customHeight="1" x14ac:dyDescent="0.3">
      <c r="A929" s="262" t="s">
        <v>1242</v>
      </c>
      <c r="C929" s="228"/>
      <c r="D929" s="228"/>
      <c r="E929" s="561"/>
      <c r="F929" s="561"/>
      <c r="G929" s="561"/>
      <c r="H929" s="976" t="s">
        <v>1220</v>
      </c>
      <c r="I929" s="976"/>
      <c r="J929" s="976"/>
      <c r="K929" s="976"/>
      <c r="L929" s="976"/>
      <c r="M929" s="623"/>
      <c r="N929" s="968" t="s">
        <v>1486</v>
      </c>
      <c r="O929" s="968"/>
      <c r="P929" s="968"/>
      <c r="Q929" s="968"/>
      <c r="R929" s="968"/>
      <c r="S929" s="968"/>
      <c r="T929" s="968"/>
      <c r="X929" s="23"/>
    </row>
    <row r="930" spans="1:24" ht="19.95" customHeight="1" x14ac:dyDescent="0.3">
      <c r="A930" s="262" t="s">
        <v>1242</v>
      </c>
      <c r="C930" s="228"/>
      <c r="D930" s="228"/>
      <c r="E930" s="561"/>
      <c r="F930" s="561"/>
      <c r="G930" s="561"/>
      <c r="H930" s="976"/>
      <c r="I930" s="976"/>
      <c r="J930" s="976"/>
      <c r="K930" s="976"/>
      <c r="L930" s="976"/>
      <c r="M930" s="623"/>
      <c r="N930" s="968"/>
      <c r="O930" s="968"/>
      <c r="P930" s="968"/>
      <c r="Q930" s="968"/>
      <c r="R930" s="968"/>
      <c r="S930" s="968"/>
      <c r="T930" s="968"/>
      <c r="X930" s="23"/>
    </row>
    <row r="931" spans="1:24" ht="19.95" customHeight="1" x14ac:dyDescent="0.3">
      <c r="A931" s="262" t="s">
        <v>1242</v>
      </c>
      <c r="C931" s="228"/>
      <c r="D931" s="228"/>
      <c r="E931" s="561"/>
      <c r="F931" s="561"/>
      <c r="G931" s="561"/>
      <c r="H931" s="261"/>
      <c r="I931" s="261"/>
      <c r="J931" s="261"/>
      <c r="K931" s="261"/>
      <c r="L931" s="261"/>
      <c r="M931" s="261"/>
      <c r="N931" s="260"/>
      <c r="O931" s="260"/>
      <c r="P931" s="260"/>
      <c r="Q931" s="260"/>
      <c r="R931" s="260"/>
      <c r="S931" s="260"/>
      <c r="T931" s="260"/>
      <c r="X931" s="23"/>
    </row>
    <row r="932" spans="1:24" ht="19.95" customHeight="1" x14ac:dyDescent="0.3">
      <c r="A932" s="262" t="s">
        <v>1242</v>
      </c>
      <c r="C932" s="228"/>
      <c r="D932" s="228"/>
      <c r="E932" s="975" t="s">
        <v>1215</v>
      </c>
      <c r="F932" s="975"/>
      <c r="G932" s="975"/>
      <c r="H932" s="975" t="s">
        <v>1348</v>
      </c>
      <c r="I932" s="975"/>
      <c r="J932" s="975"/>
      <c r="K932" s="975"/>
      <c r="L932" s="975"/>
      <c r="M932" s="562"/>
      <c r="N932" s="977" t="s">
        <v>1219</v>
      </c>
      <c r="O932" s="977"/>
      <c r="P932" s="977"/>
      <c r="Q932" s="977"/>
      <c r="R932" s="977"/>
      <c r="S932" s="977"/>
      <c r="T932" s="977"/>
      <c r="X932" s="23"/>
    </row>
    <row r="933" spans="1:24" ht="19.95" customHeight="1" x14ac:dyDescent="0.3">
      <c r="A933" s="262" t="s">
        <v>1290</v>
      </c>
      <c r="C933" s="228"/>
      <c r="D933" s="228"/>
      <c r="E933" s="975"/>
      <c r="F933" s="975"/>
      <c r="G933" s="975"/>
      <c r="H933" s="975"/>
      <c r="I933" s="975"/>
      <c r="J933" s="975"/>
      <c r="K933" s="975"/>
      <c r="L933" s="975"/>
      <c r="M933" s="562"/>
      <c r="N933" s="977"/>
      <c r="O933" s="977"/>
      <c r="P933" s="977"/>
      <c r="Q933" s="977"/>
      <c r="R933" s="977"/>
      <c r="S933" s="977"/>
      <c r="T933" s="977"/>
      <c r="X933" s="23"/>
    </row>
    <row r="934" spans="1:24" ht="30" customHeight="1" x14ac:dyDescent="0.3">
      <c r="A934" s="262">
        <v>10</v>
      </c>
      <c r="C934" s="255">
        <v>451</v>
      </c>
      <c r="D934" s="256" t="s">
        <v>1090</v>
      </c>
      <c r="E934" s="978" t="s">
        <v>1091</v>
      </c>
      <c r="F934" s="979"/>
      <c r="G934" s="980"/>
      <c r="H934" s="546" t="s">
        <v>286</v>
      </c>
      <c r="I934" s="257">
        <v>4578026</v>
      </c>
      <c r="J934" s="606"/>
      <c r="K934" s="257">
        <v>1</v>
      </c>
      <c r="L934" s="257">
        <f t="shared" ref="L934:L956" si="141">+ROUND(I934*K934,2)</f>
        <v>4578026</v>
      </c>
      <c r="M934" s="603"/>
      <c r="N934" s="675">
        <f>+'Yeşil Defter'!K922</f>
        <v>0</v>
      </c>
      <c r="O934" s="675">
        <f>+'Yeşil Defter'!L922</f>
        <v>0</v>
      </c>
      <c r="P934" s="675">
        <f>+'Yeşil Defter'!M922</f>
        <v>0</v>
      </c>
      <c r="Q934" s="257"/>
      <c r="R934" s="606">
        <f t="shared" ref="R934:R956" si="142">+ROUND(K934*N934,2)</f>
        <v>0</v>
      </c>
      <c r="S934" s="247">
        <f t="shared" ref="S934:S973" si="143">+T934-R934</f>
        <v>0</v>
      </c>
      <c r="T934" s="248">
        <f t="shared" ref="T934:T956" si="144">+ROUND(K934*P934,2)</f>
        <v>0</v>
      </c>
      <c r="X934" s="23" t="str">
        <f t="shared" si="140"/>
        <v>-</v>
      </c>
    </row>
    <row r="935" spans="1:24" ht="30" customHeight="1" x14ac:dyDescent="0.3">
      <c r="A935" s="262">
        <v>10</v>
      </c>
      <c r="C935" s="244">
        <v>452</v>
      </c>
      <c r="D935" s="161" t="s">
        <v>1092</v>
      </c>
      <c r="E935" s="969" t="s">
        <v>1093</v>
      </c>
      <c r="F935" s="970"/>
      <c r="G935" s="971"/>
      <c r="H935" s="544" t="s">
        <v>286</v>
      </c>
      <c r="I935" s="212">
        <v>2080921</v>
      </c>
      <c r="J935" s="605"/>
      <c r="K935" s="212">
        <v>1</v>
      </c>
      <c r="L935" s="212">
        <f t="shared" si="141"/>
        <v>2080921</v>
      </c>
      <c r="M935" s="602"/>
      <c r="N935" s="675">
        <f>+'Yeşil Defter'!K923</f>
        <v>0</v>
      </c>
      <c r="O935" s="675">
        <f>+'Yeşil Defter'!L923</f>
        <v>0</v>
      </c>
      <c r="P935" s="675">
        <f>+'Yeşil Defter'!M923</f>
        <v>0</v>
      </c>
      <c r="Q935" s="212"/>
      <c r="R935" s="605">
        <f t="shared" si="142"/>
        <v>0</v>
      </c>
      <c r="S935" s="225">
        <f t="shared" si="143"/>
        <v>0</v>
      </c>
      <c r="T935" s="237">
        <f t="shared" si="144"/>
        <v>0</v>
      </c>
      <c r="X935" s="23" t="str">
        <f t="shared" si="140"/>
        <v>-</v>
      </c>
    </row>
    <row r="936" spans="1:24" ht="30" customHeight="1" x14ac:dyDescent="0.3">
      <c r="A936" s="262">
        <v>10</v>
      </c>
      <c r="C936" s="244">
        <v>453</v>
      </c>
      <c r="D936" s="161" t="s">
        <v>1094</v>
      </c>
      <c r="E936" s="969" t="s">
        <v>1095</v>
      </c>
      <c r="F936" s="970"/>
      <c r="G936" s="971"/>
      <c r="H936" s="544" t="s">
        <v>286</v>
      </c>
      <c r="I936" s="212">
        <v>46314363</v>
      </c>
      <c r="J936" s="605"/>
      <c r="K936" s="212">
        <v>1</v>
      </c>
      <c r="L936" s="212">
        <f t="shared" si="141"/>
        <v>46314363</v>
      </c>
      <c r="M936" s="602"/>
      <c r="N936" s="675">
        <f>+'Yeşil Defter'!K924</f>
        <v>0</v>
      </c>
      <c r="O936" s="675">
        <f>+'Yeşil Defter'!L924</f>
        <v>0</v>
      </c>
      <c r="P936" s="675">
        <f>+'Yeşil Defter'!M924</f>
        <v>0</v>
      </c>
      <c r="Q936" s="212"/>
      <c r="R936" s="605">
        <f t="shared" si="142"/>
        <v>0</v>
      </c>
      <c r="S936" s="225">
        <f t="shared" si="143"/>
        <v>0</v>
      </c>
      <c r="T936" s="237">
        <f t="shared" si="144"/>
        <v>0</v>
      </c>
      <c r="X936" s="23" t="str">
        <f t="shared" si="140"/>
        <v>-</v>
      </c>
    </row>
    <row r="937" spans="1:24" ht="30" customHeight="1" x14ac:dyDescent="0.3">
      <c r="A937" s="262">
        <v>10</v>
      </c>
      <c r="C937" s="244">
        <v>454</v>
      </c>
      <c r="D937" s="161" t="s">
        <v>1096</v>
      </c>
      <c r="E937" s="969" t="s">
        <v>1097</v>
      </c>
      <c r="F937" s="970"/>
      <c r="G937" s="971"/>
      <c r="H937" s="544" t="s">
        <v>286</v>
      </c>
      <c r="I937" s="212">
        <v>19421929</v>
      </c>
      <c r="J937" s="605"/>
      <c r="K937" s="212">
        <v>1</v>
      </c>
      <c r="L937" s="212">
        <f t="shared" si="141"/>
        <v>19421929</v>
      </c>
      <c r="M937" s="602"/>
      <c r="N937" s="675">
        <f>+'Yeşil Defter'!K925</f>
        <v>0</v>
      </c>
      <c r="O937" s="675">
        <f>+'Yeşil Defter'!L925</f>
        <v>0</v>
      </c>
      <c r="P937" s="675">
        <f>+'Yeşil Defter'!M925</f>
        <v>0</v>
      </c>
      <c r="Q937" s="212"/>
      <c r="R937" s="605">
        <f t="shared" si="142"/>
        <v>0</v>
      </c>
      <c r="S937" s="225">
        <f t="shared" si="143"/>
        <v>0</v>
      </c>
      <c r="T937" s="237">
        <f t="shared" si="144"/>
        <v>0</v>
      </c>
      <c r="X937" s="23" t="str">
        <f t="shared" si="140"/>
        <v>-</v>
      </c>
    </row>
    <row r="938" spans="1:24" ht="30" customHeight="1" x14ac:dyDescent="0.3">
      <c r="A938" s="262">
        <v>10</v>
      </c>
      <c r="C938" s="244">
        <v>455</v>
      </c>
      <c r="D938" s="161" t="s">
        <v>1098</v>
      </c>
      <c r="E938" s="969" t="s">
        <v>1099</v>
      </c>
      <c r="F938" s="970"/>
      <c r="G938" s="971"/>
      <c r="H938" s="544" t="s">
        <v>286</v>
      </c>
      <c r="I938" s="212">
        <v>904748</v>
      </c>
      <c r="J938" s="605"/>
      <c r="K938" s="212">
        <v>1</v>
      </c>
      <c r="L938" s="212">
        <f t="shared" si="141"/>
        <v>904748</v>
      </c>
      <c r="M938" s="602"/>
      <c r="N938" s="675">
        <f>+'Yeşil Defter'!K926</f>
        <v>0</v>
      </c>
      <c r="O938" s="675">
        <f>+'Yeşil Defter'!L926</f>
        <v>0</v>
      </c>
      <c r="P938" s="675">
        <f>+'Yeşil Defter'!M926</f>
        <v>0</v>
      </c>
      <c r="Q938" s="212"/>
      <c r="R938" s="605">
        <f t="shared" si="142"/>
        <v>0</v>
      </c>
      <c r="S938" s="225">
        <f t="shared" si="143"/>
        <v>0</v>
      </c>
      <c r="T938" s="237">
        <f t="shared" si="144"/>
        <v>0</v>
      </c>
      <c r="X938" s="23" t="str">
        <f t="shared" si="140"/>
        <v>-</v>
      </c>
    </row>
    <row r="939" spans="1:24" ht="30" customHeight="1" x14ac:dyDescent="0.3">
      <c r="A939" s="262">
        <v>10</v>
      </c>
      <c r="C939" s="244">
        <v>456</v>
      </c>
      <c r="D939" s="161" t="s">
        <v>1100</v>
      </c>
      <c r="E939" s="969" t="s">
        <v>1101</v>
      </c>
      <c r="F939" s="970"/>
      <c r="G939" s="971"/>
      <c r="H939" s="544" t="s">
        <v>202</v>
      </c>
      <c r="I939" s="212">
        <v>5127</v>
      </c>
      <c r="J939" s="605"/>
      <c r="K939" s="212">
        <v>5390</v>
      </c>
      <c r="L939" s="212">
        <f t="shared" si="141"/>
        <v>27634530</v>
      </c>
      <c r="M939" s="602"/>
      <c r="N939" s="675">
        <f>+'Yeşil Defter'!K927</f>
        <v>0</v>
      </c>
      <c r="O939" s="675">
        <f>+'Yeşil Defter'!L927</f>
        <v>0</v>
      </c>
      <c r="P939" s="675">
        <f>+'Yeşil Defter'!M927</f>
        <v>0</v>
      </c>
      <c r="Q939" s="212"/>
      <c r="R939" s="605">
        <f t="shared" si="142"/>
        <v>0</v>
      </c>
      <c r="S939" s="225">
        <f t="shared" si="143"/>
        <v>0</v>
      </c>
      <c r="T939" s="237">
        <f t="shared" si="144"/>
        <v>0</v>
      </c>
      <c r="X939" s="23" t="str">
        <f t="shared" si="140"/>
        <v>-</v>
      </c>
    </row>
    <row r="940" spans="1:24" ht="30" customHeight="1" x14ac:dyDescent="0.3">
      <c r="A940" s="262">
        <v>10</v>
      </c>
      <c r="C940" s="244">
        <v>457</v>
      </c>
      <c r="D940" s="161" t="s">
        <v>1102</v>
      </c>
      <c r="E940" s="969" t="s">
        <v>1103</v>
      </c>
      <c r="F940" s="970"/>
      <c r="G940" s="971"/>
      <c r="H940" s="544" t="s">
        <v>202</v>
      </c>
      <c r="I940" s="212">
        <v>5127</v>
      </c>
      <c r="J940" s="605"/>
      <c r="K940" s="212">
        <v>4660</v>
      </c>
      <c r="L940" s="212">
        <f t="shared" si="141"/>
        <v>23891820</v>
      </c>
      <c r="M940" s="602"/>
      <c r="N940" s="675">
        <f>+'Yeşil Defter'!K928</f>
        <v>0</v>
      </c>
      <c r="O940" s="675">
        <f>+'Yeşil Defter'!L928</f>
        <v>0</v>
      </c>
      <c r="P940" s="675">
        <f>+'Yeşil Defter'!M928</f>
        <v>0</v>
      </c>
      <c r="Q940" s="212"/>
      <c r="R940" s="605">
        <f t="shared" si="142"/>
        <v>0</v>
      </c>
      <c r="S940" s="225">
        <f t="shared" si="143"/>
        <v>0</v>
      </c>
      <c r="T940" s="237">
        <f t="shared" si="144"/>
        <v>0</v>
      </c>
      <c r="X940" s="23" t="str">
        <f t="shared" si="140"/>
        <v>-</v>
      </c>
    </row>
    <row r="941" spans="1:24" ht="30" customHeight="1" x14ac:dyDescent="0.3">
      <c r="A941" s="262">
        <v>10</v>
      </c>
      <c r="C941" s="244">
        <v>458</v>
      </c>
      <c r="D941" s="161" t="s">
        <v>1104</v>
      </c>
      <c r="E941" s="969" t="s">
        <v>1105</v>
      </c>
      <c r="F941" s="970"/>
      <c r="G941" s="971"/>
      <c r="H941" s="544" t="s">
        <v>202</v>
      </c>
      <c r="I941" s="212">
        <v>5127</v>
      </c>
      <c r="J941" s="605"/>
      <c r="K941" s="212">
        <v>3210</v>
      </c>
      <c r="L941" s="212">
        <f t="shared" si="141"/>
        <v>16457670</v>
      </c>
      <c r="M941" s="602"/>
      <c r="N941" s="675">
        <f>+'Yeşil Defter'!K929</f>
        <v>0</v>
      </c>
      <c r="O941" s="675">
        <f>+'Yeşil Defter'!L929</f>
        <v>0</v>
      </c>
      <c r="P941" s="675">
        <f>+'Yeşil Defter'!M929</f>
        <v>0</v>
      </c>
      <c r="Q941" s="212"/>
      <c r="R941" s="605">
        <f t="shared" si="142"/>
        <v>0</v>
      </c>
      <c r="S941" s="225">
        <f t="shared" si="143"/>
        <v>0</v>
      </c>
      <c r="T941" s="237">
        <f t="shared" si="144"/>
        <v>0</v>
      </c>
      <c r="X941" s="23" t="str">
        <f t="shared" si="140"/>
        <v>-</v>
      </c>
    </row>
    <row r="942" spans="1:24" ht="30" customHeight="1" x14ac:dyDescent="0.3">
      <c r="A942" s="262">
        <v>10</v>
      </c>
      <c r="C942" s="244">
        <v>459</v>
      </c>
      <c r="D942" s="161" t="s">
        <v>1106</v>
      </c>
      <c r="E942" s="969" t="s">
        <v>1107</v>
      </c>
      <c r="F942" s="970"/>
      <c r="G942" s="971"/>
      <c r="H942" s="544" t="s">
        <v>202</v>
      </c>
      <c r="I942" s="212">
        <v>5127</v>
      </c>
      <c r="J942" s="605"/>
      <c r="K942" s="212">
        <v>2630</v>
      </c>
      <c r="L942" s="212">
        <f t="shared" si="141"/>
        <v>13484010</v>
      </c>
      <c r="M942" s="602"/>
      <c r="N942" s="675">
        <f>+'Yeşil Defter'!K930</f>
        <v>0</v>
      </c>
      <c r="O942" s="675">
        <f>+'Yeşil Defter'!L930</f>
        <v>0</v>
      </c>
      <c r="P942" s="675">
        <f>+'Yeşil Defter'!M930</f>
        <v>0</v>
      </c>
      <c r="Q942" s="212"/>
      <c r="R942" s="605">
        <f t="shared" si="142"/>
        <v>0</v>
      </c>
      <c r="S942" s="225">
        <f t="shared" si="143"/>
        <v>0</v>
      </c>
      <c r="T942" s="237">
        <f t="shared" si="144"/>
        <v>0</v>
      </c>
      <c r="X942" s="23" t="str">
        <f t="shared" si="140"/>
        <v>-</v>
      </c>
    </row>
    <row r="943" spans="1:24" ht="30" customHeight="1" x14ac:dyDescent="0.3">
      <c r="A943" s="262">
        <v>10</v>
      </c>
      <c r="C943" s="244">
        <v>460</v>
      </c>
      <c r="D943" s="161" t="s">
        <v>1108</v>
      </c>
      <c r="E943" s="969" t="s">
        <v>1109</v>
      </c>
      <c r="F943" s="970"/>
      <c r="G943" s="971"/>
      <c r="H943" s="544" t="s">
        <v>202</v>
      </c>
      <c r="I943" s="212">
        <v>5127</v>
      </c>
      <c r="J943" s="605"/>
      <c r="K943" s="212">
        <v>1730</v>
      </c>
      <c r="L943" s="212">
        <f t="shared" si="141"/>
        <v>8869710</v>
      </c>
      <c r="M943" s="602"/>
      <c r="N943" s="675">
        <f>+'Yeşil Defter'!K931</f>
        <v>0</v>
      </c>
      <c r="O943" s="675">
        <f>+'Yeşil Defter'!L931</f>
        <v>0</v>
      </c>
      <c r="P943" s="675">
        <f>+'Yeşil Defter'!M931</f>
        <v>0</v>
      </c>
      <c r="Q943" s="212"/>
      <c r="R943" s="605">
        <f t="shared" si="142"/>
        <v>0</v>
      </c>
      <c r="S943" s="225">
        <f t="shared" si="143"/>
        <v>0</v>
      </c>
      <c r="T943" s="237">
        <f t="shared" si="144"/>
        <v>0</v>
      </c>
      <c r="X943" s="23" t="str">
        <f t="shared" si="140"/>
        <v>-</v>
      </c>
    </row>
    <row r="944" spans="1:24" ht="30" customHeight="1" x14ac:dyDescent="0.3">
      <c r="A944" s="262">
        <v>10</v>
      </c>
      <c r="C944" s="244">
        <v>461</v>
      </c>
      <c r="D944" s="161" t="s">
        <v>1110</v>
      </c>
      <c r="E944" s="969" t="s">
        <v>1111</v>
      </c>
      <c r="F944" s="970"/>
      <c r="G944" s="971"/>
      <c r="H944" s="544" t="s">
        <v>202</v>
      </c>
      <c r="I944" s="212">
        <v>5127</v>
      </c>
      <c r="J944" s="605"/>
      <c r="K944" s="212">
        <v>3180</v>
      </c>
      <c r="L944" s="212">
        <f t="shared" si="141"/>
        <v>16303860</v>
      </c>
      <c r="M944" s="602"/>
      <c r="N944" s="675">
        <f>+'Yeşil Defter'!K932</f>
        <v>0</v>
      </c>
      <c r="O944" s="675">
        <f>+'Yeşil Defter'!L932</f>
        <v>0</v>
      </c>
      <c r="P944" s="675">
        <f>+'Yeşil Defter'!M932</f>
        <v>0</v>
      </c>
      <c r="Q944" s="212"/>
      <c r="R944" s="605">
        <f t="shared" si="142"/>
        <v>0</v>
      </c>
      <c r="S944" s="225">
        <f t="shared" si="143"/>
        <v>0</v>
      </c>
      <c r="T944" s="237">
        <f t="shared" si="144"/>
        <v>0</v>
      </c>
      <c r="X944" s="23" t="str">
        <f t="shared" si="140"/>
        <v>-</v>
      </c>
    </row>
    <row r="945" spans="1:24" ht="30" customHeight="1" x14ac:dyDescent="0.3">
      <c r="A945" s="262">
        <v>10</v>
      </c>
      <c r="C945" s="244">
        <v>462</v>
      </c>
      <c r="D945" s="161" t="s">
        <v>1112</v>
      </c>
      <c r="E945" s="969" t="s">
        <v>1113</v>
      </c>
      <c r="F945" s="970"/>
      <c r="G945" s="971"/>
      <c r="H945" s="544" t="s">
        <v>202</v>
      </c>
      <c r="I945" s="212">
        <v>5127</v>
      </c>
      <c r="J945" s="605"/>
      <c r="K945" s="212">
        <v>2695</v>
      </c>
      <c r="L945" s="212">
        <f t="shared" si="141"/>
        <v>13817265</v>
      </c>
      <c r="M945" s="602"/>
      <c r="N945" s="675">
        <f>+'Yeşil Defter'!K991</f>
        <v>0</v>
      </c>
      <c r="O945" s="675">
        <f>+'Yeşil Defter'!L991</f>
        <v>0</v>
      </c>
      <c r="P945" s="675">
        <f>+'Yeşil Defter'!M991</f>
        <v>0</v>
      </c>
      <c r="Q945" s="212"/>
      <c r="R945" s="605">
        <f t="shared" si="142"/>
        <v>0</v>
      </c>
      <c r="S945" s="225">
        <f t="shared" si="143"/>
        <v>0</v>
      </c>
      <c r="T945" s="237">
        <f t="shared" si="144"/>
        <v>0</v>
      </c>
      <c r="X945" s="23" t="str">
        <f t="shared" si="140"/>
        <v>-</v>
      </c>
    </row>
    <row r="946" spans="1:24" ht="30" customHeight="1" x14ac:dyDescent="0.3">
      <c r="A946" s="262">
        <v>10</v>
      </c>
      <c r="C946" s="244">
        <v>463</v>
      </c>
      <c r="D946" s="161" t="s">
        <v>1114</v>
      </c>
      <c r="E946" s="969" t="s">
        <v>1115</v>
      </c>
      <c r="F946" s="970"/>
      <c r="G946" s="971"/>
      <c r="H946" s="544" t="s">
        <v>202</v>
      </c>
      <c r="I946" s="212">
        <v>5127</v>
      </c>
      <c r="J946" s="605"/>
      <c r="K946" s="212">
        <v>520</v>
      </c>
      <c r="L946" s="212">
        <f t="shared" si="141"/>
        <v>2666040</v>
      </c>
      <c r="M946" s="602"/>
      <c r="N946" s="675">
        <f>+'Yeşil Defter'!K992</f>
        <v>0</v>
      </c>
      <c r="O946" s="675">
        <f>+'Yeşil Defter'!L992</f>
        <v>0</v>
      </c>
      <c r="P946" s="675">
        <f>+'Yeşil Defter'!M992</f>
        <v>0</v>
      </c>
      <c r="Q946" s="212"/>
      <c r="R946" s="605">
        <f t="shared" si="142"/>
        <v>0</v>
      </c>
      <c r="S946" s="225">
        <f t="shared" si="143"/>
        <v>0</v>
      </c>
      <c r="T946" s="237">
        <f t="shared" si="144"/>
        <v>0</v>
      </c>
      <c r="X946" s="23" t="str">
        <f t="shared" si="140"/>
        <v>-</v>
      </c>
    </row>
    <row r="947" spans="1:24" ht="30" customHeight="1" x14ac:dyDescent="0.3">
      <c r="A947" s="262">
        <v>10</v>
      </c>
      <c r="C947" s="244">
        <v>464</v>
      </c>
      <c r="D947" s="161" t="s">
        <v>1116</v>
      </c>
      <c r="E947" s="969" t="s">
        <v>1117</v>
      </c>
      <c r="F947" s="970"/>
      <c r="G947" s="971"/>
      <c r="H947" s="544" t="s">
        <v>202</v>
      </c>
      <c r="I947" s="212">
        <v>5127</v>
      </c>
      <c r="J947" s="605"/>
      <c r="K947" s="212">
        <v>3040</v>
      </c>
      <c r="L947" s="212">
        <f t="shared" si="141"/>
        <v>15586080</v>
      </c>
      <c r="M947" s="602"/>
      <c r="N947" s="675">
        <f>+'Yeşil Defter'!K993</f>
        <v>0</v>
      </c>
      <c r="O947" s="675">
        <f>+'Yeşil Defter'!L993</f>
        <v>0</v>
      </c>
      <c r="P947" s="675">
        <f>+'Yeşil Defter'!M993</f>
        <v>0</v>
      </c>
      <c r="Q947" s="212"/>
      <c r="R947" s="605">
        <f t="shared" si="142"/>
        <v>0</v>
      </c>
      <c r="S947" s="225">
        <f t="shared" si="143"/>
        <v>0</v>
      </c>
      <c r="T947" s="237">
        <f t="shared" si="144"/>
        <v>0</v>
      </c>
      <c r="X947" s="23" t="str">
        <f t="shared" si="140"/>
        <v>-</v>
      </c>
    </row>
    <row r="948" spans="1:24" ht="30" customHeight="1" x14ac:dyDescent="0.3">
      <c r="A948" s="262">
        <v>10</v>
      </c>
      <c r="C948" s="244">
        <v>465</v>
      </c>
      <c r="D948" s="161" t="s">
        <v>1118</v>
      </c>
      <c r="E948" s="969" t="s">
        <v>1119</v>
      </c>
      <c r="F948" s="970"/>
      <c r="G948" s="971"/>
      <c r="H948" s="544" t="s">
        <v>202</v>
      </c>
      <c r="I948" s="212">
        <v>5127</v>
      </c>
      <c r="J948" s="605"/>
      <c r="K948" s="212">
        <v>1780</v>
      </c>
      <c r="L948" s="212">
        <f t="shared" si="141"/>
        <v>9126060</v>
      </c>
      <c r="M948" s="602"/>
      <c r="N948" s="675">
        <f>+'Yeşil Defter'!K994</f>
        <v>0</v>
      </c>
      <c r="O948" s="675">
        <f>+'Yeşil Defter'!L994</f>
        <v>0</v>
      </c>
      <c r="P948" s="675">
        <f>+'Yeşil Defter'!M994</f>
        <v>0</v>
      </c>
      <c r="Q948" s="212"/>
      <c r="R948" s="605">
        <f t="shared" si="142"/>
        <v>0</v>
      </c>
      <c r="S948" s="225">
        <f t="shared" si="143"/>
        <v>0</v>
      </c>
      <c r="T948" s="237">
        <f t="shared" si="144"/>
        <v>0</v>
      </c>
      <c r="X948" s="23" t="str">
        <f t="shared" si="140"/>
        <v>-</v>
      </c>
    </row>
    <row r="949" spans="1:24" ht="30" customHeight="1" x14ac:dyDescent="0.3">
      <c r="A949" s="262">
        <v>10</v>
      </c>
      <c r="C949" s="244">
        <v>466</v>
      </c>
      <c r="D949" s="161" t="s">
        <v>1120</v>
      </c>
      <c r="E949" s="969" t="s">
        <v>1121</v>
      </c>
      <c r="F949" s="970"/>
      <c r="G949" s="971"/>
      <c r="H949" s="544" t="s">
        <v>286</v>
      </c>
      <c r="I949" s="212">
        <v>3124595</v>
      </c>
      <c r="J949" s="605"/>
      <c r="K949" s="212">
        <v>1</v>
      </c>
      <c r="L949" s="212">
        <f t="shared" si="141"/>
        <v>3124595</v>
      </c>
      <c r="M949" s="602"/>
      <c r="N949" s="675">
        <f>+'Yeşil Defter'!K995</f>
        <v>0</v>
      </c>
      <c r="O949" s="675">
        <f>+'Yeşil Defter'!L995</f>
        <v>0</v>
      </c>
      <c r="P949" s="675">
        <f>+'Yeşil Defter'!M995</f>
        <v>0</v>
      </c>
      <c r="Q949" s="212"/>
      <c r="R949" s="605">
        <f t="shared" si="142"/>
        <v>0</v>
      </c>
      <c r="S949" s="225">
        <f t="shared" si="143"/>
        <v>0</v>
      </c>
      <c r="T949" s="237">
        <f t="shared" si="144"/>
        <v>0</v>
      </c>
      <c r="X949" s="23" t="str">
        <f t="shared" si="140"/>
        <v>-</v>
      </c>
    </row>
    <row r="950" spans="1:24" ht="30" customHeight="1" x14ac:dyDescent="0.3">
      <c r="A950" s="262">
        <v>10</v>
      </c>
      <c r="C950" s="244">
        <v>467</v>
      </c>
      <c r="D950" s="161" t="s">
        <v>1122</v>
      </c>
      <c r="E950" s="969" t="s">
        <v>1123</v>
      </c>
      <c r="F950" s="970"/>
      <c r="G950" s="971"/>
      <c r="H950" s="544" t="s">
        <v>286</v>
      </c>
      <c r="I950" s="212">
        <v>3124595</v>
      </c>
      <c r="J950" s="605"/>
      <c r="K950" s="212">
        <v>1</v>
      </c>
      <c r="L950" s="212">
        <f t="shared" si="141"/>
        <v>3124595</v>
      </c>
      <c r="M950" s="602"/>
      <c r="N950" s="675">
        <f>+'Yeşil Defter'!K996</f>
        <v>0</v>
      </c>
      <c r="O950" s="675">
        <f>+'Yeşil Defter'!L996</f>
        <v>0</v>
      </c>
      <c r="P950" s="675">
        <f>+'Yeşil Defter'!M996</f>
        <v>0</v>
      </c>
      <c r="Q950" s="212"/>
      <c r="R950" s="605">
        <f t="shared" si="142"/>
        <v>0</v>
      </c>
      <c r="S950" s="225">
        <f t="shared" si="143"/>
        <v>0</v>
      </c>
      <c r="T950" s="237">
        <f t="shared" si="144"/>
        <v>0</v>
      </c>
      <c r="X950" s="23" t="str">
        <f t="shared" si="140"/>
        <v>-</v>
      </c>
    </row>
    <row r="951" spans="1:24" ht="30" customHeight="1" x14ac:dyDescent="0.3">
      <c r="A951" s="262">
        <v>10</v>
      </c>
      <c r="C951" s="244">
        <v>468</v>
      </c>
      <c r="D951" s="161" t="s">
        <v>1124</v>
      </c>
      <c r="E951" s="969" t="s">
        <v>1125</v>
      </c>
      <c r="F951" s="970"/>
      <c r="G951" s="971"/>
      <c r="H951" s="544" t="s">
        <v>286</v>
      </c>
      <c r="I951" s="212">
        <v>3124595</v>
      </c>
      <c r="J951" s="605"/>
      <c r="K951" s="212">
        <v>1</v>
      </c>
      <c r="L951" s="212">
        <f t="shared" si="141"/>
        <v>3124595</v>
      </c>
      <c r="M951" s="602"/>
      <c r="N951" s="675">
        <f>+'Yeşil Defter'!K997</f>
        <v>0</v>
      </c>
      <c r="O951" s="675">
        <f>+'Yeşil Defter'!L997</f>
        <v>0</v>
      </c>
      <c r="P951" s="675">
        <f>+'Yeşil Defter'!M997</f>
        <v>0</v>
      </c>
      <c r="Q951" s="212"/>
      <c r="R951" s="605">
        <f t="shared" si="142"/>
        <v>0</v>
      </c>
      <c r="S951" s="225">
        <f t="shared" si="143"/>
        <v>0</v>
      </c>
      <c r="T951" s="237">
        <f t="shared" si="144"/>
        <v>0</v>
      </c>
      <c r="X951" s="23" t="str">
        <f t="shared" si="140"/>
        <v>-</v>
      </c>
    </row>
    <row r="952" spans="1:24" ht="30" customHeight="1" x14ac:dyDescent="0.3">
      <c r="A952" s="262">
        <v>10</v>
      </c>
      <c r="C952" s="244">
        <v>469</v>
      </c>
      <c r="D952" s="161" t="s">
        <v>1126</v>
      </c>
      <c r="E952" s="969" t="s">
        <v>1127</v>
      </c>
      <c r="F952" s="970"/>
      <c r="G952" s="971"/>
      <c r="H952" s="544" t="s">
        <v>286</v>
      </c>
      <c r="I952" s="212">
        <v>3124595</v>
      </c>
      <c r="J952" s="605"/>
      <c r="K952" s="212">
        <v>1</v>
      </c>
      <c r="L952" s="212">
        <f t="shared" si="141"/>
        <v>3124595</v>
      </c>
      <c r="M952" s="602"/>
      <c r="N952" s="675">
        <f>+'Yeşil Defter'!K998</f>
        <v>0</v>
      </c>
      <c r="O952" s="675">
        <f>+'Yeşil Defter'!L998</f>
        <v>0</v>
      </c>
      <c r="P952" s="675">
        <f>+'Yeşil Defter'!M998</f>
        <v>0</v>
      </c>
      <c r="Q952" s="212"/>
      <c r="R952" s="605">
        <f t="shared" si="142"/>
        <v>0</v>
      </c>
      <c r="S952" s="225">
        <f t="shared" si="143"/>
        <v>0</v>
      </c>
      <c r="T952" s="237">
        <f t="shared" si="144"/>
        <v>0</v>
      </c>
      <c r="X952" s="23" t="str">
        <f t="shared" si="140"/>
        <v>-</v>
      </c>
    </row>
    <row r="953" spans="1:24" ht="30" customHeight="1" x14ac:dyDescent="0.3">
      <c r="A953" s="262">
        <v>10</v>
      </c>
      <c r="C953" s="244">
        <v>470</v>
      </c>
      <c r="D953" s="161" t="s">
        <v>1128</v>
      </c>
      <c r="E953" s="969" t="s">
        <v>1129</v>
      </c>
      <c r="F953" s="970"/>
      <c r="G953" s="971"/>
      <c r="H953" s="544" t="s">
        <v>286</v>
      </c>
      <c r="I953" s="212">
        <v>3124595</v>
      </c>
      <c r="J953" s="605"/>
      <c r="K953" s="212">
        <v>1</v>
      </c>
      <c r="L953" s="212">
        <f t="shared" si="141"/>
        <v>3124595</v>
      </c>
      <c r="M953" s="602"/>
      <c r="N953" s="675">
        <f>+'Yeşil Defter'!K999</f>
        <v>0</v>
      </c>
      <c r="O953" s="675">
        <f>+'Yeşil Defter'!L999</f>
        <v>0</v>
      </c>
      <c r="P953" s="675">
        <f>+'Yeşil Defter'!M999</f>
        <v>0</v>
      </c>
      <c r="Q953" s="212"/>
      <c r="R953" s="605">
        <f t="shared" si="142"/>
        <v>0</v>
      </c>
      <c r="S953" s="225">
        <f t="shared" si="143"/>
        <v>0</v>
      </c>
      <c r="T953" s="237">
        <f t="shared" si="144"/>
        <v>0</v>
      </c>
      <c r="X953" s="23" t="str">
        <f t="shared" si="140"/>
        <v>-</v>
      </c>
    </row>
    <row r="954" spans="1:24" ht="30" customHeight="1" x14ac:dyDescent="0.3">
      <c r="A954" s="262">
        <v>10</v>
      </c>
      <c r="C954" s="244">
        <v>471</v>
      </c>
      <c r="D954" s="161" t="s">
        <v>1130</v>
      </c>
      <c r="E954" s="969" t="s">
        <v>1131</v>
      </c>
      <c r="F954" s="970"/>
      <c r="G954" s="971"/>
      <c r="H954" s="544" t="s">
        <v>286</v>
      </c>
      <c r="I954" s="212">
        <v>3124595</v>
      </c>
      <c r="J954" s="605"/>
      <c r="K954" s="212">
        <v>1</v>
      </c>
      <c r="L954" s="212">
        <f t="shared" si="141"/>
        <v>3124595</v>
      </c>
      <c r="M954" s="602"/>
      <c r="N954" s="675">
        <f>+'Yeşil Defter'!K1000</f>
        <v>0</v>
      </c>
      <c r="O954" s="675">
        <f>+'Yeşil Defter'!L1000</f>
        <v>0</v>
      </c>
      <c r="P954" s="675">
        <f>+'Yeşil Defter'!M1000</f>
        <v>0</v>
      </c>
      <c r="Q954" s="212"/>
      <c r="R954" s="605">
        <f t="shared" si="142"/>
        <v>0</v>
      </c>
      <c r="S954" s="225">
        <f t="shared" si="143"/>
        <v>0</v>
      </c>
      <c r="T954" s="237">
        <f t="shared" si="144"/>
        <v>0</v>
      </c>
      <c r="X954" s="23" t="str">
        <f t="shared" si="140"/>
        <v>-</v>
      </c>
    </row>
    <row r="955" spans="1:24" ht="30" customHeight="1" x14ac:dyDescent="0.3">
      <c r="A955" s="262">
        <v>10</v>
      </c>
      <c r="C955" s="244">
        <v>472</v>
      </c>
      <c r="D955" s="161" t="s">
        <v>1132</v>
      </c>
      <c r="E955" s="969" t="s">
        <v>1133</v>
      </c>
      <c r="F955" s="970"/>
      <c r="G955" s="971"/>
      <c r="H955" s="544" t="s">
        <v>286</v>
      </c>
      <c r="I955" s="212">
        <v>3124595</v>
      </c>
      <c r="J955" s="605"/>
      <c r="K955" s="212">
        <v>1</v>
      </c>
      <c r="L955" s="212">
        <f t="shared" si="141"/>
        <v>3124595</v>
      </c>
      <c r="M955" s="602"/>
      <c r="N955" s="675">
        <f>+'Yeşil Defter'!K1001</f>
        <v>0</v>
      </c>
      <c r="O955" s="675">
        <f>+'Yeşil Defter'!L1001</f>
        <v>0</v>
      </c>
      <c r="P955" s="675">
        <f>+'Yeşil Defter'!M1001</f>
        <v>0</v>
      </c>
      <c r="Q955" s="212"/>
      <c r="R955" s="605">
        <f t="shared" si="142"/>
        <v>0</v>
      </c>
      <c r="S955" s="225">
        <f t="shared" si="143"/>
        <v>0</v>
      </c>
      <c r="T955" s="237">
        <f t="shared" si="144"/>
        <v>0</v>
      </c>
      <c r="X955" s="23" t="str">
        <f t="shared" si="140"/>
        <v>-</v>
      </c>
    </row>
    <row r="956" spans="1:24" ht="30" customHeight="1" x14ac:dyDescent="0.3">
      <c r="A956" s="262">
        <v>10</v>
      </c>
      <c r="C956" s="244">
        <v>473</v>
      </c>
      <c r="D956" s="161" t="s">
        <v>1134</v>
      </c>
      <c r="E956" s="969" t="s">
        <v>1135</v>
      </c>
      <c r="F956" s="970"/>
      <c r="G956" s="971"/>
      <c r="H956" s="544" t="s">
        <v>286</v>
      </c>
      <c r="I956" s="212">
        <v>3124595</v>
      </c>
      <c r="J956" s="605"/>
      <c r="K956" s="212">
        <v>1</v>
      </c>
      <c r="L956" s="212">
        <f t="shared" si="141"/>
        <v>3124595</v>
      </c>
      <c r="M956" s="602"/>
      <c r="N956" s="675">
        <f>+'Yeşil Defter'!K1002</f>
        <v>0</v>
      </c>
      <c r="O956" s="675">
        <f>+'Yeşil Defter'!L1002</f>
        <v>0</v>
      </c>
      <c r="P956" s="675">
        <f>+'Yeşil Defter'!M1002</f>
        <v>0</v>
      </c>
      <c r="Q956" s="212"/>
      <c r="R956" s="605">
        <f t="shared" si="142"/>
        <v>0</v>
      </c>
      <c r="S956" s="225">
        <f t="shared" si="143"/>
        <v>0</v>
      </c>
      <c r="T956" s="237">
        <f t="shared" si="144"/>
        <v>0</v>
      </c>
      <c r="X956" s="23" t="str">
        <f t="shared" si="140"/>
        <v>-</v>
      </c>
    </row>
    <row r="957" spans="1:24" ht="40.049999999999997" customHeight="1" x14ac:dyDescent="0.3">
      <c r="A957" s="262" t="s">
        <v>1242</v>
      </c>
      <c r="C957" s="258"/>
      <c r="D957" s="258"/>
      <c r="E957" s="972" t="s">
        <v>33</v>
      </c>
      <c r="F957" s="972"/>
      <c r="G957" s="972"/>
      <c r="H957" s="973" t="s">
        <v>29</v>
      </c>
      <c r="I957" s="973"/>
      <c r="J957" s="973"/>
      <c r="K957" s="973"/>
      <c r="L957" s="973"/>
      <c r="M957" s="549"/>
      <c r="N957" s="973" t="s">
        <v>22</v>
      </c>
      <c r="O957" s="973"/>
      <c r="P957" s="973"/>
      <c r="Q957" s="973"/>
      <c r="R957" s="973"/>
      <c r="S957" s="973"/>
      <c r="T957" s="973"/>
      <c r="X957" s="23"/>
    </row>
    <row r="958" spans="1:24" ht="19.95" customHeight="1" x14ac:dyDescent="0.3">
      <c r="A958" s="262" t="s">
        <v>1242</v>
      </c>
      <c r="D958" s="28"/>
      <c r="E958" s="974" t="s">
        <v>1214</v>
      </c>
      <c r="F958" s="974"/>
      <c r="G958" s="974"/>
      <c r="H958" s="975" t="s">
        <v>38</v>
      </c>
      <c r="I958" s="975"/>
      <c r="J958" s="975"/>
      <c r="K958" s="975"/>
      <c r="L958" s="975"/>
      <c r="M958" s="562"/>
      <c r="N958" s="975" t="s">
        <v>1437</v>
      </c>
      <c r="O958" s="975"/>
      <c r="P958" s="975"/>
      <c r="Q958" s="975"/>
      <c r="R958" s="975"/>
      <c r="S958" s="975"/>
      <c r="T958" s="975"/>
      <c r="X958" s="23"/>
    </row>
    <row r="959" spans="1:24" ht="19.95" customHeight="1" x14ac:dyDescent="0.3">
      <c r="A959" s="262" t="s">
        <v>1242</v>
      </c>
      <c r="C959" s="228"/>
      <c r="D959" s="228"/>
      <c r="E959" s="561"/>
      <c r="F959" s="561"/>
      <c r="G959" s="561"/>
      <c r="H959" s="975" t="s">
        <v>32</v>
      </c>
      <c r="I959" s="975"/>
      <c r="J959" s="562"/>
      <c r="K959" s="975" t="s">
        <v>1407</v>
      </c>
      <c r="L959" s="975"/>
      <c r="M959" s="260"/>
      <c r="N959" s="975"/>
      <c r="O959" s="975"/>
      <c r="P959" s="975"/>
      <c r="Q959" s="975"/>
      <c r="R959" s="975"/>
      <c r="S959" s="975"/>
      <c r="T959" s="975"/>
      <c r="X959" s="23"/>
    </row>
    <row r="960" spans="1:24" ht="19.95" customHeight="1" x14ac:dyDescent="0.3">
      <c r="A960" s="262" t="s">
        <v>1242</v>
      </c>
      <c r="C960" s="228"/>
      <c r="D960" s="228"/>
      <c r="E960" s="561"/>
      <c r="F960" s="561"/>
      <c r="G960" s="561"/>
      <c r="H960" s="976" t="s">
        <v>94</v>
      </c>
      <c r="I960" s="976"/>
      <c r="J960" s="623"/>
      <c r="K960" s="976" t="s">
        <v>94</v>
      </c>
      <c r="L960" s="976"/>
      <c r="M960" s="260"/>
      <c r="N960" s="975"/>
      <c r="O960" s="975"/>
      <c r="P960" s="975"/>
      <c r="Q960" s="975"/>
      <c r="R960" s="975"/>
      <c r="S960" s="975"/>
      <c r="T960" s="975"/>
      <c r="X960" s="23"/>
    </row>
    <row r="961" spans="1:24" ht="19.95" customHeight="1" x14ac:dyDescent="0.3">
      <c r="A961" s="262" t="s">
        <v>1242</v>
      </c>
      <c r="C961" s="228"/>
      <c r="D961" s="228"/>
      <c r="E961" s="561"/>
      <c r="F961" s="561"/>
      <c r="G961" s="561"/>
      <c r="H961" s="976"/>
      <c r="I961" s="976"/>
      <c r="J961" s="623"/>
      <c r="K961" s="976"/>
      <c r="L961" s="976"/>
      <c r="M961" s="261"/>
      <c r="N961" s="260"/>
      <c r="O961" s="260"/>
      <c r="P961" s="260"/>
      <c r="Q961" s="260"/>
      <c r="R961" s="260"/>
      <c r="S961" s="260"/>
      <c r="T961" s="260"/>
      <c r="X961" s="23"/>
    </row>
    <row r="962" spans="1:24" ht="19.95" customHeight="1" x14ac:dyDescent="0.3">
      <c r="A962" s="262" t="s">
        <v>1242</v>
      </c>
      <c r="C962" s="228"/>
      <c r="D962" s="228"/>
      <c r="E962" s="561"/>
      <c r="F962" s="561"/>
      <c r="G962" s="561"/>
      <c r="H962" s="975"/>
      <c r="I962" s="975"/>
      <c r="J962" s="562"/>
      <c r="K962" s="975"/>
      <c r="L962" s="975"/>
      <c r="M962" s="562"/>
      <c r="N962" s="968" t="s">
        <v>28</v>
      </c>
      <c r="O962" s="968"/>
      <c r="P962" s="968"/>
      <c r="Q962" s="968"/>
      <c r="R962" s="968"/>
      <c r="S962" s="968"/>
      <c r="T962" s="968"/>
      <c r="X962" s="23"/>
    </row>
    <row r="963" spans="1:24" ht="19.95" customHeight="1" x14ac:dyDescent="0.3">
      <c r="A963" s="262" t="s">
        <v>1242</v>
      </c>
      <c r="C963" s="228"/>
      <c r="D963" s="228"/>
      <c r="E963" s="561"/>
      <c r="F963" s="561"/>
      <c r="G963" s="561"/>
      <c r="H963" s="976" t="s">
        <v>1220</v>
      </c>
      <c r="I963" s="976"/>
      <c r="J963" s="976"/>
      <c r="K963" s="976"/>
      <c r="L963" s="976"/>
      <c r="M963" s="623"/>
      <c r="N963" s="968" t="s">
        <v>1486</v>
      </c>
      <c r="O963" s="968"/>
      <c r="P963" s="968"/>
      <c r="Q963" s="968"/>
      <c r="R963" s="968"/>
      <c r="S963" s="968"/>
      <c r="T963" s="968"/>
      <c r="X963" s="23"/>
    </row>
    <row r="964" spans="1:24" ht="19.95" customHeight="1" x14ac:dyDescent="0.3">
      <c r="A964" s="262" t="s">
        <v>1242</v>
      </c>
      <c r="C964" s="228"/>
      <c r="D964" s="228"/>
      <c r="E964" s="561"/>
      <c r="F964" s="561"/>
      <c r="G964" s="561"/>
      <c r="H964" s="976"/>
      <c r="I964" s="976"/>
      <c r="J964" s="976"/>
      <c r="K964" s="976"/>
      <c r="L964" s="976"/>
      <c r="M964" s="623"/>
      <c r="N964" s="968"/>
      <c r="O964" s="968"/>
      <c r="P964" s="968"/>
      <c r="Q964" s="968"/>
      <c r="R964" s="968"/>
      <c r="S964" s="968"/>
      <c r="T964" s="968"/>
      <c r="X964" s="23"/>
    </row>
    <row r="965" spans="1:24" ht="19.95" customHeight="1" x14ac:dyDescent="0.3">
      <c r="A965" s="262" t="s">
        <v>1242</v>
      </c>
      <c r="C965" s="228"/>
      <c r="D965" s="228"/>
      <c r="E965" s="561"/>
      <c r="F965" s="561"/>
      <c r="G965" s="561"/>
      <c r="H965" s="261"/>
      <c r="I965" s="261"/>
      <c r="J965" s="261"/>
      <c r="K965" s="261"/>
      <c r="L965" s="261"/>
      <c r="M965" s="261"/>
      <c r="N965" s="260"/>
      <c r="O965" s="260"/>
      <c r="P965" s="260"/>
      <c r="Q965" s="260"/>
      <c r="R965" s="260"/>
      <c r="S965" s="260"/>
      <c r="T965" s="260"/>
      <c r="X965" s="23"/>
    </row>
    <row r="966" spans="1:24" ht="19.95" customHeight="1" x14ac:dyDescent="0.3">
      <c r="A966" s="262" t="s">
        <v>1242</v>
      </c>
      <c r="C966" s="228"/>
      <c r="D966" s="228"/>
      <c r="E966" s="975" t="s">
        <v>1215</v>
      </c>
      <c r="F966" s="975"/>
      <c r="G966" s="975"/>
      <c r="H966" s="975" t="s">
        <v>1348</v>
      </c>
      <c r="I966" s="975"/>
      <c r="J966" s="975"/>
      <c r="K966" s="975"/>
      <c r="L966" s="975"/>
      <c r="M966" s="562"/>
      <c r="N966" s="977" t="s">
        <v>1219</v>
      </c>
      <c r="O966" s="977"/>
      <c r="P966" s="977"/>
      <c r="Q966" s="977"/>
      <c r="R966" s="977"/>
      <c r="S966" s="977"/>
      <c r="T966" s="977"/>
      <c r="X966" s="23"/>
    </row>
    <row r="967" spans="1:24" ht="19.95" customHeight="1" x14ac:dyDescent="0.3">
      <c r="A967" s="262" t="s">
        <v>1290</v>
      </c>
      <c r="C967" s="228"/>
      <c r="D967" s="228"/>
      <c r="E967" s="975"/>
      <c r="F967" s="975"/>
      <c r="G967" s="975"/>
      <c r="H967" s="975"/>
      <c r="I967" s="975"/>
      <c r="J967" s="975"/>
      <c r="K967" s="975"/>
      <c r="L967" s="975"/>
      <c r="M967" s="562"/>
      <c r="N967" s="977"/>
      <c r="O967" s="977"/>
      <c r="P967" s="977"/>
      <c r="Q967" s="977"/>
      <c r="R967" s="977"/>
      <c r="S967" s="977"/>
      <c r="T967" s="977"/>
      <c r="X967" s="23"/>
    </row>
    <row r="968" spans="1:24" ht="30" customHeight="1" x14ac:dyDescent="0.3">
      <c r="A968" s="262">
        <v>10</v>
      </c>
      <c r="C968" s="255">
        <v>474</v>
      </c>
      <c r="D968" s="256" t="s">
        <v>1136</v>
      </c>
      <c r="E968" s="978" t="s">
        <v>1137</v>
      </c>
      <c r="F968" s="979"/>
      <c r="G968" s="980"/>
      <c r="H968" s="546" t="s">
        <v>286</v>
      </c>
      <c r="I968" s="257">
        <v>3124595</v>
      </c>
      <c r="J968" s="606"/>
      <c r="K968" s="257">
        <v>1</v>
      </c>
      <c r="L968" s="257">
        <f t="shared" ref="L968:L973" si="145">+ROUND(I968*K968,2)</f>
        <v>3124595</v>
      </c>
      <c r="M968" s="603"/>
      <c r="N968" s="675">
        <f>+'Yeşil Defter'!K1003</f>
        <v>0</v>
      </c>
      <c r="O968" s="675">
        <f>+'Yeşil Defter'!L1003</f>
        <v>0</v>
      </c>
      <c r="P968" s="675">
        <f>+'Yeşil Defter'!M1003</f>
        <v>0</v>
      </c>
      <c r="Q968" s="257"/>
      <c r="R968" s="606">
        <f t="shared" ref="R968:R973" si="146">+ROUND(K968*N968,2)</f>
        <v>0</v>
      </c>
      <c r="S968" s="247">
        <f t="shared" si="143"/>
        <v>0</v>
      </c>
      <c r="T968" s="248">
        <f t="shared" ref="T968:T973" si="147">+ROUND(K968*P968,2)</f>
        <v>0</v>
      </c>
      <c r="X968" s="23" t="str">
        <f t="shared" si="140"/>
        <v>-</v>
      </c>
    </row>
    <row r="969" spans="1:24" ht="30" customHeight="1" x14ac:dyDescent="0.3">
      <c r="A969" s="262">
        <v>10</v>
      </c>
      <c r="C969" s="244">
        <v>475</v>
      </c>
      <c r="D969" s="161" t="s">
        <v>1138</v>
      </c>
      <c r="E969" s="969" t="s">
        <v>1139</v>
      </c>
      <c r="F969" s="970"/>
      <c r="G969" s="971"/>
      <c r="H969" s="544" t="s">
        <v>286</v>
      </c>
      <c r="I969" s="212">
        <v>3124595</v>
      </c>
      <c r="J969" s="605"/>
      <c r="K969" s="212">
        <v>1</v>
      </c>
      <c r="L969" s="212">
        <f t="shared" si="145"/>
        <v>3124595</v>
      </c>
      <c r="M969" s="602"/>
      <c r="N969" s="675">
        <f>+'Yeşil Defter'!K1004</f>
        <v>0</v>
      </c>
      <c r="O969" s="675">
        <f>+'Yeşil Defter'!L1004</f>
        <v>0</v>
      </c>
      <c r="P969" s="675">
        <f>+'Yeşil Defter'!M1004</f>
        <v>0</v>
      </c>
      <c r="Q969" s="212"/>
      <c r="R969" s="605">
        <f t="shared" si="146"/>
        <v>0</v>
      </c>
      <c r="S969" s="225">
        <f t="shared" si="143"/>
        <v>0</v>
      </c>
      <c r="T969" s="237">
        <f t="shared" si="147"/>
        <v>0</v>
      </c>
      <c r="X969" s="23" t="str">
        <f t="shared" si="140"/>
        <v>-</v>
      </c>
    </row>
    <row r="970" spans="1:24" ht="30" customHeight="1" x14ac:dyDescent="0.3">
      <c r="A970" s="262">
        <v>10</v>
      </c>
      <c r="C970" s="244">
        <v>476</v>
      </c>
      <c r="D970" s="161" t="s">
        <v>1140</v>
      </c>
      <c r="E970" s="969" t="s">
        <v>1141</v>
      </c>
      <c r="F970" s="970"/>
      <c r="G970" s="971"/>
      <c r="H970" s="544" t="s">
        <v>286</v>
      </c>
      <c r="I970" s="212">
        <v>3124595</v>
      </c>
      <c r="J970" s="605"/>
      <c r="K970" s="212">
        <v>1</v>
      </c>
      <c r="L970" s="212">
        <f t="shared" si="145"/>
        <v>3124595</v>
      </c>
      <c r="M970" s="602"/>
      <c r="N970" s="675">
        <f>+'Yeşil Defter'!K1005</f>
        <v>0</v>
      </c>
      <c r="O970" s="675">
        <f>+'Yeşil Defter'!L1005</f>
        <v>0</v>
      </c>
      <c r="P970" s="675">
        <f>+'Yeşil Defter'!M1005</f>
        <v>0</v>
      </c>
      <c r="Q970" s="212"/>
      <c r="R970" s="605">
        <f t="shared" si="146"/>
        <v>0</v>
      </c>
      <c r="S970" s="225">
        <f t="shared" si="143"/>
        <v>0</v>
      </c>
      <c r="T970" s="237">
        <f t="shared" si="147"/>
        <v>0</v>
      </c>
      <c r="X970" s="23" t="str">
        <f t="shared" si="140"/>
        <v>-</v>
      </c>
    </row>
    <row r="971" spans="1:24" ht="30" customHeight="1" x14ac:dyDescent="0.3">
      <c r="A971" s="262">
        <v>10</v>
      </c>
      <c r="C971" s="244">
        <v>477</v>
      </c>
      <c r="D971" s="161" t="s">
        <v>1142</v>
      </c>
      <c r="E971" s="969" t="s">
        <v>1143</v>
      </c>
      <c r="F971" s="970"/>
      <c r="G971" s="971"/>
      <c r="H971" s="544" t="s">
        <v>286</v>
      </c>
      <c r="I971" s="212">
        <v>3124595</v>
      </c>
      <c r="J971" s="605"/>
      <c r="K971" s="212">
        <v>1</v>
      </c>
      <c r="L971" s="212">
        <f t="shared" si="145"/>
        <v>3124595</v>
      </c>
      <c r="M971" s="602"/>
      <c r="N971" s="675">
        <f>+'Yeşil Defter'!K1006</f>
        <v>0</v>
      </c>
      <c r="O971" s="675">
        <f>+'Yeşil Defter'!L1006</f>
        <v>0</v>
      </c>
      <c r="P971" s="675">
        <f>+'Yeşil Defter'!M1006</f>
        <v>0</v>
      </c>
      <c r="Q971" s="212"/>
      <c r="R971" s="605">
        <f t="shared" si="146"/>
        <v>0</v>
      </c>
      <c r="S971" s="225">
        <f t="shared" si="143"/>
        <v>0</v>
      </c>
      <c r="T971" s="237">
        <f t="shared" si="147"/>
        <v>0</v>
      </c>
      <c r="X971" s="23" t="str">
        <f t="shared" si="140"/>
        <v>-</v>
      </c>
    </row>
    <row r="972" spans="1:24" ht="30" customHeight="1" x14ac:dyDescent="0.3">
      <c r="A972" s="262">
        <v>10</v>
      </c>
      <c r="C972" s="244">
        <v>478</v>
      </c>
      <c r="D972" s="161" t="s">
        <v>1144</v>
      </c>
      <c r="E972" s="969" t="s">
        <v>1145</v>
      </c>
      <c r="F972" s="970"/>
      <c r="G972" s="971"/>
      <c r="H972" s="544" t="s">
        <v>286</v>
      </c>
      <c r="I972" s="212">
        <v>3124595</v>
      </c>
      <c r="J972" s="605"/>
      <c r="K972" s="212">
        <v>1</v>
      </c>
      <c r="L972" s="212">
        <f t="shared" si="145"/>
        <v>3124595</v>
      </c>
      <c r="M972" s="602"/>
      <c r="N972" s="675">
        <f>+'Yeşil Defter'!K1007</f>
        <v>0</v>
      </c>
      <c r="O972" s="675">
        <f>+'Yeşil Defter'!L1007</f>
        <v>0</v>
      </c>
      <c r="P972" s="675">
        <f>+'Yeşil Defter'!M1007</f>
        <v>0</v>
      </c>
      <c r="Q972" s="212"/>
      <c r="R972" s="605">
        <f t="shared" si="146"/>
        <v>0</v>
      </c>
      <c r="S972" s="225">
        <f t="shared" si="143"/>
        <v>0</v>
      </c>
      <c r="T972" s="237">
        <f t="shared" si="147"/>
        <v>0</v>
      </c>
      <c r="X972" s="23" t="str">
        <f t="shared" si="140"/>
        <v>-</v>
      </c>
    </row>
    <row r="973" spans="1:24" ht="30" customHeight="1" x14ac:dyDescent="0.3">
      <c r="A973" s="262">
        <v>10</v>
      </c>
      <c r="C973" s="244">
        <v>479</v>
      </c>
      <c r="D973" s="161" t="s">
        <v>1146</v>
      </c>
      <c r="E973" s="969" t="s">
        <v>1147</v>
      </c>
      <c r="F973" s="970"/>
      <c r="G973" s="971"/>
      <c r="H973" s="544" t="s">
        <v>286</v>
      </c>
      <c r="I973" s="212">
        <v>3124595</v>
      </c>
      <c r="J973" s="605"/>
      <c r="K973" s="212">
        <v>1</v>
      </c>
      <c r="L973" s="212">
        <f t="shared" si="145"/>
        <v>3124595</v>
      </c>
      <c r="M973" s="602"/>
      <c r="N973" s="675">
        <f>+'Yeşil Defter'!K1008</f>
        <v>0</v>
      </c>
      <c r="O973" s="675">
        <f>+'Yeşil Defter'!L1008</f>
        <v>0</v>
      </c>
      <c r="P973" s="675">
        <f>+'Yeşil Defter'!M1008</f>
        <v>0</v>
      </c>
      <c r="Q973" s="212"/>
      <c r="R973" s="605">
        <f t="shared" si="146"/>
        <v>0</v>
      </c>
      <c r="S973" s="225">
        <f t="shared" si="143"/>
        <v>0</v>
      </c>
      <c r="T973" s="237">
        <f t="shared" si="147"/>
        <v>0</v>
      </c>
      <c r="X973" s="23" t="str">
        <f t="shared" si="140"/>
        <v>-</v>
      </c>
    </row>
    <row r="974" spans="1:24" ht="30" customHeight="1" x14ac:dyDescent="0.3">
      <c r="A974" s="262">
        <v>10</v>
      </c>
      <c r="C974" s="244"/>
      <c r="D974" s="161"/>
      <c r="E974" s="969"/>
      <c r="F974" s="970"/>
      <c r="G974" s="971"/>
      <c r="H974" s="544"/>
      <c r="I974" s="212"/>
      <c r="J974" s="605"/>
      <c r="K974" s="212"/>
      <c r="L974" s="212"/>
      <c r="M974" s="602"/>
      <c r="N974" s="675"/>
      <c r="O974" s="675"/>
      <c r="P974" s="675"/>
      <c r="Q974" s="212"/>
      <c r="R974" s="605"/>
      <c r="S974" s="225"/>
      <c r="T974" s="237"/>
      <c r="X974" s="23"/>
    </row>
    <row r="975" spans="1:24" ht="30" customHeight="1" x14ac:dyDescent="0.3">
      <c r="A975" s="262">
        <v>10</v>
      </c>
      <c r="C975" s="244"/>
      <c r="D975" s="161"/>
      <c r="E975" s="969"/>
      <c r="F975" s="970"/>
      <c r="G975" s="971"/>
      <c r="H975" s="161"/>
      <c r="I975" s="605"/>
      <c r="J975" s="605"/>
      <c r="K975" s="212"/>
      <c r="L975" s="341"/>
      <c r="M975" s="212"/>
      <c r="N975" s="605"/>
      <c r="O975" s="212"/>
      <c r="P975" s="341"/>
      <c r="Q975" s="212"/>
      <c r="R975" s="605"/>
      <c r="S975" s="225"/>
      <c r="T975" s="237"/>
      <c r="X975" s="23"/>
    </row>
    <row r="976" spans="1:24" ht="30" customHeight="1" x14ac:dyDescent="0.3">
      <c r="A976" s="262">
        <v>10</v>
      </c>
      <c r="C976" s="244"/>
      <c r="D976" s="161"/>
      <c r="E976" s="969"/>
      <c r="F976" s="970"/>
      <c r="G976" s="971"/>
      <c r="H976" s="161"/>
      <c r="I976" s="605"/>
      <c r="J976" s="605"/>
      <c r="K976" s="212"/>
      <c r="L976" s="341"/>
      <c r="M976" s="212"/>
      <c r="N976" s="605"/>
      <c r="O976" s="212"/>
      <c r="P976" s="341"/>
      <c r="Q976" s="212"/>
      <c r="R976" s="605"/>
      <c r="S976" s="225"/>
      <c r="T976" s="237"/>
      <c r="X976" s="23"/>
    </row>
    <row r="977" spans="1:24" ht="30" customHeight="1" x14ac:dyDescent="0.3">
      <c r="A977" s="262">
        <v>10</v>
      </c>
      <c r="C977" s="244"/>
      <c r="D977" s="161"/>
      <c r="E977" s="969"/>
      <c r="F977" s="970"/>
      <c r="G977" s="971"/>
      <c r="H977" s="161"/>
      <c r="I977" s="605"/>
      <c r="J977" s="605"/>
      <c r="K977" s="212"/>
      <c r="L977" s="341"/>
      <c r="M977" s="212"/>
      <c r="N977" s="605"/>
      <c r="O977" s="212"/>
      <c r="P977" s="341"/>
      <c r="Q977" s="212"/>
      <c r="R977" s="605"/>
      <c r="S977" s="225"/>
      <c r="T977" s="237"/>
      <c r="X977" s="23"/>
    </row>
    <row r="978" spans="1:24" ht="30" customHeight="1" x14ac:dyDescent="0.3">
      <c r="A978" s="262">
        <v>10</v>
      </c>
      <c r="C978" s="244"/>
      <c r="D978" s="161"/>
      <c r="E978" s="969"/>
      <c r="F978" s="970"/>
      <c r="G978" s="971"/>
      <c r="H978" s="161"/>
      <c r="I978" s="605"/>
      <c r="J978" s="605"/>
      <c r="K978" s="212"/>
      <c r="L978" s="341"/>
      <c r="M978" s="212"/>
      <c r="N978" s="605"/>
      <c r="O978" s="212"/>
      <c r="P978" s="341"/>
      <c r="Q978" s="212"/>
      <c r="R978" s="605"/>
      <c r="S978" s="225"/>
      <c r="T978" s="237"/>
      <c r="X978" s="23"/>
    </row>
    <row r="979" spans="1:24" ht="30" customHeight="1" x14ac:dyDescent="0.3">
      <c r="A979" s="262">
        <v>10</v>
      </c>
      <c r="C979" s="244"/>
      <c r="D979" s="161"/>
      <c r="E979" s="969"/>
      <c r="F979" s="970"/>
      <c r="G979" s="971"/>
      <c r="H979" s="161"/>
      <c r="I979" s="605"/>
      <c r="J979" s="605"/>
      <c r="K979" s="212"/>
      <c r="L979" s="341"/>
      <c r="M979" s="212"/>
      <c r="N979" s="605"/>
      <c r="O979" s="212"/>
      <c r="P979" s="341"/>
      <c r="Q979" s="212"/>
      <c r="R979" s="605"/>
      <c r="S979" s="225"/>
      <c r="T979" s="237"/>
      <c r="X979" s="23"/>
    </row>
    <row r="980" spans="1:24" ht="30" customHeight="1" x14ac:dyDescent="0.3">
      <c r="A980" s="262">
        <v>10</v>
      </c>
      <c r="C980" s="244"/>
      <c r="D980" s="161"/>
      <c r="E980" s="969"/>
      <c r="F980" s="970"/>
      <c r="G980" s="971"/>
      <c r="H980" s="161"/>
      <c r="I980" s="605"/>
      <c r="J980" s="605"/>
      <c r="K980" s="212"/>
      <c r="L980" s="341"/>
      <c r="M980" s="212"/>
      <c r="N980" s="605"/>
      <c r="O980" s="212"/>
      <c r="P980" s="341"/>
      <c r="Q980" s="212"/>
      <c r="R980" s="605"/>
      <c r="S980" s="225"/>
      <c r="T980" s="237"/>
      <c r="X980" s="23"/>
    </row>
    <row r="981" spans="1:24" ht="30" customHeight="1" x14ac:dyDescent="0.3">
      <c r="A981" s="262">
        <v>10</v>
      </c>
      <c r="C981" s="244"/>
      <c r="D981" s="161"/>
      <c r="E981" s="969"/>
      <c r="F981" s="970"/>
      <c r="G981" s="971"/>
      <c r="H981" s="161"/>
      <c r="I981" s="605"/>
      <c r="J981" s="605"/>
      <c r="K981" s="212"/>
      <c r="L981" s="341"/>
      <c r="M981" s="212"/>
      <c r="N981" s="605"/>
      <c r="O981" s="212"/>
      <c r="P981" s="341"/>
      <c r="Q981" s="212"/>
      <c r="R981" s="605"/>
      <c r="S981" s="225"/>
      <c r="T981" s="237"/>
      <c r="X981" s="23"/>
    </row>
    <row r="982" spans="1:24" ht="30" customHeight="1" x14ac:dyDescent="0.3">
      <c r="A982" s="262">
        <v>10</v>
      </c>
      <c r="C982" s="244"/>
      <c r="D982" s="161"/>
      <c r="E982" s="969"/>
      <c r="F982" s="970"/>
      <c r="G982" s="971"/>
      <c r="H982" s="161"/>
      <c r="I982" s="605"/>
      <c r="J982" s="605"/>
      <c r="K982" s="212"/>
      <c r="L982" s="341"/>
      <c r="M982" s="212"/>
      <c r="N982" s="605"/>
      <c r="O982" s="212"/>
      <c r="P982" s="341"/>
      <c r="Q982" s="212"/>
      <c r="R982" s="605"/>
      <c r="S982" s="225"/>
      <c r="T982" s="237"/>
      <c r="X982" s="23"/>
    </row>
    <row r="983" spans="1:24" ht="30" customHeight="1" x14ac:dyDescent="0.3">
      <c r="A983" s="262">
        <v>10</v>
      </c>
      <c r="C983" s="244"/>
      <c r="D983" s="161"/>
      <c r="E983" s="969"/>
      <c r="F983" s="970"/>
      <c r="G983" s="971"/>
      <c r="H983" s="161"/>
      <c r="I983" s="605"/>
      <c r="J983" s="605"/>
      <c r="K983" s="212"/>
      <c r="L983" s="341"/>
      <c r="M983" s="212"/>
      <c r="N983" s="605"/>
      <c r="O983" s="212"/>
      <c r="P983" s="341"/>
      <c r="Q983" s="212"/>
      <c r="R983" s="605"/>
      <c r="S983" s="225"/>
      <c r="T983" s="237"/>
      <c r="X983" s="23"/>
    </row>
    <row r="984" spans="1:24" ht="30" customHeight="1" x14ac:dyDescent="0.3">
      <c r="A984" s="262">
        <v>10</v>
      </c>
      <c r="C984" s="244"/>
      <c r="D984" s="161"/>
      <c r="E984" s="969"/>
      <c r="F984" s="970"/>
      <c r="G984" s="971"/>
      <c r="H984" s="161"/>
      <c r="I984" s="605"/>
      <c r="J984" s="605"/>
      <c r="K984" s="212"/>
      <c r="L984" s="341"/>
      <c r="M984" s="212"/>
      <c r="N984" s="605"/>
      <c r="O984" s="212"/>
      <c r="P984" s="341"/>
      <c r="Q984" s="212"/>
      <c r="R984" s="605"/>
      <c r="S984" s="225"/>
      <c r="T984" s="237"/>
      <c r="X984" s="23"/>
    </row>
    <row r="985" spans="1:24" ht="30" customHeight="1" x14ac:dyDescent="0.3">
      <c r="A985" s="262">
        <v>10</v>
      </c>
      <c r="C985" s="244"/>
      <c r="D985" s="161"/>
      <c r="E985" s="969"/>
      <c r="F985" s="970"/>
      <c r="G985" s="971"/>
      <c r="H985" s="161"/>
      <c r="I985" s="605"/>
      <c r="J985" s="605"/>
      <c r="K985" s="212"/>
      <c r="L985" s="341"/>
      <c r="M985" s="212"/>
      <c r="N985" s="605"/>
      <c r="O985" s="212"/>
      <c r="P985" s="341"/>
      <c r="Q985" s="212"/>
      <c r="R985" s="605"/>
      <c r="S985" s="225"/>
      <c r="T985" s="237"/>
      <c r="X985" s="23"/>
    </row>
    <row r="986" spans="1:24" ht="30" customHeight="1" x14ac:dyDescent="0.3">
      <c r="A986" s="262">
        <v>10</v>
      </c>
      <c r="C986" s="244"/>
      <c r="D986" s="161"/>
      <c r="E986" s="969"/>
      <c r="F986" s="970"/>
      <c r="G986" s="971"/>
      <c r="H986" s="161"/>
      <c r="I986" s="605"/>
      <c r="J986" s="605"/>
      <c r="K986" s="212"/>
      <c r="L986" s="341"/>
      <c r="M986" s="212"/>
      <c r="N986" s="605"/>
      <c r="O986" s="212"/>
      <c r="P986" s="341"/>
      <c r="Q986" s="212"/>
      <c r="R986" s="605"/>
      <c r="S986" s="225"/>
      <c r="T986" s="237"/>
      <c r="X986" s="23"/>
    </row>
    <row r="987" spans="1:24" ht="30" customHeight="1" x14ac:dyDescent="0.3">
      <c r="A987" s="262">
        <v>10</v>
      </c>
      <c r="C987" s="244"/>
      <c r="D987" s="161"/>
      <c r="E987" s="969"/>
      <c r="F987" s="970"/>
      <c r="G987" s="971"/>
      <c r="H987" s="161"/>
      <c r="I987" s="605"/>
      <c r="J987" s="605"/>
      <c r="K987" s="212"/>
      <c r="L987" s="341"/>
      <c r="M987" s="212"/>
      <c r="N987" s="605"/>
      <c r="O987" s="212"/>
      <c r="P987" s="341"/>
      <c r="Q987" s="212"/>
      <c r="R987" s="605"/>
      <c r="S987" s="225"/>
      <c r="T987" s="237"/>
      <c r="X987" s="23"/>
    </row>
    <row r="988" spans="1:24" ht="30" customHeight="1" x14ac:dyDescent="0.3">
      <c r="A988" s="262">
        <v>10</v>
      </c>
      <c r="C988" s="244"/>
      <c r="D988" s="161"/>
      <c r="E988" s="969"/>
      <c r="F988" s="970"/>
      <c r="G988" s="971"/>
      <c r="H988" s="161"/>
      <c r="I988" s="605"/>
      <c r="J988" s="605"/>
      <c r="K988" s="212"/>
      <c r="L988" s="341"/>
      <c r="M988" s="212"/>
      <c r="N988" s="605"/>
      <c r="O988" s="212"/>
      <c r="P988" s="341"/>
      <c r="Q988" s="212"/>
      <c r="R988" s="605"/>
      <c r="S988" s="225"/>
      <c r="T988" s="237"/>
      <c r="X988" s="23"/>
    </row>
    <row r="989" spans="1:24" ht="30" customHeight="1" x14ac:dyDescent="0.3">
      <c r="A989" s="262">
        <v>10</v>
      </c>
      <c r="C989" s="244"/>
      <c r="D989" s="161"/>
      <c r="E989" s="969"/>
      <c r="F989" s="970"/>
      <c r="G989" s="971"/>
      <c r="H989" s="161"/>
      <c r="I989" s="605"/>
      <c r="J989" s="605"/>
      <c r="K989" s="212"/>
      <c r="L989" s="341"/>
      <c r="M989" s="212"/>
      <c r="N989" s="605"/>
      <c r="O989" s="212"/>
      <c r="P989" s="341"/>
      <c r="Q989" s="212"/>
      <c r="R989" s="605"/>
      <c r="S989" s="225"/>
      <c r="T989" s="237"/>
      <c r="X989" s="23"/>
    </row>
    <row r="990" spans="1:24" ht="30" customHeight="1" x14ac:dyDescent="0.3">
      <c r="A990" s="262">
        <v>10</v>
      </c>
      <c r="C990" s="244"/>
      <c r="D990" s="161"/>
      <c r="E990" s="969"/>
      <c r="F990" s="970"/>
      <c r="G990" s="971"/>
      <c r="H990" s="658"/>
      <c r="I990" s="605"/>
      <c r="J990" s="605"/>
      <c r="K990" s="212"/>
      <c r="L990" s="341"/>
      <c r="M990" s="302"/>
      <c r="N990" s="605"/>
      <c r="O990" s="212"/>
      <c r="P990" s="341"/>
      <c r="Q990" s="302"/>
      <c r="R990" s="605"/>
      <c r="S990" s="225"/>
      <c r="T990" s="237"/>
      <c r="X990" s="23"/>
    </row>
    <row r="991" spans="1:24" ht="40.049999999999997" customHeight="1" x14ac:dyDescent="0.3">
      <c r="A991" s="262" t="s">
        <v>1242</v>
      </c>
      <c r="C991" s="258"/>
      <c r="D991" s="258"/>
      <c r="E991" s="972" t="s">
        <v>33</v>
      </c>
      <c r="F991" s="972"/>
      <c r="G991" s="972"/>
      <c r="H991" s="973" t="s">
        <v>29</v>
      </c>
      <c r="I991" s="973"/>
      <c r="J991" s="973"/>
      <c r="K991" s="973"/>
      <c r="L991" s="973"/>
      <c r="M991" s="549"/>
      <c r="N991" s="973" t="s">
        <v>22</v>
      </c>
      <c r="O991" s="973"/>
      <c r="P991" s="973"/>
      <c r="Q991" s="973"/>
      <c r="R991" s="973"/>
      <c r="S991" s="973"/>
      <c r="T991" s="973"/>
      <c r="X991" s="23"/>
    </row>
    <row r="992" spans="1:24" ht="19.95" customHeight="1" x14ac:dyDescent="0.3">
      <c r="A992" s="262" t="s">
        <v>1242</v>
      </c>
      <c r="D992" s="28"/>
      <c r="E992" s="974" t="s">
        <v>1214</v>
      </c>
      <c r="F992" s="974"/>
      <c r="G992" s="974"/>
      <c r="H992" s="975" t="s">
        <v>38</v>
      </c>
      <c r="I992" s="975"/>
      <c r="J992" s="975"/>
      <c r="K992" s="975"/>
      <c r="L992" s="975"/>
      <c r="M992" s="562"/>
      <c r="N992" s="975" t="s">
        <v>1437</v>
      </c>
      <c r="O992" s="975"/>
      <c r="P992" s="975"/>
      <c r="Q992" s="975"/>
      <c r="R992" s="975"/>
      <c r="S992" s="975"/>
      <c r="T992" s="975"/>
      <c r="X992" s="23"/>
    </row>
    <row r="993" spans="1:24" ht="19.95" customHeight="1" x14ac:dyDescent="0.3">
      <c r="A993" s="262" t="s">
        <v>1242</v>
      </c>
      <c r="C993" s="228"/>
      <c r="D993" s="228"/>
      <c r="E993" s="561"/>
      <c r="F993" s="561"/>
      <c r="G993" s="561"/>
      <c r="H993" s="974" t="s">
        <v>32</v>
      </c>
      <c r="I993" s="974"/>
      <c r="J993" s="260"/>
      <c r="K993" s="968" t="s">
        <v>1407</v>
      </c>
      <c r="L993" s="968"/>
      <c r="M993" s="260"/>
      <c r="N993" s="975"/>
      <c r="O993" s="975"/>
      <c r="P993" s="975"/>
      <c r="Q993" s="975"/>
      <c r="R993" s="975"/>
      <c r="S993" s="975"/>
      <c r="T993" s="975"/>
      <c r="X993" s="23"/>
    </row>
    <row r="994" spans="1:24" ht="19.95" customHeight="1" x14ac:dyDescent="0.3">
      <c r="A994" s="262" t="s">
        <v>1242</v>
      </c>
      <c r="C994" s="228"/>
      <c r="D994" s="228"/>
      <c r="E994" s="561"/>
      <c r="F994" s="561"/>
      <c r="G994" s="561"/>
      <c r="H994" s="975" t="s">
        <v>94</v>
      </c>
      <c r="I994" s="975"/>
      <c r="J994" s="260"/>
      <c r="K994" s="977" t="s">
        <v>94</v>
      </c>
      <c r="L994" s="977"/>
      <c r="M994" s="260"/>
      <c r="N994" s="975"/>
      <c r="O994" s="975"/>
      <c r="P994" s="975"/>
      <c r="Q994" s="975"/>
      <c r="R994" s="975"/>
      <c r="S994" s="975"/>
      <c r="T994" s="975"/>
      <c r="X994" s="23"/>
    </row>
    <row r="995" spans="1:24" ht="19.95" customHeight="1" x14ac:dyDescent="0.3">
      <c r="A995" s="262" t="s">
        <v>1242</v>
      </c>
      <c r="C995" s="228"/>
      <c r="D995" s="228"/>
      <c r="E995" s="561"/>
      <c r="F995" s="561"/>
      <c r="G995" s="561"/>
      <c r="H995" s="975"/>
      <c r="I995" s="975"/>
      <c r="J995" s="261"/>
      <c r="K995" s="977"/>
      <c r="L995" s="977"/>
      <c r="M995" s="261"/>
      <c r="N995" s="260"/>
      <c r="O995" s="260"/>
      <c r="P995" s="260"/>
      <c r="Q995" s="260"/>
      <c r="R995" s="260"/>
      <c r="S995" s="260"/>
      <c r="T995" s="260"/>
      <c r="X995" s="23"/>
    </row>
    <row r="996" spans="1:24" ht="19.95" customHeight="1" x14ac:dyDescent="0.3">
      <c r="A996" s="262" t="s">
        <v>1242</v>
      </c>
      <c r="C996" s="228"/>
      <c r="D996" s="228"/>
      <c r="E996" s="561"/>
      <c r="F996" s="561"/>
      <c r="G996" s="561"/>
      <c r="H996" s="975"/>
      <c r="I996" s="975"/>
      <c r="J996" s="562"/>
      <c r="K996" s="975"/>
      <c r="L996" s="975"/>
      <c r="M996" s="562"/>
      <c r="N996" s="968" t="s">
        <v>28</v>
      </c>
      <c r="O996" s="968"/>
      <c r="P996" s="968"/>
      <c r="Q996" s="968"/>
      <c r="R996" s="968"/>
      <c r="S996" s="968"/>
      <c r="T996" s="968"/>
      <c r="X996" s="23"/>
    </row>
    <row r="997" spans="1:24" ht="19.95" customHeight="1" x14ac:dyDescent="0.3">
      <c r="A997" s="262" t="s">
        <v>1242</v>
      </c>
      <c r="C997" s="228"/>
      <c r="D997" s="228"/>
      <c r="E997" s="561"/>
      <c r="F997" s="561"/>
      <c r="G997" s="561"/>
      <c r="H997" s="976" t="s">
        <v>1220</v>
      </c>
      <c r="I997" s="976"/>
      <c r="J997" s="976"/>
      <c r="K997" s="976"/>
      <c r="L997" s="976"/>
      <c r="M997" s="623"/>
      <c r="N997" s="968" t="s">
        <v>1486</v>
      </c>
      <c r="O997" s="968"/>
      <c r="P997" s="968"/>
      <c r="Q997" s="968"/>
      <c r="R997" s="968"/>
      <c r="S997" s="968"/>
      <c r="T997" s="968"/>
      <c r="X997" s="23"/>
    </row>
    <row r="998" spans="1:24" ht="19.95" customHeight="1" x14ac:dyDescent="0.3">
      <c r="A998" s="262" t="s">
        <v>1242</v>
      </c>
      <c r="C998" s="228"/>
      <c r="D998" s="228"/>
      <c r="E998" s="561"/>
      <c r="F998" s="561"/>
      <c r="G998" s="561"/>
      <c r="H998" s="976"/>
      <c r="I998" s="976"/>
      <c r="J998" s="976"/>
      <c r="K998" s="976"/>
      <c r="L998" s="976"/>
      <c r="M998" s="623"/>
      <c r="N998" s="968"/>
      <c r="O998" s="968"/>
      <c r="P998" s="968"/>
      <c r="Q998" s="260"/>
      <c r="R998" s="968"/>
      <c r="S998" s="968"/>
      <c r="T998" s="968"/>
      <c r="X998" s="23"/>
    </row>
    <row r="999" spans="1:24" ht="19.95" customHeight="1" x14ac:dyDescent="0.3">
      <c r="A999" s="262" t="s">
        <v>1242</v>
      </c>
      <c r="C999" s="228"/>
      <c r="D999" s="228"/>
      <c r="E999" s="561"/>
      <c r="F999" s="561"/>
      <c r="G999" s="561"/>
      <c r="H999" s="228"/>
      <c r="I999" s="260"/>
      <c r="J999" s="260"/>
      <c r="K999" s="260"/>
      <c r="L999" s="260"/>
      <c r="M999" s="260"/>
      <c r="N999" s="260"/>
      <c r="O999" s="260"/>
      <c r="P999" s="260"/>
      <c r="Q999" s="260"/>
      <c r="R999" s="260"/>
      <c r="S999" s="624"/>
      <c r="T999" s="260"/>
      <c r="X999" s="23"/>
    </row>
    <row r="1000" spans="1:24" ht="19.95" customHeight="1" x14ac:dyDescent="0.3">
      <c r="A1000" s="262" t="s">
        <v>1242</v>
      </c>
      <c r="C1000" s="228"/>
      <c r="D1000" s="228"/>
      <c r="E1000" s="975" t="s">
        <v>1215</v>
      </c>
      <c r="F1000" s="975"/>
      <c r="G1000" s="975"/>
      <c r="H1000" s="975" t="s">
        <v>1348</v>
      </c>
      <c r="I1000" s="975"/>
      <c r="J1000" s="975"/>
      <c r="K1000" s="975"/>
      <c r="L1000" s="975"/>
      <c r="M1000" s="562"/>
      <c r="N1000" s="977" t="s">
        <v>1219</v>
      </c>
      <c r="O1000" s="968"/>
      <c r="P1000" s="968"/>
      <c r="Q1000" s="968"/>
      <c r="R1000" s="968"/>
      <c r="S1000" s="968"/>
      <c r="T1000" s="968"/>
      <c r="X1000" s="23"/>
    </row>
    <row r="1001" spans="1:24" ht="19.95" customHeight="1" x14ac:dyDescent="0.3">
      <c r="A1001" s="262" t="s">
        <v>1290</v>
      </c>
      <c r="C1001" s="228"/>
      <c r="D1001" s="228"/>
      <c r="E1001" s="975"/>
      <c r="F1001" s="975"/>
      <c r="G1001" s="975"/>
      <c r="H1001" s="975"/>
      <c r="I1001" s="975"/>
      <c r="J1001" s="975"/>
      <c r="K1001" s="975"/>
      <c r="L1001" s="975"/>
      <c r="M1001" s="562"/>
      <c r="N1001" s="968"/>
      <c r="O1001" s="968"/>
      <c r="P1001" s="968"/>
      <c r="Q1001" s="968"/>
      <c r="R1001" s="968"/>
      <c r="S1001" s="968"/>
      <c r="T1001" s="968"/>
      <c r="X1001" s="23"/>
    </row>
    <row r="1002" spans="1:24" ht="30" customHeight="1" x14ac:dyDescent="0.3">
      <c r="A1002" s="262">
        <v>10</v>
      </c>
      <c r="C1002" s="244">
        <v>480</v>
      </c>
      <c r="D1002" s="161" t="s">
        <v>1148</v>
      </c>
      <c r="E1002" s="969" t="s">
        <v>1152</v>
      </c>
      <c r="F1002" s="970"/>
      <c r="G1002" s="971"/>
      <c r="H1002" s="544" t="s">
        <v>286</v>
      </c>
      <c r="I1002" s="212">
        <v>24981566.850000001</v>
      </c>
      <c r="J1002" s="605"/>
      <c r="K1002" s="212">
        <v>1</v>
      </c>
      <c r="L1002" s="212">
        <f>+ROUND(I1002*K1002,2)</f>
        <v>24981566.850000001</v>
      </c>
      <c r="M1002" s="602"/>
      <c r="N1002" s="675">
        <f>+'Yeşil Defter'!K1089</f>
        <v>0</v>
      </c>
      <c r="O1002" s="675">
        <f>+'Yeşil Defter'!L1089</f>
        <v>0</v>
      </c>
      <c r="P1002" s="675">
        <f>+'Yeşil Defter'!M1089</f>
        <v>0</v>
      </c>
      <c r="Q1002" s="212"/>
      <c r="R1002" s="605">
        <f>+ROUND(K1002*N1002,2)</f>
        <v>0</v>
      </c>
      <c r="S1002" s="225">
        <f>+T1002-R1002</f>
        <v>0</v>
      </c>
      <c r="T1002" s="237">
        <f>+ROUND(K1002*P1002,2)</f>
        <v>0</v>
      </c>
      <c r="X1002" s="23" t="str">
        <f t="shared" ref="X1002:X1039" si="148">IF(AND(P1003&gt;K1003*1.2, (P1003-K1003)*I1003 &gt; $L$13*0.01), "RBF", "-")</f>
        <v>-</v>
      </c>
    </row>
    <row r="1003" spans="1:24" ht="30" customHeight="1" x14ac:dyDescent="0.3">
      <c r="A1003" s="262">
        <v>10</v>
      </c>
      <c r="C1003" s="244"/>
      <c r="D1003" s="161"/>
      <c r="E1003" s="969"/>
      <c r="F1003" s="970"/>
      <c r="G1003" s="971"/>
      <c r="H1003" s="544"/>
      <c r="I1003" s="212"/>
      <c r="J1003" s="605"/>
      <c r="K1003" s="212"/>
      <c r="L1003" s="212"/>
      <c r="M1003" s="602"/>
      <c r="N1003" s="675"/>
      <c r="O1003" s="675"/>
      <c r="P1003" s="675"/>
      <c r="Q1003" s="212"/>
      <c r="R1003" s="605"/>
      <c r="S1003" s="225"/>
      <c r="T1003" s="237"/>
      <c r="X1003" s="23"/>
    </row>
    <row r="1004" spans="1:24" ht="30" customHeight="1" x14ac:dyDescent="0.3">
      <c r="A1004" s="262">
        <v>10</v>
      </c>
      <c r="C1004" s="244"/>
      <c r="D1004" s="161"/>
      <c r="E1004" s="969"/>
      <c r="F1004" s="970"/>
      <c r="G1004" s="971"/>
      <c r="H1004" s="544"/>
      <c r="I1004" s="212"/>
      <c r="J1004" s="605"/>
      <c r="K1004" s="212"/>
      <c r="L1004" s="212"/>
      <c r="M1004" s="602"/>
      <c r="N1004" s="675"/>
      <c r="O1004" s="675"/>
      <c r="P1004" s="675"/>
      <c r="Q1004" s="212"/>
      <c r="R1004" s="605"/>
      <c r="S1004" s="225"/>
      <c r="T1004" s="237"/>
      <c r="X1004" s="23"/>
    </row>
    <row r="1005" spans="1:24" ht="30" customHeight="1" x14ac:dyDescent="0.3">
      <c r="A1005" s="262">
        <v>10</v>
      </c>
      <c r="C1005" s="244"/>
      <c r="D1005" s="161"/>
      <c r="E1005" s="969"/>
      <c r="F1005" s="970"/>
      <c r="G1005" s="971"/>
      <c r="H1005" s="544"/>
      <c r="I1005" s="212"/>
      <c r="J1005" s="605"/>
      <c r="K1005" s="212"/>
      <c r="L1005" s="212"/>
      <c r="M1005" s="602"/>
      <c r="N1005" s="675"/>
      <c r="O1005" s="675"/>
      <c r="P1005" s="675"/>
      <c r="Q1005" s="212"/>
      <c r="R1005" s="605"/>
      <c r="S1005" s="225"/>
      <c r="T1005" s="237"/>
      <c r="X1005" s="23"/>
    </row>
    <row r="1006" spans="1:24" ht="30" customHeight="1" x14ac:dyDescent="0.3">
      <c r="A1006" s="262">
        <v>10</v>
      </c>
      <c r="C1006" s="244"/>
      <c r="D1006" s="161"/>
      <c r="E1006" s="969"/>
      <c r="F1006" s="970"/>
      <c r="G1006" s="971"/>
      <c r="H1006" s="544"/>
      <c r="I1006" s="212"/>
      <c r="J1006" s="605"/>
      <c r="K1006" s="212"/>
      <c r="L1006" s="212"/>
      <c r="M1006" s="602"/>
      <c r="N1006" s="675"/>
      <c r="O1006" s="675"/>
      <c r="P1006" s="675"/>
      <c r="Q1006" s="212"/>
      <c r="R1006" s="605"/>
      <c r="S1006" s="225"/>
      <c r="T1006" s="237"/>
      <c r="X1006" s="23"/>
    </row>
    <row r="1007" spans="1:24" ht="30" customHeight="1" x14ac:dyDescent="0.3">
      <c r="A1007" s="262">
        <v>10</v>
      </c>
      <c r="C1007" s="244"/>
      <c r="D1007" s="161"/>
      <c r="E1007" s="969"/>
      <c r="F1007" s="970"/>
      <c r="G1007" s="971"/>
      <c r="H1007" s="544"/>
      <c r="I1007" s="212"/>
      <c r="J1007" s="605"/>
      <c r="K1007" s="212"/>
      <c r="L1007" s="212"/>
      <c r="M1007" s="602"/>
      <c r="N1007" s="675"/>
      <c r="O1007" s="675"/>
      <c r="P1007" s="675"/>
      <c r="Q1007" s="212"/>
      <c r="R1007" s="605"/>
      <c r="S1007" s="225"/>
      <c r="T1007" s="237"/>
      <c r="X1007" s="23"/>
    </row>
    <row r="1008" spans="1:24" ht="30" customHeight="1" x14ac:dyDescent="0.3">
      <c r="A1008" s="262">
        <v>10</v>
      </c>
      <c r="C1008" s="11"/>
      <c r="I1008" s="11"/>
      <c r="L1008" s="11"/>
      <c r="N1008" s="11"/>
      <c r="O1008" s="11"/>
      <c r="P1008" s="11"/>
      <c r="Q1008" s="11"/>
      <c r="X1008" s="23"/>
    </row>
    <row r="1009" spans="1:24" ht="30" customHeight="1" x14ac:dyDescent="0.3">
      <c r="A1009" s="262">
        <v>10</v>
      </c>
      <c r="C1009" s="244"/>
      <c r="D1009" s="161"/>
      <c r="E1009" s="969"/>
      <c r="F1009" s="970"/>
      <c r="G1009" s="971"/>
      <c r="H1009" s="161"/>
      <c r="I1009" s="605"/>
      <c r="J1009" s="605"/>
      <c r="K1009" s="212"/>
      <c r="L1009" s="341"/>
      <c r="M1009" s="212"/>
      <c r="N1009" s="605"/>
      <c r="O1009" s="212"/>
      <c r="P1009" s="341"/>
      <c r="Q1009" s="212"/>
      <c r="R1009" s="605"/>
      <c r="S1009" s="225"/>
      <c r="T1009" s="237"/>
      <c r="X1009" s="23"/>
    </row>
    <row r="1010" spans="1:24" ht="30" customHeight="1" x14ac:dyDescent="0.3">
      <c r="A1010" s="262">
        <v>10</v>
      </c>
      <c r="C1010" s="244"/>
      <c r="D1010" s="161"/>
      <c r="E1010" s="969"/>
      <c r="F1010" s="970"/>
      <c r="G1010" s="971"/>
      <c r="H1010" s="161"/>
      <c r="I1010" s="605"/>
      <c r="J1010" s="605"/>
      <c r="K1010" s="212"/>
      <c r="L1010" s="341"/>
      <c r="M1010" s="212"/>
      <c r="N1010" s="605"/>
      <c r="O1010" s="212"/>
      <c r="P1010" s="341"/>
      <c r="Q1010" s="212"/>
      <c r="R1010" s="605"/>
      <c r="S1010" s="225"/>
      <c r="T1010" s="237"/>
      <c r="X1010" s="23"/>
    </row>
    <row r="1011" spans="1:24" ht="30" customHeight="1" x14ac:dyDescent="0.3">
      <c r="A1011" s="262">
        <v>10</v>
      </c>
      <c r="C1011" s="244"/>
      <c r="D1011" s="161"/>
      <c r="E1011" s="969"/>
      <c r="F1011" s="970"/>
      <c r="G1011" s="971"/>
      <c r="H1011" s="161"/>
      <c r="I1011" s="605"/>
      <c r="J1011" s="605"/>
      <c r="K1011" s="212"/>
      <c r="L1011" s="341"/>
      <c r="M1011" s="212"/>
      <c r="N1011" s="605"/>
      <c r="O1011" s="212"/>
      <c r="P1011" s="341"/>
      <c r="Q1011" s="212"/>
      <c r="R1011" s="605"/>
      <c r="S1011" s="225"/>
      <c r="T1011" s="237"/>
      <c r="X1011" s="23"/>
    </row>
    <row r="1012" spans="1:24" ht="30" customHeight="1" x14ac:dyDescent="0.3">
      <c r="A1012" s="262">
        <v>10</v>
      </c>
      <c r="C1012" s="244"/>
      <c r="D1012" s="161"/>
      <c r="E1012" s="969"/>
      <c r="F1012" s="970"/>
      <c r="G1012" s="971"/>
      <c r="H1012" s="161"/>
      <c r="I1012" s="605"/>
      <c r="J1012" s="605"/>
      <c r="K1012" s="212"/>
      <c r="L1012" s="341"/>
      <c r="M1012" s="212"/>
      <c r="N1012" s="605"/>
      <c r="O1012" s="212"/>
      <c r="P1012" s="341"/>
      <c r="Q1012" s="212"/>
      <c r="R1012" s="605"/>
      <c r="S1012" s="225"/>
      <c r="T1012" s="237"/>
      <c r="X1012" s="23"/>
    </row>
    <row r="1013" spans="1:24" ht="30" customHeight="1" x14ac:dyDescent="0.3">
      <c r="A1013" s="262">
        <v>10</v>
      </c>
      <c r="C1013" s="244"/>
      <c r="D1013" s="161"/>
      <c r="E1013" s="969"/>
      <c r="F1013" s="970"/>
      <c r="G1013" s="971"/>
      <c r="H1013" s="161"/>
      <c r="I1013" s="605"/>
      <c r="J1013" s="605"/>
      <c r="K1013" s="212"/>
      <c r="L1013" s="341"/>
      <c r="M1013" s="212"/>
      <c r="N1013" s="605"/>
      <c r="O1013" s="212"/>
      <c r="P1013" s="341"/>
      <c r="Q1013" s="212"/>
      <c r="R1013" s="605"/>
      <c r="S1013" s="225"/>
      <c r="T1013" s="237"/>
      <c r="X1013" s="23"/>
    </row>
    <row r="1014" spans="1:24" ht="30" customHeight="1" x14ac:dyDescent="0.3">
      <c r="A1014" s="262">
        <v>10</v>
      </c>
      <c r="C1014" s="244"/>
      <c r="D1014" s="161"/>
      <c r="E1014" s="969"/>
      <c r="F1014" s="970"/>
      <c r="G1014" s="971"/>
      <c r="H1014" s="161"/>
      <c r="I1014" s="605"/>
      <c r="J1014" s="605"/>
      <c r="K1014" s="212"/>
      <c r="L1014" s="341"/>
      <c r="M1014" s="212"/>
      <c r="N1014" s="605"/>
      <c r="O1014" s="212"/>
      <c r="P1014" s="341"/>
      <c r="Q1014" s="212"/>
      <c r="R1014" s="605"/>
      <c r="S1014" s="225"/>
      <c r="T1014" s="237"/>
      <c r="X1014" s="23"/>
    </row>
    <row r="1015" spans="1:24" ht="30" customHeight="1" x14ac:dyDescent="0.3">
      <c r="A1015" s="262">
        <v>10</v>
      </c>
      <c r="C1015" s="244"/>
      <c r="D1015" s="161"/>
      <c r="E1015" s="969"/>
      <c r="F1015" s="970"/>
      <c r="G1015" s="971"/>
      <c r="H1015" s="161"/>
      <c r="I1015" s="605"/>
      <c r="J1015" s="605"/>
      <c r="K1015" s="212"/>
      <c r="L1015" s="341"/>
      <c r="M1015" s="212"/>
      <c r="N1015" s="605"/>
      <c r="O1015" s="212"/>
      <c r="P1015" s="341"/>
      <c r="Q1015" s="212"/>
      <c r="R1015" s="605"/>
      <c r="S1015" s="225"/>
      <c r="T1015" s="237"/>
      <c r="X1015" s="23"/>
    </row>
    <row r="1016" spans="1:24" ht="30" customHeight="1" x14ac:dyDescent="0.3">
      <c r="A1016" s="262">
        <v>10</v>
      </c>
      <c r="C1016" s="244"/>
      <c r="D1016" s="161"/>
      <c r="E1016" s="969"/>
      <c r="F1016" s="970"/>
      <c r="G1016" s="971"/>
      <c r="H1016" s="161"/>
      <c r="I1016" s="605"/>
      <c r="J1016" s="605"/>
      <c r="K1016" s="212"/>
      <c r="L1016" s="341"/>
      <c r="M1016" s="212"/>
      <c r="N1016" s="605"/>
      <c r="O1016" s="212"/>
      <c r="P1016" s="341"/>
      <c r="Q1016" s="212"/>
      <c r="R1016" s="605"/>
      <c r="S1016" s="225"/>
      <c r="T1016" s="237"/>
      <c r="X1016" s="23"/>
    </row>
    <row r="1017" spans="1:24" ht="30" customHeight="1" x14ac:dyDescent="0.3">
      <c r="A1017" s="262">
        <v>10</v>
      </c>
      <c r="C1017" s="244"/>
      <c r="D1017" s="161"/>
      <c r="E1017" s="969"/>
      <c r="F1017" s="970"/>
      <c r="G1017" s="971"/>
      <c r="H1017" s="161"/>
      <c r="I1017" s="605"/>
      <c r="J1017" s="605"/>
      <c r="K1017" s="212"/>
      <c r="L1017" s="341"/>
      <c r="M1017" s="212"/>
      <c r="N1017" s="605"/>
      <c r="O1017" s="212"/>
      <c r="P1017" s="341"/>
      <c r="Q1017" s="212"/>
      <c r="R1017" s="605"/>
      <c r="S1017" s="225"/>
      <c r="T1017" s="237"/>
      <c r="X1017" s="23"/>
    </row>
    <row r="1018" spans="1:24" ht="30" customHeight="1" x14ac:dyDescent="0.3">
      <c r="A1018" s="262">
        <v>10</v>
      </c>
      <c r="C1018" s="244"/>
      <c r="D1018" s="161"/>
      <c r="E1018" s="969"/>
      <c r="F1018" s="970"/>
      <c r="G1018" s="971"/>
      <c r="H1018" s="161"/>
      <c r="I1018" s="605"/>
      <c r="J1018" s="605"/>
      <c r="K1018" s="212"/>
      <c r="L1018" s="341"/>
      <c r="M1018" s="212"/>
      <c r="N1018" s="605"/>
      <c r="O1018" s="212"/>
      <c r="P1018" s="341"/>
      <c r="Q1018" s="212"/>
      <c r="R1018" s="605"/>
      <c r="S1018" s="225"/>
      <c r="T1018" s="237"/>
      <c r="X1018" s="23"/>
    </row>
    <row r="1019" spans="1:24" ht="30" customHeight="1" x14ac:dyDescent="0.3">
      <c r="A1019" s="262">
        <v>10</v>
      </c>
      <c r="C1019" s="244"/>
      <c r="D1019" s="161"/>
      <c r="E1019" s="969"/>
      <c r="F1019" s="970"/>
      <c r="G1019" s="971"/>
      <c r="H1019" s="161"/>
      <c r="I1019" s="605"/>
      <c r="J1019" s="605"/>
      <c r="K1019" s="212"/>
      <c r="L1019" s="341"/>
      <c r="M1019" s="212"/>
      <c r="N1019" s="605"/>
      <c r="O1019" s="212"/>
      <c r="P1019" s="341"/>
      <c r="Q1019" s="212"/>
      <c r="R1019" s="605"/>
      <c r="S1019" s="225"/>
      <c r="T1019" s="237"/>
      <c r="X1019" s="23"/>
    </row>
    <row r="1020" spans="1:24" ht="30" customHeight="1" x14ac:dyDescent="0.3">
      <c r="A1020" s="262">
        <v>10</v>
      </c>
      <c r="C1020" s="244"/>
      <c r="D1020" s="161"/>
      <c r="E1020" s="969"/>
      <c r="F1020" s="970"/>
      <c r="G1020" s="971"/>
      <c r="H1020" s="161"/>
      <c r="I1020" s="605"/>
      <c r="J1020" s="605"/>
      <c r="K1020" s="212"/>
      <c r="L1020" s="341"/>
      <c r="M1020" s="212"/>
      <c r="N1020" s="605"/>
      <c r="O1020" s="212"/>
      <c r="P1020" s="341"/>
      <c r="Q1020" s="212"/>
      <c r="R1020" s="605"/>
      <c r="S1020" s="225"/>
      <c r="T1020" s="237"/>
      <c r="X1020" s="23"/>
    </row>
    <row r="1021" spans="1:24" ht="30" customHeight="1" x14ac:dyDescent="0.3">
      <c r="A1021" s="262">
        <v>10</v>
      </c>
      <c r="C1021" s="244"/>
      <c r="D1021" s="161"/>
      <c r="E1021" s="969"/>
      <c r="F1021" s="970"/>
      <c r="G1021" s="971"/>
      <c r="H1021" s="161"/>
      <c r="I1021" s="605"/>
      <c r="J1021" s="605"/>
      <c r="K1021" s="212"/>
      <c r="L1021" s="341"/>
      <c r="M1021" s="212"/>
      <c r="N1021" s="605"/>
      <c r="O1021" s="212"/>
      <c r="P1021" s="341"/>
      <c r="Q1021" s="212"/>
      <c r="R1021" s="605"/>
      <c r="S1021" s="225"/>
      <c r="T1021" s="237"/>
      <c r="X1021" s="23"/>
    </row>
    <row r="1022" spans="1:24" ht="30" customHeight="1" x14ac:dyDescent="0.3">
      <c r="A1022" s="262">
        <v>10</v>
      </c>
      <c r="C1022" s="244"/>
      <c r="D1022" s="161"/>
      <c r="E1022" s="969"/>
      <c r="F1022" s="970"/>
      <c r="G1022" s="971"/>
      <c r="H1022" s="161"/>
      <c r="I1022" s="605"/>
      <c r="J1022" s="605"/>
      <c r="K1022" s="212"/>
      <c r="L1022" s="341"/>
      <c r="M1022" s="212"/>
      <c r="N1022" s="605"/>
      <c r="O1022" s="212"/>
      <c r="P1022" s="341"/>
      <c r="Q1022" s="212"/>
      <c r="R1022" s="605"/>
      <c r="S1022" s="225"/>
      <c r="T1022" s="237"/>
      <c r="X1022" s="23"/>
    </row>
    <row r="1023" spans="1:24" ht="30" customHeight="1" x14ac:dyDescent="0.3">
      <c r="A1023" s="262">
        <v>10</v>
      </c>
      <c r="C1023" s="244"/>
      <c r="D1023" s="161"/>
      <c r="E1023" s="969"/>
      <c r="F1023" s="970"/>
      <c r="G1023" s="971"/>
      <c r="H1023" s="161"/>
      <c r="I1023" s="605"/>
      <c r="J1023" s="605"/>
      <c r="K1023" s="212"/>
      <c r="L1023" s="341"/>
      <c r="M1023" s="212"/>
      <c r="N1023" s="605"/>
      <c r="O1023" s="212"/>
      <c r="P1023" s="341"/>
      <c r="Q1023" s="212"/>
      <c r="R1023" s="605"/>
      <c r="S1023" s="225"/>
      <c r="T1023" s="237"/>
      <c r="X1023" s="23"/>
    </row>
    <row r="1024" spans="1:24" ht="30" customHeight="1" x14ac:dyDescent="0.3">
      <c r="A1024" s="262">
        <v>10</v>
      </c>
      <c r="C1024" s="244"/>
      <c r="D1024" s="161"/>
      <c r="E1024" s="969"/>
      <c r="F1024" s="970"/>
      <c r="G1024" s="971"/>
      <c r="H1024" s="658"/>
      <c r="I1024" s="605"/>
      <c r="J1024" s="605"/>
      <c r="K1024" s="212"/>
      <c r="L1024" s="341"/>
      <c r="M1024" s="302"/>
      <c r="N1024" s="605"/>
      <c r="O1024" s="212"/>
      <c r="P1024" s="341"/>
      <c r="Q1024" s="302"/>
      <c r="R1024" s="605"/>
      <c r="S1024" s="225"/>
      <c r="T1024" s="237"/>
      <c r="X1024" s="23"/>
    </row>
    <row r="1025" spans="1:24" ht="40.049999999999997" customHeight="1" x14ac:dyDescent="0.3">
      <c r="A1025" s="262" t="s">
        <v>1242</v>
      </c>
      <c r="C1025" s="258"/>
      <c r="D1025" s="258"/>
      <c r="E1025" s="972" t="s">
        <v>33</v>
      </c>
      <c r="F1025" s="972"/>
      <c r="G1025" s="972"/>
      <c r="H1025" s="973" t="s">
        <v>29</v>
      </c>
      <c r="I1025" s="973"/>
      <c r="J1025" s="973"/>
      <c r="K1025" s="973"/>
      <c r="L1025" s="973"/>
      <c r="M1025" s="549"/>
      <c r="N1025" s="973" t="s">
        <v>22</v>
      </c>
      <c r="O1025" s="973"/>
      <c r="P1025" s="973"/>
      <c r="Q1025" s="973"/>
      <c r="R1025" s="973"/>
      <c r="S1025" s="973"/>
      <c r="T1025" s="973"/>
      <c r="X1025" s="23"/>
    </row>
    <row r="1026" spans="1:24" ht="19.95" customHeight="1" x14ac:dyDescent="0.3">
      <c r="A1026" s="262" t="s">
        <v>1242</v>
      </c>
      <c r="D1026" s="28"/>
      <c r="E1026" s="974" t="s">
        <v>1214</v>
      </c>
      <c r="F1026" s="974"/>
      <c r="G1026" s="974"/>
      <c r="H1026" s="975" t="s">
        <v>38</v>
      </c>
      <c r="I1026" s="975"/>
      <c r="J1026" s="975"/>
      <c r="K1026" s="975"/>
      <c r="L1026" s="975"/>
      <c r="M1026" s="562"/>
      <c r="N1026" s="975" t="s">
        <v>1437</v>
      </c>
      <c r="O1026" s="975"/>
      <c r="P1026" s="975"/>
      <c r="Q1026" s="975"/>
      <c r="R1026" s="975"/>
      <c r="S1026" s="975"/>
      <c r="T1026" s="975"/>
      <c r="X1026" s="23"/>
    </row>
    <row r="1027" spans="1:24" ht="19.95" customHeight="1" x14ac:dyDescent="0.3">
      <c r="A1027" s="262" t="s">
        <v>1242</v>
      </c>
      <c r="C1027" s="228"/>
      <c r="D1027" s="228"/>
      <c r="E1027" s="561"/>
      <c r="F1027" s="561"/>
      <c r="G1027" s="561"/>
      <c r="H1027" s="975" t="s">
        <v>32</v>
      </c>
      <c r="I1027" s="975"/>
      <c r="J1027" s="562"/>
      <c r="K1027" s="975" t="s">
        <v>1407</v>
      </c>
      <c r="L1027" s="975"/>
      <c r="M1027" s="260"/>
      <c r="N1027" s="975"/>
      <c r="O1027" s="975"/>
      <c r="P1027" s="975"/>
      <c r="Q1027" s="975"/>
      <c r="R1027" s="975"/>
      <c r="S1027" s="975"/>
      <c r="T1027" s="975"/>
      <c r="X1027" s="23"/>
    </row>
    <row r="1028" spans="1:24" ht="19.95" customHeight="1" x14ac:dyDescent="0.3">
      <c r="A1028" s="262" t="s">
        <v>1242</v>
      </c>
      <c r="C1028" s="228"/>
      <c r="D1028" s="228"/>
      <c r="E1028" s="561"/>
      <c r="F1028" s="561"/>
      <c r="G1028" s="561"/>
      <c r="H1028" s="976" t="s">
        <v>94</v>
      </c>
      <c r="I1028" s="976"/>
      <c r="J1028" s="623"/>
      <c r="K1028" s="976" t="s">
        <v>94</v>
      </c>
      <c r="L1028" s="976"/>
      <c r="M1028" s="260"/>
      <c r="N1028" s="975"/>
      <c r="O1028" s="975"/>
      <c r="P1028" s="975"/>
      <c r="Q1028" s="975"/>
      <c r="R1028" s="975"/>
      <c r="S1028" s="975"/>
      <c r="T1028" s="975"/>
      <c r="X1028" s="23"/>
    </row>
    <row r="1029" spans="1:24" ht="19.95" customHeight="1" x14ac:dyDescent="0.3">
      <c r="A1029" s="262" t="s">
        <v>1242</v>
      </c>
      <c r="C1029" s="228"/>
      <c r="D1029" s="228"/>
      <c r="E1029" s="561"/>
      <c r="F1029" s="561"/>
      <c r="G1029" s="561"/>
      <c r="H1029" s="976"/>
      <c r="I1029" s="976"/>
      <c r="J1029" s="623"/>
      <c r="K1029" s="976"/>
      <c r="L1029" s="976"/>
      <c r="M1029" s="261"/>
      <c r="N1029" s="260"/>
      <c r="O1029" s="260"/>
      <c r="P1029" s="260"/>
      <c r="Q1029" s="260"/>
      <c r="R1029" s="260"/>
      <c r="S1029" s="260"/>
      <c r="T1029" s="260"/>
      <c r="X1029" s="23"/>
    </row>
    <row r="1030" spans="1:24" ht="19.95" customHeight="1" x14ac:dyDescent="0.3">
      <c r="A1030" s="262" t="s">
        <v>1242</v>
      </c>
      <c r="C1030" s="228"/>
      <c r="D1030" s="228"/>
      <c r="E1030" s="561"/>
      <c r="F1030" s="561"/>
      <c r="G1030" s="561"/>
      <c r="H1030" s="975"/>
      <c r="I1030" s="975"/>
      <c r="J1030" s="562"/>
      <c r="K1030" s="975"/>
      <c r="L1030" s="975"/>
      <c r="M1030" s="562"/>
      <c r="N1030" s="968" t="s">
        <v>1244</v>
      </c>
      <c r="O1030" s="968"/>
      <c r="P1030" s="968"/>
      <c r="Q1030" s="968"/>
      <c r="R1030" s="968"/>
      <c r="S1030" s="968"/>
      <c r="T1030" s="968"/>
      <c r="X1030" s="23"/>
    </row>
    <row r="1031" spans="1:24" ht="19.95" customHeight="1" x14ac:dyDescent="0.3">
      <c r="A1031" s="262" t="s">
        <v>1242</v>
      </c>
      <c r="C1031" s="228"/>
      <c r="D1031" s="228"/>
      <c r="E1031" s="561"/>
      <c r="F1031" s="561"/>
      <c r="G1031" s="561"/>
      <c r="H1031" s="976" t="s">
        <v>1220</v>
      </c>
      <c r="I1031" s="976"/>
      <c r="J1031" s="976"/>
      <c r="K1031" s="976"/>
      <c r="L1031" s="976"/>
      <c r="M1031" s="623"/>
      <c r="N1031" s="968" t="s">
        <v>1483</v>
      </c>
      <c r="O1031" s="968"/>
      <c r="P1031" s="968"/>
      <c r="Q1031" s="968"/>
      <c r="R1031" s="968"/>
      <c r="S1031" s="968"/>
      <c r="T1031" s="968"/>
      <c r="X1031" s="23"/>
    </row>
    <row r="1032" spans="1:24" ht="19.95" customHeight="1" x14ac:dyDescent="0.3">
      <c r="A1032" s="262" t="s">
        <v>1242</v>
      </c>
      <c r="C1032" s="228"/>
      <c r="D1032" s="228"/>
      <c r="E1032" s="561"/>
      <c r="F1032" s="561"/>
      <c r="G1032" s="561"/>
      <c r="H1032" s="976"/>
      <c r="I1032" s="976"/>
      <c r="J1032" s="976"/>
      <c r="K1032" s="976"/>
      <c r="L1032" s="976"/>
      <c r="M1032" s="623"/>
      <c r="N1032" s="968"/>
      <c r="O1032" s="968"/>
      <c r="P1032" s="968"/>
      <c r="Q1032" s="260"/>
      <c r="R1032" s="968"/>
      <c r="S1032" s="968"/>
      <c r="T1032" s="968"/>
      <c r="X1032" s="23"/>
    </row>
    <row r="1033" spans="1:24" ht="19.95" customHeight="1" x14ac:dyDescent="0.3">
      <c r="A1033" s="262" t="s">
        <v>1242</v>
      </c>
      <c r="C1033" s="228"/>
      <c r="D1033" s="228"/>
      <c r="E1033" s="561"/>
      <c r="F1033" s="561"/>
      <c r="G1033" s="561"/>
      <c r="H1033" s="228"/>
      <c r="I1033" s="260"/>
      <c r="J1033" s="260"/>
      <c r="K1033" s="260"/>
      <c r="L1033" s="260"/>
      <c r="M1033" s="260"/>
      <c r="N1033" s="260"/>
      <c r="O1033" s="260"/>
      <c r="P1033" s="260"/>
      <c r="Q1033" s="260"/>
      <c r="R1033" s="260"/>
      <c r="S1033" s="624"/>
      <c r="T1033" s="260"/>
      <c r="X1033" s="23"/>
    </row>
    <row r="1034" spans="1:24" ht="19.95" customHeight="1" x14ac:dyDescent="0.3">
      <c r="A1034" s="262" t="s">
        <v>1242</v>
      </c>
      <c r="C1034" s="228"/>
      <c r="D1034" s="228"/>
      <c r="E1034" s="975" t="s">
        <v>1215</v>
      </c>
      <c r="F1034" s="975"/>
      <c r="G1034" s="975"/>
      <c r="H1034" s="975" t="s">
        <v>1348</v>
      </c>
      <c r="I1034" s="975"/>
      <c r="J1034" s="975"/>
      <c r="K1034" s="975"/>
      <c r="L1034" s="975"/>
      <c r="M1034" s="562"/>
      <c r="N1034" s="977" t="s">
        <v>1219</v>
      </c>
      <c r="O1034" s="968"/>
      <c r="P1034" s="968"/>
      <c r="Q1034" s="968"/>
      <c r="R1034" s="968"/>
      <c r="S1034" s="968"/>
      <c r="T1034" s="968"/>
      <c r="X1034" s="23"/>
    </row>
    <row r="1035" spans="1:24" ht="19.95" customHeight="1" x14ac:dyDescent="0.3">
      <c r="A1035" s="262" t="s">
        <v>1290</v>
      </c>
      <c r="C1035" s="228"/>
      <c r="D1035" s="228"/>
      <c r="E1035" s="975"/>
      <c r="F1035" s="975"/>
      <c r="G1035" s="975"/>
      <c r="H1035" s="975"/>
      <c r="I1035" s="975"/>
      <c r="J1035" s="975"/>
      <c r="K1035" s="975"/>
      <c r="L1035" s="975"/>
      <c r="M1035" s="562"/>
      <c r="N1035" s="968"/>
      <c r="O1035" s="968"/>
      <c r="P1035" s="968"/>
      <c r="Q1035" s="968"/>
      <c r="R1035" s="968"/>
      <c r="S1035" s="968"/>
      <c r="T1035" s="968"/>
      <c r="X1035" s="23"/>
    </row>
    <row r="1036" spans="1:24" ht="30" customHeight="1" x14ac:dyDescent="0.3">
      <c r="A1036" s="262" t="s">
        <v>1240</v>
      </c>
      <c r="C1036" s="625"/>
      <c r="D1036" s="626" t="s">
        <v>1238</v>
      </c>
      <c r="E1036" s="627"/>
      <c r="F1036" s="627"/>
      <c r="G1036" s="627"/>
      <c r="H1036" s="627"/>
      <c r="I1036" s="628"/>
      <c r="J1036" s="628"/>
      <c r="K1036" s="628"/>
      <c r="L1036" s="644">
        <f>+SUMIFS(L:L,A:A,"11")</f>
        <v>75000000</v>
      </c>
      <c r="M1036" s="629"/>
      <c r="N1036" s="648"/>
      <c r="O1036" s="628"/>
      <c r="P1036" s="628"/>
      <c r="Q1036" s="611"/>
      <c r="R1036" s="651">
        <f>+SUMIFS(R:R,A:A,"11")</f>
        <v>0</v>
      </c>
      <c r="S1036" s="630">
        <f>+SUMIFS(S:S,A:A,"11")</f>
        <v>0</v>
      </c>
      <c r="T1036" s="631">
        <f>+SUMIFS(T:T,A:A,"11")</f>
        <v>0</v>
      </c>
      <c r="X1036" s="23" t="str">
        <f t="shared" si="148"/>
        <v>-</v>
      </c>
    </row>
    <row r="1037" spans="1:24" ht="30" customHeight="1" x14ac:dyDescent="0.3">
      <c r="A1037" s="262">
        <v>11</v>
      </c>
      <c r="C1037" s="244">
        <v>481</v>
      </c>
      <c r="D1037" s="213" t="s">
        <v>1149</v>
      </c>
      <c r="E1037" s="969" t="s">
        <v>138</v>
      </c>
      <c r="F1037" s="970"/>
      <c r="G1037" s="971"/>
      <c r="H1037" s="544" t="s">
        <v>247</v>
      </c>
      <c r="I1037" s="212">
        <v>75000000</v>
      </c>
      <c r="J1037" s="605"/>
      <c r="K1037" s="212">
        <v>1</v>
      </c>
      <c r="L1037" s="212">
        <f>+ROUND(I1037*K1037,2)</f>
        <v>75000000</v>
      </c>
      <c r="M1037" s="602"/>
      <c r="N1037" s="675">
        <f>+'Yeşil Defter'!K1085</f>
        <v>0</v>
      </c>
      <c r="O1037" s="675">
        <f>+'Yeşil Defter'!L1085</f>
        <v>0</v>
      </c>
      <c r="P1037" s="675">
        <f>+'Yeşil Defter'!M1085</f>
        <v>0</v>
      </c>
      <c r="Q1037" s="212"/>
      <c r="R1037" s="605">
        <f>+ROUND(K1037*N1037,2)</f>
        <v>0</v>
      </c>
      <c r="S1037" s="225">
        <f t="shared" ref="S1037" si="149">+T1037-R1037</f>
        <v>0</v>
      </c>
      <c r="T1037" s="237">
        <f>+ROUND(K1037*P1037,2)</f>
        <v>0</v>
      </c>
      <c r="X1037" s="23" t="str">
        <f t="shared" si="148"/>
        <v>-</v>
      </c>
    </row>
    <row r="1038" spans="1:24" ht="30" customHeight="1" x14ac:dyDescent="0.3">
      <c r="A1038" s="262" t="s">
        <v>1240</v>
      </c>
      <c r="C1038" s="241"/>
      <c r="D1038" s="263" t="s">
        <v>1239</v>
      </c>
      <c r="E1038" s="217"/>
      <c r="F1038" s="217"/>
      <c r="G1038" s="217"/>
      <c r="H1038" s="217"/>
      <c r="I1038" s="231"/>
      <c r="J1038" s="231"/>
      <c r="K1038" s="231"/>
      <c r="L1038" s="641">
        <f>+SUMIFS(L:L,A:A,"12")</f>
        <v>75000000</v>
      </c>
      <c r="M1038" s="599"/>
      <c r="N1038" s="645"/>
      <c r="O1038" s="231"/>
      <c r="P1038" s="231"/>
      <c r="Q1038" s="208"/>
      <c r="R1038" s="652">
        <f>+SUMIFS(R:R,A:A,"12")</f>
        <v>0</v>
      </c>
      <c r="S1038" s="251">
        <f>+SUMIFS(S:S,A:A,"12")</f>
        <v>0</v>
      </c>
      <c r="T1038" s="252">
        <f>+SUMIFS(T:T,A:A,"12")</f>
        <v>0</v>
      </c>
      <c r="X1038" s="23" t="str">
        <f t="shared" si="148"/>
        <v>-</v>
      </c>
    </row>
    <row r="1039" spans="1:24" ht="30" customHeight="1" x14ac:dyDescent="0.3">
      <c r="A1039" s="262">
        <v>12</v>
      </c>
      <c r="C1039" s="243">
        <v>482</v>
      </c>
      <c r="D1039" s="210" t="s">
        <v>1150</v>
      </c>
      <c r="E1039" s="992" t="s">
        <v>1151</v>
      </c>
      <c r="F1039" s="993"/>
      <c r="G1039" s="994"/>
      <c r="H1039" s="604" t="s">
        <v>247</v>
      </c>
      <c r="I1039" s="211">
        <v>75000000</v>
      </c>
      <c r="J1039" s="607"/>
      <c r="K1039" s="211">
        <v>1</v>
      </c>
      <c r="L1039" s="211">
        <f>+ROUND(I1039*K1039,2)</f>
        <v>75000000</v>
      </c>
      <c r="M1039" s="601"/>
      <c r="N1039" s="675">
        <f>+'Yeşil Defter'!K1087</f>
        <v>0</v>
      </c>
      <c r="O1039" s="675">
        <f>+'Yeşil Defter'!L1087</f>
        <v>0</v>
      </c>
      <c r="P1039" s="675">
        <f>+'Yeşil Defter'!M1087</f>
        <v>0</v>
      </c>
      <c r="Q1039" s="211"/>
      <c r="R1039" s="607">
        <f>+ROUND(K1039*N1039,2)</f>
        <v>0</v>
      </c>
      <c r="S1039" s="224">
        <f t="shared" ref="S1039" si="150">+T1039-R1039</f>
        <v>0</v>
      </c>
      <c r="T1039" s="236">
        <f>+ROUND(K1039*P1039,2)</f>
        <v>0</v>
      </c>
      <c r="X1039" s="23" t="str">
        <f t="shared" si="148"/>
        <v>-</v>
      </c>
    </row>
    <row r="1040" spans="1:24" ht="30" customHeight="1" x14ac:dyDescent="0.3">
      <c r="A1040" s="262">
        <v>12</v>
      </c>
      <c r="C1040" s="244"/>
      <c r="D1040" s="161"/>
      <c r="E1040" s="969"/>
      <c r="F1040" s="970"/>
      <c r="G1040" s="971"/>
      <c r="H1040" s="161"/>
      <c r="I1040" s="605"/>
      <c r="J1040" s="605"/>
      <c r="K1040" s="212"/>
      <c r="L1040" s="341"/>
      <c r="M1040" s="212"/>
      <c r="N1040" s="605"/>
      <c r="O1040" s="212"/>
      <c r="P1040" s="341"/>
      <c r="Q1040" s="212"/>
      <c r="R1040" s="605"/>
      <c r="S1040" s="225"/>
      <c r="T1040" s="237"/>
      <c r="X1040" s="23"/>
    </row>
    <row r="1041" spans="1:24" ht="30" customHeight="1" x14ac:dyDescent="0.3">
      <c r="A1041" s="262">
        <v>12</v>
      </c>
      <c r="C1041" s="244"/>
      <c r="D1041" s="161"/>
      <c r="E1041" s="969"/>
      <c r="F1041" s="970"/>
      <c r="G1041" s="971"/>
      <c r="H1041" s="161"/>
      <c r="I1041" s="605"/>
      <c r="J1041" s="605"/>
      <c r="K1041" s="212"/>
      <c r="L1041" s="341"/>
      <c r="M1041" s="212"/>
      <c r="N1041" s="605"/>
      <c r="O1041" s="212"/>
      <c r="P1041" s="341"/>
      <c r="Q1041" s="212"/>
      <c r="R1041" s="605"/>
      <c r="S1041" s="225"/>
      <c r="T1041" s="237"/>
      <c r="X1041" s="23"/>
    </row>
    <row r="1042" spans="1:24" ht="30" customHeight="1" x14ac:dyDescent="0.3">
      <c r="A1042" s="262">
        <v>12</v>
      </c>
      <c r="C1042" s="244"/>
      <c r="D1042" s="161"/>
      <c r="E1042" s="969"/>
      <c r="F1042" s="970"/>
      <c r="G1042" s="971"/>
      <c r="H1042" s="161"/>
      <c r="I1042" s="605"/>
      <c r="J1042" s="605"/>
      <c r="K1042" s="212"/>
      <c r="L1042" s="341"/>
      <c r="M1042" s="212"/>
      <c r="N1042" s="605"/>
      <c r="O1042" s="212"/>
      <c r="P1042" s="341"/>
      <c r="Q1042" s="212"/>
      <c r="R1042" s="605"/>
      <c r="S1042" s="225"/>
      <c r="T1042" s="237"/>
      <c r="X1042" s="23"/>
    </row>
    <row r="1043" spans="1:24" ht="30" customHeight="1" x14ac:dyDescent="0.3">
      <c r="A1043" s="262">
        <v>12</v>
      </c>
      <c r="C1043" s="244"/>
      <c r="D1043" s="161"/>
      <c r="E1043" s="969"/>
      <c r="F1043" s="970"/>
      <c r="G1043" s="971"/>
      <c r="H1043" s="161"/>
      <c r="I1043" s="605"/>
      <c r="J1043" s="605"/>
      <c r="K1043" s="212"/>
      <c r="L1043" s="341"/>
      <c r="M1043" s="212"/>
      <c r="N1043" s="605"/>
      <c r="O1043" s="212"/>
      <c r="P1043" s="341"/>
      <c r="Q1043" s="212"/>
      <c r="R1043" s="605"/>
      <c r="S1043" s="225"/>
      <c r="T1043" s="237"/>
      <c r="X1043" s="23"/>
    </row>
    <row r="1044" spans="1:24" ht="30" customHeight="1" x14ac:dyDescent="0.3">
      <c r="A1044" s="262">
        <v>12</v>
      </c>
      <c r="C1044" s="244"/>
      <c r="D1044" s="161"/>
      <c r="E1044" s="969"/>
      <c r="F1044" s="970"/>
      <c r="G1044" s="971"/>
      <c r="H1044" s="161"/>
      <c r="I1044" s="605"/>
      <c r="J1044" s="605"/>
      <c r="K1044" s="212"/>
      <c r="L1044" s="341"/>
      <c r="M1044" s="212"/>
      <c r="N1044" s="605"/>
      <c r="O1044" s="212"/>
      <c r="P1044" s="341"/>
      <c r="Q1044" s="212"/>
      <c r="R1044" s="605"/>
      <c r="S1044" s="225"/>
      <c r="T1044" s="237"/>
      <c r="X1044" s="23"/>
    </row>
    <row r="1045" spans="1:24" ht="30" customHeight="1" x14ac:dyDescent="0.3">
      <c r="A1045" s="262">
        <v>12</v>
      </c>
      <c r="C1045" s="244"/>
      <c r="D1045" s="161"/>
      <c r="E1045" s="969"/>
      <c r="F1045" s="970"/>
      <c r="G1045" s="971"/>
      <c r="H1045" s="161"/>
      <c r="I1045" s="605"/>
      <c r="J1045" s="605"/>
      <c r="K1045" s="212"/>
      <c r="L1045" s="341"/>
      <c r="M1045" s="212"/>
      <c r="N1045" s="605"/>
      <c r="O1045" s="212"/>
      <c r="P1045" s="341"/>
      <c r="Q1045" s="212"/>
      <c r="R1045" s="605"/>
      <c r="S1045" s="225"/>
      <c r="T1045" s="237"/>
      <c r="X1045" s="23"/>
    </row>
    <row r="1046" spans="1:24" ht="30" customHeight="1" x14ac:dyDescent="0.3">
      <c r="A1046" s="262">
        <v>12</v>
      </c>
      <c r="C1046" s="244"/>
      <c r="D1046" s="161"/>
      <c r="E1046" s="969"/>
      <c r="F1046" s="970"/>
      <c r="G1046" s="971"/>
      <c r="H1046" s="161"/>
      <c r="I1046" s="605"/>
      <c r="J1046" s="605"/>
      <c r="K1046" s="212"/>
      <c r="L1046" s="341"/>
      <c r="M1046" s="212"/>
      <c r="N1046" s="605"/>
      <c r="O1046" s="212"/>
      <c r="P1046" s="341"/>
      <c r="Q1046" s="212"/>
      <c r="R1046" s="605"/>
      <c r="S1046" s="225"/>
      <c r="T1046" s="237"/>
      <c r="X1046" s="23"/>
    </row>
    <row r="1047" spans="1:24" ht="30" customHeight="1" x14ac:dyDescent="0.3">
      <c r="A1047" s="262">
        <v>12</v>
      </c>
      <c r="C1047" s="244"/>
      <c r="D1047" s="161"/>
      <c r="E1047" s="969"/>
      <c r="F1047" s="970"/>
      <c r="G1047" s="971"/>
      <c r="H1047" s="161"/>
      <c r="I1047" s="605"/>
      <c r="J1047" s="605"/>
      <c r="K1047" s="212"/>
      <c r="L1047" s="341"/>
      <c r="M1047" s="212"/>
      <c r="N1047" s="605"/>
      <c r="O1047" s="212"/>
      <c r="P1047" s="341"/>
      <c r="Q1047" s="212"/>
      <c r="R1047" s="605"/>
      <c r="S1047" s="225"/>
      <c r="T1047" s="237"/>
      <c r="X1047" s="23"/>
    </row>
    <row r="1048" spans="1:24" ht="30" customHeight="1" x14ac:dyDescent="0.3">
      <c r="A1048" s="262">
        <v>12</v>
      </c>
      <c r="C1048" s="244"/>
      <c r="D1048" s="161"/>
      <c r="E1048" s="969"/>
      <c r="F1048" s="970"/>
      <c r="G1048" s="971"/>
      <c r="H1048" s="161"/>
      <c r="I1048" s="605"/>
      <c r="J1048" s="605"/>
      <c r="K1048" s="212"/>
      <c r="L1048" s="341"/>
      <c r="M1048" s="212"/>
      <c r="N1048" s="605"/>
      <c r="O1048" s="212"/>
      <c r="P1048" s="341"/>
      <c r="Q1048" s="212"/>
      <c r="R1048" s="605"/>
      <c r="S1048" s="225"/>
      <c r="T1048" s="237"/>
      <c r="X1048" s="23"/>
    </row>
    <row r="1049" spans="1:24" ht="30" customHeight="1" x14ac:dyDescent="0.3">
      <c r="A1049" s="262">
        <v>12</v>
      </c>
      <c r="C1049" s="244"/>
      <c r="D1049" s="161"/>
      <c r="E1049" s="969"/>
      <c r="F1049" s="970"/>
      <c r="G1049" s="971"/>
      <c r="H1049" s="161"/>
      <c r="I1049" s="605"/>
      <c r="J1049" s="605"/>
      <c r="K1049" s="212"/>
      <c r="L1049" s="341"/>
      <c r="M1049" s="212"/>
      <c r="N1049" s="605"/>
      <c r="O1049" s="212"/>
      <c r="P1049" s="341"/>
      <c r="Q1049" s="212"/>
      <c r="R1049" s="605"/>
      <c r="S1049" s="225"/>
      <c r="T1049" s="237"/>
      <c r="X1049" s="23"/>
    </row>
    <row r="1050" spans="1:24" ht="30" customHeight="1" x14ac:dyDescent="0.3">
      <c r="A1050" s="262">
        <v>12</v>
      </c>
      <c r="C1050" s="244"/>
      <c r="D1050" s="161"/>
      <c r="E1050" s="969"/>
      <c r="F1050" s="970"/>
      <c r="G1050" s="971"/>
      <c r="H1050" s="161"/>
      <c r="I1050" s="605"/>
      <c r="J1050" s="605"/>
      <c r="K1050" s="212"/>
      <c r="L1050" s="341"/>
      <c r="M1050" s="212"/>
      <c r="N1050" s="605"/>
      <c r="O1050" s="212"/>
      <c r="P1050" s="341"/>
      <c r="Q1050" s="212"/>
      <c r="R1050" s="605"/>
      <c r="S1050" s="225"/>
      <c r="T1050" s="237"/>
      <c r="X1050" s="23"/>
    </row>
    <row r="1051" spans="1:24" ht="30" customHeight="1" x14ac:dyDescent="0.3">
      <c r="A1051" s="262">
        <v>12</v>
      </c>
      <c r="C1051" s="244"/>
      <c r="D1051" s="161"/>
      <c r="E1051" s="969"/>
      <c r="F1051" s="970"/>
      <c r="G1051" s="971"/>
      <c r="H1051" s="161"/>
      <c r="I1051" s="605"/>
      <c r="J1051" s="605"/>
      <c r="K1051" s="212"/>
      <c r="L1051" s="341"/>
      <c r="M1051" s="212"/>
      <c r="N1051" s="605"/>
      <c r="O1051" s="212"/>
      <c r="P1051" s="341"/>
      <c r="Q1051" s="212"/>
      <c r="R1051" s="605"/>
      <c r="S1051" s="225"/>
      <c r="T1051" s="237"/>
      <c r="X1051" s="23"/>
    </row>
    <row r="1052" spans="1:24" ht="30" customHeight="1" x14ac:dyDescent="0.3">
      <c r="A1052" s="262">
        <v>12</v>
      </c>
      <c r="C1052" s="244"/>
      <c r="D1052" s="161"/>
      <c r="E1052" s="969"/>
      <c r="F1052" s="970"/>
      <c r="G1052" s="971"/>
      <c r="H1052" s="161"/>
      <c r="I1052" s="605"/>
      <c r="J1052" s="605"/>
      <c r="K1052" s="212"/>
      <c r="L1052" s="341"/>
      <c r="M1052" s="212"/>
      <c r="N1052" s="605"/>
      <c r="O1052" s="212"/>
      <c r="P1052" s="341"/>
      <c r="Q1052" s="212"/>
      <c r="R1052" s="605"/>
      <c r="S1052" s="225"/>
      <c r="T1052" s="237"/>
      <c r="X1052" s="23"/>
    </row>
    <row r="1053" spans="1:24" ht="30" customHeight="1" x14ac:dyDescent="0.3">
      <c r="A1053" s="262">
        <v>12</v>
      </c>
      <c r="C1053" s="244"/>
      <c r="D1053" s="161"/>
      <c r="E1053" s="969"/>
      <c r="F1053" s="970"/>
      <c r="G1053" s="971"/>
      <c r="H1053" s="161"/>
      <c r="I1053" s="605"/>
      <c r="J1053" s="605"/>
      <c r="K1053" s="212"/>
      <c r="L1053" s="341"/>
      <c r="M1053" s="212"/>
      <c r="N1053" s="605"/>
      <c r="O1053" s="212"/>
      <c r="P1053" s="341"/>
      <c r="Q1053" s="212"/>
      <c r="R1053" s="605"/>
      <c r="S1053" s="225"/>
      <c r="T1053" s="237"/>
      <c r="X1053" s="23"/>
    </row>
    <row r="1054" spans="1:24" ht="30" customHeight="1" x14ac:dyDescent="0.3">
      <c r="A1054" s="262">
        <v>12</v>
      </c>
      <c r="C1054" s="244"/>
      <c r="D1054" s="161"/>
      <c r="E1054" s="969"/>
      <c r="F1054" s="970"/>
      <c r="G1054" s="971"/>
      <c r="H1054" s="161"/>
      <c r="I1054" s="605"/>
      <c r="J1054" s="605"/>
      <c r="K1054" s="212"/>
      <c r="L1054" s="341"/>
      <c r="M1054" s="212"/>
      <c r="N1054" s="605"/>
      <c r="O1054" s="212"/>
      <c r="P1054" s="341"/>
      <c r="Q1054" s="212"/>
      <c r="R1054" s="605"/>
      <c r="S1054" s="225"/>
      <c r="T1054" s="237"/>
      <c r="X1054" s="23"/>
    </row>
    <row r="1055" spans="1:24" ht="30" customHeight="1" x14ac:dyDescent="0.3">
      <c r="A1055" s="262">
        <v>12</v>
      </c>
      <c r="C1055" s="244"/>
      <c r="D1055" s="161"/>
      <c r="E1055" s="969"/>
      <c r="F1055" s="970"/>
      <c r="G1055" s="971"/>
      <c r="H1055" s="161"/>
      <c r="I1055" s="605"/>
      <c r="J1055" s="605"/>
      <c r="K1055" s="212"/>
      <c r="L1055" s="341"/>
      <c r="M1055" s="212"/>
      <c r="N1055" s="605"/>
      <c r="O1055" s="212"/>
      <c r="P1055" s="341"/>
      <c r="Q1055" s="212"/>
      <c r="R1055" s="605"/>
      <c r="S1055" s="225"/>
      <c r="T1055" s="237"/>
      <c r="X1055" s="23"/>
    </row>
    <row r="1056" spans="1:24" ht="30" customHeight="1" x14ac:dyDescent="0.3">
      <c r="A1056" s="262">
        <v>12</v>
      </c>
      <c r="C1056" s="244"/>
      <c r="D1056" s="161"/>
      <c r="E1056" s="969"/>
      <c r="F1056" s="970"/>
      <c r="G1056" s="971"/>
      <c r="H1056" s="161"/>
      <c r="I1056" s="605"/>
      <c r="J1056" s="605"/>
      <c r="K1056" s="212"/>
      <c r="L1056" s="341"/>
      <c r="M1056" s="212"/>
      <c r="N1056" s="605"/>
      <c r="O1056" s="212"/>
      <c r="P1056" s="341"/>
      <c r="Q1056" s="212"/>
      <c r="R1056" s="605"/>
      <c r="S1056" s="225"/>
      <c r="T1056" s="237"/>
      <c r="X1056" s="23"/>
    </row>
    <row r="1057" spans="1:24" ht="30" customHeight="1" x14ac:dyDescent="0.3">
      <c r="A1057" s="262">
        <v>12</v>
      </c>
      <c r="C1057" s="244"/>
      <c r="D1057" s="161"/>
      <c r="E1057" s="969"/>
      <c r="F1057" s="970"/>
      <c r="G1057" s="971"/>
      <c r="H1057" s="161"/>
      <c r="I1057" s="605"/>
      <c r="J1057" s="605"/>
      <c r="K1057" s="212"/>
      <c r="L1057" s="341"/>
      <c r="M1057" s="212"/>
      <c r="N1057" s="605"/>
      <c r="O1057" s="212"/>
      <c r="P1057" s="341"/>
      <c r="Q1057" s="212"/>
      <c r="R1057" s="605"/>
      <c r="S1057" s="225"/>
      <c r="T1057" s="237"/>
      <c r="X1057" s="23"/>
    </row>
    <row r="1058" spans="1:24" ht="30" customHeight="1" thickBot="1" x14ac:dyDescent="0.35">
      <c r="A1058" s="262">
        <v>12</v>
      </c>
      <c r="C1058" s="245"/>
      <c r="D1058" s="246"/>
      <c r="E1058" s="996"/>
      <c r="F1058" s="997"/>
      <c r="G1058" s="998"/>
      <c r="H1058" s="659"/>
      <c r="I1058" s="608"/>
      <c r="J1058" s="608"/>
      <c r="K1058" s="240"/>
      <c r="L1058" s="597"/>
      <c r="M1058" s="240"/>
      <c r="N1058" s="608"/>
      <c r="O1058" s="240"/>
      <c r="P1058" s="597"/>
      <c r="Q1058" s="240"/>
      <c r="R1058" s="608"/>
      <c r="S1058" s="238"/>
      <c r="T1058" s="239"/>
      <c r="X1058" s="23"/>
    </row>
    <row r="1059" spans="1:24" ht="40.049999999999997" customHeight="1" x14ac:dyDescent="0.3">
      <c r="A1059" s="262" t="s">
        <v>1242</v>
      </c>
      <c r="C1059" s="258"/>
      <c r="D1059" s="258"/>
      <c r="E1059" s="972" t="s">
        <v>33</v>
      </c>
      <c r="F1059" s="972"/>
      <c r="G1059" s="972"/>
      <c r="H1059" s="973" t="s">
        <v>29</v>
      </c>
      <c r="I1059" s="973"/>
      <c r="J1059" s="973"/>
      <c r="K1059" s="973"/>
      <c r="L1059" s="973"/>
      <c r="M1059" s="549"/>
      <c r="N1059" s="973" t="s">
        <v>22</v>
      </c>
      <c r="O1059" s="973"/>
      <c r="P1059" s="973"/>
      <c r="Q1059" s="973"/>
      <c r="R1059" s="973"/>
      <c r="S1059" s="973"/>
      <c r="T1059" s="973"/>
      <c r="X1059" s="23"/>
    </row>
    <row r="1060" spans="1:24" ht="19.95" customHeight="1" x14ac:dyDescent="0.3">
      <c r="A1060" s="262" t="s">
        <v>1242</v>
      </c>
      <c r="D1060" s="28"/>
      <c r="E1060" s="974" t="s">
        <v>1214</v>
      </c>
      <c r="F1060" s="974"/>
      <c r="G1060" s="974"/>
      <c r="H1060" s="975" t="s">
        <v>38</v>
      </c>
      <c r="I1060" s="975"/>
      <c r="J1060" s="975"/>
      <c r="K1060" s="975"/>
      <c r="L1060" s="975"/>
      <c r="M1060" s="562"/>
      <c r="N1060" s="975" t="s">
        <v>1437</v>
      </c>
      <c r="O1060" s="975"/>
      <c r="P1060" s="975"/>
      <c r="Q1060" s="975"/>
      <c r="R1060" s="975"/>
      <c r="S1060" s="975"/>
      <c r="T1060" s="975"/>
      <c r="X1060" s="23"/>
    </row>
    <row r="1061" spans="1:24" ht="19.95" customHeight="1" x14ac:dyDescent="0.3">
      <c r="A1061" s="262" t="s">
        <v>1242</v>
      </c>
      <c r="C1061" s="228"/>
      <c r="D1061" s="228"/>
      <c r="E1061" s="561"/>
      <c r="F1061" s="561"/>
      <c r="G1061" s="561"/>
      <c r="H1061" s="228"/>
      <c r="I1061" s="260"/>
      <c r="J1061" s="260"/>
      <c r="K1061" s="260"/>
      <c r="L1061" s="260"/>
      <c r="M1061" s="260"/>
      <c r="N1061" s="975"/>
      <c r="O1061" s="975"/>
      <c r="P1061" s="975"/>
      <c r="Q1061" s="975"/>
      <c r="R1061" s="975"/>
      <c r="S1061" s="975"/>
      <c r="T1061" s="975"/>
      <c r="X1061" s="23"/>
    </row>
    <row r="1062" spans="1:24" ht="19.95" customHeight="1" x14ac:dyDescent="0.3">
      <c r="A1062" s="262" t="s">
        <v>1242</v>
      </c>
      <c r="C1062" s="228"/>
      <c r="D1062" s="228"/>
      <c r="E1062" s="561"/>
      <c r="F1062" s="561"/>
      <c r="G1062" s="561"/>
      <c r="H1062" s="228"/>
      <c r="I1062" s="260"/>
      <c r="J1062" s="260"/>
      <c r="K1062" s="260"/>
      <c r="L1062" s="260"/>
      <c r="M1062" s="260"/>
      <c r="N1062" s="975"/>
      <c r="O1062" s="975"/>
      <c r="P1062" s="975"/>
      <c r="Q1062" s="975"/>
      <c r="R1062" s="975"/>
      <c r="S1062" s="975"/>
      <c r="T1062" s="975"/>
      <c r="X1062" s="23"/>
    </row>
    <row r="1063" spans="1:24" ht="19.95" customHeight="1" x14ac:dyDescent="0.3">
      <c r="A1063" s="262" t="s">
        <v>1242</v>
      </c>
      <c r="C1063" s="228"/>
      <c r="D1063" s="228"/>
      <c r="E1063" s="561"/>
      <c r="F1063" s="561"/>
      <c r="G1063" s="561"/>
      <c r="H1063" s="975" t="s">
        <v>32</v>
      </c>
      <c r="I1063" s="975"/>
      <c r="J1063" s="562"/>
      <c r="K1063" s="975" t="s">
        <v>1407</v>
      </c>
      <c r="L1063" s="975"/>
      <c r="M1063" s="261"/>
      <c r="N1063" s="968"/>
      <c r="O1063" s="968"/>
      <c r="P1063" s="968"/>
      <c r="Q1063" s="968"/>
      <c r="R1063" s="968"/>
      <c r="S1063" s="968"/>
      <c r="T1063" s="968"/>
      <c r="X1063" s="23"/>
    </row>
    <row r="1064" spans="1:24" ht="19.95" customHeight="1" x14ac:dyDescent="0.3">
      <c r="A1064" s="262" t="s">
        <v>1242</v>
      </c>
      <c r="C1064" s="228"/>
      <c r="D1064" s="228"/>
      <c r="E1064" s="561"/>
      <c r="F1064" s="561"/>
      <c r="G1064" s="561"/>
      <c r="H1064" s="976" t="s">
        <v>94</v>
      </c>
      <c r="I1064" s="976"/>
      <c r="J1064" s="623"/>
      <c r="K1064" s="976" t="s">
        <v>94</v>
      </c>
      <c r="L1064" s="976"/>
      <c r="M1064" s="261"/>
      <c r="N1064" s="968"/>
      <c r="O1064" s="968"/>
      <c r="P1064" s="968"/>
      <c r="Q1064" s="968"/>
      <c r="R1064" s="968"/>
      <c r="S1064" s="968"/>
      <c r="T1064" s="968"/>
      <c r="X1064" s="23"/>
    </row>
    <row r="1065" spans="1:24" ht="19.95" customHeight="1" x14ac:dyDescent="0.3">
      <c r="A1065" s="262" t="s">
        <v>1242</v>
      </c>
      <c r="C1065" s="228"/>
      <c r="D1065" s="228"/>
      <c r="E1065" s="561"/>
      <c r="F1065" s="561"/>
      <c r="G1065" s="561"/>
      <c r="H1065" s="976"/>
      <c r="I1065" s="976"/>
      <c r="J1065" s="623"/>
      <c r="K1065" s="976"/>
      <c r="L1065" s="976"/>
      <c r="M1065" s="562"/>
      <c r="N1065" s="260"/>
      <c r="O1065" s="260"/>
      <c r="P1065" s="260"/>
      <c r="Q1065" s="260"/>
      <c r="R1065" s="260"/>
      <c r="S1065" s="260"/>
      <c r="T1065" s="260"/>
      <c r="X1065" s="23"/>
    </row>
    <row r="1066" spans="1:24" ht="19.95" customHeight="1" x14ac:dyDescent="0.3">
      <c r="A1066" s="262" t="s">
        <v>1242</v>
      </c>
      <c r="C1066" s="228"/>
      <c r="D1066" s="228"/>
      <c r="E1066" s="561"/>
      <c r="F1066" s="561"/>
      <c r="G1066" s="561"/>
      <c r="H1066" s="975"/>
      <c r="I1066" s="975"/>
      <c r="J1066" s="562"/>
      <c r="K1066" s="975"/>
      <c r="L1066" s="975"/>
      <c r="M1066" s="623"/>
      <c r="N1066" s="260"/>
      <c r="O1066" s="260"/>
      <c r="P1066" s="260"/>
      <c r="Q1066" s="260"/>
      <c r="R1066" s="260"/>
      <c r="S1066" s="260"/>
      <c r="T1066" s="260"/>
      <c r="X1066" s="23"/>
    </row>
    <row r="1067" spans="1:24" ht="19.95" customHeight="1" x14ac:dyDescent="0.3">
      <c r="A1067" s="262" t="s">
        <v>1242</v>
      </c>
      <c r="C1067" s="228"/>
      <c r="D1067" s="228"/>
      <c r="E1067" s="561"/>
      <c r="F1067" s="561"/>
      <c r="G1067" s="561"/>
      <c r="H1067" s="976" t="s">
        <v>1220</v>
      </c>
      <c r="I1067" s="976"/>
      <c r="J1067" s="976"/>
      <c r="K1067" s="976"/>
      <c r="L1067" s="976"/>
      <c r="M1067" s="623"/>
      <c r="N1067" s="968"/>
      <c r="O1067" s="968"/>
      <c r="P1067" s="968"/>
      <c r="Q1067" s="968"/>
      <c r="R1067" s="968"/>
      <c r="S1067" s="968"/>
      <c r="T1067" s="968"/>
      <c r="X1067" s="23"/>
    </row>
    <row r="1068" spans="1:24" ht="19.95" customHeight="1" x14ac:dyDescent="0.3">
      <c r="A1068" s="262" t="s">
        <v>1242</v>
      </c>
      <c r="C1068" s="228"/>
      <c r="D1068" s="228"/>
      <c r="E1068" s="561"/>
      <c r="F1068" s="561"/>
      <c r="G1068" s="561"/>
      <c r="H1068" s="976"/>
      <c r="I1068" s="976"/>
      <c r="J1068" s="976"/>
      <c r="K1068" s="976"/>
      <c r="L1068" s="976"/>
      <c r="M1068" s="261"/>
      <c r="N1068" s="968"/>
      <c r="O1068" s="968"/>
      <c r="P1068" s="968"/>
      <c r="Q1068" s="968"/>
      <c r="R1068" s="968"/>
      <c r="S1068" s="968"/>
      <c r="T1068" s="968"/>
      <c r="X1068" s="23"/>
    </row>
    <row r="1069" spans="1:24" ht="19.95" customHeight="1" x14ac:dyDescent="0.3">
      <c r="A1069" s="262" t="s">
        <v>1242</v>
      </c>
      <c r="C1069" s="228"/>
      <c r="D1069" s="228"/>
      <c r="E1069" s="561"/>
      <c r="F1069" s="561"/>
      <c r="G1069" s="561"/>
      <c r="H1069" s="228"/>
      <c r="I1069" s="260"/>
      <c r="J1069" s="260"/>
      <c r="K1069" s="260"/>
      <c r="L1069" s="260"/>
      <c r="M1069" s="260"/>
      <c r="N1069" s="260"/>
      <c r="O1069" s="260"/>
      <c r="P1069" s="260"/>
      <c r="Q1069" s="260"/>
      <c r="R1069" s="260"/>
      <c r="S1069" s="624"/>
      <c r="T1069" s="260"/>
      <c r="X1069" s="23"/>
    </row>
    <row r="1070" spans="1:24" ht="19.95" customHeight="1" x14ac:dyDescent="0.3">
      <c r="A1070" s="262" t="s">
        <v>1242</v>
      </c>
      <c r="C1070" s="228"/>
      <c r="D1070" s="228"/>
      <c r="E1070" s="561"/>
      <c r="F1070" s="561"/>
      <c r="G1070" s="561"/>
      <c r="H1070" s="228"/>
      <c r="I1070" s="260"/>
      <c r="J1070" s="260"/>
      <c r="K1070" s="260"/>
      <c r="L1070" s="260"/>
      <c r="M1070" s="260"/>
      <c r="N1070" s="260"/>
      <c r="O1070" s="260"/>
      <c r="P1070" s="260"/>
      <c r="Q1070" s="260"/>
      <c r="R1070" s="260"/>
      <c r="S1070" s="624"/>
      <c r="T1070" s="260"/>
      <c r="X1070" s="23"/>
    </row>
    <row r="1071" spans="1:24" ht="19.95" customHeight="1" x14ac:dyDescent="0.3">
      <c r="A1071" s="262" t="s">
        <v>1242</v>
      </c>
      <c r="C1071" s="228"/>
      <c r="D1071" s="228"/>
      <c r="E1071" s="975" t="s">
        <v>1215</v>
      </c>
      <c r="F1071" s="975"/>
      <c r="G1071" s="975"/>
      <c r="H1071" s="975" t="s">
        <v>1348</v>
      </c>
      <c r="I1071" s="975"/>
      <c r="J1071" s="975"/>
      <c r="K1071" s="975"/>
      <c r="L1071" s="975"/>
      <c r="M1071" s="562"/>
      <c r="N1071" s="977" t="s">
        <v>1219</v>
      </c>
      <c r="O1071" s="977"/>
      <c r="P1071" s="977"/>
      <c r="Q1071" s="977"/>
      <c r="R1071" s="977"/>
      <c r="S1071" s="977"/>
      <c r="T1071" s="977"/>
      <c r="X1071" s="23"/>
    </row>
    <row r="1072" spans="1:24" ht="19.95" customHeight="1" x14ac:dyDescent="0.3">
      <c r="A1072" s="262" t="s">
        <v>1290</v>
      </c>
      <c r="C1072" s="228"/>
      <c r="D1072" s="228"/>
      <c r="E1072" s="975"/>
      <c r="F1072" s="975"/>
      <c r="G1072" s="975"/>
      <c r="H1072" s="975"/>
      <c r="I1072" s="975"/>
      <c r="J1072" s="975"/>
      <c r="K1072" s="975"/>
      <c r="L1072" s="975"/>
      <c r="M1072" s="562"/>
      <c r="N1072" s="977"/>
      <c r="O1072" s="977"/>
      <c r="P1072" s="977"/>
      <c r="Q1072" s="977"/>
      <c r="R1072" s="977"/>
      <c r="S1072" s="977"/>
      <c r="T1072" s="977"/>
      <c r="X1072" s="23"/>
    </row>
    <row r="1073" spans="9:24" ht="15" customHeight="1" x14ac:dyDescent="0.3">
      <c r="I1073" s="11"/>
      <c r="L1073" s="11"/>
      <c r="N1073" s="11"/>
      <c r="O1073" s="11"/>
      <c r="P1073" s="11"/>
      <c r="Q1073" s="11"/>
      <c r="X1073" s="23"/>
    </row>
    <row r="1074" spans="9:24" ht="15" customHeight="1" x14ac:dyDescent="0.3">
      <c r="I1074" s="11"/>
      <c r="L1074" s="11"/>
      <c r="N1074" s="11"/>
      <c r="O1074" s="11"/>
      <c r="P1074" s="11"/>
      <c r="Q1074" s="11"/>
      <c r="X1074" s="23"/>
    </row>
    <row r="1075" spans="9:24" ht="15" customHeight="1" x14ac:dyDescent="0.3">
      <c r="I1075" s="11"/>
      <c r="L1075" s="11"/>
      <c r="N1075" s="11"/>
      <c r="O1075" s="11"/>
      <c r="P1075" s="11"/>
      <c r="Q1075" s="11"/>
      <c r="X1075" s="23"/>
    </row>
    <row r="1076" spans="9:24" ht="15" customHeight="1" x14ac:dyDescent="0.3">
      <c r="I1076" s="11"/>
      <c r="L1076" s="11"/>
      <c r="N1076" s="11"/>
      <c r="O1076" s="11"/>
      <c r="P1076" s="11"/>
      <c r="Q1076" s="11"/>
      <c r="X1076" s="23"/>
    </row>
    <row r="1077" spans="9:24" ht="15" customHeight="1" x14ac:dyDescent="0.3">
      <c r="I1077" s="11"/>
      <c r="L1077" s="11"/>
      <c r="N1077" s="11"/>
      <c r="O1077" s="11"/>
      <c r="P1077" s="11"/>
      <c r="Q1077" s="11"/>
      <c r="X1077" s="23"/>
    </row>
    <row r="1078" spans="9:24" ht="15" customHeight="1" x14ac:dyDescent="0.3">
      <c r="I1078" s="11"/>
      <c r="L1078" s="11"/>
      <c r="N1078" s="11"/>
      <c r="O1078" s="11"/>
      <c r="P1078" s="11"/>
      <c r="Q1078" s="11"/>
      <c r="X1078" s="23"/>
    </row>
    <row r="1079" spans="9:24" ht="15" customHeight="1" x14ac:dyDescent="0.3">
      <c r="I1079" s="11"/>
      <c r="L1079" s="11"/>
      <c r="N1079" s="11"/>
      <c r="O1079" s="11"/>
      <c r="P1079" s="11"/>
      <c r="Q1079" s="11"/>
      <c r="X1079" s="23"/>
    </row>
    <row r="1080" spans="9:24" ht="15" customHeight="1" x14ac:dyDescent="0.3">
      <c r="I1080" s="11"/>
      <c r="L1080" s="11"/>
      <c r="N1080" s="11"/>
      <c r="O1080" s="11"/>
      <c r="P1080" s="11"/>
      <c r="Q1080" s="11"/>
      <c r="X1080" s="23"/>
    </row>
    <row r="1081" spans="9:24" ht="15" customHeight="1" x14ac:dyDescent="0.3">
      <c r="I1081" s="11"/>
      <c r="L1081" s="11"/>
      <c r="N1081" s="11"/>
      <c r="O1081" s="11"/>
      <c r="P1081" s="11"/>
      <c r="Q1081" s="11"/>
      <c r="X1081" s="23"/>
    </row>
    <row r="1082" spans="9:24" ht="15" customHeight="1" x14ac:dyDescent="0.3">
      <c r="I1082" s="11"/>
      <c r="L1082" s="11"/>
      <c r="N1082" s="11"/>
      <c r="O1082" s="11"/>
      <c r="P1082" s="11"/>
      <c r="Q1082" s="11"/>
      <c r="X1082" s="23"/>
    </row>
    <row r="1083" spans="9:24" ht="15" customHeight="1" x14ac:dyDescent="0.3">
      <c r="I1083" s="11"/>
      <c r="L1083" s="11"/>
      <c r="N1083" s="11"/>
      <c r="O1083" s="11"/>
      <c r="P1083" s="11"/>
      <c r="Q1083" s="11"/>
      <c r="X1083" s="23"/>
    </row>
    <row r="1084" spans="9:24" ht="15" customHeight="1" x14ac:dyDescent="0.3">
      <c r="I1084" s="11"/>
      <c r="L1084" s="11"/>
      <c r="N1084" s="11"/>
      <c r="O1084" s="11"/>
      <c r="P1084" s="11"/>
      <c r="Q1084" s="11"/>
      <c r="X1084" s="23"/>
    </row>
    <row r="1085" spans="9:24" ht="15" customHeight="1" x14ac:dyDescent="0.3">
      <c r="I1085" s="11"/>
      <c r="L1085" s="11"/>
      <c r="N1085" s="11"/>
      <c r="O1085" s="11"/>
      <c r="P1085" s="11"/>
      <c r="Q1085" s="11"/>
      <c r="X1085" s="23"/>
    </row>
    <row r="1086" spans="9:24" ht="15" customHeight="1" x14ac:dyDescent="0.3">
      <c r="I1086" s="11"/>
      <c r="L1086" s="11"/>
      <c r="N1086" s="11"/>
      <c r="O1086" s="11"/>
      <c r="P1086" s="11"/>
      <c r="Q1086" s="11"/>
      <c r="X1086" s="23"/>
    </row>
    <row r="1087" spans="9:24" ht="15" customHeight="1" x14ac:dyDescent="0.3">
      <c r="I1087" s="11"/>
      <c r="L1087" s="11"/>
      <c r="N1087" s="11"/>
      <c r="O1087" s="11"/>
      <c r="P1087" s="11"/>
      <c r="Q1087" s="11"/>
      <c r="X1087" s="23"/>
    </row>
    <row r="1088" spans="9:24" ht="15" customHeight="1" x14ac:dyDescent="0.3">
      <c r="I1088" s="11"/>
      <c r="L1088" s="11"/>
      <c r="N1088" s="11"/>
      <c r="O1088" s="11"/>
      <c r="P1088" s="11"/>
      <c r="Q1088" s="11"/>
      <c r="X1088" s="23"/>
    </row>
    <row r="1089" spans="9:24" ht="15" customHeight="1" x14ac:dyDescent="0.3">
      <c r="I1089" s="11"/>
      <c r="L1089" s="11"/>
      <c r="N1089" s="11"/>
      <c r="O1089" s="11"/>
      <c r="P1089" s="11"/>
      <c r="Q1089" s="11"/>
      <c r="X1089" s="23"/>
    </row>
    <row r="1090" spans="9:24" ht="15" customHeight="1" x14ac:dyDescent="0.3">
      <c r="I1090" s="11"/>
      <c r="L1090" s="11"/>
      <c r="N1090" s="11"/>
      <c r="O1090" s="11"/>
      <c r="P1090" s="11"/>
      <c r="Q1090" s="11"/>
      <c r="X1090" s="23"/>
    </row>
    <row r="1091" spans="9:24" ht="15" customHeight="1" x14ac:dyDescent="0.3">
      <c r="I1091" s="11"/>
      <c r="L1091" s="11"/>
      <c r="N1091" s="11"/>
      <c r="O1091" s="11"/>
      <c r="P1091" s="11"/>
      <c r="Q1091" s="11"/>
      <c r="X1091" s="23"/>
    </row>
    <row r="1092" spans="9:24" ht="15" customHeight="1" x14ac:dyDescent="0.3">
      <c r="I1092" s="11"/>
      <c r="L1092" s="11"/>
      <c r="N1092" s="11"/>
      <c r="O1092" s="11"/>
      <c r="P1092" s="11"/>
      <c r="Q1092" s="11"/>
      <c r="X1092" s="23"/>
    </row>
    <row r="1093" spans="9:24" ht="15" customHeight="1" x14ac:dyDescent="0.3">
      <c r="I1093" s="11"/>
      <c r="L1093" s="11"/>
      <c r="N1093" s="11"/>
      <c r="O1093" s="11"/>
      <c r="P1093" s="11"/>
      <c r="Q1093" s="11"/>
      <c r="X1093" s="23"/>
    </row>
    <row r="1094" spans="9:24" ht="15" customHeight="1" x14ac:dyDescent="0.3">
      <c r="I1094" s="11"/>
      <c r="L1094" s="11"/>
      <c r="N1094" s="11"/>
      <c r="O1094" s="11"/>
      <c r="P1094" s="11"/>
      <c r="Q1094" s="11"/>
      <c r="X1094" s="23"/>
    </row>
    <row r="1095" spans="9:24" ht="15" customHeight="1" x14ac:dyDescent="0.3">
      <c r="I1095" s="11"/>
      <c r="L1095" s="11"/>
      <c r="N1095" s="11"/>
      <c r="O1095" s="11"/>
      <c r="P1095" s="11"/>
      <c r="Q1095" s="11"/>
      <c r="X1095" s="23"/>
    </row>
    <row r="1096" spans="9:24" ht="15" customHeight="1" x14ac:dyDescent="0.3">
      <c r="I1096" s="11"/>
      <c r="L1096" s="11"/>
      <c r="N1096" s="11"/>
      <c r="O1096" s="11"/>
      <c r="P1096" s="11"/>
      <c r="Q1096" s="11"/>
      <c r="X1096" s="23"/>
    </row>
    <row r="1097" spans="9:24" ht="15" customHeight="1" x14ac:dyDescent="0.3">
      <c r="I1097" s="11"/>
      <c r="L1097" s="11"/>
      <c r="N1097" s="11"/>
      <c r="O1097" s="11"/>
      <c r="P1097" s="11"/>
      <c r="Q1097" s="11"/>
      <c r="X1097" s="23"/>
    </row>
    <row r="1098" spans="9:24" ht="15" customHeight="1" x14ac:dyDescent="0.3">
      <c r="I1098" s="11"/>
      <c r="L1098" s="11"/>
      <c r="N1098" s="11"/>
      <c r="O1098" s="11"/>
      <c r="P1098" s="11"/>
      <c r="Q1098" s="11"/>
      <c r="X1098" s="23"/>
    </row>
    <row r="1099" spans="9:24" ht="15" customHeight="1" x14ac:dyDescent="0.3">
      <c r="I1099" s="11"/>
      <c r="L1099" s="11"/>
      <c r="N1099" s="11"/>
      <c r="O1099" s="11"/>
      <c r="P1099" s="11"/>
      <c r="Q1099" s="11"/>
      <c r="X1099" s="23"/>
    </row>
    <row r="1100" spans="9:24" ht="15" customHeight="1" x14ac:dyDescent="0.3">
      <c r="I1100" s="11"/>
      <c r="L1100" s="11"/>
      <c r="N1100" s="11"/>
      <c r="O1100" s="11"/>
      <c r="P1100" s="11"/>
      <c r="Q1100" s="11"/>
      <c r="X1100" s="23"/>
    </row>
    <row r="1101" spans="9:24" ht="15" customHeight="1" x14ac:dyDescent="0.3">
      <c r="I1101" s="11"/>
      <c r="L1101" s="11"/>
      <c r="N1101" s="11"/>
      <c r="O1101" s="11"/>
      <c r="P1101" s="11"/>
      <c r="Q1101" s="11"/>
      <c r="X1101" s="23"/>
    </row>
    <row r="1102" spans="9:24" ht="15" customHeight="1" x14ac:dyDescent="0.3">
      <c r="I1102" s="11"/>
      <c r="L1102" s="11"/>
      <c r="N1102" s="11"/>
      <c r="O1102" s="11"/>
      <c r="P1102" s="11"/>
      <c r="Q1102" s="11"/>
      <c r="X1102" s="23"/>
    </row>
    <row r="1103" spans="9:24" ht="15" customHeight="1" x14ac:dyDescent="0.3">
      <c r="I1103" s="11"/>
      <c r="L1103" s="11"/>
      <c r="N1103" s="11"/>
      <c r="O1103" s="11"/>
      <c r="P1103" s="11"/>
      <c r="Q1103" s="11"/>
      <c r="X1103" s="23"/>
    </row>
    <row r="1104" spans="9:24" ht="15" customHeight="1" x14ac:dyDescent="0.3">
      <c r="I1104" s="11"/>
      <c r="L1104" s="11"/>
      <c r="N1104" s="11"/>
      <c r="O1104" s="11"/>
      <c r="P1104" s="11"/>
      <c r="Q1104" s="11"/>
      <c r="X1104" s="23"/>
    </row>
    <row r="1105" spans="9:24" ht="15" customHeight="1" x14ac:dyDescent="0.3">
      <c r="I1105" s="11"/>
      <c r="L1105" s="11"/>
      <c r="N1105" s="11"/>
      <c r="O1105" s="11"/>
      <c r="P1105" s="11"/>
      <c r="Q1105" s="11"/>
      <c r="X1105" s="23"/>
    </row>
    <row r="1106" spans="9:24" ht="15" customHeight="1" x14ac:dyDescent="0.3">
      <c r="I1106" s="11"/>
      <c r="L1106" s="11"/>
      <c r="N1106" s="11"/>
      <c r="O1106" s="11"/>
      <c r="P1106" s="11"/>
      <c r="Q1106" s="11"/>
      <c r="X1106" s="23"/>
    </row>
    <row r="1107" spans="9:24" ht="15" customHeight="1" x14ac:dyDescent="0.3">
      <c r="I1107" s="11"/>
      <c r="L1107" s="11"/>
      <c r="N1107" s="11"/>
      <c r="O1107" s="11"/>
      <c r="P1107" s="11"/>
      <c r="Q1107" s="11"/>
      <c r="X1107" s="23"/>
    </row>
    <row r="1108" spans="9:24" ht="15" customHeight="1" x14ac:dyDescent="0.3">
      <c r="I1108" s="11"/>
      <c r="L1108" s="11"/>
      <c r="N1108" s="11"/>
      <c r="O1108" s="11"/>
      <c r="P1108" s="11"/>
      <c r="Q1108" s="11"/>
      <c r="X1108" s="23"/>
    </row>
    <row r="1109" spans="9:24" ht="15" customHeight="1" x14ac:dyDescent="0.3">
      <c r="I1109" s="11"/>
      <c r="L1109" s="11"/>
      <c r="N1109" s="11"/>
      <c r="O1109" s="11"/>
      <c r="P1109" s="11"/>
      <c r="Q1109" s="11"/>
      <c r="X1109" s="23"/>
    </row>
    <row r="1110" spans="9:24" ht="15" customHeight="1" x14ac:dyDescent="0.3">
      <c r="I1110" s="11"/>
      <c r="L1110" s="11"/>
      <c r="N1110" s="11"/>
      <c r="O1110" s="11"/>
      <c r="P1110" s="11"/>
      <c r="Q1110" s="11"/>
      <c r="X1110" s="23"/>
    </row>
    <row r="1111" spans="9:24" ht="15" customHeight="1" x14ac:dyDescent="0.3">
      <c r="I1111" s="11"/>
      <c r="L1111" s="11"/>
      <c r="N1111" s="11"/>
      <c r="O1111" s="11"/>
      <c r="P1111" s="11"/>
      <c r="Q1111" s="11"/>
      <c r="X1111" s="23"/>
    </row>
    <row r="1112" spans="9:24" ht="15" customHeight="1" x14ac:dyDescent="0.3">
      <c r="I1112" s="11"/>
      <c r="L1112" s="11"/>
      <c r="N1112" s="11"/>
      <c r="O1112" s="11"/>
      <c r="P1112" s="11"/>
      <c r="Q1112" s="11"/>
      <c r="X1112" s="23"/>
    </row>
    <row r="1113" spans="9:24" ht="15" customHeight="1" x14ac:dyDescent="0.3">
      <c r="I1113" s="11"/>
      <c r="L1113" s="11"/>
      <c r="N1113" s="11"/>
      <c r="O1113" s="11"/>
      <c r="P1113" s="11"/>
      <c r="Q1113" s="11"/>
      <c r="X1113" s="23"/>
    </row>
    <row r="1114" spans="9:24" ht="15" customHeight="1" x14ac:dyDescent="0.3">
      <c r="I1114" s="11"/>
      <c r="L1114" s="11"/>
      <c r="N1114" s="11"/>
      <c r="O1114" s="11"/>
      <c r="P1114" s="11"/>
      <c r="Q1114" s="11"/>
      <c r="X1114" s="23"/>
    </row>
    <row r="1115" spans="9:24" ht="15" customHeight="1" x14ac:dyDescent="0.3">
      <c r="I1115" s="11"/>
      <c r="L1115" s="11"/>
      <c r="N1115" s="11"/>
      <c r="O1115" s="11"/>
      <c r="P1115" s="11"/>
      <c r="Q1115" s="11"/>
      <c r="X1115" s="23"/>
    </row>
    <row r="1116" spans="9:24" ht="15" customHeight="1" x14ac:dyDescent="0.3">
      <c r="I1116" s="11"/>
      <c r="L1116" s="11"/>
      <c r="N1116" s="11"/>
      <c r="O1116" s="11"/>
      <c r="P1116" s="11"/>
      <c r="Q1116" s="11"/>
      <c r="X1116" s="23"/>
    </row>
    <row r="1117" spans="9:24" ht="15" customHeight="1" x14ac:dyDescent="0.3">
      <c r="I1117" s="11"/>
      <c r="L1117" s="11"/>
      <c r="N1117" s="11"/>
      <c r="O1117" s="11"/>
      <c r="P1117" s="11"/>
      <c r="Q1117" s="11"/>
      <c r="X1117" s="23"/>
    </row>
    <row r="1118" spans="9:24" ht="15" customHeight="1" x14ac:dyDescent="0.3">
      <c r="I1118" s="11"/>
      <c r="L1118" s="11"/>
      <c r="N1118" s="11"/>
      <c r="O1118" s="11"/>
      <c r="P1118" s="11"/>
      <c r="Q1118" s="11"/>
      <c r="X1118" s="23"/>
    </row>
    <row r="1119" spans="9:24" ht="15" customHeight="1" x14ac:dyDescent="0.3">
      <c r="I1119" s="11"/>
      <c r="L1119" s="11"/>
      <c r="N1119" s="11"/>
      <c r="O1119" s="11"/>
      <c r="P1119" s="11"/>
      <c r="Q1119" s="11"/>
      <c r="X1119" s="23"/>
    </row>
    <row r="1120" spans="9:24" ht="15" customHeight="1" x14ac:dyDescent="0.3">
      <c r="I1120" s="11"/>
      <c r="L1120" s="11"/>
      <c r="N1120" s="11"/>
      <c r="O1120" s="11"/>
      <c r="P1120" s="11"/>
      <c r="Q1120" s="11"/>
      <c r="X1120" s="23"/>
    </row>
    <row r="1121" spans="9:24" ht="15" customHeight="1" x14ac:dyDescent="0.3">
      <c r="I1121" s="11"/>
      <c r="L1121" s="11"/>
      <c r="N1121" s="11"/>
      <c r="O1121" s="11"/>
      <c r="P1121" s="11"/>
      <c r="Q1121" s="11"/>
      <c r="X1121" s="23"/>
    </row>
    <row r="1122" spans="9:24" ht="15" customHeight="1" x14ac:dyDescent="0.3">
      <c r="I1122" s="11"/>
      <c r="L1122" s="11"/>
      <c r="N1122" s="11"/>
      <c r="O1122" s="11"/>
      <c r="P1122" s="11"/>
      <c r="Q1122" s="11"/>
      <c r="X1122" s="23"/>
    </row>
    <row r="1123" spans="9:24" ht="15" customHeight="1" x14ac:dyDescent="0.3">
      <c r="I1123" s="11"/>
      <c r="L1123" s="11"/>
      <c r="N1123" s="11"/>
      <c r="O1123" s="11"/>
      <c r="P1123" s="11"/>
      <c r="Q1123" s="11"/>
      <c r="X1123" s="23"/>
    </row>
    <row r="1124" spans="9:24" ht="15" customHeight="1" x14ac:dyDescent="0.3">
      <c r="I1124" s="11"/>
      <c r="L1124" s="11"/>
      <c r="N1124" s="11"/>
      <c r="O1124" s="11"/>
      <c r="P1124" s="11"/>
      <c r="Q1124" s="11"/>
      <c r="X1124" s="23"/>
    </row>
    <row r="1125" spans="9:24" ht="15" customHeight="1" x14ac:dyDescent="0.3">
      <c r="I1125" s="11"/>
      <c r="L1125" s="11"/>
      <c r="N1125" s="11"/>
      <c r="O1125" s="11"/>
      <c r="P1125" s="11"/>
      <c r="Q1125" s="11"/>
      <c r="X1125" s="23"/>
    </row>
    <row r="1126" spans="9:24" ht="15" customHeight="1" x14ac:dyDescent="0.3">
      <c r="I1126" s="11"/>
      <c r="L1126" s="11"/>
      <c r="N1126" s="11"/>
      <c r="O1126" s="11"/>
      <c r="P1126" s="11"/>
      <c r="Q1126" s="11"/>
      <c r="X1126" s="23"/>
    </row>
    <row r="1127" spans="9:24" ht="15" customHeight="1" x14ac:dyDescent="0.3">
      <c r="I1127" s="11"/>
      <c r="L1127" s="11"/>
      <c r="N1127" s="11"/>
      <c r="O1127" s="11"/>
      <c r="P1127" s="11"/>
      <c r="Q1127" s="11"/>
      <c r="X1127" s="23"/>
    </row>
    <row r="1128" spans="9:24" ht="15" customHeight="1" x14ac:dyDescent="0.3">
      <c r="I1128" s="11"/>
      <c r="L1128" s="11"/>
      <c r="N1128" s="11"/>
      <c r="O1128" s="11"/>
      <c r="P1128" s="11"/>
      <c r="Q1128" s="11"/>
    </row>
    <row r="1129" spans="9:24" ht="15" customHeight="1" x14ac:dyDescent="0.3">
      <c r="I1129" s="11"/>
      <c r="L1129" s="11"/>
      <c r="N1129" s="11"/>
      <c r="O1129" s="11"/>
      <c r="P1129" s="11"/>
      <c r="Q1129" s="11"/>
    </row>
    <row r="1130" spans="9:24" ht="15" customHeight="1" x14ac:dyDescent="0.3">
      <c r="I1130" s="11"/>
      <c r="L1130" s="11"/>
      <c r="N1130" s="11"/>
      <c r="O1130" s="11"/>
      <c r="P1130" s="11"/>
      <c r="Q1130" s="11"/>
    </row>
    <row r="1131" spans="9:24" ht="15" customHeight="1" x14ac:dyDescent="0.3">
      <c r="I1131" s="11"/>
      <c r="L1131" s="11"/>
      <c r="N1131" s="11"/>
      <c r="O1131" s="11"/>
      <c r="P1131" s="11"/>
      <c r="Q1131" s="11"/>
    </row>
    <row r="1132" spans="9:24" ht="15" customHeight="1" x14ac:dyDescent="0.3">
      <c r="I1132" s="11"/>
      <c r="L1132" s="11"/>
      <c r="N1132" s="11"/>
      <c r="O1132" s="11"/>
      <c r="P1132" s="11"/>
      <c r="Q1132" s="11"/>
    </row>
    <row r="1133" spans="9:24" ht="15" customHeight="1" x14ac:dyDescent="0.3">
      <c r="I1133" s="11"/>
      <c r="L1133" s="11"/>
      <c r="N1133" s="11"/>
      <c r="O1133" s="11"/>
      <c r="P1133" s="11"/>
      <c r="Q1133" s="11"/>
    </row>
    <row r="1134" spans="9:24" ht="15" customHeight="1" x14ac:dyDescent="0.3">
      <c r="I1134" s="11"/>
      <c r="L1134" s="11"/>
      <c r="N1134" s="11"/>
      <c r="O1134" s="11"/>
      <c r="P1134" s="11"/>
      <c r="Q1134" s="11"/>
    </row>
    <row r="1135" spans="9:24" ht="15" customHeight="1" x14ac:dyDescent="0.3">
      <c r="I1135" s="11"/>
      <c r="L1135" s="11"/>
      <c r="N1135" s="11"/>
      <c r="O1135" s="11"/>
      <c r="P1135" s="11"/>
      <c r="Q1135" s="11"/>
    </row>
    <row r="1136" spans="9:24" ht="15" customHeight="1" x14ac:dyDescent="0.3">
      <c r="I1136" s="11"/>
      <c r="L1136" s="11"/>
      <c r="N1136" s="11"/>
      <c r="O1136" s="11"/>
      <c r="P1136" s="11"/>
      <c r="Q1136" s="11"/>
    </row>
    <row r="1137" spans="9:17" ht="15" customHeight="1" x14ac:dyDescent="0.3">
      <c r="I1137" s="11"/>
      <c r="L1137" s="11"/>
      <c r="N1137" s="11"/>
      <c r="O1137" s="11"/>
      <c r="P1137" s="11"/>
      <c r="Q1137" s="11"/>
    </row>
    <row r="1138" spans="9:17" ht="15" customHeight="1" x14ac:dyDescent="0.3">
      <c r="I1138" s="11"/>
      <c r="L1138" s="11"/>
      <c r="N1138" s="11"/>
      <c r="O1138" s="11"/>
      <c r="P1138" s="11"/>
      <c r="Q1138" s="11"/>
    </row>
    <row r="1139" spans="9:17" ht="15" customHeight="1" x14ac:dyDescent="0.3">
      <c r="I1139" s="11"/>
      <c r="L1139" s="11"/>
      <c r="N1139" s="11"/>
      <c r="O1139" s="11"/>
      <c r="P1139" s="11"/>
      <c r="Q1139" s="11"/>
    </row>
    <row r="1140" spans="9:17" ht="15" customHeight="1" x14ac:dyDescent="0.3">
      <c r="I1140" s="11"/>
      <c r="L1140" s="11"/>
      <c r="N1140" s="11"/>
      <c r="O1140" s="11"/>
      <c r="P1140" s="11"/>
      <c r="Q1140" s="11"/>
    </row>
    <row r="1141" spans="9:17" ht="15" customHeight="1" x14ac:dyDescent="0.3">
      <c r="I1141" s="11"/>
      <c r="L1141" s="11"/>
      <c r="N1141" s="11"/>
      <c r="O1141" s="11"/>
      <c r="P1141" s="11"/>
      <c r="Q1141" s="11"/>
    </row>
    <row r="1142" spans="9:17" ht="15" customHeight="1" x14ac:dyDescent="0.3">
      <c r="I1142" s="11"/>
      <c r="L1142" s="11"/>
      <c r="N1142" s="11"/>
      <c r="O1142" s="11"/>
      <c r="P1142" s="11"/>
      <c r="Q1142" s="11"/>
    </row>
    <row r="1143" spans="9:17" ht="15" customHeight="1" x14ac:dyDescent="0.3">
      <c r="I1143" s="11"/>
      <c r="L1143" s="11"/>
      <c r="N1143" s="11"/>
      <c r="O1143" s="11"/>
      <c r="P1143" s="11"/>
      <c r="Q1143" s="11"/>
    </row>
    <row r="1144" spans="9:17" ht="15" customHeight="1" x14ac:dyDescent="0.3">
      <c r="I1144" s="11"/>
      <c r="L1144" s="11"/>
      <c r="N1144" s="11"/>
      <c r="O1144" s="11"/>
      <c r="P1144" s="11"/>
      <c r="Q1144" s="11"/>
    </row>
    <row r="1145" spans="9:17" ht="15" customHeight="1" x14ac:dyDescent="0.3">
      <c r="I1145" s="11"/>
      <c r="L1145" s="11"/>
      <c r="N1145" s="11"/>
      <c r="O1145" s="11"/>
      <c r="P1145" s="11"/>
      <c r="Q1145" s="11"/>
    </row>
    <row r="1146" spans="9:17" ht="15" customHeight="1" x14ac:dyDescent="0.3">
      <c r="I1146" s="11"/>
      <c r="L1146" s="11"/>
      <c r="N1146" s="11"/>
      <c r="O1146" s="11"/>
      <c r="P1146" s="11"/>
      <c r="Q1146" s="11"/>
    </row>
    <row r="1147" spans="9:17" ht="15" customHeight="1" x14ac:dyDescent="0.3">
      <c r="I1147" s="11"/>
      <c r="L1147" s="11"/>
      <c r="N1147" s="11"/>
      <c r="O1147" s="11"/>
      <c r="P1147" s="11"/>
      <c r="Q1147" s="11"/>
    </row>
    <row r="1148" spans="9:17" ht="15" customHeight="1" x14ac:dyDescent="0.3">
      <c r="I1148" s="11"/>
      <c r="L1148" s="11"/>
      <c r="N1148" s="11"/>
      <c r="O1148" s="11"/>
      <c r="P1148" s="11"/>
      <c r="Q1148" s="11"/>
    </row>
    <row r="1149" spans="9:17" ht="15" customHeight="1" x14ac:dyDescent="0.3">
      <c r="I1149" s="11"/>
      <c r="L1149" s="11"/>
      <c r="N1149" s="11"/>
      <c r="O1149" s="11"/>
      <c r="P1149" s="11"/>
      <c r="Q1149" s="11"/>
    </row>
    <row r="1150" spans="9:17" ht="15" customHeight="1" x14ac:dyDescent="0.3">
      <c r="I1150" s="11"/>
      <c r="L1150" s="11"/>
      <c r="N1150" s="11"/>
      <c r="O1150" s="11"/>
      <c r="P1150" s="11"/>
      <c r="Q1150" s="11"/>
    </row>
    <row r="1151" spans="9:17" ht="15" customHeight="1" x14ac:dyDescent="0.3">
      <c r="I1151" s="11"/>
      <c r="L1151" s="11"/>
      <c r="N1151" s="11"/>
      <c r="O1151" s="11"/>
      <c r="P1151" s="11"/>
      <c r="Q1151" s="11"/>
    </row>
    <row r="1152" spans="9:17" ht="15" customHeight="1" x14ac:dyDescent="0.3">
      <c r="I1152" s="11"/>
      <c r="L1152" s="11"/>
      <c r="N1152" s="11"/>
      <c r="O1152" s="11"/>
      <c r="P1152" s="11"/>
      <c r="Q1152" s="11"/>
    </row>
    <row r="1153" spans="9:17" ht="15" customHeight="1" x14ac:dyDescent="0.3">
      <c r="I1153" s="11"/>
      <c r="L1153" s="11"/>
      <c r="N1153" s="11"/>
      <c r="O1153" s="11"/>
      <c r="P1153" s="11"/>
      <c r="Q1153" s="11"/>
    </row>
    <row r="1154" spans="9:17" ht="15" customHeight="1" x14ac:dyDescent="0.3">
      <c r="I1154" s="11"/>
      <c r="L1154" s="11"/>
      <c r="N1154" s="11"/>
      <c r="O1154" s="11"/>
      <c r="P1154" s="11"/>
      <c r="Q1154" s="11"/>
    </row>
    <row r="1155" spans="9:17" ht="15" customHeight="1" x14ac:dyDescent="0.3">
      <c r="I1155" s="11"/>
      <c r="L1155" s="11"/>
      <c r="N1155" s="11"/>
      <c r="O1155" s="11"/>
      <c r="P1155" s="11"/>
      <c r="Q1155" s="11"/>
    </row>
    <row r="1156" spans="9:17" ht="15" customHeight="1" x14ac:dyDescent="0.3">
      <c r="I1156" s="11"/>
      <c r="L1156" s="11"/>
      <c r="N1156" s="11"/>
      <c r="O1156" s="11"/>
      <c r="P1156" s="11"/>
      <c r="Q1156" s="11"/>
    </row>
    <row r="1157" spans="9:17" ht="15" customHeight="1" x14ac:dyDescent="0.3">
      <c r="I1157" s="11"/>
      <c r="L1157" s="11"/>
      <c r="N1157" s="11"/>
      <c r="O1157" s="11"/>
      <c r="P1157" s="11"/>
      <c r="Q1157" s="11"/>
    </row>
    <row r="1158" spans="9:17" ht="15" customHeight="1" x14ac:dyDescent="0.3">
      <c r="I1158" s="11"/>
      <c r="L1158" s="11"/>
      <c r="N1158" s="11"/>
      <c r="O1158" s="11"/>
      <c r="P1158" s="11"/>
      <c r="Q1158" s="11"/>
    </row>
    <row r="1159" spans="9:17" ht="15" customHeight="1" x14ac:dyDescent="0.3">
      <c r="I1159" s="11"/>
      <c r="L1159" s="11"/>
      <c r="N1159" s="11"/>
      <c r="O1159" s="11"/>
      <c r="P1159" s="11"/>
      <c r="Q1159" s="11"/>
    </row>
    <row r="1160" spans="9:17" ht="15" customHeight="1" x14ac:dyDescent="0.3">
      <c r="I1160" s="11"/>
      <c r="L1160" s="11"/>
      <c r="N1160" s="11"/>
      <c r="O1160" s="11"/>
      <c r="P1160" s="11"/>
      <c r="Q1160" s="11"/>
    </row>
    <row r="1161" spans="9:17" ht="15" customHeight="1" x14ac:dyDescent="0.3">
      <c r="I1161" s="11"/>
      <c r="L1161" s="11"/>
      <c r="N1161" s="11"/>
      <c r="O1161" s="11"/>
      <c r="P1161" s="11"/>
      <c r="Q1161" s="11"/>
    </row>
    <row r="1162" spans="9:17" ht="15" customHeight="1" x14ac:dyDescent="0.3">
      <c r="I1162" s="11"/>
      <c r="L1162" s="11"/>
      <c r="N1162" s="11"/>
      <c r="O1162" s="11"/>
      <c r="P1162" s="11"/>
      <c r="Q1162" s="11"/>
    </row>
    <row r="1163" spans="9:17" ht="15" customHeight="1" x14ac:dyDescent="0.3">
      <c r="I1163" s="11"/>
      <c r="L1163" s="11"/>
      <c r="N1163" s="11"/>
      <c r="O1163" s="11"/>
      <c r="P1163" s="11"/>
      <c r="Q1163" s="11"/>
    </row>
    <row r="1164" spans="9:17" ht="15" customHeight="1" x14ac:dyDescent="0.3">
      <c r="I1164" s="11"/>
      <c r="L1164" s="11"/>
      <c r="N1164" s="11"/>
      <c r="O1164" s="11"/>
      <c r="P1164" s="11"/>
      <c r="Q1164" s="11"/>
    </row>
    <row r="1165" spans="9:17" ht="15" customHeight="1" x14ac:dyDescent="0.3">
      <c r="I1165" s="11"/>
      <c r="L1165" s="11"/>
      <c r="N1165" s="11"/>
      <c r="O1165" s="11"/>
      <c r="P1165" s="11"/>
      <c r="Q1165" s="11"/>
    </row>
    <row r="1166" spans="9:17" ht="15" customHeight="1" x14ac:dyDescent="0.3">
      <c r="I1166" s="11"/>
      <c r="L1166" s="11"/>
      <c r="N1166" s="11"/>
      <c r="O1166" s="11"/>
      <c r="P1166" s="11"/>
      <c r="Q1166" s="11"/>
    </row>
    <row r="1167" spans="9:17" ht="15" customHeight="1" x14ac:dyDescent="0.3">
      <c r="I1167" s="11"/>
      <c r="L1167" s="11"/>
      <c r="N1167" s="11"/>
      <c r="O1167" s="11"/>
      <c r="P1167" s="11"/>
      <c r="Q1167" s="11"/>
    </row>
    <row r="1168" spans="9:17" ht="15" customHeight="1" x14ac:dyDescent="0.3">
      <c r="I1168" s="11"/>
      <c r="L1168" s="11"/>
      <c r="N1168" s="11"/>
      <c r="O1168" s="11"/>
      <c r="P1168" s="11"/>
      <c r="Q1168" s="11"/>
    </row>
    <row r="1169" spans="9:17" ht="15" customHeight="1" x14ac:dyDescent="0.3">
      <c r="I1169" s="11"/>
      <c r="L1169" s="11"/>
      <c r="N1169" s="11"/>
      <c r="O1169" s="11"/>
      <c r="P1169" s="11"/>
      <c r="Q1169" s="11"/>
    </row>
    <row r="1170" spans="9:17" ht="15" customHeight="1" x14ac:dyDescent="0.3">
      <c r="I1170" s="11"/>
      <c r="L1170" s="11"/>
      <c r="N1170" s="11"/>
      <c r="O1170" s="11"/>
      <c r="P1170" s="11"/>
      <c r="Q1170" s="11"/>
    </row>
    <row r="1171" spans="9:17" ht="15" customHeight="1" x14ac:dyDescent="0.3">
      <c r="I1171" s="11"/>
      <c r="L1171" s="11"/>
      <c r="N1171" s="11"/>
      <c r="O1171" s="11"/>
      <c r="P1171" s="11"/>
      <c r="Q1171" s="11"/>
    </row>
    <row r="1172" spans="9:17" ht="15" customHeight="1" x14ac:dyDescent="0.3">
      <c r="I1172" s="11"/>
      <c r="L1172" s="11"/>
      <c r="N1172" s="11"/>
      <c r="O1172" s="11"/>
      <c r="P1172" s="11"/>
      <c r="Q1172" s="11"/>
    </row>
  </sheetData>
  <autoFilter ref="T1:T1172" xr:uid="{73603584-4FAD-4DB7-B932-3276AB62821D}"/>
  <mergeCells count="1333">
    <mergeCell ref="H962:I962"/>
    <mergeCell ref="N896:T896"/>
    <mergeCell ref="K962:L962"/>
    <mergeCell ref="N1060:T1062"/>
    <mergeCell ref="H1063:I1063"/>
    <mergeCell ref="K1063:L1063"/>
    <mergeCell ref="H1064:I1065"/>
    <mergeCell ref="K1064:L1065"/>
    <mergeCell ref="H1000:L1001"/>
    <mergeCell ref="H786:I786"/>
    <mergeCell ref="K786:L786"/>
    <mergeCell ref="H787:I788"/>
    <mergeCell ref="K787:L788"/>
    <mergeCell ref="H790:L791"/>
    <mergeCell ref="H891:I891"/>
    <mergeCell ref="K891:L891"/>
    <mergeCell ref="H819:L819"/>
    <mergeCell ref="H890:L890"/>
    <mergeCell ref="N962:T962"/>
    <mergeCell ref="N1000:T1001"/>
    <mergeCell ref="H991:L991"/>
    <mergeCell ref="N991:T991"/>
    <mergeCell ref="N791:T791"/>
    <mergeCell ref="N825:T825"/>
    <mergeCell ref="N852:T852"/>
    <mergeCell ref="H926:I927"/>
    <mergeCell ref="N894:O894"/>
    <mergeCell ref="P894:R894"/>
    <mergeCell ref="S894:T894"/>
    <mergeCell ref="N895:O895"/>
    <mergeCell ref="P895:R895"/>
    <mergeCell ref="S895:T895"/>
    <mergeCell ref="N898:P899"/>
    <mergeCell ref="R898:T899"/>
    <mergeCell ref="H620:L621"/>
    <mergeCell ref="H650:I650"/>
    <mergeCell ref="K650:L650"/>
    <mergeCell ref="H651:I652"/>
    <mergeCell ref="K651:L652"/>
    <mergeCell ref="H654:L655"/>
    <mergeCell ref="H684:I684"/>
    <mergeCell ref="K684:L684"/>
    <mergeCell ref="H623:L624"/>
    <mergeCell ref="H688:L689"/>
    <mergeCell ref="H718:I718"/>
    <mergeCell ref="K718:L718"/>
    <mergeCell ref="H719:I720"/>
    <mergeCell ref="K719:L720"/>
    <mergeCell ref="H722:L723"/>
    <mergeCell ref="H752:I752"/>
    <mergeCell ref="K752:L752"/>
    <mergeCell ref="H753:I754"/>
    <mergeCell ref="K753:L754"/>
    <mergeCell ref="H898:L899"/>
    <mergeCell ref="H894:I894"/>
    <mergeCell ref="K894:L894"/>
    <mergeCell ref="N818:T818"/>
    <mergeCell ref="N793:T794"/>
    <mergeCell ref="N716:T716"/>
    <mergeCell ref="H818:L818"/>
    <mergeCell ref="H555:L556"/>
    <mergeCell ref="H615:L615"/>
    <mergeCell ref="N1071:T1072"/>
    <mergeCell ref="N1030:T1030"/>
    <mergeCell ref="N1031:T1031"/>
    <mergeCell ref="N996:T996"/>
    <mergeCell ref="N997:T997"/>
    <mergeCell ref="H993:I993"/>
    <mergeCell ref="H994:I995"/>
    <mergeCell ref="K993:L993"/>
    <mergeCell ref="K994:L995"/>
    <mergeCell ref="H997:L998"/>
    <mergeCell ref="H892:I893"/>
    <mergeCell ref="K892:L893"/>
    <mergeCell ref="H895:L896"/>
    <mergeCell ref="H959:I959"/>
    <mergeCell ref="K959:L959"/>
    <mergeCell ref="H960:I961"/>
    <mergeCell ref="K960:L961"/>
    <mergeCell ref="H963:L964"/>
    <mergeCell ref="H1027:I1027"/>
    <mergeCell ref="N963:T963"/>
    <mergeCell ref="N964:T964"/>
    <mergeCell ref="R723:T723"/>
    <mergeCell ref="N860:P860"/>
    <mergeCell ref="N861:P861"/>
    <mergeCell ref="N856:P856"/>
    <mergeCell ref="N889:T889"/>
    <mergeCell ref="N823:T823"/>
    <mergeCell ref="N824:T824"/>
    <mergeCell ref="N819:T821"/>
    <mergeCell ref="N864:T865"/>
    <mergeCell ref="E1034:G1035"/>
    <mergeCell ref="H1034:L1035"/>
    <mergeCell ref="N1034:T1035"/>
    <mergeCell ref="H378:I378"/>
    <mergeCell ref="K378:L378"/>
    <mergeCell ref="H379:I380"/>
    <mergeCell ref="K379:L380"/>
    <mergeCell ref="H382:L383"/>
    <mergeCell ref="H412:I412"/>
    <mergeCell ref="K412:L412"/>
    <mergeCell ref="H413:I414"/>
    <mergeCell ref="K413:L414"/>
    <mergeCell ref="H416:L417"/>
    <mergeCell ref="H446:I446"/>
    <mergeCell ref="K446:L446"/>
    <mergeCell ref="H447:I448"/>
    <mergeCell ref="K447:L448"/>
    <mergeCell ref="H450:L451"/>
    <mergeCell ref="H480:I480"/>
    <mergeCell ref="K480:L480"/>
    <mergeCell ref="H481:I482"/>
    <mergeCell ref="K481:L482"/>
    <mergeCell ref="H484:L485"/>
    <mergeCell ref="H514:I514"/>
    <mergeCell ref="K514:L514"/>
    <mergeCell ref="H515:I516"/>
    <mergeCell ref="K515:L516"/>
    <mergeCell ref="H518:L519"/>
    <mergeCell ref="H548:I548"/>
    <mergeCell ref="K548:L548"/>
    <mergeCell ref="H549:I550"/>
    <mergeCell ref="K549:L550"/>
    <mergeCell ref="E1022:G1022"/>
    <mergeCell ref="E1023:G1023"/>
    <mergeCell ref="E1024:G1024"/>
    <mergeCell ref="E1025:G1025"/>
    <mergeCell ref="H1025:L1025"/>
    <mergeCell ref="N1025:T1025"/>
    <mergeCell ref="E1026:G1026"/>
    <mergeCell ref="H1026:L1026"/>
    <mergeCell ref="N1026:T1028"/>
    <mergeCell ref="H1030:I1030"/>
    <mergeCell ref="K1030:L1030"/>
    <mergeCell ref="N1032:P1032"/>
    <mergeCell ref="R1032:T1032"/>
    <mergeCell ref="E1003:G1003"/>
    <mergeCell ref="E1004:G1004"/>
    <mergeCell ref="E1005:G1005"/>
    <mergeCell ref="E1006:G1006"/>
    <mergeCell ref="E1007:G1007"/>
    <mergeCell ref="K1027:L1027"/>
    <mergeCell ref="H1028:I1029"/>
    <mergeCell ref="K1028:L1029"/>
    <mergeCell ref="H1031:L1032"/>
    <mergeCell ref="E1018:G1018"/>
    <mergeCell ref="E1019:G1019"/>
    <mergeCell ref="E1020:G1020"/>
    <mergeCell ref="E1014:G1014"/>
    <mergeCell ref="E1015:G1015"/>
    <mergeCell ref="E1016:G1016"/>
    <mergeCell ref="E1017:G1017"/>
    <mergeCell ref="E1021:G1021"/>
    <mergeCell ref="N998:P998"/>
    <mergeCell ref="R998:T998"/>
    <mergeCell ref="N992:T994"/>
    <mergeCell ref="R860:T860"/>
    <mergeCell ref="R861:T861"/>
    <mergeCell ref="H755:I755"/>
    <mergeCell ref="K755:L755"/>
    <mergeCell ref="E971:G971"/>
    <mergeCell ref="E972:G972"/>
    <mergeCell ref="E973:G973"/>
    <mergeCell ref="E974:G974"/>
    <mergeCell ref="E976:G976"/>
    <mergeCell ref="E968:G968"/>
    <mergeCell ref="E969:G969"/>
    <mergeCell ref="E970:G970"/>
    <mergeCell ref="E898:G899"/>
    <mergeCell ref="E956:G956"/>
    <mergeCell ref="N785:T787"/>
    <mergeCell ref="K789:L789"/>
    <mergeCell ref="H823:I823"/>
    <mergeCell ref="K823:L823"/>
    <mergeCell ref="E975:G975"/>
    <mergeCell ref="E977:G977"/>
    <mergeCell ref="H992:L992"/>
    <mergeCell ref="H996:I996"/>
    <mergeCell ref="K996:L996"/>
    <mergeCell ref="E966:G967"/>
    <mergeCell ref="H966:L967"/>
    <mergeCell ref="N966:T967"/>
    <mergeCell ref="E989:G989"/>
    <mergeCell ref="E988:G988"/>
    <mergeCell ref="E987:G987"/>
    <mergeCell ref="R552:T552"/>
    <mergeCell ref="R553:T553"/>
    <mergeCell ref="N789:T789"/>
    <mergeCell ref="N790:T790"/>
    <mergeCell ref="H789:I789"/>
    <mergeCell ref="N623:T624"/>
    <mergeCell ref="N620:T620"/>
    <mergeCell ref="N585:T585"/>
    <mergeCell ref="H585:I585"/>
    <mergeCell ref="K585:L585"/>
    <mergeCell ref="H619:I619"/>
    <mergeCell ref="N555:T556"/>
    <mergeCell ref="N689:T689"/>
    <mergeCell ref="N721:P721"/>
    <mergeCell ref="N722:P722"/>
    <mergeCell ref="N723:P723"/>
    <mergeCell ref="N755:T755"/>
    <mergeCell ref="N756:T756"/>
    <mergeCell ref="N757:T757"/>
    <mergeCell ref="H552:L553"/>
    <mergeCell ref="H582:I582"/>
    <mergeCell ref="K582:L582"/>
    <mergeCell ref="H583:I584"/>
    <mergeCell ref="K583:L584"/>
    <mergeCell ref="H586:L587"/>
    <mergeCell ref="H616:I616"/>
    <mergeCell ref="K616:L616"/>
    <mergeCell ref="H617:I618"/>
    <mergeCell ref="K617:L618"/>
    <mergeCell ref="R721:T721"/>
    <mergeCell ref="R722:T722"/>
    <mergeCell ref="N621:T621"/>
    <mergeCell ref="N484:T484"/>
    <mergeCell ref="N450:T450"/>
    <mergeCell ref="N415:T415"/>
    <mergeCell ref="N410:T410"/>
    <mergeCell ref="N342:T342"/>
    <mergeCell ref="N274:T274"/>
    <mergeCell ref="R349:T349"/>
    <mergeCell ref="N451:T451"/>
    <mergeCell ref="N419:T420"/>
    <mergeCell ref="N416:T416"/>
    <mergeCell ref="N240:T240"/>
    <mergeCell ref="N245:P245"/>
    <mergeCell ref="R245:T245"/>
    <mergeCell ref="N246:P246"/>
    <mergeCell ref="R246:T246"/>
    <mergeCell ref="N417:T417"/>
    <mergeCell ref="N275:T277"/>
    <mergeCell ref="N279:P279"/>
    <mergeCell ref="R279:T279"/>
    <mergeCell ref="R280:T280"/>
    <mergeCell ref="N348:P348"/>
    <mergeCell ref="R348:T348"/>
    <mergeCell ref="N313:P313"/>
    <mergeCell ref="R313:T313"/>
    <mergeCell ref="N314:P314"/>
    <mergeCell ref="R314:T314"/>
    <mergeCell ref="N308:T308"/>
    <mergeCell ref="N383:T383"/>
    <mergeCell ref="N377:T379"/>
    <mergeCell ref="N411:T413"/>
    <mergeCell ref="N551:P551"/>
    <mergeCell ref="E986:G986"/>
    <mergeCell ref="N552:P552"/>
    <mergeCell ref="N553:P553"/>
    <mergeCell ref="R551:T551"/>
    <mergeCell ref="E985:G985"/>
    <mergeCell ref="E984:G984"/>
    <mergeCell ref="E983:G983"/>
    <mergeCell ref="E982:G982"/>
    <mergeCell ref="C5:T5"/>
    <mergeCell ref="K9:L9"/>
    <mergeCell ref="N13:P13"/>
    <mergeCell ref="N14:P14"/>
    <mergeCell ref="N15:P15"/>
    <mergeCell ref="M13:M15"/>
    <mergeCell ref="Q13:Q15"/>
    <mergeCell ref="N43:O43"/>
    <mergeCell ref="P43:R43"/>
    <mergeCell ref="S43:T43"/>
    <mergeCell ref="N77:O77"/>
    <mergeCell ref="P77:R77"/>
    <mergeCell ref="S77:T77"/>
    <mergeCell ref="N111:O111"/>
    <mergeCell ref="P111:R111"/>
    <mergeCell ref="S111:T111"/>
    <mergeCell ref="K313:L313"/>
    <mergeCell ref="H177:I177"/>
    <mergeCell ref="K177:L177"/>
    <mergeCell ref="H178:I179"/>
    <mergeCell ref="K178:L179"/>
    <mergeCell ref="H211:I211"/>
    <mergeCell ref="K211:L211"/>
    <mergeCell ref="E981:G981"/>
    <mergeCell ref="E980:G980"/>
    <mergeCell ref="E979:G979"/>
    <mergeCell ref="E978:G978"/>
    <mergeCell ref="E950:G950"/>
    <mergeCell ref="E951:G951"/>
    <mergeCell ref="E952:G952"/>
    <mergeCell ref="E953:G953"/>
    <mergeCell ref="N485:T485"/>
    <mergeCell ref="H793:L794"/>
    <mergeCell ref="H342:L342"/>
    <mergeCell ref="H351:L352"/>
    <mergeCell ref="H385:L386"/>
    <mergeCell ref="K415:L415"/>
    <mergeCell ref="H721:I721"/>
    <mergeCell ref="K721:L721"/>
    <mergeCell ref="E954:G954"/>
    <mergeCell ref="E935:G935"/>
    <mergeCell ref="E944:G944"/>
    <mergeCell ref="E945:G945"/>
    <mergeCell ref="E946:G946"/>
    <mergeCell ref="E936:G936"/>
    <mergeCell ref="E937:G937"/>
    <mergeCell ref="E890:G890"/>
    <mergeCell ref="N890:T892"/>
    <mergeCell ref="N958:T960"/>
    <mergeCell ref="E872:G872"/>
    <mergeCell ref="E873:G873"/>
    <mergeCell ref="E874:G874"/>
    <mergeCell ref="E877:G877"/>
    <mergeCell ref="E879:G879"/>
    <mergeCell ref="E880:G880"/>
    <mergeCell ref="E1071:G1072"/>
    <mergeCell ref="H1071:L1072"/>
    <mergeCell ref="N1063:O1063"/>
    <mergeCell ref="P1063:R1063"/>
    <mergeCell ref="S1063:T1063"/>
    <mergeCell ref="N1064:O1064"/>
    <mergeCell ref="P1064:R1064"/>
    <mergeCell ref="S1064:T1064"/>
    <mergeCell ref="N1067:O1067"/>
    <mergeCell ref="P1067:R1067"/>
    <mergeCell ref="N1068:O1068"/>
    <mergeCell ref="P1068:R1068"/>
    <mergeCell ref="E1059:G1059"/>
    <mergeCell ref="H1059:L1059"/>
    <mergeCell ref="N1059:T1059"/>
    <mergeCell ref="E1060:G1060"/>
    <mergeCell ref="H1060:L1060"/>
    <mergeCell ref="S1067:T1067"/>
    <mergeCell ref="S1068:T1068"/>
    <mergeCell ref="H1067:L1068"/>
    <mergeCell ref="H1066:I1066"/>
    <mergeCell ref="K1066:L1066"/>
    <mergeCell ref="E1056:G1056"/>
    <mergeCell ref="E1057:G1057"/>
    <mergeCell ref="E1058:G1058"/>
    <mergeCell ref="H419:L420"/>
    <mergeCell ref="E1042:G1042"/>
    <mergeCell ref="E1043:G1043"/>
    <mergeCell ref="E1044:G1044"/>
    <mergeCell ref="E1045:G1045"/>
    <mergeCell ref="E1046:G1046"/>
    <mergeCell ref="E1047:G1047"/>
    <mergeCell ref="E1048:G1048"/>
    <mergeCell ref="E1040:G1040"/>
    <mergeCell ref="E1041:G1041"/>
    <mergeCell ref="E1049:G1049"/>
    <mergeCell ref="E1050:G1050"/>
    <mergeCell ref="E1051:G1051"/>
    <mergeCell ref="E1052:G1052"/>
    <mergeCell ref="E1053:G1053"/>
    <mergeCell ref="E1054:G1054"/>
    <mergeCell ref="E1055:G1055"/>
    <mergeCell ref="E990:G990"/>
    <mergeCell ref="E1000:G1001"/>
    <mergeCell ref="E1037:G1037"/>
    <mergeCell ref="E1039:G1039"/>
    <mergeCell ref="E991:G991"/>
    <mergeCell ref="E992:G992"/>
    <mergeCell ref="E1002:G1002"/>
    <mergeCell ref="E1009:G1009"/>
    <mergeCell ref="E1010:G1010"/>
    <mergeCell ref="E1011:G1011"/>
    <mergeCell ref="E1012:G1012"/>
    <mergeCell ref="E1013:G1013"/>
    <mergeCell ref="E907:G907"/>
    <mergeCell ref="E908:G908"/>
    <mergeCell ref="E909:G909"/>
    <mergeCell ref="E910:G910"/>
    <mergeCell ref="E911:G911"/>
    <mergeCell ref="E912:G912"/>
    <mergeCell ref="E883:G883"/>
    <mergeCell ref="E878:G878"/>
    <mergeCell ref="E864:G865"/>
    <mergeCell ref="H864:L865"/>
    <mergeCell ref="E957:G957"/>
    <mergeCell ref="H957:L957"/>
    <mergeCell ref="E868:G868"/>
    <mergeCell ref="E869:G869"/>
    <mergeCell ref="E870:G870"/>
    <mergeCell ref="E884:G884"/>
    <mergeCell ref="E867:G867"/>
    <mergeCell ref="E881:G881"/>
    <mergeCell ref="E882:G882"/>
    <mergeCell ref="E875:G875"/>
    <mergeCell ref="E876:G876"/>
    <mergeCell ref="E871:G871"/>
    <mergeCell ref="N957:T957"/>
    <mergeCell ref="E958:G958"/>
    <mergeCell ref="H958:L958"/>
    <mergeCell ref="E955:G955"/>
    <mergeCell ref="E947:G947"/>
    <mergeCell ref="E948:G948"/>
    <mergeCell ref="E949:G949"/>
    <mergeCell ref="E938:G938"/>
    <mergeCell ref="E939:G939"/>
    <mergeCell ref="E940:G940"/>
    <mergeCell ref="E941:G941"/>
    <mergeCell ref="E942:G942"/>
    <mergeCell ref="E943:G943"/>
    <mergeCell ref="E885:G885"/>
    <mergeCell ref="E886:G886"/>
    <mergeCell ref="E887:G887"/>
    <mergeCell ref="E888:G888"/>
    <mergeCell ref="E934:G934"/>
    <mergeCell ref="E889:G889"/>
    <mergeCell ref="H889:L889"/>
    <mergeCell ref="E932:G933"/>
    <mergeCell ref="H932:L933"/>
    <mergeCell ref="N932:T933"/>
    <mergeCell ref="N929:T929"/>
    <mergeCell ref="H929:L930"/>
    <mergeCell ref="N930:T930"/>
    <mergeCell ref="E901:G901"/>
    <mergeCell ref="E902:G902"/>
    <mergeCell ref="E903:G903"/>
    <mergeCell ref="E904:G904"/>
    <mergeCell ref="E905:G905"/>
    <mergeCell ref="E906:G906"/>
    <mergeCell ref="E853:G853"/>
    <mergeCell ref="H853:L853"/>
    <mergeCell ref="H827:L828"/>
    <mergeCell ref="N827:T828"/>
    <mergeCell ref="E830:G830"/>
    <mergeCell ref="E831:G831"/>
    <mergeCell ref="H858:I858"/>
    <mergeCell ref="K858:L858"/>
    <mergeCell ref="H859:I860"/>
    <mergeCell ref="K859:L860"/>
    <mergeCell ref="R856:T856"/>
    <mergeCell ref="R857:T857"/>
    <mergeCell ref="H824:I825"/>
    <mergeCell ref="K824:L825"/>
    <mergeCell ref="N857:P857"/>
    <mergeCell ref="N853:T855"/>
    <mergeCell ref="E837:G837"/>
    <mergeCell ref="E852:G852"/>
    <mergeCell ref="E827:G828"/>
    <mergeCell ref="E838:G838"/>
    <mergeCell ref="E839:G839"/>
    <mergeCell ref="E840:G840"/>
    <mergeCell ref="E841:G841"/>
    <mergeCell ref="E832:G832"/>
    <mergeCell ref="E833:G833"/>
    <mergeCell ref="E835:G835"/>
    <mergeCell ref="E836:G836"/>
    <mergeCell ref="H852:L852"/>
    <mergeCell ref="E847:G847"/>
    <mergeCell ref="E848:G848"/>
    <mergeCell ref="E849:G849"/>
    <mergeCell ref="E850:G850"/>
    <mergeCell ref="E744:G744"/>
    <mergeCell ref="E784:G784"/>
    <mergeCell ref="H784:L784"/>
    <mergeCell ref="N784:T784"/>
    <mergeCell ref="E785:G785"/>
    <mergeCell ref="H785:L785"/>
    <mergeCell ref="E771:G771"/>
    <mergeCell ref="E781:G781"/>
    <mergeCell ref="E759:G760"/>
    <mergeCell ref="H759:L760"/>
    <mergeCell ref="N759:T760"/>
    <mergeCell ref="E762:G762"/>
    <mergeCell ref="E763:G763"/>
    <mergeCell ref="H750:L750"/>
    <mergeCell ref="N750:T750"/>
    <mergeCell ref="H751:L751"/>
    <mergeCell ref="E772:G772"/>
    <mergeCell ref="E773:G773"/>
    <mergeCell ref="E774:G774"/>
    <mergeCell ref="E750:G750"/>
    <mergeCell ref="E764:G764"/>
    <mergeCell ref="E765:G765"/>
    <mergeCell ref="E766:G766"/>
    <mergeCell ref="E751:G751"/>
    <mergeCell ref="E782:G782"/>
    <mergeCell ref="E783:G783"/>
    <mergeCell ref="E775:G775"/>
    <mergeCell ref="E776:G776"/>
    <mergeCell ref="E777:G777"/>
    <mergeCell ref="E778:G778"/>
    <mergeCell ref="E780:G780"/>
    <mergeCell ref="N751:T753"/>
    <mergeCell ref="E725:G726"/>
    <mergeCell ref="H725:L726"/>
    <mergeCell ref="N725:T726"/>
    <mergeCell ref="E732:G732"/>
    <mergeCell ref="E733:G733"/>
    <mergeCell ref="E734:G734"/>
    <mergeCell ref="E741:G741"/>
    <mergeCell ref="E742:G742"/>
    <mergeCell ref="E743:G743"/>
    <mergeCell ref="E735:G735"/>
    <mergeCell ref="E736:G736"/>
    <mergeCell ref="E737:G737"/>
    <mergeCell ref="E738:G738"/>
    <mergeCell ref="E739:G739"/>
    <mergeCell ref="E740:G740"/>
    <mergeCell ref="E729:G729"/>
    <mergeCell ref="E730:G730"/>
    <mergeCell ref="E731:G731"/>
    <mergeCell ref="E727:G727"/>
    <mergeCell ref="E728:G728"/>
    <mergeCell ref="E767:G767"/>
    <mergeCell ref="E768:G768"/>
    <mergeCell ref="E769:G769"/>
    <mergeCell ref="H756:L757"/>
    <mergeCell ref="H717:L717"/>
    <mergeCell ref="E682:G682"/>
    <mergeCell ref="H682:L682"/>
    <mergeCell ref="N682:T682"/>
    <mergeCell ref="E691:G692"/>
    <mergeCell ref="H691:L692"/>
    <mergeCell ref="N691:T692"/>
    <mergeCell ref="H683:L683"/>
    <mergeCell ref="E703:G703"/>
    <mergeCell ref="E704:G704"/>
    <mergeCell ref="E705:G705"/>
    <mergeCell ref="E706:G706"/>
    <mergeCell ref="E707:G707"/>
    <mergeCell ref="E708:G708"/>
    <mergeCell ref="E683:G683"/>
    <mergeCell ref="E694:G694"/>
    <mergeCell ref="E695:G695"/>
    <mergeCell ref="E696:G696"/>
    <mergeCell ref="E715:G715"/>
    <mergeCell ref="E709:G709"/>
    <mergeCell ref="E710:G710"/>
    <mergeCell ref="E711:G711"/>
    <mergeCell ref="E712:G712"/>
    <mergeCell ref="E713:G713"/>
    <mergeCell ref="E714:G714"/>
    <mergeCell ref="E697:G697"/>
    <mergeCell ref="N687:T687"/>
    <mergeCell ref="N688:T688"/>
    <mergeCell ref="E698:G698"/>
    <mergeCell ref="E699:G699"/>
    <mergeCell ref="E700:G700"/>
    <mergeCell ref="N717:T719"/>
    <mergeCell ref="H648:L648"/>
    <mergeCell ref="N648:T648"/>
    <mergeCell ref="E649:G649"/>
    <mergeCell ref="H649:L649"/>
    <mergeCell ref="H653:I653"/>
    <mergeCell ref="K653:L653"/>
    <mergeCell ref="H687:I687"/>
    <mergeCell ref="K687:L687"/>
    <mergeCell ref="N653:P653"/>
    <mergeCell ref="R653:T653"/>
    <mergeCell ref="N654:P654"/>
    <mergeCell ref="R654:T654"/>
    <mergeCell ref="N655:P655"/>
    <mergeCell ref="R655:T655"/>
    <mergeCell ref="E662:G662"/>
    <mergeCell ref="E663:G663"/>
    <mergeCell ref="E664:G664"/>
    <mergeCell ref="E665:G665"/>
    <mergeCell ref="N683:T685"/>
    <mergeCell ref="H685:I686"/>
    <mergeCell ref="K685:L686"/>
    <mergeCell ref="H657:L658"/>
    <mergeCell ref="E679:G679"/>
    <mergeCell ref="E680:G680"/>
    <mergeCell ref="E681:G681"/>
    <mergeCell ref="E660:G660"/>
    <mergeCell ref="E661:G661"/>
    <mergeCell ref="E589:G590"/>
    <mergeCell ref="H589:L590"/>
    <mergeCell ref="N589:T590"/>
    <mergeCell ref="E614:G614"/>
    <mergeCell ref="H614:L614"/>
    <mergeCell ref="N614:T614"/>
    <mergeCell ref="N586:T586"/>
    <mergeCell ref="E594:G594"/>
    <mergeCell ref="E595:G595"/>
    <mergeCell ref="E596:G596"/>
    <mergeCell ref="E597:G597"/>
    <mergeCell ref="E598:G598"/>
    <mergeCell ref="E599:G599"/>
    <mergeCell ref="E591:G591"/>
    <mergeCell ref="E592:G592"/>
    <mergeCell ref="E593:G593"/>
    <mergeCell ref="E608:G608"/>
    <mergeCell ref="E609:G609"/>
    <mergeCell ref="E610:G610"/>
    <mergeCell ref="E611:G611"/>
    <mergeCell ref="N587:T587"/>
    <mergeCell ref="E580:G580"/>
    <mergeCell ref="H580:L580"/>
    <mergeCell ref="N580:T580"/>
    <mergeCell ref="E581:G581"/>
    <mergeCell ref="H581:L581"/>
    <mergeCell ref="E535:G535"/>
    <mergeCell ref="E499:G499"/>
    <mergeCell ref="E546:G546"/>
    <mergeCell ref="H546:L546"/>
    <mergeCell ref="N546:T546"/>
    <mergeCell ref="E547:G547"/>
    <mergeCell ref="H547:L547"/>
    <mergeCell ref="N518:T518"/>
    <mergeCell ref="E526:G526"/>
    <mergeCell ref="E527:G527"/>
    <mergeCell ref="E528:G528"/>
    <mergeCell ref="E529:G529"/>
    <mergeCell ref="E530:G530"/>
    <mergeCell ref="E531:G531"/>
    <mergeCell ref="E532:G532"/>
    <mergeCell ref="E533:G533"/>
    <mergeCell ref="E534:G534"/>
    <mergeCell ref="N517:T517"/>
    <mergeCell ref="E521:G522"/>
    <mergeCell ref="H521:L522"/>
    <mergeCell ref="H512:L512"/>
    <mergeCell ref="N512:T512"/>
    <mergeCell ref="H513:L513"/>
    <mergeCell ref="E525:G525"/>
    <mergeCell ref="N519:T519"/>
    <mergeCell ref="E575:G575"/>
    <mergeCell ref="E576:G576"/>
    <mergeCell ref="H517:I517"/>
    <mergeCell ref="K517:L517"/>
    <mergeCell ref="H453:L454"/>
    <mergeCell ref="N453:T454"/>
    <mergeCell ref="E501:G501"/>
    <mergeCell ref="E502:G502"/>
    <mergeCell ref="E503:G503"/>
    <mergeCell ref="E512:G512"/>
    <mergeCell ref="E513:G513"/>
    <mergeCell ref="E474:G474"/>
    <mergeCell ref="E462:G462"/>
    <mergeCell ref="E459:G459"/>
    <mergeCell ref="E460:G460"/>
    <mergeCell ref="E461:G461"/>
    <mergeCell ref="E470:G470"/>
    <mergeCell ref="E471:G471"/>
    <mergeCell ref="E472:G472"/>
    <mergeCell ref="E464:G464"/>
    <mergeCell ref="H483:I483"/>
    <mergeCell ref="K483:L483"/>
    <mergeCell ref="H487:L488"/>
    <mergeCell ref="N487:T488"/>
    <mergeCell ref="E490:G490"/>
    <mergeCell ref="E491:G491"/>
    <mergeCell ref="E492:G492"/>
    <mergeCell ref="E493:G493"/>
    <mergeCell ref="E494:G494"/>
    <mergeCell ref="E495:G495"/>
    <mergeCell ref="E496:G496"/>
    <mergeCell ref="H478:L478"/>
    <mergeCell ref="N478:T478"/>
    <mergeCell ref="E479:G479"/>
    <mergeCell ref="E404:G404"/>
    <mergeCell ref="E405:G405"/>
    <mergeCell ref="E419:G420"/>
    <mergeCell ref="E437:G437"/>
    <mergeCell ref="E438:G438"/>
    <mergeCell ref="E439:G439"/>
    <mergeCell ref="E411:G411"/>
    <mergeCell ref="E370:G370"/>
    <mergeCell ref="E403:G403"/>
    <mergeCell ref="E400:G400"/>
    <mergeCell ref="H479:L479"/>
    <mergeCell ref="N483:T483"/>
    <mergeCell ref="E444:G444"/>
    <mergeCell ref="H444:L444"/>
    <mergeCell ref="N444:T444"/>
    <mergeCell ref="E453:G454"/>
    <mergeCell ref="H449:I449"/>
    <mergeCell ref="K449:L449"/>
    <mergeCell ref="E465:G465"/>
    <mergeCell ref="E466:G466"/>
    <mergeCell ref="E467:G467"/>
    <mergeCell ref="E468:G468"/>
    <mergeCell ref="E469:G469"/>
    <mergeCell ref="E443:G443"/>
    <mergeCell ref="E455:G455"/>
    <mergeCell ref="E456:G456"/>
    <mergeCell ref="E457:G457"/>
    <mergeCell ref="E463:G463"/>
    <mergeCell ref="E473:G473"/>
    <mergeCell ref="H445:L445"/>
    <mergeCell ref="N445:T447"/>
    <mergeCell ref="N479:T481"/>
    <mergeCell ref="E440:G440"/>
    <mergeCell ref="E458:G458"/>
    <mergeCell ref="E441:G441"/>
    <mergeCell ref="E442:G442"/>
    <mergeCell ref="E445:G445"/>
    <mergeCell ref="E431:G431"/>
    <mergeCell ref="E432:G432"/>
    <mergeCell ref="E433:G433"/>
    <mergeCell ref="E434:G434"/>
    <mergeCell ref="E435:G435"/>
    <mergeCell ref="E436:G436"/>
    <mergeCell ref="E425:G425"/>
    <mergeCell ref="E426:G426"/>
    <mergeCell ref="E427:G427"/>
    <mergeCell ref="E428:G428"/>
    <mergeCell ref="E429:G429"/>
    <mergeCell ref="E430:G430"/>
    <mergeCell ref="H348:I349"/>
    <mergeCell ref="K348:L349"/>
    <mergeCell ref="E340:G340"/>
    <mergeCell ref="N349:P349"/>
    <mergeCell ref="E327:G327"/>
    <mergeCell ref="N315:P315"/>
    <mergeCell ref="R315:T315"/>
    <mergeCell ref="H411:L411"/>
    <mergeCell ref="N382:T382"/>
    <mergeCell ref="N351:T352"/>
    <mergeCell ref="E376:G376"/>
    <mergeCell ref="H376:L376"/>
    <mergeCell ref="N376:T376"/>
    <mergeCell ref="E377:G377"/>
    <mergeCell ref="H377:L377"/>
    <mergeCell ref="E407:G407"/>
    <mergeCell ref="E408:G408"/>
    <mergeCell ref="E362:G362"/>
    <mergeCell ref="E363:G363"/>
    <mergeCell ref="E364:G364"/>
    <mergeCell ref="E395:G395"/>
    <mergeCell ref="E396:G396"/>
    <mergeCell ref="E397:G397"/>
    <mergeCell ref="E398:G398"/>
    <mergeCell ref="E399:G399"/>
    <mergeCell ref="E375:G375"/>
    <mergeCell ref="E387:G387"/>
    <mergeCell ref="E388:G388"/>
    <mergeCell ref="E369:G369"/>
    <mergeCell ref="E365:G365"/>
    <mergeCell ref="E366:G366"/>
    <mergeCell ref="E406:G406"/>
    <mergeCell ref="H343:L343"/>
    <mergeCell ref="N347:P347"/>
    <mergeCell ref="R347:T347"/>
    <mergeCell ref="N280:P280"/>
    <mergeCell ref="N281:P281"/>
    <mergeCell ref="R281:T281"/>
    <mergeCell ref="E283:G284"/>
    <mergeCell ref="H283:L284"/>
    <mergeCell ref="N283:T284"/>
    <mergeCell ref="E317:G318"/>
    <mergeCell ref="H317:L318"/>
    <mergeCell ref="N317:T318"/>
    <mergeCell ref="E309:G309"/>
    <mergeCell ref="E331:G331"/>
    <mergeCell ref="E332:G332"/>
    <mergeCell ref="E333:G333"/>
    <mergeCell ref="E321:G321"/>
    <mergeCell ref="E322:G322"/>
    <mergeCell ref="E323:G323"/>
    <mergeCell ref="E319:G319"/>
    <mergeCell ref="E320:G320"/>
    <mergeCell ref="H314:I315"/>
    <mergeCell ref="K314:L315"/>
    <mergeCell ref="H347:I347"/>
    <mergeCell ref="K347:L347"/>
    <mergeCell ref="N309:T311"/>
    <mergeCell ref="N343:T345"/>
    <mergeCell ref="E326:G326"/>
    <mergeCell ref="E341:G341"/>
    <mergeCell ref="E342:G342"/>
    <mergeCell ref="E334:G334"/>
    <mergeCell ref="E308:G308"/>
    <mergeCell ref="E851:G851"/>
    <mergeCell ref="E798:G798"/>
    <mergeCell ref="E799:G799"/>
    <mergeCell ref="E800:G800"/>
    <mergeCell ref="E801:G801"/>
    <mergeCell ref="E802:G802"/>
    <mergeCell ref="E803:G803"/>
    <mergeCell ref="E804:G804"/>
    <mergeCell ref="E806:G806"/>
    <mergeCell ref="E807:G807"/>
    <mergeCell ref="E805:G805"/>
    <mergeCell ref="E810:G810"/>
    <mergeCell ref="E834:G834"/>
    <mergeCell ref="E817:G817"/>
    <mergeCell ref="E842:G842"/>
    <mergeCell ref="E843:G843"/>
    <mergeCell ref="E844:G844"/>
    <mergeCell ref="E845:G845"/>
    <mergeCell ref="E846:G846"/>
    <mergeCell ref="E811:G811"/>
    <mergeCell ref="E812:G812"/>
    <mergeCell ref="E813:G813"/>
    <mergeCell ref="E814:G814"/>
    <mergeCell ref="E815:G815"/>
    <mergeCell ref="E816:G816"/>
    <mergeCell ref="E818:G818"/>
    <mergeCell ref="E796:G796"/>
    <mergeCell ref="E797:G797"/>
    <mergeCell ref="E793:G794"/>
    <mergeCell ref="E819:G819"/>
    <mergeCell ref="E701:G701"/>
    <mergeCell ref="E702:G702"/>
    <mergeCell ref="E716:G716"/>
    <mergeCell ref="E645:G645"/>
    <mergeCell ref="E646:G646"/>
    <mergeCell ref="E638:G638"/>
    <mergeCell ref="E639:G639"/>
    <mergeCell ref="E640:G640"/>
    <mergeCell ref="E675:G675"/>
    <mergeCell ref="E676:G676"/>
    <mergeCell ref="E677:G677"/>
    <mergeCell ref="E647:G647"/>
    <mergeCell ref="E670:G670"/>
    <mergeCell ref="E671:G671"/>
    <mergeCell ref="E672:G672"/>
    <mergeCell ref="E673:G673"/>
    <mergeCell ref="E674:G674"/>
    <mergeCell ref="E648:G648"/>
    <mergeCell ref="E657:G658"/>
    <mergeCell ref="E667:G667"/>
    <mergeCell ref="E668:G668"/>
    <mergeCell ref="E669:G669"/>
    <mergeCell ref="E678:G678"/>
    <mergeCell ref="E808:G808"/>
    <mergeCell ref="E809:G809"/>
    <mergeCell ref="E666:G666"/>
    <mergeCell ref="E717:G717"/>
    <mergeCell ref="E779:G779"/>
    <mergeCell ref="E633:G633"/>
    <mergeCell ref="E634:G634"/>
    <mergeCell ref="E635:G635"/>
    <mergeCell ref="E629:G629"/>
    <mergeCell ref="E636:G636"/>
    <mergeCell ref="E641:G641"/>
    <mergeCell ref="E642:G642"/>
    <mergeCell ref="E643:G643"/>
    <mergeCell ref="E644:G644"/>
    <mergeCell ref="E637:G637"/>
    <mergeCell ref="E600:G600"/>
    <mergeCell ref="E601:G601"/>
    <mergeCell ref="E602:G602"/>
    <mergeCell ref="E603:G603"/>
    <mergeCell ref="E604:G604"/>
    <mergeCell ref="E605:G605"/>
    <mergeCell ref="E630:G630"/>
    <mergeCell ref="E631:G631"/>
    <mergeCell ref="E632:G632"/>
    <mergeCell ref="E615:G615"/>
    <mergeCell ref="E612:G612"/>
    <mergeCell ref="E613:G613"/>
    <mergeCell ref="E625:G625"/>
    <mergeCell ref="E626:G626"/>
    <mergeCell ref="E627:G627"/>
    <mergeCell ref="E628:G628"/>
    <mergeCell ref="E606:G606"/>
    <mergeCell ref="E607:G607"/>
    <mergeCell ref="E623:G624"/>
    <mergeCell ref="E577:G577"/>
    <mergeCell ref="E578:G578"/>
    <mergeCell ref="E579:G579"/>
    <mergeCell ref="E568:G568"/>
    <mergeCell ref="E569:G569"/>
    <mergeCell ref="E570:G570"/>
    <mergeCell ref="E571:G571"/>
    <mergeCell ref="E572:G572"/>
    <mergeCell ref="E573:G573"/>
    <mergeCell ref="E559:G559"/>
    <mergeCell ref="E560:G560"/>
    <mergeCell ref="E561:G561"/>
    <mergeCell ref="E543:G543"/>
    <mergeCell ref="E544:G544"/>
    <mergeCell ref="E545:G545"/>
    <mergeCell ref="E557:G557"/>
    <mergeCell ref="E558:G558"/>
    <mergeCell ref="E574:G574"/>
    <mergeCell ref="E562:G562"/>
    <mergeCell ref="E563:G563"/>
    <mergeCell ref="E564:G564"/>
    <mergeCell ref="E565:G565"/>
    <mergeCell ref="E566:G566"/>
    <mergeCell ref="E567:G567"/>
    <mergeCell ref="E555:G556"/>
    <mergeCell ref="E539:G539"/>
    <mergeCell ref="E540:G540"/>
    <mergeCell ref="E541:G541"/>
    <mergeCell ref="E542:G542"/>
    <mergeCell ref="E507:G507"/>
    <mergeCell ref="E508:G508"/>
    <mergeCell ref="E509:G509"/>
    <mergeCell ref="E510:G510"/>
    <mergeCell ref="E511:G511"/>
    <mergeCell ref="E536:G536"/>
    <mergeCell ref="E475:G475"/>
    <mergeCell ref="E476:G476"/>
    <mergeCell ref="E477:G477"/>
    <mergeCell ref="E504:G504"/>
    <mergeCell ref="E505:G505"/>
    <mergeCell ref="E506:G506"/>
    <mergeCell ref="E478:G478"/>
    <mergeCell ref="E487:G488"/>
    <mergeCell ref="E497:G497"/>
    <mergeCell ref="E498:G498"/>
    <mergeCell ref="E500:G500"/>
    <mergeCell ref="E524:G524"/>
    <mergeCell ref="E537:G537"/>
    <mergeCell ref="E538:G538"/>
    <mergeCell ref="E401:G401"/>
    <mergeCell ref="E367:G367"/>
    <mergeCell ref="E368:G368"/>
    <mergeCell ref="E422:G422"/>
    <mergeCell ref="E325:G325"/>
    <mergeCell ref="E423:G423"/>
    <mergeCell ref="E351:G352"/>
    <mergeCell ref="E385:G386"/>
    <mergeCell ref="E409:G409"/>
    <mergeCell ref="E410:G410"/>
    <mergeCell ref="H410:L410"/>
    <mergeCell ref="E255:G255"/>
    <mergeCell ref="H309:L309"/>
    <mergeCell ref="E356:G356"/>
    <mergeCell ref="E357:G357"/>
    <mergeCell ref="E358:G358"/>
    <mergeCell ref="E359:G359"/>
    <mergeCell ref="E360:G360"/>
    <mergeCell ref="H274:L274"/>
    <mergeCell ref="E343:G343"/>
    <mergeCell ref="E391:G391"/>
    <mergeCell ref="E392:G392"/>
    <mergeCell ref="E393:G393"/>
    <mergeCell ref="E262:G262"/>
    <mergeCell ref="E361:G361"/>
    <mergeCell ref="E263:G263"/>
    <mergeCell ref="E264:G264"/>
    <mergeCell ref="E265:G265"/>
    <mergeCell ref="E266:G266"/>
    <mergeCell ref="E267:G267"/>
    <mergeCell ref="E268:G268"/>
    <mergeCell ref="E292:G292"/>
    <mergeCell ref="E335:G335"/>
    <mergeCell ref="E336:G336"/>
    <mergeCell ref="K75:L75"/>
    <mergeCell ref="H76:I77"/>
    <mergeCell ref="K76:L77"/>
    <mergeCell ref="E156:G156"/>
    <mergeCell ref="E137:G137"/>
    <mergeCell ref="E83:G83"/>
    <mergeCell ref="E84:G84"/>
    <mergeCell ref="H279:I279"/>
    <mergeCell ref="K279:L279"/>
    <mergeCell ref="H280:I281"/>
    <mergeCell ref="H308:L308"/>
    <mergeCell ref="H207:L207"/>
    <mergeCell ref="E198:G198"/>
    <mergeCell ref="E195:G195"/>
    <mergeCell ref="E196:G196"/>
    <mergeCell ref="E197:G197"/>
    <mergeCell ref="E184:G184"/>
    <mergeCell ref="E185:G185"/>
    <mergeCell ref="E251:G251"/>
    <mergeCell ref="E252:G252"/>
    <mergeCell ref="E253:G253"/>
    <mergeCell ref="E271:G271"/>
    <mergeCell ref="E288:G288"/>
    <mergeCell ref="E269:G269"/>
    <mergeCell ref="E270:G270"/>
    <mergeCell ref="E300:G300"/>
    <mergeCell ref="K280:L281"/>
    <mergeCell ref="E101:G101"/>
    <mergeCell ref="E225:G225"/>
    <mergeCell ref="E226:G226"/>
    <mergeCell ref="E297:G297"/>
    <mergeCell ref="E289:G289"/>
    <mergeCell ref="E290:G290"/>
    <mergeCell ref="E291:G291"/>
    <mergeCell ref="E304:G304"/>
    <mergeCell ref="E305:G305"/>
    <mergeCell ref="E306:G306"/>
    <mergeCell ref="E307:G307"/>
    <mergeCell ref="E298:G298"/>
    <mergeCell ref="E299:G299"/>
    <mergeCell ref="E260:G260"/>
    <mergeCell ref="E261:G261"/>
    <mergeCell ref="E152:G152"/>
    <mergeCell ref="E153:G153"/>
    <mergeCell ref="E154:G154"/>
    <mergeCell ref="E155:G155"/>
    <mergeCell ref="E157:G157"/>
    <mergeCell ref="E205:G205"/>
    <mergeCell ref="E275:G275"/>
    <mergeCell ref="E293:G293"/>
    <mergeCell ref="E294:G294"/>
    <mergeCell ref="E286:G286"/>
    <mergeCell ref="E287:G287"/>
    <mergeCell ref="E215:G216"/>
    <mergeCell ref="E81:G81"/>
    <mergeCell ref="E201:G201"/>
    <mergeCell ref="E202:G202"/>
    <mergeCell ref="E33:G33"/>
    <mergeCell ref="E54:G54"/>
    <mergeCell ref="E55:G55"/>
    <mergeCell ref="E56:G56"/>
    <mergeCell ref="E59:G59"/>
    <mergeCell ref="E61:G61"/>
    <mergeCell ref="E62:G62"/>
    <mergeCell ref="E63:G63"/>
    <mergeCell ref="E64:G64"/>
    <mergeCell ref="E193:G193"/>
    <mergeCell ref="E191:G191"/>
    <mergeCell ref="E189:G189"/>
    <mergeCell ref="E124:G124"/>
    <mergeCell ref="E125:G125"/>
    <mergeCell ref="E126:G126"/>
    <mergeCell ref="E127:G127"/>
    <mergeCell ref="E165:G165"/>
    <mergeCell ref="E102:G102"/>
    <mergeCell ref="E103:G103"/>
    <mergeCell ref="E96:G96"/>
    <mergeCell ref="E97:G97"/>
    <mergeCell ref="E192:G192"/>
    <mergeCell ref="E82:G82"/>
    <mergeCell ref="C2:T2"/>
    <mergeCell ref="C3:T3"/>
    <mergeCell ref="C4:T4"/>
    <mergeCell ref="C6:T6"/>
    <mergeCell ref="C7:T7"/>
    <mergeCell ref="R9:T9"/>
    <mergeCell ref="N9:P9"/>
    <mergeCell ref="E50:G50"/>
    <mergeCell ref="E34:G34"/>
    <mergeCell ref="E35:G35"/>
    <mergeCell ref="E47:G47"/>
    <mergeCell ref="E48:G48"/>
    <mergeCell ref="E49:G49"/>
    <mergeCell ref="E27:G27"/>
    <mergeCell ref="E28:G28"/>
    <mergeCell ref="E29:G29"/>
    <mergeCell ref="E30:G30"/>
    <mergeCell ref="E31:G31"/>
    <mergeCell ref="E32:G32"/>
    <mergeCell ref="E36:G36"/>
    <mergeCell ref="E21:G21"/>
    <mergeCell ref="E22:G22"/>
    <mergeCell ref="E23:G23"/>
    <mergeCell ref="E24:G24"/>
    <mergeCell ref="E25:G25"/>
    <mergeCell ref="E26:G26"/>
    <mergeCell ref="E11:G11"/>
    <mergeCell ref="E16:G16"/>
    <mergeCell ref="E17:G17"/>
    <mergeCell ref="E18:G18"/>
    <mergeCell ref="E19:G19"/>
    <mergeCell ref="N71:T73"/>
    <mergeCell ref="E20:G20"/>
    <mergeCell ref="H36:L36"/>
    <mergeCell ref="N36:T36"/>
    <mergeCell ref="E37:G37"/>
    <mergeCell ref="H37:L37"/>
    <mergeCell ref="E45:G46"/>
    <mergeCell ref="H45:L46"/>
    <mergeCell ref="N45:T46"/>
    <mergeCell ref="S41:T41"/>
    <mergeCell ref="P41:R41"/>
    <mergeCell ref="N41:O41"/>
    <mergeCell ref="N42:O42"/>
    <mergeCell ref="P42:R42"/>
    <mergeCell ref="S42:T42"/>
    <mergeCell ref="H41:I41"/>
    <mergeCell ref="K41:L41"/>
    <mergeCell ref="H42:I43"/>
    <mergeCell ref="K42:L43"/>
    <mergeCell ref="N37:T39"/>
    <mergeCell ref="E53:G53"/>
    <mergeCell ref="E65:G65"/>
    <mergeCell ref="E60:G60"/>
    <mergeCell ref="E57:G57"/>
    <mergeCell ref="E58:G58"/>
    <mergeCell ref="E51:G51"/>
    <mergeCell ref="E52:G52"/>
    <mergeCell ref="E66:G66"/>
    <mergeCell ref="E67:G67"/>
    <mergeCell ref="E68:G68"/>
    <mergeCell ref="E69:G69"/>
    <mergeCell ref="N105:T107"/>
    <mergeCell ref="H70:L70"/>
    <mergeCell ref="N70:T70"/>
    <mergeCell ref="E71:G71"/>
    <mergeCell ref="H71:L71"/>
    <mergeCell ref="N75:O75"/>
    <mergeCell ref="P75:R75"/>
    <mergeCell ref="S75:T75"/>
    <mergeCell ref="N76:O76"/>
    <mergeCell ref="P76:R76"/>
    <mergeCell ref="S76:T76"/>
    <mergeCell ref="N79:T80"/>
    <mergeCell ref="E104:G104"/>
    <mergeCell ref="H104:L104"/>
    <mergeCell ref="N104:T104"/>
    <mergeCell ref="E105:G105"/>
    <mergeCell ref="H105:L105"/>
    <mergeCell ref="E79:G80"/>
    <mergeCell ref="H79:L80"/>
    <mergeCell ref="H75:I75"/>
    <mergeCell ref="E70:G70"/>
    <mergeCell ref="E86:G86"/>
    <mergeCell ref="E98:G98"/>
    <mergeCell ref="E85:G85"/>
    <mergeCell ref="E87:G87"/>
    <mergeCell ref="E88:G88"/>
    <mergeCell ref="E89:G89"/>
    <mergeCell ref="E90:G90"/>
    <mergeCell ref="E91:G91"/>
    <mergeCell ref="E93:G93"/>
    <mergeCell ref="E94:G94"/>
    <mergeCell ref="E95:G95"/>
    <mergeCell ref="N147:T148"/>
    <mergeCell ref="H138:L138"/>
    <mergeCell ref="E92:G92"/>
    <mergeCell ref="E99:G99"/>
    <mergeCell ref="E100:G100"/>
    <mergeCell ref="N109:O109"/>
    <mergeCell ref="P109:R109"/>
    <mergeCell ref="H113:L114"/>
    <mergeCell ref="H147:L148"/>
    <mergeCell ref="E131:G131"/>
    <mergeCell ref="E132:G132"/>
    <mergeCell ref="E147:G148"/>
    <mergeCell ref="E130:G130"/>
    <mergeCell ref="H143:I143"/>
    <mergeCell ref="K143:L143"/>
    <mergeCell ref="H144:I145"/>
    <mergeCell ref="K144:L145"/>
    <mergeCell ref="E116:G116"/>
    <mergeCell ref="E134:G134"/>
    <mergeCell ref="E135:G135"/>
    <mergeCell ref="E136:G136"/>
    <mergeCell ref="E128:G128"/>
    <mergeCell ref="E129:G129"/>
    <mergeCell ref="E133:G133"/>
    <mergeCell ref="E113:G114"/>
    <mergeCell ref="E138:G138"/>
    <mergeCell ref="R143:T143"/>
    <mergeCell ref="R144:T144"/>
    <mergeCell ref="R145:T145"/>
    <mergeCell ref="N143:P143"/>
    <mergeCell ref="N144:P144"/>
    <mergeCell ref="N145:P145"/>
    <mergeCell ref="S109:T109"/>
    <mergeCell ref="N110:O110"/>
    <mergeCell ref="N113:T114"/>
    <mergeCell ref="K109:L109"/>
    <mergeCell ref="P110:R110"/>
    <mergeCell ref="S110:T110"/>
    <mergeCell ref="H109:I109"/>
    <mergeCell ref="N138:T138"/>
    <mergeCell ref="E139:G139"/>
    <mergeCell ref="H139:L139"/>
    <mergeCell ref="E117:G117"/>
    <mergeCell ref="E118:G118"/>
    <mergeCell ref="E119:G119"/>
    <mergeCell ref="E120:G120"/>
    <mergeCell ref="E121:G121"/>
    <mergeCell ref="E122:G122"/>
    <mergeCell ref="E123:G123"/>
    <mergeCell ref="N139:T141"/>
    <mergeCell ref="H110:I111"/>
    <mergeCell ref="K110:L111"/>
    <mergeCell ref="N179:P179"/>
    <mergeCell ref="E170:G170"/>
    <mergeCell ref="E171:G171"/>
    <mergeCell ref="E163:G163"/>
    <mergeCell ref="E164:G164"/>
    <mergeCell ref="E199:G199"/>
    <mergeCell ref="E200:G200"/>
    <mergeCell ref="E190:G190"/>
    <mergeCell ref="E167:G167"/>
    <mergeCell ref="E168:G168"/>
    <mergeCell ref="E169:G169"/>
    <mergeCell ref="E188:G188"/>
    <mergeCell ref="E203:G203"/>
    <mergeCell ref="E204:G204"/>
    <mergeCell ref="E187:G187"/>
    <mergeCell ref="N173:T175"/>
    <mergeCell ref="E149:G149"/>
    <mergeCell ref="E150:G150"/>
    <mergeCell ref="E186:G186"/>
    <mergeCell ref="E172:G172"/>
    <mergeCell ref="N207:T209"/>
    <mergeCell ref="E220:G220"/>
    <mergeCell ref="H172:L172"/>
    <mergeCell ref="E151:G151"/>
    <mergeCell ref="E159:G159"/>
    <mergeCell ref="E217:G217"/>
    <mergeCell ref="E218:G218"/>
    <mergeCell ref="E194:G194"/>
    <mergeCell ref="N172:T172"/>
    <mergeCell ref="E173:G173"/>
    <mergeCell ref="H173:L173"/>
    <mergeCell ref="E181:G182"/>
    <mergeCell ref="H181:L182"/>
    <mergeCell ref="R212:T212"/>
    <mergeCell ref="E222:G222"/>
    <mergeCell ref="E207:G207"/>
    <mergeCell ref="E162:G162"/>
    <mergeCell ref="E160:G160"/>
    <mergeCell ref="E161:G161"/>
    <mergeCell ref="N212:P212"/>
    <mergeCell ref="E166:G166"/>
    <mergeCell ref="N181:T182"/>
    <mergeCell ref="E206:G206"/>
    <mergeCell ref="H206:L206"/>
    <mergeCell ref="N206:T206"/>
    <mergeCell ref="R177:T177"/>
    <mergeCell ref="R178:T178"/>
    <mergeCell ref="R179:T179"/>
    <mergeCell ref="E221:G221"/>
    <mergeCell ref="H215:L216"/>
    <mergeCell ref="N177:P177"/>
    <mergeCell ref="N178:P178"/>
    <mergeCell ref="E354:G354"/>
    <mergeCell ref="E355:G355"/>
    <mergeCell ref="E330:G330"/>
    <mergeCell ref="H241:L241"/>
    <mergeCell ref="E227:G227"/>
    <mergeCell ref="E219:G219"/>
    <mergeCell ref="E223:G223"/>
    <mergeCell ref="E259:G259"/>
    <mergeCell ref="R211:T211"/>
    <mergeCell ref="E240:G240"/>
    <mergeCell ref="H249:L250"/>
    <mergeCell ref="E254:G254"/>
    <mergeCell ref="H212:I213"/>
    <mergeCell ref="K212:L213"/>
    <mergeCell ref="H245:I245"/>
    <mergeCell ref="K245:L245"/>
    <mergeCell ref="H246:I247"/>
    <mergeCell ref="K246:L247"/>
    <mergeCell ref="N241:T243"/>
    <mergeCell ref="N215:T216"/>
    <mergeCell ref="E241:G241"/>
    <mergeCell ref="E234:G234"/>
    <mergeCell ref="E235:G235"/>
    <mergeCell ref="E239:G239"/>
    <mergeCell ref="N213:P213"/>
    <mergeCell ref="R213:T213"/>
    <mergeCell ref="N247:P247"/>
    <mergeCell ref="R247:T247"/>
    <mergeCell ref="N211:P211"/>
    <mergeCell ref="E224:G224"/>
    <mergeCell ref="E295:G295"/>
    <mergeCell ref="E296:G296"/>
    <mergeCell ref="E745:G745"/>
    <mergeCell ref="E746:G746"/>
    <mergeCell ref="E770:G770"/>
    <mergeCell ref="E747:G747"/>
    <mergeCell ref="E748:G748"/>
    <mergeCell ref="E749:G749"/>
    <mergeCell ref="H240:L240"/>
    <mergeCell ref="E249:G250"/>
    <mergeCell ref="E257:G257"/>
    <mergeCell ref="E258:G258"/>
    <mergeCell ref="H716:L716"/>
    <mergeCell ref="E228:G228"/>
    <mergeCell ref="E229:G229"/>
    <mergeCell ref="E230:G230"/>
    <mergeCell ref="E231:G231"/>
    <mergeCell ref="E232:G232"/>
    <mergeCell ref="E233:G233"/>
    <mergeCell ref="H551:I551"/>
    <mergeCell ref="K551:L551"/>
    <mergeCell ref="K619:L619"/>
    <mergeCell ref="E256:G256"/>
    <mergeCell ref="E272:G272"/>
    <mergeCell ref="E273:G273"/>
    <mergeCell ref="E285:G285"/>
    <mergeCell ref="E274:G274"/>
    <mergeCell ref="E424:G424"/>
    <mergeCell ref="E328:G328"/>
    <mergeCell ref="E372:G372"/>
    <mergeCell ref="E373:G373"/>
    <mergeCell ref="E374:G374"/>
    <mergeCell ref="E394:G394"/>
    <mergeCell ref="E402:G402"/>
    <mergeCell ref="N513:T515"/>
    <mergeCell ref="N547:T549"/>
    <mergeCell ref="N581:T583"/>
    <mergeCell ref="N615:T617"/>
    <mergeCell ref="N649:T651"/>
    <mergeCell ref="N385:T386"/>
    <mergeCell ref="N381:T381"/>
    <mergeCell ref="N449:T449"/>
    <mergeCell ref="N521:T522"/>
    <mergeCell ref="N619:T619"/>
    <mergeCell ref="N657:T658"/>
    <mergeCell ref="E236:G236"/>
    <mergeCell ref="E237:G237"/>
    <mergeCell ref="E238:G238"/>
    <mergeCell ref="E371:G371"/>
    <mergeCell ref="E301:G301"/>
    <mergeCell ref="E302:G302"/>
    <mergeCell ref="E303:G303"/>
    <mergeCell ref="N249:T250"/>
    <mergeCell ref="H381:I381"/>
    <mergeCell ref="K381:L381"/>
    <mergeCell ref="H275:L275"/>
    <mergeCell ref="H313:I313"/>
    <mergeCell ref="E389:G389"/>
    <mergeCell ref="E390:G390"/>
    <mergeCell ref="E421:G421"/>
    <mergeCell ref="H415:I415"/>
    <mergeCell ref="E337:G337"/>
    <mergeCell ref="E338:G338"/>
    <mergeCell ref="E339:G339"/>
    <mergeCell ref="E329:G329"/>
    <mergeCell ref="E324:G324"/>
    <mergeCell ref="U927:W927"/>
    <mergeCell ref="U928:W928"/>
    <mergeCell ref="E913:G913"/>
    <mergeCell ref="E914:G914"/>
    <mergeCell ref="E915:G915"/>
    <mergeCell ref="E916:G916"/>
    <mergeCell ref="E917:G917"/>
    <mergeCell ref="E918:G918"/>
    <mergeCell ref="E919:G919"/>
    <mergeCell ref="E920:G920"/>
    <mergeCell ref="E921:G921"/>
    <mergeCell ref="E922:G922"/>
    <mergeCell ref="E923:G923"/>
    <mergeCell ref="H923:L923"/>
    <mergeCell ref="N923:T923"/>
    <mergeCell ref="E924:G924"/>
    <mergeCell ref="H924:L924"/>
    <mergeCell ref="N924:T926"/>
    <mergeCell ref="N928:T928"/>
    <mergeCell ref="H925:I925"/>
    <mergeCell ref="K925:L925"/>
    <mergeCell ref="K926:L927"/>
    <mergeCell ref="H928:I928"/>
    <mergeCell ref="K928:L928"/>
  </mergeCells>
  <conditionalFormatting sqref="X11">
    <cfRule type="expression" dxfId="1" priority="1">
      <formula>$U$12&gt;0</formula>
    </cfRule>
  </conditionalFormatting>
  <conditionalFormatting sqref="X12">
    <cfRule type="cellIs" dxfId="0" priority="2" operator="greaterThan">
      <formula>0</formula>
    </cfRule>
  </conditionalFormatting>
  <printOptions horizontalCentered="1"/>
  <pageMargins left="0.19685039370078741" right="0.19685039370078741" top="0.19685039370078741" bottom="0.19685039370078741" header="0.31496062992125984" footer="0.11811023622047245"/>
  <pageSetup paperSize="9" scale="48" fitToHeight="0" orientation="landscape" r:id="rId1"/>
  <rowBreaks count="30" manualBreakCount="30">
    <brk id="46" min="1" max="19" man="1"/>
    <brk id="80" min="1" max="19" man="1"/>
    <brk id="114" max="16383" man="1"/>
    <brk id="148" max="16383" man="1"/>
    <brk id="182" max="16383" man="1"/>
    <brk id="216" max="16383" man="1"/>
    <brk id="250" max="16383" man="1"/>
    <brk id="284" max="16383" man="1"/>
    <brk id="318" max="16383" man="1"/>
    <brk id="352" max="16383" man="1"/>
    <brk id="386" max="16383" man="1"/>
    <brk id="420" max="16383" man="1"/>
    <brk id="454" max="16383" man="1"/>
    <brk id="488" max="16383" man="1"/>
    <brk id="522" max="16383" man="1"/>
    <brk id="556" max="16383" man="1"/>
    <brk id="590" max="16383" man="1"/>
    <brk id="624" max="16383" man="1"/>
    <brk id="658" max="16383" man="1"/>
    <brk id="692" max="16383" man="1"/>
    <brk id="726" max="16383" man="1"/>
    <brk id="760" max="16383" man="1"/>
    <brk id="794" max="16383" man="1"/>
    <brk id="828" max="16383" man="1"/>
    <brk id="865" max="16383" man="1"/>
    <brk id="899" min="2" max="19" man="1"/>
    <brk id="933" max="16383" man="1"/>
    <brk id="967" max="16383" man="1"/>
    <brk id="1001" min="2" max="19" man="1"/>
    <brk id="103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433F-49BA-474A-8B05-E6659B4146F4}">
  <sheetPr codeName="Sayfa27">
    <pageSetUpPr fitToPage="1"/>
  </sheetPr>
  <dimension ref="A1:J56"/>
  <sheetViews>
    <sheetView view="pageBreakPreview" topLeftCell="A2" zoomScale="40" zoomScaleNormal="100" zoomScaleSheetLayoutView="40" workbookViewId="0">
      <selection activeCell="BF11" sqref="BF11:BK11"/>
    </sheetView>
  </sheetViews>
  <sheetFormatPr defaultRowHeight="15" customHeight="1" x14ac:dyDescent="0.3"/>
  <cols>
    <col min="1" max="10" width="30.109375" style="707" customWidth="1"/>
    <col min="11" max="16384" width="8.88671875" style="707"/>
  </cols>
  <sheetData>
    <row r="1" spans="1:10" ht="15" customHeight="1" thickBot="1" x14ac:dyDescent="0.35"/>
    <row r="2" spans="1:10" s="708" customFormat="1" ht="37.200000000000003" thickTop="1" x14ac:dyDescent="0.7">
      <c r="A2" s="1298" t="s">
        <v>118</v>
      </c>
      <c r="B2" s="1299"/>
      <c r="C2" s="1299"/>
      <c r="D2" s="1299"/>
      <c r="E2" s="1299"/>
      <c r="F2" s="1299"/>
      <c r="G2" s="1299"/>
      <c r="H2" s="1299"/>
      <c r="I2" s="1299"/>
      <c r="J2" s="1300"/>
    </row>
    <row r="3" spans="1:10" s="708" customFormat="1" ht="36.6" x14ac:dyDescent="0.7">
      <c r="A3" s="1301" t="s">
        <v>1161</v>
      </c>
      <c r="B3" s="1302"/>
      <c r="C3" s="1302"/>
      <c r="D3" s="1302"/>
      <c r="E3" s="1302"/>
      <c r="F3" s="1302"/>
      <c r="G3" s="1302"/>
      <c r="H3" s="1302"/>
      <c r="I3" s="1302"/>
      <c r="J3" s="1303"/>
    </row>
    <row r="4" spans="1:10" s="708" customFormat="1" ht="29.4" customHeight="1" x14ac:dyDescent="0.7">
      <c r="A4" s="1304" t="s">
        <v>1434</v>
      </c>
      <c r="B4" s="1305"/>
      <c r="C4" s="1305"/>
      <c r="D4" s="1305"/>
      <c r="E4" s="1305"/>
      <c r="F4" s="1305"/>
      <c r="G4" s="1305"/>
      <c r="H4" s="1305"/>
      <c r="I4" s="1305"/>
      <c r="J4" s="1306"/>
    </row>
    <row r="5" spans="1:10" s="708" customFormat="1" ht="29.4" customHeight="1" x14ac:dyDescent="0.7">
      <c r="A5" s="1304" t="s">
        <v>1435</v>
      </c>
      <c r="B5" s="1305"/>
      <c r="C5" s="1305"/>
      <c r="D5" s="1305"/>
      <c r="E5" s="1305"/>
      <c r="F5" s="1305"/>
      <c r="G5" s="1305"/>
      <c r="H5" s="1305"/>
      <c r="I5" s="1305"/>
      <c r="J5" s="1306"/>
    </row>
    <row r="6" spans="1:10" s="708" customFormat="1" ht="13.2" customHeight="1" x14ac:dyDescent="0.35">
      <c r="A6" s="1304" t="s">
        <v>37</v>
      </c>
      <c r="B6" s="1305"/>
      <c r="C6" s="1305"/>
      <c r="D6" s="1305"/>
      <c r="E6" s="1305"/>
      <c r="F6" s="1305"/>
      <c r="G6" s="1305"/>
      <c r="H6" s="1305"/>
      <c r="I6" s="1305"/>
      <c r="J6" s="1306"/>
    </row>
    <row r="7" spans="1:10" s="712" customFormat="1" ht="22.95" customHeight="1" thickBot="1" x14ac:dyDescent="0.35">
      <c r="A7" s="1307"/>
      <c r="B7" s="1308"/>
      <c r="C7" s="1308"/>
      <c r="D7" s="1308"/>
      <c r="E7" s="1308"/>
      <c r="F7" s="1308"/>
      <c r="G7" s="1308"/>
      <c r="H7" s="1308"/>
      <c r="I7" s="1308"/>
      <c r="J7" s="1309"/>
    </row>
    <row r="8" spans="1:10" s="712" customFormat="1" ht="22.95" customHeight="1" x14ac:dyDescent="0.7">
      <c r="A8" s="713"/>
      <c r="B8" s="714"/>
      <c r="C8" s="714"/>
      <c r="D8" s="714"/>
      <c r="E8" s="714"/>
      <c r="F8" s="714"/>
      <c r="G8" s="714"/>
      <c r="H8" s="714"/>
      <c r="I8" s="714"/>
      <c r="J8" s="715"/>
    </row>
    <row r="9" spans="1:10" s="712" customFormat="1" ht="22.95" customHeight="1" x14ac:dyDescent="0.7">
      <c r="A9" s="709"/>
      <c r="B9" s="710"/>
      <c r="C9" s="710"/>
      <c r="D9" s="710"/>
      <c r="E9" s="710"/>
      <c r="F9" s="710"/>
      <c r="G9" s="710"/>
      <c r="H9" s="710"/>
      <c r="I9" s="710"/>
      <c r="J9" s="711"/>
    </row>
    <row r="10" spans="1:10" s="712" customFormat="1" ht="22.95" customHeight="1" x14ac:dyDescent="0.7">
      <c r="A10" s="709"/>
      <c r="B10" s="710"/>
      <c r="C10" s="710"/>
      <c r="D10" s="710"/>
      <c r="E10" s="710"/>
      <c r="F10" s="710"/>
      <c r="G10" s="710"/>
      <c r="H10" s="710"/>
      <c r="I10" s="710"/>
      <c r="J10" s="711"/>
    </row>
    <row r="11" spans="1:10" s="712" customFormat="1" ht="22.95" customHeight="1" x14ac:dyDescent="0.7">
      <c r="A11" s="709"/>
      <c r="B11" s="710"/>
      <c r="C11" s="710"/>
      <c r="D11" s="710"/>
      <c r="E11" s="710"/>
      <c r="F11" s="710"/>
      <c r="G11" s="710"/>
      <c r="H11" s="710"/>
      <c r="I11" s="710"/>
      <c r="J11" s="711"/>
    </row>
    <row r="12" spans="1:10" s="712" customFormat="1" ht="22.95" customHeight="1" x14ac:dyDescent="0.7">
      <c r="A12" s="709"/>
      <c r="B12" s="710"/>
      <c r="C12" s="710"/>
      <c r="D12" s="710"/>
      <c r="E12" s="710"/>
      <c r="F12" s="710"/>
      <c r="G12" s="710"/>
      <c r="H12" s="710"/>
      <c r="I12" s="710"/>
      <c r="J12" s="711"/>
    </row>
    <row r="13" spans="1:10" s="712" customFormat="1" ht="22.95" customHeight="1" x14ac:dyDescent="0.7">
      <c r="A13" s="709"/>
      <c r="B13" s="710"/>
      <c r="C13" s="710"/>
      <c r="D13" s="710"/>
      <c r="E13" s="710"/>
      <c r="F13" s="710"/>
      <c r="G13" s="710"/>
      <c r="H13" s="710"/>
      <c r="I13" s="710"/>
      <c r="J13" s="711"/>
    </row>
    <row r="14" spans="1:10" s="712" customFormat="1" ht="22.95" customHeight="1" x14ac:dyDescent="0.7">
      <c r="A14" s="709"/>
      <c r="B14" s="710"/>
      <c r="C14" s="710"/>
      <c r="D14" s="710"/>
      <c r="E14" s="710"/>
      <c r="F14" s="710"/>
      <c r="G14" s="710"/>
      <c r="H14" s="710"/>
      <c r="I14" s="710"/>
      <c r="J14" s="711"/>
    </row>
    <row r="15" spans="1:10" s="712" customFormat="1" ht="22.95" customHeight="1" x14ac:dyDescent="0.7">
      <c r="A15" s="709"/>
      <c r="B15" s="710"/>
      <c r="C15" s="710"/>
      <c r="D15" s="710"/>
      <c r="E15" s="710"/>
      <c r="F15" s="710"/>
      <c r="G15" s="710"/>
      <c r="H15" s="710"/>
      <c r="I15" s="710"/>
      <c r="J15" s="711"/>
    </row>
    <row r="16" spans="1:10" s="712" customFormat="1" ht="22.95" customHeight="1" x14ac:dyDescent="0.7">
      <c r="A16" s="709"/>
      <c r="B16" s="710"/>
      <c r="C16" s="710"/>
      <c r="D16" s="710"/>
      <c r="E16" s="710"/>
      <c r="F16" s="710"/>
      <c r="G16" s="710"/>
      <c r="H16" s="710"/>
      <c r="I16" s="710"/>
      <c r="J16" s="711"/>
    </row>
    <row r="17" spans="1:10" s="712" customFormat="1" ht="22.95" customHeight="1" x14ac:dyDescent="0.7">
      <c r="A17" s="709"/>
      <c r="B17" s="710"/>
      <c r="C17" s="710"/>
      <c r="D17" s="710"/>
      <c r="E17" s="710"/>
      <c r="F17" s="710"/>
      <c r="G17" s="710"/>
      <c r="H17" s="710"/>
      <c r="I17" s="710"/>
      <c r="J17" s="711"/>
    </row>
    <row r="18" spans="1:10" s="712" customFormat="1" ht="22.95" customHeight="1" x14ac:dyDescent="0.7">
      <c r="A18" s="709"/>
      <c r="B18" s="710"/>
      <c r="C18" s="710"/>
      <c r="D18" s="710"/>
      <c r="E18" s="710"/>
      <c r="F18" s="710"/>
      <c r="G18" s="710"/>
      <c r="H18" s="710"/>
      <c r="I18" s="710"/>
      <c r="J18" s="711"/>
    </row>
    <row r="19" spans="1:10" s="712" customFormat="1" ht="22.95" customHeight="1" x14ac:dyDescent="0.7">
      <c r="A19" s="709"/>
      <c r="B19" s="710"/>
      <c r="C19" s="710"/>
      <c r="D19" s="710"/>
      <c r="E19" s="710"/>
      <c r="F19" s="710"/>
      <c r="G19" s="710"/>
      <c r="H19" s="710"/>
      <c r="I19" s="710"/>
      <c r="J19" s="711"/>
    </row>
    <row r="20" spans="1:10" s="712" customFormat="1" ht="22.95" customHeight="1" x14ac:dyDescent="0.7">
      <c r="A20" s="709"/>
      <c r="B20" s="710"/>
      <c r="C20" s="710"/>
      <c r="D20" s="710"/>
      <c r="E20" s="710"/>
      <c r="F20" s="710"/>
      <c r="G20" s="710"/>
      <c r="H20" s="710"/>
      <c r="I20" s="710"/>
      <c r="J20" s="711"/>
    </row>
    <row r="21" spans="1:10" s="712" customFormat="1" ht="22.95" customHeight="1" x14ac:dyDescent="0.7">
      <c r="A21" s="709"/>
      <c r="B21" s="710"/>
      <c r="C21" s="710"/>
      <c r="D21" s="710"/>
      <c r="E21" s="710"/>
      <c r="F21" s="710"/>
      <c r="G21" s="710"/>
      <c r="H21" s="710"/>
      <c r="I21" s="710"/>
      <c r="J21" s="711"/>
    </row>
    <row r="22" spans="1:10" s="712" customFormat="1" ht="22.95" customHeight="1" x14ac:dyDescent="0.3">
      <c r="A22" s="1310" t="s">
        <v>212</v>
      </c>
      <c r="B22" s="1311"/>
      <c r="C22" s="1311"/>
      <c r="D22" s="1311"/>
      <c r="E22" s="1311"/>
      <c r="F22" s="1311"/>
      <c r="G22" s="1311"/>
      <c r="H22" s="1311"/>
      <c r="I22" s="1311"/>
      <c r="J22" s="1312"/>
    </row>
    <row r="23" spans="1:10" ht="15" customHeight="1" x14ac:dyDescent="0.3">
      <c r="A23" s="1310"/>
      <c r="B23" s="1311"/>
      <c r="C23" s="1311"/>
      <c r="D23" s="1311"/>
      <c r="E23" s="1311"/>
      <c r="F23" s="1311"/>
      <c r="G23" s="1311"/>
      <c r="H23" s="1311"/>
      <c r="I23" s="1311"/>
      <c r="J23" s="1312"/>
    </row>
    <row r="24" spans="1:10" ht="15" customHeight="1" x14ac:dyDescent="0.3">
      <c r="A24" s="1310"/>
      <c r="B24" s="1311"/>
      <c r="C24" s="1311"/>
      <c r="D24" s="1311"/>
      <c r="E24" s="1311"/>
      <c r="F24" s="1311"/>
      <c r="G24" s="1311"/>
      <c r="H24" s="1311"/>
      <c r="I24" s="1311"/>
      <c r="J24" s="1312"/>
    </row>
    <row r="25" spans="1:10" ht="15" customHeight="1" x14ac:dyDescent="0.7">
      <c r="A25" s="716"/>
      <c r="B25" s="717"/>
      <c r="C25" s="717"/>
      <c r="D25" s="717"/>
      <c r="E25" s="717"/>
      <c r="F25" s="717"/>
      <c r="G25" s="717"/>
      <c r="H25" s="717"/>
      <c r="I25" s="717"/>
      <c r="J25" s="718"/>
    </row>
    <row r="26" spans="1:10" ht="15" customHeight="1" x14ac:dyDescent="0.7">
      <c r="A26" s="716"/>
      <c r="B26" s="717"/>
      <c r="C26" s="717"/>
      <c r="D26" s="717"/>
      <c r="E26" s="717"/>
      <c r="F26" s="717"/>
      <c r="G26" s="717"/>
      <c r="H26" s="717"/>
      <c r="I26" s="717"/>
      <c r="J26" s="718"/>
    </row>
    <row r="27" spans="1:10" ht="24" customHeight="1" x14ac:dyDescent="0.3">
      <c r="A27" s="1313">
        <f>+Veri!$C$21</f>
        <v>6</v>
      </c>
      <c r="B27" s="1314"/>
      <c r="C27" s="1314"/>
      <c r="D27" s="1314"/>
      <c r="E27" s="1314"/>
      <c r="F27" s="1314"/>
      <c r="G27" s="1314"/>
      <c r="H27" s="1314"/>
      <c r="I27" s="1314"/>
      <c r="J27" s="1315"/>
    </row>
    <row r="28" spans="1:10" s="719" customFormat="1" ht="24" customHeight="1" x14ac:dyDescent="0.3">
      <c r="A28" s="1313"/>
      <c r="B28" s="1314"/>
      <c r="C28" s="1314"/>
      <c r="D28" s="1314"/>
      <c r="E28" s="1314"/>
      <c r="F28" s="1314"/>
      <c r="G28" s="1314"/>
      <c r="H28" s="1314"/>
      <c r="I28" s="1314"/>
      <c r="J28" s="1315"/>
    </row>
    <row r="29" spans="1:10" s="719" customFormat="1" ht="24" customHeight="1" x14ac:dyDescent="0.7">
      <c r="A29" s="1316"/>
      <c r="B29" s="1317"/>
      <c r="C29" s="1317"/>
      <c r="D29" s="1317"/>
      <c r="E29" s="1317"/>
      <c r="F29" s="1317"/>
      <c r="G29" s="1317"/>
      <c r="H29" s="1317"/>
      <c r="I29" s="1317"/>
      <c r="J29" s="1318"/>
    </row>
    <row r="30" spans="1:10" s="719" customFormat="1" ht="24" customHeight="1" x14ac:dyDescent="0.3">
      <c r="A30" s="1319" t="str">
        <f>+[9]İcmal!B16</f>
        <v>Hakediş Tarihi:</v>
      </c>
      <c r="B30" s="1320"/>
      <c r="C30" s="1320"/>
      <c r="D30" s="1320"/>
      <c r="E30" s="1320"/>
      <c r="F30" s="1321">
        <f>Veri!$C$22</f>
        <v>46142</v>
      </c>
      <c r="G30" s="1321"/>
      <c r="H30" s="1321"/>
      <c r="I30" s="1321"/>
      <c r="J30" s="1322"/>
    </row>
    <row r="31" spans="1:10" ht="24" customHeight="1" x14ac:dyDescent="0.3">
      <c r="A31" s="1319"/>
      <c r="B31" s="1320"/>
      <c r="C31" s="1320"/>
      <c r="D31" s="1320"/>
      <c r="E31" s="1320"/>
      <c r="F31" s="1321"/>
      <c r="G31" s="1321"/>
      <c r="H31" s="1321"/>
      <c r="I31" s="1321"/>
      <c r="J31" s="1322"/>
    </row>
    <row r="32" spans="1:10" ht="24" customHeight="1" x14ac:dyDescent="0.7">
      <c r="A32" s="716"/>
      <c r="B32" s="717"/>
      <c r="C32" s="717"/>
      <c r="D32" s="717"/>
      <c r="E32" s="717"/>
      <c r="F32" s="717"/>
      <c r="G32" s="717"/>
      <c r="H32" s="717"/>
      <c r="I32" s="717"/>
      <c r="J32" s="718"/>
    </row>
    <row r="33" spans="1:10" ht="24" customHeight="1" x14ac:dyDescent="0.7">
      <c r="A33" s="716"/>
      <c r="B33" s="717"/>
      <c r="C33" s="717"/>
      <c r="D33" s="717"/>
      <c r="E33" s="717"/>
      <c r="F33" s="717"/>
      <c r="G33" s="717"/>
      <c r="H33" s="717"/>
      <c r="I33" s="717"/>
      <c r="J33" s="718"/>
    </row>
    <row r="34" spans="1:10" ht="24" customHeight="1" x14ac:dyDescent="0.7">
      <c r="A34" s="716"/>
      <c r="B34" s="717"/>
      <c r="C34" s="717"/>
      <c r="D34" s="717"/>
      <c r="E34" s="717"/>
      <c r="F34" s="717"/>
      <c r="G34" s="717"/>
      <c r="H34" s="717"/>
      <c r="I34" s="717"/>
      <c r="J34" s="718"/>
    </row>
    <row r="35" spans="1:10" ht="24" customHeight="1" x14ac:dyDescent="0.3">
      <c r="A35" s="1292"/>
      <c r="B35" s="1293"/>
      <c r="C35" s="1293"/>
      <c r="D35" s="1293"/>
      <c r="E35" s="1293"/>
      <c r="F35" s="1293"/>
      <c r="G35" s="1293"/>
      <c r="H35" s="1293"/>
      <c r="I35" s="1293"/>
      <c r="J35" s="1294"/>
    </row>
    <row r="36" spans="1:10" ht="24" customHeight="1" x14ac:dyDescent="0.3">
      <c r="A36" s="1292"/>
      <c r="B36" s="1293"/>
      <c r="C36" s="1293"/>
      <c r="D36" s="1293"/>
      <c r="E36" s="1293"/>
      <c r="F36" s="1293"/>
      <c r="G36" s="1293"/>
      <c r="H36" s="1293"/>
      <c r="I36" s="1293"/>
      <c r="J36" s="1294"/>
    </row>
    <row r="37" spans="1:10" ht="24" customHeight="1" x14ac:dyDescent="0.3">
      <c r="A37" s="720"/>
      <c r="B37" s="721"/>
      <c r="C37" s="721"/>
      <c r="D37" s="721"/>
      <c r="E37" s="721"/>
      <c r="F37" s="721"/>
      <c r="G37" s="721"/>
      <c r="H37" s="721"/>
      <c r="I37" s="721"/>
      <c r="J37" s="722"/>
    </row>
    <row r="38" spans="1:10" ht="24" customHeight="1" x14ac:dyDescent="0.3">
      <c r="A38" s="720"/>
      <c r="B38" s="721"/>
      <c r="C38" s="721"/>
      <c r="D38" s="721"/>
      <c r="E38" s="721"/>
      <c r="F38" s="721"/>
      <c r="G38" s="721"/>
      <c r="H38" s="721"/>
      <c r="I38" s="721"/>
      <c r="J38" s="722"/>
    </row>
    <row r="39" spans="1:10" ht="24" customHeight="1" x14ac:dyDescent="0.3">
      <c r="A39" s="720"/>
      <c r="B39" s="721"/>
      <c r="C39" s="721"/>
      <c r="D39" s="721"/>
      <c r="E39" s="721"/>
      <c r="F39" s="721"/>
      <c r="G39" s="721"/>
      <c r="H39" s="721"/>
      <c r="I39" s="721"/>
      <c r="J39" s="722"/>
    </row>
    <row r="40" spans="1:10" ht="24" customHeight="1" x14ac:dyDescent="0.3">
      <c r="A40" s="720"/>
      <c r="B40" s="721"/>
      <c r="C40" s="721"/>
      <c r="D40" s="721"/>
      <c r="E40" s="721"/>
      <c r="F40" s="721"/>
      <c r="G40" s="721"/>
      <c r="H40" s="721"/>
      <c r="I40" s="721"/>
      <c r="J40" s="722"/>
    </row>
    <row r="41" spans="1:10" ht="24" customHeight="1" x14ac:dyDescent="0.3">
      <c r="A41" s="720"/>
      <c r="B41" s="721"/>
      <c r="C41" s="721"/>
      <c r="D41" s="721"/>
      <c r="E41" s="721"/>
      <c r="F41" s="721"/>
      <c r="G41" s="721"/>
      <c r="H41" s="721"/>
      <c r="I41" s="721"/>
      <c r="J41" s="722"/>
    </row>
    <row r="42" spans="1:10" ht="24" customHeight="1" x14ac:dyDescent="0.3">
      <c r="A42" s="720"/>
      <c r="B42" s="721"/>
      <c r="C42" s="721"/>
      <c r="D42" s="721"/>
      <c r="E42" s="721"/>
      <c r="F42" s="721"/>
      <c r="G42" s="721"/>
      <c r="H42" s="721"/>
      <c r="I42" s="721"/>
      <c r="J42" s="722"/>
    </row>
    <row r="43" spans="1:10" ht="24" customHeight="1" x14ac:dyDescent="0.3">
      <c r="A43" s="720"/>
      <c r="B43" s="721"/>
      <c r="C43" s="721"/>
      <c r="D43" s="721"/>
      <c r="E43" s="721"/>
      <c r="F43" s="721"/>
      <c r="G43" s="721"/>
      <c r="H43" s="721"/>
      <c r="I43" s="721"/>
      <c r="J43" s="722"/>
    </row>
    <row r="44" spans="1:10" ht="24" customHeight="1" x14ac:dyDescent="0.3">
      <c r="A44" s="720"/>
      <c r="B44" s="721"/>
      <c r="C44" s="721"/>
      <c r="D44" s="721"/>
      <c r="E44" s="721"/>
      <c r="F44" s="721"/>
      <c r="G44" s="721"/>
      <c r="H44" s="721"/>
      <c r="I44" s="721"/>
      <c r="J44" s="722"/>
    </row>
    <row r="45" spans="1:10" ht="24" customHeight="1" x14ac:dyDescent="0.3">
      <c r="A45" s="720"/>
      <c r="B45" s="721"/>
      <c r="C45" s="721"/>
      <c r="D45" s="721"/>
      <c r="E45" s="721"/>
      <c r="F45" s="721"/>
      <c r="G45" s="721"/>
      <c r="H45" s="721"/>
      <c r="I45" s="721"/>
      <c r="J45" s="722"/>
    </row>
    <row r="46" spans="1:10" ht="24" customHeight="1" x14ac:dyDescent="0.3">
      <c r="A46" s="720"/>
      <c r="B46" s="721"/>
      <c r="C46" s="721"/>
      <c r="D46" s="721"/>
      <c r="E46" s="721"/>
      <c r="F46" s="721"/>
      <c r="G46" s="721"/>
      <c r="H46" s="721"/>
      <c r="I46" s="721"/>
      <c r="J46" s="722"/>
    </row>
    <row r="47" spans="1:10" ht="24" customHeight="1" x14ac:dyDescent="0.3">
      <c r="A47" s="720"/>
      <c r="B47" s="721"/>
      <c r="C47" s="721"/>
      <c r="D47" s="721"/>
      <c r="E47" s="721"/>
      <c r="F47" s="721"/>
      <c r="G47" s="721"/>
      <c r="H47" s="721"/>
      <c r="I47" s="721"/>
      <c r="J47" s="722"/>
    </row>
    <row r="48" spans="1:10" ht="24" customHeight="1" x14ac:dyDescent="0.3">
      <c r="A48" s="720"/>
      <c r="B48" s="721"/>
      <c r="C48" s="721"/>
      <c r="D48" s="721"/>
      <c r="E48" s="721"/>
      <c r="F48" s="721"/>
      <c r="G48" s="721"/>
      <c r="H48" s="721"/>
      <c r="I48" s="721"/>
      <c r="J48" s="722"/>
    </row>
    <row r="49" spans="1:10" ht="24" customHeight="1" x14ac:dyDescent="0.3">
      <c r="A49" s="720"/>
      <c r="B49" s="721"/>
      <c r="C49" s="721"/>
      <c r="D49" s="721"/>
      <c r="E49" s="721"/>
      <c r="F49" s="721"/>
      <c r="G49" s="721"/>
      <c r="H49" s="721"/>
      <c r="I49" s="721"/>
      <c r="J49" s="722"/>
    </row>
    <row r="50" spans="1:10" ht="24" customHeight="1" x14ac:dyDescent="0.3">
      <c r="A50" s="720"/>
      <c r="B50" s="721"/>
      <c r="C50" s="721"/>
      <c r="D50" s="721"/>
      <c r="E50" s="721"/>
      <c r="F50" s="721"/>
      <c r="G50" s="721"/>
      <c r="H50" s="721"/>
      <c r="I50" s="721"/>
      <c r="J50" s="722"/>
    </row>
    <row r="51" spans="1:10" ht="15" customHeight="1" x14ac:dyDescent="0.3">
      <c r="A51" s="720"/>
      <c r="B51" s="721"/>
      <c r="C51" s="721"/>
      <c r="D51" s="721"/>
      <c r="E51" s="721"/>
      <c r="F51" s="721"/>
      <c r="G51" s="721"/>
      <c r="H51" s="721"/>
      <c r="I51" s="721"/>
      <c r="J51" s="722"/>
    </row>
    <row r="52" spans="1:10" ht="15" customHeight="1" x14ac:dyDescent="0.7">
      <c r="A52" s="716"/>
      <c r="B52" s="717"/>
      <c r="C52" s="717"/>
      <c r="D52" s="717"/>
      <c r="E52" s="717"/>
      <c r="F52" s="717"/>
      <c r="G52" s="717"/>
      <c r="H52" s="717"/>
      <c r="I52" s="717"/>
      <c r="J52" s="718"/>
    </row>
    <row r="53" spans="1:10" ht="15" customHeight="1" x14ac:dyDescent="0.7">
      <c r="A53" s="716"/>
      <c r="B53" s="717"/>
      <c r="C53" s="717"/>
      <c r="D53" s="717"/>
      <c r="E53" s="717"/>
      <c r="F53" s="717"/>
      <c r="G53" s="717"/>
      <c r="H53" s="717"/>
      <c r="I53" s="717"/>
      <c r="J53" s="718"/>
    </row>
    <row r="54" spans="1:10" ht="15" customHeight="1" x14ac:dyDescent="0.3">
      <c r="A54" s="1292"/>
      <c r="B54" s="1293"/>
      <c r="C54" s="1293"/>
      <c r="D54" s="1293"/>
      <c r="E54" s="1293"/>
      <c r="F54" s="1293"/>
      <c r="G54" s="1293"/>
      <c r="H54" s="1293"/>
      <c r="I54" s="1293"/>
      <c r="J54" s="1294"/>
    </row>
    <row r="55" spans="1:10" ht="15" customHeight="1" thickBot="1" x14ac:dyDescent="0.35">
      <c r="A55" s="1295"/>
      <c r="B55" s="1296"/>
      <c r="C55" s="1296"/>
      <c r="D55" s="1296"/>
      <c r="E55" s="1296"/>
      <c r="F55" s="1296"/>
      <c r="G55" s="1296"/>
      <c r="H55" s="1296"/>
      <c r="I55" s="1296"/>
      <c r="J55" s="1297"/>
    </row>
    <row r="56" spans="1:10" ht="15" customHeight="1" thickTop="1" x14ac:dyDescent="0.3"/>
  </sheetData>
  <mergeCells count="12">
    <mergeCell ref="A54:J55"/>
    <mergeCell ref="A2:J2"/>
    <mergeCell ref="A3:J3"/>
    <mergeCell ref="A4:J4"/>
    <mergeCell ref="A5:J5"/>
    <mergeCell ref="A6:J7"/>
    <mergeCell ref="A22:J24"/>
    <mergeCell ref="A27:J28"/>
    <mergeCell ref="A29:J29"/>
    <mergeCell ref="A30:E31"/>
    <mergeCell ref="F30:J31"/>
    <mergeCell ref="A35:J36"/>
  </mergeCells>
  <printOptions horizontalCentered="1" verticalCentered="1"/>
  <pageMargins left="0.19685039370078741" right="0.19685039370078741" top="0.19685039370078741" bottom="0.19685039370078741" header="0.31496062992125984" footer="0.31496062992125984"/>
  <pageSetup paperSize="9" scale="4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F861-9080-40CE-B24E-8EFCB94D5F3C}">
  <sheetPr codeName="Sayfa20"/>
  <dimension ref="A2:H36"/>
  <sheetViews>
    <sheetView view="pageBreakPreview" topLeftCell="A16" zoomScale="60" zoomScaleNormal="100" workbookViewId="0">
      <selection activeCell="BF11" sqref="BF11:BK11"/>
    </sheetView>
  </sheetViews>
  <sheetFormatPr defaultRowHeight="15" customHeight="1" x14ac:dyDescent="0.3"/>
  <cols>
    <col min="1" max="1" width="6.77734375" style="11" customWidth="1"/>
    <col min="2" max="2" width="8.21875" style="11" customWidth="1"/>
    <col min="3" max="3" width="12.21875" style="11" customWidth="1"/>
    <col min="4" max="5" width="23.77734375" style="11" customWidth="1"/>
    <col min="6" max="6" width="18.77734375" style="11" customWidth="1"/>
    <col min="7" max="8" width="15.77734375" style="11" customWidth="1"/>
    <col min="9" max="10" width="10.77734375" style="11" customWidth="1"/>
    <col min="11" max="16384" width="8.88671875" style="11"/>
  </cols>
  <sheetData>
    <row r="2" spans="1:8" ht="15" customHeight="1" x14ac:dyDescent="0.3">
      <c r="A2" s="1010" t="s">
        <v>118</v>
      </c>
      <c r="B2" s="1010"/>
      <c r="C2" s="1010"/>
      <c r="D2" s="1010"/>
      <c r="E2" s="1010"/>
      <c r="F2" s="1010"/>
      <c r="G2" s="1010"/>
      <c r="H2" s="1010"/>
    </row>
    <row r="3" spans="1:8" ht="15" customHeight="1" x14ac:dyDescent="0.3">
      <c r="A3" s="1010" t="s">
        <v>210</v>
      </c>
      <c r="B3" s="1010"/>
      <c r="C3" s="1010"/>
      <c r="D3" s="1010"/>
      <c r="E3" s="1010"/>
      <c r="F3" s="1010"/>
      <c r="G3" s="1010"/>
      <c r="H3" s="1010"/>
    </row>
    <row r="4" spans="1:8" ht="15" customHeight="1" x14ac:dyDescent="0.3">
      <c r="A4" s="1010" t="s">
        <v>1432</v>
      </c>
      <c r="B4" s="1010"/>
      <c r="C4" s="1010"/>
      <c r="D4" s="1010"/>
      <c r="E4" s="1010"/>
      <c r="F4" s="1010"/>
      <c r="G4" s="1010"/>
      <c r="H4" s="1010"/>
    </row>
    <row r="6" spans="1:8" ht="15" customHeight="1" x14ac:dyDescent="0.3">
      <c r="A6" s="1010" t="str">
        <f>""&amp;TEXT(Veri!C20,"gg.aa.yyyy")&amp;" ile "&amp;TEXT(Veri!C22,"gg.aa.yyyy")&amp;" Tarihleri Arasında Yapılan İmalat ve İhzarata Ait"</f>
        <v>01.04.2026 ile 30.04.2026 Tarihleri Arasında Yapılan İmalat ve İhzarata Ait</v>
      </c>
      <c r="B6" s="1010"/>
      <c r="C6" s="1010"/>
      <c r="D6" s="1010"/>
      <c r="E6" s="1010"/>
      <c r="F6" s="1010"/>
      <c r="G6" s="1010"/>
      <c r="H6" s="1010"/>
    </row>
    <row r="8" spans="1:8" ht="15" customHeight="1" x14ac:dyDescent="0.3">
      <c r="A8" s="1010" t="str">
        <f>"0"&amp;Veri!C21&amp;" NO'LU HAKEDİŞ - YEŞİL DEFTER/KAPAK"</f>
        <v>06 NO'LU HAKEDİŞ - YEŞİL DEFTER/KAPAK</v>
      </c>
      <c r="B8" s="1010"/>
      <c r="C8" s="1010"/>
      <c r="D8" s="1010"/>
      <c r="E8" s="1010"/>
      <c r="F8" s="1010"/>
      <c r="G8" s="1010"/>
      <c r="H8" s="1010"/>
    </row>
    <row r="9" spans="1:8" ht="15" customHeight="1" x14ac:dyDescent="0.3">
      <c r="D9" s="104"/>
    </row>
    <row r="10" spans="1:8" ht="15" customHeight="1" x14ac:dyDescent="0.3">
      <c r="A10" s="1360" t="s">
        <v>219</v>
      </c>
      <c r="B10" s="1359" t="s">
        <v>213</v>
      </c>
      <c r="C10" s="1359"/>
      <c r="D10" s="1358" t="s">
        <v>37</v>
      </c>
      <c r="E10" s="1358"/>
      <c r="F10" s="1358"/>
      <c r="G10" s="1358"/>
      <c r="H10" s="1358"/>
    </row>
    <row r="11" spans="1:8" ht="15" customHeight="1" x14ac:dyDescent="0.3">
      <c r="A11" s="1360"/>
      <c r="B11" s="1359"/>
      <c r="C11" s="1359"/>
      <c r="D11" s="1358"/>
      <c r="E11" s="1358"/>
      <c r="F11" s="1358"/>
      <c r="G11" s="1358"/>
      <c r="H11" s="1358"/>
    </row>
    <row r="12" spans="1:8" ht="15" customHeight="1" x14ac:dyDescent="0.3">
      <c r="A12" s="1360"/>
      <c r="B12" s="1359" t="s">
        <v>214</v>
      </c>
      <c r="C12" s="1359"/>
      <c r="D12" s="1358" t="s">
        <v>215</v>
      </c>
      <c r="E12" s="1358"/>
      <c r="F12" s="1358"/>
      <c r="G12" s="1358"/>
      <c r="H12" s="1358"/>
    </row>
    <row r="13" spans="1:8" ht="15" customHeight="1" x14ac:dyDescent="0.3">
      <c r="A13" s="1360"/>
      <c r="B13" s="1359"/>
      <c r="C13" s="1359"/>
      <c r="D13" s="1358"/>
      <c r="E13" s="1358"/>
      <c r="F13" s="1358"/>
      <c r="G13" s="1358"/>
      <c r="H13" s="1358"/>
    </row>
    <row r="14" spans="1:8" ht="15" customHeight="1" x14ac:dyDescent="0.3">
      <c r="A14" s="1360"/>
      <c r="B14" s="1359" t="s">
        <v>216</v>
      </c>
      <c r="C14" s="1359"/>
      <c r="D14" s="1357" t="s">
        <v>62</v>
      </c>
      <c r="E14" s="1357"/>
      <c r="F14" s="1357"/>
      <c r="G14" s="1357"/>
      <c r="H14" s="1357"/>
    </row>
    <row r="15" spans="1:8" ht="15" customHeight="1" x14ac:dyDescent="0.3">
      <c r="A15" s="1360"/>
      <c r="B15" s="1359"/>
      <c r="C15" s="1359"/>
      <c r="D15" s="1357"/>
      <c r="E15" s="1357"/>
      <c r="F15" s="1357"/>
      <c r="G15" s="1357"/>
      <c r="H15" s="1357"/>
    </row>
    <row r="16" spans="1:8" ht="15" customHeight="1" x14ac:dyDescent="0.3">
      <c r="A16" s="1360"/>
      <c r="B16" s="1359" t="s">
        <v>217</v>
      </c>
      <c r="C16" s="1359"/>
      <c r="D16" s="1358" t="s">
        <v>115</v>
      </c>
      <c r="E16" s="1358"/>
      <c r="F16" s="1358"/>
      <c r="G16" s="1358"/>
      <c r="H16" s="1358"/>
    </row>
    <row r="17" spans="1:8" ht="15" customHeight="1" x14ac:dyDescent="0.3">
      <c r="A17" s="1360"/>
      <c r="B17" s="1359"/>
      <c r="C17" s="1359"/>
      <c r="D17" s="1358"/>
      <c r="E17" s="1358"/>
      <c r="F17" s="1358"/>
      <c r="G17" s="1358"/>
      <c r="H17" s="1358"/>
    </row>
    <row r="18" spans="1:8" ht="15" customHeight="1" x14ac:dyDescent="0.3">
      <c r="A18" s="1360"/>
      <c r="B18" s="1359" t="s">
        <v>218</v>
      </c>
      <c r="C18" s="1359"/>
      <c r="D18" s="1357" t="s">
        <v>40</v>
      </c>
      <c r="E18" s="1357"/>
      <c r="F18" s="1357"/>
      <c r="G18" s="1357"/>
      <c r="H18" s="1357"/>
    </row>
    <row r="19" spans="1:8" ht="15" customHeight="1" x14ac:dyDescent="0.3">
      <c r="A19" s="1360"/>
      <c r="B19" s="1359"/>
      <c r="C19" s="1359"/>
      <c r="D19" s="1357"/>
      <c r="E19" s="1357"/>
      <c r="F19" s="1357"/>
      <c r="G19" s="1357"/>
      <c r="H19" s="1357"/>
    </row>
    <row r="20" spans="1:8" ht="15" customHeight="1" x14ac:dyDescent="0.3">
      <c r="A20" s="1356"/>
      <c r="B20" s="1356"/>
      <c r="C20" s="1356"/>
      <c r="D20" s="991" t="s">
        <v>222</v>
      </c>
      <c r="E20" s="991"/>
      <c r="F20" s="135" t="s">
        <v>220</v>
      </c>
      <c r="G20" s="991" t="s">
        <v>221</v>
      </c>
      <c r="H20" s="991"/>
    </row>
    <row r="21" spans="1:8" ht="45" customHeight="1" x14ac:dyDescent="0.3">
      <c r="A21" s="1365" t="s">
        <v>1438</v>
      </c>
      <c r="B21" s="1366"/>
      <c r="C21" s="1367"/>
      <c r="D21" s="1354" t="s">
        <v>39</v>
      </c>
      <c r="E21" s="1355"/>
      <c r="F21" s="20"/>
      <c r="G21" s="1356"/>
      <c r="H21" s="1356"/>
    </row>
    <row r="22" spans="1:8" ht="45" customHeight="1" x14ac:dyDescent="0.3">
      <c r="A22" s="1136" t="s">
        <v>1439</v>
      </c>
      <c r="B22" s="1170"/>
      <c r="C22" s="1137"/>
      <c r="D22" s="1136" t="s">
        <v>38</v>
      </c>
      <c r="E22" s="1137"/>
      <c r="F22" s="529"/>
      <c r="G22" s="1356"/>
      <c r="H22" s="1356"/>
    </row>
    <row r="23" spans="1:8" ht="45" customHeight="1" x14ac:dyDescent="0.3">
      <c r="A23" s="1365" t="s">
        <v>1440</v>
      </c>
      <c r="B23" s="1366"/>
      <c r="C23" s="1367"/>
      <c r="D23" s="1356" t="s">
        <v>59</v>
      </c>
      <c r="E23" s="1356"/>
      <c r="F23" s="20"/>
      <c r="G23" s="1356"/>
      <c r="H23" s="1356"/>
    </row>
    <row r="24" spans="1:8" ht="45" customHeight="1" x14ac:dyDescent="0.3">
      <c r="A24" s="1365" t="s">
        <v>1441</v>
      </c>
      <c r="B24" s="1366"/>
      <c r="C24" s="1367"/>
      <c r="D24" s="1356" t="s">
        <v>1244</v>
      </c>
      <c r="E24" s="1356"/>
      <c r="F24" s="20"/>
      <c r="G24" s="1356"/>
      <c r="H24" s="1356"/>
    </row>
    <row r="25" spans="1:8" ht="45" customHeight="1" x14ac:dyDescent="0.3">
      <c r="A25" s="1365" t="s">
        <v>1441</v>
      </c>
      <c r="B25" s="1366"/>
      <c r="C25" s="1367"/>
      <c r="D25" s="1356" t="s">
        <v>27</v>
      </c>
      <c r="E25" s="1356"/>
      <c r="F25" s="20"/>
      <c r="G25" s="1356"/>
      <c r="H25" s="1356"/>
    </row>
    <row r="26" spans="1:8" ht="45" customHeight="1" x14ac:dyDescent="0.3">
      <c r="A26" s="1365" t="s">
        <v>1441</v>
      </c>
      <c r="B26" s="1366"/>
      <c r="C26" s="1367"/>
      <c r="D26" s="1356" t="s">
        <v>52</v>
      </c>
      <c r="E26" s="1356"/>
      <c r="F26" s="20"/>
      <c r="G26" s="1356"/>
      <c r="H26" s="1356"/>
    </row>
    <row r="27" spans="1:8" ht="45" customHeight="1" x14ac:dyDescent="0.3">
      <c r="A27" s="1365" t="s">
        <v>1441</v>
      </c>
      <c r="B27" s="1366"/>
      <c r="C27" s="1367"/>
      <c r="D27" s="1356" t="s">
        <v>28</v>
      </c>
      <c r="E27" s="1356"/>
      <c r="F27" s="20"/>
      <c r="G27" s="1356"/>
      <c r="H27" s="1356"/>
    </row>
    <row r="28" spans="1:8" ht="45" customHeight="1" x14ac:dyDescent="0.3">
      <c r="A28" s="1365" t="s">
        <v>1441</v>
      </c>
      <c r="B28" s="1366"/>
      <c r="C28" s="1367"/>
      <c r="D28" s="1356" t="s">
        <v>53</v>
      </c>
      <c r="E28" s="1356"/>
      <c r="F28" s="20"/>
      <c r="G28" s="1356"/>
      <c r="H28" s="1356"/>
    </row>
    <row r="29" spans="1:8" ht="45" customHeight="1" x14ac:dyDescent="0.3">
      <c r="A29" s="1365" t="s">
        <v>1441</v>
      </c>
      <c r="B29" s="1366"/>
      <c r="C29" s="1367"/>
      <c r="D29" s="1356" t="s">
        <v>54</v>
      </c>
      <c r="E29" s="1356"/>
      <c r="F29" s="20"/>
      <c r="G29" s="1356"/>
      <c r="H29" s="1356"/>
    </row>
    <row r="30" spans="1:8" ht="45" customHeight="1" x14ac:dyDescent="0.3">
      <c r="A30" s="1365" t="s">
        <v>1441</v>
      </c>
      <c r="B30" s="1366"/>
      <c r="C30" s="1367"/>
      <c r="D30" s="1356" t="s">
        <v>55</v>
      </c>
      <c r="E30" s="1356"/>
      <c r="F30" s="20"/>
      <c r="G30" s="1356"/>
      <c r="H30" s="1356"/>
    </row>
    <row r="31" spans="1:8" ht="45" customHeight="1" x14ac:dyDescent="0.3">
      <c r="A31" s="1365" t="s">
        <v>1441</v>
      </c>
      <c r="B31" s="1366"/>
      <c r="C31" s="1367"/>
      <c r="D31" s="1356" t="s">
        <v>56</v>
      </c>
      <c r="E31" s="1356"/>
      <c r="F31" s="20"/>
      <c r="G31" s="1356"/>
      <c r="H31" s="1356"/>
    </row>
    <row r="32" spans="1:8" ht="45" customHeight="1" x14ac:dyDescent="0.3">
      <c r="A32" s="1365" t="s">
        <v>1441</v>
      </c>
      <c r="B32" s="1366"/>
      <c r="C32" s="1367"/>
      <c r="D32" s="1356" t="s">
        <v>57</v>
      </c>
      <c r="E32" s="1356"/>
      <c r="F32" s="20"/>
      <c r="G32" s="1356"/>
      <c r="H32" s="1356"/>
    </row>
    <row r="33" spans="1:8" ht="45" customHeight="1" x14ac:dyDescent="0.3">
      <c r="A33" s="1365" t="s">
        <v>1441</v>
      </c>
      <c r="B33" s="1366"/>
      <c r="C33" s="1367"/>
      <c r="D33" s="1356" t="s">
        <v>58</v>
      </c>
      <c r="E33" s="1356"/>
      <c r="F33" s="20"/>
      <c r="G33" s="1356"/>
      <c r="H33" s="1356"/>
    </row>
    <row r="34" spans="1:8" ht="45" customHeight="1" x14ac:dyDescent="0.3">
      <c r="A34" s="1354" t="s">
        <v>47</v>
      </c>
      <c r="B34" s="1361"/>
      <c r="C34" s="1355"/>
      <c r="D34" s="1356" t="s">
        <v>48</v>
      </c>
      <c r="E34" s="1356"/>
      <c r="F34" s="20"/>
      <c r="G34" s="1356"/>
      <c r="H34" s="1356"/>
    </row>
    <row r="35" spans="1:8" ht="45" customHeight="1" x14ac:dyDescent="0.3">
      <c r="A35" s="1354" t="s">
        <v>49</v>
      </c>
      <c r="B35" s="1361"/>
      <c r="C35" s="1355"/>
      <c r="D35" s="1356" t="s">
        <v>26</v>
      </c>
      <c r="E35" s="1356"/>
      <c r="F35" s="20"/>
      <c r="G35" s="1356"/>
      <c r="H35" s="1356"/>
    </row>
    <row r="36" spans="1:8" ht="45" customHeight="1" x14ac:dyDescent="0.3">
      <c r="A36" s="1362" t="s">
        <v>24</v>
      </c>
      <c r="B36" s="1363"/>
      <c r="C36" s="1364"/>
      <c r="D36" s="1356" t="s">
        <v>46</v>
      </c>
      <c r="E36" s="1356"/>
      <c r="F36" s="20"/>
      <c r="G36" s="1356"/>
      <c r="H36" s="1356"/>
    </row>
  </sheetData>
  <mergeCells count="67">
    <mergeCell ref="D33:E33"/>
    <mergeCell ref="G33:H33"/>
    <mergeCell ref="A30:C30"/>
    <mergeCell ref="A31:C31"/>
    <mergeCell ref="A32:C32"/>
    <mergeCell ref="A26:C26"/>
    <mergeCell ref="A27:C27"/>
    <mergeCell ref="A28:C28"/>
    <mergeCell ref="A29:C29"/>
    <mergeCell ref="A33:C33"/>
    <mergeCell ref="D26:E26"/>
    <mergeCell ref="D30:E30"/>
    <mergeCell ref="D31:E31"/>
    <mergeCell ref="D32:E32"/>
    <mergeCell ref="D27:E27"/>
    <mergeCell ref="D28:E28"/>
    <mergeCell ref="D29:E29"/>
    <mergeCell ref="D23:E23"/>
    <mergeCell ref="G24:H24"/>
    <mergeCell ref="G25:H25"/>
    <mergeCell ref="A21:C21"/>
    <mergeCell ref="A22:C22"/>
    <mergeCell ref="D22:E22"/>
    <mergeCell ref="A23:C23"/>
    <mergeCell ref="D24:E24"/>
    <mergeCell ref="A25:C25"/>
    <mergeCell ref="G22:H22"/>
    <mergeCell ref="A24:C24"/>
    <mergeCell ref="D25:E25"/>
    <mergeCell ref="G35:H35"/>
    <mergeCell ref="G36:H36"/>
    <mergeCell ref="G23:H23"/>
    <mergeCell ref="G31:H31"/>
    <mergeCell ref="G32:H32"/>
    <mergeCell ref="G28:H28"/>
    <mergeCell ref="G34:H34"/>
    <mergeCell ref="G30:H30"/>
    <mergeCell ref="G27:H27"/>
    <mergeCell ref="G29:H29"/>
    <mergeCell ref="G26:H26"/>
    <mergeCell ref="D35:E35"/>
    <mergeCell ref="D36:E36"/>
    <mergeCell ref="A34:C34"/>
    <mergeCell ref="A35:C35"/>
    <mergeCell ref="A36:C36"/>
    <mergeCell ref="D34:E34"/>
    <mergeCell ref="D12:H13"/>
    <mergeCell ref="B10:C11"/>
    <mergeCell ref="B12:C13"/>
    <mergeCell ref="G20:H20"/>
    <mergeCell ref="A20:C20"/>
    <mergeCell ref="A2:H2"/>
    <mergeCell ref="A3:H3"/>
    <mergeCell ref="D21:E21"/>
    <mergeCell ref="G21:H21"/>
    <mergeCell ref="D14:H15"/>
    <mergeCell ref="D16:H17"/>
    <mergeCell ref="B18:C19"/>
    <mergeCell ref="B16:C17"/>
    <mergeCell ref="B14:C15"/>
    <mergeCell ref="D18:H19"/>
    <mergeCell ref="A4:H4"/>
    <mergeCell ref="A6:H6"/>
    <mergeCell ref="A10:A19"/>
    <mergeCell ref="D10:H11"/>
    <mergeCell ref="A8:H8"/>
    <mergeCell ref="D20:E20"/>
  </mergeCells>
  <printOptions horizontalCentered="1" verticalCentered="1"/>
  <pageMargins left="0.78740157480314965" right="0.39370078740157483" top="0" bottom="0" header="0" footer="0"/>
  <pageSetup paperSize="9" scale="72"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BD1B-B4BA-420A-957C-A0A7DB6BD78D}">
  <sheetPr codeName="Sayfa28">
    <pageSetUpPr fitToPage="1"/>
  </sheetPr>
  <dimension ref="A1:AS563"/>
  <sheetViews>
    <sheetView showGridLines="0" view="pageBreakPreview" topLeftCell="A298" zoomScale="55" zoomScaleNormal="100" zoomScaleSheetLayoutView="55" workbookViewId="0">
      <selection activeCell="BF11" sqref="BF11:BK11"/>
    </sheetView>
  </sheetViews>
  <sheetFormatPr defaultRowHeight="15" customHeight="1" x14ac:dyDescent="0.3"/>
  <cols>
    <col min="1" max="2" width="8.88671875" style="11"/>
    <col min="3" max="3" width="8.88671875" style="28"/>
    <col min="4" max="4" width="8.88671875" style="11"/>
    <col min="5" max="7" width="45.33203125" style="11" customWidth="1"/>
    <col min="8" max="8" width="10.109375" style="11" customWidth="1"/>
    <col min="9" max="11" width="40.6640625" style="11" customWidth="1"/>
    <col min="12" max="16384" width="8.88671875" style="11"/>
  </cols>
  <sheetData>
    <row r="1" spans="1:11" s="800" customFormat="1" ht="15" customHeight="1" x14ac:dyDescent="0.3">
      <c r="C1" s="811"/>
    </row>
    <row r="2" spans="1:11" s="800" customFormat="1" ht="15" customHeight="1" x14ac:dyDescent="0.3">
      <c r="C2" s="1239" t="s">
        <v>118</v>
      </c>
      <c r="D2" s="1239"/>
      <c r="E2" s="1239"/>
      <c r="F2" s="1239"/>
      <c r="G2" s="1239"/>
      <c r="H2" s="1239"/>
      <c r="I2" s="1239"/>
      <c r="J2" s="1239"/>
      <c r="K2" s="1239"/>
    </row>
    <row r="3" spans="1:11" s="800" customFormat="1" ht="15" customHeight="1" x14ac:dyDescent="0.3">
      <c r="C3" s="1239" t="s">
        <v>1161</v>
      </c>
      <c r="D3" s="1239"/>
      <c r="E3" s="1239"/>
      <c r="F3" s="1239"/>
      <c r="G3" s="1239"/>
      <c r="H3" s="1239"/>
      <c r="I3" s="1239"/>
      <c r="J3" s="1239"/>
      <c r="K3" s="1239"/>
    </row>
    <row r="4" spans="1:11" s="800" customFormat="1" ht="15" customHeight="1" x14ac:dyDescent="0.3">
      <c r="C4" s="1239" t="s">
        <v>1432</v>
      </c>
      <c r="D4" s="1239"/>
      <c r="E4" s="1239"/>
      <c r="F4" s="1239"/>
      <c r="G4" s="1239"/>
      <c r="H4" s="1239"/>
      <c r="I4" s="1239"/>
      <c r="J4" s="1239"/>
      <c r="K4" s="1239"/>
    </row>
    <row r="5" spans="1:11" s="800" customFormat="1" ht="15" customHeight="1" x14ac:dyDescent="0.3">
      <c r="C5" s="1239"/>
      <c r="D5" s="1239"/>
      <c r="E5" s="1239"/>
      <c r="F5" s="1239"/>
      <c r="G5" s="1239"/>
      <c r="H5" s="1239"/>
    </row>
    <row r="6" spans="1:11" s="800" customFormat="1" ht="15" customHeight="1" x14ac:dyDescent="0.3">
      <c r="C6" s="1239" t="s">
        <v>37</v>
      </c>
      <c r="D6" s="1239"/>
      <c r="E6" s="1239"/>
      <c r="F6" s="1239"/>
      <c r="G6" s="1239"/>
      <c r="H6" s="1239"/>
      <c r="I6" s="1239"/>
      <c r="J6" s="1239"/>
      <c r="K6" s="1239"/>
    </row>
    <row r="7" spans="1:11" s="800" customFormat="1" ht="15" customHeight="1" x14ac:dyDescent="0.3">
      <c r="C7" s="1239" t="s">
        <v>212</v>
      </c>
      <c r="D7" s="1239"/>
      <c r="E7" s="1239"/>
      <c r="F7" s="1239"/>
      <c r="G7" s="1239"/>
      <c r="H7" s="1239"/>
      <c r="I7" s="1239"/>
      <c r="J7" s="1239"/>
      <c r="K7" s="1239"/>
    </row>
    <row r="8" spans="1:11" s="800" customFormat="1" ht="15" customHeight="1" x14ac:dyDescent="0.3">
      <c r="C8" s="811"/>
      <c r="E8" s="812"/>
      <c r="F8" s="812"/>
      <c r="G8" s="812"/>
      <c r="H8" s="812"/>
      <c r="I8" s="812"/>
      <c r="J8" s="812"/>
      <c r="K8" s="898">
        <f>+Veri!$C$22</f>
        <v>46142</v>
      </c>
    </row>
    <row r="9" spans="1:11" s="793" customFormat="1" ht="15" customHeight="1" x14ac:dyDescent="0.3">
      <c r="C9" s="730"/>
      <c r="K9" s="824">
        <f>+Veri!$C$21</f>
        <v>6</v>
      </c>
    </row>
    <row r="10" spans="1:11" s="793" customFormat="1" ht="15" customHeight="1" x14ac:dyDescent="0.3">
      <c r="C10" s="730"/>
    </row>
    <row r="11" spans="1:11" s="793" customFormat="1" ht="15" customHeight="1" x14ac:dyDescent="0.3">
      <c r="C11" s="825"/>
      <c r="D11" s="826"/>
      <c r="E11" s="827"/>
      <c r="F11" s="827"/>
      <c r="G11" s="827"/>
      <c r="H11" s="828"/>
      <c r="I11" s="1374" t="s">
        <v>1514</v>
      </c>
      <c r="J11" s="1374"/>
      <c r="K11" s="1374"/>
    </row>
    <row r="12" spans="1:11" s="793" customFormat="1" ht="30" customHeight="1" x14ac:dyDescent="0.3">
      <c r="C12" s="829" t="s">
        <v>1156</v>
      </c>
      <c r="D12" s="830" t="s">
        <v>1157</v>
      </c>
      <c r="E12" s="1352" t="s">
        <v>1155</v>
      </c>
      <c r="F12" s="1352"/>
      <c r="G12" s="1352"/>
      <c r="H12" s="829" t="s">
        <v>1154</v>
      </c>
      <c r="I12" s="896" t="s">
        <v>1466</v>
      </c>
      <c r="J12" s="897" t="s">
        <v>1460</v>
      </c>
      <c r="K12" s="896" t="s">
        <v>1160</v>
      </c>
    </row>
    <row r="13" spans="1:11" s="793" customFormat="1" ht="25.05" customHeight="1" x14ac:dyDescent="0.3">
      <c r="A13" s="890" t="s">
        <v>1241</v>
      </c>
      <c r="C13" s="832" t="s">
        <v>1228</v>
      </c>
      <c r="D13" s="833"/>
      <c r="E13" s="833"/>
      <c r="F13" s="833"/>
      <c r="G13" s="833"/>
      <c r="H13" s="834"/>
      <c r="I13" s="891"/>
      <c r="J13" s="836"/>
      <c r="K13" s="892"/>
    </row>
    <row r="14" spans="1:11" s="793" customFormat="1" ht="25.05" customHeight="1" x14ac:dyDescent="0.3">
      <c r="A14" s="792" t="s">
        <v>1240</v>
      </c>
      <c r="C14" s="839"/>
      <c r="D14" s="840" t="s">
        <v>1223</v>
      </c>
      <c r="E14" s="841"/>
      <c r="F14" s="841"/>
      <c r="G14" s="841"/>
      <c r="H14" s="841"/>
      <c r="I14" s="842"/>
      <c r="J14" s="842"/>
      <c r="K14" s="893"/>
    </row>
    <row r="15" spans="1:11" s="793" customFormat="1" ht="25.05" customHeight="1" x14ac:dyDescent="0.3">
      <c r="A15" s="792">
        <v>1</v>
      </c>
      <c r="C15" s="844"/>
      <c r="D15" s="845" t="s">
        <v>1224</v>
      </c>
      <c r="E15" s="846"/>
      <c r="F15" s="846"/>
      <c r="G15" s="846"/>
      <c r="H15" s="846"/>
      <c r="I15" s="847"/>
      <c r="J15" s="847"/>
      <c r="K15" s="894"/>
    </row>
    <row r="16" spans="1:11" ht="19.95" hidden="1" customHeight="1" x14ac:dyDescent="0.3">
      <c r="A16" s="262" t="s">
        <v>151</v>
      </c>
      <c r="C16" s="160">
        <v>1</v>
      </c>
      <c r="D16" s="210" t="s">
        <v>223</v>
      </c>
      <c r="E16" s="1373" t="s">
        <v>224</v>
      </c>
      <c r="F16" s="1373"/>
      <c r="G16" s="1373"/>
      <c r="H16" s="160" t="s">
        <v>225</v>
      </c>
      <c r="I16" s="226">
        <f>+'Metraj Özeti'!I16</f>
        <v>0</v>
      </c>
      <c r="J16" s="226">
        <f>+'Metraj Özeti'!J16</f>
        <v>0</v>
      </c>
      <c r="K16" s="226">
        <f>+'Metraj Özeti'!K16</f>
        <v>0</v>
      </c>
    </row>
    <row r="17" spans="1:11" ht="19.95" hidden="1" customHeight="1" x14ac:dyDescent="0.3">
      <c r="A17" s="262" t="s">
        <v>151</v>
      </c>
      <c r="C17" s="161">
        <v>2</v>
      </c>
      <c r="D17" s="161" t="s">
        <v>226</v>
      </c>
      <c r="E17" s="1371" t="s">
        <v>227</v>
      </c>
      <c r="F17" s="1371"/>
      <c r="G17" s="1371"/>
      <c r="H17" s="161" t="s">
        <v>228</v>
      </c>
      <c r="I17" s="226">
        <f>+'Metraj Özeti'!I17</f>
        <v>0</v>
      </c>
      <c r="J17" s="226">
        <f>+'Metraj Özeti'!J17</f>
        <v>0</v>
      </c>
      <c r="K17" s="226">
        <f>+'Metraj Özeti'!K17</f>
        <v>0</v>
      </c>
    </row>
    <row r="18" spans="1:11" ht="19.95" hidden="1" customHeight="1" x14ac:dyDescent="0.3">
      <c r="A18" s="262" t="s">
        <v>151</v>
      </c>
      <c r="C18" s="161">
        <v>3</v>
      </c>
      <c r="D18" s="161" t="s">
        <v>229</v>
      </c>
      <c r="E18" s="1371" t="s">
        <v>230</v>
      </c>
      <c r="F18" s="1371"/>
      <c r="G18" s="1371"/>
      <c r="H18" s="161" t="s">
        <v>228</v>
      </c>
      <c r="I18" s="226">
        <f>+'Metraj Özeti'!I18</f>
        <v>0</v>
      </c>
      <c r="J18" s="226">
        <f>+'Metraj Özeti'!J18</f>
        <v>0</v>
      </c>
      <c r="K18" s="226">
        <f>+'Metraj Özeti'!K18</f>
        <v>0</v>
      </c>
    </row>
    <row r="19" spans="1:11" ht="19.95" hidden="1" customHeight="1" x14ac:dyDescent="0.3">
      <c r="A19" s="262" t="s">
        <v>151</v>
      </c>
      <c r="C19" s="161">
        <v>4</v>
      </c>
      <c r="D19" s="161" t="s">
        <v>231</v>
      </c>
      <c r="E19" s="1371" t="s">
        <v>232</v>
      </c>
      <c r="F19" s="1371"/>
      <c r="G19" s="1371"/>
      <c r="H19" s="161" t="s">
        <v>228</v>
      </c>
      <c r="I19" s="226">
        <f>+'Metraj Özeti'!I19</f>
        <v>0</v>
      </c>
      <c r="J19" s="226">
        <f>+'Metraj Özeti'!J19</f>
        <v>0</v>
      </c>
      <c r="K19" s="226">
        <f>+'Metraj Özeti'!K19</f>
        <v>0</v>
      </c>
    </row>
    <row r="20" spans="1:11" ht="19.95" hidden="1" customHeight="1" x14ac:dyDescent="0.3">
      <c r="A20" s="262" t="s">
        <v>151</v>
      </c>
      <c r="C20" s="161">
        <v>5</v>
      </c>
      <c r="D20" s="213" t="s">
        <v>233</v>
      </c>
      <c r="E20" s="1371" t="s">
        <v>234</v>
      </c>
      <c r="F20" s="1371"/>
      <c r="G20" s="1371"/>
      <c r="H20" s="161" t="s">
        <v>228</v>
      </c>
      <c r="I20" s="226">
        <f>+'Metraj Özeti'!I20</f>
        <v>0</v>
      </c>
      <c r="J20" s="226">
        <f>+'Metraj Özeti'!J20</f>
        <v>0</v>
      </c>
      <c r="K20" s="226">
        <f>+'Metraj Özeti'!K20</f>
        <v>0</v>
      </c>
    </row>
    <row r="21" spans="1:11" ht="19.95" hidden="1" customHeight="1" x14ac:dyDescent="0.3">
      <c r="A21" s="262" t="s">
        <v>151</v>
      </c>
      <c r="C21" s="161">
        <v>6</v>
      </c>
      <c r="D21" s="161" t="s">
        <v>235</v>
      </c>
      <c r="E21" s="1371" t="s">
        <v>236</v>
      </c>
      <c r="F21" s="1371"/>
      <c r="G21" s="1371"/>
      <c r="H21" s="161" t="s">
        <v>228</v>
      </c>
      <c r="I21" s="226">
        <f>+'Metraj Özeti'!I21</f>
        <v>0</v>
      </c>
      <c r="J21" s="226">
        <f>+'Metraj Özeti'!J21</f>
        <v>0</v>
      </c>
      <c r="K21" s="226">
        <f>+'Metraj Özeti'!K21</f>
        <v>0</v>
      </c>
    </row>
    <row r="22" spans="1:11" ht="19.95" hidden="1" customHeight="1" x14ac:dyDescent="0.3">
      <c r="A22" s="262" t="s">
        <v>151</v>
      </c>
      <c r="C22" s="161">
        <v>7</v>
      </c>
      <c r="D22" s="161" t="s">
        <v>237</v>
      </c>
      <c r="E22" s="1371" t="s">
        <v>238</v>
      </c>
      <c r="F22" s="1371"/>
      <c r="G22" s="1371"/>
      <c r="H22" s="161" t="s">
        <v>228</v>
      </c>
      <c r="I22" s="226">
        <f>+'Metraj Özeti'!I22</f>
        <v>0</v>
      </c>
      <c r="J22" s="226">
        <f>+'Metraj Özeti'!J22</f>
        <v>0</v>
      </c>
      <c r="K22" s="226">
        <f>+'Metraj Özeti'!K22</f>
        <v>0</v>
      </c>
    </row>
    <row r="23" spans="1:11" ht="19.95" hidden="1" customHeight="1" x14ac:dyDescent="0.3">
      <c r="A23" s="262" t="s">
        <v>151</v>
      </c>
      <c r="C23" s="161">
        <v>8</v>
      </c>
      <c r="D23" s="213" t="s">
        <v>239</v>
      </c>
      <c r="E23" s="1371" t="s">
        <v>240</v>
      </c>
      <c r="F23" s="1371"/>
      <c r="G23" s="1371"/>
      <c r="H23" s="161" t="s">
        <v>228</v>
      </c>
      <c r="I23" s="226">
        <f>+'Metraj Özeti'!I23</f>
        <v>0</v>
      </c>
      <c r="J23" s="226">
        <f>+'Metraj Özeti'!J23</f>
        <v>0</v>
      </c>
      <c r="K23" s="226">
        <f>+'Metraj Özeti'!K23</f>
        <v>0</v>
      </c>
    </row>
    <row r="24" spans="1:11" ht="19.95" hidden="1" customHeight="1" x14ac:dyDescent="0.3">
      <c r="A24" s="262" t="s">
        <v>151</v>
      </c>
      <c r="C24" s="161">
        <v>9</v>
      </c>
      <c r="D24" s="161" t="s">
        <v>241</v>
      </c>
      <c r="E24" s="1371" t="s">
        <v>242</v>
      </c>
      <c r="F24" s="1371"/>
      <c r="G24" s="1371"/>
      <c r="H24" s="161" t="s">
        <v>202</v>
      </c>
      <c r="I24" s="226">
        <f>+'Metraj Özeti'!I24</f>
        <v>0</v>
      </c>
      <c r="J24" s="226">
        <f>+'Metraj Özeti'!J24</f>
        <v>0</v>
      </c>
      <c r="K24" s="226">
        <f>+'Metraj Özeti'!K24</f>
        <v>0</v>
      </c>
    </row>
    <row r="25" spans="1:11" ht="19.95" hidden="1" customHeight="1" x14ac:dyDescent="0.3">
      <c r="A25" s="262" t="s">
        <v>151</v>
      </c>
      <c r="C25" s="161">
        <v>10</v>
      </c>
      <c r="D25" s="161" t="s">
        <v>243</v>
      </c>
      <c r="E25" s="1371" t="s">
        <v>244</v>
      </c>
      <c r="F25" s="1371"/>
      <c r="G25" s="1371"/>
      <c r="H25" s="161" t="s">
        <v>202</v>
      </c>
      <c r="I25" s="226">
        <f>+'Metraj Özeti'!I25</f>
        <v>0</v>
      </c>
      <c r="J25" s="226">
        <f>+'Metraj Özeti'!J25</f>
        <v>0</v>
      </c>
      <c r="K25" s="226">
        <f>+'Metraj Özeti'!K25</f>
        <v>0</v>
      </c>
    </row>
    <row r="26" spans="1:11" ht="19.95" hidden="1" customHeight="1" x14ac:dyDescent="0.3">
      <c r="A26" s="262" t="s">
        <v>151</v>
      </c>
      <c r="C26" s="161">
        <v>11</v>
      </c>
      <c r="D26" s="161" t="s">
        <v>245</v>
      </c>
      <c r="E26" s="1371" t="s">
        <v>246</v>
      </c>
      <c r="F26" s="1371"/>
      <c r="G26" s="1371"/>
      <c r="H26" s="161" t="s">
        <v>247</v>
      </c>
      <c r="I26" s="226">
        <f>+'Metraj Özeti'!I26</f>
        <v>0</v>
      </c>
      <c r="J26" s="226">
        <f>+'Metraj Özeti'!J26</f>
        <v>0</v>
      </c>
      <c r="K26" s="226">
        <f>+'Metraj Özeti'!K26</f>
        <v>0</v>
      </c>
    </row>
    <row r="27" spans="1:11" ht="19.95" hidden="1" customHeight="1" x14ac:dyDescent="0.3">
      <c r="A27" s="262" t="s">
        <v>151</v>
      </c>
      <c r="C27" s="161">
        <v>12</v>
      </c>
      <c r="D27" s="161" t="s">
        <v>248</v>
      </c>
      <c r="E27" s="1371" t="s">
        <v>249</v>
      </c>
      <c r="F27" s="1371"/>
      <c r="G27" s="1371"/>
      <c r="H27" s="161" t="s">
        <v>247</v>
      </c>
      <c r="I27" s="226">
        <f>+'Metraj Özeti'!I27</f>
        <v>0</v>
      </c>
      <c r="J27" s="226">
        <f>+'Metraj Özeti'!J27</f>
        <v>0</v>
      </c>
      <c r="K27" s="226">
        <f>+'Metraj Özeti'!K27</f>
        <v>0</v>
      </c>
    </row>
    <row r="28" spans="1:11" ht="19.95" hidden="1" customHeight="1" x14ac:dyDescent="0.3">
      <c r="A28" s="262" t="s">
        <v>151</v>
      </c>
      <c r="C28" s="161">
        <v>13</v>
      </c>
      <c r="D28" s="161" t="s">
        <v>250</v>
      </c>
      <c r="E28" s="1371" t="s">
        <v>251</v>
      </c>
      <c r="F28" s="1371"/>
      <c r="G28" s="1371"/>
      <c r="H28" s="161" t="s">
        <v>247</v>
      </c>
      <c r="I28" s="226">
        <f>+'Metraj Özeti'!I28</f>
        <v>0</v>
      </c>
      <c r="J28" s="226">
        <f>+'Metraj Özeti'!J28</f>
        <v>0</v>
      </c>
      <c r="K28" s="226">
        <f>+'Metraj Özeti'!K28</f>
        <v>0</v>
      </c>
    </row>
    <row r="29" spans="1:11" ht="19.95" hidden="1" customHeight="1" x14ac:dyDescent="0.3">
      <c r="A29" s="262" t="s">
        <v>151</v>
      </c>
      <c r="C29" s="161">
        <v>14</v>
      </c>
      <c r="D29" s="161" t="s">
        <v>252</v>
      </c>
      <c r="E29" s="1371" t="s">
        <v>253</v>
      </c>
      <c r="F29" s="1371"/>
      <c r="G29" s="1371"/>
      <c r="H29" s="161" t="s">
        <v>247</v>
      </c>
      <c r="I29" s="226">
        <f>+'Metraj Özeti'!I29</f>
        <v>0</v>
      </c>
      <c r="J29" s="226">
        <f>+'Metraj Özeti'!J29</f>
        <v>0</v>
      </c>
      <c r="K29" s="226">
        <f>+'Metraj Özeti'!K29</f>
        <v>0</v>
      </c>
    </row>
    <row r="30" spans="1:11" ht="19.95" hidden="1" customHeight="1" x14ac:dyDescent="0.3">
      <c r="A30" s="262" t="s">
        <v>151</v>
      </c>
      <c r="C30" s="161">
        <v>15</v>
      </c>
      <c r="D30" s="213" t="s">
        <v>254</v>
      </c>
      <c r="E30" s="1371" t="s">
        <v>255</v>
      </c>
      <c r="F30" s="1371"/>
      <c r="G30" s="1371"/>
      <c r="H30" s="161" t="s">
        <v>225</v>
      </c>
      <c r="I30" s="226">
        <f>+'Metraj Özeti'!I30</f>
        <v>0</v>
      </c>
      <c r="J30" s="226">
        <f>+'Metraj Özeti'!J30</f>
        <v>0</v>
      </c>
      <c r="K30" s="226">
        <f>+'Metraj Özeti'!K30</f>
        <v>0</v>
      </c>
    </row>
    <row r="31" spans="1:11" ht="19.95" hidden="1" customHeight="1" x14ac:dyDescent="0.3">
      <c r="A31" s="262" t="s">
        <v>151</v>
      </c>
      <c r="C31" s="161">
        <v>16</v>
      </c>
      <c r="D31" s="161" t="s">
        <v>256</v>
      </c>
      <c r="E31" s="1371" t="s">
        <v>257</v>
      </c>
      <c r="F31" s="1371"/>
      <c r="G31" s="1371"/>
      <c r="H31" s="161" t="s">
        <v>228</v>
      </c>
      <c r="I31" s="226">
        <f>+'Metraj Özeti'!I31</f>
        <v>0</v>
      </c>
      <c r="J31" s="226">
        <f>+'Metraj Özeti'!J31</f>
        <v>0</v>
      </c>
      <c r="K31" s="226">
        <f>+'Metraj Özeti'!K31</f>
        <v>0</v>
      </c>
    </row>
    <row r="32" spans="1:11" ht="19.95" hidden="1" customHeight="1" x14ac:dyDescent="0.3">
      <c r="A32" s="262" t="s">
        <v>151</v>
      </c>
      <c r="C32" s="161">
        <v>17</v>
      </c>
      <c r="D32" s="161" t="s">
        <v>258</v>
      </c>
      <c r="E32" s="1371" t="s">
        <v>259</v>
      </c>
      <c r="F32" s="1371"/>
      <c r="G32" s="1371"/>
      <c r="H32" s="161" t="s">
        <v>228</v>
      </c>
      <c r="I32" s="226">
        <f>+'Metraj Özeti'!I32</f>
        <v>0</v>
      </c>
      <c r="J32" s="226">
        <f>+'Metraj Özeti'!J32</f>
        <v>0</v>
      </c>
      <c r="K32" s="226">
        <f>+'Metraj Özeti'!K32</f>
        <v>0</v>
      </c>
    </row>
    <row r="33" spans="1:11" ht="19.95" hidden="1" customHeight="1" x14ac:dyDescent="0.3">
      <c r="A33" s="262" t="s">
        <v>151</v>
      </c>
      <c r="C33" s="161">
        <v>18</v>
      </c>
      <c r="D33" s="161" t="s">
        <v>260</v>
      </c>
      <c r="E33" s="1371" t="s">
        <v>261</v>
      </c>
      <c r="F33" s="1371"/>
      <c r="G33" s="1371"/>
      <c r="H33" s="161" t="s">
        <v>262</v>
      </c>
      <c r="I33" s="226">
        <f>+'[2]Metraj Özeti'!AG33</f>
        <v>0</v>
      </c>
      <c r="J33" s="226">
        <f>+'[2]Metraj Özeti'!AH33</f>
        <v>0</v>
      </c>
      <c r="K33" s="226">
        <f>+'[2]Metraj Özeti'!AI33</f>
        <v>0</v>
      </c>
    </row>
    <row r="34" spans="1:11" ht="19.95" hidden="1" customHeight="1" x14ac:dyDescent="0.3">
      <c r="A34" s="262" t="s">
        <v>151</v>
      </c>
      <c r="C34" s="161">
        <v>18</v>
      </c>
      <c r="D34" s="161" t="s">
        <v>260</v>
      </c>
      <c r="E34" s="1371" t="s">
        <v>261</v>
      </c>
      <c r="F34" s="1371"/>
      <c r="G34" s="1371"/>
      <c r="H34" s="161" t="s">
        <v>262</v>
      </c>
      <c r="I34" s="226">
        <f>+'Metraj Özeti'!I34</f>
        <v>0</v>
      </c>
      <c r="J34" s="226">
        <f>+'Metraj Özeti'!J34</f>
        <v>0</v>
      </c>
      <c r="K34" s="226">
        <f>+'Metraj Özeti'!K34</f>
        <v>0</v>
      </c>
    </row>
    <row r="35" spans="1:11" ht="19.95" hidden="1" customHeight="1" x14ac:dyDescent="0.3">
      <c r="A35" s="262" t="s">
        <v>151</v>
      </c>
      <c r="C35" s="161">
        <v>19</v>
      </c>
      <c r="D35" s="161" t="s">
        <v>263</v>
      </c>
      <c r="E35" s="1371" t="s">
        <v>264</v>
      </c>
      <c r="F35" s="1371"/>
      <c r="G35" s="1371"/>
      <c r="H35" s="161" t="s">
        <v>262</v>
      </c>
      <c r="I35" s="226">
        <f>+'Metraj Özeti'!I35</f>
        <v>0</v>
      </c>
      <c r="J35" s="226">
        <f>+'Metraj Özeti'!J35</f>
        <v>0</v>
      </c>
      <c r="K35" s="226">
        <f>+'Metraj Özeti'!K35</f>
        <v>0</v>
      </c>
    </row>
    <row r="36" spans="1:11" ht="19.95" hidden="1" customHeight="1" x14ac:dyDescent="0.3">
      <c r="A36" s="262" t="s">
        <v>151</v>
      </c>
      <c r="C36" s="161">
        <v>20</v>
      </c>
      <c r="D36" s="161" t="s">
        <v>265</v>
      </c>
      <c r="E36" s="1371" t="s">
        <v>266</v>
      </c>
      <c r="F36" s="1371"/>
      <c r="G36" s="1371"/>
      <c r="H36" s="161" t="s">
        <v>225</v>
      </c>
      <c r="I36" s="226">
        <f>+'Metraj Özeti'!I36</f>
        <v>0</v>
      </c>
      <c r="J36" s="226">
        <f>+'Metraj Özeti'!J36</f>
        <v>0</v>
      </c>
      <c r="K36" s="226">
        <f>+'Metraj Özeti'!K36</f>
        <v>0</v>
      </c>
    </row>
    <row r="37" spans="1:11" ht="19.95" hidden="1" customHeight="1" x14ac:dyDescent="0.3">
      <c r="A37" s="262" t="s">
        <v>151</v>
      </c>
      <c r="C37" s="161">
        <v>21</v>
      </c>
      <c r="D37" s="161" t="s">
        <v>267</v>
      </c>
      <c r="E37" s="1371" t="s">
        <v>268</v>
      </c>
      <c r="F37" s="1371"/>
      <c r="G37" s="1371"/>
      <c r="H37" s="161" t="s">
        <v>225</v>
      </c>
      <c r="I37" s="226">
        <f>+'Metraj Özeti'!I37</f>
        <v>0</v>
      </c>
      <c r="J37" s="226">
        <f>+'Metraj Özeti'!J37</f>
        <v>0</v>
      </c>
      <c r="K37" s="226">
        <f>+'Metraj Özeti'!K37</f>
        <v>0</v>
      </c>
    </row>
    <row r="38" spans="1:11" ht="19.95" hidden="1" customHeight="1" x14ac:dyDescent="0.3">
      <c r="A38" s="262" t="s">
        <v>151</v>
      </c>
      <c r="C38" s="161">
        <v>22</v>
      </c>
      <c r="D38" s="161" t="s">
        <v>269</v>
      </c>
      <c r="E38" s="1371" t="s">
        <v>270</v>
      </c>
      <c r="F38" s="1371"/>
      <c r="G38" s="1371"/>
      <c r="H38" s="161" t="s">
        <v>225</v>
      </c>
      <c r="I38" s="226">
        <f>+'Metraj Özeti'!I38</f>
        <v>0</v>
      </c>
      <c r="J38" s="226">
        <f>+'Metraj Özeti'!J38</f>
        <v>0</v>
      </c>
      <c r="K38" s="226">
        <f>+'Metraj Özeti'!K38</f>
        <v>0</v>
      </c>
    </row>
    <row r="39" spans="1:11" ht="19.95" hidden="1" customHeight="1" x14ac:dyDescent="0.3">
      <c r="A39" s="262" t="s">
        <v>151</v>
      </c>
      <c r="C39" s="161">
        <v>23</v>
      </c>
      <c r="D39" s="213" t="s">
        <v>271</v>
      </c>
      <c r="E39" s="1371" t="s">
        <v>272</v>
      </c>
      <c r="F39" s="1371"/>
      <c r="G39" s="1371"/>
      <c r="H39" s="161" t="s">
        <v>202</v>
      </c>
      <c r="I39" s="226">
        <f>+'Metraj Özeti'!I39</f>
        <v>0</v>
      </c>
      <c r="J39" s="226">
        <f>+'Metraj Özeti'!J39</f>
        <v>0</v>
      </c>
      <c r="K39" s="226">
        <f>+'Metraj Özeti'!K39</f>
        <v>0</v>
      </c>
    </row>
    <row r="40" spans="1:11" ht="19.95" hidden="1" customHeight="1" x14ac:dyDescent="0.3">
      <c r="A40" s="262" t="s">
        <v>151</v>
      </c>
      <c r="C40" s="161">
        <v>24</v>
      </c>
      <c r="D40" s="161" t="s">
        <v>273</v>
      </c>
      <c r="E40" s="1371" t="s">
        <v>274</v>
      </c>
      <c r="F40" s="1371"/>
      <c r="G40" s="1371"/>
      <c r="H40" s="161" t="s">
        <v>225</v>
      </c>
      <c r="I40" s="226">
        <f>+'Metraj Özeti'!I40</f>
        <v>0</v>
      </c>
      <c r="J40" s="226">
        <f>+'Metraj Özeti'!J40</f>
        <v>0</v>
      </c>
      <c r="K40" s="226">
        <f>+'Metraj Özeti'!K40</f>
        <v>0</v>
      </c>
    </row>
    <row r="41" spans="1:11" ht="19.95" hidden="1" customHeight="1" x14ac:dyDescent="0.3">
      <c r="A41" s="262" t="s">
        <v>151</v>
      </c>
      <c r="C41" s="161">
        <v>25</v>
      </c>
      <c r="D41" s="161" t="s">
        <v>275</v>
      </c>
      <c r="E41" s="1371" t="s">
        <v>276</v>
      </c>
      <c r="F41" s="1371"/>
      <c r="G41" s="1371"/>
      <c r="H41" s="161" t="s">
        <v>225</v>
      </c>
      <c r="I41" s="226">
        <f>+'Metraj Özeti'!I41</f>
        <v>0</v>
      </c>
      <c r="J41" s="226">
        <f>+'Metraj Özeti'!J41</f>
        <v>0</v>
      </c>
      <c r="K41" s="226">
        <f>+'Metraj Özeti'!K41</f>
        <v>0</v>
      </c>
    </row>
    <row r="42" spans="1:11" ht="19.95" hidden="1" customHeight="1" x14ac:dyDescent="0.3">
      <c r="A42" s="262" t="s">
        <v>151</v>
      </c>
      <c r="C42" s="161">
        <v>26</v>
      </c>
      <c r="D42" s="161" t="s">
        <v>277</v>
      </c>
      <c r="E42" s="1371" t="s">
        <v>278</v>
      </c>
      <c r="F42" s="1371"/>
      <c r="G42" s="1371"/>
      <c r="H42" s="161" t="s">
        <v>225</v>
      </c>
      <c r="I42" s="226">
        <f>+'Metraj Özeti'!I42</f>
        <v>0</v>
      </c>
      <c r="J42" s="226">
        <f>+'Metraj Özeti'!J42</f>
        <v>0</v>
      </c>
      <c r="K42" s="226">
        <f>+'Metraj Özeti'!K42</f>
        <v>0</v>
      </c>
    </row>
    <row r="43" spans="1:11" ht="19.95" hidden="1" customHeight="1" x14ac:dyDescent="0.3">
      <c r="A43" s="262" t="s">
        <v>151</v>
      </c>
      <c r="C43" s="161">
        <v>27</v>
      </c>
      <c r="D43" s="161" t="s">
        <v>279</v>
      </c>
      <c r="E43" s="1371" t="s">
        <v>280</v>
      </c>
      <c r="F43" s="1371"/>
      <c r="G43" s="1371"/>
      <c r="H43" s="161" t="s">
        <v>225</v>
      </c>
      <c r="I43" s="226">
        <f>+'Metraj Özeti'!I43</f>
        <v>0</v>
      </c>
      <c r="J43" s="226">
        <f>+'Metraj Özeti'!J43</f>
        <v>0</v>
      </c>
      <c r="K43" s="226">
        <f>+'Metraj Özeti'!K43</f>
        <v>0</v>
      </c>
    </row>
    <row r="44" spans="1:11" ht="19.95" hidden="1" customHeight="1" x14ac:dyDescent="0.3">
      <c r="A44" s="262" t="s">
        <v>151</v>
      </c>
      <c r="C44" s="161">
        <v>28</v>
      </c>
      <c r="D44" s="161" t="s">
        <v>281</v>
      </c>
      <c r="E44" s="1371" t="s">
        <v>282</v>
      </c>
      <c r="F44" s="1371"/>
      <c r="G44" s="1371"/>
      <c r="H44" s="161" t="s">
        <v>225</v>
      </c>
      <c r="I44" s="226">
        <f>+'Metraj Özeti'!I44</f>
        <v>0</v>
      </c>
      <c r="J44" s="226">
        <f>+'Metraj Özeti'!J44</f>
        <v>0</v>
      </c>
      <c r="K44" s="226">
        <f>+'Metraj Özeti'!K44</f>
        <v>0</v>
      </c>
    </row>
    <row r="45" spans="1:11" ht="19.95" hidden="1" customHeight="1" x14ac:dyDescent="0.3">
      <c r="A45" s="262" t="s">
        <v>151</v>
      </c>
      <c r="C45" s="161">
        <v>29</v>
      </c>
      <c r="D45" s="161" t="s">
        <v>283</v>
      </c>
      <c r="E45" s="1371" t="s">
        <v>1162</v>
      </c>
      <c r="F45" s="1371"/>
      <c r="G45" s="1371"/>
      <c r="H45" s="161" t="s">
        <v>225</v>
      </c>
      <c r="I45" s="226">
        <f>+'Metraj Özeti'!I45</f>
        <v>0</v>
      </c>
      <c r="J45" s="226">
        <f>+'Metraj Özeti'!J45</f>
        <v>0</v>
      </c>
      <c r="K45" s="226">
        <f>+'Metraj Özeti'!K45</f>
        <v>0</v>
      </c>
    </row>
    <row r="46" spans="1:11" ht="19.95" hidden="1" customHeight="1" x14ac:dyDescent="0.3">
      <c r="A46" s="262" t="s">
        <v>151</v>
      </c>
      <c r="C46" s="161">
        <v>30</v>
      </c>
      <c r="D46" s="161" t="s">
        <v>284</v>
      </c>
      <c r="E46" s="1371" t="s">
        <v>285</v>
      </c>
      <c r="F46" s="1371"/>
      <c r="G46" s="1371"/>
      <c r="H46" s="161" t="s">
        <v>286</v>
      </c>
      <c r="I46" s="226">
        <f>+'Metraj Özeti'!I46</f>
        <v>0</v>
      </c>
      <c r="J46" s="226">
        <f>+'Metraj Özeti'!J46</f>
        <v>0</v>
      </c>
      <c r="K46" s="226">
        <f>+'Metraj Özeti'!K46</f>
        <v>0</v>
      </c>
    </row>
    <row r="47" spans="1:11" ht="19.95" hidden="1" customHeight="1" x14ac:dyDescent="0.3">
      <c r="A47" s="262" t="s">
        <v>151</v>
      </c>
      <c r="C47" s="161">
        <v>31</v>
      </c>
      <c r="D47" s="161" t="s">
        <v>287</v>
      </c>
      <c r="E47" s="1371" t="s">
        <v>288</v>
      </c>
      <c r="F47" s="1371"/>
      <c r="G47" s="1371"/>
      <c r="H47" s="161" t="s">
        <v>286</v>
      </c>
      <c r="I47" s="226">
        <f>+'Metraj Özeti'!I47</f>
        <v>0</v>
      </c>
      <c r="J47" s="226">
        <f>+'Metraj Özeti'!J47</f>
        <v>0</v>
      </c>
      <c r="K47" s="226">
        <f>+'Metraj Özeti'!K47</f>
        <v>0</v>
      </c>
    </row>
    <row r="48" spans="1:11" ht="19.95" hidden="1" customHeight="1" x14ac:dyDescent="0.3">
      <c r="A48" s="262" t="s">
        <v>151</v>
      </c>
      <c r="C48" s="161">
        <v>32</v>
      </c>
      <c r="D48" s="161" t="s">
        <v>289</v>
      </c>
      <c r="E48" s="1371" t="s">
        <v>290</v>
      </c>
      <c r="F48" s="1371"/>
      <c r="G48" s="1371"/>
      <c r="H48" s="161" t="s">
        <v>286</v>
      </c>
      <c r="I48" s="226">
        <f>+'Metraj Özeti'!I48</f>
        <v>0</v>
      </c>
      <c r="J48" s="226">
        <f>+'Metraj Özeti'!J48</f>
        <v>0</v>
      </c>
      <c r="K48" s="226">
        <f>+'Metraj Özeti'!K48</f>
        <v>0</v>
      </c>
    </row>
    <row r="49" spans="1:11" ht="19.95" hidden="1" customHeight="1" x14ac:dyDescent="0.3">
      <c r="A49" s="262" t="s">
        <v>151</v>
      </c>
      <c r="C49" s="161">
        <v>33</v>
      </c>
      <c r="D49" s="161" t="s">
        <v>291</v>
      </c>
      <c r="E49" s="1371" t="s">
        <v>292</v>
      </c>
      <c r="F49" s="1371"/>
      <c r="G49" s="1371"/>
      <c r="H49" s="161" t="s">
        <v>286</v>
      </c>
      <c r="I49" s="226">
        <f>+'Metraj Özeti'!I49</f>
        <v>0</v>
      </c>
      <c r="J49" s="226">
        <f>+'Metraj Özeti'!J49</f>
        <v>0</v>
      </c>
      <c r="K49" s="226">
        <f>+'Metraj Özeti'!K49</f>
        <v>0</v>
      </c>
    </row>
    <row r="50" spans="1:11" ht="19.95" hidden="1" customHeight="1" x14ac:dyDescent="0.3">
      <c r="A50" s="262" t="s">
        <v>151</v>
      </c>
      <c r="C50" s="161">
        <v>34</v>
      </c>
      <c r="D50" s="161" t="s">
        <v>293</v>
      </c>
      <c r="E50" s="1371" t="s">
        <v>294</v>
      </c>
      <c r="F50" s="1371"/>
      <c r="G50" s="1371"/>
      <c r="H50" s="161" t="s">
        <v>225</v>
      </c>
      <c r="I50" s="226">
        <f>+'Metraj Özeti'!I50</f>
        <v>0</v>
      </c>
      <c r="J50" s="226">
        <f>+'Metraj Özeti'!J50</f>
        <v>0</v>
      </c>
      <c r="K50" s="226">
        <f>+'Metraj Özeti'!K50</f>
        <v>0</v>
      </c>
    </row>
    <row r="51" spans="1:11" ht="19.95" hidden="1" customHeight="1" x14ac:dyDescent="0.3">
      <c r="A51" s="262" t="s">
        <v>151</v>
      </c>
      <c r="C51" s="161">
        <v>35</v>
      </c>
      <c r="D51" s="161" t="s">
        <v>295</v>
      </c>
      <c r="E51" s="1371" t="s">
        <v>296</v>
      </c>
      <c r="F51" s="1371"/>
      <c r="G51" s="1371"/>
      <c r="H51" s="161" t="s">
        <v>225</v>
      </c>
      <c r="I51" s="226">
        <f>+'Metraj Özeti'!I51</f>
        <v>0</v>
      </c>
      <c r="J51" s="226">
        <f>+'Metraj Özeti'!J51</f>
        <v>0</v>
      </c>
      <c r="K51" s="226">
        <f>+'Metraj Özeti'!K51</f>
        <v>0</v>
      </c>
    </row>
    <row r="52" spans="1:11" ht="19.95" hidden="1" customHeight="1" x14ac:dyDescent="0.3">
      <c r="A52" s="262" t="s">
        <v>151</v>
      </c>
      <c r="C52" s="161">
        <v>36</v>
      </c>
      <c r="D52" s="161" t="s">
        <v>297</v>
      </c>
      <c r="E52" s="1371" t="s">
        <v>298</v>
      </c>
      <c r="F52" s="1371"/>
      <c r="G52" s="1371"/>
      <c r="H52" s="161" t="s">
        <v>225</v>
      </c>
      <c r="I52" s="226">
        <f>+'Metraj Özeti'!I52</f>
        <v>0</v>
      </c>
      <c r="J52" s="226">
        <f>+'Metraj Özeti'!J52</f>
        <v>0</v>
      </c>
      <c r="K52" s="226">
        <f>+'Metraj Özeti'!K52</f>
        <v>0</v>
      </c>
    </row>
    <row r="53" spans="1:11" ht="19.95" hidden="1" customHeight="1" x14ac:dyDescent="0.3">
      <c r="A53" s="262" t="s">
        <v>151</v>
      </c>
      <c r="C53" s="161">
        <v>37</v>
      </c>
      <c r="D53" s="161" t="s">
        <v>299</v>
      </c>
      <c r="E53" s="1371" t="s">
        <v>300</v>
      </c>
      <c r="F53" s="1371"/>
      <c r="G53" s="1371"/>
      <c r="H53" s="161" t="s">
        <v>225</v>
      </c>
      <c r="I53" s="226">
        <f>+'Metraj Özeti'!I53</f>
        <v>0</v>
      </c>
      <c r="J53" s="226">
        <f>+'Metraj Özeti'!J53</f>
        <v>0</v>
      </c>
      <c r="K53" s="226">
        <f>+'Metraj Özeti'!K53</f>
        <v>0</v>
      </c>
    </row>
    <row r="54" spans="1:11" s="793" customFormat="1" ht="25.05" customHeight="1" x14ac:dyDescent="0.3">
      <c r="A54" s="792" t="s">
        <v>151</v>
      </c>
      <c r="C54" s="855">
        <v>38</v>
      </c>
      <c r="D54" s="855" t="s">
        <v>301</v>
      </c>
      <c r="E54" s="1345" t="s">
        <v>302</v>
      </c>
      <c r="F54" s="1345"/>
      <c r="G54" s="1345"/>
      <c r="H54" s="855" t="s">
        <v>286</v>
      </c>
      <c r="I54" s="854">
        <f>+'Metraj Özeti'!I54</f>
        <v>0.2455</v>
      </c>
      <c r="J54" s="854">
        <f>+'Metraj Özeti'!J54</f>
        <v>0</v>
      </c>
      <c r="K54" s="854">
        <f>+'Metraj Özeti'!K54</f>
        <v>0.2455</v>
      </c>
    </row>
    <row r="55" spans="1:11" s="793" customFormat="1" ht="25.05" customHeight="1" x14ac:dyDescent="0.3">
      <c r="A55" s="792" t="s">
        <v>151</v>
      </c>
      <c r="C55" s="855">
        <v>39</v>
      </c>
      <c r="D55" s="855" t="s">
        <v>303</v>
      </c>
      <c r="E55" s="1345" t="s">
        <v>304</v>
      </c>
      <c r="F55" s="1345"/>
      <c r="G55" s="1345"/>
      <c r="H55" s="855" t="s">
        <v>286</v>
      </c>
      <c r="I55" s="854">
        <f>+'Metraj Özeti'!I55</f>
        <v>0.11950000000000001</v>
      </c>
      <c r="J55" s="854">
        <f>+'Metraj Özeti'!J55</f>
        <v>0</v>
      </c>
      <c r="K55" s="854">
        <f>+'Metraj Özeti'!K55</f>
        <v>0.11950000000000001</v>
      </c>
    </row>
    <row r="56" spans="1:11" s="793" customFormat="1" ht="25.05" customHeight="1" x14ac:dyDescent="0.3">
      <c r="A56" s="792" t="s">
        <v>151</v>
      </c>
      <c r="C56" s="855">
        <v>40</v>
      </c>
      <c r="D56" s="855" t="s">
        <v>305</v>
      </c>
      <c r="E56" s="1345" t="s">
        <v>306</v>
      </c>
      <c r="F56" s="1345"/>
      <c r="G56" s="1345"/>
      <c r="H56" s="855" t="s">
        <v>286</v>
      </c>
      <c r="I56" s="854">
        <f>+'Metraj Özeti'!I56</f>
        <v>0.2</v>
      </c>
      <c r="J56" s="854">
        <f>+'Metraj Özeti'!J56</f>
        <v>0</v>
      </c>
      <c r="K56" s="854">
        <f>+'Metraj Özeti'!K56</f>
        <v>0.2</v>
      </c>
    </row>
    <row r="57" spans="1:11" s="793" customFormat="1" ht="25.05" customHeight="1" x14ac:dyDescent="0.3">
      <c r="A57" s="792" t="s">
        <v>151</v>
      </c>
      <c r="C57" s="855">
        <v>41</v>
      </c>
      <c r="D57" s="855" t="s">
        <v>307</v>
      </c>
      <c r="E57" s="1345" t="s">
        <v>308</v>
      </c>
      <c r="F57" s="1345"/>
      <c r="G57" s="1345"/>
      <c r="H57" s="855" t="s">
        <v>286</v>
      </c>
      <c r="I57" s="854">
        <f>+'Metraj Özeti'!I57</f>
        <v>0.12550000000000003</v>
      </c>
      <c r="J57" s="854">
        <f>+'Metraj Özeti'!J57</f>
        <v>0</v>
      </c>
      <c r="K57" s="854">
        <f>+'Metraj Özeti'!K57</f>
        <v>0.12550000000000003</v>
      </c>
    </row>
    <row r="58" spans="1:11" s="793" customFormat="1" ht="25.05" customHeight="1" x14ac:dyDescent="0.3">
      <c r="A58" s="792" t="s">
        <v>151</v>
      </c>
      <c r="C58" s="855">
        <v>42</v>
      </c>
      <c r="D58" s="855" t="s">
        <v>309</v>
      </c>
      <c r="E58" s="1345" t="s">
        <v>310</v>
      </c>
      <c r="F58" s="1345"/>
      <c r="G58" s="1345"/>
      <c r="H58" s="855" t="s">
        <v>286</v>
      </c>
      <c r="I58" s="854">
        <f>+'Metraj Özeti'!I58</f>
        <v>0.11950000000000001</v>
      </c>
      <c r="J58" s="854">
        <f>+'Metraj Özeti'!J58</f>
        <v>0</v>
      </c>
      <c r="K58" s="854">
        <f>+'Metraj Özeti'!K58</f>
        <v>0.11950000000000001</v>
      </c>
    </row>
    <row r="59" spans="1:11" s="793" customFormat="1" ht="25.05" customHeight="1" x14ac:dyDescent="0.3">
      <c r="A59" s="792" t="s">
        <v>151</v>
      </c>
      <c r="C59" s="855">
        <v>43</v>
      </c>
      <c r="D59" s="855" t="s">
        <v>311</v>
      </c>
      <c r="E59" s="1345" t="s">
        <v>312</v>
      </c>
      <c r="F59" s="1345"/>
      <c r="G59" s="1345"/>
      <c r="H59" s="855" t="s">
        <v>286</v>
      </c>
      <c r="I59" s="854">
        <f>+'Metraj Özeti'!I59</f>
        <v>9.1899999999999996E-2</v>
      </c>
      <c r="J59" s="854">
        <f>+'Metraj Özeti'!J59</f>
        <v>0</v>
      </c>
      <c r="K59" s="854">
        <f>+'Metraj Özeti'!K59</f>
        <v>9.1899999999999996E-2</v>
      </c>
    </row>
    <row r="60" spans="1:11" ht="19.95" hidden="1" customHeight="1" x14ac:dyDescent="0.3">
      <c r="A60" s="262" t="s">
        <v>151</v>
      </c>
      <c r="C60" s="161">
        <v>44</v>
      </c>
      <c r="D60" s="161" t="s">
        <v>313</v>
      </c>
      <c r="E60" s="1371" t="s">
        <v>314</v>
      </c>
      <c r="F60" s="1371"/>
      <c r="G60" s="1371"/>
      <c r="H60" s="161" t="s">
        <v>286</v>
      </c>
      <c r="I60" s="226">
        <f>+'Metraj Özeti'!I60</f>
        <v>0</v>
      </c>
      <c r="J60" s="226">
        <f>+'Metraj Özeti'!J60</f>
        <v>0</v>
      </c>
      <c r="K60" s="226">
        <f>+'Metraj Özeti'!K60</f>
        <v>0</v>
      </c>
    </row>
    <row r="61" spans="1:11" ht="19.95" hidden="1" customHeight="1" x14ac:dyDescent="0.3">
      <c r="A61" s="262" t="s">
        <v>151</v>
      </c>
      <c r="C61" s="161">
        <v>45</v>
      </c>
      <c r="D61" s="161" t="s">
        <v>315</v>
      </c>
      <c r="E61" s="1371" t="s">
        <v>316</v>
      </c>
      <c r="F61" s="1371"/>
      <c r="G61" s="1371"/>
      <c r="H61" s="161" t="s">
        <v>286</v>
      </c>
      <c r="I61" s="226">
        <f>+'Metraj Özeti'!I61</f>
        <v>0</v>
      </c>
      <c r="J61" s="226">
        <f>+'Metraj Özeti'!J61</f>
        <v>0</v>
      </c>
      <c r="K61" s="226">
        <f>+'Metraj Özeti'!K61</f>
        <v>0</v>
      </c>
    </row>
    <row r="62" spans="1:11" ht="19.95" hidden="1" customHeight="1" x14ac:dyDescent="0.3">
      <c r="A62" s="262" t="s">
        <v>151</v>
      </c>
      <c r="C62" s="161">
        <v>46</v>
      </c>
      <c r="D62" s="161" t="s">
        <v>317</v>
      </c>
      <c r="E62" s="1371" t="s">
        <v>318</v>
      </c>
      <c r="F62" s="1371"/>
      <c r="G62" s="1371"/>
      <c r="H62" s="161" t="s">
        <v>286</v>
      </c>
      <c r="I62" s="226">
        <f>+'Metraj Özeti'!I62</f>
        <v>0</v>
      </c>
      <c r="J62" s="226">
        <f>+'Metraj Özeti'!J62</f>
        <v>0</v>
      </c>
      <c r="K62" s="226">
        <f>+'Metraj Özeti'!K62</f>
        <v>0</v>
      </c>
    </row>
    <row r="63" spans="1:11" ht="19.95" hidden="1" customHeight="1" x14ac:dyDescent="0.3">
      <c r="A63" s="262" t="s">
        <v>151</v>
      </c>
      <c r="C63" s="161">
        <v>47</v>
      </c>
      <c r="D63" s="161" t="s">
        <v>319</v>
      </c>
      <c r="E63" s="1371" t="s">
        <v>320</v>
      </c>
      <c r="F63" s="1371"/>
      <c r="G63" s="1371"/>
      <c r="H63" s="161" t="s">
        <v>286</v>
      </c>
      <c r="I63" s="226">
        <f>+'Metraj Özeti'!I63</f>
        <v>0</v>
      </c>
      <c r="J63" s="226">
        <f>+'Metraj Özeti'!J63</f>
        <v>0</v>
      </c>
      <c r="K63" s="226">
        <f>+'Metraj Özeti'!K63</f>
        <v>0</v>
      </c>
    </row>
    <row r="64" spans="1:11" ht="19.95" hidden="1" customHeight="1" x14ac:dyDescent="0.3">
      <c r="A64" s="262" t="s">
        <v>151</v>
      </c>
      <c r="C64" s="658">
        <v>48</v>
      </c>
      <c r="D64" s="658" t="s">
        <v>321</v>
      </c>
      <c r="E64" s="1372" t="s">
        <v>322</v>
      </c>
      <c r="F64" s="1372"/>
      <c r="G64" s="1372"/>
      <c r="H64" s="658" t="s">
        <v>286</v>
      </c>
      <c r="I64" s="226">
        <f>+'Metraj Özeti'!I64</f>
        <v>0</v>
      </c>
      <c r="J64" s="226">
        <f>+'Metraj Özeti'!J64</f>
        <v>0</v>
      </c>
      <c r="K64" s="226">
        <f>+'Metraj Özeti'!K64</f>
        <v>0</v>
      </c>
    </row>
    <row r="65" spans="1:13" s="799" customFormat="1" ht="25.05" customHeight="1" x14ac:dyDescent="0.35">
      <c r="A65" s="792">
        <v>1</v>
      </c>
      <c r="B65" s="793"/>
      <c r="C65" s="844"/>
      <c r="D65" s="845" t="s">
        <v>1225</v>
      </c>
      <c r="E65" s="846"/>
      <c r="F65" s="846"/>
      <c r="G65" s="846"/>
      <c r="H65" s="846"/>
      <c r="I65" s="863"/>
      <c r="J65" s="847"/>
      <c r="K65" s="894"/>
      <c r="L65" s="793"/>
      <c r="M65" s="793"/>
    </row>
    <row r="66" spans="1:13" s="799" customFormat="1" ht="25.05" customHeight="1" x14ac:dyDescent="0.35">
      <c r="A66" s="792" t="s">
        <v>152</v>
      </c>
      <c r="B66" s="793"/>
      <c r="C66" s="849">
        <v>49</v>
      </c>
      <c r="D66" s="850" t="s">
        <v>323</v>
      </c>
      <c r="E66" s="1346" t="s">
        <v>324</v>
      </c>
      <c r="F66" s="1346"/>
      <c r="G66" s="1346"/>
      <c r="H66" s="849" t="s">
        <v>228</v>
      </c>
      <c r="I66" s="854">
        <f>+'Metraj Özeti'!I66</f>
        <v>53746.188000000002</v>
      </c>
      <c r="J66" s="854" t="e">
        <f>+'Metraj Özeti'!J66</f>
        <v>#REF!</v>
      </c>
      <c r="K66" s="854" t="e">
        <f>+'Metraj Özeti'!K66</f>
        <v>#REF!</v>
      </c>
      <c r="L66" s="793"/>
      <c r="M66" s="793"/>
    </row>
    <row r="67" spans="1:13" customFormat="1" ht="19.95" hidden="1" customHeight="1" x14ac:dyDescent="0.3">
      <c r="A67" s="262" t="s">
        <v>152</v>
      </c>
      <c r="B67" s="11"/>
      <c r="C67" s="161">
        <v>50</v>
      </c>
      <c r="D67" s="161" t="s">
        <v>325</v>
      </c>
      <c r="E67" s="1371" t="s">
        <v>326</v>
      </c>
      <c r="F67" s="1371"/>
      <c r="G67" s="1371"/>
      <c r="H67" s="161" t="s">
        <v>228</v>
      </c>
      <c r="I67" s="226">
        <f>+'Metraj Özeti'!I67</f>
        <v>0</v>
      </c>
      <c r="J67" s="226" t="e">
        <f>+'Metraj Özeti'!J67</f>
        <v>#REF!</v>
      </c>
      <c r="K67" s="226" t="e">
        <f>+'Metraj Özeti'!K67</f>
        <v>#REF!</v>
      </c>
      <c r="L67" s="11"/>
      <c r="M67" s="11"/>
    </row>
    <row r="68" spans="1:13" customFormat="1" ht="19.95" hidden="1" customHeight="1" x14ac:dyDescent="0.3">
      <c r="A68" s="262" t="s">
        <v>152</v>
      </c>
      <c r="B68" s="11"/>
      <c r="C68" s="161">
        <v>51</v>
      </c>
      <c r="D68" s="161" t="s">
        <v>327</v>
      </c>
      <c r="E68" s="1371" t="s">
        <v>238</v>
      </c>
      <c r="F68" s="1371"/>
      <c r="G68" s="1371"/>
      <c r="H68" s="161" t="s">
        <v>228</v>
      </c>
      <c r="I68" s="226">
        <f>+'Metraj Özeti'!I68</f>
        <v>0</v>
      </c>
      <c r="J68" s="226" t="e">
        <f>+'Metraj Özeti'!J68</f>
        <v>#REF!</v>
      </c>
      <c r="K68" s="226" t="e">
        <f>+'Metraj Özeti'!K68</f>
        <v>#REF!</v>
      </c>
      <c r="L68" s="11"/>
      <c r="M68" s="11"/>
    </row>
    <row r="69" spans="1:13" s="799" customFormat="1" ht="25.05" customHeight="1" x14ac:dyDescent="0.35">
      <c r="A69" s="792" t="s">
        <v>152</v>
      </c>
      <c r="B69" s="793"/>
      <c r="C69" s="855">
        <v>52</v>
      </c>
      <c r="D69" s="858" t="s">
        <v>328</v>
      </c>
      <c r="E69" s="1345" t="s">
        <v>329</v>
      </c>
      <c r="F69" s="1345"/>
      <c r="G69" s="1345"/>
      <c r="H69" s="855" t="s">
        <v>228</v>
      </c>
      <c r="I69" s="854">
        <f>+'Metraj Özeti'!I69</f>
        <v>11287.989999999998</v>
      </c>
      <c r="J69" s="854" t="e">
        <f>+'Metraj Özeti'!J69</f>
        <v>#REF!</v>
      </c>
      <c r="K69" s="854" t="e">
        <f>+'Metraj Özeti'!K69</f>
        <v>#REF!</v>
      </c>
      <c r="L69" s="793"/>
      <c r="M69" s="793"/>
    </row>
    <row r="70" spans="1:13" customFormat="1" ht="19.95" hidden="1" customHeight="1" x14ac:dyDescent="0.3">
      <c r="A70" s="262" t="s">
        <v>152</v>
      </c>
      <c r="B70" s="11"/>
      <c r="C70" s="161">
        <v>53</v>
      </c>
      <c r="D70" s="161" t="s">
        <v>330</v>
      </c>
      <c r="E70" s="1371" t="s">
        <v>331</v>
      </c>
      <c r="F70" s="1371"/>
      <c r="G70" s="1371"/>
      <c r="H70" s="161" t="s">
        <v>202</v>
      </c>
      <c r="I70" s="226">
        <f>+'Metraj Özeti'!I70</f>
        <v>0</v>
      </c>
      <c r="J70" s="226" t="e">
        <f>+'Metraj Özeti'!J70</f>
        <v>#REF!</v>
      </c>
      <c r="K70" s="226" t="e">
        <f>+'Metraj Özeti'!K70</f>
        <v>#REF!</v>
      </c>
      <c r="L70" s="11"/>
      <c r="M70" s="11"/>
    </row>
    <row r="71" spans="1:13" ht="19.95" hidden="1" customHeight="1" x14ac:dyDescent="0.3">
      <c r="A71" s="262" t="s">
        <v>152</v>
      </c>
      <c r="C71" s="161">
        <v>54</v>
      </c>
      <c r="D71" s="161" t="s">
        <v>332</v>
      </c>
      <c r="E71" s="1371" t="s">
        <v>333</v>
      </c>
      <c r="F71" s="1371"/>
      <c r="G71" s="1371"/>
      <c r="H71" s="161" t="s">
        <v>202</v>
      </c>
      <c r="I71" s="226">
        <f>+'Metraj Özeti'!I71</f>
        <v>0</v>
      </c>
      <c r="J71" s="226" t="e">
        <f>+'Metraj Özeti'!J71</f>
        <v>#REF!</v>
      </c>
      <c r="K71" s="226" t="e">
        <f>+'Metraj Özeti'!K71</f>
        <v>#REF!</v>
      </c>
    </row>
    <row r="72" spans="1:13" ht="19.95" hidden="1" customHeight="1" x14ac:dyDescent="0.3">
      <c r="A72" s="262" t="s">
        <v>152</v>
      </c>
      <c r="C72" s="161">
        <v>55</v>
      </c>
      <c r="D72" s="161" t="s">
        <v>334</v>
      </c>
      <c r="E72" s="1371" t="s">
        <v>246</v>
      </c>
      <c r="F72" s="1371"/>
      <c r="G72" s="1371"/>
      <c r="H72" s="161" t="s">
        <v>247</v>
      </c>
      <c r="I72" s="226">
        <f>+'Metraj Özeti'!I72</f>
        <v>0</v>
      </c>
      <c r="J72" s="226" t="e">
        <f>+'Metraj Özeti'!J72</f>
        <v>#REF!</v>
      </c>
      <c r="K72" s="226" t="e">
        <f>+'Metraj Özeti'!K72</f>
        <v>#REF!</v>
      </c>
    </row>
    <row r="73" spans="1:13" s="793" customFormat="1" ht="25.05" customHeight="1" x14ac:dyDescent="0.3">
      <c r="A73" s="792" t="s">
        <v>152</v>
      </c>
      <c r="C73" s="855">
        <v>56</v>
      </c>
      <c r="D73" s="855" t="s">
        <v>335</v>
      </c>
      <c r="E73" s="1345" t="s">
        <v>249</v>
      </c>
      <c r="F73" s="1345"/>
      <c r="G73" s="1345"/>
      <c r="H73" s="855" t="s">
        <v>247</v>
      </c>
      <c r="I73" s="854">
        <f>+'Metraj Özeti'!I73</f>
        <v>2492</v>
      </c>
      <c r="J73" s="854" t="e">
        <f>+'Metraj Özeti'!J73</f>
        <v>#REF!</v>
      </c>
      <c r="K73" s="854" t="e">
        <f>+'Metraj Özeti'!K73</f>
        <v>#REF!</v>
      </c>
    </row>
    <row r="74" spans="1:13" ht="19.95" hidden="1" customHeight="1" x14ac:dyDescent="0.3">
      <c r="A74" s="262" t="s">
        <v>152</v>
      </c>
      <c r="C74" s="161">
        <v>57</v>
      </c>
      <c r="D74" s="161" t="s">
        <v>336</v>
      </c>
      <c r="E74" s="1371" t="s">
        <v>251</v>
      </c>
      <c r="F74" s="1371"/>
      <c r="G74" s="1371"/>
      <c r="H74" s="161" t="s">
        <v>247</v>
      </c>
      <c r="I74" s="226">
        <f>+'Metraj Özeti'!I74</f>
        <v>0</v>
      </c>
      <c r="J74" s="226" t="e">
        <f>+'Metraj Özeti'!J74</f>
        <v>#REF!</v>
      </c>
      <c r="K74" s="226" t="e">
        <f>+'Metraj Özeti'!K74</f>
        <v>#REF!</v>
      </c>
    </row>
    <row r="75" spans="1:13" s="793" customFormat="1" ht="25.05" customHeight="1" x14ac:dyDescent="0.3">
      <c r="A75" s="792" t="s">
        <v>152</v>
      </c>
      <c r="C75" s="855">
        <v>58</v>
      </c>
      <c r="D75" s="855" t="s">
        <v>337</v>
      </c>
      <c r="E75" s="1345" t="s">
        <v>253</v>
      </c>
      <c r="F75" s="1345"/>
      <c r="G75" s="1345"/>
      <c r="H75" s="855" t="s">
        <v>247</v>
      </c>
      <c r="I75" s="854">
        <f>+'Metraj Özeti'!I75</f>
        <v>2074</v>
      </c>
      <c r="J75" s="854" t="e">
        <f>+'Metraj Özeti'!J75</f>
        <v>#REF!</v>
      </c>
      <c r="K75" s="854" t="e">
        <f>+'Metraj Özeti'!K75</f>
        <v>#REF!</v>
      </c>
    </row>
    <row r="76" spans="1:13" s="793" customFormat="1" ht="25.05" customHeight="1" x14ac:dyDescent="0.3">
      <c r="A76" s="792" t="s">
        <v>152</v>
      </c>
      <c r="C76" s="855">
        <v>59</v>
      </c>
      <c r="D76" s="855" t="s">
        <v>338</v>
      </c>
      <c r="E76" s="1345" t="s">
        <v>339</v>
      </c>
      <c r="F76" s="1345"/>
      <c r="G76" s="1345"/>
      <c r="H76" s="855" t="s">
        <v>247</v>
      </c>
      <c r="I76" s="854">
        <f>+'Metraj Özeti'!I76</f>
        <v>9774</v>
      </c>
      <c r="J76" s="854" t="e">
        <f>+'Metraj Özeti'!J76</f>
        <v>#REF!</v>
      </c>
      <c r="K76" s="854" t="e">
        <f>+'Metraj Özeti'!K76</f>
        <v>#REF!</v>
      </c>
    </row>
    <row r="77" spans="1:13" s="793" customFormat="1" ht="25.05" customHeight="1" x14ac:dyDescent="0.3">
      <c r="A77" s="792" t="s">
        <v>152</v>
      </c>
      <c r="C77" s="855">
        <v>60</v>
      </c>
      <c r="D77" s="855" t="s">
        <v>340</v>
      </c>
      <c r="E77" s="1345" t="s">
        <v>242</v>
      </c>
      <c r="F77" s="1345"/>
      <c r="G77" s="1345"/>
      <c r="H77" s="855" t="s">
        <v>202</v>
      </c>
      <c r="I77" s="854">
        <f>+'Metraj Özeti'!I77</f>
        <v>37566</v>
      </c>
      <c r="J77" s="854" t="e">
        <f>+'Metraj Özeti'!J77</f>
        <v>#REF!</v>
      </c>
      <c r="K77" s="854" t="e">
        <f>+'Metraj Özeti'!K77</f>
        <v>#REF!</v>
      </c>
    </row>
    <row r="78" spans="1:13" ht="19.95" hidden="1" customHeight="1" x14ac:dyDescent="0.3">
      <c r="A78" s="262" t="s">
        <v>152</v>
      </c>
      <c r="C78" s="161">
        <v>61</v>
      </c>
      <c r="D78" s="161" t="s">
        <v>341</v>
      </c>
      <c r="E78" s="1371" t="s">
        <v>244</v>
      </c>
      <c r="F78" s="1371"/>
      <c r="G78" s="1371"/>
      <c r="H78" s="161" t="s">
        <v>202</v>
      </c>
      <c r="I78" s="226">
        <f>+'Metraj Özeti'!I78</f>
        <v>0</v>
      </c>
      <c r="J78" s="226" t="e">
        <f>+'Metraj Özeti'!J78</f>
        <v>#REF!</v>
      </c>
      <c r="K78" s="226" t="e">
        <f>+'Metraj Özeti'!K78</f>
        <v>#REF!</v>
      </c>
    </row>
    <row r="79" spans="1:13" s="793" customFormat="1" ht="25.05" customHeight="1" x14ac:dyDescent="0.3">
      <c r="A79" s="792" t="s">
        <v>152</v>
      </c>
      <c r="C79" s="855">
        <v>62</v>
      </c>
      <c r="D79" s="858" t="s">
        <v>342</v>
      </c>
      <c r="E79" s="1345" t="s">
        <v>343</v>
      </c>
      <c r="F79" s="1345"/>
      <c r="G79" s="1345"/>
      <c r="H79" s="855" t="s">
        <v>262</v>
      </c>
      <c r="I79" s="854">
        <f>+'Metraj Özeti'!I79</f>
        <v>2244.4250000000002</v>
      </c>
      <c r="J79" s="854" t="e">
        <f>+'Metraj Özeti'!J79</f>
        <v>#REF!</v>
      </c>
      <c r="K79" s="854" t="e">
        <f>+'Metraj Özeti'!K79</f>
        <v>#REF!</v>
      </c>
    </row>
    <row r="80" spans="1:13" s="793" customFormat="1" ht="25.05" customHeight="1" x14ac:dyDescent="0.3">
      <c r="A80" s="792" t="s">
        <v>152</v>
      </c>
      <c r="C80" s="855">
        <v>63</v>
      </c>
      <c r="D80" s="858" t="s">
        <v>344</v>
      </c>
      <c r="E80" s="1345" t="s">
        <v>345</v>
      </c>
      <c r="F80" s="1345"/>
      <c r="G80" s="1345"/>
      <c r="H80" s="855" t="s">
        <v>202</v>
      </c>
      <c r="I80" s="854">
        <f>+'Metraj Özeti'!I80</f>
        <v>95616</v>
      </c>
      <c r="J80" s="854" t="e">
        <f>+'Metraj Özeti'!J80</f>
        <v>#REF!</v>
      </c>
      <c r="K80" s="854" t="e">
        <f>+'Metraj Özeti'!K80</f>
        <v>#REF!</v>
      </c>
    </row>
    <row r="81" spans="1:13" s="793" customFormat="1" ht="25.05" customHeight="1" x14ac:dyDescent="0.3">
      <c r="A81" s="792" t="s">
        <v>152</v>
      </c>
      <c r="C81" s="855">
        <v>64</v>
      </c>
      <c r="D81" s="855" t="s">
        <v>346</v>
      </c>
      <c r="E81" s="1345" t="s">
        <v>347</v>
      </c>
      <c r="F81" s="1345"/>
      <c r="G81" s="1345"/>
      <c r="H81" s="855" t="s">
        <v>225</v>
      </c>
      <c r="I81" s="854">
        <f>+'Metraj Özeti'!I81</f>
        <v>5086.1019000000106</v>
      </c>
      <c r="J81" s="854" t="e">
        <f>+'Metraj Özeti'!J81</f>
        <v>#REF!</v>
      </c>
      <c r="K81" s="854" t="e">
        <f>+'Metraj Özeti'!K81</f>
        <v>#REF!</v>
      </c>
    </row>
    <row r="82" spans="1:13" s="793" customFormat="1" ht="25.05" customHeight="1" x14ac:dyDescent="0.3">
      <c r="A82" s="792" t="s">
        <v>152</v>
      </c>
      <c r="C82" s="855">
        <v>65</v>
      </c>
      <c r="D82" s="855" t="s">
        <v>348</v>
      </c>
      <c r="E82" s="1345" t="s">
        <v>349</v>
      </c>
      <c r="F82" s="1345"/>
      <c r="G82" s="1345"/>
      <c r="H82" s="855" t="s">
        <v>225</v>
      </c>
      <c r="I82" s="854">
        <f>+'Metraj Özeti'!I82</f>
        <v>2929.7649000000056</v>
      </c>
      <c r="J82" s="854" t="e">
        <f>+'Metraj Özeti'!J82</f>
        <v>#REF!</v>
      </c>
      <c r="K82" s="854" t="e">
        <f>+'Metraj Özeti'!K82</f>
        <v>#REF!</v>
      </c>
    </row>
    <row r="83" spans="1:13" s="793" customFormat="1" ht="25.05" customHeight="1" x14ac:dyDescent="0.3">
      <c r="A83" s="792" t="s">
        <v>152</v>
      </c>
      <c r="C83" s="855">
        <v>66</v>
      </c>
      <c r="D83" s="858" t="s">
        <v>350</v>
      </c>
      <c r="E83" s="1345" t="s">
        <v>351</v>
      </c>
      <c r="F83" s="1345"/>
      <c r="G83" s="1345"/>
      <c r="H83" s="855" t="s">
        <v>202</v>
      </c>
      <c r="I83" s="854">
        <f>+'Metraj Özeti'!I83</f>
        <v>938.72700000000123</v>
      </c>
      <c r="J83" s="854" t="e">
        <f>+'Metraj Özeti'!J83</f>
        <v>#REF!</v>
      </c>
      <c r="K83" s="854" t="e">
        <f>+'Metraj Özeti'!K83</f>
        <v>#REF!</v>
      </c>
    </row>
    <row r="84" spans="1:13" ht="19.95" hidden="1" customHeight="1" x14ac:dyDescent="0.3">
      <c r="A84" s="262" t="s">
        <v>152</v>
      </c>
      <c r="C84" s="161">
        <v>67</v>
      </c>
      <c r="D84" s="161" t="s">
        <v>352</v>
      </c>
      <c r="E84" s="1371" t="s">
        <v>353</v>
      </c>
      <c r="F84" s="1371"/>
      <c r="G84" s="1371"/>
      <c r="H84" s="161" t="s">
        <v>225</v>
      </c>
      <c r="I84" s="226">
        <f>+'Metraj Özeti'!I84</f>
        <v>0</v>
      </c>
      <c r="J84" s="226" t="e">
        <f>+'Metraj Özeti'!J84</f>
        <v>#REF!</v>
      </c>
      <c r="K84" s="226" t="e">
        <f>+'Metraj Özeti'!K84</f>
        <v>#REF!</v>
      </c>
    </row>
    <row r="85" spans="1:13" ht="19.95" hidden="1" customHeight="1" x14ac:dyDescent="0.3">
      <c r="A85" s="262" t="s">
        <v>152</v>
      </c>
      <c r="C85" s="161">
        <v>68</v>
      </c>
      <c r="D85" s="161" t="s">
        <v>354</v>
      </c>
      <c r="E85" s="1371" t="s">
        <v>355</v>
      </c>
      <c r="F85" s="1371"/>
      <c r="G85" s="1371"/>
      <c r="H85" s="161" t="s">
        <v>225</v>
      </c>
      <c r="I85" s="226">
        <f>+'Metraj Özeti'!I85</f>
        <v>0</v>
      </c>
      <c r="J85" s="226" t="e">
        <f>+'Metraj Özeti'!J85</f>
        <v>#REF!</v>
      </c>
      <c r="K85" s="226" t="e">
        <f>+'Metraj Özeti'!K85</f>
        <v>#REF!</v>
      </c>
    </row>
    <row r="86" spans="1:13" s="793" customFormat="1" ht="25.05" customHeight="1" x14ac:dyDescent="0.3">
      <c r="A86" s="792" t="s">
        <v>152</v>
      </c>
      <c r="C86" s="855">
        <v>69</v>
      </c>
      <c r="D86" s="855" t="s">
        <v>356</v>
      </c>
      <c r="E86" s="1345" t="s">
        <v>357</v>
      </c>
      <c r="F86" s="1345"/>
      <c r="G86" s="1345"/>
      <c r="H86" s="855" t="s">
        <v>225</v>
      </c>
      <c r="I86" s="854">
        <f>+'Metraj Özeti'!I86</f>
        <v>155.322</v>
      </c>
      <c r="J86" s="854" t="e">
        <f>+'Metraj Özeti'!J86</f>
        <v>#REF!</v>
      </c>
      <c r="K86" s="854" t="e">
        <f>+'Metraj Özeti'!K86</f>
        <v>#REF!</v>
      </c>
    </row>
    <row r="87" spans="1:13" customFormat="1" ht="19.95" hidden="1" customHeight="1" x14ac:dyDescent="0.3">
      <c r="A87" s="262" t="s">
        <v>152</v>
      </c>
      <c r="B87" s="11"/>
      <c r="C87" s="161">
        <v>70</v>
      </c>
      <c r="D87" s="161" t="s">
        <v>358</v>
      </c>
      <c r="E87" s="1371" t="s">
        <v>359</v>
      </c>
      <c r="F87" s="1371"/>
      <c r="G87" s="1371"/>
      <c r="H87" s="161" t="s">
        <v>228</v>
      </c>
      <c r="I87" s="226">
        <f>+'Metraj Özeti'!I87</f>
        <v>0</v>
      </c>
      <c r="J87" s="226" t="e">
        <f>+'Metraj Özeti'!J87</f>
        <v>#REF!</v>
      </c>
      <c r="K87" s="226" t="e">
        <f>+'Metraj Özeti'!K87</f>
        <v>#REF!</v>
      </c>
      <c r="L87" s="11"/>
      <c r="M87" s="11"/>
    </row>
    <row r="88" spans="1:13" customFormat="1" ht="34.799999999999997" customHeight="1" x14ac:dyDescent="0.3">
      <c r="A88" s="262" t="s">
        <v>152</v>
      </c>
      <c r="B88" s="11"/>
      <c r="C88" s="161">
        <v>71</v>
      </c>
      <c r="D88" s="161" t="s">
        <v>360</v>
      </c>
      <c r="E88" s="1371" t="s">
        <v>361</v>
      </c>
      <c r="F88" s="1371"/>
      <c r="G88" s="1371"/>
      <c r="H88" s="161" t="s">
        <v>228</v>
      </c>
      <c r="I88" s="226">
        <f>+'Metraj Özeti'!I88</f>
        <v>1278.4686000000017</v>
      </c>
      <c r="J88" s="226" t="e">
        <f>+'Metraj Özeti'!J88</f>
        <v>#REF!</v>
      </c>
      <c r="K88" s="226" t="e">
        <f>+'Metraj Özeti'!K88</f>
        <v>#REF!</v>
      </c>
      <c r="L88" s="11"/>
      <c r="M88" s="11"/>
    </row>
    <row r="89" spans="1:13" customFormat="1" ht="19.95" hidden="1" customHeight="1" x14ac:dyDescent="0.3">
      <c r="A89" s="262" t="s">
        <v>152</v>
      </c>
      <c r="B89" s="11"/>
      <c r="C89" s="161">
        <v>72</v>
      </c>
      <c r="D89" s="161" t="s">
        <v>362</v>
      </c>
      <c r="E89" s="1371" t="s">
        <v>363</v>
      </c>
      <c r="F89" s="1371"/>
      <c r="G89" s="1371"/>
      <c r="H89" s="161" t="s">
        <v>228</v>
      </c>
      <c r="I89" s="226">
        <f>+'Metraj Özeti'!I89</f>
        <v>0</v>
      </c>
      <c r="J89" s="226" t="e">
        <f>+'Metraj Özeti'!J89</f>
        <v>#REF!</v>
      </c>
      <c r="K89" s="226" t="e">
        <f>+'Metraj Özeti'!K89</f>
        <v>#REF!</v>
      </c>
      <c r="L89" s="11"/>
      <c r="M89" s="11"/>
    </row>
    <row r="90" spans="1:13" customFormat="1" ht="19.95" hidden="1" customHeight="1" x14ac:dyDescent="0.3">
      <c r="A90" s="262" t="s">
        <v>152</v>
      </c>
      <c r="B90" s="11"/>
      <c r="C90" s="161">
        <v>73</v>
      </c>
      <c r="D90" s="161" t="s">
        <v>364</v>
      </c>
      <c r="E90" s="1371" t="s">
        <v>365</v>
      </c>
      <c r="F90" s="1371"/>
      <c r="G90" s="1371"/>
      <c r="H90" s="161" t="s">
        <v>228</v>
      </c>
      <c r="I90" s="226">
        <f>+'Metraj Özeti'!I90</f>
        <v>0</v>
      </c>
      <c r="J90" s="226" t="e">
        <f>+'Metraj Özeti'!J90</f>
        <v>#REF!</v>
      </c>
      <c r="K90" s="226" t="e">
        <f>+'Metraj Özeti'!K90</f>
        <v>#REF!</v>
      </c>
      <c r="L90" s="11"/>
      <c r="M90" s="11"/>
    </row>
    <row r="91" spans="1:13" s="799" customFormat="1" ht="25.05" customHeight="1" x14ac:dyDescent="0.35">
      <c r="A91" s="792" t="s">
        <v>152</v>
      </c>
      <c r="B91" s="793"/>
      <c r="C91" s="855">
        <v>74</v>
      </c>
      <c r="D91" s="855" t="s">
        <v>366</v>
      </c>
      <c r="E91" s="1345" t="s">
        <v>367</v>
      </c>
      <c r="F91" s="1345"/>
      <c r="G91" s="1345"/>
      <c r="H91" s="855" t="s">
        <v>262</v>
      </c>
      <c r="I91" s="854">
        <f>+'Metraj Özeti'!I91</f>
        <v>117.03899999999997</v>
      </c>
      <c r="J91" s="854" t="e">
        <f>+'Metraj Özeti'!J91</f>
        <v>#REF!</v>
      </c>
      <c r="K91" s="854" t="e">
        <f>+'Metraj Özeti'!K91</f>
        <v>#REF!</v>
      </c>
      <c r="L91" s="793"/>
      <c r="M91" s="793"/>
    </row>
    <row r="92" spans="1:13" s="799" customFormat="1" ht="25.05" customHeight="1" x14ac:dyDescent="0.35">
      <c r="A92" s="792" t="s">
        <v>152</v>
      </c>
      <c r="B92" s="793"/>
      <c r="C92" s="855">
        <v>75</v>
      </c>
      <c r="D92" s="855" t="s">
        <v>368</v>
      </c>
      <c r="E92" s="1345" t="s">
        <v>369</v>
      </c>
      <c r="F92" s="1345"/>
      <c r="G92" s="1345"/>
      <c r="H92" s="855" t="s">
        <v>262</v>
      </c>
      <c r="I92" s="854">
        <f>+'Metraj Özeti'!I92</f>
        <v>281.45999999999992</v>
      </c>
      <c r="J92" s="854" t="e">
        <f>+'Metraj Özeti'!J92</f>
        <v>#REF!</v>
      </c>
      <c r="K92" s="854" t="e">
        <f>+'Metraj Özeti'!K92</f>
        <v>#REF!</v>
      </c>
      <c r="L92" s="793"/>
      <c r="M92" s="793"/>
    </row>
    <row r="93" spans="1:13" s="799" customFormat="1" ht="25.05" customHeight="1" x14ac:dyDescent="0.35">
      <c r="A93" s="792" t="s">
        <v>152</v>
      </c>
      <c r="B93" s="793"/>
      <c r="C93" s="855">
        <v>76</v>
      </c>
      <c r="D93" s="855" t="s">
        <v>370</v>
      </c>
      <c r="E93" s="1345" t="s">
        <v>371</v>
      </c>
      <c r="F93" s="1345"/>
      <c r="G93" s="1345"/>
      <c r="H93" s="855" t="s">
        <v>262</v>
      </c>
      <c r="I93" s="854">
        <f>+'Metraj Özeti'!I93</f>
        <v>707.92799999999988</v>
      </c>
      <c r="J93" s="854" t="e">
        <f>+'Metraj Özeti'!J93</f>
        <v>#REF!</v>
      </c>
      <c r="K93" s="854" t="e">
        <f>+'Metraj Özeti'!K93</f>
        <v>#REF!</v>
      </c>
      <c r="L93" s="793"/>
      <c r="M93" s="793"/>
    </row>
    <row r="94" spans="1:13" customFormat="1" ht="19.95" hidden="1" customHeight="1" x14ac:dyDescent="0.3">
      <c r="A94" s="262" t="s">
        <v>152</v>
      </c>
      <c r="B94" s="11"/>
      <c r="C94" s="161">
        <v>77</v>
      </c>
      <c r="D94" s="161" t="s">
        <v>372</v>
      </c>
      <c r="E94" s="1371" t="s">
        <v>373</v>
      </c>
      <c r="F94" s="1371"/>
      <c r="G94" s="1371"/>
      <c r="H94" s="161" t="s">
        <v>374</v>
      </c>
      <c r="I94" s="226">
        <f>+'Metraj Özeti'!I94</f>
        <v>0</v>
      </c>
      <c r="J94" s="226" t="e">
        <f>+'Metraj Özeti'!J94</f>
        <v>#REF!</v>
      </c>
      <c r="K94" s="226" t="e">
        <f>+'Metraj Özeti'!K94</f>
        <v>#REF!</v>
      </c>
      <c r="L94" s="11"/>
      <c r="M94" s="11"/>
    </row>
    <row r="95" spans="1:13" customFormat="1" ht="19.95" hidden="1" customHeight="1" x14ac:dyDescent="0.3">
      <c r="A95" s="262" t="s">
        <v>152</v>
      </c>
      <c r="B95" s="11"/>
      <c r="C95" s="161">
        <v>78</v>
      </c>
      <c r="D95" s="161" t="s">
        <v>375</v>
      </c>
      <c r="E95" s="1371" t="s">
        <v>376</v>
      </c>
      <c r="F95" s="1371"/>
      <c r="G95" s="1371"/>
      <c r="H95" s="161" t="s">
        <v>374</v>
      </c>
      <c r="I95" s="226">
        <f>+'Metraj Özeti'!I95</f>
        <v>0</v>
      </c>
      <c r="J95" s="226" t="e">
        <f>+'Metraj Özeti'!J95</f>
        <v>#REF!</v>
      </c>
      <c r="K95" s="226" t="e">
        <f>+'Metraj Özeti'!K95</f>
        <v>#REF!</v>
      </c>
      <c r="L95" s="11"/>
      <c r="M95" s="11"/>
    </row>
    <row r="96" spans="1:13" customFormat="1" ht="19.95" hidden="1" customHeight="1" x14ac:dyDescent="0.3">
      <c r="A96" s="262" t="s">
        <v>152</v>
      </c>
      <c r="B96" s="11"/>
      <c r="C96" s="658">
        <v>79</v>
      </c>
      <c r="D96" s="689" t="s">
        <v>377</v>
      </c>
      <c r="E96" s="1372" t="s">
        <v>378</v>
      </c>
      <c r="F96" s="1372"/>
      <c r="G96" s="1372"/>
      <c r="H96" s="658" t="s">
        <v>202</v>
      </c>
      <c r="I96" s="226">
        <f>+'Metraj Özeti'!I96</f>
        <v>0</v>
      </c>
      <c r="J96" s="226" t="e">
        <f>+'Metraj Özeti'!J96</f>
        <v>#REF!</v>
      </c>
      <c r="K96" s="226" t="e">
        <f>+'Metraj Özeti'!K96</f>
        <v>#REF!</v>
      </c>
      <c r="L96" s="11"/>
      <c r="M96" s="11"/>
    </row>
    <row r="97" spans="1:13" s="799" customFormat="1" ht="25.05" customHeight="1" x14ac:dyDescent="0.35">
      <c r="A97" s="792">
        <v>1</v>
      </c>
      <c r="B97" s="793"/>
      <c r="C97" s="844"/>
      <c r="D97" s="845" t="s">
        <v>1226</v>
      </c>
      <c r="E97" s="846"/>
      <c r="F97" s="846"/>
      <c r="G97" s="846"/>
      <c r="H97" s="846"/>
      <c r="I97" s="863"/>
      <c r="J97" s="847"/>
      <c r="K97" s="894"/>
      <c r="L97" s="793"/>
      <c r="M97" s="793"/>
    </row>
    <row r="98" spans="1:13" customFormat="1" ht="19.95" hidden="1" customHeight="1" x14ac:dyDescent="0.3">
      <c r="A98" s="262" t="s">
        <v>153</v>
      </c>
      <c r="B98" s="11"/>
      <c r="C98" s="160">
        <v>80</v>
      </c>
      <c r="D98" s="210" t="s">
        <v>379</v>
      </c>
      <c r="E98" s="1373" t="s">
        <v>380</v>
      </c>
      <c r="F98" s="1373"/>
      <c r="G98" s="1373"/>
      <c r="H98" s="160" t="s">
        <v>202</v>
      </c>
      <c r="I98" s="226">
        <f>+'Metraj Özeti'!I98</f>
        <v>0</v>
      </c>
      <c r="J98" s="226">
        <f>+'Metraj Özeti'!J98</f>
        <v>0</v>
      </c>
      <c r="K98" s="226">
        <f>+'Metraj Özeti'!K98</f>
        <v>0</v>
      </c>
      <c r="L98" s="11"/>
      <c r="M98" s="11"/>
    </row>
    <row r="99" spans="1:13" customFormat="1" ht="19.95" customHeight="1" x14ac:dyDescent="0.3">
      <c r="A99" s="262" t="s">
        <v>153</v>
      </c>
      <c r="B99" s="11"/>
      <c r="C99" s="161">
        <v>81</v>
      </c>
      <c r="D99" s="213" t="s">
        <v>381</v>
      </c>
      <c r="E99" s="1371" t="s">
        <v>382</v>
      </c>
      <c r="F99" s="1371"/>
      <c r="G99" s="1371"/>
      <c r="H99" s="161" t="s">
        <v>286</v>
      </c>
      <c r="I99" s="854">
        <f>+'Metraj Özeti'!I99</f>
        <v>0</v>
      </c>
      <c r="J99" s="854">
        <f>+'Metraj Özeti'!J99</f>
        <v>6.5803125000000018E-2</v>
      </c>
      <c r="K99" s="854">
        <f>+'Metraj Özeti'!K99</f>
        <v>6.5803125000000018E-2</v>
      </c>
      <c r="L99" s="11"/>
      <c r="M99" s="11"/>
    </row>
    <row r="100" spans="1:13" s="799" customFormat="1" ht="25.05" customHeight="1" x14ac:dyDescent="0.35">
      <c r="A100" s="792" t="s">
        <v>153</v>
      </c>
      <c r="B100" s="793"/>
      <c r="C100" s="860">
        <v>82</v>
      </c>
      <c r="D100" s="866" t="s">
        <v>383</v>
      </c>
      <c r="E100" s="1341" t="s">
        <v>384</v>
      </c>
      <c r="F100" s="1341"/>
      <c r="G100" s="1341"/>
      <c r="H100" s="860" t="s">
        <v>286</v>
      </c>
      <c r="I100" s="854">
        <f>+'Metraj Özeti'!I100</f>
        <v>0.25349999999999995</v>
      </c>
      <c r="J100" s="854">
        <f>+'Metraj Özeti'!J100</f>
        <v>1.6900000000000026E-2</v>
      </c>
      <c r="K100" s="854">
        <f>+'Metraj Özeti'!K100</f>
        <v>0.27039999999999997</v>
      </c>
      <c r="L100" s="793"/>
      <c r="M100" s="793"/>
    </row>
    <row r="101" spans="1:13" s="799" customFormat="1" ht="25.05" customHeight="1" x14ac:dyDescent="0.35">
      <c r="A101" s="792">
        <v>1</v>
      </c>
      <c r="B101" s="793"/>
      <c r="C101" s="844"/>
      <c r="D101" s="845" t="s">
        <v>1227</v>
      </c>
      <c r="E101" s="846"/>
      <c r="F101" s="846"/>
      <c r="G101" s="846"/>
      <c r="H101" s="846"/>
      <c r="I101" s="863"/>
      <c r="J101" s="847"/>
      <c r="K101" s="894"/>
      <c r="L101" s="793"/>
      <c r="M101" s="793"/>
    </row>
    <row r="102" spans="1:13" customFormat="1" ht="19.95" hidden="1" customHeight="1" x14ac:dyDescent="0.3">
      <c r="A102" s="262" t="s">
        <v>154</v>
      </c>
      <c r="B102" s="11"/>
      <c r="C102" s="160">
        <v>83</v>
      </c>
      <c r="D102" s="210" t="s">
        <v>385</v>
      </c>
      <c r="E102" s="1373" t="s">
        <v>386</v>
      </c>
      <c r="F102" s="1373"/>
      <c r="G102" s="1373"/>
      <c r="H102" s="160" t="s">
        <v>225</v>
      </c>
      <c r="I102" s="226">
        <f>+'Metraj Özeti'!I102</f>
        <v>0</v>
      </c>
      <c r="J102" s="226">
        <f>+'Metraj Özeti'!J102</f>
        <v>0</v>
      </c>
      <c r="K102" s="226">
        <f>+'Metraj Özeti'!K102</f>
        <v>0</v>
      </c>
      <c r="L102" s="11"/>
      <c r="M102" s="11"/>
    </row>
    <row r="103" spans="1:13" customFormat="1" ht="19.95" hidden="1" customHeight="1" x14ac:dyDescent="0.3">
      <c r="A103" s="262" t="s">
        <v>154</v>
      </c>
      <c r="B103" s="11"/>
      <c r="C103" s="161">
        <v>84</v>
      </c>
      <c r="D103" s="213" t="s">
        <v>387</v>
      </c>
      <c r="E103" s="1371" t="s">
        <v>388</v>
      </c>
      <c r="F103" s="1371"/>
      <c r="G103" s="1371"/>
      <c r="H103" s="161" t="s">
        <v>225</v>
      </c>
      <c r="I103" s="226">
        <f>+'Metraj Özeti'!I103</f>
        <v>0</v>
      </c>
      <c r="J103" s="226">
        <f>+'Metraj Özeti'!J103</f>
        <v>0</v>
      </c>
      <c r="K103" s="226">
        <f>+'Metraj Özeti'!K103</f>
        <v>0</v>
      </c>
      <c r="L103" s="11"/>
      <c r="M103" s="11"/>
    </row>
    <row r="104" spans="1:13" customFormat="1" ht="19.95" hidden="1" customHeight="1" x14ac:dyDescent="0.3">
      <c r="A104" s="262" t="s">
        <v>154</v>
      </c>
      <c r="B104" s="11"/>
      <c r="C104" s="161">
        <v>85</v>
      </c>
      <c r="D104" s="213" t="s">
        <v>389</v>
      </c>
      <c r="E104" s="1371" t="s">
        <v>390</v>
      </c>
      <c r="F104" s="1371"/>
      <c r="G104" s="1371"/>
      <c r="H104" s="161" t="s">
        <v>228</v>
      </c>
      <c r="I104" s="226">
        <f>+'Metraj Özeti'!I104</f>
        <v>0</v>
      </c>
      <c r="J104" s="226">
        <f>+'Metraj Özeti'!J104</f>
        <v>0</v>
      </c>
      <c r="K104" s="226">
        <f>+'Metraj Özeti'!K104</f>
        <v>0</v>
      </c>
      <c r="L104" s="11"/>
      <c r="M104" s="11"/>
    </row>
    <row r="105" spans="1:13" customFormat="1" ht="19.95" hidden="1" customHeight="1" x14ac:dyDescent="0.3">
      <c r="A105" s="262" t="s">
        <v>154</v>
      </c>
      <c r="B105" s="11"/>
      <c r="C105" s="161">
        <v>86</v>
      </c>
      <c r="D105" s="161" t="s">
        <v>391</v>
      </c>
      <c r="E105" s="1371" t="s">
        <v>392</v>
      </c>
      <c r="F105" s="1371"/>
      <c r="G105" s="1371"/>
      <c r="H105" s="161" t="s">
        <v>225</v>
      </c>
      <c r="I105" s="226">
        <f>+'Metraj Özeti'!I105</f>
        <v>0</v>
      </c>
      <c r="J105" s="226">
        <f>+'Metraj Özeti'!J105</f>
        <v>0</v>
      </c>
      <c r="K105" s="226">
        <f>+'Metraj Özeti'!K105</f>
        <v>0</v>
      </c>
      <c r="L105" s="11"/>
      <c r="M105" s="11"/>
    </row>
    <row r="106" spans="1:13" customFormat="1" ht="19.95" hidden="1" customHeight="1" x14ac:dyDescent="0.3">
      <c r="A106" s="262" t="s">
        <v>154</v>
      </c>
      <c r="B106" s="11"/>
      <c r="C106" s="161">
        <v>87</v>
      </c>
      <c r="D106" s="161" t="s">
        <v>393</v>
      </c>
      <c r="E106" s="1371" t="s">
        <v>394</v>
      </c>
      <c r="F106" s="1371"/>
      <c r="G106" s="1371"/>
      <c r="H106" s="161" t="s">
        <v>225</v>
      </c>
      <c r="I106" s="226">
        <f>+'Metraj Özeti'!I106</f>
        <v>0</v>
      </c>
      <c r="J106" s="226">
        <f>+'Metraj Özeti'!J106</f>
        <v>0</v>
      </c>
      <c r="K106" s="226">
        <f>+'Metraj Özeti'!K106</f>
        <v>0</v>
      </c>
      <c r="L106" s="11"/>
      <c r="M106" s="11"/>
    </row>
    <row r="107" spans="1:13" customFormat="1" ht="19.95" hidden="1" customHeight="1" x14ac:dyDescent="0.3">
      <c r="A107" s="262" t="s">
        <v>154</v>
      </c>
      <c r="B107" s="11"/>
      <c r="C107" s="161">
        <v>88</v>
      </c>
      <c r="D107" s="161" t="s">
        <v>395</v>
      </c>
      <c r="E107" s="1371" t="s">
        <v>396</v>
      </c>
      <c r="F107" s="1371"/>
      <c r="G107" s="1371"/>
      <c r="H107" s="161" t="s">
        <v>225</v>
      </c>
      <c r="I107" s="226">
        <f>+'Metraj Özeti'!I107</f>
        <v>0</v>
      </c>
      <c r="J107" s="226">
        <f>+'Metraj Özeti'!J107</f>
        <v>0</v>
      </c>
      <c r="K107" s="226">
        <f>+'Metraj Özeti'!K107</f>
        <v>0</v>
      </c>
      <c r="L107" s="11"/>
      <c r="M107" s="11"/>
    </row>
    <row r="108" spans="1:13" ht="19.95" hidden="1" customHeight="1" x14ac:dyDescent="0.3">
      <c r="A108" s="262" t="s">
        <v>154</v>
      </c>
      <c r="C108" s="161">
        <v>89</v>
      </c>
      <c r="D108" s="161" t="s">
        <v>397</v>
      </c>
      <c r="E108" s="1371" t="s">
        <v>398</v>
      </c>
      <c r="F108" s="1371"/>
      <c r="G108" s="1371"/>
      <c r="H108" s="161" t="s">
        <v>225</v>
      </c>
      <c r="I108" s="226">
        <f>+'Metraj Özeti'!I108</f>
        <v>0</v>
      </c>
      <c r="J108" s="226">
        <f>+'Metraj Özeti'!J108</f>
        <v>0</v>
      </c>
      <c r="K108" s="226">
        <f>+'Metraj Özeti'!K108</f>
        <v>0</v>
      </c>
    </row>
    <row r="109" spans="1:13" ht="19.95" hidden="1" customHeight="1" x14ac:dyDescent="0.3">
      <c r="A109" s="262" t="s">
        <v>154</v>
      </c>
      <c r="C109" s="161">
        <v>90</v>
      </c>
      <c r="D109" s="161" t="s">
        <v>399</v>
      </c>
      <c r="E109" s="1371" t="s">
        <v>400</v>
      </c>
      <c r="F109" s="1371"/>
      <c r="G109" s="1371"/>
      <c r="H109" s="161" t="s">
        <v>225</v>
      </c>
      <c r="I109" s="226">
        <f>+'Metraj Özeti'!I109</f>
        <v>0</v>
      </c>
      <c r="J109" s="226">
        <f>+'Metraj Özeti'!J109</f>
        <v>0</v>
      </c>
      <c r="K109" s="226">
        <f>+'Metraj Özeti'!K109</f>
        <v>0</v>
      </c>
    </row>
    <row r="110" spans="1:13" ht="19.95" hidden="1" customHeight="1" x14ac:dyDescent="0.3">
      <c r="A110" s="262" t="s">
        <v>154</v>
      </c>
      <c r="C110" s="161">
        <v>91</v>
      </c>
      <c r="D110" s="161" t="s">
        <v>401</v>
      </c>
      <c r="E110" s="1371" t="s">
        <v>402</v>
      </c>
      <c r="F110" s="1371"/>
      <c r="G110" s="1371"/>
      <c r="H110" s="161" t="s">
        <v>225</v>
      </c>
      <c r="I110" s="226">
        <f>+'Metraj Özeti'!I110</f>
        <v>0</v>
      </c>
      <c r="J110" s="226">
        <f>+'Metraj Özeti'!J110</f>
        <v>0</v>
      </c>
      <c r="K110" s="226">
        <f>+'Metraj Özeti'!K110</f>
        <v>0</v>
      </c>
    </row>
    <row r="111" spans="1:13" ht="19.95" hidden="1" customHeight="1" x14ac:dyDescent="0.3">
      <c r="A111" s="262" t="s">
        <v>154</v>
      </c>
      <c r="C111" s="161">
        <v>92</v>
      </c>
      <c r="D111" s="161" t="s">
        <v>403</v>
      </c>
      <c r="E111" s="1371" t="s">
        <v>404</v>
      </c>
      <c r="F111" s="1371"/>
      <c r="G111" s="1371"/>
      <c r="H111" s="161" t="s">
        <v>225</v>
      </c>
      <c r="I111" s="226">
        <f>+'Metraj Özeti'!I111</f>
        <v>0</v>
      </c>
      <c r="J111" s="226">
        <f>+'Metraj Özeti'!J111</f>
        <v>0</v>
      </c>
      <c r="K111" s="226">
        <f>+'Metraj Özeti'!K111</f>
        <v>0</v>
      </c>
    </row>
    <row r="112" spans="1:13" ht="19.95" hidden="1" customHeight="1" x14ac:dyDescent="0.3">
      <c r="A112" s="262" t="s">
        <v>154</v>
      </c>
      <c r="C112" s="161">
        <v>93</v>
      </c>
      <c r="D112" s="161" t="s">
        <v>405</v>
      </c>
      <c r="E112" s="1371" t="s">
        <v>406</v>
      </c>
      <c r="F112" s="1371"/>
      <c r="G112" s="1371"/>
      <c r="H112" s="161" t="s">
        <v>225</v>
      </c>
      <c r="I112" s="226">
        <f>+'Metraj Özeti'!I112</f>
        <v>0</v>
      </c>
      <c r="J112" s="226">
        <f>+'Metraj Özeti'!J112</f>
        <v>0</v>
      </c>
      <c r="K112" s="226">
        <f>+'Metraj Özeti'!K112</f>
        <v>0</v>
      </c>
    </row>
    <row r="113" spans="1:11" ht="19.95" hidden="1" customHeight="1" x14ac:dyDescent="0.3">
      <c r="A113" s="262" t="s">
        <v>154</v>
      </c>
      <c r="C113" s="161">
        <v>94</v>
      </c>
      <c r="D113" s="161" t="s">
        <v>407</v>
      </c>
      <c r="E113" s="1371" t="s">
        <v>408</v>
      </c>
      <c r="F113" s="1371"/>
      <c r="G113" s="1371"/>
      <c r="H113" s="161" t="s">
        <v>225</v>
      </c>
      <c r="I113" s="226">
        <f>+'Metraj Özeti'!I113</f>
        <v>0</v>
      </c>
      <c r="J113" s="226">
        <f>+'Metraj Özeti'!J113</f>
        <v>0</v>
      </c>
      <c r="K113" s="226">
        <f>+'Metraj Özeti'!K113</f>
        <v>0</v>
      </c>
    </row>
    <row r="114" spans="1:11" ht="19.95" hidden="1" customHeight="1" x14ac:dyDescent="0.3">
      <c r="A114" s="262" t="s">
        <v>154</v>
      </c>
      <c r="C114" s="161">
        <v>95</v>
      </c>
      <c r="D114" s="161" t="s">
        <v>409</v>
      </c>
      <c r="E114" s="1371" t="s">
        <v>410</v>
      </c>
      <c r="F114" s="1371"/>
      <c r="G114" s="1371"/>
      <c r="H114" s="161" t="s">
        <v>225</v>
      </c>
      <c r="I114" s="226">
        <f>+'Metraj Özeti'!I114</f>
        <v>0</v>
      </c>
      <c r="J114" s="226">
        <f>+'Metraj Özeti'!J114</f>
        <v>0</v>
      </c>
      <c r="K114" s="226">
        <f>+'Metraj Özeti'!K114</f>
        <v>0</v>
      </c>
    </row>
    <row r="115" spans="1:11" ht="19.95" hidden="1" customHeight="1" x14ac:dyDescent="0.3">
      <c r="A115" s="262" t="s">
        <v>154</v>
      </c>
      <c r="C115" s="161">
        <v>96</v>
      </c>
      <c r="D115" s="161" t="s">
        <v>411</v>
      </c>
      <c r="E115" s="1371" t="s">
        <v>412</v>
      </c>
      <c r="F115" s="1371"/>
      <c r="G115" s="1371"/>
      <c r="H115" s="161" t="s">
        <v>225</v>
      </c>
      <c r="I115" s="226">
        <f>+'Metraj Özeti'!I115</f>
        <v>0</v>
      </c>
      <c r="J115" s="226">
        <f>+'Metraj Özeti'!J115</f>
        <v>0</v>
      </c>
      <c r="K115" s="226">
        <f>+'Metraj Özeti'!K115</f>
        <v>0</v>
      </c>
    </row>
    <row r="116" spans="1:11" ht="19.95" hidden="1" customHeight="1" x14ac:dyDescent="0.3">
      <c r="A116" s="262" t="s">
        <v>154</v>
      </c>
      <c r="C116" s="161">
        <v>97</v>
      </c>
      <c r="D116" s="161" t="s">
        <v>413</v>
      </c>
      <c r="E116" s="1371" t="s">
        <v>414</v>
      </c>
      <c r="F116" s="1371"/>
      <c r="G116" s="1371"/>
      <c r="H116" s="161" t="s">
        <v>225</v>
      </c>
      <c r="I116" s="226">
        <f>+'Metraj Özeti'!I116</f>
        <v>0</v>
      </c>
      <c r="J116" s="226">
        <f>+'Metraj Özeti'!J116</f>
        <v>0</v>
      </c>
      <c r="K116" s="226">
        <f>+'Metraj Özeti'!K116</f>
        <v>0</v>
      </c>
    </row>
    <row r="117" spans="1:11" ht="19.95" hidden="1" customHeight="1" x14ac:dyDescent="0.3">
      <c r="A117" s="262" t="s">
        <v>154</v>
      </c>
      <c r="C117" s="161">
        <v>98</v>
      </c>
      <c r="D117" s="161" t="s">
        <v>415</v>
      </c>
      <c r="E117" s="1371" t="s">
        <v>416</v>
      </c>
      <c r="F117" s="1371"/>
      <c r="G117" s="1371"/>
      <c r="H117" s="161" t="s">
        <v>225</v>
      </c>
      <c r="I117" s="226">
        <f>+'Metraj Özeti'!I117</f>
        <v>0</v>
      </c>
      <c r="J117" s="226">
        <f>+'Metraj Özeti'!J117</f>
        <v>0</v>
      </c>
      <c r="K117" s="226">
        <f>+'Metraj Özeti'!K117</f>
        <v>0</v>
      </c>
    </row>
    <row r="118" spans="1:11" ht="19.95" hidden="1" customHeight="1" x14ac:dyDescent="0.3">
      <c r="A118" s="262" t="s">
        <v>154</v>
      </c>
      <c r="C118" s="161">
        <v>99</v>
      </c>
      <c r="D118" s="213" t="s">
        <v>417</v>
      </c>
      <c r="E118" s="1371" t="s">
        <v>418</v>
      </c>
      <c r="F118" s="1371"/>
      <c r="G118" s="1371"/>
      <c r="H118" s="161" t="s">
        <v>225</v>
      </c>
      <c r="I118" s="226">
        <f>+'Metraj Özeti'!I118</f>
        <v>0</v>
      </c>
      <c r="J118" s="226">
        <f>+'Metraj Özeti'!J118</f>
        <v>0</v>
      </c>
      <c r="K118" s="226">
        <f>+'Metraj Özeti'!K118</f>
        <v>0</v>
      </c>
    </row>
    <row r="119" spans="1:11" ht="19.95" hidden="1" customHeight="1" x14ac:dyDescent="0.3">
      <c r="A119" s="262" t="s">
        <v>154</v>
      </c>
      <c r="C119" s="161">
        <v>100</v>
      </c>
      <c r="D119" s="213" t="s">
        <v>419</v>
      </c>
      <c r="E119" s="1371" t="s">
        <v>420</v>
      </c>
      <c r="F119" s="1371"/>
      <c r="G119" s="1371"/>
      <c r="H119" s="161" t="s">
        <v>225</v>
      </c>
      <c r="I119" s="226">
        <f>+'Metraj Özeti'!I119</f>
        <v>0</v>
      </c>
      <c r="J119" s="226">
        <f>+'Metraj Özeti'!J119</f>
        <v>0</v>
      </c>
      <c r="K119" s="226">
        <f>+'Metraj Özeti'!K119</f>
        <v>0</v>
      </c>
    </row>
    <row r="120" spans="1:11" ht="19.95" hidden="1" customHeight="1" x14ac:dyDescent="0.3">
      <c r="A120" s="262" t="s">
        <v>154</v>
      </c>
      <c r="C120" s="161">
        <v>101</v>
      </c>
      <c r="D120" s="213" t="s">
        <v>421</v>
      </c>
      <c r="E120" s="1371" t="s">
        <v>422</v>
      </c>
      <c r="F120" s="1371"/>
      <c r="G120" s="1371"/>
      <c r="H120" s="161" t="s">
        <v>225</v>
      </c>
      <c r="I120" s="226">
        <f>+'Metraj Özeti'!I120</f>
        <v>0</v>
      </c>
      <c r="J120" s="226">
        <f>+'Metraj Özeti'!J120</f>
        <v>0</v>
      </c>
      <c r="K120" s="226">
        <f>+'Metraj Özeti'!K120</f>
        <v>0</v>
      </c>
    </row>
    <row r="121" spans="1:11" ht="19.95" hidden="1" customHeight="1" x14ac:dyDescent="0.3">
      <c r="A121" s="262" t="s">
        <v>154</v>
      </c>
      <c r="C121" s="161">
        <v>102</v>
      </c>
      <c r="D121" s="213" t="s">
        <v>423</v>
      </c>
      <c r="E121" s="1371" t="s">
        <v>424</v>
      </c>
      <c r="F121" s="1371"/>
      <c r="G121" s="1371"/>
      <c r="H121" s="161" t="s">
        <v>202</v>
      </c>
      <c r="I121" s="226">
        <f>+'Metraj Özeti'!I121</f>
        <v>0</v>
      </c>
      <c r="J121" s="226">
        <f>+'Metraj Özeti'!J121</f>
        <v>0</v>
      </c>
      <c r="K121" s="226">
        <f>+'Metraj Özeti'!K121</f>
        <v>0</v>
      </c>
    </row>
    <row r="122" spans="1:11" ht="19.95" hidden="1" customHeight="1" x14ac:dyDescent="0.3">
      <c r="A122" s="262" t="s">
        <v>154</v>
      </c>
      <c r="C122" s="161">
        <v>103</v>
      </c>
      <c r="D122" s="213" t="s">
        <v>425</v>
      </c>
      <c r="E122" s="1371" t="s">
        <v>426</v>
      </c>
      <c r="F122" s="1371"/>
      <c r="G122" s="1371"/>
      <c r="H122" s="161" t="s">
        <v>225</v>
      </c>
      <c r="I122" s="226">
        <f>+'Metraj Özeti'!I122</f>
        <v>0</v>
      </c>
      <c r="J122" s="226">
        <f>+'Metraj Özeti'!J122</f>
        <v>0</v>
      </c>
      <c r="K122" s="226">
        <f>+'Metraj Özeti'!K122</f>
        <v>0</v>
      </c>
    </row>
    <row r="123" spans="1:11" ht="19.95" hidden="1" customHeight="1" x14ac:dyDescent="0.3">
      <c r="A123" s="262" t="s">
        <v>154</v>
      </c>
      <c r="C123" s="161">
        <v>104</v>
      </c>
      <c r="D123" s="213" t="s">
        <v>427</v>
      </c>
      <c r="E123" s="1371" t="s">
        <v>428</v>
      </c>
      <c r="F123" s="1371"/>
      <c r="G123" s="1371"/>
      <c r="H123" s="161" t="s">
        <v>202</v>
      </c>
      <c r="I123" s="226">
        <f>+'Metraj Özeti'!I123</f>
        <v>0</v>
      </c>
      <c r="J123" s="226">
        <f>+'Metraj Özeti'!J123</f>
        <v>0</v>
      </c>
      <c r="K123" s="226">
        <f>+'Metraj Özeti'!K123</f>
        <v>0</v>
      </c>
    </row>
    <row r="124" spans="1:11" ht="19.95" hidden="1" customHeight="1" x14ac:dyDescent="0.3">
      <c r="A124" s="262" t="s">
        <v>154</v>
      </c>
      <c r="C124" s="161">
        <v>105</v>
      </c>
      <c r="D124" s="161" t="s">
        <v>429</v>
      </c>
      <c r="E124" s="1371" t="s">
        <v>430</v>
      </c>
      <c r="F124" s="1371"/>
      <c r="G124" s="1371"/>
      <c r="H124" s="161" t="s">
        <v>202</v>
      </c>
      <c r="I124" s="226">
        <f>+'Metraj Özeti'!I124</f>
        <v>0</v>
      </c>
      <c r="J124" s="226">
        <f>+'Metraj Özeti'!J124</f>
        <v>0</v>
      </c>
      <c r="K124" s="226">
        <f>+'Metraj Özeti'!K124</f>
        <v>0</v>
      </c>
    </row>
    <row r="125" spans="1:11" ht="19.95" hidden="1" customHeight="1" x14ac:dyDescent="0.3">
      <c r="A125" s="262" t="s">
        <v>154</v>
      </c>
      <c r="C125" s="161">
        <v>106</v>
      </c>
      <c r="D125" s="161" t="s">
        <v>431</v>
      </c>
      <c r="E125" s="1371" t="s">
        <v>432</v>
      </c>
      <c r="F125" s="1371"/>
      <c r="G125" s="1371"/>
      <c r="H125" s="161" t="s">
        <v>202</v>
      </c>
      <c r="I125" s="226">
        <f>+'Metraj Özeti'!I125</f>
        <v>0</v>
      </c>
      <c r="J125" s="226">
        <f>+'Metraj Özeti'!J125</f>
        <v>0</v>
      </c>
      <c r="K125" s="226">
        <f>+'Metraj Özeti'!K125</f>
        <v>0</v>
      </c>
    </row>
    <row r="126" spans="1:11" ht="19.95" hidden="1" customHeight="1" x14ac:dyDescent="0.3">
      <c r="A126" s="262" t="s">
        <v>154</v>
      </c>
      <c r="C126" s="161">
        <v>107</v>
      </c>
      <c r="D126" s="161" t="s">
        <v>433</v>
      </c>
      <c r="E126" s="1371" t="s">
        <v>434</v>
      </c>
      <c r="F126" s="1371"/>
      <c r="G126" s="1371"/>
      <c r="H126" s="161" t="s">
        <v>202</v>
      </c>
      <c r="I126" s="226">
        <f>+'Metraj Özeti'!I126</f>
        <v>0</v>
      </c>
      <c r="J126" s="226">
        <f>+'Metraj Özeti'!J126</f>
        <v>0</v>
      </c>
      <c r="K126" s="226">
        <f>+'Metraj Özeti'!K126</f>
        <v>0</v>
      </c>
    </row>
    <row r="127" spans="1:11" ht="19.95" hidden="1" customHeight="1" x14ac:dyDescent="0.3">
      <c r="A127" s="262" t="s">
        <v>154</v>
      </c>
      <c r="C127" s="161">
        <v>108</v>
      </c>
      <c r="D127" s="161" t="s">
        <v>435</v>
      </c>
      <c r="E127" s="1371" t="s">
        <v>436</v>
      </c>
      <c r="F127" s="1371"/>
      <c r="G127" s="1371"/>
      <c r="H127" s="161" t="s">
        <v>225</v>
      </c>
      <c r="I127" s="226">
        <f>+'Metraj Özeti'!I127</f>
        <v>0</v>
      </c>
      <c r="J127" s="226">
        <f>+'Metraj Özeti'!J127</f>
        <v>0</v>
      </c>
      <c r="K127" s="226">
        <f>+'Metraj Özeti'!K127</f>
        <v>0</v>
      </c>
    </row>
    <row r="128" spans="1:11" ht="19.95" hidden="1" customHeight="1" x14ac:dyDescent="0.3">
      <c r="A128" s="262" t="s">
        <v>154</v>
      </c>
      <c r="C128" s="161">
        <v>109</v>
      </c>
      <c r="D128" s="161" t="s">
        <v>437</v>
      </c>
      <c r="E128" s="1371" t="s">
        <v>438</v>
      </c>
      <c r="F128" s="1371"/>
      <c r="G128" s="1371"/>
      <c r="H128" s="161" t="s">
        <v>225</v>
      </c>
      <c r="I128" s="226">
        <f>+'Metraj Özeti'!I128</f>
        <v>0</v>
      </c>
      <c r="J128" s="226">
        <f>+'Metraj Özeti'!J128</f>
        <v>0</v>
      </c>
      <c r="K128" s="226">
        <f>+'Metraj Özeti'!K128</f>
        <v>0</v>
      </c>
    </row>
    <row r="129" spans="1:11" ht="19.95" hidden="1" customHeight="1" x14ac:dyDescent="0.3">
      <c r="A129" s="262" t="s">
        <v>154</v>
      </c>
      <c r="C129" s="161">
        <v>110</v>
      </c>
      <c r="D129" s="213" t="s">
        <v>439</v>
      </c>
      <c r="E129" s="1371" t="s">
        <v>440</v>
      </c>
      <c r="F129" s="1371"/>
      <c r="G129" s="1371"/>
      <c r="H129" s="161" t="s">
        <v>225</v>
      </c>
      <c r="I129" s="226">
        <f>+'Metraj Özeti'!I129</f>
        <v>0</v>
      </c>
      <c r="J129" s="226">
        <f>+'Metraj Özeti'!J129</f>
        <v>0</v>
      </c>
      <c r="K129" s="226">
        <f>+'Metraj Özeti'!K129</f>
        <v>0</v>
      </c>
    </row>
    <row r="130" spans="1:11" ht="19.95" hidden="1" customHeight="1" x14ac:dyDescent="0.3">
      <c r="A130" s="262" t="s">
        <v>154</v>
      </c>
      <c r="C130" s="161">
        <v>111</v>
      </c>
      <c r="D130" s="161" t="s">
        <v>441</v>
      </c>
      <c r="E130" s="1371" t="s">
        <v>442</v>
      </c>
      <c r="F130" s="1371"/>
      <c r="G130" s="1371"/>
      <c r="H130" s="161" t="s">
        <v>202</v>
      </c>
      <c r="I130" s="226">
        <f>+'Metraj Özeti'!I130</f>
        <v>0</v>
      </c>
      <c r="J130" s="226">
        <f>+'Metraj Özeti'!J130</f>
        <v>0</v>
      </c>
      <c r="K130" s="226">
        <f>+'Metraj Özeti'!K130</f>
        <v>0</v>
      </c>
    </row>
    <row r="131" spans="1:11" ht="19.95" hidden="1" customHeight="1" x14ac:dyDescent="0.3">
      <c r="A131" s="262" t="s">
        <v>154</v>
      </c>
      <c r="C131" s="161">
        <v>112</v>
      </c>
      <c r="D131" s="161" t="s">
        <v>443</v>
      </c>
      <c r="E131" s="1371" t="s">
        <v>444</v>
      </c>
      <c r="F131" s="1371"/>
      <c r="G131" s="1371"/>
      <c r="H131" s="161" t="s">
        <v>202</v>
      </c>
      <c r="I131" s="226">
        <f>+'Metraj Özeti'!I131</f>
        <v>0</v>
      </c>
      <c r="J131" s="226">
        <f>+'Metraj Özeti'!J131</f>
        <v>0</v>
      </c>
      <c r="K131" s="226">
        <f>+'Metraj Özeti'!K131</f>
        <v>0</v>
      </c>
    </row>
    <row r="132" spans="1:11" ht="19.95" hidden="1" customHeight="1" x14ac:dyDescent="0.3">
      <c r="A132" s="262" t="s">
        <v>154</v>
      </c>
      <c r="C132" s="161">
        <v>113</v>
      </c>
      <c r="D132" s="213" t="s">
        <v>445</v>
      </c>
      <c r="E132" s="1371" t="s">
        <v>446</v>
      </c>
      <c r="F132" s="1371"/>
      <c r="G132" s="1371"/>
      <c r="H132" s="161" t="s">
        <v>225</v>
      </c>
      <c r="I132" s="226">
        <f>+'Metraj Özeti'!I132</f>
        <v>0</v>
      </c>
      <c r="J132" s="226">
        <f>+'Metraj Özeti'!J132</f>
        <v>0</v>
      </c>
      <c r="K132" s="226">
        <f>+'Metraj Özeti'!K132</f>
        <v>0</v>
      </c>
    </row>
    <row r="133" spans="1:11" ht="19.95" hidden="1" customHeight="1" x14ac:dyDescent="0.3">
      <c r="A133" s="262" t="s">
        <v>154</v>
      </c>
      <c r="C133" s="161">
        <v>114</v>
      </c>
      <c r="D133" s="161" t="s">
        <v>447</v>
      </c>
      <c r="E133" s="1371" t="s">
        <v>448</v>
      </c>
      <c r="F133" s="1371"/>
      <c r="G133" s="1371"/>
      <c r="H133" s="161" t="s">
        <v>225</v>
      </c>
      <c r="I133" s="226">
        <f>+'Metraj Özeti'!I133</f>
        <v>0</v>
      </c>
      <c r="J133" s="226">
        <f>+'Metraj Özeti'!J133</f>
        <v>0</v>
      </c>
      <c r="K133" s="226">
        <f>+'Metraj Özeti'!K133</f>
        <v>0</v>
      </c>
    </row>
    <row r="134" spans="1:11" ht="19.95" hidden="1" customHeight="1" x14ac:dyDescent="0.3">
      <c r="A134" s="262" t="s">
        <v>154</v>
      </c>
      <c r="C134" s="161">
        <v>115</v>
      </c>
      <c r="D134" s="161" t="s">
        <v>449</v>
      </c>
      <c r="E134" s="1371" t="s">
        <v>450</v>
      </c>
      <c r="F134" s="1371"/>
      <c r="G134" s="1371"/>
      <c r="H134" s="161" t="s">
        <v>225</v>
      </c>
      <c r="I134" s="226">
        <f>+'Metraj Özeti'!I134</f>
        <v>0</v>
      </c>
      <c r="J134" s="226">
        <f>+'Metraj Özeti'!J134</f>
        <v>0</v>
      </c>
      <c r="K134" s="226">
        <f>+'Metraj Özeti'!K134</f>
        <v>0</v>
      </c>
    </row>
    <row r="135" spans="1:11" ht="19.95" hidden="1" customHeight="1" x14ac:dyDescent="0.3">
      <c r="A135" s="262" t="s">
        <v>154</v>
      </c>
      <c r="C135" s="161">
        <v>116</v>
      </c>
      <c r="D135" s="161" t="s">
        <v>451</v>
      </c>
      <c r="E135" s="1371" t="s">
        <v>452</v>
      </c>
      <c r="F135" s="1371"/>
      <c r="G135" s="1371"/>
      <c r="H135" s="161" t="s">
        <v>225</v>
      </c>
      <c r="I135" s="226">
        <f>+'Metraj Özeti'!I135</f>
        <v>0</v>
      </c>
      <c r="J135" s="226">
        <f>+'Metraj Özeti'!J135</f>
        <v>0</v>
      </c>
      <c r="K135" s="226">
        <f>+'Metraj Özeti'!K135</f>
        <v>0</v>
      </c>
    </row>
    <row r="136" spans="1:11" ht="19.95" hidden="1" customHeight="1" x14ac:dyDescent="0.3">
      <c r="A136" s="262" t="s">
        <v>154</v>
      </c>
      <c r="C136" s="161">
        <v>117</v>
      </c>
      <c r="D136" s="161" t="s">
        <v>453</v>
      </c>
      <c r="E136" s="1371" t="s">
        <v>454</v>
      </c>
      <c r="F136" s="1371"/>
      <c r="G136" s="1371"/>
      <c r="H136" s="161" t="s">
        <v>225</v>
      </c>
      <c r="I136" s="226">
        <f>+'Metraj Özeti'!I136</f>
        <v>0</v>
      </c>
      <c r="J136" s="226">
        <f>+'Metraj Özeti'!J136</f>
        <v>0</v>
      </c>
      <c r="K136" s="226">
        <f>+'Metraj Özeti'!K136</f>
        <v>0</v>
      </c>
    </row>
    <row r="137" spans="1:11" ht="19.95" hidden="1" customHeight="1" x14ac:dyDescent="0.3">
      <c r="A137" s="262" t="s">
        <v>154</v>
      </c>
      <c r="C137" s="161">
        <v>118</v>
      </c>
      <c r="D137" s="161" t="s">
        <v>455</v>
      </c>
      <c r="E137" s="1371" t="s">
        <v>456</v>
      </c>
      <c r="F137" s="1371"/>
      <c r="G137" s="1371"/>
      <c r="H137" s="161" t="s">
        <v>225</v>
      </c>
      <c r="I137" s="226">
        <f>+'Metraj Özeti'!I137</f>
        <v>0</v>
      </c>
      <c r="J137" s="226">
        <f>+'Metraj Özeti'!J137</f>
        <v>0</v>
      </c>
      <c r="K137" s="226">
        <f>+'Metraj Özeti'!K137</f>
        <v>0</v>
      </c>
    </row>
    <row r="138" spans="1:11" ht="19.95" hidden="1" customHeight="1" x14ac:dyDescent="0.3">
      <c r="A138" s="262" t="s">
        <v>154</v>
      </c>
      <c r="C138" s="161">
        <v>119</v>
      </c>
      <c r="D138" s="161" t="s">
        <v>457</v>
      </c>
      <c r="E138" s="1371" t="s">
        <v>458</v>
      </c>
      <c r="F138" s="1371"/>
      <c r="G138" s="1371"/>
      <c r="H138" s="161" t="s">
        <v>225</v>
      </c>
      <c r="I138" s="226">
        <f>+'Metraj Özeti'!I138</f>
        <v>0</v>
      </c>
      <c r="J138" s="226">
        <f>+'Metraj Özeti'!J138</f>
        <v>0</v>
      </c>
      <c r="K138" s="226">
        <f>+'Metraj Özeti'!K138</f>
        <v>0</v>
      </c>
    </row>
    <row r="139" spans="1:11" ht="19.95" hidden="1" customHeight="1" x14ac:dyDescent="0.3">
      <c r="A139" s="262" t="s">
        <v>154</v>
      </c>
      <c r="C139" s="161">
        <v>120</v>
      </c>
      <c r="D139" s="161" t="s">
        <v>459</v>
      </c>
      <c r="E139" s="1371" t="s">
        <v>460</v>
      </c>
      <c r="F139" s="1371"/>
      <c r="G139" s="1371"/>
      <c r="H139" s="161" t="s">
        <v>225</v>
      </c>
      <c r="I139" s="226">
        <f>+'Metraj Özeti'!I139</f>
        <v>0</v>
      </c>
      <c r="J139" s="226">
        <f>+'Metraj Özeti'!J139</f>
        <v>0</v>
      </c>
      <c r="K139" s="226">
        <f>+'Metraj Özeti'!K139</f>
        <v>0</v>
      </c>
    </row>
    <row r="140" spans="1:11" ht="19.95" hidden="1" customHeight="1" x14ac:dyDescent="0.3">
      <c r="A140" s="262" t="s">
        <v>154</v>
      </c>
      <c r="C140" s="161">
        <v>121</v>
      </c>
      <c r="D140" s="161" t="s">
        <v>461</v>
      </c>
      <c r="E140" s="1371" t="s">
        <v>462</v>
      </c>
      <c r="F140" s="1371"/>
      <c r="G140" s="1371"/>
      <c r="H140" s="161" t="s">
        <v>225</v>
      </c>
      <c r="I140" s="226">
        <f>+'Metraj Özeti'!I140</f>
        <v>0</v>
      </c>
      <c r="J140" s="226">
        <f>+'Metraj Özeti'!J140</f>
        <v>0</v>
      </c>
      <c r="K140" s="226">
        <f>+'Metraj Özeti'!K140</f>
        <v>0</v>
      </c>
    </row>
    <row r="141" spans="1:11" ht="19.95" hidden="1" customHeight="1" x14ac:dyDescent="0.3">
      <c r="A141" s="262" t="s">
        <v>154</v>
      </c>
      <c r="C141" s="161">
        <v>122</v>
      </c>
      <c r="D141" s="161" t="s">
        <v>463</v>
      </c>
      <c r="E141" s="1371" t="s">
        <v>464</v>
      </c>
      <c r="F141" s="1371"/>
      <c r="G141" s="1371"/>
      <c r="H141" s="161" t="s">
        <v>225</v>
      </c>
      <c r="I141" s="226">
        <f>+'Metraj Özeti'!I141</f>
        <v>0</v>
      </c>
      <c r="J141" s="226">
        <f>+'Metraj Özeti'!J141</f>
        <v>0</v>
      </c>
      <c r="K141" s="226">
        <f>+'Metraj Özeti'!K141</f>
        <v>0</v>
      </c>
    </row>
    <row r="142" spans="1:11" ht="19.95" hidden="1" customHeight="1" x14ac:dyDescent="0.3">
      <c r="A142" s="262" t="s">
        <v>154</v>
      </c>
      <c r="C142" s="161">
        <v>123</v>
      </c>
      <c r="D142" s="161" t="s">
        <v>465</v>
      </c>
      <c r="E142" s="1371" t="s">
        <v>466</v>
      </c>
      <c r="F142" s="1371"/>
      <c r="G142" s="1371"/>
      <c r="H142" s="161" t="s">
        <v>225</v>
      </c>
      <c r="I142" s="226">
        <f>+'Metraj Özeti'!I142</f>
        <v>0</v>
      </c>
      <c r="J142" s="226">
        <f>+'Metraj Özeti'!J142</f>
        <v>0</v>
      </c>
      <c r="K142" s="226">
        <f>+'Metraj Özeti'!K142</f>
        <v>0</v>
      </c>
    </row>
    <row r="143" spans="1:11" ht="19.95" hidden="1" customHeight="1" x14ac:dyDescent="0.3">
      <c r="A143" s="262" t="s">
        <v>154</v>
      </c>
      <c r="C143" s="161">
        <v>124</v>
      </c>
      <c r="D143" s="161" t="s">
        <v>467</v>
      </c>
      <c r="E143" s="1371" t="s">
        <v>468</v>
      </c>
      <c r="F143" s="1371"/>
      <c r="G143" s="1371"/>
      <c r="H143" s="161" t="s">
        <v>225</v>
      </c>
      <c r="I143" s="226">
        <f>+'Metraj Özeti'!I143</f>
        <v>0</v>
      </c>
      <c r="J143" s="226">
        <f>+'Metraj Özeti'!J143</f>
        <v>0</v>
      </c>
      <c r="K143" s="226">
        <f>+'Metraj Özeti'!K143</f>
        <v>0</v>
      </c>
    </row>
    <row r="144" spans="1:11" ht="19.95" hidden="1" customHeight="1" x14ac:dyDescent="0.3">
      <c r="A144" s="262" t="s">
        <v>154</v>
      </c>
      <c r="C144" s="161">
        <v>125</v>
      </c>
      <c r="D144" s="161" t="s">
        <v>469</v>
      </c>
      <c r="E144" s="1371" t="s">
        <v>470</v>
      </c>
      <c r="F144" s="1371"/>
      <c r="G144" s="1371"/>
      <c r="H144" s="161" t="s">
        <v>225</v>
      </c>
      <c r="I144" s="226">
        <f>+'Metraj Özeti'!I144</f>
        <v>0</v>
      </c>
      <c r="J144" s="226">
        <f>+'Metraj Özeti'!J144</f>
        <v>0</v>
      </c>
      <c r="K144" s="226">
        <f>+'Metraj Özeti'!K144</f>
        <v>0</v>
      </c>
    </row>
    <row r="145" spans="1:11" ht="19.95" hidden="1" customHeight="1" x14ac:dyDescent="0.3">
      <c r="A145" s="262" t="s">
        <v>154</v>
      </c>
      <c r="C145" s="161">
        <v>126</v>
      </c>
      <c r="D145" s="161" t="s">
        <v>471</v>
      </c>
      <c r="E145" s="1371" t="s">
        <v>472</v>
      </c>
      <c r="F145" s="1371"/>
      <c r="G145" s="1371"/>
      <c r="H145" s="161" t="s">
        <v>225</v>
      </c>
      <c r="I145" s="226">
        <f>+'Metraj Özeti'!I145</f>
        <v>0</v>
      </c>
      <c r="J145" s="226">
        <f>+'Metraj Özeti'!J145</f>
        <v>0</v>
      </c>
      <c r="K145" s="226">
        <f>+'Metraj Özeti'!K145</f>
        <v>0</v>
      </c>
    </row>
    <row r="146" spans="1:11" ht="19.95" hidden="1" customHeight="1" x14ac:dyDescent="0.3">
      <c r="A146" s="262" t="s">
        <v>154</v>
      </c>
      <c r="C146" s="161">
        <v>127</v>
      </c>
      <c r="D146" s="213" t="s">
        <v>473</v>
      </c>
      <c r="E146" s="1371" t="s">
        <v>474</v>
      </c>
      <c r="F146" s="1371"/>
      <c r="G146" s="1371"/>
      <c r="H146" s="161" t="s">
        <v>225</v>
      </c>
      <c r="I146" s="226">
        <f>+'Metraj Özeti'!I146</f>
        <v>0</v>
      </c>
      <c r="J146" s="226">
        <f>+'Metraj Özeti'!J146</f>
        <v>0</v>
      </c>
      <c r="K146" s="226">
        <f>+'Metraj Özeti'!K146</f>
        <v>0</v>
      </c>
    </row>
    <row r="147" spans="1:11" ht="19.95" hidden="1" customHeight="1" x14ac:dyDescent="0.3">
      <c r="A147" s="262" t="s">
        <v>154</v>
      </c>
      <c r="C147" s="161">
        <v>128</v>
      </c>
      <c r="D147" s="213" t="s">
        <v>475</v>
      </c>
      <c r="E147" s="1371" t="s">
        <v>476</v>
      </c>
      <c r="F147" s="1371"/>
      <c r="G147" s="1371"/>
      <c r="H147" s="161" t="s">
        <v>225</v>
      </c>
      <c r="I147" s="226">
        <f>+'Metraj Özeti'!I147</f>
        <v>0</v>
      </c>
      <c r="J147" s="226">
        <f>+'Metraj Özeti'!J147</f>
        <v>0</v>
      </c>
      <c r="K147" s="226">
        <f>+'Metraj Özeti'!K147</f>
        <v>0</v>
      </c>
    </row>
    <row r="148" spans="1:11" ht="19.95" hidden="1" customHeight="1" x14ac:dyDescent="0.3">
      <c r="A148" s="262" t="s">
        <v>154</v>
      </c>
      <c r="C148" s="161">
        <v>129</v>
      </c>
      <c r="D148" s="161" t="s">
        <v>477</v>
      </c>
      <c r="E148" s="1371" t="s">
        <v>478</v>
      </c>
      <c r="F148" s="1371"/>
      <c r="G148" s="1371"/>
      <c r="H148" s="161" t="s">
        <v>225</v>
      </c>
      <c r="I148" s="226">
        <f>+'Metraj Özeti'!I148</f>
        <v>0</v>
      </c>
      <c r="J148" s="226">
        <f>+'Metraj Özeti'!J148</f>
        <v>0</v>
      </c>
      <c r="K148" s="226">
        <f>+'Metraj Özeti'!K148</f>
        <v>0</v>
      </c>
    </row>
    <row r="149" spans="1:11" ht="19.95" hidden="1" customHeight="1" x14ac:dyDescent="0.3">
      <c r="A149" s="262" t="s">
        <v>154</v>
      </c>
      <c r="C149" s="161">
        <v>130</v>
      </c>
      <c r="D149" s="161" t="s">
        <v>479</v>
      </c>
      <c r="E149" s="1371" t="s">
        <v>480</v>
      </c>
      <c r="F149" s="1371"/>
      <c r="G149" s="1371"/>
      <c r="H149" s="161" t="s">
        <v>225</v>
      </c>
      <c r="I149" s="226">
        <f>+'Metraj Özeti'!I149</f>
        <v>0</v>
      </c>
      <c r="J149" s="226">
        <f>+'Metraj Özeti'!J149</f>
        <v>0</v>
      </c>
      <c r="K149" s="226">
        <f>+'Metraj Özeti'!K149</f>
        <v>0</v>
      </c>
    </row>
    <row r="150" spans="1:11" ht="19.95" hidden="1" customHeight="1" x14ac:dyDescent="0.3">
      <c r="A150" s="262" t="s">
        <v>154</v>
      </c>
      <c r="C150" s="161">
        <v>131</v>
      </c>
      <c r="D150" s="161" t="s">
        <v>481</v>
      </c>
      <c r="E150" s="1371" t="s">
        <v>482</v>
      </c>
      <c r="F150" s="1371"/>
      <c r="G150" s="1371"/>
      <c r="H150" s="161" t="s">
        <v>225</v>
      </c>
      <c r="I150" s="226">
        <f>+'Metraj Özeti'!I150</f>
        <v>0</v>
      </c>
      <c r="J150" s="226">
        <f>+'Metraj Özeti'!J150</f>
        <v>0</v>
      </c>
      <c r="K150" s="226">
        <f>+'Metraj Özeti'!K150</f>
        <v>0</v>
      </c>
    </row>
    <row r="151" spans="1:11" ht="19.95" hidden="1" customHeight="1" x14ac:dyDescent="0.3">
      <c r="A151" s="262" t="s">
        <v>154</v>
      </c>
      <c r="C151" s="161">
        <v>132</v>
      </c>
      <c r="D151" s="161" t="s">
        <v>483</v>
      </c>
      <c r="E151" s="1371" t="s">
        <v>484</v>
      </c>
      <c r="F151" s="1371"/>
      <c r="G151" s="1371"/>
      <c r="H151" s="161" t="s">
        <v>225</v>
      </c>
      <c r="I151" s="226">
        <f>+'Metraj Özeti'!I151</f>
        <v>0</v>
      </c>
      <c r="J151" s="226">
        <f>+'Metraj Özeti'!J151</f>
        <v>0</v>
      </c>
      <c r="K151" s="226">
        <f>+'Metraj Özeti'!K151</f>
        <v>0</v>
      </c>
    </row>
    <row r="152" spans="1:11" ht="19.95" hidden="1" customHeight="1" x14ac:dyDescent="0.3">
      <c r="A152" s="262" t="s">
        <v>154</v>
      </c>
      <c r="C152" s="161">
        <v>133</v>
      </c>
      <c r="D152" s="213" t="s">
        <v>485</v>
      </c>
      <c r="E152" s="1371" t="s">
        <v>486</v>
      </c>
      <c r="F152" s="1371"/>
      <c r="G152" s="1371"/>
      <c r="H152" s="161" t="s">
        <v>225</v>
      </c>
      <c r="I152" s="226">
        <f>+'Metraj Özeti'!I152</f>
        <v>0</v>
      </c>
      <c r="J152" s="226">
        <f>+'Metraj Özeti'!J152</f>
        <v>0</v>
      </c>
      <c r="K152" s="226">
        <f>+'Metraj Özeti'!K152</f>
        <v>0</v>
      </c>
    </row>
    <row r="153" spans="1:11" ht="19.95" hidden="1" customHeight="1" x14ac:dyDescent="0.3">
      <c r="A153" s="262" t="s">
        <v>154</v>
      </c>
      <c r="C153" s="161">
        <v>134</v>
      </c>
      <c r="D153" s="213" t="s">
        <v>487</v>
      </c>
      <c r="E153" s="1371" t="s">
        <v>488</v>
      </c>
      <c r="F153" s="1371"/>
      <c r="G153" s="1371"/>
      <c r="H153" s="161" t="s">
        <v>225</v>
      </c>
      <c r="I153" s="226">
        <f>+'Metraj Özeti'!I153</f>
        <v>0</v>
      </c>
      <c r="J153" s="226">
        <f>+'Metraj Özeti'!J153</f>
        <v>0</v>
      </c>
      <c r="K153" s="226">
        <f>+'Metraj Özeti'!K153</f>
        <v>0</v>
      </c>
    </row>
    <row r="154" spans="1:11" ht="19.95" hidden="1" customHeight="1" x14ac:dyDescent="0.3">
      <c r="A154" s="262" t="s">
        <v>154</v>
      </c>
      <c r="C154" s="161">
        <v>135</v>
      </c>
      <c r="D154" s="213" t="s">
        <v>489</v>
      </c>
      <c r="E154" s="1371" t="s">
        <v>490</v>
      </c>
      <c r="F154" s="1371"/>
      <c r="G154" s="1371"/>
      <c r="H154" s="161" t="s">
        <v>225</v>
      </c>
      <c r="I154" s="226">
        <f>+'Metraj Özeti'!I154</f>
        <v>0</v>
      </c>
      <c r="J154" s="226">
        <f>+'Metraj Özeti'!J154</f>
        <v>0</v>
      </c>
      <c r="K154" s="226">
        <f>+'Metraj Özeti'!K154</f>
        <v>0</v>
      </c>
    </row>
    <row r="155" spans="1:11" ht="19.95" hidden="1" customHeight="1" x14ac:dyDescent="0.3">
      <c r="A155" s="262" t="s">
        <v>154</v>
      </c>
      <c r="C155" s="161">
        <v>136</v>
      </c>
      <c r="D155" s="213" t="s">
        <v>491</v>
      </c>
      <c r="E155" s="1371" t="s">
        <v>492</v>
      </c>
      <c r="F155" s="1371"/>
      <c r="G155" s="1371"/>
      <c r="H155" s="161" t="s">
        <v>225</v>
      </c>
      <c r="I155" s="226">
        <f>+'Metraj Özeti'!I155</f>
        <v>0</v>
      </c>
      <c r="J155" s="226">
        <f>+'Metraj Özeti'!J155</f>
        <v>0</v>
      </c>
      <c r="K155" s="226">
        <f>+'Metraj Özeti'!K155</f>
        <v>0</v>
      </c>
    </row>
    <row r="156" spans="1:11" ht="19.95" hidden="1" customHeight="1" x14ac:dyDescent="0.3">
      <c r="A156" s="262" t="s">
        <v>154</v>
      </c>
      <c r="C156" s="161">
        <v>137</v>
      </c>
      <c r="D156" s="213" t="s">
        <v>493</v>
      </c>
      <c r="E156" s="1371" t="s">
        <v>494</v>
      </c>
      <c r="F156" s="1371"/>
      <c r="G156" s="1371"/>
      <c r="H156" s="161" t="s">
        <v>202</v>
      </c>
      <c r="I156" s="226">
        <f>+'Metraj Özeti'!I156</f>
        <v>0</v>
      </c>
      <c r="J156" s="226">
        <f>+'Metraj Özeti'!J156</f>
        <v>0</v>
      </c>
      <c r="K156" s="226">
        <f>+'Metraj Özeti'!K156</f>
        <v>0</v>
      </c>
    </row>
    <row r="157" spans="1:11" ht="19.95" hidden="1" customHeight="1" x14ac:dyDescent="0.3">
      <c r="A157" s="262" t="s">
        <v>154</v>
      </c>
      <c r="C157" s="161">
        <v>138</v>
      </c>
      <c r="D157" s="213" t="s">
        <v>495</v>
      </c>
      <c r="E157" s="1371" t="s">
        <v>496</v>
      </c>
      <c r="F157" s="1371"/>
      <c r="G157" s="1371"/>
      <c r="H157" s="161" t="s">
        <v>202</v>
      </c>
      <c r="I157" s="226">
        <f>+'Metraj Özeti'!I157</f>
        <v>0</v>
      </c>
      <c r="J157" s="226">
        <f>+'Metraj Özeti'!J157</f>
        <v>0</v>
      </c>
      <c r="K157" s="226">
        <f>+'Metraj Özeti'!K157</f>
        <v>0</v>
      </c>
    </row>
    <row r="158" spans="1:11" ht="19.95" hidden="1" customHeight="1" x14ac:dyDescent="0.3">
      <c r="A158" s="262" t="s">
        <v>154</v>
      </c>
      <c r="C158" s="161">
        <v>139</v>
      </c>
      <c r="D158" s="213" t="s">
        <v>497</v>
      </c>
      <c r="E158" s="1371" t="s">
        <v>498</v>
      </c>
      <c r="F158" s="1371"/>
      <c r="G158" s="1371"/>
      <c r="H158" s="161" t="s">
        <v>202</v>
      </c>
      <c r="I158" s="226">
        <f>+'Metraj Özeti'!I158</f>
        <v>0</v>
      </c>
      <c r="J158" s="226">
        <f>+'Metraj Özeti'!J158</f>
        <v>0</v>
      </c>
      <c r="K158" s="226">
        <f>+'Metraj Özeti'!K158</f>
        <v>0</v>
      </c>
    </row>
    <row r="159" spans="1:11" ht="19.95" hidden="1" customHeight="1" x14ac:dyDescent="0.3">
      <c r="A159" s="262" t="s">
        <v>154</v>
      </c>
      <c r="C159" s="161">
        <v>140</v>
      </c>
      <c r="D159" s="213" t="s">
        <v>499</v>
      </c>
      <c r="E159" s="1371" t="s">
        <v>500</v>
      </c>
      <c r="F159" s="1371"/>
      <c r="G159" s="1371"/>
      <c r="H159" s="161" t="s">
        <v>225</v>
      </c>
      <c r="I159" s="226">
        <f>+'Metraj Özeti'!I159</f>
        <v>0</v>
      </c>
      <c r="J159" s="226">
        <f>+'Metraj Özeti'!J159</f>
        <v>0</v>
      </c>
      <c r="K159" s="226">
        <f>+'Metraj Özeti'!K159</f>
        <v>0</v>
      </c>
    </row>
    <row r="160" spans="1:11" ht="19.95" hidden="1" customHeight="1" x14ac:dyDescent="0.3">
      <c r="A160" s="262" t="s">
        <v>154</v>
      </c>
      <c r="C160" s="161">
        <v>141</v>
      </c>
      <c r="D160" s="213" t="s">
        <v>501</v>
      </c>
      <c r="E160" s="1371" t="s">
        <v>502</v>
      </c>
      <c r="F160" s="1371"/>
      <c r="G160" s="1371"/>
      <c r="H160" s="161" t="s">
        <v>202</v>
      </c>
      <c r="I160" s="226">
        <f>+'Metraj Özeti'!I160</f>
        <v>0</v>
      </c>
      <c r="J160" s="226">
        <f>+'Metraj Özeti'!J160</f>
        <v>0</v>
      </c>
      <c r="K160" s="226">
        <f>+'Metraj Özeti'!K160</f>
        <v>0</v>
      </c>
    </row>
    <row r="161" spans="1:11" ht="19.95" hidden="1" customHeight="1" x14ac:dyDescent="0.3">
      <c r="A161" s="262" t="s">
        <v>154</v>
      </c>
      <c r="C161" s="161">
        <v>142</v>
      </c>
      <c r="D161" s="213" t="s">
        <v>503</v>
      </c>
      <c r="E161" s="1371" t="s">
        <v>504</v>
      </c>
      <c r="F161" s="1371"/>
      <c r="G161" s="1371"/>
      <c r="H161" s="161" t="s">
        <v>247</v>
      </c>
      <c r="I161" s="226">
        <f>+'Metraj Özeti'!I161</f>
        <v>0</v>
      </c>
      <c r="J161" s="226">
        <f>+'Metraj Özeti'!J161</f>
        <v>0</v>
      </c>
      <c r="K161" s="226">
        <f>+'Metraj Özeti'!K161</f>
        <v>0</v>
      </c>
    </row>
    <row r="162" spans="1:11" ht="19.95" hidden="1" customHeight="1" x14ac:dyDescent="0.3">
      <c r="A162" s="262" t="s">
        <v>154</v>
      </c>
      <c r="C162" s="161">
        <v>143</v>
      </c>
      <c r="D162" s="161" t="s">
        <v>505</v>
      </c>
      <c r="E162" s="1371" t="s">
        <v>506</v>
      </c>
      <c r="F162" s="1371"/>
      <c r="G162" s="1371"/>
      <c r="H162" s="161" t="s">
        <v>247</v>
      </c>
      <c r="I162" s="226">
        <f>+'Metraj Özeti'!I162</f>
        <v>0</v>
      </c>
      <c r="J162" s="226">
        <f>+'Metraj Özeti'!J162</f>
        <v>0</v>
      </c>
      <c r="K162" s="226">
        <f>+'Metraj Özeti'!K162</f>
        <v>0</v>
      </c>
    </row>
    <row r="163" spans="1:11" ht="19.95" hidden="1" customHeight="1" x14ac:dyDescent="0.3">
      <c r="A163" s="262" t="s">
        <v>154</v>
      </c>
      <c r="C163" s="161">
        <v>144</v>
      </c>
      <c r="D163" s="161" t="s">
        <v>507</v>
      </c>
      <c r="E163" s="1371" t="s">
        <v>508</v>
      </c>
      <c r="F163" s="1371"/>
      <c r="G163" s="1371"/>
      <c r="H163" s="161" t="s">
        <v>247</v>
      </c>
      <c r="I163" s="226">
        <f>+'Metraj Özeti'!I163</f>
        <v>0</v>
      </c>
      <c r="J163" s="226">
        <f>+'Metraj Özeti'!J163</f>
        <v>0</v>
      </c>
      <c r="K163" s="226">
        <f>+'Metraj Özeti'!K163</f>
        <v>0</v>
      </c>
    </row>
    <row r="164" spans="1:11" ht="19.95" hidden="1" customHeight="1" x14ac:dyDescent="0.3">
      <c r="A164" s="262" t="s">
        <v>154</v>
      </c>
      <c r="C164" s="161">
        <v>145</v>
      </c>
      <c r="D164" s="161" t="s">
        <v>509</v>
      </c>
      <c r="E164" s="1371" t="s">
        <v>510</v>
      </c>
      <c r="F164" s="1371"/>
      <c r="G164" s="1371"/>
      <c r="H164" s="161" t="s">
        <v>247</v>
      </c>
      <c r="I164" s="226">
        <f>+'Metraj Özeti'!I164</f>
        <v>0</v>
      </c>
      <c r="J164" s="226">
        <f>+'Metraj Özeti'!J164</f>
        <v>0</v>
      </c>
      <c r="K164" s="226">
        <f>+'Metraj Özeti'!K164</f>
        <v>0</v>
      </c>
    </row>
    <row r="165" spans="1:11" ht="19.95" hidden="1" customHeight="1" x14ac:dyDescent="0.3">
      <c r="A165" s="262" t="s">
        <v>154</v>
      </c>
      <c r="C165" s="161">
        <v>146</v>
      </c>
      <c r="D165" s="161" t="s">
        <v>511</v>
      </c>
      <c r="E165" s="1371" t="s">
        <v>512</v>
      </c>
      <c r="F165" s="1371"/>
      <c r="G165" s="1371"/>
      <c r="H165" s="161" t="s">
        <v>247</v>
      </c>
      <c r="I165" s="226">
        <f>+'Metraj Özeti'!I165</f>
        <v>0</v>
      </c>
      <c r="J165" s="226">
        <f>+'Metraj Özeti'!J165</f>
        <v>0</v>
      </c>
      <c r="K165" s="226">
        <f>+'Metraj Özeti'!K165</f>
        <v>0</v>
      </c>
    </row>
    <row r="166" spans="1:11" ht="19.95" hidden="1" customHeight="1" x14ac:dyDescent="0.3">
      <c r="A166" s="262" t="s">
        <v>154</v>
      </c>
      <c r="C166" s="161">
        <v>147</v>
      </c>
      <c r="D166" s="161" t="s">
        <v>513</v>
      </c>
      <c r="E166" s="1371" t="s">
        <v>514</v>
      </c>
      <c r="F166" s="1371"/>
      <c r="G166" s="1371"/>
      <c r="H166" s="161" t="s">
        <v>247</v>
      </c>
      <c r="I166" s="226">
        <f>+'Metraj Özeti'!I166</f>
        <v>0</v>
      </c>
      <c r="J166" s="226">
        <f>+'Metraj Özeti'!J166</f>
        <v>0</v>
      </c>
      <c r="K166" s="226">
        <f>+'Metraj Özeti'!K166</f>
        <v>0</v>
      </c>
    </row>
    <row r="167" spans="1:11" ht="19.95" hidden="1" customHeight="1" x14ac:dyDescent="0.3">
      <c r="A167" s="262" t="s">
        <v>154</v>
      </c>
      <c r="C167" s="161">
        <v>148</v>
      </c>
      <c r="D167" s="161" t="s">
        <v>515</v>
      </c>
      <c r="E167" s="1371" t="s">
        <v>516</v>
      </c>
      <c r="F167" s="1371"/>
      <c r="G167" s="1371"/>
      <c r="H167" s="161" t="s">
        <v>247</v>
      </c>
      <c r="I167" s="226">
        <f>+'Metraj Özeti'!I167</f>
        <v>0</v>
      </c>
      <c r="J167" s="226">
        <f>+'Metraj Özeti'!J167</f>
        <v>0</v>
      </c>
      <c r="K167" s="226">
        <f>+'Metraj Özeti'!K167</f>
        <v>0</v>
      </c>
    </row>
    <row r="168" spans="1:11" ht="19.95" hidden="1" customHeight="1" x14ac:dyDescent="0.3">
      <c r="A168" s="262" t="s">
        <v>154</v>
      </c>
      <c r="C168" s="161">
        <v>149</v>
      </c>
      <c r="D168" s="161" t="s">
        <v>517</v>
      </c>
      <c r="E168" s="1371" t="s">
        <v>518</v>
      </c>
      <c r="F168" s="1371"/>
      <c r="G168" s="1371"/>
      <c r="H168" s="161" t="s">
        <v>247</v>
      </c>
      <c r="I168" s="226">
        <f>+'Metraj Özeti'!I168</f>
        <v>0</v>
      </c>
      <c r="J168" s="226">
        <f>+'Metraj Özeti'!J168</f>
        <v>0</v>
      </c>
      <c r="K168" s="226">
        <f>+'Metraj Özeti'!K168</f>
        <v>0</v>
      </c>
    </row>
    <row r="169" spans="1:11" ht="19.95" hidden="1" customHeight="1" x14ac:dyDescent="0.3">
      <c r="A169" s="262" t="s">
        <v>154</v>
      </c>
      <c r="C169" s="161">
        <v>150</v>
      </c>
      <c r="D169" s="161" t="s">
        <v>519</v>
      </c>
      <c r="E169" s="1371" t="s">
        <v>520</v>
      </c>
      <c r="F169" s="1371"/>
      <c r="G169" s="1371"/>
      <c r="H169" s="161" t="s">
        <v>247</v>
      </c>
      <c r="I169" s="226">
        <f>+'Metraj Özeti'!I169</f>
        <v>0</v>
      </c>
      <c r="J169" s="226">
        <f>+'Metraj Özeti'!J169</f>
        <v>0</v>
      </c>
      <c r="K169" s="226">
        <f>+'Metraj Özeti'!K169</f>
        <v>0</v>
      </c>
    </row>
    <row r="170" spans="1:11" ht="19.95" hidden="1" customHeight="1" x14ac:dyDescent="0.3">
      <c r="A170" s="262" t="s">
        <v>154</v>
      </c>
      <c r="C170" s="161">
        <v>151</v>
      </c>
      <c r="D170" s="161" t="s">
        <v>521</v>
      </c>
      <c r="E170" s="1371" t="s">
        <v>522</v>
      </c>
      <c r="F170" s="1371"/>
      <c r="G170" s="1371"/>
      <c r="H170" s="161" t="s">
        <v>247</v>
      </c>
      <c r="I170" s="226">
        <f>+'Metraj Özeti'!I170</f>
        <v>0</v>
      </c>
      <c r="J170" s="226">
        <f>+'Metraj Özeti'!J170</f>
        <v>0</v>
      </c>
      <c r="K170" s="226">
        <f>+'Metraj Özeti'!K170</f>
        <v>0</v>
      </c>
    </row>
    <row r="171" spans="1:11" ht="19.95" hidden="1" customHeight="1" x14ac:dyDescent="0.3">
      <c r="A171" s="262" t="s">
        <v>154</v>
      </c>
      <c r="C171" s="161">
        <v>152</v>
      </c>
      <c r="D171" s="161" t="s">
        <v>523</v>
      </c>
      <c r="E171" s="1371" t="s">
        <v>524</v>
      </c>
      <c r="F171" s="1371"/>
      <c r="G171" s="1371"/>
      <c r="H171" s="161" t="s">
        <v>247</v>
      </c>
      <c r="I171" s="226">
        <f>+'Metraj Özeti'!I171</f>
        <v>0</v>
      </c>
      <c r="J171" s="226">
        <f>+'Metraj Özeti'!J171</f>
        <v>0</v>
      </c>
      <c r="K171" s="226">
        <f>+'Metraj Özeti'!K171</f>
        <v>0</v>
      </c>
    </row>
    <row r="172" spans="1:11" ht="19.95" hidden="1" customHeight="1" x14ac:dyDescent="0.3">
      <c r="A172" s="262" t="s">
        <v>154</v>
      </c>
      <c r="C172" s="161">
        <v>153</v>
      </c>
      <c r="D172" s="161" t="s">
        <v>525</v>
      </c>
      <c r="E172" s="1371" t="s">
        <v>526</v>
      </c>
      <c r="F172" s="1371"/>
      <c r="G172" s="1371"/>
      <c r="H172" s="161" t="s">
        <v>247</v>
      </c>
      <c r="I172" s="226">
        <f>+'Metraj Özeti'!I172</f>
        <v>0</v>
      </c>
      <c r="J172" s="226">
        <f>+'Metraj Özeti'!J172</f>
        <v>0</v>
      </c>
      <c r="K172" s="226">
        <f>+'Metraj Özeti'!K172</f>
        <v>0</v>
      </c>
    </row>
    <row r="173" spans="1:11" ht="19.95" hidden="1" customHeight="1" x14ac:dyDescent="0.3">
      <c r="A173" s="262" t="s">
        <v>154</v>
      </c>
      <c r="C173" s="161">
        <v>154</v>
      </c>
      <c r="D173" s="161" t="s">
        <v>527</v>
      </c>
      <c r="E173" s="1371" t="s">
        <v>528</v>
      </c>
      <c r="F173" s="1371"/>
      <c r="G173" s="1371"/>
      <c r="H173" s="161" t="s">
        <v>247</v>
      </c>
      <c r="I173" s="226">
        <f>+'Metraj Özeti'!I173</f>
        <v>0</v>
      </c>
      <c r="J173" s="226">
        <f>+'Metraj Özeti'!J173</f>
        <v>0</v>
      </c>
      <c r="K173" s="226">
        <f>+'Metraj Özeti'!K173</f>
        <v>0</v>
      </c>
    </row>
    <row r="174" spans="1:11" ht="19.95" hidden="1" customHeight="1" x14ac:dyDescent="0.3">
      <c r="A174" s="262" t="s">
        <v>154</v>
      </c>
      <c r="C174" s="161">
        <v>155</v>
      </c>
      <c r="D174" s="161" t="s">
        <v>529</v>
      </c>
      <c r="E174" s="1371" t="s">
        <v>530</v>
      </c>
      <c r="F174" s="1371"/>
      <c r="G174" s="1371"/>
      <c r="H174" s="161" t="s">
        <v>247</v>
      </c>
      <c r="I174" s="226">
        <f>+'Metraj Özeti'!I174</f>
        <v>0</v>
      </c>
      <c r="J174" s="226">
        <f>+'Metraj Özeti'!J174</f>
        <v>0</v>
      </c>
      <c r="K174" s="226">
        <f>+'Metraj Özeti'!K174</f>
        <v>0</v>
      </c>
    </row>
    <row r="175" spans="1:11" ht="19.95" hidden="1" customHeight="1" x14ac:dyDescent="0.3">
      <c r="A175" s="262" t="s">
        <v>154</v>
      </c>
      <c r="C175" s="161">
        <v>156</v>
      </c>
      <c r="D175" s="161" t="s">
        <v>531</v>
      </c>
      <c r="E175" s="1371" t="s">
        <v>532</v>
      </c>
      <c r="F175" s="1371"/>
      <c r="G175" s="1371"/>
      <c r="H175" s="161" t="s">
        <v>247</v>
      </c>
      <c r="I175" s="226">
        <f>+'Metraj Özeti'!I175</f>
        <v>0</v>
      </c>
      <c r="J175" s="226">
        <f>+'Metraj Özeti'!J175</f>
        <v>0</v>
      </c>
      <c r="K175" s="226">
        <f>+'Metraj Özeti'!K175</f>
        <v>0</v>
      </c>
    </row>
    <row r="176" spans="1:11" ht="19.95" hidden="1" customHeight="1" x14ac:dyDescent="0.3">
      <c r="A176" s="262" t="s">
        <v>154</v>
      </c>
      <c r="C176" s="161">
        <v>157</v>
      </c>
      <c r="D176" s="161" t="s">
        <v>533</v>
      </c>
      <c r="E176" s="1371" t="s">
        <v>534</v>
      </c>
      <c r="F176" s="1371"/>
      <c r="G176" s="1371"/>
      <c r="H176" s="161" t="s">
        <v>247</v>
      </c>
      <c r="I176" s="226">
        <f>+'Metraj Özeti'!I176</f>
        <v>0</v>
      </c>
      <c r="J176" s="226">
        <f>+'Metraj Özeti'!J176</f>
        <v>0</v>
      </c>
      <c r="K176" s="226">
        <f>+'Metraj Özeti'!K176</f>
        <v>0</v>
      </c>
    </row>
    <row r="177" spans="1:11" ht="19.95" hidden="1" customHeight="1" x14ac:dyDescent="0.3">
      <c r="A177" s="262" t="s">
        <v>154</v>
      </c>
      <c r="C177" s="161">
        <v>158</v>
      </c>
      <c r="D177" s="161" t="s">
        <v>535</v>
      </c>
      <c r="E177" s="1371" t="s">
        <v>536</v>
      </c>
      <c r="F177" s="1371"/>
      <c r="G177" s="1371"/>
      <c r="H177" s="161" t="s">
        <v>247</v>
      </c>
      <c r="I177" s="226">
        <f>+'Metraj Özeti'!I177</f>
        <v>0</v>
      </c>
      <c r="J177" s="226">
        <f>+'Metraj Özeti'!J177</f>
        <v>0</v>
      </c>
      <c r="K177" s="226">
        <f>+'Metraj Özeti'!K177</f>
        <v>0</v>
      </c>
    </row>
    <row r="178" spans="1:11" ht="19.95" hidden="1" customHeight="1" x14ac:dyDescent="0.3">
      <c r="A178" s="262" t="s">
        <v>154</v>
      </c>
      <c r="C178" s="161">
        <v>159</v>
      </c>
      <c r="D178" s="161" t="s">
        <v>537</v>
      </c>
      <c r="E178" s="1371" t="s">
        <v>538</v>
      </c>
      <c r="F178" s="1371"/>
      <c r="G178" s="1371"/>
      <c r="H178" s="161" t="s">
        <v>247</v>
      </c>
      <c r="I178" s="226">
        <f>+'Metraj Özeti'!I178</f>
        <v>0</v>
      </c>
      <c r="J178" s="226">
        <f>+'Metraj Özeti'!J178</f>
        <v>0</v>
      </c>
      <c r="K178" s="226">
        <f>+'Metraj Özeti'!K178</f>
        <v>0</v>
      </c>
    </row>
    <row r="179" spans="1:11" ht="19.95" hidden="1" customHeight="1" x14ac:dyDescent="0.3">
      <c r="A179" s="262" t="s">
        <v>154</v>
      </c>
      <c r="C179" s="161">
        <v>160</v>
      </c>
      <c r="D179" s="161" t="s">
        <v>539</v>
      </c>
      <c r="E179" s="1371" t="s">
        <v>540</v>
      </c>
      <c r="F179" s="1371"/>
      <c r="G179" s="1371"/>
      <c r="H179" s="161" t="s">
        <v>247</v>
      </c>
      <c r="I179" s="226">
        <f>+'Metraj Özeti'!I179</f>
        <v>0</v>
      </c>
      <c r="J179" s="226">
        <f>+'Metraj Özeti'!J179</f>
        <v>0</v>
      </c>
      <c r="K179" s="226">
        <f>+'Metraj Özeti'!K179</f>
        <v>0</v>
      </c>
    </row>
    <row r="180" spans="1:11" ht="19.95" hidden="1" customHeight="1" x14ac:dyDescent="0.3">
      <c r="A180" s="262" t="s">
        <v>154</v>
      </c>
      <c r="C180" s="161">
        <v>161</v>
      </c>
      <c r="D180" s="161" t="s">
        <v>541</v>
      </c>
      <c r="E180" s="1371" t="s">
        <v>542</v>
      </c>
      <c r="F180" s="1371"/>
      <c r="G180" s="1371"/>
      <c r="H180" s="161" t="s">
        <v>247</v>
      </c>
      <c r="I180" s="226">
        <f>+'Metraj Özeti'!I180</f>
        <v>0</v>
      </c>
      <c r="J180" s="226">
        <f>+'Metraj Özeti'!J180</f>
        <v>0</v>
      </c>
      <c r="K180" s="226">
        <f>+'Metraj Özeti'!K180</f>
        <v>0</v>
      </c>
    </row>
    <row r="181" spans="1:11" ht="19.95" hidden="1" customHeight="1" x14ac:dyDescent="0.3">
      <c r="A181" s="262" t="s">
        <v>154</v>
      </c>
      <c r="C181" s="161">
        <v>162</v>
      </c>
      <c r="D181" s="161" t="s">
        <v>543</v>
      </c>
      <c r="E181" s="1371" t="s">
        <v>544</v>
      </c>
      <c r="F181" s="1371"/>
      <c r="G181" s="1371"/>
      <c r="H181" s="161" t="s">
        <v>247</v>
      </c>
      <c r="I181" s="226">
        <f>+'Metraj Özeti'!I181</f>
        <v>0</v>
      </c>
      <c r="J181" s="226">
        <f>+'Metraj Özeti'!J181</f>
        <v>0</v>
      </c>
      <c r="K181" s="226">
        <f>+'Metraj Özeti'!K181</f>
        <v>0</v>
      </c>
    </row>
    <row r="182" spans="1:11" ht="19.95" hidden="1" customHeight="1" x14ac:dyDescent="0.3">
      <c r="A182" s="262" t="s">
        <v>154</v>
      </c>
      <c r="C182" s="161">
        <v>163</v>
      </c>
      <c r="D182" s="161" t="s">
        <v>545</v>
      </c>
      <c r="E182" s="1371" t="s">
        <v>546</v>
      </c>
      <c r="F182" s="1371"/>
      <c r="G182" s="1371"/>
      <c r="H182" s="161" t="s">
        <v>247</v>
      </c>
      <c r="I182" s="226">
        <f>+'Metraj Özeti'!I182</f>
        <v>0</v>
      </c>
      <c r="J182" s="226">
        <f>+'Metraj Özeti'!J182</f>
        <v>0</v>
      </c>
      <c r="K182" s="226">
        <f>+'Metraj Özeti'!K182</f>
        <v>0</v>
      </c>
    </row>
    <row r="183" spans="1:11" ht="19.95" hidden="1" customHeight="1" x14ac:dyDescent="0.3">
      <c r="A183" s="262" t="s">
        <v>154</v>
      </c>
      <c r="C183" s="161">
        <v>164</v>
      </c>
      <c r="D183" s="213" t="s">
        <v>547</v>
      </c>
      <c r="E183" s="1371" t="s">
        <v>548</v>
      </c>
      <c r="F183" s="1371"/>
      <c r="G183" s="1371"/>
      <c r="H183" s="161" t="s">
        <v>374</v>
      </c>
      <c r="I183" s="226">
        <f>+'Metraj Özeti'!I183</f>
        <v>0</v>
      </c>
      <c r="J183" s="226">
        <f>+'Metraj Özeti'!J183</f>
        <v>0</v>
      </c>
      <c r="K183" s="226">
        <f>+'Metraj Özeti'!K183</f>
        <v>0</v>
      </c>
    </row>
    <row r="184" spans="1:11" ht="19.95" hidden="1" customHeight="1" x14ac:dyDescent="0.3">
      <c r="A184" s="262" t="s">
        <v>154</v>
      </c>
      <c r="C184" s="161">
        <v>165</v>
      </c>
      <c r="D184" s="213" t="s">
        <v>549</v>
      </c>
      <c r="E184" s="1371" t="s">
        <v>550</v>
      </c>
      <c r="F184" s="1371"/>
      <c r="G184" s="1371"/>
      <c r="H184" s="161" t="s">
        <v>225</v>
      </c>
      <c r="I184" s="226">
        <f>+'Metraj Özeti'!I184</f>
        <v>0</v>
      </c>
      <c r="J184" s="226">
        <f>+'Metraj Özeti'!J184</f>
        <v>0</v>
      </c>
      <c r="K184" s="226">
        <f>+'Metraj Özeti'!K184</f>
        <v>0</v>
      </c>
    </row>
    <row r="185" spans="1:11" ht="19.95" hidden="1" customHeight="1" x14ac:dyDescent="0.3">
      <c r="A185" s="262" t="s">
        <v>154</v>
      </c>
      <c r="C185" s="161">
        <v>166</v>
      </c>
      <c r="D185" s="213" t="s">
        <v>551</v>
      </c>
      <c r="E185" s="1371" t="s">
        <v>552</v>
      </c>
      <c r="F185" s="1371"/>
      <c r="G185" s="1371"/>
      <c r="H185" s="161" t="s">
        <v>202</v>
      </c>
      <c r="I185" s="226">
        <f>+'Metraj Özeti'!I185</f>
        <v>0</v>
      </c>
      <c r="J185" s="226">
        <f>+'Metraj Özeti'!J185</f>
        <v>0</v>
      </c>
      <c r="K185" s="226">
        <f>+'Metraj Özeti'!K185</f>
        <v>0</v>
      </c>
    </row>
    <row r="186" spans="1:11" ht="19.95" hidden="1" customHeight="1" x14ac:dyDescent="0.3">
      <c r="A186" s="262" t="s">
        <v>154</v>
      </c>
      <c r="C186" s="161">
        <v>167</v>
      </c>
      <c r="D186" s="213" t="s">
        <v>553</v>
      </c>
      <c r="E186" s="1371" t="s">
        <v>554</v>
      </c>
      <c r="F186" s="1371"/>
      <c r="G186" s="1371"/>
      <c r="H186" s="161" t="s">
        <v>202</v>
      </c>
      <c r="I186" s="226">
        <f>+'Metraj Özeti'!I186</f>
        <v>0</v>
      </c>
      <c r="J186" s="226">
        <f>+'Metraj Özeti'!J186</f>
        <v>0</v>
      </c>
      <c r="K186" s="226">
        <f>+'Metraj Özeti'!K186</f>
        <v>0</v>
      </c>
    </row>
    <row r="187" spans="1:11" ht="19.95" hidden="1" customHeight="1" x14ac:dyDescent="0.3">
      <c r="A187" s="262" t="s">
        <v>154</v>
      </c>
      <c r="C187" s="161">
        <v>168</v>
      </c>
      <c r="D187" s="213" t="s">
        <v>555</v>
      </c>
      <c r="E187" s="1371" t="s">
        <v>556</v>
      </c>
      <c r="F187" s="1371"/>
      <c r="G187" s="1371"/>
      <c r="H187" s="161" t="s">
        <v>247</v>
      </c>
      <c r="I187" s="226">
        <f>+'Metraj Özeti'!I187</f>
        <v>0</v>
      </c>
      <c r="J187" s="226">
        <f>+'Metraj Özeti'!J187</f>
        <v>0</v>
      </c>
      <c r="K187" s="226">
        <f>+'Metraj Özeti'!K187</f>
        <v>0</v>
      </c>
    </row>
    <row r="188" spans="1:11" ht="19.95" hidden="1" customHeight="1" x14ac:dyDescent="0.3">
      <c r="A188" s="262" t="s">
        <v>154</v>
      </c>
      <c r="C188" s="161">
        <v>169</v>
      </c>
      <c r="D188" s="213" t="s">
        <v>557</v>
      </c>
      <c r="E188" s="1371" t="s">
        <v>558</v>
      </c>
      <c r="F188" s="1371"/>
      <c r="G188" s="1371"/>
      <c r="H188" s="161" t="s">
        <v>225</v>
      </c>
      <c r="I188" s="226">
        <f>+'Metraj Özeti'!I188</f>
        <v>0</v>
      </c>
      <c r="J188" s="226">
        <f>+'Metraj Özeti'!J188</f>
        <v>0</v>
      </c>
      <c r="K188" s="226">
        <f>+'Metraj Özeti'!K188</f>
        <v>0</v>
      </c>
    </row>
    <row r="189" spans="1:11" ht="19.95" hidden="1" customHeight="1" x14ac:dyDescent="0.3">
      <c r="A189" s="262" t="s">
        <v>154</v>
      </c>
      <c r="C189" s="161">
        <v>170</v>
      </c>
      <c r="D189" s="213" t="s">
        <v>559</v>
      </c>
      <c r="E189" s="1371" t="s">
        <v>560</v>
      </c>
      <c r="F189" s="1371"/>
      <c r="G189" s="1371"/>
      <c r="H189" s="161" t="s">
        <v>225</v>
      </c>
      <c r="I189" s="226">
        <f>+'Metraj Özeti'!I189</f>
        <v>0</v>
      </c>
      <c r="J189" s="226">
        <f>+'Metraj Özeti'!J189</f>
        <v>0</v>
      </c>
      <c r="K189" s="226">
        <f>+'Metraj Özeti'!K189</f>
        <v>0</v>
      </c>
    </row>
    <row r="190" spans="1:11" ht="19.95" hidden="1" customHeight="1" x14ac:dyDescent="0.3">
      <c r="A190" s="262" t="s">
        <v>154</v>
      </c>
      <c r="C190" s="161">
        <v>171</v>
      </c>
      <c r="D190" s="213" t="s">
        <v>561</v>
      </c>
      <c r="E190" s="1371" t="s">
        <v>562</v>
      </c>
      <c r="F190" s="1371"/>
      <c r="G190" s="1371"/>
      <c r="H190" s="161" t="s">
        <v>247</v>
      </c>
      <c r="I190" s="226">
        <f>+'Metraj Özeti'!I190</f>
        <v>0</v>
      </c>
      <c r="J190" s="226">
        <f>+'Metraj Özeti'!J190</f>
        <v>0</v>
      </c>
      <c r="K190" s="226">
        <f>+'Metraj Özeti'!K190</f>
        <v>0</v>
      </c>
    </row>
    <row r="191" spans="1:11" ht="19.95" hidden="1" customHeight="1" x14ac:dyDescent="0.3">
      <c r="A191" s="262" t="s">
        <v>154</v>
      </c>
      <c r="C191" s="161">
        <v>172</v>
      </c>
      <c r="D191" s="213" t="s">
        <v>563</v>
      </c>
      <c r="E191" s="1371" t="s">
        <v>564</v>
      </c>
      <c r="F191" s="1371"/>
      <c r="G191" s="1371"/>
      <c r="H191" s="161" t="s">
        <v>225</v>
      </c>
      <c r="I191" s="226">
        <f>+'Metraj Özeti'!I191</f>
        <v>0</v>
      </c>
      <c r="J191" s="226">
        <f>+'Metraj Özeti'!J191</f>
        <v>0</v>
      </c>
      <c r="K191" s="226">
        <f>+'Metraj Özeti'!K191</f>
        <v>0</v>
      </c>
    </row>
    <row r="192" spans="1:11" ht="19.95" hidden="1" customHeight="1" x14ac:dyDescent="0.3">
      <c r="A192" s="262" t="s">
        <v>154</v>
      </c>
      <c r="C192" s="161">
        <v>173</v>
      </c>
      <c r="D192" s="213" t="s">
        <v>565</v>
      </c>
      <c r="E192" s="1371" t="s">
        <v>566</v>
      </c>
      <c r="F192" s="1371"/>
      <c r="G192" s="1371"/>
      <c r="H192" s="161" t="s">
        <v>225</v>
      </c>
      <c r="I192" s="226">
        <f>+'Metraj Özeti'!I192</f>
        <v>0</v>
      </c>
      <c r="J192" s="226">
        <f>+'Metraj Özeti'!J192</f>
        <v>0</v>
      </c>
      <c r="K192" s="226">
        <f>+'Metraj Özeti'!K192</f>
        <v>0</v>
      </c>
    </row>
    <row r="193" spans="1:11" ht="19.95" hidden="1" customHeight="1" x14ac:dyDescent="0.3">
      <c r="A193" s="262" t="s">
        <v>154</v>
      </c>
      <c r="C193" s="161">
        <v>174</v>
      </c>
      <c r="D193" s="161" t="s">
        <v>567</v>
      </c>
      <c r="E193" s="1371" t="s">
        <v>568</v>
      </c>
      <c r="F193" s="1371"/>
      <c r="G193" s="1371"/>
      <c r="H193" s="161" t="s">
        <v>225</v>
      </c>
      <c r="I193" s="226">
        <f>+'Metraj Özeti'!I193</f>
        <v>0</v>
      </c>
      <c r="J193" s="226">
        <f>+'Metraj Özeti'!J193</f>
        <v>0</v>
      </c>
      <c r="K193" s="226">
        <f>+'Metraj Özeti'!K193</f>
        <v>0</v>
      </c>
    </row>
    <row r="194" spans="1:11" ht="19.95" hidden="1" customHeight="1" x14ac:dyDescent="0.3">
      <c r="A194" s="262" t="s">
        <v>154</v>
      </c>
      <c r="C194" s="161">
        <v>175</v>
      </c>
      <c r="D194" s="161" t="s">
        <v>569</v>
      </c>
      <c r="E194" s="1371" t="s">
        <v>570</v>
      </c>
      <c r="F194" s="1371"/>
      <c r="G194" s="1371"/>
      <c r="H194" s="161" t="s">
        <v>225</v>
      </c>
      <c r="I194" s="226">
        <f>+'Metraj Özeti'!I194</f>
        <v>0</v>
      </c>
      <c r="J194" s="226">
        <f>+'Metraj Özeti'!J194</f>
        <v>0</v>
      </c>
      <c r="K194" s="226">
        <f>+'Metraj Özeti'!K194</f>
        <v>0</v>
      </c>
    </row>
    <row r="195" spans="1:11" ht="19.95" hidden="1" customHeight="1" x14ac:dyDescent="0.3">
      <c r="A195" s="262" t="s">
        <v>154</v>
      </c>
      <c r="C195" s="161">
        <v>176</v>
      </c>
      <c r="D195" s="213" t="s">
        <v>571</v>
      </c>
      <c r="E195" s="1371" t="s">
        <v>572</v>
      </c>
      <c r="F195" s="1371"/>
      <c r="G195" s="1371"/>
      <c r="H195" s="161" t="s">
        <v>247</v>
      </c>
      <c r="I195" s="226">
        <f>+'Metraj Özeti'!I195</f>
        <v>0</v>
      </c>
      <c r="J195" s="226">
        <f>+'Metraj Özeti'!J195</f>
        <v>0</v>
      </c>
      <c r="K195" s="226">
        <f>+'Metraj Özeti'!K195</f>
        <v>0</v>
      </c>
    </row>
    <row r="196" spans="1:11" ht="19.95" hidden="1" customHeight="1" x14ac:dyDescent="0.3">
      <c r="A196" s="262" t="s">
        <v>154</v>
      </c>
      <c r="C196" s="161">
        <v>177</v>
      </c>
      <c r="D196" s="213" t="s">
        <v>573</v>
      </c>
      <c r="E196" s="1371" t="s">
        <v>574</v>
      </c>
      <c r="F196" s="1371"/>
      <c r="G196" s="1371"/>
      <c r="H196" s="161" t="s">
        <v>225</v>
      </c>
      <c r="I196" s="226">
        <f>+'Metraj Özeti'!I196</f>
        <v>0</v>
      </c>
      <c r="J196" s="226">
        <f>+'Metraj Özeti'!J196</f>
        <v>0</v>
      </c>
      <c r="K196" s="226">
        <f>+'Metraj Özeti'!K196</f>
        <v>0</v>
      </c>
    </row>
    <row r="197" spans="1:11" ht="19.95" hidden="1" customHeight="1" x14ac:dyDescent="0.3">
      <c r="A197" s="262" t="s">
        <v>154</v>
      </c>
      <c r="C197" s="161">
        <v>178</v>
      </c>
      <c r="D197" s="213" t="s">
        <v>575</v>
      </c>
      <c r="E197" s="1371" t="s">
        <v>576</v>
      </c>
      <c r="F197" s="1371"/>
      <c r="G197" s="1371"/>
      <c r="H197" s="161" t="s">
        <v>202</v>
      </c>
      <c r="I197" s="226">
        <f>+'Metraj Özeti'!I197</f>
        <v>0</v>
      </c>
      <c r="J197" s="226">
        <f>+'Metraj Özeti'!J197</f>
        <v>0</v>
      </c>
      <c r="K197" s="226">
        <f>+'Metraj Özeti'!K197</f>
        <v>0</v>
      </c>
    </row>
    <row r="198" spans="1:11" ht="19.95" hidden="1" customHeight="1" x14ac:dyDescent="0.3">
      <c r="A198" s="262" t="s">
        <v>154</v>
      </c>
      <c r="C198" s="161">
        <v>179</v>
      </c>
      <c r="D198" s="213" t="s">
        <v>577</v>
      </c>
      <c r="E198" s="1371" t="s">
        <v>578</v>
      </c>
      <c r="F198" s="1371"/>
      <c r="G198" s="1371"/>
      <c r="H198" s="161" t="s">
        <v>374</v>
      </c>
      <c r="I198" s="226">
        <f>+'Metraj Özeti'!I198</f>
        <v>0</v>
      </c>
      <c r="J198" s="226">
        <f>+'Metraj Özeti'!J198</f>
        <v>0</v>
      </c>
      <c r="K198" s="226">
        <f>+'Metraj Özeti'!K198</f>
        <v>0</v>
      </c>
    </row>
    <row r="199" spans="1:11" ht="19.95" hidden="1" customHeight="1" x14ac:dyDescent="0.3">
      <c r="A199" s="262" t="s">
        <v>154</v>
      </c>
      <c r="C199" s="161">
        <v>180</v>
      </c>
      <c r="D199" s="213" t="s">
        <v>579</v>
      </c>
      <c r="E199" s="1371" t="s">
        <v>580</v>
      </c>
      <c r="F199" s="1371"/>
      <c r="G199" s="1371"/>
      <c r="H199" s="161" t="s">
        <v>374</v>
      </c>
      <c r="I199" s="226">
        <f>+'Metraj Özeti'!I199</f>
        <v>0</v>
      </c>
      <c r="J199" s="226">
        <f>+'Metraj Özeti'!J199</f>
        <v>0</v>
      </c>
      <c r="K199" s="226">
        <f>+'Metraj Özeti'!K199</f>
        <v>0</v>
      </c>
    </row>
    <row r="200" spans="1:11" ht="19.95" hidden="1" customHeight="1" x14ac:dyDescent="0.3">
      <c r="A200" s="262" t="s">
        <v>154</v>
      </c>
      <c r="C200" s="161">
        <v>181</v>
      </c>
      <c r="D200" s="213" t="s">
        <v>581</v>
      </c>
      <c r="E200" s="1371" t="s">
        <v>582</v>
      </c>
      <c r="F200" s="1371"/>
      <c r="G200" s="1371"/>
      <c r="H200" s="161" t="s">
        <v>225</v>
      </c>
      <c r="I200" s="226">
        <f>+'Metraj Özeti'!I200</f>
        <v>0</v>
      </c>
      <c r="J200" s="226">
        <f>+'Metraj Özeti'!J200</f>
        <v>0</v>
      </c>
      <c r="K200" s="226">
        <f>+'Metraj Özeti'!K200</f>
        <v>0</v>
      </c>
    </row>
    <row r="201" spans="1:11" ht="19.95" hidden="1" customHeight="1" x14ac:dyDescent="0.3">
      <c r="A201" s="262" t="s">
        <v>154</v>
      </c>
      <c r="C201" s="161">
        <v>182</v>
      </c>
      <c r="D201" s="213" t="s">
        <v>583</v>
      </c>
      <c r="E201" s="1371" t="s">
        <v>584</v>
      </c>
      <c r="F201" s="1371"/>
      <c r="G201" s="1371"/>
      <c r="H201" s="161" t="s">
        <v>247</v>
      </c>
      <c r="I201" s="226">
        <f>+'Metraj Özeti'!I201</f>
        <v>0</v>
      </c>
      <c r="J201" s="226">
        <f>+'Metraj Özeti'!J201</f>
        <v>0</v>
      </c>
      <c r="K201" s="226">
        <f>+'Metraj Özeti'!K201</f>
        <v>0</v>
      </c>
    </row>
    <row r="202" spans="1:11" ht="19.95" hidden="1" customHeight="1" x14ac:dyDescent="0.3">
      <c r="A202" s="262" t="s">
        <v>154</v>
      </c>
      <c r="C202" s="161">
        <v>183</v>
      </c>
      <c r="D202" s="213" t="s">
        <v>585</v>
      </c>
      <c r="E202" s="1371" t="s">
        <v>586</v>
      </c>
      <c r="F202" s="1371"/>
      <c r="G202" s="1371"/>
      <c r="H202" s="161" t="s">
        <v>247</v>
      </c>
      <c r="I202" s="226">
        <f>+'Metraj Özeti'!I202</f>
        <v>0</v>
      </c>
      <c r="J202" s="226">
        <f>+'Metraj Özeti'!J202</f>
        <v>0</v>
      </c>
      <c r="K202" s="226">
        <f>+'Metraj Özeti'!K202</f>
        <v>0</v>
      </c>
    </row>
    <row r="203" spans="1:11" ht="19.95" hidden="1" customHeight="1" x14ac:dyDescent="0.3">
      <c r="A203" s="262" t="s">
        <v>154</v>
      </c>
      <c r="C203" s="658">
        <v>184</v>
      </c>
      <c r="D203" s="689" t="s">
        <v>587</v>
      </c>
      <c r="E203" s="1372" t="s">
        <v>588</v>
      </c>
      <c r="F203" s="1372"/>
      <c r="G203" s="1372"/>
      <c r="H203" s="658" t="s">
        <v>247</v>
      </c>
      <c r="I203" s="226">
        <f>+'Metraj Özeti'!I203</f>
        <v>0</v>
      </c>
      <c r="J203" s="226">
        <f>+'Metraj Özeti'!J203</f>
        <v>0</v>
      </c>
      <c r="K203" s="226">
        <f>+'Metraj Özeti'!K203</f>
        <v>0</v>
      </c>
    </row>
    <row r="204" spans="1:11" s="793" customFormat="1" ht="25.05" customHeight="1" x14ac:dyDescent="0.3">
      <c r="A204" s="792" t="s">
        <v>1240</v>
      </c>
      <c r="C204" s="839"/>
      <c r="D204" s="869" t="s">
        <v>1229</v>
      </c>
      <c r="E204" s="841"/>
      <c r="F204" s="841"/>
      <c r="G204" s="841"/>
      <c r="H204" s="841"/>
      <c r="I204" s="871"/>
      <c r="J204" s="842"/>
      <c r="K204" s="893"/>
    </row>
    <row r="205" spans="1:11" ht="19.95" hidden="1" customHeight="1" x14ac:dyDescent="0.3">
      <c r="A205" s="262">
        <v>2</v>
      </c>
      <c r="C205" s="243">
        <v>185</v>
      </c>
      <c r="D205" s="210" t="s">
        <v>589</v>
      </c>
      <c r="E205" s="1373" t="s">
        <v>590</v>
      </c>
      <c r="F205" s="1373"/>
      <c r="G205" s="1373"/>
      <c r="H205" s="160" t="s">
        <v>286</v>
      </c>
      <c r="I205" s="226">
        <f>+'Metraj Özeti'!I205</f>
        <v>0</v>
      </c>
      <c r="J205" s="226">
        <f>+'Metraj Özeti'!J205</f>
        <v>0</v>
      </c>
      <c r="K205" s="226">
        <f>+'Metraj Özeti'!K205</f>
        <v>0</v>
      </c>
    </row>
    <row r="206" spans="1:11" ht="19.95" hidden="1" customHeight="1" x14ac:dyDescent="0.3">
      <c r="A206" s="262">
        <v>2</v>
      </c>
      <c r="C206" s="244">
        <v>186</v>
      </c>
      <c r="D206" s="161" t="s">
        <v>591</v>
      </c>
      <c r="E206" s="1371" t="s">
        <v>592</v>
      </c>
      <c r="F206" s="1371"/>
      <c r="G206" s="1371"/>
      <c r="H206" s="161" t="s">
        <v>286</v>
      </c>
      <c r="I206" s="226">
        <f>+'Metraj Özeti'!I206</f>
        <v>0</v>
      </c>
      <c r="J206" s="226">
        <f>+'Metraj Özeti'!J206</f>
        <v>0</v>
      </c>
      <c r="K206" s="226">
        <f>+'Metraj Özeti'!K206</f>
        <v>0</v>
      </c>
    </row>
    <row r="207" spans="1:11" ht="19.95" hidden="1" customHeight="1" x14ac:dyDescent="0.3">
      <c r="A207" s="262">
        <v>2</v>
      </c>
      <c r="C207" s="244">
        <v>187</v>
      </c>
      <c r="D207" s="161" t="s">
        <v>593</v>
      </c>
      <c r="E207" s="1371" t="s">
        <v>594</v>
      </c>
      <c r="F207" s="1371"/>
      <c r="G207" s="1371"/>
      <c r="H207" s="161" t="s">
        <v>286</v>
      </c>
      <c r="I207" s="226">
        <f>+'Metraj Özeti'!I207</f>
        <v>0</v>
      </c>
      <c r="J207" s="226">
        <f>+'Metraj Özeti'!J207</f>
        <v>0</v>
      </c>
      <c r="K207" s="226">
        <f>+'Metraj Özeti'!K207</f>
        <v>0</v>
      </c>
    </row>
    <row r="208" spans="1:11" ht="19.95" hidden="1" customHeight="1" x14ac:dyDescent="0.3">
      <c r="A208" s="262">
        <v>2</v>
      </c>
      <c r="C208" s="244">
        <v>188</v>
      </c>
      <c r="D208" s="161" t="s">
        <v>595</v>
      </c>
      <c r="E208" s="1371" t="s">
        <v>596</v>
      </c>
      <c r="F208" s="1371"/>
      <c r="G208" s="1371"/>
      <c r="H208" s="161" t="s">
        <v>286</v>
      </c>
      <c r="I208" s="226">
        <f>+'Metraj Özeti'!I208</f>
        <v>0</v>
      </c>
      <c r="J208" s="226">
        <f>+'Metraj Özeti'!J208</f>
        <v>0</v>
      </c>
      <c r="K208" s="226">
        <f>+'Metraj Özeti'!K208</f>
        <v>0</v>
      </c>
    </row>
    <row r="209" spans="1:11" ht="19.95" hidden="1" customHeight="1" x14ac:dyDescent="0.3">
      <c r="A209" s="262">
        <v>2</v>
      </c>
      <c r="C209" s="244">
        <v>189</v>
      </c>
      <c r="D209" s="161" t="s">
        <v>597</v>
      </c>
      <c r="E209" s="1371" t="s">
        <v>598</v>
      </c>
      <c r="F209" s="1371"/>
      <c r="G209" s="1371"/>
      <c r="H209" s="161" t="s">
        <v>286</v>
      </c>
      <c r="I209" s="226">
        <f>+'Metraj Özeti'!I209</f>
        <v>0</v>
      </c>
      <c r="J209" s="226">
        <f>+'Metraj Özeti'!J209</f>
        <v>0</v>
      </c>
      <c r="K209" s="226">
        <f>+'Metraj Özeti'!K209</f>
        <v>0</v>
      </c>
    </row>
    <row r="210" spans="1:11" ht="19.95" hidden="1" customHeight="1" x14ac:dyDescent="0.3">
      <c r="A210" s="262">
        <v>2</v>
      </c>
      <c r="C210" s="244">
        <v>190</v>
      </c>
      <c r="D210" s="161" t="s">
        <v>599</v>
      </c>
      <c r="E210" s="1371" t="s">
        <v>600</v>
      </c>
      <c r="F210" s="1371"/>
      <c r="G210" s="1371"/>
      <c r="H210" s="161" t="s">
        <v>286</v>
      </c>
      <c r="I210" s="226">
        <f>+'Metraj Özeti'!I210</f>
        <v>0</v>
      </c>
      <c r="J210" s="226">
        <f>+'Metraj Özeti'!J210</f>
        <v>0</v>
      </c>
      <c r="K210" s="226">
        <f>+'Metraj Özeti'!K210</f>
        <v>0</v>
      </c>
    </row>
    <row r="211" spans="1:11" ht="19.95" hidden="1" customHeight="1" x14ac:dyDescent="0.3">
      <c r="A211" s="262">
        <v>2</v>
      </c>
      <c r="C211" s="244">
        <v>191</v>
      </c>
      <c r="D211" s="161" t="s">
        <v>601</v>
      </c>
      <c r="E211" s="1371" t="s">
        <v>602</v>
      </c>
      <c r="F211" s="1371"/>
      <c r="G211" s="1371"/>
      <c r="H211" s="161" t="s">
        <v>286</v>
      </c>
      <c r="I211" s="226">
        <f>+'Metraj Özeti'!I211</f>
        <v>0</v>
      </c>
      <c r="J211" s="226">
        <f>+'Metraj Özeti'!J211</f>
        <v>0</v>
      </c>
      <c r="K211" s="226">
        <f>+'Metraj Özeti'!K211</f>
        <v>0</v>
      </c>
    </row>
    <row r="212" spans="1:11" ht="19.95" hidden="1" customHeight="1" x14ac:dyDescent="0.3">
      <c r="A212" s="262">
        <v>2</v>
      </c>
      <c r="C212" s="244">
        <v>192</v>
      </c>
      <c r="D212" s="161" t="s">
        <v>603</v>
      </c>
      <c r="E212" s="1371" t="s">
        <v>604</v>
      </c>
      <c r="F212" s="1371"/>
      <c r="G212" s="1371"/>
      <c r="H212" s="161" t="s">
        <v>286</v>
      </c>
      <c r="I212" s="226">
        <f>+'Metraj Özeti'!I212</f>
        <v>0</v>
      </c>
      <c r="J212" s="226">
        <f>+'Metraj Özeti'!J212</f>
        <v>0</v>
      </c>
      <c r="K212" s="226">
        <f>+'Metraj Özeti'!K212</f>
        <v>0</v>
      </c>
    </row>
    <row r="213" spans="1:11" ht="19.95" hidden="1" customHeight="1" x14ac:dyDescent="0.3">
      <c r="A213" s="262">
        <v>2</v>
      </c>
      <c r="C213" s="244">
        <v>193</v>
      </c>
      <c r="D213" s="161" t="s">
        <v>605</v>
      </c>
      <c r="E213" s="1371" t="s">
        <v>606</v>
      </c>
      <c r="F213" s="1371"/>
      <c r="G213" s="1371"/>
      <c r="H213" s="161" t="s">
        <v>286</v>
      </c>
      <c r="I213" s="226">
        <f>+'Metraj Özeti'!I213</f>
        <v>0</v>
      </c>
      <c r="J213" s="226">
        <f>+'Metraj Özeti'!J213</f>
        <v>0</v>
      </c>
      <c r="K213" s="226">
        <f>+'Metraj Özeti'!K213</f>
        <v>0</v>
      </c>
    </row>
    <row r="214" spans="1:11" ht="19.95" hidden="1" customHeight="1" x14ac:dyDescent="0.3">
      <c r="A214" s="262">
        <v>2</v>
      </c>
      <c r="C214" s="244">
        <v>194</v>
      </c>
      <c r="D214" s="161" t="s">
        <v>607</v>
      </c>
      <c r="E214" s="1371" t="s">
        <v>608</v>
      </c>
      <c r="F214" s="1371"/>
      <c r="G214" s="1371"/>
      <c r="H214" s="161" t="s">
        <v>286</v>
      </c>
      <c r="I214" s="226">
        <f>+'Metraj Özeti'!I214</f>
        <v>0</v>
      </c>
      <c r="J214" s="226">
        <f>+'Metraj Özeti'!J214</f>
        <v>0</v>
      </c>
      <c r="K214" s="226">
        <f>+'Metraj Özeti'!K214</f>
        <v>0</v>
      </c>
    </row>
    <row r="215" spans="1:11" ht="19.95" hidden="1" customHeight="1" x14ac:dyDescent="0.3">
      <c r="A215" s="262">
        <v>2</v>
      </c>
      <c r="C215" s="244">
        <v>195</v>
      </c>
      <c r="D215" s="161" t="s">
        <v>609</v>
      </c>
      <c r="E215" s="1371" t="s">
        <v>610</v>
      </c>
      <c r="F215" s="1371"/>
      <c r="G215" s="1371"/>
      <c r="H215" s="161" t="s">
        <v>286</v>
      </c>
      <c r="I215" s="226">
        <f>+'Metraj Özeti'!I215</f>
        <v>0</v>
      </c>
      <c r="J215" s="226">
        <f>+'Metraj Özeti'!J215</f>
        <v>0</v>
      </c>
      <c r="K215" s="226">
        <f>+'Metraj Özeti'!K215</f>
        <v>0</v>
      </c>
    </row>
    <row r="216" spans="1:11" ht="19.95" hidden="1" customHeight="1" x14ac:dyDescent="0.3">
      <c r="A216" s="262">
        <v>2</v>
      </c>
      <c r="C216" s="244">
        <v>196</v>
      </c>
      <c r="D216" s="161" t="s">
        <v>611</v>
      </c>
      <c r="E216" s="1371" t="s">
        <v>612</v>
      </c>
      <c r="F216" s="1371"/>
      <c r="G216" s="1371"/>
      <c r="H216" s="161" t="s">
        <v>286</v>
      </c>
      <c r="I216" s="226">
        <f>+'Metraj Özeti'!I216</f>
        <v>0</v>
      </c>
      <c r="J216" s="226">
        <f>+'Metraj Özeti'!J216</f>
        <v>0</v>
      </c>
      <c r="K216" s="226">
        <f>+'Metraj Özeti'!K216</f>
        <v>0</v>
      </c>
    </row>
    <row r="217" spans="1:11" ht="19.95" hidden="1" customHeight="1" x14ac:dyDescent="0.3">
      <c r="A217" s="262">
        <v>2</v>
      </c>
      <c r="C217" s="244">
        <v>197</v>
      </c>
      <c r="D217" s="161" t="s">
        <v>613</v>
      </c>
      <c r="E217" s="1371" t="s">
        <v>614</v>
      </c>
      <c r="F217" s="1371"/>
      <c r="G217" s="1371"/>
      <c r="H217" s="161" t="s">
        <v>286</v>
      </c>
      <c r="I217" s="226">
        <f>+'Metraj Özeti'!I217</f>
        <v>0</v>
      </c>
      <c r="J217" s="226">
        <f>+'Metraj Özeti'!J217</f>
        <v>0</v>
      </c>
      <c r="K217" s="226">
        <f>+'Metraj Özeti'!K217</f>
        <v>0</v>
      </c>
    </row>
    <row r="218" spans="1:11" ht="19.95" hidden="1" customHeight="1" x14ac:dyDescent="0.3">
      <c r="A218" s="262">
        <v>2</v>
      </c>
      <c r="C218" s="244">
        <v>198</v>
      </c>
      <c r="D218" s="161" t="s">
        <v>615</v>
      </c>
      <c r="E218" s="1371" t="s">
        <v>616</v>
      </c>
      <c r="F218" s="1371"/>
      <c r="G218" s="1371"/>
      <c r="H218" s="161" t="s">
        <v>286</v>
      </c>
      <c r="I218" s="226">
        <f>+'Metraj Özeti'!I218</f>
        <v>0</v>
      </c>
      <c r="J218" s="226">
        <f>+'Metraj Özeti'!J218</f>
        <v>0</v>
      </c>
      <c r="K218" s="226">
        <f>+'Metraj Özeti'!K218</f>
        <v>0</v>
      </c>
    </row>
    <row r="219" spans="1:11" ht="19.95" hidden="1" customHeight="1" x14ac:dyDescent="0.3">
      <c r="A219" s="262">
        <v>2</v>
      </c>
      <c r="C219" s="244">
        <v>199</v>
      </c>
      <c r="D219" s="161" t="s">
        <v>617</v>
      </c>
      <c r="E219" s="1371" t="s">
        <v>618</v>
      </c>
      <c r="F219" s="1371"/>
      <c r="G219" s="1371"/>
      <c r="H219" s="161" t="s">
        <v>286</v>
      </c>
      <c r="I219" s="226">
        <f>+'Metraj Özeti'!I219</f>
        <v>0</v>
      </c>
      <c r="J219" s="226">
        <f>+'Metraj Özeti'!J219</f>
        <v>0</v>
      </c>
      <c r="K219" s="226">
        <f>+'Metraj Özeti'!K219</f>
        <v>0</v>
      </c>
    </row>
    <row r="220" spans="1:11" ht="19.95" hidden="1" customHeight="1" x14ac:dyDescent="0.3">
      <c r="A220" s="262">
        <v>2</v>
      </c>
      <c r="C220" s="244">
        <v>200</v>
      </c>
      <c r="D220" s="161" t="s">
        <v>619</v>
      </c>
      <c r="E220" s="1371" t="s">
        <v>620</v>
      </c>
      <c r="F220" s="1371"/>
      <c r="G220" s="1371"/>
      <c r="H220" s="161" t="s">
        <v>286</v>
      </c>
      <c r="I220" s="226">
        <f>+'Metraj Özeti'!I220</f>
        <v>0</v>
      </c>
      <c r="J220" s="226">
        <f>+'Metraj Özeti'!J220</f>
        <v>0</v>
      </c>
      <c r="K220" s="226">
        <f>+'Metraj Özeti'!K220</f>
        <v>0</v>
      </c>
    </row>
    <row r="221" spans="1:11" ht="19.95" hidden="1" customHeight="1" x14ac:dyDescent="0.3">
      <c r="A221" s="262">
        <v>2</v>
      </c>
      <c r="C221" s="244">
        <v>201</v>
      </c>
      <c r="D221" s="161" t="s">
        <v>621</v>
      </c>
      <c r="E221" s="1371" t="s">
        <v>622</v>
      </c>
      <c r="F221" s="1371"/>
      <c r="G221" s="1371"/>
      <c r="H221" s="161" t="s">
        <v>286</v>
      </c>
      <c r="I221" s="226">
        <f>+'Metraj Özeti'!I221</f>
        <v>0</v>
      </c>
      <c r="J221" s="226">
        <f>+'Metraj Özeti'!J221</f>
        <v>0</v>
      </c>
      <c r="K221" s="226">
        <f>+'Metraj Özeti'!K221</f>
        <v>0</v>
      </c>
    </row>
    <row r="222" spans="1:11" ht="19.95" hidden="1" customHeight="1" x14ac:dyDescent="0.3">
      <c r="A222" s="262">
        <v>2</v>
      </c>
      <c r="C222" s="244">
        <v>202</v>
      </c>
      <c r="D222" s="161" t="s">
        <v>623</v>
      </c>
      <c r="E222" s="1371" t="s">
        <v>624</v>
      </c>
      <c r="F222" s="1371"/>
      <c r="G222" s="1371"/>
      <c r="H222" s="161" t="s">
        <v>286</v>
      </c>
      <c r="I222" s="226">
        <f>+'Metraj Özeti'!I222</f>
        <v>0</v>
      </c>
      <c r="J222" s="226">
        <f>+'Metraj Özeti'!J222</f>
        <v>0</v>
      </c>
      <c r="K222" s="226">
        <f>+'Metraj Özeti'!K222</f>
        <v>0</v>
      </c>
    </row>
    <row r="223" spans="1:11" ht="19.95" hidden="1" customHeight="1" x14ac:dyDescent="0.3">
      <c r="A223" s="262">
        <v>2</v>
      </c>
      <c r="C223" s="244">
        <v>203</v>
      </c>
      <c r="D223" s="161" t="s">
        <v>625</v>
      </c>
      <c r="E223" s="1371" t="s">
        <v>626</v>
      </c>
      <c r="F223" s="1371"/>
      <c r="G223" s="1371"/>
      <c r="H223" s="161" t="s">
        <v>286</v>
      </c>
      <c r="I223" s="226">
        <f>+'Metraj Özeti'!I223</f>
        <v>0</v>
      </c>
      <c r="J223" s="226">
        <f>+'Metraj Özeti'!J223</f>
        <v>0</v>
      </c>
      <c r="K223" s="226">
        <f>+'Metraj Özeti'!K223</f>
        <v>0</v>
      </c>
    </row>
    <row r="224" spans="1:11" ht="19.95" hidden="1" customHeight="1" x14ac:dyDescent="0.3">
      <c r="A224" s="262">
        <v>2</v>
      </c>
      <c r="C224" s="244">
        <v>204</v>
      </c>
      <c r="D224" s="161" t="s">
        <v>627</v>
      </c>
      <c r="E224" s="1371" t="s">
        <v>628</v>
      </c>
      <c r="F224" s="1371"/>
      <c r="G224" s="1371"/>
      <c r="H224" s="161" t="s">
        <v>286</v>
      </c>
      <c r="I224" s="226">
        <f>+'Metraj Özeti'!I224</f>
        <v>0</v>
      </c>
      <c r="J224" s="226">
        <f>+'Metraj Özeti'!J224</f>
        <v>0</v>
      </c>
      <c r="K224" s="226">
        <f>+'Metraj Özeti'!K224</f>
        <v>0</v>
      </c>
    </row>
    <row r="225" spans="1:11" ht="19.95" hidden="1" customHeight="1" x14ac:dyDescent="0.3">
      <c r="A225" s="262">
        <v>2</v>
      </c>
      <c r="C225" s="244">
        <v>205</v>
      </c>
      <c r="D225" s="161" t="s">
        <v>629</v>
      </c>
      <c r="E225" s="1371" t="s">
        <v>630</v>
      </c>
      <c r="F225" s="1371"/>
      <c r="G225" s="1371"/>
      <c r="H225" s="161" t="s">
        <v>286</v>
      </c>
      <c r="I225" s="226">
        <f>+'Metraj Özeti'!I225</f>
        <v>0</v>
      </c>
      <c r="J225" s="226">
        <f>+'Metraj Özeti'!J225</f>
        <v>0</v>
      </c>
      <c r="K225" s="226">
        <f>+'Metraj Özeti'!K225</f>
        <v>0</v>
      </c>
    </row>
    <row r="226" spans="1:11" ht="19.95" hidden="1" customHeight="1" x14ac:dyDescent="0.3">
      <c r="A226" s="262">
        <v>2</v>
      </c>
      <c r="C226" s="244">
        <v>206</v>
      </c>
      <c r="D226" s="161" t="s">
        <v>631</v>
      </c>
      <c r="E226" s="1371" t="s">
        <v>632</v>
      </c>
      <c r="F226" s="1371"/>
      <c r="G226" s="1371"/>
      <c r="H226" s="161" t="s">
        <v>286</v>
      </c>
      <c r="I226" s="226">
        <f>+'Metraj Özeti'!I226</f>
        <v>0</v>
      </c>
      <c r="J226" s="226">
        <f>+'Metraj Özeti'!J226</f>
        <v>0</v>
      </c>
      <c r="K226" s="226">
        <f>+'Metraj Özeti'!K226</f>
        <v>0</v>
      </c>
    </row>
    <row r="227" spans="1:11" ht="19.95" hidden="1" customHeight="1" x14ac:dyDescent="0.3">
      <c r="A227" s="262">
        <v>2</v>
      </c>
      <c r="C227" s="244">
        <v>207</v>
      </c>
      <c r="D227" s="161" t="s">
        <v>633</v>
      </c>
      <c r="E227" s="1371" t="s">
        <v>634</v>
      </c>
      <c r="F227" s="1371"/>
      <c r="G227" s="1371"/>
      <c r="H227" s="161" t="s">
        <v>286</v>
      </c>
      <c r="I227" s="226">
        <f>+'Metraj Özeti'!I227</f>
        <v>0</v>
      </c>
      <c r="J227" s="226">
        <f>+'Metraj Özeti'!J227</f>
        <v>0</v>
      </c>
      <c r="K227" s="226">
        <f>+'Metraj Özeti'!K227</f>
        <v>0</v>
      </c>
    </row>
    <row r="228" spans="1:11" ht="19.95" hidden="1" customHeight="1" x14ac:dyDescent="0.3">
      <c r="A228" s="262">
        <v>2</v>
      </c>
      <c r="C228" s="244">
        <v>208</v>
      </c>
      <c r="D228" s="161" t="s">
        <v>635</v>
      </c>
      <c r="E228" s="1371" t="s">
        <v>636</v>
      </c>
      <c r="F228" s="1371"/>
      <c r="G228" s="1371"/>
      <c r="H228" s="161" t="s">
        <v>286</v>
      </c>
      <c r="I228" s="226">
        <f>+'Metraj Özeti'!I228</f>
        <v>0</v>
      </c>
      <c r="J228" s="226">
        <f>+'Metraj Özeti'!J228</f>
        <v>0</v>
      </c>
      <c r="K228" s="226">
        <f>+'Metraj Özeti'!K228</f>
        <v>0</v>
      </c>
    </row>
    <row r="229" spans="1:11" ht="19.95" hidden="1" customHeight="1" x14ac:dyDescent="0.3">
      <c r="A229" s="262">
        <v>2</v>
      </c>
      <c r="C229" s="244">
        <v>209</v>
      </c>
      <c r="D229" s="161" t="s">
        <v>637</v>
      </c>
      <c r="E229" s="1371" t="s">
        <v>638</v>
      </c>
      <c r="F229" s="1371"/>
      <c r="G229" s="1371"/>
      <c r="H229" s="161" t="s">
        <v>286</v>
      </c>
      <c r="I229" s="226">
        <f>+'Metraj Özeti'!I229</f>
        <v>0</v>
      </c>
      <c r="J229" s="226">
        <f>+'Metraj Özeti'!J229</f>
        <v>0</v>
      </c>
      <c r="K229" s="226">
        <f>+'Metraj Özeti'!K229</f>
        <v>0</v>
      </c>
    </row>
    <row r="230" spans="1:11" ht="19.95" hidden="1" customHeight="1" x14ac:dyDescent="0.3">
      <c r="A230" s="262">
        <v>2</v>
      </c>
      <c r="C230" s="244">
        <v>210</v>
      </c>
      <c r="D230" s="161" t="s">
        <v>639</v>
      </c>
      <c r="E230" s="1371" t="s">
        <v>640</v>
      </c>
      <c r="F230" s="1371"/>
      <c r="G230" s="1371"/>
      <c r="H230" s="161" t="s">
        <v>286</v>
      </c>
      <c r="I230" s="226">
        <f>+'Metraj Özeti'!I230</f>
        <v>0</v>
      </c>
      <c r="J230" s="226">
        <f>+'Metraj Özeti'!J230</f>
        <v>0</v>
      </c>
      <c r="K230" s="226">
        <f>+'Metraj Özeti'!K230</f>
        <v>0</v>
      </c>
    </row>
    <row r="231" spans="1:11" ht="19.95" hidden="1" customHeight="1" x14ac:dyDescent="0.3">
      <c r="A231" s="262">
        <v>2</v>
      </c>
      <c r="C231" s="244">
        <v>211</v>
      </c>
      <c r="D231" s="161" t="s">
        <v>641</v>
      </c>
      <c r="E231" s="1371" t="s">
        <v>642</v>
      </c>
      <c r="F231" s="1371"/>
      <c r="G231" s="1371"/>
      <c r="H231" s="161" t="s">
        <v>286</v>
      </c>
      <c r="I231" s="226">
        <f>+'Metraj Özeti'!I231</f>
        <v>0</v>
      </c>
      <c r="J231" s="226">
        <f>+'Metraj Özeti'!J231</f>
        <v>0</v>
      </c>
      <c r="K231" s="226">
        <f>+'Metraj Özeti'!K231</f>
        <v>0</v>
      </c>
    </row>
    <row r="232" spans="1:11" ht="19.95" hidden="1" customHeight="1" x14ac:dyDescent="0.3">
      <c r="A232" s="262">
        <v>2</v>
      </c>
      <c r="C232" s="244">
        <v>212</v>
      </c>
      <c r="D232" s="161" t="s">
        <v>643</v>
      </c>
      <c r="E232" s="1371" t="s">
        <v>644</v>
      </c>
      <c r="F232" s="1371"/>
      <c r="G232" s="1371"/>
      <c r="H232" s="161" t="s">
        <v>286</v>
      </c>
      <c r="I232" s="226">
        <f>+'Metraj Özeti'!I232</f>
        <v>0</v>
      </c>
      <c r="J232" s="226">
        <f>+'Metraj Özeti'!J232</f>
        <v>0</v>
      </c>
      <c r="K232" s="226">
        <f>+'Metraj Özeti'!K232</f>
        <v>0</v>
      </c>
    </row>
    <row r="233" spans="1:11" ht="19.95" hidden="1" customHeight="1" x14ac:dyDescent="0.3">
      <c r="A233" s="262">
        <v>2</v>
      </c>
      <c r="C233" s="244">
        <v>213</v>
      </c>
      <c r="D233" s="161" t="s">
        <v>645</v>
      </c>
      <c r="E233" s="1371" t="s">
        <v>646</v>
      </c>
      <c r="F233" s="1371"/>
      <c r="G233" s="1371"/>
      <c r="H233" s="161" t="s">
        <v>286</v>
      </c>
      <c r="I233" s="226">
        <f>+'Metraj Özeti'!I233</f>
        <v>0</v>
      </c>
      <c r="J233" s="226">
        <f>+'Metraj Özeti'!J233</f>
        <v>0</v>
      </c>
      <c r="K233" s="226">
        <f>+'Metraj Özeti'!K233</f>
        <v>0</v>
      </c>
    </row>
    <row r="234" spans="1:11" ht="19.95" hidden="1" customHeight="1" x14ac:dyDescent="0.3">
      <c r="A234" s="262">
        <v>2</v>
      </c>
      <c r="C234" s="244">
        <v>214</v>
      </c>
      <c r="D234" s="161" t="s">
        <v>647</v>
      </c>
      <c r="E234" s="1371" t="s">
        <v>648</v>
      </c>
      <c r="F234" s="1371"/>
      <c r="G234" s="1371"/>
      <c r="H234" s="161" t="s">
        <v>286</v>
      </c>
      <c r="I234" s="226">
        <f>+'Metraj Özeti'!I234</f>
        <v>0</v>
      </c>
      <c r="J234" s="226">
        <f>+'Metraj Özeti'!J234</f>
        <v>0</v>
      </c>
      <c r="K234" s="226">
        <f>+'Metraj Özeti'!K234</f>
        <v>0</v>
      </c>
    </row>
    <row r="235" spans="1:11" ht="19.95" hidden="1" customHeight="1" x14ac:dyDescent="0.3">
      <c r="A235" s="262">
        <v>2</v>
      </c>
      <c r="C235" s="244">
        <v>215</v>
      </c>
      <c r="D235" s="161" t="s">
        <v>649</v>
      </c>
      <c r="E235" s="1371" t="s">
        <v>650</v>
      </c>
      <c r="F235" s="1371"/>
      <c r="G235" s="1371"/>
      <c r="H235" s="161" t="s">
        <v>286</v>
      </c>
      <c r="I235" s="226">
        <f>+'Metraj Özeti'!I235</f>
        <v>0</v>
      </c>
      <c r="J235" s="226">
        <f>+'Metraj Özeti'!J235</f>
        <v>0</v>
      </c>
      <c r="K235" s="226">
        <f>+'Metraj Özeti'!K235</f>
        <v>0</v>
      </c>
    </row>
    <row r="236" spans="1:11" ht="19.95" hidden="1" customHeight="1" x14ac:dyDescent="0.3">
      <c r="A236" s="262">
        <v>2</v>
      </c>
      <c r="C236" s="244">
        <v>216</v>
      </c>
      <c r="D236" s="161" t="s">
        <v>651</v>
      </c>
      <c r="E236" s="1371" t="s">
        <v>652</v>
      </c>
      <c r="F236" s="1371"/>
      <c r="G236" s="1371"/>
      <c r="H236" s="161" t="s">
        <v>286</v>
      </c>
      <c r="I236" s="226">
        <f>+'Metraj Özeti'!I236</f>
        <v>0</v>
      </c>
      <c r="J236" s="226">
        <f>+'Metraj Özeti'!J236</f>
        <v>0</v>
      </c>
      <c r="K236" s="226">
        <f>+'Metraj Özeti'!K236</f>
        <v>0</v>
      </c>
    </row>
    <row r="237" spans="1:11" ht="19.95" hidden="1" customHeight="1" x14ac:dyDescent="0.3">
      <c r="A237" s="262">
        <v>2</v>
      </c>
      <c r="C237" s="244">
        <v>217</v>
      </c>
      <c r="D237" s="161" t="s">
        <v>653</v>
      </c>
      <c r="E237" s="1371" t="s">
        <v>654</v>
      </c>
      <c r="F237" s="1371"/>
      <c r="G237" s="1371"/>
      <c r="H237" s="161" t="s">
        <v>286</v>
      </c>
      <c r="I237" s="226">
        <f>+'Metraj Özeti'!I237</f>
        <v>0</v>
      </c>
      <c r="J237" s="226">
        <f>+'Metraj Özeti'!J237</f>
        <v>0</v>
      </c>
      <c r="K237" s="226">
        <f>+'Metraj Özeti'!K237</f>
        <v>0</v>
      </c>
    </row>
    <row r="238" spans="1:11" ht="19.95" hidden="1" customHeight="1" x14ac:dyDescent="0.3">
      <c r="A238" s="262">
        <v>2</v>
      </c>
      <c r="C238" s="244">
        <v>218</v>
      </c>
      <c r="D238" s="161" t="s">
        <v>655</v>
      </c>
      <c r="E238" s="1371" t="s">
        <v>656</v>
      </c>
      <c r="F238" s="1371"/>
      <c r="G238" s="1371"/>
      <c r="H238" s="161" t="s">
        <v>286</v>
      </c>
      <c r="I238" s="226">
        <f>+'Metraj Özeti'!I238</f>
        <v>0</v>
      </c>
      <c r="J238" s="226">
        <f>+'Metraj Özeti'!J238</f>
        <v>0</v>
      </c>
      <c r="K238" s="226">
        <f>+'Metraj Özeti'!K238</f>
        <v>0</v>
      </c>
    </row>
    <row r="239" spans="1:11" ht="19.95" hidden="1" customHeight="1" x14ac:dyDescent="0.3">
      <c r="A239" s="262">
        <v>2</v>
      </c>
      <c r="C239" s="244">
        <v>219</v>
      </c>
      <c r="D239" s="161" t="s">
        <v>657</v>
      </c>
      <c r="E239" s="1371" t="s">
        <v>658</v>
      </c>
      <c r="F239" s="1371"/>
      <c r="G239" s="1371"/>
      <c r="H239" s="161" t="s">
        <v>286</v>
      </c>
      <c r="I239" s="226">
        <f>+'Metraj Özeti'!I239</f>
        <v>0</v>
      </c>
      <c r="J239" s="226">
        <f>+'Metraj Özeti'!J239</f>
        <v>0</v>
      </c>
      <c r="K239" s="226">
        <f>+'Metraj Özeti'!K239</f>
        <v>0</v>
      </c>
    </row>
    <row r="240" spans="1:11" ht="19.95" hidden="1" customHeight="1" x14ac:dyDescent="0.3">
      <c r="A240" s="262">
        <v>2</v>
      </c>
      <c r="C240" s="244">
        <v>220</v>
      </c>
      <c r="D240" s="161" t="s">
        <v>659</v>
      </c>
      <c r="E240" s="1371" t="s">
        <v>660</v>
      </c>
      <c r="F240" s="1371"/>
      <c r="G240" s="1371"/>
      <c r="H240" s="161" t="s">
        <v>286</v>
      </c>
      <c r="I240" s="226">
        <f>+'Metraj Özeti'!I240</f>
        <v>0</v>
      </c>
      <c r="J240" s="226">
        <f>+'Metraj Özeti'!J240</f>
        <v>0</v>
      </c>
      <c r="K240" s="226">
        <f>+'Metraj Özeti'!K240</f>
        <v>0</v>
      </c>
    </row>
    <row r="241" spans="1:11" ht="19.95" hidden="1" customHeight="1" x14ac:dyDescent="0.3">
      <c r="A241" s="262">
        <v>2</v>
      </c>
      <c r="C241" s="244">
        <v>221</v>
      </c>
      <c r="D241" s="161" t="s">
        <v>661</v>
      </c>
      <c r="E241" s="1371" t="s">
        <v>662</v>
      </c>
      <c r="F241" s="1371"/>
      <c r="G241" s="1371"/>
      <c r="H241" s="161" t="s">
        <v>286</v>
      </c>
      <c r="I241" s="226">
        <f>+'Metraj Özeti'!I241</f>
        <v>0</v>
      </c>
      <c r="J241" s="226">
        <f>+'Metraj Özeti'!J241</f>
        <v>0</v>
      </c>
      <c r="K241" s="226">
        <f>+'Metraj Özeti'!K241</f>
        <v>0</v>
      </c>
    </row>
    <row r="242" spans="1:11" ht="19.95" hidden="1" customHeight="1" x14ac:dyDescent="0.3">
      <c r="A242" s="262">
        <v>2</v>
      </c>
      <c r="C242" s="244">
        <v>222</v>
      </c>
      <c r="D242" s="161" t="s">
        <v>663</v>
      </c>
      <c r="E242" s="1371" t="s">
        <v>664</v>
      </c>
      <c r="F242" s="1371"/>
      <c r="G242" s="1371"/>
      <c r="H242" s="161" t="s">
        <v>286</v>
      </c>
      <c r="I242" s="226">
        <f>+'Metraj Özeti'!I242</f>
        <v>0</v>
      </c>
      <c r="J242" s="226">
        <f>+'Metraj Özeti'!J242</f>
        <v>0</v>
      </c>
      <c r="K242" s="226">
        <f>+'Metraj Özeti'!K242</f>
        <v>0</v>
      </c>
    </row>
    <row r="243" spans="1:11" ht="19.95" hidden="1" customHeight="1" x14ac:dyDescent="0.3">
      <c r="A243" s="262">
        <v>2</v>
      </c>
      <c r="C243" s="244">
        <v>223</v>
      </c>
      <c r="D243" s="161" t="s">
        <v>665</v>
      </c>
      <c r="E243" s="1371" t="s">
        <v>666</v>
      </c>
      <c r="F243" s="1371"/>
      <c r="G243" s="1371"/>
      <c r="H243" s="161" t="s">
        <v>286</v>
      </c>
      <c r="I243" s="226">
        <f>+'Metraj Özeti'!I243</f>
        <v>0</v>
      </c>
      <c r="J243" s="226">
        <f>+'Metraj Özeti'!J243</f>
        <v>0</v>
      </c>
      <c r="K243" s="226">
        <f>+'Metraj Özeti'!K243</f>
        <v>0</v>
      </c>
    </row>
    <row r="244" spans="1:11" ht="19.95" hidden="1" customHeight="1" x14ac:dyDescent="0.3">
      <c r="A244" s="262">
        <v>2</v>
      </c>
      <c r="C244" s="244">
        <v>224</v>
      </c>
      <c r="D244" s="161" t="s">
        <v>667</v>
      </c>
      <c r="E244" s="1371" t="s">
        <v>668</v>
      </c>
      <c r="F244" s="1371"/>
      <c r="G244" s="1371"/>
      <c r="H244" s="161" t="s">
        <v>286</v>
      </c>
      <c r="I244" s="226">
        <f>+'Metraj Özeti'!I244</f>
        <v>0</v>
      </c>
      <c r="J244" s="226">
        <f>+'Metraj Özeti'!J244</f>
        <v>0</v>
      </c>
      <c r="K244" s="226">
        <f>+'Metraj Özeti'!K244</f>
        <v>0</v>
      </c>
    </row>
    <row r="245" spans="1:11" ht="19.95" hidden="1" customHeight="1" x14ac:dyDescent="0.3">
      <c r="A245" s="262">
        <v>2</v>
      </c>
      <c r="C245" s="244">
        <v>225</v>
      </c>
      <c r="D245" s="161" t="s">
        <v>669</v>
      </c>
      <c r="E245" s="1371" t="s">
        <v>670</v>
      </c>
      <c r="F245" s="1371"/>
      <c r="G245" s="1371"/>
      <c r="H245" s="161" t="s">
        <v>286</v>
      </c>
      <c r="I245" s="226">
        <f>+'Metraj Özeti'!I245</f>
        <v>0</v>
      </c>
      <c r="J245" s="226">
        <f>+'Metraj Özeti'!J245</f>
        <v>0</v>
      </c>
      <c r="K245" s="226">
        <f>+'Metraj Özeti'!K245</f>
        <v>0</v>
      </c>
    </row>
    <row r="246" spans="1:11" ht="19.95" hidden="1" customHeight="1" x14ac:dyDescent="0.3">
      <c r="A246" s="262">
        <v>2</v>
      </c>
      <c r="C246" s="244">
        <v>226</v>
      </c>
      <c r="D246" s="161" t="s">
        <v>671</v>
      </c>
      <c r="E246" s="1371" t="s">
        <v>672</v>
      </c>
      <c r="F246" s="1371"/>
      <c r="G246" s="1371"/>
      <c r="H246" s="161" t="s">
        <v>286</v>
      </c>
      <c r="I246" s="226">
        <f>+'Metraj Özeti'!I246</f>
        <v>0</v>
      </c>
      <c r="J246" s="226">
        <f>+'Metraj Özeti'!J246</f>
        <v>0</v>
      </c>
      <c r="K246" s="226">
        <f>+'Metraj Özeti'!K246</f>
        <v>0</v>
      </c>
    </row>
    <row r="247" spans="1:11" ht="19.95" hidden="1" customHeight="1" x14ac:dyDescent="0.3">
      <c r="A247" s="262">
        <v>2</v>
      </c>
      <c r="C247" s="244">
        <v>227</v>
      </c>
      <c r="D247" s="161" t="s">
        <v>673</v>
      </c>
      <c r="E247" s="1371" t="s">
        <v>674</v>
      </c>
      <c r="F247" s="1371"/>
      <c r="G247" s="1371"/>
      <c r="H247" s="161" t="s">
        <v>286</v>
      </c>
      <c r="I247" s="226">
        <f>+'Metraj Özeti'!I247</f>
        <v>0</v>
      </c>
      <c r="J247" s="226">
        <f>+'Metraj Özeti'!J247</f>
        <v>0</v>
      </c>
      <c r="K247" s="226">
        <f>+'Metraj Özeti'!K247</f>
        <v>0</v>
      </c>
    </row>
    <row r="248" spans="1:11" ht="19.95" hidden="1" customHeight="1" x14ac:dyDescent="0.3">
      <c r="A248" s="262">
        <v>2</v>
      </c>
      <c r="C248" s="244">
        <v>228</v>
      </c>
      <c r="D248" s="161" t="s">
        <v>675</v>
      </c>
      <c r="E248" s="1371" t="s">
        <v>676</v>
      </c>
      <c r="F248" s="1371"/>
      <c r="G248" s="1371"/>
      <c r="H248" s="161" t="s">
        <v>286</v>
      </c>
      <c r="I248" s="226">
        <f>+'Metraj Özeti'!I248</f>
        <v>0</v>
      </c>
      <c r="J248" s="226">
        <f>+'Metraj Özeti'!J248</f>
        <v>0</v>
      </c>
      <c r="K248" s="226">
        <f>+'Metraj Özeti'!K248</f>
        <v>0</v>
      </c>
    </row>
    <row r="249" spans="1:11" ht="19.95" hidden="1" customHeight="1" x14ac:dyDescent="0.3">
      <c r="A249" s="262">
        <v>2</v>
      </c>
      <c r="C249" s="244">
        <v>229</v>
      </c>
      <c r="D249" s="161" t="s">
        <v>677</v>
      </c>
      <c r="E249" s="1371" t="s">
        <v>678</v>
      </c>
      <c r="F249" s="1371"/>
      <c r="G249" s="1371"/>
      <c r="H249" s="161" t="s">
        <v>286</v>
      </c>
      <c r="I249" s="226">
        <f>+'Metraj Özeti'!I249</f>
        <v>0</v>
      </c>
      <c r="J249" s="226">
        <f>+'Metraj Özeti'!J249</f>
        <v>0</v>
      </c>
      <c r="K249" s="226">
        <f>+'Metraj Özeti'!K249</f>
        <v>0</v>
      </c>
    </row>
    <row r="250" spans="1:11" ht="19.95" hidden="1" customHeight="1" x14ac:dyDescent="0.3">
      <c r="A250" s="262">
        <v>2</v>
      </c>
      <c r="C250" s="244">
        <v>230</v>
      </c>
      <c r="D250" s="161" t="s">
        <v>679</v>
      </c>
      <c r="E250" s="1371" t="s">
        <v>680</v>
      </c>
      <c r="F250" s="1371"/>
      <c r="G250" s="1371"/>
      <c r="H250" s="161" t="s">
        <v>286</v>
      </c>
      <c r="I250" s="226">
        <f>+'Metraj Özeti'!I250</f>
        <v>0</v>
      </c>
      <c r="J250" s="226">
        <f>+'Metraj Özeti'!J250</f>
        <v>0</v>
      </c>
      <c r="K250" s="226">
        <f>+'Metraj Özeti'!K250</f>
        <v>0</v>
      </c>
    </row>
    <row r="251" spans="1:11" ht="19.95" hidden="1" customHeight="1" x14ac:dyDescent="0.3">
      <c r="A251" s="262">
        <v>2</v>
      </c>
      <c r="C251" s="244">
        <v>231</v>
      </c>
      <c r="D251" s="161" t="s">
        <v>681</v>
      </c>
      <c r="E251" s="1371" t="s">
        <v>682</v>
      </c>
      <c r="F251" s="1371"/>
      <c r="G251" s="1371"/>
      <c r="H251" s="161" t="s">
        <v>286</v>
      </c>
      <c r="I251" s="226">
        <f>+'Metraj Özeti'!I251</f>
        <v>0</v>
      </c>
      <c r="J251" s="226">
        <f>+'Metraj Özeti'!J251</f>
        <v>0</v>
      </c>
      <c r="K251" s="226">
        <f>+'Metraj Özeti'!K251</f>
        <v>0</v>
      </c>
    </row>
    <row r="252" spans="1:11" ht="19.95" hidden="1" customHeight="1" x14ac:dyDescent="0.3">
      <c r="A252" s="262">
        <v>2</v>
      </c>
      <c r="C252" s="244">
        <v>232</v>
      </c>
      <c r="D252" s="161" t="s">
        <v>683</v>
      </c>
      <c r="E252" s="1371" t="s">
        <v>684</v>
      </c>
      <c r="F252" s="1371"/>
      <c r="G252" s="1371"/>
      <c r="H252" s="161" t="s">
        <v>286</v>
      </c>
      <c r="I252" s="226">
        <f>+'Metraj Özeti'!I252</f>
        <v>0</v>
      </c>
      <c r="J252" s="226">
        <f>+'Metraj Özeti'!J252</f>
        <v>0</v>
      </c>
      <c r="K252" s="226">
        <f>+'Metraj Özeti'!K252</f>
        <v>0</v>
      </c>
    </row>
    <row r="253" spans="1:11" ht="19.95" hidden="1" customHeight="1" x14ac:dyDescent="0.3">
      <c r="A253" s="262">
        <v>2</v>
      </c>
      <c r="C253" s="244">
        <v>233</v>
      </c>
      <c r="D253" s="161" t="s">
        <v>685</v>
      </c>
      <c r="E253" s="1371" t="s">
        <v>686</v>
      </c>
      <c r="F253" s="1371"/>
      <c r="G253" s="1371"/>
      <c r="H253" s="161" t="s">
        <v>286</v>
      </c>
      <c r="I253" s="226">
        <f>+'Metraj Özeti'!I253</f>
        <v>0</v>
      </c>
      <c r="J253" s="226">
        <f>+'Metraj Özeti'!J253</f>
        <v>0</v>
      </c>
      <c r="K253" s="226">
        <f>+'Metraj Özeti'!K253</f>
        <v>0</v>
      </c>
    </row>
    <row r="254" spans="1:11" ht="19.95" hidden="1" customHeight="1" x14ac:dyDescent="0.3">
      <c r="A254" s="262">
        <v>2</v>
      </c>
      <c r="C254" s="244">
        <v>234</v>
      </c>
      <c r="D254" s="161" t="s">
        <v>687</v>
      </c>
      <c r="E254" s="1371" t="s">
        <v>688</v>
      </c>
      <c r="F254" s="1371"/>
      <c r="G254" s="1371"/>
      <c r="H254" s="161" t="s">
        <v>286</v>
      </c>
      <c r="I254" s="226">
        <f>+'Metraj Özeti'!I254</f>
        <v>0</v>
      </c>
      <c r="J254" s="226">
        <f>+'Metraj Özeti'!J254</f>
        <v>0</v>
      </c>
      <c r="K254" s="226">
        <f>+'Metraj Özeti'!K254</f>
        <v>0</v>
      </c>
    </row>
    <row r="255" spans="1:11" ht="19.95" hidden="1" customHeight="1" x14ac:dyDescent="0.3">
      <c r="A255" s="262">
        <v>2</v>
      </c>
      <c r="C255" s="244">
        <v>235</v>
      </c>
      <c r="D255" s="161" t="s">
        <v>689</v>
      </c>
      <c r="E255" s="1371" t="s">
        <v>690</v>
      </c>
      <c r="F255" s="1371"/>
      <c r="G255" s="1371"/>
      <c r="H255" s="161" t="s">
        <v>286</v>
      </c>
      <c r="I255" s="226">
        <f>+'Metraj Özeti'!I255</f>
        <v>0</v>
      </c>
      <c r="J255" s="226">
        <f>+'Metraj Özeti'!J255</f>
        <v>0</v>
      </c>
      <c r="K255" s="226">
        <f>+'Metraj Özeti'!K255</f>
        <v>0</v>
      </c>
    </row>
    <row r="256" spans="1:11" ht="19.95" hidden="1" customHeight="1" x14ac:dyDescent="0.3">
      <c r="A256" s="262">
        <v>2</v>
      </c>
      <c r="C256" s="244">
        <v>236</v>
      </c>
      <c r="D256" s="161" t="s">
        <v>691</v>
      </c>
      <c r="E256" s="1371" t="s">
        <v>692</v>
      </c>
      <c r="F256" s="1371"/>
      <c r="G256" s="1371"/>
      <c r="H256" s="161" t="s">
        <v>286</v>
      </c>
      <c r="I256" s="226">
        <f>+'Metraj Özeti'!I256</f>
        <v>0</v>
      </c>
      <c r="J256" s="226">
        <f>+'Metraj Özeti'!J256</f>
        <v>0</v>
      </c>
      <c r="K256" s="226">
        <f>+'Metraj Özeti'!K256</f>
        <v>0</v>
      </c>
    </row>
    <row r="257" spans="1:11" ht="19.95" hidden="1" customHeight="1" x14ac:dyDescent="0.3">
      <c r="A257" s="262">
        <v>2</v>
      </c>
      <c r="C257" s="244">
        <v>237</v>
      </c>
      <c r="D257" s="161" t="s">
        <v>693</v>
      </c>
      <c r="E257" s="1371" t="s">
        <v>694</v>
      </c>
      <c r="F257" s="1371"/>
      <c r="G257" s="1371"/>
      <c r="H257" s="161" t="s">
        <v>286</v>
      </c>
      <c r="I257" s="226">
        <f>+'Metraj Özeti'!I257</f>
        <v>0</v>
      </c>
      <c r="J257" s="226">
        <f>+'Metraj Özeti'!J257</f>
        <v>0</v>
      </c>
      <c r="K257" s="226">
        <f>+'Metraj Özeti'!K257</f>
        <v>0</v>
      </c>
    </row>
    <row r="258" spans="1:11" ht="19.95" hidden="1" customHeight="1" x14ac:dyDescent="0.3">
      <c r="A258" s="262">
        <v>2</v>
      </c>
      <c r="C258" s="244">
        <v>238</v>
      </c>
      <c r="D258" s="161" t="s">
        <v>695</v>
      </c>
      <c r="E258" s="1371" t="s">
        <v>696</v>
      </c>
      <c r="F258" s="1371"/>
      <c r="G258" s="1371"/>
      <c r="H258" s="161" t="s">
        <v>286</v>
      </c>
      <c r="I258" s="226">
        <f>+'Metraj Özeti'!I258</f>
        <v>0</v>
      </c>
      <c r="J258" s="226">
        <f>+'Metraj Özeti'!J258</f>
        <v>0</v>
      </c>
      <c r="K258" s="226">
        <f>+'Metraj Özeti'!K258</f>
        <v>0</v>
      </c>
    </row>
    <row r="259" spans="1:11" ht="19.95" hidden="1" customHeight="1" x14ac:dyDescent="0.3">
      <c r="A259" s="262">
        <v>2</v>
      </c>
      <c r="C259" s="244">
        <v>239</v>
      </c>
      <c r="D259" s="161" t="s">
        <v>697</v>
      </c>
      <c r="E259" s="1371" t="s">
        <v>698</v>
      </c>
      <c r="F259" s="1371"/>
      <c r="G259" s="1371"/>
      <c r="H259" s="161" t="s">
        <v>286</v>
      </c>
      <c r="I259" s="226">
        <f>+'Metraj Özeti'!I259</f>
        <v>0</v>
      </c>
      <c r="J259" s="226">
        <f>+'Metraj Özeti'!J259</f>
        <v>0</v>
      </c>
      <c r="K259" s="226">
        <f>+'Metraj Özeti'!K259</f>
        <v>0</v>
      </c>
    </row>
    <row r="260" spans="1:11" ht="19.95" hidden="1" customHeight="1" x14ac:dyDescent="0.3">
      <c r="A260" s="262">
        <v>2</v>
      </c>
      <c r="C260" s="244">
        <v>240</v>
      </c>
      <c r="D260" s="161" t="s">
        <v>699</v>
      </c>
      <c r="E260" s="1371" t="s">
        <v>700</v>
      </c>
      <c r="F260" s="1371"/>
      <c r="G260" s="1371"/>
      <c r="H260" s="161" t="s">
        <v>286</v>
      </c>
      <c r="I260" s="226">
        <f>+'Metraj Özeti'!I260</f>
        <v>0</v>
      </c>
      <c r="J260" s="226">
        <f>+'Metraj Özeti'!J260</f>
        <v>0</v>
      </c>
      <c r="K260" s="226">
        <f>+'Metraj Özeti'!K260</f>
        <v>0</v>
      </c>
    </row>
    <row r="261" spans="1:11" ht="19.95" hidden="1" customHeight="1" x14ac:dyDescent="0.3">
      <c r="A261" s="262">
        <v>2</v>
      </c>
      <c r="C261" s="244">
        <v>241</v>
      </c>
      <c r="D261" s="161" t="s">
        <v>701</v>
      </c>
      <c r="E261" s="1371" t="s">
        <v>702</v>
      </c>
      <c r="F261" s="1371"/>
      <c r="G261" s="1371"/>
      <c r="H261" s="161" t="s">
        <v>286</v>
      </c>
      <c r="I261" s="226">
        <f>+'Metraj Özeti'!I261</f>
        <v>0</v>
      </c>
      <c r="J261" s="226">
        <f>+'Metraj Özeti'!J261</f>
        <v>0</v>
      </c>
      <c r="K261" s="226">
        <f>+'Metraj Özeti'!K261</f>
        <v>0</v>
      </c>
    </row>
    <row r="262" spans="1:11" ht="19.95" hidden="1" customHeight="1" x14ac:dyDescent="0.3">
      <c r="A262" s="262">
        <v>2</v>
      </c>
      <c r="C262" s="244">
        <v>242</v>
      </c>
      <c r="D262" s="161" t="s">
        <v>703</v>
      </c>
      <c r="E262" s="1371" t="s">
        <v>704</v>
      </c>
      <c r="F262" s="1371"/>
      <c r="G262" s="1371"/>
      <c r="H262" s="161" t="s">
        <v>286</v>
      </c>
      <c r="I262" s="226">
        <f>+'Metraj Özeti'!I262</f>
        <v>0</v>
      </c>
      <c r="J262" s="226">
        <f>+'Metraj Özeti'!J262</f>
        <v>0</v>
      </c>
      <c r="K262" s="226">
        <f>+'Metraj Özeti'!K262</f>
        <v>0</v>
      </c>
    </row>
    <row r="263" spans="1:11" ht="19.95" hidden="1" customHeight="1" x14ac:dyDescent="0.3">
      <c r="A263" s="262">
        <v>2</v>
      </c>
      <c r="C263" s="244">
        <v>243</v>
      </c>
      <c r="D263" s="161" t="s">
        <v>705</v>
      </c>
      <c r="E263" s="1371" t="s">
        <v>706</v>
      </c>
      <c r="F263" s="1371"/>
      <c r="G263" s="1371"/>
      <c r="H263" s="161" t="s">
        <v>286</v>
      </c>
      <c r="I263" s="226">
        <f>+'Metraj Özeti'!I263</f>
        <v>0</v>
      </c>
      <c r="J263" s="226">
        <f>+'Metraj Özeti'!J263</f>
        <v>0</v>
      </c>
      <c r="K263" s="226">
        <f>+'Metraj Özeti'!K263</f>
        <v>0</v>
      </c>
    </row>
    <row r="264" spans="1:11" ht="19.95" hidden="1" customHeight="1" x14ac:dyDescent="0.3">
      <c r="A264" s="262">
        <v>2</v>
      </c>
      <c r="C264" s="244">
        <v>244</v>
      </c>
      <c r="D264" s="161" t="s">
        <v>707</v>
      </c>
      <c r="E264" s="1371" t="s">
        <v>708</v>
      </c>
      <c r="F264" s="1371"/>
      <c r="G264" s="1371"/>
      <c r="H264" s="161" t="s">
        <v>286</v>
      </c>
      <c r="I264" s="226">
        <f>+'Metraj Özeti'!I264</f>
        <v>0</v>
      </c>
      <c r="J264" s="226">
        <f>+'Metraj Özeti'!J264</f>
        <v>0</v>
      </c>
      <c r="K264" s="226">
        <f>+'Metraj Özeti'!K264</f>
        <v>0</v>
      </c>
    </row>
    <row r="265" spans="1:11" ht="19.95" hidden="1" customHeight="1" x14ac:dyDescent="0.3">
      <c r="A265" s="262">
        <v>2</v>
      </c>
      <c r="C265" s="244">
        <v>245</v>
      </c>
      <c r="D265" s="161" t="s">
        <v>709</v>
      </c>
      <c r="E265" s="1371" t="s">
        <v>710</v>
      </c>
      <c r="F265" s="1371"/>
      <c r="G265" s="1371"/>
      <c r="H265" s="161" t="s">
        <v>286</v>
      </c>
      <c r="I265" s="226">
        <f>+'Metraj Özeti'!I265</f>
        <v>0</v>
      </c>
      <c r="J265" s="226">
        <f>+'Metraj Özeti'!J265</f>
        <v>0</v>
      </c>
      <c r="K265" s="226">
        <f>+'Metraj Özeti'!K265</f>
        <v>0</v>
      </c>
    </row>
    <row r="266" spans="1:11" ht="19.95" hidden="1" customHeight="1" x14ac:dyDescent="0.3">
      <c r="A266" s="262">
        <v>2</v>
      </c>
      <c r="C266" s="244">
        <v>246</v>
      </c>
      <c r="D266" s="161" t="s">
        <v>711</v>
      </c>
      <c r="E266" s="1371" t="s">
        <v>712</v>
      </c>
      <c r="F266" s="1371"/>
      <c r="G266" s="1371"/>
      <c r="H266" s="161" t="s">
        <v>286</v>
      </c>
      <c r="I266" s="226">
        <f>+'Metraj Özeti'!I266</f>
        <v>0</v>
      </c>
      <c r="J266" s="226">
        <f>+'Metraj Özeti'!J266</f>
        <v>0</v>
      </c>
      <c r="K266" s="226">
        <f>+'Metraj Özeti'!K266</f>
        <v>0</v>
      </c>
    </row>
    <row r="267" spans="1:11" ht="19.95" hidden="1" customHeight="1" x14ac:dyDescent="0.3">
      <c r="A267" s="262">
        <v>2</v>
      </c>
      <c r="C267" s="244">
        <v>247</v>
      </c>
      <c r="D267" s="161" t="s">
        <v>713</v>
      </c>
      <c r="E267" s="1371" t="s">
        <v>714</v>
      </c>
      <c r="F267" s="1371"/>
      <c r="G267" s="1371"/>
      <c r="H267" s="161" t="s">
        <v>286</v>
      </c>
      <c r="I267" s="226">
        <f>+'Metraj Özeti'!I267</f>
        <v>0</v>
      </c>
      <c r="J267" s="226">
        <f>+'Metraj Özeti'!J267</f>
        <v>0</v>
      </c>
      <c r="K267" s="226">
        <f>+'Metraj Özeti'!K267</f>
        <v>0</v>
      </c>
    </row>
    <row r="268" spans="1:11" ht="19.95" hidden="1" customHeight="1" x14ac:dyDescent="0.3">
      <c r="A268" s="262">
        <v>2</v>
      </c>
      <c r="C268" s="244">
        <v>248</v>
      </c>
      <c r="D268" s="161" t="s">
        <v>715</v>
      </c>
      <c r="E268" s="1371" t="s">
        <v>716</v>
      </c>
      <c r="F268" s="1371"/>
      <c r="G268" s="1371"/>
      <c r="H268" s="161" t="s">
        <v>286</v>
      </c>
      <c r="I268" s="226">
        <f>+'Metraj Özeti'!I268</f>
        <v>0</v>
      </c>
      <c r="J268" s="226">
        <f>+'Metraj Özeti'!J268</f>
        <v>0</v>
      </c>
      <c r="K268" s="226">
        <f>+'Metraj Özeti'!K268</f>
        <v>0</v>
      </c>
    </row>
    <row r="269" spans="1:11" ht="19.95" hidden="1" customHeight="1" x14ac:dyDescent="0.3">
      <c r="A269" s="262">
        <v>2</v>
      </c>
      <c r="C269" s="244">
        <v>249</v>
      </c>
      <c r="D269" s="161" t="s">
        <v>717</v>
      </c>
      <c r="E269" s="1371" t="s">
        <v>718</v>
      </c>
      <c r="F269" s="1371"/>
      <c r="G269" s="1371"/>
      <c r="H269" s="161" t="s">
        <v>286</v>
      </c>
      <c r="I269" s="226">
        <f>+'Metraj Özeti'!I269</f>
        <v>0</v>
      </c>
      <c r="J269" s="226">
        <f>+'Metraj Özeti'!J269</f>
        <v>0</v>
      </c>
      <c r="K269" s="226">
        <f>+'Metraj Özeti'!K269</f>
        <v>0</v>
      </c>
    </row>
    <row r="270" spans="1:11" ht="19.95" hidden="1" customHeight="1" x14ac:dyDescent="0.3">
      <c r="A270" s="262">
        <v>2</v>
      </c>
      <c r="C270" s="244">
        <v>250</v>
      </c>
      <c r="D270" s="161" t="s">
        <v>719</v>
      </c>
      <c r="E270" s="1371" t="s">
        <v>720</v>
      </c>
      <c r="F270" s="1371"/>
      <c r="G270" s="1371"/>
      <c r="H270" s="161" t="s">
        <v>286</v>
      </c>
      <c r="I270" s="226">
        <f>+'Metraj Özeti'!I270</f>
        <v>0</v>
      </c>
      <c r="J270" s="226">
        <f>+'Metraj Özeti'!J270</f>
        <v>0</v>
      </c>
      <c r="K270" s="226">
        <f>+'Metraj Özeti'!K270</f>
        <v>0</v>
      </c>
    </row>
    <row r="271" spans="1:11" ht="19.95" hidden="1" customHeight="1" x14ac:dyDescent="0.3">
      <c r="A271" s="262">
        <v>2</v>
      </c>
      <c r="C271" s="244">
        <v>251</v>
      </c>
      <c r="D271" s="161" t="s">
        <v>721</v>
      </c>
      <c r="E271" s="1371" t="s">
        <v>722</v>
      </c>
      <c r="F271" s="1371"/>
      <c r="G271" s="1371"/>
      <c r="H271" s="161" t="s">
        <v>286</v>
      </c>
      <c r="I271" s="226">
        <f>+'Metraj Özeti'!I271</f>
        <v>0</v>
      </c>
      <c r="J271" s="226">
        <f>+'Metraj Özeti'!J271</f>
        <v>0</v>
      </c>
      <c r="K271" s="226">
        <f>+'Metraj Özeti'!K271</f>
        <v>0</v>
      </c>
    </row>
    <row r="272" spans="1:11" ht="19.95" hidden="1" customHeight="1" x14ac:dyDescent="0.3">
      <c r="A272" s="262">
        <v>2</v>
      </c>
      <c r="C272" s="244">
        <v>252</v>
      </c>
      <c r="D272" s="161" t="s">
        <v>723</v>
      </c>
      <c r="E272" s="1371" t="s">
        <v>724</v>
      </c>
      <c r="F272" s="1371"/>
      <c r="G272" s="1371"/>
      <c r="H272" s="161" t="s">
        <v>286</v>
      </c>
      <c r="I272" s="226">
        <f>+'Metraj Özeti'!I272</f>
        <v>0</v>
      </c>
      <c r="J272" s="226">
        <f>+'Metraj Özeti'!J272</f>
        <v>0</v>
      </c>
      <c r="K272" s="226">
        <f>+'Metraj Özeti'!K272</f>
        <v>0</v>
      </c>
    </row>
    <row r="273" spans="1:11" ht="19.95" hidden="1" customHeight="1" x14ac:dyDescent="0.3">
      <c r="A273" s="262">
        <v>2</v>
      </c>
      <c r="C273" s="244">
        <v>253</v>
      </c>
      <c r="D273" s="161" t="s">
        <v>725</v>
      </c>
      <c r="E273" s="1371" t="s">
        <v>726</v>
      </c>
      <c r="F273" s="1371"/>
      <c r="G273" s="1371"/>
      <c r="H273" s="161" t="s">
        <v>286</v>
      </c>
      <c r="I273" s="226">
        <f>+'Metraj Özeti'!I273</f>
        <v>0</v>
      </c>
      <c r="J273" s="226">
        <f>+'Metraj Özeti'!J273</f>
        <v>0</v>
      </c>
      <c r="K273" s="226">
        <f>+'Metraj Özeti'!K273</f>
        <v>0</v>
      </c>
    </row>
    <row r="274" spans="1:11" ht="19.95" hidden="1" customHeight="1" x14ac:dyDescent="0.3">
      <c r="A274" s="262">
        <v>2</v>
      </c>
      <c r="C274" s="244">
        <v>254</v>
      </c>
      <c r="D274" s="161" t="s">
        <v>727</v>
      </c>
      <c r="E274" s="1371" t="s">
        <v>728</v>
      </c>
      <c r="F274" s="1371"/>
      <c r="G274" s="1371"/>
      <c r="H274" s="161" t="s">
        <v>286</v>
      </c>
      <c r="I274" s="226">
        <f>+'Metraj Özeti'!I274</f>
        <v>0</v>
      </c>
      <c r="J274" s="226">
        <f>+'Metraj Özeti'!J274</f>
        <v>0</v>
      </c>
      <c r="K274" s="226">
        <f>+'Metraj Özeti'!K274</f>
        <v>0</v>
      </c>
    </row>
    <row r="275" spans="1:11" ht="19.95" hidden="1" customHeight="1" x14ac:dyDescent="0.3">
      <c r="A275" s="262">
        <v>2</v>
      </c>
      <c r="C275" s="244">
        <v>255</v>
      </c>
      <c r="D275" s="161" t="s">
        <v>729</v>
      </c>
      <c r="E275" s="1371" t="s">
        <v>730</v>
      </c>
      <c r="F275" s="1371"/>
      <c r="G275" s="1371"/>
      <c r="H275" s="161" t="s">
        <v>286</v>
      </c>
      <c r="I275" s="226">
        <f>+'Metraj Özeti'!I275</f>
        <v>0</v>
      </c>
      <c r="J275" s="226">
        <f>+'Metraj Özeti'!J275</f>
        <v>0</v>
      </c>
      <c r="K275" s="226">
        <f>+'Metraj Özeti'!K275</f>
        <v>0</v>
      </c>
    </row>
    <row r="276" spans="1:11" ht="19.95" hidden="1" customHeight="1" x14ac:dyDescent="0.3">
      <c r="A276" s="262">
        <v>2</v>
      </c>
      <c r="C276" s="244">
        <v>256</v>
      </c>
      <c r="D276" s="161" t="s">
        <v>731</v>
      </c>
      <c r="E276" s="1371" t="s">
        <v>732</v>
      </c>
      <c r="F276" s="1371"/>
      <c r="G276" s="1371"/>
      <c r="H276" s="161" t="s">
        <v>286</v>
      </c>
      <c r="I276" s="226">
        <f>+'Metraj Özeti'!I276</f>
        <v>0</v>
      </c>
      <c r="J276" s="226">
        <f>+'Metraj Özeti'!J276</f>
        <v>0</v>
      </c>
      <c r="K276" s="226">
        <f>+'Metraj Özeti'!K276</f>
        <v>0</v>
      </c>
    </row>
    <row r="277" spans="1:11" ht="19.95" hidden="1" customHeight="1" x14ac:dyDescent="0.3">
      <c r="A277" s="262">
        <v>2</v>
      </c>
      <c r="C277" s="244">
        <v>257</v>
      </c>
      <c r="D277" s="161" t="s">
        <v>733</v>
      </c>
      <c r="E277" s="1371" t="s">
        <v>734</v>
      </c>
      <c r="F277" s="1371"/>
      <c r="G277" s="1371"/>
      <c r="H277" s="161" t="s">
        <v>286</v>
      </c>
      <c r="I277" s="226">
        <f>+'Metraj Özeti'!I277</f>
        <v>0</v>
      </c>
      <c r="J277" s="226">
        <f>+'Metraj Özeti'!J277</f>
        <v>0</v>
      </c>
      <c r="K277" s="226">
        <f>+'Metraj Özeti'!K277</f>
        <v>0</v>
      </c>
    </row>
    <row r="278" spans="1:11" ht="19.95" hidden="1" customHeight="1" x14ac:dyDescent="0.3">
      <c r="A278" s="262">
        <v>2</v>
      </c>
      <c r="C278" s="244">
        <v>258</v>
      </c>
      <c r="D278" s="161" t="s">
        <v>735</v>
      </c>
      <c r="E278" s="1371" t="s">
        <v>736</v>
      </c>
      <c r="F278" s="1371"/>
      <c r="G278" s="1371"/>
      <c r="H278" s="161" t="s">
        <v>202</v>
      </c>
      <c r="I278" s="226">
        <f>+'Metraj Özeti'!I278</f>
        <v>0</v>
      </c>
      <c r="J278" s="226">
        <f>+'Metraj Özeti'!J278</f>
        <v>0</v>
      </c>
      <c r="K278" s="226">
        <f>+'Metraj Özeti'!K278</f>
        <v>0</v>
      </c>
    </row>
    <row r="279" spans="1:11" ht="19.95" hidden="1" customHeight="1" x14ac:dyDescent="0.3">
      <c r="A279" s="262">
        <v>2</v>
      </c>
      <c r="C279" s="244">
        <v>259</v>
      </c>
      <c r="D279" s="161" t="s">
        <v>737</v>
      </c>
      <c r="E279" s="1371" t="s">
        <v>738</v>
      </c>
      <c r="F279" s="1371"/>
      <c r="G279" s="1371"/>
      <c r="H279" s="161" t="s">
        <v>202</v>
      </c>
      <c r="I279" s="226">
        <f>+'Metraj Özeti'!I279</f>
        <v>0</v>
      </c>
      <c r="J279" s="226">
        <f>+'Metraj Özeti'!J279</f>
        <v>0</v>
      </c>
      <c r="K279" s="226">
        <f>+'Metraj Özeti'!K279</f>
        <v>0</v>
      </c>
    </row>
    <row r="280" spans="1:11" ht="19.95" hidden="1" customHeight="1" x14ac:dyDescent="0.3">
      <c r="A280" s="262">
        <v>2</v>
      </c>
      <c r="C280" s="693">
        <v>260</v>
      </c>
      <c r="D280" s="658" t="s">
        <v>739</v>
      </c>
      <c r="E280" s="1372" t="s">
        <v>740</v>
      </c>
      <c r="F280" s="1372"/>
      <c r="G280" s="1372"/>
      <c r="H280" s="658" t="s">
        <v>286</v>
      </c>
      <c r="I280" s="226">
        <f>+'Metraj Özeti'!I280</f>
        <v>0</v>
      </c>
      <c r="J280" s="226">
        <f>+'Metraj Özeti'!J280</f>
        <v>0</v>
      </c>
      <c r="K280" s="226">
        <f>+'Metraj Özeti'!K280</f>
        <v>0</v>
      </c>
    </row>
    <row r="281" spans="1:11" s="793" customFormat="1" ht="25.05" customHeight="1" x14ac:dyDescent="0.3">
      <c r="A281" s="792" t="s">
        <v>1240</v>
      </c>
      <c r="C281" s="839"/>
      <c r="D281" s="869" t="s">
        <v>1230</v>
      </c>
      <c r="E281" s="841"/>
      <c r="F281" s="841"/>
      <c r="G281" s="841"/>
      <c r="H281" s="841"/>
      <c r="I281" s="871"/>
      <c r="J281" s="842"/>
      <c r="K281" s="893"/>
    </row>
    <row r="282" spans="1:11" ht="19.95" hidden="1" customHeight="1" x14ac:dyDescent="0.3">
      <c r="A282" s="262">
        <v>3</v>
      </c>
      <c r="C282" s="160">
        <v>261</v>
      </c>
      <c r="D282" s="210" t="s">
        <v>741</v>
      </c>
      <c r="E282" s="1373" t="s">
        <v>742</v>
      </c>
      <c r="F282" s="1373"/>
      <c r="G282" s="1373"/>
      <c r="H282" s="160" t="s">
        <v>743</v>
      </c>
      <c r="I282" s="226">
        <f>+'Metraj Özeti'!I282</f>
        <v>0</v>
      </c>
      <c r="J282" s="226">
        <f>+'Metraj Özeti'!J282</f>
        <v>0</v>
      </c>
      <c r="K282" s="226">
        <f>+'Metraj Özeti'!K282</f>
        <v>0</v>
      </c>
    </row>
    <row r="283" spans="1:11" ht="19.95" hidden="1" customHeight="1" x14ac:dyDescent="0.3">
      <c r="A283" s="262">
        <v>3</v>
      </c>
      <c r="C283" s="161">
        <v>262</v>
      </c>
      <c r="D283" s="213" t="s">
        <v>744</v>
      </c>
      <c r="E283" s="1371" t="s">
        <v>745</v>
      </c>
      <c r="F283" s="1371"/>
      <c r="G283" s="1371"/>
      <c r="H283" s="161" t="s">
        <v>286</v>
      </c>
      <c r="I283" s="226">
        <f>+'Metraj Özeti'!I283</f>
        <v>0</v>
      </c>
      <c r="J283" s="226">
        <f>+'Metraj Özeti'!J283</f>
        <v>0</v>
      </c>
      <c r="K283" s="226">
        <f>+'Metraj Özeti'!K283</f>
        <v>0</v>
      </c>
    </row>
    <row r="284" spans="1:11" ht="19.95" hidden="1" customHeight="1" x14ac:dyDescent="0.3">
      <c r="A284" s="262">
        <v>3</v>
      </c>
      <c r="C284" s="161">
        <v>263</v>
      </c>
      <c r="D284" s="213" t="s">
        <v>746</v>
      </c>
      <c r="E284" s="1371" t="s">
        <v>747</v>
      </c>
      <c r="F284" s="1371"/>
      <c r="G284" s="1371"/>
      <c r="H284" s="161" t="s">
        <v>286</v>
      </c>
      <c r="I284" s="226">
        <f>+'Metraj Özeti'!I284</f>
        <v>0</v>
      </c>
      <c r="J284" s="226">
        <f>+'Metraj Özeti'!J284</f>
        <v>0</v>
      </c>
      <c r="K284" s="226">
        <f>+'Metraj Özeti'!K284</f>
        <v>0</v>
      </c>
    </row>
    <row r="285" spans="1:11" ht="19.95" hidden="1" customHeight="1" x14ac:dyDescent="0.3">
      <c r="A285" s="262">
        <v>3</v>
      </c>
      <c r="C285" s="161">
        <v>264</v>
      </c>
      <c r="D285" s="161" t="s">
        <v>748</v>
      </c>
      <c r="E285" s="1371" t="s">
        <v>749</v>
      </c>
      <c r="F285" s="1371"/>
      <c r="G285" s="1371"/>
      <c r="H285" s="161" t="s">
        <v>286</v>
      </c>
      <c r="I285" s="226">
        <f>+'Metraj Özeti'!I285</f>
        <v>0</v>
      </c>
      <c r="J285" s="226">
        <f>+'Metraj Özeti'!J285</f>
        <v>0</v>
      </c>
      <c r="K285" s="226">
        <f>+'Metraj Özeti'!K285</f>
        <v>0</v>
      </c>
    </row>
    <row r="286" spans="1:11" ht="19.95" hidden="1" customHeight="1" x14ac:dyDescent="0.3">
      <c r="A286" s="262">
        <v>3</v>
      </c>
      <c r="C286" s="161">
        <v>265</v>
      </c>
      <c r="D286" s="161" t="s">
        <v>750</v>
      </c>
      <c r="E286" s="1371" t="s">
        <v>751</v>
      </c>
      <c r="F286" s="1371"/>
      <c r="G286" s="1371"/>
      <c r="H286" s="161" t="s">
        <v>286</v>
      </c>
      <c r="I286" s="226">
        <f>+'Metraj Özeti'!I286</f>
        <v>0</v>
      </c>
      <c r="J286" s="226">
        <f>+'Metraj Özeti'!J286</f>
        <v>0</v>
      </c>
      <c r="K286" s="226">
        <f>+'Metraj Özeti'!K286</f>
        <v>0</v>
      </c>
    </row>
    <row r="287" spans="1:11" ht="19.95" hidden="1" customHeight="1" x14ac:dyDescent="0.3">
      <c r="A287" s="262">
        <v>3</v>
      </c>
      <c r="C287" s="161">
        <v>266</v>
      </c>
      <c r="D287" s="161" t="s">
        <v>752</v>
      </c>
      <c r="E287" s="1371" t="s">
        <v>753</v>
      </c>
      <c r="F287" s="1371"/>
      <c r="G287" s="1371"/>
      <c r="H287" s="161" t="s">
        <v>247</v>
      </c>
      <c r="I287" s="226">
        <f>+'Metraj Özeti'!I287</f>
        <v>0</v>
      </c>
      <c r="J287" s="226">
        <f>+'Metraj Özeti'!J287</f>
        <v>0</v>
      </c>
      <c r="K287" s="226">
        <f>+'Metraj Özeti'!K287</f>
        <v>0</v>
      </c>
    </row>
    <row r="288" spans="1:11" ht="19.95" hidden="1" customHeight="1" x14ac:dyDescent="0.3">
      <c r="A288" s="262">
        <v>3</v>
      </c>
      <c r="C288" s="161">
        <v>267</v>
      </c>
      <c r="D288" s="161" t="s">
        <v>754</v>
      </c>
      <c r="E288" s="1371" t="s">
        <v>755</v>
      </c>
      <c r="F288" s="1371"/>
      <c r="G288" s="1371"/>
      <c r="H288" s="161" t="s">
        <v>247</v>
      </c>
      <c r="I288" s="226">
        <f>+'Metraj Özeti'!I288</f>
        <v>0</v>
      </c>
      <c r="J288" s="226">
        <f>+'Metraj Özeti'!J288</f>
        <v>0</v>
      </c>
      <c r="K288" s="226">
        <f>+'Metraj Özeti'!K288</f>
        <v>0</v>
      </c>
    </row>
    <row r="289" spans="1:11" ht="19.95" hidden="1" customHeight="1" x14ac:dyDescent="0.3">
      <c r="A289" s="262">
        <v>3</v>
      </c>
      <c r="C289" s="161">
        <v>268</v>
      </c>
      <c r="D289" s="161" t="s">
        <v>756</v>
      </c>
      <c r="E289" s="1371" t="s">
        <v>757</v>
      </c>
      <c r="F289" s="1371"/>
      <c r="G289" s="1371"/>
      <c r="H289" s="161" t="s">
        <v>247</v>
      </c>
      <c r="I289" s="226">
        <f>+'Metraj Özeti'!I289</f>
        <v>0</v>
      </c>
      <c r="J289" s="226">
        <f>+'Metraj Özeti'!J289</f>
        <v>0</v>
      </c>
      <c r="K289" s="226">
        <f>+'Metraj Özeti'!K289</f>
        <v>0</v>
      </c>
    </row>
    <row r="290" spans="1:11" ht="19.95" hidden="1" customHeight="1" x14ac:dyDescent="0.3">
      <c r="A290" s="262">
        <v>3</v>
      </c>
      <c r="C290" s="658">
        <v>269</v>
      </c>
      <c r="D290" s="689" t="s">
        <v>758</v>
      </c>
      <c r="E290" s="1372" t="s">
        <v>759</v>
      </c>
      <c r="F290" s="1372"/>
      <c r="G290" s="1372"/>
      <c r="H290" s="658" t="s">
        <v>286</v>
      </c>
      <c r="I290" s="226">
        <f>+'Metraj Özeti'!I290</f>
        <v>0</v>
      </c>
      <c r="J290" s="226">
        <f>+'Metraj Özeti'!J290</f>
        <v>0</v>
      </c>
      <c r="K290" s="226">
        <f>+'Metraj Özeti'!K290</f>
        <v>0</v>
      </c>
    </row>
    <row r="291" spans="1:11" s="793" customFormat="1" ht="25.05" customHeight="1" x14ac:dyDescent="0.3">
      <c r="A291" s="792" t="s">
        <v>1240</v>
      </c>
      <c r="C291" s="839"/>
      <c r="D291" s="869" t="s">
        <v>1231</v>
      </c>
      <c r="E291" s="841"/>
      <c r="F291" s="841"/>
      <c r="G291" s="841"/>
      <c r="H291" s="841"/>
      <c r="I291" s="871"/>
      <c r="J291" s="842"/>
      <c r="K291" s="893"/>
    </row>
    <row r="292" spans="1:11" ht="19.95" hidden="1" customHeight="1" x14ac:dyDescent="0.3">
      <c r="A292" s="262">
        <v>4</v>
      </c>
      <c r="C292" s="160">
        <v>270</v>
      </c>
      <c r="D292" s="160" t="s">
        <v>760</v>
      </c>
      <c r="E292" s="1373" t="s">
        <v>761</v>
      </c>
      <c r="F292" s="1373"/>
      <c r="G292" s="1373"/>
      <c r="H292" s="160" t="s">
        <v>286</v>
      </c>
      <c r="I292" s="226">
        <f>+'Metraj Özeti'!I292</f>
        <v>0</v>
      </c>
      <c r="J292" s="226">
        <f>+'Metraj Özeti'!J292</f>
        <v>0</v>
      </c>
      <c r="K292" s="226">
        <f>+'Metraj Özeti'!K292</f>
        <v>0</v>
      </c>
    </row>
    <row r="293" spans="1:11" s="793" customFormat="1" ht="25.05" customHeight="1" x14ac:dyDescent="0.3">
      <c r="A293" s="792">
        <v>4</v>
      </c>
      <c r="C293" s="855">
        <v>271</v>
      </c>
      <c r="D293" s="855" t="s">
        <v>762</v>
      </c>
      <c r="E293" s="1345" t="s">
        <v>763</v>
      </c>
      <c r="F293" s="1345"/>
      <c r="G293" s="1345"/>
      <c r="H293" s="855" t="s">
        <v>286</v>
      </c>
      <c r="I293" s="854">
        <f>+'Metraj Özeti'!I293</f>
        <v>0</v>
      </c>
      <c r="J293" s="854">
        <f>+'Metraj Özeti'!J293</f>
        <v>0</v>
      </c>
      <c r="K293" s="854">
        <f>+'Metraj Özeti'!K293</f>
        <v>0</v>
      </c>
    </row>
    <row r="294" spans="1:11" s="793" customFormat="1" ht="25.05" customHeight="1" x14ac:dyDescent="0.3">
      <c r="A294" s="792">
        <v>4</v>
      </c>
      <c r="C294" s="855">
        <v>272</v>
      </c>
      <c r="D294" s="855" t="s">
        <v>764</v>
      </c>
      <c r="E294" s="1345" t="s">
        <v>765</v>
      </c>
      <c r="F294" s="1345"/>
      <c r="G294" s="1345"/>
      <c r="H294" s="855" t="s">
        <v>286</v>
      </c>
      <c r="I294" s="854">
        <f>+'Metraj Özeti'!I294</f>
        <v>0</v>
      </c>
      <c r="J294" s="854">
        <f>+'Metraj Özeti'!J294</f>
        <v>0</v>
      </c>
      <c r="K294" s="854">
        <f>+'Metraj Özeti'!K294</f>
        <v>0</v>
      </c>
    </row>
    <row r="295" spans="1:11" ht="19.95" hidden="1" customHeight="1" x14ac:dyDescent="0.3">
      <c r="A295" s="262">
        <v>4</v>
      </c>
      <c r="C295" s="161">
        <v>273</v>
      </c>
      <c r="D295" s="161" t="s">
        <v>766</v>
      </c>
      <c r="E295" s="1371" t="s">
        <v>767</v>
      </c>
      <c r="F295" s="1371"/>
      <c r="G295" s="1371"/>
      <c r="H295" s="161" t="s">
        <v>286</v>
      </c>
      <c r="I295" s="226">
        <f>+'Metraj Özeti'!I295</f>
        <v>0</v>
      </c>
      <c r="J295" s="226">
        <f>+'Metraj Özeti'!J295</f>
        <v>0</v>
      </c>
      <c r="K295" s="226">
        <f>+'Metraj Özeti'!K295</f>
        <v>0</v>
      </c>
    </row>
    <row r="296" spans="1:11" s="793" customFormat="1" ht="25.05" customHeight="1" x14ac:dyDescent="0.3">
      <c r="A296" s="792">
        <v>4</v>
      </c>
      <c r="C296" s="855">
        <v>274</v>
      </c>
      <c r="D296" s="855" t="s">
        <v>768</v>
      </c>
      <c r="E296" s="1345" t="s">
        <v>769</v>
      </c>
      <c r="F296" s="1345"/>
      <c r="G296" s="1345"/>
      <c r="H296" s="855" t="s">
        <v>286</v>
      </c>
      <c r="I296" s="854">
        <f>+'Metraj Özeti'!I296</f>
        <v>0</v>
      </c>
      <c r="J296" s="854">
        <f>+'Metraj Özeti'!J296</f>
        <v>0</v>
      </c>
      <c r="K296" s="854">
        <f>+'Metraj Özeti'!K296</f>
        <v>0</v>
      </c>
    </row>
    <row r="297" spans="1:11" s="793" customFormat="1" ht="25.05" customHeight="1" x14ac:dyDescent="0.3">
      <c r="A297" s="792">
        <v>4</v>
      </c>
      <c r="C297" s="855">
        <v>275</v>
      </c>
      <c r="D297" s="855" t="s">
        <v>770</v>
      </c>
      <c r="E297" s="1345" t="s">
        <v>771</v>
      </c>
      <c r="F297" s="1345"/>
      <c r="G297" s="1345"/>
      <c r="H297" s="855" t="s">
        <v>286</v>
      </c>
      <c r="I297" s="854">
        <f>+'Metraj Özeti'!I297</f>
        <v>0</v>
      </c>
      <c r="J297" s="854">
        <f>+'Metraj Özeti'!J297</f>
        <v>0</v>
      </c>
      <c r="K297" s="854">
        <f>+'Metraj Özeti'!K297</f>
        <v>0</v>
      </c>
    </row>
    <row r="298" spans="1:11" s="793" customFormat="1" ht="25.05" customHeight="1" x14ac:dyDescent="0.3">
      <c r="A298" s="792">
        <v>4</v>
      </c>
      <c r="C298" s="855">
        <v>276</v>
      </c>
      <c r="D298" s="855" t="s">
        <v>772</v>
      </c>
      <c r="E298" s="1345" t="s">
        <v>773</v>
      </c>
      <c r="F298" s="1345"/>
      <c r="G298" s="1345"/>
      <c r="H298" s="855" t="s">
        <v>286</v>
      </c>
      <c r="I298" s="854">
        <f>+'Metraj Özeti'!I298</f>
        <v>0</v>
      </c>
      <c r="J298" s="854">
        <f>+'Metraj Özeti'!J298</f>
        <v>0</v>
      </c>
      <c r="K298" s="854">
        <f>+'Metraj Özeti'!K298</f>
        <v>0</v>
      </c>
    </row>
    <row r="299" spans="1:11" s="793" customFormat="1" ht="25.05" customHeight="1" x14ac:dyDescent="0.3">
      <c r="A299" s="792">
        <v>4</v>
      </c>
      <c r="C299" s="855">
        <v>277</v>
      </c>
      <c r="D299" s="855" t="s">
        <v>774</v>
      </c>
      <c r="E299" s="1345" t="s">
        <v>775</v>
      </c>
      <c r="F299" s="1345"/>
      <c r="G299" s="1345"/>
      <c r="H299" s="855" t="s">
        <v>286</v>
      </c>
      <c r="I299" s="854">
        <f>+'Metraj Özeti'!I299</f>
        <v>0</v>
      </c>
      <c r="J299" s="854">
        <f>+'Metraj Özeti'!J299</f>
        <v>0</v>
      </c>
      <c r="K299" s="854">
        <f>+'Metraj Özeti'!K299</f>
        <v>0</v>
      </c>
    </row>
    <row r="300" spans="1:11" s="793" customFormat="1" ht="25.05" customHeight="1" x14ac:dyDescent="0.3">
      <c r="A300" s="792">
        <v>4</v>
      </c>
      <c r="C300" s="855">
        <v>278</v>
      </c>
      <c r="D300" s="855" t="s">
        <v>776</v>
      </c>
      <c r="E300" s="1345" t="s">
        <v>777</v>
      </c>
      <c r="F300" s="1345"/>
      <c r="G300" s="1345"/>
      <c r="H300" s="855" t="s">
        <v>286</v>
      </c>
      <c r="I300" s="854">
        <f>+'Metraj Özeti'!I300</f>
        <v>0</v>
      </c>
      <c r="J300" s="854">
        <f>+'Metraj Özeti'!J300</f>
        <v>0</v>
      </c>
      <c r="K300" s="854">
        <f>+'Metraj Özeti'!K300</f>
        <v>0</v>
      </c>
    </row>
    <row r="301" spans="1:11" s="793" customFormat="1" ht="25.05" customHeight="1" x14ac:dyDescent="0.3">
      <c r="A301" s="792">
        <v>4</v>
      </c>
      <c r="C301" s="855">
        <v>279</v>
      </c>
      <c r="D301" s="855" t="s">
        <v>778</v>
      </c>
      <c r="E301" s="1345" t="s">
        <v>779</v>
      </c>
      <c r="F301" s="1345"/>
      <c r="G301" s="1345"/>
      <c r="H301" s="855" t="s">
        <v>286</v>
      </c>
      <c r="I301" s="854">
        <f>+'Metraj Özeti'!I301</f>
        <v>0</v>
      </c>
      <c r="J301" s="854">
        <f>+'Metraj Özeti'!J301</f>
        <v>0</v>
      </c>
      <c r="K301" s="854">
        <f>+'Metraj Özeti'!K301</f>
        <v>0</v>
      </c>
    </row>
    <row r="302" spans="1:11" ht="19.95" hidden="1" customHeight="1" x14ac:dyDescent="0.3">
      <c r="A302" s="262">
        <v>4</v>
      </c>
      <c r="C302" s="161">
        <v>280</v>
      </c>
      <c r="D302" s="161" t="s">
        <v>780</v>
      </c>
      <c r="E302" s="1371" t="s">
        <v>781</v>
      </c>
      <c r="F302" s="1371"/>
      <c r="G302" s="1371"/>
      <c r="H302" s="161" t="s">
        <v>286</v>
      </c>
      <c r="I302" s="226">
        <f>+'Metraj Özeti'!I302</f>
        <v>0</v>
      </c>
      <c r="J302" s="226">
        <f>+'Metraj Özeti'!J302</f>
        <v>0</v>
      </c>
      <c r="K302" s="226">
        <f>+'Metraj Özeti'!K302</f>
        <v>0</v>
      </c>
    </row>
    <row r="303" spans="1:11" ht="19.95" hidden="1" customHeight="1" x14ac:dyDescent="0.3">
      <c r="A303" s="262">
        <v>4</v>
      </c>
      <c r="C303" s="161">
        <v>281</v>
      </c>
      <c r="D303" s="161" t="s">
        <v>782</v>
      </c>
      <c r="E303" s="1371" t="s">
        <v>783</v>
      </c>
      <c r="F303" s="1371"/>
      <c r="G303" s="1371"/>
      <c r="H303" s="161" t="s">
        <v>286</v>
      </c>
      <c r="I303" s="226">
        <f>+'Metraj Özeti'!I303</f>
        <v>0</v>
      </c>
      <c r="J303" s="226">
        <f>+'Metraj Özeti'!J303</f>
        <v>0</v>
      </c>
      <c r="K303" s="226">
        <f>+'Metraj Özeti'!K303</f>
        <v>0</v>
      </c>
    </row>
    <row r="304" spans="1:11" ht="19.95" hidden="1" customHeight="1" x14ac:dyDescent="0.3">
      <c r="A304" s="262">
        <v>4</v>
      </c>
      <c r="C304" s="161">
        <v>282</v>
      </c>
      <c r="D304" s="161" t="s">
        <v>784</v>
      </c>
      <c r="E304" s="1371" t="s">
        <v>785</v>
      </c>
      <c r="F304" s="1371"/>
      <c r="G304" s="1371"/>
      <c r="H304" s="161" t="s">
        <v>286</v>
      </c>
      <c r="I304" s="226">
        <f>+'Metraj Özeti'!I304</f>
        <v>0</v>
      </c>
      <c r="J304" s="226">
        <f>+'Metraj Özeti'!J304</f>
        <v>0</v>
      </c>
      <c r="K304" s="226">
        <f>+'Metraj Özeti'!K304</f>
        <v>0</v>
      </c>
    </row>
    <row r="305" spans="1:11" ht="19.95" hidden="1" customHeight="1" x14ac:dyDescent="0.3">
      <c r="A305" s="262">
        <v>4</v>
      </c>
      <c r="C305" s="161">
        <v>283</v>
      </c>
      <c r="D305" s="161" t="s">
        <v>786</v>
      </c>
      <c r="E305" s="1371" t="s">
        <v>787</v>
      </c>
      <c r="F305" s="1371"/>
      <c r="G305" s="1371"/>
      <c r="H305" s="161" t="s">
        <v>286</v>
      </c>
      <c r="I305" s="226">
        <f>+'Metraj Özeti'!I305</f>
        <v>0</v>
      </c>
      <c r="J305" s="226">
        <f>+'Metraj Özeti'!J305</f>
        <v>0</v>
      </c>
      <c r="K305" s="226">
        <f>+'Metraj Özeti'!K305</f>
        <v>0</v>
      </c>
    </row>
    <row r="306" spans="1:11" ht="19.95" hidden="1" customHeight="1" x14ac:dyDescent="0.3">
      <c r="A306" s="262">
        <v>4</v>
      </c>
      <c r="C306" s="161">
        <v>284</v>
      </c>
      <c r="D306" s="161" t="s">
        <v>788</v>
      </c>
      <c r="E306" s="1371" t="s">
        <v>789</v>
      </c>
      <c r="F306" s="1371"/>
      <c r="G306" s="1371"/>
      <c r="H306" s="161" t="s">
        <v>286</v>
      </c>
      <c r="I306" s="226">
        <f>+'Metraj Özeti'!I306</f>
        <v>0</v>
      </c>
      <c r="J306" s="226">
        <f>+'Metraj Özeti'!J306</f>
        <v>0</v>
      </c>
      <c r="K306" s="226">
        <f>+'Metraj Özeti'!K306</f>
        <v>0</v>
      </c>
    </row>
    <row r="307" spans="1:11" ht="19.95" hidden="1" customHeight="1" x14ac:dyDescent="0.3">
      <c r="A307" s="262">
        <v>4</v>
      </c>
      <c r="C307" s="161">
        <v>285</v>
      </c>
      <c r="D307" s="161" t="s">
        <v>790</v>
      </c>
      <c r="E307" s="1371" t="s">
        <v>791</v>
      </c>
      <c r="F307" s="1371"/>
      <c r="G307" s="1371"/>
      <c r="H307" s="161" t="s">
        <v>286</v>
      </c>
      <c r="I307" s="226">
        <f>+'Metraj Özeti'!I307</f>
        <v>0</v>
      </c>
      <c r="J307" s="226">
        <f>+'Metraj Özeti'!J307</f>
        <v>0</v>
      </c>
      <c r="K307" s="226">
        <f>+'Metraj Özeti'!K307</f>
        <v>0</v>
      </c>
    </row>
    <row r="308" spans="1:11" ht="19.95" hidden="1" customHeight="1" x14ac:dyDescent="0.3">
      <c r="A308" s="262">
        <v>4</v>
      </c>
      <c r="C308" s="161">
        <v>286</v>
      </c>
      <c r="D308" s="161" t="s">
        <v>792</v>
      </c>
      <c r="E308" s="1371" t="s">
        <v>793</v>
      </c>
      <c r="F308" s="1371"/>
      <c r="G308" s="1371"/>
      <c r="H308" s="161" t="s">
        <v>286</v>
      </c>
      <c r="I308" s="226">
        <f>+'Metraj Özeti'!I308</f>
        <v>0</v>
      </c>
      <c r="J308" s="226">
        <f>+'Metraj Özeti'!J308</f>
        <v>0</v>
      </c>
      <c r="K308" s="226">
        <f>+'Metraj Özeti'!K308</f>
        <v>0</v>
      </c>
    </row>
    <row r="309" spans="1:11" ht="19.95" hidden="1" customHeight="1" x14ac:dyDescent="0.3">
      <c r="A309" s="262">
        <v>4</v>
      </c>
      <c r="C309" s="161">
        <v>287</v>
      </c>
      <c r="D309" s="161" t="s">
        <v>794</v>
      </c>
      <c r="E309" s="1371" t="s">
        <v>1163</v>
      </c>
      <c r="F309" s="1371"/>
      <c r="G309" s="1371"/>
      <c r="H309" s="161" t="s">
        <v>286</v>
      </c>
      <c r="I309" s="226">
        <f>+'Metraj Özeti'!I309</f>
        <v>0</v>
      </c>
      <c r="J309" s="226">
        <f>+'Metraj Özeti'!J309</f>
        <v>0</v>
      </c>
      <c r="K309" s="226">
        <f>+'Metraj Özeti'!K309</f>
        <v>0</v>
      </c>
    </row>
    <row r="310" spans="1:11" ht="19.95" hidden="1" customHeight="1" x14ac:dyDescent="0.3">
      <c r="A310" s="262">
        <v>4</v>
      </c>
      <c r="C310" s="161">
        <v>288</v>
      </c>
      <c r="D310" s="161" t="s">
        <v>795</v>
      </c>
      <c r="E310" s="1371" t="s">
        <v>1171</v>
      </c>
      <c r="F310" s="1371"/>
      <c r="G310" s="1371"/>
      <c r="H310" s="161" t="s">
        <v>286</v>
      </c>
      <c r="I310" s="226">
        <f>+'Metraj Özeti'!I310</f>
        <v>0</v>
      </c>
      <c r="J310" s="226">
        <f>+'Metraj Özeti'!J310</f>
        <v>0</v>
      </c>
      <c r="K310" s="226">
        <f>+'Metraj Özeti'!K310</f>
        <v>0</v>
      </c>
    </row>
    <row r="311" spans="1:11" ht="19.95" hidden="1" customHeight="1" x14ac:dyDescent="0.3">
      <c r="A311" s="262">
        <v>4</v>
      </c>
      <c r="C311" s="161">
        <v>289</v>
      </c>
      <c r="D311" s="161" t="s">
        <v>796</v>
      </c>
      <c r="E311" s="1371" t="s">
        <v>1179</v>
      </c>
      <c r="F311" s="1371"/>
      <c r="G311" s="1371"/>
      <c r="H311" s="161" t="s">
        <v>286</v>
      </c>
      <c r="I311" s="226">
        <f>+'Metraj Özeti'!I311</f>
        <v>0</v>
      </c>
      <c r="J311" s="226">
        <f>+'Metraj Özeti'!J311</f>
        <v>0</v>
      </c>
      <c r="K311" s="226">
        <f>+'Metraj Özeti'!K311</f>
        <v>0</v>
      </c>
    </row>
    <row r="312" spans="1:11" ht="19.95" hidden="1" customHeight="1" x14ac:dyDescent="0.3">
      <c r="A312" s="262">
        <v>4</v>
      </c>
      <c r="C312" s="161">
        <v>290</v>
      </c>
      <c r="D312" s="161" t="s">
        <v>797</v>
      </c>
      <c r="E312" s="1371" t="s">
        <v>1187</v>
      </c>
      <c r="F312" s="1371"/>
      <c r="G312" s="1371"/>
      <c r="H312" s="161" t="s">
        <v>286</v>
      </c>
      <c r="I312" s="226">
        <f>+'Metraj Özeti'!I312</f>
        <v>0</v>
      </c>
      <c r="J312" s="226">
        <f>+'Metraj Özeti'!J312</f>
        <v>0</v>
      </c>
      <c r="K312" s="226">
        <f>+'Metraj Özeti'!K312</f>
        <v>0</v>
      </c>
    </row>
    <row r="313" spans="1:11" ht="19.95" hidden="1" customHeight="1" x14ac:dyDescent="0.3">
      <c r="A313" s="262">
        <v>4</v>
      </c>
      <c r="C313" s="161">
        <v>291</v>
      </c>
      <c r="D313" s="161" t="s">
        <v>798</v>
      </c>
      <c r="E313" s="1371" t="s">
        <v>799</v>
      </c>
      <c r="F313" s="1371"/>
      <c r="G313" s="1371"/>
      <c r="H313" s="161" t="s">
        <v>286</v>
      </c>
      <c r="I313" s="226">
        <f>+'Metraj Özeti'!I313</f>
        <v>0</v>
      </c>
      <c r="J313" s="226">
        <f>+'Metraj Özeti'!J313</f>
        <v>0</v>
      </c>
      <c r="K313" s="226">
        <f>+'Metraj Özeti'!K313</f>
        <v>0</v>
      </c>
    </row>
    <row r="314" spans="1:11" ht="19.95" hidden="1" customHeight="1" x14ac:dyDescent="0.3">
      <c r="A314" s="262">
        <v>4</v>
      </c>
      <c r="C314" s="161">
        <v>292</v>
      </c>
      <c r="D314" s="161" t="s">
        <v>800</v>
      </c>
      <c r="E314" s="1371" t="s">
        <v>801</v>
      </c>
      <c r="F314" s="1371"/>
      <c r="G314" s="1371"/>
      <c r="H314" s="161" t="s">
        <v>286</v>
      </c>
      <c r="I314" s="226">
        <f>+'Metraj Özeti'!I314</f>
        <v>0</v>
      </c>
      <c r="J314" s="226">
        <f>+'Metraj Özeti'!J314</f>
        <v>0</v>
      </c>
      <c r="K314" s="226">
        <f>+'Metraj Özeti'!K314</f>
        <v>0</v>
      </c>
    </row>
    <row r="315" spans="1:11" ht="19.95" hidden="1" customHeight="1" x14ac:dyDescent="0.3">
      <c r="A315" s="262">
        <v>4</v>
      </c>
      <c r="C315" s="161">
        <v>293</v>
      </c>
      <c r="D315" s="161" t="s">
        <v>802</v>
      </c>
      <c r="E315" s="1371" t="s">
        <v>1164</v>
      </c>
      <c r="F315" s="1371"/>
      <c r="G315" s="1371"/>
      <c r="H315" s="161" t="s">
        <v>286</v>
      </c>
      <c r="I315" s="226">
        <f>+'Metraj Özeti'!I315</f>
        <v>0</v>
      </c>
      <c r="J315" s="226">
        <f>+'Metraj Özeti'!J315</f>
        <v>0</v>
      </c>
      <c r="K315" s="226">
        <f>+'Metraj Özeti'!K315</f>
        <v>0</v>
      </c>
    </row>
    <row r="316" spans="1:11" ht="19.95" hidden="1" customHeight="1" x14ac:dyDescent="0.3">
      <c r="A316" s="262">
        <v>4</v>
      </c>
      <c r="C316" s="161">
        <v>294</v>
      </c>
      <c r="D316" s="161" t="s">
        <v>803</v>
      </c>
      <c r="E316" s="1371" t="s">
        <v>1172</v>
      </c>
      <c r="F316" s="1371"/>
      <c r="G316" s="1371"/>
      <c r="H316" s="161" t="s">
        <v>286</v>
      </c>
      <c r="I316" s="226">
        <f>+'Metraj Özeti'!I316</f>
        <v>0</v>
      </c>
      <c r="J316" s="226">
        <f>+'Metraj Özeti'!J316</f>
        <v>0</v>
      </c>
      <c r="K316" s="226">
        <f>+'Metraj Özeti'!K316</f>
        <v>0</v>
      </c>
    </row>
    <row r="317" spans="1:11" ht="19.95" hidden="1" customHeight="1" x14ac:dyDescent="0.3">
      <c r="A317" s="262">
        <v>4</v>
      </c>
      <c r="C317" s="161">
        <v>295</v>
      </c>
      <c r="D317" s="161" t="s">
        <v>804</v>
      </c>
      <c r="E317" s="1371" t="s">
        <v>1180</v>
      </c>
      <c r="F317" s="1371"/>
      <c r="G317" s="1371"/>
      <c r="H317" s="161" t="s">
        <v>286</v>
      </c>
      <c r="I317" s="226">
        <f>+'Metraj Özeti'!I317</f>
        <v>0</v>
      </c>
      <c r="J317" s="226">
        <f>+'Metraj Özeti'!J317</f>
        <v>0</v>
      </c>
      <c r="K317" s="226">
        <f>+'Metraj Özeti'!K317</f>
        <v>0</v>
      </c>
    </row>
    <row r="318" spans="1:11" ht="19.95" hidden="1" customHeight="1" x14ac:dyDescent="0.3">
      <c r="A318" s="262">
        <v>4</v>
      </c>
      <c r="C318" s="161">
        <v>296</v>
      </c>
      <c r="D318" s="161" t="s">
        <v>805</v>
      </c>
      <c r="E318" s="1371" t="s">
        <v>1188</v>
      </c>
      <c r="F318" s="1371"/>
      <c r="G318" s="1371"/>
      <c r="H318" s="161" t="s">
        <v>286</v>
      </c>
      <c r="I318" s="226">
        <f>+'Metraj Özeti'!I318</f>
        <v>0</v>
      </c>
      <c r="J318" s="226">
        <f>+'Metraj Özeti'!J318</f>
        <v>0</v>
      </c>
      <c r="K318" s="226">
        <f>+'Metraj Özeti'!K318</f>
        <v>0</v>
      </c>
    </row>
    <row r="319" spans="1:11" ht="19.95" hidden="1" customHeight="1" x14ac:dyDescent="0.3">
      <c r="A319" s="262">
        <v>4</v>
      </c>
      <c r="C319" s="161">
        <v>297</v>
      </c>
      <c r="D319" s="161" t="s">
        <v>806</v>
      </c>
      <c r="E319" s="1371" t="s">
        <v>807</v>
      </c>
      <c r="F319" s="1371"/>
      <c r="G319" s="1371"/>
      <c r="H319" s="161" t="s">
        <v>286</v>
      </c>
      <c r="I319" s="226">
        <f>+'Metraj Özeti'!I319</f>
        <v>0</v>
      </c>
      <c r="J319" s="226">
        <f>+'Metraj Özeti'!J319</f>
        <v>0</v>
      </c>
      <c r="K319" s="226">
        <f>+'Metraj Özeti'!K319</f>
        <v>0</v>
      </c>
    </row>
    <row r="320" spans="1:11" ht="19.95" hidden="1" customHeight="1" x14ac:dyDescent="0.3">
      <c r="A320" s="262">
        <v>4</v>
      </c>
      <c r="C320" s="161">
        <v>298</v>
      </c>
      <c r="D320" s="161" t="s">
        <v>808</v>
      </c>
      <c r="E320" s="1371" t="s">
        <v>809</v>
      </c>
      <c r="F320" s="1371"/>
      <c r="G320" s="1371"/>
      <c r="H320" s="161" t="s">
        <v>286</v>
      </c>
      <c r="I320" s="226">
        <f>+'Metraj Özeti'!I320</f>
        <v>0</v>
      </c>
      <c r="J320" s="226">
        <f>+'Metraj Özeti'!J320</f>
        <v>0</v>
      </c>
      <c r="K320" s="226">
        <f>+'Metraj Özeti'!K320</f>
        <v>0</v>
      </c>
    </row>
    <row r="321" spans="1:11" ht="19.95" hidden="1" customHeight="1" x14ac:dyDescent="0.3">
      <c r="A321" s="262">
        <v>4</v>
      </c>
      <c r="C321" s="161">
        <v>299</v>
      </c>
      <c r="D321" s="161" t="s">
        <v>810</v>
      </c>
      <c r="E321" s="1371" t="s">
        <v>811</v>
      </c>
      <c r="F321" s="1371"/>
      <c r="G321" s="1371"/>
      <c r="H321" s="161" t="s">
        <v>286</v>
      </c>
      <c r="I321" s="226">
        <f>+'Metraj Özeti'!I321</f>
        <v>0</v>
      </c>
      <c r="J321" s="226">
        <f>+'Metraj Özeti'!J321</f>
        <v>0</v>
      </c>
      <c r="K321" s="226">
        <f>+'Metraj Özeti'!K321</f>
        <v>0</v>
      </c>
    </row>
    <row r="322" spans="1:11" ht="19.95" hidden="1" customHeight="1" x14ac:dyDescent="0.3">
      <c r="A322" s="262">
        <v>4</v>
      </c>
      <c r="C322" s="161">
        <v>300</v>
      </c>
      <c r="D322" s="161" t="s">
        <v>812</v>
      </c>
      <c r="E322" s="1371" t="s">
        <v>1165</v>
      </c>
      <c r="F322" s="1371"/>
      <c r="G322" s="1371"/>
      <c r="H322" s="161" t="s">
        <v>286</v>
      </c>
      <c r="I322" s="226">
        <f>+'Metraj Özeti'!I322</f>
        <v>0</v>
      </c>
      <c r="J322" s="226">
        <f>+'Metraj Özeti'!J322</f>
        <v>0</v>
      </c>
      <c r="K322" s="226">
        <f>+'Metraj Özeti'!K322</f>
        <v>0</v>
      </c>
    </row>
    <row r="323" spans="1:11" ht="19.95" hidden="1" customHeight="1" x14ac:dyDescent="0.3">
      <c r="A323" s="262">
        <v>4</v>
      </c>
      <c r="C323" s="161">
        <v>301</v>
      </c>
      <c r="D323" s="161" t="s">
        <v>813</v>
      </c>
      <c r="E323" s="1371" t="s">
        <v>1173</v>
      </c>
      <c r="F323" s="1371"/>
      <c r="G323" s="1371"/>
      <c r="H323" s="161" t="s">
        <v>286</v>
      </c>
      <c r="I323" s="226">
        <f>+'Metraj Özeti'!I323</f>
        <v>0</v>
      </c>
      <c r="J323" s="226">
        <f>+'Metraj Özeti'!J323</f>
        <v>0</v>
      </c>
      <c r="K323" s="226">
        <f>+'Metraj Özeti'!K323</f>
        <v>0</v>
      </c>
    </row>
    <row r="324" spans="1:11" ht="19.95" hidden="1" customHeight="1" x14ac:dyDescent="0.3">
      <c r="A324" s="262">
        <v>4</v>
      </c>
      <c r="C324" s="161">
        <v>302</v>
      </c>
      <c r="D324" s="161" t="s">
        <v>814</v>
      </c>
      <c r="E324" s="1371" t="s">
        <v>1181</v>
      </c>
      <c r="F324" s="1371"/>
      <c r="G324" s="1371"/>
      <c r="H324" s="161" t="s">
        <v>286</v>
      </c>
      <c r="I324" s="226">
        <f>+'Metraj Özeti'!I324</f>
        <v>0</v>
      </c>
      <c r="J324" s="226">
        <f>+'Metraj Özeti'!J324</f>
        <v>0</v>
      </c>
      <c r="K324" s="226">
        <f>+'Metraj Özeti'!K324</f>
        <v>0</v>
      </c>
    </row>
    <row r="325" spans="1:11" ht="19.95" hidden="1" customHeight="1" x14ac:dyDescent="0.3">
      <c r="A325" s="262">
        <v>4</v>
      </c>
      <c r="C325" s="161">
        <v>303</v>
      </c>
      <c r="D325" s="161" t="s">
        <v>815</v>
      </c>
      <c r="E325" s="1371" t="s">
        <v>1189</v>
      </c>
      <c r="F325" s="1371"/>
      <c r="G325" s="1371"/>
      <c r="H325" s="161" t="s">
        <v>286</v>
      </c>
      <c r="I325" s="226">
        <f>+'Metraj Özeti'!I325</f>
        <v>0</v>
      </c>
      <c r="J325" s="226">
        <f>+'Metraj Özeti'!J325</f>
        <v>0</v>
      </c>
      <c r="K325" s="226">
        <f>+'Metraj Özeti'!K325</f>
        <v>0</v>
      </c>
    </row>
    <row r="326" spans="1:11" ht="19.95" hidden="1" customHeight="1" x14ac:dyDescent="0.3">
      <c r="A326" s="262">
        <v>4</v>
      </c>
      <c r="C326" s="161">
        <v>304</v>
      </c>
      <c r="D326" s="161" t="s">
        <v>816</v>
      </c>
      <c r="E326" s="1371" t="s">
        <v>817</v>
      </c>
      <c r="F326" s="1371"/>
      <c r="G326" s="1371"/>
      <c r="H326" s="161" t="s">
        <v>286</v>
      </c>
      <c r="I326" s="226">
        <f>+'Metraj Özeti'!I326</f>
        <v>0</v>
      </c>
      <c r="J326" s="226">
        <f>+'Metraj Özeti'!J326</f>
        <v>0</v>
      </c>
      <c r="K326" s="226">
        <f>+'Metraj Özeti'!K326</f>
        <v>0</v>
      </c>
    </row>
    <row r="327" spans="1:11" ht="19.95" hidden="1" customHeight="1" x14ac:dyDescent="0.3">
      <c r="A327" s="262">
        <v>4</v>
      </c>
      <c r="C327" s="161">
        <v>305</v>
      </c>
      <c r="D327" s="161" t="s">
        <v>818</v>
      </c>
      <c r="E327" s="1371" t="s">
        <v>819</v>
      </c>
      <c r="F327" s="1371"/>
      <c r="G327" s="1371"/>
      <c r="H327" s="161" t="s">
        <v>286</v>
      </c>
      <c r="I327" s="226">
        <f>+'Metraj Özeti'!I327</f>
        <v>0</v>
      </c>
      <c r="J327" s="226">
        <f>+'Metraj Özeti'!J327</f>
        <v>0</v>
      </c>
      <c r="K327" s="226">
        <f>+'Metraj Özeti'!K327</f>
        <v>0</v>
      </c>
    </row>
    <row r="328" spans="1:11" ht="19.95" hidden="1" customHeight="1" x14ac:dyDescent="0.3">
      <c r="A328" s="262">
        <v>4</v>
      </c>
      <c r="C328" s="161">
        <v>306</v>
      </c>
      <c r="D328" s="161" t="s">
        <v>820</v>
      </c>
      <c r="E328" s="1371" t="s">
        <v>821</v>
      </c>
      <c r="F328" s="1371"/>
      <c r="G328" s="1371"/>
      <c r="H328" s="161" t="s">
        <v>286</v>
      </c>
      <c r="I328" s="226">
        <f>+'Metraj Özeti'!I328</f>
        <v>0</v>
      </c>
      <c r="J328" s="226">
        <f>+'Metraj Özeti'!J328</f>
        <v>0</v>
      </c>
      <c r="K328" s="226">
        <f>+'Metraj Özeti'!K328</f>
        <v>0</v>
      </c>
    </row>
    <row r="329" spans="1:11" ht="19.95" hidden="1" customHeight="1" x14ac:dyDescent="0.3">
      <c r="A329" s="262">
        <v>4</v>
      </c>
      <c r="C329" s="161">
        <v>307</v>
      </c>
      <c r="D329" s="161" t="s">
        <v>822</v>
      </c>
      <c r="E329" s="1371" t="s">
        <v>1166</v>
      </c>
      <c r="F329" s="1371"/>
      <c r="G329" s="1371"/>
      <c r="H329" s="161" t="s">
        <v>286</v>
      </c>
      <c r="I329" s="226">
        <f>+'Metraj Özeti'!I329</f>
        <v>0</v>
      </c>
      <c r="J329" s="226">
        <f>+'Metraj Özeti'!J329</f>
        <v>0</v>
      </c>
      <c r="K329" s="226">
        <f>+'Metraj Özeti'!K329</f>
        <v>0</v>
      </c>
    </row>
    <row r="330" spans="1:11" ht="19.95" hidden="1" customHeight="1" x14ac:dyDescent="0.3">
      <c r="A330" s="262">
        <v>4</v>
      </c>
      <c r="C330" s="161">
        <v>308</v>
      </c>
      <c r="D330" s="161" t="s">
        <v>823</v>
      </c>
      <c r="E330" s="1371" t="s">
        <v>1174</v>
      </c>
      <c r="F330" s="1371"/>
      <c r="G330" s="1371"/>
      <c r="H330" s="161" t="s">
        <v>286</v>
      </c>
      <c r="I330" s="226">
        <f>+'Metraj Özeti'!I330</f>
        <v>0</v>
      </c>
      <c r="J330" s="226">
        <f>+'Metraj Özeti'!J330</f>
        <v>0</v>
      </c>
      <c r="K330" s="226">
        <f>+'Metraj Özeti'!K330</f>
        <v>0</v>
      </c>
    </row>
    <row r="331" spans="1:11" ht="19.95" hidden="1" customHeight="1" x14ac:dyDescent="0.3">
      <c r="A331" s="262">
        <v>4</v>
      </c>
      <c r="C331" s="161">
        <v>309</v>
      </c>
      <c r="D331" s="161" t="s">
        <v>824</v>
      </c>
      <c r="E331" s="1371" t="s">
        <v>1182</v>
      </c>
      <c r="F331" s="1371"/>
      <c r="G331" s="1371"/>
      <c r="H331" s="161" t="s">
        <v>286</v>
      </c>
      <c r="I331" s="226">
        <f>+'Metraj Özeti'!I331</f>
        <v>0</v>
      </c>
      <c r="J331" s="226">
        <f>+'Metraj Özeti'!J331</f>
        <v>0</v>
      </c>
      <c r="K331" s="226">
        <f>+'Metraj Özeti'!K331</f>
        <v>0</v>
      </c>
    </row>
    <row r="332" spans="1:11" ht="19.95" hidden="1" customHeight="1" x14ac:dyDescent="0.3">
      <c r="A332" s="262">
        <v>4</v>
      </c>
      <c r="C332" s="161">
        <v>310</v>
      </c>
      <c r="D332" s="161" t="s">
        <v>825</v>
      </c>
      <c r="E332" s="1371" t="s">
        <v>1190</v>
      </c>
      <c r="F332" s="1371"/>
      <c r="G332" s="1371"/>
      <c r="H332" s="161" t="s">
        <v>286</v>
      </c>
      <c r="I332" s="226">
        <f>+'Metraj Özeti'!I332</f>
        <v>0</v>
      </c>
      <c r="J332" s="226">
        <f>+'Metraj Özeti'!J332</f>
        <v>0</v>
      </c>
      <c r="K332" s="226">
        <f>+'Metraj Özeti'!K332</f>
        <v>0</v>
      </c>
    </row>
    <row r="333" spans="1:11" ht="19.95" hidden="1" customHeight="1" x14ac:dyDescent="0.3">
      <c r="A333" s="262">
        <v>4</v>
      </c>
      <c r="C333" s="161">
        <v>311</v>
      </c>
      <c r="D333" s="161" t="s">
        <v>826</v>
      </c>
      <c r="E333" s="1371" t="s">
        <v>827</v>
      </c>
      <c r="F333" s="1371"/>
      <c r="G333" s="1371"/>
      <c r="H333" s="161" t="s">
        <v>286</v>
      </c>
      <c r="I333" s="226">
        <f>+'Metraj Özeti'!I333</f>
        <v>0</v>
      </c>
      <c r="J333" s="226">
        <f>+'Metraj Özeti'!J333</f>
        <v>0</v>
      </c>
      <c r="K333" s="226">
        <f>+'Metraj Özeti'!K333</f>
        <v>0</v>
      </c>
    </row>
    <row r="334" spans="1:11" ht="19.95" hidden="1" customHeight="1" x14ac:dyDescent="0.3">
      <c r="A334" s="262">
        <v>4</v>
      </c>
      <c r="C334" s="161">
        <v>312</v>
      </c>
      <c r="D334" s="161" t="s">
        <v>828</v>
      </c>
      <c r="E334" s="1371" t="s">
        <v>829</v>
      </c>
      <c r="F334" s="1371"/>
      <c r="G334" s="1371"/>
      <c r="H334" s="161" t="s">
        <v>286</v>
      </c>
      <c r="I334" s="226">
        <f>+'Metraj Özeti'!I334</f>
        <v>0</v>
      </c>
      <c r="J334" s="226">
        <f>+'Metraj Özeti'!J334</f>
        <v>0</v>
      </c>
      <c r="K334" s="226">
        <f>+'Metraj Özeti'!K334</f>
        <v>0</v>
      </c>
    </row>
    <row r="335" spans="1:11" ht="19.95" hidden="1" customHeight="1" x14ac:dyDescent="0.3">
      <c r="A335" s="262">
        <v>4</v>
      </c>
      <c r="C335" s="161">
        <v>313</v>
      </c>
      <c r="D335" s="161" t="s">
        <v>830</v>
      </c>
      <c r="E335" s="1371" t="s">
        <v>1167</v>
      </c>
      <c r="F335" s="1371"/>
      <c r="G335" s="1371"/>
      <c r="H335" s="161" t="s">
        <v>286</v>
      </c>
      <c r="I335" s="226">
        <f>+'Metraj Özeti'!I335</f>
        <v>0</v>
      </c>
      <c r="J335" s="226">
        <f>+'Metraj Özeti'!J335</f>
        <v>0</v>
      </c>
      <c r="K335" s="226">
        <f>+'Metraj Özeti'!K335</f>
        <v>0</v>
      </c>
    </row>
    <row r="336" spans="1:11" ht="19.95" hidden="1" customHeight="1" x14ac:dyDescent="0.3">
      <c r="A336" s="262">
        <v>4</v>
      </c>
      <c r="C336" s="161">
        <v>314</v>
      </c>
      <c r="D336" s="161" t="s">
        <v>831</v>
      </c>
      <c r="E336" s="1371" t="s">
        <v>1175</v>
      </c>
      <c r="F336" s="1371"/>
      <c r="G336" s="1371"/>
      <c r="H336" s="161" t="s">
        <v>286</v>
      </c>
      <c r="I336" s="226">
        <f>+'Metraj Özeti'!I336</f>
        <v>0</v>
      </c>
      <c r="J336" s="226">
        <f>+'Metraj Özeti'!J336</f>
        <v>0</v>
      </c>
      <c r="K336" s="226">
        <f>+'Metraj Özeti'!K336</f>
        <v>0</v>
      </c>
    </row>
    <row r="337" spans="1:11" ht="19.95" hidden="1" customHeight="1" x14ac:dyDescent="0.3">
      <c r="A337" s="262">
        <v>4</v>
      </c>
      <c r="C337" s="161">
        <v>315</v>
      </c>
      <c r="D337" s="161" t="s">
        <v>832</v>
      </c>
      <c r="E337" s="1371" t="s">
        <v>1183</v>
      </c>
      <c r="F337" s="1371"/>
      <c r="G337" s="1371"/>
      <c r="H337" s="161" t="s">
        <v>286</v>
      </c>
      <c r="I337" s="226">
        <f>+'Metraj Özeti'!I337</f>
        <v>0</v>
      </c>
      <c r="J337" s="226">
        <f>+'Metraj Özeti'!J337</f>
        <v>0</v>
      </c>
      <c r="K337" s="226">
        <f>+'Metraj Özeti'!K337</f>
        <v>0</v>
      </c>
    </row>
    <row r="338" spans="1:11" ht="19.95" hidden="1" customHeight="1" x14ac:dyDescent="0.3">
      <c r="A338" s="262">
        <v>4</v>
      </c>
      <c r="C338" s="161">
        <v>316</v>
      </c>
      <c r="D338" s="161" t="s">
        <v>833</v>
      </c>
      <c r="E338" s="1371" t="s">
        <v>1191</v>
      </c>
      <c r="F338" s="1371"/>
      <c r="G338" s="1371"/>
      <c r="H338" s="161" t="s">
        <v>286</v>
      </c>
      <c r="I338" s="226">
        <f>+'Metraj Özeti'!I338</f>
        <v>0</v>
      </c>
      <c r="J338" s="226">
        <f>+'Metraj Özeti'!J338</f>
        <v>0</v>
      </c>
      <c r="K338" s="226">
        <f>+'Metraj Özeti'!K338</f>
        <v>0</v>
      </c>
    </row>
    <row r="339" spans="1:11" ht="19.95" hidden="1" customHeight="1" x14ac:dyDescent="0.3">
      <c r="A339" s="262">
        <v>4</v>
      </c>
      <c r="C339" s="161">
        <v>317</v>
      </c>
      <c r="D339" s="161" t="s">
        <v>834</v>
      </c>
      <c r="E339" s="1371" t="s">
        <v>835</v>
      </c>
      <c r="F339" s="1371"/>
      <c r="G339" s="1371"/>
      <c r="H339" s="161" t="s">
        <v>286</v>
      </c>
      <c r="I339" s="226">
        <f>+'Metraj Özeti'!I339</f>
        <v>0</v>
      </c>
      <c r="J339" s="226">
        <f>+'Metraj Özeti'!J339</f>
        <v>0</v>
      </c>
      <c r="K339" s="226">
        <f>+'Metraj Özeti'!K339</f>
        <v>0</v>
      </c>
    </row>
    <row r="340" spans="1:11" ht="19.95" hidden="1" customHeight="1" x14ac:dyDescent="0.3">
      <c r="A340" s="262">
        <v>4</v>
      </c>
      <c r="C340" s="161">
        <v>318</v>
      </c>
      <c r="D340" s="161" t="s">
        <v>836</v>
      </c>
      <c r="E340" s="1371" t="s">
        <v>837</v>
      </c>
      <c r="F340" s="1371"/>
      <c r="G340" s="1371"/>
      <c r="H340" s="161" t="s">
        <v>286</v>
      </c>
      <c r="I340" s="226">
        <f>+'Metraj Özeti'!I340</f>
        <v>0</v>
      </c>
      <c r="J340" s="226">
        <f>+'Metraj Özeti'!J340</f>
        <v>0</v>
      </c>
      <c r="K340" s="226">
        <f>+'Metraj Özeti'!K340</f>
        <v>0</v>
      </c>
    </row>
    <row r="341" spans="1:11" ht="19.95" hidden="1" customHeight="1" x14ac:dyDescent="0.3">
      <c r="A341" s="262">
        <v>4</v>
      </c>
      <c r="C341" s="161">
        <v>319</v>
      </c>
      <c r="D341" s="161" t="s">
        <v>838</v>
      </c>
      <c r="E341" s="1371" t="s">
        <v>1168</v>
      </c>
      <c r="F341" s="1371"/>
      <c r="G341" s="1371"/>
      <c r="H341" s="161" t="s">
        <v>286</v>
      </c>
      <c r="I341" s="226">
        <f>+'Metraj Özeti'!I341</f>
        <v>0</v>
      </c>
      <c r="J341" s="226">
        <f>+'Metraj Özeti'!J341</f>
        <v>0</v>
      </c>
      <c r="K341" s="226">
        <f>+'Metraj Özeti'!K341</f>
        <v>0</v>
      </c>
    </row>
    <row r="342" spans="1:11" ht="19.95" hidden="1" customHeight="1" x14ac:dyDescent="0.3">
      <c r="A342" s="262">
        <v>4</v>
      </c>
      <c r="C342" s="161">
        <v>320</v>
      </c>
      <c r="D342" s="161" t="s">
        <v>839</v>
      </c>
      <c r="E342" s="1371" t="s">
        <v>1176</v>
      </c>
      <c r="F342" s="1371"/>
      <c r="G342" s="1371"/>
      <c r="H342" s="161" t="s">
        <v>286</v>
      </c>
      <c r="I342" s="226">
        <f>+'Metraj Özeti'!I342</f>
        <v>0</v>
      </c>
      <c r="J342" s="226">
        <f>+'Metraj Özeti'!J342</f>
        <v>0</v>
      </c>
      <c r="K342" s="226">
        <f>+'Metraj Özeti'!K342</f>
        <v>0</v>
      </c>
    </row>
    <row r="343" spans="1:11" ht="19.95" hidden="1" customHeight="1" x14ac:dyDescent="0.3">
      <c r="A343" s="262">
        <v>4</v>
      </c>
      <c r="C343" s="161">
        <v>321</v>
      </c>
      <c r="D343" s="161" t="s">
        <v>840</v>
      </c>
      <c r="E343" s="1371" t="s">
        <v>1184</v>
      </c>
      <c r="F343" s="1371"/>
      <c r="G343" s="1371"/>
      <c r="H343" s="161" t="s">
        <v>286</v>
      </c>
      <c r="I343" s="226">
        <f>+'Metraj Özeti'!I343</f>
        <v>0</v>
      </c>
      <c r="J343" s="226">
        <f>+'Metraj Özeti'!J343</f>
        <v>0</v>
      </c>
      <c r="K343" s="226">
        <f>+'Metraj Özeti'!K343</f>
        <v>0</v>
      </c>
    </row>
    <row r="344" spans="1:11" ht="19.95" hidden="1" customHeight="1" x14ac:dyDescent="0.3">
      <c r="A344" s="262">
        <v>4</v>
      </c>
      <c r="C344" s="161">
        <v>322</v>
      </c>
      <c r="D344" s="161" t="s">
        <v>841</v>
      </c>
      <c r="E344" s="1371" t="s">
        <v>1192</v>
      </c>
      <c r="F344" s="1371"/>
      <c r="G344" s="1371"/>
      <c r="H344" s="161" t="s">
        <v>286</v>
      </c>
      <c r="I344" s="226">
        <f>+'Metraj Özeti'!I344</f>
        <v>0</v>
      </c>
      <c r="J344" s="226">
        <f>+'Metraj Özeti'!J344</f>
        <v>0</v>
      </c>
      <c r="K344" s="226">
        <f>+'Metraj Özeti'!K344</f>
        <v>0</v>
      </c>
    </row>
    <row r="345" spans="1:11" ht="19.95" hidden="1" customHeight="1" x14ac:dyDescent="0.3">
      <c r="A345" s="262">
        <v>4</v>
      </c>
      <c r="C345" s="161">
        <v>323</v>
      </c>
      <c r="D345" s="161" t="s">
        <v>842</v>
      </c>
      <c r="E345" s="1371" t="s">
        <v>843</v>
      </c>
      <c r="F345" s="1371"/>
      <c r="G345" s="1371"/>
      <c r="H345" s="161" t="s">
        <v>286</v>
      </c>
      <c r="I345" s="226">
        <f>+'Metraj Özeti'!I345</f>
        <v>0</v>
      </c>
      <c r="J345" s="226">
        <f>+'Metraj Özeti'!J345</f>
        <v>0</v>
      </c>
      <c r="K345" s="226">
        <f>+'Metraj Özeti'!K345</f>
        <v>0</v>
      </c>
    </row>
    <row r="346" spans="1:11" ht="19.95" hidden="1" customHeight="1" x14ac:dyDescent="0.3">
      <c r="A346" s="262">
        <v>4</v>
      </c>
      <c r="C346" s="161">
        <v>324</v>
      </c>
      <c r="D346" s="161" t="s">
        <v>844</v>
      </c>
      <c r="E346" s="1371" t="s">
        <v>845</v>
      </c>
      <c r="F346" s="1371"/>
      <c r="G346" s="1371"/>
      <c r="H346" s="161" t="s">
        <v>286</v>
      </c>
      <c r="I346" s="226">
        <f>+'Metraj Özeti'!I346</f>
        <v>0</v>
      </c>
      <c r="J346" s="226">
        <f>+'Metraj Özeti'!J346</f>
        <v>0</v>
      </c>
      <c r="K346" s="226">
        <f>+'Metraj Özeti'!K346</f>
        <v>0</v>
      </c>
    </row>
    <row r="347" spans="1:11" ht="19.95" hidden="1" customHeight="1" x14ac:dyDescent="0.3">
      <c r="A347" s="262">
        <v>4</v>
      </c>
      <c r="C347" s="161">
        <v>325</v>
      </c>
      <c r="D347" s="161" t="s">
        <v>846</v>
      </c>
      <c r="E347" s="1371" t="s">
        <v>1169</v>
      </c>
      <c r="F347" s="1371"/>
      <c r="G347" s="1371"/>
      <c r="H347" s="161" t="s">
        <v>286</v>
      </c>
      <c r="I347" s="226">
        <f>+'Metraj Özeti'!I347</f>
        <v>0</v>
      </c>
      <c r="J347" s="226">
        <f>+'Metraj Özeti'!J347</f>
        <v>0</v>
      </c>
      <c r="K347" s="226">
        <f>+'Metraj Özeti'!K347</f>
        <v>0</v>
      </c>
    </row>
    <row r="348" spans="1:11" ht="19.95" hidden="1" customHeight="1" x14ac:dyDescent="0.3">
      <c r="A348" s="262">
        <v>4</v>
      </c>
      <c r="C348" s="161">
        <v>326</v>
      </c>
      <c r="D348" s="161" t="s">
        <v>847</v>
      </c>
      <c r="E348" s="1371" t="s">
        <v>1177</v>
      </c>
      <c r="F348" s="1371"/>
      <c r="G348" s="1371"/>
      <c r="H348" s="161" t="s">
        <v>286</v>
      </c>
      <c r="I348" s="226">
        <f>+'Metraj Özeti'!I348</f>
        <v>0</v>
      </c>
      <c r="J348" s="226">
        <f>+'Metraj Özeti'!J348</f>
        <v>0</v>
      </c>
      <c r="K348" s="226">
        <f>+'Metraj Özeti'!K348</f>
        <v>0</v>
      </c>
    </row>
    <row r="349" spans="1:11" ht="19.95" hidden="1" customHeight="1" x14ac:dyDescent="0.3">
      <c r="A349" s="262">
        <v>4</v>
      </c>
      <c r="C349" s="161">
        <v>327</v>
      </c>
      <c r="D349" s="161" t="s">
        <v>848</v>
      </c>
      <c r="E349" s="1371" t="s">
        <v>1185</v>
      </c>
      <c r="F349" s="1371"/>
      <c r="G349" s="1371"/>
      <c r="H349" s="161" t="s">
        <v>286</v>
      </c>
      <c r="I349" s="226">
        <f>+'Metraj Özeti'!I349</f>
        <v>0</v>
      </c>
      <c r="J349" s="226">
        <f>+'Metraj Özeti'!J349</f>
        <v>0</v>
      </c>
      <c r="K349" s="226">
        <f>+'Metraj Özeti'!K349</f>
        <v>0</v>
      </c>
    </row>
    <row r="350" spans="1:11" ht="19.95" hidden="1" customHeight="1" x14ac:dyDescent="0.3">
      <c r="A350" s="262">
        <v>4</v>
      </c>
      <c r="C350" s="161">
        <v>328</v>
      </c>
      <c r="D350" s="161" t="s">
        <v>849</v>
      </c>
      <c r="E350" s="1371" t="s">
        <v>1193</v>
      </c>
      <c r="F350" s="1371"/>
      <c r="G350" s="1371"/>
      <c r="H350" s="161" t="s">
        <v>286</v>
      </c>
      <c r="I350" s="226">
        <f>+'Metraj Özeti'!I350</f>
        <v>0</v>
      </c>
      <c r="J350" s="226">
        <f>+'Metraj Özeti'!J350</f>
        <v>0</v>
      </c>
      <c r="K350" s="226">
        <f>+'Metraj Özeti'!K350</f>
        <v>0</v>
      </c>
    </row>
    <row r="351" spans="1:11" ht="19.95" hidden="1" customHeight="1" x14ac:dyDescent="0.3">
      <c r="A351" s="262">
        <v>4</v>
      </c>
      <c r="C351" s="161">
        <v>329</v>
      </c>
      <c r="D351" s="161" t="s">
        <v>850</v>
      </c>
      <c r="E351" s="1371" t="s">
        <v>851</v>
      </c>
      <c r="F351" s="1371"/>
      <c r="G351" s="1371"/>
      <c r="H351" s="161" t="s">
        <v>286</v>
      </c>
      <c r="I351" s="226">
        <f>+'Metraj Özeti'!I351</f>
        <v>0</v>
      </c>
      <c r="J351" s="226">
        <f>+'Metraj Özeti'!J351</f>
        <v>0</v>
      </c>
      <c r="K351" s="226">
        <f>+'Metraj Özeti'!K351</f>
        <v>0</v>
      </c>
    </row>
    <row r="352" spans="1:11" ht="19.95" hidden="1" customHeight="1" x14ac:dyDescent="0.3">
      <c r="A352" s="262">
        <v>4</v>
      </c>
      <c r="C352" s="161">
        <v>330</v>
      </c>
      <c r="D352" s="161" t="s">
        <v>852</v>
      </c>
      <c r="E352" s="1371" t="s">
        <v>853</v>
      </c>
      <c r="F352" s="1371"/>
      <c r="G352" s="1371"/>
      <c r="H352" s="161" t="s">
        <v>286</v>
      </c>
      <c r="I352" s="226">
        <f>+'Metraj Özeti'!I352</f>
        <v>0</v>
      </c>
      <c r="J352" s="226">
        <f>+'Metraj Özeti'!J352</f>
        <v>0</v>
      </c>
      <c r="K352" s="226">
        <f>+'Metraj Özeti'!K352</f>
        <v>0</v>
      </c>
    </row>
    <row r="353" spans="1:11" ht="19.95" hidden="1" customHeight="1" x14ac:dyDescent="0.3">
      <c r="A353" s="262">
        <v>4</v>
      </c>
      <c r="C353" s="161">
        <v>331</v>
      </c>
      <c r="D353" s="161" t="s">
        <v>854</v>
      </c>
      <c r="E353" s="1371" t="s">
        <v>1170</v>
      </c>
      <c r="F353" s="1371"/>
      <c r="G353" s="1371"/>
      <c r="H353" s="161" t="s">
        <v>286</v>
      </c>
      <c r="I353" s="226">
        <f>+'Metraj Özeti'!I353</f>
        <v>0</v>
      </c>
      <c r="J353" s="226">
        <f>+'Metraj Özeti'!J353</f>
        <v>0</v>
      </c>
      <c r="K353" s="226">
        <f>+'Metraj Özeti'!K353</f>
        <v>0</v>
      </c>
    </row>
    <row r="354" spans="1:11" ht="19.95" hidden="1" customHeight="1" x14ac:dyDescent="0.3">
      <c r="A354" s="262">
        <v>4</v>
      </c>
      <c r="C354" s="161">
        <v>332</v>
      </c>
      <c r="D354" s="161" t="s">
        <v>855</v>
      </c>
      <c r="E354" s="1371" t="s">
        <v>1178</v>
      </c>
      <c r="F354" s="1371"/>
      <c r="G354" s="1371"/>
      <c r="H354" s="161" t="s">
        <v>286</v>
      </c>
      <c r="I354" s="226">
        <f>+'Metraj Özeti'!I354</f>
        <v>0</v>
      </c>
      <c r="J354" s="226">
        <f>+'Metraj Özeti'!J354</f>
        <v>0</v>
      </c>
      <c r="K354" s="226">
        <f>+'Metraj Özeti'!K354</f>
        <v>0</v>
      </c>
    </row>
    <row r="355" spans="1:11" ht="19.95" hidden="1" customHeight="1" x14ac:dyDescent="0.3">
      <c r="A355" s="262">
        <v>4</v>
      </c>
      <c r="C355" s="161">
        <v>333</v>
      </c>
      <c r="D355" s="161" t="s">
        <v>856</v>
      </c>
      <c r="E355" s="1371" t="s">
        <v>1186</v>
      </c>
      <c r="F355" s="1371"/>
      <c r="G355" s="1371"/>
      <c r="H355" s="161" t="s">
        <v>286</v>
      </c>
      <c r="I355" s="226">
        <f>+'Metraj Özeti'!I355</f>
        <v>0</v>
      </c>
      <c r="J355" s="226">
        <f>+'Metraj Özeti'!J355</f>
        <v>0</v>
      </c>
      <c r="K355" s="226">
        <f>+'Metraj Özeti'!K355</f>
        <v>0</v>
      </c>
    </row>
    <row r="356" spans="1:11" ht="19.95" hidden="1" customHeight="1" x14ac:dyDescent="0.3">
      <c r="A356" s="262">
        <v>4</v>
      </c>
      <c r="C356" s="161">
        <v>334</v>
      </c>
      <c r="D356" s="161" t="s">
        <v>857</v>
      </c>
      <c r="E356" s="1371" t="s">
        <v>1194</v>
      </c>
      <c r="F356" s="1371"/>
      <c r="G356" s="1371"/>
      <c r="H356" s="161" t="s">
        <v>286</v>
      </c>
      <c r="I356" s="226">
        <f>+'Metraj Özeti'!I356</f>
        <v>0</v>
      </c>
      <c r="J356" s="226">
        <f>+'Metraj Özeti'!J356</f>
        <v>0</v>
      </c>
      <c r="K356" s="226">
        <f>+'Metraj Özeti'!K356</f>
        <v>0</v>
      </c>
    </row>
    <row r="357" spans="1:11" ht="19.95" hidden="1" customHeight="1" x14ac:dyDescent="0.3">
      <c r="A357" s="262">
        <v>4</v>
      </c>
      <c r="C357" s="161">
        <v>335</v>
      </c>
      <c r="D357" s="161" t="s">
        <v>858</v>
      </c>
      <c r="E357" s="1371" t="s">
        <v>859</v>
      </c>
      <c r="F357" s="1371"/>
      <c r="G357" s="1371"/>
      <c r="H357" s="161" t="s">
        <v>286</v>
      </c>
      <c r="I357" s="226">
        <f>+'Metraj Özeti'!I357</f>
        <v>0</v>
      </c>
      <c r="J357" s="226">
        <f>+'Metraj Özeti'!J357</f>
        <v>0</v>
      </c>
      <c r="K357" s="226">
        <f>+'Metraj Özeti'!K357</f>
        <v>0</v>
      </c>
    </row>
    <row r="358" spans="1:11" ht="19.95" hidden="1" customHeight="1" x14ac:dyDescent="0.3">
      <c r="A358" s="262">
        <v>4</v>
      </c>
      <c r="C358" s="161">
        <v>336</v>
      </c>
      <c r="D358" s="161" t="s">
        <v>860</v>
      </c>
      <c r="E358" s="1371" t="s">
        <v>861</v>
      </c>
      <c r="F358" s="1371"/>
      <c r="G358" s="1371"/>
      <c r="H358" s="161" t="s">
        <v>286</v>
      </c>
      <c r="I358" s="226">
        <f>+'Metraj Özeti'!I358</f>
        <v>0</v>
      </c>
      <c r="J358" s="226">
        <f>+'Metraj Özeti'!J358</f>
        <v>0</v>
      </c>
      <c r="K358" s="226">
        <f>+'Metraj Özeti'!K358</f>
        <v>0</v>
      </c>
    </row>
    <row r="359" spans="1:11" ht="19.95" hidden="1" customHeight="1" x14ac:dyDescent="0.3">
      <c r="A359" s="262">
        <v>4</v>
      </c>
      <c r="C359" s="161">
        <v>337</v>
      </c>
      <c r="D359" s="161" t="s">
        <v>862</v>
      </c>
      <c r="E359" s="1371" t="s">
        <v>863</v>
      </c>
      <c r="F359" s="1371"/>
      <c r="G359" s="1371"/>
      <c r="H359" s="161" t="s">
        <v>247</v>
      </c>
      <c r="I359" s="226">
        <f>+'Metraj Özeti'!I359</f>
        <v>0</v>
      </c>
      <c r="J359" s="226">
        <f>+'Metraj Özeti'!J359</f>
        <v>0</v>
      </c>
      <c r="K359" s="226">
        <f>+'Metraj Özeti'!K359</f>
        <v>0</v>
      </c>
    </row>
    <row r="360" spans="1:11" ht="19.95" hidden="1" customHeight="1" x14ac:dyDescent="0.3">
      <c r="A360" s="262">
        <v>4</v>
      </c>
      <c r="C360" s="161">
        <v>338</v>
      </c>
      <c r="D360" s="161" t="s">
        <v>864</v>
      </c>
      <c r="E360" s="1371" t="s">
        <v>865</v>
      </c>
      <c r="F360" s="1371"/>
      <c r="G360" s="1371"/>
      <c r="H360" s="161" t="s">
        <v>247</v>
      </c>
      <c r="I360" s="226">
        <f>+'Metraj Özeti'!I360</f>
        <v>0</v>
      </c>
      <c r="J360" s="226">
        <f>+'Metraj Özeti'!J360</f>
        <v>0</v>
      </c>
      <c r="K360" s="226">
        <f>+'Metraj Özeti'!K360</f>
        <v>0</v>
      </c>
    </row>
    <row r="361" spans="1:11" ht="19.95" hidden="1" customHeight="1" x14ac:dyDescent="0.3">
      <c r="A361" s="262">
        <v>4</v>
      </c>
      <c r="C361" s="161">
        <v>339</v>
      </c>
      <c r="D361" s="161" t="s">
        <v>866</v>
      </c>
      <c r="E361" s="1371" t="s">
        <v>867</v>
      </c>
      <c r="F361" s="1371"/>
      <c r="G361" s="1371"/>
      <c r="H361" s="161" t="s">
        <v>286</v>
      </c>
      <c r="I361" s="226">
        <f>+'Metraj Özeti'!I361</f>
        <v>0</v>
      </c>
      <c r="J361" s="226">
        <f>+'Metraj Özeti'!J361</f>
        <v>0</v>
      </c>
      <c r="K361" s="226">
        <f>+'Metraj Özeti'!K361</f>
        <v>0</v>
      </c>
    </row>
    <row r="362" spans="1:11" ht="19.95" hidden="1" customHeight="1" x14ac:dyDescent="0.3">
      <c r="A362" s="262">
        <v>4</v>
      </c>
      <c r="C362" s="161">
        <v>340</v>
      </c>
      <c r="D362" s="213" t="s">
        <v>868</v>
      </c>
      <c r="E362" s="1371" t="s">
        <v>869</v>
      </c>
      <c r="F362" s="1371"/>
      <c r="G362" s="1371"/>
      <c r="H362" s="161" t="s">
        <v>286</v>
      </c>
      <c r="I362" s="226">
        <f>+'Metraj Özeti'!I362</f>
        <v>0</v>
      </c>
      <c r="J362" s="226">
        <f>+'Metraj Özeti'!J362</f>
        <v>0</v>
      </c>
      <c r="K362" s="226">
        <f>+'Metraj Özeti'!K362</f>
        <v>0</v>
      </c>
    </row>
    <row r="363" spans="1:11" ht="19.95" hidden="1" customHeight="1" x14ac:dyDescent="0.3">
      <c r="A363" s="262">
        <v>4</v>
      </c>
      <c r="C363" s="161">
        <v>341</v>
      </c>
      <c r="D363" s="213" t="s">
        <v>870</v>
      </c>
      <c r="E363" s="1371" t="s">
        <v>871</v>
      </c>
      <c r="F363" s="1371"/>
      <c r="G363" s="1371"/>
      <c r="H363" s="161" t="s">
        <v>286</v>
      </c>
      <c r="I363" s="226">
        <f>+'Metraj Özeti'!I363</f>
        <v>0</v>
      </c>
      <c r="J363" s="226">
        <f>+'Metraj Özeti'!J363</f>
        <v>0</v>
      </c>
      <c r="K363" s="226">
        <f>+'Metraj Özeti'!K363</f>
        <v>0</v>
      </c>
    </row>
    <row r="364" spans="1:11" ht="19.95" hidden="1" customHeight="1" x14ac:dyDescent="0.3">
      <c r="A364" s="262">
        <v>4</v>
      </c>
      <c r="C364" s="161">
        <v>342</v>
      </c>
      <c r="D364" s="213" t="s">
        <v>872</v>
      </c>
      <c r="E364" s="1371" t="s">
        <v>873</v>
      </c>
      <c r="F364" s="1371"/>
      <c r="G364" s="1371"/>
      <c r="H364" s="161" t="s">
        <v>286</v>
      </c>
      <c r="I364" s="226">
        <f>+'Metraj Özeti'!I364</f>
        <v>0</v>
      </c>
      <c r="J364" s="226">
        <f>+'Metraj Özeti'!J364</f>
        <v>0</v>
      </c>
      <c r="K364" s="226">
        <f>+'Metraj Özeti'!K364</f>
        <v>0</v>
      </c>
    </row>
    <row r="365" spans="1:11" ht="19.95" hidden="1" customHeight="1" x14ac:dyDescent="0.3">
      <c r="A365" s="262">
        <v>4</v>
      </c>
      <c r="C365" s="161">
        <v>343</v>
      </c>
      <c r="D365" s="213" t="s">
        <v>874</v>
      </c>
      <c r="E365" s="1371" t="s">
        <v>875</v>
      </c>
      <c r="F365" s="1371"/>
      <c r="G365" s="1371"/>
      <c r="H365" s="161" t="s">
        <v>286</v>
      </c>
      <c r="I365" s="226">
        <f>+'Metraj Özeti'!I365</f>
        <v>0</v>
      </c>
      <c r="J365" s="226">
        <f>+'Metraj Özeti'!J365</f>
        <v>0</v>
      </c>
      <c r="K365" s="226">
        <f>+'Metraj Özeti'!K365</f>
        <v>0</v>
      </c>
    </row>
    <row r="366" spans="1:11" ht="19.95" hidden="1" customHeight="1" x14ac:dyDescent="0.3">
      <c r="A366" s="262">
        <v>4</v>
      </c>
      <c r="C366" s="161">
        <v>344</v>
      </c>
      <c r="D366" s="213" t="s">
        <v>876</v>
      </c>
      <c r="E366" s="1371" t="s">
        <v>877</v>
      </c>
      <c r="F366" s="1371"/>
      <c r="G366" s="1371"/>
      <c r="H366" s="161" t="s">
        <v>286</v>
      </c>
      <c r="I366" s="226">
        <f>+'Metraj Özeti'!I366</f>
        <v>0</v>
      </c>
      <c r="J366" s="226">
        <f>+'Metraj Özeti'!J366</f>
        <v>0</v>
      </c>
      <c r="K366" s="226">
        <f>+'Metraj Özeti'!K366</f>
        <v>0</v>
      </c>
    </row>
    <row r="367" spans="1:11" ht="19.95" hidden="1" customHeight="1" x14ac:dyDescent="0.3">
      <c r="A367" s="262">
        <v>4</v>
      </c>
      <c r="C367" s="161">
        <v>345</v>
      </c>
      <c r="D367" s="213" t="s">
        <v>878</v>
      </c>
      <c r="E367" s="1371" t="s">
        <v>879</v>
      </c>
      <c r="F367" s="1371"/>
      <c r="G367" s="1371"/>
      <c r="H367" s="161" t="s">
        <v>286</v>
      </c>
      <c r="I367" s="226">
        <f>+'Metraj Özeti'!I367</f>
        <v>0</v>
      </c>
      <c r="J367" s="226">
        <f>+'Metraj Özeti'!J367</f>
        <v>0</v>
      </c>
      <c r="K367" s="226">
        <f>+'Metraj Özeti'!K367</f>
        <v>0</v>
      </c>
    </row>
    <row r="368" spans="1:11" ht="19.95" hidden="1" customHeight="1" x14ac:dyDescent="0.3">
      <c r="A368" s="262">
        <v>4</v>
      </c>
      <c r="C368" s="161">
        <v>346</v>
      </c>
      <c r="D368" s="213" t="s">
        <v>880</v>
      </c>
      <c r="E368" s="1371" t="s">
        <v>881</v>
      </c>
      <c r="F368" s="1371"/>
      <c r="G368" s="1371"/>
      <c r="H368" s="161" t="s">
        <v>286</v>
      </c>
      <c r="I368" s="226">
        <f>+'Metraj Özeti'!I368</f>
        <v>0</v>
      </c>
      <c r="J368" s="226">
        <f>+'Metraj Özeti'!J368</f>
        <v>0</v>
      </c>
      <c r="K368" s="226">
        <f>+'Metraj Özeti'!K368</f>
        <v>0</v>
      </c>
    </row>
    <row r="369" spans="1:11" ht="19.95" hidden="1" customHeight="1" x14ac:dyDescent="0.3">
      <c r="A369" s="262">
        <v>4</v>
      </c>
      <c r="C369" s="161">
        <v>347</v>
      </c>
      <c r="D369" s="213" t="s">
        <v>882</v>
      </c>
      <c r="E369" s="1371" t="s">
        <v>883</v>
      </c>
      <c r="F369" s="1371"/>
      <c r="G369" s="1371"/>
      <c r="H369" s="161" t="s">
        <v>286</v>
      </c>
      <c r="I369" s="226">
        <f>+'Metraj Özeti'!I369</f>
        <v>0</v>
      </c>
      <c r="J369" s="226">
        <f>+'Metraj Özeti'!J369</f>
        <v>0</v>
      </c>
      <c r="K369" s="226">
        <f>+'Metraj Özeti'!K369</f>
        <v>0</v>
      </c>
    </row>
    <row r="370" spans="1:11" ht="19.95" hidden="1" customHeight="1" x14ac:dyDescent="0.3">
      <c r="A370" s="262">
        <v>4</v>
      </c>
      <c r="C370" s="161">
        <v>348</v>
      </c>
      <c r="D370" s="213" t="s">
        <v>884</v>
      </c>
      <c r="E370" s="1371" t="s">
        <v>885</v>
      </c>
      <c r="F370" s="1371"/>
      <c r="G370" s="1371"/>
      <c r="H370" s="161" t="s">
        <v>286</v>
      </c>
      <c r="I370" s="226">
        <f>+'Metraj Özeti'!I370</f>
        <v>0</v>
      </c>
      <c r="J370" s="226">
        <f>+'Metraj Özeti'!J370</f>
        <v>0</v>
      </c>
      <c r="K370" s="226">
        <f>+'Metraj Özeti'!K370</f>
        <v>0</v>
      </c>
    </row>
    <row r="371" spans="1:11" ht="19.95" hidden="1" customHeight="1" x14ac:dyDescent="0.3">
      <c r="A371" s="262">
        <v>4</v>
      </c>
      <c r="C371" s="658">
        <v>349</v>
      </c>
      <c r="D371" s="689" t="s">
        <v>886</v>
      </c>
      <c r="E371" s="1372" t="s">
        <v>887</v>
      </c>
      <c r="F371" s="1372"/>
      <c r="G371" s="1372"/>
      <c r="H371" s="658" t="s">
        <v>286</v>
      </c>
      <c r="I371" s="226">
        <f>+'Metraj Özeti'!I371</f>
        <v>0</v>
      </c>
      <c r="J371" s="226">
        <f>+'Metraj Özeti'!J371</f>
        <v>0</v>
      </c>
      <c r="K371" s="226">
        <f>+'Metraj Özeti'!K371</f>
        <v>0</v>
      </c>
    </row>
    <row r="372" spans="1:11" s="793" customFormat="1" ht="25.05" customHeight="1" x14ac:dyDescent="0.3">
      <c r="A372" s="792" t="s">
        <v>1240</v>
      </c>
      <c r="C372" s="839"/>
      <c r="D372" s="869" t="s">
        <v>1232</v>
      </c>
      <c r="E372" s="841"/>
      <c r="F372" s="841"/>
      <c r="G372" s="841"/>
      <c r="H372" s="841"/>
      <c r="I372" s="871"/>
      <c r="J372" s="842"/>
      <c r="K372" s="893"/>
    </row>
    <row r="373" spans="1:11" ht="19.95" hidden="1" customHeight="1" x14ac:dyDescent="0.3">
      <c r="A373" s="262">
        <v>5</v>
      </c>
      <c r="C373" s="160">
        <v>350</v>
      </c>
      <c r="D373" s="160" t="s">
        <v>888</v>
      </c>
      <c r="E373" s="1373" t="s">
        <v>889</v>
      </c>
      <c r="F373" s="1373"/>
      <c r="G373" s="1373"/>
      <c r="H373" s="160" t="s">
        <v>286</v>
      </c>
      <c r="I373" s="226">
        <f>+'Metraj Özeti'!I373</f>
        <v>0</v>
      </c>
      <c r="J373" s="226">
        <f>+'Metraj Özeti'!J373</f>
        <v>0</v>
      </c>
      <c r="K373" s="226">
        <f>+'Metraj Özeti'!K373</f>
        <v>0</v>
      </c>
    </row>
    <row r="374" spans="1:11" s="793" customFormat="1" ht="25.05" customHeight="1" x14ac:dyDescent="0.3">
      <c r="A374" s="792">
        <v>5</v>
      </c>
      <c r="C374" s="855">
        <v>351</v>
      </c>
      <c r="D374" s="855" t="s">
        <v>890</v>
      </c>
      <c r="E374" s="1345" t="s">
        <v>891</v>
      </c>
      <c r="F374" s="1345"/>
      <c r="G374" s="1345"/>
      <c r="H374" s="855" t="s">
        <v>286</v>
      </c>
      <c r="I374" s="854">
        <f>+'Metraj Özeti'!I374</f>
        <v>0</v>
      </c>
      <c r="J374" s="854">
        <f>+'Metraj Özeti'!J374</f>
        <v>0</v>
      </c>
      <c r="K374" s="854">
        <f>+'Metraj Özeti'!K374</f>
        <v>0</v>
      </c>
    </row>
    <row r="375" spans="1:11" s="793" customFormat="1" ht="25.05" customHeight="1" x14ac:dyDescent="0.3">
      <c r="A375" s="792">
        <v>5</v>
      </c>
      <c r="C375" s="855">
        <v>352</v>
      </c>
      <c r="D375" s="855" t="s">
        <v>892</v>
      </c>
      <c r="E375" s="1345" t="s">
        <v>893</v>
      </c>
      <c r="F375" s="1345"/>
      <c r="G375" s="1345"/>
      <c r="H375" s="855" t="s">
        <v>286</v>
      </c>
      <c r="I375" s="854">
        <f>+'Metraj Özeti'!I375</f>
        <v>0</v>
      </c>
      <c r="J375" s="854">
        <f>+'Metraj Özeti'!J375</f>
        <v>0</v>
      </c>
      <c r="K375" s="854">
        <f>+'Metraj Özeti'!K375</f>
        <v>0</v>
      </c>
    </row>
    <row r="376" spans="1:11" ht="19.95" hidden="1" customHeight="1" x14ac:dyDescent="0.3">
      <c r="A376" s="262">
        <v>5</v>
      </c>
      <c r="C376" s="161">
        <v>353</v>
      </c>
      <c r="D376" s="161" t="s">
        <v>894</v>
      </c>
      <c r="E376" s="1371" t="s">
        <v>895</v>
      </c>
      <c r="F376" s="1371"/>
      <c r="G376" s="1371"/>
      <c r="H376" s="161" t="s">
        <v>286</v>
      </c>
      <c r="I376" s="226">
        <f>+'Metraj Özeti'!I376</f>
        <v>0</v>
      </c>
      <c r="J376" s="226">
        <f>+'Metraj Özeti'!J376</f>
        <v>0</v>
      </c>
      <c r="K376" s="226">
        <f>+'Metraj Özeti'!K376</f>
        <v>0</v>
      </c>
    </row>
    <row r="377" spans="1:11" ht="19.95" hidden="1" customHeight="1" x14ac:dyDescent="0.3">
      <c r="A377" s="262">
        <v>5</v>
      </c>
      <c r="C377" s="161">
        <v>354</v>
      </c>
      <c r="D377" s="161" t="s">
        <v>896</v>
      </c>
      <c r="E377" s="1371" t="s">
        <v>897</v>
      </c>
      <c r="F377" s="1371"/>
      <c r="G377" s="1371"/>
      <c r="H377" s="161" t="s">
        <v>286</v>
      </c>
      <c r="I377" s="226">
        <f>+'Metraj Özeti'!I377</f>
        <v>0</v>
      </c>
      <c r="J377" s="226">
        <f>+'Metraj Özeti'!J377</f>
        <v>0</v>
      </c>
      <c r="K377" s="226">
        <f>+'Metraj Özeti'!K377</f>
        <v>0</v>
      </c>
    </row>
    <row r="378" spans="1:11" ht="19.95" hidden="1" customHeight="1" x14ac:dyDescent="0.3">
      <c r="A378" s="262">
        <v>5</v>
      </c>
      <c r="C378" s="161">
        <v>355</v>
      </c>
      <c r="D378" s="161" t="s">
        <v>898</v>
      </c>
      <c r="E378" s="1371" t="s">
        <v>899</v>
      </c>
      <c r="F378" s="1371"/>
      <c r="G378" s="1371"/>
      <c r="H378" s="161" t="s">
        <v>286</v>
      </c>
      <c r="I378" s="226">
        <f>+'Metraj Özeti'!I378</f>
        <v>0</v>
      </c>
      <c r="J378" s="226">
        <f>+'Metraj Özeti'!J378</f>
        <v>0</v>
      </c>
      <c r="K378" s="226">
        <f>+'Metraj Özeti'!K378</f>
        <v>0</v>
      </c>
    </row>
    <row r="379" spans="1:11" ht="19.95" hidden="1" customHeight="1" x14ac:dyDescent="0.3">
      <c r="A379" s="262">
        <v>5</v>
      </c>
      <c r="C379" s="161">
        <v>356</v>
      </c>
      <c r="D379" s="161" t="s">
        <v>900</v>
      </c>
      <c r="E379" s="1371" t="s">
        <v>901</v>
      </c>
      <c r="F379" s="1371"/>
      <c r="G379" s="1371"/>
      <c r="H379" s="161" t="s">
        <v>286</v>
      </c>
      <c r="I379" s="226">
        <f>+'Metraj Özeti'!I379</f>
        <v>0</v>
      </c>
      <c r="J379" s="226">
        <f>+'Metraj Özeti'!J379</f>
        <v>0</v>
      </c>
      <c r="K379" s="226">
        <f>+'Metraj Özeti'!K379</f>
        <v>0</v>
      </c>
    </row>
    <row r="380" spans="1:11" ht="19.95" hidden="1" customHeight="1" x14ac:dyDescent="0.3">
      <c r="A380" s="262">
        <v>5</v>
      </c>
      <c r="C380" s="161">
        <v>357</v>
      </c>
      <c r="D380" s="161" t="s">
        <v>902</v>
      </c>
      <c r="E380" s="1371" t="s">
        <v>903</v>
      </c>
      <c r="F380" s="1371"/>
      <c r="G380" s="1371"/>
      <c r="H380" s="161" t="s">
        <v>286</v>
      </c>
      <c r="I380" s="226">
        <f>+'Metraj Özeti'!I380</f>
        <v>0</v>
      </c>
      <c r="J380" s="226">
        <f>+'Metraj Özeti'!J380</f>
        <v>0</v>
      </c>
      <c r="K380" s="226">
        <f>+'Metraj Özeti'!K380</f>
        <v>0</v>
      </c>
    </row>
    <row r="381" spans="1:11" ht="19.95" hidden="1" customHeight="1" x14ac:dyDescent="0.3">
      <c r="A381" s="262">
        <v>5</v>
      </c>
      <c r="C381" s="161">
        <v>358</v>
      </c>
      <c r="D381" s="161" t="s">
        <v>904</v>
      </c>
      <c r="E381" s="1371" t="s">
        <v>905</v>
      </c>
      <c r="F381" s="1371"/>
      <c r="G381" s="1371"/>
      <c r="H381" s="161" t="s">
        <v>286</v>
      </c>
      <c r="I381" s="226">
        <f>+'Metraj Özeti'!I381</f>
        <v>0</v>
      </c>
      <c r="J381" s="226">
        <f>+'Metraj Özeti'!J381</f>
        <v>0</v>
      </c>
      <c r="K381" s="226">
        <f>+'Metraj Özeti'!K381</f>
        <v>0</v>
      </c>
    </row>
    <row r="382" spans="1:11" ht="19.95" hidden="1" customHeight="1" x14ac:dyDescent="0.3">
      <c r="A382" s="262">
        <v>5</v>
      </c>
      <c r="C382" s="161">
        <v>359</v>
      </c>
      <c r="D382" s="161" t="s">
        <v>906</v>
      </c>
      <c r="E382" s="1371" t="s">
        <v>907</v>
      </c>
      <c r="F382" s="1371"/>
      <c r="G382" s="1371"/>
      <c r="H382" s="161" t="s">
        <v>286</v>
      </c>
      <c r="I382" s="226">
        <f>+'Metraj Özeti'!I382</f>
        <v>0</v>
      </c>
      <c r="J382" s="226">
        <f>+'Metraj Özeti'!J382</f>
        <v>0</v>
      </c>
      <c r="K382" s="226">
        <f>+'Metraj Özeti'!K382</f>
        <v>0</v>
      </c>
    </row>
    <row r="383" spans="1:11" ht="19.95" hidden="1" customHeight="1" x14ac:dyDescent="0.3">
      <c r="A383" s="262">
        <v>5</v>
      </c>
      <c r="C383" s="161">
        <v>360</v>
      </c>
      <c r="D383" s="161" t="s">
        <v>908</v>
      </c>
      <c r="E383" s="1371" t="s">
        <v>909</v>
      </c>
      <c r="F383" s="1371"/>
      <c r="G383" s="1371"/>
      <c r="H383" s="161" t="s">
        <v>286</v>
      </c>
      <c r="I383" s="226">
        <f>+'Metraj Özeti'!I383</f>
        <v>0</v>
      </c>
      <c r="J383" s="226">
        <f>+'Metraj Özeti'!J383</f>
        <v>0</v>
      </c>
      <c r="K383" s="226">
        <f>+'Metraj Özeti'!K383</f>
        <v>0</v>
      </c>
    </row>
    <row r="384" spans="1:11" ht="19.95" hidden="1" customHeight="1" x14ac:dyDescent="0.3">
      <c r="A384" s="262">
        <v>5</v>
      </c>
      <c r="C384" s="161">
        <v>361</v>
      </c>
      <c r="D384" s="161" t="s">
        <v>910</v>
      </c>
      <c r="E384" s="1371" t="s">
        <v>911</v>
      </c>
      <c r="F384" s="1371"/>
      <c r="G384" s="1371"/>
      <c r="H384" s="161" t="s">
        <v>286</v>
      </c>
      <c r="I384" s="226">
        <f>+'Metraj Özeti'!I384</f>
        <v>0</v>
      </c>
      <c r="J384" s="226">
        <f>+'Metraj Özeti'!J384</f>
        <v>0</v>
      </c>
      <c r="K384" s="226">
        <f>+'Metraj Özeti'!K384</f>
        <v>0</v>
      </c>
    </row>
    <row r="385" spans="1:11" ht="19.95" hidden="1" customHeight="1" x14ac:dyDescent="0.3">
      <c r="A385" s="262">
        <v>5</v>
      </c>
      <c r="C385" s="161">
        <v>362</v>
      </c>
      <c r="D385" s="161" t="s">
        <v>912</v>
      </c>
      <c r="E385" s="1371" t="s">
        <v>913</v>
      </c>
      <c r="F385" s="1371"/>
      <c r="G385" s="1371"/>
      <c r="H385" s="161" t="s">
        <v>286</v>
      </c>
      <c r="I385" s="226">
        <f>+'Metraj Özeti'!I385</f>
        <v>0</v>
      </c>
      <c r="J385" s="226">
        <f>+'Metraj Özeti'!J385</f>
        <v>0</v>
      </c>
      <c r="K385" s="226">
        <f>+'Metraj Özeti'!K385</f>
        <v>0</v>
      </c>
    </row>
    <row r="386" spans="1:11" ht="19.95" hidden="1" customHeight="1" x14ac:dyDescent="0.3">
      <c r="A386" s="262">
        <v>5</v>
      </c>
      <c r="C386" s="161">
        <v>363</v>
      </c>
      <c r="D386" s="161" t="s">
        <v>914</v>
      </c>
      <c r="E386" s="1371" t="s">
        <v>915</v>
      </c>
      <c r="F386" s="1371"/>
      <c r="G386" s="1371"/>
      <c r="H386" s="161" t="s">
        <v>286</v>
      </c>
      <c r="I386" s="226">
        <f>+'Metraj Özeti'!I386</f>
        <v>0</v>
      </c>
      <c r="J386" s="226">
        <f>+'Metraj Özeti'!J386</f>
        <v>0</v>
      </c>
      <c r="K386" s="226">
        <f>+'Metraj Özeti'!K386</f>
        <v>0</v>
      </c>
    </row>
    <row r="387" spans="1:11" ht="19.95" hidden="1" customHeight="1" x14ac:dyDescent="0.3">
      <c r="A387" s="262">
        <v>5</v>
      </c>
      <c r="C387" s="161">
        <v>364</v>
      </c>
      <c r="D387" s="161" t="s">
        <v>916</v>
      </c>
      <c r="E387" s="1371" t="s">
        <v>917</v>
      </c>
      <c r="F387" s="1371"/>
      <c r="G387" s="1371"/>
      <c r="H387" s="161" t="s">
        <v>286</v>
      </c>
      <c r="I387" s="226">
        <f>+'Metraj Özeti'!I387</f>
        <v>0</v>
      </c>
      <c r="J387" s="226">
        <f>+'Metraj Özeti'!J387</f>
        <v>0</v>
      </c>
      <c r="K387" s="226">
        <f>+'Metraj Özeti'!K387</f>
        <v>0</v>
      </c>
    </row>
    <row r="388" spans="1:11" ht="19.95" hidden="1" customHeight="1" x14ac:dyDescent="0.3">
      <c r="A388" s="262">
        <v>5</v>
      </c>
      <c r="C388" s="161">
        <v>365</v>
      </c>
      <c r="D388" s="161" t="s">
        <v>918</v>
      </c>
      <c r="E388" s="1371" t="s">
        <v>919</v>
      </c>
      <c r="F388" s="1371"/>
      <c r="G388" s="1371"/>
      <c r="H388" s="161" t="s">
        <v>286</v>
      </c>
      <c r="I388" s="226">
        <f>+'Metraj Özeti'!I388</f>
        <v>0</v>
      </c>
      <c r="J388" s="226">
        <f>+'Metraj Özeti'!J388</f>
        <v>0</v>
      </c>
      <c r="K388" s="226">
        <f>+'Metraj Özeti'!K388</f>
        <v>0</v>
      </c>
    </row>
    <row r="389" spans="1:11" ht="19.95" hidden="1" customHeight="1" x14ac:dyDescent="0.3">
      <c r="A389" s="262">
        <v>5</v>
      </c>
      <c r="C389" s="161">
        <v>366</v>
      </c>
      <c r="D389" s="161" t="s">
        <v>920</v>
      </c>
      <c r="E389" s="1371" t="s">
        <v>921</v>
      </c>
      <c r="F389" s="1371"/>
      <c r="G389" s="1371"/>
      <c r="H389" s="161" t="s">
        <v>286</v>
      </c>
      <c r="I389" s="226">
        <f>+'Metraj Özeti'!I389</f>
        <v>0</v>
      </c>
      <c r="J389" s="226">
        <f>+'Metraj Özeti'!J389</f>
        <v>0</v>
      </c>
      <c r="K389" s="226">
        <f>+'Metraj Özeti'!K389</f>
        <v>0</v>
      </c>
    </row>
    <row r="390" spans="1:11" ht="19.95" hidden="1" customHeight="1" x14ac:dyDescent="0.3">
      <c r="A390" s="262">
        <v>5</v>
      </c>
      <c r="C390" s="658">
        <v>367</v>
      </c>
      <c r="D390" s="658" t="s">
        <v>922</v>
      </c>
      <c r="E390" s="1372" t="s">
        <v>923</v>
      </c>
      <c r="F390" s="1372"/>
      <c r="G390" s="1372"/>
      <c r="H390" s="658" t="s">
        <v>286</v>
      </c>
      <c r="I390" s="226">
        <f>+'Metraj Özeti'!I390</f>
        <v>0</v>
      </c>
      <c r="J390" s="226">
        <f>+'Metraj Özeti'!J390</f>
        <v>0</v>
      </c>
      <c r="K390" s="226">
        <f>+'Metraj Özeti'!K390</f>
        <v>0</v>
      </c>
    </row>
    <row r="391" spans="1:11" s="793" customFormat="1" ht="25.05" customHeight="1" x14ac:dyDescent="0.3">
      <c r="A391" s="792" t="s">
        <v>1240</v>
      </c>
      <c r="C391" s="839"/>
      <c r="D391" s="869" t="s">
        <v>1233</v>
      </c>
      <c r="E391" s="841"/>
      <c r="F391" s="841"/>
      <c r="G391" s="841"/>
      <c r="H391" s="841"/>
      <c r="I391" s="871"/>
      <c r="J391" s="842"/>
      <c r="K391" s="893"/>
    </row>
    <row r="392" spans="1:11" s="793" customFormat="1" ht="25.05" customHeight="1" x14ac:dyDescent="0.3">
      <c r="A392" s="792">
        <v>6</v>
      </c>
      <c r="C392" s="849">
        <v>368</v>
      </c>
      <c r="D392" s="849" t="s">
        <v>924</v>
      </c>
      <c r="E392" s="1346" t="s">
        <v>925</v>
      </c>
      <c r="F392" s="1346"/>
      <c r="G392" s="1346"/>
      <c r="H392" s="849" t="s">
        <v>286</v>
      </c>
      <c r="I392" s="854">
        <f>+'Metraj Özeti'!I392</f>
        <v>0</v>
      </c>
      <c r="J392" s="854">
        <f>+'Metraj Özeti'!J392</f>
        <v>0</v>
      </c>
      <c r="K392" s="854">
        <f>+'Metraj Özeti'!K392</f>
        <v>0</v>
      </c>
    </row>
    <row r="393" spans="1:11" s="793" customFormat="1" ht="25.05" customHeight="1" x14ac:dyDescent="0.3">
      <c r="A393" s="792">
        <v>6</v>
      </c>
      <c r="C393" s="855">
        <v>369</v>
      </c>
      <c r="D393" s="855" t="s">
        <v>926</v>
      </c>
      <c r="E393" s="1345" t="s">
        <v>927</v>
      </c>
      <c r="F393" s="1345"/>
      <c r="G393" s="1345"/>
      <c r="H393" s="855" t="s">
        <v>286</v>
      </c>
      <c r="I393" s="854">
        <f>+'Metraj Özeti'!I393</f>
        <v>0</v>
      </c>
      <c r="J393" s="854">
        <f>+'Metraj Özeti'!J393</f>
        <v>0</v>
      </c>
      <c r="K393" s="854">
        <f>+'Metraj Özeti'!K393</f>
        <v>0</v>
      </c>
    </row>
    <row r="394" spans="1:11" ht="19.95" hidden="1" customHeight="1" x14ac:dyDescent="0.3">
      <c r="A394" s="262">
        <v>6</v>
      </c>
      <c r="C394" s="161">
        <v>370</v>
      </c>
      <c r="D394" s="161" t="s">
        <v>928</v>
      </c>
      <c r="E394" s="1371" t="s">
        <v>929</v>
      </c>
      <c r="F394" s="1371"/>
      <c r="G394" s="1371"/>
      <c r="H394" s="161" t="s">
        <v>286</v>
      </c>
      <c r="I394" s="226">
        <f>+'Metraj Özeti'!I394</f>
        <v>0</v>
      </c>
      <c r="J394" s="226">
        <f>+'Metraj Özeti'!J394</f>
        <v>0</v>
      </c>
      <c r="K394" s="226">
        <f>+'Metraj Özeti'!K394</f>
        <v>0</v>
      </c>
    </row>
    <row r="395" spans="1:11" s="793" customFormat="1" ht="25.05" customHeight="1" x14ac:dyDescent="0.3">
      <c r="A395" s="792">
        <v>6</v>
      </c>
      <c r="C395" s="855">
        <v>371</v>
      </c>
      <c r="D395" s="855" t="s">
        <v>930</v>
      </c>
      <c r="E395" s="1345" t="s">
        <v>931</v>
      </c>
      <c r="F395" s="1345"/>
      <c r="G395" s="1345"/>
      <c r="H395" s="855" t="s">
        <v>286</v>
      </c>
      <c r="I395" s="854">
        <f>+'Metraj Özeti'!I395</f>
        <v>0</v>
      </c>
      <c r="J395" s="854">
        <f>+'Metraj Özeti'!J395</f>
        <v>0</v>
      </c>
      <c r="K395" s="854">
        <f>+'Metraj Özeti'!K395</f>
        <v>0</v>
      </c>
    </row>
    <row r="396" spans="1:11" s="793" customFormat="1" ht="25.05" customHeight="1" x14ac:dyDescent="0.3">
      <c r="A396" s="792">
        <v>6</v>
      </c>
      <c r="C396" s="855">
        <v>372</v>
      </c>
      <c r="D396" s="855" t="s">
        <v>932</v>
      </c>
      <c r="E396" s="1345" t="s">
        <v>933</v>
      </c>
      <c r="F396" s="1345"/>
      <c r="G396" s="1345"/>
      <c r="H396" s="855" t="s">
        <v>286</v>
      </c>
      <c r="I396" s="854">
        <f>+'Metraj Özeti'!I396</f>
        <v>0</v>
      </c>
      <c r="J396" s="854">
        <f>+'Metraj Özeti'!J396</f>
        <v>0</v>
      </c>
      <c r="K396" s="854">
        <f>+'Metraj Özeti'!K396</f>
        <v>0</v>
      </c>
    </row>
    <row r="397" spans="1:11" s="793" customFormat="1" ht="25.05" customHeight="1" x14ac:dyDescent="0.3">
      <c r="A397" s="792">
        <v>6</v>
      </c>
      <c r="C397" s="855">
        <v>373</v>
      </c>
      <c r="D397" s="855" t="s">
        <v>934</v>
      </c>
      <c r="E397" s="1345" t="s">
        <v>935</v>
      </c>
      <c r="F397" s="1345"/>
      <c r="G397" s="1345"/>
      <c r="H397" s="855" t="s">
        <v>286</v>
      </c>
      <c r="I397" s="854">
        <f>+'Metraj Özeti'!I397</f>
        <v>0</v>
      </c>
      <c r="J397" s="854">
        <f>+'Metraj Özeti'!J397</f>
        <v>0</v>
      </c>
      <c r="K397" s="854">
        <f>+'Metraj Özeti'!K397</f>
        <v>0</v>
      </c>
    </row>
    <row r="398" spans="1:11" ht="19.95" hidden="1" customHeight="1" x14ac:dyDescent="0.3">
      <c r="A398" s="262">
        <v>6</v>
      </c>
      <c r="C398" s="161">
        <v>374</v>
      </c>
      <c r="D398" s="161" t="s">
        <v>936</v>
      </c>
      <c r="E398" s="1371" t="s">
        <v>937</v>
      </c>
      <c r="F398" s="1371"/>
      <c r="G398" s="1371"/>
      <c r="H398" s="161" t="s">
        <v>286</v>
      </c>
      <c r="I398" s="226">
        <f>+'Metraj Özeti'!I398</f>
        <v>0</v>
      </c>
      <c r="J398" s="226">
        <f>+'Metraj Özeti'!J398</f>
        <v>0</v>
      </c>
      <c r="K398" s="226">
        <f>+'Metraj Özeti'!K398</f>
        <v>0</v>
      </c>
    </row>
    <row r="399" spans="1:11" ht="19.95" hidden="1" customHeight="1" x14ac:dyDescent="0.3">
      <c r="A399" s="262">
        <v>6</v>
      </c>
      <c r="C399" s="161">
        <v>375</v>
      </c>
      <c r="D399" s="161" t="s">
        <v>938</v>
      </c>
      <c r="E399" s="1371" t="s">
        <v>939</v>
      </c>
      <c r="F399" s="1371"/>
      <c r="G399" s="1371"/>
      <c r="H399" s="161" t="s">
        <v>286</v>
      </c>
      <c r="I399" s="226">
        <f>+'Metraj Özeti'!I399</f>
        <v>0</v>
      </c>
      <c r="J399" s="226">
        <f>+'Metraj Özeti'!J399</f>
        <v>0</v>
      </c>
      <c r="K399" s="226">
        <f>+'Metraj Özeti'!K399</f>
        <v>0</v>
      </c>
    </row>
    <row r="400" spans="1:11" ht="19.95" hidden="1" customHeight="1" x14ac:dyDescent="0.3">
      <c r="A400" s="262">
        <v>6</v>
      </c>
      <c r="C400" s="161">
        <v>376</v>
      </c>
      <c r="D400" s="161" t="s">
        <v>940</v>
      </c>
      <c r="E400" s="1371" t="s">
        <v>941</v>
      </c>
      <c r="F400" s="1371"/>
      <c r="G400" s="1371"/>
      <c r="H400" s="161" t="s">
        <v>286</v>
      </c>
      <c r="I400" s="226">
        <f>+'Metraj Özeti'!I400</f>
        <v>0</v>
      </c>
      <c r="J400" s="226">
        <f>+'Metraj Özeti'!J400</f>
        <v>0</v>
      </c>
      <c r="K400" s="226">
        <f>+'Metraj Özeti'!K400</f>
        <v>0</v>
      </c>
    </row>
    <row r="401" spans="1:11" ht="19.95" hidden="1" customHeight="1" x14ac:dyDescent="0.3">
      <c r="A401" s="262">
        <v>6</v>
      </c>
      <c r="C401" s="161">
        <v>377</v>
      </c>
      <c r="D401" s="161" t="s">
        <v>942</v>
      </c>
      <c r="E401" s="1371" t="s">
        <v>943</v>
      </c>
      <c r="F401" s="1371"/>
      <c r="G401" s="1371"/>
      <c r="H401" s="161" t="s">
        <v>286</v>
      </c>
      <c r="I401" s="226">
        <f>+'Metraj Özeti'!I401</f>
        <v>0</v>
      </c>
      <c r="J401" s="226">
        <f>+'Metraj Özeti'!J401</f>
        <v>0</v>
      </c>
      <c r="K401" s="226">
        <f>+'Metraj Özeti'!K401</f>
        <v>0</v>
      </c>
    </row>
    <row r="402" spans="1:11" ht="19.95" hidden="1" customHeight="1" x14ac:dyDescent="0.3">
      <c r="A402" s="262">
        <v>6</v>
      </c>
      <c r="C402" s="161">
        <v>378</v>
      </c>
      <c r="D402" s="161" t="s">
        <v>944</v>
      </c>
      <c r="E402" s="1371" t="s">
        <v>945</v>
      </c>
      <c r="F402" s="1371"/>
      <c r="G402" s="1371"/>
      <c r="H402" s="161" t="s">
        <v>286</v>
      </c>
      <c r="I402" s="226">
        <f>+'Metraj Özeti'!I402</f>
        <v>0</v>
      </c>
      <c r="J402" s="226">
        <f>+'Metraj Özeti'!J402</f>
        <v>0</v>
      </c>
      <c r="K402" s="226">
        <f>+'Metraj Özeti'!K402</f>
        <v>0</v>
      </c>
    </row>
    <row r="403" spans="1:11" ht="19.95" hidden="1" customHeight="1" x14ac:dyDescent="0.3">
      <c r="A403" s="262">
        <v>6</v>
      </c>
      <c r="C403" s="161">
        <v>379</v>
      </c>
      <c r="D403" s="161" t="s">
        <v>946</v>
      </c>
      <c r="E403" s="1371" t="s">
        <v>947</v>
      </c>
      <c r="F403" s="1371"/>
      <c r="G403" s="1371"/>
      <c r="H403" s="161" t="s">
        <v>286</v>
      </c>
      <c r="I403" s="226">
        <f>+'Metraj Özeti'!I403</f>
        <v>0</v>
      </c>
      <c r="J403" s="226">
        <f>+'Metraj Özeti'!J403</f>
        <v>0</v>
      </c>
      <c r="K403" s="226">
        <f>+'Metraj Özeti'!K403</f>
        <v>0</v>
      </c>
    </row>
    <row r="404" spans="1:11" ht="19.95" hidden="1" customHeight="1" x14ac:dyDescent="0.3">
      <c r="A404" s="262">
        <v>6</v>
      </c>
      <c r="C404" s="161">
        <v>380</v>
      </c>
      <c r="D404" s="161" t="s">
        <v>948</v>
      </c>
      <c r="E404" s="1371" t="s">
        <v>949</v>
      </c>
      <c r="F404" s="1371"/>
      <c r="G404" s="1371"/>
      <c r="H404" s="161" t="s">
        <v>286</v>
      </c>
      <c r="I404" s="226">
        <f>+'Metraj Özeti'!I404</f>
        <v>0</v>
      </c>
      <c r="J404" s="226">
        <f>+'Metraj Özeti'!J404</f>
        <v>0</v>
      </c>
      <c r="K404" s="226">
        <f>+'Metraj Özeti'!K404</f>
        <v>0</v>
      </c>
    </row>
    <row r="405" spans="1:11" ht="19.95" hidden="1" customHeight="1" x14ac:dyDescent="0.3">
      <c r="A405" s="262">
        <v>6</v>
      </c>
      <c r="C405" s="161">
        <v>381</v>
      </c>
      <c r="D405" s="161" t="s">
        <v>950</v>
      </c>
      <c r="E405" s="1371" t="s">
        <v>951</v>
      </c>
      <c r="F405" s="1371"/>
      <c r="G405" s="1371"/>
      <c r="H405" s="161" t="s">
        <v>286</v>
      </c>
      <c r="I405" s="226">
        <f>+'Metraj Özeti'!I405</f>
        <v>0</v>
      </c>
      <c r="J405" s="226">
        <f>+'Metraj Özeti'!J405</f>
        <v>0</v>
      </c>
      <c r="K405" s="226">
        <f>+'Metraj Özeti'!K405</f>
        <v>0</v>
      </c>
    </row>
    <row r="406" spans="1:11" ht="19.95" hidden="1" customHeight="1" x14ac:dyDescent="0.3">
      <c r="A406" s="262">
        <v>6</v>
      </c>
      <c r="C406" s="161">
        <v>382</v>
      </c>
      <c r="D406" s="161" t="s">
        <v>952</v>
      </c>
      <c r="E406" s="1371" t="s">
        <v>953</v>
      </c>
      <c r="F406" s="1371"/>
      <c r="G406" s="1371"/>
      <c r="H406" s="161" t="s">
        <v>286</v>
      </c>
      <c r="I406" s="226">
        <f>+'Metraj Özeti'!I406</f>
        <v>0</v>
      </c>
      <c r="J406" s="226">
        <f>+'Metraj Özeti'!J406</f>
        <v>0</v>
      </c>
      <c r="K406" s="226">
        <f>+'Metraj Özeti'!K406</f>
        <v>0</v>
      </c>
    </row>
    <row r="407" spans="1:11" ht="19.95" hidden="1" customHeight="1" x14ac:dyDescent="0.3">
      <c r="A407" s="262">
        <v>6</v>
      </c>
      <c r="C407" s="161">
        <v>383</v>
      </c>
      <c r="D407" s="161" t="s">
        <v>954</v>
      </c>
      <c r="E407" s="1371" t="s">
        <v>955</v>
      </c>
      <c r="F407" s="1371"/>
      <c r="G407" s="1371"/>
      <c r="H407" s="161" t="s">
        <v>286</v>
      </c>
      <c r="I407" s="226">
        <f>+'Metraj Özeti'!I407</f>
        <v>0</v>
      </c>
      <c r="J407" s="226">
        <f>+'Metraj Özeti'!J407</f>
        <v>0</v>
      </c>
      <c r="K407" s="226">
        <f>+'Metraj Özeti'!K407</f>
        <v>0</v>
      </c>
    </row>
    <row r="408" spans="1:11" ht="19.95" hidden="1" customHeight="1" x14ac:dyDescent="0.3">
      <c r="A408" s="262">
        <v>6</v>
      </c>
      <c r="C408" s="161">
        <v>384</v>
      </c>
      <c r="D408" s="161" t="s">
        <v>956</v>
      </c>
      <c r="E408" s="1371" t="s">
        <v>957</v>
      </c>
      <c r="F408" s="1371"/>
      <c r="G408" s="1371"/>
      <c r="H408" s="161" t="s">
        <v>286</v>
      </c>
      <c r="I408" s="226">
        <f>+'Metraj Özeti'!I408</f>
        <v>0</v>
      </c>
      <c r="J408" s="226">
        <f>+'Metraj Özeti'!J408</f>
        <v>0</v>
      </c>
      <c r="K408" s="226">
        <f>+'Metraj Özeti'!K408</f>
        <v>0</v>
      </c>
    </row>
    <row r="409" spans="1:11" ht="19.95" hidden="1" customHeight="1" x14ac:dyDescent="0.3">
      <c r="A409" s="262">
        <v>6</v>
      </c>
      <c r="C409" s="161">
        <v>385</v>
      </c>
      <c r="D409" s="161" t="s">
        <v>958</v>
      </c>
      <c r="E409" s="1371" t="s">
        <v>959</v>
      </c>
      <c r="F409" s="1371"/>
      <c r="G409" s="1371"/>
      <c r="H409" s="161" t="s">
        <v>286</v>
      </c>
      <c r="I409" s="226">
        <f>+'Metraj Özeti'!I409</f>
        <v>0</v>
      </c>
      <c r="J409" s="226">
        <f>+'Metraj Özeti'!J409</f>
        <v>0</v>
      </c>
      <c r="K409" s="226">
        <f>+'Metraj Özeti'!K409</f>
        <v>0</v>
      </c>
    </row>
    <row r="410" spans="1:11" ht="19.95" hidden="1" customHeight="1" x14ac:dyDescent="0.3">
      <c r="A410" s="262">
        <v>6</v>
      </c>
      <c r="C410" s="161">
        <v>386</v>
      </c>
      <c r="D410" s="161" t="s">
        <v>960</v>
      </c>
      <c r="E410" s="1371" t="s">
        <v>961</v>
      </c>
      <c r="F410" s="1371"/>
      <c r="G410" s="1371"/>
      <c r="H410" s="161" t="s">
        <v>286</v>
      </c>
      <c r="I410" s="226">
        <f>+'Metraj Özeti'!I410</f>
        <v>0</v>
      </c>
      <c r="J410" s="226">
        <f>+'Metraj Özeti'!J410</f>
        <v>0</v>
      </c>
      <c r="K410" s="226">
        <f>+'Metraj Özeti'!K410</f>
        <v>0</v>
      </c>
    </row>
    <row r="411" spans="1:11" ht="19.95" hidden="1" customHeight="1" x14ac:dyDescent="0.3">
      <c r="A411" s="262">
        <v>6</v>
      </c>
      <c r="C411" s="161">
        <v>387</v>
      </c>
      <c r="D411" s="161" t="s">
        <v>962</v>
      </c>
      <c r="E411" s="1371" t="s">
        <v>963</v>
      </c>
      <c r="F411" s="1371"/>
      <c r="G411" s="1371"/>
      <c r="H411" s="161" t="s">
        <v>286</v>
      </c>
      <c r="I411" s="226">
        <f>+'Metraj Özeti'!I411</f>
        <v>0</v>
      </c>
      <c r="J411" s="226">
        <f>+'Metraj Özeti'!J411</f>
        <v>0</v>
      </c>
      <c r="K411" s="226">
        <f>+'Metraj Özeti'!K411</f>
        <v>0</v>
      </c>
    </row>
    <row r="412" spans="1:11" ht="19.95" hidden="1" customHeight="1" x14ac:dyDescent="0.3">
      <c r="A412" s="262">
        <v>6</v>
      </c>
      <c r="C412" s="161">
        <v>388</v>
      </c>
      <c r="D412" s="161" t="s">
        <v>964</v>
      </c>
      <c r="E412" s="1371" t="s">
        <v>965</v>
      </c>
      <c r="F412" s="1371"/>
      <c r="G412" s="1371"/>
      <c r="H412" s="161" t="s">
        <v>286</v>
      </c>
      <c r="I412" s="226">
        <f>+'Metraj Özeti'!I412</f>
        <v>0</v>
      </c>
      <c r="J412" s="226">
        <f>+'Metraj Özeti'!J412</f>
        <v>0</v>
      </c>
      <c r="K412" s="226">
        <f>+'Metraj Özeti'!K412</f>
        <v>0</v>
      </c>
    </row>
    <row r="413" spans="1:11" ht="19.95" hidden="1" customHeight="1" x14ac:dyDescent="0.3">
      <c r="A413" s="262">
        <v>6</v>
      </c>
      <c r="C413" s="161">
        <v>389</v>
      </c>
      <c r="D413" s="161" t="s">
        <v>966</v>
      </c>
      <c r="E413" s="1371" t="s">
        <v>967</v>
      </c>
      <c r="F413" s="1371"/>
      <c r="G413" s="1371"/>
      <c r="H413" s="161" t="s">
        <v>286</v>
      </c>
      <c r="I413" s="226">
        <f>+'Metraj Özeti'!I413</f>
        <v>0</v>
      </c>
      <c r="J413" s="226">
        <f>+'Metraj Özeti'!J413</f>
        <v>0</v>
      </c>
      <c r="K413" s="226">
        <f>+'Metraj Özeti'!K413</f>
        <v>0</v>
      </c>
    </row>
    <row r="414" spans="1:11" ht="19.95" hidden="1" customHeight="1" x14ac:dyDescent="0.3">
      <c r="A414" s="262">
        <v>6</v>
      </c>
      <c r="C414" s="161">
        <v>390</v>
      </c>
      <c r="D414" s="161" t="s">
        <v>968</v>
      </c>
      <c r="E414" s="1371" t="s">
        <v>969</v>
      </c>
      <c r="F414" s="1371"/>
      <c r="G414" s="1371"/>
      <c r="H414" s="161" t="s">
        <v>286</v>
      </c>
      <c r="I414" s="226">
        <f>+'Metraj Özeti'!I414</f>
        <v>0</v>
      </c>
      <c r="J414" s="226">
        <f>+'Metraj Özeti'!J414</f>
        <v>0</v>
      </c>
      <c r="K414" s="226">
        <f>+'Metraj Özeti'!K414</f>
        <v>0</v>
      </c>
    </row>
    <row r="415" spans="1:11" ht="19.95" hidden="1" customHeight="1" x14ac:dyDescent="0.3">
      <c r="A415" s="262">
        <v>6</v>
      </c>
      <c r="C415" s="161">
        <v>391</v>
      </c>
      <c r="D415" s="161" t="s">
        <v>970</v>
      </c>
      <c r="E415" s="1371" t="s">
        <v>971</v>
      </c>
      <c r="F415" s="1371"/>
      <c r="G415" s="1371"/>
      <c r="H415" s="161" t="s">
        <v>286</v>
      </c>
      <c r="I415" s="226">
        <f>+'Metraj Özeti'!I415</f>
        <v>0</v>
      </c>
      <c r="J415" s="226">
        <f>+'Metraj Özeti'!J415</f>
        <v>0</v>
      </c>
      <c r="K415" s="226">
        <f>+'Metraj Özeti'!K415</f>
        <v>0</v>
      </c>
    </row>
    <row r="416" spans="1:11" ht="19.95" hidden="1" customHeight="1" x14ac:dyDescent="0.3">
      <c r="A416" s="262">
        <v>6</v>
      </c>
      <c r="C416" s="161">
        <v>392</v>
      </c>
      <c r="D416" s="161" t="s">
        <v>972</v>
      </c>
      <c r="E416" s="1371" t="s">
        <v>973</v>
      </c>
      <c r="F416" s="1371"/>
      <c r="G416" s="1371"/>
      <c r="H416" s="161" t="s">
        <v>286</v>
      </c>
      <c r="I416" s="226">
        <f>+'Metraj Özeti'!I416</f>
        <v>0</v>
      </c>
      <c r="J416" s="226">
        <f>+'Metraj Özeti'!J416</f>
        <v>0</v>
      </c>
      <c r="K416" s="226">
        <f>+'Metraj Özeti'!K416</f>
        <v>0</v>
      </c>
    </row>
    <row r="417" spans="1:11" ht="19.95" hidden="1" customHeight="1" x14ac:dyDescent="0.3">
      <c r="A417" s="262">
        <v>6</v>
      </c>
      <c r="C417" s="161">
        <v>393</v>
      </c>
      <c r="D417" s="161" t="s">
        <v>974</v>
      </c>
      <c r="E417" s="1371" t="s">
        <v>975</v>
      </c>
      <c r="F417" s="1371"/>
      <c r="G417" s="1371"/>
      <c r="H417" s="161" t="s">
        <v>286</v>
      </c>
      <c r="I417" s="226">
        <f>+'Metraj Özeti'!I417</f>
        <v>0</v>
      </c>
      <c r="J417" s="226">
        <f>+'Metraj Özeti'!J417</f>
        <v>0</v>
      </c>
      <c r="K417" s="226">
        <f>+'Metraj Özeti'!K417</f>
        <v>0</v>
      </c>
    </row>
    <row r="418" spans="1:11" ht="19.95" hidden="1" customHeight="1" x14ac:dyDescent="0.3">
      <c r="A418" s="262">
        <v>6</v>
      </c>
      <c r="C418" s="161">
        <v>394</v>
      </c>
      <c r="D418" s="161" t="s">
        <v>976</v>
      </c>
      <c r="E418" s="1371" t="s">
        <v>977</v>
      </c>
      <c r="F418" s="1371"/>
      <c r="G418" s="1371"/>
      <c r="H418" s="161" t="s">
        <v>286</v>
      </c>
      <c r="I418" s="226">
        <f>+'Metraj Özeti'!I418</f>
        <v>0</v>
      </c>
      <c r="J418" s="226">
        <f>+'Metraj Özeti'!J418</f>
        <v>0</v>
      </c>
      <c r="K418" s="226">
        <f>+'Metraj Özeti'!K418</f>
        <v>0</v>
      </c>
    </row>
    <row r="419" spans="1:11" ht="19.95" hidden="1" customHeight="1" x14ac:dyDescent="0.3">
      <c r="A419" s="262">
        <v>6</v>
      </c>
      <c r="C419" s="161">
        <v>395</v>
      </c>
      <c r="D419" s="161" t="s">
        <v>978</v>
      </c>
      <c r="E419" s="1371" t="s">
        <v>979</v>
      </c>
      <c r="F419" s="1371"/>
      <c r="G419" s="1371"/>
      <c r="H419" s="161" t="s">
        <v>286</v>
      </c>
      <c r="I419" s="226">
        <f>+'Metraj Özeti'!I419</f>
        <v>0</v>
      </c>
      <c r="J419" s="226">
        <f>+'Metraj Özeti'!J419</f>
        <v>0</v>
      </c>
      <c r="K419" s="226">
        <f>+'Metraj Özeti'!K419</f>
        <v>0</v>
      </c>
    </row>
    <row r="420" spans="1:11" ht="19.95" hidden="1" customHeight="1" x14ac:dyDescent="0.3">
      <c r="A420" s="262">
        <v>6</v>
      </c>
      <c r="C420" s="161">
        <v>396</v>
      </c>
      <c r="D420" s="161" t="s">
        <v>980</v>
      </c>
      <c r="E420" s="1371" t="s">
        <v>981</v>
      </c>
      <c r="F420" s="1371"/>
      <c r="G420" s="1371"/>
      <c r="H420" s="161" t="s">
        <v>286</v>
      </c>
      <c r="I420" s="226">
        <f>+'Metraj Özeti'!I420</f>
        <v>0</v>
      </c>
      <c r="J420" s="226">
        <f>+'Metraj Özeti'!J420</f>
        <v>0</v>
      </c>
      <c r="K420" s="226">
        <f>+'Metraj Özeti'!K420</f>
        <v>0</v>
      </c>
    </row>
    <row r="421" spans="1:11" ht="19.95" hidden="1" customHeight="1" x14ac:dyDescent="0.3">
      <c r="A421" s="262">
        <v>6</v>
      </c>
      <c r="C421" s="161">
        <v>397</v>
      </c>
      <c r="D421" s="161" t="s">
        <v>982</v>
      </c>
      <c r="E421" s="1371" t="s">
        <v>983</v>
      </c>
      <c r="F421" s="1371"/>
      <c r="G421" s="1371"/>
      <c r="H421" s="161" t="s">
        <v>286</v>
      </c>
      <c r="I421" s="226">
        <f>+'Metraj Özeti'!I421</f>
        <v>0</v>
      </c>
      <c r="J421" s="226">
        <f>+'Metraj Özeti'!J421</f>
        <v>0</v>
      </c>
      <c r="K421" s="226">
        <f>+'Metraj Özeti'!K421</f>
        <v>0</v>
      </c>
    </row>
    <row r="422" spans="1:11" ht="19.95" hidden="1" customHeight="1" x14ac:dyDescent="0.3">
      <c r="A422" s="262">
        <v>6</v>
      </c>
      <c r="C422" s="161">
        <v>398</v>
      </c>
      <c r="D422" s="161" t="s">
        <v>984</v>
      </c>
      <c r="E422" s="1371" t="s">
        <v>985</v>
      </c>
      <c r="F422" s="1371"/>
      <c r="G422" s="1371"/>
      <c r="H422" s="161" t="s">
        <v>286</v>
      </c>
      <c r="I422" s="226">
        <f>+'Metraj Özeti'!I422</f>
        <v>0</v>
      </c>
      <c r="J422" s="226">
        <f>+'Metraj Özeti'!J422</f>
        <v>0</v>
      </c>
      <c r="K422" s="226">
        <f>+'Metraj Özeti'!K422</f>
        <v>0</v>
      </c>
    </row>
    <row r="423" spans="1:11" ht="19.95" hidden="1" customHeight="1" x14ac:dyDescent="0.3">
      <c r="A423" s="262">
        <v>6</v>
      </c>
      <c r="C423" s="161">
        <v>399</v>
      </c>
      <c r="D423" s="161" t="s">
        <v>986</v>
      </c>
      <c r="E423" s="1371" t="s">
        <v>987</v>
      </c>
      <c r="F423" s="1371"/>
      <c r="G423" s="1371"/>
      <c r="H423" s="161" t="s">
        <v>286</v>
      </c>
      <c r="I423" s="226">
        <f>+'Metraj Özeti'!I423</f>
        <v>0</v>
      </c>
      <c r="J423" s="226">
        <f>+'Metraj Özeti'!J423</f>
        <v>0</v>
      </c>
      <c r="K423" s="226">
        <f>+'Metraj Özeti'!K423</f>
        <v>0</v>
      </c>
    </row>
    <row r="424" spans="1:11" ht="19.95" hidden="1" customHeight="1" x14ac:dyDescent="0.3">
      <c r="A424" s="262">
        <v>6</v>
      </c>
      <c r="C424" s="161">
        <v>400</v>
      </c>
      <c r="D424" s="161" t="s">
        <v>988</v>
      </c>
      <c r="E424" s="1371" t="s">
        <v>989</v>
      </c>
      <c r="F424" s="1371"/>
      <c r="G424" s="1371"/>
      <c r="H424" s="161" t="s">
        <v>286</v>
      </c>
      <c r="I424" s="226">
        <f>+'Metraj Özeti'!I424</f>
        <v>0</v>
      </c>
      <c r="J424" s="226">
        <f>+'Metraj Özeti'!J424</f>
        <v>0</v>
      </c>
      <c r="K424" s="226">
        <f>+'Metraj Özeti'!K424</f>
        <v>0</v>
      </c>
    </row>
    <row r="425" spans="1:11" ht="19.95" hidden="1" customHeight="1" x14ac:dyDescent="0.3">
      <c r="A425" s="262">
        <v>6</v>
      </c>
      <c r="C425" s="161">
        <v>401</v>
      </c>
      <c r="D425" s="161" t="s">
        <v>990</v>
      </c>
      <c r="E425" s="1371" t="s">
        <v>991</v>
      </c>
      <c r="F425" s="1371"/>
      <c r="G425" s="1371"/>
      <c r="H425" s="161" t="s">
        <v>286</v>
      </c>
      <c r="I425" s="226">
        <f>+'Metraj Özeti'!I425</f>
        <v>0</v>
      </c>
      <c r="J425" s="226">
        <f>+'Metraj Özeti'!J425</f>
        <v>0</v>
      </c>
      <c r="K425" s="226">
        <f>+'Metraj Özeti'!K425</f>
        <v>0</v>
      </c>
    </row>
    <row r="426" spans="1:11" ht="19.95" hidden="1" customHeight="1" x14ac:dyDescent="0.3">
      <c r="A426" s="262">
        <v>6</v>
      </c>
      <c r="C426" s="161">
        <v>402</v>
      </c>
      <c r="D426" s="161" t="s">
        <v>992</v>
      </c>
      <c r="E426" s="1371" t="s">
        <v>993</v>
      </c>
      <c r="F426" s="1371"/>
      <c r="G426" s="1371"/>
      <c r="H426" s="161" t="s">
        <v>286</v>
      </c>
      <c r="I426" s="226">
        <f>+'Metraj Özeti'!I426</f>
        <v>0</v>
      </c>
      <c r="J426" s="226">
        <f>+'Metraj Özeti'!J426</f>
        <v>0</v>
      </c>
      <c r="K426" s="226">
        <f>+'Metraj Özeti'!K426</f>
        <v>0</v>
      </c>
    </row>
    <row r="427" spans="1:11" ht="19.95" hidden="1" customHeight="1" x14ac:dyDescent="0.3">
      <c r="A427" s="262">
        <v>6</v>
      </c>
      <c r="C427" s="161">
        <v>403</v>
      </c>
      <c r="D427" s="161" t="s">
        <v>994</v>
      </c>
      <c r="E427" s="1371" t="s">
        <v>995</v>
      </c>
      <c r="F427" s="1371"/>
      <c r="G427" s="1371"/>
      <c r="H427" s="161" t="s">
        <v>286</v>
      </c>
      <c r="I427" s="226">
        <f>+'Metraj Özeti'!I427</f>
        <v>0</v>
      </c>
      <c r="J427" s="226">
        <f>+'Metraj Özeti'!J427</f>
        <v>0</v>
      </c>
      <c r="K427" s="226">
        <f>+'Metraj Özeti'!K427</f>
        <v>0</v>
      </c>
    </row>
    <row r="428" spans="1:11" ht="19.95" hidden="1" customHeight="1" x14ac:dyDescent="0.3">
      <c r="A428" s="262">
        <v>6</v>
      </c>
      <c r="C428" s="161">
        <v>404</v>
      </c>
      <c r="D428" s="161" t="s">
        <v>996</v>
      </c>
      <c r="E428" s="1371" t="s">
        <v>997</v>
      </c>
      <c r="F428" s="1371"/>
      <c r="G428" s="1371"/>
      <c r="H428" s="161" t="s">
        <v>286</v>
      </c>
      <c r="I428" s="226">
        <f>+'Metraj Özeti'!I428</f>
        <v>0</v>
      </c>
      <c r="J428" s="226">
        <f>+'Metraj Özeti'!J428</f>
        <v>0</v>
      </c>
      <c r="K428" s="226">
        <f>+'Metraj Özeti'!K428</f>
        <v>0</v>
      </c>
    </row>
    <row r="429" spans="1:11" ht="19.95" hidden="1" customHeight="1" x14ac:dyDescent="0.3">
      <c r="A429" s="262">
        <v>6</v>
      </c>
      <c r="C429" s="161">
        <v>405</v>
      </c>
      <c r="D429" s="161" t="s">
        <v>998</v>
      </c>
      <c r="E429" s="1371" t="s">
        <v>999</v>
      </c>
      <c r="F429" s="1371"/>
      <c r="G429" s="1371"/>
      <c r="H429" s="161" t="s">
        <v>286</v>
      </c>
      <c r="I429" s="226">
        <f>+'Metraj Özeti'!I429</f>
        <v>0</v>
      </c>
      <c r="J429" s="226">
        <f>+'Metraj Özeti'!J429</f>
        <v>0</v>
      </c>
      <c r="K429" s="226">
        <f>+'Metraj Özeti'!K429</f>
        <v>0</v>
      </c>
    </row>
    <row r="430" spans="1:11" ht="19.95" hidden="1" customHeight="1" x14ac:dyDescent="0.3">
      <c r="A430" s="262">
        <v>6</v>
      </c>
      <c r="C430" s="658">
        <v>406</v>
      </c>
      <c r="D430" s="658" t="s">
        <v>1000</v>
      </c>
      <c r="E430" s="1372" t="s">
        <v>1001</v>
      </c>
      <c r="F430" s="1372"/>
      <c r="G430" s="1372"/>
      <c r="H430" s="658" t="s">
        <v>286</v>
      </c>
      <c r="I430" s="226">
        <f>+'Metraj Özeti'!I430</f>
        <v>0</v>
      </c>
      <c r="J430" s="226">
        <f>+'Metraj Özeti'!J430</f>
        <v>0</v>
      </c>
      <c r="K430" s="226">
        <f>+'Metraj Özeti'!K430</f>
        <v>0</v>
      </c>
    </row>
    <row r="431" spans="1:11" s="793" customFormat="1" ht="25.05" customHeight="1" x14ac:dyDescent="0.3">
      <c r="A431" s="792" t="s">
        <v>1240</v>
      </c>
      <c r="C431" s="839"/>
      <c r="D431" s="869" t="s">
        <v>1234</v>
      </c>
      <c r="E431" s="841"/>
      <c r="F431" s="841"/>
      <c r="G431" s="841"/>
      <c r="H431" s="841"/>
      <c r="I431" s="871"/>
      <c r="J431" s="842"/>
      <c r="K431" s="893"/>
    </row>
    <row r="432" spans="1:11" ht="19.95" hidden="1" customHeight="1" x14ac:dyDescent="0.3">
      <c r="A432" s="262">
        <v>7</v>
      </c>
      <c r="C432" s="160">
        <v>407</v>
      </c>
      <c r="D432" s="210" t="s">
        <v>1002</v>
      </c>
      <c r="E432" s="1373" t="s">
        <v>1003</v>
      </c>
      <c r="F432" s="1373"/>
      <c r="G432" s="1373"/>
      <c r="H432" s="160" t="s">
        <v>286</v>
      </c>
      <c r="I432" s="226">
        <f>+'Metraj Özeti'!I432</f>
        <v>0</v>
      </c>
      <c r="J432" s="226">
        <f>+'Metraj Özeti'!J432</f>
        <v>0</v>
      </c>
      <c r="K432" s="226">
        <f>+'Metraj Özeti'!K432</f>
        <v>0</v>
      </c>
    </row>
    <row r="433" spans="1:11" ht="19.95" hidden="1" customHeight="1" x14ac:dyDescent="0.3">
      <c r="A433" s="262">
        <v>7</v>
      </c>
      <c r="C433" s="161">
        <v>408</v>
      </c>
      <c r="D433" s="161" t="s">
        <v>1004</v>
      </c>
      <c r="E433" s="1371" t="s">
        <v>1005</v>
      </c>
      <c r="F433" s="1371"/>
      <c r="G433" s="1371"/>
      <c r="H433" s="161" t="s">
        <v>247</v>
      </c>
      <c r="I433" s="226">
        <f>+'Metraj Özeti'!I433</f>
        <v>0</v>
      </c>
      <c r="J433" s="226">
        <f>+'Metraj Özeti'!J433</f>
        <v>0</v>
      </c>
      <c r="K433" s="226">
        <f>+'Metraj Özeti'!K433</f>
        <v>0</v>
      </c>
    </row>
    <row r="434" spans="1:11" ht="19.95" hidden="1" customHeight="1" x14ac:dyDescent="0.3">
      <c r="A434" s="262">
        <v>7</v>
      </c>
      <c r="C434" s="161">
        <v>409</v>
      </c>
      <c r="D434" s="161" t="s">
        <v>1006</v>
      </c>
      <c r="E434" s="1371" t="s">
        <v>1007</v>
      </c>
      <c r="F434" s="1371"/>
      <c r="G434" s="1371"/>
      <c r="H434" s="161" t="s">
        <v>247</v>
      </c>
      <c r="I434" s="226">
        <f>+'Metraj Özeti'!I434</f>
        <v>0</v>
      </c>
      <c r="J434" s="226">
        <f>+'Metraj Özeti'!J434</f>
        <v>0</v>
      </c>
      <c r="K434" s="226">
        <f>+'Metraj Özeti'!K434</f>
        <v>0</v>
      </c>
    </row>
    <row r="435" spans="1:11" ht="19.95" hidden="1" customHeight="1" x14ac:dyDescent="0.3">
      <c r="A435" s="262">
        <v>7</v>
      </c>
      <c r="C435" s="161">
        <v>410</v>
      </c>
      <c r="D435" s="161" t="s">
        <v>1008</v>
      </c>
      <c r="E435" s="1371" t="s">
        <v>1009</v>
      </c>
      <c r="F435" s="1371"/>
      <c r="G435" s="1371"/>
      <c r="H435" s="161" t="s">
        <v>247</v>
      </c>
      <c r="I435" s="226">
        <f>+'Metraj Özeti'!I435</f>
        <v>0</v>
      </c>
      <c r="J435" s="226">
        <f>+'Metraj Özeti'!J435</f>
        <v>0</v>
      </c>
      <c r="K435" s="226">
        <f>+'Metraj Özeti'!K435</f>
        <v>0</v>
      </c>
    </row>
    <row r="436" spans="1:11" ht="19.95" hidden="1" customHeight="1" x14ac:dyDescent="0.3">
      <c r="A436" s="262">
        <v>7</v>
      </c>
      <c r="C436" s="161">
        <v>411</v>
      </c>
      <c r="D436" s="161" t="s">
        <v>1010</v>
      </c>
      <c r="E436" s="1371" t="s">
        <v>1011</v>
      </c>
      <c r="F436" s="1371"/>
      <c r="G436" s="1371"/>
      <c r="H436" s="161" t="s">
        <v>247</v>
      </c>
      <c r="I436" s="226">
        <f>+'Metraj Özeti'!I436</f>
        <v>0</v>
      </c>
      <c r="J436" s="226">
        <f>+'Metraj Özeti'!J436</f>
        <v>0</v>
      </c>
      <c r="K436" s="226">
        <f>+'Metraj Özeti'!K436</f>
        <v>0</v>
      </c>
    </row>
    <row r="437" spans="1:11" ht="19.95" hidden="1" customHeight="1" x14ac:dyDescent="0.3">
      <c r="A437" s="262">
        <v>7</v>
      </c>
      <c r="C437" s="161">
        <v>412</v>
      </c>
      <c r="D437" s="161" t="s">
        <v>1012</v>
      </c>
      <c r="E437" s="1371" t="s">
        <v>1013</v>
      </c>
      <c r="F437" s="1371"/>
      <c r="G437" s="1371"/>
      <c r="H437" s="161" t="s">
        <v>247</v>
      </c>
      <c r="I437" s="226">
        <f>+'Metraj Özeti'!I437</f>
        <v>0</v>
      </c>
      <c r="J437" s="226">
        <f>+'Metraj Özeti'!J437</f>
        <v>0</v>
      </c>
      <c r="K437" s="226">
        <f>+'Metraj Özeti'!K437</f>
        <v>0</v>
      </c>
    </row>
    <row r="438" spans="1:11" ht="19.95" hidden="1" customHeight="1" x14ac:dyDescent="0.3">
      <c r="A438" s="262">
        <v>7</v>
      </c>
      <c r="C438" s="161">
        <v>413</v>
      </c>
      <c r="D438" s="161" t="s">
        <v>1014</v>
      </c>
      <c r="E438" s="1371" t="s">
        <v>1015</v>
      </c>
      <c r="F438" s="1371"/>
      <c r="G438" s="1371"/>
      <c r="H438" s="161" t="s">
        <v>247</v>
      </c>
      <c r="I438" s="226">
        <f>+'Metraj Özeti'!I438</f>
        <v>0</v>
      </c>
      <c r="J438" s="226">
        <f>+'Metraj Özeti'!J438</f>
        <v>0</v>
      </c>
      <c r="K438" s="226">
        <f>+'Metraj Özeti'!K438</f>
        <v>0</v>
      </c>
    </row>
    <row r="439" spans="1:11" ht="19.95" hidden="1" customHeight="1" x14ac:dyDescent="0.3">
      <c r="A439" s="262">
        <v>7</v>
      </c>
      <c r="C439" s="161">
        <v>414</v>
      </c>
      <c r="D439" s="161" t="s">
        <v>1016</v>
      </c>
      <c r="E439" s="1371" t="s">
        <v>1017</v>
      </c>
      <c r="F439" s="1371"/>
      <c r="G439" s="1371"/>
      <c r="H439" s="161" t="s">
        <v>247</v>
      </c>
      <c r="I439" s="226">
        <f>+'Metraj Özeti'!I439</f>
        <v>0</v>
      </c>
      <c r="J439" s="226">
        <f>+'Metraj Özeti'!J439</f>
        <v>0</v>
      </c>
      <c r="K439" s="226">
        <f>+'Metraj Özeti'!K439</f>
        <v>0</v>
      </c>
    </row>
    <row r="440" spans="1:11" ht="19.95" hidden="1" customHeight="1" x14ac:dyDescent="0.3">
      <c r="A440" s="262">
        <v>7</v>
      </c>
      <c r="C440" s="658">
        <v>415</v>
      </c>
      <c r="D440" s="658" t="s">
        <v>1018</v>
      </c>
      <c r="E440" s="1372" t="s">
        <v>1019</v>
      </c>
      <c r="F440" s="1372"/>
      <c r="G440" s="1372"/>
      <c r="H440" s="658" t="s">
        <v>247</v>
      </c>
      <c r="I440" s="226">
        <f>+'Metraj Özeti'!I440</f>
        <v>0</v>
      </c>
      <c r="J440" s="226">
        <f>+'Metraj Özeti'!J440</f>
        <v>0</v>
      </c>
      <c r="K440" s="226">
        <f>+'Metraj Özeti'!K440</f>
        <v>0</v>
      </c>
    </row>
    <row r="441" spans="1:11" s="793" customFormat="1" ht="25.05" customHeight="1" x14ac:dyDescent="0.3">
      <c r="A441" s="792" t="s">
        <v>1240</v>
      </c>
      <c r="C441" s="839"/>
      <c r="D441" s="869" t="s">
        <v>1235</v>
      </c>
      <c r="E441" s="841"/>
      <c r="F441" s="841"/>
      <c r="G441" s="841"/>
      <c r="H441" s="841"/>
      <c r="I441" s="871"/>
      <c r="J441" s="842"/>
      <c r="K441" s="893"/>
    </row>
    <row r="442" spans="1:11" ht="19.95" hidden="1" customHeight="1" x14ac:dyDescent="0.3">
      <c r="A442" s="262">
        <v>8</v>
      </c>
      <c r="C442" s="160">
        <v>416</v>
      </c>
      <c r="D442" s="210" t="s">
        <v>1020</v>
      </c>
      <c r="E442" s="1373" t="s">
        <v>1021</v>
      </c>
      <c r="F442" s="1373"/>
      <c r="G442" s="1373"/>
      <c r="H442" s="160" t="s">
        <v>286</v>
      </c>
      <c r="I442" s="226">
        <f>+'Metraj Özeti'!I442</f>
        <v>0</v>
      </c>
      <c r="J442" s="226">
        <f>+'Metraj Özeti'!J442</f>
        <v>0</v>
      </c>
      <c r="K442" s="226">
        <f>+'Metraj Özeti'!K442</f>
        <v>0</v>
      </c>
    </row>
    <row r="443" spans="1:11" ht="19.95" hidden="1" customHeight="1" x14ac:dyDescent="0.3">
      <c r="A443" s="262">
        <v>8</v>
      </c>
      <c r="C443" s="161">
        <v>417</v>
      </c>
      <c r="D443" s="213" t="s">
        <v>1022</v>
      </c>
      <c r="E443" s="1371" t="s">
        <v>1023</v>
      </c>
      <c r="F443" s="1371"/>
      <c r="G443" s="1371"/>
      <c r="H443" s="161" t="s">
        <v>202</v>
      </c>
      <c r="I443" s="226">
        <f>+'Metraj Özeti'!I443</f>
        <v>0</v>
      </c>
      <c r="J443" s="226">
        <f>+'Metraj Özeti'!J443</f>
        <v>0</v>
      </c>
      <c r="K443" s="226">
        <f>+'Metraj Özeti'!K443</f>
        <v>0</v>
      </c>
    </row>
    <row r="444" spans="1:11" ht="19.95" hidden="1" customHeight="1" x14ac:dyDescent="0.3">
      <c r="A444" s="262">
        <v>8</v>
      </c>
      <c r="C444" s="161">
        <v>418</v>
      </c>
      <c r="D444" s="161" t="s">
        <v>1024</v>
      </c>
      <c r="E444" s="1371" t="s">
        <v>1025</v>
      </c>
      <c r="F444" s="1371"/>
      <c r="G444" s="1371"/>
      <c r="H444" s="161" t="s">
        <v>202</v>
      </c>
      <c r="I444" s="226">
        <f>+'Metraj Özeti'!I444</f>
        <v>0</v>
      </c>
      <c r="J444" s="226">
        <f>+'Metraj Özeti'!J444</f>
        <v>0</v>
      </c>
      <c r="K444" s="226">
        <f>+'Metraj Özeti'!K444</f>
        <v>0</v>
      </c>
    </row>
    <row r="445" spans="1:11" ht="19.95" hidden="1" customHeight="1" x14ac:dyDescent="0.3">
      <c r="A445" s="262">
        <v>8</v>
      </c>
      <c r="C445" s="161">
        <v>419</v>
      </c>
      <c r="D445" s="161" t="s">
        <v>1026</v>
      </c>
      <c r="E445" s="1371" t="s">
        <v>1027</v>
      </c>
      <c r="F445" s="1371"/>
      <c r="G445" s="1371"/>
      <c r="H445" s="161" t="s">
        <v>247</v>
      </c>
      <c r="I445" s="226">
        <f>+'Metraj Özeti'!I445</f>
        <v>0</v>
      </c>
      <c r="J445" s="226">
        <f>+'Metraj Özeti'!J445</f>
        <v>0</v>
      </c>
      <c r="K445" s="226">
        <f>+'Metraj Özeti'!K445</f>
        <v>0</v>
      </c>
    </row>
    <row r="446" spans="1:11" ht="19.95" hidden="1" customHeight="1" x14ac:dyDescent="0.3">
      <c r="A446" s="262">
        <v>8</v>
      </c>
      <c r="C446" s="161">
        <v>420</v>
      </c>
      <c r="D446" s="161" t="s">
        <v>1028</v>
      </c>
      <c r="E446" s="1371" t="s">
        <v>1029</v>
      </c>
      <c r="F446" s="1371"/>
      <c r="G446" s="1371"/>
      <c r="H446" s="161" t="s">
        <v>247</v>
      </c>
      <c r="I446" s="226">
        <f>+'Metraj Özeti'!I446</f>
        <v>0</v>
      </c>
      <c r="J446" s="226">
        <f>+'Metraj Özeti'!J446</f>
        <v>0</v>
      </c>
      <c r="K446" s="226">
        <f>+'Metraj Özeti'!K446</f>
        <v>0</v>
      </c>
    </row>
    <row r="447" spans="1:11" ht="19.95" hidden="1" customHeight="1" x14ac:dyDescent="0.3">
      <c r="A447" s="262">
        <v>8</v>
      </c>
      <c r="C447" s="161">
        <v>421</v>
      </c>
      <c r="D447" s="213" t="s">
        <v>1030</v>
      </c>
      <c r="E447" s="1371" t="s">
        <v>1031</v>
      </c>
      <c r="F447" s="1371"/>
      <c r="G447" s="1371"/>
      <c r="H447" s="161" t="s">
        <v>247</v>
      </c>
      <c r="I447" s="226">
        <f>+'Metraj Özeti'!I447</f>
        <v>0</v>
      </c>
      <c r="J447" s="226">
        <f>+'Metraj Özeti'!J447</f>
        <v>0</v>
      </c>
      <c r="K447" s="226">
        <f>+'Metraj Özeti'!K447</f>
        <v>0</v>
      </c>
    </row>
    <row r="448" spans="1:11" ht="19.95" hidden="1" customHeight="1" x14ac:dyDescent="0.3">
      <c r="A448" s="262">
        <v>8</v>
      </c>
      <c r="C448" s="161">
        <v>422</v>
      </c>
      <c r="D448" s="213" t="s">
        <v>1032</v>
      </c>
      <c r="E448" s="1371" t="s">
        <v>1033</v>
      </c>
      <c r="F448" s="1371"/>
      <c r="G448" s="1371"/>
      <c r="H448" s="161" t="s">
        <v>247</v>
      </c>
      <c r="I448" s="226">
        <f>+'Metraj Özeti'!I448</f>
        <v>0</v>
      </c>
      <c r="J448" s="226">
        <f>+'Metraj Özeti'!J448</f>
        <v>0</v>
      </c>
      <c r="K448" s="226">
        <f>+'Metraj Özeti'!K448</f>
        <v>0</v>
      </c>
    </row>
    <row r="449" spans="1:11" ht="19.95" hidden="1" customHeight="1" x14ac:dyDescent="0.3">
      <c r="A449" s="262">
        <v>8</v>
      </c>
      <c r="C449" s="161">
        <v>423</v>
      </c>
      <c r="D449" s="213" t="s">
        <v>1034</v>
      </c>
      <c r="E449" s="1371" t="s">
        <v>1035</v>
      </c>
      <c r="F449" s="1371"/>
      <c r="G449" s="1371"/>
      <c r="H449" s="161" t="s">
        <v>286</v>
      </c>
      <c r="I449" s="226">
        <f>+'Metraj Özeti'!I449</f>
        <v>0</v>
      </c>
      <c r="J449" s="226">
        <f>+'Metraj Özeti'!J449</f>
        <v>0</v>
      </c>
      <c r="K449" s="226">
        <f>+'Metraj Özeti'!K449</f>
        <v>0</v>
      </c>
    </row>
    <row r="450" spans="1:11" ht="19.95" hidden="1" customHeight="1" x14ac:dyDescent="0.3">
      <c r="A450" s="262">
        <v>8</v>
      </c>
      <c r="C450" s="658">
        <v>424</v>
      </c>
      <c r="D450" s="689" t="s">
        <v>1036</v>
      </c>
      <c r="E450" s="1372" t="s">
        <v>1037</v>
      </c>
      <c r="F450" s="1372"/>
      <c r="G450" s="1372"/>
      <c r="H450" s="658" t="s">
        <v>225</v>
      </c>
      <c r="I450" s="226">
        <f>+'Metraj Özeti'!I450</f>
        <v>0</v>
      </c>
      <c r="J450" s="226">
        <f>+'Metraj Özeti'!J450</f>
        <v>0</v>
      </c>
      <c r="K450" s="226">
        <f>+'Metraj Özeti'!K450</f>
        <v>0</v>
      </c>
    </row>
    <row r="451" spans="1:11" s="793" customFormat="1" ht="25.05" customHeight="1" x14ac:dyDescent="0.3">
      <c r="A451" s="792" t="s">
        <v>1240</v>
      </c>
      <c r="C451" s="839"/>
      <c r="D451" s="869" t="s">
        <v>1236</v>
      </c>
      <c r="E451" s="841"/>
      <c r="F451" s="841"/>
      <c r="G451" s="841"/>
      <c r="H451" s="841"/>
      <c r="I451" s="871"/>
      <c r="J451" s="842"/>
      <c r="K451" s="893"/>
    </row>
    <row r="452" spans="1:11" ht="19.95" hidden="1" customHeight="1" x14ac:dyDescent="0.3">
      <c r="A452" s="262">
        <v>9</v>
      </c>
      <c r="C452" s="160">
        <v>425</v>
      </c>
      <c r="D452" s="210" t="s">
        <v>1038</v>
      </c>
      <c r="E452" s="1373" t="s">
        <v>1039</v>
      </c>
      <c r="F452" s="1373"/>
      <c r="G452" s="1373"/>
      <c r="H452" s="160" t="s">
        <v>286</v>
      </c>
      <c r="I452" s="226">
        <f>+'Metraj Özeti'!I452</f>
        <v>0</v>
      </c>
      <c r="J452" s="226">
        <f>+'Metraj Özeti'!J452</f>
        <v>0</v>
      </c>
      <c r="K452" s="226">
        <f>+'Metraj Özeti'!K452</f>
        <v>0</v>
      </c>
    </row>
    <row r="453" spans="1:11" ht="19.95" hidden="1" customHeight="1" x14ac:dyDescent="0.3">
      <c r="A453" s="262">
        <v>9</v>
      </c>
      <c r="C453" s="161">
        <v>426</v>
      </c>
      <c r="D453" s="213" t="s">
        <v>1040</v>
      </c>
      <c r="E453" s="1371" t="s">
        <v>1041</v>
      </c>
      <c r="F453" s="1371"/>
      <c r="G453" s="1371"/>
      <c r="H453" s="161" t="s">
        <v>286</v>
      </c>
      <c r="I453" s="226">
        <f>+'Metraj Özeti'!I453</f>
        <v>0</v>
      </c>
      <c r="J453" s="226">
        <f>+'Metraj Özeti'!J453</f>
        <v>0</v>
      </c>
      <c r="K453" s="226">
        <f>+'Metraj Özeti'!K453</f>
        <v>0</v>
      </c>
    </row>
    <row r="454" spans="1:11" ht="19.95" hidden="1" customHeight="1" x14ac:dyDescent="0.3">
      <c r="A454" s="262">
        <v>9</v>
      </c>
      <c r="C454" s="161">
        <v>427</v>
      </c>
      <c r="D454" s="213" t="s">
        <v>1042</v>
      </c>
      <c r="E454" s="1371" t="s">
        <v>1043</v>
      </c>
      <c r="F454" s="1371"/>
      <c r="G454" s="1371"/>
      <c r="H454" s="161" t="s">
        <v>286</v>
      </c>
      <c r="I454" s="226">
        <f>+'Metraj Özeti'!I454</f>
        <v>0</v>
      </c>
      <c r="J454" s="226">
        <f>+'Metraj Özeti'!J454</f>
        <v>0</v>
      </c>
      <c r="K454" s="226">
        <f>+'Metraj Özeti'!K454</f>
        <v>0</v>
      </c>
    </row>
    <row r="455" spans="1:11" ht="19.95" hidden="1" customHeight="1" x14ac:dyDescent="0.3">
      <c r="A455" s="262">
        <v>9</v>
      </c>
      <c r="C455" s="658">
        <v>428</v>
      </c>
      <c r="D455" s="689" t="s">
        <v>1044</v>
      </c>
      <c r="E455" s="1372" t="s">
        <v>1045</v>
      </c>
      <c r="F455" s="1372"/>
      <c r="G455" s="1372"/>
      <c r="H455" s="658" t="s">
        <v>286</v>
      </c>
      <c r="I455" s="226">
        <f>+'Metraj Özeti'!I455</f>
        <v>0</v>
      </c>
      <c r="J455" s="226">
        <f>+'Metraj Özeti'!J455</f>
        <v>0</v>
      </c>
      <c r="K455" s="226">
        <f>+'Metraj Özeti'!K455</f>
        <v>0</v>
      </c>
    </row>
    <row r="456" spans="1:11" s="793" customFormat="1" ht="25.05" customHeight="1" x14ac:dyDescent="0.3">
      <c r="A456" s="792" t="s">
        <v>1240</v>
      </c>
      <c r="C456" s="839"/>
      <c r="D456" s="869" t="s">
        <v>1237</v>
      </c>
      <c r="E456" s="841"/>
      <c r="F456" s="841"/>
      <c r="G456" s="841"/>
      <c r="H456" s="841"/>
      <c r="I456" s="871"/>
      <c r="J456" s="842"/>
      <c r="K456" s="893"/>
    </row>
    <row r="457" spans="1:11" s="793" customFormat="1" ht="25.05" customHeight="1" x14ac:dyDescent="0.3">
      <c r="A457" s="792">
        <v>10</v>
      </c>
      <c r="C457" s="849">
        <v>429</v>
      </c>
      <c r="D457" s="850" t="s">
        <v>1046</v>
      </c>
      <c r="E457" s="1342" t="s">
        <v>1047</v>
      </c>
      <c r="F457" s="1343"/>
      <c r="G457" s="1344"/>
      <c r="H457" s="849" t="s">
        <v>286</v>
      </c>
      <c r="I457" s="854">
        <v>0</v>
      </c>
      <c r="J457" s="854">
        <f>+'Metraj Özeti'!J457</f>
        <v>0</v>
      </c>
      <c r="K457" s="854">
        <f>+'Metraj Özeti'!K457</f>
        <v>0</v>
      </c>
    </row>
    <row r="458" spans="1:11" ht="19.95" hidden="1" customHeight="1" x14ac:dyDescent="0.3">
      <c r="A458" s="262">
        <v>10</v>
      </c>
      <c r="C458" s="161">
        <v>430</v>
      </c>
      <c r="D458" s="161" t="s">
        <v>1048</v>
      </c>
      <c r="E458" s="969" t="s">
        <v>1049</v>
      </c>
      <c r="F458" s="970"/>
      <c r="G458" s="971"/>
      <c r="H458" s="161" t="s">
        <v>286</v>
      </c>
      <c r="I458" s="226">
        <f>+'Metraj Özeti'!I458</f>
        <v>0</v>
      </c>
      <c r="J458" s="226">
        <f>+'Metraj Özeti'!J458</f>
        <v>0</v>
      </c>
      <c r="K458" s="226">
        <f>+'Metraj Özeti'!K458</f>
        <v>0</v>
      </c>
    </row>
    <row r="459" spans="1:11" ht="19.95" hidden="1" customHeight="1" x14ac:dyDescent="0.3">
      <c r="A459" s="262">
        <v>10</v>
      </c>
      <c r="C459" s="161">
        <v>431</v>
      </c>
      <c r="D459" s="161" t="s">
        <v>1050</v>
      </c>
      <c r="E459" s="969" t="s">
        <v>1051</v>
      </c>
      <c r="F459" s="970"/>
      <c r="G459" s="971"/>
      <c r="H459" s="161" t="s">
        <v>286</v>
      </c>
      <c r="I459" s="226">
        <f>+'Metraj Özeti'!I459</f>
        <v>0</v>
      </c>
      <c r="J459" s="226">
        <f>+'Metraj Özeti'!J459</f>
        <v>0</v>
      </c>
      <c r="K459" s="226">
        <f>+'Metraj Özeti'!K459</f>
        <v>0</v>
      </c>
    </row>
    <row r="460" spans="1:11" ht="19.95" hidden="1" customHeight="1" x14ac:dyDescent="0.3">
      <c r="A460" s="262">
        <v>10</v>
      </c>
      <c r="C460" s="161">
        <v>432</v>
      </c>
      <c r="D460" s="161" t="s">
        <v>1052</v>
      </c>
      <c r="E460" s="969" t="s">
        <v>1053</v>
      </c>
      <c r="F460" s="970"/>
      <c r="G460" s="971"/>
      <c r="H460" s="161" t="s">
        <v>286</v>
      </c>
      <c r="I460" s="226">
        <f>+'Metraj Özeti'!I460</f>
        <v>0</v>
      </c>
      <c r="J460" s="226">
        <f>+'Metraj Özeti'!J460</f>
        <v>0</v>
      </c>
      <c r="K460" s="226">
        <f>+'Metraj Özeti'!K460</f>
        <v>0</v>
      </c>
    </row>
    <row r="461" spans="1:11" ht="19.95" hidden="1" customHeight="1" x14ac:dyDescent="0.3">
      <c r="A461" s="262">
        <v>10</v>
      </c>
      <c r="C461" s="161">
        <v>433</v>
      </c>
      <c r="D461" s="161" t="s">
        <v>1054</v>
      </c>
      <c r="E461" s="969" t="s">
        <v>1055</v>
      </c>
      <c r="F461" s="970"/>
      <c r="G461" s="971"/>
      <c r="H461" s="161" t="s">
        <v>286</v>
      </c>
      <c r="I461" s="226">
        <f>+'Metraj Özeti'!I461</f>
        <v>0</v>
      </c>
      <c r="J461" s="226">
        <f>+'Metraj Özeti'!J461</f>
        <v>0</v>
      </c>
      <c r="K461" s="226">
        <f>+'Metraj Özeti'!K461</f>
        <v>0</v>
      </c>
    </row>
    <row r="462" spans="1:11" ht="19.95" hidden="1" customHeight="1" x14ac:dyDescent="0.3">
      <c r="A462" s="262">
        <v>10</v>
      </c>
      <c r="C462" s="161">
        <v>434</v>
      </c>
      <c r="D462" s="161" t="s">
        <v>1056</v>
      </c>
      <c r="E462" s="969" t="s">
        <v>1057</v>
      </c>
      <c r="F462" s="970"/>
      <c r="G462" s="971"/>
      <c r="H462" s="161" t="s">
        <v>286</v>
      </c>
      <c r="I462" s="226">
        <f>+'Metraj Özeti'!I462</f>
        <v>0</v>
      </c>
      <c r="J462" s="226">
        <f>+'Metraj Özeti'!J462</f>
        <v>0</v>
      </c>
      <c r="K462" s="226">
        <f>+'Metraj Özeti'!K462</f>
        <v>0</v>
      </c>
    </row>
    <row r="463" spans="1:11" ht="19.95" hidden="1" customHeight="1" x14ac:dyDescent="0.3">
      <c r="A463" s="262">
        <v>10</v>
      </c>
      <c r="C463" s="161">
        <v>435</v>
      </c>
      <c r="D463" s="161" t="s">
        <v>1058</v>
      </c>
      <c r="E463" s="969" t="s">
        <v>1059</v>
      </c>
      <c r="F463" s="970"/>
      <c r="G463" s="971"/>
      <c r="H463" s="161" t="s">
        <v>286</v>
      </c>
      <c r="I463" s="226">
        <f>+'Metraj Özeti'!I463</f>
        <v>0</v>
      </c>
      <c r="J463" s="226">
        <f>+'Metraj Özeti'!J463</f>
        <v>0</v>
      </c>
      <c r="K463" s="226">
        <f>+'Metraj Özeti'!K463</f>
        <v>0</v>
      </c>
    </row>
    <row r="464" spans="1:11" ht="19.95" hidden="1" customHeight="1" x14ac:dyDescent="0.3">
      <c r="A464" s="262">
        <v>10</v>
      </c>
      <c r="C464" s="161">
        <v>436</v>
      </c>
      <c r="D464" s="161" t="s">
        <v>1060</v>
      </c>
      <c r="E464" s="969" t="s">
        <v>1061</v>
      </c>
      <c r="F464" s="970"/>
      <c r="G464" s="971"/>
      <c r="H464" s="161" t="s">
        <v>286</v>
      </c>
      <c r="I464" s="226">
        <f>+'Metraj Özeti'!I464</f>
        <v>0</v>
      </c>
      <c r="J464" s="226">
        <f>+'Metraj Özeti'!J464</f>
        <v>0</v>
      </c>
      <c r="K464" s="226">
        <f>+'Metraj Özeti'!K464</f>
        <v>0</v>
      </c>
    </row>
    <row r="465" spans="1:11" ht="19.95" hidden="1" customHeight="1" x14ac:dyDescent="0.3">
      <c r="A465" s="262">
        <v>10</v>
      </c>
      <c r="C465" s="161">
        <v>437</v>
      </c>
      <c r="D465" s="161" t="s">
        <v>1062</v>
      </c>
      <c r="E465" s="969" t="s">
        <v>1063</v>
      </c>
      <c r="F465" s="970"/>
      <c r="G465" s="971"/>
      <c r="H465" s="161" t="s">
        <v>286</v>
      </c>
      <c r="I465" s="226">
        <f>+'Metraj Özeti'!I465</f>
        <v>0</v>
      </c>
      <c r="J465" s="226">
        <f>+'Metraj Özeti'!J465</f>
        <v>0</v>
      </c>
      <c r="K465" s="226">
        <f>+'Metraj Özeti'!K465</f>
        <v>0</v>
      </c>
    </row>
    <row r="466" spans="1:11" ht="19.95" hidden="1" customHeight="1" x14ac:dyDescent="0.3">
      <c r="A466" s="262">
        <v>10</v>
      </c>
      <c r="C466" s="161">
        <v>438</v>
      </c>
      <c r="D466" s="161" t="s">
        <v>1064</v>
      </c>
      <c r="E466" s="969" t="s">
        <v>1065</v>
      </c>
      <c r="F466" s="970"/>
      <c r="G466" s="971"/>
      <c r="H466" s="161" t="s">
        <v>286</v>
      </c>
      <c r="I466" s="226">
        <f>+'Metraj Özeti'!I466</f>
        <v>0</v>
      </c>
      <c r="J466" s="226">
        <f>+'Metraj Özeti'!J466</f>
        <v>0</v>
      </c>
      <c r="K466" s="226">
        <f>+'Metraj Özeti'!K466</f>
        <v>0</v>
      </c>
    </row>
    <row r="467" spans="1:11" ht="19.95" hidden="1" customHeight="1" x14ac:dyDescent="0.3">
      <c r="A467" s="262">
        <v>10</v>
      </c>
      <c r="C467" s="161">
        <v>439</v>
      </c>
      <c r="D467" s="161" t="s">
        <v>1066</v>
      </c>
      <c r="E467" s="969" t="s">
        <v>1067</v>
      </c>
      <c r="F467" s="970"/>
      <c r="G467" s="971"/>
      <c r="H467" s="161" t="s">
        <v>286</v>
      </c>
      <c r="I467" s="226">
        <f>+'Metraj Özeti'!I467</f>
        <v>0</v>
      </c>
      <c r="J467" s="226">
        <f>+'Metraj Özeti'!J467</f>
        <v>0</v>
      </c>
      <c r="K467" s="226">
        <f>+'Metraj Özeti'!K467</f>
        <v>0</v>
      </c>
    </row>
    <row r="468" spans="1:11" ht="19.95" hidden="1" customHeight="1" x14ac:dyDescent="0.3">
      <c r="A468" s="262">
        <v>10</v>
      </c>
      <c r="C468" s="161">
        <v>440</v>
      </c>
      <c r="D468" s="161" t="s">
        <v>1068</v>
      </c>
      <c r="E468" s="969" t="s">
        <v>1069</v>
      </c>
      <c r="F468" s="970"/>
      <c r="G468" s="971"/>
      <c r="H468" s="161" t="s">
        <v>286</v>
      </c>
      <c r="I468" s="226">
        <f>+'Metraj Özeti'!I468</f>
        <v>0</v>
      </c>
      <c r="J468" s="226">
        <f>+'Metraj Özeti'!J468</f>
        <v>0</v>
      </c>
      <c r="K468" s="226">
        <f>+'Metraj Özeti'!K468</f>
        <v>0</v>
      </c>
    </row>
    <row r="469" spans="1:11" ht="19.95" hidden="1" customHeight="1" x14ac:dyDescent="0.3">
      <c r="A469" s="262">
        <v>10</v>
      </c>
      <c r="C469" s="161">
        <v>441</v>
      </c>
      <c r="D469" s="161" t="s">
        <v>1070</v>
      </c>
      <c r="E469" s="969" t="s">
        <v>1071</v>
      </c>
      <c r="F469" s="970"/>
      <c r="G469" s="971"/>
      <c r="H469" s="161" t="s">
        <v>286</v>
      </c>
      <c r="I469" s="226">
        <f>+'Metraj Özeti'!I469</f>
        <v>0</v>
      </c>
      <c r="J469" s="226">
        <f>+'Metraj Özeti'!J469</f>
        <v>0</v>
      </c>
      <c r="K469" s="226">
        <f>+'Metraj Özeti'!K469</f>
        <v>0</v>
      </c>
    </row>
    <row r="470" spans="1:11" ht="19.95" hidden="1" customHeight="1" x14ac:dyDescent="0.3">
      <c r="A470" s="262">
        <v>10</v>
      </c>
      <c r="C470" s="161">
        <v>442</v>
      </c>
      <c r="D470" s="161" t="s">
        <v>1072</v>
      </c>
      <c r="E470" s="969" t="s">
        <v>1073</v>
      </c>
      <c r="F470" s="970"/>
      <c r="G470" s="971"/>
      <c r="H470" s="161" t="s">
        <v>286</v>
      </c>
      <c r="I470" s="226">
        <f>+'Metraj Özeti'!I470</f>
        <v>0</v>
      </c>
      <c r="J470" s="226">
        <f>+'Metraj Özeti'!J470</f>
        <v>0</v>
      </c>
      <c r="K470" s="226">
        <f>+'Metraj Özeti'!K470</f>
        <v>0</v>
      </c>
    </row>
    <row r="471" spans="1:11" ht="19.95" hidden="1" customHeight="1" x14ac:dyDescent="0.3">
      <c r="A471" s="262">
        <v>10</v>
      </c>
      <c r="C471" s="161">
        <v>443</v>
      </c>
      <c r="D471" s="161" t="s">
        <v>1074</v>
      </c>
      <c r="E471" s="969" t="s">
        <v>1075</v>
      </c>
      <c r="F471" s="970"/>
      <c r="G471" s="971"/>
      <c r="H471" s="161" t="s">
        <v>286</v>
      </c>
      <c r="I471" s="226">
        <f>+'Metraj Özeti'!I471</f>
        <v>0</v>
      </c>
      <c r="J471" s="226">
        <f>+'Metraj Özeti'!J471</f>
        <v>0</v>
      </c>
      <c r="K471" s="226">
        <f>+'Metraj Özeti'!K471</f>
        <v>0</v>
      </c>
    </row>
    <row r="472" spans="1:11" ht="19.95" hidden="1" customHeight="1" x14ac:dyDescent="0.3">
      <c r="A472" s="262">
        <v>10</v>
      </c>
      <c r="C472" s="161">
        <v>444</v>
      </c>
      <c r="D472" s="161" t="s">
        <v>1076</v>
      </c>
      <c r="E472" s="969" t="s">
        <v>1077</v>
      </c>
      <c r="F472" s="970"/>
      <c r="G472" s="971"/>
      <c r="H472" s="161" t="s">
        <v>286</v>
      </c>
      <c r="I472" s="226">
        <f>+'Metraj Özeti'!I472</f>
        <v>0</v>
      </c>
      <c r="J472" s="226">
        <f>+'Metraj Özeti'!J472</f>
        <v>0</v>
      </c>
      <c r="K472" s="226">
        <f>+'Metraj Özeti'!K472</f>
        <v>0</v>
      </c>
    </row>
    <row r="473" spans="1:11" ht="19.95" hidden="1" customHeight="1" x14ac:dyDescent="0.3">
      <c r="A473" s="262">
        <v>10</v>
      </c>
      <c r="C473" s="161">
        <v>445</v>
      </c>
      <c r="D473" s="161" t="s">
        <v>1078</v>
      </c>
      <c r="E473" s="969" t="s">
        <v>1079</v>
      </c>
      <c r="F473" s="970"/>
      <c r="G473" s="971"/>
      <c r="H473" s="161" t="s">
        <v>286</v>
      </c>
      <c r="I473" s="226">
        <f>+'Metraj Özeti'!I473</f>
        <v>0</v>
      </c>
      <c r="J473" s="226">
        <f>+'Metraj Özeti'!J473</f>
        <v>0</v>
      </c>
      <c r="K473" s="226">
        <f>+'Metraj Özeti'!K473</f>
        <v>0</v>
      </c>
    </row>
    <row r="474" spans="1:11" ht="19.95" hidden="1" customHeight="1" x14ac:dyDescent="0.3">
      <c r="A474" s="262">
        <v>10</v>
      </c>
      <c r="C474" s="161">
        <v>446</v>
      </c>
      <c r="D474" s="161" t="s">
        <v>1080</v>
      </c>
      <c r="E474" s="969" t="s">
        <v>1081</v>
      </c>
      <c r="F474" s="970"/>
      <c r="G474" s="971"/>
      <c r="H474" s="161" t="s">
        <v>286</v>
      </c>
      <c r="I474" s="226">
        <f>+'Metraj Özeti'!I474</f>
        <v>0</v>
      </c>
      <c r="J474" s="226">
        <f>+'Metraj Özeti'!J474</f>
        <v>0</v>
      </c>
      <c r="K474" s="226">
        <f>+'Metraj Özeti'!K474</f>
        <v>0</v>
      </c>
    </row>
    <row r="475" spans="1:11" ht="19.95" hidden="1" customHeight="1" x14ac:dyDescent="0.3">
      <c r="A475" s="262">
        <v>10</v>
      </c>
      <c r="C475" s="161">
        <v>447</v>
      </c>
      <c r="D475" s="161" t="s">
        <v>1082</v>
      </c>
      <c r="E475" s="969" t="s">
        <v>1083</v>
      </c>
      <c r="F475" s="970"/>
      <c r="G475" s="971"/>
      <c r="H475" s="161" t="s">
        <v>286</v>
      </c>
      <c r="I475" s="226">
        <f>+'Metraj Özeti'!I475</f>
        <v>0</v>
      </c>
      <c r="J475" s="226">
        <f>+'Metraj Özeti'!J475</f>
        <v>0</v>
      </c>
      <c r="K475" s="226">
        <f>+'Metraj Özeti'!K475</f>
        <v>0</v>
      </c>
    </row>
    <row r="476" spans="1:11" ht="19.95" hidden="1" customHeight="1" x14ac:dyDescent="0.3">
      <c r="A476" s="262">
        <v>10</v>
      </c>
      <c r="C476" s="161">
        <v>448</v>
      </c>
      <c r="D476" s="161" t="s">
        <v>1084</v>
      </c>
      <c r="E476" s="969" t="s">
        <v>1085</v>
      </c>
      <c r="F476" s="970"/>
      <c r="G476" s="971"/>
      <c r="H476" s="161" t="s">
        <v>286</v>
      </c>
      <c r="I476" s="226">
        <f>+'Metraj Özeti'!I476</f>
        <v>0</v>
      </c>
      <c r="J476" s="226">
        <f>+'Metraj Özeti'!J476</f>
        <v>0</v>
      </c>
      <c r="K476" s="226">
        <f>+'Metraj Özeti'!K476</f>
        <v>0</v>
      </c>
    </row>
    <row r="477" spans="1:11" ht="19.95" hidden="1" customHeight="1" x14ac:dyDescent="0.3">
      <c r="A477" s="262">
        <v>10</v>
      </c>
      <c r="C477" s="161">
        <v>449</v>
      </c>
      <c r="D477" s="161" t="s">
        <v>1086</v>
      </c>
      <c r="E477" s="969" t="s">
        <v>1087</v>
      </c>
      <c r="F477" s="970"/>
      <c r="G477" s="971"/>
      <c r="H477" s="161" t="s">
        <v>286</v>
      </c>
      <c r="I477" s="226">
        <f>+'Metraj Özeti'!I477</f>
        <v>0</v>
      </c>
      <c r="J477" s="226">
        <f>+'Metraj Özeti'!J477</f>
        <v>0</v>
      </c>
      <c r="K477" s="226">
        <f>+'Metraj Özeti'!K477</f>
        <v>0</v>
      </c>
    </row>
    <row r="478" spans="1:11" ht="19.95" hidden="1" customHeight="1" x14ac:dyDescent="0.3">
      <c r="A478" s="262">
        <v>10</v>
      </c>
      <c r="C478" s="161">
        <v>450</v>
      </c>
      <c r="D478" s="161" t="s">
        <v>1088</v>
      </c>
      <c r="E478" s="969" t="s">
        <v>1089</v>
      </c>
      <c r="F478" s="970"/>
      <c r="G478" s="971"/>
      <c r="H478" s="161" t="s">
        <v>286</v>
      </c>
      <c r="I478" s="226">
        <f>+'Metraj Özeti'!I478</f>
        <v>0</v>
      </c>
      <c r="J478" s="226">
        <f>+'Metraj Özeti'!J478</f>
        <v>0</v>
      </c>
      <c r="K478" s="226">
        <f>+'Metraj Özeti'!K478</f>
        <v>0</v>
      </c>
    </row>
    <row r="479" spans="1:11" ht="19.95" hidden="1" customHeight="1" x14ac:dyDescent="0.3">
      <c r="A479" s="262">
        <v>10</v>
      </c>
      <c r="C479" s="161">
        <v>451</v>
      </c>
      <c r="D479" s="161" t="s">
        <v>1090</v>
      </c>
      <c r="E479" s="969" t="s">
        <v>1091</v>
      </c>
      <c r="F479" s="970"/>
      <c r="G479" s="971"/>
      <c r="H479" s="161" t="s">
        <v>286</v>
      </c>
      <c r="I479" s="226">
        <f>+'Metraj Özeti'!I479</f>
        <v>0</v>
      </c>
      <c r="J479" s="226">
        <f>+'Metraj Özeti'!J479</f>
        <v>0</v>
      </c>
      <c r="K479" s="226">
        <f>+'Metraj Özeti'!K479</f>
        <v>0</v>
      </c>
    </row>
    <row r="480" spans="1:11" ht="19.95" hidden="1" customHeight="1" x14ac:dyDescent="0.3">
      <c r="A480" s="262">
        <v>10</v>
      </c>
      <c r="C480" s="161">
        <v>452</v>
      </c>
      <c r="D480" s="161" t="s">
        <v>1092</v>
      </c>
      <c r="E480" s="969" t="s">
        <v>1093</v>
      </c>
      <c r="F480" s="970"/>
      <c r="G480" s="971"/>
      <c r="H480" s="161" t="s">
        <v>286</v>
      </c>
      <c r="I480" s="226">
        <f>+'Metraj Özeti'!I480</f>
        <v>0</v>
      </c>
      <c r="J480" s="226">
        <f>+'Metraj Özeti'!J480</f>
        <v>0</v>
      </c>
      <c r="K480" s="226">
        <f>+'Metraj Özeti'!K480</f>
        <v>0</v>
      </c>
    </row>
    <row r="481" spans="1:11" ht="19.95" hidden="1" customHeight="1" x14ac:dyDescent="0.3">
      <c r="A481" s="262">
        <v>10</v>
      </c>
      <c r="C481" s="161">
        <v>453</v>
      </c>
      <c r="D481" s="161" t="s">
        <v>1094</v>
      </c>
      <c r="E481" s="969" t="s">
        <v>1095</v>
      </c>
      <c r="F481" s="970"/>
      <c r="G481" s="971"/>
      <c r="H481" s="161" t="s">
        <v>286</v>
      </c>
      <c r="I481" s="226">
        <f>+'Metraj Özeti'!I481</f>
        <v>0</v>
      </c>
      <c r="J481" s="226">
        <f>+'Metraj Özeti'!J481</f>
        <v>0</v>
      </c>
      <c r="K481" s="226">
        <f>+'Metraj Özeti'!K481</f>
        <v>0</v>
      </c>
    </row>
    <row r="482" spans="1:11" ht="19.95" hidden="1" customHeight="1" x14ac:dyDescent="0.3">
      <c r="A482" s="262">
        <v>10</v>
      </c>
      <c r="C482" s="161">
        <v>454</v>
      </c>
      <c r="D482" s="161" t="s">
        <v>1096</v>
      </c>
      <c r="E482" s="969" t="s">
        <v>1097</v>
      </c>
      <c r="F482" s="970"/>
      <c r="G482" s="971"/>
      <c r="H482" s="161" t="s">
        <v>286</v>
      </c>
      <c r="I482" s="226">
        <f>+'Metraj Özeti'!I482</f>
        <v>0</v>
      </c>
      <c r="J482" s="226">
        <f>+'Metraj Özeti'!J482</f>
        <v>0</v>
      </c>
      <c r="K482" s="226">
        <f>+'Metraj Özeti'!K482</f>
        <v>0</v>
      </c>
    </row>
    <row r="483" spans="1:11" ht="19.95" hidden="1" customHeight="1" x14ac:dyDescent="0.3">
      <c r="A483" s="262">
        <v>10</v>
      </c>
      <c r="C483" s="161">
        <v>455</v>
      </c>
      <c r="D483" s="161" t="s">
        <v>1098</v>
      </c>
      <c r="E483" s="969" t="s">
        <v>1099</v>
      </c>
      <c r="F483" s="970"/>
      <c r="G483" s="971"/>
      <c r="H483" s="161" t="s">
        <v>286</v>
      </c>
      <c r="I483" s="226">
        <f>+'Metraj Özeti'!I483</f>
        <v>0</v>
      </c>
      <c r="J483" s="226">
        <f>+'Metraj Özeti'!J483</f>
        <v>0</v>
      </c>
      <c r="K483" s="226">
        <f>+'Metraj Özeti'!K483</f>
        <v>0</v>
      </c>
    </row>
    <row r="484" spans="1:11" ht="19.95" hidden="1" customHeight="1" x14ac:dyDescent="0.3">
      <c r="A484" s="262">
        <v>10</v>
      </c>
      <c r="C484" s="161">
        <v>456</v>
      </c>
      <c r="D484" s="161" t="s">
        <v>1100</v>
      </c>
      <c r="E484" s="969" t="s">
        <v>1101</v>
      </c>
      <c r="F484" s="970"/>
      <c r="G484" s="971"/>
      <c r="H484" s="161" t="s">
        <v>202</v>
      </c>
      <c r="I484" s="226">
        <f>+'Metraj Özeti'!I484</f>
        <v>0</v>
      </c>
      <c r="J484" s="226">
        <f>+'Metraj Özeti'!J484</f>
        <v>0</v>
      </c>
      <c r="K484" s="226">
        <f>+'Metraj Özeti'!K484</f>
        <v>0</v>
      </c>
    </row>
    <row r="485" spans="1:11" ht="19.95" hidden="1" customHeight="1" x14ac:dyDescent="0.3">
      <c r="A485" s="262">
        <v>10</v>
      </c>
      <c r="C485" s="161">
        <v>457</v>
      </c>
      <c r="D485" s="161" t="s">
        <v>1102</v>
      </c>
      <c r="E485" s="969" t="s">
        <v>1103</v>
      </c>
      <c r="F485" s="970"/>
      <c r="G485" s="971"/>
      <c r="H485" s="161" t="s">
        <v>202</v>
      </c>
      <c r="I485" s="226">
        <f>+'Metraj Özeti'!I485</f>
        <v>0</v>
      </c>
      <c r="J485" s="226">
        <f>+'Metraj Özeti'!J485</f>
        <v>0</v>
      </c>
      <c r="K485" s="226">
        <f>+'Metraj Özeti'!K485</f>
        <v>0</v>
      </c>
    </row>
    <row r="486" spans="1:11" ht="19.95" hidden="1" customHeight="1" x14ac:dyDescent="0.3">
      <c r="A486" s="262">
        <v>10</v>
      </c>
      <c r="C486" s="161">
        <v>458</v>
      </c>
      <c r="D486" s="161" t="s">
        <v>1104</v>
      </c>
      <c r="E486" s="969" t="s">
        <v>1105</v>
      </c>
      <c r="F486" s="970"/>
      <c r="G486" s="971"/>
      <c r="H486" s="161" t="s">
        <v>202</v>
      </c>
      <c r="I486" s="226">
        <f>+'Metraj Özeti'!I486</f>
        <v>0</v>
      </c>
      <c r="J486" s="226">
        <f>+'Metraj Özeti'!J486</f>
        <v>0</v>
      </c>
      <c r="K486" s="226">
        <f>+'Metraj Özeti'!K486</f>
        <v>0</v>
      </c>
    </row>
    <row r="487" spans="1:11" ht="19.95" hidden="1" customHeight="1" x14ac:dyDescent="0.3">
      <c r="A487" s="262">
        <v>10</v>
      </c>
      <c r="C487" s="161">
        <v>459</v>
      </c>
      <c r="D487" s="161" t="s">
        <v>1106</v>
      </c>
      <c r="E487" s="969" t="s">
        <v>1107</v>
      </c>
      <c r="F487" s="970"/>
      <c r="G487" s="971"/>
      <c r="H487" s="161" t="s">
        <v>202</v>
      </c>
      <c r="I487" s="226">
        <f>+'Metraj Özeti'!I487</f>
        <v>0</v>
      </c>
      <c r="J487" s="226">
        <f>+'Metraj Özeti'!J487</f>
        <v>0</v>
      </c>
      <c r="K487" s="226">
        <f>+'Metraj Özeti'!K487</f>
        <v>0</v>
      </c>
    </row>
    <row r="488" spans="1:11" ht="19.95" hidden="1" customHeight="1" x14ac:dyDescent="0.3">
      <c r="A488" s="262">
        <v>10</v>
      </c>
      <c r="C488" s="161">
        <v>460</v>
      </c>
      <c r="D488" s="161" t="s">
        <v>1108</v>
      </c>
      <c r="E488" s="969" t="s">
        <v>1109</v>
      </c>
      <c r="F488" s="970"/>
      <c r="G488" s="971"/>
      <c r="H488" s="161" t="s">
        <v>202</v>
      </c>
      <c r="I488" s="226">
        <f>+'Metraj Özeti'!I488</f>
        <v>0</v>
      </c>
      <c r="J488" s="226">
        <f>+'Metraj Özeti'!J488</f>
        <v>0</v>
      </c>
      <c r="K488" s="226">
        <f>+'Metraj Özeti'!K488</f>
        <v>0</v>
      </c>
    </row>
    <row r="489" spans="1:11" ht="19.95" hidden="1" customHeight="1" x14ac:dyDescent="0.3">
      <c r="A489" s="262">
        <v>10</v>
      </c>
      <c r="C489" s="161">
        <v>461</v>
      </c>
      <c r="D489" s="161" t="s">
        <v>1110</v>
      </c>
      <c r="E489" s="969" t="s">
        <v>1111</v>
      </c>
      <c r="F489" s="970"/>
      <c r="G489" s="971"/>
      <c r="H489" s="161" t="s">
        <v>202</v>
      </c>
      <c r="I489" s="226">
        <f>+'Metraj Özeti'!I489</f>
        <v>0</v>
      </c>
      <c r="J489" s="226">
        <f>+'Metraj Özeti'!J489</f>
        <v>0</v>
      </c>
      <c r="K489" s="226">
        <f>+'Metraj Özeti'!K489</f>
        <v>0</v>
      </c>
    </row>
    <row r="490" spans="1:11" ht="19.95" hidden="1" customHeight="1" x14ac:dyDescent="0.3">
      <c r="A490" s="262">
        <v>10</v>
      </c>
      <c r="C490" s="161">
        <v>462</v>
      </c>
      <c r="D490" s="161" t="s">
        <v>1112</v>
      </c>
      <c r="E490" s="969" t="s">
        <v>1113</v>
      </c>
      <c r="F490" s="970"/>
      <c r="G490" s="971"/>
      <c r="H490" s="161" t="s">
        <v>202</v>
      </c>
      <c r="I490" s="226">
        <f>+'Metraj Özeti'!I490</f>
        <v>0</v>
      </c>
      <c r="J490" s="226">
        <f>+'Metraj Özeti'!J490</f>
        <v>0</v>
      </c>
      <c r="K490" s="226">
        <f>+'Metraj Özeti'!K490</f>
        <v>0</v>
      </c>
    </row>
    <row r="491" spans="1:11" ht="19.95" hidden="1" customHeight="1" x14ac:dyDescent="0.3">
      <c r="A491" s="262">
        <v>10</v>
      </c>
      <c r="C491" s="161">
        <v>463</v>
      </c>
      <c r="D491" s="161" t="s">
        <v>1114</v>
      </c>
      <c r="E491" s="969" t="s">
        <v>1115</v>
      </c>
      <c r="F491" s="970"/>
      <c r="G491" s="971"/>
      <c r="H491" s="161" t="s">
        <v>202</v>
      </c>
      <c r="I491" s="226">
        <f>+'Metraj Özeti'!I491</f>
        <v>0</v>
      </c>
      <c r="J491" s="226">
        <f>+'Metraj Özeti'!J491</f>
        <v>0</v>
      </c>
      <c r="K491" s="226">
        <f>+'Metraj Özeti'!K491</f>
        <v>0</v>
      </c>
    </row>
    <row r="492" spans="1:11" ht="19.95" hidden="1" customHeight="1" x14ac:dyDescent="0.3">
      <c r="A492" s="262">
        <v>10</v>
      </c>
      <c r="C492" s="161">
        <v>464</v>
      </c>
      <c r="D492" s="161" t="s">
        <v>1116</v>
      </c>
      <c r="E492" s="969" t="s">
        <v>1117</v>
      </c>
      <c r="F492" s="970"/>
      <c r="G492" s="971"/>
      <c r="H492" s="161" t="s">
        <v>202</v>
      </c>
      <c r="I492" s="226">
        <f>+'Metraj Özeti'!I492</f>
        <v>0</v>
      </c>
      <c r="J492" s="226">
        <f>+'Metraj Özeti'!J492</f>
        <v>0</v>
      </c>
      <c r="K492" s="226">
        <f>+'Metraj Özeti'!K492</f>
        <v>0</v>
      </c>
    </row>
    <row r="493" spans="1:11" ht="19.95" hidden="1" customHeight="1" x14ac:dyDescent="0.3">
      <c r="A493" s="262">
        <v>10</v>
      </c>
      <c r="C493" s="161">
        <v>465</v>
      </c>
      <c r="D493" s="161" t="s">
        <v>1118</v>
      </c>
      <c r="E493" s="969" t="s">
        <v>1119</v>
      </c>
      <c r="F493" s="970"/>
      <c r="G493" s="971"/>
      <c r="H493" s="161" t="s">
        <v>202</v>
      </c>
      <c r="I493" s="226">
        <f>+'Metraj Özeti'!I493</f>
        <v>0</v>
      </c>
      <c r="J493" s="226">
        <f>+'Metraj Özeti'!J493</f>
        <v>0</v>
      </c>
      <c r="K493" s="226">
        <f>+'Metraj Özeti'!K493</f>
        <v>0</v>
      </c>
    </row>
    <row r="494" spans="1:11" ht="19.95" hidden="1" customHeight="1" x14ac:dyDescent="0.3">
      <c r="A494" s="262">
        <v>10</v>
      </c>
      <c r="C494" s="161">
        <v>466</v>
      </c>
      <c r="D494" s="161" t="s">
        <v>1120</v>
      </c>
      <c r="E494" s="969" t="s">
        <v>1121</v>
      </c>
      <c r="F494" s="970"/>
      <c r="G494" s="971"/>
      <c r="H494" s="161" t="s">
        <v>286</v>
      </c>
      <c r="I494" s="226">
        <f>+'Metraj Özeti'!I494</f>
        <v>0</v>
      </c>
      <c r="J494" s="226">
        <f>+'Metraj Özeti'!J494</f>
        <v>0</v>
      </c>
      <c r="K494" s="226">
        <f>+'Metraj Özeti'!K494</f>
        <v>0</v>
      </c>
    </row>
    <row r="495" spans="1:11" ht="19.95" hidden="1" customHeight="1" x14ac:dyDescent="0.3">
      <c r="A495" s="262">
        <v>10</v>
      </c>
      <c r="C495" s="161">
        <v>467</v>
      </c>
      <c r="D495" s="161" t="s">
        <v>1122</v>
      </c>
      <c r="E495" s="969" t="s">
        <v>1123</v>
      </c>
      <c r="F495" s="970"/>
      <c r="G495" s="971"/>
      <c r="H495" s="161" t="s">
        <v>286</v>
      </c>
      <c r="I495" s="226">
        <f>+'Metraj Özeti'!I495</f>
        <v>0</v>
      </c>
      <c r="J495" s="226">
        <f>+'Metraj Özeti'!J495</f>
        <v>0</v>
      </c>
      <c r="K495" s="226">
        <f>+'Metraj Özeti'!K495</f>
        <v>0</v>
      </c>
    </row>
    <row r="496" spans="1:11" ht="19.95" hidden="1" customHeight="1" x14ac:dyDescent="0.3">
      <c r="A496" s="262">
        <v>10</v>
      </c>
      <c r="C496" s="161">
        <v>468</v>
      </c>
      <c r="D496" s="161" t="s">
        <v>1124</v>
      </c>
      <c r="E496" s="969" t="s">
        <v>1125</v>
      </c>
      <c r="F496" s="970"/>
      <c r="G496" s="971"/>
      <c r="H496" s="161" t="s">
        <v>286</v>
      </c>
      <c r="I496" s="226">
        <f>+'Metraj Özeti'!I496</f>
        <v>0</v>
      </c>
      <c r="J496" s="226">
        <f>+'Metraj Özeti'!J496</f>
        <v>0</v>
      </c>
      <c r="K496" s="226">
        <f>+'Metraj Özeti'!K496</f>
        <v>0</v>
      </c>
    </row>
    <row r="497" spans="1:13" ht="19.95" hidden="1" customHeight="1" x14ac:dyDescent="0.3">
      <c r="A497" s="262">
        <v>10</v>
      </c>
      <c r="C497" s="161">
        <v>469</v>
      </c>
      <c r="D497" s="161" t="s">
        <v>1126</v>
      </c>
      <c r="E497" s="969" t="s">
        <v>1127</v>
      </c>
      <c r="F497" s="970"/>
      <c r="G497" s="971"/>
      <c r="H497" s="161" t="s">
        <v>286</v>
      </c>
      <c r="I497" s="226">
        <f>+'Metraj Özeti'!I497</f>
        <v>0</v>
      </c>
      <c r="J497" s="226">
        <f>+'Metraj Özeti'!J497</f>
        <v>0</v>
      </c>
      <c r="K497" s="226">
        <f>+'Metraj Özeti'!K497</f>
        <v>0</v>
      </c>
    </row>
    <row r="498" spans="1:13" ht="19.95" hidden="1" customHeight="1" x14ac:dyDescent="0.3">
      <c r="A498" s="262">
        <v>10</v>
      </c>
      <c r="C498" s="161">
        <v>470</v>
      </c>
      <c r="D498" s="161" t="s">
        <v>1128</v>
      </c>
      <c r="E498" s="969" t="s">
        <v>1129</v>
      </c>
      <c r="F498" s="970"/>
      <c r="G498" s="971"/>
      <c r="H498" s="161" t="s">
        <v>286</v>
      </c>
      <c r="I498" s="226">
        <f>+'Metraj Özeti'!I498</f>
        <v>0</v>
      </c>
      <c r="J498" s="226">
        <f>+'Metraj Özeti'!J498</f>
        <v>0</v>
      </c>
      <c r="K498" s="226">
        <f>+'Metraj Özeti'!K498</f>
        <v>0</v>
      </c>
    </row>
    <row r="499" spans="1:13" ht="19.95" hidden="1" customHeight="1" x14ac:dyDescent="0.3">
      <c r="A499" s="262">
        <v>10</v>
      </c>
      <c r="C499" s="161">
        <v>471</v>
      </c>
      <c r="D499" s="161" t="s">
        <v>1130</v>
      </c>
      <c r="E499" s="969" t="s">
        <v>1131</v>
      </c>
      <c r="F499" s="970"/>
      <c r="G499" s="971"/>
      <c r="H499" s="161" t="s">
        <v>286</v>
      </c>
      <c r="I499" s="226">
        <f>+'Metraj Özeti'!I499</f>
        <v>0</v>
      </c>
      <c r="J499" s="226">
        <f>+'Metraj Özeti'!J499</f>
        <v>0</v>
      </c>
      <c r="K499" s="226">
        <f>+'Metraj Özeti'!K499</f>
        <v>0</v>
      </c>
    </row>
    <row r="500" spans="1:13" ht="19.95" hidden="1" customHeight="1" x14ac:dyDescent="0.3">
      <c r="A500" s="262">
        <v>10</v>
      </c>
      <c r="C500" s="161">
        <v>472</v>
      </c>
      <c r="D500" s="161" t="s">
        <v>1132</v>
      </c>
      <c r="E500" s="969" t="s">
        <v>1133</v>
      </c>
      <c r="F500" s="970"/>
      <c r="G500" s="971"/>
      <c r="H500" s="161" t="s">
        <v>286</v>
      </c>
      <c r="I500" s="226">
        <f>+'Metraj Özeti'!I500</f>
        <v>0</v>
      </c>
      <c r="J500" s="226">
        <f>+'Metraj Özeti'!J500</f>
        <v>0</v>
      </c>
      <c r="K500" s="226">
        <f>+'Metraj Özeti'!K500</f>
        <v>0</v>
      </c>
    </row>
    <row r="501" spans="1:13" ht="19.95" hidden="1" customHeight="1" x14ac:dyDescent="0.3">
      <c r="A501" s="262">
        <v>10</v>
      </c>
      <c r="C501" s="161">
        <v>473</v>
      </c>
      <c r="D501" s="161" t="s">
        <v>1134</v>
      </c>
      <c r="E501" s="969" t="s">
        <v>1135</v>
      </c>
      <c r="F501" s="970"/>
      <c r="G501" s="971"/>
      <c r="H501" s="161" t="s">
        <v>286</v>
      </c>
      <c r="I501" s="226">
        <f>+'Metraj Özeti'!I501</f>
        <v>0</v>
      </c>
      <c r="J501" s="226">
        <f>+'Metraj Özeti'!J501</f>
        <v>0</v>
      </c>
      <c r="K501" s="226">
        <f>+'Metraj Özeti'!K501</f>
        <v>0</v>
      </c>
    </row>
    <row r="502" spans="1:13" ht="19.95" hidden="1" customHeight="1" x14ac:dyDescent="0.3">
      <c r="A502" s="262">
        <v>10</v>
      </c>
      <c r="C502" s="161">
        <v>474</v>
      </c>
      <c r="D502" s="161" t="s">
        <v>1136</v>
      </c>
      <c r="E502" s="969" t="s">
        <v>1137</v>
      </c>
      <c r="F502" s="970"/>
      <c r="G502" s="971"/>
      <c r="H502" s="161" t="s">
        <v>286</v>
      </c>
      <c r="I502" s="226">
        <f>+'Metraj Özeti'!I502</f>
        <v>0</v>
      </c>
      <c r="J502" s="226">
        <f>+'Metraj Özeti'!J502</f>
        <v>0</v>
      </c>
      <c r="K502" s="226">
        <f>+'Metraj Özeti'!K502</f>
        <v>0</v>
      </c>
    </row>
    <row r="503" spans="1:13" ht="19.95" hidden="1" customHeight="1" x14ac:dyDescent="0.3">
      <c r="A503" s="262">
        <v>10</v>
      </c>
      <c r="C503" s="161">
        <v>475</v>
      </c>
      <c r="D503" s="161" t="s">
        <v>1138</v>
      </c>
      <c r="E503" s="969" t="s">
        <v>1139</v>
      </c>
      <c r="F503" s="970"/>
      <c r="G503" s="971"/>
      <c r="H503" s="161" t="s">
        <v>286</v>
      </c>
      <c r="I503" s="226">
        <f>+'Metraj Özeti'!I503</f>
        <v>0</v>
      </c>
      <c r="J503" s="226">
        <f>+'Metraj Özeti'!J503</f>
        <v>0</v>
      </c>
      <c r="K503" s="226">
        <f>+'Metraj Özeti'!K503</f>
        <v>0</v>
      </c>
    </row>
    <row r="504" spans="1:13" ht="19.95" hidden="1" customHeight="1" x14ac:dyDescent="0.3">
      <c r="A504" s="262">
        <v>10</v>
      </c>
      <c r="C504" s="161">
        <v>476</v>
      </c>
      <c r="D504" s="161" t="s">
        <v>1140</v>
      </c>
      <c r="E504" s="969" t="s">
        <v>1141</v>
      </c>
      <c r="F504" s="970"/>
      <c r="G504" s="971"/>
      <c r="H504" s="161" t="s">
        <v>286</v>
      </c>
      <c r="I504" s="226">
        <f>+'Metraj Özeti'!I504</f>
        <v>0</v>
      </c>
      <c r="J504" s="226">
        <f>+'Metraj Özeti'!J504</f>
        <v>0</v>
      </c>
      <c r="K504" s="226">
        <f>+'Metraj Özeti'!K504</f>
        <v>0</v>
      </c>
    </row>
    <row r="505" spans="1:13" ht="19.95" hidden="1" customHeight="1" x14ac:dyDescent="0.3">
      <c r="A505" s="262">
        <v>10</v>
      </c>
      <c r="C505" s="161">
        <v>477</v>
      </c>
      <c r="D505" s="161" t="s">
        <v>1142</v>
      </c>
      <c r="E505" s="969" t="s">
        <v>1143</v>
      </c>
      <c r="F505" s="970"/>
      <c r="G505" s="971"/>
      <c r="H505" s="161" t="s">
        <v>286</v>
      </c>
      <c r="I505" s="226">
        <f>+'Metraj Özeti'!I505</f>
        <v>0</v>
      </c>
      <c r="J505" s="226">
        <f>+'Metraj Özeti'!J505</f>
        <v>0</v>
      </c>
      <c r="K505" s="226">
        <f>+'Metraj Özeti'!K505</f>
        <v>0</v>
      </c>
    </row>
    <row r="506" spans="1:13" ht="19.95" hidden="1" customHeight="1" x14ac:dyDescent="0.3">
      <c r="A506" s="262">
        <v>10</v>
      </c>
      <c r="C506" s="161">
        <v>478</v>
      </c>
      <c r="D506" s="161" t="s">
        <v>1144</v>
      </c>
      <c r="E506" s="969" t="s">
        <v>1145</v>
      </c>
      <c r="F506" s="970"/>
      <c r="G506" s="971"/>
      <c r="H506" s="161" t="s">
        <v>286</v>
      </c>
      <c r="I506" s="226">
        <f>+'Metraj Özeti'!I506</f>
        <v>0</v>
      </c>
      <c r="J506" s="226">
        <f>+'Metraj Özeti'!J506</f>
        <v>0</v>
      </c>
      <c r="K506" s="226">
        <f>+'Metraj Özeti'!K506</f>
        <v>0</v>
      </c>
    </row>
    <row r="507" spans="1:13" ht="19.95" hidden="1" customHeight="1" x14ac:dyDescent="0.3">
      <c r="A507" s="262">
        <v>10</v>
      </c>
      <c r="C507" s="161">
        <v>479</v>
      </c>
      <c r="D507" s="161" t="s">
        <v>1146</v>
      </c>
      <c r="E507" s="969" t="s">
        <v>1147</v>
      </c>
      <c r="F507" s="970"/>
      <c r="G507" s="971"/>
      <c r="H507" s="161" t="s">
        <v>286</v>
      </c>
      <c r="I507" s="226">
        <f>+'Metraj Özeti'!I507</f>
        <v>0</v>
      </c>
      <c r="J507" s="226">
        <f>+'Metraj Özeti'!J507</f>
        <v>0</v>
      </c>
      <c r="K507" s="226">
        <f>+'Metraj Özeti'!K507</f>
        <v>0</v>
      </c>
    </row>
    <row r="508" spans="1:13" customFormat="1" ht="19.95" hidden="1" customHeight="1" x14ac:dyDescent="0.3">
      <c r="A508" s="262">
        <v>10</v>
      </c>
      <c r="B508" s="11"/>
      <c r="C508" s="658">
        <v>480</v>
      </c>
      <c r="D508" s="658" t="s">
        <v>1148</v>
      </c>
      <c r="E508" s="1335" t="s">
        <v>1152</v>
      </c>
      <c r="F508" s="1336"/>
      <c r="G508" s="1337"/>
      <c r="H508" s="658" t="s">
        <v>286</v>
      </c>
      <c r="I508" s="226">
        <f>+'Metraj Özeti'!I508</f>
        <v>0</v>
      </c>
      <c r="J508" s="226">
        <f>+'Metraj Özeti'!J508</f>
        <v>0</v>
      </c>
      <c r="K508" s="226">
        <f>+'Metraj Özeti'!K508</f>
        <v>0</v>
      </c>
      <c r="L508" s="11"/>
      <c r="M508" s="11"/>
    </row>
    <row r="509" spans="1:13" s="799" customFormat="1" ht="25.05" customHeight="1" x14ac:dyDescent="0.35">
      <c r="A509" s="792" t="s">
        <v>1240</v>
      </c>
      <c r="B509" s="793"/>
      <c r="C509" s="839"/>
      <c r="D509" s="869" t="s">
        <v>1238</v>
      </c>
      <c r="E509" s="841"/>
      <c r="F509" s="841"/>
      <c r="G509" s="841"/>
      <c r="H509" s="841"/>
      <c r="I509" s="871"/>
      <c r="J509" s="842"/>
      <c r="K509" s="893"/>
      <c r="L509" s="793"/>
      <c r="M509" s="793"/>
    </row>
    <row r="510" spans="1:13" customFormat="1" ht="19.95" hidden="1" customHeight="1" x14ac:dyDescent="0.3">
      <c r="A510" s="262">
        <v>11</v>
      </c>
      <c r="B510" s="11"/>
      <c r="C510" s="161">
        <v>481</v>
      </c>
      <c r="D510" s="694" t="s">
        <v>1149</v>
      </c>
      <c r="E510" s="1338" t="s">
        <v>138</v>
      </c>
      <c r="F510" s="1086"/>
      <c r="G510" s="1339"/>
      <c r="H510" s="25" t="s">
        <v>247</v>
      </c>
      <c r="I510" s="695">
        <f>+'Metraj Özeti'!I510</f>
        <v>0</v>
      </c>
      <c r="J510" s="695">
        <f>+'Metraj Özeti'!J510</f>
        <v>0</v>
      </c>
      <c r="K510" s="695">
        <f>+'Metraj Özeti'!K510</f>
        <v>0</v>
      </c>
      <c r="L510" s="11"/>
      <c r="M510" s="11"/>
    </row>
    <row r="511" spans="1:13" s="799" customFormat="1" ht="25.05" customHeight="1" x14ac:dyDescent="0.35">
      <c r="A511" s="792" t="s">
        <v>1240</v>
      </c>
      <c r="B511" s="793"/>
      <c r="C511" s="839"/>
      <c r="D511" s="895" t="s">
        <v>1239</v>
      </c>
      <c r="E511" s="841"/>
      <c r="F511" s="841"/>
      <c r="G511" s="841"/>
      <c r="H511" s="841"/>
      <c r="I511" s="871"/>
      <c r="J511" s="842"/>
      <c r="K511" s="893"/>
      <c r="L511" s="793"/>
      <c r="M511" s="793"/>
    </row>
    <row r="512" spans="1:13" customFormat="1" ht="19.95" hidden="1" customHeight="1" x14ac:dyDescent="0.3">
      <c r="A512" s="262">
        <v>12</v>
      </c>
      <c r="B512" s="11"/>
      <c r="C512" s="23">
        <v>482</v>
      </c>
      <c r="D512" s="696" t="s">
        <v>1150</v>
      </c>
      <c r="E512" s="1332" t="s">
        <v>1151</v>
      </c>
      <c r="F512" s="1333"/>
      <c r="G512" s="1334"/>
      <c r="H512" s="697" t="s">
        <v>247</v>
      </c>
      <c r="I512" s="695">
        <f>+'Metraj Özeti'!I512</f>
        <v>0</v>
      </c>
      <c r="J512" s="695">
        <f>+'Metraj Özeti'!J512</f>
        <v>0</v>
      </c>
      <c r="K512" s="695">
        <f>+'Metraj Özeti'!K512</f>
        <v>0</v>
      </c>
      <c r="L512" s="11"/>
      <c r="M512" s="11"/>
    </row>
    <row r="515" spans="3:18" ht="18.600000000000001" customHeight="1" x14ac:dyDescent="0.3">
      <c r="C515" s="1340" t="s">
        <v>33</v>
      </c>
      <c r="D515" s="1340"/>
      <c r="E515" s="1340"/>
      <c r="F515" s="880"/>
      <c r="G515" s="879" t="s">
        <v>29</v>
      </c>
      <c r="H515" s="880"/>
      <c r="I515" s="1340" t="s">
        <v>22</v>
      </c>
      <c r="J515" s="1340"/>
      <c r="K515" s="1340"/>
      <c r="L515" s="880"/>
      <c r="M515" s="880"/>
      <c r="N515" s="880"/>
      <c r="O515" s="880"/>
      <c r="P515" s="880"/>
      <c r="Q515" s="880"/>
      <c r="R515" s="880"/>
    </row>
    <row r="516" spans="3:18" ht="18.600000000000001" customHeight="1" x14ac:dyDescent="0.3">
      <c r="C516" s="883" t="s">
        <v>1214</v>
      </c>
      <c r="D516" s="883"/>
      <c r="E516" s="883"/>
      <c r="F516" s="883"/>
      <c r="G516" s="881" t="s">
        <v>38</v>
      </c>
      <c r="H516" s="883"/>
      <c r="I516" s="1325" t="s">
        <v>1465</v>
      </c>
      <c r="J516" s="1325"/>
      <c r="K516" s="1325"/>
      <c r="L516" s="882"/>
      <c r="M516" s="882"/>
      <c r="N516" s="882"/>
      <c r="O516" s="882"/>
      <c r="P516" s="882"/>
      <c r="Q516" s="882"/>
      <c r="R516" s="882"/>
    </row>
    <row r="517" spans="3:18" ht="18.600000000000001" customHeight="1" x14ac:dyDescent="0.3">
      <c r="C517" s="875"/>
      <c r="D517" s="875"/>
      <c r="E517" s="821"/>
      <c r="F517" s="821"/>
      <c r="G517" s="821"/>
      <c r="H517" s="882"/>
      <c r="I517" s="1325"/>
      <c r="J517" s="1325"/>
      <c r="K517" s="1325"/>
      <c r="L517" s="882"/>
      <c r="M517" s="882"/>
      <c r="N517" s="882"/>
      <c r="O517" s="882"/>
      <c r="P517" s="882"/>
      <c r="Q517" s="882"/>
      <c r="R517" s="882"/>
    </row>
    <row r="518" spans="3:18" ht="15" customHeight="1" x14ac:dyDescent="0.3">
      <c r="C518" s="875"/>
      <c r="D518" s="875"/>
      <c r="E518" s="821"/>
      <c r="F518" s="821"/>
      <c r="G518" s="821"/>
      <c r="H518" s="821"/>
      <c r="I518" s="1325"/>
      <c r="J518" s="1325"/>
      <c r="K518" s="1325"/>
      <c r="L518" s="886"/>
      <c r="M518" s="821"/>
      <c r="N518" s="886"/>
      <c r="O518" s="886"/>
      <c r="P518" s="886"/>
      <c r="Q518" s="821"/>
      <c r="R518" s="821"/>
    </row>
    <row r="519" spans="3:18" ht="15" customHeight="1" x14ac:dyDescent="0.3">
      <c r="C519" s="875"/>
      <c r="D519" s="875"/>
      <c r="E519" s="821"/>
      <c r="F519" s="821"/>
      <c r="G519" s="821"/>
      <c r="H519" s="882"/>
      <c r="I519" s="1325"/>
      <c r="J519" s="1325"/>
      <c r="K519" s="1325"/>
      <c r="L519" s="821"/>
      <c r="M519" s="886"/>
      <c r="N519" s="1077"/>
      <c r="O519" s="1077"/>
      <c r="P519" s="886"/>
      <c r="Q519" s="1077"/>
      <c r="R519" s="1077"/>
    </row>
    <row r="520" spans="3:18" ht="15" customHeight="1" x14ac:dyDescent="0.3">
      <c r="C520" s="875"/>
      <c r="D520" s="875"/>
      <c r="E520" s="821"/>
      <c r="F520" s="881" t="s">
        <v>32</v>
      </c>
      <c r="G520" s="881" t="s">
        <v>1407</v>
      </c>
      <c r="H520" s="883"/>
      <c r="I520" s="886"/>
      <c r="J520" s="1368"/>
      <c r="K520" s="1368"/>
      <c r="L520" s="1368"/>
      <c r="M520" s="886"/>
      <c r="N520" s="1369"/>
      <c r="O520" s="1369"/>
      <c r="P520" s="886"/>
      <c r="Q520" s="1369"/>
      <c r="R520" s="1369"/>
    </row>
    <row r="521" spans="3:18" ht="15" customHeight="1" x14ac:dyDescent="0.3">
      <c r="C521" s="875"/>
      <c r="D521" s="875"/>
      <c r="E521" s="821"/>
      <c r="F521" s="1331" t="s">
        <v>94</v>
      </c>
      <c r="G521" s="1331" t="s">
        <v>94</v>
      </c>
      <c r="H521" s="882"/>
      <c r="I521" s="821"/>
      <c r="J521" s="1368"/>
      <c r="K521" s="1368"/>
      <c r="L521" s="1368"/>
      <c r="M521" s="821"/>
      <c r="N521" s="1369"/>
      <c r="O521" s="1369"/>
      <c r="P521" s="886"/>
      <c r="Q521" s="1369"/>
      <c r="R521" s="1369"/>
    </row>
    <row r="522" spans="3:18" ht="15" customHeight="1" x14ac:dyDescent="0.3">
      <c r="C522" s="875"/>
      <c r="D522" s="875"/>
      <c r="E522" s="821"/>
      <c r="F522" s="1331"/>
      <c r="G522" s="1331"/>
      <c r="H522" s="882"/>
      <c r="I522" s="821"/>
      <c r="J522" s="886"/>
      <c r="K522" s="888"/>
      <c r="L522" s="888"/>
      <c r="M522" s="821"/>
      <c r="N522" s="821"/>
      <c r="O522" s="886"/>
      <c r="P522" s="886"/>
      <c r="Q522" s="886"/>
      <c r="R522" s="886"/>
    </row>
    <row r="523" spans="3:18" ht="15" customHeight="1" x14ac:dyDescent="0.45">
      <c r="C523" s="875"/>
      <c r="D523" s="875"/>
      <c r="E523" s="821"/>
      <c r="F523" s="1331"/>
      <c r="G523" s="1331"/>
      <c r="H523" s="882"/>
      <c r="I523" s="821"/>
      <c r="J523" s="889"/>
      <c r="K523" s="1077"/>
      <c r="L523" s="1077"/>
      <c r="M523" s="821"/>
      <c r="N523" s="1077"/>
      <c r="O523" s="1077"/>
      <c r="P523" s="886"/>
      <c r="Q523" s="1077"/>
      <c r="R523" s="1077"/>
    </row>
    <row r="524" spans="3:18" ht="15" customHeight="1" x14ac:dyDescent="0.3">
      <c r="C524" s="875"/>
      <c r="D524" s="875"/>
      <c r="E524" s="821"/>
      <c r="F524" s="1331"/>
      <c r="G524" s="1331"/>
      <c r="H524" s="882"/>
      <c r="I524" s="821"/>
      <c r="J524" s="821"/>
      <c r="K524" s="1077"/>
      <c r="L524" s="1077"/>
      <c r="M524" s="821"/>
      <c r="N524" s="1077"/>
      <c r="O524" s="1077"/>
      <c r="P524" s="886"/>
      <c r="Q524" s="1369"/>
      <c r="R524" s="1369"/>
    </row>
    <row r="525" spans="3:18" ht="15" customHeight="1" x14ac:dyDescent="0.3">
      <c r="C525" s="875"/>
      <c r="D525" s="875"/>
      <c r="E525" s="821"/>
      <c r="F525" s="882"/>
      <c r="G525" s="882"/>
      <c r="H525" s="882"/>
      <c r="I525" s="1368"/>
      <c r="J525" s="887"/>
      <c r="K525" s="1368"/>
      <c r="L525" s="1368"/>
      <c r="M525" s="886"/>
      <c r="N525" s="1077"/>
      <c r="O525" s="1077"/>
      <c r="P525" s="886"/>
      <c r="Q525" s="1369"/>
      <c r="R525" s="1369"/>
    </row>
    <row r="526" spans="3:18" ht="15" customHeight="1" x14ac:dyDescent="0.3">
      <c r="C526" s="875"/>
      <c r="D526" s="875"/>
      <c r="E526" s="821"/>
      <c r="F526" s="881"/>
      <c r="G526" s="881"/>
      <c r="H526" s="882"/>
      <c r="I526" s="1368"/>
      <c r="J526" s="887"/>
      <c r="K526" s="1368"/>
      <c r="L526" s="1368"/>
      <c r="M526" s="886"/>
      <c r="N526" s="1077"/>
      <c r="O526" s="1077"/>
      <c r="P526" s="886"/>
      <c r="Q526" s="886"/>
      <c r="R526" s="886"/>
    </row>
    <row r="527" spans="3:18" ht="15" customHeight="1" x14ac:dyDescent="0.3">
      <c r="C527" s="875"/>
      <c r="D527" s="875"/>
      <c r="E527" s="821"/>
      <c r="F527" s="881"/>
      <c r="G527" s="881"/>
      <c r="H527" s="881"/>
      <c r="I527" s="1368"/>
      <c r="J527" s="886"/>
      <c r="K527" s="1368"/>
      <c r="L527" s="1368"/>
      <c r="M527" s="821"/>
      <c r="N527" s="1077"/>
      <c r="O527" s="1077"/>
      <c r="P527" s="886"/>
      <c r="Q527" s="886"/>
      <c r="R527" s="886"/>
    </row>
    <row r="528" spans="3:18" ht="15" customHeight="1" x14ac:dyDescent="0.3">
      <c r="C528" s="875"/>
      <c r="D528" s="875"/>
      <c r="E528" s="821"/>
      <c r="F528" s="881"/>
      <c r="G528" s="881"/>
      <c r="H528" s="881"/>
      <c r="I528" s="821"/>
      <c r="J528" s="886"/>
      <c r="K528" s="1077"/>
      <c r="L528" s="1077"/>
      <c r="M528" s="821"/>
      <c r="N528" s="1077"/>
      <c r="O528" s="1077"/>
      <c r="P528" s="821"/>
      <c r="Q528" s="1369"/>
      <c r="R528" s="1369"/>
    </row>
    <row r="529" spans="3:18" ht="15" customHeight="1" x14ac:dyDescent="0.3">
      <c r="C529" s="875"/>
      <c r="D529" s="875"/>
      <c r="E529" s="821"/>
      <c r="F529" s="881"/>
      <c r="G529" s="881"/>
      <c r="H529" s="881"/>
      <c r="I529" s="821"/>
      <c r="J529" s="886"/>
      <c r="K529" s="1077"/>
      <c r="L529" s="1077"/>
      <c r="M529" s="821"/>
      <c r="N529" s="1077"/>
      <c r="O529" s="1077"/>
      <c r="P529" s="821"/>
      <c r="Q529" s="1369"/>
      <c r="R529" s="1369"/>
    </row>
    <row r="530" spans="3:18" ht="15" customHeight="1" x14ac:dyDescent="0.3">
      <c r="C530" s="875"/>
      <c r="D530" s="875"/>
      <c r="E530" s="821"/>
      <c r="F530" s="881"/>
      <c r="G530" s="881"/>
      <c r="H530" s="881"/>
      <c r="I530" s="821"/>
      <c r="J530" s="886"/>
      <c r="K530" s="886"/>
      <c r="L530" s="886"/>
      <c r="M530" s="821"/>
      <c r="N530" s="1077"/>
      <c r="O530" s="1077"/>
      <c r="P530" s="821"/>
      <c r="Q530" s="1369"/>
      <c r="R530" s="1369"/>
    </row>
    <row r="531" spans="3:18" ht="15" customHeight="1" x14ac:dyDescent="0.3">
      <c r="C531" s="875"/>
      <c r="D531" s="875"/>
      <c r="E531" s="821"/>
      <c r="F531" s="821"/>
      <c r="G531" s="821"/>
      <c r="H531" s="821"/>
      <c r="I531" s="821"/>
      <c r="J531" s="886"/>
      <c r="K531" s="886"/>
      <c r="L531" s="886"/>
      <c r="M531" s="821"/>
      <c r="N531" s="886"/>
      <c r="O531" s="886"/>
      <c r="P531" s="886"/>
      <c r="Q531" s="821"/>
      <c r="R531" s="886"/>
    </row>
    <row r="532" spans="3:18" ht="28.2" customHeight="1" x14ac:dyDescent="0.3">
      <c r="C532" s="1325" t="s">
        <v>1215</v>
      </c>
      <c r="D532" s="1325"/>
      <c r="E532" s="1325"/>
      <c r="F532" s="1325" t="s">
        <v>1348</v>
      </c>
      <c r="G532" s="1325"/>
      <c r="H532" s="882"/>
      <c r="I532" s="1325" t="s">
        <v>1217</v>
      </c>
      <c r="J532" s="882"/>
      <c r="K532" s="1325" t="s">
        <v>1219</v>
      </c>
      <c r="L532" s="882"/>
      <c r="M532" s="1077"/>
      <c r="N532" s="1077"/>
      <c r="O532" s="1077"/>
      <c r="P532" s="1077" t="s">
        <v>1219</v>
      </c>
      <c r="Q532" s="1077"/>
      <c r="R532" s="821"/>
    </row>
    <row r="533" spans="3:18" ht="15" customHeight="1" x14ac:dyDescent="0.3">
      <c r="C533" s="1325"/>
      <c r="D533" s="1325"/>
      <c r="E533" s="1325"/>
      <c r="F533" s="1325"/>
      <c r="G533" s="1325"/>
      <c r="H533" s="882"/>
      <c r="I533" s="1325"/>
      <c r="J533" s="882"/>
      <c r="K533" s="1325"/>
      <c r="L533" s="882"/>
      <c r="M533" s="1077"/>
      <c r="N533" s="1077"/>
      <c r="O533" s="1077"/>
      <c r="P533" s="1077"/>
      <c r="Q533" s="1077"/>
      <c r="R533" s="821"/>
    </row>
    <row r="545" spans="3:45" ht="15" customHeight="1" x14ac:dyDescent="0.3">
      <c r="C545" s="1340" t="s">
        <v>33</v>
      </c>
      <c r="D545" s="1340"/>
      <c r="E545" s="1340"/>
      <c r="F545" s="1340"/>
      <c r="G545" s="1340"/>
      <c r="H545" s="1340"/>
      <c r="I545" s="879"/>
      <c r="J545" s="879"/>
      <c r="K545" s="1370" t="s">
        <v>29</v>
      </c>
      <c r="L545" s="1370"/>
      <c r="M545" s="1370"/>
      <c r="N545" s="1370"/>
      <c r="O545" s="1370"/>
      <c r="P545" s="879"/>
      <c r="Q545" s="1370" t="s">
        <v>29</v>
      </c>
      <c r="R545" s="1370"/>
      <c r="S545" s="1370"/>
      <c r="T545" s="1370"/>
      <c r="U545" s="1370"/>
      <c r="V545" s="879"/>
      <c r="W545" s="1370"/>
      <c r="X545" s="1370"/>
      <c r="Y545" s="1370"/>
      <c r="Z545" s="1370"/>
      <c r="AA545" s="1370"/>
      <c r="AB545" s="1370" t="s">
        <v>29</v>
      </c>
      <c r="AC545" s="1370"/>
      <c r="AD545" s="1370"/>
      <c r="AE545" s="1370"/>
      <c r="AF545" s="1370"/>
      <c r="AG545" s="877"/>
      <c r="AH545" s="880"/>
      <c r="AI545" s="1340" t="s">
        <v>22</v>
      </c>
      <c r="AJ545" s="1340"/>
      <c r="AK545" s="1340"/>
      <c r="AL545" s="1340"/>
      <c r="AM545" s="1340"/>
      <c r="AN545" s="1340"/>
      <c r="AO545" s="1340"/>
      <c r="AP545" s="1340"/>
      <c r="AQ545" s="1340"/>
      <c r="AR545" s="1340"/>
      <c r="AS545" s="1340"/>
    </row>
    <row r="546" spans="3:45" ht="15" customHeight="1" x14ac:dyDescent="0.3">
      <c r="C546" s="1326" t="s">
        <v>1214</v>
      </c>
      <c r="D546" s="1326"/>
      <c r="E546" s="1326"/>
      <c r="F546" s="1326"/>
      <c r="G546" s="1326"/>
      <c r="H546" s="1326"/>
      <c r="I546" s="881"/>
      <c r="J546" s="881"/>
      <c r="K546" s="1325" t="s">
        <v>38</v>
      </c>
      <c r="L546" s="1325"/>
      <c r="M546" s="1325"/>
      <c r="N546" s="1325"/>
      <c r="O546" s="1325"/>
      <c r="P546" s="881"/>
      <c r="Q546" s="1325" t="s">
        <v>38</v>
      </c>
      <c r="R546" s="1325"/>
      <c r="S546" s="1325"/>
      <c r="T546" s="1325"/>
      <c r="U546" s="1325"/>
      <c r="V546" s="881"/>
      <c r="W546" s="1325"/>
      <c r="X546" s="1325"/>
      <c r="Y546" s="1325"/>
      <c r="Z546" s="1325"/>
      <c r="AA546" s="1325"/>
      <c r="AB546" s="1325" t="s">
        <v>38</v>
      </c>
      <c r="AC546" s="1325"/>
      <c r="AD546" s="1325"/>
      <c r="AE546" s="1325"/>
      <c r="AF546" s="1325"/>
      <c r="AG546" s="877"/>
      <c r="AH546" s="882"/>
      <c r="AI546" s="1325" t="s">
        <v>1465</v>
      </c>
      <c r="AJ546" s="1325"/>
      <c r="AK546" s="1325"/>
      <c r="AL546" s="1325"/>
      <c r="AM546" s="1325"/>
      <c r="AN546" s="1325"/>
      <c r="AO546" s="1325"/>
      <c r="AP546" s="1325"/>
      <c r="AQ546" s="1325"/>
      <c r="AR546" s="1325"/>
      <c r="AS546" s="1325"/>
    </row>
    <row r="547" spans="3:45" ht="15" customHeight="1" x14ac:dyDescent="0.3">
      <c r="C547" s="875"/>
      <c r="D547" s="875"/>
      <c r="E547" s="821"/>
      <c r="F547" s="821"/>
      <c r="G547" s="821"/>
      <c r="H547" s="882"/>
      <c r="I547" s="882"/>
      <c r="J547" s="882"/>
      <c r="K547" s="821"/>
      <c r="L547" s="881"/>
      <c r="M547" s="882"/>
      <c r="N547" s="882"/>
      <c r="O547" s="882"/>
      <c r="P547" s="882"/>
      <c r="Q547" s="821"/>
      <c r="R547" s="881"/>
      <c r="S547" s="882"/>
      <c r="T547" s="882"/>
      <c r="U547" s="882"/>
      <c r="V547" s="882"/>
      <c r="W547" s="821"/>
      <c r="X547" s="881"/>
      <c r="Y547" s="882"/>
      <c r="Z547" s="882"/>
      <c r="AA547" s="882"/>
      <c r="AB547" s="821"/>
      <c r="AC547" s="881"/>
      <c r="AD547" s="882"/>
      <c r="AE547" s="882"/>
      <c r="AF547" s="882"/>
      <c r="AG547" s="877"/>
      <c r="AH547" s="882"/>
      <c r="AI547" s="1325"/>
      <c r="AJ547" s="1325"/>
      <c r="AK547" s="1325"/>
      <c r="AL547" s="1325"/>
      <c r="AM547" s="1325"/>
      <c r="AN547" s="1325"/>
      <c r="AO547" s="1325"/>
      <c r="AP547" s="1325"/>
      <c r="AQ547" s="1325"/>
      <c r="AR547" s="1325"/>
      <c r="AS547" s="1325"/>
    </row>
    <row r="548" spans="3:45" ht="15" customHeight="1" x14ac:dyDescent="0.3">
      <c r="C548" s="875"/>
      <c r="D548" s="875"/>
      <c r="E548" s="821"/>
      <c r="F548" s="821"/>
      <c r="G548" s="821"/>
      <c r="H548" s="821"/>
      <c r="I548" s="883"/>
      <c r="J548" s="883"/>
      <c r="K548" s="821"/>
      <c r="L548" s="881"/>
      <c r="M548" s="883"/>
      <c r="N548" s="883"/>
      <c r="O548" s="883"/>
      <c r="P548" s="883"/>
      <c r="Q548" s="821"/>
      <c r="R548" s="881"/>
      <c r="S548" s="883"/>
      <c r="T548" s="883"/>
      <c r="U548" s="883"/>
      <c r="V548" s="883"/>
      <c r="W548" s="821"/>
      <c r="X548" s="881"/>
      <c r="Y548" s="883"/>
      <c r="Z548" s="883"/>
      <c r="AA548" s="883"/>
      <c r="AB548" s="821"/>
      <c r="AC548" s="881"/>
      <c r="AD548" s="883"/>
      <c r="AE548" s="883"/>
      <c r="AF548" s="883"/>
      <c r="AG548" s="877"/>
      <c r="AH548" s="883"/>
      <c r="AI548" s="821"/>
      <c r="AJ548" s="881"/>
      <c r="AK548" s="883"/>
      <c r="AL548" s="883"/>
      <c r="AM548" s="883"/>
      <c r="AN548" s="821"/>
      <c r="AO548" s="883"/>
      <c r="AP548" s="883"/>
      <c r="AQ548" s="883"/>
      <c r="AR548" s="881"/>
      <c r="AS548" s="881"/>
    </row>
    <row r="549" spans="3:45" ht="15" customHeight="1" x14ac:dyDescent="0.3">
      <c r="C549" s="875"/>
      <c r="D549" s="875"/>
      <c r="E549" s="821"/>
      <c r="F549" s="821"/>
      <c r="G549" s="821"/>
      <c r="H549" s="882"/>
      <c r="I549" s="881"/>
      <c r="J549" s="882"/>
      <c r="K549" s="821"/>
      <c r="L549" s="881"/>
      <c r="M549" s="1325"/>
      <c r="N549" s="1325"/>
      <c r="O549" s="881"/>
      <c r="P549" s="882"/>
      <c r="Q549" s="821"/>
      <c r="R549" s="881"/>
      <c r="S549" s="1325"/>
      <c r="T549" s="1325"/>
      <c r="U549" s="881"/>
      <c r="V549" s="882"/>
      <c r="W549" s="821"/>
      <c r="X549" s="881"/>
      <c r="Y549" s="1325"/>
      <c r="Z549" s="1325"/>
      <c r="AA549" s="881"/>
      <c r="AB549" s="821"/>
      <c r="AC549" s="881"/>
      <c r="AD549" s="1325"/>
      <c r="AE549" s="1325"/>
      <c r="AF549" s="881"/>
      <c r="AG549" s="877"/>
      <c r="AH549" s="882"/>
      <c r="AI549" s="821"/>
      <c r="AJ549" s="881"/>
      <c r="AK549" s="1325"/>
      <c r="AL549" s="1325"/>
      <c r="AM549" s="881"/>
      <c r="AN549" s="875"/>
      <c r="AO549" s="1325"/>
      <c r="AP549" s="1325"/>
      <c r="AQ549" s="875"/>
      <c r="AR549" s="1325"/>
      <c r="AS549" s="1325"/>
    </row>
    <row r="550" spans="3:45" ht="15" customHeight="1" x14ac:dyDescent="0.3">
      <c r="C550" s="875"/>
      <c r="D550" s="875"/>
      <c r="E550" s="821"/>
      <c r="F550" s="883"/>
      <c r="G550" s="883"/>
      <c r="H550" s="883"/>
      <c r="I550" s="1331"/>
      <c r="J550" s="883"/>
      <c r="K550" s="883"/>
      <c r="L550" s="875"/>
      <c r="M550" s="1331"/>
      <c r="N550" s="1331"/>
      <c r="O550" s="1331"/>
      <c r="P550" s="883"/>
      <c r="Q550" s="883"/>
      <c r="R550" s="875"/>
      <c r="S550" s="1331"/>
      <c r="T550" s="1331"/>
      <c r="U550" s="1331"/>
      <c r="V550" s="883"/>
      <c r="W550" s="883"/>
      <c r="X550" s="875"/>
      <c r="Y550" s="1331"/>
      <c r="Z550" s="1331"/>
      <c r="AA550" s="1331"/>
      <c r="AB550" s="883"/>
      <c r="AC550" s="875"/>
      <c r="AD550" s="1331"/>
      <c r="AE550" s="1331"/>
      <c r="AF550" s="1331"/>
      <c r="AG550" s="877"/>
      <c r="AH550" s="883"/>
      <c r="AI550" s="883"/>
      <c r="AJ550" s="875"/>
      <c r="AK550" s="1331"/>
      <c r="AL550" s="1331"/>
      <c r="AM550" s="1331"/>
      <c r="AN550" s="875"/>
      <c r="AO550" s="1326"/>
      <c r="AP550" s="1326"/>
      <c r="AQ550" s="875"/>
      <c r="AR550" s="1326"/>
      <c r="AS550" s="1326"/>
    </row>
    <row r="551" spans="3:45" ht="15" customHeight="1" x14ac:dyDescent="0.3">
      <c r="C551" s="875"/>
      <c r="D551" s="875"/>
      <c r="E551" s="821"/>
      <c r="F551" s="882"/>
      <c r="G551" s="882"/>
      <c r="H551" s="882"/>
      <c r="I551" s="1331"/>
      <c r="J551" s="883"/>
      <c r="K551" s="882"/>
      <c r="L551" s="881"/>
      <c r="M551" s="1331"/>
      <c r="N551" s="1331"/>
      <c r="O551" s="1331"/>
      <c r="P551" s="883"/>
      <c r="Q551" s="882"/>
      <c r="R551" s="881"/>
      <c r="S551" s="1331"/>
      <c r="T551" s="1331"/>
      <c r="U551" s="1331"/>
      <c r="V551" s="883"/>
      <c r="W551" s="882"/>
      <c r="X551" s="881"/>
      <c r="Y551" s="1331"/>
      <c r="Z551" s="1331"/>
      <c r="AA551" s="1331"/>
      <c r="AB551" s="882"/>
      <c r="AC551" s="881"/>
      <c r="AD551" s="1331"/>
      <c r="AE551" s="1331"/>
      <c r="AF551" s="1331"/>
      <c r="AG551" s="877"/>
      <c r="AH551" s="883"/>
      <c r="AI551" s="882"/>
      <c r="AJ551" s="881"/>
      <c r="AK551" s="1331"/>
      <c r="AL551" s="1331"/>
      <c r="AM551" s="1331"/>
      <c r="AN551" s="882"/>
      <c r="AO551" s="1326"/>
      <c r="AP551" s="1326"/>
      <c r="AQ551" s="875"/>
      <c r="AR551" s="1326"/>
      <c r="AS551" s="1326"/>
    </row>
    <row r="552" spans="3:45" ht="15" customHeight="1" x14ac:dyDescent="0.3">
      <c r="C552" s="875"/>
      <c r="D552" s="875"/>
      <c r="E552" s="821"/>
      <c r="F552" s="882"/>
      <c r="G552" s="882"/>
      <c r="H552" s="882"/>
      <c r="I552" s="878"/>
      <c r="J552" s="883"/>
      <c r="K552" s="882"/>
      <c r="L552" s="881"/>
      <c r="M552" s="875"/>
      <c r="N552" s="878"/>
      <c r="O552" s="878"/>
      <c r="P552" s="883"/>
      <c r="Q552" s="882"/>
      <c r="R552" s="881"/>
      <c r="S552" s="875"/>
      <c r="T552" s="878"/>
      <c r="U552" s="878"/>
      <c r="V552" s="883"/>
      <c r="W552" s="882"/>
      <c r="X552" s="881"/>
      <c r="Y552" s="875"/>
      <c r="Z552" s="878"/>
      <c r="AA552" s="878"/>
      <c r="AB552" s="882"/>
      <c r="AC552" s="881"/>
      <c r="AD552" s="875"/>
      <c r="AE552" s="878"/>
      <c r="AF552" s="878"/>
      <c r="AG552" s="877"/>
      <c r="AH552" s="883"/>
      <c r="AI552" s="882"/>
      <c r="AJ552" s="881"/>
      <c r="AK552" s="875"/>
      <c r="AL552" s="878"/>
      <c r="AM552" s="878"/>
      <c r="AN552" s="882"/>
      <c r="AO552" s="882"/>
      <c r="AP552" s="883"/>
      <c r="AQ552" s="875"/>
      <c r="AR552" s="875"/>
      <c r="AS552" s="875"/>
    </row>
    <row r="553" spans="3:45" ht="15" customHeight="1" x14ac:dyDescent="0.45">
      <c r="C553" s="875"/>
      <c r="D553" s="875"/>
      <c r="E553" s="821"/>
      <c r="F553" s="882"/>
      <c r="G553" s="882"/>
      <c r="H553" s="882"/>
      <c r="I553" s="884"/>
      <c r="J553" s="883"/>
      <c r="K553" s="882"/>
      <c r="L553" s="881"/>
      <c r="M553" s="884"/>
      <c r="N553" s="884"/>
      <c r="O553" s="884"/>
      <c r="P553" s="883"/>
      <c r="Q553" s="882"/>
      <c r="R553" s="881"/>
      <c r="S553" s="884"/>
      <c r="T553" s="884"/>
      <c r="U553" s="884"/>
      <c r="V553" s="883"/>
      <c r="W553" s="882"/>
      <c r="X553" s="881"/>
      <c r="Y553" s="884"/>
      <c r="Z553" s="884"/>
      <c r="AA553" s="884"/>
      <c r="AB553" s="882"/>
      <c r="AC553" s="881"/>
      <c r="AD553" s="884"/>
      <c r="AE553" s="884"/>
      <c r="AF553" s="884"/>
      <c r="AG553" s="877"/>
      <c r="AH553" s="883"/>
      <c r="AI553" s="882"/>
      <c r="AJ553" s="881"/>
      <c r="AK553" s="884"/>
      <c r="AL553" s="1325"/>
      <c r="AM553" s="1325"/>
      <c r="AN553" s="882"/>
      <c r="AO553" s="1325"/>
      <c r="AP553" s="1325"/>
      <c r="AQ553" s="875"/>
      <c r="AR553" s="1325"/>
      <c r="AS553" s="1325"/>
    </row>
    <row r="554" spans="3:45" ht="15" customHeight="1" x14ac:dyDescent="0.3">
      <c r="C554" s="875"/>
      <c r="D554" s="875"/>
      <c r="E554" s="821"/>
      <c r="F554" s="882"/>
      <c r="G554" s="882"/>
      <c r="H554" s="882"/>
      <c r="I554" s="881"/>
      <c r="J554" s="882"/>
      <c r="K554" s="1325" t="s">
        <v>32</v>
      </c>
      <c r="L554" s="1325"/>
      <c r="M554" s="882"/>
      <c r="N554" s="1325" t="s">
        <v>1407</v>
      </c>
      <c r="O554" s="1325"/>
      <c r="P554" s="882"/>
      <c r="Q554" s="1325" t="s">
        <v>32</v>
      </c>
      <c r="R554" s="1325"/>
      <c r="S554" s="882"/>
      <c r="T554" s="1325" t="s">
        <v>1407</v>
      </c>
      <c r="U554" s="1325"/>
      <c r="V554" s="882"/>
      <c r="W554" s="1325"/>
      <c r="X554" s="1325"/>
      <c r="Y554" s="882"/>
      <c r="Z554" s="1325"/>
      <c r="AA554" s="1325"/>
      <c r="AB554" s="1325" t="s">
        <v>32</v>
      </c>
      <c r="AC554" s="1325"/>
      <c r="AD554" s="882"/>
      <c r="AE554" s="1325" t="s">
        <v>1407</v>
      </c>
      <c r="AF554" s="1325"/>
      <c r="AG554" s="877"/>
      <c r="AH554" s="882"/>
      <c r="AI554" s="1325"/>
      <c r="AJ554" s="1325"/>
      <c r="AK554" s="882"/>
      <c r="AL554" s="1325"/>
      <c r="AM554" s="1325"/>
      <c r="AN554" s="882"/>
      <c r="AO554" s="1325"/>
      <c r="AP554" s="1325"/>
      <c r="AQ554" s="875"/>
      <c r="AR554" s="1326"/>
      <c r="AS554" s="1326"/>
    </row>
    <row r="555" spans="3:45" ht="15" customHeight="1" x14ac:dyDescent="0.3">
      <c r="C555" s="875"/>
      <c r="D555" s="875"/>
      <c r="E555" s="821"/>
      <c r="F555" s="882"/>
      <c r="G555" s="882"/>
      <c r="H555" s="882"/>
      <c r="I555" s="1331"/>
      <c r="J555" s="882"/>
      <c r="K555" s="1331" t="s">
        <v>94</v>
      </c>
      <c r="L555" s="1331"/>
      <c r="M555" s="885"/>
      <c r="N555" s="1331" t="s">
        <v>94</v>
      </c>
      <c r="O555" s="1331"/>
      <c r="P555" s="882"/>
      <c r="Q555" s="1331" t="s">
        <v>94</v>
      </c>
      <c r="R555" s="1331"/>
      <c r="S555" s="885"/>
      <c r="T555" s="1331" t="s">
        <v>94</v>
      </c>
      <c r="U555" s="1331"/>
      <c r="V555" s="882"/>
      <c r="W555" s="1331"/>
      <c r="X555" s="1331"/>
      <c r="Y555" s="885"/>
      <c r="Z555" s="1331"/>
      <c r="AA555" s="1331"/>
      <c r="AB555" s="1331" t="s">
        <v>94</v>
      </c>
      <c r="AC555" s="1331"/>
      <c r="AD555" s="885"/>
      <c r="AE555" s="1331" t="s">
        <v>94</v>
      </c>
      <c r="AF555" s="1331"/>
      <c r="AG555" s="877"/>
      <c r="AH555" s="882"/>
      <c r="AI555" s="1331"/>
      <c r="AJ555" s="1331"/>
      <c r="AK555" s="885"/>
      <c r="AL555" s="1331"/>
      <c r="AM555" s="1331"/>
      <c r="AN555" s="875"/>
      <c r="AO555" s="1325"/>
      <c r="AP555" s="1325"/>
      <c r="AQ555" s="875"/>
      <c r="AR555" s="1326"/>
      <c r="AS555" s="1326"/>
    </row>
    <row r="556" spans="3:45" ht="15" customHeight="1" x14ac:dyDescent="0.3">
      <c r="C556" s="875"/>
      <c r="D556" s="875"/>
      <c r="E556" s="821"/>
      <c r="F556" s="881"/>
      <c r="G556" s="881"/>
      <c r="H556" s="882"/>
      <c r="I556" s="1331"/>
      <c r="J556" s="882"/>
      <c r="K556" s="1331"/>
      <c r="L556" s="1331"/>
      <c r="M556" s="885"/>
      <c r="N556" s="1331"/>
      <c r="O556" s="1331"/>
      <c r="P556" s="882"/>
      <c r="Q556" s="1331"/>
      <c r="R556" s="1331"/>
      <c r="S556" s="885"/>
      <c r="T556" s="1331"/>
      <c r="U556" s="1331"/>
      <c r="V556" s="882"/>
      <c r="W556" s="1331"/>
      <c r="X556" s="1331"/>
      <c r="Y556" s="885"/>
      <c r="Z556" s="1331"/>
      <c r="AA556" s="1331"/>
      <c r="AB556" s="1331"/>
      <c r="AC556" s="1331"/>
      <c r="AD556" s="885"/>
      <c r="AE556" s="1331"/>
      <c r="AF556" s="1331"/>
      <c r="AG556" s="877"/>
      <c r="AH556" s="882"/>
      <c r="AI556" s="1331"/>
      <c r="AJ556" s="1331"/>
      <c r="AK556" s="885"/>
      <c r="AL556" s="1331"/>
      <c r="AM556" s="1331"/>
      <c r="AN556" s="875"/>
      <c r="AO556" s="1325"/>
      <c r="AP556" s="1325"/>
      <c r="AQ556" s="875"/>
      <c r="AR556" s="875"/>
      <c r="AS556" s="883"/>
    </row>
    <row r="557" spans="3:45" ht="15" customHeight="1" x14ac:dyDescent="0.3">
      <c r="C557" s="875"/>
      <c r="D557" s="875"/>
      <c r="E557" s="821"/>
      <c r="F557" s="881"/>
      <c r="G557" s="881"/>
      <c r="H557" s="881"/>
      <c r="I557" s="1331"/>
      <c r="J557" s="881"/>
      <c r="K557" s="1331"/>
      <c r="L557" s="1331"/>
      <c r="M557" s="875"/>
      <c r="N557" s="1331"/>
      <c r="O557" s="1331"/>
      <c r="P557" s="881"/>
      <c r="Q557" s="1331"/>
      <c r="R557" s="1331"/>
      <c r="S557" s="875"/>
      <c r="T557" s="1331"/>
      <c r="U557" s="1331"/>
      <c r="V557" s="881"/>
      <c r="W557" s="1331"/>
      <c r="X557" s="1331"/>
      <c r="Y557" s="875"/>
      <c r="Z557" s="1331"/>
      <c r="AA557" s="1331"/>
      <c r="AB557" s="1331"/>
      <c r="AC557" s="1331"/>
      <c r="AD557" s="875"/>
      <c r="AE557" s="1331"/>
      <c r="AF557" s="1331"/>
      <c r="AG557" s="877"/>
      <c r="AH557" s="881"/>
      <c r="AI557" s="1331"/>
      <c r="AJ557" s="1331"/>
      <c r="AK557" s="875"/>
      <c r="AL557" s="1331"/>
      <c r="AM557" s="1331"/>
      <c r="AN557" s="881"/>
      <c r="AO557" s="1325"/>
      <c r="AP557" s="1325"/>
      <c r="AQ557" s="875"/>
      <c r="AR557" s="875"/>
      <c r="AS557" s="875"/>
    </row>
    <row r="558" spans="3:45" ht="15" customHeight="1" x14ac:dyDescent="0.3">
      <c r="C558" s="875"/>
      <c r="D558" s="875"/>
      <c r="E558" s="821"/>
      <c r="F558" s="881"/>
      <c r="G558" s="881"/>
      <c r="H558" s="881"/>
      <c r="I558" s="875"/>
      <c r="J558" s="881"/>
      <c r="K558" s="881"/>
      <c r="L558" s="881"/>
      <c r="M558" s="875"/>
      <c r="N558" s="875"/>
      <c r="O558" s="875"/>
      <c r="P558" s="881"/>
      <c r="Q558" s="881"/>
      <c r="R558" s="881"/>
      <c r="S558" s="875"/>
      <c r="T558" s="875"/>
      <c r="U558" s="875"/>
      <c r="V558" s="881"/>
      <c r="W558" s="881"/>
      <c r="X558" s="881"/>
      <c r="Y558" s="875"/>
      <c r="Z558" s="875"/>
      <c r="AA558" s="875"/>
      <c r="AB558" s="881"/>
      <c r="AC558" s="881"/>
      <c r="AD558" s="875"/>
      <c r="AE558" s="875"/>
      <c r="AF558" s="875"/>
      <c r="AG558" s="877"/>
      <c r="AH558" s="881"/>
      <c r="AI558" s="881"/>
      <c r="AJ558" s="881"/>
      <c r="AK558" s="875"/>
      <c r="AL558" s="1325"/>
      <c r="AM558" s="1325"/>
      <c r="AN558" s="881"/>
      <c r="AO558" s="1325"/>
      <c r="AP558" s="1325"/>
      <c r="AQ558" s="881"/>
      <c r="AR558" s="1326"/>
      <c r="AS558" s="1326"/>
    </row>
    <row r="559" spans="3:45" ht="15" customHeight="1" x14ac:dyDescent="0.3">
      <c r="C559" s="875"/>
      <c r="D559" s="875"/>
      <c r="E559" s="821"/>
      <c r="F559" s="881"/>
      <c r="G559" s="881"/>
      <c r="H559" s="881"/>
      <c r="I559" s="875"/>
      <c r="J559" s="881"/>
      <c r="K559" s="881"/>
      <c r="L559" s="881"/>
      <c r="M559" s="875"/>
      <c r="N559" s="875"/>
      <c r="O559" s="875"/>
      <c r="P559" s="881"/>
      <c r="Q559" s="881"/>
      <c r="R559" s="881"/>
      <c r="S559" s="875"/>
      <c r="T559" s="875"/>
      <c r="U559" s="875"/>
      <c r="V559" s="881"/>
      <c r="W559" s="881"/>
      <c r="X559" s="881"/>
      <c r="Y559" s="875"/>
      <c r="Z559" s="875"/>
      <c r="AA559" s="875"/>
      <c r="AB559" s="881"/>
      <c r="AC559" s="881"/>
      <c r="AD559" s="875"/>
      <c r="AE559" s="875"/>
      <c r="AF559" s="875"/>
      <c r="AG559" s="877"/>
      <c r="AH559" s="881"/>
      <c r="AI559" s="881"/>
      <c r="AJ559" s="881"/>
      <c r="AK559" s="875"/>
      <c r="AL559" s="1325"/>
      <c r="AM559" s="1325"/>
      <c r="AN559" s="881"/>
      <c r="AO559" s="1325"/>
      <c r="AP559" s="1325"/>
      <c r="AQ559" s="881"/>
      <c r="AR559" s="1326"/>
      <c r="AS559" s="1326"/>
    </row>
    <row r="560" spans="3:45" ht="15" customHeight="1" x14ac:dyDescent="0.3">
      <c r="C560" s="875"/>
      <c r="D560" s="875"/>
      <c r="E560" s="821"/>
      <c r="F560" s="881"/>
      <c r="G560" s="881"/>
      <c r="H560" s="881"/>
      <c r="I560" s="875"/>
      <c r="J560" s="881"/>
      <c r="K560" s="881"/>
      <c r="L560" s="881"/>
      <c r="M560" s="875"/>
      <c r="N560" s="875"/>
      <c r="O560" s="875"/>
      <c r="P560" s="881"/>
      <c r="Q560" s="881"/>
      <c r="R560" s="881"/>
      <c r="S560" s="875"/>
      <c r="T560" s="875"/>
      <c r="U560" s="875"/>
      <c r="V560" s="881"/>
      <c r="W560" s="881"/>
      <c r="X560" s="881"/>
      <c r="Y560" s="875"/>
      <c r="Z560" s="875"/>
      <c r="AA560" s="875"/>
      <c r="AB560" s="881"/>
      <c r="AC560" s="881"/>
      <c r="AD560" s="875"/>
      <c r="AE560" s="875"/>
      <c r="AF560" s="875"/>
      <c r="AG560" s="877"/>
      <c r="AH560" s="881"/>
      <c r="AI560" s="881"/>
      <c r="AJ560" s="881"/>
      <c r="AK560" s="875"/>
      <c r="AL560" s="875"/>
      <c r="AM560" s="875"/>
      <c r="AN560" s="881"/>
      <c r="AO560" s="1325"/>
      <c r="AP560" s="1325"/>
      <c r="AQ560" s="881"/>
      <c r="AR560" s="1326"/>
      <c r="AS560" s="1326"/>
    </row>
    <row r="561" spans="3:45" ht="15" customHeight="1" x14ac:dyDescent="0.3">
      <c r="C561" s="875"/>
      <c r="D561" s="875"/>
      <c r="E561" s="821"/>
      <c r="F561" s="821"/>
      <c r="G561" s="821"/>
      <c r="H561" s="821"/>
      <c r="I561" s="883"/>
      <c r="J561" s="883"/>
      <c r="K561" s="821"/>
      <c r="L561" s="881"/>
      <c r="M561" s="883"/>
      <c r="N561" s="883"/>
      <c r="O561" s="883"/>
      <c r="P561" s="883"/>
      <c r="Q561" s="821"/>
      <c r="R561" s="881"/>
      <c r="S561" s="883"/>
      <c r="T561" s="883"/>
      <c r="U561" s="883"/>
      <c r="V561" s="883"/>
      <c r="W561" s="821"/>
      <c r="X561" s="881"/>
      <c r="Y561" s="883"/>
      <c r="Z561" s="883"/>
      <c r="AA561" s="883"/>
      <c r="AB561" s="821"/>
      <c r="AC561" s="881"/>
      <c r="AD561" s="883"/>
      <c r="AE561" s="883"/>
      <c r="AF561" s="883"/>
      <c r="AG561" s="877"/>
      <c r="AH561" s="883"/>
      <c r="AI561" s="821"/>
      <c r="AJ561" s="881"/>
      <c r="AK561" s="883"/>
      <c r="AL561" s="883"/>
      <c r="AM561" s="883"/>
      <c r="AN561" s="821"/>
      <c r="AO561" s="883"/>
      <c r="AP561" s="883"/>
      <c r="AQ561" s="883"/>
      <c r="AR561" s="882"/>
      <c r="AS561" s="883"/>
    </row>
    <row r="562" spans="3:45" ht="15" customHeight="1" x14ac:dyDescent="0.3">
      <c r="C562" s="1325" t="s">
        <v>1215</v>
      </c>
      <c r="D562" s="1325"/>
      <c r="E562" s="1325"/>
      <c r="F562" s="1325"/>
      <c r="G562" s="1325"/>
      <c r="H562" s="1325"/>
      <c r="I562" s="1325"/>
      <c r="J562" s="881"/>
      <c r="K562" s="1325" t="s">
        <v>1348</v>
      </c>
      <c r="L562" s="1325"/>
      <c r="M562" s="1325"/>
      <c r="N562" s="1325"/>
      <c r="O562" s="1325"/>
      <c r="P562" s="881"/>
      <c r="Q562" s="1325" t="s">
        <v>1348</v>
      </c>
      <c r="R562" s="1325"/>
      <c r="S562" s="1325"/>
      <c r="T562" s="1325"/>
      <c r="U562" s="1325"/>
      <c r="V562" s="881"/>
      <c r="W562" s="1325"/>
      <c r="X562" s="1325"/>
      <c r="Y562" s="1325"/>
      <c r="Z562" s="1325"/>
      <c r="AA562" s="1325"/>
      <c r="AB562" s="1325" t="s">
        <v>1348</v>
      </c>
      <c r="AC562" s="1325"/>
      <c r="AD562" s="1325"/>
      <c r="AE562" s="1325"/>
      <c r="AF562" s="1325"/>
      <c r="AG562" s="877"/>
      <c r="AH562" s="881"/>
      <c r="AI562" s="882"/>
      <c r="AJ562" s="882"/>
      <c r="AK562" s="882"/>
      <c r="AL562" s="1325" t="s">
        <v>1217</v>
      </c>
      <c r="AM562" s="1325"/>
      <c r="AN562" s="1325"/>
      <c r="AO562" s="1325"/>
      <c r="AP562" s="1325"/>
      <c r="AQ562" s="1325" t="s">
        <v>1219</v>
      </c>
      <c r="AR562" s="1325"/>
      <c r="AS562" s="882"/>
    </row>
    <row r="563" spans="3:45" ht="15" customHeight="1" x14ac:dyDescent="0.3">
      <c r="C563" s="1325"/>
      <c r="D563" s="1325"/>
      <c r="E563" s="1325"/>
      <c r="F563" s="1325"/>
      <c r="G563" s="1325"/>
      <c r="H563" s="1325"/>
      <c r="I563" s="1325"/>
      <c r="J563" s="881"/>
      <c r="K563" s="1325"/>
      <c r="L563" s="1325"/>
      <c r="M563" s="1325"/>
      <c r="N563" s="1325"/>
      <c r="O563" s="1325"/>
      <c r="P563" s="881"/>
      <c r="Q563" s="1325"/>
      <c r="R563" s="1325"/>
      <c r="S563" s="1325"/>
      <c r="T563" s="1325"/>
      <c r="U563" s="1325"/>
      <c r="V563" s="881"/>
      <c r="W563" s="1325"/>
      <c r="X563" s="1325"/>
      <c r="Y563" s="1325"/>
      <c r="Z563" s="1325"/>
      <c r="AA563" s="1325"/>
      <c r="AB563" s="1325"/>
      <c r="AC563" s="1325"/>
      <c r="AD563" s="1325"/>
      <c r="AE563" s="1325"/>
      <c r="AF563" s="1325"/>
      <c r="AG563" s="877"/>
      <c r="AH563" s="881"/>
      <c r="AI563" s="882"/>
      <c r="AJ563" s="882"/>
      <c r="AK563" s="882"/>
      <c r="AL563" s="1325"/>
      <c r="AM563" s="1325"/>
      <c r="AN563" s="1325"/>
      <c r="AO563" s="1325"/>
      <c r="AP563" s="1325"/>
      <c r="AQ563" s="1325"/>
      <c r="AR563" s="1325"/>
      <c r="AS563" s="882"/>
    </row>
  </sheetData>
  <mergeCells count="613">
    <mergeCell ref="I11:K11"/>
    <mergeCell ref="C5:H5"/>
    <mergeCell ref="E21:G21"/>
    <mergeCell ref="E22:G22"/>
    <mergeCell ref="C2:K2"/>
    <mergeCell ref="C3:K3"/>
    <mergeCell ref="C4:K4"/>
    <mergeCell ref="C6:K6"/>
    <mergeCell ref="C7:K7"/>
    <mergeCell ref="E23:G23"/>
    <mergeCell ref="E24:G24"/>
    <mergeCell ref="E25:G25"/>
    <mergeCell ref="E42:G42"/>
    <mergeCell ref="E19:G19"/>
    <mergeCell ref="E20:G20"/>
    <mergeCell ref="E18:G18"/>
    <mergeCell ref="E12:G12"/>
    <mergeCell ref="E16:G16"/>
    <mergeCell ref="E17:G17"/>
    <mergeCell ref="E33:G33"/>
    <mergeCell ref="E43:G43"/>
    <mergeCell ref="E26:G26"/>
    <mergeCell ref="E44:G44"/>
    <mergeCell ref="E45:G45"/>
    <mergeCell ref="E34:G34"/>
    <mergeCell ref="E35:G35"/>
    <mergeCell ref="E36:G36"/>
    <mergeCell ref="E37:G37"/>
    <mergeCell ref="E38:G38"/>
    <mergeCell ref="E39:G39"/>
    <mergeCell ref="E40:G40"/>
    <mergeCell ref="E41:G41"/>
    <mergeCell ref="E27:G27"/>
    <mergeCell ref="E28:G28"/>
    <mergeCell ref="E29:G29"/>
    <mergeCell ref="E30:G30"/>
    <mergeCell ref="E31:G31"/>
    <mergeCell ref="E32:G32"/>
    <mergeCell ref="E52:G52"/>
    <mergeCell ref="E53:G53"/>
    <mergeCell ref="E54:G54"/>
    <mergeCell ref="E55:G55"/>
    <mergeCell ref="E56:G56"/>
    <mergeCell ref="E57:G57"/>
    <mergeCell ref="E46:G46"/>
    <mergeCell ref="E47:G47"/>
    <mergeCell ref="E48:G48"/>
    <mergeCell ref="E49:G49"/>
    <mergeCell ref="E50:G50"/>
    <mergeCell ref="E51:G51"/>
    <mergeCell ref="E64:G64"/>
    <mergeCell ref="E66:G66"/>
    <mergeCell ref="E67:G67"/>
    <mergeCell ref="E68:G68"/>
    <mergeCell ref="E69:G69"/>
    <mergeCell ref="E70:G70"/>
    <mergeCell ref="E58:G58"/>
    <mergeCell ref="E59:G59"/>
    <mergeCell ref="E60:G60"/>
    <mergeCell ref="E61:G61"/>
    <mergeCell ref="E62:G62"/>
    <mergeCell ref="E63:G63"/>
    <mergeCell ref="E77:G77"/>
    <mergeCell ref="E78:G78"/>
    <mergeCell ref="E79:G79"/>
    <mergeCell ref="E80:G80"/>
    <mergeCell ref="E81:G81"/>
    <mergeCell ref="E82:G82"/>
    <mergeCell ref="E71:G71"/>
    <mergeCell ref="E72:G72"/>
    <mergeCell ref="E73:G73"/>
    <mergeCell ref="E74:G74"/>
    <mergeCell ref="E75:G75"/>
    <mergeCell ref="E76:G76"/>
    <mergeCell ref="E89:G89"/>
    <mergeCell ref="E90:G90"/>
    <mergeCell ref="E91:G91"/>
    <mergeCell ref="E92:G92"/>
    <mergeCell ref="E93:G93"/>
    <mergeCell ref="E94:G94"/>
    <mergeCell ref="E83:G83"/>
    <mergeCell ref="E84:G84"/>
    <mergeCell ref="E85:G85"/>
    <mergeCell ref="E86:G86"/>
    <mergeCell ref="E87:G87"/>
    <mergeCell ref="E88:G88"/>
    <mergeCell ref="E103:G103"/>
    <mergeCell ref="E104:G104"/>
    <mergeCell ref="E105:G105"/>
    <mergeCell ref="E106:G106"/>
    <mergeCell ref="E107:G107"/>
    <mergeCell ref="E108:G108"/>
    <mergeCell ref="E95:G95"/>
    <mergeCell ref="E96:G96"/>
    <mergeCell ref="E98:G98"/>
    <mergeCell ref="E99:G99"/>
    <mergeCell ref="E100:G100"/>
    <mergeCell ref="E102:G102"/>
    <mergeCell ref="E115:G115"/>
    <mergeCell ref="E116:G116"/>
    <mergeCell ref="E117:G117"/>
    <mergeCell ref="E118:G118"/>
    <mergeCell ref="E119:G119"/>
    <mergeCell ref="E120:G120"/>
    <mergeCell ref="E109:G109"/>
    <mergeCell ref="E110:G110"/>
    <mergeCell ref="E111:G111"/>
    <mergeCell ref="E112:G112"/>
    <mergeCell ref="E113:G113"/>
    <mergeCell ref="E114:G114"/>
    <mergeCell ref="E127:G127"/>
    <mergeCell ref="E128:G128"/>
    <mergeCell ref="E129:G129"/>
    <mergeCell ref="E130:G130"/>
    <mergeCell ref="E131:G131"/>
    <mergeCell ref="E132:G132"/>
    <mergeCell ref="E121:G121"/>
    <mergeCell ref="E122:G122"/>
    <mergeCell ref="E123:G123"/>
    <mergeCell ref="E124:G124"/>
    <mergeCell ref="E125:G125"/>
    <mergeCell ref="E126:G126"/>
    <mergeCell ref="E139:G139"/>
    <mergeCell ref="E140:G140"/>
    <mergeCell ref="E141:G141"/>
    <mergeCell ref="E142:G142"/>
    <mergeCell ref="E143:G143"/>
    <mergeCell ref="E144:G144"/>
    <mergeCell ref="E133:G133"/>
    <mergeCell ref="E134:G134"/>
    <mergeCell ref="E135:G135"/>
    <mergeCell ref="E136:G136"/>
    <mergeCell ref="E137:G137"/>
    <mergeCell ref="E138:G138"/>
    <mergeCell ref="E151:G151"/>
    <mergeCell ref="E152:G152"/>
    <mergeCell ref="E153:G153"/>
    <mergeCell ref="E154:G154"/>
    <mergeCell ref="E155:G155"/>
    <mergeCell ref="E156:G156"/>
    <mergeCell ref="E145:G145"/>
    <mergeCell ref="E146:G146"/>
    <mergeCell ref="E147:G147"/>
    <mergeCell ref="E148:G148"/>
    <mergeCell ref="E149:G149"/>
    <mergeCell ref="E150:G150"/>
    <mergeCell ref="E163:G163"/>
    <mergeCell ref="E164:G164"/>
    <mergeCell ref="E165:G165"/>
    <mergeCell ref="E166:G166"/>
    <mergeCell ref="E167:G167"/>
    <mergeCell ref="E168:G168"/>
    <mergeCell ref="E157:G157"/>
    <mergeCell ref="E158:G158"/>
    <mergeCell ref="E159:G159"/>
    <mergeCell ref="E160:G160"/>
    <mergeCell ref="E161:G161"/>
    <mergeCell ref="E162:G162"/>
    <mergeCell ref="E175:G175"/>
    <mergeCell ref="E176:G176"/>
    <mergeCell ref="E177:G177"/>
    <mergeCell ref="E178:G178"/>
    <mergeCell ref="E179:G179"/>
    <mergeCell ref="E180:G180"/>
    <mergeCell ref="E169:G169"/>
    <mergeCell ref="E170:G170"/>
    <mergeCell ref="E171:G171"/>
    <mergeCell ref="E172:G172"/>
    <mergeCell ref="E173:G173"/>
    <mergeCell ref="E174:G174"/>
    <mergeCell ref="E187:G187"/>
    <mergeCell ref="E188:G188"/>
    <mergeCell ref="E189:G189"/>
    <mergeCell ref="E190:G190"/>
    <mergeCell ref="E191:G191"/>
    <mergeCell ref="E192:G192"/>
    <mergeCell ref="E181:G181"/>
    <mergeCell ref="E182:G182"/>
    <mergeCell ref="E183:G183"/>
    <mergeCell ref="E184:G184"/>
    <mergeCell ref="E185:G185"/>
    <mergeCell ref="E186:G186"/>
    <mergeCell ref="E199:G199"/>
    <mergeCell ref="E200:G200"/>
    <mergeCell ref="E201:G201"/>
    <mergeCell ref="E202:G202"/>
    <mergeCell ref="E203:G203"/>
    <mergeCell ref="E205:G205"/>
    <mergeCell ref="E193:G193"/>
    <mergeCell ref="E194:G194"/>
    <mergeCell ref="E195:G195"/>
    <mergeCell ref="E196:G196"/>
    <mergeCell ref="E197:G197"/>
    <mergeCell ref="E198:G198"/>
    <mergeCell ref="E212:G212"/>
    <mergeCell ref="E213:G213"/>
    <mergeCell ref="E214:G214"/>
    <mergeCell ref="E215:G215"/>
    <mergeCell ref="E216:G216"/>
    <mergeCell ref="E217:G217"/>
    <mergeCell ref="E206:G206"/>
    <mergeCell ref="E207:G207"/>
    <mergeCell ref="E208:G208"/>
    <mergeCell ref="E209:G209"/>
    <mergeCell ref="E210:G210"/>
    <mergeCell ref="E211:G211"/>
    <mergeCell ref="E224:G224"/>
    <mergeCell ref="E225:G225"/>
    <mergeCell ref="E226:G226"/>
    <mergeCell ref="E227:G227"/>
    <mergeCell ref="E228:G228"/>
    <mergeCell ref="E229:G229"/>
    <mergeCell ref="E218:G218"/>
    <mergeCell ref="E219:G219"/>
    <mergeCell ref="E220:G220"/>
    <mergeCell ref="E221:G221"/>
    <mergeCell ref="E222:G222"/>
    <mergeCell ref="E223:G223"/>
    <mergeCell ref="E236:G236"/>
    <mergeCell ref="E237:G237"/>
    <mergeCell ref="E238:G238"/>
    <mergeCell ref="E239:G239"/>
    <mergeCell ref="E240:G240"/>
    <mergeCell ref="E241:G241"/>
    <mergeCell ref="E230:G230"/>
    <mergeCell ref="E231:G231"/>
    <mergeCell ref="E232:G232"/>
    <mergeCell ref="E233:G233"/>
    <mergeCell ref="E234:G234"/>
    <mergeCell ref="E235:G235"/>
    <mergeCell ref="E248:G248"/>
    <mergeCell ref="E249:G249"/>
    <mergeCell ref="E250:G250"/>
    <mergeCell ref="E251:G251"/>
    <mergeCell ref="E252:G252"/>
    <mergeCell ref="E253:G253"/>
    <mergeCell ref="E242:G242"/>
    <mergeCell ref="E243:G243"/>
    <mergeCell ref="E244:G244"/>
    <mergeCell ref="E245:G245"/>
    <mergeCell ref="E246:G246"/>
    <mergeCell ref="E247:G247"/>
    <mergeCell ref="E260:G260"/>
    <mergeCell ref="E261:G261"/>
    <mergeCell ref="E262:G262"/>
    <mergeCell ref="E263:G263"/>
    <mergeCell ref="E264:G264"/>
    <mergeCell ref="E265:G265"/>
    <mergeCell ref="E254:G254"/>
    <mergeCell ref="E255:G255"/>
    <mergeCell ref="E256:G256"/>
    <mergeCell ref="E257:G257"/>
    <mergeCell ref="E258:G258"/>
    <mergeCell ref="E259:G259"/>
    <mergeCell ref="E272:G272"/>
    <mergeCell ref="E273:G273"/>
    <mergeCell ref="E274:G274"/>
    <mergeCell ref="E275:G275"/>
    <mergeCell ref="E276:G276"/>
    <mergeCell ref="E277:G277"/>
    <mergeCell ref="E266:G266"/>
    <mergeCell ref="E267:G267"/>
    <mergeCell ref="E268:G268"/>
    <mergeCell ref="E269:G269"/>
    <mergeCell ref="E270:G270"/>
    <mergeCell ref="E271:G271"/>
    <mergeCell ref="E285:G285"/>
    <mergeCell ref="E286:G286"/>
    <mergeCell ref="E287:G287"/>
    <mergeCell ref="E288:G288"/>
    <mergeCell ref="E289:G289"/>
    <mergeCell ref="E290:G290"/>
    <mergeCell ref="E278:G278"/>
    <mergeCell ref="E279:G279"/>
    <mergeCell ref="E280:G280"/>
    <mergeCell ref="E282:G282"/>
    <mergeCell ref="E283:G283"/>
    <mergeCell ref="E284:G284"/>
    <mergeCell ref="E298:G298"/>
    <mergeCell ref="E299:G299"/>
    <mergeCell ref="E300:G300"/>
    <mergeCell ref="E301:G301"/>
    <mergeCell ref="E302:G302"/>
    <mergeCell ref="E303:G303"/>
    <mergeCell ref="E292:G292"/>
    <mergeCell ref="E293:G293"/>
    <mergeCell ref="E294:G294"/>
    <mergeCell ref="E295:G295"/>
    <mergeCell ref="E296:G296"/>
    <mergeCell ref="E297:G297"/>
    <mergeCell ref="E310:G310"/>
    <mergeCell ref="E311:G311"/>
    <mergeCell ref="E312:G312"/>
    <mergeCell ref="E313:G313"/>
    <mergeCell ref="E314:G314"/>
    <mergeCell ref="E315:G315"/>
    <mergeCell ref="E304:G304"/>
    <mergeCell ref="E305:G305"/>
    <mergeCell ref="E306:G306"/>
    <mergeCell ref="E307:G307"/>
    <mergeCell ref="E308:G308"/>
    <mergeCell ref="E309:G309"/>
    <mergeCell ref="E322:G322"/>
    <mergeCell ref="E323:G323"/>
    <mergeCell ref="E324:G324"/>
    <mergeCell ref="E325:G325"/>
    <mergeCell ref="E326:G326"/>
    <mergeCell ref="E327:G327"/>
    <mergeCell ref="E316:G316"/>
    <mergeCell ref="E317:G317"/>
    <mergeCell ref="E318:G318"/>
    <mergeCell ref="E319:G319"/>
    <mergeCell ref="E320:G320"/>
    <mergeCell ref="E321:G321"/>
    <mergeCell ref="E334:G334"/>
    <mergeCell ref="E335:G335"/>
    <mergeCell ref="E336:G336"/>
    <mergeCell ref="E337:G337"/>
    <mergeCell ref="E338:G338"/>
    <mergeCell ref="E339:G339"/>
    <mergeCell ref="E328:G328"/>
    <mergeCell ref="E329:G329"/>
    <mergeCell ref="E330:G330"/>
    <mergeCell ref="E331:G331"/>
    <mergeCell ref="E332:G332"/>
    <mergeCell ref="E333:G333"/>
    <mergeCell ref="E346:G346"/>
    <mergeCell ref="E347:G347"/>
    <mergeCell ref="E348:G348"/>
    <mergeCell ref="E349:G349"/>
    <mergeCell ref="E350:G350"/>
    <mergeCell ref="E351:G351"/>
    <mergeCell ref="E340:G340"/>
    <mergeCell ref="E341:G341"/>
    <mergeCell ref="E342:G342"/>
    <mergeCell ref="E343:G343"/>
    <mergeCell ref="E344:G344"/>
    <mergeCell ref="E345:G345"/>
    <mergeCell ref="E358:G358"/>
    <mergeCell ref="E359:G359"/>
    <mergeCell ref="E360:G360"/>
    <mergeCell ref="E361:G361"/>
    <mergeCell ref="E362:G362"/>
    <mergeCell ref="E363:G363"/>
    <mergeCell ref="E352:G352"/>
    <mergeCell ref="E353:G353"/>
    <mergeCell ref="E354:G354"/>
    <mergeCell ref="E355:G355"/>
    <mergeCell ref="E356:G356"/>
    <mergeCell ref="E357:G357"/>
    <mergeCell ref="E370:G370"/>
    <mergeCell ref="E371:G371"/>
    <mergeCell ref="E373:G373"/>
    <mergeCell ref="E374:G374"/>
    <mergeCell ref="E375:G375"/>
    <mergeCell ref="E376:G376"/>
    <mergeCell ref="E364:G364"/>
    <mergeCell ref="E365:G365"/>
    <mergeCell ref="E366:G366"/>
    <mergeCell ref="E367:G367"/>
    <mergeCell ref="E368:G368"/>
    <mergeCell ref="E369:G369"/>
    <mergeCell ref="E383:G383"/>
    <mergeCell ref="E384:G384"/>
    <mergeCell ref="E385:G385"/>
    <mergeCell ref="E386:G386"/>
    <mergeCell ref="E387:G387"/>
    <mergeCell ref="E388:G388"/>
    <mergeCell ref="E377:G377"/>
    <mergeCell ref="E378:G378"/>
    <mergeCell ref="E379:G379"/>
    <mergeCell ref="E380:G380"/>
    <mergeCell ref="E381:G381"/>
    <mergeCell ref="E382:G382"/>
    <mergeCell ref="E396:G396"/>
    <mergeCell ref="E397:G397"/>
    <mergeCell ref="E398:G398"/>
    <mergeCell ref="E399:G399"/>
    <mergeCell ref="E400:G400"/>
    <mergeCell ref="E401:G401"/>
    <mergeCell ref="E389:G389"/>
    <mergeCell ref="E390:G390"/>
    <mergeCell ref="E392:G392"/>
    <mergeCell ref="E393:G393"/>
    <mergeCell ref="E394:G394"/>
    <mergeCell ref="E395:G395"/>
    <mergeCell ref="E408:G408"/>
    <mergeCell ref="E409:G409"/>
    <mergeCell ref="E410:G410"/>
    <mergeCell ref="E411:G411"/>
    <mergeCell ref="E412:G412"/>
    <mergeCell ref="E413:G413"/>
    <mergeCell ref="E402:G402"/>
    <mergeCell ref="E403:G403"/>
    <mergeCell ref="E404:G404"/>
    <mergeCell ref="E405:G405"/>
    <mergeCell ref="E406:G406"/>
    <mergeCell ref="E407:G407"/>
    <mergeCell ref="E420:G420"/>
    <mergeCell ref="E421:G421"/>
    <mergeCell ref="E422:G422"/>
    <mergeCell ref="E423:G423"/>
    <mergeCell ref="E424:G424"/>
    <mergeCell ref="E425:G425"/>
    <mergeCell ref="E414:G414"/>
    <mergeCell ref="E415:G415"/>
    <mergeCell ref="E416:G416"/>
    <mergeCell ref="E417:G417"/>
    <mergeCell ref="E418:G418"/>
    <mergeCell ref="E419:G419"/>
    <mergeCell ref="E433:G433"/>
    <mergeCell ref="E434:G434"/>
    <mergeCell ref="E435:G435"/>
    <mergeCell ref="E436:G436"/>
    <mergeCell ref="E437:G437"/>
    <mergeCell ref="E438:G438"/>
    <mergeCell ref="E426:G426"/>
    <mergeCell ref="E427:G427"/>
    <mergeCell ref="E428:G428"/>
    <mergeCell ref="E429:G429"/>
    <mergeCell ref="E430:G430"/>
    <mergeCell ref="E432:G432"/>
    <mergeCell ref="E446:G446"/>
    <mergeCell ref="E447:G447"/>
    <mergeCell ref="E448:G448"/>
    <mergeCell ref="E449:G449"/>
    <mergeCell ref="E450:G450"/>
    <mergeCell ref="E452:G452"/>
    <mergeCell ref="E439:G439"/>
    <mergeCell ref="E440:G440"/>
    <mergeCell ref="E442:G442"/>
    <mergeCell ref="E443:G443"/>
    <mergeCell ref="E444:G444"/>
    <mergeCell ref="E445:G445"/>
    <mergeCell ref="E460:G460"/>
    <mergeCell ref="E461:G461"/>
    <mergeCell ref="E462:G462"/>
    <mergeCell ref="E463:G463"/>
    <mergeCell ref="E464:G464"/>
    <mergeCell ref="E465:G465"/>
    <mergeCell ref="E453:G453"/>
    <mergeCell ref="E454:G454"/>
    <mergeCell ref="E455:G455"/>
    <mergeCell ref="E457:G457"/>
    <mergeCell ref="E458:G458"/>
    <mergeCell ref="E459:G459"/>
    <mergeCell ref="E472:G472"/>
    <mergeCell ref="E473:G473"/>
    <mergeCell ref="E474:G474"/>
    <mergeCell ref="E475:G475"/>
    <mergeCell ref="E476:G476"/>
    <mergeCell ref="E477:G477"/>
    <mergeCell ref="E466:G466"/>
    <mergeCell ref="E467:G467"/>
    <mergeCell ref="E468:G468"/>
    <mergeCell ref="E469:G469"/>
    <mergeCell ref="E470:G470"/>
    <mergeCell ref="E471:G471"/>
    <mergeCell ref="E484:G484"/>
    <mergeCell ref="E485:G485"/>
    <mergeCell ref="E486:G486"/>
    <mergeCell ref="E487:G487"/>
    <mergeCell ref="E488:G488"/>
    <mergeCell ref="E489:G489"/>
    <mergeCell ref="E478:G478"/>
    <mergeCell ref="E479:G479"/>
    <mergeCell ref="E480:G480"/>
    <mergeCell ref="E481:G481"/>
    <mergeCell ref="E482:G482"/>
    <mergeCell ref="E483:G483"/>
    <mergeCell ref="E508:G508"/>
    <mergeCell ref="E510:G510"/>
    <mergeCell ref="E512:G512"/>
    <mergeCell ref="E502:G502"/>
    <mergeCell ref="E503:G503"/>
    <mergeCell ref="E504:G504"/>
    <mergeCell ref="E505:G505"/>
    <mergeCell ref="E506:G506"/>
    <mergeCell ref="E507:G507"/>
    <mergeCell ref="E496:G496"/>
    <mergeCell ref="E497:G497"/>
    <mergeCell ref="E498:G498"/>
    <mergeCell ref="E499:G499"/>
    <mergeCell ref="E500:G500"/>
    <mergeCell ref="E501:G501"/>
    <mergeCell ref="E490:G490"/>
    <mergeCell ref="E491:G491"/>
    <mergeCell ref="E492:G492"/>
    <mergeCell ref="E493:G493"/>
    <mergeCell ref="E494:G494"/>
    <mergeCell ref="E495:G495"/>
    <mergeCell ref="M532:M533"/>
    <mergeCell ref="N532:O533"/>
    <mergeCell ref="P532:Q533"/>
    <mergeCell ref="N528:O528"/>
    <mergeCell ref="Q528:R528"/>
    <mergeCell ref="N529:O529"/>
    <mergeCell ref="Q529:R529"/>
    <mergeCell ref="N530:O530"/>
    <mergeCell ref="Q530:R530"/>
    <mergeCell ref="AI545:AS545"/>
    <mergeCell ref="C546:H546"/>
    <mergeCell ref="K546:O546"/>
    <mergeCell ref="Q546:U546"/>
    <mergeCell ref="W546:AA546"/>
    <mergeCell ref="AB546:AF546"/>
    <mergeCell ref="AI546:AS547"/>
    <mergeCell ref="C545:H545"/>
    <mergeCell ref="K545:O545"/>
    <mergeCell ref="Q545:U545"/>
    <mergeCell ref="W545:AA545"/>
    <mergeCell ref="AB545:AF545"/>
    <mergeCell ref="AO549:AP549"/>
    <mergeCell ref="AR549:AS549"/>
    <mergeCell ref="I550:I551"/>
    <mergeCell ref="M550:N551"/>
    <mergeCell ref="O550:O551"/>
    <mergeCell ref="S550:T551"/>
    <mergeCell ref="U550:U551"/>
    <mergeCell ref="Y550:Z551"/>
    <mergeCell ref="AA550:AA551"/>
    <mergeCell ref="AD550:AE551"/>
    <mergeCell ref="AF550:AF551"/>
    <mergeCell ref="AK550:AL551"/>
    <mergeCell ref="AM550:AM551"/>
    <mergeCell ref="AO550:AP550"/>
    <mergeCell ref="AR550:AS550"/>
    <mergeCell ref="AO551:AP551"/>
    <mergeCell ref="AR551:AS551"/>
    <mergeCell ref="M549:N549"/>
    <mergeCell ref="S549:T549"/>
    <mergeCell ref="Y549:Z549"/>
    <mergeCell ref="AD549:AE549"/>
    <mergeCell ref="AK549:AL549"/>
    <mergeCell ref="I555:I557"/>
    <mergeCell ref="K555:L557"/>
    <mergeCell ref="AL553:AM553"/>
    <mergeCell ref="AO553:AP553"/>
    <mergeCell ref="AR553:AS553"/>
    <mergeCell ref="K554:L554"/>
    <mergeCell ref="N554:O554"/>
    <mergeCell ref="Q554:R554"/>
    <mergeCell ref="T554:U554"/>
    <mergeCell ref="W554:X554"/>
    <mergeCell ref="Z554:AA554"/>
    <mergeCell ref="AB554:AC554"/>
    <mergeCell ref="AE554:AF554"/>
    <mergeCell ref="AI554:AJ554"/>
    <mergeCell ref="AL554:AM554"/>
    <mergeCell ref="AO554:AP554"/>
    <mergeCell ref="AR554:AS554"/>
    <mergeCell ref="N555:O557"/>
    <mergeCell ref="Q555:R557"/>
    <mergeCell ref="T555:U557"/>
    <mergeCell ref="W555:X557"/>
    <mergeCell ref="Z555:AA557"/>
    <mergeCell ref="AB555:AC557"/>
    <mergeCell ref="AE555:AF557"/>
    <mergeCell ref="AI555:AJ557"/>
    <mergeCell ref="AL555:AM557"/>
    <mergeCell ref="AO555:AP555"/>
    <mergeCell ref="AR555:AS555"/>
    <mergeCell ref="AO556:AP556"/>
    <mergeCell ref="AO557:AP557"/>
    <mergeCell ref="AL558:AM558"/>
    <mergeCell ref="AO558:AP558"/>
    <mergeCell ref="AR558:AS558"/>
    <mergeCell ref="AL559:AM559"/>
    <mergeCell ref="AO559:AP559"/>
    <mergeCell ref="AR559:AS559"/>
    <mergeCell ref="AO560:AP560"/>
    <mergeCell ref="AR560:AS560"/>
    <mergeCell ref="C562:H563"/>
    <mergeCell ref="I562:I563"/>
    <mergeCell ref="K562:O563"/>
    <mergeCell ref="Q562:U563"/>
    <mergeCell ref="W562:AA563"/>
    <mergeCell ref="AB562:AF563"/>
    <mergeCell ref="AL562:AM563"/>
    <mergeCell ref="AN562:AN563"/>
    <mergeCell ref="AO562:AP563"/>
    <mergeCell ref="AQ562:AR563"/>
    <mergeCell ref="N519:O519"/>
    <mergeCell ref="Q519:R519"/>
    <mergeCell ref="J520:K521"/>
    <mergeCell ref="L520:L521"/>
    <mergeCell ref="N520:O520"/>
    <mergeCell ref="Q520:R520"/>
    <mergeCell ref="N521:O521"/>
    <mergeCell ref="Q521:R521"/>
    <mergeCell ref="I515:K515"/>
    <mergeCell ref="I516:K519"/>
    <mergeCell ref="N523:O523"/>
    <mergeCell ref="Q523:R523"/>
    <mergeCell ref="K524:L524"/>
    <mergeCell ref="N524:O524"/>
    <mergeCell ref="Q524:R524"/>
    <mergeCell ref="K525:L527"/>
    <mergeCell ref="N525:O525"/>
    <mergeCell ref="Q525:R525"/>
    <mergeCell ref="N526:O526"/>
    <mergeCell ref="N527:O527"/>
    <mergeCell ref="C515:E515"/>
    <mergeCell ref="C532:E533"/>
    <mergeCell ref="F521:F524"/>
    <mergeCell ref="G521:G524"/>
    <mergeCell ref="F532:G533"/>
    <mergeCell ref="K532:K533"/>
    <mergeCell ref="I532:I533"/>
    <mergeCell ref="I525:I527"/>
    <mergeCell ref="K523:L523"/>
    <mergeCell ref="K528:L528"/>
    <mergeCell ref="K529:L529"/>
  </mergeCells>
  <printOptions horizontalCentered="1" verticalCentered="1"/>
  <pageMargins left="0.59055118110236227" right="0.23622047244094491" top="0.74803149606299213" bottom="0.35433070866141736" header="0.31496062992125984" footer="0.31496062992125984"/>
  <pageSetup paperSize="9" scale="3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3E60-8072-4FE8-A6EF-C1765E5E6091}">
  <sheetPr codeName="Sayfa21"/>
  <dimension ref="A2:M1147"/>
  <sheetViews>
    <sheetView tabSelected="1" view="pageBreakPreview" topLeftCell="A96" zoomScale="70" zoomScaleNormal="100" zoomScaleSheetLayoutView="70" workbookViewId="0">
      <selection activeCell="N96" sqref="N1:T1048576"/>
    </sheetView>
  </sheetViews>
  <sheetFormatPr defaultRowHeight="15" customHeight="1" x14ac:dyDescent="0.3"/>
  <cols>
    <col min="1" max="2" width="8.88671875" style="11"/>
    <col min="3" max="3" width="8.88671875" style="28"/>
    <col min="4" max="4" width="8.88671875" style="11"/>
    <col min="5" max="7" width="25.77734375" style="11" customWidth="1"/>
    <col min="8" max="8" width="10.109375" style="11" customWidth="1"/>
    <col min="9" max="9" width="11.77734375" style="11" hidden="1" customWidth="1"/>
    <col min="10" max="10" width="11.77734375" style="613" hidden="1" customWidth="1"/>
    <col min="11" max="11" width="25" style="11" customWidth="1"/>
    <col min="12" max="13" width="20.77734375" style="11" customWidth="1"/>
    <col min="14" max="16384" width="8.88671875" style="11"/>
  </cols>
  <sheetData>
    <row r="2" spans="3:13" s="222" customFormat="1" ht="15" customHeight="1" x14ac:dyDescent="0.3">
      <c r="C2" s="982" t="s">
        <v>118</v>
      </c>
      <c r="D2" s="982"/>
      <c r="E2" s="982"/>
      <c r="F2" s="982"/>
      <c r="G2" s="982"/>
      <c r="H2" s="982"/>
      <c r="I2" s="982"/>
      <c r="J2" s="982"/>
      <c r="K2" s="982"/>
      <c r="L2" s="982"/>
      <c r="M2" s="982"/>
    </row>
    <row r="3" spans="3:13" s="222" customFormat="1" ht="15" customHeight="1" x14ac:dyDescent="0.3">
      <c r="C3" s="982" t="s">
        <v>1161</v>
      </c>
      <c r="D3" s="982"/>
      <c r="E3" s="982"/>
      <c r="F3" s="982"/>
      <c r="G3" s="982"/>
      <c r="H3" s="982"/>
      <c r="I3" s="982"/>
      <c r="J3" s="982"/>
      <c r="K3" s="982"/>
      <c r="L3" s="982"/>
      <c r="M3" s="982"/>
    </row>
    <row r="4" spans="3:13" s="222" customFormat="1" ht="15" customHeight="1" x14ac:dyDescent="0.3">
      <c r="C4" s="983" t="s">
        <v>1434</v>
      </c>
      <c r="D4" s="983"/>
      <c r="E4" s="983"/>
      <c r="F4" s="983"/>
      <c r="G4" s="983"/>
      <c r="H4" s="983"/>
      <c r="I4" s="983"/>
      <c r="J4" s="983"/>
      <c r="K4" s="983"/>
      <c r="L4" s="983"/>
      <c r="M4" s="983"/>
    </row>
    <row r="5" spans="3:13" s="222" customFormat="1" ht="15" customHeight="1" x14ac:dyDescent="0.3">
      <c r="C5" s="983" t="s">
        <v>1435</v>
      </c>
      <c r="D5" s="983"/>
      <c r="E5" s="983"/>
      <c r="F5" s="983"/>
      <c r="G5" s="983"/>
      <c r="H5" s="983"/>
      <c r="I5" s="983"/>
      <c r="J5" s="983"/>
      <c r="K5" s="983"/>
      <c r="L5" s="983"/>
      <c r="M5" s="983"/>
    </row>
    <row r="6" spans="3:13" s="222" customFormat="1" ht="15" customHeight="1" x14ac:dyDescent="0.3">
      <c r="C6" s="983"/>
      <c r="D6" s="983"/>
      <c r="E6" s="983"/>
      <c r="F6" s="983"/>
      <c r="G6" s="983"/>
      <c r="H6" s="983"/>
      <c r="I6" s="983"/>
      <c r="J6" s="983"/>
      <c r="K6" s="983"/>
      <c r="L6" s="983"/>
      <c r="M6" s="983"/>
    </row>
    <row r="7" spans="3:13" s="222" customFormat="1" ht="15" customHeight="1" x14ac:dyDescent="0.3">
      <c r="C7" s="983" t="s">
        <v>37</v>
      </c>
      <c r="D7" s="983"/>
      <c r="E7" s="983"/>
      <c r="F7" s="983"/>
      <c r="G7" s="983"/>
      <c r="H7" s="983"/>
      <c r="I7" s="983"/>
      <c r="J7" s="983"/>
      <c r="K7" s="983"/>
      <c r="L7" s="983"/>
      <c r="M7" s="983"/>
    </row>
    <row r="8" spans="3:13" s="222" customFormat="1" ht="15" customHeight="1" x14ac:dyDescent="0.3">
      <c r="C8" s="112"/>
      <c r="D8" s="112"/>
      <c r="E8" s="112"/>
      <c r="F8" s="112"/>
      <c r="G8" s="112"/>
      <c r="H8" s="112"/>
      <c r="I8" s="112"/>
      <c r="J8" s="614"/>
      <c r="K8" s="112"/>
      <c r="L8" s="112"/>
      <c r="M8" s="112"/>
    </row>
    <row r="9" spans="3:13" ht="15" customHeight="1" x14ac:dyDescent="0.3">
      <c r="C9" s="1379" t="s">
        <v>212</v>
      </c>
      <c r="D9" s="1380"/>
      <c r="E9" s="1380"/>
      <c r="F9" s="1380"/>
      <c r="G9" s="1380"/>
      <c r="H9" s="1380"/>
      <c r="I9" s="1380"/>
      <c r="J9" s="1380"/>
      <c r="K9" s="1380"/>
      <c r="L9" s="1380"/>
      <c r="M9" s="1381"/>
    </row>
    <row r="10" spans="3:13" ht="15" customHeight="1" x14ac:dyDescent="0.3">
      <c r="C10" s="1382"/>
      <c r="D10" s="1383"/>
      <c r="E10" s="1383"/>
      <c r="F10" s="1383"/>
      <c r="G10" s="1383"/>
      <c r="H10" s="1383"/>
      <c r="I10" s="1383"/>
      <c r="J10" s="1383"/>
      <c r="K10" s="1383"/>
      <c r="L10" s="1383"/>
      <c r="M10" s="1384"/>
    </row>
    <row r="11" spans="3:13" ht="15" customHeight="1" x14ac:dyDescent="0.3">
      <c r="C11" s="806" t="str">
        <f>"Hakediş No: "&amp;Veri!C21&amp;"   Hakediş Tarihi:  "&amp;TEXT(Veri!C22,"gg.aa.yyyy")</f>
        <v>Hakediş No: 6   Hakediş Tarihi:  30.04.2026</v>
      </c>
      <c r="L11" s="111"/>
    </row>
    <row r="12" spans="3:13" ht="15" customHeight="1" x14ac:dyDescent="0.3">
      <c r="E12" s="111"/>
      <c r="F12" s="111"/>
      <c r="G12" s="111"/>
      <c r="H12" s="104"/>
      <c r="K12" s="1010"/>
      <c r="L12" s="1010"/>
      <c r="M12" s="1010"/>
    </row>
    <row r="13" spans="3:13" ht="30" customHeight="1" x14ac:dyDescent="0.3">
      <c r="C13" s="209" t="s">
        <v>1156</v>
      </c>
      <c r="D13" s="209" t="s">
        <v>1157</v>
      </c>
      <c r="E13" s="1385" t="s">
        <v>1155</v>
      </c>
      <c r="F13" s="1386"/>
      <c r="G13" s="1387"/>
      <c r="H13" s="209" t="s">
        <v>1154</v>
      </c>
      <c r="I13" s="208" t="s">
        <v>1153</v>
      </c>
      <c r="J13" s="615" t="s">
        <v>1454</v>
      </c>
      <c r="K13" s="208" t="s">
        <v>1480</v>
      </c>
      <c r="L13" s="208" t="s">
        <v>1481</v>
      </c>
      <c r="M13" s="208" t="s">
        <v>1482</v>
      </c>
    </row>
    <row r="14" spans="3:13" ht="30" customHeight="1" x14ac:dyDescent="0.3">
      <c r="C14" s="277"/>
      <c r="D14" s="232" t="s">
        <v>1223</v>
      </c>
      <c r="E14" s="660"/>
      <c r="F14" s="661"/>
      <c r="G14" s="662"/>
      <c r="H14" s="277"/>
      <c r="I14" s="653"/>
      <c r="J14" s="663"/>
      <c r="K14" s="653"/>
      <c r="L14" s="653"/>
      <c r="M14" s="653"/>
    </row>
    <row r="15" spans="3:13" ht="30" customHeight="1" x14ac:dyDescent="0.3">
      <c r="C15" s="277"/>
      <c r="D15" s="232" t="s">
        <v>1224</v>
      </c>
      <c r="E15" s="660"/>
      <c r="F15" s="661"/>
      <c r="G15" s="662"/>
      <c r="H15" s="277"/>
      <c r="I15" s="653"/>
      <c r="J15" s="663"/>
      <c r="K15" s="653"/>
      <c r="L15" s="653"/>
      <c r="M15" s="653"/>
    </row>
    <row r="16" spans="3:13" ht="30" customHeight="1" x14ac:dyDescent="0.3">
      <c r="C16" s="160">
        <v>1</v>
      </c>
      <c r="D16" s="210" t="s">
        <v>223</v>
      </c>
      <c r="E16" s="992" t="s">
        <v>224</v>
      </c>
      <c r="F16" s="993"/>
      <c r="G16" s="994"/>
      <c r="H16" s="160" t="s">
        <v>225</v>
      </c>
      <c r="I16" s="211">
        <v>4600</v>
      </c>
      <c r="J16" s="616"/>
      <c r="K16" s="495"/>
      <c r="L16" s="224"/>
      <c r="M16" s="495"/>
    </row>
    <row r="17" spans="3:13" ht="30" customHeight="1" x14ac:dyDescent="0.3">
      <c r="C17" s="161">
        <v>2</v>
      </c>
      <c r="D17" s="161" t="s">
        <v>226</v>
      </c>
      <c r="E17" s="969" t="s">
        <v>227</v>
      </c>
      <c r="F17" s="970"/>
      <c r="G17" s="971"/>
      <c r="H17" s="161" t="s">
        <v>228</v>
      </c>
      <c r="I17" s="212">
        <v>528.66</v>
      </c>
      <c r="J17" s="617"/>
      <c r="K17" s="212"/>
      <c r="L17" s="225"/>
      <c r="M17" s="212"/>
    </row>
    <row r="18" spans="3:13" ht="30" customHeight="1" x14ac:dyDescent="0.3">
      <c r="C18" s="161">
        <v>3</v>
      </c>
      <c r="D18" s="161" t="s">
        <v>229</v>
      </c>
      <c r="E18" s="969" t="s">
        <v>230</v>
      </c>
      <c r="F18" s="970"/>
      <c r="G18" s="971"/>
      <c r="H18" s="161" t="s">
        <v>228</v>
      </c>
      <c r="I18" s="212">
        <v>550.69000000000005</v>
      </c>
      <c r="J18" s="617"/>
      <c r="K18" s="212"/>
      <c r="L18" s="225"/>
      <c r="M18" s="212"/>
    </row>
    <row r="19" spans="3:13" ht="30" customHeight="1" x14ac:dyDescent="0.3">
      <c r="C19" s="161">
        <v>4</v>
      </c>
      <c r="D19" s="161" t="s">
        <v>231</v>
      </c>
      <c r="E19" s="969" t="s">
        <v>232</v>
      </c>
      <c r="F19" s="970"/>
      <c r="G19" s="971"/>
      <c r="H19" s="161" t="s">
        <v>228</v>
      </c>
      <c r="I19" s="212">
        <v>440.55</v>
      </c>
      <c r="J19" s="617"/>
      <c r="K19" s="212"/>
      <c r="L19" s="225"/>
      <c r="M19" s="212"/>
    </row>
    <row r="20" spans="3:13" ht="30" customHeight="1" x14ac:dyDescent="0.3">
      <c r="C20" s="161">
        <v>5</v>
      </c>
      <c r="D20" s="213" t="s">
        <v>233</v>
      </c>
      <c r="E20" s="969" t="s">
        <v>234</v>
      </c>
      <c r="F20" s="970"/>
      <c r="G20" s="971"/>
      <c r="H20" s="161" t="s">
        <v>228</v>
      </c>
      <c r="I20" s="212">
        <v>175497.85</v>
      </c>
      <c r="J20" s="617"/>
      <c r="K20" s="212"/>
      <c r="L20" s="225"/>
      <c r="M20" s="212"/>
    </row>
    <row r="21" spans="3:13" ht="30" customHeight="1" x14ac:dyDescent="0.3">
      <c r="C21" s="161">
        <v>6</v>
      </c>
      <c r="D21" s="161" t="s">
        <v>235</v>
      </c>
      <c r="E21" s="969" t="s">
        <v>236</v>
      </c>
      <c r="F21" s="970"/>
      <c r="G21" s="971"/>
      <c r="H21" s="161" t="s">
        <v>228</v>
      </c>
      <c r="I21" s="212">
        <v>26184.71</v>
      </c>
      <c r="J21" s="617"/>
      <c r="K21" s="212"/>
      <c r="L21" s="225"/>
      <c r="M21" s="212"/>
    </row>
    <row r="22" spans="3:13" ht="30" customHeight="1" x14ac:dyDescent="0.3">
      <c r="C22" s="161">
        <v>7</v>
      </c>
      <c r="D22" s="161" t="s">
        <v>237</v>
      </c>
      <c r="E22" s="969" t="s">
        <v>238</v>
      </c>
      <c r="F22" s="970"/>
      <c r="G22" s="971"/>
      <c r="H22" s="161" t="s">
        <v>228</v>
      </c>
      <c r="I22" s="212">
        <v>27657.96</v>
      </c>
      <c r="J22" s="617"/>
      <c r="K22" s="212"/>
      <c r="L22" s="225"/>
      <c r="M22" s="212"/>
    </row>
    <row r="23" spans="3:13" ht="30" customHeight="1" x14ac:dyDescent="0.3">
      <c r="C23" s="161">
        <v>8</v>
      </c>
      <c r="D23" s="213" t="s">
        <v>239</v>
      </c>
      <c r="E23" s="969" t="s">
        <v>240</v>
      </c>
      <c r="F23" s="970"/>
      <c r="G23" s="971"/>
      <c r="H23" s="161" t="s">
        <v>228</v>
      </c>
      <c r="I23" s="212">
        <v>1734</v>
      </c>
      <c r="J23" s="617"/>
      <c r="K23" s="212"/>
      <c r="L23" s="225"/>
      <c r="M23" s="212"/>
    </row>
    <row r="24" spans="3:13" ht="30" customHeight="1" x14ac:dyDescent="0.3">
      <c r="C24" s="161">
        <v>9</v>
      </c>
      <c r="D24" s="161" t="s">
        <v>241</v>
      </c>
      <c r="E24" s="969" t="s">
        <v>242</v>
      </c>
      <c r="F24" s="970"/>
      <c r="G24" s="971"/>
      <c r="H24" s="161" t="s">
        <v>202</v>
      </c>
      <c r="I24" s="212">
        <v>1884</v>
      </c>
      <c r="J24" s="617"/>
      <c r="K24" s="212"/>
      <c r="L24" s="225"/>
      <c r="M24" s="212"/>
    </row>
    <row r="25" spans="3:13" ht="30" customHeight="1" x14ac:dyDescent="0.3">
      <c r="C25" s="161">
        <v>10</v>
      </c>
      <c r="D25" s="161" t="s">
        <v>243</v>
      </c>
      <c r="E25" s="969" t="s">
        <v>244</v>
      </c>
      <c r="F25" s="970"/>
      <c r="G25" s="971"/>
      <c r="H25" s="161" t="s">
        <v>202</v>
      </c>
      <c r="I25" s="212">
        <v>960</v>
      </c>
      <c r="J25" s="617"/>
      <c r="K25" s="212"/>
      <c r="L25" s="225"/>
      <c r="M25" s="212"/>
    </row>
    <row r="26" spans="3:13" ht="30" customHeight="1" x14ac:dyDescent="0.3">
      <c r="C26" s="161">
        <v>11</v>
      </c>
      <c r="D26" s="161" t="s">
        <v>245</v>
      </c>
      <c r="E26" s="969" t="s">
        <v>246</v>
      </c>
      <c r="F26" s="970"/>
      <c r="G26" s="971"/>
      <c r="H26" s="161" t="s">
        <v>247</v>
      </c>
      <c r="I26" s="212">
        <v>530</v>
      </c>
      <c r="J26" s="617"/>
      <c r="K26" s="212"/>
      <c r="L26" s="225"/>
      <c r="M26" s="212"/>
    </row>
    <row r="27" spans="3:13" ht="30" customHeight="1" x14ac:dyDescent="0.3">
      <c r="C27" s="161">
        <v>12</v>
      </c>
      <c r="D27" s="161" t="s">
        <v>248</v>
      </c>
      <c r="E27" s="969" t="s">
        <v>249</v>
      </c>
      <c r="F27" s="970"/>
      <c r="G27" s="971"/>
      <c r="H27" s="161" t="s">
        <v>247</v>
      </c>
      <c r="I27" s="212">
        <v>408</v>
      </c>
      <c r="J27" s="617"/>
      <c r="K27" s="212"/>
      <c r="L27" s="225"/>
      <c r="M27" s="212"/>
    </row>
    <row r="28" spans="3:13" ht="30" customHeight="1" x14ac:dyDescent="0.3">
      <c r="C28" s="161">
        <v>13</v>
      </c>
      <c r="D28" s="161" t="s">
        <v>250</v>
      </c>
      <c r="E28" s="969" t="s">
        <v>251</v>
      </c>
      <c r="F28" s="970"/>
      <c r="G28" s="971"/>
      <c r="H28" s="161" t="s">
        <v>247</v>
      </c>
      <c r="I28" s="212">
        <v>396</v>
      </c>
      <c r="J28" s="617"/>
      <c r="K28" s="212"/>
      <c r="L28" s="225"/>
      <c r="M28" s="212"/>
    </row>
    <row r="29" spans="3:13" ht="30" customHeight="1" x14ac:dyDescent="0.3">
      <c r="C29" s="161">
        <v>14</v>
      </c>
      <c r="D29" s="161" t="s">
        <v>252</v>
      </c>
      <c r="E29" s="969" t="s">
        <v>253</v>
      </c>
      <c r="F29" s="970"/>
      <c r="G29" s="971"/>
      <c r="H29" s="161" t="s">
        <v>247</v>
      </c>
      <c r="I29" s="212">
        <v>396</v>
      </c>
      <c r="J29" s="617"/>
      <c r="K29" s="212"/>
      <c r="L29" s="225"/>
      <c r="M29" s="212"/>
    </row>
    <row r="30" spans="3:13" ht="30" customHeight="1" x14ac:dyDescent="0.3">
      <c r="C30" s="161">
        <v>15</v>
      </c>
      <c r="D30" s="213" t="s">
        <v>254</v>
      </c>
      <c r="E30" s="969" t="s">
        <v>255</v>
      </c>
      <c r="F30" s="970"/>
      <c r="G30" s="971"/>
      <c r="H30" s="161" t="s">
        <v>225</v>
      </c>
      <c r="I30" s="212">
        <v>138744.07</v>
      </c>
      <c r="J30" s="617"/>
      <c r="K30" s="212"/>
      <c r="L30" s="225"/>
      <c r="M30" s="212"/>
    </row>
    <row r="31" spans="3:13" ht="30" customHeight="1" x14ac:dyDescent="0.3">
      <c r="C31" s="161">
        <v>16</v>
      </c>
      <c r="D31" s="161" t="s">
        <v>256</v>
      </c>
      <c r="E31" s="969" t="s">
        <v>257</v>
      </c>
      <c r="F31" s="970"/>
      <c r="G31" s="971"/>
      <c r="H31" s="161" t="s">
        <v>228</v>
      </c>
      <c r="I31" s="212">
        <v>43459.98</v>
      </c>
      <c r="J31" s="617"/>
      <c r="K31" s="212"/>
      <c r="L31" s="225"/>
      <c r="M31" s="212"/>
    </row>
    <row r="32" spans="3:13" ht="30" customHeight="1" x14ac:dyDescent="0.3">
      <c r="C32" s="161">
        <v>17</v>
      </c>
      <c r="D32" s="161" t="s">
        <v>258</v>
      </c>
      <c r="E32" s="969" t="s">
        <v>259</v>
      </c>
      <c r="F32" s="970"/>
      <c r="G32" s="971"/>
      <c r="H32" s="161" t="s">
        <v>228</v>
      </c>
      <c r="I32" s="212">
        <v>115476.85</v>
      </c>
      <c r="J32" s="617"/>
      <c r="K32" s="212"/>
      <c r="L32" s="225"/>
      <c r="M32" s="212"/>
    </row>
    <row r="33" spans="3:13" ht="30" customHeight="1" x14ac:dyDescent="0.3">
      <c r="C33" s="161">
        <v>18</v>
      </c>
      <c r="D33" s="161" t="s">
        <v>260</v>
      </c>
      <c r="E33" s="969" t="s">
        <v>261</v>
      </c>
      <c r="F33" s="970"/>
      <c r="G33" s="971"/>
      <c r="H33" s="161" t="s">
        <v>262</v>
      </c>
      <c r="I33" s="703">
        <v>20487.48</v>
      </c>
      <c r="J33" s="814"/>
      <c r="K33" s="703"/>
      <c r="L33" s="225"/>
      <c r="M33" s="703"/>
    </row>
    <row r="34" spans="3:13" ht="30" customHeight="1" x14ac:dyDescent="0.3">
      <c r="C34" s="161">
        <v>18</v>
      </c>
      <c r="D34" s="161" t="s">
        <v>260</v>
      </c>
      <c r="E34" s="969" t="s">
        <v>261</v>
      </c>
      <c r="F34" s="970"/>
      <c r="G34" s="971"/>
      <c r="H34" s="161" t="s">
        <v>262</v>
      </c>
      <c r="I34" s="212">
        <v>20487.48</v>
      </c>
      <c r="J34" s="617"/>
      <c r="K34" s="212"/>
      <c r="L34" s="225"/>
      <c r="M34" s="212"/>
    </row>
    <row r="35" spans="3:13" ht="30" customHeight="1" x14ac:dyDescent="0.3">
      <c r="C35" s="161">
        <v>19</v>
      </c>
      <c r="D35" s="161" t="s">
        <v>263</v>
      </c>
      <c r="E35" s="969" t="s">
        <v>264</v>
      </c>
      <c r="F35" s="970"/>
      <c r="G35" s="971"/>
      <c r="H35" s="161" t="s">
        <v>262</v>
      </c>
      <c r="I35" s="212">
        <v>67.77</v>
      </c>
      <c r="J35" s="617"/>
      <c r="K35" s="212"/>
      <c r="L35" s="225"/>
      <c r="M35" s="212"/>
    </row>
    <row r="36" spans="3:13" ht="30" customHeight="1" x14ac:dyDescent="0.3">
      <c r="C36" s="161">
        <v>20</v>
      </c>
      <c r="D36" s="161" t="s">
        <v>265</v>
      </c>
      <c r="E36" s="969" t="s">
        <v>266</v>
      </c>
      <c r="F36" s="970"/>
      <c r="G36" s="971"/>
      <c r="H36" s="161" t="s">
        <v>225</v>
      </c>
      <c r="I36" s="212">
        <v>42149.53</v>
      </c>
      <c r="J36" s="617"/>
      <c r="K36" s="212"/>
      <c r="L36" s="225"/>
      <c r="M36" s="212"/>
    </row>
    <row r="37" spans="3:13" ht="30" customHeight="1" x14ac:dyDescent="0.3">
      <c r="C37" s="161">
        <v>21</v>
      </c>
      <c r="D37" s="161" t="s">
        <v>267</v>
      </c>
      <c r="E37" s="969" t="s">
        <v>268</v>
      </c>
      <c r="F37" s="970"/>
      <c r="G37" s="971"/>
      <c r="H37" s="161" t="s">
        <v>225</v>
      </c>
      <c r="I37" s="212">
        <v>12946.85</v>
      </c>
      <c r="J37" s="617"/>
      <c r="K37" s="212"/>
      <c r="L37" s="225"/>
      <c r="M37" s="212"/>
    </row>
    <row r="38" spans="3:13" ht="30" customHeight="1" x14ac:dyDescent="0.3">
      <c r="C38" s="161">
        <v>22</v>
      </c>
      <c r="D38" s="161" t="s">
        <v>269</v>
      </c>
      <c r="E38" s="969" t="s">
        <v>270</v>
      </c>
      <c r="F38" s="970"/>
      <c r="G38" s="971"/>
      <c r="H38" s="161" t="s">
        <v>225</v>
      </c>
      <c r="I38" s="212">
        <v>12871.85</v>
      </c>
      <c r="J38" s="617"/>
      <c r="K38" s="212"/>
      <c r="L38" s="225"/>
      <c r="M38" s="212"/>
    </row>
    <row r="39" spans="3:13" ht="30" customHeight="1" x14ac:dyDescent="0.3">
      <c r="C39" s="161">
        <v>23</v>
      </c>
      <c r="D39" s="213" t="s">
        <v>271</v>
      </c>
      <c r="E39" s="969" t="s">
        <v>272</v>
      </c>
      <c r="F39" s="970"/>
      <c r="G39" s="971"/>
      <c r="H39" s="161" t="s">
        <v>202</v>
      </c>
      <c r="I39" s="212">
        <v>14706.45</v>
      </c>
      <c r="J39" s="617"/>
      <c r="K39" s="212"/>
      <c r="L39" s="225"/>
      <c r="M39" s="212"/>
    </row>
    <row r="40" spans="3:13" ht="30" customHeight="1" x14ac:dyDescent="0.3">
      <c r="C40" s="161">
        <v>24</v>
      </c>
      <c r="D40" s="161" t="s">
        <v>273</v>
      </c>
      <c r="E40" s="969" t="s">
        <v>274</v>
      </c>
      <c r="F40" s="970"/>
      <c r="G40" s="971"/>
      <c r="H40" s="161" t="s">
        <v>225</v>
      </c>
      <c r="I40" s="212">
        <v>3073.23</v>
      </c>
      <c r="J40" s="617"/>
      <c r="K40" s="212"/>
      <c r="L40" s="225"/>
      <c r="M40" s="212"/>
    </row>
    <row r="41" spans="3:13" ht="30" customHeight="1" x14ac:dyDescent="0.3">
      <c r="C41" s="160">
        <v>25</v>
      </c>
      <c r="D41" s="160" t="s">
        <v>275</v>
      </c>
      <c r="E41" s="992" t="s">
        <v>276</v>
      </c>
      <c r="F41" s="993"/>
      <c r="G41" s="994"/>
      <c r="H41" s="160" t="s">
        <v>225</v>
      </c>
      <c r="I41" s="211">
        <v>2679.52</v>
      </c>
      <c r="J41" s="616"/>
      <c r="K41" s="489"/>
      <c r="L41" s="490"/>
      <c r="M41" s="489"/>
    </row>
    <row r="42" spans="3:13" ht="30" customHeight="1" x14ac:dyDescent="0.3">
      <c r="C42" s="161">
        <v>26</v>
      </c>
      <c r="D42" s="161" t="s">
        <v>277</v>
      </c>
      <c r="E42" s="969" t="s">
        <v>278</v>
      </c>
      <c r="F42" s="970"/>
      <c r="G42" s="971"/>
      <c r="H42" s="161" t="s">
        <v>225</v>
      </c>
      <c r="I42" s="212">
        <v>4321.2299999999996</v>
      </c>
      <c r="J42" s="617"/>
      <c r="K42" s="226"/>
      <c r="L42" s="227"/>
      <c r="M42" s="226"/>
    </row>
    <row r="43" spans="3:13" ht="30" customHeight="1" x14ac:dyDescent="0.3">
      <c r="C43" s="161">
        <v>27</v>
      </c>
      <c r="D43" s="161" t="s">
        <v>279</v>
      </c>
      <c r="E43" s="969" t="s">
        <v>280</v>
      </c>
      <c r="F43" s="970"/>
      <c r="G43" s="971"/>
      <c r="H43" s="161" t="s">
        <v>225</v>
      </c>
      <c r="I43" s="212">
        <v>8103.7</v>
      </c>
      <c r="J43" s="617"/>
      <c r="K43" s="226"/>
      <c r="L43" s="227"/>
      <c r="M43" s="226"/>
    </row>
    <row r="44" spans="3:13" ht="30" customHeight="1" x14ac:dyDescent="0.3">
      <c r="C44" s="161">
        <v>28</v>
      </c>
      <c r="D44" s="161" t="s">
        <v>281</v>
      </c>
      <c r="E44" s="969" t="s">
        <v>282</v>
      </c>
      <c r="F44" s="970"/>
      <c r="G44" s="971"/>
      <c r="H44" s="161" t="s">
        <v>225</v>
      </c>
      <c r="I44" s="212">
        <v>3944.25</v>
      </c>
      <c r="J44" s="617"/>
      <c r="K44" s="226"/>
      <c r="L44" s="227"/>
      <c r="M44" s="226"/>
    </row>
    <row r="45" spans="3:13" ht="30" customHeight="1" x14ac:dyDescent="0.3">
      <c r="C45" s="1375" t="s">
        <v>33</v>
      </c>
      <c r="D45" s="1375"/>
      <c r="E45" s="1375"/>
      <c r="F45" s="1376" t="s">
        <v>29</v>
      </c>
      <c r="G45" s="1376"/>
      <c r="H45" s="1375" t="s">
        <v>22</v>
      </c>
      <c r="I45" s="1375"/>
      <c r="J45" s="1375"/>
      <c r="K45" s="1375"/>
      <c r="L45" s="1375"/>
      <c r="M45" s="1375"/>
    </row>
    <row r="46" spans="3:13" ht="19.95" customHeight="1" x14ac:dyDescent="0.3">
      <c r="C46" s="1024" t="s">
        <v>1214</v>
      </c>
      <c r="D46" s="1024"/>
      <c r="E46" s="1024"/>
      <c r="F46" s="1280" t="s">
        <v>38</v>
      </c>
      <c r="G46" s="1280"/>
      <c r="H46" s="1280" t="s">
        <v>1437</v>
      </c>
      <c r="I46" s="1280"/>
      <c r="J46" s="1280"/>
      <c r="K46" s="1280"/>
      <c r="L46" s="1280"/>
      <c r="M46" s="1280"/>
    </row>
    <row r="47" spans="3:13" ht="19.95" customHeight="1" x14ac:dyDescent="0.3">
      <c r="D47" s="28"/>
      <c r="E47" s="28"/>
      <c r="F47" s="109"/>
      <c r="G47" s="109"/>
      <c r="H47" s="1280"/>
      <c r="I47" s="1280"/>
      <c r="J47" s="1280"/>
      <c r="K47" s="1280"/>
      <c r="L47" s="1280"/>
      <c r="M47" s="1280"/>
    </row>
    <row r="48" spans="3:13" ht="15" customHeight="1" x14ac:dyDescent="0.3">
      <c r="D48" s="28"/>
      <c r="E48" s="666"/>
      <c r="F48" s="666"/>
      <c r="G48" s="666"/>
      <c r="H48" s="1280"/>
      <c r="I48" s="1280"/>
      <c r="J48" s="1280"/>
      <c r="K48" s="1280"/>
      <c r="L48" s="1280"/>
      <c r="M48" s="1280"/>
    </row>
    <row r="49" spans="1:13" ht="15" customHeight="1" x14ac:dyDescent="0.3">
      <c r="D49" s="28"/>
      <c r="E49" s="666"/>
      <c r="F49" s="666"/>
      <c r="G49" s="666"/>
      <c r="H49" s="1280"/>
      <c r="I49" s="1280"/>
      <c r="J49" s="1280"/>
      <c r="K49" s="1280"/>
      <c r="L49" s="1280"/>
      <c r="M49" s="1280"/>
    </row>
    <row r="50" spans="1:13" ht="15" customHeight="1" x14ac:dyDescent="0.3">
      <c r="D50" s="28"/>
      <c r="E50" s="666"/>
      <c r="F50" s="666"/>
      <c r="G50" s="666"/>
      <c r="H50" s="109"/>
      <c r="I50" s="109"/>
      <c r="J50" s="667"/>
      <c r="K50" s="109"/>
      <c r="L50" s="109"/>
      <c r="M50" s="109"/>
    </row>
    <row r="51" spans="1:13" ht="15" customHeight="1" x14ac:dyDescent="0.3">
      <c r="D51" s="28"/>
      <c r="E51" s="666"/>
      <c r="F51" s="666"/>
      <c r="G51" s="666"/>
      <c r="H51" s="1280"/>
      <c r="I51" s="1280"/>
      <c r="J51" s="1280"/>
      <c r="K51" s="110" t="s">
        <v>54</v>
      </c>
      <c r="L51" s="1280" t="s">
        <v>27</v>
      </c>
      <c r="M51" s="1280"/>
    </row>
    <row r="52" spans="1:13" ht="15" customHeight="1" x14ac:dyDescent="0.3">
      <c r="D52" s="28"/>
      <c r="E52" s="666"/>
      <c r="F52" s="666"/>
      <c r="G52" s="666"/>
      <c r="H52" s="1280"/>
      <c r="I52" s="1280"/>
      <c r="J52" s="1280"/>
      <c r="K52" s="110" t="s">
        <v>1484</v>
      </c>
      <c r="L52" s="1280" t="s">
        <v>1484</v>
      </c>
      <c r="M52" s="1280"/>
    </row>
    <row r="53" spans="1:13" ht="15" customHeight="1" x14ac:dyDescent="0.3">
      <c r="D53" s="28"/>
      <c r="E53" s="666"/>
      <c r="F53" s="110"/>
      <c r="G53" s="110"/>
      <c r="H53" s="1280"/>
      <c r="I53" s="1280"/>
      <c r="J53" s="1280"/>
      <c r="K53" s="110"/>
      <c r="L53" s="1280"/>
      <c r="M53" s="1280"/>
    </row>
    <row r="54" spans="1:13" ht="15" customHeight="1" x14ac:dyDescent="0.3">
      <c r="D54" s="28"/>
      <c r="E54" s="666"/>
      <c r="F54" s="1280" t="s">
        <v>1411</v>
      </c>
      <c r="G54" s="1280"/>
      <c r="H54" s="28"/>
      <c r="I54" s="214"/>
      <c r="J54" s="618"/>
      <c r="K54" s="28"/>
    </row>
    <row r="55" spans="1:13" ht="15" customHeight="1" x14ac:dyDescent="0.3">
      <c r="D55" s="28"/>
      <c r="E55" s="666"/>
      <c r="F55" s="1280"/>
      <c r="G55" s="1280"/>
    </row>
    <row r="56" spans="1:13" ht="15" customHeight="1" x14ac:dyDescent="0.3">
      <c r="D56" s="28"/>
      <c r="E56" s="666"/>
      <c r="F56" s="109"/>
      <c r="G56" s="109"/>
      <c r="H56" s="1024"/>
      <c r="I56" s="1024"/>
      <c r="J56" s="1024"/>
      <c r="K56" s="11" t="s">
        <v>55</v>
      </c>
    </row>
    <row r="57" spans="1:13" ht="15" customHeight="1" x14ac:dyDescent="0.3">
      <c r="D57" s="28"/>
      <c r="E57" s="666"/>
      <c r="F57" s="109"/>
      <c r="G57" s="109"/>
      <c r="H57" s="1280"/>
      <c r="I57" s="1280"/>
      <c r="J57" s="1280"/>
      <c r="K57" s="110" t="s">
        <v>1484</v>
      </c>
    </row>
    <row r="58" spans="1:13" ht="15" customHeight="1" x14ac:dyDescent="0.3">
      <c r="D58" s="28"/>
      <c r="E58" s="666"/>
      <c r="F58" s="109"/>
      <c r="G58" s="109"/>
      <c r="H58" s="1280"/>
      <c r="I58" s="1280"/>
      <c r="J58" s="1280"/>
      <c r="K58" s="110"/>
    </row>
    <row r="59" spans="1:13" ht="15" customHeight="1" x14ac:dyDescent="0.3">
      <c r="D59" s="28"/>
      <c r="E59" s="666"/>
      <c r="F59" s="109"/>
      <c r="G59" s="109"/>
      <c r="H59" s="28"/>
      <c r="I59" s="214"/>
      <c r="J59" s="618"/>
    </row>
    <row r="60" spans="1:13" ht="15" customHeight="1" x14ac:dyDescent="0.3">
      <c r="D60" s="28"/>
      <c r="E60" s="666"/>
      <c r="F60" s="666"/>
      <c r="G60" s="666"/>
      <c r="H60" s="28"/>
      <c r="I60" s="214"/>
      <c r="J60" s="618"/>
    </row>
    <row r="61" spans="1:13" ht="15" customHeight="1" x14ac:dyDescent="0.3">
      <c r="C61" s="1280" t="s">
        <v>1215</v>
      </c>
      <c r="D61" s="1024"/>
      <c r="E61" s="1024"/>
      <c r="F61" s="1280" t="s">
        <v>1348</v>
      </c>
      <c r="G61" s="1280"/>
      <c r="H61" s="1280"/>
      <c r="I61" s="1024"/>
      <c r="J61" s="1024"/>
      <c r="K61" s="1024"/>
      <c r="L61" s="1024"/>
      <c r="M61" s="1024"/>
    </row>
    <row r="62" spans="1:13" ht="15" customHeight="1" x14ac:dyDescent="0.3">
      <c r="A62" s="262" t="s">
        <v>1290</v>
      </c>
      <c r="C62" s="1024"/>
      <c r="D62" s="1024"/>
      <c r="E62" s="1024"/>
      <c r="F62" s="1280"/>
      <c r="G62" s="1280"/>
      <c r="H62" s="1024"/>
      <c r="I62" s="1024"/>
      <c r="J62" s="1024"/>
      <c r="K62" s="1024"/>
      <c r="L62" s="1024"/>
      <c r="M62" s="1024"/>
    </row>
    <row r="63" spans="1:13" ht="30" customHeight="1" x14ac:dyDescent="0.3">
      <c r="C63" s="256">
        <v>29</v>
      </c>
      <c r="D63" s="256" t="s">
        <v>283</v>
      </c>
      <c r="E63" s="978" t="s">
        <v>1162</v>
      </c>
      <c r="F63" s="979"/>
      <c r="G63" s="980"/>
      <c r="H63" s="256" t="s">
        <v>225</v>
      </c>
      <c r="I63" s="257">
        <v>920.13</v>
      </c>
      <c r="J63" s="619"/>
      <c r="K63" s="675"/>
      <c r="L63" s="679"/>
      <c r="M63" s="675"/>
    </row>
    <row r="64" spans="1:13" ht="30" customHeight="1" x14ac:dyDescent="0.3">
      <c r="C64" s="161">
        <v>30</v>
      </c>
      <c r="D64" s="161" t="s">
        <v>284</v>
      </c>
      <c r="E64" s="969" t="s">
        <v>285</v>
      </c>
      <c r="F64" s="970"/>
      <c r="G64" s="971"/>
      <c r="H64" s="161" t="s">
        <v>286</v>
      </c>
      <c r="I64" s="212">
        <v>1</v>
      </c>
      <c r="J64" s="617"/>
      <c r="K64" s="226"/>
      <c r="L64" s="227"/>
      <c r="M64" s="226"/>
    </row>
    <row r="65" spans="3:13" ht="30" customHeight="1" x14ac:dyDescent="0.3">
      <c r="C65" s="161">
        <v>31</v>
      </c>
      <c r="D65" s="161" t="s">
        <v>287</v>
      </c>
      <c r="E65" s="969" t="s">
        <v>288</v>
      </c>
      <c r="F65" s="970"/>
      <c r="G65" s="971"/>
      <c r="H65" s="161" t="s">
        <v>286</v>
      </c>
      <c r="I65" s="212">
        <v>1</v>
      </c>
      <c r="J65" s="617"/>
      <c r="K65" s="226"/>
      <c r="L65" s="227"/>
      <c r="M65" s="226"/>
    </row>
    <row r="66" spans="3:13" ht="30" customHeight="1" x14ac:dyDescent="0.3">
      <c r="C66" s="161">
        <v>32</v>
      </c>
      <c r="D66" s="161" t="s">
        <v>289</v>
      </c>
      <c r="E66" s="969" t="s">
        <v>290</v>
      </c>
      <c r="F66" s="970"/>
      <c r="G66" s="971"/>
      <c r="H66" s="161" t="s">
        <v>286</v>
      </c>
      <c r="I66" s="212">
        <v>1</v>
      </c>
      <c r="J66" s="617"/>
      <c r="K66" s="226"/>
      <c r="L66" s="227"/>
      <c r="M66" s="226"/>
    </row>
    <row r="67" spans="3:13" ht="30" customHeight="1" x14ac:dyDescent="0.3">
      <c r="C67" s="161">
        <v>33</v>
      </c>
      <c r="D67" s="161" t="s">
        <v>291</v>
      </c>
      <c r="E67" s="969" t="s">
        <v>292</v>
      </c>
      <c r="F67" s="970"/>
      <c r="G67" s="971"/>
      <c r="H67" s="161" t="s">
        <v>286</v>
      </c>
      <c r="I67" s="212">
        <v>1</v>
      </c>
      <c r="J67" s="617"/>
      <c r="K67" s="226"/>
      <c r="L67" s="227"/>
      <c r="M67" s="226"/>
    </row>
    <row r="68" spans="3:13" ht="30" customHeight="1" x14ac:dyDescent="0.3">
      <c r="C68" s="161">
        <v>34</v>
      </c>
      <c r="D68" s="161" t="s">
        <v>293</v>
      </c>
      <c r="E68" s="969" t="s">
        <v>294</v>
      </c>
      <c r="F68" s="970"/>
      <c r="G68" s="971"/>
      <c r="H68" s="161" t="s">
        <v>225</v>
      </c>
      <c r="I68" s="212">
        <v>5500</v>
      </c>
      <c r="J68" s="617"/>
      <c r="K68" s="226"/>
      <c r="L68" s="227"/>
      <c r="M68" s="226"/>
    </row>
    <row r="69" spans="3:13" ht="30" customHeight="1" x14ac:dyDescent="0.3">
      <c r="C69" s="161">
        <v>35</v>
      </c>
      <c r="D69" s="161" t="s">
        <v>295</v>
      </c>
      <c r="E69" s="969" t="s">
        <v>296</v>
      </c>
      <c r="F69" s="970"/>
      <c r="G69" s="971"/>
      <c r="H69" s="161" t="s">
        <v>225</v>
      </c>
      <c r="I69" s="212">
        <v>6500</v>
      </c>
      <c r="J69" s="617"/>
      <c r="K69" s="226"/>
      <c r="L69" s="227"/>
      <c r="M69" s="226"/>
    </row>
    <row r="70" spans="3:13" ht="30" customHeight="1" x14ac:dyDescent="0.3">
      <c r="C70" s="161">
        <v>36</v>
      </c>
      <c r="D70" s="161" t="s">
        <v>297</v>
      </c>
      <c r="E70" s="969" t="s">
        <v>298</v>
      </c>
      <c r="F70" s="970"/>
      <c r="G70" s="971"/>
      <c r="H70" s="161" t="s">
        <v>225</v>
      </c>
      <c r="I70" s="212">
        <v>8000</v>
      </c>
      <c r="J70" s="617"/>
      <c r="K70" s="226"/>
      <c r="L70" s="227"/>
      <c r="M70" s="226"/>
    </row>
    <row r="71" spans="3:13" ht="30" customHeight="1" x14ac:dyDescent="0.3">
      <c r="C71" s="161">
        <v>37</v>
      </c>
      <c r="D71" s="161" t="s">
        <v>299</v>
      </c>
      <c r="E71" s="969" t="s">
        <v>300</v>
      </c>
      <c r="F71" s="970"/>
      <c r="G71" s="971"/>
      <c r="H71" s="161" t="s">
        <v>225</v>
      </c>
      <c r="I71" s="212">
        <v>20500</v>
      </c>
      <c r="J71" s="617"/>
      <c r="K71" s="226"/>
      <c r="L71" s="227"/>
      <c r="M71" s="226"/>
    </row>
    <row r="72" spans="3:13" ht="30" customHeight="1" x14ac:dyDescent="0.3">
      <c r="C72" s="161">
        <v>38</v>
      </c>
      <c r="D72" s="161" t="s">
        <v>301</v>
      </c>
      <c r="E72" s="969" t="s">
        <v>302</v>
      </c>
      <c r="F72" s="970"/>
      <c r="G72" s="971"/>
      <c r="H72" s="161" t="s">
        <v>286</v>
      </c>
      <c r="I72" s="212">
        <v>1</v>
      </c>
      <c r="J72" s="617">
        <v>1</v>
      </c>
      <c r="K72" s="226"/>
      <c r="L72" s="227"/>
      <c r="M72" s="226"/>
    </row>
    <row r="73" spans="3:13" ht="30" customHeight="1" x14ac:dyDescent="0.3">
      <c r="C73" s="161">
        <v>39</v>
      </c>
      <c r="D73" s="161" t="s">
        <v>303</v>
      </c>
      <c r="E73" s="969" t="s">
        <v>304</v>
      </c>
      <c r="F73" s="970"/>
      <c r="G73" s="971"/>
      <c r="H73" s="161" t="s">
        <v>286</v>
      </c>
      <c r="I73" s="212">
        <v>1</v>
      </c>
      <c r="J73" s="617">
        <v>1</v>
      </c>
      <c r="K73" s="226"/>
      <c r="L73" s="227"/>
      <c r="M73" s="226"/>
    </row>
    <row r="74" spans="3:13" ht="30" customHeight="1" x14ac:dyDescent="0.3">
      <c r="C74" s="161">
        <v>40</v>
      </c>
      <c r="D74" s="161" t="s">
        <v>305</v>
      </c>
      <c r="E74" s="969" t="s">
        <v>306</v>
      </c>
      <c r="F74" s="970"/>
      <c r="G74" s="971"/>
      <c r="H74" s="161" t="s">
        <v>286</v>
      </c>
      <c r="I74" s="212">
        <v>1</v>
      </c>
      <c r="J74" s="617"/>
      <c r="K74" s="226"/>
      <c r="L74" s="227"/>
      <c r="M74" s="226"/>
    </row>
    <row r="75" spans="3:13" ht="30" customHeight="1" x14ac:dyDescent="0.3">
      <c r="C75" s="161">
        <v>41</v>
      </c>
      <c r="D75" s="161" t="s">
        <v>307</v>
      </c>
      <c r="E75" s="969" t="s">
        <v>308</v>
      </c>
      <c r="F75" s="970"/>
      <c r="G75" s="971"/>
      <c r="H75" s="161" t="s">
        <v>286</v>
      </c>
      <c r="I75" s="212">
        <v>1</v>
      </c>
      <c r="J75" s="617">
        <v>1</v>
      </c>
      <c r="K75" s="226"/>
      <c r="L75" s="227"/>
      <c r="M75" s="226"/>
    </row>
    <row r="76" spans="3:13" ht="30" customHeight="1" x14ac:dyDescent="0.3">
      <c r="C76" s="161">
        <v>42</v>
      </c>
      <c r="D76" s="161" t="s">
        <v>309</v>
      </c>
      <c r="E76" s="969" t="s">
        <v>310</v>
      </c>
      <c r="F76" s="970"/>
      <c r="G76" s="971"/>
      <c r="H76" s="161" t="s">
        <v>286</v>
      </c>
      <c r="I76" s="212">
        <v>1</v>
      </c>
      <c r="J76" s="617">
        <v>1</v>
      </c>
      <c r="K76" s="226"/>
      <c r="L76" s="227"/>
      <c r="M76" s="226"/>
    </row>
    <row r="77" spans="3:13" ht="30" customHeight="1" x14ac:dyDescent="0.3">
      <c r="C77" s="161">
        <v>43</v>
      </c>
      <c r="D77" s="161" t="s">
        <v>311</v>
      </c>
      <c r="E77" s="969" t="s">
        <v>312</v>
      </c>
      <c r="F77" s="970"/>
      <c r="G77" s="971"/>
      <c r="H77" s="161" t="s">
        <v>286</v>
      </c>
      <c r="I77" s="212">
        <v>1</v>
      </c>
      <c r="J77" s="617">
        <v>1</v>
      </c>
      <c r="K77" s="226"/>
      <c r="L77" s="227"/>
      <c r="M77" s="226"/>
    </row>
    <row r="78" spans="3:13" ht="30" customHeight="1" x14ac:dyDescent="0.3">
      <c r="C78" s="161">
        <v>44</v>
      </c>
      <c r="D78" s="161" t="s">
        <v>313</v>
      </c>
      <c r="E78" s="969" t="s">
        <v>314</v>
      </c>
      <c r="F78" s="970"/>
      <c r="G78" s="971"/>
      <c r="H78" s="161" t="s">
        <v>286</v>
      </c>
      <c r="I78" s="212">
        <v>1</v>
      </c>
      <c r="J78" s="617"/>
      <c r="K78" s="226"/>
      <c r="L78" s="227"/>
      <c r="M78" s="226"/>
    </row>
    <row r="79" spans="3:13" ht="30" customHeight="1" x14ac:dyDescent="0.3">
      <c r="C79" s="161">
        <v>45</v>
      </c>
      <c r="D79" s="161" t="s">
        <v>315</v>
      </c>
      <c r="E79" s="969" t="s">
        <v>316</v>
      </c>
      <c r="F79" s="970"/>
      <c r="G79" s="971"/>
      <c r="H79" s="161" t="s">
        <v>286</v>
      </c>
      <c r="I79" s="212">
        <v>1</v>
      </c>
      <c r="J79" s="617"/>
      <c r="K79" s="226"/>
      <c r="L79" s="227"/>
      <c r="M79" s="226"/>
    </row>
    <row r="80" spans="3:13" ht="30" customHeight="1" x14ac:dyDescent="0.3">
      <c r="C80" s="161">
        <v>46</v>
      </c>
      <c r="D80" s="161" t="s">
        <v>317</v>
      </c>
      <c r="E80" s="969" t="s">
        <v>318</v>
      </c>
      <c r="F80" s="970"/>
      <c r="G80" s="971"/>
      <c r="H80" s="161" t="s">
        <v>286</v>
      </c>
      <c r="I80" s="212">
        <v>1</v>
      </c>
      <c r="J80" s="617"/>
      <c r="K80" s="226"/>
      <c r="L80" s="227"/>
      <c r="M80" s="226"/>
    </row>
    <row r="81" spans="3:13" ht="30" customHeight="1" x14ac:dyDescent="0.3">
      <c r="C81" s="161">
        <v>47</v>
      </c>
      <c r="D81" s="161" t="s">
        <v>319</v>
      </c>
      <c r="E81" s="969" t="s">
        <v>320</v>
      </c>
      <c r="F81" s="970"/>
      <c r="G81" s="971"/>
      <c r="H81" s="161" t="s">
        <v>286</v>
      </c>
      <c r="I81" s="212">
        <v>1</v>
      </c>
      <c r="J81" s="617"/>
      <c r="K81" s="226"/>
      <c r="L81" s="227"/>
      <c r="M81" s="226"/>
    </row>
    <row r="82" spans="3:13" ht="30" customHeight="1" x14ac:dyDescent="0.3">
      <c r="C82" s="161">
        <v>48</v>
      </c>
      <c r="D82" s="161" t="s">
        <v>321</v>
      </c>
      <c r="E82" s="969" t="s">
        <v>322</v>
      </c>
      <c r="F82" s="970"/>
      <c r="G82" s="971"/>
      <c r="H82" s="161" t="s">
        <v>286</v>
      </c>
      <c r="I82" s="212">
        <v>1</v>
      </c>
      <c r="J82" s="617"/>
      <c r="K82" s="226"/>
      <c r="L82" s="227"/>
      <c r="M82" s="226"/>
    </row>
    <row r="83" spans="3:13" ht="30" customHeight="1" x14ac:dyDescent="0.3">
      <c r="C83" s="161"/>
      <c r="D83" s="161"/>
      <c r="E83" s="564"/>
      <c r="F83" s="565"/>
      <c r="G83" s="566"/>
      <c r="H83" s="161"/>
      <c r="I83" s="212"/>
      <c r="J83" s="617"/>
      <c r="K83" s="226"/>
      <c r="L83" s="227"/>
      <c r="M83" s="226"/>
    </row>
    <row r="84" spans="3:13" ht="30" customHeight="1" x14ac:dyDescent="0.3">
      <c r="C84" s="161"/>
      <c r="D84" s="161"/>
      <c r="E84" s="564"/>
      <c r="F84" s="565"/>
      <c r="G84" s="566"/>
      <c r="H84" s="161"/>
      <c r="I84" s="212"/>
      <c r="J84" s="617"/>
      <c r="K84" s="226"/>
      <c r="L84" s="227"/>
      <c r="M84" s="226"/>
    </row>
    <row r="85" spans="3:13" ht="30" customHeight="1" x14ac:dyDescent="0.3">
      <c r="C85" s="161"/>
      <c r="D85" s="161"/>
      <c r="E85" s="564"/>
      <c r="F85" s="565"/>
      <c r="G85" s="566"/>
      <c r="H85" s="161"/>
      <c r="I85" s="212"/>
      <c r="J85" s="617"/>
      <c r="K85" s="226"/>
      <c r="L85" s="227"/>
      <c r="M85" s="226"/>
    </row>
    <row r="86" spans="3:13" ht="30" customHeight="1" x14ac:dyDescent="0.3">
      <c r="C86" s="161"/>
      <c r="D86" s="161"/>
      <c r="E86" s="564"/>
      <c r="F86" s="565"/>
      <c r="G86" s="566"/>
      <c r="H86" s="161"/>
      <c r="I86" s="212"/>
      <c r="J86" s="617"/>
      <c r="K86" s="226"/>
      <c r="L86" s="227"/>
      <c r="M86" s="226"/>
    </row>
    <row r="87" spans="3:13" ht="30" customHeight="1" x14ac:dyDescent="0.3">
      <c r="C87" s="161"/>
      <c r="D87" s="161"/>
      <c r="E87" s="564"/>
      <c r="F87" s="565"/>
      <c r="G87" s="566"/>
      <c r="H87" s="161"/>
      <c r="I87" s="212"/>
      <c r="J87" s="617"/>
      <c r="K87" s="226"/>
      <c r="L87" s="227"/>
      <c r="M87" s="226"/>
    </row>
    <row r="88" spans="3:13" ht="30" customHeight="1" x14ac:dyDescent="0.3">
      <c r="C88" s="161"/>
      <c r="D88" s="161"/>
      <c r="E88" s="564"/>
      <c r="F88" s="565"/>
      <c r="G88" s="566"/>
      <c r="H88" s="161"/>
      <c r="I88" s="212"/>
      <c r="J88" s="617"/>
      <c r="K88" s="226"/>
      <c r="L88" s="227"/>
      <c r="M88" s="226"/>
    </row>
    <row r="89" spans="3:13" ht="30" customHeight="1" x14ac:dyDescent="0.3">
      <c r="C89" s="161"/>
      <c r="D89" s="161"/>
      <c r="E89" s="564"/>
      <c r="F89" s="565"/>
      <c r="G89" s="566"/>
      <c r="H89" s="161"/>
      <c r="I89" s="212"/>
      <c r="J89" s="617"/>
      <c r="K89" s="226"/>
      <c r="L89" s="227"/>
      <c r="M89" s="226"/>
    </row>
    <row r="90" spans="3:13" ht="30" customHeight="1" x14ac:dyDescent="0.3">
      <c r="C90" s="161"/>
      <c r="D90" s="161"/>
      <c r="E90" s="564"/>
      <c r="F90" s="565"/>
      <c r="G90" s="566"/>
      <c r="H90" s="161"/>
      <c r="I90" s="212"/>
      <c r="J90" s="617"/>
      <c r="K90" s="226"/>
      <c r="L90" s="227"/>
      <c r="M90" s="226"/>
    </row>
    <row r="91" spans="3:13" ht="30" customHeight="1" x14ac:dyDescent="0.3">
      <c r="C91" s="161"/>
      <c r="D91" s="161"/>
      <c r="E91" s="564"/>
      <c r="F91" s="565"/>
      <c r="G91" s="566"/>
      <c r="H91" s="161"/>
      <c r="I91" s="212"/>
      <c r="J91" s="617"/>
      <c r="K91" s="226"/>
      <c r="L91" s="227"/>
      <c r="M91" s="226"/>
    </row>
    <row r="92" spans="3:13" ht="30" customHeight="1" x14ac:dyDescent="0.3">
      <c r="C92" s="161"/>
      <c r="D92" s="161"/>
      <c r="E92" s="564"/>
      <c r="F92" s="565"/>
      <c r="G92" s="566"/>
      <c r="H92" s="161"/>
      <c r="I92" s="212"/>
      <c r="J92" s="617"/>
      <c r="K92" s="226"/>
      <c r="L92" s="227"/>
      <c r="M92" s="226"/>
    </row>
    <row r="93" spans="3:13" ht="30" customHeight="1" x14ac:dyDescent="0.3">
      <c r="C93" s="161"/>
      <c r="D93" s="161"/>
      <c r="E93" s="564"/>
      <c r="F93" s="565"/>
      <c r="G93" s="566"/>
      <c r="H93" s="161"/>
      <c r="I93" s="212"/>
      <c r="J93" s="617"/>
      <c r="K93" s="226"/>
      <c r="L93" s="227"/>
      <c r="M93" s="226"/>
    </row>
    <row r="94" spans="3:13" ht="30" customHeight="1" x14ac:dyDescent="0.3">
      <c r="C94" s="161"/>
      <c r="D94" s="161"/>
      <c r="E94" s="564"/>
      <c r="F94" s="565"/>
      <c r="G94" s="566"/>
      <c r="H94" s="161"/>
      <c r="I94" s="212"/>
      <c r="J94" s="617"/>
      <c r="K94" s="226"/>
      <c r="L94" s="227"/>
      <c r="M94" s="226"/>
    </row>
    <row r="95" spans="3:13" ht="30" customHeight="1" x14ac:dyDescent="0.3">
      <c r="C95" s="1375" t="s">
        <v>33</v>
      </c>
      <c r="D95" s="1375"/>
      <c r="E95" s="1375"/>
      <c r="F95" s="1376" t="s">
        <v>29</v>
      </c>
      <c r="G95" s="1376"/>
      <c r="H95" s="1375" t="s">
        <v>22</v>
      </c>
      <c r="I95" s="1375"/>
      <c r="J95" s="1375"/>
      <c r="K95" s="1375"/>
      <c r="L95" s="1375"/>
      <c r="M95" s="1375"/>
    </row>
    <row r="96" spans="3:13" ht="19.95" customHeight="1" x14ac:dyDescent="0.3">
      <c r="C96" s="1024" t="s">
        <v>1214</v>
      </c>
      <c r="D96" s="1024"/>
      <c r="E96" s="1024"/>
      <c r="F96" s="1280" t="s">
        <v>38</v>
      </c>
      <c r="G96" s="1280"/>
      <c r="H96" s="1280" t="s">
        <v>1437</v>
      </c>
      <c r="I96" s="1280"/>
      <c r="J96" s="1280"/>
      <c r="K96" s="1280"/>
      <c r="L96" s="1280"/>
      <c r="M96" s="1280"/>
    </row>
    <row r="97" spans="1:13" ht="19.95" customHeight="1" x14ac:dyDescent="0.3">
      <c r="D97" s="28"/>
      <c r="E97" s="28"/>
      <c r="F97" s="109"/>
      <c r="G97" s="109"/>
      <c r="H97" s="1280"/>
      <c r="I97" s="1280"/>
      <c r="J97" s="1280"/>
      <c r="K97" s="1280"/>
      <c r="L97" s="1280"/>
      <c r="M97" s="1280"/>
    </row>
    <row r="98" spans="1:13" ht="15" customHeight="1" x14ac:dyDescent="0.3">
      <c r="D98" s="28"/>
      <c r="E98" s="666"/>
      <c r="F98" s="1280" t="s">
        <v>1410</v>
      </c>
      <c r="G98" s="1280"/>
      <c r="H98" s="1280"/>
      <c r="I98" s="1280"/>
      <c r="J98" s="1280"/>
      <c r="K98" s="1280"/>
      <c r="L98" s="1280"/>
      <c r="M98" s="1280"/>
    </row>
    <row r="99" spans="1:13" ht="15" customHeight="1" x14ac:dyDescent="0.3">
      <c r="D99" s="28"/>
      <c r="E99" s="666"/>
      <c r="F99" s="1280"/>
      <c r="G99" s="1280"/>
      <c r="H99" s="109"/>
      <c r="I99" s="109"/>
      <c r="J99" s="667"/>
      <c r="K99" s="109"/>
      <c r="L99" s="109"/>
      <c r="M99" s="109"/>
    </row>
    <row r="100" spans="1:13" ht="15" customHeight="1" x14ac:dyDescent="0.3">
      <c r="D100" s="28"/>
      <c r="E100" s="666"/>
      <c r="F100" s="110"/>
      <c r="G100" s="110"/>
      <c r="H100" s="1280"/>
      <c r="I100" s="1280"/>
      <c r="J100" s="1280"/>
      <c r="K100" s="110" t="s">
        <v>54</v>
      </c>
      <c r="L100" s="1280" t="s">
        <v>27</v>
      </c>
      <c r="M100" s="1280"/>
    </row>
    <row r="101" spans="1:13" ht="15" customHeight="1" x14ac:dyDescent="0.3">
      <c r="D101" s="28"/>
      <c r="E101" s="666"/>
      <c r="F101" s="1280" t="s">
        <v>1510</v>
      </c>
      <c r="G101" s="1280"/>
      <c r="H101" s="1280"/>
      <c r="I101" s="1280"/>
      <c r="J101" s="1280"/>
      <c r="K101" s="110" t="s">
        <v>1484</v>
      </c>
      <c r="L101" s="1280" t="s">
        <v>1484</v>
      </c>
      <c r="M101" s="1280"/>
    </row>
    <row r="102" spans="1:13" ht="15" customHeight="1" x14ac:dyDescent="0.3">
      <c r="D102" s="28"/>
      <c r="E102" s="666"/>
      <c r="F102" s="1280"/>
      <c r="G102" s="1280"/>
      <c r="H102" s="1280"/>
      <c r="I102" s="1280"/>
      <c r="J102" s="1280"/>
      <c r="K102" s="110"/>
      <c r="L102" s="1280"/>
      <c r="M102" s="1280"/>
    </row>
    <row r="103" spans="1:13" ht="15" customHeight="1" x14ac:dyDescent="0.3">
      <c r="D103" s="28"/>
      <c r="E103" s="666"/>
      <c r="F103" s="110"/>
      <c r="G103" s="110"/>
      <c r="H103" s="28"/>
      <c r="I103" s="214"/>
      <c r="J103" s="618"/>
      <c r="K103" s="28"/>
    </row>
    <row r="104" spans="1:13" ht="15" customHeight="1" x14ac:dyDescent="0.3">
      <c r="D104" s="28"/>
      <c r="E104" s="666"/>
      <c r="F104" s="110"/>
      <c r="G104" s="110"/>
    </row>
    <row r="105" spans="1:13" ht="15" customHeight="1" x14ac:dyDescent="0.3">
      <c r="D105" s="28"/>
      <c r="E105" s="666"/>
      <c r="F105" s="1280" t="s">
        <v>1411</v>
      </c>
      <c r="G105" s="1280"/>
      <c r="H105" s="1024"/>
      <c r="I105" s="1024"/>
      <c r="J105" s="1024"/>
      <c r="K105" s="11" t="s">
        <v>55</v>
      </c>
    </row>
    <row r="106" spans="1:13" ht="15" customHeight="1" x14ac:dyDescent="0.3">
      <c r="D106" s="28"/>
      <c r="E106" s="666"/>
      <c r="F106" s="1280"/>
      <c r="G106" s="1280"/>
      <c r="H106" s="1280"/>
      <c r="I106" s="1280"/>
      <c r="J106" s="1280"/>
      <c r="K106" s="110" t="s">
        <v>1484</v>
      </c>
    </row>
    <row r="107" spans="1:13" ht="15" customHeight="1" x14ac:dyDescent="0.3">
      <c r="D107" s="28"/>
      <c r="E107" s="666"/>
      <c r="F107" s="109"/>
      <c r="G107" s="109"/>
      <c r="H107" s="1280"/>
      <c r="I107" s="1280"/>
      <c r="J107" s="1280"/>
      <c r="K107" s="110"/>
    </row>
    <row r="108" spans="1:13" ht="15" customHeight="1" x14ac:dyDescent="0.3">
      <c r="D108" s="28"/>
      <c r="E108" s="666"/>
      <c r="F108" s="109"/>
      <c r="G108" s="109"/>
      <c r="H108" s="1280"/>
      <c r="I108" s="1280"/>
      <c r="J108" s="667"/>
    </row>
    <row r="109" spans="1:13" ht="15" customHeight="1" x14ac:dyDescent="0.3">
      <c r="D109" s="28"/>
      <c r="E109" s="666"/>
      <c r="F109" s="109"/>
      <c r="G109" s="109"/>
      <c r="H109" s="28"/>
      <c r="I109" s="214"/>
      <c r="J109" s="618"/>
    </row>
    <row r="110" spans="1:13" ht="15" customHeight="1" x14ac:dyDescent="0.3">
      <c r="C110" s="1280" t="s">
        <v>1215</v>
      </c>
      <c r="D110" s="1024"/>
      <c r="E110" s="1024"/>
      <c r="F110" s="1280" t="s">
        <v>1456</v>
      </c>
      <c r="G110" s="1280"/>
      <c r="H110" s="1280"/>
      <c r="I110" s="1280"/>
      <c r="J110" s="1280"/>
      <c r="K110" s="1280"/>
      <c r="L110" s="1280"/>
      <c r="M110" s="1280"/>
    </row>
    <row r="111" spans="1:13" ht="15" customHeight="1" x14ac:dyDescent="0.3">
      <c r="A111" s="262" t="s">
        <v>1290</v>
      </c>
      <c r="C111" s="1024"/>
      <c r="D111" s="1024"/>
      <c r="E111" s="1024"/>
      <c r="F111" s="1280"/>
      <c r="G111" s="1280"/>
      <c r="H111" s="1280"/>
      <c r="I111" s="1280"/>
      <c r="J111" s="1280"/>
      <c r="K111" s="1280"/>
      <c r="L111" s="1280"/>
      <c r="M111" s="1280"/>
    </row>
    <row r="112" spans="1:13" ht="30" customHeight="1" x14ac:dyDescent="0.3">
      <c r="C112" s="563"/>
      <c r="D112" s="668" t="s">
        <v>1225</v>
      </c>
      <c r="E112" s="669"/>
      <c r="F112" s="670"/>
      <c r="G112" s="671"/>
      <c r="H112" s="563"/>
      <c r="I112" s="672"/>
      <c r="J112" s="673"/>
      <c r="K112" s="672"/>
      <c r="L112" s="672"/>
      <c r="M112" s="672"/>
    </row>
    <row r="113" spans="3:13" ht="30" customHeight="1" x14ac:dyDescent="0.3">
      <c r="C113" s="160">
        <v>49</v>
      </c>
      <c r="D113" s="210" t="s">
        <v>323</v>
      </c>
      <c r="E113" s="992" t="s">
        <v>324</v>
      </c>
      <c r="F113" s="993"/>
      <c r="G113" s="994"/>
      <c r="H113" s="160" t="s">
        <v>228</v>
      </c>
      <c r="I113" s="211">
        <v>186392.65</v>
      </c>
      <c r="J113" s="622">
        <v>3</v>
      </c>
      <c r="K113" s="513"/>
      <c r="L113" s="514">
        <f t="shared" ref="L113:L143" si="0">+M113-K113</f>
        <v>1909.8839999999998</v>
      </c>
      <c r="M113" s="513">
        <f>+[15]Hakediş!J51</f>
        <v>1909.8839999999998</v>
      </c>
    </row>
    <row r="114" spans="3:13" ht="30" customHeight="1" x14ac:dyDescent="0.3">
      <c r="C114" s="161">
        <v>50</v>
      </c>
      <c r="D114" s="161" t="s">
        <v>325</v>
      </c>
      <c r="E114" s="969" t="s">
        <v>326</v>
      </c>
      <c r="F114" s="970"/>
      <c r="G114" s="971"/>
      <c r="H114" s="161" t="s">
        <v>228</v>
      </c>
      <c r="I114" s="212">
        <v>910</v>
      </c>
      <c r="J114" s="621"/>
      <c r="K114" s="511"/>
      <c r="L114" s="512">
        <f t="shared" si="0"/>
        <v>0</v>
      </c>
      <c r="M114" s="513">
        <f>+[15]Hakediş!J52</f>
        <v>0</v>
      </c>
    </row>
    <row r="115" spans="3:13" ht="30" customHeight="1" x14ac:dyDescent="0.3">
      <c r="C115" s="161">
        <v>51</v>
      </c>
      <c r="D115" s="161" t="s">
        <v>327</v>
      </c>
      <c r="E115" s="969" t="s">
        <v>238</v>
      </c>
      <c r="F115" s="970"/>
      <c r="G115" s="971"/>
      <c r="H115" s="161" t="s">
        <v>228</v>
      </c>
      <c r="I115" s="212">
        <v>1785</v>
      </c>
      <c r="J115" s="621"/>
      <c r="K115" s="511"/>
      <c r="L115" s="512">
        <f t="shared" si="0"/>
        <v>0</v>
      </c>
      <c r="M115" s="513">
        <f>+[15]Hakediş!J53</f>
        <v>0</v>
      </c>
    </row>
    <row r="116" spans="3:13" ht="30" customHeight="1" x14ac:dyDescent="0.3">
      <c r="C116" s="161">
        <v>52</v>
      </c>
      <c r="D116" s="213" t="s">
        <v>328</v>
      </c>
      <c r="E116" s="969" t="s">
        <v>329</v>
      </c>
      <c r="F116" s="970"/>
      <c r="G116" s="971"/>
      <c r="H116" s="161" t="s">
        <v>228</v>
      </c>
      <c r="I116" s="212">
        <v>38798.589999999997</v>
      </c>
      <c r="J116" s="621">
        <v>3</v>
      </c>
      <c r="K116" s="511"/>
      <c r="L116" s="512">
        <f t="shared" si="0"/>
        <v>298.29100000000005</v>
      </c>
      <c r="M116" s="513">
        <f>+[15]Hakediş!J54</f>
        <v>298.29100000000005</v>
      </c>
    </row>
    <row r="117" spans="3:13" ht="30" customHeight="1" x14ac:dyDescent="0.3">
      <c r="C117" s="161">
        <v>53</v>
      </c>
      <c r="D117" s="161" t="s">
        <v>330</v>
      </c>
      <c r="E117" s="969" t="s">
        <v>331</v>
      </c>
      <c r="F117" s="970"/>
      <c r="G117" s="971"/>
      <c r="H117" s="161" t="s">
        <v>202</v>
      </c>
      <c r="I117" s="212">
        <v>19569.89</v>
      </c>
      <c r="J117" s="621"/>
      <c r="K117" s="511"/>
      <c r="L117" s="512">
        <f t="shared" si="0"/>
        <v>0</v>
      </c>
      <c r="M117" s="513">
        <f>+[15]Hakediş!J55</f>
        <v>0</v>
      </c>
    </row>
    <row r="118" spans="3:13" ht="30" customHeight="1" x14ac:dyDescent="0.3">
      <c r="C118" s="161">
        <v>54</v>
      </c>
      <c r="D118" s="161" t="s">
        <v>332</v>
      </c>
      <c r="E118" s="969" t="s">
        <v>333</v>
      </c>
      <c r="F118" s="970"/>
      <c r="G118" s="971"/>
      <c r="H118" s="161" t="s">
        <v>202</v>
      </c>
      <c r="I118" s="212">
        <v>10655.78</v>
      </c>
      <c r="J118" s="621"/>
      <c r="K118" s="511"/>
      <c r="L118" s="512">
        <f t="shared" si="0"/>
        <v>0</v>
      </c>
      <c r="M118" s="513">
        <f>+[15]Hakediş!J56</f>
        <v>0</v>
      </c>
    </row>
    <row r="119" spans="3:13" ht="30" customHeight="1" x14ac:dyDescent="0.3">
      <c r="C119" s="161">
        <v>55</v>
      </c>
      <c r="D119" s="161" t="s">
        <v>334</v>
      </c>
      <c r="E119" s="969" t="s">
        <v>246</v>
      </c>
      <c r="F119" s="970"/>
      <c r="G119" s="971"/>
      <c r="H119" s="161" t="s">
        <v>247</v>
      </c>
      <c r="I119" s="212">
        <v>800</v>
      </c>
      <c r="J119" s="621"/>
      <c r="K119" s="511"/>
      <c r="L119" s="512">
        <f t="shared" si="0"/>
        <v>0</v>
      </c>
      <c r="M119" s="513">
        <f>+[15]Hakediş!J57</f>
        <v>0</v>
      </c>
    </row>
    <row r="120" spans="3:13" ht="30" customHeight="1" x14ac:dyDescent="0.3">
      <c r="C120" s="161">
        <v>56</v>
      </c>
      <c r="D120" s="161" t="s">
        <v>335</v>
      </c>
      <c r="E120" s="969" t="s">
        <v>249</v>
      </c>
      <c r="F120" s="970"/>
      <c r="G120" s="971"/>
      <c r="H120" s="161" t="s">
        <v>247</v>
      </c>
      <c r="I120" s="212">
        <v>2466.42</v>
      </c>
      <c r="J120" s="621">
        <v>3</v>
      </c>
      <c r="K120" s="511"/>
      <c r="L120" s="512">
        <f t="shared" si="0"/>
        <v>0</v>
      </c>
      <c r="M120" s="513">
        <f>+[15]Hakediş!J58</f>
        <v>0</v>
      </c>
    </row>
    <row r="121" spans="3:13" ht="30" customHeight="1" x14ac:dyDescent="0.3">
      <c r="C121" s="161">
        <v>57</v>
      </c>
      <c r="D121" s="161" t="s">
        <v>336</v>
      </c>
      <c r="E121" s="969" t="s">
        <v>251</v>
      </c>
      <c r="F121" s="970"/>
      <c r="G121" s="971"/>
      <c r="H121" s="161" t="s">
        <v>247</v>
      </c>
      <c r="I121" s="212">
        <v>2401.3000000000002</v>
      </c>
      <c r="J121" s="621"/>
      <c r="K121" s="511"/>
      <c r="L121" s="512">
        <f t="shared" si="0"/>
        <v>0</v>
      </c>
      <c r="M121" s="513">
        <f>+[15]Hakediş!J59</f>
        <v>0</v>
      </c>
    </row>
    <row r="122" spans="3:13" ht="30" customHeight="1" x14ac:dyDescent="0.3">
      <c r="C122" s="161">
        <v>58</v>
      </c>
      <c r="D122" s="161" t="s">
        <v>337</v>
      </c>
      <c r="E122" s="969" t="s">
        <v>253</v>
      </c>
      <c r="F122" s="970"/>
      <c r="G122" s="971"/>
      <c r="H122" s="161" t="s">
        <v>247</v>
      </c>
      <c r="I122" s="212">
        <v>2970</v>
      </c>
      <c r="J122" s="621"/>
      <c r="K122" s="511"/>
      <c r="L122" s="512">
        <f t="shared" si="0"/>
        <v>0</v>
      </c>
      <c r="M122" s="513">
        <f>+[15]Hakediş!J60</f>
        <v>0</v>
      </c>
    </row>
    <row r="123" spans="3:13" ht="30" customHeight="1" x14ac:dyDescent="0.3">
      <c r="C123" s="161">
        <v>59</v>
      </c>
      <c r="D123" s="161" t="s">
        <v>338</v>
      </c>
      <c r="E123" s="969" t="s">
        <v>339</v>
      </c>
      <c r="F123" s="970"/>
      <c r="G123" s="971"/>
      <c r="H123" s="161" t="s">
        <v>247</v>
      </c>
      <c r="I123" s="212">
        <v>7008.23</v>
      </c>
      <c r="J123" s="621">
        <v>3</v>
      </c>
      <c r="K123" s="511"/>
      <c r="L123" s="512">
        <f t="shared" si="0"/>
        <v>480</v>
      </c>
      <c r="M123" s="513">
        <f>+[15]Hakediş!J61</f>
        <v>480</v>
      </c>
    </row>
    <row r="124" spans="3:13" ht="30" customHeight="1" x14ac:dyDescent="0.3">
      <c r="C124" s="161">
        <v>60</v>
      </c>
      <c r="D124" s="161" t="s">
        <v>340</v>
      </c>
      <c r="E124" s="969" t="s">
        <v>242</v>
      </c>
      <c r="F124" s="970"/>
      <c r="G124" s="971"/>
      <c r="H124" s="161" t="s">
        <v>202</v>
      </c>
      <c r="I124" s="212">
        <v>156606.89000000001</v>
      </c>
      <c r="J124" s="621">
        <v>3</v>
      </c>
      <c r="K124" s="511"/>
      <c r="L124" s="512">
        <f t="shared" si="0"/>
        <v>0</v>
      </c>
      <c r="M124" s="513">
        <f>+[15]Hakediş!J62</f>
        <v>0</v>
      </c>
    </row>
    <row r="125" spans="3:13" ht="30" customHeight="1" x14ac:dyDescent="0.3">
      <c r="C125" s="161">
        <v>61</v>
      </c>
      <c r="D125" s="161" t="s">
        <v>341</v>
      </c>
      <c r="E125" s="969" t="s">
        <v>244</v>
      </c>
      <c r="F125" s="970"/>
      <c r="G125" s="971"/>
      <c r="H125" s="161" t="s">
        <v>202</v>
      </c>
      <c r="I125" s="212">
        <v>145635</v>
      </c>
      <c r="J125" s="621"/>
      <c r="K125" s="511"/>
      <c r="L125" s="512">
        <f t="shared" si="0"/>
        <v>0</v>
      </c>
      <c r="M125" s="513">
        <f>+[15]Hakediş!J63</f>
        <v>0</v>
      </c>
    </row>
    <row r="126" spans="3:13" ht="30" customHeight="1" x14ac:dyDescent="0.3">
      <c r="C126" s="161">
        <v>62</v>
      </c>
      <c r="D126" s="213" t="s">
        <v>342</v>
      </c>
      <c r="E126" s="969" t="s">
        <v>343</v>
      </c>
      <c r="F126" s="970"/>
      <c r="G126" s="971"/>
      <c r="H126" s="161" t="s">
        <v>262</v>
      </c>
      <c r="I126" s="212">
        <v>8410</v>
      </c>
      <c r="J126" s="621">
        <v>3</v>
      </c>
      <c r="K126" s="511"/>
      <c r="L126" s="512">
        <f t="shared" si="0"/>
        <v>68.646000000000001</v>
      </c>
      <c r="M126" s="513">
        <f>+[15]Hakediş!J64</f>
        <v>68.646000000000001</v>
      </c>
    </row>
    <row r="127" spans="3:13" ht="30" customHeight="1" x14ac:dyDescent="0.3">
      <c r="C127" s="161">
        <v>63</v>
      </c>
      <c r="D127" s="213" t="s">
        <v>344</v>
      </c>
      <c r="E127" s="969" t="s">
        <v>345</v>
      </c>
      <c r="F127" s="970"/>
      <c r="G127" s="971"/>
      <c r="H127" s="161" t="s">
        <v>202</v>
      </c>
      <c r="I127" s="212">
        <v>360205.7</v>
      </c>
      <c r="J127" s="621">
        <v>3</v>
      </c>
      <c r="K127" s="511"/>
      <c r="L127" s="512">
        <f t="shared" si="0"/>
        <v>0</v>
      </c>
      <c r="M127" s="513">
        <f>+[15]Hakediş!J65</f>
        <v>0</v>
      </c>
    </row>
    <row r="128" spans="3:13" ht="30" customHeight="1" x14ac:dyDescent="0.3">
      <c r="C128" s="161">
        <v>64</v>
      </c>
      <c r="D128" s="161" t="s">
        <v>346</v>
      </c>
      <c r="E128" s="969" t="s">
        <v>347</v>
      </c>
      <c r="F128" s="970"/>
      <c r="G128" s="971"/>
      <c r="H128" s="161" t="s">
        <v>225</v>
      </c>
      <c r="I128" s="212">
        <v>78502.509999999995</v>
      </c>
      <c r="J128" s="617"/>
      <c r="K128" s="511"/>
      <c r="L128" s="512">
        <f t="shared" si="0"/>
        <v>0</v>
      </c>
      <c r="M128" s="513">
        <f>+[15]Hakediş!J66</f>
        <v>0</v>
      </c>
    </row>
    <row r="129" spans="3:13" ht="30" customHeight="1" x14ac:dyDescent="0.3">
      <c r="C129" s="161">
        <v>65</v>
      </c>
      <c r="D129" s="161" t="s">
        <v>348</v>
      </c>
      <c r="E129" s="969" t="s">
        <v>349</v>
      </c>
      <c r="F129" s="970"/>
      <c r="G129" s="971"/>
      <c r="H129" s="161" t="s">
        <v>225</v>
      </c>
      <c r="I129" s="212">
        <v>67207.820000000007</v>
      </c>
      <c r="J129" s="617"/>
      <c r="K129" s="511"/>
      <c r="L129" s="512">
        <f t="shared" si="0"/>
        <v>0</v>
      </c>
      <c r="M129" s="513">
        <f>+[15]Hakediş!J67</f>
        <v>0</v>
      </c>
    </row>
    <row r="130" spans="3:13" ht="30" customHeight="1" x14ac:dyDescent="0.3">
      <c r="C130" s="161">
        <v>66</v>
      </c>
      <c r="D130" s="213" t="s">
        <v>350</v>
      </c>
      <c r="E130" s="969" t="s">
        <v>351</v>
      </c>
      <c r="F130" s="970"/>
      <c r="G130" s="971"/>
      <c r="H130" s="161" t="s">
        <v>202</v>
      </c>
      <c r="I130" s="212">
        <v>11190.19</v>
      </c>
      <c r="J130" s="617"/>
      <c r="K130" s="511"/>
      <c r="L130" s="512">
        <f t="shared" si="0"/>
        <v>0</v>
      </c>
      <c r="M130" s="513">
        <f>+[15]Hakediş!J68</f>
        <v>0</v>
      </c>
    </row>
    <row r="131" spans="3:13" ht="30" customHeight="1" x14ac:dyDescent="0.3">
      <c r="C131" s="161">
        <v>67</v>
      </c>
      <c r="D131" s="161" t="s">
        <v>352</v>
      </c>
      <c r="E131" s="969" t="s">
        <v>353</v>
      </c>
      <c r="F131" s="970"/>
      <c r="G131" s="971"/>
      <c r="H131" s="161" t="s">
        <v>225</v>
      </c>
      <c r="I131" s="212">
        <v>24185.25</v>
      </c>
      <c r="J131" s="617"/>
      <c r="K131" s="511"/>
      <c r="L131" s="512">
        <f t="shared" si="0"/>
        <v>0</v>
      </c>
      <c r="M131" s="513">
        <f>+[15]Hakediş!J69</f>
        <v>0</v>
      </c>
    </row>
    <row r="132" spans="3:13" ht="30" customHeight="1" x14ac:dyDescent="0.3">
      <c r="C132" s="161">
        <v>68</v>
      </c>
      <c r="D132" s="161" t="s">
        <v>354</v>
      </c>
      <c r="E132" s="969" t="s">
        <v>355</v>
      </c>
      <c r="F132" s="970"/>
      <c r="G132" s="971"/>
      <c r="H132" s="161" t="s">
        <v>225</v>
      </c>
      <c r="I132" s="212">
        <v>59207.42</v>
      </c>
      <c r="J132" s="617"/>
      <c r="K132" s="511"/>
      <c r="L132" s="512">
        <f t="shared" si="0"/>
        <v>0</v>
      </c>
      <c r="M132" s="513">
        <f>+[15]Hakediş!J70</f>
        <v>0</v>
      </c>
    </row>
    <row r="133" spans="3:13" ht="30" customHeight="1" x14ac:dyDescent="0.3">
      <c r="C133" s="161">
        <v>69</v>
      </c>
      <c r="D133" s="161" t="s">
        <v>356</v>
      </c>
      <c r="E133" s="969" t="s">
        <v>357</v>
      </c>
      <c r="F133" s="970"/>
      <c r="G133" s="971"/>
      <c r="H133" s="161" t="s">
        <v>225</v>
      </c>
      <c r="I133" s="212">
        <v>36357.33</v>
      </c>
      <c r="J133" s="617"/>
      <c r="K133" s="511"/>
      <c r="L133" s="512">
        <f t="shared" si="0"/>
        <v>0</v>
      </c>
      <c r="M133" s="513">
        <f>+[15]Hakediş!J71</f>
        <v>0</v>
      </c>
    </row>
    <row r="134" spans="3:13" ht="30" customHeight="1" x14ac:dyDescent="0.3">
      <c r="C134" s="161">
        <v>70</v>
      </c>
      <c r="D134" s="161" t="s">
        <v>358</v>
      </c>
      <c r="E134" s="969" t="s">
        <v>359</v>
      </c>
      <c r="F134" s="970"/>
      <c r="G134" s="971"/>
      <c r="H134" s="161" t="s">
        <v>228</v>
      </c>
      <c r="I134" s="212">
        <v>3898.42</v>
      </c>
      <c r="J134" s="617"/>
      <c r="K134" s="511"/>
      <c r="L134" s="512">
        <f t="shared" si="0"/>
        <v>0</v>
      </c>
      <c r="M134" s="513">
        <f>+[15]Hakediş!J72</f>
        <v>0</v>
      </c>
    </row>
    <row r="135" spans="3:13" ht="30" customHeight="1" x14ac:dyDescent="0.3">
      <c r="C135" s="161">
        <v>71</v>
      </c>
      <c r="D135" s="161" t="s">
        <v>360</v>
      </c>
      <c r="E135" s="969" t="s">
        <v>361</v>
      </c>
      <c r="F135" s="970"/>
      <c r="G135" s="971"/>
      <c r="H135" s="161" t="s">
        <v>228</v>
      </c>
      <c r="I135" s="212">
        <v>14995.14</v>
      </c>
      <c r="J135" s="617"/>
      <c r="K135" s="511"/>
      <c r="L135" s="512">
        <f t="shared" si="0"/>
        <v>0</v>
      </c>
      <c r="M135" s="513">
        <f>+[15]Hakediş!J73</f>
        <v>0</v>
      </c>
    </row>
    <row r="136" spans="3:13" ht="30" customHeight="1" x14ac:dyDescent="0.3">
      <c r="C136" s="161">
        <v>72</v>
      </c>
      <c r="D136" s="161" t="s">
        <v>362</v>
      </c>
      <c r="E136" s="969" t="s">
        <v>363</v>
      </c>
      <c r="F136" s="970"/>
      <c r="G136" s="971"/>
      <c r="H136" s="161" t="s">
        <v>228</v>
      </c>
      <c r="I136" s="212">
        <v>29458.35</v>
      </c>
      <c r="J136" s="617"/>
      <c r="K136" s="511"/>
      <c r="L136" s="512">
        <f t="shared" si="0"/>
        <v>0</v>
      </c>
      <c r="M136" s="513">
        <f>+[15]Hakediş!J74</f>
        <v>0</v>
      </c>
    </row>
    <row r="137" spans="3:13" ht="30" customHeight="1" x14ac:dyDescent="0.3">
      <c r="C137" s="160">
        <v>73</v>
      </c>
      <c r="D137" s="160" t="s">
        <v>364</v>
      </c>
      <c r="E137" s="992" t="s">
        <v>365</v>
      </c>
      <c r="F137" s="993"/>
      <c r="G137" s="994"/>
      <c r="H137" s="160" t="s">
        <v>228</v>
      </c>
      <c r="I137" s="211">
        <v>3917.38</v>
      </c>
      <c r="J137" s="616"/>
      <c r="K137" s="513"/>
      <c r="L137" s="514">
        <f t="shared" si="0"/>
        <v>0</v>
      </c>
      <c r="M137" s="513">
        <f>+[15]Hakediş!J75</f>
        <v>0</v>
      </c>
    </row>
    <row r="138" spans="3:13" ht="30" customHeight="1" x14ac:dyDescent="0.3">
      <c r="C138" s="161">
        <v>74</v>
      </c>
      <c r="D138" s="161" t="s">
        <v>366</v>
      </c>
      <c r="E138" s="969" t="s">
        <v>367</v>
      </c>
      <c r="F138" s="970"/>
      <c r="G138" s="971"/>
      <c r="H138" s="161" t="s">
        <v>262</v>
      </c>
      <c r="I138" s="212">
        <v>62.29</v>
      </c>
      <c r="J138" s="621">
        <v>3</v>
      </c>
      <c r="K138" s="511"/>
      <c r="L138" s="512">
        <f t="shared" si="0"/>
        <v>7.4200000000000008</v>
      </c>
      <c r="M138" s="513">
        <f>+[15]Hakediş!J76</f>
        <v>7.4200000000000008</v>
      </c>
    </row>
    <row r="139" spans="3:13" ht="30" customHeight="1" x14ac:dyDescent="0.3">
      <c r="C139" s="161">
        <v>75</v>
      </c>
      <c r="D139" s="161" t="s">
        <v>368</v>
      </c>
      <c r="E139" s="969" t="s">
        <v>369</v>
      </c>
      <c r="F139" s="970"/>
      <c r="G139" s="971"/>
      <c r="H139" s="161" t="s">
        <v>262</v>
      </c>
      <c r="I139" s="212">
        <v>4367.51</v>
      </c>
      <c r="J139" s="621">
        <v>3</v>
      </c>
      <c r="K139" s="511"/>
      <c r="L139" s="512">
        <f t="shared" si="0"/>
        <v>0</v>
      </c>
      <c r="M139" s="513">
        <f>+[15]Hakediş!J77</f>
        <v>0</v>
      </c>
    </row>
    <row r="140" spans="3:13" ht="30" customHeight="1" x14ac:dyDescent="0.3">
      <c r="C140" s="161">
        <v>76</v>
      </c>
      <c r="D140" s="161" t="s">
        <v>370</v>
      </c>
      <c r="E140" s="969" t="s">
        <v>371</v>
      </c>
      <c r="F140" s="970"/>
      <c r="G140" s="971"/>
      <c r="H140" s="161" t="s">
        <v>262</v>
      </c>
      <c r="I140" s="212">
        <v>2581.33</v>
      </c>
      <c r="J140" s="621">
        <v>3</v>
      </c>
      <c r="K140" s="511"/>
      <c r="L140" s="512">
        <f t="shared" si="0"/>
        <v>22.183</v>
      </c>
      <c r="M140" s="513">
        <f>+[15]Hakediş!J78</f>
        <v>22.183</v>
      </c>
    </row>
    <row r="141" spans="3:13" ht="30" customHeight="1" x14ac:dyDescent="0.3">
      <c r="C141" s="161">
        <v>77</v>
      </c>
      <c r="D141" s="161" t="s">
        <v>372</v>
      </c>
      <c r="E141" s="969" t="s">
        <v>373</v>
      </c>
      <c r="F141" s="970"/>
      <c r="G141" s="971"/>
      <c r="H141" s="161" t="s">
        <v>374</v>
      </c>
      <c r="I141" s="212">
        <v>3500</v>
      </c>
      <c r="J141" s="617"/>
      <c r="K141" s="212"/>
      <c r="L141" s="225">
        <f t="shared" si="0"/>
        <v>0</v>
      </c>
      <c r="M141" s="513">
        <f>+[15]Hakediş!J79</f>
        <v>0</v>
      </c>
    </row>
    <row r="142" spans="3:13" ht="30" customHeight="1" x14ac:dyDescent="0.3">
      <c r="C142" s="161">
        <v>78</v>
      </c>
      <c r="D142" s="161" t="s">
        <v>375</v>
      </c>
      <c r="E142" s="969" t="s">
        <v>376</v>
      </c>
      <c r="F142" s="970"/>
      <c r="G142" s="971"/>
      <c r="H142" s="161" t="s">
        <v>374</v>
      </c>
      <c r="I142" s="212">
        <v>4500</v>
      </c>
      <c r="J142" s="617"/>
      <c r="K142" s="212"/>
      <c r="L142" s="225">
        <f t="shared" si="0"/>
        <v>0</v>
      </c>
      <c r="M142" s="513">
        <f>+[15]Hakediş!J80</f>
        <v>0</v>
      </c>
    </row>
    <row r="143" spans="3:13" ht="30" customHeight="1" x14ac:dyDescent="0.3">
      <c r="C143" s="161">
        <v>79</v>
      </c>
      <c r="D143" s="213" t="s">
        <v>377</v>
      </c>
      <c r="E143" s="969" t="s">
        <v>378</v>
      </c>
      <c r="F143" s="970"/>
      <c r="G143" s="971"/>
      <c r="H143" s="161" t="s">
        <v>202</v>
      </c>
      <c r="I143" s="212">
        <v>8960.4699999999993</v>
      </c>
      <c r="J143" s="617"/>
      <c r="K143" s="212"/>
      <c r="L143" s="225">
        <f t="shared" si="0"/>
        <v>0</v>
      </c>
      <c r="M143" s="513">
        <f>+[15]Hakediş!J81</f>
        <v>0</v>
      </c>
    </row>
    <row r="144" spans="3:13" ht="30" customHeight="1" x14ac:dyDescent="0.3">
      <c r="C144" s="1375" t="s">
        <v>33</v>
      </c>
      <c r="D144" s="1375"/>
      <c r="E144" s="1375"/>
      <c r="F144" s="1376" t="s">
        <v>29</v>
      </c>
      <c r="G144" s="1376"/>
      <c r="H144" s="1375" t="s">
        <v>22</v>
      </c>
      <c r="I144" s="1375"/>
      <c r="J144" s="1375"/>
      <c r="K144" s="1375"/>
      <c r="L144" s="1375"/>
      <c r="M144" s="1375"/>
    </row>
    <row r="145" spans="1:13" ht="19.95" customHeight="1" x14ac:dyDescent="0.3">
      <c r="C145" s="1024" t="s">
        <v>1214</v>
      </c>
      <c r="D145" s="1024"/>
      <c r="E145" s="1024"/>
      <c r="F145" s="1280" t="s">
        <v>38</v>
      </c>
      <c r="G145" s="1280"/>
      <c r="H145" s="1280" t="s">
        <v>1437</v>
      </c>
      <c r="I145" s="1280"/>
      <c r="J145" s="1280"/>
      <c r="K145" s="1280"/>
      <c r="L145" s="1280"/>
      <c r="M145" s="1280"/>
    </row>
    <row r="146" spans="1:13" ht="23.4" customHeight="1" x14ac:dyDescent="0.3">
      <c r="D146" s="28"/>
      <c r="E146" s="28"/>
      <c r="F146" s="109"/>
      <c r="G146" s="109"/>
      <c r="H146" s="1280"/>
      <c r="I146" s="1280"/>
      <c r="J146" s="1280"/>
      <c r="K146" s="1280"/>
      <c r="L146" s="1280"/>
      <c r="M146" s="1280"/>
    </row>
    <row r="147" spans="1:13" ht="15" customHeight="1" x14ac:dyDescent="0.3">
      <c r="D147" s="28"/>
      <c r="E147" s="666"/>
      <c r="F147" s="666"/>
      <c r="G147" s="666"/>
      <c r="H147" s="1280"/>
      <c r="I147" s="1280"/>
      <c r="J147" s="1280"/>
      <c r="K147" s="1280"/>
      <c r="L147" s="1280"/>
      <c r="M147" s="1280"/>
    </row>
    <row r="148" spans="1:13" ht="15" customHeight="1" x14ac:dyDescent="0.3">
      <c r="D148" s="28"/>
      <c r="E148" s="666"/>
      <c r="F148" s="666"/>
      <c r="G148" s="666"/>
      <c r="H148" s="1280"/>
      <c r="I148" s="1280"/>
      <c r="J148" s="1280"/>
      <c r="K148" s="1280"/>
      <c r="L148" s="1280"/>
      <c r="M148" s="1280"/>
    </row>
    <row r="149" spans="1:13" ht="15" customHeight="1" x14ac:dyDescent="0.3">
      <c r="D149" s="28"/>
      <c r="E149" s="666"/>
      <c r="F149" s="666"/>
      <c r="G149" s="666"/>
      <c r="H149" s="110"/>
      <c r="I149" s="110"/>
      <c r="J149" s="667"/>
      <c r="K149" s="110"/>
      <c r="L149" s="110"/>
      <c r="M149" s="110"/>
    </row>
    <row r="150" spans="1:13" ht="15" customHeight="1" x14ac:dyDescent="0.3">
      <c r="D150" s="28"/>
      <c r="E150" s="666"/>
      <c r="F150" s="1280" t="s">
        <v>1411</v>
      </c>
      <c r="G150" s="1280"/>
      <c r="H150" s="1280" t="s">
        <v>54</v>
      </c>
      <c r="I150" s="1280"/>
      <c r="J150" s="1280"/>
      <c r="K150" s="1280"/>
      <c r="L150" s="1280" t="s">
        <v>56</v>
      </c>
      <c r="M150" s="1280"/>
    </row>
    <row r="151" spans="1:13" ht="15" customHeight="1" x14ac:dyDescent="0.3">
      <c r="D151" s="28"/>
      <c r="E151" s="666"/>
      <c r="F151" s="1280"/>
      <c r="G151" s="1280"/>
      <c r="H151" s="1280" t="s">
        <v>1484</v>
      </c>
      <c r="I151" s="1280"/>
      <c r="J151" s="1280"/>
      <c r="K151" s="1280"/>
      <c r="L151" s="1280" t="s">
        <v>1479</v>
      </c>
      <c r="M151" s="1280"/>
    </row>
    <row r="152" spans="1:13" ht="15" customHeight="1" x14ac:dyDescent="0.3">
      <c r="D152" s="28"/>
      <c r="E152" s="666"/>
      <c r="F152" s="110"/>
      <c r="G152" s="110"/>
      <c r="H152" s="1280"/>
      <c r="I152" s="1280"/>
      <c r="J152" s="1280"/>
      <c r="K152" s="1280"/>
      <c r="L152" s="1280"/>
      <c r="M152" s="1280"/>
    </row>
    <row r="153" spans="1:13" ht="15" customHeight="1" x14ac:dyDescent="0.3">
      <c r="D153" s="28"/>
      <c r="E153" s="666"/>
      <c r="F153" s="109"/>
      <c r="G153" s="109"/>
      <c r="H153" s="28"/>
      <c r="I153" s="214"/>
      <c r="J153" s="618"/>
    </row>
    <row r="154" spans="1:13" ht="15" customHeight="1" x14ac:dyDescent="0.3">
      <c r="D154" s="28"/>
      <c r="E154" s="666"/>
      <c r="F154" s="109"/>
      <c r="G154" s="109"/>
      <c r="H154" s="28"/>
      <c r="I154" s="214"/>
      <c r="J154" s="618"/>
    </row>
    <row r="155" spans="1:13" ht="15" customHeight="1" x14ac:dyDescent="0.3">
      <c r="C155" s="1280" t="s">
        <v>1215</v>
      </c>
      <c r="D155" s="1024"/>
      <c r="E155" s="1024"/>
      <c r="F155" s="1280" t="s">
        <v>1348</v>
      </c>
      <c r="G155" s="1280"/>
      <c r="H155" s="1280"/>
      <c r="I155" s="1024"/>
      <c r="J155" s="1024"/>
      <c r="K155" s="1024"/>
      <c r="L155" s="1024"/>
      <c r="M155" s="1024"/>
    </row>
    <row r="156" spans="1:13" ht="15" customHeight="1" x14ac:dyDescent="0.3">
      <c r="A156" s="262" t="s">
        <v>1290</v>
      </c>
      <c r="C156" s="1024"/>
      <c r="D156" s="1024"/>
      <c r="E156" s="1024"/>
      <c r="F156" s="1280"/>
      <c r="G156" s="1280"/>
      <c r="H156" s="1024"/>
      <c r="I156" s="1024"/>
      <c r="J156" s="1024"/>
      <c r="K156" s="1024"/>
      <c r="L156" s="1024"/>
      <c r="M156" s="1024"/>
    </row>
    <row r="157" spans="1:13" ht="30" customHeight="1" x14ac:dyDescent="0.3">
      <c r="C157" s="563"/>
      <c r="D157" s="668" t="s">
        <v>1226</v>
      </c>
      <c r="E157" s="669"/>
      <c r="F157" s="670"/>
      <c r="G157" s="671"/>
      <c r="H157" s="563"/>
      <c r="I157" s="672"/>
      <c r="J157" s="673"/>
      <c r="K157" s="672"/>
      <c r="L157" s="672"/>
      <c r="M157" s="672"/>
    </row>
    <row r="158" spans="1:13" ht="30" customHeight="1" x14ac:dyDescent="0.3">
      <c r="C158" s="161">
        <v>80</v>
      </c>
      <c r="D158" s="213" t="s">
        <v>379</v>
      </c>
      <c r="E158" s="969" t="s">
        <v>380</v>
      </c>
      <c r="F158" s="970"/>
      <c r="G158" s="971"/>
      <c r="H158" s="161" t="s">
        <v>202</v>
      </c>
      <c r="I158" s="212">
        <v>2750</v>
      </c>
      <c r="J158" s="617"/>
      <c r="K158" s="212"/>
      <c r="L158" s="225"/>
      <c r="M158" s="212"/>
    </row>
    <row r="159" spans="1:13" ht="30" customHeight="1" x14ac:dyDescent="0.3">
      <c r="C159" s="161">
        <v>81</v>
      </c>
      <c r="D159" s="213" t="s">
        <v>381</v>
      </c>
      <c r="E159" s="969" t="s">
        <v>382</v>
      </c>
      <c r="F159" s="970"/>
      <c r="G159" s="971"/>
      <c r="H159" s="161" t="s">
        <v>286</v>
      </c>
      <c r="I159" s="212">
        <v>1</v>
      </c>
      <c r="J159" s="617"/>
      <c r="K159" s="226"/>
      <c r="L159" s="227"/>
      <c r="M159" s="226"/>
    </row>
    <row r="160" spans="1:13" ht="30" customHeight="1" x14ac:dyDescent="0.3">
      <c r="C160" s="161">
        <v>82</v>
      </c>
      <c r="D160" s="213" t="s">
        <v>383</v>
      </c>
      <c r="E160" s="969" t="s">
        <v>384</v>
      </c>
      <c r="F160" s="970"/>
      <c r="G160" s="971"/>
      <c r="H160" s="161" t="s">
        <v>286</v>
      </c>
      <c r="I160" s="212">
        <v>1</v>
      </c>
      <c r="J160" s="621">
        <v>3</v>
      </c>
      <c r="K160" s="226"/>
      <c r="L160" s="227"/>
      <c r="M160" s="226"/>
    </row>
    <row r="161" spans="3:13" ht="30" customHeight="1" x14ac:dyDescent="0.3">
      <c r="C161" s="161"/>
      <c r="D161" s="213"/>
      <c r="E161" s="969"/>
      <c r="F161" s="970"/>
      <c r="G161" s="971"/>
      <c r="H161" s="161"/>
      <c r="I161" s="212"/>
      <c r="J161" s="617"/>
      <c r="K161" s="212"/>
      <c r="L161" s="225"/>
      <c r="M161" s="212"/>
    </row>
    <row r="162" spans="3:13" ht="30" customHeight="1" x14ac:dyDescent="0.3">
      <c r="C162" s="161"/>
      <c r="D162" s="213"/>
      <c r="E162" s="969"/>
      <c r="F162" s="970"/>
      <c r="G162" s="971"/>
      <c r="H162" s="161"/>
      <c r="I162" s="212"/>
      <c r="J162" s="617"/>
      <c r="K162" s="212"/>
      <c r="L162" s="225"/>
      <c r="M162" s="212"/>
    </row>
    <row r="163" spans="3:13" ht="30" customHeight="1" x14ac:dyDescent="0.3">
      <c r="C163" s="161"/>
      <c r="D163" s="213"/>
      <c r="E163" s="969"/>
      <c r="F163" s="970"/>
      <c r="G163" s="971"/>
      <c r="H163" s="161"/>
      <c r="I163" s="212"/>
      <c r="J163" s="617"/>
      <c r="K163" s="212"/>
      <c r="L163" s="225"/>
      <c r="M163" s="212"/>
    </row>
    <row r="164" spans="3:13" ht="30" customHeight="1" x14ac:dyDescent="0.3">
      <c r="C164" s="161"/>
      <c r="D164" s="161"/>
      <c r="E164" s="969"/>
      <c r="F164" s="970"/>
      <c r="G164" s="971"/>
      <c r="H164" s="161"/>
      <c r="I164" s="212"/>
      <c r="J164" s="617"/>
      <c r="K164" s="212"/>
      <c r="L164" s="225"/>
      <c r="M164" s="212"/>
    </row>
    <row r="165" spans="3:13" ht="30" customHeight="1" x14ac:dyDescent="0.3">
      <c r="C165" s="161"/>
      <c r="D165" s="161"/>
      <c r="E165" s="969"/>
      <c r="F165" s="970"/>
      <c r="G165" s="971"/>
      <c r="H165" s="161"/>
      <c r="I165" s="212"/>
      <c r="J165" s="617"/>
      <c r="K165" s="212"/>
      <c r="L165" s="225"/>
      <c r="M165" s="212"/>
    </row>
    <row r="166" spans="3:13" ht="30" customHeight="1" x14ac:dyDescent="0.3">
      <c r="C166" s="161"/>
      <c r="D166" s="161"/>
      <c r="E166" s="969"/>
      <c r="F166" s="970"/>
      <c r="G166" s="971"/>
      <c r="H166" s="161"/>
      <c r="I166" s="212"/>
      <c r="J166" s="617"/>
      <c r="K166" s="212"/>
      <c r="L166" s="225"/>
      <c r="M166" s="212"/>
    </row>
    <row r="167" spans="3:13" ht="30" customHeight="1" x14ac:dyDescent="0.3">
      <c r="C167" s="161"/>
      <c r="D167" s="161"/>
      <c r="E167" s="969"/>
      <c r="F167" s="970"/>
      <c r="G167" s="971"/>
      <c r="H167" s="161"/>
      <c r="I167" s="212"/>
      <c r="J167" s="617"/>
      <c r="K167" s="212"/>
      <c r="L167" s="225"/>
      <c r="M167" s="212"/>
    </row>
    <row r="168" spans="3:13" ht="30" customHeight="1" x14ac:dyDescent="0.3">
      <c r="C168" s="161"/>
      <c r="D168" s="161"/>
      <c r="E168" s="969"/>
      <c r="F168" s="970"/>
      <c r="G168" s="971"/>
      <c r="H168" s="161"/>
      <c r="I168" s="212"/>
      <c r="J168" s="617"/>
      <c r="K168" s="212"/>
      <c r="L168" s="225"/>
      <c r="M168" s="212"/>
    </row>
    <row r="169" spans="3:13" ht="30" customHeight="1" x14ac:dyDescent="0.3">
      <c r="C169" s="161"/>
      <c r="D169" s="161"/>
      <c r="E169" s="969"/>
      <c r="F169" s="970"/>
      <c r="G169" s="971"/>
      <c r="H169" s="161"/>
      <c r="I169" s="212"/>
      <c r="J169" s="617"/>
      <c r="K169" s="212"/>
      <c r="L169" s="225"/>
      <c r="M169" s="212"/>
    </row>
    <row r="170" spans="3:13" ht="30" customHeight="1" x14ac:dyDescent="0.3">
      <c r="C170" s="161"/>
      <c r="D170" s="161"/>
      <c r="E170" s="564"/>
      <c r="F170" s="565"/>
      <c r="G170" s="566"/>
      <c r="H170" s="161"/>
      <c r="I170" s="212"/>
      <c r="J170" s="617"/>
      <c r="K170" s="212"/>
      <c r="L170" s="225"/>
      <c r="M170" s="212"/>
    </row>
    <row r="171" spans="3:13" ht="30" customHeight="1" x14ac:dyDescent="0.3">
      <c r="C171" s="161"/>
      <c r="D171" s="161"/>
      <c r="E171" s="564"/>
      <c r="F171" s="565"/>
      <c r="G171" s="566"/>
      <c r="H171" s="161"/>
      <c r="I171" s="212"/>
      <c r="J171" s="617"/>
      <c r="K171" s="212"/>
      <c r="L171" s="225"/>
      <c r="M171" s="212"/>
    </row>
    <row r="172" spans="3:13" ht="30" customHeight="1" x14ac:dyDescent="0.3">
      <c r="C172" s="161"/>
      <c r="D172" s="161"/>
      <c r="E172" s="564"/>
      <c r="F172" s="565"/>
      <c r="G172" s="566"/>
      <c r="H172" s="161"/>
      <c r="I172" s="212"/>
      <c r="J172" s="617"/>
      <c r="K172" s="212"/>
      <c r="L172" s="225"/>
      <c r="M172" s="212"/>
    </row>
    <row r="173" spans="3:13" ht="30" customHeight="1" x14ac:dyDescent="0.3">
      <c r="C173" s="161"/>
      <c r="D173" s="161"/>
      <c r="E173" s="564"/>
      <c r="F173" s="565"/>
      <c r="G173" s="566"/>
      <c r="H173" s="161"/>
      <c r="I173" s="212"/>
      <c r="J173" s="617"/>
      <c r="K173" s="212"/>
      <c r="L173" s="225"/>
      <c r="M173" s="212"/>
    </row>
    <row r="174" spans="3:13" ht="30" customHeight="1" x14ac:dyDescent="0.3">
      <c r="C174" s="161"/>
      <c r="D174" s="161"/>
      <c r="E174" s="564"/>
      <c r="F174" s="565"/>
      <c r="G174" s="566"/>
      <c r="H174" s="161"/>
      <c r="I174" s="212"/>
      <c r="J174" s="617"/>
      <c r="K174" s="212"/>
      <c r="L174" s="225"/>
      <c r="M174" s="212"/>
    </row>
    <row r="175" spans="3:13" ht="30" customHeight="1" x14ac:dyDescent="0.3">
      <c r="C175" s="161"/>
      <c r="D175" s="161"/>
      <c r="E175" s="564"/>
      <c r="F175" s="565"/>
      <c r="G175" s="566"/>
      <c r="H175" s="161"/>
      <c r="I175" s="212"/>
      <c r="J175" s="617"/>
      <c r="K175" s="212"/>
      <c r="L175" s="225"/>
      <c r="M175" s="212"/>
    </row>
    <row r="176" spans="3:13" ht="30" customHeight="1" x14ac:dyDescent="0.3">
      <c r="C176" s="161"/>
      <c r="D176" s="161"/>
      <c r="E176" s="564"/>
      <c r="F176" s="565"/>
      <c r="G176" s="566"/>
      <c r="H176" s="161"/>
      <c r="I176" s="212"/>
      <c r="J176" s="617"/>
      <c r="K176" s="212"/>
      <c r="L176" s="225"/>
      <c r="M176" s="212"/>
    </row>
    <row r="177" spans="3:13" ht="30" customHeight="1" x14ac:dyDescent="0.3">
      <c r="C177" s="161"/>
      <c r="D177" s="161"/>
      <c r="E177" s="564"/>
      <c r="F177" s="565"/>
      <c r="G177" s="566"/>
      <c r="H177" s="161"/>
      <c r="I177" s="212"/>
      <c r="J177" s="617"/>
      <c r="K177" s="212"/>
      <c r="L177" s="225"/>
      <c r="M177" s="212"/>
    </row>
    <row r="178" spans="3:13" ht="30" customHeight="1" x14ac:dyDescent="0.3">
      <c r="C178" s="161"/>
      <c r="D178" s="161"/>
      <c r="E178" s="564"/>
      <c r="F178" s="565"/>
      <c r="G178" s="566"/>
      <c r="H178" s="161"/>
      <c r="I178" s="212"/>
      <c r="J178" s="617"/>
      <c r="K178" s="212"/>
      <c r="L178" s="225"/>
      <c r="M178" s="212"/>
    </row>
    <row r="179" spans="3:13" ht="30" customHeight="1" x14ac:dyDescent="0.3">
      <c r="C179" s="161"/>
      <c r="D179" s="161"/>
      <c r="E179" s="564"/>
      <c r="F179" s="565"/>
      <c r="G179" s="566"/>
      <c r="H179" s="161"/>
      <c r="I179" s="212"/>
      <c r="J179" s="617"/>
      <c r="K179" s="212"/>
      <c r="L179" s="225"/>
      <c r="M179" s="212"/>
    </row>
    <row r="180" spans="3:13" ht="30" customHeight="1" x14ac:dyDescent="0.3">
      <c r="C180" s="161"/>
      <c r="D180" s="161"/>
      <c r="E180" s="564"/>
      <c r="F180" s="565"/>
      <c r="G180" s="566"/>
      <c r="H180" s="161"/>
      <c r="I180" s="212"/>
      <c r="J180" s="617"/>
      <c r="K180" s="212"/>
      <c r="L180" s="225"/>
      <c r="M180" s="212"/>
    </row>
    <row r="181" spans="3:13" ht="30" customHeight="1" x14ac:dyDescent="0.3">
      <c r="C181" s="161"/>
      <c r="D181" s="161"/>
      <c r="E181" s="564"/>
      <c r="F181" s="565"/>
      <c r="G181" s="566"/>
      <c r="H181" s="161"/>
      <c r="I181" s="212"/>
      <c r="J181" s="617"/>
      <c r="K181" s="212"/>
      <c r="L181" s="225"/>
      <c r="M181" s="212"/>
    </row>
    <row r="182" spans="3:13" ht="30" customHeight="1" x14ac:dyDescent="0.3">
      <c r="C182" s="161"/>
      <c r="D182" s="161"/>
      <c r="E182" s="564"/>
      <c r="F182" s="565"/>
      <c r="G182" s="566"/>
      <c r="H182" s="161"/>
      <c r="I182" s="212"/>
      <c r="J182" s="617"/>
      <c r="K182" s="212"/>
      <c r="L182" s="225"/>
      <c r="M182" s="212"/>
    </row>
    <row r="183" spans="3:13" ht="30" customHeight="1" x14ac:dyDescent="0.3">
      <c r="C183" s="161"/>
      <c r="D183" s="161"/>
      <c r="E183" s="564"/>
      <c r="F183" s="565"/>
      <c r="G183" s="566"/>
      <c r="H183" s="161"/>
      <c r="I183" s="212"/>
      <c r="J183" s="617"/>
      <c r="K183" s="212"/>
      <c r="L183" s="225"/>
      <c r="M183" s="212"/>
    </row>
    <row r="184" spans="3:13" ht="30" customHeight="1" x14ac:dyDescent="0.3">
      <c r="C184" s="161"/>
      <c r="D184" s="161"/>
      <c r="E184" s="969"/>
      <c r="F184" s="970"/>
      <c r="G184" s="971"/>
      <c r="H184" s="161"/>
      <c r="I184" s="212"/>
      <c r="J184" s="617"/>
      <c r="K184" s="212"/>
      <c r="L184" s="225"/>
      <c r="M184" s="212"/>
    </row>
    <row r="185" spans="3:13" ht="30" customHeight="1" x14ac:dyDescent="0.3">
      <c r="C185" s="161"/>
      <c r="D185" s="161"/>
      <c r="E185" s="969"/>
      <c r="F185" s="970"/>
      <c r="G185" s="971"/>
      <c r="H185" s="161"/>
      <c r="I185" s="212"/>
      <c r="J185" s="617"/>
      <c r="K185" s="212"/>
      <c r="L185" s="225"/>
      <c r="M185" s="212"/>
    </row>
    <row r="186" spans="3:13" ht="30" customHeight="1" x14ac:dyDescent="0.3">
      <c r="C186" s="161"/>
      <c r="D186" s="161"/>
      <c r="E186" s="969"/>
      <c r="F186" s="970"/>
      <c r="G186" s="971"/>
      <c r="H186" s="161"/>
      <c r="I186" s="212"/>
      <c r="J186" s="617"/>
      <c r="K186" s="212"/>
      <c r="L186" s="225"/>
      <c r="M186" s="212"/>
    </row>
    <row r="187" spans="3:13" ht="30" customHeight="1" x14ac:dyDescent="0.3">
      <c r="C187" s="161"/>
      <c r="D187" s="161"/>
      <c r="E187" s="969"/>
      <c r="F187" s="970"/>
      <c r="G187" s="971"/>
      <c r="H187" s="161"/>
      <c r="I187" s="212"/>
      <c r="J187" s="617"/>
      <c r="K187" s="212"/>
      <c r="L187" s="225"/>
      <c r="M187" s="212"/>
    </row>
    <row r="188" spans="3:13" ht="30" customHeight="1" x14ac:dyDescent="0.3">
      <c r="C188" s="1375" t="s">
        <v>33</v>
      </c>
      <c r="D188" s="1375"/>
      <c r="E188" s="1375"/>
      <c r="F188" s="1376" t="s">
        <v>29</v>
      </c>
      <c r="G188" s="1376"/>
      <c r="H188" s="1375" t="s">
        <v>22</v>
      </c>
      <c r="I188" s="1375"/>
      <c r="J188" s="1375"/>
      <c r="K188" s="1375"/>
      <c r="L188" s="1375"/>
      <c r="M188" s="1375"/>
    </row>
    <row r="189" spans="3:13" ht="19.95" customHeight="1" x14ac:dyDescent="0.3">
      <c r="C189" s="1024" t="s">
        <v>1214</v>
      </c>
      <c r="D189" s="1024"/>
      <c r="E189" s="1024"/>
      <c r="F189" s="1280" t="s">
        <v>38</v>
      </c>
      <c r="G189" s="1280"/>
      <c r="H189" s="1280" t="s">
        <v>1437</v>
      </c>
      <c r="I189" s="1280"/>
      <c r="J189" s="1280"/>
      <c r="K189" s="1280"/>
      <c r="L189" s="1280"/>
      <c r="M189" s="1280"/>
    </row>
    <row r="190" spans="3:13" ht="15" customHeight="1" x14ac:dyDescent="0.3">
      <c r="D190" s="28"/>
      <c r="E190" s="666"/>
      <c r="F190" s="666"/>
      <c r="G190" s="666"/>
      <c r="H190" s="1280"/>
      <c r="I190" s="1280"/>
      <c r="J190" s="1280"/>
      <c r="K190" s="1280"/>
      <c r="L190" s="1280"/>
      <c r="M190" s="1280"/>
    </row>
    <row r="191" spans="3:13" ht="15" customHeight="1" x14ac:dyDescent="0.3">
      <c r="D191" s="28"/>
      <c r="E191" s="666"/>
      <c r="F191" s="666"/>
      <c r="G191" s="666"/>
      <c r="H191" s="1280"/>
      <c r="I191" s="1280"/>
      <c r="J191" s="1280"/>
      <c r="K191" s="1280"/>
      <c r="L191" s="1280"/>
      <c r="M191" s="1280"/>
    </row>
    <row r="192" spans="3:13" ht="15" customHeight="1" x14ac:dyDescent="0.3">
      <c r="D192" s="28"/>
      <c r="E192" s="666"/>
      <c r="F192" s="666"/>
      <c r="G192" s="666"/>
      <c r="H192" s="1280"/>
      <c r="I192" s="1280"/>
      <c r="J192" s="1280"/>
      <c r="K192" s="1280"/>
      <c r="L192" s="1280"/>
      <c r="M192" s="1280"/>
    </row>
    <row r="193" spans="1:13" ht="15" customHeight="1" x14ac:dyDescent="0.3">
      <c r="D193" s="28"/>
      <c r="E193" s="666"/>
      <c r="F193" s="666"/>
      <c r="G193" s="666"/>
      <c r="H193" s="109"/>
      <c r="I193" s="109"/>
      <c r="J193" s="667"/>
      <c r="K193" s="109"/>
      <c r="L193" s="109"/>
      <c r="M193" s="109"/>
    </row>
    <row r="194" spans="1:13" ht="15" customHeight="1" x14ac:dyDescent="0.3">
      <c r="D194" s="28"/>
      <c r="E194" s="666"/>
      <c r="F194" s="1280" t="s">
        <v>1412</v>
      </c>
      <c r="G194" s="1280"/>
      <c r="H194" s="1280"/>
      <c r="I194" s="1280"/>
      <c r="J194" s="1280"/>
      <c r="K194" s="1280" t="s">
        <v>56</v>
      </c>
      <c r="L194" s="1280"/>
      <c r="M194" s="1280"/>
    </row>
    <row r="195" spans="1:13" ht="15" customHeight="1" x14ac:dyDescent="0.3">
      <c r="D195" s="28"/>
      <c r="E195" s="666"/>
      <c r="F195" s="1280"/>
      <c r="G195" s="1280"/>
      <c r="H195" s="1280"/>
      <c r="I195" s="1280"/>
      <c r="J195" s="1280"/>
      <c r="K195" s="1280" t="s">
        <v>1479</v>
      </c>
      <c r="L195" s="1280"/>
      <c r="M195" s="1280"/>
    </row>
    <row r="196" spans="1:13" ht="15" customHeight="1" x14ac:dyDescent="0.3">
      <c r="D196" s="28"/>
      <c r="E196" s="666"/>
      <c r="F196" s="110"/>
      <c r="G196" s="110"/>
      <c r="H196" s="1280"/>
      <c r="I196" s="1280"/>
      <c r="J196" s="1280"/>
      <c r="K196" s="1280"/>
      <c r="L196" s="1280"/>
      <c r="M196" s="110"/>
    </row>
    <row r="197" spans="1:13" ht="15" customHeight="1" x14ac:dyDescent="0.3">
      <c r="D197" s="28"/>
      <c r="E197" s="666"/>
      <c r="F197" s="110"/>
      <c r="G197" s="110"/>
      <c r="H197" s="110"/>
      <c r="I197" s="110"/>
      <c r="J197" s="667"/>
      <c r="K197" s="110"/>
      <c r="L197" s="110"/>
      <c r="M197" s="110"/>
    </row>
    <row r="198" spans="1:13" ht="15" customHeight="1" x14ac:dyDescent="0.3">
      <c r="D198" s="28"/>
      <c r="E198" s="666"/>
      <c r="F198" s="1280" t="s">
        <v>1411</v>
      </c>
      <c r="G198" s="1280"/>
      <c r="H198" s="110"/>
      <c r="I198" s="110"/>
      <c r="J198" s="667"/>
      <c r="K198" s="110"/>
      <c r="L198" s="110"/>
      <c r="M198" s="110"/>
    </row>
    <row r="199" spans="1:13" ht="15" customHeight="1" x14ac:dyDescent="0.3">
      <c r="D199" s="28"/>
      <c r="E199" s="666"/>
      <c r="F199" s="1280"/>
      <c r="G199" s="1280"/>
      <c r="H199" s="110"/>
      <c r="J199" s="11"/>
    </row>
    <row r="200" spans="1:13" ht="15" customHeight="1" x14ac:dyDescent="0.3">
      <c r="D200" s="28"/>
      <c r="E200" s="666"/>
      <c r="F200" s="666"/>
      <c r="G200" s="666"/>
      <c r="H200" s="28"/>
      <c r="I200" s="214"/>
      <c r="J200" s="618"/>
    </row>
    <row r="201" spans="1:13" ht="15" customHeight="1" x14ac:dyDescent="0.3">
      <c r="D201" s="28"/>
      <c r="E201" s="666"/>
      <c r="F201" s="666"/>
      <c r="G201" s="666"/>
      <c r="H201" s="28"/>
      <c r="I201" s="214"/>
      <c r="J201" s="618"/>
    </row>
    <row r="202" spans="1:13" ht="15" customHeight="1" x14ac:dyDescent="0.3">
      <c r="C202" s="1280" t="s">
        <v>1215</v>
      </c>
      <c r="D202" s="1024"/>
      <c r="E202" s="1024"/>
      <c r="F202" s="1280" t="s">
        <v>1348</v>
      </c>
      <c r="G202" s="1280"/>
      <c r="H202" s="1280"/>
      <c r="I202" s="1024"/>
      <c r="J202" s="1024"/>
      <c r="K202" s="1024"/>
      <c r="L202" s="1024"/>
      <c r="M202" s="1024"/>
    </row>
    <row r="203" spans="1:13" ht="15" customHeight="1" x14ac:dyDescent="0.3">
      <c r="A203" s="262" t="s">
        <v>1290</v>
      </c>
      <c r="C203" s="1024"/>
      <c r="D203" s="1024"/>
      <c r="E203" s="1024"/>
      <c r="F203" s="1280"/>
      <c r="G203" s="1280"/>
      <c r="H203" s="1024"/>
      <c r="I203" s="1024"/>
      <c r="J203" s="1024"/>
      <c r="K203" s="1024"/>
      <c r="L203" s="1024"/>
      <c r="M203" s="1024"/>
    </row>
    <row r="204" spans="1:13" ht="30" customHeight="1" x14ac:dyDescent="0.3">
      <c r="C204" s="563"/>
      <c r="D204" s="668" t="s">
        <v>1227</v>
      </c>
      <c r="E204" s="669"/>
      <c r="F204" s="670"/>
      <c r="G204" s="671"/>
      <c r="H204" s="563"/>
      <c r="I204" s="672"/>
      <c r="J204" s="673"/>
      <c r="K204" s="672"/>
      <c r="L204" s="672"/>
      <c r="M204" s="672"/>
    </row>
    <row r="205" spans="1:13" ht="30" customHeight="1" x14ac:dyDescent="0.3">
      <c r="C205" s="160">
        <v>83</v>
      </c>
      <c r="D205" s="210" t="s">
        <v>385</v>
      </c>
      <c r="E205" s="992" t="s">
        <v>386</v>
      </c>
      <c r="F205" s="993"/>
      <c r="G205" s="994"/>
      <c r="H205" s="160"/>
      <c r="I205" s="211"/>
      <c r="J205" s="616"/>
      <c r="K205" s="211"/>
      <c r="L205" s="224"/>
      <c r="M205" s="211"/>
    </row>
    <row r="206" spans="1:13" ht="30" customHeight="1" x14ac:dyDescent="0.3">
      <c r="C206" s="161">
        <v>84</v>
      </c>
      <c r="D206" s="213" t="s">
        <v>387</v>
      </c>
      <c r="E206" s="969" t="s">
        <v>388</v>
      </c>
      <c r="F206" s="970"/>
      <c r="G206" s="971"/>
      <c r="H206" s="161"/>
      <c r="I206" s="212"/>
      <c r="J206" s="617"/>
      <c r="K206" s="212"/>
      <c r="L206" s="225"/>
      <c r="M206" s="212"/>
    </row>
    <row r="207" spans="1:13" ht="30" customHeight="1" x14ac:dyDescent="0.3">
      <c r="C207" s="161">
        <v>85</v>
      </c>
      <c r="D207" s="213" t="s">
        <v>389</v>
      </c>
      <c r="E207" s="969" t="s">
        <v>390</v>
      </c>
      <c r="F207" s="970"/>
      <c r="G207" s="971"/>
      <c r="H207" s="161"/>
      <c r="I207" s="212"/>
      <c r="J207" s="617"/>
      <c r="K207" s="212"/>
      <c r="L207" s="225"/>
      <c r="M207" s="212"/>
    </row>
    <row r="208" spans="1:13" ht="30" customHeight="1" x14ac:dyDescent="0.3">
      <c r="C208" s="161">
        <v>86</v>
      </c>
      <c r="D208" s="161" t="s">
        <v>391</v>
      </c>
      <c r="E208" s="969" t="s">
        <v>392</v>
      </c>
      <c r="F208" s="970"/>
      <c r="G208" s="971"/>
      <c r="H208" s="161"/>
      <c r="I208" s="212"/>
      <c r="J208" s="617"/>
      <c r="K208" s="212"/>
      <c r="L208" s="225"/>
      <c r="M208" s="212"/>
    </row>
    <row r="209" spans="3:13" ht="30" customHeight="1" x14ac:dyDescent="0.3">
      <c r="C209" s="161">
        <v>87</v>
      </c>
      <c r="D209" s="161" t="s">
        <v>393</v>
      </c>
      <c r="E209" s="969" t="s">
        <v>394</v>
      </c>
      <c r="F209" s="970"/>
      <c r="G209" s="971"/>
      <c r="H209" s="161"/>
      <c r="I209" s="212"/>
      <c r="J209" s="617"/>
      <c r="K209" s="212"/>
      <c r="L209" s="225"/>
      <c r="M209" s="212"/>
    </row>
    <row r="210" spans="3:13" ht="30" customHeight="1" x14ac:dyDescent="0.3">
      <c r="C210" s="161">
        <v>88</v>
      </c>
      <c r="D210" s="161" t="s">
        <v>395</v>
      </c>
      <c r="E210" s="969" t="s">
        <v>396</v>
      </c>
      <c r="F210" s="970"/>
      <c r="G210" s="971"/>
      <c r="H210" s="161"/>
      <c r="I210" s="212"/>
      <c r="J210" s="617"/>
      <c r="K210" s="212"/>
      <c r="L210" s="225"/>
      <c r="M210" s="212"/>
    </row>
    <row r="211" spans="3:13" ht="30" customHeight="1" x14ac:dyDescent="0.3">
      <c r="C211" s="161">
        <v>89</v>
      </c>
      <c r="D211" s="161" t="s">
        <v>397</v>
      </c>
      <c r="E211" s="969" t="s">
        <v>398</v>
      </c>
      <c r="F211" s="970"/>
      <c r="G211" s="971"/>
      <c r="H211" s="161"/>
      <c r="I211" s="212"/>
      <c r="J211" s="617"/>
      <c r="K211" s="212"/>
      <c r="L211" s="225"/>
      <c r="M211" s="212"/>
    </row>
    <row r="212" spans="3:13" ht="30" customHeight="1" x14ac:dyDescent="0.3">
      <c r="C212" s="161">
        <v>90</v>
      </c>
      <c r="D212" s="161" t="s">
        <v>399</v>
      </c>
      <c r="E212" s="969" t="s">
        <v>400</v>
      </c>
      <c r="F212" s="970"/>
      <c r="G212" s="971"/>
      <c r="H212" s="161"/>
      <c r="I212" s="212"/>
      <c r="J212" s="617"/>
      <c r="K212" s="212"/>
      <c r="L212" s="225"/>
      <c r="M212" s="212"/>
    </row>
    <row r="213" spans="3:13" ht="30" customHeight="1" x14ac:dyDescent="0.3">
      <c r="C213" s="161">
        <v>91</v>
      </c>
      <c r="D213" s="161" t="s">
        <v>401</v>
      </c>
      <c r="E213" s="969" t="s">
        <v>402</v>
      </c>
      <c r="F213" s="970"/>
      <c r="G213" s="971"/>
      <c r="H213" s="161"/>
      <c r="I213" s="212"/>
      <c r="J213" s="617"/>
      <c r="K213" s="212"/>
      <c r="L213" s="225"/>
      <c r="M213" s="212"/>
    </row>
    <row r="214" spans="3:13" ht="30" customHeight="1" x14ac:dyDescent="0.3">
      <c r="C214" s="161">
        <v>92</v>
      </c>
      <c r="D214" s="161" t="s">
        <v>403</v>
      </c>
      <c r="E214" s="969" t="s">
        <v>404</v>
      </c>
      <c r="F214" s="970"/>
      <c r="G214" s="971"/>
      <c r="H214" s="161"/>
      <c r="I214" s="212"/>
      <c r="J214" s="617"/>
      <c r="K214" s="212"/>
      <c r="L214" s="225"/>
      <c r="M214" s="212"/>
    </row>
    <row r="215" spans="3:13" ht="30" customHeight="1" x14ac:dyDescent="0.3">
      <c r="C215" s="161">
        <v>93</v>
      </c>
      <c r="D215" s="161" t="s">
        <v>405</v>
      </c>
      <c r="E215" s="969" t="s">
        <v>406</v>
      </c>
      <c r="F215" s="970"/>
      <c r="G215" s="971"/>
      <c r="H215" s="161"/>
      <c r="I215" s="212"/>
      <c r="J215" s="617"/>
      <c r="K215" s="212"/>
      <c r="L215" s="225"/>
      <c r="M215" s="212"/>
    </row>
    <row r="216" spans="3:13" ht="30" customHeight="1" x14ac:dyDescent="0.3">
      <c r="C216" s="161">
        <v>94</v>
      </c>
      <c r="D216" s="161" t="s">
        <v>407</v>
      </c>
      <c r="E216" s="969" t="s">
        <v>408</v>
      </c>
      <c r="F216" s="970"/>
      <c r="G216" s="971"/>
      <c r="H216" s="161"/>
      <c r="I216" s="212"/>
      <c r="J216" s="617"/>
      <c r="K216" s="212"/>
      <c r="L216" s="225"/>
      <c r="M216" s="212"/>
    </row>
    <row r="217" spans="3:13" ht="30" customHeight="1" x14ac:dyDescent="0.3">
      <c r="C217" s="161">
        <v>95</v>
      </c>
      <c r="D217" s="161" t="s">
        <v>409</v>
      </c>
      <c r="E217" s="969" t="s">
        <v>410</v>
      </c>
      <c r="F217" s="970"/>
      <c r="G217" s="971"/>
      <c r="H217" s="161"/>
      <c r="I217" s="212"/>
      <c r="J217" s="617"/>
      <c r="K217" s="212"/>
      <c r="L217" s="225"/>
      <c r="M217" s="212"/>
    </row>
    <row r="218" spans="3:13" ht="30" customHeight="1" x14ac:dyDescent="0.3">
      <c r="C218" s="161">
        <v>96</v>
      </c>
      <c r="D218" s="161" t="s">
        <v>411</v>
      </c>
      <c r="E218" s="969" t="s">
        <v>412</v>
      </c>
      <c r="F218" s="970"/>
      <c r="G218" s="971"/>
      <c r="H218" s="161"/>
      <c r="I218" s="212"/>
      <c r="J218" s="617"/>
      <c r="K218" s="212"/>
      <c r="L218" s="225"/>
      <c r="M218" s="212"/>
    </row>
    <row r="219" spans="3:13" ht="30" customHeight="1" x14ac:dyDescent="0.3">
      <c r="C219" s="161">
        <v>97</v>
      </c>
      <c r="D219" s="161" t="s">
        <v>413</v>
      </c>
      <c r="E219" s="969" t="s">
        <v>414</v>
      </c>
      <c r="F219" s="970"/>
      <c r="G219" s="971"/>
      <c r="H219" s="161"/>
      <c r="I219" s="212"/>
      <c r="J219" s="617"/>
      <c r="K219" s="212"/>
      <c r="L219" s="225"/>
      <c r="M219" s="212"/>
    </row>
    <row r="220" spans="3:13" ht="30" customHeight="1" x14ac:dyDescent="0.3">
      <c r="C220" s="161">
        <v>98</v>
      </c>
      <c r="D220" s="161" t="s">
        <v>415</v>
      </c>
      <c r="E220" s="969" t="s">
        <v>416</v>
      </c>
      <c r="F220" s="970"/>
      <c r="G220" s="971"/>
      <c r="H220" s="161"/>
      <c r="I220" s="212"/>
      <c r="J220" s="617"/>
      <c r="K220" s="212"/>
      <c r="L220" s="225"/>
      <c r="M220" s="212"/>
    </row>
    <row r="221" spans="3:13" ht="30" customHeight="1" x14ac:dyDescent="0.3">
      <c r="C221" s="161">
        <v>99</v>
      </c>
      <c r="D221" s="213" t="s">
        <v>417</v>
      </c>
      <c r="E221" s="969" t="s">
        <v>418</v>
      </c>
      <c r="F221" s="970"/>
      <c r="G221" s="971"/>
      <c r="H221" s="161"/>
      <c r="I221" s="212"/>
      <c r="J221" s="617"/>
      <c r="K221" s="212"/>
      <c r="L221" s="225"/>
      <c r="M221" s="212"/>
    </row>
    <row r="222" spans="3:13" ht="30" customHeight="1" x14ac:dyDescent="0.3">
      <c r="C222" s="161">
        <v>100</v>
      </c>
      <c r="D222" s="213" t="s">
        <v>419</v>
      </c>
      <c r="E222" s="969" t="s">
        <v>420</v>
      </c>
      <c r="F222" s="970"/>
      <c r="G222" s="971"/>
      <c r="H222" s="161"/>
      <c r="I222" s="212"/>
      <c r="J222" s="617"/>
      <c r="K222" s="212"/>
      <c r="L222" s="225"/>
      <c r="M222" s="212"/>
    </row>
    <row r="223" spans="3:13" ht="30" customHeight="1" x14ac:dyDescent="0.3">
      <c r="C223" s="161">
        <v>101</v>
      </c>
      <c r="D223" s="213" t="s">
        <v>421</v>
      </c>
      <c r="E223" s="969" t="s">
        <v>422</v>
      </c>
      <c r="F223" s="970"/>
      <c r="G223" s="971"/>
      <c r="H223" s="161"/>
      <c r="I223" s="212"/>
      <c r="J223" s="617"/>
      <c r="K223" s="212"/>
      <c r="L223" s="225"/>
      <c r="M223" s="212"/>
    </row>
    <row r="224" spans="3:13" ht="30" customHeight="1" x14ac:dyDescent="0.3">
      <c r="C224" s="161">
        <v>102</v>
      </c>
      <c r="D224" s="213" t="s">
        <v>423</v>
      </c>
      <c r="E224" s="969" t="s">
        <v>424</v>
      </c>
      <c r="F224" s="970"/>
      <c r="G224" s="971"/>
      <c r="H224" s="161"/>
      <c r="I224" s="212"/>
      <c r="J224" s="617"/>
      <c r="K224" s="212"/>
      <c r="L224" s="225"/>
      <c r="M224" s="212"/>
    </row>
    <row r="225" spans="3:13" ht="30" customHeight="1" x14ac:dyDescent="0.3">
      <c r="C225" s="161">
        <v>103</v>
      </c>
      <c r="D225" s="213" t="s">
        <v>425</v>
      </c>
      <c r="E225" s="969" t="s">
        <v>426</v>
      </c>
      <c r="F225" s="970"/>
      <c r="G225" s="971"/>
      <c r="H225" s="161"/>
      <c r="I225" s="212"/>
      <c r="J225" s="617"/>
      <c r="K225" s="212"/>
      <c r="L225" s="225"/>
      <c r="M225" s="212"/>
    </row>
    <row r="226" spans="3:13" ht="30" customHeight="1" x14ac:dyDescent="0.3">
      <c r="C226" s="161">
        <v>104</v>
      </c>
      <c r="D226" s="213" t="s">
        <v>427</v>
      </c>
      <c r="E226" s="969" t="s">
        <v>428</v>
      </c>
      <c r="F226" s="970"/>
      <c r="G226" s="971"/>
      <c r="H226" s="161"/>
      <c r="I226" s="212"/>
      <c r="J226" s="617"/>
      <c r="K226" s="212"/>
      <c r="L226" s="225"/>
      <c r="M226" s="212"/>
    </row>
    <row r="227" spans="3:13" ht="30" customHeight="1" x14ac:dyDescent="0.3">
      <c r="C227" s="161">
        <v>105</v>
      </c>
      <c r="D227" s="161" t="s">
        <v>429</v>
      </c>
      <c r="E227" s="969" t="s">
        <v>430</v>
      </c>
      <c r="F227" s="970"/>
      <c r="G227" s="971"/>
      <c r="H227" s="161"/>
      <c r="I227" s="212"/>
      <c r="J227" s="617"/>
      <c r="K227" s="212"/>
      <c r="L227" s="225"/>
      <c r="M227" s="212"/>
    </row>
    <row r="228" spans="3:13" ht="30" customHeight="1" x14ac:dyDescent="0.3">
      <c r="C228" s="161">
        <v>106</v>
      </c>
      <c r="D228" s="161" t="s">
        <v>431</v>
      </c>
      <c r="E228" s="969" t="s">
        <v>432</v>
      </c>
      <c r="F228" s="970"/>
      <c r="G228" s="971"/>
      <c r="H228" s="161"/>
      <c r="I228" s="212"/>
      <c r="J228" s="617"/>
      <c r="K228" s="212"/>
      <c r="L228" s="225"/>
      <c r="M228" s="212"/>
    </row>
    <row r="229" spans="3:13" ht="30" customHeight="1" x14ac:dyDescent="0.3">
      <c r="C229" s="160">
        <v>107</v>
      </c>
      <c r="D229" s="160" t="s">
        <v>433</v>
      </c>
      <c r="E229" s="992" t="s">
        <v>434</v>
      </c>
      <c r="F229" s="993"/>
      <c r="G229" s="994"/>
      <c r="H229" s="160"/>
      <c r="I229" s="211"/>
      <c r="J229" s="616"/>
      <c r="K229" s="211"/>
      <c r="L229" s="224"/>
      <c r="M229" s="211"/>
    </row>
    <row r="230" spans="3:13" ht="30" customHeight="1" x14ac:dyDescent="0.3">
      <c r="C230" s="161">
        <v>108</v>
      </c>
      <c r="D230" s="161" t="s">
        <v>435</v>
      </c>
      <c r="E230" s="969" t="s">
        <v>436</v>
      </c>
      <c r="F230" s="970"/>
      <c r="G230" s="971"/>
      <c r="H230" s="161"/>
      <c r="I230" s="212"/>
      <c r="J230" s="617"/>
      <c r="K230" s="212"/>
      <c r="L230" s="225"/>
      <c r="M230" s="212"/>
    </row>
    <row r="231" spans="3:13" ht="30" customHeight="1" x14ac:dyDescent="0.3">
      <c r="C231" s="161">
        <v>109</v>
      </c>
      <c r="D231" s="161" t="s">
        <v>437</v>
      </c>
      <c r="E231" s="969" t="s">
        <v>438</v>
      </c>
      <c r="F231" s="970"/>
      <c r="G231" s="971"/>
      <c r="H231" s="161"/>
      <c r="I231" s="212"/>
      <c r="J231" s="617"/>
      <c r="K231" s="212"/>
      <c r="L231" s="225"/>
      <c r="M231" s="212"/>
    </row>
    <row r="232" spans="3:13" ht="30" customHeight="1" x14ac:dyDescent="0.3">
      <c r="C232" s="161">
        <v>110</v>
      </c>
      <c r="D232" s="213" t="s">
        <v>439</v>
      </c>
      <c r="E232" s="969" t="s">
        <v>440</v>
      </c>
      <c r="F232" s="970"/>
      <c r="G232" s="971"/>
      <c r="H232" s="161"/>
      <c r="I232" s="212"/>
      <c r="J232" s="617"/>
      <c r="K232" s="212"/>
      <c r="L232" s="225"/>
      <c r="M232" s="212"/>
    </row>
    <row r="233" spans="3:13" ht="30" customHeight="1" x14ac:dyDescent="0.3">
      <c r="C233" s="161">
        <v>111</v>
      </c>
      <c r="D233" s="161" t="s">
        <v>441</v>
      </c>
      <c r="E233" s="969" t="s">
        <v>442</v>
      </c>
      <c r="F233" s="970"/>
      <c r="G233" s="971"/>
      <c r="H233" s="161"/>
      <c r="I233" s="212"/>
      <c r="J233" s="617"/>
      <c r="K233" s="212"/>
      <c r="L233" s="225"/>
      <c r="M233" s="212"/>
    </row>
    <row r="234" spans="3:13" ht="30" customHeight="1" x14ac:dyDescent="0.3">
      <c r="C234" s="161">
        <v>112</v>
      </c>
      <c r="D234" s="161" t="s">
        <v>443</v>
      </c>
      <c r="E234" s="969" t="s">
        <v>444</v>
      </c>
      <c r="F234" s="970"/>
      <c r="G234" s="971"/>
      <c r="H234" s="161"/>
      <c r="I234" s="212"/>
      <c r="J234" s="617"/>
      <c r="K234" s="212"/>
      <c r="L234" s="225"/>
      <c r="M234" s="212"/>
    </row>
    <row r="235" spans="3:13" ht="30" customHeight="1" x14ac:dyDescent="0.3">
      <c r="C235" s="161">
        <v>113</v>
      </c>
      <c r="D235" s="213" t="s">
        <v>445</v>
      </c>
      <c r="E235" s="969" t="s">
        <v>446</v>
      </c>
      <c r="F235" s="970"/>
      <c r="G235" s="971"/>
      <c r="H235" s="161"/>
      <c r="I235" s="212"/>
      <c r="J235" s="617"/>
      <c r="K235" s="212"/>
      <c r="L235" s="225"/>
      <c r="M235" s="212"/>
    </row>
    <row r="236" spans="3:13" ht="30" customHeight="1" x14ac:dyDescent="0.3">
      <c r="C236" s="161">
        <v>114</v>
      </c>
      <c r="D236" s="161" t="s">
        <v>447</v>
      </c>
      <c r="E236" s="969" t="s">
        <v>448</v>
      </c>
      <c r="F236" s="970"/>
      <c r="G236" s="971"/>
      <c r="H236" s="161"/>
      <c r="I236" s="212"/>
      <c r="J236" s="617"/>
      <c r="K236" s="212"/>
      <c r="L236" s="225"/>
      <c r="M236" s="212"/>
    </row>
    <row r="237" spans="3:13" ht="30" customHeight="1" x14ac:dyDescent="0.3">
      <c r="C237" s="1375" t="s">
        <v>33</v>
      </c>
      <c r="D237" s="1375"/>
      <c r="E237" s="1375"/>
      <c r="F237" s="1376" t="s">
        <v>29</v>
      </c>
      <c r="G237" s="1376"/>
      <c r="H237" s="1375"/>
      <c r="I237" s="1375"/>
      <c r="J237" s="1375"/>
      <c r="K237" s="1375"/>
      <c r="L237" s="1375"/>
      <c r="M237" s="1375"/>
    </row>
    <row r="238" spans="3:13" ht="19.95" customHeight="1" x14ac:dyDescent="0.3">
      <c r="C238" s="1024" t="s">
        <v>1214</v>
      </c>
      <c r="D238" s="1024"/>
      <c r="E238" s="1024"/>
      <c r="F238" s="1280" t="s">
        <v>38</v>
      </c>
      <c r="G238" s="1280"/>
      <c r="H238" s="1280"/>
      <c r="I238" s="1280"/>
      <c r="J238" s="1280"/>
      <c r="K238" s="1280"/>
      <c r="L238" s="1280"/>
      <c r="M238" s="1280"/>
    </row>
    <row r="239" spans="3:13" ht="15" customHeight="1" x14ac:dyDescent="0.3">
      <c r="D239" s="28"/>
      <c r="E239" s="666"/>
      <c r="F239" s="666"/>
      <c r="G239" s="666"/>
      <c r="H239" s="1280"/>
      <c r="I239" s="1280"/>
      <c r="J239" s="1280"/>
      <c r="K239" s="1280"/>
      <c r="L239" s="1280"/>
      <c r="M239" s="1280"/>
    </row>
    <row r="240" spans="3:13" ht="15" customHeight="1" x14ac:dyDescent="0.3">
      <c r="D240" s="28"/>
      <c r="E240" s="666"/>
      <c r="F240" s="666"/>
      <c r="G240" s="666"/>
      <c r="H240" s="1280"/>
      <c r="I240" s="1280"/>
      <c r="J240" s="1280"/>
      <c r="K240" s="1280"/>
      <c r="L240" s="1280"/>
      <c r="M240" s="1280"/>
    </row>
    <row r="241" spans="1:13" ht="15" customHeight="1" x14ac:dyDescent="0.3">
      <c r="D241" s="28"/>
      <c r="E241" s="666"/>
      <c r="F241" s="666"/>
      <c r="G241" s="666"/>
      <c r="H241" s="109"/>
      <c r="I241" s="109"/>
      <c r="J241" s="667"/>
      <c r="K241" s="109"/>
      <c r="L241" s="109"/>
      <c r="M241" s="109"/>
    </row>
    <row r="242" spans="1:13" ht="15" customHeight="1" x14ac:dyDescent="0.3">
      <c r="D242" s="28"/>
      <c r="E242" s="666"/>
      <c r="F242" s="1280" t="s">
        <v>1411</v>
      </c>
      <c r="G242" s="1280"/>
      <c r="H242" s="1280"/>
      <c r="I242" s="1280"/>
      <c r="J242" s="1280"/>
      <c r="K242" s="109" t="s">
        <v>58</v>
      </c>
      <c r="L242" s="1280" t="s">
        <v>57</v>
      </c>
      <c r="M242" s="1280"/>
    </row>
    <row r="243" spans="1:13" ht="15" customHeight="1" x14ac:dyDescent="0.3">
      <c r="D243" s="28"/>
      <c r="E243" s="666"/>
      <c r="F243" s="1280"/>
      <c r="G243" s="1280"/>
      <c r="H243" s="1280"/>
      <c r="I243" s="1280"/>
      <c r="J243" s="1280"/>
      <c r="K243" s="104" t="s">
        <v>1472</v>
      </c>
      <c r="L243" s="1280" t="s">
        <v>1472</v>
      </c>
      <c r="M243" s="1280"/>
    </row>
    <row r="244" spans="1:13" ht="15" customHeight="1" x14ac:dyDescent="0.3">
      <c r="D244" s="28"/>
      <c r="E244" s="666"/>
      <c r="F244" s="666"/>
      <c r="G244" s="666"/>
      <c r="H244" s="1280"/>
      <c r="I244" s="1280"/>
      <c r="J244" s="1280"/>
      <c r="K244" s="109"/>
      <c r="L244" s="1280"/>
      <c r="M244" s="1280"/>
    </row>
    <row r="245" spans="1:13" ht="15" customHeight="1" x14ac:dyDescent="0.3">
      <c r="D245" s="28"/>
      <c r="E245" s="666"/>
      <c r="F245" s="666"/>
      <c r="G245" s="666"/>
      <c r="H245" s="110"/>
      <c r="I245" s="110"/>
      <c r="J245" s="667"/>
      <c r="K245" s="110"/>
      <c r="L245" s="110"/>
      <c r="M245" s="110"/>
    </row>
    <row r="246" spans="1:13" ht="15" customHeight="1" x14ac:dyDescent="0.3">
      <c r="D246" s="28"/>
      <c r="E246" s="666"/>
      <c r="F246" s="666"/>
      <c r="G246" s="666"/>
      <c r="H246" s="28"/>
      <c r="I246" s="214"/>
      <c r="J246" s="618"/>
    </row>
    <row r="247" spans="1:13" ht="15" customHeight="1" x14ac:dyDescent="0.3">
      <c r="C247" s="1280" t="s">
        <v>1215</v>
      </c>
      <c r="D247" s="1024"/>
      <c r="E247" s="1024"/>
      <c r="F247" s="1280" t="s">
        <v>1348</v>
      </c>
      <c r="G247" s="1280"/>
      <c r="H247" s="1280"/>
      <c r="I247" s="1024"/>
      <c r="J247" s="1024"/>
      <c r="K247" s="1024"/>
      <c r="L247" s="1024"/>
      <c r="M247" s="1024"/>
    </row>
    <row r="248" spans="1:13" ht="15" customHeight="1" x14ac:dyDescent="0.3">
      <c r="A248" s="262" t="s">
        <v>1290</v>
      </c>
      <c r="C248" s="1024"/>
      <c r="D248" s="1024"/>
      <c r="E248" s="1024"/>
      <c r="F248" s="1280"/>
      <c r="G248" s="1280"/>
      <c r="H248" s="1024"/>
      <c r="I248" s="1024"/>
      <c r="J248" s="1024"/>
      <c r="K248" s="1024"/>
      <c r="L248" s="1024"/>
      <c r="M248" s="1024"/>
    </row>
    <row r="249" spans="1:13" ht="30" customHeight="1" x14ac:dyDescent="0.3">
      <c r="C249" s="256">
        <v>115</v>
      </c>
      <c r="D249" s="256" t="s">
        <v>449</v>
      </c>
      <c r="E249" s="978" t="s">
        <v>450</v>
      </c>
      <c r="F249" s="979"/>
      <c r="G249" s="980"/>
      <c r="H249" s="256"/>
      <c r="I249" s="257"/>
      <c r="J249" s="619"/>
      <c r="K249" s="257"/>
      <c r="L249" s="247"/>
      <c r="M249" s="257"/>
    </row>
    <row r="250" spans="1:13" ht="30" customHeight="1" x14ac:dyDescent="0.3">
      <c r="C250" s="161">
        <v>116</v>
      </c>
      <c r="D250" s="161" t="s">
        <v>451</v>
      </c>
      <c r="E250" s="969" t="s">
        <v>452</v>
      </c>
      <c r="F250" s="970"/>
      <c r="G250" s="971"/>
      <c r="H250" s="161"/>
      <c r="I250" s="212"/>
      <c r="J250" s="617"/>
      <c r="K250" s="212"/>
      <c r="L250" s="225"/>
      <c r="M250" s="212"/>
    </row>
    <row r="251" spans="1:13" ht="30" customHeight="1" x14ac:dyDescent="0.3">
      <c r="C251" s="161">
        <v>117</v>
      </c>
      <c r="D251" s="161" t="s">
        <v>453</v>
      </c>
      <c r="E251" s="969" t="s">
        <v>454</v>
      </c>
      <c r="F251" s="970"/>
      <c r="G251" s="971"/>
      <c r="H251" s="161"/>
      <c r="I251" s="212"/>
      <c r="J251" s="617"/>
      <c r="K251" s="212"/>
      <c r="L251" s="225"/>
      <c r="M251" s="212"/>
    </row>
    <row r="252" spans="1:13" ht="30" customHeight="1" x14ac:dyDescent="0.3">
      <c r="C252" s="161">
        <v>118</v>
      </c>
      <c r="D252" s="161" t="s">
        <v>455</v>
      </c>
      <c r="E252" s="969" t="s">
        <v>456</v>
      </c>
      <c r="F252" s="970"/>
      <c r="G252" s="971"/>
      <c r="H252" s="161"/>
      <c r="I252" s="212"/>
      <c r="J252" s="617"/>
      <c r="K252" s="212"/>
      <c r="L252" s="225"/>
      <c r="M252" s="212"/>
    </row>
    <row r="253" spans="1:13" ht="30" customHeight="1" x14ac:dyDescent="0.3">
      <c r="C253" s="161">
        <v>119</v>
      </c>
      <c r="D253" s="161" t="s">
        <v>457</v>
      </c>
      <c r="E253" s="969" t="s">
        <v>458</v>
      </c>
      <c r="F253" s="970"/>
      <c r="G253" s="971"/>
      <c r="H253" s="161"/>
      <c r="I253" s="212"/>
      <c r="J253" s="617"/>
      <c r="K253" s="212"/>
      <c r="L253" s="225"/>
      <c r="M253" s="212"/>
    </row>
    <row r="254" spans="1:13" ht="30" customHeight="1" x14ac:dyDescent="0.3">
      <c r="C254" s="161">
        <v>120</v>
      </c>
      <c r="D254" s="161" t="s">
        <v>459</v>
      </c>
      <c r="E254" s="969" t="s">
        <v>460</v>
      </c>
      <c r="F254" s="970"/>
      <c r="G254" s="971"/>
      <c r="H254" s="161"/>
      <c r="I254" s="212"/>
      <c r="J254" s="617"/>
      <c r="K254" s="212"/>
      <c r="L254" s="225"/>
      <c r="M254" s="212"/>
    </row>
    <row r="255" spans="1:13" ht="30" customHeight="1" x14ac:dyDescent="0.3">
      <c r="C255" s="161">
        <v>121</v>
      </c>
      <c r="D255" s="161" t="s">
        <v>461</v>
      </c>
      <c r="E255" s="969" t="s">
        <v>462</v>
      </c>
      <c r="F255" s="970"/>
      <c r="G255" s="971"/>
      <c r="H255" s="161"/>
      <c r="I255" s="212"/>
      <c r="J255" s="617"/>
      <c r="K255" s="212"/>
      <c r="L255" s="225"/>
      <c r="M255" s="212"/>
    </row>
    <row r="256" spans="1:13" ht="30" customHeight="1" x14ac:dyDescent="0.3">
      <c r="C256" s="161">
        <v>122</v>
      </c>
      <c r="D256" s="161" t="s">
        <v>463</v>
      </c>
      <c r="E256" s="969" t="s">
        <v>464</v>
      </c>
      <c r="F256" s="970"/>
      <c r="G256" s="971"/>
      <c r="H256" s="161"/>
      <c r="I256" s="212"/>
      <c r="J256" s="617"/>
      <c r="K256" s="212"/>
      <c r="L256" s="225"/>
      <c r="M256" s="212"/>
    </row>
    <row r="257" spans="3:13" ht="30" customHeight="1" x14ac:dyDescent="0.3">
      <c r="C257" s="161">
        <v>123</v>
      </c>
      <c r="D257" s="161" t="s">
        <v>465</v>
      </c>
      <c r="E257" s="969" t="s">
        <v>466</v>
      </c>
      <c r="F257" s="970"/>
      <c r="G257" s="971"/>
      <c r="H257" s="161"/>
      <c r="I257" s="212"/>
      <c r="J257" s="617"/>
      <c r="K257" s="212"/>
      <c r="L257" s="225"/>
      <c r="M257" s="212"/>
    </row>
    <row r="258" spans="3:13" ht="30" customHeight="1" x14ac:dyDescent="0.3">
      <c r="C258" s="161">
        <v>124</v>
      </c>
      <c r="D258" s="161" t="s">
        <v>467</v>
      </c>
      <c r="E258" s="969" t="s">
        <v>468</v>
      </c>
      <c r="F258" s="970"/>
      <c r="G258" s="971"/>
      <c r="H258" s="161"/>
      <c r="I258" s="212"/>
      <c r="J258" s="617"/>
      <c r="K258" s="212"/>
      <c r="L258" s="225"/>
      <c r="M258" s="212"/>
    </row>
    <row r="259" spans="3:13" ht="30" customHeight="1" x14ac:dyDescent="0.3">
      <c r="C259" s="161">
        <v>125</v>
      </c>
      <c r="D259" s="161" t="s">
        <v>469</v>
      </c>
      <c r="E259" s="969" t="s">
        <v>470</v>
      </c>
      <c r="F259" s="970"/>
      <c r="G259" s="971"/>
      <c r="H259" s="161"/>
      <c r="I259" s="212"/>
      <c r="J259" s="617"/>
      <c r="K259" s="212"/>
      <c r="L259" s="225"/>
      <c r="M259" s="212"/>
    </row>
    <row r="260" spans="3:13" ht="30" customHeight="1" x14ac:dyDescent="0.3">
      <c r="C260" s="161">
        <v>126</v>
      </c>
      <c r="D260" s="161" t="s">
        <v>471</v>
      </c>
      <c r="E260" s="969" t="s">
        <v>472</v>
      </c>
      <c r="F260" s="970"/>
      <c r="G260" s="971"/>
      <c r="H260" s="161"/>
      <c r="I260" s="212"/>
      <c r="J260" s="617"/>
      <c r="K260" s="212"/>
      <c r="L260" s="225"/>
      <c r="M260" s="212"/>
    </row>
    <row r="261" spans="3:13" ht="30" customHeight="1" x14ac:dyDescent="0.3">
      <c r="C261" s="161">
        <v>127</v>
      </c>
      <c r="D261" s="213" t="s">
        <v>473</v>
      </c>
      <c r="E261" s="969" t="s">
        <v>474</v>
      </c>
      <c r="F261" s="970"/>
      <c r="G261" s="971"/>
      <c r="H261" s="161"/>
      <c r="I261" s="212"/>
      <c r="J261" s="617"/>
      <c r="K261" s="212"/>
      <c r="L261" s="225"/>
      <c r="M261" s="212"/>
    </row>
    <row r="262" spans="3:13" ht="30" customHeight="1" x14ac:dyDescent="0.3">
      <c r="C262" s="161">
        <v>128</v>
      </c>
      <c r="D262" s="213" t="s">
        <v>475</v>
      </c>
      <c r="E262" s="969" t="s">
        <v>476</v>
      </c>
      <c r="F262" s="970"/>
      <c r="G262" s="971"/>
      <c r="H262" s="161"/>
      <c r="I262" s="212"/>
      <c r="J262" s="617"/>
      <c r="K262" s="212"/>
      <c r="L262" s="225"/>
      <c r="M262" s="212"/>
    </row>
    <row r="263" spans="3:13" ht="30" customHeight="1" x14ac:dyDescent="0.3">
      <c r="C263" s="161">
        <v>129</v>
      </c>
      <c r="D263" s="161" t="s">
        <v>477</v>
      </c>
      <c r="E263" s="969" t="s">
        <v>478</v>
      </c>
      <c r="F263" s="970"/>
      <c r="G263" s="971"/>
      <c r="H263" s="161"/>
      <c r="I263" s="212"/>
      <c r="J263" s="617"/>
      <c r="K263" s="212"/>
      <c r="L263" s="225"/>
      <c r="M263" s="212"/>
    </row>
    <row r="264" spans="3:13" ht="30" customHeight="1" x14ac:dyDescent="0.3">
      <c r="C264" s="161">
        <v>130</v>
      </c>
      <c r="D264" s="161" t="s">
        <v>479</v>
      </c>
      <c r="E264" s="969" t="s">
        <v>480</v>
      </c>
      <c r="F264" s="970"/>
      <c r="G264" s="971"/>
      <c r="H264" s="161"/>
      <c r="I264" s="212"/>
      <c r="J264" s="617"/>
      <c r="K264" s="212"/>
      <c r="L264" s="225"/>
      <c r="M264" s="212"/>
    </row>
    <row r="265" spans="3:13" ht="30" customHeight="1" x14ac:dyDescent="0.3">
      <c r="C265" s="160">
        <v>131</v>
      </c>
      <c r="D265" s="160" t="s">
        <v>481</v>
      </c>
      <c r="E265" s="992" t="s">
        <v>482</v>
      </c>
      <c r="F265" s="993"/>
      <c r="G265" s="994"/>
      <c r="H265" s="160"/>
      <c r="I265" s="211"/>
      <c r="J265" s="616"/>
      <c r="K265" s="211"/>
      <c r="L265" s="224"/>
      <c r="M265" s="211"/>
    </row>
    <row r="266" spans="3:13" ht="30" customHeight="1" x14ac:dyDescent="0.3">
      <c r="C266" s="161">
        <v>132</v>
      </c>
      <c r="D266" s="161" t="s">
        <v>483</v>
      </c>
      <c r="E266" s="969" t="s">
        <v>484</v>
      </c>
      <c r="F266" s="970"/>
      <c r="G266" s="971"/>
      <c r="H266" s="161"/>
      <c r="I266" s="212"/>
      <c r="J266" s="617"/>
      <c r="K266" s="212"/>
      <c r="L266" s="225"/>
      <c r="M266" s="212"/>
    </row>
    <row r="267" spans="3:13" ht="30" customHeight="1" x14ac:dyDescent="0.3">
      <c r="C267" s="161">
        <v>133</v>
      </c>
      <c r="D267" s="213" t="s">
        <v>485</v>
      </c>
      <c r="E267" s="969" t="s">
        <v>486</v>
      </c>
      <c r="F267" s="970"/>
      <c r="G267" s="971"/>
      <c r="H267" s="161"/>
      <c r="I267" s="212"/>
      <c r="J267" s="617"/>
      <c r="K267" s="212"/>
      <c r="L267" s="225"/>
      <c r="M267" s="212"/>
    </row>
    <row r="268" spans="3:13" ht="30" customHeight="1" x14ac:dyDescent="0.3">
      <c r="C268" s="161">
        <v>134</v>
      </c>
      <c r="D268" s="213" t="s">
        <v>487</v>
      </c>
      <c r="E268" s="969" t="s">
        <v>488</v>
      </c>
      <c r="F268" s="970"/>
      <c r="G268" s="971"/>
      <c r="H268" s="161"/>
      <c r="I268" s="212"/>
      <c r="J268" s="617"/>
      <c r="K268" s="212"/>
      <c r="L268" s="225"/>
      <c r="M268" s="212"/>
    </row>
    <row r="269" spans="3:13" ht="30" customHeight="1" x14ac:dyDescent="0.3">
      <c r="C269" s="161">
        <v>135</v>
      </c>
      <c r="D269" s="213" t="s">
        <v>489</v>
      </c>
      <c r="E269" s="969" t="s">
        <v>490</v>
      </c>
      <c r="F269" s="970"/>
      <c r="G269" s="971"/>
      <c r="H269" s="161"/>
      <c r="I269" s="212"/>
      <c r="J269" s="617"/>
      <c r="K269" s="212"/>
      <c r="L269" s="225"/>
      <c r="M269" s="212"/>
    </row>
    <row r="270" spans="3:13" ht="30" customHeight="1" x14ac:dyDescent="0.3">
      <c r="C270" s="161">
        <v>136</v>
      </c>
      <c r="D270" s="213" t="s">
        <v>491</v>
      </c>
      <c r="E270" s="969" t="s">
        <v>492</v>
      </c>
      <c r="F270" s="970"/>
      <c r="G270" s="971"/>
      <c r="H270" s="161"/>
      <c r="I270" s="212"/>
      <c r="J270" s="617"/>
      <c r="K270" s="212"/>
      <c r="L270" s="225"/>
      <c r="M270" s="212"/>
    </row>
    <row r="271" spans="3:13" ht="30" customHeight="1" x14ac:dyDescent="0.3">
      <c r="C271" s="161">
        <v>137</v>
      </c>
      <c r="D271" s="213" t="s">
        <v>493</v>
      </c>
      <c r="E271" s="969" t="s">
        <v>494</v>
      </c>
      <c r="F271" s="970"/>
      <c r="G271" s="971"/>
      <c r="H271" s="161"/>
      <c r="I271" s="212"/>
      <c r="J271" s="617"/>
      <c r="K271" s="212"/>
      <c r="L271" s="225"/>
      <c r="M271" s="212"/>
    </row>
    <row r="272" spans="3:13" ht="30" customHeight="1" x14ac:dyDescent="0.3">
      <c r="C272" s="161">
        <v>138</v>
      </c>
      <c r="D272" s="213" t="s">
        <v>495</v>
      </c>
      <c r="E272" s="969" t="s">
        <v>496</v>
      </c>
      <c r="F272" s="970"/>
      <c r="G272" s="971"/>
      <c r="H272" s="161"/>
      <c r="I272" s="212"/>
      <c r="J272" s="617"/>
      <c r="K272" s="212"/>
      <c r="L272" s="225"/>
      <c r="M272" s="212"/>
    </row>
    <row r="273" spans="3:13" ht="30" customHeight="1" x14ac:dyDescent="0.3">
      <c r="C273" s="161">
        <v>139</v>
      </c>
      <c r="D273" s="213" t="s">
        <v>497</v>
      </c>
      <c r="E273" s="969" t="s">
        <v>498</v>
      </c>
      <c r="F273" s="970"/>
      <c r="G273" s="971"/>
      <c r="H273" s="161"/>
      <c r="I273" s="212"/>
      <c r="J273" s="617"/>
      <c r="K273" s="212"/>
      <c r="L273" s="225"/>
      <c r="M273" s="212"/>
    </row>
    <row r="274" spans="3:13" ht="30" customHeight="1" x14ac:dyDescent="0.3">
      <c r="C274" s="161">
        <v>140</v>
      </c>
      <c r="D274" s="213" t="s">
        <v>499</v>
      </c>
      <c r="E274" s="969" t="s">
        <v>500</v>
      </c>
      <c r="F274" s="970"/>
      <c r="G274" s="971"/>
      <c r="H274" s="161"/>
      <c r="I274" s="212"/>
      <c r="J274" s="617"/>
      <c r="K274" s="212"/>
      <c r="L274" s="225"/>
      <c r="M274" s="212"/>
    </row>
    <row r="275" spans="3:13" ht="30" customHeight="1" x14ac:dyDescent="0.3">
      <c r="C275" s="161">
        <v>141</v>
      </c>
      <c r="D275" s="213" t="s">
        <v>501</v>
      </c>
      <c r="E275" s="969" t="s">
        <v>502</v>
      </c>
      <c r="F275" s="970"/>
      <c r="G275" s="971"/>
      <c r="H275" s="161"/>
      <c r="I275" s="212"/>
      <c r="J275" s="617"/>
      <c r="K275" s="212"/>
      <c r="L275" s="225"/>
      <c r="M275" s="212"/>
    </row>
    <row r="276" spans="3:13" ht="30" customHeight="1" x14ac:dyDescent="0.3">
      <c r="C276" s="161">
        <v>142</v>
      </c>
      <c r="D276" s="213" t="s">
        <v>503</v>
      </c>
      <c r="E276" s="969" t="s">
        <v>504</v>
      </c>
      <c r="F276" s="970"/>
      <c r="G276" s="971"/>
      <c r="H276" s="161"/>
      <c r="I276" s="212"/>
      <c r="J276" s="617"/>
      <c r="K276" s="212"/>
      <c r="L276" s="225"/>
      <c r="M276" s="212"/>
    </row>
    <row r="277" spans="3:13" ht="30" customHeight="1" x14ac:dyDescent="0.3">
      <c r="C277" s="161">
        <v>143</v>
      </c>
      <c r="D277" s="161" t="s">
        <v>505</v>
      </c>
      <c r="E277" s="969" t="s">
        <v>506</v>
      </c>
      <c r="F277" s="970"/>
      <c r="G277" s="971"/>
      <c r="H277" s="161"/>
      <c r="I277" s="212"/>
      <c r="J277" s="617"/>
      <c r="K277" s="212"/>
      <c r="L277" s="225"/>
      <c r="M277" s="212"/>
    </row>
    <row r="278" spans="3:13" ht="30" customHeight="1" x14ac:dyDescent="0.3">
      <c r="C278" s="161">
        <v>144</v>
      </c>
      <c r="D278" s="161" t="s">
        <v>507</v>
      </c>
      <c r="E278" s="969" t="s">
        <v>508</v>
      </c>
      <c r="F278" s="970"/>
      <c r="G278" s="971"/>
      <c r="H278" s="161"/>
      <c r="I278" s="212"/>
      <c r="J278" s="617"/>
      <c r="K278" s="212"/>
      <c r="L278" s="225"/>
      <c r="M278" s="212"/>
    </row>
    <row r="279" spans="3:13" ht="30" customHeight="1" x14ac:dyDescent="0.3">
      <c r="C279" s="161">
        <v>145</v>
      </c>
      <c r="D279" s="161" t="s">
        <v>509</v>
      </c>
      <c r="E279" s="969" t="s">
        <v>510</v>
      </c>
      <c r="F279" s="970"/>
      <c r="G279" s="971"/>
      <c r="H279" s="161"/>
      <c r="I279" s="212"/>
      <c r="J279" s="617"/>
      <c r="K279" s="212"/>
      <c r="L279" s="225"/>
      <c r="M279" s="212"/>
    </row>
    <row r="280" spans="3:13" ht="30" customHeight="1" x14ac:dyDescent="0.3">
      <c r="C280" s="161">
        <v>146</v>
      </c>
      <c r="D280" s="161" t="s">
        <v>511</v>
      </c>
      <c r="E280" s="969" t="s">
        <v>512</v>
      </c>
      <c r="F280" s="970"/>
      <c r="G280" s="971"/>
      <c r="H280" s="161"/>
      <c r="I280" s="212"/>
      <c r="J280" s="617"/>
      <c r="K280" s="212"/>
      <c r="L280" s="225"/>
      <c r="M280" s="212"/>
    </row>
    <row r="281" spans="3:13" ht="30" customHeight="1" x14ac:dyDescent="0.3">
      <c r="C281" s="161">
        <v>147</v>
      </c>
      <c r="D281" s="161" t="s">
        <v>513</v>
      </c>
      <c r="E281" s="969" t="s">
        <v>514</v>
      </c>
      <c r="F281" s="970"/>
      <c r="G281" s="971"/>
      <c r="H281" s="161"/>
      <c r="I281" s="212"/>
      <c r="J281" s="617"/>
      <c r="K281" s="212"/>
      <c r="L281" s="225"/>
      <c r="M281" s="212"/>
    </row>
    <row r="282" spans="3:13" ht="30" customHeight="1" x14ac:dyDescent="0.3">
      <c r="C282" s="1375" t="s">
        <v>33</v>
      </c>
      <c r="D282" s="1375"/>
      <c r="E282" s="1375"/>
      <c r="F282" s="1376" t="s">
        <v>29</v>
      </c>
      <c r="G282" s="1376"/>
      <c r="H282" s="1375"/>
      <c r="I282" s="1375"/>
      <c r="J282" s="1375"/>
      <c r="K282" s="1375"/>
      <c r="L282" s="1375"/>
      <c r="M282" s="1375"/>
    </row>
    <row r="283" spans="3:13" ht="19.95" customHeight="1" x14ac:dyDescent="0.3">
      <c r="C283" s="1024" t="s">
        <v>1214</v>
      </c>
      <c r="D283" s="1024"/>
      <c r="E283" s="1024"/>
      <c r="F283" s="1280" t="s">
        <v>38</v>
      </c>
      <c r="G283" s="1280"/>
      <c r="H283" s="1280" t="s">
        <v>1437</v>
      </c>
      <c r="I283" s="1280"/>
      <c r="J283" s="1280"/>
      <c r="K283" s="1280"/>
      <c r="L283" s="1280"/>
      <c r="M283" s="1280"/>
    </row>
    <row r="284" spans="3:13" ht="15" customHeight="1" x14ac:dyDescent="0.3">
      <c r="D284" s="28"/>
      <c r="E284" s="666"/>
      <c r="F284" s="666"/>
      <c r="G284" s="666"/>
      <c r="H284" s="1280"/>
      <c r="I284" s="1280"/>
      <c r="J284" s="1280"/>
      <c r="K284" s="1280"/>
      <c r="L284" s="1280"/>
      <c r="M284" s="1280"/>
    </row>
    <row r="285" spans="3:13" ht="15" customHeight="1" x14ac:dyDescent="0.3">
      <c r="D285" s="28"/>
      <c r="E285" s="666"/>
      <c r="F285" s="666"/>
      <c r="G285" s="666"/>
      <c r="H285" s="1280"/>
      <c r="I285" s="1280"/>
      <c r="J285" s="1280"/>
      <c r="K285" s="1280"/>
      <c r="L285" s="1280"/>
      <c r="M285" s="1280"/>
    </row>
    <row r="286" spans="3:13" ht="15" customHeight="1" x14ac:dyDescent="0.3">
      <c r="D286" s="28"/>
      <c r="E286" s="666"/>
      <c r="F286" s="666"/>
      <c r="G286" s="666"/>
      <c r="H286" s="1280"/>
      <c r="I286" s="1280"/>
      <c r="J286" s="1280"/>
      <c r="K286" s="1280"/>
      <c r="L286" s="1280"/>
      <c r="M286" s="1280"/>
    </row>
    <row r="287" spans="3:13" ht="15" customHeight="1" x14ac:dyDescent="0.3">
      <c r="D287" s="28"/>
      <c r="E287" s="666"/>
      <c r="F287" s="666"/>
      <c r="G287" s="666"/>
      <c r="H287" s="109"/>
      <c r="I287" s="109"/>
      <c r="J287" s="667"/>
      <c r="K287" s="109"/>
      <c r="L287" s="109"/>
      <c r="M287" s="109"/>
    </row>
    <row r="288" spans="3:13" ht="15" customHeight="1" x14ac:dyDescent="0.3">
      <c r="D288" s="28"/>
      <c r="E288" s="666"/>
      <c r="F288" s="1280" t="s">
        <v>1411</v>
      </c>
      <c r="G288" s="1280"/>
      <c r="H288" s="1280"/>
      <c r="I288" s="1280"/>
      <c r="J288" s="1280"/>
      <c r="K288" s="109" t="s">
        <v>58</v>
      </c>
      <c r="L288" s="1280" t="s">
        <v>57</v>
      </c>
      <c r="M288" s="1280"/>
    </row>
    <row r="289" spans="1:13" ht="15" customHeight="1" x14ac:dyDescent="0.3">
      <c r="D289" s="28"/>
      <c r="E289" s="666"/>
      <c r="F289" s="1280"/>
      <c r="G289" s="1280"/>
      <c r="H289" s="1280"/>
      <c r="I289" s="1280"/>
      <c r="J289" s="1280"/>
      <c r="K289" s="104" t="s">
        <v>1472</v>
      </c>
      <c r="L289" s="1280" t="s">
        <v>1472</v>
      </c>
      <c r="M289" s="1280"/>
    </row>
    <row r="290" spans="1:13" ht="15" customHeight="1" x14ac:dyDescent="0.3">
      <c r="D290" s="28"/>
      <c r="E290" s="666"/>
      <c r="F290" s="666"/>
      <c r="G290" s="666"/>
      <c r="H290" s="1280"/>
      <c r="I290" s="1280"/>
      <c r="J290" s="1280"/>
      <c r="K290" s="109"/>
      <c r="L290" s="1280"/>
      <c r="M290" s="1280"/>
    </row>
    <row r="291" spans="1:13" ht="15" customHeight="1" x14ac:dyDescent="0.3">
      <c r="D291" s="28"/>
      <c r="E291" s="666"/>
      <c r="F291" s="666"/>
      <c r="G291" s="666"/>
      <c r="H291" s="110"/>
      <c r="I291" s="110"/>
      <c r="J291" s="667"/>
      <c r="K291" s="110"/>
      <c r="L291" s="110"/>
      <c r="M291" s="110"/>
    </row>
    <row r="292" spans="1:13" ht="15" customHeight="1" x14ac:dyDescent="0.3">
      <c r="D292" s="28"/>
      <c r="E292" s="666"/>
      <c r="F292" s="666"/>
      <c r="G292" s="666"/>
      <c r="H292" s="28"/>
      <c r="I292" s="214"/>
      <c r="J292" s="618"/>
    </row>
    <row r="293" spans="1:13" ht="15" customHeight="1" x14ac:dyDescent="0.3">
      <c r="C293" s="1280" t="s">
        <v>1215</v>
      </c>
      <c r="D293" s="1024"/>
      <c r="E293" s="1024"/>
      <c r="F293" s="1280" t="s">
        <v>1348</v>
      </c>
      <c r="G293" s="1280"/>
      <c r="H293" s="1280"/>
      <c r="I293" s="1024"/>
      <c r="J293" s="1024"/>
      <c r="K293" s="1024"/>
      <c r="L293" s="1024"/>
      <c r="M293" s="1024"/>
    </row>
    <row r="294" spans="1:13" ht="15" customHeight="1" x14ac:dyDescent="0.3">
      <c r="A294" s="262" t="s">
        <v>1290</v>
      </c>
      <c r="C294" s="1024"/>
      <c r="D294" s="1024"/>
      <c r="E294" s="1024"/>
      <c r="F294" s="1280"/>
      <c r="G294" s="1280"/>
      <c r="H294" s="1024"/>
      <c r="I294" s="1024"/>
      <c r="J294" s="1024"/>
      <c r="K294" s="1024"/>
      <c r="L294" s="1024"/>
      <c r="M294" s="1024"/>
    </row>
    <row r="295" spans="1:13" ht="30" customHeight="1" x14ac:dyDescent="0.3">
      <c r="C295" s="256">
        <v>148</v>
      </c>
      <c r="D295" s="256" t="s">
        <v>515</v>
      </c>
      <c r="E295" s="978" t="s">
        <v>516</v>
      </c>
      <c r="F295" s="979"/>
      <c r="G295" s="980"/>
      <c r="H295" s="256" t="s">
        <v>247</v>
      </c>
      <c r="I295" s="257">
        <v>52</v>
      </c>
      <c r="J295" s="619"/>
      <c r="K295" s="257"/>
      <c r="L295" s="247"/>
      <c r="M295" s="257"/>
    </row>
    <row r="296" spans="1:13" ht="30" customHeight="1" x14ac:dyDescent="0.3">
      <c r="C296" s="161">
        <v>149</v>
      </c>
      <c r="D296" s="161" t="s">
        <v>517</v>
      </c>
      <c r="E296" s="969" t="s">
        <v>518</v>
      </c>
      <c r="F296" s="970"/>
      <c r="G296" s="971"/>
      <c r="H296" s="161" t="s">
        <v>247</v>
      </c>
      <c r="I296" s="212">
        <v>512</v>
      </c>
      <c r="J296" s="617"/>
      <c r="K296" s="212"/>
      <c r="L296" s="225"/>
      <c r="M296" s="212"/>
    </row>
    <row r="297" spans="1:13" ht="30" customHeight="1" x14ac:dyDescent="0.3">
      <c r="C297" s="161">
        <v>150</v>
      </c>
      <c r="D297" s="161" t="s">
        <v>519</v>
      </c>
      <c r="E297" s="969" t="s">
        <v>520</v>
      </c>
      <c r="F297" s="970"/>
      <c r="G297" s="971"/>
      <c r="H297" s="161" t="s">
        <v>247</v>
      </c>
      <c r="I297" s="212">
        <v>90</v>
      </c>
      <c r="J297" s="617"/>
      <c r="K297" s="212"/>
      <c r="L297" s="225"/>
      <c r="M297" s="212"/>
    </row>
    <row r="298" spans="1:13" ht="30" customHeight="1" x14ac:dyDescent="0.3">
      <c r="C298" s="161">
        <v>151</v>
      </c>
      <c r="D298" s="161" t="s">
        <v>521</v>
      </c>
      <c r="E298" s="969" t="s">
        <v>522</v>
      </c>
      <c r="F298" s="970"/>
      <c r="G298" s="971"/>
      <c r="H298" s="161" t="s">
        <v>247</v>
      </c>
      <c r="I298" s="212">
        <v>8</v>
      </c>
      <c r="J298" s="617"/>
      <c r="K298" s="212"/>
      <c r="L298" s="225"/>
      <c r="M298" s="212"/>
    </row>
    <row r="299" spans="1:13" ht="30" customHeight="1" x14ac:dyDescent="0.3">
      <c r="C299" s="161">
        <v>152</v>
      </c>
      <c r="D299" s="161" t="s">
        <v>523</v>
      </c>
      <c r="E299" s="969" t="s">
        <v>524</v>
      </c>
      <c r="F299" s="970"/>
      <c r="G299" s="971"/>
      <c r="H299" s="161" t="s">
        <v>247</v>
      </c>
      <c r="I299" s="212">
        <v>8</v>
      </c>
      <c r="J299" s="617"/>
      <c r="K299" s="212"/>
      <c r="L299" s="225"/>
      <c r="M299" s="212"/>
    </row>
    <row r="300" spans="1:13" ht="30" customHeight="1" x14ac:dyDescent="0.3">
      <c r="C300" s="161">
        <v>153</v>
      </c>
      <c r="D300" s="161" t="s">
        <v>525</v>
      </c>
      <c r="E300" s="969" t="s">
        <v>526</v>
      </c>
      <c r="F300" s="970"/>
      <c r="G300" s="971"/>
      <c r="H300" s="161" t="s">
        <v>247</v>
      </c>
      <c r="I300" s="212">
        <v>3</v>
      </c>
      <c r="J300" s="617"/>
      <c r="K300" s="212"/>
      <c r="L300" s="225"/>
      <c r="M300" s="212"/>
    </row>
    <row r="301" spans="1:13" ht="30" customHeight="1" x14ac:dyDescent="0.3">
      <c r="C301" s="161">
        <v>154</v>
      </c>
      <c r="D301" s="161" t="s">
        <v>527</v>
      </c>
      <c r="E301" s="969" t="s">
        <v>528</v>
      </c>
      <c r="F301" s="970"/>
      <c r="G301" s="971"/>
      <c r="H301" s="161" t="s">
        <v>247</v>
      </c>
      <c r="I301" s="212">
        <v>5</v>
      </c>
      <c r="J301" s="617"/>
      <c r="K301" s="212"/>
      <c r="L301" s="225"/>
      <c r="M301" s="212"/>
    </row>
    <row r="302" spans="1:13" ht="30" customHeight="1" x14ac:dyDescent="0.3">
      <c r="C302" s="160">
        <v>155</v>
      </c>
      <c r="D302" s="160" t="s">
        <v>529</v>
      </c>
      <c r="E302" s="992" t="s">
        <v>530</v>
      </c>
      <c r="F302" s="993"/>
      <c r="G302" s="994"/>
      <c r="H302" s="160" t="s">
        <v>247</v>
      </c>
      <c r="I302" s="211">
        <v>3</v>
      </c>
      <c r="J302" s="616"/>
      <c r="K302" s="211"/>
      <c r="L302" s="224"/>
      <c r="M302" s="211"/>
    </row>
    <row r="303" spans="1:13" ht="30" customHeight="1" x14ac:dyDescent="0.3">
      <c r="C303" s="161">
        <v>156</v>
      </c>
      <c r="D303" s="161" t="s">
        <v>531</v>
      </c>
      <c r="E303" s="969" t="s">
        <v>532</v>
      </c>
      <c r="F303" s="970"/>
      <c r="G303" s="971"/>
      <c r="H303" s="161" t="s">
        <v>247</v>
      </c>
      <c r="I303" s="212">
        <v>50</v>
      </c>
      <c r="J303" s="617"/>
      <c r="K303" s="212"/>
      <c r="L303" s="225"/>
      <c r="M303" s="212"/>
    </row>
    <row r="304" spans="1:13" ht="30" customHeight="1" x14ac:dyDescent="0.3">
      <c r="C304" s="161">
        <v>157</v>
      </c>
      <c r="D304" s="161" t="s">
        <v>533</v>
      </c>
      <c r="E304" s="969" t="s">
        <v>534</v>
      </c>
      <c r="F304" s="970"/>
      <c r="G304" s="971"/>
      <c r="H304" s="161" t="s">
        <v>247</v>
      </c>
      <c r="I304" s="212">
        <v>2</v>
      </c>
      <c r="J304" s="617"/>
      <c r="K304" s="212"/>
      <c r="L304" s="225"/>
      <c r="M304" s="212"/>
    </row>
    <row r="305" spans="3:13" ht="30" customHeight="1" x14ac:dyDescent="0.3">
      <c r="C305" s="161">
        <v>158</v>
      </c>
      <c r="D305" s="161" t="s">
        <v>535</v>
      </c>
      <c r="E305" s="969" t="s">
        <v>536</v>
      </c>
      <c r="F305" s="970"/>
      <c r="G305" s="971"/>
      <c r="H305" s="161" t="s">
        <v>247</v>
      </c>
      <c r="I305" s="212">
        <v>154</v>
      </c>
      <c r="J305" s="617"/>
      <c r="K305" s="212"/>
      <c r="L305" s="225"/>
      <c r="M305" s="212"/>
    </row>
    <row r="306" spans="3:13" ht="30" customHeight="1" x14ac:dyDescent="0.3">
      <c r="C306" s="161">
        <v>159</v>
      </c>
      <c r="D306" s="161" t="s">
        <v>537</v>
      </c>
      <c r="E306" s="969" t="s">
        <v>538</v>
      </c>
      <c r="F306" s="970"/>
      <c r="G306" s="971"/>
      <c r="H306" s="161" t="s">
        <v>247</v>
      </c>
      <c r="I306" s="212">
        <v>6</v>
      </c>
      <c r="J306" s="617"/>
      <c r="K306" s="212"/>
      <c r="L306" s="225"/>
      <c r="M306" s="212"/>
    </row>
    <row r="307" spans="3:13" ht="30" customHeight="1" x14ac:dyDescent="0.3">
      <c r="C307" s="161">
        <v>160</v>
      </c>
      <c r="D307" s="161" t="s">
        <v>539</v>
      </c>
      <c r="E307" s="969" t="s">
        <v>540</v>
      </c>
      <c r="F307" s="970"/>
      <c r="G307" s="971"/>
      <c r="H307" s="161" t="s">
        <v>247</v>
      </c>
      <c r="I307" s="212">
        <v>134</v>
      </c>
      <c r="J307" s="617"/>
      <c r="K307" s="212"/>
      <c r="L307" s="225"/>
      <c r="M307" s="212"/>
    </row>
    <row r="308" spans="3:13" ht="30" customHeight="1" x14ac:dyDescent="0.3">
      <c r="C308" s="161">
        <v>161</v>
      </c>
      <c r="D308" s="161" t="s">
        <v>541</v>
      </c>
      <c r="E308" s="969" t="s">
        <v>542</v>
      </c>
      <c r="F308" s="970"/>
      <c r="G308" s="971"/>
      <c r="H308" s="161" t="s">
        <v>247</v>
      </c>
      <c r="I308" s="212">
        <v>13</v>
      </c>
      <c r="J308" s="617"/>
      <c r="K308" s="212"/>
      <c r="L308" s="225"/>
      <c r="M308" s="212"/>
    </row>
    <row r="309" spans="3:13" ht="30" customHeight="1" x14ac:dyDescent="0.3">
      <c r="C309" s="161">
        <v>162</v>
      </c>
      <c r="D309" s="161" t="s">
        <v>543</v>
      </c>
      <c r="E309" s="969" t="s">
        <v>544</v>
      </c>
      <c r="F309" s="970"/>
      <c r="G309" s="971"/>
      <c r="H309" s="161" t="s">
        <v>247</v>
      </c>
      <c r="I309" s="212">
        <v>28</v>
      </c>
      <c r="J309" s="617"/>
      <c r="K309" s="212"/>
      <c r="L309" s="225"/>
      <c r="M309" s="212"/>
    </row>
    <row r="310" spans="3:13" ht="30" customHeight="1" x14ac:dyDescent="0.3">
      <c r="C310" s="161">
        <v>163</v>
      </c>
      <c r="D310" s="161" t="s">
        <v>545</v>
      </c>
      <c r="E310" s="969" t="s">
        <v>546</v>
      </c>
      <c r="F310" s="970"/>
      <c r="G310" s="971"/>
      <c r="H310" s="161" t="s">
        <v>247</v>
      </c>
      <c r="I310" s="212">
        <v>34</v>
      </c>
      <c r="J310" s="617"/>
      <c r="K310" s="212"/>
      <c r="L310" s="225"/>
      <c r="M310" s="212"/>
    </row>
    <row r="311" spans="3:13" ht="30" customHeight="1" x14ac:dyDescent="0.3">
      <c r="C311" s="161">
        <v>164</v>
      </c>
      <c r="D311" s="213" t="s">
        <v>547</v>
      </c>
      <c r="E311" s="969" t="s">
        <v>548</v>
      </c>
      <c r="F311" s="970"/>
      <c r="G311" s="971"/>
      <c r="H311" s="161" t="s">
        <v>374</v>
      </c>
      <c r="I311" s="212">
        <v>120</v>
      </c>
      <c r="J311" s="617"/>
      <c r="K311" s="212"/>
      <c r="L311" s="225"/>
      <c r="M311" s="212"/>
    </row>
    <row r="312" spans="3:13" ht="30" customHeight="1" x14ac:dyDescent="0.3">
      <c r="C312" s="161">
        <v>165</v>
      </c>
      <c r="D312" s="213" t="s">
        <v>549</v>
      </c>
      <c r="E312" s="969" t="s">
        <v>550</v>
      </c>
      <c r="F312" s="970"/>
      <c r="G312" s="971"/>
      <c r="H312" s="161" t="s">
        <v>225</v>
      </c>
      <c r="I312" s="212">
        <v>29.3</v>
      </c>
      <c r="J312" s="617"/>
      <c r="K312" s="212"/>
      <c r="L312" s="225"/>
      <c r="M312" s="212"/>
    </row>
    <row r="313" spans="3:13" ht="30" customHeight="1" x14ac:dyDescent="0.3">
      <c r="C313" s="161">
        <v>166</v>
      </c>
      <c r="D313" s="213" t="s">
        <v>551</v>
      </c>
      <c r="E313" s="969" t="s">
        <v>552</v>
      </c>
      <c r="F313" s="970"/>
      <c r="G313" s="971"/>
      <c r="H313" s="161" t="s">
        <v>202</v>
      </c>
      <c r="I313" s="212">
        <v>703.32</v>
      </c>
      <c r="J313" s="617"/>
      <c r="K313" s="212"/>
      <c r="L313" s="225"/>
      <c r="M313" s="212"/>
    </row>
    <row r="314" spans="3:13" ht="30" customHeight="1" x14ac:dyDescent="0.3">
      <c r="C314" s="161">
        <v>167</v>
      </c>
      <c r="D314" s="213" t="s">
        <v>553</v>
      </c>
      <c r="E314" s="969" t="s">
        <v>554</v>
      </c>
      <c r="F314" s="970"/>
      <c r="G314" s="971"/>
      <c r="H314" s="161" t="s">
        <v>202</v>
      </c>
      <c r="I314" s="212">
        <v>41.15</v>
      </c>
      <c r="J314" s="617"/>
      <c r="K314" s="212"/>
      <c r="L314" s="225"/>
      <c r="M314" s="212"/>
    </row>
    <row r="315" spans="3:13" ht="30" customHeight="1" x14ac:dyDescent="0.3">
      <c r="C315" s="161">
        <v>168</v>
      </c>
      <c r="D315" s="213" t="s">
        <v>555</v>
      </c>
      <c r="E315" s="969" t="s">
        <v>556</v>
      </c>
      <c r="F315" s="970"/>
      <c r="G315" s="971"/>
      <c r="H315" s="161" t="s">
        <v>247</v>
      </c>
      <c r="I315" s="212">
        <v>980</v>
      </c>
      <c r="J315" s="617"/>
      <c r="K315" s="212"/>
      <c r="L315" s="225"/>
      <c r="M315" s="212"/>
    </row>
    <row r="316" spans="3:13" ht="30" customHeight="1" x14ac:dyDescent="0.3">
      <c r="C316" s="161">
        <v>169</v>
      </c>
      <c r="D316" s="213" t="s">
        <v>557</v>
      </c>
      <c r="E316" s="969" t="s">
        <v>558</v>
      </c>
      <c r="F316" s="970"/>
      <c r="G316" s="971"/>
      <c r="H316" s="161" t="s">
        <v>225</v>
      </c>
      <c r="I316" s="212">
        <v>162.5</v>
      </c>
      <c r="J316" s="617"/>
      <c r="K316" s="212"/>
      <c r="L316" s="225"/>
      <c r="M316" s="212"/>
    </row>
    <row r="317" spans="3:13" ht="30" customHeight="1" x14ac:dyDescent="0.3">
      <c r="C317" s="161">
        <v>170</v>
      </c>
      <c r="D317" s="213" t="s">
        <v>559</v>
      </c>
      <c r="E317" s="969" t="s">
        <v>560</v>
      </c>
      <c r="F317" s="970"/>
      <c r="G317" s="971"/>
      <c r="H317" s="161" t="s">
        <v>225</v>
      </c>
      <c r="I317" s="212">
        <v>16.25</v>
      </c>
      <c r="J317" s="617"/>
      <c r="K317" s="212"/>
      <c r="L317" s="225"/>
      <c r="M317" s="212"/>
    </row>
    <row r="318" spans="3:13" ht="30" customHeight="1" x14ac:dyDescent="0.3">
      <c r="C318" s="161">
        <v>171</v>
      </c>
      <c r="D318" s="213" t="s">
        <v>561</v>
      </c>
      <c r="E318" s="969" t="s">
        <v>562</v>
      </c>
      <c r="F318" s="970"/>
      <c r="G318" s="971"/>
      <c r="H318" s="161" t="s">
        <v>247</v>
      </c>
      <c r="I318" s="212">
        <v>80</v>
      </c>
      <c r="J318" s="617"/>
      <c r="K318" s="212"/>
      <c r="L318" s="225"/>
      <c r="M318" s="212"/>
    </row>
    <row r="319" spans="3:13" ht="30" customHeight="1" x14ac:dyDescent="0.3">
      <c r="C319" s="161">
        <v>172</v>
      </c>
      <c r="D319" s="213" t="s">
        <v>563</v>
      </c>
      <c r="E319" s="969" t="s">
        <v>564</v>
      </c>
      <c r="F319" s="970"/>
      <c r="G319" s="971"/>
      <c r="H319" s="161" t="s">
        <v>225</v>
      </c>
      <c r="I319" s="212">
        <v>80</v>
      </c>
      <c r="J319" s="617"/>
      <c r="K319" s="212"/>
      <c r="L319" s="225"/>
      <c r="M319" s="212"/>
    </row>
    <row r="320" spans="3:13" ht="30" customHeight="1" x14ac:dyDescent="0.3">
      <c r="C320" s="161">
        <v>173</v>
      </c>
      <c r="D320" s="213" t="s">
        <v>565</v>
      </c>
      <c r="E320" s="969" t="s">
        <v>566</v>
      </c>
      <c r="F320" s="970"/>
      <c r="G320" s="971"/>
      <c r="H320" s="161" t="s">
        <v>225</v>
      </c>
      <c r="I320" s="212">
        <v>64.42</v>
      </c>
      <c r="J320" s="617"/>
      <c r="K320" s="212"/>
      <c r="L320" s="225"/>
      <c r="M320" s="212"/>
    </row>
    <row r="321" spans="3:13" ht="30" customHeight="1" x14ac:dyDescent="0.3">
      <c r="C321" s="161">
        <v>174</v>
      </c>
      <c r="D321" s="161" t="s">
        <v>567</v>
      </c>
      <c r="E321" s="969" t="s">
        <v>568</v>
      </c>
      <c r="F321" s="970"/>
      <c r="G321" s="971"/>
      <c r="H321" s="161" t="s">
        <v>225</v>
      </c>
      <c r="I321" s="212">
        <v>465</v>
      </c>
      <c r="J321" s="617"/>
      <c r="K321" s="212"/>
      <c r="L321" s="225"/>
      <c r="M321" s="212"/>
    </row>
    <row r="322" spans="3:13" ht="30" customHeight="1" x14ac:dyDescent="0.3">
      <c r="C322" s="161">
        <v>175</v>
      </c>
      <c r="D322" s="161" t="s">
        <v>569</v>
      </c>
      <c r="E322" s="969" t="s">
        <v>570</v>
      </c>
      <c r="F322" s="970"/>
      <c r="G322" s="971"/>
      <c r="H322" s="161" t="s">
        <v>225</v>
      </c>
      <c r="I322" s="212">
        <v>33</v>
      </c>
      <c r="J322" s="617"/>
      <c r="K322" s="212"/>
      <c r="L322" s="225"/>
      <c r="M322" s="212"/>
    </row>
    <row r="323" spans="3:13" ht="30" customHeight="1" x14ac:dyDescent="0.3">
      <c r="C323" s="161">
        <v>176</v>
      </c>
      <c r="D323" s="213" t="s">
        <v>571</v>
      </c>
      <c r="E323" s="969" t="s">
        <v>572</v>
      </c>
      <c r="F323" s="970"/>
      <c r="G323" s="971"/>
      <c r="H323" s="161" t="s">
        <v>247</v>
      </c>
      <c r="I323" s="212">
        <v>4</v>
      </c>
      <c r="J323" s="617"/>
      <c r="K323" s="212"/>
      <c r="L323" s="225"/>
      <c r="M323" s="212"/>
    </row>
    <row r="324" spans="3:13" ht="30" customHeight="1" x14ac:dyDescent="0.3">
      <c r="C324" s="161">
        <v>177</v>
      </c>
      <c r="D324" s="213" t="s">
        <v>573</v>
      </c>
      <c r="E324" s="969" t="s">
        <v>574</v>
      </c>
      <c r="F324" s="970"/>
      <c r="G324" s="971"/>
      <c r="H324" s="161" t="s">
        <v>225</v>
      </c>
      <c r="I324" s="212">
        <v>114.4</v>
      </c>
      <c r="J324" s="617"/>
      <c r="K324" s="212"/>
      <c r="L324" s="225"/>
      <c r="M324" s="212"/>
    </row>
    <row r="325" spans="3:13" ht="30" customHeight="1" x14ac:dyDescent="0.3">
      <c r="C325" s="161">
        <v>178</v>
      </c>
      <c r="D325" s="213" t="s">
        <v>575</v>
      </c>
      <c r="E325" s="969" t="s">
        <v>576</v>
      </c>
      <c r="F325" s="970"/>
      <c r="G325" s="971"/>
      <c r="H325" s="161" t="s">
        <v>202</v>
      </c>
      <c r="I325" s="212">
        <v>754</v>
      </c>
      <c r="J325" s="617"/>
      <c r="K325" s="212"/>
      <c r="L325" s="225"/>
      <c r="M325" s="212"/>
    </row>
    <row r="326" spans="3:13" ht="30" customHeight="1" x14ac:dyDescent="0.3">
      <c r="C326" s="160">
        <v>179</v>
      </c>
      <c r="D326" s="210" t="s">
        <v>577</v>
      </c>
      <c r="E326" s="992" t="s">
        <v>578</v>
      </c>
      <c r="F326" s="993"/>
      <c r="G326" s="994"/>
      <c r="H326" s="160" t="s">
        <v>374</v>
      </c>
      <c r="I326" s="211">
        <v>10500</v>
      </c>
      <c r="J326" s="616"/>
      <c r="K326" s="211"/>
      <c r="L326" s="224"/>
      <c r="M326" s="211"/>
    </row>
    <row r="327" spans="3:13" ht="30" customHeight="1" x14ac:dyDescent="0.3">
      <c r="C327" s="161">
        <v>180</v>
      </c>
      <c r="D327" s="213" t="s">
        <v>579</v>
      </c>
      <c r="E327" s="969" t="s">
        <v>580</v>
      </c>
      <c r="F327" s="970"/>
      <c r="G327" s="971"/>
      <c r="H327" s="161" t="s">
        <v>374</v>
      </c>
      <c r="I327" s="212">
        <v>122584</v>
      </c>
      <c r="J327" s="617"/>
      <c r="K327" s="212"/>
      <c r="L327" s="225"/>
      <c r="M327" s="212"/>
    </row>
    <row r="328" spans="3:13" ht="30" customHeight="1" x14ac:dyDescent="0.3">
      <c r="C328" s="161">
        <v>181</v>
      </c>
      <c r="D328" s="213" t="s">
        <v>581</v>
      </c>
      <c r="E328" s="969" t="s">
        <v>582</v>
      </c>
      <c r="F328" s="970"/>
      <c r="G328" s="971"/>
      <c r="H328" s="161" t="s">
        <v>225</v>
      </c>
      <c r="I328" s="212">
        <v>8531.25</v>
      </c>
      <c r="J328" s="617"/>
      <c r="K328" s="212"/>
      <c r="L328" s="225"/>
      <c r="M328" s="212"/>
    </row>
    <row r="329" spans="3:13" ht="30" customHeight="1" x14ac:dyDescent="0.3">
      <c r="C329" s="1375" t="s">
        <v>33</v>
      </c>
      <c r="D329" s="1375"/>
      <c r="E329" s="1375"/>
      <c r="F329" s="1376" t="s">
        <v>29</v>
      </c>
      <c r="G329" s="1376"/>
      <c r="H329" s="1375" t="s">
        <v>22</v>
      </c>
      <c r="I329" s="1375"/>
      <c r="J329" s="1375"/>
      <c r="K329" s="1375"/>
      <c r="L329" s="1375"/>
      <c r="M329" s="1375"/>
    </row>
    <row r="330" spans="3:13" ht="19.95" customHeight="1" x14ac:dyDescent="0.3">
      <c r="C330" s="1024" t="s">
        <v>1214</v>
      </c>
      <c r="D330" s="1024"/>
      <c r="E330" s="1024"/>
      <c r="F330" s="1280" t="s">
        <v>38</v>
      </c>
      <c r="G330" s="1280"/>
      <c r="H330" s="1280" t="s">
        <v>1437</v>
      </c>
      <c r="I330" s="1280"/>
      <c r="J330" s="1280"/>
      <c r="K330" s="1280"/>
      <c r="L330" s="1280"/>
      <c r="M330" s="1280"/>
    </row>
    <row r="331" spans="3:13" ht="15" customHeight="1" x14ac:dyDescent="0.3">
      <c r="D331" s="28"/>
      <c r="E331" s="666"/>
      <c r="F331" s="666"/>
      <c r="G331" s="666"/>
      <c r="H331" s="1280"/>
      <c r="I331" s="1280"/>
      <c r="J331" s="1280"/>
      <c r="K331" s="1280"/>
      <c r="L331" s="1280"/>
      <c r="M331" s="1280"/>
    </row>
    <row r="332" spans="3:13" ht="15" customHeight="1" x14ac:dyDescent="0.3">
      <c r="D332" s="28"/>
      <c r="E332" s="666"/>
      <c r="F332" s="666"/>
      <c r="G332" s="666"/>
      <c r="H332" s="1280"/>
      <c r="I332" s="1280"/>
      <c r="J332" s="1280"/>
      <c r="K332" s="1280"/>
      <c r="L332" s="1280"/>
      <c r="M332" s="1280"/>
    </row>
    <row r="333" spans="3:13" ht="15" customHeight="1" x14ac:dyDescent="0.3">
      <c r="D333" s="28"/>
      <c r="E333" s="666"/>
      <c r="F333" s="666"/>
      <c r="G333" s="666"/>
      <c r="H333" s="109"/>
      <c r="I333" s="109"/>
      <c r="J333" s="667"/>
      <c r="K333" s="109"/>
      <c r="L333" s="109"/>
      <c r="M333" s="109"/>
    </row>
    <row r="334" spans="3:13" ht="15" customHeight="1" x14ac:dyDescent="0.3">
      <c r="D334" s="28"/>
      <c r="E334" s="666"/>
      <c r="F334" s="1280" t="s">
        <v>1411</v>
      </c>
      <c r="G334" s="1280"/>
      <c r="H334" s="1280"/>
      <c r="I334" s="1280"/>
      <c r="J334" s="1280"/>
      <c r="K334" s="109" t="s">
        <v>58</v>
      </c>
      <c r="L334" s="1280" t="s">
        <v>57</v>
      </c>
      <c r="M334" s="1280"/>
    </row>
    <row r="335" spans="3:13" ht="15" customHeight="1" x14ac:dyDescent="0.3">
      <c r="D335" s="28"/>
      <c r="E335" s="666"/>
      <c r="F335" s="1280"/>
      <c r="G335" s="1280"/>
      <c r="H335" s="1280"/>
      <c r="I335" s="1280"/>
      <c r="J335" s="1280"/>
      <c r="K335" s="104" t="s">
        <v>1472</v>
      </c>
      <c r="L335" s="1280" t="s">
        <v>1472</v>
      </c>
      <c r="M335" s="1280"/>
    </row>
    <row r="336" spans="3:13" ht="15" customHeight="1" x14ac:dyDescent="0.3">
      <c r="D336" s="28"/>
      <c r="E336" s="666"/>
      <c r="F336" s="666"/>
      <c r="G336" s="666"/>
      <c r="H336" s="1280"/>
      <c r="I336" s="1280"/>
      <c r="J336" s="1280"/>
      <c r="K336" s="109"/>
      <c r="L336" s="1280"/>
      <c r="M336" s="1280"/>
    </row>
    <row r="337" spans="1:13" ht="15" customHeight="1" x14ac:dyDescent="0.3">
      <c r="D337" s="28"/>
      <c r="E337" s="666"/>
      <c r="F337" s="666"/>
      <c r="G337" s="666"/>
      <c r="H337" s="110"/>
      <c r="I337" s="110"/>
      <c r="J337" s="667"/>
      <c r="K337" s="110"/>
      <c r="L337" s="110"/>
      <c r="M337" s="110"/>
    </row>
    <row r="338" spans="1:13" ht="15" customHeight="1" x14ac:dyDescent="0.3">
      <c r="D338" s="28"/>
      <c r="E338" s="666"/>
      <c r="F338" s="666"/>
      <c r="G338" s="666"/>
      <c r="H338" s="28"/>
      <c r="I338" s="214"/>
      <c r="J338" s="618"/>
    </row>
    <row r="339" spans="1:13" ht="15" customHeight="1" x14ac:dyDescent="0.3">
      <c r="C339" s="1280" t="s">
        <v>1215</v>
      </c>
      <c r="D339" s="1024"/>
      <c r="E339" s="1024"/>
      <c r="F339" s="1280" t="s">
        <v>1348</v>
      </c>
      <c r="G339" s="1280"/>
      <c r="H339" s="1280"/>
      <c r="I339" s="1024"/>
      <c r="J339" s="1024"/>
      <c r="K339" s="1024"/>
      <c r="L339" s="1024"/>
      <c r="M339" s="1024"/>
    </row>
    <row r="340" spans="1:13" ht="15" customHeight="1" x14ac:dyDescent="0.3">
      <c r="A340" s="262" t="s">
        <v>1290</v>
      </c>
      <c r="C340" s="1024"/>
      <c r="D340" s="1024"/>
      <c r="E340" s="1024"/>
      <c r="F340" s="1280"/>
      <c r="G340" s="1280"/>
      <c r="H340" s="1024"/>
      <c r="I340" s="1024"/>
      <c r="J340" s="1024"/>
      <c r="K340" s="1024"/>
      <c r="L340" s="1024"/>
      <c r="M340" s="1024"/>
    </row>
    <row r="341" spans="1:13" ht="30" customHeight="1" x14ac:dyDescent="0.3">
      <c r="C341" s="256">
        <v>182</v>
      </c>
      <c r="D341" s="632" t="s">
        <v>583</v>
      </c>
      <c r="E341" s="978" t="s">
        <v>584</v>
      </c>
      <c r="F341" s="979"/>
      <c r="G341" s="980"/>
      <c r="H341" s="256" t="s">
        <v>247</v>
      </c>
      <c r="I341" s="257">
        <v>4</v>
      </c>
      <c r="J341" s="619"/>
      <c r="K341" s="257"/>
      <c r="L341" s="247"/>
      <c r="M341" s="257"/>
    </row>
    <row r="342" spans="1:13" ht="30" customHeight="1" x14ac:dyDescent="0.3">
      <c r="C342" s="161">
        <v>183</v>
      </c>
      <c r="D342" s="213" t="s">
        <v>585</v>
      </c>
      <c r="E342" s="969" t="s">
        <v>586</v>
      </c>
      <c r="F342" s="970"/>
      <c r="G342" s="971"/>
      <c r="H342" s="161" t="s">
        <v>247</v>
      </c>
      <c r="I342" s="212">
        <v>8</v>
      </c>
      <c r="J342" s="617"/>
      <c r="K342" s="212"/>
      <c r="L342" s="225"/>
      <c r="M342" s="212"/>
    </row>
    <row r="343" spans="1:13" ht="30" customHeight="1" x14ac:dyDescent="0.3">
      <c r="C343" s="161">
        <v>184</v>
      </c>
      <c r="D343" s="213" t="s">
        <v>587</v>
      </c>
      <c r="E343" s="969" t="s">
        <v>588</v>
      </c>
      <c r="F343" s="970"/>
      <c r="G343" s="971"/>
      <c r="H343" s="161" t="s">
        <v>247</v>
      </c>
      <c r="I343" s="212">
        <v>4</v>
      </c>
      <c r="J343" s="617"/>
      <c r="K343" s="212"/>
      <c r="L343" s="225"/>
      <c r="M343" s="212"/>
    </row>
    <row r="344" spans="1:13" ht="30" customHeight="1" x14ac:dyDescent="0.3">
      <c r="C344" s="161"/>
      <c r="D344" s="213"/>
      <c r="E344" s="564"/>
      <c r="F344" s="565"/>
      <c r="G344" s="566"/>
      <c r="H344" s="161"/>
      <c r="I344" s="212"/>
      <c r="J344" s="617"/>
      <c r="K344" s="212"/>
      <c r="L344" s="225"/>
      <c r="M344" s="212"/>
    </row>
    <row r="345" spans="1:13" ht="30" customHeight="1" x14ac:dyDescent="0.3">
      <c r="C345" s="161"/>
      <c r="D345" s="161"/>
      <c r="E345" s="969"/>
      <c r="F345" s="970"/>
      <c r="G345" s="971"/>
      <c r="H345" s="161"/>
      <c r="I345" s="212"/>
      <c r="J345" s="617"/>
      <c r="K345" s="212"/>
      <c r="L345" s="225"/>
      <c r="M345" s="212"/>
    </row>
    <row r="346" spans="1:13" ht="30" customHeight="1" x14ac:dyDescent="0.3">
      <c r="C346" s="161"/>
      <c r="D346" s="161"/>
      <c r="E346" s="969"/>
      <c r="F346" s="970"/>
      <c r="G346" s="971"/>
      <c r="H346" s="161"/>
      <c r="I346" s="212"/>
      <c r="J346" s="617"/>
      <c r="K346" s="212"/>
      <c r="L346" s="225"/>
      <c r="M346" s="212"/>
    </row>
    <row r="347" spans="1:13" ht="30" customHeight="1" x14ac:dyDescent="0.3">
      <c r="C347" s="161"/>
      <c r="D347" s="161"/>
      <c r="E347" s="564"/>
      <c r="F347" s="565"/>
      <c r="G347" s="566"/>
      <c r="H347" s="161"/>
      <c r="I347" s="212"/>
      <c r="J347" s="617"/>
      <c r="K347" s="212"/>
      <c r="L347" s="225"/>
      <c r="M347" s="212"/>
    </row>
    <row r="348" spans="1:13" ht="30" customHeight="1" x14ac:dyDescent="0.3">
      <c r="C348" s="161"/>
      <c r="D348" s="161"/>
      <c r="E348" s="564"/>
      <c r="F348" s="565"/>
      <c r="G348" s="566"/>
      <c r="H348" s="161"/>
      <c r="I348" s="212"/>
      <c r="J348" s="617"/>
      <c r="K348" s="212"/>
      <c r="L348" s="225"/>
      <c r="M348" s="212"/>
    </row>
    <row r="349" spans="1:13" ht="30" customHeight="1" x14ac:dyDescent="0.3">
      <c r="C349" s="161"/>
      <c r="D349" s="161"/>
      <c r="E349" s="564"/>
      <c r="F349" s="565"/>
      <c r="G349" s="566"/>
      <c r="H349" s="161"/>
      <c r="I349" s="212"/>
      <c r="J349" s="617"/>
      <c r="K349" s="212"/>
      <c r="L349" s="225"/>
      <c r="M349" s="212"/>
    </row>
    <row r="350" spans="1:13" ht="30" customHeight="1" x14ac:dyDescent="0.3">
      <c r="C350" s="161"/>
      <c r="D350" s="161"/>
      <c r="E350" s="564"/>
      <c r="F350" s="565"/>
      <c r="G350" s="566"/>
      <c r="H350" s="161"/>
      <c r="I350" s="212"/>
      <c r="J350" s="617"/>
      <c r="K350" s="212"/>
      <c r="L350" s="225"/>
      <c r="M350" s="212"/>
    </row>
    <row r="351" spans="1:13" ht="30" customHeight="1" x14ac:dyDescent="0.3">
      <c r="C351" s="161"/>
      <c r="D351" s="161"/>
      <c r="E351" s="564"/>
      <c r="F351" s="565"/>
      <c r="G351" s="566"/>
      <c r="H351" s="161"/>
      <c r="I351" s="212"/>
      <c r="J351" s="617"/>
      <c r="K351" s="212"/>
      <c r="L351" s="225"/>
      <c r="M351" s="212"/>
    </row>
    <row r="352" spans="1:13" ht="30" customHeight="1" x14ac:dyDescent="0.3">
      <c r="C352" s="161"/>
      <c r="D352" s="161"/>
      <c r="E352" s="564"/>
      <c r="F352" s="565"/>
      <c r="G352" s="566"/>
      <c r="H352" s="161"/>
      <c r="I352" s="212"/>
      <c r="J352" s="617"/>
      <c r="K352" s="212"/>
      <c r="L352" s="225"/>
      <c r="M352" s="212"/>
    </row>
    <row r="353" spans="3:13" ht="30" customHeight="1" x14ac:dyDescent="0.3">
      <c r="C353" s="161"/>
      <c r="D353" s="161"/>
      <c r="E353" s="564"/>
      <c r="F353" s="565"/>
      <c r="G353" s="566"/>
      <c r="H353" s="161"/>
      <c r="I353" s="212"/>
      <c r="J353" s="617"/>
      <c r="K353" s="212"/>
      <c r="L353" s="225"/>
      <c r="M353" s="212"/>
    </row>
    <row r="354" spans="3:13" ht="30" customHeight="1" x14ac:dyDescent="0.3">
      <c r="C354" s="161"/>
      <c r="D354" s="161"/>
      <c r="E354" s="564"/>
      <c r="F354" s="565"/>
      <c r="G354" s="566"/>
      <c r="H354" s="161"/>
      <c r="I354" s="212"/>
      <c r="J354" s="617"/>
      <c r="K354" s="212"/>
      <c r="L354" s="225"/>
      <c r="M354" s="212"/>
    </row>
    <row r="355" spans="3:13" ht="30" customHeight="1" x14ac:dyDescent="0.3">
      <c r="C355" s="161"/>
      <c r="D355" s="161"/>
      <c r="E355" s="564"/>
      <c r="F355" s="565"/>
      <c r="G355" s="566"/>
      <c r="H355" s="161"/>
      <c r="I355" s="212"/>
      <c r="J355" s="617"/>
      <c r="K355" s="212"/>
      <c r="L355" s="225"/>
      <c r="M355" s="212"/>
    </row>
    <row r="356" spans="3:13" ht="30" customHeight="1" x14ac:dyDescent="0.3">
      <c r="C356" s="161"/>
      <c r="D356" s="161"/>
      <c r="E356" s="564"/>
      <c r="F356" s="565"/>
      <c r="G356" s="566"/>
      <c r="H356" s="161"/>
      <c r="I356" s="212"/>
      <c r="J356" s="617"/>
      <c r="K356" s="212"/>
      <c r="L356" s="225"/>
      <c r="M356" s="212"/>
    </row>
    <row r="357" spans="3:13" ht="30" customHeight="1" x14ac:dyDescent="0.3">
      <c r="C357" s="161"/>
      <c r="D357" s="161"/>
      <c r="E357" s="564"/>
      <c r="F357" s="565"/>
      <c r="G357" s="566"/>
      <c r="H357" s="161"/>
      <c r="I357" s="212"/>
      <c r="J357" s="617"/>
      <c r="K357" s="212"/>
      <c r="L357" s="225"/>
      <c r="M357" s="212"/>
    </row>
    <row r="358" spans="3:13" ht="30" customHeight="1" x14ac:dyDescent="0.3">
      <c r="C358" s="161"/>
      <c r="D358" s="161"/>
      <c r="E358" s="564"/>
      <c r="F358" s="565"/>
      <c r="G358" s="566"/>
      <c r="H358" s="161"/>
      <c r="I358" s="212"/>
      <c r="J358" s="617"/>
      <c r="K358" s="212"/>
      <c r="L358" s="225"/>
      <c r="M358" s="212"/>
    </row>
    <row r="359" spans="3:13" ht="30" customHeight="1" x14ac:dyDescent="0.3">
      <c r="C359" s="161"/>
      <c r="D359" s="161"/>
      <c r="E359" s="564"/>
      <c r="F359" s="565"/>
      <c r="G359" s="566"/>
      <c r="H359" s="161"/>
      <c r="I359" s="212"/>
      <c r="J359" s="617"/>
      <c r="K359" s="212"/>
      <c r="L359" s="225"/>
      <c r="M359" s="212"/>
    </row>
    <row r="360" spans="3:13" ht="30" customHeight="1" x14ac:dyDescent="0.3">
      <c r="C360" s="161"/>
      <c r="D360" s="161"/>
      <c r="E360" s="564"/>
      <c r="F360" s="565"/>
      <c r="G360" s="566"/>
      <c r="H360" s="161"/>
      <c r="I360" s="212"/>
      <c r="J360" s="617"/>
      <c r="K360" s="212"/>
      <c r="L360" s="225"/>
      <c r="M360" s="212"/>
    </row>
    <row r="361" spans="3:13" ht="30" customHeight="1" x14ac:dyDescent="0.3">
      <c r="C361" s="161"/>
      <c r="D361" s="161"/>
      <c r="E361" s="564"/>
      <c r="F361" s="565"/>
      <c r="G361" s="566"/>
      <c r="H361" s="161"/>
      <c r="I361" s="212"/>
      <c r="J361" s="617"/>
      <c r="K361" s="212"/>
      <c r="L361" s="225"/>
      <c r="M361" s="212"/>
    </row>
    <row r="362" spans="3:13" ht="30" customHeight="1" x14ac:dyDescent="0.3">
      <c r="C362" s="161"/>
      <c r="D362" s="161"/>
      <c r="E362" s="564"/>
      <c r="F362" s="565"/>
      <c r="G362" s="566"/>
      <c r="H362" s="161"/>
      <c r="I362" s="212"/>
      <c r="J362" s="617"/>
      <c r="K362" s="212"/>
      <c r="L362" s="225"/>
      <c r="M362" s="212"/>
    </row>
    <row r="363" spans="3:13" ht="30" customHeight="1" x14ac:dyDescent="0.3">
      <c r="C363" s="161"/>
      <c r="D363" s="161"/>
      <c r="E363" s="564"/>
      <c r="F363" s="565"/>
      <c r="G363" s="566"/>
      <c r="H363" s="161"/>
      <c r="I363" s="212"/>
      <c r="J363" s="617"/>
      <c r="K363" s="212"/>
      <c r="L363" s="225"/>
      <c r="M363" s="212"/>
    </row>
    <row r="364" spans="3:13" ht="30" customHeight="1" x14ac:dyDescent="0.3">
      <c r="C364" s="161"/>
      <c r="D364" s="161"/>
      <c r="E364" s="564"/>
      <c r="F364" s="565"/>
      <c r="G364" s="566"/>
      <c r="H364" s="161"/>
      <c r="I364" s="212"/>
      <c r="J364" s="617"/>
      <c r="K364" s="212"/>
      <c r="L364" s="225"/>
      <c r="M364" s="212"/>
    </row>
    <row r="365" spans="3:13" ht="30" customHeight="1" x14ac:dyDescent="0.3">
      <c r="C365" s="161"/>
      <c r="D365" s="161"/>
      <c r="E365" s="564"/>
      <c r="F365" s="565"/>
      <c r="G365" s="566"/>
      <c r="H365" s="161"/>
      <c r="I365" s="212"/>
      <c r="J365" s="617"/>
      <c r="K365" s="212"/>
      <c r="L365" s="225"/>
      <c r="M365" s="212"/>
    </row>
    <row r="366" spans="3:13" ht="30" customHeight="1" x14ac:dyDescent="0.3">
      <c r="C366" s="161"/>
      <c r="D366" s="161"/>
      <c r="E366" s="564"/>
      <c r="F366" s="565"/>
      <c r="G366" s="566"/>
      <c r="H366" s="161"/>
      <c r="I366" s="212"/>
      <c r="J366" s="617"/>
      <c r="K366" s="212"/>
      <c r="L366" s="225"/>
      <c r="M366" s="212"/>
    </row>
    <row r="367" spans="3:13" ht="30" customHeight="1" x14ac:dyDescent="0.3">
      <c r="C367" s="161"/>
      <c r="D367" s="161"/>
      <c r="E367" s="564"/>
      <c r="F367" s="565"/>
      <c r="G367" s="566"/>
      <c r="H367" s="161"/>
      <c r="I367" s="212"/>
      <c r="J367" s="617"/>
      <c r="K367" s="212"/>
      <c r="L367" s="225"/>
      <c r="M367" s="212"/>
    </row>
    <row r="368" spans="3:13" ht="30" customHeight="1" x14ac:dyDescent="0.3">
      <c r="C368" s="161"/>
      <c r="D368" s="161"/>
      <c r="E368" s="564"/>
      <c r="F368" s="565"/>
      <c r="G368" s="566"/>
      <c r="H368" s="161"/>
      <c r="I368" s="212"/>
      <c r="J368" s="617"/>
      <c r="K368" s="212"/>
      <c r="L368" s="225"/>
      <c r="M368" s="212"/>
    </row>
    <row r="369" spans="3:13" ht="30" customHeight="1" x14ac:dyDescent="0.3">
      <c r="C369" s="161"/>
      <c r="D369" s="161"/>
      <c r="E369" s="564"/>
      <c r="F369" s="565"/>
      <c r="G369" s="566"/>
      <c r="H369" s="161"/>
      <c r="I369" s="212"/>
      <c r="J369" s="617"/>
      <c r="K369" s="212"/>
      <c r="L369" s="225"/>
      <c r="M369" s="212"/>
    </row>
    <row r="370" spans="3:13" ht="30" customHeight="1" x14ac:dyDescent="0.3">
      <c r="C370" s="161"/>
      <c r="D370" s="161"/>
      <c r="E370" s="564"/>
      <c r="F370" s="565"/>
      <c r="G370" s="566"/>
      <c r="H370" s="161"/>
      <c r="I370" s="212"/>
      <c r="J370" s="617"/>
      <c r="K370" s="212"/>
      <c r="L370" s="225"/>
      <c r="M370" s="212"/>
    </row>
    <row r="371" spans="3:13" ht="30" customHeight="1" x14ac:dyDescent="0.3">
      <c r="C371" s="161"/>
      <c r="D371" s="161"/>
      <c r="E371" s="564"/>
      <c r="F371" s="565"/>
      <c r="G371" s="566"/>
      <c r="H371" s="161"/>
      <c r="I371" s="212"/>
      <c r="J371" s="617"/>
      <c r="K371" s="212"/>
      <c r="L371" s="225"/>
      <c r="M371" s="212"/>
    </row>
    <row r="372" spans="3:13" ht="30" customHeight="1" x14ac:dyDescent="0.3">
      <c r="C372" s="161"/>
      <c r="D372" s="161"/>
      <c r="E372" s="564"/>
      <c r="F372" s="565"/>
      <c r="G372" s="566"/>
      <c r="H372" s="161"/>
      <c r="I372" s="212"/>
      <c r="J372" s="617"/>
      <c r="K372" s="212"/>
      <c r="L372" s="225"/>
      <c r="M372" s="212"/>
    </row>
    <row r="373" spans="3:13" ht="30" customHeight="1" x14ac:dyDescent="0.3">
      <c r="C373" s="161"/>
      <c r="D373" s="161"/>
      <c r="E373" s="564"/>
      <c r="F373" s="565"/>
      <c r="G373" s="566"/>
      <c r="H373" s="161"/>
      <c r="I373" s="212"/>
      <c r="J373" s="617"/>
      <c r="K373" s="212"/>
      <c r="L373" s="225"/>
      <c r="M373" s="212"/>
    </row>
    <row r="374" spans="3:13" ht="30" customHeight="1" x14ac:dyDescent="0.3">
      <c r="C374" s="161"/>
      <c r="D374" s="161"/>
      <c r="E374" s="969"/>
      <c r="F374" s="970"/>
      <c r="G374" s="971"/>
      <c r="H374" s="161"/>
      <c r="I374" s="212"/>
      <c r="J374" s="617"/>
      <c r="K374" s="212"/>
      <c r="L374" s="225"/>
      <c r="M374" s="212"/>
    </row>
    <row r="375" spans="3:13" ht="30" customHeight="1" x14ac:dyDescent="0.3">
      <c r="C375" s="1375" t="s">
        <v>33</v>
      </c>
      <c r="D375" s="1375"/>
      <c r="E375" s="1375"/>
      <c r="F375" s="1376" t="s">
        <v>29</v>
      </c>
      <c r="G375" s="1376"/>
      <c r="H375" s="1375" t="s">
        <v>22</v>
      </c>
      <c r="I375" s="1375"/>
      <c r="J375" s="1375"/>
      <c r="K375" s="1375"/>
      <c r="L375" s="1375"/>
      <c r="M375" s="1375"/>
    </row>
    <row r="376" spans="3:13" ht="19.95" customHeight="1" x14ac:dyDescent="0.3">
      <c r="C376" s="1024" t="s">
        <v>1214</v>
      </c>
      <c r="D376" s="1024"/>
      <c r="E376" s="1024"/>
      <c r="F376" s="1280" t="s">
        <v>38</v>
      </c>
      <c r="G376" s="1280"/>
      <c r="H376" s="1280" t="s">
        <v>1437</v>
      </c>
      <c r="I376" s="1280"/>
      <c r="J376" s="1280"/>
      <c r="K376" s="1280"/>
      <c r="L376" s="1280"/>
      <c r="M376" s="1280"/>
    </row>
    <row r="377" spans="3:13" ht="15" customHeight="1" x14ac:dyDescent="0.3">
      <c r="D377" s="28"/>
      <c r="E377" s="666"/>
      <c r="F377" s="666"/>
      <c r="G377" s="666"/>
      <c r="H377" s="1280"/>
      <c r="I377" s="1280"/>
      <c r="J377" s="1280"/>
      <c r="K377" s="1280"/>
      <c r="L377" s="1280"/>
      <c r="M377" s="1280"/>
    </row>
    <row r="378" spans="3:13" ht="15" customHeight="1" x14ac:dyDescent="0.3">
      <c r="D378" s="28"/>
      <c r="E378" s="666"/>
      <c r="F378" s="666"/>
      <c r="G378" s="666"/>
      <c r="H378" s="1280"/>
      <c r="I378" s="1280"/>
      <c r="J378" s="1280"/>
      <c r="K378" s="1280"/>
      <c r="L378" s="1280"/>
      <c r="M378" s="1280"/>
    </row>
    <row r="379" spans="3:13" ht="15" customHeight="1" x14ac:dyDescent="0.3">
      <c r="D379" s="28"/>
      <c r="E379" s="666"/>
      <c r="F379" s="666"/>
      <c r="G379" s="666"/>
      <c r="H379" s="109"/>
      <c r="I379" s="109"/>
      <c r="J379" s="667"/>
      <c r="K379" s="109"/>
      <c r="L379" s="109"/>
      <c r="M379" s="109"/>
    </row>
    <row r="380" spans="3:13" ht="15" customHeight="1" x14ac:dyDescent="0.3">
      <c r="D380" s="28"/>
      <c r="E380" s="666"/>
      <c r="F380" s="1280" t="s">
        <v>1411</v>
      </c>
      <c r="G380" s="1280"/>
      <c r="H380" s="1280"/>
      <c r="I380" s="1280"/>
      <c r="J380" s="1280"/>
      <c r="K380" s="109" t="s">
        <v>58</v>
      </c>
      <c r="L380" s="1280" t="s">
        <v>57</v>
      </c>
      <c r="M380" s="1280"/>
    </row>
    <row r="381" spans="3:13" ht="15" customHeight="1" x14ac:dyDescent="0.3">
      <c r="D381" s="28"/>
      <c r="E381" s="666"/>
      <c r="F381" s="1280"/>
      <c r="G381" s="1280"/>
      <c r="H381" s="1280"/>
      <c r="I381" s="1280"/>
      <c r="J381" s="1280"/>
      <c r="K381" s="104" t="s">
        <v>1472</v>
      </c>
      <c r="L381" s="1280" t="s">
        <v>1472</v>
      </c>
      <c r="M381" s="1280"/>
    </row>
    <row r="382" spans="3:13" ht="15" customHeight="1" x14ac:dyDescent="0.3">
      <c r="D382" s="28"/>
      <c r="E382" s="666"/>
      <c r="F382" s="666"/>
      <c r="G382" s="666"/>
      <c r="H382" s="1280"/>
      <c r="I382" s="1280"/>
      <c r="J382" s="1280"/>
      <c r="K382" s="109"/>
      <c r="L382" s="1280"/>
      <c r="M382" s="1280"/>
    </row>
    <row r="383" spans="3:13" ht="15" customHeight="1" x14ac:dyDescent="0.3">
      <c r="D383" s="28"/>
      <c r="E383" s="666"/>
      <c r="F383" s="666"/>
      <c r="G383" s="666"/>
      <c r="H383" s="110"/>
      <c r="I383" s="110"/>
      <c r="J383" s="667"/>
      <c r="K383" s="110"/>
      <c r="L383" s="110"/>
      <c r="M383" s="110"/>
    </row>
    <row r="384" spans="3:13" ht="15" customHeight="1" x14ac:dyDescent="0.3">
      <c r="D384" s="28"/>
      <c r="E384" s="666"/>
      <c r="F384" s="666"/>
      <c r="G384" s="666"/>
      <c r="H384" s="28"/>
      <c r="I384" s="214"/>
      <c r="J384" s="618"/>
    </row>
    <row r="385" spans="1:13" ht="15" customHeight="1" x14ac:dyDescent="0.3">
      <c r="C385" s="1280" t="s">
        <v>1215</v>
      </c>
      <c r="D385" s="1024"/>
      <c r="E385" s="1024"/>
      <c r="F385" s="1280" t="s">
        <v>1348</v>
      </c>
      <c r="G385" s="1280"/>
      <c r="H385" s="1280"/>
      <c r="I385" s="1024"/>
      <c r="J385" s="1024"/>
      <c r="K385" s="1024"/>
      <c r="L385" s="1024"/>
      <c r="M385" s="1024"/>
    </row>
    <row r="386" spans="1:13" ht="15" customHeight="1" x14ac:dyDescent="0.3">
      <c r="A386" s="262" t="s">
        <v>1290</v>
      </c>
      <c r="C386" s="1024"/>
      <c r="D386" s="1024"/>
      <c r="E386" s="1024"/>
      <c r="F386" s="1280"/>
      <c r="G386" s="1280"/>
      <c r="H386" s="1024"/>
      <c r="I386" s="1024"/>
      <c r="J386" s="1024"/>
      <c r="K386" s="1024"/>
      <c r="L386" s="1024"/>
      <c r="M386" s="1024"/>
    </row>
    <row r="387" spans="1:13" ht="30" customHeight="1" x14ac:dyDescent="0.3">
      <c r="C387" s="563"/>
      <c r="D387" s="668" t="s">
        <v>1229</v>
      </c>
      <c r="E387" s="669"/>
      <c r="F387" s="670"/>
      <c r="G387" s="671"/>
      <c r="H387" s="563"/>
      <c r="I387" s="672"/>
      <c r="J387" s="673"/>
      <c r="K387" s="672"/>
      <c r="L387" s="672"/>
      <c r="M387" s="672"/>
    </row>
    <row r="388" spans="1:13" ht="30" customHeight="1" x14ac:dyDescent="0.3">
      <c r="C388" s="160">
        <v>185</v>
      </c>
      <c r="D388" s="210" t="s">
        <v>589</v>
      </c>
      <c r="E388" s="992" t="s">
        <v>590</v>
      </c>
      <c r="F388" s="993"/>
      <c r="G388" s="994"/>
      <c r="H388" s="160"/>
      <c r="I388" s="211"/>
      <c r="J388" s="616"/>
      <c r="K388" s="211"/>
      <c r="L388" s="224"/>
      <c r="M388" s="211"/>
    </row>
    <row r="389" spans="1:13" ht="30" customHeight="1" x14ac:dyDescent="0.3">
      <c r="C389" s="161">
        <v>186</v>
      </c>
      <c r="D389" s="161" t="s">
        <v>591</v>
      </c>
      <c r="E389" s="969" t="s">
        <v>592</v>
      </c>
      <c r="F389" s="970"/>
      <c r="G389" s="971"/>
      <c r="H389" s="161"/>
      <c r="I389" s="212"/>
      <c r="J389" s="617"/>
      <c r="K389" s="212"/>
      <c r="L389" s="225"/>
      <c r="M389" s="212"/>
    </row>
    <row r="390" spans="1:13" ht="30" customHeight="1" x14ac:dyDescent="0.3">
      <c r="C390" s="161">
        <v>187</v>
      </c>
      <c r="D390" s="161" t="s">
        <v>593</v>
      </c>
      <c r="E390" s="969" t="s">
        <v>594</v>
      </c>
      <c r="F390" s="970"/>
      <c r="G390" s="971"/>
      <c r="H390" s="161"/>
      <c r="I390" s="212"/>
      <c r="J390" s="617"/>
      <c r="K390" s="212"/>
      <c r="L390" s="225"/>
      <c r="M390" s="212"/>
    </row>
    <row r="391" spans="1:13" ht="30" customHeight="1" x14ac:dyDescent="0.3">
      <c r="C391" s="161">
        <v>188</v>
      </c>
      <c r="D391" s="161" t="s">
        <v>595</v>
      </c>
      <c r="E391" s="969" t="s">
        <v>596</v>
      </c>
      <c r="F391" s="970"/>
      <c r="G391" s="971"/>
      <c r="H391" s="161"/>
      <c r="I391" s="212"/>
      <c r="J391" s="617"/>
      <c r="K391" s="212"/>
      <c r="L391" s="225"/>
      <c r="M391" s="212"/>
    </row>
    <row r="392" spans="1:13" ht="30" customHeight="1" x14ac:dyDescent="0.3">
      <c r="C392" s="161">
        <v>189</v>
      </c>
      <c r="D392" s="161" t="s">
        <v>597</v>
      </c>
      <c r="E392" s="969" t="s">
        <v>598</v>
      </c>
      <c r="F392" s="970"/>
      <c r="G392" s="971"/>
      <c r="H392" s="161"/>
      <c r="I392" s="212"/>
      <c r="J392" s="617"/>
      <c r="K392" s="212"/>
      <c r="L392" s="225"/>
      <c r="M392" s="212"/>
    </row>
    <row r="393" spans="1:13" ht="30" customHeight="1" x14ac:dyDescent="0.3">
      <c r="C393" s="161">
        <v>190</v>
      </c>
      <c r="D393" s="161" t="s">
        <v>599</v>
      </c>
      <c r="E393" s="969" t="s">
        <v>600</v>
      </c>
      <c r="F393" s="970"/>
      <c r="G393" s="971"/>
      <c r="H393" s="161"/>
      <c r="I393" s="212"/>
      <c r="J393" s="617"/>
      <c r="K393" s="212"/>
      <c r="L393" s="225"/>
      <c r="M393" s="212"/>
    </row>
    <row r="394" spans="1:13" ht="30" customHeight="1" x14ac:dyDescent="0.3">
      <c r="C394" s="161">
        <v>191</v>
      </c>
      <c r="D394" s="161" t="s">
        <v>601</v>
      </c>
      <c r="E394" s="969" t="s">
        <v>602</v>
      </c>
      <c r="F394" s="970"/>
      <c r="G394" s="971"/>
      <c r="H394" s="161"/>
      <c r="I394" s="212"/>
      <c r="J394" s="617"/>
      <c r="K394" s="212"/>
      <c r="L394" s="225"/>
      <c r="M394" s="212"/>
    </row>
    <row r="395" spans="1:13" ht="30" customHeight="1" x14ac:dyDescent="0.3">
      <c r="C395" s="161">
        <v>192</v>
      </c>
      <c r="D395" s="161" t="s">
        <v>603</v>
      </c>
      <c r="E395" s="969" t="s">
        <v>604</v>
      </c>
      <c r="F395" s="970"/>
      <c r="G395" s="971"/>
      <c r="H395" s="161"/>
      <c r="I395" s="212"/>
      <c r="J395" s="617"/>
      <c r="K395" s="212"/>
      <c r="L395" s="225"/>
      <c r="M395" s="212"/>
    </row>
    <row r="396" spans="1:13" ht="30" customHeight="1" x14ac:dyDescent="0.3">
      <c r="C396" s="161">
        <v>193</v>
      </c>
      <c r="D396" s="161" t="s">
        <v>605</v>
      </c>
      <c r="E396" s="969" t="s">
        <v>606</v>
      </c>
      <c r="F396" s="970"/>
      <c r="G396" s="971"/>
      <c r="H396" s="161"/>
      <c r="I396" s="212"/>
      <c r="J396" s="617"/>
      <c r="K396" s="212"/>
      <c r="L396" s="225"/>
      <c r="M396" s="212"/>
    </row>
    <row r="397" spans="1:13" ht="30" customHeight="1" x14ac:dyDescent="0.3">
      <c r="C397" s="161">
        <v>194</v>
      </c>
      <c r="D397" s="161" t="s">
        <v>607</v>
      </c>
      <c r="E397" s="969" t="s">
        <v>608</v>
      </c>
      <c r="F397" s="970"/>
      <c r="G397" s="971"/>
      <c r="H397" s="161"/>
      <c r="I397" s="212"/>
      <c r="J397" s="617"/>
      <c r="K397" s="212"/>
      <c r="L397" s="225"/>
      <c r="M397" s="212"/>
    </row>
    <row r="398" spans="1:13" ht="30" customHeight="1" x14ac:dyDescent="0.3">
      <c r="C398" s="161">
        <v>195</v>
      </c>
      <c r="D398" s="161" t="s">
        <v>609</v>
      </c>
      <c r="E398" s="969" t="s">
        <v>610</v>
      </c>
      <c r="F398" s="970"/>
      <c r="G398" s="971"/>
      <c r="H398" s="161"/>
      <c r="I398" s="212"/>
      <c r="J398" s="617"/>
      <c r="K398" s="212"/>
      <c r="L398" s="225"/>
      <c r="M398" s="212"/>
    </row>
    <row r="399" spans="1:13" ht="30" customHeight="1" x14ac:dyDescent="0.3">
      <c r="C399" s="161">
        <v>196</v>
      </c>
      <c r="D399" s="161" t="s">
        <v>611</v>
      </c>
      <c r="E399" s="969" t="s">
        <v>612</v>
      </c>
      <c r="F399" s="970"/>
      <c r="G399" s="971"/>
      <c r="H399" s="161"/>
      <c r="I399" s="212"/>
      <c r="J399" s="617"/>
      <c r="K399" s="212"/>
      <c r="L399" s="225"/>
      <c r="M399" s="212"/>
    </row>
    <row r="400" spans="1:13" ht="30" customHeight="1" x14ac:dyDescent="0.3">
      <c r="C400" s="161">
        <v>197</v>
      </c>
      <c r="D400" s="161" t="s">
        <v>613</v>
      </c>
      <c r="E400" s="969" t="s">
        <v>614</v>
      </c>
      <c r="F400" s="970"/>
      <c r="G400" s="971"/>
      <c r="H400" s="161"/>
      <c r="I400" s="212"/>
      <c r="J400" s="617"/>
      <c r="K400" s="212"/>
      <c r="L400" s="225"/>
      <c r="M400" s="212"/>
    </row>
    <row r="401" spans="3:13" ht="30" customHeight="1" x14ac:dyDescent="0.3">
      <c r="C401" s="161">
        <v>198</v>
      </c>
      <c r="D401" s="161" t="s">
        <v>615</v>
      </c>
      <c r="E401" s="969" t="s">
        <v>616</v>
      </c>
      <c r="F401" s="970"/>
      <c r="G401" s="971"/>
      <c r="H401" s="161"/>
      <c r="I401" s="212"/>
      <c r="J401" s="617"/>
      <c r="K401" s="212"/>
      <c r="L401" s="225"/>
      <c r="M401" s="212"/>
    </row>
    <row r="402" spans="3:13" ht="30" customHeight="1" x14ac:dyDescent="0.3">
      <c r="C402" s="161">
        <v>199</v>
      </c>
      <c r="D402" s="161" t="s">
        <v>617</v>
      </c>
      <c r="E402" s="969" t="s">
        <v>618</v>
      </c>
      <c r="F402" s="970"/>
      <c r="G402" s="971"/>
      <c r="H402" s="161"/>
      <c r="I402" s="212"/>
      <c r="J402" s="617"/>
      <c r="K402" s="212"/>
      <c r="L402" s="225"/>
      <c r="M402" s="212"/>
    </row>
    <row r="403" spans="3:13" ht="30" customHeight="1" x14ac:dyDescent="0.3">
      <c r="C403" s="161">
        <v>200</v>
      </c>
      <c r="D403" s="161" t="s">
        <v>619</v>
      </c>
      <c r="E403" s="969" t="s">
        <v>620</v>
      </c>
      <c r="F403" s="970"/>
      <c r="G403" s="971"/>
      <c r="H403" s="161"/>
      <c r="I403" s="212"/>
      <c r="J403" s="617"/>
      <c r="K403" s="212"/>
      <c r="L403" s="225"/>
      <c r="M403" s="212"/>
    </row>
    <row r="404" spans="3:13" ht="30" customHeight="1" x14ac:dyDescent="0.3">
      <c r="C404" s="161">
        <v>201</v>
      </c>
      <c r="D404" s="161" t="s">
        <v>621</v>
      </c>
      <c r="E404" s="969" t="s">
        <v>622</v>
      </c>
      <c r="F404" s="970"/>
      <c r="G404" s="971"/>
      <c r="H404" s="161"/>
      <c r="I404" s="212"/>
      <c r="J404" s="617"/>
      <c r="K404" s="212"/>
      <c r="L404" s="225"/>
      <c r="M404" s="212"/>
    </row>
    <row r="405" spans="3:13" ht="30" customHeight="1" x14ac:dyDescent="0.3">
      <c r="C405" s="161">
        <v>202</v>
      </c>
      <c r="D405" s="161" t="s">
        <v>623</v>
      </c>
      <c r="E405" s="969" t="s">
        <v>624</v>
      </c>
      <c r="F405" s="970"/>
      <c r="G405" s="971"/>
      <c r="H405" s="161"/>
      <c r="I405" s="212"/>
      <c r="J405" s="617"/>
      <c r="K405" s="212"/>
      <c r="L405" s="225"/>
      <c r="M405" s="212"/>
    </row>
    <row r="406" spans="3:13" ht="30" customHeight="1" x14ac:dyDescent="0.3">
      <c r="C406" s="161">
        <v>203</v>
      </c>
      <c r="D406" s="161" t="s">
        <v>625</v>
      </c>
      <c r="E406" s="969" t="s">
        <v>626</v>
      </c>
      <c r="F406" s="970"/>
      <c r="G406" s="971"/>
      <c r="H406" s="161"/>
      <c r="I406" s="212"/>
      <c r="J406" s="617"/>
      <c r="K406" s="212"/>
      <c r="L406" s="225"/>
      <c r="M406" s="212"/>
    </row>
    <row r="407" spans="3:13" ht="30" customHeight="1" x14ac:dyDescent="0.3">
      <c r="C407" s="161">
        <v>204</v>
      </c>
      <c r="D407" s="161" t="s">
        <v>627</v>
      </c>
      <c r="E407" s="969" t="s">
        <v>628</v>
      </c>
      <c r="F407" s="970"/>
      <c r="G407" s="971"/>
      <c r="H407" s="161"/>
      <c r="I407" s="212"/>
      <c r="J407" s="617"/>
      <c r="K407" s="212"/>
      <c r="L407" s="225"/>
      <c r="M407" s="212"/>
    </row>
    <row r="408" spans="3:13" ht="30" customHeight="1" x14ac:dyDescent="0.3">
      <c r="C408" s="161">
        <v>205</v>
      </c>
      <c r="D408" s="161" t="s">
        <v>629</v>
      </c>
      <c r="E408" s="969" t="s">
        <v>630</v>
      </c>
      <c r="F408" s="970"/>
      <c r="G408" s="971"/>
      <c r="H408" s="161"/>
      <c r="I408" s="212"/>
      <c r="J408" s="617"/>
      <c r="K408" s="212"/>
      <c r="L408" s="225"/>
      <c r="M408" s="212"/>
    </row>
    <row r="409" spans="3:13" ht="30" customHeight="1" x14ac:dyDescent="0.3">
      <c r="C409" s="161">
        <v>206</v>
      </c>
      <c r="D409" s="161" t="s">
        <v>631</v>
      </c>
      <c r="E409" s="969" t="s">
        <v>632</v>
      </c>
      <c r="F409" s="970"/>
      <c r="G409" s="971"/>
      <c r="H409" s="161"/>
      <c r="I409" s="212"/>
      <c r="J409" s="617"/>
      <c r="K409" s="212"/>
      <c r="L409" s="225"/>
      <c r="M409" s="212"/>
    </row>
    <row r="410" spans="3:13" ht="30" customHeight="1" x14ac:dyDescent="0.3">
      <c r="C410" s="161">
        <v>207</v>
      </c>
      <c r="D410" s="161" t="s">
        <v>633</v>
      </c>
      <c r="E410" s="969" t="s">
        <v>634</v>
      </c>
      <c r="F410" s="970"/>
      <c r="G410" s="971"/>
      <c r="H410" s="161"/>
      <c r="I410" s="212"/>
      <c r="J410" s="617"/>
      <c r="K410" s="212"/>
      <c r="L410" s="225"/>
      <c r="M410" s="212"/>
    </row>
    <row r="411" spans="3:13" ht="30" customHeight="1" x14ac:dyDescent="0.3">
      <c r="C411" s="161">
        <v>208</v>
      </c>
      <c r="D411" s="161" t="s">
        <v>635</v>
      </c>
      <c r="E411" s="969" t="s">
        <v>636</v>
      </c>
      <c r="F411" s="970"/>
      <c r="G411" s="971"/>
      <c r="H411" s="161"/>
      <c r="I411" s="212"/>
      <c r="J411" s="617"/>
      <c r="K411" s="212"/>
      <c r="L411" s="225"/>
      <c r="M411" s="212"/>
    </row>
    <row r="412" spans="3:13" ht="30" customHeight="1" x14ac:dyDescent="0.3">
      <c r="C412" s="160">
        <v>209</v>
      </c>
      <c r="D412" s="160" t="s">
        <v>637</v>
      </c>
      <c r="E412" s="992" t="s">
        <v>638</v>
      </c>
      <c r="F412" s="993"/>
      <c r="G412" s="994"/>
      <c r="H412" s="160"/>
      <c r="I412" s="211"/>
      <c r="J412" s="616"/>
      <c r="K412" s="211"/>
      <c r="L412" s="224"/>
      <c r="M412" s="211"/>
    </row>
    <row r="413" spans="3:13" ht="30" customHeight="1" x14ac:dyDescent="0.3">
      <c r="C413" s="161">
        <v>210</v>
      </c>
      <c r="D413" s="161" t="s">
        <v>639</v>
      </c>
      <c r="E413" s="969" t="s">
        <v>640</v>
      </c>
      <c r="F413" s="970"/>
      <c r="G413" s="971"/>
      <c r="H413" s="161"/>
      <c r="I413" s="212"/>
      <c r="J413" s="617"/>
      <c r="K413" s="212"/>
      <c r="L413" s="225"/>
      <c r="M413" s="212"/>
    </row>
    <row r="414" spans="3:13" ht="30" customHeight="1" x14ac:dyDescent="0.3">
      <c r="C414" s="161">
        <v>211</v>
      </c>
      <c r="D414" s="161" t="s">
        <v>641</v>
      </c>
      <c r="E414" s="969" t="s">
        <v>642</v>
      </c>
      <c r="F414" s="970"/>
      <c r="G414" s="971"/>
      <c r="H414" s="161"/>
      <c r="I414" s="212"/>
      <c r="J414" s="617"/>
      <c r="K414" s="212"/>
      <c r="L414" s="225"/>
      <c r="M414" s="212"/>
    </row>
    <row r="415" spans="3:13" ht="30" customHeight="1" x14ac:dyDescent="0.3">
      <c r="C415" s="161">
        <v>212</v>
      </c>
      <c r="D415" s="161" t="s">
        <v>643</v>
      </c>
      <c r="E415" s="969" t="s">
        <v>644</v>
      </c>
      <c r="F415" s="970"/>
      <c r="G415" s="971"/>
      <c r="H415" s="161"/>
      <c r="I415" s="212"/>
      <c r="J415" s="617"/>
      <c r="K415" s="212"/>
      <c r="L415" s="225"/>
      <c r="M415" s="212"/>
    </row>
    <row r="416" spans="3:13" ht="30" customHeight="1" x14ac:dyDescent="0.3">
      <c r="C416" s="161">
        <v>213</v>
      </c>
      <c r="D416" s="161" t="s">
        <v>645</v>
      </c>
      <c r="E416" s="969" t="s">
        <v>646</v>
      </c>
      <c r="F416" s="970"/>
      <c r="G416" s="971"/>
      <c r="H416" s="161"/>
      <c r="I416" s="212"/>
      <c r="J416" s="617"/>
      <c r="K416" s="212"/>
      <c r="L416" s="225"/>
      <c r="M416" s="212"/>
    </row>
    <row r="417" spans="1:13" ht="30" customHeight="1" x14ac:dyDescent="0.3">
      <c r="C417" s="161">
        <v>214</v>
      </c>
      <c r="D417" s="161" t="s">
        <v>647</v>
      </c>
      <c r="E417" s="969" t="s">
        <v>648</v>
      </c>
      <c r="F417" s="970"/>
      <c r="G417" s="971"/>
      <c r="H417" s="161"/>
      <c r="I417" s="212"/>
      <c r="J417" s="617"/>
      <c r="K417" s="212"/>
      <c r="L417" s="225"/>
      <c r="M417" s="212"/>
    </row>
    <row r="418" spans="1:13" ht="30" customHeight="1" x14ac:dyDescent="0.3">
      <c r="C418" s="161">
        <v>215</v>
      </c>
      <c r="D418" s="161" t="s">
        <v>649</v>
      </c>
      <c r="E418" s="969" t="s">
        <v>650</v>
      </c>
      <c r="F418" s="970"/>
      <c r="G418" s="971"/>
      <c r="H418" s="161"/>
      <c r="I418" s="212"/>
      <c r="J418" s="617"/>
      <c r="K418" s="212"/>
      <c r="L418" s="225"/>
      <c r="M418" s="212"/>
    </row>
    <row r="419" spans="1:13" ht="30" customHeight="1" x14ac:dyDescent="0.3">
      <c r="C419" s="161">
        <v>216</v>
      </c>
      <c r="D419" s="161" t="s">
        <v>651</v>
      </c>
      <c r="E419" s="969" t="s">
        <v>652</v>
      </c>
      <c r="F419" s="970"/>
      <c r="G419" s="971"/>
      <c r="H419" s="161"/>
      <c r="I419" s="212"/>
      <c r="J419" s="617"/>
      <c r="K419" s="212"/>
      <c r="L419" s="225"/>
      <c r="M419" s="212"/>
    </row>
    <row r="420" spans="1:13" ht="30" customHeight="1" x14ac:dyDescent="0.3">
      <c r="C420" s="161">
        <v>217</v>
      </c>
      <c r="D420" s="161" t="s">
        <v>653</v>
      </c>
      <c r="E420" s="969" t="s">
        <v>654</v>
      </c>
      <c r="F420" s="970"/>
      <c r="G420" s="971"/>
      <c r="H420" s="161"/>
      <c r="I420" s="212"/>
      <c r="J420" s="617"/>
      <c r="K420" s="212"/>
      <c r="L420" s="225"/>
      <c r="M420" s="212"/>
    </row>
    <row r="421" spans="1:13" ht="30" customHeight="1" x14ac:dyDescent="0.3">
      <c r="C421" s="1375" t="s">
        <v>33</v>
      </c>
      <c r="D421" s="1375"/>
      <c r="E421" s="1375"/>
      <c r="F421" s="1376" t="s">
        <v>29</v>
      </c>
      <c r="G421" s="1376"/>
      <c r="H421" s="1375"/>
      <c r="I421" s="1375"/>
      <c r="J421" s="1375"/>
      <c r="K421" s="1375"/>
      <c r="L421" s="1375"/>
      <c r="M421" s="1375"/>
    </row>
    <row r="422" spans="1:13" ht="19.95" customHeight="1" x14ac:dyDescent="0.3">
      <c r="C422" s="1024" t="s">
        <v>1214</v>
      </c>
      <c r="D422" s="1024"/>
      <c r="E422" s="1024"/>
      <c r="F422" s="1280" t="s">
        <v>38</v>
      </c>
      <c r="G422" s="1280"/>
      <c r="H422" s="1280"/>
      <c r="I422" s="1280"/>
      <c r="J422" s="1280"/>
      <c r="K422" s="1280"/>
      <c r="L422" s="1280"/>
      <c r="M422" s="1280"/>
    </row>
    <row r="423" spans="1:13" ht="15" customHeight="1" x14ac:dyDescent="0.3">
      <c r="D423" s="28"/>
      <c r="E423" s="666"/>
      <c r="F423" s="666"/>
      <c r="G423" s="666"/>
      <c r="H423" s="1280"/>
      <c r="I423" s="1280"/>
      <c r="J423" s="1280"/>
      <c r="K423" s="1280"/>
      <c r="L423" s="1280"/>
      <c r="M423" s="1280"/>
    </row>
    <row r="424" spans="1:13" ht="15" customHeight="1" x14ac:dyDescent="0.3">
      <c r="D424" s="28"/>
      <c r="E424" s="666"/>
      <c r="F424" s="666"/>
      <c r="G424" s="666"/>
      <c r="H424" s="1280"/>
      <c r="I424" s="1280"/>
      <c r="J424" s="1280"/>
      <c r="K424" s="1280"/>
      <c r="L424" s="1280"/>
      <c r="M424" s="1280"/>
    </row>
    <row r="425" spans="1:13" ht="15" customHeight="1" x14ac:dyDescent="0.3">
      <c r="D425" s="28"/>
      <c r="E425" s="666"/>
      <c r="F425" s="666"/>
      <c r="G425" s="666"/>
      <c r="H425" s="109"/>
      <c r="I425" s="109"/>
      <c r="J425" s="667"/>
      <c r="K425" s="109"/>
      <c r="L425" s="109"/>
      <c r="M425" s="109"/>
    </row>
    <row r="426" spans="1:13" ht="15" customHeight="1" x14ac:dyDescent="0.3">
      <c r="D426" s="28"/>
      <c r="E426" s="666"/>
      <c r="F426" s="1280" t="s">
        <v>1220</v>
      </c>
      <c r="G426" s="1280"/>
      <c r="H426" s="110"/>
      <c r="I426" s="110"/>
      <c r="J426" s="110"/>
      <c r="K426" s="1280" t="s">
        <v>28</v>
      </c>
      <c r="L426" s="1280"/>
      <c r="M426" s="1280"/>
    </row>
    <row r="427" spans="1:13" ht="15" customHeight="1" x14ac:dyDescent="0.3">
      <c r="D427" s="28"/>
      <c r="E427" s="666"/>
      <c r="F427" s="1280"/>
      <c r="G427" s="1280"/>
      <c r="H427" s="110"/>
      <c r="I427" s="110"/>
      <c r="J427" s="110"/>
      <c r="K427" s="1280" t="s">
        <v>1486</v>
      </c>
      <c r="L427" s="1280"/>
      <c r="M427" s="1280"/>
    </row>
    <row r="428" spans="1:13" ht="15" customHeight="1" x14ac:dyDescent="0.3">
      <c r="D428" s="28"/>
      <c r="E428" s="666"/>
      <c r="F428" s="110"/>
      <c r="G428" s="110"/>
      <c r="H428" s="110"/>
      <c r="I428" s="110"/>
      <c r="J428" s="110"/>
      <c r="K428" s="1280"/>
      <c r="L428" s="1280"/>
      <c r="M428" s="1280"/>
    </row>
    <row r="429" spans="1:13" ht="15" customHeight="1" x14ac:dyDescent="0.3">
      <c r="D429" s="28"/>
      <c r="E429" s="666"/>
      <c r="F429" s="666"/>
      <c r="G429" s="666"/>
      <c r="H429" s="28"/>
      <c r="I429" s="214"/>
      <c r="J429" s="618"/>
    </row>
    <row r="430" spans="1:13" ht="15" customHeight="1" x14ac:dyDescent="0.3">
      <c r="D430" s="28"/>
      <c r="E430" s="666"/>
      <c r="F430" s="666"/>
      <c r="G430" s="666"/>
      <c r="H430" s="28"/>
      <c r="I430" s="214"/>
      <c r="J430" s="618"/>
    </row>
    <row r="431" spans="1:13" ht="15" customHeight="1" x14ac:dyDescent="0.3">
      <c r="C431" s="1280" t="s">
        <v>1215</v>
      </c>
      <c r="D431" s="1024"/>
      <c r="E431" s="1024"/>
      <c r="F431" s="1280" t="s">
        <v>1348</v>
      </c>
      <c r="G431" s="1280"/>
      <c r="H431" s="1280"/>
      <c r="I431" s="1024"/>
      <c r="J431" s="1024"/>
      <c r="K431" s="1024"/>
      <c r="L431" s="1024"/>
      <c r="M431" s="1024"/>
    </row>
    <row r="432" spans="1:13" ht="15" customHeight="1" x14ac:dyDescent="0.3">
      <c r="A432" s="262" t="s">
        <v>1290</v>
      </c>
      <c r="C432" s="1024"/>
      <c r="D432" s="1024"/>
      <c r="E432" s="1024"/>
      <c r="F432" s="1280"/>
      <c r="G432" s="1280"/>
      <c r="H432" s="1024"/>
      <c r="I432" s="1024"/>
      <c r="J432" s="1024"/>
      <c r="K432" s="1024"/>
      <c r="L432" s="1024"/>
      <c r="M432" s="1024"/>
    </row>
    <row r="433" spans="3:13" ht="30" customHeight="1" x14ac:dyDescent="0.3">
      <c r="C433" s="256">
        <v>218</v>
      </c>
      <c r="D433" s="256" t="s">
        <v>655</v>
      </c>
      <c r="E433" s="978" t="s">
        <v>656</v>
      </c>
      <c r="F433" s="979"/>
      <c r="G433" s="980"/>
      <c r="H433" s="256"/>
      <c r="I433" s="257"/>
      <c r="J433" s="619"/>
      <c r="K433" s="257"/>
      <c r="L433" s="247"/>
      <c r="M433" s="257"/>
    </row>
    <row r="434" spans="3:13" ht="30" customHeight="1" x14ac:dyDescent="0.3">
      <c r="C434" s="161">
        <v>219</v>
      </c>
      <c r="D434" s="161" t="s">
        <v>657</v>
      </c>
      <c r="E434" s="969" t="s">
        <v>658</v>
      </c>
      <c r="F434" s="970"/>
      <c r="G434" s="971"/>
      <c r="H434" s="161"/>
      <c r="I434" s="212"/>
      <c r="J434" s="617"/>
      <c r="K434" s="212"/>
      <c r="L434" s="225"/>
      <c r="M434" s="212"/>
    </row>
    <row r="435" spans="3:13" ht="30" customHeight="1" x14ac:dyDescent="0.3">
      <c r="C435" s="161">
        <v>220</v>
      </c>
      <c r="D435" s="161" t="s">
        <v>659</v>
      </c>
      <c r="E435" s="969" t="s">
        <v>660</v>
      </c>
      <c r="F435" s="970"/>
      <c r="G435" s="971"/>
      <c r="H435" s="161"/>
      <c r="I435" s="212"/>
      <c r="J435" s="617"/>
      <c r="K435" s="212"/>
      <c r="L435" s="225"/>
      <c r="M435" s="212"/>
    </row>
    <row r="436" spans="3:13" ht="30" customHeight="1" x14ac:dyDescent="0.3">
      <c r="C436" s="161">
        <v>221</v>
      </c>
      <c r="D436" s="161" t="s">
        <v>661</v>
      </c>
      <c r="E436" s="969" t="s">
        <v>662</v>
      </c>
      <c r="F436" s="970"/>
      <c r="G436" s="971"/>
      <c r="H436" s="161"/>
      <c r="I436" s="212"/>
      <c r="J436" s="617"/>
      <c r="K436" s="212"/>
      <c r="L436" s="225"/>
      <c r="M436" s="212"/>
    </row>
    <row r="437" spans="3:13" ht="30" customHeight="1" x14ac:dyDescent="0.3">
      <c r="C437" s="161">
        <v>222</v>
      </c>
      <c r="D437" s="161" t="s">
        <v>663</v>
      </c>
      <c r="E437" s="969" t="s">
        <v>664</v>
      </c>
      <c r="F437" s="970"/>
      <c r="G437" s="971"/>
      <c r="H437" s="161"/>
      <c r="I437" s="212"/>
      <c r="J437" s="617"/>
      <c r="K437" s="212"/>
      <c r="L437" s="225"/>
      <c r="M437" s="212"/>
    </row>
    <row r="438" spans="3:13" ht="30" customHeight="1" x14ac:dyDescent="0.3">
      <c r="C438" s="161">
        <v>223</v>
      </c>
      <c r="D438" s="161" t="s">
        <v>665</v>
      </c>
      <c r="E438" s="969" t="s">
        <v>666</v>
      </c>
      <c r="F438" s="970"/>
      <c r="G438" s="971"/>
      <c r="H438" s="161"/>
      <c r="I438" s="212"/>
      <c r="J438" s="617"/>
      <c r="K438" s="212"/>
      <c r="L438" s="225"/>
      <c r="M438" s="212"/>
    </row>
    <row r="439" spans="3:13" ht="30" customHeight="1" x14ac:dyDescent="0.3">
      <c r="C439" s="161">
        <v>224</v>
      </c>
      <c r="D439" s="161" t="s">
        <v>667</v>
      </c>
      <c r="E439" s="969" t="s">
        <v>668</v>
      </c>
      <c r="F439" s="970"/>
      <c r="G439" s="971"/>
      <c r="H439" s="161"/>
      <c r="I439" s="212"/>
      <c r="J439" s="617"/>
      <c r="K439" s="212"/>
      <c r="L439" s="225"/>
      <c r="M439" s="212"/>
    </row>
    <row r="440" spans="3:13" ht="30" customHeight="1" x14ac:dyDescent="0.3">
      <c r="C440" s="161">
        <v>225</v>
      </c>
      <c r="D440" s="161" t="s">
        <v>669</v>
      </c>
      <c r="E440" s="969" t="s">
        <v>670</v>
      </c>
      <c r="F440" s="970"/>
      <c r="G440" s="971"/>
      <c r="H440" s="161"/>
      <c r="I440" s="212"/>
      <c r="J440" s="617"/>
      <c r="K440" s="212"/>
      <c r="L440" s="225"/>
      <c r="M440" s="212"/>
    </row>
    <row r="441" spans="3:13" ht="30" customHeight="1" x14ac:dyDescent="0.3">
      <c r="C441" s="161">
        <v>226</v>
      </c>
      <c r="D441" s="161" t="s">
        <v>671</v>
      </c>
      <c r="E441" s="969" t="s">
        <v>672</v>
      </c>
      <c r="F441" s="970"/>
      <c r="G441" s="971"/>
      <c r="H441" s="161"/>
      <c r="I441" s="212"/>
      <c r="J441" s="617"/>
      <c r="K441" s="212"/>
      <c r="L441" s="225"/>
      <c r="M441" s="212"/>
    </row>
    <row r="442" spans="3:13" ht="30" customHeight="1" x14ac:dyDescent="0.3">
      <c r="C442" s="161">
        <v>227</v>
      </c>
      <c r="D442" s="161" t="s">
        <v>673</v>
      </c>
      <c r="E442" s="969" t="s">
        <v>674</v>
      </c>
      <c r="F442" s="970"/>
      <c r="G442" s="971"/>
      <c r="H442" s="161"/>
      <c r="I442" s="212"/>
      <c r="J442" s="617"/>
      <c r="K442" s="212"/>
      <c r="L442" s="225"/>
      <c r="M442" s="212"/>
    </row>
    <row r="443" spans="3:13" ht="30" customHeight="1" x14ac:dyDescent="0.3">
      <c r="C443" s="161">
        <v>228</v>
      </c>
      <c r="D443" s="161" t="s">
        <v>675</v>
      </c>
      <c r="E443" s="969" t="s">
        <v>676</v>
      </c>
      <c r="F443" s="970"/>
      <c r="G443" s="971"/>
      <c r="H443" s="161"/>
      <c r="I443" s="212"/>
      <c r="J443" s="617"/>
      <c r="K443" s="212"/>
      <c r="L443" s="225"/>
      <c r="M443" s="212"/>
    </row>
    <row r="444" spans="3:13" ht="30" customHeight="1" x14ac:dyDescent="0.3">
      <c r="C444" s="161">
        <v>229</v>
      </c>
      <c r="D444" s="161" t="s">
        <v>677</v>
      </c>
      <c r="E444" s="969" t="s">
        <v>678</v>
      </c>
      <c r="F444" s="970"/>
      <c r="G444" s="971"/>
      <c r="H444" s="161"/>
      <c r="I444" s="212"/>
      <c r="J444" s="617"/>
      <c r="K444" s="212"/>
      <c r="L444" s="225"/>
      <c r="M444" s="212"/>
    </row>
    <row r="445" spans="3:13" ht="30" customHeight="1" x14ac:dyDescent="0.3">
      <c r="C445" s="161">
        <v>230</v>
      </c>
      <c r="D445" s="161" t="s">
        <v>679</v>
      </c>
      <c r="E445" s="969" t="s">
        <v>680</v>
      </c>
      <c r="F445" s="970"/>
      <c r="G445" s="971"/>
      <c r="H445" s="161"/>
      <c r="I445" s="212"/>
      <c r="J445" s="617"/>
      <c r="K445" s="212"/>
      <c r="L445" s="225"/>
      <c r="M445" s="212"/>
    </row>
    <row r="446" spans="3:13" ht="30" customHeight="1" x14ac:dyDescent="0.3">
      <c r="C446" s="161">
        <v>231</v>
      </c>
      <c r="D446" s="161" t="s">
        <v>681</v>
      </c>
      <c r="E446" s="969" t="s">
        <v>682</v>
      </c>
      <c r="F446" s="970"/>
      <c r="G446" s="971"/>
      <c r="H446" s="161"/>
      <c r="I446" s="212"/>
      <c r="J446" s="617"/>
      <c r="K446" s="212"/>
      <c r="L446" s="225"/>
      <c r="M446" s="212"/>
    </row>
    <row r="447" spans="3:13" ht="30" customHeight="1" x14ac:dyDescent="0.3">
      <c r="C447" s="161">
        <v>232</v>
      </c>
      <c r="D447" s="161" t="s">
        <v>683</v>
      </c>
      <c r="E447" s="969" t="s">
        <v>684</v>
      </c>
      <c r="F447" s="970"/>
      <c r="G447" s="971"/>
      <c r="H447" s="161"/>
      <c r="I447" s="212"/>
      <c r="J447" s="617"/>
      <c r="K447" s="212"/>
      <c r="L447" s="225"/>
      <c r="M447" s="212"/>
    </row>
    <row r="448" spans="3:13" ht="30" customHeight="1" x14ac:dyDescent="0.3">
      <c r="C448" s="160">
        <v>233</v>
      </c>
      <c r="D448" s="160" t="s">
        <v>685</v>
      </c>
      <c r="E448" s="992" t="s">
        <v>686</v>
      </c>
      <c r="F448" s="993"/>
      <c r="G448" s="994"/>
      <c r="H448" s="160"/>
      <c r="I448" s="211"/>
      <c r="J448" s="616"/>
      <c r="K448" s="211"/>
      <c r="L448" s="224"/>
      <c r="M448" s="211"/>
    </row>
    <row r="449" spans="3:13" ht="30" customHeight="1" x14ac:dyDescent="0.3">
      <c r="C449" s="161">
        <v>234</v>
      </c>
      <c r="D449" s="161" t="s">
        <v>687</v>
      </c>
      <c r="E449" s="969" t="s">
        <v>688</v>
      </c>
      <c r="F449" s="970"/>
      <c r="G449" s="971"/>
      <c r="H449" s="161"/>
      <c r="I449" s="212"/>
      <c r="J449" s="617"/>
      <c r="K449" s="212"/>
      <c r="L449" s="225"/>
      <c r="M449" s="212"/>
    </row>
    <row r="450" spans="3:13" ht="30" customHeight="1" x14ac:dyDescent="0.3">
      <c r="C450" s="161">
        <v>235</v>
      </c>
      <c r="D450" s="161" t="s">
        <v>689</v>
      </c>
      <c r="E450" s="969" t="s">
        <v>690</v>
      </c>
      <c r="F450" s="970"/>
      <c r="G450" s="971"/>
      <c r="H450" s="161"/>
      <c r="I450" s="212"/>
      <c r="J450" s="617"/>
      <c r="K450" s="212"/>
      <c r="L450" s="225"/>
      <c r="M450" s="212"/>
    </row>
    <row r="451" spans="3:13" ht="30" customHeight="1" x14ac:dyDescent="0.3">
      <c r="C451" s="161">
        <v>236</v>
      </c>
      <c r="D451" s="161" t="s">
        <v>691</v>
      </c>
      <c r="E451" s="969" t="s">
        <v>692</v>
      </c>
      <c r="F451" s="970"/>
      <c r="G451" s="971"/>
      <c r="H451" s="161"/>
      <c r="I451" s="212"/>
      <c r="J451" s="617"/>
      <c r="K451" s="212"/>
      <c r="L451" s="225"/>
      <c r="M451" s="212"/>
    </row>
    <row r="452" spans="3:13" ht="30" customHeight="1" x14ac:dyDescent="0.3">
      <c r="C452" s="161">
        <v>237</v>
      </c>
      <c r="D452" s="161" t="s">
        <v>693</v>
      </c>
      <c r="E452" s="969" t="s">
        <v>694</v>
      </c>
      <c r="F452" s="970"/>
      <c r="G452" s="971"/>
      <c r="H452" s="161"/>
      <c r="I452" s="212"/>
      <c r="J452" s="617"/>
      <c r="K452" s="212"/>
      <c r="L452" s="225"/>
      <c r="M452" s="212"/>
    </row>
    <row r="453" spans="3:13" ht="30" customHeight="1" x14ac:dyDescent="0.3">
      <c r="C453" s="161">
        <v>238</v>
      </c>
      <c r="D453" s="161" t="s">
        <v>695</v>
      </c>
      <c r="E453" s="969" t="s">
        <v>696</v>
      </c>
      <c r="F453" s="970"/>
      <c r="G453" s="971"/>
      <c r="H453" s="161"/>
      <c r="I453" s="212"/>
      <c r="J453" s="617"/>
      <c r="K453" s="212"/>
      <c r="L453" s="225"/>
      <c r="M453" s="212"/>
    </row>
    <row r="454" spans="3:13" ht="30" customHeight="1" x14ac:dyDescent="0.3">
      <c r="C454" s="161">
        <v>239</v>
      </c>
      <c r="D454" s="161" t="s">
        <v>697</v>
      </c>
      <c r="E454" s="969" t="s">
        <v>698</v>
      </c>
      <c r="F454" s="970"/>
      <c r="G454" s="971"/>
      <c r="H454" s="161"/>
      <c r="I454" s="212"/>
      <c r="J454" s="617"/>
      <c r="K454" s="212"/>
      <c r="L454" s="225"/>
      <c r="M454" s="212"/>
    </row>
    <row r="455" spans="3:13" ht="30" customHeight="1" x14ac:dyDescent="0.3">
      <c r="C455" s="161">
        <v>240</v>
      </c>
      <c r="D455" s="161" t="s">
        <v>699</v>
      </c>
      <c r="E455" s="969" t="s">
        <v>700</v>
      </c>
      <c r="F455" s="970"/>
      <c r="G455" s="971"/>
      <c r="H455" s="161"/>
      <c r="I455" s="212"/>
      <c r="J455" s="617"/>
      <c r="K455" s="212"/>
      <c r="L455" s="225"/>
      <c r="M455" s="212"/>
    </row>
    <row r="456" spans="3:13" ht="30" customHeight="1" x14ac:dyDescent="0.3">
      <c r="C456" s="161">
        <v>241</v>
      </c>
      <c r="D456" s="161" t="s">
        <v>701</v>
      </c>
      <c r="E456" s="969" t="s">
        <v>702</v>
      </c>
      <c r="F456" s="970"/>
      <c r="G456" s="971"/>
      <c r="H456" s="161"/>
      <c r="I456" s="212"/>
      <c r="J456" s="617"/>
      <c r="K456" s="212"/>
      <c r="L456" s="225"/>
      <c r="M456" s="212"/>
    </row>
    <row r="457" spans="3:13" ht="30" customHeight="1" x14ac:dyDescent="0.3">
      <c r="C457" s="161">
        <v>242</v>
      </c>
      <c r="D457" s="161" t="s">
        <v>703</v>
      </c>
      <c r="E457" s="969" t="s">
        <v>704</v>
      </c>
      <c r="F457" s="970"/>
      <c r="G457" s="971"/>
      <c r="H457" s="161"/>
      <c r="I457" s="212"/>
      <c r="J457" s="617"/>
      <c r="K457" s="212"/>
      <c r="L457" s="225"/>
      <c r="M457" s="212"/>
    </row>
    <row r="458" spans="3:13" ht="30" customHeight="1" x14ac:dyDescent="0.3">
      <c r="C458" s="161">
        <v>243</v>
      </c>
      <c r="D458" s="161" t="s">
        <v>705</v>
      </c>
      <c r="E458" s="969" t="s">
        <v>706</v>
      </c>
      <c r="F458" s="970"/>
      <c r="G458" s="971"/>
      <c r="H458" s="161"/>
      <c r="I458" s="212"/>
      <c r="J458" s="617"/>
      <c r="K458" s="212"/>
      <c r="L458" s="225"/>
      <c r="M458" s="212"/>
    </row>
    <row r="459" spans="3:13" ht="30" customHeight="1" x14ac:dyDescent="0.3">
      <c r="C459" s="161">
        <v>244</v>
      </c>
      <c r="D459" s="161" t="s">
        <v>707</v>
      </c>
      <c r="E459" s="969" t="s">
        <v>708</v>
      </c>
      <c r="F459" s="970"/>
      <c r="G459" s="971"/>
      <c r="H459" s="161"/>
      <c r="I459" s="212"/>
      <c r="J459" s="617"/>
      <c r="K459" s="212"/>
      <c r="L459" s="225"/>
      <c r="M459" s="212"/>
    </row>
    <row r="460" spans="3:13" ht="30" customHeight="1" x14ac:dyDescent="0.3">
      <c r="C460" s="161">
        <v>245</v>
      </c>
      <c r="D460" s="161" t="s">
        <v>709</v>
      </c>
      <c r="E460" s="969" t="s">
        <v>710</v>
      </c>
      <c r="F460" s="970"/>
      <c r="G460" s="971"/>
      <c r="H460" s="161"/>
      <c r="I460" s="212"/>
      <c r="J460" s="617"/>
      <c r="K460" s="212"/>
      <c r="L460" s="225"/>
      <c r="M460" s="212"/>
    </row>
    <row r="461" spans="3:13" ht="30" customHeight="1" x14ac:dyDescent="0.3">
      <c r="C461" s="161">
        <v>246</v>
      </c>
      <c r="D461" s="161" t="s">
        <v>711</v>
      </c>
      <c r="E461" s="969" t="s">
        <v>712</v>
      </c>
      <c r="F461" s="970"/>
      <c r="G461" s="971"/>
      <c r="H461" s="161"/>
      <c r="I461" s="212"/>
      <c r="J461" s="617"/>
      <c r="K461" s="212"/>
      <c r="L461" s="225"/>
      <c r="M461" s="212"/>
    </row>
    <row r="462" spans="3:13" ht="30" customHeight="1" x14ac:dyDescent="0.3">
      <c r="C462" s="161">
        <v>247</v>
      </c>
      <c r="D462" s="161" t="s">
        <v>713</v>
      </c>
      <c r="E462" s="969" t="s">
        <v>714</v>
      </c>
      <c r="F462" s="970"/>
      <c r="G462" s="971"/>
      <c r="H462" s="161"/>
      <c r="I462" s="212"/>
      <c r="J462" s="617"/>
      <c r="K462" s="212"/>
      <c r="L462" s="225"/>
      <c r="M462" s="212"/>
    </row>
    <row r="463" spans="3:13" ht="30" customHeight="1" x14ac:dyDescent="0.3">
      <c r="C463" s="161">
        <v>248</v>
      </c>
      <c r="D463" s="161" t="s">
        <v>715</v>
      </c>
      <c r="E463" s="969" t="s">
        <v>716</v>
      </c>
      <c r="F463" s="970"/>
      <c r="G463" s="971"/>
      <c r="H463" s="161"/>
      <c r="I463" s="212"/>
      <c r="J463" s="617"/>
      <c r="K463" s="212"/>
      <c r="L463" s="225"/>
      <c r="M463" s="212"/>
    </row>
    <row r="464" spans="3:13" ht="30" customHeight="1" x14ac:dyDescent="0.3">
      <c r="C464" s="161">
        <v>249</v>
      </c>
      <c r="D464" s="161" t="s">
        <v>717</v>
      </c>
      <c r="E464" s="969" t="s">
        <v>718</v>
      </c>
      <c r="F464" s="970"/>
      <c r="G464" s="971"/>
      <c r="H464" s="161"/>
      <c r="I464" s="212"/>
      <c r="J464" s="617"/>
      <c r="K464" s="212"/>
      <c r="L464" s="225"/>
      <c r="M464" s="212"/>
    </row>
    <row r="465" spans="1:13" ht="30" customHeight="1" x14ac:dyDescent="0.3">
      <c r="C465" s="161">
        <v>250</v>
      </c>
      <c r="D465" s="161" t="s">
        <v>719</v>
      </c>
      <c r="E465" s="969" t="s">
        <v>720</v>
      </c>
      <c r="F465" s="970"/>
      <c r="G465" s="971"/>
      <c r="H465" s="161"/>
      <c r="I465" s="212"/>
      <c r="J465" s="617"/>
      <c r="K465" s="212"/>
      <c r="L465" s="225"/>
      <c r="M465" s="212"/>
    </row>
    <row r="466" spans="1:13" ht="30" customHeight="1" x14ac:dyDescent="0.3">
      <c r="C466" s="161">
        <v>251</v>
      </c>
      <c r="D466" s="161" t="s">
        <v>721</v>
      </c>
      <c r="E466" s="969" t="s">
        <v>722</v>
      </c>
      <c r="F466" s="970"/>
      <c r="G466" s="971"/>
      <c r="H466" s="161"/>
      <c r="I466" s="212"/>
      <c r="J466" s="617"/>
      <c r="K466" s="212"/>
      <c r="L466" s="225"/>
      <c r="M466" s="212"/>
    </row>
    <row r="467" spans="1:13" ht="30" customHeight="1" x14ac:dyDescent="0.3">
      <c r="C467" s="1375" t="s">
        <v>33</v>
      </c>
      <c r="D467" s="1375"/>
      <c r="E467" s="1375"/>
      <c r="F467" s="1376" t="s">
        <v>29</v>
      </c>
      <c r="G467" s="1376"/>
      <c r="H467" s="1375"/>
      <c r="I467" s="1375"/>
      <c r="J467" s="1375"/>
      <c r="K467" s="1375"/>
      <c r="L467" s="1375"/>
      <c r="M467" s="1375"/>
    </row>
    <row r="468" spans="1:13" ht="19.95" customHeight="1" x14ac:dyDescent="0.3">
      <c r="C468" s="1024" t="s">
        <v>1214</v>
      </c>
      <c r="D468" s="1024"/>
      <c r="E468" s="1024"/>
      <c r="F468" s="1280" t="s">
        <v>38</v>
      </c>
      <c r="G468" s="1280"/>
      <c r="H468" s="1280"/>
      <c r="I468" s="1280"/>
      <c r="J468" s="1280"/>
      <c r="K468" s="1280"/>
      <c r="L468" s="1280"/>
      <c r="M468" s="1280"/>
    </row>
    <row r="469" spans="1:13" ht="15" customHeight="1" x14ac:dyDescent="0.3">
      <c r="D469" s="28"/>
      <c r="E469" s="666"/>
      <c r="F469" s="666"/>
      <c r="G469" s="666"/>
      <c r="H469" s="1280"/>
      <c r="I469" s="1280"/>
      <c r="J469" s="1280"/>
      <c r="K469" s="1280"/>
      <c r="L469" s="1280"/>
      <c r="M469" s="1280"/>
    </row>
    <row r="470" spans="1:13" ht="15" customHeight="1" x14ac:dyDescent="0.3">
      <c r="D470" s="28"/>
      <c r="E470" s="666"/>
      <c r="F470" s="666"/>
      <c r="G470" s="666"/>
      <c r="H470" s="1280"/>
      <c r="I470" s="1280"/>
      <c r="J470" s="1280"/>
      <c r="K470" s="1280"/>
      <c r="L470" s="1280"/>
      <c r="M470" s="1280"/>
    </row>
    <row r="471" spans="1:13" ht="15" customHeight="1" x14ac:dyDescent="0.3">
      <c r="D471" s="28"/>
      <c r="E471" s="666"/>
      <c r="F471" s="666"/>
      <c r="G471" s="666"/>
      <c r="H471" s="109"/>
      <c r="I471" s="109"/>
      <c r="J471" s="667"/>
      <c r="K471" s="109"/>
      <c r="L471" s="109"/>
      <c r="M471" s="109"/>
    </row>
    <row r="472" spans="1:13" ht="15" customHeight="1" x14ac:dyDescent="0.3">
      <c r="D472" s="28"/>
      <c r="E472" s="666"/>
      <c r="F472" s="1280" t="s">
        <v>1220</v>
      </c>
      <c r="G472" s="1280"/>
      <c r="H472" s="110"/>
      <c r="I472" s="110"/>
      <c r="J472" s="110"/>
      <c r="K472" s="1280" t="s">
        <v>28</v>
      </c>
      <c r="L472" s="1280"/>
      <c r="M472" s="1280"/>
    </row>
    <row r="473" spans="1:13" ht="15" customHeight="1" x14ac:dyDescent="0.3">
      <c r="D473" s="28"/>
      <c r="E473" s="666"/>
      <c r="F473" s="1280"/>
      <c r="G473" s="1280"/>
      <c r="H473" s="110"/>
      <c r="I473" s="110"/>
      <c r="J473" s="110"/>
      <c r="K473" s="1280" t="s">
        <v>1486</v>
      </c>
      <c r="L473" s="1280"/>
      <c r="M473" s="1280"/>
    </row>
    <row r="474" spans="1:13" ht="15" customHeight="1" x14ac:dyDescent="0.3">
      <c r="D474" s="28"/>
      <c r="E474" s="666"/>
      <c r="F474" s="110"/>
      <c r="G474" s="110"/>
      <c r="H474" s="110"/>
      <c r="I474" s="110"/>
      <c r="J474" s="110"/>
      <c r="K474" s="1280"/>
      <c r="L474" s="1280"/>
      <c r="M474" s="110"/>
    </row>
    <row r="475" spans="1:13" ht="15" customHeight="1" x14ac:dyDescent="0.3">
      <c r="D475" s="28"/>
      <c r="E475" s="666"/>
      <c r="F475" s="666"/>
      <c r="G475" s="666"/>
      <c r="H475" s="28"/>
      <c r="I475" s="214"/>
      <c r="J475" s="618"/>
    </row>
    <row r="476" spans="1:13" ht="15" customHeight="1" x14ac:dyDescent="0.3">
      <c r="D476" s="28"/>
      <c r="E476" s="666"/>
      <c r="F476" s="666"/>
      <c r="G476" s="666"/>
      <c r="H476" s="28"/>
      <c r="I476" s="214"/>
      <c r="J476" s="618"/>
    </row>
    <row r="477" spans="1:13" ht="15" customHeight="1" x14ac:dyDescent="0.3">
      <c r="C477" s="1280" t="s">
        <v>1215</v>
      </c>
      <c r="D477" s="1024"/>
      <c r="E477" s="1024"/>
      <c r="F477" s="1280" t="s">
        <v>1348</v>
      </c>
      <c r="G477" s="1280"/>
      <c r="H477" s="1280"/>
      <c r="I477" s="1024"/>
      <c r="J477" s="1024"/>
      <c r="K477" s="1024"/>
      <c r="L477" s="1024"/>
      <c r="M477" s="1024"/>
    </row>
    <row r="478" spans="1:13" ht="15" customHeight="1" x14ac:dyDescent="0.3">
      <c r="A478" s="262" t="s">
        <v>1290</v>
      </c>
      <c r="C478" s="1024"/>
      <c r="D478" s="1024"/>
      <c r="E478" s="1024"/>
      <c r="F478" s="1280"/>
      <c r="G478" s="1280"/>
      <c r="H478" s="1024"/>
      <c r="I478" s="1024"/>
      <c r="J478" s="1024"/>
      <c r="K478" s="1024"/>
      <c r="L478" s="1024"/>
      <c r="M478" s="1024"/>
    </row>
    <row r="479" spans="1:13" ht="30" customHeight="1" x14ac:dyDescent="0.3">
      <c r="C479" s="256"/>
      <c r="D479" s="256"/>
      <c r="E479" s="978"/>
      <c r="F479" s="979"/>
      <c r="G479" s="980"/>
      <c r="H479" s="256"/>
      <c r="I479" s="257"/>
      <c r="J479" s="619"/>
      <c r="K479" s="257"/>
      <c r="L479" s="247"/>
      <c r="M479" s="257"/>
    </row>
    <row r="480" spans="1:13" ht="30" customHeight="1" x14ac:dyDescent="0.3">
      <c r="C480" s="161"/>
      <c r="D480" s="161"/>
      <c r="E480" s="969"/>
      <c r="F480" s="970"/>
      <c r="G480" s="971"/>
      <c r="H480" s="161"/>
      <c r="I480" s="212"/>
      <c r="J480" s="617"/>
      <c r="K480" s="212"/>
      <c r="L480" s="225"/>
      <c r="M480" s="212"/>
    </row>
    <row r="481" spans="3:13" ht="30" customHeight="1" x14ac:dyDescent="0.3">
      <c r="C481" s="161"/>
      <c r="D481" s="161"/>
      <c r="E481" s="969"/>
      <c r="F481" s="970"/>
      <c r="G481" s="971"/>
      <c r="H481" s="161"/>
      <c r="I481" s="212"/>
      <c r="J481" s="617"/>
      <c r="K481" s="212"/>
      <c r="L481" s="225"/>
      <c r="M481" s="212"/>
    </row>
    <row r="482" spans="3:13" ht="30" customHeight="1" x14ac:dyDescent="0.3">
      <c r="C482" s="161"/>
      <c r="D482" s="161"/>
      <c r="E482" s="969"/>
      <c r="F482" s="970"/>
      <c r="G482" s="971"/>
      <c r="H482" s="161"/>
      <c r="I482" s="212"/>
      <c r="J482" s="617"/>
      <c r="K482" s="212"/>
      <c r="L482" s="225"/>
      <c r="M482" s="212"/>
    </row>
    <row r="483" spans="3:13" ht="30" customHeight="1" x14ac:dyDescent="0.3">
      <c r="C483" s="161"/>
      <c r="D483" s="161"/>
      <c r="E483" s="969"/>
      <c r="F483" s="970"/>
      <c r="G483" s="971"/>
      <c r="H483" s="161"/>
      <c r="I483" s="212"/>
      <c r="J483" s="617"/>
      <c r="K483" s="212"/>
      <c r="L483" s="225"/>
      <c r="M483" s="212"/>
    </row>
    <row r="484" spans="3:13" ht="30" customHeight="1" x14ac:dyDescent="0.3">
      <c r="C484" s="160"/>
      <c r="D484" s="160"/>
      <c r="E484" s="992"/>
      <c r="F484" s="993"/>
      <c r="G484" s="994"/>
      <c r="H484" s="160"/>
      <c r="I484" s="211"/>
      <c r="J484" s="616"/>
      <c r="K484" s="211"/>
      <c r="L484" s="224"/>
      <c r="M484" s="211"/>
    </row>
    <row r="485" spans="3:13" ht="30" customHeight="1" x14ac:dyDescent="0.3">
      <c r="C485" s="161"/>
      <c r="D485" s="161"/>
      <c r="E485" s="969"/>
      <c r="F485" s="970"/>
      <c r="G485" s="971"/>
      <c r="H485" s="161"/>
      <c r="I485" s="212"/>
      <c r="J485" s="617"/>
      <c r="K485" s="212"/>
      <c r="L485" s="225"/>
      <c r="M485" s="212"/>
    </row>
    <row r="486" spans="3:13" ht="30" customHeight="1" x14ac:dyDescent="0.3">
      <c r="C486" s="161"/>
      <c r="D486" s="161"/>
      <c r="E486" s="969"/>
      <c r="F486" s="970"/>
      <c r="G486" s="971"/>
      <c r="H486" s="161"/>
      <c r="I486" s="212"/>
      <c r="J486" s="617"/>
      <c r="K486" s="212"/>
      <c r="L486" s="225"/>
      <c r="M486" s="212"/>
    </row>
    <row r="487" spans="3:13" ht="30" customHeight="1" x14ac:dyDescent="0.3">
      <c r="C487" s="161"/>
      <c r="D487" s="161"/>
      <c r="E487" s="969"/>
      <c r="F487" s="970"/>
      <c r="G487" s="971"/>
      <c r="H487" s="161"/>
      <c r="I487" s="212"/>
      <c r="J487" s="617"/>
      <c r="K487" s="212"/>
      <c r="L487" s="225"/>
      <c r="M487" s="212"/>
    </row>
    <row r="488" spans="3:13" ht="30" customHeight="1" x14ac:dyDescent="0.3">
      <c r="C488" s="277"/>
      <c r="D488" s="664"/>
      <c r="E488" s="660"/>
      <c r="F488" s="661"/>
      <c r="G488" s="662"/>
      <c r="H488" s="277"/>
      <c r="I488" s="653"/>
      <c r="J488" s="663"/>
      <c r="K488" s="653"/>
      <c r="L488" s="653"/>
      <c r="M488" s="653"/>
    </row>
    <row r="489" spans="3:13" ht="30" customHeight="1" x14ac:dyDescent="0.3">
      <c r="C489" s="160"/>
      <c r="D489" s="210"/>
      <c r="E489" s="992"/>
      <c r="F489" s="993"/>
      <c r="G489" s="994"/>
      <c r="H489" s="160"/>
      <c r="I489" s="211"/>
      <c r="J489" s="616"/>
      <c r="K489" s="211"/>
      <c r="L489" s="224"/>
      <c r="M489" s="211"/>
    </row>
    <row r="490" spans="3:13" ht="30" customHeight="1" x14ac:dyDescent="0.3">
      <c r="C490" s="161"/>
      <c r="D490" s="213"/>
      <c r="E490" s="969"/>
      <c r="F490" s="970"/>
      <c r="G490" s="971"/>
      <c r="H490" s="161"/>
      <c r="I490" s="212"/>
      <c r="J490" s="617"/>
      <c r="K490" s="212"/>
      <c r="L490" s="225"/>
      <c r="M490" s="212"/>
    </row>
    <row r="491" spans="3:13" ht="30" customHeight="1" x14ac:dyDescent="0.3">
      <c r="C491" s="161"/>
      <c r="D491" s="213"/>
      <c r="E491" s="969"/>
      <c r="F491" s="970"/>
      <c r="G491" s="971"/>
      <c r="H491" s="161"/>
      <c r="I491" s="212"/>
      <c r="J491" s="617"/>
      <c r="K491" s="212"/>
      <c r="L491" s="225"/>
      <c r="M491" s="212"/>
    </row>
    <row r="492" spans="3:13" ht="30" customHeight="1" x14ac:dyDescent="0.3">
      <c r="C492" s="161"/>
      <c r="D492" s="161"/>
      <c r="E492" s="969"/>
      <c r="F492" s="970"/>
      <c r="G492" s="971"/>
      <c r="H492" s="161"/>
      <c r="I492" s="212"/>
      <c r="J492" s="617"/>
      <c r="K492" s="212"/>
      <c r="L492" s="225"/>
      <c r="M492" s="212"/>
    </row>
    <row r="493" spans="3:13" ht="30" customHeight="1" x14ac:dyDescent="0.3">
      <c r="C493" s="161"/>
      <c r="D493" s="161"/>
      <c r="E493" s="969"/>
      <c r="F493" s="970"/>
      <c r="G493" s="971"/>
      <c r="H493" s="161"/>
      <c r="I493" s="212"/>
      <c r="J493" s="617"/>
      <c r="K493" s="212"/>
      <c r="L493" s="225"/>
      <c r="M493" s="212"/>
    </row>
    <row r="494" spans="3:13" ht="30" customHeight="1" x14ac:dyDescent="0.3">
      <c r="C494" s="161"/>
      <c r="D494" s="161"/>
      <c r="E494" s="969"/>
      <c r="F494" s="970"/>
      <c r="G494" s="971"/>
      <c r="H494" s="161"/>
      <c r="I494" s="212"/>
      <c r="J494" s="617"/>
      <c r="K494" s="212"/>
      <c r="L494" s="225"/>
      <c r="M494" s="212"/>
    </row>
    <row r="495" spans="3:13" ht="30" customHeight="1" x14ac:dyDescent="0.3">
      <c r="C495" s="161"/>
      <c r="D495" s="161"/>
      <c r="E495" s="969"/>
      <c r="F495" s="970"/>
      <c r="G495" s="971"/>
      <c r="H495" s="161"/>
      <c r="I495" s="212"/>
      <c r="J495" s="617"/>
      <c r="K495" s="212"/>
      <c r="L495" s="225"/>
      <c r="M495" s="212"/>
    </row>
    <row r="496" spans="3:13" ht="30" customHeight="1" x14ac:dyDescent="0.3">
      <c r="C496" s="161"/>
      <c r="D496" s="161"/>
      <c r="E496" s="969"/>
      <c r="F496" s="970"/>
      <c r="G496" s="971"/>
      <c r="H496" s="161"/>
      <c r="I496" s="212"/>
      <c r="J496" s="617"/>
      <c r="K496" s="212"/>
      <c r="L496" s="225"/>
      <c r="M496" s="212"/>
    </row>
    <row r="497" spans="3:13" ht="30" customHeight="1" x14ac:dyDescent="0.3">
      <c r="C497" s="161"/>
      <c r="D497" s="213"/>
      <c r="E497" s="969"/>
      <c r="F497" s="970"/>
      <c r="G497" s="971"/>
      <c r="H497" s="161"/>
      <c r="I497" s="212"/>
      <c r="J497" s="617"/>
      <c r="K497" s="212"/>
      <c r="L497" s="225"/>
      <c r="M497" s="212"/>
    </row>
    <row r="498" spans="3:13" ht="30" customHeight="1" x14ac:dyDescent="0.3">
      <c r="C498" s="161"/>
      <c r="D498" s="213"/>
      <c r="E498" s="969"/>
      <c r="F498" s="970"/>
      <c r="G498" s="971"/>
      <c r="H498" s="161"/>
      <c r="I498" s="212"/>
      <c r="J498" s="617"/>
      <c r="K498" s="212"/>
      <c r="L498" s="225"/>
      <c r="M498" s="212"/>
    </row>
    <row r="499" spans="3:13" ht="30" customHeight="1" x14ac:dyDescent="0.3">
      <c r="C499" s="161"/>
      <c r="D499" s="213"/>
      <c r="E499" s="969"/>
      <c r="F499" s="970"/>
      <c r="G499" s="971"/>
      <c r="H499" s="161"/>
      <c r="I499" s="212"/>
      <c r="J499" s="617"/>
      <c r="K499" s="212"/>
      <c r="L499" s="225"/>
      <c r="M499" s="212"/>
    </row>
    <row r="500" spans="3:13" ht="30" customHeight="1" x14ac:dyDescent="0.3">
      <c r="C500" s="161"/>
      <c r="D500" s="213"/>
      <c r="E500" s="969"/>
      <c r="F500" s="970"/>
      <c r="G500" s="971"/>
      <c r="H500" s="161"/>
      <c r="I500" s="212"/>
      <c r="J500" s="617"/>
      <c r="K500" s="212"/>
      <c r="L500" s="225"/>
      <c r="M500" s="212"/>
    </row>
    <row r="501" spans="3:13" ht="30" customHeight="1" x14ac:dyDescent="0.3">
      <c r="C501" s="161"/>
      <c r="D501" s="161"/>
      <c r="E501" s="969"/>
      <c r="F501" s="970"/>
      <c r="G501" s="971"/>
      <c r="H501" s="161"/>
      <c r="I501" s="212"/>
      <c r="J501" s="617"/>
      <c r="K501" s="212"/>
      <c r="L501" s="225"/>
      <c r="M501" s="212"/>
    </row>
    <row r="502" spans="3:13" ht="30" customHeight="1" x14ac:dyDescent="0.3">
      <c r="C502" s="161"/>
      <c r="D502" s="161"/>
      <c r="E502" s="564"/>
      <c r="F502" s="565"/>
      <c r="G502" s="566"/>
      <c r="H502" s="161"/>
      <c r="I502" s="212"/>
      <c r="J502" s="617"/>
      <c r="K502" s="212"/>
      <c r="L502" s="225"/>
      <c r="M502" s="212"/>
    </row>
    <row r="503" spans="3:13" ht="30" customHeight="1" x14ac:dyDescent="0.3">
      <c r="C503" s="161"/>
      <c r="D503" s="161"/>
      <c r="E503" s="564"/>
      <c r="F503" s="565"/>
      <c r="G503" s="566"/>
      <c r="H503" s="161"/>
      <c r="I503" s="212"/>
      <c r="J503" s="617"/>
      <c r="K503" s="212"/>
      <c r="L503" s="225"/>
      <c r="M503" s="212"/>
    </row>
    <row r="504" spans="3:13" ht="30" customHeight="1" x14ac:dyDescent="0.3">
      <c r="C504" s="161"/>
      <c r="D504" s="161"/>
      <c r="E504" s="564"/>
      <c r="F504" s="565"/>
      <c r="G504" s="566"/>
      <c r="H504" s="161"/>
      <c r="I504" s="212"/>
      <c r="J504" s="617"/>
      <c r="K504" s="212"/>
      <c r="L504" s="225"/>
      <c r="M504" s="212"/>
    </row>
    <row r="505" spans="3:13" ht="30" customHeight="1" x14ac:dyDescent="0.3">
      <c r="C505" s="161"/>
      <c r="D505" s="161"/>
      <c r="E505" s="564"/>
      <c r="F505" s="565"/>
      <c r="G505" s="566"/>
      <c r="H505" s="161"/>
      <c r="I505" s="212"/>
      <c r="J505" s="617"/>
      <c r="K505" s="212"/>
      <c r="L505" s="225"/>
      <c r="M505" s="212"/>
    </row>
    <row r="506" spans="3:13" ht="30" customHeight="1" x14ac:dyDescent="0.3">
      <c r="C506" s="161"/>
      <c r="D506" s="161"/>
      <c r="E506" s="564"/>
      <c r="F506" s="565"/>
      <c r="G506" s="566"/>
      <c r="H506" s="161"/>
      <c r="I506" s="212"/>
      <c r="J506" s="617"/>
      <c r="K506" s="212"/>
      <c r="L506" s="225"/>
      <c r="M506" s="212"/>
    </row>
    <row r="507" spans="3:13" ht="30" customHeight="1" x14ac:dyDescent="0.3">
      <c r="C507" s="161"/>
      <c r="D507" s="161"/>
      <c r="E507" s="564"/>
      <c r="F507" s="565"/>
      <c r="G507" s="566"/>
      <c r="H507" s="161"/>
      <c r="I507" s="212"/>
      <c r="J507" s="617"/>
      <c r="K507" s="212"/>
      <c r="L507" s="225"/>
      <c r="M507" s="212"/>
    </row>
    <row r="508" spans="3:13" ht="30" customHeight="1" x14ac:dyDescent="0.3">
      <c r="C508" s="161"/>
      <c r="D508" s="161"/>
      <c r="E508" s="564"/>
      <c r="F508" s="565"/>
      <c r="G508" s="566"/>
      <c r="H508" s="161"/>
      <c r="I508" s="212"/>
      <c r="J508" s="617"/>
      <c r="K508" s="212"/>
      <c r="L508" s="225"/>
      <c r="M508" s="212"/>
    </row>
    <row r="509" spans="3:13" ht="30" customHeight="1" x14ac:dyDescent="0.3">
      <c r="C509" s="161"/>
      <c r="D509" s="161"/>
      <c r="E509" s="969"/>
      <c r="F509" s="970"/>
      <c r="G509" s="971"/>
      <c r="H509" s="161"/>
      <c r="I509" s="212"/>
      <c r="J509" s="617"/>
      <c r="K509" s="212"/>
      <c r="L509" s="225"/>
      <c r="M509" s="212"/>
    </row>
    <row r="510" spans="3:13" ht="30" customHeight="1" x14ac:dyDescent="0.3">
      <c r="C510" s="161"/>
      <c r="D510" s="161"/>
      <c r="E510" s="969"/>
      <c r="F510" s="970"/>
      <c r="G510" s="971"/>
      <c r="H510" s="161"/>
      <c r="I510" s="212"/>
      <c r="J510" s="617"/>
      <c r="K510" s="212"/>
      <c r="L510" s="225"/>
      <c r="M510" s="212"/>
    </row>
    <row r="511" spans="3:13" ht="30" customHeight="1" x14ac:dyDescent="0.3">
      <c r="C511" s="161"/>
      <c r="D511" s="161"/>
      <c r="E511" s="969"/>
      <c r="F511" s="970"/>
      <c r="G511" s="971"/>
      <c r="H511" s="161"/>
      <c r="I511" s="212"/>
      <c r="J511" s="617"/>
      <c r="K511" s="212"/>
      <c r="L511" s="225"/>
      <c r="M511" s="212"/>
    </row>
    <row r="512" spans="3:13" ht="30" customHeight="1" x14ac:dyDescent="0.3">
      <c r="C512" s="161"/>
      <c r="D512" s="161"/>
      <c r="E512" s="969"/>
      <c r="F512" s="970"/>
      <c r="G512" s="971"/>
      <c r="H512" s="161"/>
      <c r="I512" s="212"/>
      <c r="J512" s="617"/>
      <c r="K512" s="212"/>
      <c r="L512" s="225"/>
      <c r="M512" s="212"/>
    </row>
    <row r="513" spans="1:13" ht="30" customHeight="1" x14ac:dyDescent="0.3">
      <c r="C513" s="1375"/>
      <c r="D513" s="1375"/>
      <c r="E513" s="1375"/>
      <c r="F513" s="1376"/>
      <c r="G513" s="1376"/>
      <c r="H513" s="1375"/>
      <c r="I513" s="1375"/>
      <c r="J513" s="1375"/>
      <c r="K513" s="1375"/>
      <c r="L513" s="1375"/>
      <c r="M513" s="1375"/>
    </row>
    <row r="514" spans="1:13" ht="19.95" customHeight="1" x14ac:dyDescent="0.3">
      <c r="C514" s="1024"/>
      <c r="D514" s="1024"/>
      <c r="E514" s="1024"/>
      <c r="F514" s="1280"/>
      <c r="G514" s="1280"/>
      <c r="H514" s="1280"/>
      <c r="I514" s="1280"/>
      <c r="J514" s="1280"/>
      <c r="K514" s="1280"/>
      <c r="L514" s="1280"/>
      <c r="M514" s="1280"/>
    </row>
    <row r="515" spans="1:13" ht="15" customHeight="1" x14ac:dyDescent="0.3">
      <c r="D515" s="28"/>
      <c r="E515" s="666"/>
      <c r="F515" s="666"/>
      <c r="G515" s="666"/>
      <c r="H515" s="1280"/>
      <c r="I515" s="1280"/>
      <c r="J515" s="1280"/>
      <c r="K515" s="1280"/>
      <c r="L515" s="1280"/>
      <c r="M515" s="1280"/>
    </row>
    <row r="516" spans="1:13" ht="15" customHeight="1" x14ac:dyDescent="0.3">
      <c r="D516" s="28"/>
      <c r="E516" s="666"/>
      <c r="F516" s="666"/>
      <c r="G516" s="666"/>
      <c r="H516" s="1280"/>
      <c r="I516" s="1280"/>
      <c r="J516" s="1280"/>
      <c r="K516" s="1280"/>
      <c r="L516" s="1280"/>
      <c r="M516" s="1280"/>
    </row>
    <row r="517" spans="1:13" ht="15" customHeight="1" x14ac:dyDescent="0.3">
      <c r="D517" s="28"/>
      <c r="E517" s="666"/>
      <c r="F517" s="666"/>
      <c r="G517" s="666"/>
      <c r="H517" s="109"/>
      <c r="I517" s="109"/>
      <c r="J517" s="667"/>
      <c r="K517" s="109"/>
      <c r="L517" s="109"/>
      <c r="M517" s="109"/>
    </row>
    <row r="518" spans="1:13" ht="15" customHeight="1" x14ac:dyDescent="0.3">
      <c r="D518" s="28"/>
      <c r="E518" s="666"/>
      <c r="F518" s="1280"/>
      <c r="G518" s="1280"/>
      <c r="H518" s="110"/>
      <c r="I518" s="110"/>
      <c r="J518" s="110"/>
      <c r="K518" s="1280"/>
      <c r="L518" s="1280"/>
      <c r="M518" s="1280"/>
    </row>
    <row r="519" spans="1:13" ht="15" customHeight="1" x14ac:dyDescent="0.3">
      <c r="D519" s="28"/>
      <c r="E519" s="666"/>
      <c r="F519" s="1280"/>
      <c r="G519" s="1280"/>
      <c r="H519" s="110"/>
      <c r="I519" s="110"/>
      <c r="J519" s="110"/>
      <c r="K519" s="1280"/>
      <c r="L519" s="1280"/>
      <c r="M519" s="1280"/>
    </row>
    <row r="520" spans="1:13" ht="15" customHeight="1" x14ac:dyDescent="0.3">
      <c r="D520" s="28"/>
      <c r="E520" s="666"/>
      <c r="F520" s="110"/>
      <c r="G520" s="110"/>
      <c r="H520" s="110"/>
      <c r="I520" s="110"/>
      <c r="J520" s="110"/>
      <c r="K520" s="1280"/>
      <c r="L520" s="1280"/>
      <c r="M520" s="110"/>
    </row>
    <row r="521" spans="1:13" ht="15" customHeight="1" x14ac:dyDescent="0.3">
      <c r="D521" s="28"/>
      <c r="E521" s="666"/>
      <c r="F521" s="666"/>
      <c r="G521" s="666"/>
      <c r="H521" s="28"/>
      <c r="I521" s="214"/>
      <c r="J521" s="618"/>
    </row>
    <row r="522" spans="1:13" ht="15" customHeight="1" x14ac:dyDescent="0.3">
      <c r="D522" s="28"/>
      <c r="E522" s="666"/>
      <c r="F522" s="666"/>
      <c r="G522" s="666"/>
      <c r="H522" s="28"/>
      <c r="I522" s="214"/>
      <c r="J522" s="618"/>
    </row>
    <row r="523" spans="1:13" ht="15" customHeight="1" x14ac:dyDescent="0.3">
      <c r="C523" s="1280"/>
      <c r="D523" s="1024"/>
      <c r="E523" s="1024"/>
      <c r="F523" s="1280"/>
      <c r="G523" s="1280"/>
      <c r="H523" s="1280"/>
      <c r="I523" s="1024"/>
      <c r="J523" s="1024"/>
      <c r="K523" s="1024"/>
      <c r="L523" s="1024"/>
      <c r="M523" s="1024"/>
    </row>
    <row r="524" spans="1:13" ht="15" customHeight="1" x14ac:dyDescent="0.3">
      <c r="A524" s="262" t="s">
        <v>1290</v>
      </c>
      <c r="C524" s="1024"/>
      <c r="D524" s="1024"/>
      <c r="E524" s="1024"/>
      <c r="F524" s="1280"/>
      <c r="G524" s="1280"/>
      <c r="H524" s="1024"/>
      <c r="I524" s="1024"/>
      <c r="J524" s="1024"/>
      <c r="K524" s="1024"/>
      <c r="L524" s="1024"/>
      <c r="M524" s="1024"/>
    </row>
    <row r="525" spans="1:13" ht="30" customHeight="1" x14ac:dyDescent="0.3">
      <c r="C525" s="563"/>
      <c r="D525" s="668"/>
      <c r="E525" s="669"/>
      <c r="F525" s="670"/>
      <c r="G525" s="671"/>
      <c r="H525" s="563"/>
      <c r="I525" s="672"/>
      <c r="J525" s="673"/>
      <c r="K525" s="672"/>
      <c r="L525" s="672"/>
      <c r="M525" s="672"/>
    </row>
    <row r="526" spans="1:13" ht="30" customHeight="1" x14ac:dyDescent="0.3">
      <c r="C526" s="160"/>
      <c r="D526" s="160"/>
      <c r="E526" s="992"/>
      <c r="F526" s="993"/>
      <c r="G526" s="994"/>
      <c r="H526" s="160"/>
      <c r="I526" s="211"/>
      <c r="J526" s="616"/>
      <c r="K526" s="211"/>
      <c r="L526" s="224"/>
      <c r="M526" s="211"/>
    </row>
    <row r="527" spans="1:13" ht="30" customHeight="1" x14ac:dyDescent="0.3">
      <c r="C527" s="161"/>
      <c r="D527" s="161"/>
      <c r="E527" s="969"/>
      <c r="F527" s="970"/>
      <c r="G527" s="971"/>
      <c r="H527" s="161"/>
      <c r="I527" s="212"/>
      <c r="J527" s="617"/>
      <c r="K527" s="212"/>
      <c r="L527" s="227"/>
      <c r="M527" s="226"/>
    </row>
    <row r="528" spans="1:13" ht="30" customHeight="1" x14ac:dyDescent="0.3">
      <c r="C528" s="161"/>
      <c r="D528" s="161"/>
      <c r="E528" s="969"/>
      <c r="F528" s="970"/>
      <c r="G528" s="971"/>
      <c r="H528" s="161"/>
      <c r="I528" s="212"/>
      <c r="J528" s="617"/>
      <c r="K528" s="212"/>
      <c r="L528" s="227"/>
      <c r="M528" s="226"/>
    </row>
    <row r="529" spans="3:13" ht="30" customHeight="1" x14ac:dyDescent="0.3">
      <c r="C529" s="161"/>
      <c r="D529" s="161"/>
      <c r="E529" s="969"/>
      <c r="F529" s="970"/>
      <c r="G529" s="971"/>
      <c r="H529" s="161"/>
      <c r="I529" s="212"/>
      <c r="J529" s="617"/>
      <c r="K529" s="212"/>
      <c r="L529" s="227"/>
      <c r="M529" s="226"/>
    </row>
    <row r="530" spans="3:13" ht="30" customHeight="1" x14ac:dyDescent="0.3">
      <c r="C530" s="161"/>
      <c r="D530" s="161"/>
      <c r="E530" s="969"/>
      <c r="F530" s="970"/>
      <c r="G530" s="971"/>
      <c r="H530" s="161"/>
      <c r="I530" s="212"/>
      <c r="J530" s="617"/>
      <c r="K530" s="212"/>
      <c r="L530" s="227"/>
      <c r="M530" s="226"/>
    </row>
    <row r="531" spans="3:13" ht="30" customHeight="1" x14ac:dyDescent="0.3">
      <c r="C531" s="161"/>
      <c r="D531" s="161"/>
      <c r="E531" s="969"/>
      <c r="F531" s="970"/>
      <c r="G531" s="971"/>
      <c r="H531" s="161"/>
      <c r="I531" s="212"/>
      <c r="J531" s="617"/>
      <c r="K531" s="212"/>
      <c r="L531" s="227"/>
      <c r="M531" s="226"/>
    </row>
    <row r="532" spans="3:13" ht="30" customHeight="1" x14ac:dyDescent="0.3">
      <c r="C532" s="161"/>
      <c r="D532" s="161"/>
      <c r="E532" s="969"/>
      <c r="F532" s="970"/>
      <c r="G532" s="971"/>
      <c r="H532" s="161"/>
      <c r="I532" s="212"/>
      <c r="J532" s="617"/>
      <c r="K532" s="212"/>
      <c r="L532" s="227"/>
      <c r="M532" s="226"/>
    </row>
    <row r="533" spans="3:13" ht="30" customHeight="1" x14ac:dyDescent="0.3">
      <c r="C533" s="161"/>
      <c r="D533" s="161"/>
      <c r="E533" s="969"/>
      <c r="F533" s="970"/>
      <c r="G533" s="971"/>
      <c r="H533" s="161"/>
      <c r="I533" s="212"/>
      <c r="J533" s="617"/>
      <c r="K533" s="212"/>
      <c r="L533" s="227"/>
      <c r="M533" s="226"/>
    </row>
    <row r="534" spans="3:13" ht="30" customHeight="1" x14ac:dyDescent="0.3">
      <c r="C534" s="161"/>
      <c r="D534" s="161"/>
      <c r="E534" s="969"/>
      <c r="F534" s="970"/>
      <c r="G534" s="971"/>
      <c r="H534" s="161"/>
      <c r="I534" s="212"/>
      <c r="J534" s="617"/>
      <c r="K534" s="212"/>
      <c r="L534" s="227"/>
      <c r="M534" s="226"/>
    </row>
    <row r="535" spans="3:13" ht="30" customHeight="1" x14ac:dyDescent="0.3">
      <c r="C535" s="161"/>
      <c r="D535" s="161"/>
      <c r="E535" s="969"/>
      <c r="F535" s="970"/>
      <c r="G535" s="971"/>
      <c r="H535" s="161"/>
      <c r="I535" s="212"/>
      <c r="J535" s="617"/>
      <c r="K535" s="212"/>
      <c r="L535" s="227"/>
      <c r="M535" s="226"/>
    </row>
    <row r="536" spans="3:13" ht="30" customHeight="1" x14ac:dyDescent="0.3">
      <c r="C536" s="161"/>
      <c r="D536" s="161"/>
      <c r="E536" s="969"/>
      <c r="F536" s="970"/>
      <c r="G536" s="971"/>
      <c r="H536" s="161"/>
      <c r="I536" s="212"/>
      <c r="J536" s="617"/>
      <c r="K536" s="212"/>
      <c r="L536" s="225"/>
      <c r="M536" s="212"/>
    </row>
    <row r="537" spans="3:13" ht="30" customHeight="1" x14ac:dyDescent="0.3">
      <c r="C537" s="161"/>
      <c r="D537" s="161"/>
      <c r="E537" s="969"/>
      <c r="F537" s="970"/>
      <c r="G537" s="971"/>
      <c r="H537" s="161"/>
      <c r="I537" s="212"/>
      <c r="J537" s="617"/>
      <c r="K537" s="212"/>
      <c r="L537" s="225"/>
      <c r="M537" s="212"/>
    </row>
    <row r="538" spans="3:13" ht="30" customHeight="1" x14ac:dyDescent="0.3">
      <c r="C538" s="161"/>
      <c r="D538" s="161"/>
      <c r="E538" s="969"/>
      <c r="F538" s="970"/>
      <c r="G538" s="971"/>
      <c r="H538" s="161"/>
      <c r="I538" s="212"/>
      <c r="J538" s="617"/>
      <c r="K538" s="212"/>
      <c r="L538" s="225"/>
      <c r="M538" s="212"/>
    </row>
    <row r="539" spans="3:13" ht="30" customHeight="1" x14ac:dyDescent="0.3">
      <c r="C539" s="161"/>
      <c r="D539" s="161"/>
      <c r="E539" s="969"/>
      <c r="F539" s="970"/>
      <c r="G539" s="971"/>
      <c r="H539" s="161"/>
      <c r="I539" s="212"/>
      <c r="J539" s="617"/>
      <c r="K539" s="212"/>
      <c r="L539" s="225"/>
      <c r="M539" s="212"/>
    </row>
    <row r="540" spans="3:13" ht="30" customHeight="1" x14ac:dyDescent="0.3">
      <c r="C540" s="161"/>
      <c r="D540" s="161"/>
      <c r="E540" s="969"/>
      <c r="F540" s="970"/>
      <c r="G540" s="971"/>
      <c r="H540" s="161"/>
      <c r="I540" s="212"/>
      <c r="J540" s="617"/>
      <c r="K540" s="212"/>
      <c r="L540" s="225"/>
      <c r="M540" s="212"/>
    </row>
    <row r="541" spans="3:13" ht="30" customHeight="1" x14ac:dyDescent="0.3">
      <c r="C541" s="161"/>
      <c r="D541" s="161"/>
      <c r="E541" s="969"/>
      <c r="F541" s="970"/>
      <c r="G541" s="971"/>
      <c r="H541" s="161"/>
      <c r="I541" s="212"/>
      <c r="J541" s="617"/>
      <c r="K541" s="212"/>
      <c r="L541" s="225"/>
      <c r="M541" s="212"/>
    </row>
    <row r="542" spans="3:13" ht="30" customHeight="1" x14ac:dyDescent="0.3">
      <c r="C542" s="161"/>
      <c r="D542" s="161"/>
      <c r="E542" s="969"/>
      <c r="F542" s="970"/>
      <c r="G542" s="971"/>
      <c r="H542" s="161"/>
      <c r="I542" s="212"/>
      <c r="J542" s="617"/>
      <c r="K542" s="212"/>
      <c r="L542" s="225"/>
      <c r="M542" s="212"/>
    </row>
    <row r="543" spans="3:13" ht="30" customHeight="1" x14ac:dyDescent="0.3">
      <c r="C543" s="161"/>
      <c r="D543" s="161"/>
      <c r="E543" s="969"/>
      <c r="F543" s="970"/>
      <c r="G543" s="971"/>
      <c r="H543" s="161"/>
      <c r="I543" s="212"/>
      <c r="J543" s="617"/>
      <c r="K543" s="212"/>
      <c r="L543" s="225"/>
      <c r="M543" s="212"/>
    </row>
    <row r="544" spans="3:13" ht="30" customHeight="1" x14ac:dyDescent="0.3">
      <c r="C544" s="161"/>
      <c r="D544" s="161"/>
      <c r="E544" s="969"/>
      <c r="F544" s="970"/>
      <c r="G544" s="971"/>
      <c r="H544" s="161"/>
      <c r="I544" s="212"/>
      <c r="J544" s="617"/>
      <c r="K544" s="212"/>
      <c r="L544" s="225"/>
      <c r="M544" s="212"/>
    </row>
    <row r="545" spans="3:13" ht="30" customHeight="1" x14ac:dyDescent="0.3">
      <c r="C545" s="161"/>
      <c r="D545" s="161"/>
      <c r="E545" s="969"/>
      <c r="F545" s="970"/>
      <c r="G545" s="971"/>
      <c r="H545" s="161"/>
      <c r="I545" s="212"/>
      <c r="J545" s="617"/>
      <c r="K545" s="212"/>
      <c r="L545" s="225"/>
      <c r="M545" s="212"/>
    </row>
    <row r="546" spans="3:13" ht="30" customHeight="1" x14ac:dyDescent="0.3">
      <c r="C546" s="161"/>
      <c r="D546" s="161"/>
      <c r="E546" s="969"/>
      <c r="F546" s="970"/>
      <c r="G546" s="971"/>
      <c r="H546" s="161"/>
      <c r="I546" s="212"/>
      <c r="J546" s="617"/>
      <c r="K546" s="212"/>
      <c r="L546" s="225"/>
      <c r="M546" s="212"/>
    </row>
    <row r="547" spans="3:13" ht="30" customHeight="1" x14ac:dyDescent="0.3">
      <c r="C547" s="161"/>
      <c r="D547" s="161"/>
      <c r="E547" s="969"/>
      <c r="F547" s="970"/>
      <c r="G547" s="971"/>
      <c r="H547" s="161"/>
      <c r="I547" s="212"/>
      <c r="J547" s="617"/>
      <c r="K547" s="212"/>
      <c r="L547" s="225"/>
      <c r="M547" s="212"/>
    </row>
    <row r="548" spans="3:13" ht="30" customHeight="1" x14ac:dyDescent="0.3">
      <c r="C548" s="161"/>
      <c r="D548" s="161"/>
      <c r="E548" s="969"/>
      <c r="F548" s="970"/>
      <c r="G548" s="971"/>
      <c r="H548" s="161"/>
      <c r="I548" s="212"/>
      <c r="J548" s="617"/>
      <c r="K548" s="212"/>
      <c r="L548" s="225"/>
      <c r="M548" s="212"/>
    </row>
    <row r="549" spans="3:13" ht="30" customHeight="1" x14ac:dyDescent="0.3">
      <c r="C549" s="161"/>
      <c r="D549" s="161"/>
      <c r="E549" s="969"/>
      <c r="F549" s="970"/>
      <c r="G549" s="971"/>
      <c r="H549" s="161"/>
      <c r="I549" s="212"/>
      <c r="J549" s="617"/>
      <c r="K549" s="212"/>
      <c r="L549" s="225"/>
      <c r="M549" s="212"/>
    </row>
    <row r="550" spans="3:13" ht="30" customHeight="1" x14ac:dyDescent="0.3">
      <c r="C550" s="160"/>
      <c r="D550" s="160"/>
      <c r="E550" s="992"/>
      <c r="F550" s="993"/>
      <c r="G550" s="994"/>
      <c r="H550" s="160"/>
      <c r="I550" s="211"/>
      <c r="J550" s="616"/>
      <c r="K550" s="211"/>
      <c r="L550" s="224"/>
      <c r="M550" s="211"/>
    </row>
    <row r="551" spans="3:13" ht="30" customHeight="1" x14ac:dyDescent="0.3">
      <c r="C551" s="161"/>
      <c r="D551" s="161"/>
      <c r="E551" s="969"/>
      <c r="F551" s="970"/>
      <c r="G551" s="971"/>
      <c r="H551" s="161"/>
      <c r="I551" s="212"/>
      <c r="J551" s="617"/>
      <c r="K551" s="212"/>
      <c r="L551" s="225"/>
      <c r="M551" s="212"/>
    </row>
    <row r="552" spans="3:13" ht="30" customHeight="1" x14ac:dyDescent="0.3">
      <c r="C552" s="161"/>
      <c r="D552" s="161"/>
      <c r="E552" s="969"/>
      <c r="F552" s="970"/>
      <c r="G552" s="971"/>
      <c r="H552" s="161"/>
      <c r="I552" s="212"/>
      <c r="J552" s="617"/>
      <c r="K552" s="212"/>
      <c r="L552" s="225"/>
      <c r="M552" s="212"/>
    </row>
    <row r="553" spans="3:13" ht="30" customHeight="1" x14ac:dyDescent="0.3">
      <c r="C553" s="161"/>
      <c r="D553" s="161"/>
      <c r="E553" s="969"/>
      <c r="F553" s="970"/>
      <c r="G553" s="971"/>
      <c r="H553" s="161"/>
      <c r="I553" s="212"/>
      <c r="J553" s="617"/>
      <c r="K553" s="212"/>
      <c r="L553" s="225"/>
      <c r="M553" s="212"/>
    </row>
    <row r="554" spans="3:13" ht="30" customHeight="1" x14ac:dyDescent="0.3">
      <c r="C554" s="161"/>
      <c r="D554" s="161"/>
      <c r="E554" s="969"/>
      <c r="F554" s="970"/>
      <c r="G554" s="971"/>
      <c r="H554" s="161"/>
      <c r="I554" s="212"/>
      <c r="J554" s="617"/>
      <c r="K554" s="212"/>
      <c r="L554" s="225"/>
      <c r="M554" s="212"/>
    </row>
    <row r="555" spans="3:13" ht="30" customHeight="1" x14ac:dyDescent="0.3">
      <c r="C555" s="161"/>
      <c r="D555" s="161"/>
      <c r="E555" s="969"/>
      <c r="F555" s="970"/>
      <c r="G555" s="971"/>
      <c r="H555" s="161"/>
      <c r="I555" s="212"/>
      <c r="J555" s="617"/>
      <c r="K555" s="212"/>
      <c r="L555" s="225"/>
      <c r="M555" s="212"/>
    </row>
    <row r="556" spans="3:13" ht="30" customHeight="1" x14ac:dyDescent="0.3">
      <c r="C556" s="161"/>
      <c r="D556" s="161"/>
      <c r="E556" s="969"/>
      <c r="F556" s="970"/>
      <c r="G556" s="971"/>
      <c r="H556" s="161"/>
      <c r="I556" s="212"/>
      <c r="J556" s="617"/>
      <c r="K556" s="212"/>
      <c r="L556" s="225"/>
      <c r="M556" s="212"/>
    </row>
    <row r="557" spans="3:13" ht="30" customHeight="1" x14ac:dyDescent="0.3">
      <c r="C557" s="161"/>
      <c r="D557" s="161"/>
      <c r="E557" s="969"/>
      <c r="F557" s="970"/>
      <c r="G557" s="971"/>
      <c r="H557" s="161"/>
      <c r="I557" s="212"/>
      <c r="J557" s="617"/>
      <c r="K557" s="212"/>
      <c r="L557" s="225"/>
      <c r="M557" s="212"/>
    </row>
    <row r="558" spans="3:13" ht="30" customHeight="1" x14ac:dyDescent="0.3">
      <c r="C558" s="161"/>
      <c r="D558" s="161"/>
      <c r="E558" s="969"/>
      <c r="F558" s="970"/>
      <c r="G558" s="971"/>
      <c r="H558" s="161"/>
      <c r="I558" s="212"/>
      <c r="J558" s="617"/>
      <c r="K558" s="212"/>
      <c r="L558" s="225"/>
      <c r="M558" s="212"/>
    </row>
    <row r="559" spans="3:13" ht="30" customHeight="1" x14ac:dyDescent="0.3">
      <c r="C559" s="1375"/>
      <c r="D559" s="1375"/>
      <c r="E559" s="1375"/>
      <c r="F559" s="1376"/>
      <c r="G559" s="1376"/>
      <c r="H559" s="1375"/>
      <c r="I559" s="1375"/>
      <c r="J559" s="1375"/>
      <c r="K559" s="1375"/>
      <c r="L559" s="1375"/>
      <c r="M559" s="1375"/>
    </row>
    <row r="560" spans="3:13" ht="19.95" customHeight="1" x14ac:dyDescent="0.3">
      <c r="C560" s="1024"/>
      <c r="D560" s="1024"/>
      <c r="E560" s="1024"/>
      <c r="F560" s="1280"/>
      <c r="G560" s="1280"/>
      <c r="H560" s="1280"/>
      <c r="I560" s="1280"/>
      <c r="J560" s="1280"/>
      <c r="K560" s="1280"/>
      <c r="L560" s="1280"/>
      <c r="M560" s="1280"/>
    </row>
    <row r="561" spans="1:13" ht="19.95" customHeight="1" x14ac:dyDescent="0.3">
      <c r="D561" s="28"/>
      <c r="E561" s="28"/>
      <c r="F561" s="109"/>
      <c r="G561" s="109"/>
      <c r="H561" s="1280"/>
      <c r="I561" s="1280"/>
      <c r="J561" s="1280"/>
      <c r="K561" s="1280"/>
      <c r="L561" s="1280"/>
      <c r="M561" s="1280"/>
    </row>
    <row r="562" spans="1:13" ht="15" customHeight="1" x14ac:dyDescent="0.3">
      <c r="D562" s="28"/>
      <c r="E562" s="666"/>
      <c r="F562" s="666"/>
      <c r="G562" s="666"/>
      <c r="H562" s="1280"/>
      <c r="I562" s="1280"/>
      <c r="J562" s="1280"/>
      <c r="K562" s="1280"/>
      <c r="L562" s="1280"/>
      <c r="M562" s="1280"/>
    </row>
    <row r="563" spans="1:13" ht="15" customHeight="1" x14ac:dyDescent="0.3">
      <c r="D563" s="28"/>
      <c r="E563" s="666"/>
      <c r="F563" s="666"/>
      <c r="G563" s="666"/>
      <c r="H563" s="109"/>
      <c r="I563" s="109"/>
      <c r="J563" s="667"/>
      <c r="K563" s="109"/>
      <c r="L563" s="109"/>
      <c r="M563" s="109"/>
    </row>
    <row r="564" spans="1:13" ht="15" customHeight="1" x14ac:dyDescent="0.3">
      <c r="D564" s="28"/>
      <c r="E564" s="666"/>
      <c r="F564" s="1280"/>
      <c r="G564" s="1280"/>
      <c r="H564" s="1280"/>
      <c r="I564" s="1280"/>
      <c r="J564" s="1280"/>
      <c r="K564" s="110"/>
      <c r="L564" s="1280"/>
      <c r="M564" s="1280"/>
    </row>
    <row r="565" spans="1:13" ht="15" customHeight="1" x14ac:dyDescent="0.3">
      <c r="D565" s="28"/>
      <c r="E565" s="666"/>
      <c r="F565" s="1280"/>
      <c r="G565" s="1280"/>
      <c r="H565" s="1280"/>
      <c r="I565" s="1280"/>
      <c r="J565" s="1280"/>
      <c r="K565" s="110"/>
      <c r="L565" s="1280"/>
      <c r="M565" s="1280"/>
    </row>
    <row r="566" spans="1:13" ht="15" customHeight="1" x14ac:dyDescent="0.3">
      <c r="D566" s="28"/>
      <c r="E566" s="666"/>
      <c r="F566" s="110"/>
      <c r="G566" s="110"/>
      <c r="H566" s="1280"/>
      <c r="I566" s="1280"/>
      <c r="J566" s="1280"/>
      <c r="K566" s="110"/>
      <c r="L566" s="1280"/>
      <c r="M566" s="1280"/>
    </row>
    <row r="567" spans="1:13" ht="15" customHeight="1" x14ac:dyDescent="0.3">
      <c r="D567" s="28"/>
      <c r="E567" s="666"/>
      <c r="F567" s="666"/>
      <c r="G567" s="666"/>
      <c r="H567" s="28"/>
      <c r="I567" s="214"/>
      <c r="J567" s="618"/>
    </row>
    <row r="568" spans="1:13" ht="15" customHeight="1" x14ac:dyDescent="0.3">
      <c r="D568" s="28"/>
      <c r="E568" s="666"/>
      <c r="F568" s="666"/>
      <c r="G568" s="666"/>
      <c r="H568" s="28"/>
      <c r="I568" s="214"/>
      <c r="J568" s="618"/>
    </row>
    <row r="569" spans="1:13" ht="15" customHeight="1" x14ac:dyDescent="0.3">
      <c r="C569" s="1280"/>
      <c r="D569" s="1024"/>
      <c r="E569" s="1024"/>
      <c r="F569" s="1280"/>
      <c r="G569" s="1280"/>
      <c r="H569" s="1280"/>
      <c r="I569" s="1024"/>
      <c r="J569" s="1024"/>
      <c r="K569" s="1024"/>
      <c r="L569" s="1024"/>
      <c r="M569" s="1024"/>
    </row>
    <row r="570" spans="1:13" ht="15" customHeight="1" x14ac:dyDescent="0.3">
      <c r="A570" s="262" t="s">
        <v>1290</v>
      </c>
      <c r="C570" s="1024"/>
      <c r="D570" s="1024"/>
      <c r="E570" s="1024"/>
      <c r="F570" s="1280"/>
      <c r="G570" s="1280"/>
      <c r="H570" s="1024"/>
      <c r="I570" s="1024"/>
      <c r="J570" s="1024"/>
      <c r="K570" s="1024"/>
      <c r="L570" s="1024"/>
      <c r="M570" s="1024"/>
    </row>
    <row r="571" spans="1:13" ht="30" customHeight="1" x14ac:dyDescent="0.3">
      <c r="C571" s="256"/>
      <c r="D571" s="256"/>
      <c r="E571" s="978"/>
      <c r="F571" s="979"/>
      <c r="G571" s="980"/>
      <c r="H571" s="256"/>
      <c r="I571" s="257"/>
      <c r="J571" s="619"/>
      <c r="K571" s="257"/>
      <c r="L571" s="247"/>
      <c r="M571" s="257"/>
    </row>
    <row r="572" spans="1:13" ht="30" customHeight="1" x14ac:dyDescent="0.3">
      <c r="C572" s="161"/>
      <c r="D572" s="161"/>
      <c r="E572" s="969"/>
      <c r="F572" s="970"/>
      <c r="G572" s="971"/>
      <c r="H572" s="161"/>
      <c r="I572" s="212"/>
      <c r="J572" s="617"/>
      <c r="K572" s="212"/>
      <c r="L572" s="225"/>
      <c r="M572" s="212"/>
    </row>
    <row r="573" spans="1:13" ht="30" customHeight="1" x14ac:dyDescent="0.3">
      <c r="C573" s="161"/>
      <c r="D573" s="161"/>
      <c r="E573" s="969"/>
      <c r="F573" s="970"/>
      <c r="G573" s="971"/>
      <c r="H573" s="161"/>
      <c r="I573" s="212"/>
      <c r="J573" s="617"/>
      <c r="K573" s="212"/>
      <c r="L573" s="225"/>
      <c r="M573" s="212"/>
    </row>
    <row r="574" spans="1:13" ht="30" customHeight="1" x14ac:dyDescent="0.3">
      <c r="C574" s="161"/>
      <c r="D574" s="161"/>
      <c r="E574" s="969"/>
      <c r="F574" s="970"/>
      <c r="G574" s="971"/>
      <c r="H574" s="161"/>
      <c r="I574" s="212"/>
      <c r="J574" s="617"/>
      <c r="K574" s="212"/>
      <c r="L574" s="225"/>
      <c r="M574" s="212"/>
    </row>
    <row r="575" spans="1:13" ht="30" customHeight="1" x14ac:dyDescent="0.3">
      <c r="C575" s="161"/>
      <c r="D575" s="161"/>
      <c r="E575" s="969"/>
      <c r="F575" s="970"/>
      <c r="G575" s="971"/>
      <c r="H575" s="161"/>
      <c r="I575" s="212"/>
      <c r="J575" s="617"/>
      <c r="K575" s="212"/>
      <c r="L575" s="225"/>
      <c r="M575" s="212"/>
    </row>
    <row r="576" spans="1:13" ht="30" customHeight="1" x14ac:dyDescent="0.3">
      <c r="C576" s="161"/>
      <c r="D576" s="161"/>
      <c r="E576" s="969"/>
      <c r="F576" s="970"/>
      <c r="G576" s="971"/>
      <c r="H576" s="161"/>
      <c r="I576" s="212"/>
      <c r="J576" s="617"/>
      <c r="K576" s="212"/>
      <c r="L576" s="225"/>
      <c r="M576" s="212"/>
    </row>
    <row r="577" spans="3:13" ht="30" customHeight="1" x14ac:dyDescent="0.3">
      <c r="C577" s="161"/>
      <c r="D577" s="161"/>
      <c r="E577" s="969"/>
      <c r="F577" s="970"/>
      <c r="G577" s="971"/>
      <c r="H577" s="161"/>
      <c r="I577" s="212"/>
      <c r="J577" s="617"/>
      <c r="K577" s="212"/>
      <c r="L577" s="225"/>
      <c r="M577" s="212"/>
    </row>
    <row r="578" spans="3:13" ht="30" customHeight="1" x14ac:dyDescent="0.3">
      <c r="C578" s="161"/>
      <c r="D578" s="161"/>
      <c r="E578" s="969"/>
      <c r="F578" s="970"/>
      <c r="G578" s="971"/>
      <c r="H578" s="161"/>
      <c r="I578" s="212"/>
      <c r="J578" s="617"/>
      <c r="K578" s="212"/>
      <c r="L578" s="225"/>
      <c r="M578" s="212"/>
    </row>
    <row r="579" spans="3:13" ht="30" customHeight="1" x14ac:dyDescent="0.3">
      <c r="C579" s="161"/>
      <c r="D579" s="161"/>
      <c r="E579" s="969"/>
      <c r="F579" s="970"/>
      <c r="G579" s="971"/>
      <c r="H579" s="161"/>
      <c r="I579" s="212"/>
      <c r="J579" s="617"/>
      <c r="K579" s="212"/>
      <c r="L579" s="225"/>
      <c r="M579" s="212"/>
    </row>
    <row r="580" spans="3:13" ht="30" customHeight="1" x14ac:dyDescent="0.3">
      <c r="C580" s="161"/>
      <c r="D580" s="161"/>
      <c r="E580" s="969"/>
      <c r="F580" s="970"/>
      <c r="G580" s="971"/>
      <c r="H580" s="161"/>
      <c r="I580" s="212"/>
      <c r="J580" s="617"/>
      <c r="K580" s="212"/>
      <c r="L580" s="225"/>
      <c r="M580" s="212"/>
    </row>
    <row r="581" spans="3:13" ht="30" customHeight="1" x14ac:dyDescent="0.3">
      <c r="C581" s="161"/>
      <c r="D581" s="161"/>
      <c r="E581" s="969"/>
      <c r="F581" s="970"/>
      <c r="G581" s="971"/>
      <c r="H581" s="161"/>
      <c r="I581" s="212"/>
      <c r="J581" s="617"/>
      <c r="K581" s="212"/>
      <c r="L581" s="225"/>
      <c r="M581" s="212"/>
    </row>
    <row r="582" spans="3:13" ht="30" customHeight="1" x14ac:dyDescent="0.3">
      <c r="C582" s="161"/>
      <c r="D582" s="161"/>
      <c r="E582" s="969"/>
      <c r="F582" s="970"/>
      <c r="G582" s="971"/>
      <c r="H582" s="161"/>
      <c r="I582" s="212"/>
      <c r="J582" s="617"/>
      <c r="K582" s="212"/>
      <c r="L582" s="225"/>
      <c r="M582" s="212"/>
    </row>
    <row r="583" spans="3:13" ht="30" customHeight="1" x14ac:dyDescent="0.3">
      <c r="C583" s="161"/>
      <c r="D583" s="161"/>
      <c r="E583" s="969"/>
      <c r="F583" s="970"/>
      <c r="G583" s="971"/>
      <c r="H583" s="161"/>
      <c r="I583" s="212"/>
      <c r="J583" s="617"/>
      <c r="K583" s="212"/>
      <c r="L583" s="225"/>
      <c r="M583" s="212"/>
    </row>
    <row r="584" spans="3:13" ht="30" customHeight="1" x14ac:dyDescent="0.3">
      <c r="C584" s="161"/>
      <c r="D584" s="161"/>
      <c r="E584" s="969"/>
      <c r="F584" s="970"/>
      <c r="G584" s="971"/>
      <c r="H584" s="161"/>
      <c r="I584" s="212"/>
      <c r="J584" s="617"/>
      <c r="K584" s="212"/>
      <c r="L584" s="225"/>
      <c r="M584" s="212"/>
    </row>
    <row r="585" spans="3:13" ht="30" customHeight="1" x14ac:dyDescent="0.3">
      <c r="C585" s="161"/>
      <c r="D585" s="161"/>
      <c r="E585" s="1335"/>
      <c r="F585" s="1336"/>
      <c r="G585" s="1337"/>
      <c r="H585" s="161"/>
      <c r="I585" s="212"/>
      <c r="J585" s="617"/>
      <c r="K585" s="212"/>
      <c r="L585" s="225"/>
      <c r="M585" s="212"/>
    </row>
    <row r="586" spans="3:13" ht="30" customHeight="1" x14ac:dyDescent="0.3">
      <c r="C586" s="160"/>
      <c r="D586" s="160"/>
      <c r="E586" s="992"/>
      <c r="F586" s="993"/>
      <c r="G586" s="994"/>
      <c r="H586" s="160"/>
      <c r="I586" s="211"/>
      <c r="J586" s="616"/>
      <c r="K586" s="211"/>
      <c r="L586" s="224"/>
      <c r="M586" s="211"/>
    </row>
    <row r="587" spans="3:13" ht="30" customHeight="1" x14ac:dyDescent="0.3">
      <c r="C587" s="161"/>
      <c r="D587" s="161"/>
      <c r="E587" s="969"/>
      <c r="F587" s="970"/>
      <c r="G587" s="971"/>
      <c r="H587" s="161"/>
      <c r="I587" s="212"/>
      <c r="J587" s="617"/>
      <c r="K587" s="212"/>
      <c r="L587" s="225"/>
      <c r="M587" s="212"/>
    </row>
    <row r="588" spans="3:13" ht="30" customHeight="1" x14ac:dyDescent="0.3">
      <c r="C588" s="161"/>
      <c r="D588" s="161"/>
      <c r="E588" s="969"/>
      <c r="F588" s="970"/>
      <c r="G588" s="971"/>
      <c r="H588" s="161"/>
      <c r="I588" s="212"/>
      <c r="J588" s="617"/>
      <c r="K588" s="212"/>
      <c r="L588" s="225"/>
      <c r="M588" s="212"/>
    </row>
    <row r="589" spans="3:13" ht="30" customHeight="1" x14ac:dyDescent="0.3">
      <c r="C589" s="161"/>
      <c r="D589" s="161"/>
      <c r="E589" s="969"/>
      <c r="F589" s="970"/>
      <c r="G589" s="971"/>
      <c r="H589" s="161"/>
      <c r="I589" s="212"/>
      <c r="J589" s="617"/>
      <c r="K589" s="212"/>
      <c r="L589" s="225"/>
      <c r="M589" s="212"/>
    </row>
    <row r="590" spans="3:13" ht="30" customHeight="1" x14ac:dyDescent="0.3">
      <c r="C590" s="161"/>
      <c r="D590" s="161"/>
      <c r="E590" s="969"/>
      <c r="F590" s="970"/>
      <c r="G590" s="971"/>
      <c r="H590" s="161"/>
      <c r="I590" s="212"/>
      <c r="J590" s="617"/>
      <c r="K590" s="212"/>
      <c r="L590" s="225"/>
      <c r="M590" s="212"/>
    </row>
    <row r="591" spans="3:13" ht="30" customHeight="1" x14ac:dyDescent="0.3">
      <c r="C591" s="161"/>
      <c r="D591" s="161"/>
      <c r="E591" s="969"/>
      <c r="F591" s="970"/>
      <c r="G591" s="971"/>
      <c r="H591" s="161"/>
      <c r="I591" s="212"/>
      <c r="J591" s="617"/>
      <c r="K591" s="212"/>
      <c r="L591" s="225"/>
      <c r="M591" s="212"/>
    </row>
    <row r="592" spans="3:13" ht="30" customHeight="1" x14ac:dyDescent="0.3">
      <c r="C592" s="161"/>
      <c r="D592" s="161"/>
      <c r="E592" s="969"/>
      <c r="F592" s="970"/>
      <c r="G592" s="971"/>
      <c r="H592" s="161"/>
      <c r="I592" s="212"/>
      <c r="J592" s="617"/>
      <c r="K592" s="212"/>
      <c r="L592" s="225"/>
      <c r="M592" s="212"/>
    </row>
    <row r="593" spans="3:13" ht="30" customHeight="1" x14ac:dyDescent="0.3">
      <c r="C593" s="161"/>
      <c r="D593" s="161"/>
      <c r="E593" s="969"/>
      <c r="F593" s="970"/>
      <c r="G593" s="971"/>
      <c r="H593" s="161"/>
      <c r="I593" s="212"/>
      <c r="J593" s="617"/>
      <c r="K593" s="212"/>
      <c r="L593" s="225"/>
      <c r="M593" s="212"/>
    </row>
    <row r="594" spans="3:13" ht="30" customHeight="1" x14ac:dyDescent="0.3">
      <c r="C594" s="161"/>
      <c r="D594" s="161"/>
      <c r="E594" s="969"/>
      <c r="F594" s="970"/>
      <c r="G594" s="971"/>
      <c r="H594" s="161"/>
      <c r="I594" s="212"/>
      <c r="J594" s="617"/>
      <c r="K594" s="212"/>
      <c r="L594" s="225"/>
      <c r="M594" s="212"/>
    </row>
    <row r="595" spans="3:13" ht="30" customHeight="1" x14ac:dyDescent="0.3">
      <c r="C595" s="161"/>
      <c r="D595" s="161"/>
      <c r="E595" s="969"/>
      <c r="F595" s="970"/>
      <c r="G595" s="971"/>
      <c r="H595" s="161"/>
      <c r="I595" s="212"/>
      <c r="J595" s="617"/>
      <c r="K595" s="212"/>
      <c r="L595" s="225"/>
      <c r="M595" s="212"/>
    </row>
    <row r="596" spans="3:13" ht="30" customHeight="1" x14ac:dyDescent="0.3">
      <c r="C596" s="161"/>
      <c r="D596" s="161"/>
      <c r="E596" s="969"/>
      <c r="F596" s="970"/>
      <c r="G596" s="971"/>
      <c r="H596" s="161"/>
      <c r="I596" s="212"/>
      <c r="J596" s="617"/>
      <c r="K596" s="212"/>
      <c r="L596" s="225"/>
      <c r="M596" s="212"/>
    </row>
    <row r="597" spans="3:13" ht="30" customHeight="1" x14ac:dyDescent="0.3">
      <c r="C597" s="161"/>
      <c r="D597" s="161"/>
      <c r="E597" s="969"/>
      <c r="F597" s="970"/>
      <c r="G597" s="971"/>
      <c r="H597" s="161"/>
      <c r="I597" s="212"/>
      <c r="J597" s="617"/>
      <c r="K597" s="212"/>
      <c r="L597" s="225"/>
      <c r="M597" s="212"/>
    </row>
    <row r="598" spans="3:13" ht="30" customHeight="1" x14ac:dyDescent="0.3">
      <c r="C598" s="161"/>
      <c r="D598" s="161"/>
      <c r="E598" s="969"/>
      <c r="F598" s="970"/>
      <c r="G598" s="971"/>
      <c r="H598" s="161"/>
      <c r="I598" s="212"/>
      <c r="J598" s="617"/>
      <c r="K598" s="212"/>
      <c r="L598" s="225"/>
      <c r="M598" s="212"/>
    </row>
    <row r="599" spans="3:13" ht="30" customHeight="1" x14ac:dyDescent="0.3">
      <c r="C599" s="161"/>
      <c r="D599" s="161"/>
      <c r="E599" s="969"/>
      <c r="F599" s="970"/>
      <c r="G599" s="971"/>
      <c r="H599" s="161"/>
      <c r="I599" s="212"/>
      <c r="J599" s="617"/>
      <c r="K599" s="212"/>
      <c r="L599" s="225"/>
      <c r="M599" s="212"/>
    </row>
    <row r="600" spans="3:13" ht="30" customHeight="1" x14ac:dyDescent="0.3">
      <c r="C600" s="161"/>
      <c r="D600" s="161"/>
      <c r="E600" s="969"/>
      <c r="F600" s="970"/>
      <c r="G600" s="971"/>
      <c r="H600" s="161"/>
      <c r="I600" s="212"/>
      <c r="J600" s="617"/>
      <c r="K600" s="212"/>
      <c r="L600" s="225"/>
      <c r="M600" s="212"/>
    </row>
    <row r="601" spans="3:13" ht="30" customHeight="1" x14ac:dyDescent="0.3">
      <c r="C601" s="161"/>
      <c r="D601" s="161"/>
      <c r="E601" s="969"/>
      <c r="F601" s="970"/>
      <c r="G601" s="971"/>
      <c r="H601" s="161"/>
      <c r="I601" s="212"/>
      <c r="J601" s="617"/>
      <c r="K601" s="212"/>
      <c r="L601" s="225"/>
      <c r="M601" s="212"/>
    </row>
    <row r="602" spans="3:13" ht="30" customHeight="1" x14ac:dyDescent="0.3">
      <c r="C602" s="161"/>
      <c r="D602" s="161"/>
      <c r="E602" s="969"/>
      <c r="F602" s="970"/>
      <c r="G602" s="971"/>
      <c r="H602" s="161"/>
      <c r="I602" s="212"/>
      <c r="J602" s="617"/>
      <c r="K602" s="212"/>
      <c r="L602" s="225"/>
      <c r="M602" s="212"/>
    </row>
    <row r="603" spans="3:13" ht="30" customHeight="1" x14ac:dyDescent="0.3">
      <c r="C603" s="161"/>
      <c r="D603" s="161"/>
      <c r="E603" s="969"/>
      <c r="F603" s="970"/>
      <c r="G603" s="971"/>
      <c r="H603" s="161"/>
      <c r="I603" s="212"/>
      <c r="J603" s="617"/>
      <c r="K603" s="212"/>
      <c r="L603" s="225"/>
      <c r="M603" s="212"/>
    </row>
    <row r="604" spans="3:13" ht="30" customHeight="1" x14ac:dyDescent="0.3">
      <c r="C604" s="161"/>
      <c r="D604" s="161"/>
      <c r="E604" s="969"/>
      <c r="F604" s="970"/>
      <c r="G604" s="971"/>
      <c r="H604" s="161"/>
      <c r="I604" s="212"/>
      <c r="J604" s="617"/>
      <c r="K604" s="212"/>
      <c r="L604" s="225"/>
      <c r="M604" s="212"/>
    </row>
    <row r="605" spans="3:13" ht="30" customHeight="1" x14ac:dyDescent="0.3">
      <c r="C605" s="161"/>
      <c r="D605" s="161"/>
      <c r="E605" s="969"/>
      <c r="F605" s="970"/>
      <c r="G605" s="971"/>
      <c r="H605" s="161"/>
      <c r="I605" s="212"/>
      <c r="J605" s="617"/>
      <c r="K605" s="212"/>
      <c r="L605" s="225"/>
      <c r="M605" s="212"/>
    </row>
    <row r="606" spans="3:13" ht="30" customHeight="1" x14ac:dyDescent="0.3">
      <c r="C606" s="1375"/>
      <c r="D606" s="1375"/>
      <c r="E606" s="1375"/>
      <c r="F606" s="1376"/>
      <c r="G606" s="1376"/>
      <c r="H606" s="1375"/>
      <c r="I606" s="1375"/>
      <c r="J606" s="1375"/>
      <c r="K606" s="1375"/>
      <c r="L606" s="1375"/>
      <c r="M606" s="1375"/>
    </row>
    <row r="607" spans="3:13" ht="19.95" customHeight="1" x14ac:dyDescent="0.3">
      <c r="C607" s="1024"/>
      <c r="D607" s="1024"/>
      <c r="E607" s="1024"/>
      <c r="F607" s="1280"/>
      <c r="G607" s="1280"/>
      <c r="H607" s="1280"/>
      <c r="I607" s="1280"/>
      <c r="J607" s="1280"/>
      <c r="K607" s="1280"/>
      <c r="L607" s="1280"/>
      <c r="M607" s="1280"/>
    </row>
    <row r="608" spans="3:13" ht="15" customHeight="1" x14ac:dyDescent="0.3">
      <c r="D608" s="28"/>
      <c r="E608" s="666"/>
      <c r="F608" s="666"/>
      <c r="G608" s="666"/>
      <c r="H608" s="1280"/>
      <c r="I608" s="1280"/>
      <c r="J608" s="1280"/>
      <c r="K608" s="1280"/>
      <c r="L608" s="1280"/>
      <c r="M608" s="1280"/>
    </row>
    <row r="609" spans="1:13" ht="15" customHeight="1" x14ac:dyDescent="0.3">
      <c r="D609" s="28"/>
      <c r="E609" s="666"/>
      <c r="F609" s="666"/>
      <c r="G609" s="666"/>
      <c r="H609" s="109"/>
      <c r="I609" s="109"/>
      <c r="J609" s="667"/>
      <c r="K609" s="109"/>
      <c r="L609" s="109"/>
      <c r="M609" s="109"/>
    </row>
    <row r="610" spans="1:13" ht="15" customHeight="1" x14ac:dyDescent="0.3">
      <c r="D610" s="28"/>
      <c r="E610" s="666"/>
      <c r="F610" s="1280"/>
      <c r="G610" s="1280"/>
      <c r="H610" s="1280"/>
      <c r="I610" s="1280"/>
      <c r="J610" s="1280"/>
      <c r="K610" s="1280"/>
      <c r="L610" s="1280"/>
      <c r="M610" s="1280"/>
    </row>
    <row r="611" spans="1:13" ht="15" customHeight="1" x14ac:dyDescent="0.3">
      <c r="D611" s="28"/>
      <c r="E611" s="666"/>
      <c r="F611" s="1280"/>
      <c r="G611" s="1280"/>
      <c r="H611" s="1280"/>
      <c r="I611" s="1280"/>
      <c r="J611" s="1280"/>
      <c r="K611" s="1280"/>
      <c r="L611" s="1280"/>
      <c r="M611" s="1280"/>
    </row>
    <row r="612" spans="1:13" ht="15" customHeight="1" x14ac:dyDescent="0.3">
      <c r="D612" s="28"/>
      <c r="E612" s="666"/>
      <c r="F612" s="110"/>
      <c r="G612" s="110"/>
      <c r="H612" s="1280"/>
      <c r="I612" s="1280"/>
      <c r="J612" s="1280"/>
      <c r="K612" s="1280"/>
      <c r="L612" s="1280"/>
      <c r="M612" s="1280"/>
    </row>
    <row r="613" spans="1:13" ht="15" customHeight="1" x14ac:dyDescent="0.3">
      <c r="D613" s="28"/>
      <c r="E613" s="666"/>
      <c r="F613" s="666"/>
      <c r="G613" s="666"/>
      <c r="H613" s="28"/>
      <c r="I613" s="214"/>
      <c r="J613" s="618"/>
    </row>
    <row r="614" spans="1:13" ht="15" customHeight="1" x14ac:dyDescent="0.3">
      <c r="D614" s="28"/>
      <c r="E614" s="666"/>
      <c r="F614" s="666"/>
      <c r="G614" s="666"/>
      <c r="H614" s="28"/>
      <c r="I614" s="214"/>
      <c r="J614" s="618"/>
    </row>
    <row r="615" spans="1:13" ht="15" customHeight="1" x14ac:dyDescent="0.3">
      <c r="C615" s="1280"/>
      <c r="D615" s="1024"/>
      <c r="E615" s="1024"/>
      <c r="F615" s="1280"/>
      <c r="G615" s="1280"/>
      <c r="H615" s="1280"/>
      <c r="I615" s="1024"/>
      <c r="J615" s="1024"/>
      <c r="K615" s="1024"/>
      <c r="L615" s="1024"/>
      <c r="M615" s="1024"/>
    </row>
    <row r="616" spans="1:13" ht="15" customHeight="1" x14ac:dyDescent="0.3">
      <c r="A616" s="262" t="s">
        <v>1290</v>
      </c>
      <c r="C616" s="1024"/>
      <c r="D616" s="1024"/>
      <c r="E616" s="1024"/>
      <c r="F616" s="1280"/>
      <c r="G616" s="1280"/>
      <c r="H616" s="1024"/>
      <c r="I616" s="1024"/>
      <c r="J616" s="1024"/>
      <c r="K616" s="1024"/>
      <c r="L616" s="1024"/>
      <c r="M616" s="1024"/>
    </row>
    <row r="617" spans="1:13" ht="30" customHeight="1" x14ac:dyDescent="0.3">
      <c r="C617" s="256"/>
      <c r="D617" s="256"/>
      <c r="E617" s="978"/>
      <c r="F617" s="979"/>
      <c r="G617" s="980"/>
      <c r="H617" s="256"/>
      <c r="I617" s="257"/>
      <c r="J617" s="619"/>
      <c r="K617" s="257"/>
      <c r="L617" s="247"/>
      <c r="M617" s="257"/>
    </row>
    <row r="618" spans="1:13" ht="30" customHeight="1" x14ac:dyDescent="0.3">
      <c r="C618" s="161"/>
      <c r="D618" s="161"/>
      <c r="E618" s="969"/>
      <c r="F618" s="970"/>
      <c r="G618" s="971"/>
      <c r="H618" s="161"/>
      <c r="I618" s="212"/>
      <c r="J618" s="617"/>
      <c r="K618" s="212"/>
      <c r="L618" s="225"/>
      <c r="M618" s="212"/>
    </row>
    <row r="619" spans="1:13" ht="30" customHeight="1" x14ac:dyDescent="0.3">
      <c r="C619" s="161"/>
      <c r="D619" s="213"/>
      <c r="E619" s="969"/>
      <c r="F619" s="970"/>
      <c r="G619" s="971"/>
      <c r="H619" s="161"/>
      <c r="I619" s="212"/>
      <c r="J619" s="617"/>
      <c r="K619" s="212"/>
      <c r="L619" s="225"/>
      <c r="M619" s="212"/>
    </row>
    <row r="620" spans="1:13" ht="30" customHeight="1" x14ac:dyDescent="0.3">
      <c r="C620" s="161"/>
      <c r="D620" s="213"/>
      <c r="E620" s="969"/>
      <c r="F620" s="970"/>
      <c r="G620" s="971"/>
      <c r="H620" s="161"/>
      <c r="I620" s="212"/>
      <c r="J620" s="617"/>
      <c r="K620" s="212"/>
      <c r="L620" s="225"/>
      <c r="M620" s="212"/>
    </row>
    <row r="621" spans="1:13" ht="30" customHeight="1" x14ac:dyDescent="0.3">
      <c r="C621" s="160"/>
      <c r="D621" s="210"/>
      <c r="E621" s="992"/>
      <c r="F621" s="993"/>
      <c r="G621" s="994"/>
      <c r="H621" s="160"/>
      <c r="I621" s="211"/>
      <c r="J621" s="616"/>
      <c r="K621" s="211"/>
      <c r="L621" s="224"/>
      <c r="M621" s="211"/>
    </row>
    <row r="622" spans="1:13" ht="30" customHeight="1" x14ac:dyDescent="0.3">
      <c r="C622" s="161"/>
      <c r="D622" s="213"/>
      <c r="E622" s="969"/>
      <c r="F622" s="970"/>
      <c r="G622" s="971"/>
      <c r="H622" s="161"/>
      <c r="I622" s="212"/>
      <c r="J622" s="617"/>
      <c r="K622" s="212"/>
      <c r="L622" s="225"/>
      <c r="M622" s="212"/>
    </row>
    <row r="623" spans="1:13" ht="30" customHeight="1" x14ac:dyDescent="0.3">
      <c r="C623" s="161"/>
      <c r="D623" s="213"/>
      <c r="E623" s="969"/>
      <c r="F623" s="970"/>
      <c r="G623" s="971"/>
      <c r="H623" s="161"/>
      <c r="I623" s="212"/>
      <c r="J623" s="617"/>
      <c r="K623" s="212"/>
      <c r="L623" s="225"/>
      <c r="M623" s="212"/>
    </row>
    <row r="624" spans="1:13" ht="30" customHeight="1" x14ac:dyDescent="0.3">
      <c r="C624" s="161"/>
      <c r="D624" s="213"/>
      <c r="E624" s="969"/>
      <c r="F624" s="970"/>
      <c r="G624" s="971"/>
      <c r="H624" s="161"/>
      <c r="I624" s="212"/>
      <c r="J624" s="617"/>
      <c r="K624" s="212"/>
      <c r="L624" s="225"/>
      <c r="M624" s="212"/>
    </row>
    <row r="625" spans="3:13" ht="30" customHeight="1" x14ac:dyDescent="0.3">
      <c r="C625" s="161"/>
      <c r="D625" s="213"/>
      <c r="E625" s="969"/>
      <c r="F625" s="970"/>
      <c r="G625" s="971"/>
      <c r="H625" s="161"/>
      <c r="I625" s="212"/>
      <c r="J625" s="617"/>
      <c r="K625" s="212"/>
      <c r="L625" s="225"/>
      <c r="M625" s="212"/>
    </row>
    <row r="626" spans="3:13" ht="30" customHeight="1" x14ac:dyDescent="0.3">
      <c r="C626" s="161"/>
      <c r="D626" s="213"/>
      <c r="E626" s="969"/>
      <c r="F626" s="970"/>
      <c r="G626" s="971"/>
      <c r="H626" s="161"/>
      <c r="I626" s="212"/>
      <c r="J626" s="617"/>
      <c r="K626" s="212"/>
      <c r="L626" s="225"/>
      <c r="M626" s="212"/>
    </row>
    <row r="627" spans="3:13" ht="30" customHeight="1" x14ac:dyDescent="0.3">
      <c r="C627" s="161"/>
      <c r="D627" s="213"/>
      <c r="E627" s="969"/>
      <c r="F627" s="970"/>
      <c r="G627" s="971"/>
      <c r="H627" s="161"/>
      <c r="I627" s="212"/>
      <c r="J627" s="617"/>
      <c r="K627" s="212"/>
      <c r="L627" s="225"/>
      <c r="M627" s="212"/>
    </row>
    <row r="628" spans="3:13" ht="30" customHeight="1" x14ac:dyDescent="0.3">
      <c r="C628" s="161"/>
      <c r="D628" s="213"/>
      <c r="E628" s="969"/>
      <c r="F628" s="970"/>
      <c r="G628" s="971"/>
      <c r="H628" s="161"/>
      <c r="I628" s="212"/>
      <c r="J628" s="617"/>
      <c r="K628" s="212"/>
      <c r="L628" s="225"/>
      <c r="M628" s="212"/>
    </row>
    <row r="629" spans="3:13" ht="30" customHeight="1" x14ac:dyDescent="0.3">
      <c r="C629" s="161"/>
      <c r="D629" s="213"/>
      <c r="E629" s="564"/>
      <c r="F629" s="565"/>
      <c r="G629" s="566"/>
      <c r="H629" s="161"/>
      <c r="I629" s="212"/>
      <c r="J629" s="617"/>
      <c r="K629" s="212"/>
      <c r="L629" s="225"/>
      <c r="M629" s="212"/>
    </row>
    <row r="630" spans="3:13" ht="30" customHeight="1" x14ac:dyDescent="0.3">
      <c r="C630" s="161"/>
      <c r="D630" s="213"/>
      <c r="E630" s="564"/>
      <c r="F630" s="565"/>
      <c r="G630" s="566"/>
      <c r="H630" s="161"/>
      <c r="I630" s="212"/>
      <c r="J630" s="617"/>
      <c r="K630" s="212"/>
      <c r="L630" s="225"/>
      <c r="M630" s="212"/>
    </row>
    <row r="631" spans="3:13" ht="30" customHeight="1" x14ac:dyDescent="0.3">
      <c r="C631" s="161"/>
      <c r="D631" s="213"/>
      <c r="E631" s="564"/>
      <c r="F631" s="565"/>
      <c r="G631" s="566"/>
      <c r="H631" s="161"/>
      <c r="I631" s="212"/>
      <c r="J631" s="617"/>
      <c r="K631" s="212"/>
      <c r="L631" s="225"/>
      <c r="M631" s="212"/>
    </row>
    <row r="632" spans="3:13" ht="30" customHeight="1" x14ac:dyDescent="0.3">
      <c r="C632" s="161"/>
      <c r="D632" s="213"/>
      <c r="E632" s="564"/>
      <c r="F632" s="565"/>
      <c r="G632" s="566"/>
      <c r="H632" s="161"/>
      <c r="I632" s="212"/>
      <c r="J632" s="617"/>
      <c r="K632" s="212"/>
      <c r="L632" s="225"/>
      <c r="M632" s="212"/>
    </row>
    <row r="633" spans="3:13" ht="30" customHeight="1" x14ac:dyDescent="0.3">
      <c r="C633" s="161"/>
      <c r="D633" s="213"/>
      <c r="E633" s="564"/>
      <c r="F633" s="565"/>
      <c r="G633" s="566"/>
      <c r="H633" s="161"/>
      <c r="I633" s="212"/>
      <c r="J633" s="617"/>
      <c r="K633" s="212"/>
      <c r="L633" s="225"/>
      <c r="M633" s="212"/>
    </row>
    <row r="634" spans="3:13" ht="30" customHeight="1" x14ac:dyDescent="0.3">
      <c r="C634" s="161"/>
      <c r="D634" s="213"/>
      <c r="E634" s="564"/>
      <c r="F634" s="565"/>
      <c r="G634" s="566"/>
      <c r="H634" s="161"/>
      <c r="I634" s="212"/>
      <c r="J634" s="617"/>
      <c r="K634" s="212"/>
      <c r="L634" s="225"/>
      <c r="M634" s="212"/>
    </row>
    <row r="635" spans="3:13" ht="30" customHeight="1" x14ac:dyDescent="0.3">
      <c r="C635" s="161"/>
      <c r="D635" s="213"/>
      <c r="E635" s="564"/>
      <c r="F635" s="565"/>
      <c r="G635" s="566"/>
      <c r="H635" s="161"/>
      <c r="I635" s="212"/>
      <c r="J635" s="617"/>
      <c r="K635" s="212"/>
      <c r="L635" s="225"/>
      <c r="M635" s="212"/>
    </row>
    <row r="636" spans="3:13" ht="30" customHeight="1" x14ac:dyDescent="0.3">
      <c r="C636" s="161"/>
      <c r="D636" s="213"/>
      <c r="E636" s="564"/>
      <c r="F636" s="565"/>
      <c r="G636" s="566"/>
      <c r="H636" s="161"/>
      <c r="I636" s="212"/>
      <c r="J636" s="617"/>
      <c r="K636" s="212"/>
      <c r="L636" s="225"/>
      <c r="M636" s="212"/>
    </row>
    <row r="637" spans="3:13" ht="30" customHeight="1" x14ac:dyDescent="0.3">
      <c r="C637" s="161"/>
      <c r="D637" s="213"/>
      <c r="E637" s="564"/>
      <c r="F637" s="565"/>
      <c r="G637" s="566"/>
      <c r="H637" s="161"/>
      <c r="I637" s="212"/>
      <c r="J637" s="617"/>
      <c r="K637" s="212"/>
      <c r="L637" s="225"/>
      <c r="M637" s="212"/>
    </row>
    <row r="638" spans="3:13" ht="30" customHeight="1" x14ac:dyDescent="0.3">
      <c r="C638" s="161"/>
      <c r="D638" s="213"/>
      <c r="E638" s="564"/>
      <c r="F638" s="565"/>
      <c r="G638" s="566"/>
      <c r="H638" s="161"/>
      <c r="I638" s="212"/>
      <c r="J638" s="617"/>
      <c r="K638" s="212"/>
      <c r="L638" s="225"/>
      <c r="M638" s="212"/>
    </row>
    <row r="639" spans="3:13" ht="30" customHeight="1" x14ac:dyDescent="0.3">
      <c r="C639" s="161"/>
      <c r="D639" s="213"/>
      <c r="E639" s="564"/>
      <c r="F639" s="565"/>
      <c r="G639" s="566"/>
      <c r="H639" s="161"/>
      <c r="I639" s="212"/>
      <c r="J639" s="617"/>
      <c r="K639" s="212"/>
      <c r="L639" s="225"/>
      <c r="M639" s="212"/>
    </row>
    <row r="640" spans="3:13" ht="30" customHeight="1" x14ac:dyDescent="0.3">
      <c r="C640" s="161"/>
      <c r="D640" s="213"/>
      <c r="E640" s="564"/>
      <c r="F640" s="565"/>
      <c r="G640" s="566"/>
      <c r="H640" s="161"/>
      <c r="I640" s="212"/>
      <c r="J640" s="617"/>
      <c r="K640" s="212"/>
      <c r="L640" s="225"/>
      <c r="M640" s="212"/>
    </row>
    <row r="641" spans="3:13" ht="30" customHeight="1" x14ac:dyDescent="0.3">
      <c r="C641" s="161"/>
      <c r="D641" s="213"/>
      <c r="E641" s="564"/>
      <c r="F641" s="565"/>
      <c r="G641" s="566"/>
      <c r="H641" s="161"/>
      <c r="I641" s="212"/>
      <c r="J641" s="617"/>
      <c r="K641" s="212"/>
      <c r="L641" s="225"/>
      <c r="M641" s="212"/>
    </row>
    <row r="642" spans="3:13" ht="30" customHeight="1" x14ac:dyDescent="0.3">
      <c r="C642" s="161"/>
      <c r="D642" s="161"/>
      <c r="E642" s="969"/>
      <c r="F642" s="970"/>
      <c r="G642" s="971"/>
      <c r="H642" s="161"/>
      <c r="I642" s="212"/>
      <c r="J642" s="617"/>
      <c r="K642" s="212"/>
      <c r="L642" s="225"/>
      <c r="M642" s="212"/>
    </row>
    <row r="643" spans="3:13" ht="30" customHeight="1" x14ac:dyDescent="0.3">
      <c r="C643" s="161"/>
      <c r="D643" s="161"/>
      <c r="E643" s="969"/>
      <c r="F643" s="970"/>
      <c r="G643" s="971"/>
      <c r="H643" s="161"/>
      <c r="I643" s="212"/>
      <c r="J643" s="617"/>
      <c r="K643" s="212"/>
      <c r="L643" s="225"/>
      <c r="M643" s="212"/>
    </row>
    <row r="644" spans="3:13" ht="30" customHeight="1" x14ac:dyDescent="0.3">
      <c r="C644" s="161"/>
      <c r="D644" s="161"/>
      <c r="E644" s="969"/>
      <c r="F644" s="970"/>
      <c r="G644" s="971"/>
      <c r="H644" s="161"/>
      <c r="I644" s="212"/>
      <c r="J644" s="617"/>
      <c r="K644" s="212"/>
      <c r="L644" s="225"/>
      <c r="M644" s="212"/>
    </row>
    <row r="645" spans="3:13" ht="30" customHeight="1" x14ac:dyDescent="0.3">
      <c r="C645" s="161"/>
      <c r="D645" s="161"/>
      <c r="E645" s="969"/>
      <c r="F645" s="970"/>
      <c r="G645" s="971"/>
      <c r="H645" s="161"/>
      <c r="I645" s="212"/>
      <c r="J645" s="617"/>
      <c r="K645" s="212"/>
      <c r="L645" s="225"/>
      <c r="M645" s="212"/>
    </row>
    <row r="646" spans="3:13" ht="30" customHeight="1" x14ac:dyDescent="0.3">
      <c r="C646" s="161"/>
      <c r="D646" s="161"/>
      <c r="E646" s="969"/>
      <c r="F646" s="970"/>
      <c r="G646" s="971"/>
      <c r="H646" s="161"/>
      <c r="I646" s="212"/>
      <c r="J646" s="617"/>
      <c r="K646" s="212"/>
      <c r="L646" s="225"/>
      <c r="M646" s="212"/>
    </row>
    <row r="647" spans="3:13" ht="30" customHeight="1" x14ac:dyDescent="0.3">
      <c r="C647" s="161"/>
      <c r="D647" s="161"/>
      <c r="E647" s="969"/>
      <c r="F647" s="970"/>
      <c r="G647" s="971"/>
      <c r="H647" s="161"/>
      <c r="I647" s="212"/>
      <c r="J647" s="617"/>
      <c r="K647" s="212"/>
      <c r="L647" s="225"/>
      <c r="M647" s="212"/>
    </row>
    <row r="648" spans="3:13" ht="30" customHeight="1" x14ac:dyDescent="0.3">
      <c r="C648" s="161"/>
      <c r="D648" s="161"/>
      <c r="E648" s="969"/>
      <c r="F648" s="970"/>
      <c r="G648" s="971"/>
      <c r="H648" s="161"/>
      <c r="I648" s="212"/>
      <c r="J648" s="617"/>
      <c r="K648" s="212"/>
      <c r="L648" s="225"/>
      <c r="M648" s="212"/>
    </row>
    <row r="649" spans="3:13" ht="30" customHeight="1" x14ac:dyDescent="0.3">
      <c r="C649" s="161"/>
      <c r="D649" s="161"/>
      <c r="E649" s="969"/>
      <c r="F649" s="970"/>
      <c r="G649" s="971"/>
      <c r="H649" s="161"/>
      <c r="I649" s="212"/>
      <c r="J649" s="617"/>
      <c r="K649" s="212"/>
      <c r="L649" s="225"/>
      <c r="M649" s="212"/>
    </row>
    <row r="650" spans="3:13" ht="30" customHeight="1" x14ac:dyDescent="0.3">
      <c r="C650" s="161"/>
      <c r="D650" s="161"/>
      <c r="E650" s="969"/>
      <c r="F650" s="970"/>
      <c r="G650" s="971"/>
      <c r="H650" s="161"/>
      <c r="I650" s="212"/>
      <c r="J650" s="617"/>
      <c r="K650" s="212"/>
      <c r="L650" s="225"/>
      <c r="M650" s="212"/>
    </row>
    <row r="651" spans="3:13" ht="30" customHeight="1" x14ac:dyDescent="0.3">
      <c r="C651" s="1377"/>
      <c r="D651" s="1377"/>
      <c r="E651" s="1377"/>
      <c r="F651" s="1378"/>
      <c r="G651" s="1378"/>
      <c r="H651" s="1377"/>
      <c r="I651" s="1377"/>
      <c r="J651" s="1377"/>
      <c r="K651" s="1377"/>
      <c r="L651" s="1377"/>
      <c r="M651" s="1377"/>
    </row>
    <row r="652" spans="3:13" ht="19.95" customHeight="1" x14ac:dyDescent="0.3">
      <c r="C652" s="1024"/>
      <c r="D652" s="1024"/>
      <c r="E652" s="1024"/>
      <c r="F652" s="1280"/>
      <c r="G652" s="1280"/>
      <c r="H652" s="1280"/>
      <c r="I652" s="1280"/>
      <c r="J652" s="1280"/>
      <c r="K652" s="1280"/>
      <c r="L652" s="1280"/>
      <c r="M652" s="1280"/>
    </row>
    <row r="653" spans="3:13" ht="15" customHeight="1" x14ac:dyDescent="0.3">
      <c r="D653" s="28"/>
      <c r="E653" s="666"/>
      <c r="F653" s="666"/>
      <c r="G653" s="666"/>
      <c r="H653" s="1280"/>
      <c r="I653" s="1280"/>
      <c r="J653" s="1280"/>
      <c r="K653" s="1280"/>
      <c r="L653" s="1280"/>
      <c r="M653" s="1280"/>
    </row>
    <row r="654" spans="3:13" ht="15" customHeight="1" x14ac:dyDescent="0.3">
      <c r="D654" s="28"/>
      <c r="E654" s="666"/>
      <c r="F654" s="666"/>
      <c r="G654" s="666"/>
      <c r="H654" s="1280"/>
      <c r="I654" s="1280"/>
      <c r="J654" s="1280"/>
      <c r="K654" s="1280"/>
      <c r="L654" s="1280"/>
      <c r="M654" s="1280"/>
    </row>
    <row r="655" spans="3:13" ht="15" customHeight="1" x14ac:dyDescent="0.3">
      <c r="D655" s="28"/>
      <c r="E655" s="666"/>
      <c r="F655" s="666"/>
      <c r="G655" s="666"/>
      <c r="H655" s="109"/>
      <c r="I655" s="109"/>
      <c r="J655" s="667"/>
      <c r="K655" s="109"/>
      <c r="L655" s="109"/>
      <c r="M655" s="109"/>
    </row>
    <row r="656" spans="3:13" ht="15" customHeight="1" x14ac:dyDescent="0.3">
      <c r="D656" s="28"/>
      <c r="E656" s="666"/>
      <c r="F656" s="1280"/>
      <c r="G656" s="1280"/>
      <c r="H656" s="1280"/>
      <c r="I656" s="1280"/>
      <c r="J656" s="1280"/>
      <c r="K656" s="110"/>
      <c r="L656" s="1280"/>
      <c r="M656" s="1280"/>
    </row>
    <row r="657" spans="1:13" ht="15" customHeight="1" x14ac:dyDescent="0.3">
      <c r="D657" s="28"/>
      <c r="E657" s="666"/>
      <c r="F657" s="1280"/>
      <c r="G657" s="1280"/>
      <c r="H657" s="1280"/>
      <c r="I657" s="1280"/>
      <c r="J657" s="1280"/>
      <c r="K657" s="1280"/>
      <c r="L657" s="1280"/>
      <c r="M657" s="1280"/>
    </row>
    <row r="658" spans="1:13" ht="15" customHeight="1" x14ac:dyDescent="0.3">
      <c r="D658" s="28"/>
      <c r="E658" s="666"/>
      <c r="F658" s="110"/>
      <c r="G658" s="110"/>
      <c r="H658" s="1280"/>
      <c r="I658" s="1280"/>
      <c r="J658" s="1280"/>
      <c r="K658" s="110"/>
      <c r="L658" s="1280"/>
      <c r="M658" s="1280"/>
    </row>
    <row r="659" spans="1:13" ht="15" customHeight="1" x14ac:dyDescent="0.3">
      <c r="D659" s="28"/>
      <c r="E659" s="666"/>
      <c r="F659" s="666"/>
      <c r="G659" s="666"/>
      <c r="H659" s="28"/>
      <c r="I659" s="214"/>
      <c r="J659" s="618"/>
    </row>
    <row r="660" spans="1:13" ht="15" customHeight="1" x14ac:dyDescent="0.3">
      <c r="D660" s="28"/>
      <c r="E660" s="666"/>
      <c r="F660" s="666"/>
      <c r="G660" s="666"/>
      <c r="H660" s="28"/>
      <c r="I660" s="214"/>
      <c r="J660" s="618"/>
    </row>
    <row r="661" spans="1:13" ht="15" customHeight="1" x14ac:dyDescent="0.3">
      <c r="C661" s="1280"/>
      <c r="D661" s="1024"/>
      <c r="E661" s="1024"/>
      <c r="F661" s="1280"/>
      <c r="G661" s="1280"/>
      <c r="H661" s="1280"/>
      <c r="I661" s="1024"/>
      <c r="J661" s="1024"/>
      <c r="K661" s="1024"/>
      <c r="L661" s="1024"/>
      <c r="M661" s="1024"/>
    </row>
    <row r="662" spans="1:13" ht="15" customHeight="1" x14ac:dyDescent="0.3">
      <c r="A662" s="262" t="s">
        <v>1290</v>
      </c>
      <c r="C662" s="1024"/>
      <c r="D662" s="1024"/>
      <c r="E662" s="1024"/>
      <c r="F662" s="1280"/>
      <c r="G662" s="1280"/>
      <c r="H662" s="1024"/>
      <c r="I662" s="1024"/>
      <c r="J662" s="1024"/>
      <c r="K662" s="1024"/>
      <c r="L662" s="1024"/>
      <c r="M662" s="1024"/>
    </row>
    <row r="663" spans="1:13" ht="30" customHeight="1" x14ac:dyDescent="0.3">
      <c r="C663" s="563"/>
      <c r="D663" s="668"/>
      <c r="E663" s="669"/>
      <c r="F663" s="670"/>
      <c r="G663" s="671"/>
      <c r="H663" s="563"/>
      <c r="I663" s="672"/>
      <c r="J663" s="673"/>
      <c r="K663" s="672"/>
      <c r="L663" s="672"/>
      <c r="M663" s="672"/>
    </row>
    <row r="664" spans="1:13" ht="30" customHeight="1" x14ac:dyDescent="0.3">
      <c r="C664" s="160"/>
      <c r="D664" s="160"/>
      <c r="E664" s="992"/>
      <c r="F664" s="993"/>
      <c r="G664" s="994"/>
      <c r="H664" s="160"/>
      <c r="I664" s="211"/>
      <c r="J664" s="616"/>
      <c r="K664" s="211"/>
      <c r="L664" s="224"/>
      <c r="M664" s="211"/>
    </row>
    <row r="665" spans="1:13" ht="30" customHeight="1" x14ac:dyDescent="0.3">
      <c r="C665" s="161"/>
      <c r="D665" s="161"/>
      <c r="E665" s="969"/>
      <c r="F665" s="970"/>
      <c r="G665" s="971"/>
      <c r="H665" s="161"/>
      <c r="I665" s="212"/>
      <c r="J665" s="617"/>
      <c r="K665" s="212"/>
      <c r="L665" s="227"/>
      <c r="M665" s="226"/>
    </row>
    <row r="666" spans="1:13" ht="30" customHeight="1" x14ac:dyDescent="0.3">
      <c r="C666" s="161"/>
      <c r="D666" s="161"/>
      <c r="E666" s="969"/>
      <c r="F666" s="970"/>
      <c r="G666" s="971"/>
      <c r="H666" s="161"/>
      <c r="I666" s="212"/>
      <c r="J666" s="617"/>
      <c r="K666" s="212"/>
      <c r="L666" s="227"/>
      <c r="M666" s="226"/>
    </row>
    <row r="667" spans="1:13" ht="30" customHeight="1" x14ac:dyDescent="0.3">
      <c r="C667" s="161"/>
      <c r="D667" s="161"/>
      <c r="E667" s="969"/>
      <c r="F667" s="970"/>
      <c r="G667" s="971"/>
      <c r="H667" s="161"/>
      <c r="I667" s="212"/>
      <c r="J667" s="617"/>
      <c r="K667" s="212"/>
      <c r="L667" s="225"/>
      <c r="M667" s="212"/>
    </row>
    <row r="668" spans="1:13" ht="30" customHeight="1" x14ac:dyDescent="0.3">
      <c r="C668" s="161"/>
      <c r="D668" s="161"/>
      <c r="E668" s="969"/>
      <c r="F668" s="970"/>
      <c r="G668" s="971"/>
      <c r="H668" s="161"/>
      <c r="I668" s="212"/>
      <c r="J668" s="617"/>
      <c r="K668" s="212"/>
      <c r="L668" s="225"/>
      <c r="M668" s="212"/>
    </row>
    <row r="669" spans="1:13" ht="30" customHeight="1" x14ac:dyDescent="0.3">
      <c r="C669" s="161"/>
      <c r="D669" s="161"/>
      <c r="E669" s="969"/>
      <c r="F669" s="970"/>
      <c r="G669" s="971"/>
      <c r="H669" s="161"/>
      <c r="I669" s="212"/>
      <c r="J669" s="617"/>
      <c r="K669" s="212"/>
      <c r="L669" s="225"/>
      <c r="M669" s="212"/>
    </row>
    <row r="670" spans="1:13" ht="30" customHeight="1" x14ac:dyDescent="0.3">
      <c r="C670" s="161"/>
      <c r="D670" s="161"/>
      <c r="E670" s="969"/>
      <c r="F670" s="970"/>
      <c r="G670" s="971"/>
      <c r="H670" s="161"/>
      <c r="I670" s="212"/>
      <c r="J670" s="617"/>
      <c r="K670" s="212"/>
      <c r="L670" s="225"/>
      <c r="M670" s="212"/>
    </row>
    <row r="671" spans="1:13" ht="30" customHeight="1" x14ac:dyDescent="0.3">
      <c r="C671" s="161"/>
      <c r="D671" s="161"/>
      <c r="E671" s="969"/>
      <c r="F671" s="970"/>
      <c r="G671" s="971"/>
      <c r="H671" s="161"/>
      <c r="I671" s="212"/>
      <c r="J671" s="617"/>
      <c r="K671" s="212"/>
      <c r="L671" s="225"/>
      <c r="M671" s="212"/>
    </row>
    <row r="672" spans="1:13" ht="30" customHeight="1" x14ac:dyDescent="0.3">
      <c r="C672" s="161"/>
      <c r="D672" s="161"/>
      <c r="E672" s="969"/>
      <c r="F672" s="970"/>
      <c r="G672" s="971"/>
      <c r="H672" s="161"/>
      <c r="I672" s="212"/>
      <c r="J672" s="617"/>
      <c r="K672" s="212"/>
      <c r="L672" s="225"/>
      <c r="M672" s="212"/>
    </row>
    <row r="673" spans="3:13" ht="30" customHeight="1" x14ac:dyDescent="0.3">
      <c r="C673" s="161"/>
      <c r="D673" s="161"/>
      <c r="E673" s="969"/>
      <c r="F673" s="970"/>
      <c r="G673" s="971"/>
      <c r="H673" s="161"/>
      <c r="I673" s="212"/>
      <c r="J673" s="617"/>
      <c r="K673" s="212"/>
      <c r="L673" s="225"/>
      <c r="M673" s="212"/>
    </row>
    <row r="674" spans="3:13" ht="30" customHeight="1" x14ac:dyDescent="0.3">
      <c r="C674" s="161"/>
      <c r="D674" s="161"/>
      <c r="E674" s="969"/>
      <c r="F674" s="970"/>
      <c r="G674" s="971"/>
      <c r="H674" s="161"/>
      <c r="I674" s="212"/>
      <c r="J674" s="617"/>
      <c r="K674" s="212"/>
      <c r="L674" s="225"/>
      <c r="M674" s="212"/>
    </row>
    <row r="675" spans="3:13" ht="30" customHeight="1" x14ac:dyDescent="0.3">
      <c r="C675" s="161"/>
      <c r="D675" s="161"/>
      <c r="E675" s="969"/>
      <c r="F675" s="970"/>
      <c r="G675" s="971"/>
      <c r="H675" s="161"/>
      <c r="I675" s="212"/>
      <c r="J675" s="617"/>
      <c r="K675" s="212"/>
      <c r="L675" s="225"/>
      <c r="M675" s="212"/>
    </row>
    <row r="676" spans="3:13" ht="30" customHeight="1" x14ac:dyDescent="0.3">
      <c r="C676" s="161"/>
      <c r="D676" s="161"/>
      <c r="E676" s="969"/>
      <c r="F676" s="970"/>
      <c r="G676" s="971"/>
      <c r="H676" s="161"/>
      <c r="I676" s="212"/>
      <c r="J676" s="617"/>
      <c r="K676" s="212"/>
      <c r="L676" s="225"/>
      <c r="M676" s="212"/>
    </row>
    <row r="677" spans="3:13" ht="30" customHeight="1" x14ac:dyDescent="0.3">
      <c r="C677" s="161"/>
      <c r="D677" s="161"/>
      <c r="E677" s="969"/>
      <c r="F677" s="970"/>
      <c r="G677" s="971"/>
      <c r="H677" s="161"/>
      <c r="I677" s="212"/>
      <c r="J677" s="617"/>
      <c r="K677" s="212"/>
      <c r="L677" s="225"/>
      <c r="M677" s="212"/>
    </row>
    <row r="678" spans="3:13" ht="30" customHeight="1" x14ac:dyDescent="0.3">
      <c r="C678" s="161"/>
      <c r="D678" s="161"/>
      <c r="E678" s="969"/>
      <c r="F678" s="970"/>
      <c r="G678" s="971"/>
      <c r="H678" s="161"/>
      <c r="I678" s="212"/>
      <c r="J678" s="617"/>
      <c r="K678" s="212"/>
      <c r="L678" s="225"/>
      <c r="M678" s="212"/>
    </row>
    <row r="679" spans="3:13" ht="30" customHeight="1" x14ac:dyDescent="0.3">
      <c r="C679" s="161"/>
      <c r="D679" s="161"/>
      <c r="E679" s="969"/>
      <c r="F679" s="970"/>
      <c r="G679" s="971"/>
      <c r="H679" s="161"/>
      <c r="I679" s="212"/>
      <c r="J679" s="617"/>
      <c r="K679" s="212"/>
      <c r="L679" s="225"/>
      <c r="M679" s="212"/>
    </row>
    <row r="680" spans="3:13" ht="30" customHeight="1" x14ac:dyDescent="0.3">
      <c r="C680" s="161"/>
      <c r="D680" s="161"/>
      <c r="E680" s="969"/>
      <c r="F680" s="970"/>
      <c r="G680" s="971"/>
      <c r="H680" s="161"/>
      <c r="I680" s="212"/>
      <c r="J680" s="617"/>
      <c r="K680" s="212"/>
      <c r="L680" s="225"/>
      <c r="M680" s="212"/>
    </row>
    <row r="681" spans="3:13" ht="30" customHeight="1" x14ac:dyDescent="0.3">
      <c r="C681" s="161"/>
      <c r="D681" s="161"/>
      <c r="E681" s="969"/>
      <c r="F681" s="970"/>
      <c r="G681" s="971"/>
      <c r="H681" s="161"/>
      <c r="I681" s="212"/>
      <c r="J681" s="617"/>
      <c r="K681" s="212"/>
      <c r="L681" s="225"/>
      <c r="M681" s="212"/>
    </row>
    <row r="682" spans="3:13" ht="30" customHeight="1" x14ac:dyDescent="0.3">
      <c r="C682" s="161"/>
      <c r="D682" s="161"/>
      <c r="E682" s="969"/>
      <c r="F682" s="970"/>
      <c r="G682" s="971"/>
      <c r="H682" s="161"/>
      <c r="I682" s="212"/>
      <c r="J682" s="617"/>
      <c r="K682" s="212"/>
      <c r="L682" s="225"/>
      <c r="M682" s="212"/>
    </row>
    <row r="683" spans="3:13" ht="30" customHeight="1" x14ac:dyDescent="0.3">
      <c r="C683" s="161"/>
      <c r="D683" s="161"/>
      <c r="E683" s="969"/>
      <c r="F683" s="970"/>
      <c r="G683" s="971"/>
      <c r="H683" s="161"/>
      <c r="I683" s="212"/>
      <c r="J683" s="617"/>
      <c r="K683" s="212"/>
      <c r="L683" s="225"/>
      <c r="M683" s="212"/>
    </row>
    <row r="684" spans="3:13" ht="30" customHeight="1" x14ac:dyDescent="0.3">
      <c r="C684" s="161"/>
      <c r="D684" s="161"/>
      <c r="E684" s="564"/>
      <c r="F684" s="565"/>
      <c r="G684" s="566"/>
      <c r="H684" s="161"/>
      <c r="I684" s="212"/>
      <c r="J684" s="617"/>
      <c r="K684" s="212"/>
      <c r="L684" s="225"/>
      <c r="M684" s="212"/>
    </row>
    <row r="685" spans="3:13" ht="30" customHeight="1" x14ac:dyDescent="0.3">
      <c r="C685" s="161"/>
      <c r="D685" s="161"/>
      <c r="E685" s="564"/>
      <c r="F685" s="565"/>
      <c r="G685" s="566"/>
      <c r="H685" s="161"/>
      <c r="I685" s="212"/>
      <c r="J685" s="617"/>
      <c r="K685" s="212"/>
      <c r="L685" s="225"/>
      <c r="M685" s="212"/>
    </row>
    <row r="686" spans="3:13" ht="30" customHeight="1" x14ac:dyDescent="0.3">
      <c r="C686" s="161"/>
      <c r="D686" s="161"/>
      <c r="E686" s="564"/>
      <c r="F686" s="565"/>
      <c r="G686" s="566"/>
      <c r="H686" s="161"/>
      <c r="I686" s="212"/>
      <c r="J686" s="617"/>
      <c r="K686" s="212"/>
      <c r="L686" s="225"/>
      <c r="M686" s="212"/>
    </row>
    <row r="687" spans="3:13" ht="30" customHeight="1" x14ac:dyDescent="0.3">
      <c r="C687" s="161"/>
      <c r="D687" s="161"/>
      <c r="E687" s="564"/>
      <c r="F687" s="565"/>
      <c r="G687" s="566"/>
      <c r="H687" s="161"/>
      <c r="I687" s="212"/>
      <c r="J687" s="617"/>
      <c r="K687" s="212"/>
      <c r="L687" s="225"/>
      <c r="M687" s="212"/>
    </row>
    <row r="688" spans="3:13" ht="30" customHeight="1" x14ac:dyDescent="0.3">
      <c r="C688" s="161"/>
      <c r="D688" s="161"/>
      <c r="E688" s="564"/>
      <c r="F688" s="565"/>
      <c r="G688" s="566"/>
      <c r="H688" s="161"/>
      <c r="I688" s="212"/>
      <c r="J688" s="617"/>
      <c r="K688" s="212"/>
      <c r="L688" s="225"/>
      <c r="M688" s="212"/>
    </row>
    <row r="689" spans="3:13" ht="30" customHeight="1" x14ac:dyDescent="0.3">
      <c r="C689" s="161"/>
      <c r="D689" s="161"/>
      <c r="E689" s="564"/>
      <c r="F689" s="565"/>
      <c r="G689" s="566"/>
      <c r="H689" s="161"/>
      <c r="I689" s="212"/>
      <c r="J689" s="617"/>
      <c r="K689" s="212"/>
      <c r="L689" s="225"/>
      <c r="M689" s="212"/>
    </row>
    <row r="690" spans="3:13" ht="30" customHeight="1" x14ac:dyDescent="0.3">
      <c r="C690" s="161"/>
      <c r="D690" s="161"/>
      <c r="E690" s="564"/>
      <c r="F690" s="565"/>
      <c r="G690" s="566"/>
      <c r="H690" s="161"/>
      <c r="I690" s="212"/>
      <c r="J690" s="617"/>
      <c r="K690" s="212"/>
      <c r="L690" s="225"/>
      <c r="M690" s="212"/>
    </row>
    <row r="691" spans="3:13" ht="30" customHeight="1" x14ac:dyDescent="0.3">
      <c r="C691" s="161"/>
      <c r="D691" s="161"/>
      <c r="E691" s="564"/>
      <c r="F691" s="565"/>
      <c r="G691" s="566"/>
      <c r="H691" s="161"/>
      <c r="I691" s="212"/>
      <c r="J691" s="617"/>
      <c r="K691" s="212"/>
      <c r="L691" s="225"/>
      <c r="M691" s="212"/>
    </row>
    <row r="692" spans="3:13" ht="30" customHeight="1" x14ac:dyDescent="0.3">
      <c r="C692" s="161"/>
      <c r="D692" s="161"/>
      <c r="E692" s="564"/>
      <c r="F692" s="565"/>
      <c r="G692" s="566"/>
      <c r="H692" s="161"/>
      <c r="I692" s="212"/>
      <c r="J692" s="617"/>
      <c r="K692" s="212"/>
      <c r="L692" s="225"/>
      <c r="M692" s="212"/>
    </row>
    <row r="693" spans="3:13" ht="30" customHeight="1" x14ac:dyDescent="0.3">
      <c r="C693" s="161"/>
      <c r="D693" s="161"/>
      <c r="E693" s="969"/>
      <c r="F693" s="970"/>
      <c r="G693" s="971"/>
      <c r="H693" s="161"/>
      <c r="I693" s="212"/>
      <c r="J693" s="617"/>
      <c r="K693" s="212"/>
      <c r="L693" s="225"/>
      <c r="M693" s="212"/>
    </row>
    <row r="694" spans="3:13" ht="30" customHeight="1" x14ac:dyDescent="0.3">
      <c r="C694" s="161"/>
      <c r="D694" s="161"/>
      <c r="E694" s="969"/>
      <c r="F694" s="970"/>
      <c r="G694" s="971"/>
      <c r="H694" s="161"/>
      <c r="I694" s="212"/>
      <c r="J694" s="617"/>
      <c r="K694" s="212"/>
      <c r="L694" s="225"/>
      <c r="M694" s="212"/>
    </row>
    <row r="695" spans="3:13" ht="30" customHeight="1" x14ac:dyDescent="0.3">
      <c r="C695" s="161"/>
      <c r="D695" s="161"/>
      <c r="E695" s="969"/>
      <c r="F695" s="970"/>
      <c r="G695" s="971"/>
      <c r="H695" s="161"/>
      <c r="I695" s="212"/>
      <c r="J695" s="617"/>
      <c r="K695" s="212"/>
      <c r="L695" s="225"/>
      <c r="M695" s="212"/>
    </row>
    <row r="696" spans="3:13" ht="30" customHeight="1" x14ac:dyDescent="0.3">
      <c r="C696" s="161"/>
      <c r="D696" s="161"/>
      <c r="E696" s="969"/>
      <c r="F696" s="970"/>
      <c r="G696" s="971"/>
      <c r="H696" s="161"/>
      <c r="I696" s="212"/>
      <c r="J696" s="617"/>
      <c r="K696" s="212"/>
      <c r="L696" s="225"/>
      <c r="M696" s="212"/>
    </row>
    <row r="697" spans="3:13" ht="30" customHeight="1" x14ac:dyDescent="0.3">
      <c r="C697" s="1375"/>
      <c r="D697" s="1375"/>
      <c r="E697" s="1375"/>
      <c r="F697" s="1376"/>
      <c r="G697" s="1376"/>
      <c r="H697" s="1375"/>
      <c r="I697" s="1375"/>
      <c r="J697" s="1375"/>
      <c r="K697" s="1375"/>
      <c r="L697" s="1375"/>
      <c r="M697" s="1375"/>
    </row>
    <row r="698" spans="3:13" ht="19.95" customHeight="1" x14ac:dyDescent="0.3">
      <c r="C698" s="1024"/>
      <c r="D698" s="1024"/>
      <c r="E698" s="1024"/>
      <c r="F698" s="1280"/>
      <c r="G698" s="1280"/>
      <c r="H698" s="1280"/>
      <c r="I698" s="1280"/>
      <c r="J698" s="1280"/>
      <c r="K698" s="1280"/>
      <c r="L698" s="1280"/>
      <c r="M698" s="1280"/>
    </row>
    <row r="699" spans="3:13" ht="15" customHeight="1" x14ac:dyDescent="0.3">
      <c r="D699" s="28"/>
      <c r="E699" s="666"/>
      <c r="F699" s="666"/>
      <c r="G699" s="666"/>
      <c r="H699" s="1280"/>
      <c r="I699" s="1280"/>
      <c r="J699" s="1280"/>
      <c r="K699" s="1280"/>
      <c r="L699" s="1280"/>
      <c r="M699" s="1280"/>
    </row>
    <row r="700" spans="3:13" ht="15" customHeight="1" x14ac:dyDescent="0.3">
      <c r="D700" s="28"/>
      <c r="E700" s="666"/>
      <c r="F700" s="666"/>
      <c r="G700" s="666"/>
      <c r="H700" s="1280"/>
      <c r="I700" s="1280"/>
      <c r="J700" s="1280"/>
      <c r="K700" s="1280"/>
      <c r="L700" s="1280"/>
      <c r="M700" s="1280"/>
    </row>
    <row r="701" spans="3:13" ht="15" customHeight="1" x14ac:dyDescent="0.3">
      <c r="D701" s="28"/>
      <c r="E701" s="666"/>
      <c r="F701" s="666"/>
      <c r="G701" s="666"/>
      <c r="H701" s="109"/>
      <c r="I701" s="109"/>
      <c r="J701" s="667"/>
      <c r="K701" s="109"/>
      <c r="L701" s="109"/>
      <c r="M701" s="109"/>
    </row>
    <row r="702" spans="3:13" ht="15" customHeight="1" x14ac:dyDescent="0.3">
      <c r="D702" s="28"/>
      <c r="E702" s="666"/>
      <c r="F702" s="1280"/>
      <c r="G702" s="1280"/>
      <c r="H702" s="110"/>
      <c r="I702" s="110"/>
      <c r="J702" s="1280"/>
      <c r="K702" s="1280"/>
      <c r="L702" s="1280"/>
      <c r="M702" s="110"/>
    </row>
    <row r="703" spans="3:13" ht="15" customHeight="1" x14ac:dyDescent="0.3">
      <c r="D703" s="28"/>
      <c r="E703" s="666"/>
      <c r="F703" s="1280"/>
      <c r="G703" s="1280"/>
      <c r="H703" s="110"/>
      <c r="I703" s="110"/>
      <c r="J703" s="1280"/>
      <c r="K703" s="1280"/>
      <c r="L703" s="1280"/>
      <c r="M703" s="110"/>
    </row>
    <row r="704" spans="3:13" ht="15" customHeight="1" x14ac:dyDescent="0.3">
      <c r="D704" s="28"/>
      <c r="E704" s="666"/>
      <c r="F704" s="110"/>
      <c r="G704" s="110"/>
      <c r="H704" s="110"/>
      <c r="I704" s="110"/>
      <c r="J704" s="1280"/>
      <c r="K704" s="1280"/>
      <c r="L704" s="1280"/>
      <c r="M704" s="110"/>
    </row>
    <row r="705" spans="1:13" ht="15" customHeight="1" x14ac:dyDescent="0.3">
      <c r="D705" s="28"/>
      <c r="E705" s="666"/>
      <c r="F705" s="666"/>
      <c r="G705" s="666"/>
      <c r="H705" s="28"/>
      <c r="I705" s="214"/>
      <c r="J705" s="618"/>
    </row>
    <row r="706" spans="1:13" ht="15" customHeight="1" x14ac:dyDescent="0.3">
      <c r="D706" s="28"/>
      <c r="E706" s="666"/>
      <c r="F706" s="666"/>
      <c r="G706" s="666"/>
      <c r="H706" s="28"/>
      <c r="I706" s="214"/>
      <c r="J706" s="618"/>
    </row>
    <row r="707" spans="1:13" ht="15" customHeight="1" x14ac:dyDescent="0.3">
      <c r="C707" s="1280"/>
      <c r="D707" s="1024"/>
      <c r="E707" s="1024"/>
      <c r="F707" s="1280"/>
      <c r="G707" s="1280"/>
      <c r="H707" s="1280"/>
      <c r="I707" s="1024"/>
      <c r="J707" s="1024"/>
      <c r="K707" s="1024"/>
      <c r="L707" s="1024"/>
      <c r="M707" s="1024"/>
    </row>
    <row r="708" spans="1:13" ht="15" customHeight="1" x14ac:dyDescent="0.3">
      <c r="A708" s="262" t="s">
        <v>1290</v>
      </c>
      <c r="C708" s="1024"/>
      <c r="D708" s="1024"/>
      <c r="E708" s="1024"/>
      <c r="F708" s="1280"/>
      <c r="G708" s="1280"/>
      <c r="H708" s="1024"/>
      <c r="I708" s="1024"/>
      <c r="J708" s="1024"/>
      <c r="K708" s="1024"/>
      <c r="L708" s="1024"/>
      <c r="M708" s="1024"/>
    </row>
    <row r="709" spans="1:13" ht="30" customHeight="1" x14ac:dyDescent="0.3">
      <c r="C709" s="563"/>
      <c r="D709" s="668"/>
      <c r="E709" s="669"/>
      <c r="F709" s="670"/>
      <c r="G709" s="671"/>
      <c r="H709" s="563"/>
      <c r="I709" s="672"/>
      <c r="J709" s="680"/>
      <c r="K709" s="672"/>
      <c r="L709" s="672"/>
      <c r="M709" s="672"/>
    </row>
    <row r="710" spans="1:13" ht="30" customHeight="1" x14ac:dyDescent="0.3">
      <c r="C710" s="161"/>
      <c r="D710" s="161"/>
      <c r="E710" s="969"/>
      <c r="F710" s="970"/>
      <c r="G710" s="971"/>
      <c r="H710" s="161"/>
      <c r="I710" s="212"/>
      <c r="J710" s="619"/>
      <c r="K710" s="489"/>
      <c r="L710" s="490"/>
      <c r="M710" s="489"/>
    </row>
    <row r="711" spans="1:13" ht="30" customHeight="1" x14ac:dyDescent="0.3">
      <c r="C711" s="161"/>
      <c r="D711" s="161"/>
      <c r="E711" s="969"/>
      <c r="F711" s="970"/>
      <c r="G711" s="971"/>
      <c r="H711" s="161"/>
      <c r="I711" s="212"/>
      <c r="J711" s="617"/>
      <c r="K711" s="226"/>
      <c r="L711" s="227"/>
      <c r="M711" s="226"/>
    </row>
    <row r="712" spans="1:13" ht="30" customHeight="1" x14ac:dyDescent="0.3">
      <c r="C712" s="161"/>
      <c r="D712" s="161"/>
      <c r="E712" s="969"/>
      <c r="F712" s="970"/>
      <c r="G712" s="971"/>
      <c r="H712" s="161"/>
      <c r="I712" s="212"/>
      <c r="J712" s="617"/>
      <c r="K712" s="226"/>
      <c r="L712" s="227"/>
      <c r="M712" s="226"/>
    </row>
    <row r="713" spans="1:13" ht="30" customHeight="1" x14ac:dyDescent="0.3">
      <c r="C713" s="161"/>
      <c r="D713" s="161"/>
      <c r="E713" s="969"/>
      <c r="F713" s="970"/>
      <c r="G713" s="971"/>
      <c r="H713" s="161"/>
      <c r="I713" s="212"/>
      <c r="J713" s="617"/>
      <c r="K713" s="226"/>
      <c r="L713" s="227"/>
      <c r="M713" s="226"/>
    </row>
    <row r="714" spans="1:13" ht="30" customHeight="1" x14ac:dyDescent="0.3">
      <c r="C714" s="161"/>
      <c r="D714" s="161"/>
      <c r="E714" s="969"/>
      <c r="F714" s="970"/>
      <c r="G714" s="971"/>
      <c r="H714" s="161"/>
      <c r="I714" s="212"/>
      <c r="J714" s="617"/>
      <c r="K714" s="226"/>
      <c r="L714" s="227"/>
      <c r="M714" s="226"/>
    </row>
    <row r="715" spans="1:13" ht="30" customHeight="1" x14ac:dyDescent="0.3">
      <c r="C715" s="161"/>
      <c r="D715" s="161"/>
      <c r="E715" s="969"/>
      <c r="F715" s="970"/>
      <c r="G715" s="971"/>
      <c r="H715" s="161"/>
      <c r="I715" s="212"/>
      <c r="J715" s="617"/>
      <c r="K715" s="226"/>
      <c r="L715" s="227"/>
      <c r="M715" s="226"/>
    </row>
    <row r="716" spans="1:13" ht="30" customHeight="1" x14ac:dyDescent="0.3">
      <c r="C716" s="161"/>
      <c r="D716" s="161"/>
      <c r="E716" s="969"/>
      <c r="F716" s="970"/>
      <c r="G716" s="971"/>
      <c r="H716" s="161"/>
      <c r="I716" s="212"/>
      <c r="J716" s="617"/>
      <c r="K716" s="212"/>
      <c r="L716" s="225"/>
      <c r="M716" s="212"/>
    </row>
    <row r="717" spans="1:13" ht="30" customHeight="1" x14ac:dyDescent="0.3">
      <c r="C717" s="161"/>
      <c r="D717" s="161"/>
      <c r="E717" s="969"/>
      <c r="F717" s="970"/>
      <c r="G717" s="971"/>
      <c r="H717" s="161"/>
      <c r="I717" s="212"/>
      <c r="J717" s="617"/>
      <c r="K717" s="212"/>
      <c r="L717" s="225"/>
      <c r="M717" s="212"/>
    </row>
    <row r="718" spans="1:13" ht="30" customHeight="1" x14ac:dyDescent="0.3">
      <c r="C718" s="161"/>
      <c r="D718" s="161"/>
      <c r="E718" s="969"/>
      <c r="F718" s="970"/>
      <c r="G718" s="971"/>
      <c r="H718" s="161"/>
      <c r="I718" s="212"/>
      <c r="J718" s="617"/>
      <c r="K718" s="212"/>
      <c r="L718" s="225"/>
      <c r="M718" s="212"/>
    </row>
    <row r="719" spans="1:13" ht="30" customHeight="1" x14ac:dyDescent="0.3">
      <c r="C719" s="161"/>
      <c r="D719" s="161"/>
      <c r="E719" s="969"/>
      <c r="F719" s="970"/>
      <c r="G719" s="971"/>
      <c r="H719" s="161"/>
      <c r="I719" s="212"/>
      <c r="J719" s="617"/>
      <c r="K719" s="212"/>
      <c r="L719" s="225"/>
      <c r="M719" s="212"/>
    </row>
    <row r="720" spans="1:13" ht="30" customHeight="1" x14ac:dyDescent="0.3">
      <c r="C720" s="161"/>
      <c r="D720" s="161"/>
      <c r="E720" s="969"/>
      <c r="F720" s="970"/>
      <c r="G720" s="971"/>
      <c r="H720" s="161"/>
      <c r="I720" s="212"/>
      <c r="J720" s="617"/>
      <c r="K720" s="212"/>
      <c r="L720" s="225"/>
      <c r="M720" s="212"/>
    </row>
    <row r="721" spans="3:13" ht="30" customHeight="1" x14ac:dyDescent="0.3">
      <c r="C721" s="161"/>
      <c r="D721" s="161"/>
      <c r="E721" s="969"/>
      <c r="F721" s="970"/>
      <c r="G721" s="971"/>
      <c r="H721" s="161"/>
      <c r="I721" s="212"/>
      <c r="J721" s="617"/>
      <c r="K721" s="212"/>
      <c r="L721" s="225"/>
      <c r="M721" s="212"/>
    </row>
    <row r="722" spans="3:13" ht="30" customHeight="1" x14ac:dyDescent="0.3">
      <c r="C722" s="161"/>
      <c r="D722" s="161"/>
      <c r="E722" s="969"/>
      <c r="F722" s="970"/>
      <c r="G722" s="971"/>
      <c r="H722" s="161"/>
      <c r="I722" s="212"/>
      <c r="J722" s="617"/>
      <c r="K722" s="212"/>
      <c r="L722" s="225"/>
      <c r="M722" s="212"/>
    </row>
    <row r="723" spans="3:13" ht="30" customHeight="1" x14ac:dyDescent="0.3">
      <c r="C723" s="161"/>
      <c r="D723" s="161"/>
      <c r="E723" s="969"/>
      <c r="F723" s="970"/>
      <c r="G723" s="971"/>
      <c r="H723" s="161"/>
      <c r="I723" s="212"/>
      <c r="J723" s="617"/>
      <c r="K723" s="212"/>
      <c r="L723" s="225"/>
      <c r="M723" s="212"/>
    </row>
    <row r="724" spans="3:13" ht="30" customHeight="1" x14ac:dyDescent="0.3">
      <c r="C724" s="161"/>
      <c r="D724" s="161"/>
      <c r="E724" s="969"/>
      <c r="F724" s="970"/>
      <c r="G724" s="971"/>
      <c r="H724" s="161"/>
      <c r="I724" s="212"/>
      <c r="J724" s="617"/>
      <c r="K724" s="212"/>
      <c r="L724" s="225"/>
      <c r="M724" s="212"/>
    </row>
    <row r="725" spans="3:13" ht="30" customHeight="1" x14ac:dyDescent="0.3">
      <c r="C725" s="161"/>
      <c r="D725" s="161"/>
      <c r="E725" s="969"/>
      <c r="F725" s="970"/>
      <c r="G725" s="971"/>
      <c r="H725" s="161"/>
      <c r="I725" s="212"/>
      <c r="J725" s="617"/>
      <c r="K725" s="212"/>
      <c r="L725" s="225"/>
      <c r="M725" s="212"/>
    </row>
    <row r="726" spans="3:13" ht="30" customHeight="1" x14ac:dyDescent="0.3">
      <c r="C726" s="161"/>
      <c r="D726" s="161"/>
      <c r="E726" s="969"/>
      <c r="F726" s="970"/>
      <c r="G726" s="971"/>
      <c r="H726" s="161"/>
      <c r="I726" s="212"/>
      <c r="J726" s="617"/>
      <c r="K726" s="212"/>
      <c r="L726" s="225"/>
      <c r="M726" s="212"/>
    </row>
    <row r="727" spans="3:13" ht="30" customHeight="1" x14ac:dyDescent="0.3">
      <c r="C727" s="161"/>
      <c r="D727" s="161"/>
      <c r="E727" s="969"/>
      <c r="F727" s="970"/>
      <c r="G727" s="971"/>
      <c r="H727" s="161"/>
      <c r="I727" s="212"/>
      <c r="J727" s="617"/>
      <c r="K727" s="212"/>
      <c r="L727" s="225"/>
      <c r="M727" s="212"/>
    </row>
    <row r="728" spans="3:13" ht="30" customHeight="1" x14ac:dyDescent="0.3">
      <c r="C728" s="161"/>
      <c r="D728" s="161"/>
      <c r="E728" s="969"/>
      <c r="F728" s="970"/>
      <c r="G728" s="971"/>
      <c r="H728" s="161"/>
      <c r="I728" s="212"/>
      <c r="J728" s="617"/>
      <c r="K728" s="212"/>
      <c r="L728" s="225"/>
      <c r="M728" s="212"/>
    </row>
    <row r="729" spans="3:13" ht="30" customHeight="1" x14ac:dyDescent="0.3">
      <c r="C729" s="161"/>
      <c r="D729" s="161"/>
      <c r="E729" s="969"/>
      <c r="F729" s="970"/>
      <c r="G729" s="971"/>
      <c r="H729" s="161"/>
      <c r="I729" s="212"/>
      <c r="J729" s="617"/>
      <c r="K729" s="212"/>
      <c r="L729" s="225"/>
      <c r="M729" s="212"/>
    </row>
    <row r="730" spans="3:13" ht="30" customHeight="1" x14ac:dyDescent="0.3">
      <c r="C730" s="161"/>
      <c r="D730" s="161"/>
      <c r="E730" s="969"/>
      <c r="F730" s="970"/>
      <c r="G730" s="971"/>
      <c r="H730" s="161"/>
      <c r="I730" s="212"/>
      <c r="J730" s="617"/>
      <c r="K730" s="212"/>
      <c r="L730" s="225"/>
      <c r="M730" s="212"/>
    </row>
    <row r="731" spans="3:13" ht="30" customHeight="1" x14ac:dyDescent="0.3">
      <c r="C731" s="161"/>
      <c r="D731" s="161"/>
      <c r="E731" s="969"/>
      <c r="F731" s="970"/>
      <c r="G731" s="971"/>
      <c r="H731" s="161"/>
      <c r="I731" s="212"/>
      <c r="J731" s="617"/>
      <c r="K731" s="212"/>
      <c r="L731" s="225"/>
      <c r="M731" s="212"/>
    </row>
    <row r="732" spans="3:13" ht="30" customHeight="1" x14ac:dyDescent="0.3">
      <c r="C732" s="161"/>
      <c r="D732" s="161"/>
      <c r="E732" s="969"/>
      <c r="F732" s="970"/>
      <c r="G732" s="971"/>
      <c r="H732" s="161"/>
      <c r="I732" s="212"/>
      <c r="J732" s="617"/>
      <c r="K732" s="212"/>
      <c r="L732" s="225"/>
      <c r="M732" s="212"/>
    </row>
    <row r="733" spans="3:13" ht="30" customHeight="1" x14ac:dyDescent="0.3">
      <c r="C733" s="161"/>
      <c r="D733" s="161"/>
      <c r="E733" s="969"/>
      <c r="F733" s="970"/>
      <c r="G733" s="971"/>
      <c r="H733" s="161"/>
      <c r="I733" s="212"/>
      <c r="J733" s="617"/>
      <c r="K733" s="212"/>
      <c r="L733" s="225"/>
      <c r="M733" s="212"/>
    </row>
    <row r="734" spans="3:13" ht="30" customHeight="1" x14ac:dyDescent="0.3">
      <c r="C734" s="160"/>
      <c r="D734" s="160"/>
      <c r="E734" s="992"/>
      <c r="F734" s="993"/>
      <c r="G734" s="994"/>
      <c r="H734" s="160"/>
      <c r="I734" s="211"/>
      <c r="J734" s="616"/>
      <c r="K734" s="211"/>
      <c r="L734" s="224"/>
      <c r="M734" s="211"/>
    </row>
    <row r="735" spans="3:13" ht="30" customHeight="1" x14ac:dyDescent="0.3">
      <c r="C735" s="161"/>
      <c r="D735" s="161"/>
      <c r="E735" s="969"/>
      <c r="F735" s="970"/>
      <c r="G735" s="971"/>
      <c r="H735" s="161"/>
      <c r="I735" s="212"/>
      <c r="J735" s="617"/>
      <c r="K735" s="212"/>
      <c r="L735" s="225"/>
      <c r="M735" s="212"/>
    </row>
    <row r="736" spans="3:13" ht="30" customHeight="1" x14ac:dyDescent="0.3">
      <c r="C736" s="161"/>
      <c r="D736" s="161"/>
      <c r="E736" s="969"/>
      <c r="F736" s="970"/>
      <c r="G736" s="971"/>
      <c r="H736" s="161"/>
      <c r="I736" s="212"/>
      <c r="J736" s="617"/>
      <c r="K736" s="212"/>
      <c r="L736" s="225"/>
      <c r="M736" s="212"/>
    </row>
    <row r="737" spans="3:13" ht="30" customHeight="1" x14ac:dyDescent="0.3">
      <c r="C737" s="161"/>
      <c r="D737" s="161"/>
      <c r="E737" s="969"/>
      <c r="F737" s="970"/>
      <c r="G737" s="971"/>
      <c r="H737" s="161"/>
      <c r="I737" s="212"/>
      <c r="J737" s="617"/>
      <c r="K737" s="212"/>
      <c r="L737" s="225"/>
      <c r="M737" s="212"/>
    </row>
    <row r="738" spans="3:13" ht="30" customHeight="1" x14ac:dyDescent="0.3">
      <c r="C738" s="161"/>
      <c r="D738" s="161"/>
      <c r="E738" s="969"/>
      <c r="F738" s="970"/>
      <c r="G738" s="971"/>
      <c r="H738" s="161"/>
      <c r="I738" s="212"/>
      <c r="J738" s="617"/>
      <c r="K738" s="212"/>
      <c r="L738" s="225"/>
      <c r="M738" s="212"/>
    </row>
    <row r="739" spans="3:13" ht="30" customHeight="1" x14ac:dyDescent="0.3">
      <c r="C739" s="161"/>
      <c r="D739" s="161"/>
      <c r="E739" s="969"/>
      <c r="F739" s="970"/>
      <c r="G739" s="971"/>
      <c r="H739" s="161"/>
      <c r="I739" s="212"/>
      <c r="J739" s="617"/>
      <c r="K739" s="212"/>
      <c r="L739" s="225"/>
      <c r="M739" s="212"/>
    </row>
    <row r="740" spans="3:13" ht="30" customHeight="1" x14ac:dyDescent="0.3">
      <c r="C740" s="161"/>
      <c r="D740" s="161"/>
      <c r="E740" s="969"/>
      <c r="F740" s="970"/>
      <c r="G740" s="971"/>
      <c r="H740" s="161"/>
      <c r="I740" s="212"/>
      <c r="J740" s="617"/>
      <c r="K740" s="212"/>
      <c r="L740" s="225"/>
      <c r="M740" s="212"/>
    </row>
    <row r="741" spans="3:13" ht="30" customHeight="1" x14ac:dyDescent="0.3">
      <c r="C741" s="161"/>
      <c r="D741" s="161"/>
      <c r="E741" s="969"/>
      <c r="F741" s="970"/>
      <c r="G741" s="971"/>
      <c r="H741" s="161"/>
      <c r="I741" s="212"/>
      <c r="J741" s="617"/>
      <c r="K741" s="212"/>
      <c r="L741" s="225"/>
      <c r="M741" s="212"/>
    </row>
    <row r="742" spans="3:13" ht="30" customHeight="1" x14ac:dyDescent="0.3">
      <c r="C742" s="161"/>
      <c r="D742" s="161"/>
      <c r="E742" s="969"/>
      <c r="F742" s="970"/>
      <c r="G742" s="971"/>
      <c r="H742" s="161"/>
      <c r="I742" s="212"/>
      <c r="J742" s="617"/>
      <c r="K742" s="212"/>
      <c r="L742" s="225"/>
      <c r="M742" s="212"/>
    </row>
    <row r="743" spans="3:13" ht="30" customHeight="1" x14ac:dyDescent="0.3">
      <c r="C743" s="161"/>
      <c r="D743" s="161"/>
      <c r="E743" s="969"/>
      <c r="F743" s="970"/>
      <c r="G743" s="971"/>
      <c r="H743" s="161"/>
      <c r="I743" s="212"/>
      <c r="J743" s="617"/>
      <c r="K743" s="212"/>
      <c r="L743" s="225"/>
      <c r="M743" s="212"/>
    </row>
    <row r="744" spans="3:13" ht="30" customHeight="1" x14ac:dyDescent="0.3">
      <c r="C744" s="1375"/>
      <c r="D744" s="1375"/>
      <c r="E744" s="1375"/>
      <c r="F744" s="1376"/>
      <c r="G744" s="1376"/>
      <c r="H744" s="1375"/>
      <c r="I744" s="1375"/>
      <c r="J744" s="1375"/>
      <c r="K744" s="1375"/>
      <c r="L744" s="1375"/>
      <c r="M744" s="1375"/>
    </row>
    <row r="745" spans="3:13" ht="19.95" customHeight="1" x14ac:dyDescent="0.3">
      <c r="C745" s="1024"/>
      <c r="D745" s="1024"/>
      <c r="E745" s="1024"/>
      <c r="F745" s="1280"/>
      <c r="G745" s="1280"/>
      <c r="H745" s="1280"/>
      <c r="I745" s="1280"/>
      <c r="J745" s="1280"/>
      <c r="K745" s="1280"/>
      <c r="L745" s="1280"/>
      <c r="M745" s="1280"/>
    </row>
    <row r="746" spans="3:13" ht="15" customHeight="1" x14ac:dyDescent="0.3">
      <c r="D746" s="28"/>
      <c r="E746" s="666"/>
      <c r="F746" s="666"/>
      <c r="G746" s="666"/>
      <c r="H746" s="1280"/>
      <c r="I746" s="1280"/>
      <c r="J746" s="1280"/>
      <c r="K746" s="1280"/>
      <c r="L746" s="1280"/>
      <c r="M746" s="1280"/>
    </row>
    <row r="747" spans="3:13" ht="15" customHeight="1" x14ac:dyDescent="0.3">
      <c r="D747" s="28"/>
      <c r="E747" s="666"/>
      <c r="F747" s="666"/>
      <c r="G747" s="666"/>
      <c r="H747" s="1280"/>
      <c r="I747" s="1280"/>
      <c r="J747" s="1280"/>
      <c r="K747" s="1280"/>
      <c r="L747" s="1280"/>
      <c r="M747" s="1280"/>
    </row>
    <row r="748" spans="3:13" ht="15" customHeight="1" x14ac:dyDescent="0.3">
      <c r="D748" s="28"/>
      <c r="E748" s="666"/>
      <c r="F748" s="666"/>
      <c r="G748" s="666"/>
      <c r="H748" s="109"/>
      <c r="I748" s="109"/>
      <c r="J748" s="667"/>
      <c r="K748" s="109"/>
      <c r="L748" s="109"/>
      <c r="M748" s="109"/>
    </row>
    <row r="749" spans="3:13" ht="15" customHeight="1" x14ac:dyDescent="0.3">
      <c r="D749" s="28"/>
      <c r="E749" s="666"/>
      <c r="F749" s="1280"/>
      <c r="G749" s="1280"/>
      <c r="H749" s="1280"/>
      <c r="I749" s="1280"/>
      <c r="J749" s="1280"/>
      <c r="K749" s="110"/>
      <c r="L749" s="1280"/>
      <c r="M749" s="1280"/>
    </row>
    <row r="750" spans="3:13" ht="15" customHeight="1" x14ac:dyDescent="0.3">
      <c r="D750" s="28"/>
      <c r="E750" s="666"/>
      <c r="F750" s="1280"/>
      <c r="G750" s="1280"/>
      <c r="H750" s="1280"/>
      <c r="I750" s="1280"/>
      <c r="J750" s="1280"/>
      <c r="K750" s="1280"/>
      <c r="L750" s="1280"/>
      <c r="M750" s="1280"/>
    </row>
    <row r="751" spans="3:13" ht="15" customHeight="1" x14ac:dyDescent="0.3">
      <c r="D751" s="28"/>
      <c r="E751" s="666"/>
      <c r="F751" s="110"/>
      <c r="G751" s="110"/>
      <c r="H751" s="1280"/>
      <c r="I751" s="1280"/>
      <c r="J751" s="1280"/>
      <c r="K751" s="110"/>
      <c r="L751" s="1280"/>
      <c r="M751" s="1280"/>
    </row>
    <row r="752" spans="3:13" ht="15" customHeight="1" x14ac:dyDescent="0.3">
      <c r="D752" s="28"/>
      <c r="E752" s="666"/>
      <c r="F752" s="666"/>
      <c r="G752" s="666"/>
      <c r="H752" s="28"/>
      <c r="I752" s="214"/>
      <c r="J752" s="618"/>
    </row>
    <row r="753" spans="1:13" ht="15" customHeight="1" x14ac:dyDescent="0.3">
      <c r="D753" s="28"/>
      <c r="E753" s="666"/>
      <c r="F753" s="666"/>
      <c r="G753" s="666"/>
      <c r="H753" s="28"/>
      <c r="I753" s="214"/>
      <c r="J753" s="618"/>
    </row>
    <row r="754" spans="1:13" ht="15" customHeight="1" x14ac:dyDescent="0.3">
      <c r="C754" s="1280"/>
      <c r="D754" s="1024"/>
      <c r="E754" s="1024"/>
      <c r="F754" s="1280"/>
      <c r="G754" s="1280"/>
      <c r="H754" s="1280"/>
      <c r="I754" s="1024"/>
      <c r="J754" s="1024"/>
      <c r="K754" s="1024"/>
      <c r="L754" s="1024"/>
      <c r="M754" s="1024"/>
    </row>
    <row r="755" spans="1:13" ht="15" customHeight="1" x14ac:dyDescent="0.3">
      <c r="A755" s="262" t="s">
        <v>1290</v>
      </c>
      <c r="C755" s="1024"/>
      <c r="D755" s="1024"/>
      <c r="E755" s="1024"/>
      <c r="F755" s="1280"/>
      <c r="G755" s="1280"/>
      <c r="H755" s="1024"/>
      <c r="I755" s="1024"/>
      <c r="J755" s="1024"/>
      <c r="K755" s="1024"/>
      <c r="L755" s="1024"/>
      <c r="M755" s="1024"/>
    </row>
    <row r="756" spans="1:13" ht="30" customHeight="1" x14ac:dyDescent="0.3">
      <c r="C756" s="256"/>
      <c r="D756" s="256"/>
      <c r="E756" s="978"/>
      <c r="F756" s="979"/>
      <c r="G756" s="980"/>
      <c r="H756" s="256"/>
      <c r="I756" s="257"/>
      <c r="J756" s="619"/>
      <c r="K756" s="257"/>
      <c r="L756" s="247"/>
      <c r="M756" s="257"/>
    </row>
    <row r="757" spans="1:13" ht="30" customHeight="1" x14ac:dyDescent="0.3">
      <c r="C757" s="161"/>
      <c r="D757" s="161"/>
      <c r="E757" s="969"/>
      <c r="F757" s="970"/>
      <c r="G757" s="971"/>
      <c r="H757" s="161"/>
      <c r="I757" s="212"/>
      <c r="J757" s="617"/>
      <c r="K757" s="212"/>
      <c r="L757" s="225"/>
      <c r="M757" s="212"/>
    </row>
    <row r="758" spans="1:13" ht="30" customHeight="1" x14ac:dyDescent="0.3">
      <c r="C758" s="161"/>
      <c r="D758" s="161"/>
      <c r="E758" s="969"/>
      <c r="F758" s="970"/>
      <c r="G758" s="971"/>
      <c r="H758" s="161"/>
      <c r="I758" s="212"/>
      <c r="J758" s="617"/>
      <c r="K758" s="212"/>
      <c r="L758" s="225"/>
      <c r="M758" s="212"/>
    </row>
    <row r="759" spans="1:13" ht="30" customHeight="1" x14ac:dyDescent="0.3">
      <c r="C759" s="161"/>
      <c r="D759" s="161"/>
      <c r="E759" s="969"/>
      <c r="F759" s="970"/>
      <c r="G759" s="971"/>
      <c r="H759" s="161"/>
      <c r="I759" s="212"/>
      <c r="J759" s="617"/>
      <c r="K759" s="212"/>
      <c r="L759" s="225"/>
      <c r="M759" s="212"/>
    </row>
    <row r="760" spans="1:13" ht="30" customHeight="1" x14ac:dyDescent="0.3">
      <c r="C760" s="161"/>
      <c r="D760" s="161"/>
      <c r="E760" s="969"/>
      <c r="F760" s="970"/>
      <c r="G760" s="971"/>
      <c r="H760" s="161"/>
      <c r="I760" s="212"/>
      <c r="J760" s="617"/>
      <c r="K760" s="212"/>
      <c r="L760" s="225"/>
      <c r="M760" s="212"/>
    </row>
    <row r="761" spans="1:13" ht="30" customHeight="1" x14ac:dyDescent="0.3">
      <c r="C761" s="277"/>
      <c r="D761" s="665"/>
      <c r="E761" s="660"/>
      <c r="F761" s="661"/>
      <c r="G761" s="662"/>
      <c r="H761" s="277"/>
      <c r="I761" s="653"/>
      <c r="J761" s="663"/>
      <c r="K761" s="653"/>
      <c r="L761" s="653"/>
      <c r="M761" s="653"/>
    </row>
    <row r="762" spans="1:13" ht="30" customHeight="1" x14ac:dyDescent="0.3">
      <c r="C762" s="160"/>
      <c r="D762" s="210"/>
      <c r="E762" s="992"/>
      <c r="F762" s="993"/>
      <c r="G762" s="994"/>
      <c r="H762" s="160"/>
      <c r="I762" s="211"/>
      <c r="J762" s="616"/>
      <c r="K762" s="211"/>
      <c r="L762" s="224"/>
      <c r="M762" s="211"/>
    </row>
    <row r="763" spans="1:13" ht="30" customHeight="1" x14ac:dyDescent="0.3">
      <c r="C763" s="161"/>
      <c r="D763" s="161"/>
      <c r="E763" s="969"/>
      <c r="F763" s="970"/>
      <c r="G763" s="971"/>
      <c r="H763" s="161"/>
      <c r="I763" s="212"/>
      <c r="J763" s="617"/>
      <c r="K763" s="212"/>
      <c r="L763" s="225"/>
      <c r="M763" s="212"/>
    </row>
    <row r="764" spans="1:13" ht="30" customHeight="1" x14ac:dyDescent="0.3">
      <c r="C764" s="161"/>
      <c r="D764" s="161"/>
      <c r="E764" s="969"/>
      <c r="F764" s="970"/>
      <c r="G764" s="971"/>
      <c r="H764" s="161"/>
      <c r="I764" s="212"/>
      <c r="J764" s="617"/>
      <c r="K764" s="212"/>
      <c r="L764" s="225"/>
      <c r="M764" s="212"/>
    </row>
    <row r="765" spans="1:13" ht="30" customHeight="1" x14ac:dyDescent="0.3">
      <c r="C765" s="161"/>
      <c r="D765" s="161"/>
      <c r="E765" s="969"/>
      <c r="F765" s="970"/>
      <c r="G765" s="971"/>
      <c r="H765" s="161"/>
      <c r="I765" s="212"/>
      <c r="J765" s="617"/>
      <c r="K765" s="212"/>
      <c r="L765" s="225"/>
      <c r="M765" s="212"/>
    </row>
    <row r="766" spans="1:13" ht="30" customHeight="1" x14ac:dyDescent="0.3">
      <c r="C766" s="161"/>
      <c r="D766" s="161"/>
      <c r="E766" s="969"/>
      <c r="F766" s="970"/>
      <c r="G766" s="971"/>
      <c r="H766" s="161"/>
      <c r="I766" s="212"/>
      <c r="J766" s="617"/>
      <c r="K766" s="212"/>
      <c r="L766" s="225"/>
      <c r="M766" s="212"/>
    </row>
    <row r="767" spans="1:13" ht="30" customHeight="1" x14ac:dyDescent="0.3">
      <c r="C767" s="161"/>
      <c r="D767" s="161"/>
      <c r="E767" s="969"/>
      <c r="F767" s="970"/>
      <c r="G767" s="971"/>
      <c r="H767" s="161"/>
      <c r="I767" s="212"/>
      <c r="J767" s="617"/>
      <c r="K767" s="212"/>
      <c r="L767" s="225"/>
      <c r="M767" s="212"/>
    </row>
    <row r="768" spans="1:13" ht="30" customHeight="1" x14ac:dyDescent="0.3">
      <c r="C768" s="161"/>
      <c r="D768" s="161"/>
      <c r="E768" s="969"/>
      <c r="F768" s="970"/>
      <c r="G768" s="971"/>
      <c r="H768" s="161"/>
      <c r="I768" s="212"/>
      <c r="J768" s="617"/>
      <c r="K768" s="212"/>
      <c r="L768" s="225"/>
      <c r="M768" s="212"/>
    </row>
    <row r="769" spans="3:13" ht="30" customHeight="1" x14ac:dyDescent="0.3">
      <c r="C769" s="161"/>
      <c r="D769" s="161"/>
      <c r="E769" s="969"/>
      <c r="F769" s="970"/>
      <c r="G769" s="971"/>
      <c r="H769" s="161"/>
      <c r="I769" s="212"/>
      <c r="J769" s="617"/>
      <c r="K769" s="212"/>
      <c r="L769" s="225"/>
      <c r="M769" s="212"/>
    </row>
    <row r="770" spans="3:13" ht="30" customHeight="1" x14ac:dyDescent="0.3">
      <c r="C770" s="161"/>
      <c r="D770" s="161"/>
      <c r="E770" s="969"/>
      <c r="F770" s="970"/>
      <c r="G770" s="971"/>
      <c r="H770" s="161"/>
      <c r="I770" s="212"/>
      <c r="J770" s="617"/>
      <c r="K770" s="212"/>
      <c r="L770" s="225"/>
      <c r="M770" s="212"/>
    </row>
    <row r="771" spans="3:13" ht="30" customHeight="1" x14ac:dyDescent="0.3">
      <c r="C771" s="161"/>
      <c r="D771" s="213"/>
      <c r="E771" s="969"/>
      <c r="F771" s="970"/>
      <c r="G771" s="971"/>
      <c r="H771" s="161"/>
      <c r="I771" s="212"/>
      <c r="J771" s="617"/>
      <c r="K771" s="212"/>
      <c r="L771" s="225"/>
      <c r="M771" s="212"/>
    </row>
    <row r="772" spans="3:13" ht="30" customHeight="1" x14ac:dyDescent="0.3">
      <c r="C772" s="161"/>
      <c r="D772" s="213"/>
      <c r="E772" s="564"/>
      <c r="F772" s="565"/>
      <c r="G772" s="566"/>
      <c r="H772" s="161"/>
      <c r="I772" s="212"/>
      <c r="J772" s="617"/>
      <c r="K772" s="212"/>
      <c r="L772" s="225"/>
      <c r="M772" s="212"/>
    </row>
    <row r="773" spans="3:13" ht="30" customHeight="1" x14ac:dyDescent="0.3">
      <c r="C773" s="161"/>
      <c r="D773" s="213"/>
      <c r="E773" s="564"/>
      <c r="F773" s="565"/>
      <c r="G773" s="566"/>
      <c r="H773" s="161"/>
      <c r="I773" s="212"/>
      <c r="J773" s="617"/>
      <c r="K773" s="212"/>
      <c r="L773" s="225"/>
      <c r="M773" s="212"/>
    </row>
    <row r="774" spans="3:13" ht="30" customHeight="1" x14ac:dyDescent="0.3">
      <c r="C774" s="161"/>
      <c r="D774" s="213"/>
      <c r="E774" s="564"/>
      <c r="F774" s="565"/>
      <c r="G774" s="566"/>
      <c r="H774" s="161"/>
      <c r="I774" s="212"/>
      <c r="J774" s="617"/>
      <c r="K774" s="212"/>
      <c r="L774" s="225"/>
      <c r="M774" s="212"/>
    </row>
    <row r="775" spans="3:13" ht="30" customHeight="1" x14ac:dyDescent="0.3">
      <c r="C775" s="161"/>
      <c r="D775" s="213"/>
      <c r="E775" s="564"/>
      <c r="F775" s="565"/>
      <c r="G775" s="566"/>
      <c r="H775" s="161"/>
      <c r="I775" s="212"/>
      <c r="J775" s="617"/>
      <c r="K775" s="212"/>
      <c r="L775" s="225"/>
      <c r="M775" s="212"/>
    </row>
    <row r="776" spans="3:13" ht="30" customHeight="1" x14ac:dyDescent="0.3">
      <c r="C776" s="161"/>
      <c r="D776" s="213"/>
      <c r="E776" s="564"/>
      <c r="F776" s="565"/>
      <c r="G776" s="566"/>
      <c r="H776" s="161"/>
      <c r="I776" s="212"/>
      <c r="J776" s="617"/>
      <c r="K776" s="212"/>
      <c r="L776" s="225"/>
      <c r="M776" s="212"/>
    </row>
    <row r="777" spans="3:13" ht="30" customHeight="1" x14ac:dyDescent="0.3">
      <c r="C777" s="161"/>
      <c r="D777" s="213"/>
      <c r="E777" s="564"/>
      <c r="F777" s="565"/>
      <c r="G777" s="566"/>
      <c r="H777" s="161"/>
      <c r="I777" s="212"/>
      <c r="J777" s="617"/>
      <c r="K777" s="212"/>
      <c r="L777" s="225"/>
      <c r="M777" s="212"/>
    </row>
    <row r="778" spans="3:13" ht="30" customHeight="1" x14ac:dyDescent="0.3">
      <c r="C778" s="161"/>
      <c r="D778" s="213"/>
      <c r="E778" s="564"/>
      <c r="F778" s="565"/>
      <c r="G778" s="566"/>
      <c r="H778" s="161"/>
      <c r="I778" s="212"/>
      <c r="J778" s="617"/>
      <c r="K778" s="212"/>
      <c r="L778" s="225"/>
      <c r="M778" s="212"/>
    </row>
    <row r="779" spans="3:13" ht="30" customHeight="1" x14ac:dyDescent="0.3">
      <c r="C779" s="161"/>
      <c r="D779" s="213"/>
      <c r="E779" s="564"/>
      <c r="F779" s="565"/>
      <c r="G779" s="566"/>
      <c r="H779" s="161"/>
      <c r="I779" s="212"/>
      <c r="J779" s="617"/>
      <c r="K779" s="212"/>
      <c r="L779" s="225"/>
      <c r="M779" s="212"/>
    </row>
    <row r="780" spans="3:13" ht="30" customHeight="1" x14ac:dyDescent="0.3">
      <c r="C780" s="161"/>
      <c r="D780" s="213"/>
      <c r="E780" s="564"/>
      <c r="F780" s="565"/>
      <c r="G780" s="566"/>
      <c r="H780" s="161"/>
      <c r="I780" s="212"/>
      <c r="J780" s="617"/>
      <c r="K780" s="212"/>
      <c r="L780" s="225"/>
      <c r="M780" s="212"/>
    </row>
    <row r="781" spans="3:13" ht="30" customHeight="1" x14ac:dyDescent="0.3">
      <c r="C781" s="161"/>
      <c r="D781" s="161"/>
      <c r="E781" s="969"/>
      <c r="F781" s="970"/>
      <c r="G781" s="971"/>
      <c r="H781" s="161"/>
      <c r="I781" s="212"/>
      <c r="J781" s="617"/>
      <c r="K781" s="212"/>
      <c r="L781" s="225"/>
      <c r="M781" s="212"/>
    </row>
    <row r="782" spans="3:13" ht="30" customHeight="1" x14ac:dyDescent="0.3">
      <c r="C782" s="161"/>
      <c r="D782" s="161"/>
      <c r="E782" s="969"/>
      <c r="F782" s="970"/>
      <c r="G782" s="971"/>
      <c r="H782" s="161"/>
      <c r="I782" s="212"/>
      <c r="J782" s="617"/>
      <c r="K782" s="212"/>
      <c r="L782" s="225"/>
      <c r="M782" s="212"/>
    </row>
    <row r="783" spans="3:13" ht="30" customHeight="1" x14ac:dyDescent="0.3">
      <c r="C783" s="161"/>
      <c r="D783" s="161"/>
      <c r="E783" s="969"/>
      <c r="F783" s="970"/>
      <c r="G783" s="971"/>
      <c r="H783" s="161"/>
      <c r="I783" s="212"/>
      <c r="J783" s="617"/>
      <c r="K783" s="212"/>
      <c r="L783" s="225"/>
      <c r="M783" s="212"/>
    </row>
    <row r="784" spans="3:13" ht="30" customHeight="1" x14ac:dyDescent="0.3">
      <c r="C784" s="161"/>
      <c r="D784" s="161"/>
      <c r="E784" s="969"/>
      <c r="F784" s="970"/>
      <c r="G784" s="971"/>
      <c r="H784" s="161"/>
      <c r="I784" s="212"/>
      <c r="J784" s="617"/>
      <c r="K784" s="212"/>
      <c r="L784" s="225"/>
      <c r="M784" s="212"/>
    </row>
    <row r="785" spans="1:13" ht="30" customHeight="1" x14ac:dyDescent="0.3">
      <c r="C785" s="161"/>
      <c r="D785" s="161"/>
      <c r="E785" s="969"/>
      <c r="F785" s="970"/>
      <c r="G785" s="971"/>
      <c r="H785" s="161"/>
      <c r="I785" s="212"/>
      <c r="J785" s="617"/>
      <c r="K785" s="212"/>
      <c r="L785" s="225"/>
      <c r="M785" s="212"/>
    </row>
    <row r="786" spans="1:13" ht="30" customHeight="1" x14ac:dyDescent="0.3">
      <c r="C786" s="161"/>
      <c r="D786" s="161"/>
      <c r="E786" s="969"/>
      <c r="F786" s="970"/>
      <c r="G786" s="971"/>
      <c r="H786" s="161"/>
      <c r="I786" s="212"/>
      <c r="J786" s="617"/>
      <c r="K786" s="212"/>
      <c r="L786" s="225"/>
      <c r="M786" s="212"/>
    </row>
    <row r="787" spans="1:13" ht="30" customHeight="1" x14ac:dyDescent="0.3">
      <c r="C787" s="161"/>
      <c r="D787" s="161"/>
      <c r="E787" s="969"/>
      <c r="F787" s="970"/>
      <c r="G787" s="971"/>
      <c r="H787" s="161"/>
      <c r="I787" s="212"/>
      <c r="J787" s="617"/>
      <c r="K787" s="212"/>
      <c r="L787" s="225"/>
      <c r="M787" s="212"/>
    </row>
    <row r="788" spans="1:13" ht="30" customHeight="1" x14ac:dyDescent="0.3">
      <c r="C788" s="161"/>
      <c r="D788" s="161"/>
      <c r="E788" s="969"/>
      <c r="F788" s="970"/>
      <c r="G788" s="971"/>
      <c r="H788" s="161"/>
      <c r="I788" s="212"/>
      <c r="J788" s="617"/>
      <c r="K788" s="212"/>
      <c r="L788" s="225"/>
      <c r="M788" s="212"/>
    </row>
    <row r="789" spans="1:13" ht="30" customHeight="1" x14ac:dyDescent="0.3">
      <c r="C789" s="1375"/>
      <c r="D789" s="1375"/>
      <c r="E789" s="1375"/>
      <c r="F789" s="1376"/>
      <c r="G789" s="1376"/>
      <c r="H789" s="1375"/>
      <c r="I789" s="1375"/>
      <c r="J789" s="1375"/>
      <c r="K789" s="1375"/>
      <c r="L789" s="1375"/>
      <c r="M789" s="1375"/>
    </row>
    <row r="790" spans="1:13" ht="19.95" customHeight="1" x14ac:dyDescent="0.3">
      <c r="C790" s="1024"/>
      <c r="D790" s="1024"/>
      <c r="E790" s="1024"/>
      <c r="F790" s="1280"/>
      <c r="G790" s="1280"/>
      <c r="H790" s="1280"/>
      <c r="I790" s="1280"/>
      <c r="J790" s="1280"/>
      <c r="K790" s="1280"/>
      <c r="L790" s="1280"/>
      <c r="M790" s="1280"/>
    </row>
    <row r="791" spans="1:13" ht="15" customHeight="1" x14ac:dyDescent="0.3">
      <c r="D791" s="28"/>
      <c r="E791" s="666"/>
      <c r="F791" s="666"/>
      <c r="G791" s="666"/>
      <c r="H791" s="1280"/>
      <c r="I791" s="1280"/>
      <c r="J791" s="1280"/>
      <c r="K791" s="1280"/>
      <c r="L791" s="1280"/>
      <c r="M791" s="1280"/>
    </row>
    <row r="792" spans="1:13" ht="15" customHeight="1" x14ac:dyDescent="0.3">
      <c r="D792" s="28"/>
      <c r="E792" s="666"/>
      <c r="F792" s="666"/>
      <c r="G792" s="666"/>
      <c r="H792" s="1280"/>
      <c r="I792" s="1280"/>
      <c r="J792" s="1280"/>
      <c r="K792" s="1280"/>
      <c r="L792" s="1280"/>
      <c r="M792" s="1280"/>
    </row>
    <row r="793" spans="1:13" ht="15" customHeight="1" x14ac:dyDescent="0.3">
      <c r="D793" s="28"/>
      <c r="E793" s="666"/>
      <c r="F793" s="666"/>
      <c r="G793" s="666"/>
      <c r="H793" s="109"/>
      <c r="I793" s="109"/>
      <c r="J793" s="667"/>
      <c r="K793" s="109"/>
      <c r="L793" s="109"/>
      <c r="M793" s="109"/>
    </row>
    <row r="794" spans="1:13" ht="15" customHeight="1" x14ac:dyDescent="0.3">
      <c r="D794" s="28"/>
      <c r="E794" s="666"/>
      <c r="F794" s="1280"/>
      <c r="G794" s="1280"/>
      <c r="H794" s="110"/>
      <c r="I794" s="110"/>
      <c r="J794" s="110"/>
      <c r="K794" s="1280"/>
      <c r="L794" s="1280"/>
      <c r="M794" s="110"/>
    </row>
    <row r="795" spans="1:13" ht="15" customHeight="1" x14ac:dyDescent="0.3">
      <c r="D795" s="28"/>
      <c r="E795" s="666"/>
      <c r="F795" s="1280"/>
      <c r="G795" s="1280"/>
      <c r="H795" s="110"/>
      <c r="I795" s="110"/>
      <c r="J795" s="110"/>
      <c r="K795" s="1280"/>
      <c r="L795" s="1280"/>
      <c r="M795" s="110"/>
    </row>
    <row r="796" spans="1:13" ht="15" customHeight="1" x14ac:dyDescent="0.3">
      <c r="D796" s="28"/>
      <c r="E796" s="666"/>
      <c r="F796" s="110"/>
      <c r="G796" s="110"/>
      <c r="H796" s="110"/>
      <c r="I796" s="110"/>
      <c r="J796" s="110"/>
      <c r="K796" s="1280"/>
      <c r="L796" s="1280"/>
      <c r="M796" s="110"/>
    </row>
    <row r="797" spans="1:13" ht="15" customHeight="1" x14ac:dyDescent="0.3">
      <c r="D797" s="28"/>
      <c r="E797" s="666"/>
      <c r="F797" s="666"/>
      <c r="G797" s="666"/>
      <c r="H797" s="28"/>
      <c r="I797" s="214"/>
      <c r="J797" s="618"/>
    </row>
    <row r="798" spans="1:13" ht="15" customHeight="1" x14ac:dyDescent="0.3">
      <c r="D798" s="28"/>
      <c r="E798" s="666"/>
      <c r="F798" s="666"/>
      <c r="G798" s="666"/>
      <c r="H798" s="28"/>
      <c r="I798" s="214"/>
      <c r="J798" s="618"/>
    </row>
    <row r="799" spans="1:13" ht="15" customHeight="1" x14ac:dyDescent="0.3">
      <c r="C799" s="1280"/>
      <c r="D799" s="1024"/>
      <c r="E799" s="1024"/>
      <c r="F799" s="1280"/>
      <c r="G799" s="1280"/>
      <c r="H799" s="1280"/>
      <c r="I799" s="1024"/>
      <c r="J799" s="1024"/>
      <c r="K799" s="1024"/>
      <c r="L799" s="1024"/>
      <c r="M799" s="1024"/>
    </row>
    <row r="800" spans="1:13" ht="15" customHeight="1" x14ac:dyDescent="0.3">
      <c r="A800" s="262" t="s">
        <v>1290</v>
      </c>
      <c r="C800" s="1024"/>
      <c r="D800" s="1024"/>
      <c r="E800" s="1024"/>
      <c r="F800" s="1280"/>
      <c r="G800" s="1280"/>
      <c r="H800" s="1024"/>
      <c r="I800" s="1024"/>
      <c r="J800" s="1024"/>
      <c r="K800" s="1024"/>
      <c r="L800" s="1024"/>
      <c r="M800" s="1024"/>
    </row>
    <row r="801" spans="3:13" ht="30" customHeight="1" x14ac:dyDescent="0.3">
      <c r="C801" s="563"/>
      <c r="D801" s="674"/>
      <c r="E801" s="669"/>
      <c r="F801" s="670"/>
      <c r="G801" s="671"/>
      <c r="H801" s="563"/>
      <c r="I801" s="672"/>
      <c r="J801" s="673"/>
      <c r="K801" s="672"/>
      <c r="L801" s="672"/>
      <c r="M801" s="672"/>
    </row>
    <row r="802" spans="3:13" ht="30" customHeight="1" x14ac:dyDescent="0.3">
      <c r="C802" s="160"/>
      <c r="D802" s="210"/>
      <c r="E802" s="992"/>
      <c r="F802" s="993"/>
      <c r="G802" s="994"/>
      <c r="H802" s="160"/>
      <c r="I802" s="211"/>
      <c r="J802" s="616"/>
      <c r="K802" s="211"/>
      <c r="L802" s="224"/>
      <c r="M802" s="211"/>
    </row>
    <row r="803" spans="3:13" ht="30" customHeight="1" x14ac:dyDescent="0.3">
      <c r="C803" s="161"/>
      <c r="D803" s="213"/>
      <c r="E803" s="969"/>
      <c r="F803" s="970"/>
      <c r="G803" s="971"/>
      <c r="H803" s="161"/>
      <c r="I803" s="212"/>
      <c r="J803" s="617"/>
      <c r="K803" s="212"/>
      <c r="L803" s="225"/>
      <c r="M803" s="212"/>
    </row>
    <row r="804" spans="3:13" ht="30" customHeight="1" x14ac:dyDescent="0.3">
      <c r="C804" s="161"/>
      <c r="D804" s="161"/>
      <c r="E804" s="969"/>
      <c r="F804" s="970"/>
      <c r="G804" s="971"/>
      <c r="H804" s="161"/>
      <c r="I804" s="212"/>
      <c r="J804" s="617"/>
      <c r="K804" s="212"/>
      <c r="L804" s="225"/>
      <c r="M804" s="212"/>
    </row>
    <row r="805" spans="3:13" ht="30" customHeight="1" x14ac:dyDescent="0.3">
      <c r="C805" s="161"/>
      <c r="D805" s="161"/>
      <c r="E805" s="969"/>
      <c r="F805" s="970"/>
      <c r="G805" s="971"/>
      <c r="H805" s="161"/>
      <c r="I805" s="212"/>
      <c r="J805" s="617"/>
      <c r="K805" s="212"/>
      <c r="L805" s="225"/>
      <c r="M805" s="212"/>
    </row>
    <row r="806" spans="3:13" ht="30" customHeight="1" x14ac:dyDescent="0.3">
      <c r="C806" s="161"/>
      <c r="D806" s="161"/>
      <c r="E806" s="969"/>
      <c r="F806" s="970"/>
      <c r="G806" s="971"/>
      <c r="H806" s="161"/>
      <c r="I806" s="212"/>
      <c r="J806" s="617"/>
      <c r="K806" s="212"/>
      <c r="L806" s="225"/>
      <c r="M806" s="212"/>
    </row>
    <row r="807" spans="3:13" ht="30" customHeight="1" x14ac:dyDescent="0.3">
      <c r="C807" s="161"/>
      <c r="D807" s="213"/>
      <c r="E807" s="969"/>
      <c r="F807" s="970"/>
      <c r="G807" s="971"/>
      <c r="H807" s="161"/>
      <c r="I807" s="212"/>
      <c r="J807" s="617"/>
      <c r="K807" s="212"/>
      <c r="L807" s="225"/>
      <c r="M807" s="212"/>
    </row>
    <row r="808" spans="3:13" ht="30" customHeight="1" x14ac:dyDescent="0.3">
      <c r="C808" s="161"/>
      <c r="D808" s="213"/>
      <c r="E808" s="969"/>
      <c r="F808" s="970"/>
      <c r="G808" s="971"/>
      <c r="H808" s="161"/>
      <c r="I808" s="212"/>
      <c r="J808" s="617"/>
      <c r="K808" s="212"/>
      <c r="L808" s="225"/>
      <c r="M808" s="212"/>
    </row>
    <row r="809" spans="3:13" ht="30" customHeight="1" x14ac:dyDescent="0.3">
      <c r="C809" s="161"/>
      <c r="D809" s="213"/>
      <c r="E809" s="969"/>
      <c r="F809" s="970"/>
      <c r="G809" s="971"/>
      <c r="H809" s="161"/>
      <c r="I809" s="212"/>
      <c r="J809" s="617"/>
      <c r="K809" s="212"/>
      <c r="L809" s="225"/>
      <c r="M809" s="212"/>
    </row>
    <row r="810" spans="3:13" ht="30" customHeight="1" x14ac:dyDescent="0.3">
      <c r="C810" s="161"/>
      <c r="D810" s="213"/>
      <c r="E810" s="969"/>
      <c r="F810" s="970"/>
      <c r="G810" s="971"/>
      <c r="H810" s="161"/>
      <c r="I810" s="212"/>
      <c r="J810" s="617"/>
      <c r="K810" s="212"/>
      <c r="L810" s="225"/>
      <c r="M810" s="212"/>
    </row>
    <row r="811" spans="3:13" ht="30" customHeight="1" x14ac:dyDescent="0.3">
      <c r="C811" s="161"/>
      <c r="D811" s="213"/>
      <c r="E811" s="969"/>
      <c r="F811" s="970"/>
      <c r="G811" s="971"/>
      <c r="H811" s="161"/>
      <c r="I811" s="212"/>
      <c r="J811" s="617"/>
      <c r="K811" s="212"/>
      <c r="L811" s="225"/>
      <c r="M811" s="212"/>
    </row>
    <row r="812" spans="3:13" ht="30" customHeight="1" x14ac:dyDescent="0.3">
      <c r="C812" s="161"/>
      <c r="D812" s="213"/>
      <c r="E812" s="969"/>
      <c r="F812" s="970"/>
      <c r="G812" s="971"/>
      <c r="H812" s="161"/>
      <c r="I812" s="212"/>
      <c r="J812" s="617"/>
      <c r="K812" s="212"/>
      <c r="L812" s="225"/>
      <c r="M812" s="212"/>
    </row>
    <row r="813" spans="3:13" ht="30" customHeight="1" x14ac:dyDescent="0.3">
      <c r="C813" s="161"/>
      <c r="D813" s="213"/>
      <c r="E813" s="969"/>
      <c r="F813" s="970"/>
      <c r="G813" s="971"/>
      <c r="H813" s="161"/>
      <c r="I813" s="212"/>
      <c r="J813" s="617"/>
      <c r="K813" s="212"/>
      <c r="L813" s="225"/>
      <c r="M813" s="212"/>
    </row>
    <row r="814" spans="3:13" ht="30" customHeight="1" x14ac:dyDescent="0.3">
      <c r="C814" s="161"/>
      <c r="D814" s="213"/>
      <c r="E814" s="969"/>
      <c r="F814" s="970"/>
      <c r="G814" s="971"/>
      <c r="H814" s="161"/>
      <c r="I814" s="212"/>
      <c r="J814" s="617"/>
      <c r="K814" s="212"/>
      <c r="L814" s="225"/>
      <c r="M814" s="212"/>
    </row>
    <row r="815" spans="3:13" ht="30" customHeight="1" x14ac:dyDescent="0.3">
      <c r="C815" s="161"/>
      <c r="D815" s="161"/>
      <c r="E815" s="969"/>
      <c r="F815" s="970"/>
      <c r="G815" s="971"/>
      <c r="H815" s="161"/>
      <c r="I815" s="212"/>
      <c r="J815" s="617"/>
      <c r="K815" s="212"/>
      <c r="L815" s="225"/>
      <c r="M815" s="212"/>
    </row>
    <row r="816" spans="3:13" ht="30" customHeight="1" x14ac:dyDescent="0.3">
      <c r="C816" s="161"/>
      <c r="D816" s="161"/>
      <c r="E816" s="969"/>
      <c r="F816" s="970"/>
      <c r="G816" s="971"/>
      <c r="H816" s="161"/>
      <c r="I816" s="212"/>
      <c r="J816" s="617"/>
      <c r="K816" s="212"/>
      <c r="L816" s="225"/>
      <c r="M816" s="212"/>
    </row>
    <row r="817" spans="3:13" ht="30" customHeight="1" x14ac:dyDescent="0.3">
      <c r="C817" s="161"/>
      <c r="D817" s="161"/>
      <c r="E817" s="969"/>
      <c r="F817" s="970"/>
      <c r="G817" s="971"/>
      <c r="H817" s="161"/>
      <c r="I817" s="212"/>
      <c r="J817" s="617"/>
      <c r="K817" s="212"/>
      <c r="L817" s="225"/>
      <c r="M817" s="212"/>
    </row>
    <row r="818" spans="3:13" ht="30" customHeight="1" x14ac:dyDescent="0.3">
      <c r="C818" s="161"/>
      <c r="D818" s="161"/>
      <c r="E818" s="969"/>
      <c r="F818" s="970"/>
      <c r="G818" s="971"/>
      <c r="H818" s="161"/>
      <c r="I818" s="212"/>
      <c r="J818" s="617"/>
      <c r="K818" s="212"/>
      <c r="L818" s="225"/>
      <c r="M818" s="212"/>
    </row>
    <row r="819" spans="3:13" ht="30" customHeight="1" x14ac:dyDescent="0.3">
      <c r="C819" s="161"/>
      <c r="D819" s="161"/>
      <c r="E819" s="564"/>
      <c r="F819" s="565"/>
      <c r="G819" s="566"/>
      <c r="H819" s="161"/>
      <c r="I819" s="212"/>
      <c r="J819" s="617"/>
      <c r="K819" s="212"/>
      <c r="L819" s="225"/>
      <c r="M819" s="212"/>
    </row>
    <row r="820" spans="3:13" ht="30" customHeight="1" x14ac:dyDescent="0.3">
      <c r="C820" s="161"/>
      <c r="D820" s="161"/>
      <c r="E820" s="564"/>
      <c r="F820" s="565"/>
      <c r="G820" s="566"/>
      <c r="H820" s="161"/>
      <c r="I820" s="212"/>
      <c r="J820" s="617"/>
      <c r="K820" s="212"/>
      <c r="L820" s="225"/>
      <c r="M820" s="212"/>
    </row>
    <row r="821" spans="3:13" ht="30" customHeight="1" x14ac:dyDescent="0.3">
      <c r="C821" s="161"/>
      <c r="D821" s="161"/>
      <c r="E821" s="564"/>
      <c r="F821" s="565"/>
      <c r="G821" s="566"/>
      <c r="H821" s="161"/>
      <c r="I821" s="212"/>
      <c r="J821" s="617"/>
      <c r="K821" s="212"/>
      <c r="L821" s="225"/>
      <c r="M821" s="212"/>
    </row>
    <row r="822" spans="3:13" ht="30" customHeight="1" x14ac:dyDescent="0.3">
      <c r="C822" s="161"/>
      <c r="D822" s="161"/>
      <c r="E822" s="564"/>
      <c r="F822" s="565"/>
      <c r="G822" s="566"/>
      <c r="H822" s="161"/>
      <c r="I822" s="212"/>
      <c r="J822" s="617"/>
      <c r="K822" s="212"/>
      <c r="L822" s="225"/>
      <c r="M822" s="212"/>
    </row>
    <row r="823" spans="3:13" ht="30" customHeight="1" x14ac:dyDescent="0.3">
      <c r="C823" s="161"/>
      <c r="D823" s="161"/>
      <c r="E823" s="564"/>
      <c r="F823" s="565"/>
      <c r="G823" s="566"/>
      <c r="H823" s="161"/>
      <c r="I823" s="212"/>
      <c r="J823" s="617"/>
      <c r="K823" s="212"/>
      <c r="L823" s="225"/>
      <c r="M823" s="212"/>
    </row>
    <row r="824" spans="3:13" ht="30" customHeight="1" x14ac:dyDescent="0.3">
      <c r="C824" s="161"/>
      <c r="D824" s="161"/>
      <c r="E824" s="564"/>
      <c r="F824" s="565"/>
      <c r="G824" s="566"/>
      <c r="H824" s="161"/>
      <c r="I824" s="212"/>
      <c r="J824" s="617"/>
      <c r="K824" s="212"/>
      <c r="L824" s="225"/>
      <c r="M824" s="212"/>
    </row>
    <row r="825" spans="3:13" ht="30" customHeight="1" x14ac:dyDescent="0.3">
      <c r="C825" s="161"/>
      <c r="D825" s="161"/>
      <c r="E825" s="564"/>
      <c r="F825" s="565"/>
      <c r="G825" s="566"/>
      <c r="H825" s="161"/>
      <c r="I825" s="212"/>
      <c r="J825" s="617"/>
      <c r="K825" s="212"/>
      <c r="L825" s="225"/>
      <c r="M825" s="212"/>
    </row>
    <row r="826" spans="3:13" ht="30" customHeight="1" x14ac:dyDescent="0.3">
      <c r="C826" s="161"/>
      <c r="D826" s="161"/>
      <c r="E826" s="564"/>
      <c r="F826" s="565"/>
      <c r="G826" s="566"/>
      <c r="H826" s="161"/>
      <c r="I826" s="212"/>
      <c r="J826" s="617"/>
      <c r="K826" s="212"/>
      <c r="L826" s="225"/>
      <c r="M826" s="212"/>
    </row>
    <row r="827" spans="3:13" ht="30" customHeight="1" x14ac:dyDescent="0.3">
      <c r="C827" s="161"/>
      <c r="D827" s="161"/>
      <c r="E827" s="564"/>
      <c r="F827" s="565"/>
      <c r="G827" s="566"/>
      <c r="H827" s="161"/>
      <c r="I827" s="212"/>
      <c r="J827" s="617"/>
      <c r="K827" s="212"/>
      <c r="L827" s="225"/>
      <c r="M827" s="212"/>
    </row>
    <row r="828" spans="3:13" ht="30" customHeight="1" x14ac:dyDescent="0.3">
      <c r="C828" s="161"/>
      <c r="D828" s="161"/>
      <c r="E828" s="564"/>
      <c r="F828" s="565"/>
      <c r="G828" s="566"/>
      <c r="H828" s="161"/>
      <c r="I828" s="212"/>
      <c r="J828" s="617"/>
      <c r="K828" s="212"/>
      <c r="L828" s="225"/>
      <c r="M828" s="212"/>
    </row>
    <row r="829" spans="3:13" ht="30" customHeight="1" x14ac:dyDescent="0.3">
      <c r="C829" s="161"/>
      <c r="D829" s="161"/>
      <c r="E829" s="564"/>
      <c r="F829" s="565"/>
      <c r="G829" s="566"/>
      <c r="H829" s="161"/>
      <c r="I829" s="212"/>
      <c r="J829" s="617"/>
      <c r="K829" s="212"/>
      <c r="L829" s="225"/>
      <c r="M829" s="212"/>
    </row>
    <row r="830" spans="3:13" ht="30" customHeight="1" x14ac:dyDescent="0.3">
      <c r="C830" s="161"/>
      <c r="D830" s="161"/>
      <c r="E830" s="564"/>
      <c r="F830" s="565"/>
      <c r="G830" s="566"/>
      <c r="H830" s="161"/>
      <c r="I830" s="212"/>
      <c r="J830" s="617"/>
      <c r="K830" s="212"/>
      <c r="L830" s="225"/>
      <c r="M830" s="212"/>
    </row>
    <row r="831" spans="3:13" ht="30" customHeight="1" x14ac:dyDescent="0.3">
      <c r="C831" s="161"/>
      <c r="D831" s="161"/>
      <c r="E831" s="564"/>
      <c r="F831" s="565"/>
      <c r="G831" s="566"/>
      <c r="H831" s="161"/>
      <c r="I831" s="212"/>
      <c r="J831" s="617"/>
      <c r="K831" s="212"/>
      <c r="L831" s="225"/>
      <c r="M831" s="212"/>
    </row>
    <row r="832" spans="3:13" ht="30" customHeight="1" x14ac:dyDescent="0.3">
      <c r="C832" s="161"/>
      <c r="D832" s="161"/>
      <c r="E832" s="969"/>
      <c r="F832" s="970"/>
      <c r="G832" s="971"/>
      <c r="H832" s="161"/>
      <c r="I832" s="212"/>
      <c r="J832" s="617"/>
      <c r="K832" s="212"/>
      <c r="L832" s="225"/>
      <c r="M832" s="212"/>
    </row>
    <row r="833" spans="1:13" ht="30" customHeight="1" x14ac:dyDescent="0.3">
      <c r="C833" s="161"/>
      <c r="D833" s="161"/>
      <c r="E833" s="969"/>
      <c r="F833" s="970"/>
      <c r="G833" s="971"/>
      <c r="H833" s="161"/>
      <c r="I833" s="212"/>
      <c r="J833" s="617"/>
      <c r="K833" s="212"/>
      <c r="L833" s="225"/>
      <c r="M833" s="212"/>
    </row>
    <row r="834" spans="1:13" ht="30" customHeight="1" x14ac:dyDescent="0.3">
      <c r="C834" s="161"/>
      <c r="D834" s="161"/>
      <c r="E834" s="969"/>
      <c r="F834" s="970"/>
      <c r="G834" s="971"/>
      <c r="H834" s="161"/>
      <c r="I834" s="212"/>
      <c r="J834" s="617"/>
      <c r="K834" s="212"/>
      <c r="L834" s="225"/>
      <c r="M834" s="212"/>
    </row>
    <row r="835" spans="1:13" ht="30" customHeight="1" x14ac:dyDescent="0.3">
      <c r="C835" s="1375"/>
      <c r="D835" s="1375"/>
      <c r="E835" s="1375"/>
      <c r="F835" s="1376"/>
      <c r="G835" s="1376"/>
      <c r="H835" s="1375"/>
      <c r="I835" s="1375"/>
      <c r="J835" s="1375"/>
      <c r="K835" s="1375"/>
      <c r="L835" s="1375"/>
      <c r="M835" s="1375"/>
    </row>
    <row r="836" spans="1:13" ht="19.95" customHeight="1" x14ac:dyDescent="0.3">
      <c r="C836" s="1024"/>
      <c r="D836" s="1024"/>
      <c r="E836" s="1024"/>
      <c r="F836" s="1280"/>
      <c r="G836" s="1280"/>
      <c r="H836" s="1280"/>
      <c r="I836" s="1280"/>
      <c r="J836" s="1280"/>
      <c r="K836" s="1280"/>
      <c r="L836" s="1280"/>
      <c r="M836" s="1280"/>
    </row>
    <row r="837" spans="1:13" ht="15" customHeight="1" x14ac:dyDescent="0.3">
      <c r="D837" s="28"/>
      <c r="E837" s="666"/>
      <c r="F837" s="666"/>
      <c r="G837" s="666"/>
      <c r="H837" s="1280"/>
      <c r="I837" s="1280"/>
      <c r="J837" s="1280"/>
      <c r="K837" s="1280"/>
      <c r="L837" s="1280"/>
      <c r="M837" s="1280"/>
    </row>
    <row r="838" spans="1:13" ht="15" customHeight="1" x14ac:dyDescent="0.3">
      <c r="D838" s="28"/>
      <c r="E838" s="666"/>
      <c r="F838" s="666"/>
      <c r="G838" s="666"/>
      <c r="H838" s="1280"/>
      <c r="I838" s="1280"/>
      <c r="J838" s="1280"/>
      <c r="K838" s="1280"/>
      <c r="L838" s="1280"/>
      <c r="M838" s="1280"/>
    </row>
    <row r="839" spans="1:13" ht="15" customHeight="1" x14ac:dyDescent="0.3">
      <c r="D839" s="28"/>
      <c r="E839" s="666"/>
      <c r="F839" s="666"/>
      <c r="G839" s="666"/>
      <c r="H839" s="109"/>
      <c r="I839" s="109"/>
      <c r="J839" s="667"/>
      <c r="K839" s="109"/>
      <c r="L839" s="109"/>
      <c r="M839" s="109"/>
    </row>
    <row r="840" spans="1:13" ht="15" customHeight="1" x14ac:dyDescent="0.3">
      <c r="D840" s="28"/>
      <c r="E840" s="666"/>
      <c r="F840" s="1280"/>
      <c r="G840" s="1280"/>
      <c r="H840" s="110"/>
      <c r="I840" s="110"/>
      <c r="J840" s="110"/>
      <c r="K840" s="1280"/>
      <c r="L840" s="1280"/>
      <c r="M840" s="110"/>
    </row>
    <row r="841" spans="1:13" ht="15" customHeight="1" x14ac:dyDescent="0.3">
      <c r="D841" s="28"/>
      <c r="E841" s="666"/>
      <c r="F841" s="1280"/>
      <c r="G841" s="1280"/>
      <c r="H841" s="110"/>
      <c r="I841" s="110"/>
      <c r="J841" s="110"/>
      <c r="K841" s="1280"/>
      <c r="L841" s="1280"/>
      <c r="M841" s="110"/>
    </row>
    <row r="842" spans="1:13" ht="15" customHeight="1" x14ac:dyDescent="0.3">
      <c r="D842" s="28"/>
      <c r="E842" s="666"/>
      <c r="F842" s="110"/>
      <c r="G842" s="110"/>
      <c r="H842" s="110"/>
      <c r="I842" s="110"/>
      <c r="J842" s="110"/>
      <c r="K842" s="1280"/>
      <c r="L842" s="1280"/>
      <c r="M842" s="110"/>
    </row>
    <row r="843" spans="1:13" ht="15" customHeight="1" x14ac:dyDescent="0.3">
      <c r="D843" s="28"/>
      <c r="E843" s="666"/>
      <c r="F843" s="666"/>
      <c r="G843" s="666"/>
      <c r="H843" s="28"/>
      <c r="I843" s="214"/>
      <c r="J843" s="618"/>
    </row>
    <row r="844" spans="1:13" ht="15" customHeight="1" x14ac:dyDescent="0.3">
      <c r="D844" s="28"/>
      <c r="E844" s="666"/>
      <c r="F844" s="666"/>
      <c r="G844" s="666"/>
      <c r="H844" s="28"/>
      <c r="I844" s="214"/>
      <c r="J844" s="618"/>
    </row>
    <row r="845" spans="1:13" ht="15" customHeight="1" x14ac:dyDescent="0.3">
      <c r="C845" s="1280"/>
      <c r="D845" s="1024"/>
      <c r="E845" s="1024"/>
      <c r="F845" s="1280"/>
      <c r="G845" s="1280"/>
      <c r="H845" s="1280"/>
      <c r="I845" s="1024"/>
      <c r="J845" s="1024"/>
      <c r="K845" s="1024"/>
      <c r="L845" s="1024"/>
      <c r="M845" s="1024"/>
    </row>
    <row r="846" spans="1:13" ht="15" customHeight="1" x14ac:dyDescent="0.3">
      <c r="A846" s="262" t="s">
        <v>1290</v>
      </c>
      <c r="C846" s="1024"/>
      <c r="D846" s="1024"/>
      <c r="E846" s="1024"/>
      <c r="F846" s="1280"/>
      <c r="G846" s="1280"/>
      <c r="H846" s="1024"/>
      <c r="I846" s="1024"/>
      <c r="J846" s="1024"/>
      <c r="K846" s="1024"/>
      <c r="L846" s="1024"/>
      <c r="M846" s="1024"/>
    </row>
    <row r="847" spans="1:13" ht="30" customHeight="1" x14ac:dyDescent="0.3">
      <c r="C847" s="563"/>
      <c r="D847" s="674"/>
      <c r="E847" s="669"/>
      <c r="F847" s="670"/>
      <c r="G847" s="671"/>
      <c r="H847" s="563"/>
      <c r="I847" s="672"/>
      <c r="J847" s="673"/>
      <c r="K847" s="672"/>
      <c r="L847" s="672"/>
      <c r="M847" s="672"/>
    </row>
    <row r="848" spans="1:13" ht="30" customHeight="1" x14ac:dyDescent="0.3">
      <c r="C848" s="160"/>
      <c r="D848" s="210"/>
      <c r="E848" s="992"/>
      <c r="F848" s="993"/>
      <c r="G848" s="994"/>
      <c r="H848" s="160"/>
      <c r="I848" s="211"/>
      <c r="J848" s="616"/>
      <c r="K848" s="211"/>
      <c r="L848" s="224"/>
      <c r="M848" s="211"/>
    </row>
    <row r="849" spans="3:13" ht="30" customHeight="1" x14ac:dyDescent="0.3">
      <c r="C849" s="161"/>
      <c r="D849" s="213"/>
      <c r="E849" s="969"/>
      <c r="F849" s="970"/>
      <c r="G849" s="971"/>
      <c r="H849" s="161"/>
      <c r="I849" s="212"/>
      <c r="J849" s="617"/>
      <c r="K849" s="212"/>
      <c r="L849" s="225"/>
      <c r="M849" s="212"/>
    </row>
    <row r="850" spans="3:13" ht="30" customHeight="1" x14ac:dyDescent="0.3">
      <c r="C850" s="161"/>
      <c r="D850" s="213"/>
      <c r="E850" s="969"/>
      <c r="F850" s="970"/>
      <c r="G850" s="971"/>
      <c r="H850" s="161"/>
      <c r="I850" s="212"/>
      <c r="J850" s="617"/>
      <c r="K850" s="212"/>
      <c r="L850" s="225"/>
      <c r="M850" s="212"/>
    </row>
    <row r="851" spans="3:13" ht="30" customHeight="1" x14ac:dyDescent="0.3">
      <c r="C851" s="161"/>
      <c r="D851" s="213"/>
      <c r="E851" s="969"/>
      <c r="F851" s="970"/>
      <c r="G851" s="971"/>
      <c r="H851" s="161"/>
      <c r="I851" s="212"/>
      <c r="J851" s="617"/>
      <c r="K851" s="212"/>
      <c r="L851" s="225"/>
      <c r="M851" s="212"/>
    </row>
    <row r="852" spans="3:13" ht="30" customHeight="1" x14ac:dyDescent="0.3">
      <c r="C852" s="161"/>
      <c r="D852" s="213"/>
      <c r="E852" s="969"/>
      <c r="F852" s="970"/>
      <c r="G852" s="971"/>
      <c r="H852" s="161"/>
      <c r="I852" s="212"/>
      <c r="J852" s="617"/>
      <c r="K852" s="212"/>
      <c r="L852" s="225"/>
      <c r="M852" s="212"/>
    </row>
    <row r="853" spans="3:13" ht="30" customHeight="1" x14ac:dyDescent="0.3">
      <c r="C853" s="161"/>
      <c r="D853" s="161"/>
      <c r="E853" s="969"/>
      <c r="F853" s="970"/>
      <c r="G853" s="971"/>
      <c r="H853" s="161"/>
      <c r="I853" s="212"/>
      <c r="J853" s="617"/>
      <c r="K853" s="212"/>
      <c r="L853" s="225"/>
      <c r="M853" s="212"/>
    </row>
    <row r="854" spans="3:13" ht="30" customHeight="1" x14ac:dyDescent="0.3">
      <c r="C854" s="161"/>
      <c r="D854" s="161"/>
      <c r="E854" s="969"/>
      <c r="F854" s="970"/>
      <c r="G854" s="971"/>
      <c r="H854" s="161"/>
      <c r="I854" s="212"/>
      <c r="J854" s="617"/>
      <c r="K854" s="212"/>
      <c r="L854" s="225"/>
      <c r="M854" s="212"/>
    </row>
    <row r="855" spans="3:13" ht="30" customHeight="1" x14ac:dyDescent="0.3">
      <c r="C855" s="161"/>
      <c r="D855" s="161"/>
      <c r="E855" s="969"/>
      <c r="F855" s="970"/>
      <c r="G855" s="971"/>
      <c r="H855" s="161"/>
      <c r="I855" s="212"/>
      <c r="J855" s="617"/>
      <c r="K855" s="212"/>
      <c r="L855" s="225"/>
      <c r="M855" s="212"/>
    </row>
    <row r="856" spans="3:13" ht="30" customHeight="1" x14ac:dyDescent="0.3">
      <c r="C856" s="161"/>
      <c r="D856" s="161"/>
      <c r="E856" s="969"/>
      <c r="F856" s="970"/>
      <c r="G856" s="971"/>
      <c r="H856" s="161"/>
      <c r="I856" s="212"/>
      <c r="J856" s="617"/>
      <c r="K856" s="212"/>
      <c r="L856" s="225"/>
      <c r="M856" s="212"/>
    </row>
    <row r="857" spans="3:13" ht="30" customHeight="1" x14ac:dyDescent="0.3">
      <c r="C857" s="161"/>
      <c r="D857" s="161"/>
      <c r="E857" s="969"/>
      <c r="F857" s="970"/>
      <c r="G857" s="971"/>
      <c r="H857" s="161"/>
      <c r="I857" s="212"/>
      <c r="J857" s="617"/>
      <c r="K857" s="212"/>
      <c r="L857" s="225"/>
      <c r="M857" s="212"/>
    </row>
    <row r="858" spans="3:13" ht="30" customHeight="1" x14ac:dyDescent="0.3">
      <c r="C858" s="161"/>
      <c r="D858" s="161"/>
      <c r="E858" s="969"/>
      <c r="F858" s="970"/>
      <c r="G858" s="971"/>
      <c r="H858" s="161"/>
      <c r="I858" s="212"/>
      <c r="J858" s="617"/>
      <c r="K858" s="212"/>
      <c r="L858" s="225"/>
      <c r="M858" s="212"/>
    </row>
    <row r="859" spans="3:13" ht="30" customHeight="1" x14ac:dyDescent="0.3">
      <c r="C859" s="161"/>
      <c r="D859" s="161"/>
      <c r="E859" s="969"/>
      <c r="F859" s="970"/>
      <c r="G859" s="971"/>
      <c r="H859" s="161"/>
      <c r="I859" s="212"/>
      <c r="J859" s="617"/>
      <c r="K859" s="212"/>
      <c r="L859" s="225"/>
      <c r="M859" s="212"/>
    </row>
    <row r="860" spans="3:13" ht="30" customHeight="1" x14ac:dyDescent="0.3">
      <c r="C860" s="161"/>
      <c r="D860" s="161"/>
      <c r="E860" s="969"/>
      <c r="F860" s="970"/>
      <c r="G860" s="971"/>
      <c r="H860" s="161"/>
      <c r="I860" s="212"/>
      <c r="J860" s="617"/>
      <c r="K860" s="212"/>
      <c r="L860" s="225"/>
      <c r="M860" s="212"/>
    </row>
    <row r="861" spans="3:13" ht="30" customHeight="1" x14ac:dyDescent="0.3">
      <c r="C861" s="161"/>
      <c r="D861" s="161"/>
      <c r="E861" s="969"/>
      <c r="F861" s="970"/>
      <c r="G861" s="971"/>
      <c r="H861" s="161"/>
      <c r="I861" s="212"/>
      <c r="J861" s="617"/>
      <c r="K861" s="212"/>
      <c r="L861" s="225"/>
      <c r="M861" s="212"/>
    </row>
    <row r="862" spans="3:13" ht="30" customHeight="1" x14ac:dyDescent="0.3">
      <c r="C862" s="161"/>
      <c r="D862" s="161"/>
      <c r="E862" s="969"/>
      <c r="F862" s="970"/>
      <c r="G862" s="971"/>
      <c r="H862" s="161"/>
      <c r="I862" s="212"/>
      <c r="J862" s="617"/>
      <c r="K862" s="212"/>
      <c r="L862" s="225"/>
      <c r="M862" s="212"/>
    </row>
    <row r="863" spans="3:13" ht="30" customHeight="1" x14ac:dyDescent="0.3">
      <c r="C863" s="161"/>
      <c r="D863" s="161"/>
      <c r="E863" s="969"/>
      <c r="F863" s="970"/>
      <c r="G863" s="971"/>
      <c r="H863" s="161"/>
      <c r="I863" s="212"/>
      <c r="J863" s="617"/>
      <c r="K863" s="212"/>
      <c r="L863" s="225"/>
      <c r="M863" s="212"/>
    </row>
    <row r="864" spans="3:13" ht="30" customHeight="1" x14ac:dyDescent="0.3">
      <c r="C864" s="161"/>
      <c r="D864" s="161"/>
      <c r="E864" s="969"/>
      <c r="F864" s="970"/>
      <c r="G864" s="971"/>
      <c r="H864" s="161"/>
      <c r="I864" s="212"/>
      <c r="J864" s="617"/>
      <c r="K864" s="212"/>
      <c r="L864" s="225"/>
      <c r="M864" s="212"/>
    </row>
    <row r="865" spans="3:13" ht="30" customHeight="1" x14ac:dyDescent="0.3">
      <c r="C865" s="161"/>
      <c r="D865" s="161"/>
      <c r="E865" s="969"/>
      <c r="F865" s="970"/>
      <c r="G865" s="971"/>
      <c r="H865" s="161"/>
      <c r="I865" s="212"/>
      <c r="J865" s="617"/>
      <c r="K865" s="212"/>
      <c r="L865" s="225"/>
      <c r="M865" s="212"/>
    </row>
    <row r="866" spans="3:13" ht="30" customHeight="1" x14ac:dyDescent="0.3">
      <c r="C866" s="161"/>
      <c r="D866" s="161"/>
      <c r="E866" s="969"/>
      <c r="F866" s="970"/>
      <c r="G866" s="971"/>
      <c r="H866" s="161"/>
      <c r="I866" s="212"/>
      <c r="J866" s="617"/>
      <c r="K866" s="212"/>
      <c r="L866" s="225"/>
      <c r="M866" s="212"/>
    </row>
    <row r="867" spans="3:13" ht="30" customHeight="1" x14ac:dyDescent="0.3">
      <c r="C867" s="161"/>
      <c r="D867" s="161"/>
      <c r="E867" s="969"/>
      <c r="F867" s="970"/>
      <c r="G867" s="971"/>
      <c r="H867" s="161"/>
      <c r="I867" s="212"/>
      <c r="J867" s="617"/>
      <c r="K867" s="212"/>
      <c r="L867" s="225"/>
      <c r="M867" s="212"/>
    </row>
    <row r="868" spans="3:13" ht="30" customHeight="1" x14ac:dyDescent="0.3">
      <c r="C868" s="161"/>
      <c r="D868" s="161"/>
      <c r="E868" s="969"/>
      <c r="F868" s="970"/>
      <c r="G868" s="971"/>
      <c r="H868" s="161"/>
      <c r="I868" s="212"/>
      <c r="J868" s="617"/>
      <c r="K868" s="212"/>
      <c r="L868" s="225"/>
      <c r="M868" s="212"/>
    </row>
    <row r="869" spans="3:13" ht="30" customHeight="1" x14ac:dyDescent="0.3">
      <c r="C869" s="161"/>
      <c r="D869" s="161"/>
      <c r="E869" s="564"/>
      <c r="F869" s="565"/>
      <c r="G869" s="566"/>
      <c r="H869" s="161"/>
      <c r="I869" s="212"/>
      <c r="J869" s="617"/>
      <c r="K869" s="212"/>
      <c r="L869" s="225"/>
      <c r="M869" s="212"/>
    </row>
    <row r="870" spans="3:13" ht="30" customHeight="1" x14ac:dyDescent="0.3">
      <c r="C870" s="161"/>
      <c r="D870" s="161"/>
      <c r="E870" s="564"/>
      <c r="F870" s="565"/>
      <c r="G870" s="566"/>
      <c r="H870" s="161"/>
      <c r="I870" s="212"/>
      <c r="J870" s="617"/>
      <c r="K870" s="212"/>
      <c r="L870" s="225"/>
      <c r="M870" s="212"/>
    </row>
    <row r="871" spans="3:13" ht="30" customHeight="1" x14ac:dyDescent="0.3">
      <c r="C871" s="161"/>
      <c r="D871" s="161"/>
      <c r="E871" s="564"/>
      <c r="F871" s="565"/>
      <c r="G871" s="566"/>
      <c r="H871" s="161"/>
      <c r="I871" s="212"/>
      <c r="J871" s="617"/>
      <c r="K871" s="212"/>
      <c r="L871" s="225"/>
      <c r="M871" s="212"/>
    </row>
    <row r="872" spans="3:13" ht="30" customHeight="1" x14ac:dyDescent="0.3">
      <c r="C872" s="161"/>
      <c r="D872" s="161"/>
      <c r="E872" s="564"/>
      <c r="F872" s="565"/>
      <c r="G872" s="566"/>
      <c r="H872" s="161"/>
      <c r="I872" s="212"/>
      <c r="J872" s="617"/>
      <c r="K872" s="212"/>
      <c r="L872" s="225"/>
      <c r="M872" s="212"/>
    </row>
    <row r="873" spans="3:13" ht="30" customHeight="1" x14ac:dyDescent="0.3">
      <c r="C873" s="161"/>
      <c r="D873" s="161"/>
      <c r="E873" s="969"/>
      <c r="F873" s="970"/>
      <c r="G873" s="971"/>
      <c r="H873" s="161"/>
      <c r="I873" s="212"/>
      <c r="J873" s="617"/>
      <c r="K873" s="212"/>
      <c r="L873" s="225"/>
      <c r="M873" s="212"/>
    </row>
    <row r="874" spans="3:13" ht="30" customHeight="1" x14ac:dyDescent="0.3">
      <c r="C874" s="161"/>
      <c r="D874" s="161"/>
      <c r="E874" s="969"/>
      <c r="F874" s="970"/>
      <c r="G874" s="971"/>
      <c r="H874" s="161"/>
      <c r="I874" s="212"/>
      <c r="J874" s="617"/>
      <c r="K874" s="212"/>
      <c r="L874" s="225"/>
      <c r="M874" s="212"/>
    </row>
    <row r="875" spans="3:13" ht="30" customHeight="1" x14ac:dyDescent="0.3">
      <c r="C875" s="1375"/>
      <c r="D875" s="1375"/>
      <c r="E875" s="1375"/>
      <c r="F875" s="1376"/>
      <c r="G875" s="1376"/>
      <c r="H875" s="1375"/>
      <c r="I875" s="1375"/>
      <c r="J875" s="1375"/>
      <c r="K875" s="1375"/>
      <c r="L875" s="1375"/>
      <c r="M875" s="1375"/>
    </row>
    <row r="876" spans="3:13" ht="19.95" customHeight="1" x14ac:dyDescent="0.3">
      <c r="C876" s="1024"/>
      <c r="D876" s="1024"/>
      <c r="E876" s="1024"/>
      <c r="F876" s="1280"/>
      <c r="G876" s="1280"/>
      <c r="H876" s="1280"/>
      <c r="I876" s="1280"/>
      <c r="J876" s="1280"/>
      <c r="K876" s="1280"/>
      <c r="L876" s="1280"/>
      <c r="M876" s="1280"/>
    </row>
    <row r="877" spans="3:13" ht="15" customHeight="1" x14ac:dyDescent="0.3">
      <c r="D877" s="28"/>
      <c r="E877" s="666"/>
      <c r="F877" s="666"/>
      <c r="G877" s="666"/>
      <c r="H877" s="1280"/>
      <c r="I877" s="1280"/>
      <c r="J877" s="1280"/>
      <c r="K877" s="1280"/>
      <c r="L877" s="1280"/>
      <c r="M877" s="1280"/>
    </row>
    <row r="878" spans="3:13" ht="15" customHeight="1" x14ac:dyDescent="0.3">
      <c r="D878" s="28"/>
      <c r="E878" s="666"/>
      <c r="F878" s="666"/>
      <c r="G878" s="666"/>
      <c r="H878" s="1280"/>
      <c r="I878" s="1280"/>
      <c r="J878" s="1280"/>
      <c r="K878" s="1280"/>
      <c r="L878" s="1280"/>
      <c r="M878" s="1280"/>
    </row>
    <row r="879" spans="3:13" ht="15" customHeight="1" x14ac:dyDescent="0.3">
      <c r="D879" s="28"/>
      <c r="E879" s="666"/>
      <c r="F879" s="666"/>
      <c r="G879" s="666"/>
      <c r="H879" s="109"/>
      <c r="I879" s="109"/>
      <c r="J879" s="667"/>
      <c r="K879" s="109"/>
      <c r="L879" s="109"/>
      <c r="M879" s="109"/>
    </row>
    <row r="880" spans="3:13" ht="15" customHeight="1" x14ac:dyDescent="0.3">
      <c r="D880" s="28"/>
      <c r="E880" s="666"/>
      <c r="F880" s="666"/>
      <c r="G880" s="666"/>
      <c r="H880" s="109"/>
      <c r="I880" s="109"/>
      <c r="J880" s="667"/>
      <c r="K880" s="109"/>
      <c r="L880" s="109"/>
      <c r="M880" s="109"/>
    </row>
    <row r="881" spans="4:13" ht="15" customHeight="1" x14ac:dyDescent="0.3">
      <c r="D881" s="28"/>
      <c r="E881" s="666"/>
      <c r="F881" s="666"/>
      <c r="G881" s="666"/>
      <c r="H881" s="110"/>
      <c r="I881" s="110"/>
      <c r="J881" s="667"/>
      <c r="K881" s="110"/>
      <c r="L881" s="110"/>
      <c r="M881" s="110"/>
    </row>
    <row r="882" spans="4:13" ht="15" customHeight="1" x14ac:dyDescent="0.3">
      <c r="D882" s="28"/>
      <c r="E882" s="666"/>
      <c r="F882" s="666"/>
      <c r="G882" s="666"/>
      <c r="H882" s="110"/>
      <c r="I882" s="110"/>
      <c r="J882" s="667"/>
      <c r="K882" s="110"/>
      <c r="L882" s="110"/>
      <c r="M882" s="110"/>
    </row>
    <row r="883" spans="4:13" ht="15" customHeight="1" x14ac:dyDescent="0.3">
      <c r="D883" s="28"/>
      <c r="E883" s="666"/>
      <c r="F883" s="666"/>
      <c r="G883" s="666"/>
      <c r="H883" s="1280"/>
      <c r="I883" s="1280"/>
      <c r="J883" s="667"/>
      <c r="K883" s="1280"/>
      <c r="L883" s="1280"/>
      <c r="M883" s="1280"/>
    </row>
    <row r="884" spans="4:13" ht="15" customHeight="1" x14ac:dyDescent="0.3">
      <c r="D884" s="28"/>
      <c r="E884" s="666"/>
      <c r="F884" s="666"/>
      <c r="G884" s="666"/>
      <c r="H884" s="1280"/>
      <c r="I884" s="1280"/>
      <c r="J884" s="667"/>
      <c r="K884" s="1280"/>
      <c r="L884" s="1280"/>
      <c r="M884" s="1280"/>
    </row>
    <row r="885" spans="4:13" ht="15" customHeight="1" x14ac:dyDescent="0.3">
      <c r="D885" s="28"/>
      <c r="E885" s="666"/>
      <c r="F885" s="110"/>
      <c r="G885" s="110"/>
      <c r="H885" s="28"/>
      <c r="I885" s="214"/>
      <c r="J885" s="618"/>
    </row>
    <row r="886" spans="4:13" ht="15" customHeight="1" x14ac:dyDescent="0.3">
      <c r="D886" s="28"/>
      <c r="E886" s="666"/>
      <c r="F886" s="110"/>
      <c r="G886" s="110"/>
      <c r="K886" s="110"/>
      <c r="L886" s="110"/>
      <c r="M886" s="110"/>
    </row>
    <row r="887" spans="4:13" ht="15" customHeight="1" x14ac:dyDescent="0.3">
      <c r="D887" s="28"/>
      <c r="E887" s="666"/>
      <c r="F887" s="110"/>
      <c r="G887" s="110"/>
      <c r="H887" s="110"/>
      <c r="I887" s="110"/>
      <c r="J887" s="667"/>
      <c r="K887" s="110"/>
      <c r="L887" s="110"/>
      <c r="M887" s="110"/>
    </row>
    <row r="888" spans="4:13" ht="15" customHeight="1" x14ac:dyDescent="0.3">
      <c r="D888" s="28"/>
      <c r="E888" s="666"/>
      <c r="F888" s="1280"/>
      <c r="G888" s="1280"/>
      <c r="H888" s="1280"/>
      <c r="I888" s="1280"/>
      <c r="J888" s="667"/>
      <c r="K888" s="110"/>
      <c r="L888" s="110"/>
      <c r="M888" s="110"/>
    </row>
    <row r="889" spans="4:13" ht="15" customHeight="1" x14ac:dyDescent="0.3">
      <c r="D889" s="28"/>
      <c r="E889" s="666"/>
      <c r="F889" s="1280"/>
      <c r="G889" s="1280"/>
      <c r="H889" s="1280"/>
      <c r="I889" s="1280"/>
    </row>
    <row r="890" spans="4:13" ht="15" customHeight="1" x14ac:dyDescent="0.3">
      <c r="D890" s="28"/>
      <c r="E890" s="666"/>
      <c r="F890" s="1280"/>
      <c r="G890" s="1280"/>
      <c r="H890" s="1280"/>
      <c r="I890" s="1280"/>
      <c r="K890" s="1024"/>
      <c r="L890" s="1024"/>
      <c r="M890" s="1024"/>
    </row>
    <row r="891" spans="4:13" ht="15" customHeight="1" x14ac:dyDescent="0.3">
      <c r="D891" s="28"/>
      <c r="E891" s="666"/>
      <c r="F891" s="109"/>
      <c r="G891" s="109"/>
      <c r="H891" s="1280"/>
      <c r="I891" s="1280"/>
      <c r="J891" s="667"/>
      <c r="K891" s="1024"/>
      <c r="L891" s="1024"/>
      <c r="M891" s="1024"/>
    </row>
    <row r="892" spans="4:13" ht="15" customHeight="1" x14ac:dyDescent="0.3">
      <c r="D892" s="28"/>
      <c r="E892" s="666"/>
      <c r="F892" s="109"/>
      <c r="G892" s="109"/>
      <c r="H892" s="110"/>
      <c r="I892" s="110"/>
      <c r="J892" s="667"/>
    </row>
    <row r="893" spans="4:13" ht="15" customHeight="1" x14ac:dyDescent="0.3">
      <c r="D893" s="28"/>
      <c r="E893" s="666"/>
      <c r="F893" s="109"/>
      <c r="G893" s="109"/>
    </row>
    <row r="894" spans="4:13" ht="15" customHeight="1" x14ac:dyDescent="0.3">
      <c r="D894" s="28"/>
      <c r="E894" s="666"/>
      <c r="F894" s="109"/>
      <c r="G894" s="109"/>
      <c r="H894" s="110"/>
      <c r="I894" s="110"/>
      <c r="J894" s="667"/>
    </row>
    <row r="895" spans="4:13" ht="15" customHeight="1" x14ac:dyDescent="0.3">
      <c r="D895" s="28"/>
      <c r="E895" s="666"/>
      <c r="F895" s="666"/>
      <c r="G895" s="666"/>
      <c r="H895" s="110"/>
      <c r="I895" s="110"/>
      <c r="J895" s="667"/>
    </row>
    <row r="896" spans="4:13" ht="15" customHeight="1" x14ac:dyDescent="0.3">
      <c r="D896" s="28"/>
      <c r="E896" s="666"/>
      <c r="F896" s="666"/>
      <c r="G896" s="666"/>
      <c r="H896" s="28"/>
      <c r="I896" s="214"/>
      <c r="J896" s="618"/>
    </row>
    <row r="897" spans="1:13" ht="15" customHeight="1" x14ac:dyDescent="0.3">
      <c r="C897" s="1280"/>
      <c r="D897" s="1024"/>
      <c r="E897" s="1024"/>
      <c r="F897" s="1280"/>
      <c r="G897" s="1280"/>
      <c r="H897" s="1280"/>
      <c r="I897" s="1280"/>
      <c r="J897" s="667"/>
      <c r="K897" s="1024"/>
      <c r="L897" s="1024"/>
      <c r="M897" s="1024"/>
    </row>
    <row r="898" spans="1:13" ht="15" customHeight="1" x14ac:dyDescent="0.3">
      <c r="A898" s="262" t="s">
        <v>1290</v>
      </c>
      <c r="C898" s="1024"/>
      <c r="D898" s="1024"/>
      <c r="E898" s="1024"/>
      <c r="F898" s="1280"/>
      <c r="G898" s="1280"/>
      <c r="H898" s="1024"/>
      <c r="I898" s="1024"/>
      <c r="K898" s="1024"/>
      <c r="L898" s="1024"/>
      <c r="M898" s="1024"/>
    </row>
    <row r="899" spans="1:13" ht="30" customHeight="1" x14ac:dyDescent="0.3">
      <c r="C899" s="563"/>
      <c r="D899" s="674"/>
      <c r="E899" s="669"/>
      <c r="F899" s="670"/>
      <c r="G899" s="671"/>
      <c r="H899" s="563"/>
      <c r="I899" s="672"/>
      <c r="J899" s="673"/>
      <c r="K899" s="672"/>
      <c r="L899" s="672"/>
      <c r="M899" s="672"/>
    </row>
    <row r="900" spans="1:13" ht="30" customHeight="1" x14ac:dyDescent="0.3">
      <c r="C900" s="160"/>
      <c r="D900" s="210"/>
      <c r="E900" s="992"/>
      <c r="F900" s="993"/>
      <c r="G900" s="994"/>
      <c r="H900" s="160"/>
      <c r="I900" s="211"/>
      <c r="J900" s="616"/>
      <c r="K900" s="489"/>
      <c r="L900" s="490"/>
      <c r="M900" s="489"/>
    </row>
    <row r="901" spans="1:13" ht="30" customHeight="1" x14ac:dyDescent="0.3">
      <c r="C901" s="161"/>
      <c r="D901" s="161"/>
      <c r="E901" s="969"/>
      <c r="F901" s="970"/>
      <c r="G901" s="971"/>
      <c r="H901" s="161"/>
      <c r="I901" s="212"/>
      <c r="J901" s="617"/>
      <c r="K901" s="212"/>
      <c r="L901" s="225"/>
      <c r="M901" s="212"/>
    </row>
    <row r="902" spans="1:13" ht="30" customHeight="1" x14ac:dyDescent="0.3">
      <c r="C902" s="161"/>
      <c r="D902" s="161"/>
      <c r="E902" s="969"/>
      <c r="F902" s="970"/>
      <c r="G902" s="971"/>
      <c r="H902" s="161"/>
      <c r="I902" s="212"/>
      <c r="J902" s="617"/>
      <c r="K902" s="212"/>
      <c r="L902" s="225"/>
      <c r="M902" s="212"/>
    </row>
    <row r="903" spans="1:13" ht="30" customHeight="1" x14ac:dyDescent="0.3">
      <c r="C903" s="161"/>
      <c r="D903" s="161"/>
      <c r="E903" s="969"/>
      <c r="F903" s="970"/>
      <c r="G903" s="971"/>
      <c r="H903" s="161"/>
      <c r="I903" s="212"/>
      <c r="J903" s="617"/>
      <c r="K903" s="212"/>
      <c r="L903" s="225"/>
      <c r="M903" s="212"/>
    </row>
    <row r="904" spans="1:13" ht="30" customHeight="1" x14ac:dyDescent="0.3">
      <c r="C904" s="161"/>
      <c r="D904" s="161"/>
      <c r="E904" s="969"/>
      <c r="F904" s="970"/>
      <c r="G904" s="971"/>
      <c r="H904" s="161"/>
      <c r="I904" s="212"/>
      <c r="J904" s="617"/>
      <c r="K904" s="212"/>
      <c r="L904" s="225"/>
      <c r="M904" s="212"/>
    </row>
    <row r="905" spans="1:13" ht="30" customHeight="1" x14ac:dyDescent="0.3">
      <c r="C905" s="161"/>
      <c r="D905" s="161"/>
      <c r="E905" s="969"/>
      <c r="F905" s="970"/>
      <c r="G905" s="971"/>
      <c r="H905" s="161"/>
      <c r="I905" s="212"/>
      <c r="J905" s="617"/>
      <c r="K905" s="212"/>
      <c r="L905" s="225"/>
      <c r="M905" s="212"/>
    </row>
    <row r="906" spans="1:13" ht="30" customHeight="1" x14ac:dyDescent="0.3">
      <c r="C906" s="161"/>
      <c r="D906" s="161"/>
      <c r="E906" s="969"/>
      <c r="F906" s="970"/>
      <c r="G906" s="971"/>
      <c r="H906" s="161"/>
      <c r="I906" s="212"/>
      <c r="J906" s="617"/>
      <c r="K906" s="212"/>
      <c r="L906" s="225"/>
      <c r="M906" s="212"/>
    </row>
    <row r="907" spans="1:13" ht="30" customHeight="1" x14ac:dyDescent="0.3">
      <c r="C907" s="161"/>
      <c r="D907" s="161"/>
      <c r="E907" s="969"/>
      <c r="F907" s="970"/>
      <c r="G907" s="971"/>
      <c r="H907" s="161"/>
      <c r="I907" s="212"/>
      <c r="J907" s="617"/>
      <c r="K907" s="212"/>
      <c r="L907" s="225"/>
      <c r="M907" s="212"/>
    </row>
    <row r="908" spans="1:13" ht="30" customHeight="1" x14ac:dyDescent="0.3">
      <c r="C908" s="161"/>
      <c r="D908" s="161"/>
      <c r="E908" s="969"/>
      <c r="F908" s="970"/>
      <c r="G908" s="971"/>
      <c r="H908" s="161"/>
      <c r="I908" s="212"/>
      <c r="J908" s="617"/>
      <c r="K908" s="212"/>
      <c r="L908" s="225"/>
      <c r="M908" s="212"/>
    </row>
    <row r="909" spans="1:13" ht="30" customHeight="1" x14ac:dyDescent="0.3">
      <c r="C909" s="161"/>
      <c r="D909" s="161"/>
      <c r="E909" s="969"/>
      <c r="F909" s="970"/>
      <c r="G909" s="971"/>
      <c r="H909" s="161"/>
      <c r="I909" s="212"/>
      <c r="J909" s="617"/>
      <c r="K909" s="212"/>
      <c r="L909" s="225"/>
      <c r="M909" s="212"/>
    </row>
    <row r="910" spans="1:13" ht="30" customHeight="1" x14ac:dyDescent="0.3">
      <c r="C910" s="161"/>
      <c r="D910" s="161"/>
      <c r="E910" s="969"/>
      <c r="F910" s="970"/>
      <c r="G910" s="971"/>
      <c r="H910" s="161"/>
      <c r="I910" s="212"/>
      <c r="J910" s="617"/>
      <c r="K910" s="212"/>
      <c r="L910" s="225"/>
      <c r="M910" s="212"/>
    </row>
    <row r="911" spans="1:13" ht="30" customHeight="1" x14ac:dyDescent="0.3">
      <c r="C911" s="161"/>
      <c r="D911" s="161"/>
      <c r="E911" s="969"/>
      <c r="F911" s="970"/>
      <c r="G911" s="971"/>
      <c r="H911" s="161"/>
      <c r="I911" s="212"/>
      <c r="J911" s="617"/>
      <c r="K911" s="212"/>
      <c r="L911" s="225"/>
      <c r="M911" s="212"/>
    </row>
    <row r="912" spans="1:13" ht="30" customHeight="1" x14ac:dyDescent="0.3">
      <c r="C912" s="161"/>
      <c r="D912" s="161"/>
      <c r="E912" s="969"/>
      <c r="F912" s="970"/>
      <c r="G912" s="971"/>
      <c r="H912" s="161"/>
      <c r="I912" s="212"/>
      <c r="J912" s="617"/>
      <c r="K912" s="212"/>
      <c r="L912" s="225"/>
      <c r="M912" s="212"/>
    </row>
    <row r="913" spans="3:13" ht="30" customHeight="1" x14ac:dyDescent="0.3">
      <c r="C913" s="161"/>
      <c r="D913" s="161"/>
      <c r="E913" s="969"/>
      <c r="F913" s="970"/>
      <c r="G913" s="971"/>
      <c r="H913" s="161"/>
      <c r="I913" s="212"/>
      <c r="J913" s="617"/>
      <c r="K913" s="212"/>
      <c r="L913" s="225"/>
      <c r="M913" s="212"/>
    </row>
    <row r="914" spans="3:13" ht="30" customHeight="1" x14ac:dyDescent="0.3">
      <c r="C914" s="161"/>
      <c r="D914" s="161"/>
      <c r="E914" s="969"/>
      <c r="F914" s="970"/>
      <c r="G914" s="971"/>
      <c r="H914" s="161"/>
      <c r="I914" s="212"/>
      <c r="J914" s="617"/>
      <c r="K914" s="212"/>
      <c r="L914" s="225"/>
      <c r="M914" s="212"/>
    </row>
    <row r="915" spans="3:13" ht="30" customHeight="1" x14ac:dyDescent="0.3">
      <c r="C915" s="161"/>
      <c r="D915" s="161"/>
      <c r="E915" s="969"/>
      <c r="F915" s="970"/>
      <c r="G915" s="971"/>
      <c r="H915" s="161"/>
      <c r="I915" s="212"/>
      <c r="J915" s="617"/>
      <c r="K915" s="212"/>
      <c r="L915" s="225"/>
      <c r="M915" s="212"/>
    </row>
    <row r="916" spans="3:13" ht="30" customHeight="1" x14ac:dyDescent="0.3">
      <c r="C916" s="161"/>
      <c r="D916" s="161"/>
      <c r="E916" s="969"/>
      <c r="F916" s="970"/>
      <c r="G916" s="971"/>
      <c r="H916" s="161"/>
      <c r="I916" s="212"/>
      <c r="J916" s="617"/>
      <c r="K916" s="212"/>
      <c r="L916" s="225"/>
      <c r="M916" s="212"/>
    </row>
    <row r="917" spans="3:13" ht="30" customHeight="1" x14ac:dyDescent="0.3">
      <c r="C917" s="161"/>
      <c r="D917" s="161"/>
      <c r="E917" s="969"/>
      <c r="F917" s="970"/>
      <c r="G917" s="971"/>
      <c r="H917" s="161"/>
      <c r="I917" s="212"/>
      <c r="J917" s="617"/>
      <c r="K917" s="212"/>
      <c r="L917" s="225"/>
      <c r="M917" s="212"/>
    </row>
    <row r="918" spans="3:13" ht="30" customHeight="1" x14ac:dyDescent="0.3">
      <c r="C918" s="161"/>
      <c r="D918" s="161"/>
      <c r="E918" s="969"/>
      <c r="F918" s="970"/>
      <c r="G918" s="971"/>
      <c r="H918" s="161"/>
      <c r="I918" s="212"/>
      <c r="J918" s="617"/>
      <c r="K918" s="212"/>
      <c r="L918" s="225"/>
      <c r="M918" s="212"/>
    </row>
    <row r="919" spans="3:13" ht="30" customHeight="1" x14ac:dyDescent="0.3">
      <c r="C919" s="161"/>
      <c r="D919" s="161"/>
      <c r="E919" s="969"/>
      <c r="F919" s="970"/>
      <c r="G919" s="971"/>
      <c r="H919" s="161"/>
      <c r="I919" s="212"/>
      <c r="J919" s="617"/>
      <c r="K919" s="212"/>
      <c r="L919" s="225"/>
      <c r="M919" s="212"/>
    </row>
    <row r="920" spans="3:13" ht="30" customHeight="1" x14ac:dyDescent="0.3">
      <c r="C920" s="161"/>
      <c r="D920" s="161"/>
      <c r="E920" s="969"/>
      <c r="F920" s="970"/>
      <c r="G920" s="971"/>
      <c r="H920" s="161"/>
      <c r="I920" s="212"/>
      <c r="J920" s="617"/>
      <c r="K920" s="212"/>
      <c r="L920" s="225"/>
      <c r="M920" s="212"/>
    </row>
    <row r="921" spans="3:13" ht="30" customHeight="1" x14ac:dyDescent="0.3">
      <c r="C921" s="161"/>
      <c r="D921" s="161"/>
      <c r="E921" s="969"/>
      <c r="F921" s="970"/>
      <c r="G921" s="971"/>
      <c r="H921" s="161"/>
      <c r="I921" s="212"/>
      <c r="J921" s="617"/>
      <c r="K921" s="212"/>
      <c r="L921" s="225"/>
      <c r="M921" s="212"/>
    </row>
    <row r="922" spans="3:13" ht="30" customHeight="1" x14ac:dyDescent="0.3">
      <c r="C922" s="161"/>
      <c r="D922" s="161"/>
      <c r="E922" s="969"/>
      <c r="F922" s="970"/>
      <c r="G922" s="971"/>
      <c r="H922" s="161"/>
      <c r="I922" s="212"/>
      <c r="J922" s="617"/>
      <c r="K922" s="212"/>
      <c r="L922" s="225"/>
      <c r="M922" s="212"/>
    </row>
    <row r="923" spans="3:13" ht="30" customHeight="1" x14ac:dyDescent="0.3">
      <c r="C923" s="161"/>
      <c r="D923" s="161"/>
      <c r="E923" s="969"/>
      <c r="F923" s="970"/>
      <c r="G923" s="971"/>
      <c r="H923" s="161"/>
      <c r="I923" s="212"/>
      <c r="J923" s="617"/>
      <c r="K923" s="212"/>
      <c r="L923" s="225"/>
      <c r="M923" s="212"/>
    </row>
    <row r="924" spans="3:13" ht="30" customHeight="1" x14ac:dyDescent="0.3">
      <c r="C924" s="160"/>
      <c r="D924" s="160"/>
      <c r="E924" s="992"/>
      <c r="F924" s="993"/>
      <c r="G924" s="994"/>
      <c r="H924" s="160"/>
      <c r="I924" s="211"/>
      <c r="J924" s="616"/>
      <c r="K924" s="211"/>
      <c r="L924" s="224"/>
      <c r="M924" s="211"/>
    </row>
    <row r="925" spans="3:13" ht="30" customHeight="1" x14ac:dyDescent="0.3">
      <c r="C925" s="161"/>
      <c r="D925" s="161"/>
      <c r="E925" s="969"/>
      <c r="F925" s="970"/>
      <c r="G925" s="971"/>
      <c r="H925" s="161"/>
      <c r="I925" s="212"/>
      <c r="J925" s="617"/>
      <c r="K925" s="212"/>
      <c r="L925" s="225"/>
      <c r="M925" s="212"/>
    </row>
    <row r="926" spans="3:13" ht="30" customHeight="1" x14ac:dyDescent="0.3">
      <c r="C926" s="161"/>
      <c r="D926" s="161"/>
      <c r="E926" s="969"/>
      <c r="F926" s="970"/>
      <c r="G926" s="971"/>
      <c r="H926" s="161"/>
      <c r="I926" s="212"/>
      <c r="J926" s="617"/>
      <c r="K926" s="212"/>
      <c r="L926" s="225"/>
      <c r="M926" s="212"/>
    </row>
    <row r="927" spans="3:13" ht="30" customHeight="1" x14ac:dyDescent="0.3">
      <c r="C927" s="161"/>
      <c r="D927" s="161"/>
      <c r="E927" s="969"/>
      <c r="F927" s="970"/>
      <c r="G927" s="971"/>
      <c r="H927" s="161"/>
      <c r="I927" s="212"/>
      <c r="J927" s="617"/>
      <c r="K927" s="212"/>
      <c r="L927" s="225"/>
      <c r="M927" s="212"/>
    </row>
    <row r="928" spans="3:13" ht="30" customHeight="1" x14ac:dyDescent="0.3">
      <c r="C928" s="161"/>
      <c r="D928" s="161"/>
      <c r="E928" s="969"/>
      <c r="F928" s="970"/>
      <c r="G928" s="971"/>
      <c r="H928" s="161"/>
      <c r="I928" s="212"/>
      <c r="J928" s="617"/>
      <c r="K928" s="212"/>
      <c r="L928" s="225"/>
      <c r="M928" s="212"/>
    </row>
    <row r="929" spans="1:13" ht="30" customHeight="1" x14ac:dyDescent="0.3">
      <c r="C929" s="161"/>
      <c r="D929" s="161"/>
      <c r="E929" s="969"/>
      <c r="F929" s="970"/>
      <c r="G929" s="971"/>
      <c r="H929" s="161"/>
      <c r="I929" s="212"/>
      <c r="J929" s="617"/>
      <c r="K929" s="212"/>
      <c r="L929" s="225"/>
      <c r="M929" s="212"/>
    </row>
    <row r="930" spans="1:13" ht="30" customHeight="1" x14ac:dyDescent="0.3">
      <c r="C930" s="161"/>
      <c r="D930" s="161"/>
      <c r="E930" s="969"/>
      <c r="F930" s="970"/>
      <c r="G930" s="971"/>
      <c r="H930" s="161"/>
      <c r="I930" s="212"/>
      <c r="J930" s="617"/>
      <c r="K930" s="212"/>
      <c r="L930" s="225"/>
      <c r="M930" s="212"/>
    </row>
    <row r="931" spans="1:13" ht="30" customHeight="1" x14ac:dyDescent="0.3">
      <c r="C931" s="161"/>
      <c r="D931" s="161"/>
      <c r="E931" s="969"/>
      <c r="F931" s="970"/>
      <c r="G931" s="971"/>
      <c r="H931" s="161"/>
      <c r="I931" s="212"/>
      <c r="J931" s="617"/>
      <c r="K931" s="212"/>
      <c r="L931" s="225"/>
      <c r="M931" s="212"/>
    </row>
    <row r="932" spans="1:13" ht="30" customHeight="1" x14ac:dyDescent="0.3">
      <c r="C932" s="161"/>
      <c r="D932" s="161"/>
      <c r="E932" s="969"/>
      <c r="F932" s="970"/>
      <c r="G932" s="971"/>
      <c r="H932" s="161"/>
      <c r="I932" s="212"/>
      <c r="J932" s="617"/>
      <c r="K932" s="212"/>
      <c r="L932" s="225"/>
      <c r="M932" s="212"/>
    </row>
    <row r="933" spans="1:13" ht="30" customHeight="1" x14ac:dyDescent="0.3">
      <c r="C933" s="1375"/>
      <c r="D933" s="1375"/>
      <c r="E933" s="1375"/>
      <c r="F933" s="1376"/>
      <c r="G933" s="1376"/>
      <c r="H933" s="1375"/>
      <c r="I933" s="1375"/>
      <c r="J933" s="1375"/>
      <c r="K933" s="1375"/>
      <c r="L933" s="1375"/>
      <c r="M933" s="1375"/>
    </row>
    <row r="934" spans="1:13" ht="19.95" customHeight="1" x14ac:dyDescent="0.3">
      <c r="C934" s="1024"/>
      <c r="D934" s="1024"/>
      <c r="E934" s="1024"/>
      <c r="F934" s="1280"/>
      <c r="G934" s="1280"/>
      <c r="H934" s="1280"/>
      <c r="I934" s="1280"/>
      <c r="J934" s="1280"/>
      <c r="K934" s="1280"/>
      <c r="L934" s="1280"/>
      <c r="M934" s="1280"/>
    </row>
    <row r="935" spans="1:13" ht="19.8" customHeight="1" x14ac:dyDescent="0.3">
      <c r="D935" s="28"/>
      <c r="E935" s="28"/>
      <c r="F935" s="109"/>
      <c r="G935" s="109"/>
      <c r="H935" s="1280"/>
      <c r="I935" s="1280"/>
      <c r="J935" s="1280"/>
      <c r="K935" s="1280"/>
      <c r="L935" s="1280"/>
      <c r="M935" s="1280"/>
    </row>
    <row r="936" spans="1:13" ht="23.4" customHeight="1" x14ac:dyDescent="0.3">
      <c r="D936" s="28"/>
      <c r="E936" s="666"/>
      <c r="F936" s="1280"/>
      <c r="G936" s="1280"/>
      <c r="H936" s="1280"/>
      <c r="I936" s="1280"/>
      <c r="J936" s="1280"/>
      <c r="K936" s="1280"/>
      <c r="L936" s="1280"/>
      <c r="M936" s="1280"/>
    </row>
    <row r="937" spans="1:13" ht="15" customHeight="1" x14ac:dyDescent="0.3">
      <c r="D937" s="28"/>
      <c r="E937" s="666"/>
      <c r="F937" s="1280"/>
      <c r="G937" s="1280"/>
      <c r="H937" s="109"/>
      <c r="I937" s="109"/>
      <c r="J937" s="667"/>
      <c r="K937" s="109"/>
      <c r="L937" s="109"/>
      <c r="M937" s="109"/>
    </row>
    <row r="938" spans="1:13" ht="15" customHeight="1" x14ac:dyDescent="0.3">
      <c r="D938" s="28"/>
      <c r="E938" s="666"/>
      <c r="F938" s="1280"/>
      <c r="G938" s="1280"/>
      <c r="H938" s="110"/>
      <c r="I938" s="110"/>
      <c r="J938" s="110"/>
      <c r="K938" s="1280"/>
      <c r="L938" s="1280"/>
      <c r="M938" s="110"/>
    </row>
    <row r="939" spans="1:13" ht="15" customHeight="1" x14ac:dyDescent="0.3">
      <c r="D939" s="28"/>
      <c r="E939" s="666"/>
      <c r="F939" s="1280"/>
      <c r="G939" s="1280"/>
      <c r="H939" s="110"/>
      <c r="I939" s="110"/>
      <c r="J939" s="110"/>
      <c r="K939" s="1280"/>
      <c r="L939" s="1280"/>
      <c r="M939" s="110"/>
    </row>
    <row r="940" spans="1:13" ht="15" customHeight="1" x14ac:dyDescent="0.3">
      <c r="D940" s="28"/>
      <c r="E940" s="666"/>
      <c r="F940" s="1280"/>
      <c r="G940" s="1280"/>
      <c r="H940" s="110"/>
      <c r="I940" s="110"/>
      <c r="J940" s="110"/>
      <c r="K940" s="1280"/>
      <c r="L940" s="1280"/>
      <c r="M940" s="110"/>
    </row>
    <row r="941" spans="1:13" ht="15" customHeight="1" x14ac:dyDescent="0.3">
      <c r="D941" s="28"/>
      <c r="E941" s="666"/>
      <c r="F941" s="1280"/>
      <c r="G941" s="1280"/>
      <c r="H941" s="1280"/>
      <c r="I941" s="1280"/>
      <c r="J941" s="1280"/>
      <c r="K941" s="1280"/>
      <c r="L941" s="1280"/>
      <c r="M941" s="1280"/>
    </row>
    <row r="942" spans="1:13" ht="15" customHeight="1" x14ac:dyDescent="0.3">
      <c r="D942" s="28"/>
      <c r="E942" s="666"/>
      <c r="F942" s="666"/>
      <c r="G942" s="666"/>
      <c r="H942" s="1280"/>
      <c r="I942" s="1280"/>
      <c r="J942" s="1280"/>
      <c r="K942" s="1280"/>
      <c r="L942" s="1280"/>
      <c r="M942" s="1280"/>
    </row>
    <row r="943" spans="1:13" ht="15" customHeight="1" x14ac:dyDescent="0.3">
      <c r="C943" s="1280"/>
      <c r="D943" s="1024"/>
      <c r="E943" s="1024"/>
      <c r="F943" s="1280"/>
      <c r="G943" s="1280"/>
      <c r="H943" s="1280"/>
      <c r="I943" s="1024"/>
      <c r="J943" s="1024"/>
      <c r="K943" s="1024"/>
      <c r="L943" s="1024"/>
      <c r="M943" s="1024"/>
    </row>
    <row r="944" spans="1:13" ht="15" customHeight="1" x14ac:dyDescent="0.3">
      <c r="A944" s="262" t="s">
        <v>1290</v>
      </c>
      <c r="C944" s="1024"/>
      <c r="D944" s="1024"/>
      <c r="E944" s="1024"/>
      <c r="F944" s="1280"/>
      <c r="G944" s="1280"/>
      <c r="H944" s="1024"/>
      <c r="I944" s="1024"/>
      <c r="J944" s="1024"/>
      <c r="K944" s="1024"/>
      <c r="L944" s="1024"/>
      <c r="M944" s="1024"/>
    </row>
    <row r="945" spans="3:13" ht="30" customHeight="1" x14ac:dyDescent="0.3">
      <c r="C945" s="563"/>
      <c r="D945" s="674"/>
      <c r="E945" s="669"/>
      <c r="F945" s="670"/>
      <c r="G945" s="671"/>
      <c r="H945" s="563"/>
      <c r="I945" s="672"/>
      <c r="J945" s="673"/>
      <c r="K945" s="672"/>
      <c r="L945" s="672"/>
      <c r="M945" s="672"/>
    </row>
    <row r="946" spans="3:13" ht="30" customHeight="1" x14ac:dyDescent="0.3">
      <c r="C946" s="160"/>
      <c r="D946" s="210"/>
      <c r="E946" s="992"/>
      <c r="F946" s="993"/>
      <c r="G946" s="994"/>
      <c r="H946" s="160"/>
      <c r="I946" s="211"/>
      <c r="J946" s="616"/>
      <c r="K946" s="489"/>
      <c r="L946" s="490"/>
      <c r="M946" s="489"/>
    </row>
    <row r="947" spans="3:13" ht="30" customHeight="1" x14ac:dyDescent="0.3">
      <c r="C947" s="161"/>
      <c r="D947" s="161"/>
      <c r="E947" s="969"/>
      <c r="F947" s="970"/>
      <c r="G947" s="971"/>
      <c r="H947" s="161"/>
      <c r="I947" s="212"/>
      <c r="J947" s="617"/>
      <c r="K947" s="212"/>
      <c r="L947" s="225"/>
      <c r="M947" s="212"/>
    </row>
    <row r="948" spans="3:13" ht="30" customHeight="1" x14ac:dyDescent="0.3">
      <c r="C948" s="161"/>
      <c r="D948" s="161"/>
      <c r="E948" s="969"/>
      <c r="F948" s="970"/>
      <c r="G948" s="971"/>
      <c r="H948" s="161"/>
      <c r="I948" s="212"/>
      <c r="J948" s="617"/>
      <c r="K948" s="212"/>
      <c r="L948" s="225"/>
      <c r="M948" s="212"/>
    </row>
    <row r="949" spans="3:13" ht="30" customHeight="1" x14ac:dyDescent="0.3">
      <c r="C949" s="161"/>
      <c r="D949" s="161"/>
      <c r="E949" s="969"/>
      <c r="F949" s="970"/>
      <c r="G949" s="971"/>
      <c r="H949" s="161"/>
      <c r="I949" s="212"/>
      <c r="J949" s="617"/>
      <c r="K949" s="212"/>
      <c r="L949" s="225"/>
      <c r="M949" s="212"/>
    </row>
    <row r="950" spans="3:13" ht="30" customHeight="1" x14ac:dyDescent="0.3">
      <c r="C950" s="161"/>
      <c r="D950" s="161"/>
      <c r="E950" s="969"/>
      <c r="F950" s="970"/>
      <c r="G950" s="971"/>
      <c r="H950" s="161"/>
      <c r="I950" s="212"/>
      <c r="J950" s="617"/>
      <c r="K950" s="212"/>
      <c r="L950" s="225"/>
      <c r="M950" s="212"/>
    </row>
    <row r="951" spans="3:13" ht="30" customHeight="1" x14ac:dyDescent="0.3">
      <c r="C951" s="161"/>
      <c r="D951" s="161"/>
      <c r="E951" s="969"/>
      <c r="F951" s="970"/>
      <c r="G951" s="971"/>
      <c r="H951" s="161"/>
      <c r="I951" s="212"/>
      <c r="J951" s="617"/>
      <c r="K951" s="212"/>
      <c r="L951" s="225"/>
      <c r="M951" s="212"/>
    </row>
    <row r="952" spans="3:13" ht="30" customHeight="1" x14ac:dyDescent="0.3">
      <c r="C952" s="161"/>
      <c r="D952" s="161"/>
      <c r="E952" s="969"/>
      <c r="F952" s="970"/>
      <c r="G952" s="971"/>
      <c r="H952" s="161"/>
      <c r="I952" s="212"/>
      <c r="J952" s="617"/>
      <c r="K952" s="212"/>
      <c r="L952" s="225"/>
      <c r="M952" s="212"/>
    </row>
    <row r="953" spans="3:13" ht="30" customHeight="1" x14ac:dyDescent="0.3">
      <c r="C953" s="161"/>
      <c r="D953" s="161"/>
      <c r="E953" s="969"/>
      <c r="F953" s="970"/>
      <c r="G953" s="971"/>
      <c r="H953" s="161"/>
      <c r="I953" s="212"/>
      <c r="J953" s="617"/>
      <c r="K953" s="212"/>
      <c r="L953" s="225"/>
      <c r="M953" s="212"/>
    </row>
    <row r="954" spans="3:13" ht="30" customHeight="1" x14ac:dyDescent="0.3">
      <c r="C954" s="161"/>
      <c r="D954" s="161"/>
      <c r="E954" s="969"/>
      <c r="F954" s="970"/>
      <c r="G954" s="971"/>
      <c r="H954" s="161"/>
      <c r="I954" s="212"/>
      <c r="J954" s="617"/>
      <c r="K954" s="212"/>
      <c r="L954" s="225"/>
      <c r="M954" s="212"/>
    </row>
    <row r="955" spans="3:13" ht="30" customHeight="1" x14ac:dyDescent="0.3">
      <c r="C955" s="161"/>
      <c r="D955" s="161"/>
      <c r="E955" s="969"/>
      <c r="F955" s="970"/>
      <c r="G955" s="971"/>
      <c r="H955" s="161"/>
      <c r="I955" s="212"/>
      <c r="J955" s="617"/>
      <c r="K955" s="212"/>
      <c r="L955" s="225"/>
      <c r="M955" s="212"/>
    </row>
    <row r="956" spans="3:13" ht="30" customHeight="1" x14ac:dyDescent="0.3">
      <c r="C956" s="161"/>
      <c r="D956" s="161"/>
      <c r="E956" s="969"/>
      <c r="F956" s="970"/>
      <c r="G956" s="971"/>
      <c r="H956" s="161"/>
      <c r="I956" s="212"/>
      <c r="J956" s="617"/>
      <c r="K956" s="212"/>
      <c r="L956" s="225"/>
      <c r="M956" s="212"/>
    </row>
    <row r="957" spans="3:13" ht="30" customHeight="1" x14ac:dyDescent="0.3">
      <c r="C957" s="161"/>
      <c r="D957" s="161"/>
      <c r="E957" s="969"/>
      <c r="F957" s="970"/>
      <c r="G957" s="971"/>
      <c r="H957" s="161"/>
      <c r="I957" s="212"/>
      <c r="J957" s="617"/>
      <c r="K957" s="212"/>
      <c r="L957" s="225"/>
      <c r="M957" s="212"/>
    </row>
    <row r="958" spans="3:13" ht="30" customHeight="1" x14ac:dyDescent="0.3">
      <c r="C958" s="161"/>
      <c r="D958" s="161"/>
      <c r="E958" s="969"/>
      <c r="F958" s="970"/>
      <c r="G958" s="971"/>
      <c r="H958" s="161"/>
      <c r="I958" s="212"/>
      <c r="J958" s="617"/>
      <c r="K958" s="212"/>
      <c r="L958" s="225"/>
      <c r="M958" s="212"/>
    </row>
    <row r="959" spans="3:13" ht="30" customHeight="1" x14ac:dyDescent="0.3">
      <c r="C959" s="161"/>
      <c r="D959" s="161"/>
      <c r="E959" s="969"/>
      <c r="F959" s="970"/>
      <c r="G959" s="971"/>
      <c r="H959" s="161"/>
      <c r="I959" s="212"/>
      <c r="J959" s="617"/>
      <c r="K959" s="212"/>
      <c r="L959" s="225"/>
      <c r="M959" s="212"/>
    </row>
    <row r="960" spans="3:13" ht="30" customHeight="1" x14ac:dyDescent="0.3">
      <c r="C960" s="161"/>
      <c r="D960" s="161"/>
      <c r="E960" s="969"/>
      <c r="F960" s="970"/>
      <c r="G960" s="971"/>
      <c r="H960" s="161"/>
      <c r="I960" s="212"/>
      <c r="J960" s="617"/>
      <c r="K960" s="212"/>
      <c r="L960" s="225"/>
      <c r="M960" s="212"/>
    </row>
    <row r="961" spans="3:13" ht="30" customHeight="1" x14ac:dyDescent="0.3">
      <c r="C961" s="161"/>
      <c r="D961" s="161"/>
      <c r="E961" s="969"/>
      <c r="F961" s="970"/>
      <c r="G961" s="971"/>
      <c r="H961" s="161"/>
      <c r="I961" s="212"/>
      <c r="J961" s="617"/>
      <c r="K961" s="212"/>
      <c r="L961" s="225"/>
      <c r="M961" s="212"/>
    </row>
    <row r="962" spans="3:13" ht="30" customHeight="1" x14ac:dyDescent="0.3">
      <c r="C962" s="161"/>
      <c r="D962" s="161"/>
      <c r="E962" s="969"/>
      <c r="F962" s="970"/>
      <c r="G962" s="971"/>
      <c r="H962" s="161"/>
      <c r="I962" s="212"/>
      <c r="J962" s="617"/>
      <c r="K962" s="212"/>
      <c r="L962" s="225"/>
      <c r="M962" s="212"/>
    </row>
    <row r="963" spans="3:13" ht="30" customHeight="1" x14ac:dyDescent="0.3">
      <c r="C963" s="161"/>
      <c r="D963" s="161"/>
      <c r="E963" s="969"/>
      <c r="F963" s="970"/>
      <c r="G963" s="971"/>
      <c r="H963" s="161"/>
      <c r="I963" s="212"/>
      <c r="J963" s="617"/>
      <c r="K963" s="212"/>
      <c r="L963" s="225"/>
      <c r="M963" s="212"/>
    </row>
    <row r="964" spans="3:13" ht="30" customHeight="1" x14ac:dyDescent="0.3">
      <c r="C964" s="161"/>
      <c r="D964" s="161"/>
      <c r="E964" s="969"/>
      <c r="F964" s="970"/>
      <c r="G964" s="971"/>
      <c r="H964" s="161"/>
      <c r="I964" s="212"/>
      <c r="J964" s="617"/>
      <c r="K964" s="212"/>
      <c r="L964" s="225"/>
      <c r="M964" s="212"/>
    </row>
    <row r="965" spans="3:13" ht="30" customHeight="1" x14ac:dyDescent="0.3">
      <c r="C965" s="161"/>
      <c r="D965" s="161"/>
      <c r="E965" s="969"/>
      <c r="F965" s="970"/>
      <c r="G965" s="971"/>
      <c r="H965" s="161"/>
      <c r="I965" s="212"/>
      <c r="J965" s="617"/>
      <c r="K965" s="212"/>
      <c r="L965" s="225"/>
      <c r="M965" s="212"/>
    </row>
    <row r="966" spans="3:13" ht="30" customHeight="1" x14ac:dyDescent="0.3">
      <c r="C966" s="161"/>
      <c r="D966" s="161"/>
      <c r="E966" s="969"/>
      <c r="F966" s="970"/>
      <c r="G966" s="971"/>
      <c r="H966" s="161"/>
      <c r="I966" s="212"/>
      <c r="J966" s="617"/>
      <c r="K966" s="212"/>
      <c r="L966" s="225"/>
      <c r="M966" s="212"/>
    </row>
    <row r="967" spans="3:13" ht="30" customHeight="1" x14ac:dyDescent="0.3">
      <c r="C967" s="161"/>
      <c r="D967" s="161"/>
      <c r="E967" s="969"/>
      <c r="F967" s="970"/>
      <c r="G967" s="971"/>
      <c r="H967" s="161"/>
      <c r="I967" s="212"/>
      <c r="J967" s="617"/>
      <c r="K967" s="212"/>
      <c r="L967" s="225"/>
      <c r="M967" s="212"/>
    </row>
    <row r="968" spans="3:13" ht="30" customHeight="1" x14ac:dyDescent="0.3">
      <c r="C968" s="161"/>
      <c r="D968" s="161"/>
      <c r="E968" s="969"/>
      <c r="F968" s="970"/>
      <c r="G968" s="971"/>
      <c r="H968" s="161"/>
      <c r="I968" s="212"/>
      <c r="J968" s="617"/>
      <c r="K968" s="212"/>
      <c r="L968" s="225"/>
      <c r="M968" s="212"/>
    </row>
    <row r="969" spans="3:13" ht="30" customHeight="1" x14ac:dyDescent="0.3">
      <c r="C969" s="161"/>
      <c r="D969" s="161"/>
      <c r="E969" s="969"/>
      <c r="F969" s="970"/>
      <c r="G969" s="971"/>
      <c r="H969" s="161"/>
      <c r="I969" s="212"/>
      <c r="J969" s="617"/>
      <c r="K969" s="212"/>
      <c r="L969" s="225"/>
      <c r="M969" s="212"/>
    </row>
    <row r="970" spans="3:13" ht="30" customHeight="1" x14ac:dyDescent="0.3">
      <c r="C970" s="160"/>
      <c r="D970" s="160"/>
      <c r="E970" s="992"/>
      <c r="F970" s="993"/>
      <c r="G970" s="994"/>
      <c r="H970" s="160"/>
      <c r="I970" s="211"/>
      <c r="J970" s="616"/>
      <c r="K970" s="211"/>
      <c r="L970" s="224"/>
      <c r="M970" s="211"/>
    </row>
    <row r="971" spans="3:13" ht="30" customHeight="1" x14ac:dyDescent="0.3">
      <c r="C971" s="161"/>
      <c r="D971" s="161"/>
      <c r="E971" s="969"/>
      <c r="F971" s="970"/>
      <c r="G971" s="971"/>
      <c r="H971" s="161"/>
      <c r="I971" s="212"/>
      <c r="J971" s="617"/>
      <c r="K971" s="212"/>
      <c r="L971" s="225"/>
      <c r="M971" s="212"/>
    </row>
    <row r="972" spans="3:13" ht="30" customHeight="1" x14ac:dyDescent="0.3">
      <c r="C972" s="161"/>
      <c r="D972" s="161"/>
      <c r="E972" s="969"/>
      <c r="F972" s="970"/>
      <c r="G972" s="971"/>
      <c r="H972" s="161"/>
      <c r="I972" s="212"/>
      <c r="J972" s="617"/>
      <c r="K972" s="212"/>
      <c r="L972" s="225"/>
      <c r="M972" s="212"/>
    </row>
    <row r="973" spans="3:13" ht="30" customHeight="1" x14ac:dyDescent="0.3">
      <c r="C973" s="161"/>
      <c r="D973" s="161"/>
      <c r="E973" s="969"/>
      <c r="F973" s="970"/>
      <c r="G973" s="971"/>
      <c r="H973" s="161"/>
      <c r="I973" s="212"/>
      <c r="J973" s="617"/>
      <c r="K973" s="212"/>
      <c r="L973" s="225"/>
      <c r="M973" s="212"/>
    </row>
    <row r="974" spans="3:13" ht="30" customHeight="1" x14ac:dyDescent="0.3">
      <c r="C974" s="161"/>
      <c r="D974" s="161"/>
      <c r="E974" s="969"/>
      <c r="F974" s="970"/>
      <c r="G974" s="971"/>
      <c r="H974" s="161"/>
      <c r="I974" s="212"/>
      <c r="J974" s="617"/>
      <c r="K974" s="212"/>
      <c r="L974" s="225"/>
      <c r="M974" s="212"/>
    </row>
    <row r="975" spans="3:13" ht="30" customHeight="1" x14ac:dyDescent="0.3">
      <c r="C975" s="161"/>
      <c r="D975" s="161"/>
      <c r="E975" s="969"/>
      <c r="F975" s="970"/>
      <c r="G975" s="971"/>
      <c r="H975" s="161"/>
      <c r="I975" s="212"/>
      <c r="J975" s="617"/>
      <c r="K975" s="212"/>
      <c r="L975" s="225"/>
      <c r="M975" s="212"/>
    </row>
    <row r="976" spans="3:13" ht="30" customHeight="1" x14ac:dyDescent="0.3">
      <c r="C976" s="161"/>
      <c r="D976" s="161"/>
      <c r="E976" s="969"/>
      <c r="F976" s="970"/>
      <c r="G976" s="971"/>
      <c r="H976" s="161"/>
      <c r="I976" s="212"/>
      <c r="J976" s="617"/>
      <c r="K976" s="212"/>
      <c r="L976" s="225"/>
      <c r="M976" s="212"/>
    </row>
    <row r="977" spans="1:13" ht="30" customHeight="1" x14ac:dyDescent="0.3">
      <c r="C977" s="161"/>
      <c r="D977" s="161"/>
      <c r="E977" s="969"/>
      <c r="F977" s="970"/>
      <c r="G977" s="971"/>
      <c r="H977" s="161"/>
      <c r="I977" s="212"/>
      <c r="J977" s="617"/>
      <c r="K977" s="212"/>
      <c r="L977" s="225"/>
      <c r="M977" s="212"/>
    </row>
    <row r="978" spans="1:13" ht="30" customHeight="1" x14ac:dyDescent="0.3">
      <c r="C978" s="161"/>
      <c r="D978" s="161"/>
      <c r="E978" s="969"/>
      <c r="F978" s="970"/>
      <c r="G978" s="971"/>
      <c r="H978" s="161"/>
      <c r="I978" s="212"/>
      <c r="J978" s="617"/>
      <c r="K978" s="212"/>
      <c r="L978" s="225"/>
      <c r="M978" s="212"/>
    </row>
    <row r="979" spans="1:13" ht="30" customHeight="1" x14ac:dyDescent="0.3">
      <c r="C979" s="1375"/>
      <c r="D979" s="1375"/>
      <c r="E979" s="1375"/>
      <c r="F979" s="1376"/>
      <c r="G979" s="1376"/>
      <c r="H979" s="1375"/>
      <c r="I979" s="1375"/>
      <c r="J979" s="1375"/>
      <c r="K979" s="1375"/>
      <c r="L979" s="1375"/>
      <c r="M979" s="1375"/>
    </row>
    <row r="980" spans="1:13" ht="19.95" customHeight="1" x14ac:dyDescent="0.3">
      <c r="C980" s="1024"/>
      <c r="D980" s="1024"/>
      <c r="E980" s="1024"/>
      <c r="F980" s="1280"/>
      <c r="G980" s="1280"/>
      <c r="H980" s="1280"/>
      <c r="I980" s="1280"/>
      <c r="J980" s="1280"/>
      <c r="K980" s="1280"/>
      <c r="L980" s="1280"/>
      <c r="M980" s="1280"/>
    </row>
    <row r="981" spans="1:13" ht="19.8" customHeight="1" x14ac:dyDescent="0.3">
      <c r="D981" s="28"/>
      <c r="E981" s="28"/>
      <c r="F981" s="109"/>
      <c r="G981" s="109"/>
      <c r="H981" s="1280"/>
      <c r="I981" s="1280"/>
      <c r="J981" s="1280"/>
      <c r="K981" s="1280"/>
      <c r="L981" s="1280"/>
      <c r="M981" s="1280"/>
    </row>
    <row r="982" spans="1:13" ht="23.4" customHeight="1" x14ac:dyDescent="0.3">
      <c r="D982" s="28"/>
      <c r="E982" s="666"/>
      <c r="F982" s="666"/>
      <c r="G982" s="666"/>
      <c r="H982" s="1280"/>
      <c r="I982" s="1280"/>
      <c r="J982" s="1280"/>
      <c r="K982" s="1280"/>
      <c r="L982" s="1280"/>
      <c r="M982" s="1280"/>
    </row>
    <row r="983" spans="1:13" ht="15" customHeight="1" x14ac:dyDescent="0.3">
      <c r="D983" s="28"/>
      <c r="E983" s="666"/>
      <c r="F983" s="666"/>
      <c r="G983" s="666"/>
      <c r="H983" s="109"/>
      <c r="I983" s="109"/>
      <c r="J983" s="667"/>
      <c r="K983" s="109"/>
      <c r="L983" s="109"/>
      <c r="M983" s="109"/>
    </row>
    <row r="984" spans="1:13" ht="15" customHeight="1" x14ac:dyDescent="0.3">
      <c r="D984" s="28"/>
      <c r="E984" s="666"/>
      <c r="F984" s="1280"/>
      <c r="G984" s="1280"/>
      <c r="H984" s="110"/>
      <c r="I984" s="110"/>
      <c r="J984" s="110"/>
      <c r="K984" s="1280"/>
      <c r="L984" s="1280"/>
      <c r="M984" s="110"/>
    </row>
    <row r="985" spans="1:13" ht="15" customHeight="1" x14ac:dyDescent="0.3">
      <c r="D985" s="28"/>
      <c r="E985" s="666"/>
      <c r="F985" s="1280"/>
      <c r="G985" s="1280"/>
      <c r="H985" s="110"/>
      <c r="I985" s="110"/>
      <c r="J985" s="110"/>
      <c r="K985" s="1280"/>
      <c r="L985" s="1280"/>
      <c r="M985" s="110"/>
    </row>
    <row r="986" spans="1:13" ht="15" customHeight="1" x14ac:dyDescent="0.3">
      <c r="D986" s="28"/>
      <c r="E986" s="666"/>
      <c r="F986" s="110"/>
      <c r="G986" s="110"/>
      <c r="H986" s="110"/>
      <c r="I986" s="110"/>
      <c r="J986" s="110"/>
      <c r="K986" s="1280"/>
      <c r="L986" s="1280"/>
      <c r="M986" s="110"/>
    </row>
    <row r="987" spans="1:13" ht="15" customHeight="1" x14ac:dyDescent="0.3">
      <c r="D987" s="28"/>
      <c r="E987" s="666"/>
      <c r="F987" s="666"/>
      <c r="G987" s="666"/>
      <c r="H987" s="1280"/>
      <c r="I987" s="1280"/>
      <c r="J987" s="1280"/>
      <c r="K987" s="1280"/>
      <c r="L987" s="1280"/>
      <c r="M987" s="1280"/>
    </row>
    <row r="988" spans="1:13" ht="15" customHeight="1" x14ac:dyDescent="0.3">
      <c r="D988" s="28"/>
      <c r="E988" s="666"/>
      <c r="F988" s="666"/>
      <c r="G988" s="666"/>
      <c r="H988" s="1280"/>
      <c r="I988" s="1280"/>
      <c r="J988" s="1280"/>
      <c r="K988" s="1280"/>
      <c r="L988" s="1280"/>
      <c r="M988" s="1280"/>
    </row>
    <row r="989" spans="1:13" ht="15" customHeight="1" x14ac:dyDescent="0.3">
      <c r="C989" s="1280"/>
      <c r="D989" s="1024"/>
      <c r="E989" s="1024"/>
      <c r="F989" s="1280"/>
      <c r="G989" s="1280"/>
      <c r="H989" s="1280"/>
      <c r="I989" s="1024"/>
      <c r="J989" s="1024"/>
      <c r="K989" s="1024"/>
      <c r="L989" s="1024"/>
      <c r="M989" s="1024"/>
    </row>
    <row r="990" spans="1:13" ht="15" customHeight="1" x14ac:dyDescent="0.3">
      <c r="A990" s="262" t="s">
        <v>1290</v>
      </c>
      <c r="C990" s="1024"/>
      <c r="D990" s="1024"/>
      <c r="E990" s="1024"/>
      <c r="F990" s="1280"/>
      <c r="G990" s="1280"/>
      <c r="H990" s="1024"/>
      <c r="I990" s="1024"/>
      <c r="J990" s="1024"/>
      <c r="K990" s="1024"/>
      <c r="L990" s="1024"/>
      <c r="M990" s="1024"/>
    </row>
    <row r="991" spans="1:13" ht="30" customHeight="1" x14ac:dyDescent="0.3">
      <c r="C991" s="256"/>
      <c r="D991" s="256"/>
      <c r="E991" s="978"/>
      <c r="F991" s="979"/>
      <c r="G991" s="980"/>
      <c r="H991" s="256"/>
      <c r="I991" s="257"/>
      <c r="J991" s="619"/>
      <c r="K991" s="257"/>
      <c r="L991" s="247"/>
      <c r="M991" s="257"/>
    </row>
    <row r="992" spans="1:13" ht="30" customHeight="1" x14ac:dyDescent="0.3">
      <c r="C992" s="161"/>
      <c r="D992" s="161"/>
      <c r="E992" s="969"/>
      <c r="F992" s="970"/>
      <c r="G992" s="971"/>
      <c r="H992" s="161"/>
      <c r="I992" s="212"/>
      <c r="J992" s="617"/>
      <c r="K992" s="212"/>
      <c r="L992" s="225"/>
      <c r="M992" s="212"/>
    </row>
    <row r="993" spans="3:13" ht="30" customHeight="1" x14ac:dyDescent="0.3">
      <c r="C993" s="161"/>
      <c r="D993" s="161"/>
      <c r="E993" s="969"/>
      <c r="F993" s="970"/>
      <c r="G993" s="971"/>
      <c r="H993" s="161"/>
      <c r="I993" s="212"/>
      <c r="J993" s="617"/>
      <c r="K993" s="212"/>
      <c r="L993" s="225"/>
      <c r="M993" s="212"/>
    </row>
    <row r="994" spans="3:13" ht="30" customHeight="1" x14ac:dyDescent="0.3">
      <c r="C994" s="161"/>
      <c r="D994" s="161"/>
      <c r="E994" s="969"/>
      <c r="F994" s="970"/>
      <c r="G994" s="971"/>
      <c r="H994" s="161"/>
      <c r="I994" s="212"/>
      <c r="J994" s="617"/>
      <c r="K994" s="212"/>
      <c r="L994" s="225"/>
      <c r="M994" s="212"/>
    </row>
    <row r="995" spans="3:13" ht="30" customHeight="1" x14ac:dyDescent="0.3">
      <c r="C995" s="161"/>
      <c r="D995" s="161"/>
      <c r="E995" s="969"/>
      <c r="F995" s="970"/>
      <c r="G995" s="971"/>
      <c r="H995" s="161"/>
      <c r="I995" s="212"/>
      <c r="J995" s="617"/>
      <c r="K995" s="212"/>
      <c r="L995" s="225"/>
      <c r="M995" s="212"/>
    </row>
    <row r="996" spans="3:13" ht="30" customHeight="1" x14ac:dyDescent="0.3">
      <c r="C996" s="161"/>
      <c r="D996" s="161"/>
      <c r="E996" s="969"/>
      <c r="F996" s="970"/>
      <c r="G996" s="971"/>
      <c r="H996" s="161"/>
      <c r="I996" s="212"/>
      <c r="J996" s="617"/>
      <c r="K996" s="212"/>
      <c r="L996" s="225"/>
      <c r="M996" s="212"/>
    </row>
    <row r="997" spans="3:13" ht="30" customHeight="1" x14ac:dyDescent="0.3">
      <c r="C997" s="161"/>
      <c r="D997" s="161"/>
      <c r="E997" s="969"/>
      <c r="F997" s="970"/>
      <c r="G997" s="971"/>
      <c r="H997" s="161"/>
      <c r="I997" s="212"/>
      <c r="J997" s="617"/>
      <c r="K997" s="212"/>
      <c r="L997" s="225"/>
      <c r="M997" s="212"/>
    </row>
    <row r="998" spans="3:13" ht="30" customHeight="1" x14ac:dyDescent="0.3">
      <c r="C998" s="161"/>
      <c r="D998" s="161"/>
      <c r="E998" s="969"/>
      <c r="F998" s="970"/>
      <c r="G998" s="971"/>
      <c r="H998" s="161"/>
      <c r="I998" s="212"/>
      <c r="J998" s="617"/>
      <c r="K998" s="212"/>
      <c r="L998" s="225"/>
      <c r="M998" s="212"/>
    </row>
    <row r="999" spans="3:13" ht="30" customHeight="1" x14ac:dyDescent="0.3">
      <c r="C999" s="161"/>
      <c r="D999" s="161"/>
      <c r="E999" s="969"/>
      <c r="F999" s="970"/>
      <c r="G999" s="971"/>
      <c r="H999" s="161"/>
      <c r="I999" s="212"/>
      <c r="J999" s="617"/>
      <c r="K999" s="212"/>
      <c r="L999" s="225"/>
      <c r="M999" s="212"/>
    </row>
    <row r="1000" spans="3:13" ht="30" customHeight="1" x14ac:dyDescent="0.3">
      <c r="C1000" s="161"/>
      <c r="D1000" s="161"/>
      <c r="E1000" s="969"/>
      <c r="F1000" s="970"/>
      <c r="G1000" s="971"/>
      <c r="H1000" s="161"/>
      <c r="I1000" s="212"/>
      <c r="J1000" s="617"/>
      <c r="K1000" s="212"/>
      <c r="L1000" s="225"/>
      <c r="M1000" s="212"/>
    </row>
    <row r="1001" spans="3:13" ht="30" customHeight="1" x14ac:dyDescent="0.3">
      <c r="C1001" s="161"/>
      <c r="D1001" s="161"/>
      <c r="E1001" s="969"/>
      <c r="F1001" s="970"/>
      <c r="G1001" s="971"/>
      <c r="H1001" s="161"/>
      <c r="I1001" s="212"/>
      <c r="J1001" s="617"/>
      <c r="K1001" s="212"/>
      <c r="L1001" s="225"/>
      <c r="M1001" s="212"/>
    </row>
    <row r="1002" spans="3:13" ht="30" customHeight="1" x14ac:dyDescent="0.3">
      <c r="C1002" s="161"/>
      <c r="D1002" s="161"/>
      <c r="E1002" s="969"/>
      <c r="F1002" s="970"/>
      <c r="G1002" s="971"/>
      <c r="H1002" s="161"/>
      <c r="I1002" s="212"/>
      <c r="J1002" s="617"/>
      <c r="K1002" s="212"/>
      <c r="L1002" s="225"/>
      <c r="M1002" s="212"/>
    </row>
    <row r="1003" spans="3:13" ht="30" customHeight="1" x14ac:dyDescent="0.3">
      <c r="C1003" s="161"/>
      <c r="D1003" s="161"/>
      <c r="E1003" s="969"/>
      <c r="F1003" s="970"/>
      <c r="G1003" s="971"/>
      <c r="H1003" s="161"/>
      <c r="I1003" s="212"/>
      <c r="J1003" s="617"/>
      <c r="K1003" s="212"/>
      <c r="L1003" s="225"/>
      <c r="M1003" s="212"/>
    </row>
    <row r="1004" spans="3:13" ht="30" customHeight="1" x14ac:dyDescent="0.3">
      <c r="C1004" s="161"/>
      <c r="D1004" s="161"/>
      <c r="E1004" s="969"/>
      <c r="F1004" s="970"/>
      <c r="G1004" s="971"/>
      <c r="H1004" s="161"/>
      <c r="I1004" s="212"/>
      <c r="J1004" s="617"/>
      <c r="K1004" s="212"/>
      <c r="L1004" s="225"/>
      <c r="M1004" s="212"/>
    </row>
    <row r="1005" spans="3:13" ht="30" customHeight="1" x14ac:dyDescent="0.3">
      <c r="C1005" s="161"/>
      <c r="D1005" s="161"/>
      <c r="E1005" s="969"/>
      <c r="F1005" s="970"/>
      <c r="G1005" s="971"/>
      <c r="H1005" s="161"/>
      <c r="I1005" s="212"/>
      <c r="J1005" s="617"/>
      <c r="K1005" s="212"/>
      <c r="L1005" s="225"/>
      <c r="M1005" s="212"/>
    </row>
    <row r="1006" spans="3:13" ht="30" customHeight="1" x14ac:dyDescent="0.3">
      <c r="C1006" s="160"/>
      <c r="D1006" s="160"/>
      <c r="E1006" s="992"/>
      <c r="F1006" s="993"/>
      <c r="G1006" s="994"/>
      <c r="H1006" s="160"/>
      <c r="I1006" s="211"/>
      <c r="J1006" s="616"/>
      <c r="K1006" s="211"/>
      <c r="L1006" s="224"/>
      <c r="M1006" s="211"/>
    </row>
    <row r="1007" spans="3:13" ht="30" customHeight="1" x14ac:dyDescent="0.3">
      <c r="C1007" s="161"/>
      <c r="D1007" s="161"/>
      <c r="E1007" s="969"/>
      <c r="F1007" s="970"/>
      <c r="G1007" s="971"/>
      <c r="H1007" s="161"/>
      <c r="I1007" s="212"/>
      <c r="J1007" s="617"/>
      <c r="K1007" s="212"/>
      <c r="L1007" s="225"/>
      <c r="M1007" s="212"/>
    </row>
    <row r="1008" spans="3:13" ht="30" customHeight="1" x14ac:dyDescent="0.3">
      <c r="C1008" s="161"/>
      <c r="D1008" s="161"/>
      <c r="E1008" s="969"/>
      <c r="F1008" s="970"/>
      <c r="G1008" s="971"/>
      <c r="H1008" s="161"/>
      <c r="I1008" s="212"/>
      <c r="J1008" s="617"/>
      <c r="K1008" s="212"/>
      <c r="L1008" s="225"/>
      <c r="M1008" s="212"/>
    </row>
    <row r="1009" spans="3:13" ht="30" customHeight="1" x14ac:dyDescent="0.3">
      <c r="C1009" s="161"/>
      <c r="D1009" s="161"/>
      <c r="E1009" s="969"/>
      <c r="F1009" s="970"/>
      <c r="G1009" s="971"/>
      <c r="H1009" s="161"/>
      <c r="I1009" s="212"/>
      <c r="J1009" s="617"/>
      <c r="K1009" s="212"/>
      <c r="L1009" s="225"/>
      <c r="M1009" s="212"/>
    </row>
    <row r="1010" spans="3:13" ht="30" customHeight="1" x14ac:dyDescent="0.3">
      <c r="C1010" s="161"/>
      <c r="D1010" s="161"/>
      <c r="E1010" s="969"/>
      <c r="F1010" s="970"/>
      <c r="G1010" s="971"/>
      <c r="H1010" s="161"/>
      <c r="I1010" s="212"/>
      <c r="J1010" s="617"/>
      <c r="K1010" s="212"/>
      <c r="L1010" s="225"/>
      <c r="M1010" s="212"/>
    </row>
    <row r="1011" spans="3:13" ht="30" customHeight="1" x14ac:dyDescent="0.3">
      <c r="C1011" s="161"/>
      <c r="D1011" s="161"/>
      <c r="E1011" s="564"/>
      <c r="F1011" s="565"/>
      <c r="G1011" s="566"/>
      <c r="H1011" s="161"/>
      <c r="I1011" s="212"/>
      <c r="J1011" s="617"/>
      <c r="K1011" s="212"/>
      <c r="L1011" s="225"/>
      <c r="M1011" s="212"/>
    </row>
    <row r="1012" spans="3:13" ht="30" customHeight="1" x14ac:dyDescent="0.3">
      <c r="C1012" s="161"/>
      <c r="D1012" s="161"/>
      <c r="E1012" s="564"/>
      <c r="F1012" s="565"/>
      <c r="G1012" s="566"/>
      <c r="H1012" s="161"/>
      <c r="I1012" s="212"/>
      <c r="J1012" s="617"/>
      <c r="K1012" s="212"/>
      <c r="L1012" s="225"/>
      <c r="M1012" s="212"/>
    </row>
    <row r="1013" spans="3:13" ht="30" customHeight="1" x14ac:dyDescent="0.3">
      <c r="C1013" s="161"/>
      <c r="D1013" s="161"/>
      <c r="E1013" s="564"/>
      <c r="F1013" s="565"/>
      <c r="G1013" s="566"/>
      <c r="H1013" s="161"/>
      <c r="I1013" s="212"/>
      <c r="J1013" s="617"/>
      <c r="K1013" s="212"/>
      <c r="L1013" s="225"/>
      <c r="M1013" s="212"/>
    </row>
    <row r="1014" spans="3:13" ht="30" customHeight="1" x14ac:dyDescent="0.3">
      <c r="C1014" s="161"/>
      <c r="D1014" s="161"/>
      <c r="E1014" s="564"/>
      <c r="F1014" s="565"/>
      <c r="G1014" s="566"/>
      <c r="H1014" s="161"/>
      <c r="I1014" s="212"/>
      <c r="J1014" s="617"/>
      <c r="K1014" s="212"/>
      <c r="L1014" s="225"/>
      <c r="M1014" s="212"/>
    </row>
    <row r="1015" spans="3:13" ht="30" customHeight="1" x14ac:dyDescent="0.3">
      <c r="C1015" s="161"/>
      <c r="D1015" s="161"/>
      <c r="E1015" s="564"/>
      <c r="F1015" s="565"/>
      <c r="G1015" s="566"/>
      <c r="H1015" s="161"/>
      <c r="I1015" s="212"/>
      <c r="J1015" s="617"/>
      <c r="K1015" s="212"/>
      <c r="L1015" s="225"/>
      <c r="M1015" s="212"/>
    </row>
    <row r="1016" spans="3:13" ht="30" customHeight="1" x14ac:dyDescent="0.3">
      <c r="C1016" s="161"/>
      <c r="D1016" s="161"/>
      <c r="E1016" s="564"/>
      <c r="F1016" s="565"/>
      <c r="G1016" s="566"/>
      <c r="H1016" s="161"/>
      <c r="I1016" s="212"/>
      <c r="J1016" s="617"/>
      <c r="K1016" s="212"/>
      <c r="L1016" s="225"/>
      <c r="M1016" s="212"/>
    </row>
    <row r="1017" spans="3:13" ht="30" customHeight="1" x14ac:dyDescent="0.3">
      <c r="C1017" s="161"/>
      <c r="D1017" s="161"/>
      <c r="E1017" s="564"/>
      <c r="F1017" s="565"/>
      <c r="G1017" s="566"/>
      <c r="H1017" s="161"/>
      <c r="I1017" s="212"/>
      <c r="J1017" s="617"/>
      <c r="K1017" s="212"/>
      <c r="L1017" s="225"/>
      <c r="M1017" s="212"/>
    </row>
    <row r="1018" spans="3:13" ht="30" customHeight="1" x14ac:dyDescent="0.3">
      <c r="C1018" s="161"/>
      <c r="D1018" s="161"/>
      <c r="E1018" s="564"/>
      <c r="F1018" s="565"/>
      <c r="G1018" s="566"/>
      <c r="H1018" s="161"/>
      <c r="I1018" s="212"/>
      <c r="J1018" s="617"/>
      <c r="K1018" s="212"/>
      <c r="L1018" s="225"/>
      <c r="M1018" s="212"/>
    </row>
    <row r="1019" spans="3:13" ht="30" customHeight="1" x14ac:dyDescent="0.3">
      <c r="C1019" s="161"/>
      <c r="D1019" s="161"/>
      <c r="E1019" s="564"/>
      <c r="F1019" s="565"/>
      <c r="G1019" s="566"/>
      <c r="H1019" s="161"/>
      <c r="I1019" s="212"/>
      <c r="J1019" s="617"/>
      <c r="K1019" s="212"/>
      <c r="L1019" s="225"/>
      <c r="M1019" s="212"/>
    </row>
    <row r="1020" spans="3:13" ht="30" customHeight="1" x14ac:dyDescent="0.3">
      <c r="C1020" s="161"/>
      <c r="D1020" s="161"/>
      <c r="E1020" s="564"/>
      <c r="F1020" s="565"/>
      <c r="G1020" s="566"/>
      <c r="H1020" s="161"/>
      <c r="I1020" s="212"/>
      <c r="J1020" s="617"/>
      <c r="K1020" s="212"/>
      <c r="L1020" s="225"/>
      <c r="M1020" s="212"/>
    </row>
    <row r="1021" spans="3:13" ht="30" customHeight="1" x14ac:dyDescent="0.3">
      <c r="C1021" s="161"/>
      <c r="D1021" s="161"/>
      <c r="E1021" s="564"/>
      <c r="F1021" s="565"/>
      <c r="G1021" s="566"/>
      <c r="H1021" s="161"/>
      <c r="I1021" s="212"/>
      <c r="J1021" s="617"/>
      <c r="K1021" s="212"/>
      <c r="L1021" s="225"/>
      <c r="M1021" s="212"/>
    </row>
    <row r="1022" spans="3:13" ht="30" customHeight="1" x14ac:dyDescent="0.3">
      <c r="C1022" s="161"/>
      <c r="D1022" s="161"/>
      <c r="E1022" s="564"/>
      <c r="F1022" s="565"/>
      <c r="G1022" s="566"/>
      <c r="H1022" s="161"/>
      <c r="I1022" s="212"/>
      <c r="J1022" s="617"/>
      <c r="K1022" s="212"/>
      <c r="L1022" s="225"/>
      <c r="M1022" s="212"/>
    </row>
    <row r="1023" spans="3:13" ht="30" customHeight="1" x14ac:dyDescent="0.3">
      <c r="C1023" s="161"/>
      <c r="D1023" s="161"/>
      <c r="E1023" s="969"/>
      <c r="F1023" s="970"/>
      <c r="G1023" s="971"/>
      <c r="H1023" s="161"/>
      <c r="I1023" s="212"/>
      <c r="J1023" s="617"/>
      <c r="K1023" s="212"/>
      <c r="L1023" s="225"/>
      <c r="M1023" s="212"/>
    </row>
    <row r="1024" spans="3:13" ht="30" customHeight="1" x14ac:dyDescent="0.3">
      <c r="C1024" s="161"/>
      <c r="D1024" s="161"/>
      <c r="E1024" s="969"/>
      <c r="F1024" s="970"/>
      <c r="G1024" s="971"/>
      <c r="H1024" s="161"/>
      <c r="I1024" s="212"/>
      <c r="J1024" s="617"/>
      <c r="K1024" s="212"/>
      <c r="L1024" s="225"/>
      <c r="M1024" s="212"/>
    </row>
    <row r="1025" spans="1:13" ht="30" customHeight="1" x14ac:dyDescent="0.3">
      <c r="C1025" s="1375"/>
      <c r="D1025" s="1375"/>
      <c r="E1025" s="1375"/>
      <c r="F1025" s="1376"/>
      <c r="G1025" s="1376"/>
      <c r="H1025" s="1375"/>
      <c r="I1025" s="1375"/>
      <c r="J1025" s="1375"/>
      <c r="K1025" s="1375"/>
      <c r="L1025" s="1375"/>
      <c r="M1025" s="1375"/>
    </row>
    <row r="1026" spans="1:13" ht="19.95" customHeight="1" x14ac:dyDescent="0.3">
      <c r="C1026" s="1024"/>
      <c r="D1026" s="1024"/>
      <c r="E1026" s="1024"/>
      <c r="F1026" s="1280"/>
      <c r="G1026" s="1280"/>
      <c r="H1026" s="1280"/>
      <c r="I1026" s="1280"/>
      <c r="J1026" s="1280"/>
      <c r="K1026" s="1280"/>
      <c r="L1026" s="1280"/>
      <c r="M1026" s="1280"/>
    </row>
    <row r="1027" spans="1:13" ht="19.95" customHeight="1" x14ac:dyDescent="0.3">
      <c r="D1027" s="28"/>
      <c r="E1027" s="28"/>
      <c r="F1027" s="109"/>
      <c r="G1027" s="109"/>
      <c r="H1027" s="1280"/>
      <c r="I1027" s="1280"/>
      <c r="J1027" s="1280"/>
      <c r="K1027" s="1280"/>
      <c r="L1027" s="1280"/>
      <c r="M1027" s="1280"/>
    </row>
    <row r="1028" spans="1:13" ht="15" customHeight="1" x14ac:dyDescent="0.3">
      <c r="D1028" s="28"/>
      <c r="E1028" s="666"/>
      <c r="F1028" s="666"/>
      <c r="G1028" s="666"/>
      <c r="H1028" s="1280"/>
      <c r="I1028" s="1280"/>
      <c r="J1028" s="1280"/>
      <c r="K1028" s="1280"/>
      <c r="L1028" s="1280"/>
      <c r="M1028" s="1280"/>
    </row>
    <row r="1029" spans="1:13" ht="15" customHeight="1" x14ac:dyDescent="0.3">
      <c r="D1029" s="28"/>
      <c r="E1029" s="666"/>
      <c r="F1029" s="666"/>
      <c r="G1029" s="666"/>
      <c r="H1029" s="1280"/>
      <c r="I1029" s="1280"/>
      <c r="J1029" s="1280"/>
      <c r="K1029" s="1280"/>
      <c r="L1029" s="1280"/>
      <c r="M1029" s="1280"/>
    </row>
    <row r="1030" spans="1:13" ht="15" customHeight="1" x14ac:dyDescent="0.3">
      <c r="D1030" s="28"/>
      <c r="E1030" s="666"/>
      <c r="F1030" s="666"/>
      <c r="G1030" s="666"/>
      <c r="H1030" s="109"/>
      <c r="I1030" s="109"/>
      <c r="J1030" s="667"/>
      <c r="K1030" s="109"/>
      <c r="L1030" s="109"/>
      <c r="M1030" s="109"/>
    </row>
    <row r="1031" spans="1:13" ht="15" customHeight="1" x14ac:dyDescent="0.3">
      <c r="D1031" s="28"/>
      <c r="E1031" s="666"/>
      <c r="F1031" s="1280"/>
      <c r="G1031" s="1280"/>
      <c r="H1031" s="1280"/>
      <c r="I1031" s="1280"/>
      <c r="J1031" s="1280"/>
      <c r="K1031" s="1280"/>
      <c r="L1031" s="1280"/>
      <c r="M1031" s="1280"/>
    </row>
    <row r="1032" spans="1:13" ht="15" customHeight="1" x14ac:dyDescent="0.3">
      <c r="D1032" s="28"/>
      <c r="E1032" s="666"/>
      <c r="F1032" s="1280"/>
      <c r="G1032" s="1280"/>
      <c r="H1032" s="1280"/>
      <c r="I1032" s="1280"/>
      <c r="J1032" s="1280"/>
      <c r="K1032" s="1280"/>
      <c r="L1032" s="1280"/>
      <c r="M1032" s="1280"/>
    </row>
    <row r="1033" spans="1:13" ht="15" customHeight="1" x14ac:dyDescent="0.3">
      <c r="D1033" s="28"/>
      <c r="E1033" s="666"/>
      <c r="F1033" s="110"/>
      <c r="G1033" s="110"/>
      <c r="H1033" s="1280"/>
      <c r="I1033" s="1280"/>
      <c r="J1033" s="1280"/>
      <c r="K1033" s="110"/>
      <c r="L1033" s="1280"/>
      <c r="M1033" s="1280"/>
    </row>
    <row r="1034" spans="1:13" ht="15" customHeight="1" x14ac:dyDescent="0.3">
      <c r="D1034" s="28"/>
      <c r="E1034" s="666"/>
      <c r="F1034" s="666"/>
      <c r="G1034" s="666"/>
      <c r="H1034" s="28"/>
      <c r="I1034" s="214"/>
      <c r="J1034" s="618"/>
    </row>
    <row r="1035" spans="1:13" ht="15" customHeight="1" x14ac:dyDescent="0.3">
      <c r="D1035" s="28"/>
      <c r="E1035" s="666"/>
      <c r="F1035" s="666"/>
      <c r="G1035" s="666"/>
      <c r="H1035" s="28"/>
      <c r="I1035" s="214"/>
      <c r="J1035" s="618"/>
    </row>
    <row r="1036" spans="1:13" ht="15" customHeight="1" x14ac:dyDescent="0.3">
      <c r="C1036" s="1280"/>
      <c r="D1036" s="1024"/>
      <c r="E1036" s="1024"/>
      <c r="F1036" s="1280"/>
      <c r="G1036" s="1280"/>
      <c r="H1036" s="1280"/>
      <c r="I1036" s="1024"/>
      <c r="J1036" s="1024"/>
      <c r="K1036" s="1024"/>
      <c r="L1036" s="1024"/>
      <c r="M1036" s="1024"/>
    </row>
    <row r="1037" spans="1:13" ht="15" customHeight="1" x14ac:dyDescent="0.3">
      <c r="A1037" s="262" t="s">
        <v>1290</v>
      </c>
      <c r="C1037" s="1024"/>
      <c r="D1037" s="1024"/>
      <c r="E1037" s="1024"/>
      <c r="F1037" s="1280"/>
      <c r="G1037" s="1280"/>
      <c r="H1037" s="1024"/>
      <c r="I1037" s="1024"/>
      <c r="J1037" s="1024"/>
      <c r="K1037" s="1024"/>
      <c r="L1037" s="1024"/>
      <c r="M1037" s="1024"/>
    </row>
    <row r="1038" spans="1:13" ht="30" customHeight="1" x14ac:dyDescent="0.3">
      <c r="C1038" s="161"/>
      <c r="D1038" s="161"/>
      <c r="E1038" s="969"/>
      <c r="F1038" s="970"/>
      <c r="G1038" s="971"/>
      <c r="H1038" s="161"/>
      <c r="I1038" s="212"/>
      <c r="J1038" s="617"/>
      <c r="K1038" s="212"/>
      <c r="L1038" s="225"/>
      <c r="M1038" s="212"/>
    </row>
    <row r="1039" spans="1:13" ht="30" customHeight="1" x14ac:dyDescent="0.3">
      <c r="C1039" s="161"/>
      <c r="D1039" s="161"/>
      <c r="E1039" s="969"/>
      <c r="F1039" s="970"/>
      <c r="G1039" s="971"/>
      <c r="H1039" s="161"/>
      <c r="I1039" s="212"/>
      <c r="J1039" s="617"/>
      <c r="K1039" s="212"/>
      <c r="L1039" s="225"/>
      <c r="M1039" s="212"/>
    </row>
    <row r="1040" spans="1:13" ht="30" customHeight="1" x14ac:dyDescent="0.3">
      <c r="C1040" s="161"/>
      <c r="D1040" s="161"/>
      <c r="E1040" s="969"/>
      <c r="F1040" s="970"/>
      <c r="G1040" s="971"/>
      <c r="H1040" s="161"/>
      <c r="I1040" s="212"/>
      <c r="J1040" s="617"/>
      <c r="K1040" s="212"/>
      <c r="L1040" s="225"/>
      <c r="M1040" s="212"/>
    </row>
    <row r="1041" spans="3:13" ht="30" customHeight="1" x14ac:dyDescent="0.3">
      <c r="C1041" s="161"/>
      <c r="D1041" s="161"/>
      <c r="E1041" s="969"/>
      <c r="F1041" s="970"/>
      <c r="G1041" s="971"/>
      <c r="H1041" s="161"/>
      <c r="I1041" s="212"/>
      <c r="J1041" s="617"/>
      <c r="K1041" s="212"/>
      <c r="L1041" s="225"/>
      <c r="M1041" s="212"/>
    </row>
    <row r="1042" spans="3:13" ht="30" customHeight="1" x14ac:dyDescent="0.3">
      <c r="C1042" s="161"/>
      <c r="D1042" s="161"/>
      <c r="E1042" s="969"/>
      <c r="F1042" s="970"/>
      <c r="G1042" s="971"/>
      <c r="H1042" s="161"/>
      <c r="I1042" s="212"/>
      <c r="J1042" s="617"/>
      <c r="K1042" s="212"/>
      <c r="L1042" s="225"/>
      <c r="M1042" s="212"/>
    </row>
    <row r="1043" spans="3:13" ht="30" customHeight="1" x14ac:dyDescent="0.3">
      <c r="C1043" s="161"/>
      <c r="D1043" s="161"/>
      <c r="E1043" s="969"/>
      <c r="F1043" s="970"/>
      <c r="G1043" s="971"/>
      <c r="H1043" s="161"/>
      <c r="I1043" s="212"/>
      <c r="J1043" s="617"/>
      <c r="K1043" s="212"/>
      <c r="L1043" s="225"/>
      <c r="M1043" s="212"/>
    </row>
    <row r="1044" spans="3:13" ht="30" customHeight="1" x14ac:dyDescent="0.3">
      <c r="C1044" s="161"/>
      <c r="D1044" s="161"/>
      <c r="E1044" s="969"/>
      <c r="F1044" s="970"/>
      <c r="G1044" s="971"/>
      <c r="H1044" s="161"/>
      <c r="I1044" s="212"/>
      <c r="J1044" s="617"/>
      <c r="K1044" s="212"/>
      <c r="L1044" s="225"/>
      <c r="M1044" s="212"/>
    </row>
    <row r="1045" spans="3:13" ht="30" customHeight="1" x14ac:dyDescent="0.3">
      <c r="C1045" s="161"/>
      <c r="D1045" s="161"/>
      <c r="E1045" s="969"/>
      <c r="F1045" s="970"/>
      <c r="G1045" s="971"/>
      <c r="H1045" s="161"/>
      <c r="I1045" s="212"/>
      <c r="J1045" s="617"/>
      <c r="K1045" s="212"/>
      <c r="L1045" s="225"/>
      <c r="M1045" s="212"/>
    </row>
    <row r="1046" spans="3:13" ht="30" customHeight="1" x14ac:dyDescent="0.3">
      <c r="C1046" s="161"/>
      <c r="D1046" s="161"/>
      <c r="E1046" s="969"/>
      <c r="F1046" s="970"/>
      <c r="G1046" s="971"/>
      <c r="H1046" s="161"/>
      <c r="I1046" s="212"/>
      <c r="J1046" s="617"/>
      <c r="K1046" s="212"/>
      <c r="L1046" s="225"/>
      <c r="M1046" s="212"/>
    </row>
    <row r="1047" spans="3:13" ht="30" customHeight="1" x14ac:dyDescent="0.3">
      <c r="C1047" s="161"/>
      <c r="D1047" s="161"/>
      <c r="E1047" s="969"/>
      <c r="F1047" s="970"/>
      <c r="G1047" s="971"/>
      <c r="H1047" s="161"/>
      <c r="I1047" s="212"/>
      <c r="J1047" s="617"/>
      <c r="K1047" s="212"/>
      <c r="L1047" s="225"/>
      <c r="M1047" s="212"/>
    </row>
    <row r="1048" spans="3:13" ht="30" customHeight="1" x14ac:dyDescent="0.3">
      <c r="C1048" s="161"/>
      <c r="D1048" s="161"/>
      <c r="E1048" s="969"/>
      <c r="F1048" s="970"/>
      <c r="G1048" s="971"/>
      <c r="H1048" s="161"/>
      <c r="I1048" s="212"/>
      <c r="J1048" s="617"/>
      <c r="K1048" s="212"/>
      <c r="L1048" s="225"/>
      <c r="M1048" s="212"/>
    </row>
    <row r="1049" spans="3:13" ht="30" customHeight="1" x14ac:dyDescent="0.3">
      <c r="C1049" s="161"/>
      <c r="D1049" s="161"/>
      <c r="E1049" s="969"/>
      <c r="F1049" s="970"/>
      <c r="G1049" s="971"/>
      <c r="H1049" s="161"/>
      <c r="I1049" s="212"/>
      <c r="J1049" s="617"/>
      <c r="K1049" s="212"/>
      <c r="L1049" s="225"/>
      <c r="M1049" s="212"/>
    </row>
    <row r="1050" spans="3:13" ht="30" customHeight="1" x14ac:dyDescent="0.3">
      <c r="C1050" s="161"/>
      <c r="D1050" s="161"/>
      <c r="E1050" s="969"/>
      <c r="F1050" s="970"/>
      <c r="G1050" s="971"/>
      <c r="H1050" s="161"/>
      <c r="I1050" s="212"/>
      <c r="J1050" s="617"/>
      <c r="K1050" s="212"/>
      <c r="L1050" s="225"/>
      <c r="M1050" s="212"/>
    </row>
    <row r="1051" spans="3:13" ht="30" customHeight="1" x14ac:dyDescent="0.3">
      <c r="C1051" s="161"/>
      <c r="D1051" s="161"/>
      <c r="E1051" s="969"/>
      <c r="F1051" s="970"/>
      <c r="G1051" s="971"/>
      <c r="H1051" s="161"/>
      <c r="I1051" s="212"/>
      <c r="J1051" s="617"/>
      <c r="K1051" s="212"/>
      <c r="L1051" s="225"/>
      <c r="M1051" s="212"/>
    </row>
    <row r="1052" spans="3:13" ht="30" customHeight="1" x14ac:dyDescent="0.3">
      <c r="C1052" s="161"/>
      <c r="D1052" s="161"/>
      <c r="E1052" s="969"/>
      <c r="F1052" s="970"/>
      <c r="G1052" s="971"/>
      <c r="H1052" s="161"/>
      <c r="I1052" s="212"/>
      <c r="J1052" s="617"/>
      <c r="K1052" s="212"/>
      <c r="L1052" s="225"/>
      <c r="M1052" s="212"/>
    </row>
    <row r="1053" spans="3:13" ht="30" customHeight="1" x14ac:dyDescent="0.3">
      <c r="C1053" s="160"/>
      <c r="D1053" s="160"/>
      <c r="E1053" s="992"/>
      <c r="F1053" s="993"/>
      <c r="G1053" s="994"/>
      <c r="H1053" s="160"/>
      <c r="I1053" s="211"/>
      <c r="J1053" s="616"/>
      <c r="K1053" s="211"/>
      <c r="L1053" s="224"/>
      <c r="M1053" s="211"/>
    </row>
    <row r="1054" spans="3:13" ht="30" customHeight="1" x14ac:dyDescent="0.3">
      <c r="C1054" s="161"/>
      <c r="D1054" s="161"/>
      <c r="E1054" s="969"/>
      <c r="F1054" s="970"/>
      <c r="G1054" s="971"/>
      <c r="H1054" s="161"/>
      <c r="I1054" s="212"/>
      <c r="J1054" s="617"/>
      <c r="K1054" s="212"/>
      <c r="L1054" s="225"/>
      <c r="M1054" s="212"/>
    </row>
    <row r="1055" spans="3:13" ht="30" customHeight="1" x14ac:dyDescent="0.3">
      <c r="C1055" s="161"/>
      <c r="D1055" s="161"/>
      <c r="E1055" s="969"/>
      <c r="F1055" s="970"/>
      <c r="G1055" s="971"/>
      <c r="H1055" s="161"/>
      <c r="I1055" s="212"/>
      <c r="J1055" s="617"/>
      <c r="K1055" s="212"/>
      <c r="L1055" s="225"/>
      <c r="M1055" s="212"/>
    </row>
    <row r="1056" spans="3:13" ht="30" customHeight="1" x14ac:dyDescent="0.3">
      <c r="C1056" s="161"/>
      <c r="D1056" s="161"/>
      <c r="E1056" s="969"/>
      <c r="F1056" s="970"/>
      <c r="G1056" s="971"/>
      <c r="H1056" s="161"/>
      <c r="I1056" s="212"/>
      <c r="J1056" s="617"/>
      <c r="K1056" s="212"/>
      <c r="L1056" s="225"/>
      <c r="M1056" s="212"/>
    </row>
    <row r="1057" spans="3:13" ht="30" customHeight="1" x14ac:dyDescent="0.3">
      <c r="C1057" s="161"/>
      <c r="D1057" s="161"/>
      <c r="E1057" s="564"/>
      <c r="F1057" s="565"/>
      <c r="G1057" s="566"/>
      <c r="H1057" s="161"/>
      <c r="I1057" s="212"/>
      <c r="J1057" s="617"/>
      <c r="K1057" s="212"/>
      <c r="L1057" s="225"/>
      <c r="M1057" s="212"/>
    </row>
    <row r="1058" spans="3:13" ht="30" customHeight="1" x14ac:dyDescent="0.3">
      <c r="C1058" s="161"/>
      <c r="D1058" s="161"/>
      <c r="E1058" s="564"/>
      <c r="F1058" s="565"/>
      <c r="G1058" s="566"/>
      <c r="H1058" s="161"/>
      <c r="I1058" s="212"/>
      <c r="J1058" s="617"/>
      <c r="K1058" s="212"/>
      <c r="L1058" s="225"/>
      <c r="M1058" s="212"/>
    </row>
    <row r="1059" spans="3:13" ht="30" customHeight="1" x14ac:dyDescent="0.3">
      <c r="C1059" s="161"/>
      <c r="D1059" s="161"/>
      <c r="E1059" s="564"/>
      <c r="F1059" s="565"/>
      <c r="G1059" s="566"/>
      <c r="H1059" s="161"/>
      <c r="I1059" s="212"/>
      <c r="J1059" s="617"/>
      <c r="K1059" s="212"/>
      <c r="L1059" s="225"/>
      <c r="M1059" s="212"/>
    </row>
    <row r="1060" spans="3:13" ht="30" customHeight="1" x14ac:dyDescent="0.3">
      <c r="C1060" s="161"/>
      <c r="D1060" s="161"/>
      <c r="E1060" s="564"/>
      <c r="F1060" s="565"/>
      <c r="G1060" s="566"/>
      <c r="H1060" s="161"/>
      <c r="I1060" s="212"/>
      <c r="J1060" s="617"/>
      <c r="K1060" s="212"/>
      <c r="L1060" s="225"/>
      <c r="M1060" s="212"/>
    </row>
    <row r="1061" spans="3:13" ht="30" customHeight="1" x14ac:dyDescent="0.3">
      <c r="C1061" s="161"/>
      <c r="D1061" s="161"/>
      <c r="E1061" s="564"/>
      <c r="F1061" s="565"/>
      <c r="G1061" s="566"/>
      <c r="H1061" s="161"/>
      <c r="I1061" s="212"/>
      <c r="J1061" s="617"/>
      <c r="K1061" s="212"/>
      <c r="L1061" s="225"/>
      <c r="M1061" s="212"/>
    </row>
    <row r="1062" spans="3:13" ht="30" customHeight="1" x14ac:dyDescent="0.3">
      <c r="C1062" s="161"/>
      <c r="D1062" s="161"/>
      <c r="E1062" s="564"/>
      <c r="F1062" s="565"/>
      <c r="G1062" s="566"/>
      <c r="H1062" s="161"/>
      <c r="I1062" s="212"/>
      <c r="J1062" s="617"/>
      <c r="K1062" s="212"/>
      <c r="L1062" s="225"/>
      <c r="M1062" s="212"/>
    </row>
    <row r="1063" spans="3:13" ht="30" customHeight="1" x14ac:dyDescent="0.3">
      <c r="C1063" s="161"/>
      <c r="D1063" s="161"/>
      <c r="E1063" s="564"/>
      <c r="F1063" s="565"/>
      <c r="G1063" s="566"/>
      <c r="H1063" s="161"/>
      <c r="I1063" s="212"/>
      <c r="J1063" s="617"/>
      <c r="K1063" s="212"/>
      <c r="L1063" s="225"/>
      <c r="M1063" s="212"/>
    </row>
    <row r="1064" spans="3:13" ht="30" customHeight="1" x14ac:dyDescent="0.3">
      <c r="C1064" s="161"/>
      <c r="D1064" s="161"/>
      <c r="E1064" s="564"/>
      <c r="F1064" s="565"/>
      <c r="G1064" s="566"/>
      <c r="H1064" s="161"/>
      <c r="I1064" s="212"/>
      <c r="J1064" s="617"/>
      <c r="K1064" s="212"/>
      <c r="L1064" s="225"/>
      <c r="M1064" s="212"/>
    </row>
    <row r="1065" spans="3:13" ht="30" customHeight="1" x14ac:dyDescent="0.3">
      <c r="C1065" s="161"/>
      <c r="D1065" s="161"/>
      <c r="E1065" s="564"/>
      <c r="F1065" s="565"/>
      <c r="G1065" s="566"/>
      <c r="H1065" s="161"/>
      <c r="I1065" s="212"/>
      <c r="J1065" s="617"/>
      <c r="K1065" s="212"/>
      <c r="L1065" s="225"/>
      <c r="M1065" s="212"/>
    </row>
    <row r="1066" spans="3:13" ht="30" customHeight="1" x14ac:dyDescent="0.3">
      <c r="C1066" s="161"/>
      <c r="D1066" s="161"/>
      <c r="E1066" s="564"/>
      <c r="F1066" s="565"/>
      <c r="G1066" s="566"/>
      <c r="H1066" s="161"/>
      <c r="I1066" s="212"/>
      <c r="J1066" s="617"/>
      <c r="K1066" s="212"/>
      <c r="L1066" s="225"/>
      <c r="M1066" s="212"/>
    </row>
    <row r="1067" spans="3:13" ht="30" customHeight="1" x14ac:dyDescent="0.3">
      <c r="C1067" s="161"/>
      <c r="D1067" s="161"/>
      <c r="E1067" s="564"/>
      <c r="F1067" s="565"/>
      <c r="G1067" s="566"/>
      <c r="H1067" s="161"/>
      <c r="I1067" s="212"/>
      <c r="J1067" s="617"/>
      <c r="K1067" s="212"/>
      <c r="L1067" s="225"/>
      <c r="M1067" s="212"/>
    </row>
    <row r="1068" spans="3:13" ht="30" customHeight="1" x14ac:dyDescent="0.3">
      <c r="C1068" s="161"/>
      <c r="D1068" s="161"/>
      <c r="E1068" s="564"/>
      <c r="F1068" s="565"/>
      <c r="G1068" s="566"/>
      <c r="H1068" s="161"/>
      <c r="I1068" s="212"/>
      <c r="J1068" s="617"/>
      <c r="K1068" s="212"/>
      <c r="L1068" s="225"/>
      <c r="M1068" s="212"/>
    </row>
    <row r="1069" spans="3:13" ht="30" customHeight="1" x14ac:dyDescent="0.3">
      <c r="C1069" s="161"/>
      <c r="D1069" s="161"/>
      <c r="E1069" s="969"/>
      <c r="F1069" s="970"/>
      <c r="G1069" s="971"/>
      <c r="H1069" s="161"/>
      <c r="I1069" s="212"/>
      <c r="J1069" s="617"/>
      <c r="K1069" s="212"/>
      <c r="L1069" s="225"/>
      <c r="M1069" s="212"/>
    </row>
    <row r="1070" spans="3:13" ht="30" customHeight="1" x14ac:dyDescent="0.3">
      <c r="C1070" s="161"/>
      <c r="D1070" s="161"/>
      <c r="E1070" s="969"/>
      <c r="F1070" s="970"/>
      <c r="G1070" s="971"/>
      <c r="H1070" s="161"/>
      <c r="I1070" s="212"/>
      <c r="J1070" s="617"/>
      <c r="K1070" s="212"/>
      <c r="L1070" s="225"/>
      <c r="M1070" s="212"/>
    </row>
    <row r="1071" spans="3:13" ht="30" customHeight="1" x14ac:dyDescent="0.3">
      <c r="C1071" s="1375"/>
      <c r="D1071" s="1375"/>
      <c r="E1071" s="1375"/>
      <c r="F1071" s="1376"/>
      <c r="G1071" s="1376"/>
      <c r="H1071" s="1375"/>
      <c r="I1071" s="1375"/>
      <c r="J1071" s="1375"/>
      <c r="K1071" s="1375"/>
      <c r="L1071" s="1375"/>
      <c r="M1071" s="1375"/>
    </row>
    <row r="1072" spans="3:13" ht="19.95" customHeight="1" x14ac:dyDescent="0.3">
      <c r="C1072" s="1024"/>
      <c r="D1072" s="1024"/>
      <c r="E1072" s="1024"/>
      <c r="F1072" s="1280"/>
      <c r="G1072" s="1280"/>
      <c r="H1072" s="1280"/>
      <c r="I1072" s="1280"/>
      <c r="J1072" s="1280"/>
      <c r="K1072" s="1280"/>
      <c r="L1072" s="1280"/>
      <c r="M1072" s="1280"/>
    </row>
    <row r="1073" spans="1:13" ht="19.95" customHeight="1" x14ac:dyDescent="0.3">
      <c r="D1073" s="28"/>
      <c r="E1073" s="28"/>
      <c r="F1073" s="109"/>
      <c r="G1073" s="109"/>
      <c r="H1073" s="1280"/>
      <c r="I1073" s="1280"/>
      <c r="J1073" s="1280"/>
      <c r="K1073" s="1280"/>
      <c r="L1073" s="1280"/>
      <c r="M1073" s="1280"/>
    </row>
    <row r="1074" spans="1:13" ht="15" customHeight="1" x14ac:dyDescent="0.3">
      <c r="D1074" s="28"/>
      <c r="E1074" s="666"/>
      <c r="F1074" s="666"/>
      <c r="G1074" s="666"/>
      <c r="H1074" s="1280"/>
      <c r="I1074" s="1280"/>
      <c r="J1074" s="1280"/>
      <c r="K1074" s="1280"/>
      <c r="L1074" s="1280"/>
      <c r="M1074" s="1280"/>
    </row>
    <row r="1075" spans="1:13" ht="15" customHeight="1" x14ac:dyDescent="0.3">
      <c r="D1075" s="28"/>
      <c r="E1075" s="666"/>
      <c r="F1075" s="666"/>
      <c r="G1075" s="666"/>
      <c r="H1075" s="1280"/>
      <c r="I1075" s="1280"/>
      <c r="J1075" s="1280"/>
      <c r="K1075" s="1280"/>
      <c r="L1075" s="1280"/>
      <c r="M1075" s="1280"/>
    </row>
    <row r="1076" spans="1:13" ht="15" customHeight="1" x14ac:dyDescent="0.3">
      <c r="D1076" s="28"/>
      <c r="E1076" s="666"/>
      <c r="F1076" s="666"/>
      <c r="G1076" s="666"/>
      <c r="H1076" s="109"/>
      <c r="I1076" s="109"/>
      <c r="J1076" s="667"/>
      <c r="K1076" s="109"/>
      <c r="L1076" s="109"/>
      <c r="M1076" s="109"/>
    </row>
    <row r="1077" spans="1:13" ht="15" customHeight="1" x14ac:dyDescent="0.3">
      <c r="D1077" s="28"/>
      <c r="E1077" s="666"/>
      <c r="F1077" s="1280"/>
      <c r="G1077" s="1280"/>
      <c r="H1077" s="1280"/>
      <c r="I1077" s="1280"/>
      <c r="J1077" s="1280"/>
      <c r="K1077" s="1280"/>
      <c r="L1077" s="1280"/>
      <c r="M1077" s="1280"/>
    </row>
    <row r="1078" spans="1:13" ht="15" customHeight="1" x14ac:dyDescent="0.3">
      <c r="D1078" s="28"/>
      <c r="E1078" s="666"/>
      <c r="F1078" s="1280"/>
      <c r="G1078" s="1280"/>
      <c r="H1078" s="1280"/>
      <c r="I1078" s="1280"/>
      <c r="J1078" s="1280"/>
      <c r="K1078" s="1280"/>
      <c r="L1078" s="1280"/>
      <c r="M1078" s="1280"/>
    </row>
    <row r="1079" spans="1:13" ht="15" customHeight="1" x14ac:dyDescent="0.3">
      <c r="D1079" s="28"/>
      <c r="E1079" s="666"/>
      <c r="F1079" s="110"/>
      <c r="G1079" s="110"/>
      <c r="H1079" s="1280"/>
      <c r="I1079" s="1280"/>
      <c r="J1079" s="1280"/>
      <c r="K1079" s="110"/>
      <c r="L1079" s="1280"/>
      <c r="M1079" s="1280"/>
    </row>
    <row r="1080" spans="1:13" ht="15" customHeight="1" x14ac:dyDescent="0.3">
      <c r="D1080" s="28"/>
      <c r="E1080" s="666"/>
      <c r="F1080" s="666"/>
      <c r="G1080" s="666"/>
      <c r="H1080" s="28"/>
      <c r="I1080" s="214"/>
      <c r="J1080" s="618"/>
    </row>
    <row r="1081" spans="1:13" ht="15" customHeight="1" x14ac:dyDescent="0.3">
      <c r="D1081" s="28"/>
      <c r="E1081" s="666"/>
      <c r="F1081" s="666"/>
      <c r="G1081" s="666"/>
      <c r="H1081" s="28"/>
      <c r="I1081" s="214"/>
      <c r="J1081" s="618"/>
    </row>
    <row r="1082" spans="1:13" ht="15" customHeight="1" x14ac:dyDescent="0.3">
      <c r="C1082" s="1280"/>
      <c r="D1082" s="1024"/>
      <c r="E1082" s="1024"/>
      <c r="F1082" s="1280"/>
      <c r="G1082" s="1280"/>
      <c r="H1082" s="1280"/>
      <c r="I1082" s="1024"/>
      <c r="J1082" s="1024"/>
      <c r="K1082" s="1024"/>
      <c r="L1082" s="1024"/>
      <c r="M1082" s="1024"/>
    </row>
    <row r="1083" spans="1:13" ht="15" customHeight="1" x14ac:dyDescent="0.3">
      <c r="A1083" s="262" t="s">
        <v>1290</v>
      </c>
      <c r="C1083" s="1024"/>
      <c r="D1083" s="1024"/>
      <c r="E1083" s="1024"/>
      <c r="F1083" s="1280"/>
      <c r="G1083" s="1280"/>
      <c r="H1083" s="1024"/>
      <c r="I1083" s="1024"/>
      <c r="J1083" s="1024"/>
      <c r="K1083" s="1024"/>
      <c r="L1083" s="1024"/>
      <c r="M1083" s="1024"/>
    </row>
    <row r="1084" spans="1:13" ht="30" customHeight="1" x14ac:dyDescent="0.3">
      <c r="C1084" s="563"/>
      <c r="D1084" s="674"/>
      <c r="E1084" s="669"/>
      <c r="F1084" s="670"/>
      <c r="G1084" s="671"/>
      <c r="H1084" s="563"/>
      <c r="I1084" s="672"/>
      <c r="J1084" s="673"/>
      <c r="K1084" s="672"/>
      <c r="L1084" s="672"/>
      <c r="M1084" s="672"/>
    </row>
    <row r="1085" spans="1:13" ht="30" customHeight="1" x14ac:dyDescent="0.3">
      <c r="C1085" s="160"/>
      <c r="D1085" s="210"/>
      <c r="E1085" s="992"/>
      <c r="F1085" s="993"/>
      <c r="G1085" s="994"/>
      <c r="H1085" s="160"/>
      <c r="I1085" s="211"/>
      <c r="J1085" s="616"/>
      <c r="K1085" s="211"/>
      <c r="L1085" s="224"/>
      <c r="M1085" s="211"/>
    </row>
    <row r="1086" spans="1:13" ht="30" customHeight="1" x14ac:dyDescent="0.3">
      <c r="C1086" s="277"/>
      <c r="D1086" s="665"/>
      <c r="E1086" s="660"/>
      <c r="F1086" s="661"/>
      <c r="G1086" s="662"/>
      <c r="H1086" s="277"/>
      <c r="I1086" s="653"/>
      <c r="J1086" s="663"/>
      <c r="K1086" s="653"/>
      <c r="L1086" s="653"/>
      <c r="M1086" s="653"/>
    </row>
    <row r="1087" spans="1:13" ht="30" customHeight="1" x14ac:dyDescent="0.3">
      <c r="C1087" s="218"/>
      <c r="D1087" s="219"/>
      <c r="E1087" s="988"/>
      <c r="F1087" s="989"/>
      <c r="G1087" s="990"/>
      <c r="H1087" s="218"/>
      <c r="I1087" s="220"/>
      <c r="J1087" s="620"/>
      <c r="K1087" s="212"/>
      <c r="L1087" s="225"/>
      <c r="M1087" s="212"/>
    </row>
    <row r="1088" spans="1:13" ht="30" customHeight="1" x14ac:dyDescent="0.3">
      <c r="C1088" s="161"/>
      <c r="D1088" s="213"/>
      <c r="E1088" s="969"/>
      <c r="F1088" s="970"/>
      <c r="G1088" s="971"/>
      <c r="H1088" s="161"/>
      <c r="I1088" s="212"/>
      <c r="J1088" s="617"/>
      <c r="K1088" s="212"/>
      <c r="L1088" s="225"/>
      <c r="M1088" s="212"/>
    </row>
    <row r="1089" spans="3:13" ht="30" customHeight="1" x14ac:dyDescent="0.3">
      <c r="C1089" s="161"/>
      <c r="D1089" s="213"/>
      <c r="E1089" s="969"/>
      <c r="F1089" s="970"/>
      <c r="G1089" s="971"/>
      <c r="H1089" s="161"/>
      <c r="I1089" s="212"/>
      <c r="J1089" s="617"/>
      <c r="K1089" s="212"/>
      <c r="L1089" s="225"/>
      <c r="M1089" s="212"/>
    </row>
    <row r="1090" spans="3:13" ht="30" customHeight="1" x14ac:dyDescent="0.3">
      <c r="C1090" s="161"/>
      <c r="D1090" s="213"/>
      <c r="E1090" s="969"/>
      <c r="F1090" s="970"/>
      <c r="G1090" s="971"/>
      <c r="H1090" s="161"/>
      <c r="I1090" s="212"/>
      <c r="J1090" s="617"/>
      <c r="K1090" s="212"/>
      <c r="L1090" s="225"/>
      <c r="M1090" s="212"/>
    </row>
    <row r="1091" spans="3:13" ht="30" customHeight="1" x14ac:dyDescent="0.3">
      <c r="C1091" s="161"/>
      <c r="D1091" s="213"/>
      <c r="E1091" s="969"/>
      <c r="F1091" s="970"/>
      <c r="G1091" s="971"/>
      <c r="H1091" s="161"/>
      <c r="I1091" s="212"/>
      <c r="J1091" s="617"/>
      <c r="K1091" s="212"/>
      <c r="L1091" s="225"/>
      <c r="M1091" s="212"/>
    </row>
    <row r="1092" spans="3:13" ht="30" customHeight="1" x14ac:dyDescent="0.3">
      <c r="C1092" s="161"/>
      <c r="D1092" s="213"/>
      <c r="E1092" s="969"/>
      <c r="F1092" s="970"/>
      <c r="G1092" s="971"/>
      <c r="H1092" s="161"/>
      <c r="I1092" s="212"/>
      <c r="J1092" s="617"/>
      <c r="K1092" s="212"/>
      <c r="L1092" s="225"/>
      <c r="M1092" s="212"/>
    </row>
    <row r="1093" spans="3:13" ht="30" customHeight="1" x14ac:dyDescent="0.3">
      <c r="C1093" s="161"/>
      <c r="D1093" s="213"/>
      <c r="E1093" s="969"/>
      <c r="F1093" s="970"/>
      <c r="G1093" s="971"/>
      <c r="H1093" s="161"/>
      <c r="I1093" s="212"/>
      <c r="J1093" s="617"/>
      <c r="K1093" s="212"/>
      <c r="L1093" s="225"/>
      <c r="M1093" s="212"/>
    </row>
    <row r="1094" spans="3:13" ht="30" customHeight="1" x14ac:dyDescent="0.3">
      <c r="C1094" s="161"/>
      <c r="D1094" s="213"/>
      <c r="E1094" s="969"/>
      <c r="F1094" s="970"/>
      <c r="G1094" s="971"/>
      <c r="H1094" s="161"/>
      <c r="I1094" s="212"/>
      <c r="J1094" s="617"/>
      <c r="K1094" s="212"/>
      <c r="L1094" s="225"/>
      <c r="M1094" s="212"/>
    </row>
    <row r="1095" spans="3:13" ht="30" customHeight="1" x14ac:dyDescent="0.3">
      <c r="C1095" s="161"/>
      <c r="D1095" s="213"/>
      <c r="E1095" s="969"/>
      <c r="F1095" s="970"/>
      <c r="G1095" s="971"/>
      <c r="H1095" s="161"/>
      <c r="I1095" s="212"/>
      <c r="J1095" s="617"/>
      <c r="K1095" s="212"/>
      <c r="L1095" s="225"/>
      <c r="M1095" s="212"/>
    </row>
    <row r="1096" spans="3:13" ht="30" customHeight="1" x14ac:dyDescent="0.3">
      <c r="C1096" s="161"/>
      <c r="D1096" s="213"/>
      <c r="E1096" s="969"/>
      <c r="F1096" s="970"/>
      <c r="G1096" s="971"/>
      <c r="H1096" s="161"/>
      <c r="I1096" s="212"/>
      <c r="J1096" s="617"/>
      <c r="K1096" s="212"/>
      <c r="L1096" s="225"/>
      <c r="M1096" s="212"/>
    </row>
    <row r="1097" spans="3:13" ht="30" customHeight="1" x14ac:dyDescent="0.3">
      <c r="C1097" s="161"/>
      <c r="D1097" s="213"/>
      <c r="E1097" s="969"/>
      <c r="F1097" s="970"/>
      <c r="G1097" s="971"/>
      <c r="H1097" s="161"/>
      <c r="I1097" s="212"/>
      <c r="J1097" s="617"/>
      <c r="K1097" s="212"/>
      <c r="L1097" s="225"/>
      <c r="M1097" s="212"/>
    </row>
    <row r="1098" spans="3:13" ht="30" customHeight="1" x14ac:dyDescent="0.3">
      <c r="C1098" s="161"/>
      <c r="D1098" s="213"/>
      <c r="E1098" s="969"/>
      <c r="F1098" s="970"/>
      <c r="G1098" s="971"/>
      <c r="H1098" s="161"/>
      <c r="I1098" s="212"/>
      <c r="J1098" s="617"/>
      <c r="K1098" s="212"/>
      <c r="L1098" s="225"/>
      <c r="M1098" s="212"/>
    </row>
    <row r="1099" spans="3:13" ht="30" customHeight="1" x14ac:dyDescent="0.3">
      <c r="C1099" s="161"/>
      <c r="D1099" s="213"/>
      <c r="E1099" s="969"/>
      <c r="F1099" s="970"/>
      <c r="G1099" s="971"/>
      <c r="H1099" s="161"/>
      <c r="I1099" s="212"/>
      <c r="J1099" s="617"/>
      <c r="K1099" s="212"/>
      <c r="L1099" s="225"/>
      <c r="M1099" s="212"/>
    </row>
    <row r="1100" spans="3:13" ht="30" customHeight="1" x14ac:dyDescent="0.3">
      <c r="C1100" s="161"/>
      <c r="D1100" s="213"/>
      <c r="E1100" s="969"/>
      <c r="F1100" s="970"/>
      <c r="G1100" s="971"/>
      <c r="H1100" s="161"/>
      <c r="I1100" s="212"/>
      <c r="J1100" s="617"/>
      <c r="K1100" s="212"/>
      <c r="L1100" s="225"/>
      <c r="M1100" s="212"/>
    </row>
    <row r="1101" spans="3:13" ht="30" customHeight="1" x14ac:dyDescent="0.3">
      <c r="C1101" s="161"/>
      <c r="D1101" s="213"/>
      <c r="E1101" s="969"/>
      <c r="F1101" s="970"/>
      <c r="G1101" s="971"/>
      <c r="H1101" s="161"/>
      <c r="I1101" s="212"/>
      <c r="J1101" s="617"/>
      <c r="K1101" s="212"/>
      <c r="L1101" s="225"/>
      <c r="M1101" s="212"/>
    </row>
    <row r="1102" spans="3:13" ht="30" customHeight="1" x14ac:dyDescent="0.3">
      <c r="C1102" s="161"/>
      <c r="D1102" s="213"/>
      <c r="E1102" s="969"/>
      <c r="F1102" s="970"/>
      <c r="G1102" s="971"/>
      <c r="H1102" s="161"/>
      <c r="I1102" s="212"/>
      <c r="J1102" s="617"/>
      <c r="K1102" s="212"/>
      <c r="L1102" s="225"/>
      <c r="M1102" s="212"/>
    </row>
    <row r="1103" spans="3:13" ht="30" customHeight="1" x14ac:dyDescent="0.3">
      <c r="C1103" s="161"/>
      <c r="D1103" s="213"/>
      <c r="E1103" s="969"/>
      <c r="F1103" s="970"/>
      <c r="G1103" s="971"/>
      <c r="H1103" s="161"/>
      <c r="I1103" s="212"/>
      <c r="J1103" s="617"/>
      <c r="K1103" s="212"/>
      <c r="L1103" s="225"/>
      <c r="M1103" s="212"/>
    </row>
    <row r="1104" spans="3:13" ht="30" customHeight="1" x14ac:dyDescent="0.3">
      <c r="C1104" s="161"/>
      <c r="D1104" s="213"/>
      <c r="E1104" s="969"/>
      <c r="F1104" s="970"/>
      <c r="G1104" s="971"/>
      <c r="H1104" s="161"/>
      <c r="I1104" s="212"/>
      <c r="J1104" s="617"/>
      <c r="K1104" s="212"/>
      <c r="L1104" s="225"/>
      <c r="M1104" s="212"/>
    </row>
    <row r="1105" spans="3:13" ht="30" customHeight="1" x14ac:dyDescent="0.3">
      <c r="C1105" s="161"/>
      <c r="D1105" s="213"/>
      <c r="E1105" s="564"/>
      <c r="F1105" s="565"/>
      <c r="G1105" s="566"/>
      <c r="H1105" s="161"/>
      <c r="I1105" s="212"/>
      <c r="J1105" s="617"/>
      <c r="K1105" s="212"/>
      <c r="L1105" s="225"/>
      <c r="M1105" s="212"/>
    </row>
    <row r="1106" spans="3:13" ht="30" customHeight="1" x14ac:dyDescent="0.3">
      <c r="C1106" s="161"/>
      <c r="D1106" s="213"/>
      <c r="E1106" s="564"/>
      <c r="F1106" s="565"/>
      <c r="G1106" s="566"/>
      <c r="H1106" s="161"/>
      <c r="I1106" s="212"/>
      <c r="J1106" s="617"/>
      <c r="K1106" s="212"/>
      <c r="L1106" s="225"/>
      <c r="M1106" s="212"/>
    </row>
    <row r="1107" spans="3:13" ht="30" customHeight="1" x14ac:dyDescent="0.3">
      <c r="C1107" s="161"/>
      <c r="D1107" s="213"/>
      <c r="E1107" s="564"/>
      <c r="F1107" s="565"/>
      <c r="G1107" s="566"/>
      <c r="H1107" s="161"/>
      <c r="I1107" s="212"/>
      <c r="J1107" s="617"/>
      <c r="K1107" s="212"/>
      <c r="L1107" s="225"/>
      <c r="M1107" s="212"/>
    </row>
    <row r="1108" spans="3:13" ht="30" customHeight="1" x14ac:dyDescent="0.3">
      <c r="C1108" s="161"/>
      <c r="D1108" s="213"/>
      <c r="E1108" s="564"/>
      <c r="F1108" s="565"/>
      <c r="G1108" s="566"/>
      <c r="H1108" s="161"/>
      <c r="I1108" s="212"/>
      <c r="J1108" s="617"/>
      <c r="K1108" s="212"/>
      <c r="L1108" s="225"/>
      <c r="M1108" s="212"/>
    </row>
    <row r="1109" spans="3:13" ht="30" customHeight="1" x14ac:dyDescent="0.3">
      <c r="C1109" s="161"/>
      <c r="D1109" s="213"/>
      <c r="E1109" s="969"/>
      <c r="F1109" s="970"/>
      <c r="G1109" s="971"/>
      <c r="H1109" s="161"/>
      <c r="I1109" s="212"/>
      <c r="J1109" s="617"/>
      <c r="K1109" s="212"/>
      <c r="L1109" s="225"/>
      <c r="M1109" s="212"/>
    </row>
    <row r="1110" spans="3:13" ht="30" customHeight="1" x14ac:dyDescent="0.3">
      <c r="C1110" s="161"/>
      <c r="D1110" s="213"/>
      <c r="E1110" s="969"/>
      <c r="F1110" s="970"/>
      <c r="G1110" s="971"/>
      <c r="H1110" s="161"/>
      <c r="I1110" s="212"/>
      <c r="J1110" s="617"/>
      <c r="K1110" s="212"/>
      <c r="L1110" s="225"/>
      <c r="M1110" s="212"/>
    </row>
    <row r="1111" spans="3:13" ht="30" customHeight="1" x14ac:dyDescent="0.3">
      <c r="C1111" s="161"/>
      <c r="D1111" s="213"/>
      <c r="E1111" s="969"/>
      <c r="F1111" s="970"/>
      <c r="G1111" s="971"/>
      <c r="H1111" s="161"/>
      <c r="I1111" s="212"/>
      <c r="J1111" s="617"/>
      <c r="K1111" s="212"/>
      <c r="L1111" s="225"/>
      <c r="M1111" s="212"/>
    </row>
    <row r="1112" spans="3:13" ht="30" customHeight="1" x14ac:dyDescent="0.3">
      <c r="C1112" s="1375"/>
      <c r="D1112" s="1375"/>
      <c r="E1112" s="1375"/>
      <c r="F1112" s="1376"/>
      <c r="G1112" s="1376"/>
      <c r="H1112" s="1375"/>
      <c r="I1112" s="1375"/>
      <c r="J1112" s="1375"/>
      <c r="K1112" s="1375"/>
      <c r="L1112" s="1375"/>
      <c r="M1112" s="1375"/>
    </row>
    <row r="1113" spans="3:13" ht="19.95" customHeight="1" x14ac:dyDescent="0.3">
      <c r="C1113" s="1024"/>
      <c r="D1113" s="1024"/>
      <c r="E1113" s="1024"/>
      <c r="F1113" s="1280"/>
      <c r="G1113" s="1280"/>
      <c r="H1113" s="1280"/>
      <c r="I1113" s="1280"/>
      <c r="J1113" s="1280"/>
      <c r="K1113" s="1280"/>
      <c r="L1113" s="1280"/>
      <c r="M1113" s="1280"/>
    </row>
    <row r="1114" spans="3:13" ht="15" customHeight="1" x14ac:dyDescent="0.3">
      <c r="D1114" s="28"/>
      <c r="E1114" s="666"/>
      <c r="F1114" s="666"/>
      <c r="G1114" s="666"/>
      <c r="H1114" s="1280"/>
      <c r="I1114" s="1280"/>
      <c r="J1114" s="1280"/>
      <c r="K1114" s="1280"/>
      <c r="L1114" s="1280"/>
      <c r="M1114" s="1280"/>
    </row>
    <row r="1115" spans="3:13" ht="15" customHeight="1" x14ac:dyDescent="0.3">
      <c r="D1115" s="28"/>
      <c r="E1115" s="666"/>
      <c r="F1115" s="666"/>
      <c r="G1115" s="666"/>
      <c r="H1115" s="1280"/>
      <c r="I1115" s="1280"/>
      <c r="J1115" s="1280"/>
      <c r="K1115" s="1280"/>
      <c r="L1115" s="1280"/>
      <c r="M1115" s="1280"/>
    </row>
    <row r="1116" spans="3:13" ht="15" customHeight="1" x14ac:dyDescent="0.3">
      <c r="D1116" s="28"/>
      <c r="E1116" s="666"/>
      <c r="F1116" s="666"/>
      <c r="G1116" s="666"/>
      <c r="H1116" s="109"/>
      <c r="I1116" s="109"/>
      <c r="J1116" s="667"/>
      <c r="K1116" s="109"/>
      <c r="L1116" s="109"/>
      <c r="M1116" s="109"/>
    </row>
    <row r="1117" spans="3:13" ht="15" customHeight="1" x14ac:dyDescent="0.3">
      <c r="D1117" s="28"/>
      <c r="E1117" s="666"/>
      <c r="F1117" s="666"/>
      <c r="G1117" s="666"/>
      <c r="H1117" s="109"/>
      <c r="I1117" s="109"/>
      <c r="J1117" s="667"/>
      <c r="K1117" s="109"/>
      <c r="L1117" s="109"/>
      <c r="M1117" s="109"/>
    </row>
    <row r="1118" spans="3:13" ht="15" customHeight="1" x14ac:dyDescent="0.3">
      <c r="D1118" s="28"/>
      <c r="E1118" s="666"/>
      <c r="F1118" s="110"/>
      <c r="G1118" s="110"/>
      <c r="H1118" s="1280"/>
      <c r="I1118" s="1280"/>
      <c r="J1118" s="667"/>
      <c r="K1118" s="1280"/>
      <c r="L1118" s="1280"/>
      <c r="M1118" s="1280"/>
    </row>
    <row r="1119" spans="3:13" ht="15" customHeight="1" x14ac:dyDescent="0.3">
      <c r="D1119" s="28"/>
      <c r="E1119" s="666"/>
      <c r="F1119" s="110"/>
      <c r="G1119" s="110"/>
      <c r="H1119" s="1280"/>
      <c r="I1119" s="1280"/>
      <c r="J1119" s="667"/>
      <c r="K1119" s="1280"/>
      <c r="L1119" s="1280"/>
      <c r="M1119" s="1280"/>
    </row>
    <row r="1120" spans="3:13" ht="15" customHeight="1" x14ac:dyDescent="0.3">
      <c r="D1120" s="28"/>
      <c r="E1120" s="666"/>
      <c r="F1120" s="110"/>
      <c r="G1120" s="110"/>
      <c r="H1120" s="110"/>
      <c r="I1120" s="110"/>
      <c r="J1120" s="667"/>
      <c r="K1120" s="110"/>
      <c r="L1120" s="110"/>
      <c r="M1120" s="110"/>
    </row>
    <row r="1121" spans="1:13" ht="15" customHeight="1" x14ac:dyDescent="0.3">
      <c r="D1121" s="28"/>
      <c r="E1121" s="666"/>
      <c r="F1121" s="110"/>
      <c r="G1121" s="110"/>
      <c r="H1121" s="28"/>
      <c r="I1121" s="214"/>
      <c r="J1121" s="618"/>
    </row>
    <row r="1122" spans="1:13" ht="15" customHeight="1" x14ac:dyDescent="0.3">
      <c r="D1122" s="28"/>
      <c r="E1122" s="666"/>
      <c r="F1122" s="110"/>
      <c r="G1122" s="110"/>
      <c r="H1122" s="28"/>
      <c r="I1122" s="214"/>
      <c r="J1122" s="618"/>
    </row>
    <row r="1123" spans="1:13" ht="15" customHeight="1" x14ac:dyDescent="0.3">
      <c r="D1123" s="28"/>
      <c r="E1123" s="666"/>
      <c r="F1123" s="110"/>
      <c r="G1123" s="110"/>
      <c r="H1123" s="1024"/>
      <c r="I1123" s="1024"/>
      <c r="K1123" s="1280"/>
      <c r="L1123" s="1280"/>
      <c r="M1123" s="1280"/>
    </row>
    <row r="1124" spans="1:13" ht="15" customHeight="1" x14ac:dyDescent="0.3">
      <c r="D1124" s="28"/>
      <c r="E1124" s="666"/>
      <c r="F1124" s="110"/>
      <c r="G1124" s="110"/>
      <c r="H1124" s="1280"/>
      <c r="I1124" s="1280"/>
      <c r="J1124" s="667"/>
      <c r="K1124" s="1280"/>
      <c r="L1124" s="1280"/>
      <c r="M1124" s="1280"/>
    </row>
    <row r="1125" spans="1:13" ht="15" customHeight="1" x14ac:dyDescent="0.3">
      <c r="D1125" s="28"/>
      <c r="E1125" s="666"/>
      <c r="F1125" s="1280"/>
      <c r="G1125" s="1280"/>
      <c r="H1125" s="1280"/>
      <c r="I1125" s="1280"/>
      <c r="J1125" s="667"/>
      <c r="K1125" s="1280"/>
      <c r="L1125" s="1280"/>
      <c r="M1125" s="1280"/>
    </row>
    <row r="1126" spans="1:13" ht="15" customHeight="1" x14ac:dyDescent="0.3">
      <c r="D1126" s="28"/>
      <c r="E1126" s="666"/>
      <c r="F1126" s="1280"/>
      <c r="G1126" s="1280"/>
      <c r="H1126" s="1280"/>
      <c r="I1126" s="1280"/>
    </row>
    <row r="1127" spans="1:13" ht="15" customHeight="1" x14ac:dyDescent="0.3">
      <c r="D1127" s="28"/>
      <c r="E1127" s="666"/>
      <c r="F1127" s="1280"/>
      <c r="G1127" s="1280"/>
      <c r="H1127" s="1280"/>
      <c r="I1127" s="1280"/>
      <c r="J1127" s="667"/>
    </row>
    <row r="1128" spans="1:13" ht="15" customHeight="1" x14ac:dyDescent="0.3">
      <c r="D1128" s="28"/>
      <c r="E1128" s="666"/>
      <c r="F1128" s="109"/>
      <c r="G1128" s="109"/>
      <c r="H1128" s="1024"/>
      <c r="I1128" s="1024"/>
      <c r="K1128" s="1024"/>
      <c r="L1128" s="1024"/>
      <c r="M1128" s="1024"/>
    </row>
    <row r="1129" spans="1:13" ht="15" customHeight="1" x14ac:dyDescent="0.3">
      <c r="D1129" s="28"/>
      <c r="E1129" s="666"/>
      <c r="F1129" s="109"/>
      <c r="G1129" s="109"/>
      <c r="H1129" s="1280"/>
      <c r="I1129" s="1280"/>
      <c r="J1129" s="667"/>
      <c r="K1129" s="1024"/>
      <c r="L1129" s="1024"/>
      <c r="M1129" s="1024"/>
    </row>
    <row r="1130" spans="1:13" ht="15" customHeight="1" x14ac:dyDescent="0.3">
      <c r="D1130" s="28"/>
      <c r="E1130" s="666"/>
      <c r="F1130" s="109"/>
      <c r="G1130" s="109"/>
      <c r="H1130" s="1024"/>
      <c r="I1130" s="1024"/>
    </row>
    <row r="1131" spans="1:13" ht="15" customHeight="1" x14ac:dyDescent="0.3">
      <c r="D1131" s="28"/>
      <c r="E1131" s="666"/>
      <c r="F1131" s="109"/>
      <c r="G1131" s="109"/>
      <c r="H1131" s="1280"/>
      <c r="I1131" s="1280"/>
      <c r="J1131" s="667"/>
    </row>
    <row r="1132" spans="1:13" ht="15" customHeight="1" x14ac:dyDescent="0.3">
      <c r="D1132" s="28"/>
      <c r="E1132" s="666"/>
      <c r="F1132" s="666"/>
      <c r="G1132" s="666"/>
      <c r="H1132" s="110"/>
      <c r="I1132" s="110"/>
      <c r="J1132" s="667"/>
    </row>
    <row r="1133" spans="1:13" ht="15" customHeight="1" x14ac:dyDescent="0.3">
      <c r="D1133" s="28"/>
      <c r="E1133" s="666"/>
      <c r="F1133" s="666"/>
      <c r="G1133" s="666"/>
      <c r="H1133" s="28"/>
      <c r="I1133" s="214"/>
      <c r="J1133" s="618"/>
    </row>
    <row r="1134" spans="1:13" ht="15" customHeight="1" x14ac:dyDescent="0.3">
      <c r="C1134" s="1280"/>
      <c r="D1134" s="1024"/>
      <c r="E1134" s="1024"/>
      <c r="F1134" s="1280"/>
      <c r="G1134" s="1280"/>
      <c r="H1134" s="1280"/>
      <c r="I1134" s="1280"/>
      <c r="J1134" s="667"/>
      <c r="K1134" s="1024"/>
      <c r="L1134" s="1024"/>
      <c r="M1134" s="1024"/>
    </row>
    <row r="1135" spans="1:13" ht="15" customHeight="1" x14ac:dyDescent="0.3">
      <c r="A1135" s="262" t="s">
        <v>1290</v>
      </c>
      <c r="C1135" s="1024"/>
      <c r="D1135" s="1024"/>
      <c r="E1135" s="1024"/>
      <c r="F1135" s="1280"/>
      <c r="G1135" s="1280"/>
      <c r="H1135" s="1024"/>
      <c r="I1135" s="1024"/>
      <c r="K1135" s="1024"/>
      <c r="L1135" s="1024"/>
      <c r="M1135" s="1024"/>
    </row>
    <row r="1141" spans="5:13" ht="15" customHeight="1" x14ac:dyDescent="0.3">
      <c r="E1141"/>
      <c r="F1141"/>
      <c r="G1141"/>
      <c r="H1141"/>
      <c r="I1141"/>
      <c r="K1141"/>
      <c r="L1141"/>
      <c r="M1141"/>
    </row>
    <row r="1142" spans="5:13" ht="15" customHeight="1" x14ac:dyDescent="0.3">
      <c r="E1142"/>
      <c r="F1142"/>
      <c r="G1142"/>
      <c r="H1142"/>
      <c r="I1142"/>
      <c r="K1142"/>
      <c r="L1142"/>
      <c r="M1142"/>
    </row>
    <row r="1143" spans="5:13" ht="15" customHeight="1" x14ac:dyDescent="0.3">
      <c r="E1143"/>
      <c r="F1143"/>
      <c r="G1143"/>
      <c r="H1143"/>
      <c r="I1143"/>
      <c r="K1143"/>
      <c r="L1143"/>
      <c r="M1143"/>
    </row>
    <row r="1144" spans="5:13" ht="15" customHeight="1" x14ac:dyDescent="0.3">
      <c r="E1144"/>
      <c r="F1144"/>
      <c r="G1144"/>
      <c r="H1144"/>
      <c r="I1144"/>
      <c r="K1144"/>
      <c r="L1144"/>
      <c r="M1144"/>
    </row>
    <row r="1145" spans="5:13" ht="15" customHeight="1" x14ac:dyDescent="0.3">
      <c r="E1145"/>
      <c r="F1145"/>
      <c r="G1145"/>
      <c r="H1145"/>
      <c r="I1145"/>
      <c r="K1145"/>
      <c r="L1145"/>
      <c r="M1145"/>
    </row>
    <row r="1146" spans="5:13" ht="15" customHeight="1" x14ac:dyDescent="0.3">
      <c r="E1146"/>
      <c r="F1146"/>
      <c r="G1146"/>
      <c r="H1146"/>
      <c r="I1146"/>
      <c r="K1146"/>
      <c r="L1146"/>
      <c r="M1146"/>
    </row>
    <row r="1147" spans="5:13" ht="15" customHeight="1" x14ac:dyDescent="0.3">
      <c r="E1147"/>
      <c r="F1147"/>
      <c r="G1147"/>
      <c r="H1147"/>
      <c r="I1147"/>
      <c r="K1147"/>
      <c r="L1147"/>
      <c r="M1147"/>
    </row>
  </sheetData>
  <autoFilter ref="K2:K1147" xr:uid="{C9733E60-8072-4FE8-A6EF-C1765E5E6091}"/>
  <mergeCells count="1038">
    <mergeCell ref="L942:M942"/>
    <mergeCell ref="F1125:F1127"/>
    <mergeCell ref="C876:E876"/>
    <mergeCell ref="F876:G876"/>
    <mergeCell ref="H883:I883"/>
    <mergeCell ref="K883:M883"/>
    <mergeCell ref="E1043:G1043"/>
    <mergeCell ref="E1044:G1044"/>
    <mergeCell ref="E1045:G1045"/>
    <mergeCell ref="E1046:G1046"/>
    <mergeCell ref="E1047:G1047"/>
    <mergeCell ref="E1048:G1048"/>
    <mergeCell ref="E1049:G1049"/>
    <mergeCell ref="F1077:G1078"/>
    <mergeCell ref="E1039:G1039"/>
    <mergeCell ref="E1040:G1040"/>
    <mergeCell ref="E1041:G1041"/>
    <mergeCell ref="E1042:G1042"/>
    <mergeCell ref="C1072:E1072"/>
    <mergeCell ref="F1072:G1072"/>
    <mergeCell ref="K940:L940"/>
    <mergeCell ref="E912:G912"/>
    <mergeCell ref="E921:G921"/>
    <mergeCell ref="E920:G920"/>
    <mergeCell ref="E913:G913"/>
    <mergeCell ref="E915:G915"/>
    <mergeCell ref="E1050:G1050"/>
    <mergeCell ref="E1054:G1054"/>
    <mergeCell ref="F98:G99"/>
    <mergeCell ref="F101:G102"/>
    <mergeCell ref="H1079:J1079"/>
    <mergeCell ref="L1079:M1079"/>
    <mergeCell ref="C1082:E1083"/>
    <mergeCell ref="F1082:G1083"/>
    <mergeCell ref="H1082:M1083"/>
    <mergeCell ref="H657:K657"/>
    <mergeCell ref="H750:K750"/>
    <mergeCell ref="E874:G874"/>
    <mergeCell ref="E861:G861"/>
    <mergeCell ref="H876:M878"/>
    <mergeCell ref="H875:M875"/>
    <mergeCell ref="E911:G911"/>
    <mergeCell ref="E715:G715"/>
    <mergeCell ref="E764:G764"/>
    <mergeCell ref="E732:G732"/>
    <mergeCell ref="E733:G733"/>
    <mergeCell ref="E734:G734"/>
    <mergeCell ref="K840:L840"/>
    <mergeCell ref="K841:L841"/>
    <mergeCell ref="K842:L842"/>
    <mergeCell ref="C845:E846"/>
    <mergeCell ref="F845:G846"/>
    <mergeCell ref="H941:K941"/>
    <mergeCell ref="E814:G814"/>
    <mergeCell ref="L941:M941"/>
    <mergeCell ref="E815:G815"/>
    <mergeCell ref="H942:K942"/>
    <mergeCell ref="K938:L938"/>
    <mergeCell ref="F1134:G1135"/>
    <mergeCell ref="F888:F890"/>
    <mergeCell ref="F897:G898"/>
    <mergeCell ref="G888:I890"/>
    <mergeCell ref="H1031:M1031"/>
    <mergeCell ref="H1032:M1032"/>
    <mergeCell ref="H1077:M1077"/>
    <mergeCell ref="H1078:M1078"/>
    <mergeCell ref="G1125:I1127"/>
    <mergeCell ref="E1055:G1055"/>
    <mergeCell ref="E1038:G1038"/>
    <mergeCell ref="E1056:G1056"/>
    <mergeCell ref="E1069:G1069"/>
    <mergeCell ref="E1070:G1070"/>
    <mergeCell ref="C1071:E1071"/>
    <mergeCell ref="F1071:G1071"/>
    <mergeCell ref="H1071:M1071"/>
    <mergeCell ref="E919:G919"/>
    <mergeCell ref="E901:G901"/>
    <mergeCell ref="E904:G904"/>
    <mergeCell ref="E905:G905"/>
    <mergeCell ref="E906:G906"/>
    <mergeCell ref="E907:G907"/>
    <mergeCell ref="E908:G908"/>
    <mergeCell ref="E909:G909"/>
    <mergeCell ref="E900:G900"/>
    <mergeCell ref="H1072:M1075"/>
    <mergeCell ref="E916:G916"/>
    <mergeCell ref="E914:G914"/>
    <mergeCell ref="E903:G903"/>
    <mergeCell ref="H943:M944"/>
    <mergeCell ref="E1053:G1053"/>
    <mergeCell ref="K939:L939"/>
    <mergeCell ref="E852:G852"/>
    <mergeCell ref="E873:G873"/>
    <mergeCell ref="E868:G868"/>
    <mergeCell ref="E867:G867"/>
    <mergeCell ref="E818:G818"/>
    <mergeCell ref="E817:G817"/>
    <mergeCell ref="E859:G859"/>
    <mergeCell ref="E860:G860"/>
    <mergeCell ref="E864:G864"/>
    <mergeCell ref="E863:G863"/>
    <mergeCell ref="E862:G862"/>
    <mergeCell ref="E848:G848"/>
    <mergeCell ref="C836:E836"/>
    <mergeCell ref="K891:M891"/>
    <mergeCell ref="E866:G866"/>
    <mergeCell ref="C897:E898"/>
    <mergeCell ref="H891:I891"/>
    <mergeCell ref="E834:G834"/>
    <mergeCell ref="E853:G853"/>
    <mergeCell ref="E854:G854"/>
    <mergeCell ref="E855:G855"/>
    <mergeCell ref="K897:M897"/>
    <mergeCell ref="H898:I898"/>
    <mergeCell ref="K898:M898"/>
    <mergeCell ref="H835:M835"/>
    <mergeCell ref="H933:M933"/>
    <mergeCell ref="E923:G923"/>
    <mergeCell ref="E924:G924"/>
    <mergeCell ref="E917:G917"/>
    <mergeCell ref="E851:G851"/>
    <mergeCell ref="C799:E800"/>
    <mergeCell ref="F799:G800"/>
    <mergeCell ref="H799:M800"/>
    <mergeCell ref="F749:G750"/>
    <mergeCell ref="H749:J749"/>
    <mergeCell ref="L749:M749"/>
    <mergeCell ref="L750:M750"/>
    <mergeCell ref="H745:M747"/>
    <mergeCell ref="E727:G727"/>
    <mergeCell ref="C754:E755"/>
    <mergeCell ref="F754:G755"/>
    <mergeCell ref="F794:G795"/>
    <mergeCell ref="K794:L794"/>
    <mergeCell ref="F745:G745"/>
    <mergeCell ref="E731:G731"/>
    <mergeCell ref="E788:G788"/>
    <mergeCell ref="H754:M755"/>
    <mergeCell ref="E730:G730"/>
    <mergeCell ref="E736:G736"/>
    <mergeCell ref="E737:G737"/>
    <mergeCell ref="E738:G738"/>
    <mergeCell ref="E739:G739"/>
    <mergeCell ref="E781:G781"/>
    <mergeCell ref="E771:G771"/>
    <mergeCell ref="E728:G728"/>
    <mergeCell ref="F790:G790"/>
    <mergeCell ref="E760:G760"/>
    <mergeCell ref="E759:G759"/>
    <mergeCell ref="C789:E789"/>
    <mergeCell ref="F789:G789"/>
    <mergeCell ref="C744:E744"/>
    <mergeCell ref="F744:G744"/>
    <mergeCell ref="E783:G783"/>
    <mergeCell ref="E782:G782"/>
    <mergeCell ref="E717:G717"/>
    <mergeCell ref="E785:G785"/>
    <mergeCell ref="E784:G784"/>
    <mergeCell ref="E787:G787"/>
    <mergeCell ref="E786:G786"/>
    <mergeCell ref="E693:G693"/>
    <mergeCell ref="E683:G683"/>
    <mergeCell ref="E740:G740"/>
    <mergeCell ref="E741:G741"/>
    <mergeCell ref="E742:G742"/>
    <mergeCell ref="C790:E790"/>
    <mergeCell ref="E696:G696"/>
    <mergeCell ref="E758:G758"/>
    <mergeCell ref="E757:G757"/>
    <mergeCell ref="E716:G716"/>
    <mergeCell ref="E725:G725"/>
    <mergeCell ref="E765:G765"/>
    <mergeCell ref="E766:G766"/>
    <mergeCell ref="E767:G767"/>
    <mergeCell ref="F702:G703"/>
    <mergeCell ref="E763:G763"/>
    <mergeCell ref="E713:G713"/>
    <mergeCell ref="E714:G714"/>
    <mergeCell ref="E735:G735"/>
    <mergeCell ref="E743:G743"/>
    <mergeCell ref="E770:G770"/>
    <mergeCell ref="E722:G722"/>
    <mergeCell ref="E721:G721"/>
    <mergeCell ref="E668:G668"/>
    <mergeCell ref="E669:G669"/>
    <mergeCell ref="L657:M657"/>
    <mergeCell ref="E664:G664"/>
    <mergeCell ref="F656:G657"/>
    <mergeCell ref="H656:J656"/>
    <mergeCell ref="E724:G724"/>
    <mergeCell ref="H697:M697"/>
    <mergeCell ref="C707:E708"/>
    <mergeCell ref="H661:M662"/>
    <mergeCell ref="E682:G682"/>
    <mergeCell ref="C698:E698"/>
    <mergeCell ref="F698:G698"/>
    <mergeCell ref="E711:G711"/>
    <mergeCell ref="E712:G712"/>
    <mergeCell ref="E681:G681"/>
    <mergeCell ref="E325:G325"/>
    <mergeCell ref="E326:G326"/>
    <mergeCell ref="H707:M708"/>
    <mergeCell ref="J704:L704"/>
    <mergeCell ref="H611:M611"/>
    <mergeCell ref="H612:M612"/>
    <mergeCell ref="H615:M616"/>
    <mergeCell ref="K518:M518"/>
    <mergeCell ref="E583:G583"/>
    <mergeCell ref="E572:G572"/>
    <mergeCell ref="E573:G573"/>
    <mergeCell ref="E574:G574"/>
    <mergeCell ref="L565:M565"/>
    <mergeCell ref="H658:J658"/>
    <mergeCell ref="L658:M658"/>
    <mergeCell ref="J702:L702"/>
    <mergeCell ref="E273:G273"/>
    <mergeCell ref="E275:G275"/>
    <mergeCell ref="C247:E248"/>
    <mergeCell ref="F247:G248"/>
    <mergeCell ref="H247:M248"/>
    <mergeCell ref="E262:G262"/>
    <mergeCell ref="F242:G243"/>
    <mergeCell ref="H288:J288"/>
    <mergeCell ref="L288:M288"/>
    <mergeCell ref="J703:L703"/>
    <mergeCell ref="E665:G665"/>
    <mergeCell ref="E666:G666"/>
    <mergeCell ref="E667:G667"/>
    <mergeCell ref="E678:G678"/>
    <mergeCell ref="E679:G679"/>
    <mergeCell ref="C697:E697"/>
    <mergeCell ref="F697:G697"/>
    <mergeCell ref="E695:G695"/>
    <mergeCell ref="E648:G648"/>
    <mergeCell ref="E298:G298"/>
    <mergeCell ref="E299:G299"/>
    <mergeCell ref="C293:E294"/>
    <mergeCell ref="F293:G294"/>
    <mergeCell ref="E314:G314"/>
    <mergeCell ref="L242:M242"/>
    <mergeCell ref="H243:J243"/>
    <mergeCell ref="E295:G295"/>
    <mergeCell ref="H242:J242"/>
    <mergeCell ref="E276:G276"/>
    <mergeCell ref="K473:M473"/>
    <mergeCell ref="K472:M472"/>
    <mergeCell ref="K426:M426"/>
    <mergeCell ref="H102:J102"/>
    <mergeCell ref="L102:M102"/>
    <mergeCell ref="H108:I108"/>
    <mergeCell ref="E131:G131"/>
    <mergeCell ref="H107:J107"/>
    <mergeCell ref="F150:G151"/>
    <mergeCell ref="F145:G145"/>
    <mergeCell ref="E139:G139"/>
    <mergeCell ref="E143:G143"/>
    <mergeCell ref="E136:G136"/>
    <mergeCell ref="E137:G137"/>
    <mergeCell ref="E186:G186"/>
    <mergeCell ref="E187:G187"/>
    <mergeCell ref="F288:G289"/>
    <mergeCell ref="E208:G208"/>
    <mergeCell ref="C202:E203"/>
    <mergeCell ref="F202:G203"/>
    <mergeCell ref="E271:G271"/>
    <mergeCell ref="H188:M188"/>
    <mergeCell ref="E272:G272"/>
    <mergeCell ref="F282:G282"/>
    <mergeCell ref="E215:G215"/>
    <mergeCell ref="E216:G216"/>
    <mergeCell ref="E217:G217"/>
    <mergeCell ref="E218:G218"/>
    <mergeCell ref="C237:E237"/>
    <mergeCell ref="E220:G220"/>
    <mergeCell ref="E221:G221"/>
    <mergeCell ref="E234:G234"/>
    <mergeCell ref="E222:G222"/>
    <mergeCell ref="E223:G223"/>
    <mergeCell ref="F198:G199"/>
    <mergeCell ref="H57:J57"/>
    <mergeCell ref="H58:J58"/>
    <mergeCell ref="L51:M51"/>
    <mergeCell ref="L52:M52"/>
    <mergeCell ref="L53:M53"/>
    <mergeCell ref="F54:G55"/>
    <mergeCell ref="E161:G161"/>
    <mergeCell ref="E214:G214"/>
    <mergeCell ref="C188:E188"/>
    <mergeCell ref="F188:G188"/>
    <mergeCell ref="E205:G205"/>
    <mergeCell ref="F237:G237"/>
    <mergeCell ref="E219:G219"/>
    <mergeCell ref="C283:E283"/>
    <mergeCell ref="H237:M237"/>
    <mergeCell ref="E225:G225"/>
    <mergeCell ref="E226:G226"/>
    <mergeCell ref="E263:G263"/>
    <mergeCell ref="E268:G268"/>
    <mergeCell ref="E269:G269"/>
    <mergeCell ref="E227:G227"/>
    <mergeCell ref="H110:M111"/>
    <mergeCell ref="H144:M144"/>
    <mergeCell ref="E126:G126"/>
    <mergeCell ref="H105:J105"/>
    <mergeCell ref="H106:J106"/>
    <mergeCell ref="H151:K151"/>
    <mergeCell ref="E114:G114"/>
    <mergeCell ref="E133:G133"/>
    <mergeCell ref="E134:G134"/>
    <mergeCell ref="H101:J101"/>
    <mergeCell ref="L101:M101"/>
    <mergeCell ref="E444:G444"/>
    <mergeCell ref="C523:E524"/>
    <mergeCell ref="F523:G524"/>
    <mergeCell ref="F426:G427"/>
    <mergeCell ref="H330:M332"/>
    <mergeCell ref="H376:M378"/>
    <mergeCell ref="H422:M424"/>
    <mergeCell ref="H468:M470"/>
    <mergeCell ref="L152:M152"/>
    <mergeCell ref="H194:J194"/>
    <mergeCell ref="H195:J195"/>
    <mergeCell ref="H244:J244"/>
    <mergeCell ref="L244:M244"/>
    <mergeCell ref="H339:M340"/>
    <mergeCell ref="H431:M432"/>
    <mergeCell ref="H467:M467"/>
    <mergeCell ref="H336:J336"/>
    <mergeCell ref="L336:M336"/>
    <mergeCell ref="E165:G165"/>
    <mergeCell ref="E166:G166"/>
    <mergeCell ref="E167:G167"/>
    <mergeCell ref="E162:G162"/>
    <mergeCell ref="E163:G163"/>
    <mergeCell ref="L243:M243"/>
    <mergeCell ref="F283:G283"/>
    <mergeCell ref="H293:M294"/>
    <mergeCell ref="E257:G257"/>
    <mergeCell ref="E258:G258"/>
    <mergeCell ref="E259:G259"/>
    <mergeCell ref="E260:G260"/>
    <mergeCell ref="E261:G261"/>
    <mergeCell ref="E252:G252"/>
    <mergeCell ref="H569:M570"/>
    <mergeCell ref="L564:M564"/>
    <mergeCell ref="K474:L474"/>
    <mergeCell ref="H698:M700"/>
    <mergeCell ref="H789:M789"/>
    <mergeCell ref="H884:I884"/>
    <mergeCell ref="K884:M884"/>
    <mergeCell ref="K890:M890"/>
    <mergeCell ref="H564:J564"/>
    <mergeCell ref="H523:M524"/>
    <mergeCell ref="H514:M516"/>
    <mergeCell ref="H897:I897"/>
    <mergeCell ref="K795:L795"/>
    <mergeCell ref="H790:M792"/>
    <mergeCell ref="K796:L796"/>
    <mergeCell ref="L566:M566"/>
    <mergeCell ref="H513:M513"/>
    <mergeCell ref="H477:M478"/>
    <mergeCell ref="H744:M744"/>
    <mergeCell ref="L656:M656"/>
    <mergeCell ref="H751:J751"/>
    <mergeCell ref="L751:M751"/>
    <mergeCell ref="H845:M846"/>
    <mergeCell ref="K519:M519"/>
    <mergeCell ref="H560:M562"/>
    <mergeCell ref="K520:L520"/>
    <mergeCell ref="H651:M651"/>
    <mergeCell ref="H565:J565"/>
    <mergeCell ref="H566:J566"/>
    <mergeCell ref="H610:M610"/>
    <mergeCell ref="H375:M375"/>
    <mergeCell ref="H150:K150"/>
    <mergeCell ref="H152:K152"/>
    <mergeCell ref="K427:M427"/>
    <mergeCell ref="K428:M428"/>
    <mergeCell ref="H380:J380"/>
    <mergeCell ref="H421:M421"/>
    <mergeCell ref="H282:M282"/>
    <mergeCell ref="L380:M380"/>
    <mergeCell ref="H329:M329"/>
    <mergeCell ref="H196:J196"/>
    <mergeCell ref="H382:J382"/>
    <mergeCell ref="L382:M382"/>
    <mergeCell ref="H289:J289"/>
    <mergeCell ref="L289:M289"/>
    <mergeCell ref="H290:J290"/>
    <mergeCell ref="L290:M290"/>
    <mergeCell ref="L150:M150"/>
    <mergeCell ref="L151:M151"/>
    <mergeCell ref="K196:L196"/>
    <mergeCell ref="H155:M156"/>
    <mergeCell ref="H202:M203"/>
    <mergeCell ref="H334:J334"/>
    <mergeCell ref="L334:M334"/>
    <mergeCell ref="H381:J381"/>
    <mergeCell ref="L381:M381"/>
    <mergeCell ref="K194:M194"/>
    <mergeCell ref="K195:M195"/>
    <mergeCell ref="H385:M386"/>
    <mergeCell ref="H1134:I1134"/>
    <mergeCell ref="H1135:I1135"/>
    <mergeCell ref="K1134:M1134"/>
    <mergeCell ref="K1135:M1135"/>
    <mergeCell ref="H1128:I1128"/>
    <mergeCell ref="H1129:I1129"/>
    <mergeCell ref="H1123:I1123"/>
    <mergeCell ref="K1123:M1123"/>
    <mergeCell ref="H1118:I1118"/>
    <mergeCell ref="K1118:M1118"/>
    <mergeCell ref="H1119:I1119"/>
    <mergeCell ref="K1119:M1119"/>
    <mergeCell ref="H1124:I1124"/>
    <mergeCell ref="K1124:M1124"/>
    <mergeCell ref="E1024:G1024"/>
    <mergeCell ref="C1134:E1135"/>
    <mergeCell ref="K1125:M1125"/>
    <mergeCell ref="C1036:E1037"/>
    <mergeCell ref="F1036:G1037"/>
    <mergeCell ref="E1085:G1085"/>
    <mergeCell ref="E1103:G1103"/>
    <mergeCell ref="E1096:G1096"/>
    <mergeCell ref="E1097:G1097"/>
    <mergeCell ref="E1098:G1098"/>
    <mergeCell ref="E1099:G1099"/>
    <mergeCell ref="E1092:G1092"/>
    <mergeCell ref="E1093:G1093"/>
    <mergeCell ref="E1094:G1094"/>
    <mergeCell ref="E1095:G1095"/>
    <mergeCell ref="E1089:G1089"/>
    <mergeCell ref="H1113:M1115"/>
    <mergeCell ref="H1036:M1037"/>
    <mergeCell ref="H1130:I1130"/>
    <mergeCell ref="H1131:I1131"/>
    <mergeCell ref="E1090:G1090"/>
    <mergeCell ref="E1091:G1091"/>
    <mergeCell ref="E1088:G1088"/>
    <mergeCell ref="C1112:E1112"/>
    <mergeCell ref="F1112:G1112"/>
    <mergeCell ref="C1113:E1113"/>
    <mergeCell ref="F1113:G1113"/>
    <mergeCell ref="E1111:G1111"/>
    <mergeCell ref="E1110:G1110"/>
    <mergeCell ref="E1104:G1104"/>
    <mergeCell ref="E1109:G1109"/>
    <mergeCell ref="E1100:G1100"/>
    <mergeCell ref="E1101:G1101"/>
    <mergeCell ref="E1102:G1102"/>
    <mergeCell ref="E925:G925"/>
    <mergeCell ref="E1002:G1002"/>
    <mergeCell ref="E1001:G1001"/>
    <mergeCell ref="C1026:E1026"/>
    <mergeCell ref="F1026:G1026"/>
    <mergeCell ref="E1000:G1000"/>
    <mergeCell ref="E991:G991"/>
    <mergeCell ref="E1003:G1003"/>
    <mergeCell ref="H934:M936"/>
    <mergeCell ref="H1033:J1033"/>
    <mergeCell ref="L1033:M1033"/>
    <mergeCell ref="H1025:M1025"/>
    <mergeCell ref="E999:G999"/>
    <mergeCell ref="E998:G998"/>
    <mergeCell ref="E1010:G1010"/>
    <mergeCell ref="E1023:G1023"/>
    <mergeCell ref="K1129:M1129"/>
    <mergeCell ref="K1128:M1128"/>
    <mergeCell ref="H1112:M1112"/>
    <mergeCell ref="E1087:G1087"/>
    <mergeCell ref="E1051:G1051"/>
    <mergeCell ref="E1052:G1052"/>
    <mergeCell ref="F707:G708"/>
    <mergeCell ref="E910:G910"/>
    <mergeCell ref="E694:G694"/>
    <mergeCell ref="H836:M838"/>
    <mergeCell ref="H652:M654"/>
    <mergeCell ref="E541:G541"/>
    <mergeCell ref="E542:G542"/>
    <mergeCell ref="E543:G543"/>
    <mergeCell ref="E544:G544"/>
    <mergeCell ref="E545:G545"/>
    <mergeCell ref="E582:G582"/>
    <mergeCell ref="E576:G576"/>
    <mergeCell ref="E575:G575"/>
    <mergeCell ref="C569:E570"/>
    <mergeCell ref="F569:G570"/>
    <mergeCell ref="E621:G621"/>
    <mergeCell ref="C606:E606"/>
    <mergeCell ref="F606:G606"/>
    <mergeCell ref="E600:G600"/>
    <mergeCell ref="E601:G601"/>
    <mergeCell ref="E602:G602"/>
    <mergeCell ref="E603:G603"/>
    <mergeCell ref="F559:G559"/>
    <mergeCell ref="F564:G565"/>
    <mergeCell ref="E604:G604"/>
    <mergeCell ref="E605:G605"/>
    <mergeCell ref="E556:G556"/>
    <mergeCell ref="E902:G902"/>
    <mergeCell ref="E622:G622"/>
    <mergeCell ref="F610:G611"/>
    <mergeCell ref="E626:G626"/>
    <mergeCell ref="E625:G625"/>
    <mergeCell ref="F652:G652"/>
    <mergeCell ref="E624:G624"/>
    <mergeCell ref="C468:E468"/>
    <mergeCell ref="E459:G459"/>
    <mergeCell ref="C835:E835"/>
    <mergeCell ref="F835:G835"/>
    <mergeCell ref="E802:G802"/>
    <mergeCell ref="E833:G833"/>
    <mergeCell ref="E832:G832"/>
    <mergeCell ref="E587:G587"/>
    <mergeCell ref="E588:G588"/>
    <mergeCell ref="E571:G571"/>
    <mergeCell ref="E585:G585"/>
    <mergeCell ref="C652:E652"/>
    <mergeCell ref="E493:G493"/>
    <mergeCell ref="E494:G494"/>
    <mergeCell ref="E479:G479"/>
    <mergeCell ref="C615:E616"/>
    <mergeCell ref="F615:G616"/>
    <mergeCell ref="E593:G593"/>
    <mergeCell ref="E594:G594"/>
    <mergeCell ref="E586:G586"/>
    <mergeCell ref="E581:G581"/>
    <mergeCell ref="F518:G519"/>
    <mergeCell ref="E462:G462"/>
    <mergeCell ref="F560:G560"/>
    <mergeCell ref="E435:G435"/>
    <mergeCell ref="E436:G436"/>
    <mergeCell ref="E437:G437"/>
    <mergeCell ref="E438:G438"/>
    <mergeCell ref="E455:G455"/>
    <mergeCell ref="E456:G456"/>
    <mergeCell ref="E457:G457"/>
    <mergeCell ref="E445:G445"/>
    <mergeCell ref="E388:G388"/>
    <mergeCell ref="C375:E375"/>
    <mergeCell ref="F375:G375"/>
    <mergeCell ref="E433:G433"/>
    <mergeCell ref="E419:G419"/>
    <mergeCell ref="F431:G432"/>
    <mergeCell ref="C422:E422"/>
    <mergeCell ref="E460:G460"/>
    <mergeCell ref="E394:G394"/>
    <mergeCell ref="E395:G395"/>
    <mergeCell ref="E441:G441"/>
    <mergeCell ref="E442:G442"/>
    <mergeCell ref="E443:G443"/>
    <mergeCell ref="E434:G434"/>
    <mergeCell ref="E413:G413"/>
    <mergeCell ref="E414:G414"/>
    <mergeCell ref="E415:G415"/>
    <mergeCell ref="F422:G422"/>
    <mergeCell ref="E391:G391"/>
    <mergeCell ref="E392:G392"/>
    <mergeCell ref="E418:G418"/>
    <mergeCell ref="E439:G439"/>
    <mergeCell ref="E440:G440"/>
    <mergeCell ref="E416:G416"/>
    <mergeCell ref="E649:G649"/>
    <mergeCell ref="E680:G680"/>
    <mergeCell ref="E596:G596"/>
    <mergeCell ref="E584:G584"/>
    <mergeCell ref="E589:G589"/>
    <mergeCell ref="E590:G590"/>
    <mergeCell ref="E447:G447"/>
    <mergeCell ref="C467:E467"/>
    <mergeCell ref="F467:G467"/>
    <mergeCell ref="E449:G449"/>
    <mergeCell ref="E450:G450"/>
    <mergeCell ref="E451:G451"/>
    <mergeCell ref="E458:G458"/>
    <mergeCell ref="F468:G468"/>
    <mergeCell ref="E532:G532"/>
    <mergeCell ref="E533:G533"/>
    <mergeCell ref="E534:G534"/>
    <mergeCell ref="E555:G555"/>
    <mergeCell ref="F477:G478"/>
    <mergeCell ref="E530:G530"/>
    <mergeCell ref="E498:G498"/>
    <mergeCell ref="E643:G643"/>
    <mergeCell ref="E642:G642"/>
    <mergeCell ref="E591:G591"/>
    <mergeCell ref="E597:G597"/>
    <mergeCell ref="E577:G577"/>
    <mergeCell ref="E578:G578"/>
    <mergeCell ref="E579:G579"/>
    <mergeCell ref="E580:G580"/>
    <mergeCell ref="E510:G510"/>
    <mergeCell ref="E526:G526"/>
    <mergeCell ref="E527:G527"/>
    <mergeCell ref="E528:G528"/>
    <mergeCell ref="E452:G452"/>
    <mergeCell ref="E453:G453"/>
    <mergeCell ref="E454:G454"/>
    <mergeCell ref="C514:E514"/>
    <mergeCell ref="F514:G514"/>
    <mergeCell ref="E489:G489"/>
    <mergeCell ref="E490:G490"/>
    <mergeCell ref="E491:G491"/>
    <mergeCell ref="E492:G492"/>
    <mergeCell ref="E499:G499"/>
    <mergeCell ref="E500:G500"/>
    <mergeCell ref="E501:G501"/>
    <mergeCell ref="E482:G482"/>
    <mergeCell ref="E483:G483"/>
    <mergeCell ref="E484:G484"/>
    <mergeCell ref="E320:G320"/>
    <mergeCell ref="E321:G321"/>
    <mergeCell ref="E322:G322"/>
    <mergeCell ref="E323:G323"/>
    <mergeCell ref="F339:G340"/>
    <mergeCell ref="E389:G389"/>
    <mergeCell ref="E390:G390"/>
    <mergeCell ref="E420:G420"/>
    <mergeCell ref="C421:E421"/>
    <mergeCell ref="F421:G421"/>
    <mergeCell ref="E402:G402"/>
    <mergeCell ref="E400:G400"/>
    <mergeCell ref="E403:G403"/>
    <mergeCell ref="E404:G404"/>
    <mergeCell ref="F380:G381"/>
    <mergeCell ref="E345:G345"/>
    <mergeCell ref="C330:E330"/>
    <mergeCell ref="F334:G335"/>
    <mergeCell ref="C329:E329"/>
    <mergeCell ref="F329:G329"/>
    <mergeCell ref="E393:G393"/>
    <mergeCell ref="E264:G264"/>
    <mergeCell ref="E396:G396"/>
    <mergeCell ref="E397:G397"/>
    <mergeCell ref="E412:G412"/>
    <mergeCell ref="E251:G251"/>
    <mergeCell ref="E253:G253"/>
    <mergeCell ref="F330:G330"/>
    <mergeCell ref="E265:G265"/>
    <mergeCell ref="E270:G270"/>
    <mergeCell ref="E281:G281"/>
    <mergeCell ref="F46:G46"/>
    <mergeCell ref="E16:G16"/>
    <mergeCell ref="E38:G38"/>
    <mergeCell ref="E39:G39"/>
    <mergeCell ref="E41:G41"/>
    <mergeCell ref="E42:G42"/>
    <mergeCell ref="E43:G43"/>
    <mergeCell ref="E44:G44"/>
    <mergeCell ref="E374:G374"/>
    <mergeCell ref="E306:G306"/>
    <mergeCell ref="E307:G307"/>
    <mergeCell ref="E308:G308"/>
    <mergeCell ref="E309:G309"/>
    <mergeCell ref="E310:G310"/>
    <mergeCell ref="E72:G72"/>
    <mergeCell ref="E297:G297"/>
    <mergeCell ref="E138:G138"/>
    <mergeCell ref="E318:G318"/>
    <mergeCell ref="E319:G319"/>
    <mergeCell ref="H96:M98"/>
    <mergeCell ref="H145:M148"/>
    <mergeCell ref="H189:M192"/>
    <mergeCell ref="H238:M240"/>
    <mergeCell ref="H283:M286"/>
    <mergeCell ref="H100:J100"/>
    <mergeCell ref="L100:M100"/>
    <mergeCell ref="E13:G13"/>
    <mergeCell ref="E17:G17"/>
    <mergeCell ref="E18:G18"/>
    <mergeCell ref="E19:G19"/>
    <mergeCell ref="E20:G20"/>
    <mergeCell ref="E30:G30"/>
    <mergeCell ref="E31:G31"/>
    <mergeCell ref="E32:G32"/>
    <mergeCell ref="E277:G277"/>
    <mergeCell ref="E278:G278"/>
    <mergeCell ref="E279:G279"/>
    <mergeCell ref="E280:G280"/>
    <mergeCell ref="E311:G311"/>
    <mergeCell ref="E312:G312"/>
    <mergeCell ref="E313:G313"/>
    <mergeCell ref="E305:G305"/>
    <mergeCell ref="E300:G300"/>
    <mergeCell ref="E301:G301"/>
    <mergeCell ref="C189:E189"/>
    <mergeCell ref="H51:J51"/>
    <mergeCell ref="H52:J52"/>
    <mergeCell ref="H53:J53"/>
    <mergeCell ref="H56:J56"/>
    <mergeCell ref="K12:M12"/>
    <mergeCell ref="C2:M2"/>
    <mergeCell ref="C3:M3"/>
    <mergeCell ref="C4:M4"/>
    <mergeCell ref="C6:M6"/>
    <mergeCell ref="E27:G27"/>
    <mergeCell ref="E28:G28"/>
    <mergeCell ref="E29:G29"/>
    <mergeCell ref="E21:G21"/>
    <mergeCell ref="E22:G22"/>
    <mergeCell ref="E23:G23"/>
    <mergeCell ref="E24:G24"/>
    <mergeCell ref="E25:G25"/>
    <mergeCell ref="E26:G26"/>
    <mergeCell ref="E35:G35"/>
    <mergeCell ref="H45:M45"/>
    <mergeCell ref="C46:E46"/>
    <mergeCell ref="C5:M5"/>
    <mergeCell ref="C7:M7"/>
    <mergeCell ref="C9:M10"/>
    <mergeCell ref="C45:E45"/>
    <mergeCell ref="F45:G45"/>
    <mergeCell ref="E40:G40"/>
    <mergeCell ref="E34:G34"/>
    <mergeCell ref="E37:G37"/>
    <mergeCell ref="E36:G36"/>
    <mergeCell ref="H46:M49"/>
    <mergeCell ref="E33:G33"/>
    <mergeCell ref="E211:G211"/>
    <mergeCell ref="E267:G267"/>
    <mergeCell ref="E206:G206"/>
    <mergeCell ref="E207:G207"/>
    <mergeCell ref="E120:G120"/>
    <mergeCell ref="C110:E111"/>
    <mergeCell ref="F110:G111"/>
    <mergeCell ref="E113:G113"/>
    <mergeCell ref="C238:E238"/>
    <mergeCell ref="E168:G168"/>
    <mergeCell ref="E169:G169"/>
    <mergeCell ref="E184:G184"/>
    <mergeCell ref="E159:G159"/>
    <mergeCell ref="E160:G160"/>
    <mergeCell ref="E140:G140"/>
    <mergeCell ref="E141:G141"/>
    <mergeCell ref="E142:G142"/>
    <mergeCell ref="E232:G232"/>
    <mergeCell ref="F189:G189"/>
    <mergeCell ref="H61:M62"/>
    <mergeCell ref="E407:G407"/>
    <mergeCell ref="E327:G327"/>
    <mergeCell ref="E328:G328"/>
    <mergeCell ref="F96:G96"/>
    <mergeCell ref="H95:M95"/>
    <mergeCell ref="C282:E282"/>
    <mergeCell ref="H335:J335"/>
    <mergeCell ref="L335:M335"/>
    <mergeCell ref="E324:G324"/>
    <mergeCell ref="C385:E386"/>
    <mergeCell ref="F385:G386"/>
    <mergeCell ref="E125:G125"/>
    <mergeCell ref="E74:G74"/>
    <mergeCell ref="E75:G75"/>
    <mergeCell ref="E76:G76"/>
    <mergeCell ref="E317:G317"/>
    <mergeCell ref="C376:E376"/>
    <mergeCell ref="E185:G185"/>
    <mergeCell ref="F61:G62"/>
    <mergeCell ref="E65:G65"/>
    <mergeCell ref="E66:G66"/>
    <mergeCell ref="E81:G81"/>
    <mergeCell ref="E82:G82"/>
    <mergeCell ref="C155:E156"/>
    <mergeCell ref="F155:G156"/>
    <mergeCell ref="C144:E144"/>
    <mergeCell ref="F144:G144"/>
    <mergeCell ref="C145:E145"/>
    <mergeCell ref="E158:G158"/>
    <mergeCell ref="E135:G135"/>
    <mergeCell ref="E209:G209"/>
    <mergeCell ref="E67:G67"/>
    <mergeCell ref="E68:G68"/>
    <mergeCell ref="E79:G79"/>
    <mergeCell ref="C61:E62"/>
    <mergeCell ref="E342:G342"/>
    <mergeCell ref="E343:G343"/>
    <mergeCell ref="E341:G341"/>
    <mergeCell ref="E63:G63"/>
    <mergeCell ref="E64:G64"/>
    <mergeCell ref="E212:G212"/>
    <mergeCell ref="E213:G213"/>
    <mergeCell ref="E228:G228"/>
    <mergeCell ref="E235:G235"/>
    <mergeCell ref="E236:G236"/>
    <mergeCell ref="E233:G233"/>
    <mergeCell ref="E73:G73"/>
    <mergeCell ref="E117:G117"/>
    <mergeCell ref="E118:G118"/>
    <mergeCell ref="E119:G119"/>
    <mergeCell ref="E77:G77"/>
    <mergeCell ref="E78:G78"/>
    <mergeCell ref="E69:G69"/>
    <mergeCell ref="E70:G70"/>
    <mergeCell ref="E71:G71"/>
    <mergeCell ref="C96:E96"/>
    <mergeCell ref="E80:G80"/>
    <mergeCell ref="E122:G122"/>
    <mergeCell ref="E123:G123"/>
    <mergeCell ref="E124:G124"/>
    <mergeCell ref="E296:G296"/>
    <mergeCell ref="F194:G195"/>
    <mergeCell ref="E229:G229"/>
    <mergeCell ref="C607:E607"/>
    <mergeCell ref="F607:G607"/>
    <mergeCell ref="E116:G116"/>
    <mergeCell ref="E132:G132"/>
    <mergeCell ref="E557:G557"/>
    <mergeCell ref="E536:G536"/>
    <mergeCell ref="E537:G537"/>
    <mergeCell ref="E538:G538"/>
    <mergeCell ref="E539:G539"/>
    <mergeCell ref="E540:G540"/>
    <mergeCell ref="H559:M559"/>
    <mergeCell ref="E558:G558"/>
    <mergeCell ref="C559:E559"/>
    <mergeCell ref="E485:G485"/>
    <mergeCell ref="E486:G486"/>
    <mergeCell ref="E487:G487"/>
    <mergeCell ref="F472:G473"/>
    <mergeCell ref="E546:G546"/>
    <mergeCell ref="E410:G410"/>
    <mergeCell ref="E406:G406"/>
    <mergeCell ref="E315:G315"/>
    <mergeCell ref="E316:G316"/>
    <mergeCell ref="E302:G302"/>
    <mergeCell ref="E303:G303"/>
    <mergeCell ref="H607:M608"/>
    <mergeCell ref="E531:G531"/>
    <mergeCell ref="E592:G592"/>
    <mergeCell ref="E127:G127"/>
    <mergeCell ref="E128:G128"/>
    <mergeCell ref="E129:G129"/>
    <mergeCell ref="E130:G130"/>
    <mergeCell ref="E121:G121"/>
    <mergeCell ref="F661:G662"/>
    <mergeCell ref="E720:G720"/>
    <mergeCell ref="E719:G719"/>
    <mergeCell ref="E718:G718"/>
    <mergeCell ref="E726:G726"/>
    <mergeCell ref="E729:G729"/>
    <mergeCell ref="E675:G675"/>
    <mergeCell ref="E529:G529"/>
    <mergeCell ref="E511:G511"/>
    <mergeCell ref="E512:G512"/>
    <mergeCell ref="C513:E513"/>
    <mergeCell ref="F513:G513"/>
    <mergeCell ref="E552:G552"/>
    <mergeCell ref="E553:G553"/>
    <mergeCell ref="E554:G554"/>
    <mergeCell ref="E405:G405"/>
    <mergeCell ref="E408:G408"/>
    <mergeCell ref="E409:G409"/>
    <mergeCell ref="E417:G417"/>
    <mergeCell ref="E446:G446"/>
    <mergeCell ref="E448:G448"/>
    <mergeCell ref="C477:E478"/>
    <mergeCell ref="C431:E432"/>
    <mergeCell ref="C560:E560"/>
    <mergeCell ref="E549:G549"/>
    <mergeCell ref="E550:G550"/>
    <mergeCell ref="E547:G547"/>
    <mergeCell ref="E535:G535"/>
    <mergeCell ref="E480:G480"/>
    <mergeCell ref="E481:G481"/>
    <mergeCell ref="E509:G509"/>
    <mergeCell ref="E461:G461"/>
    <mergeCell ref="F376:G376"/>
    <mergeCell ref="E398:G398"/>
    <mergeCell ref="E399:G399"/>
    <mergeCell ref="E346:G346"/>
    <mergeCell ref="F105:G106"/>
    <mergeCell ref="E115:G115"/>
    <mergeCell ref="E266:G266"/>
    <mergeCell ref="E304:G304"/>
    <mergeCell ref="C95:E95"/>
    <mergeCell ref="F95:G95"/>
    <mergeCell ref="E463:G463"/>
    <mergeCell ref="E464:G464"/>
    <mergeCell ref="E465:G465"/>
    <mergeCell ref="E466:G466"/>
    <mergeCell ref="E495:G495"/>
    <mergeCell ref="E496:G496"/>
    <mergeCell ref="E497:G497"/>
    <mergeCell ref="E411:G411"/>
    <mergeCell ref="E401:G401"/>
    <mergeCell ref="C339:E340"/>
    <mergeCell ref="E230:G230"/>
    <mergeCell ref="E231:G231"/>
    <mergeCell ref="E164:G164"/>
    <mergeCell ref="F238:G238"/>
    <mergeCell ref="E274:G274"/>
    <mergeCell ref="E224:G224"/>
    <mergeCell ref="E254:G254"/>
    <mergeCell ref="E255:G255"/>
    <mergeCell ref="E256:G256"/>
    <mergeCell ref="E249:G249"/>
    <mergeCell ref="E250:G250"/>
    <mergeCell ref="E210:G210"/>
    <mergeCell ref="E548:G548"/>
    <mergeCell ref="F651:G651"/>
    <mergeCell ref="E756:G756"/>
    <mergeCell ref="E676:G676"/>
    <mergeCell ref="E677:G677"/>
    <mergeCell ref="E995:G995"/>
    <mergeCell ref="E927:G927"/>
    <mergeCell ref="E811:G811"/>
    <mergeCell ref="E808:G808"/>
    <mergeCell ref="E809:G809"/>
    <mergeCell ref="E810:G810"/>
    <mergeCell ref="E812:G812"/>
    <mergeCell ref="E865:G865"/>
    <mergeCell ref="C651:E651"/>
    <mergeCell ref="E623:G623"/>
    <mergeCell ref="E650:G650"/>
    <mergeCell ref="E645:G645"/>
    <mergeCell ref="E671:G671"/>
    <mergeCell ref="E672:G672"/>
    <mergeCell ref="E673:G673"/>
    <mergeCell ref="E674:G674"/>
    <mergeCell ref="E670:G670"/>
    <mergeCell ref="E723:G723"/>
    <mergeCell ref="E710:G710"/>
    <mergeCell ref="E804:G804"/>
    <mergeCell ref="E805:G805"/>
    <mergeCell ref="E806:G806"/>
    <mergeCell ref="E768:G768"/>
    <mergeCell ref="E628:G628"/>
    <mergeCell ref="E627:G627"/>
    <mergeCell ref="C661:E662"/>
    <mergeCell ref="E769:G769"/>
    <mergeCell ref="H1026:M1029"/>
    <mergeCell ref="C745:E745"/>
    <mergeCell ref="C934:E934"/>
    <mergeCell ref="F934:G934"/>
    <mergeCell ref="F1031:G1032"/>
    <mergeCell ref="E857:G857"/>
    <mergeCell ref="E858:G858"/>
    <mergeCell ref="F836:G836"/>
    <mergeCell ref="F840:G841"/>
    <mergeCell ref="E918:G918"/>
    <mergeCell ref="E928:G928"/>
    <mergeCell ref="E929:G929"/>
    <mergeCell ref="E930:G930"/>
    <mergeCell ref="E931:G931"/>
    <mergeCell ref="E932:G932"/>
    <mergeCell ref="C1025:E1025"/>
    <mergeCell ref="F1025:G1025"/>
    <mergeCell ref="E994:G994"/>
    <mergeCell ref="E993:G993"/>
    <mergeCell ref="E1009:G1009"/>
    <mergeCell ref="E1008:G1008"/>
    <mergeCell ref="E1007:G1007"/>
    <mergeCell ref="E1006:G1006"/>
    <mergeCell ref="E992:G992"/>
    <mergeCell ref="E922:G922"/>
    <mergeCell ref="C875:E875"/>
    <mergeCell ref="F875:G875"/>
    <mergeCell ref="E849:G849"/>
    <mergeCell ref="E850:G850"/>
    <mergeCell ref="E762:G762"/>
    <mergeCell ref="E807:G807"/>
    <mergeCell ref="E803:G803"/>
    <mergeCell ref="E647:G647"/>
    <mergeCell ref="E646:G646"/>
    <mergeCell ref="E598:G598"/>
    <mergeCell ref="E599:G599"/>
    <mergeCell ref="E644:G644"/>
    <mergeCell ref="H606:M606"/>
    <mergeCell ref="E551:G551"/>
    <mergeCell ref="E595:G595"/>
    <mergeCell ref="E617:G617"/>
    <mergeCell ref="E618:G618"/>
    <mergeCell ref="E619:G619"/>
    <mergeCell ref="E620:G620"/>
    <mergeCell ref="E1004:G1004"/>
    <mergeCell ref="E1005:G1005"/>
    <mergeCell ref="E997:G997"/>
    <mergeCell ref="E996:G996"/>
    <mergeCell ref="C943:E944"/>
    <mergeCell ref="F943:G944"/>
    <mergeCell ref="E926:G926"/>
    <mergeCell ref="C933:E933"/>
    <mergeCell ref="F933:G933"/>
    <mergeCell ref="F938:G939"/>
    <mergeCell ref="E816:G816"/>
    <mergeCell ref="E813:G813"/>
    <mergeCell ref="E856:G856"/>
    <mergeCell ref="E946:G946"/>
    <mergeCell ref="E947:G947"/>
    <mergeCell ref="E948:G948"/>
    <mergeCell ref="E949:G949"/>
    <mergeCell ref="E950:G950"/>
    <mergeCell ref="E951:G951"/>
    <mergeCell ref="E952:G952"/>
    <mergeCell ref="E953:G953"/>
    <mergeCell ref="E954:G954"/>
    <mergeCell ref="E955:G955"/>
    <mergeCell ref="E956:G956"/>
    <mergeCell ref="E957:G957"/>
    <mergeCell ref="E958:G958"/>
    <mergeCell ref="E959:G959"/>
    <mergeCell ref="E960:G960"/>
    <mergeCell ref="E961:G961"/>
    <mergeCell ref="E962:G962"/>
    <mergeCell ref="E963:G963"/>
    <mergeCell ref="E964:G964"/>
    <mergeCell ref="E965:G965"/>
    <mergeCell ref="E966:G966"/>
    <mergeCell ref="E967:G967"/>
    <mergeCell ref="E968:G968"/>
    <mergeCell ref="E969:G969"/>
    <mergeCell ref="E970:G970"/>
    <mergeCell ref="F940:G941"/>
    <mergeCell ref="F936:G937"/>
    <mergeCell ref="K986:L986"/>
    <mergeCell ref="C989:E990"/>
    <mergeCell ref="F989:G990"/>
    <mergeCell ref="H989:M990"/>
    <mergeCell ref="H987:K987"/>
    <mergeCell ref="H988:K988"/>
    <mergeCell ref="L987:M987"/>
    <mergeCell ref="L988:M988"/>
    <mergeCell ref="E971:G971"/>
    <mergeCell ref="E972:G972"/>
    <mergeCell ref="E973:G973"/>
    <mergeCell ref="E974:G974"/>
    <mergeCell ref="E975:G975"/>
    <mergeCell ref="E976:G976"/>
    <mergeCell ref="E977:G977"/>
    <mergeCell ref="E978:G978"/>
    <mergeCell ref="C979:E979"/>
    <mergeCell ref="F979:G979"/>
    <mergeCell ref="H979:M979"/>
    <mergeCell ref="C980:E980"/>
    <mergeCell ref="F980:G980"/>
    <mergeCell ref="H980:M982"/>
    <mergeCell ref="F984:G985"/>
    <mergeCell ref="K984:L984"/>
    <mergeCell ref="K985:L985"/>
  </mergeCells>
  <pageMargins left="0.59055118110236227" right="0" top="0" bottom="0" header="0" footer="0"/>
  <pageSetup paperSize="9" scale="55" fitToHeight="0" orientation="portrait" r:id="rId1"/>
  <rowBreaks count="20" manualBreakCount="20">
    <brk id="62" min="2" max="12" man="1"/>
    <brk id="111" min="2" max="12" man="1"/>
    <brk id="156" min="2" max="12" man="1"/>
    <brk id="203" min="2" max="12" man="1"/>
    <brk id="248" min="2" max="12" man="1"/>
    <brk id="294" min="2" max="12" man="1"/>
    <brk id="340" min="2" max="12" man="1"/>
    <brk id="386" min="2" max="12" man="1"/>
    <brk id="432" min="2" max="12" man="1"/>
    <brk id="478" min="2" max="12" man="1"/>
    <brk id="524" min="2" max="12" man="1"/>
    <brk id="570" min="2" max="12" man="1"/>
    <brk id="616" min="2" max="12" man="1"/>
    <brk id="662" min="2" max="12" man="1"/>
    <brk id="708" min="2" max="12" man="1"/>
    <brk id="800" min="2" max="12" man="1"/>
    <brk id="846" min="2" max="12" man="1"/>
    <brk id="898" min="2" max="12" man="1"/>
    <brk id="990" min="2" max="12" man="1"/>
    <brk id="1083" min="2" max="12"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B0D-044D-45B5-AB5D-37BCF353217B}">
  <sheetPr codeName="Sayfa29">
    <pageSetUpPr fitToPage="1"/>
  </sheetPr>
  <dimension ref="A1:J56"/>
  <sheetViews>
    <sheetView view="pageBreakPreview" topLeftCell="A7" zoomScale="40" zoomScaleNormal="100" zoomScaleSheetLayoutView="40" workbookViewId="0">
      <selection activeCell="BF11" sqref="BF11:BK11"/>
    </sheetView>
  </sheetViews>
  <sheetFormatPr defaultRowHeight="15" customHeight="1" x14ac:dyDescent="0.3"/>
  <cols>
    <col min="1" max="10" width="30.109375" style="707" customWidth="1"/>
    <col min="11" max="16384" width="8.88671875" style="707"/>
  </cols>
  <sheetData>
    <row r="1" spans="1:10" ht="15" customHeight="1" thickBot="1" x14ac:dyDescent="0.35"/>
    <row r="2" spans="1:10" s="708" customFormat="1" ht="37.200000000000003" thickTop="1" x14ac:dyDescent="0.7">
      <c r="A2" s="1298" t="s">
        <v>118</v>
      </c>
      <c r="B2" s="1299"/>
      <c r="C2" s="1299"/>
      <c r="D2" s="1299"/>
      <c r="E2" s="1299"/>
      <c r="F2" s="1299"/>
      <c r="G2" s="1299"/>
      <c r="H2" s="1299"/>
      <c r="I2" s="1299"/>
      <c r="J2" s="1300"/>
    </row>
    <row r="3" spans="1:10" s="708" customFormat="1" ht="36.6" x14ac:dyDescent="0.7">
      <c r="A3" s="1301" t="s">
        <v>1161</v>
      </c>
      <c r="B3" s="1302"/>
      <c r="C3" s="1302"/>
      <c r="D3" s="1302"/>
      <c r="E3" s="1302"/>
      <c r="F3" s="1302"/>
      <c r="G3" s="1302"/>
      <c r="H3" s="1302"/>
      <c r="I3" s="1302"/>
      <c r="J3" s="1303"/>
    </row>
    <row r="4" spans="1:10" s="708" customFormat="1" ht="29.4" customHeight="1" x14ac:dyDescent="0.7">
      <c r="A4" s="1304" t="s">
        <v>1434</v>
      </c>
      <c r="B4" s="1305"/>
      <c r="C4" s="1305"/>
      <c r="D4" s="1305"/>
      <c r="E4" s="1305"/>
      <c r="F4" s="1305"/>
      <c r="G4" s="1305"/>
      <c r="H4" s="1305"/>
      <c r="I4" s="1305"/>
      <c r="J4" s="1306"/>
    </row>
    <row r="5" spans="1:10" s="708" customFormat="1" ht="29.4" customHeight="1" x14ac:dyDescent="0.7">
      <c r="A5" s="1304" t="s">
        <v>1435</v>
      </c>
      <c r="B5" s="1305"/>
      <c r="C5" s="1305"/>
      <c r="D5" s="1305"/>
      <c r="E5" s="1305"/>
      <c r="F5" s="1305"/>
      <c r="G5" s="1305"/>
      <c r="H5" s="1305"/>
      <c r="I5" s="1305"/>
      <c r="J5" s="1306"/>
    </row>
    <row r="6" spans="1:10" s="708" customFormat="1" ht="13.2" customHeight="1" x14ac:dyDescent="0.35">
      <c r="A6" s="1304" t="s">
        <v>37</v>
      </c>
      <c r="B6" s="1305"/>
      <c r="C6" s="1305"/>
      <c r="D6" s="1305"/>
      <c r="E6" s="1305"/>
      <c r="F6" s="1305"/>
      <c r="G6" s="1305"/>
      <c r="H6" s="1305"/>
      <c r="I6" s="1305"/>
      <c r="J6" s="1306"/>
    </row>
    <row r="7" spans="1:10" s="712" customFormat="1" ht="22.95" customHeight="1" thickBot="1" x14ac:dyDescent="0.35">
      <c r="A7" s="1307"/>
      <c r="B7" s="1308"/>
      <c r="C7" s="1308"/>
      <c r="D7" s="1308"/>
      <c r="E7" s="1308"/>
      <c r="F7" s="1308"/>
      <c r="G7" s="1308"/>
      <c r="H7" s="1308"/>
      <c r="I7" s="1308"/>
      <c r="J7" s="1309"/>
    </row>
    <row r="8" spans="1:10" s="712" customFormat="1" ht="22.95" customHeight="1" x14ac:dyDescent="0.7">
      <c r="A8" s="713"/>
      <c r="B8" s="714"/>
      <c r="C8" s="714"/>
      <c r="D8" s="714"/>
      <c r="E8" s="714"/>
      <c r="F8" s="714"/>
      <c r="G8" s="714"/>
      <c r="H8" s="714"/>
      <c r="I8" s="714"/>
      <c r="J8" s="715"/>
    </row>
    <row r="9" spans="1:10" s="712" customFormat="1" ht="22.95" customHeight="1" x14ac:dyDescent="0.7">
      <c r="A9" s="709"/>
      <c r="B9" s="710"/>
      <c r="C9" s="710"/>
      <c r="D9" s="710"/>
      <c r="E9" s="710"/>
      <c r="F9" s="710"/>
      <c r="G9" s="710"/>
      <c r="H9" s="710"/>
      <c r="I9" s="710"/>
      <c r="J9" s="711"/>
    </row>
    <row r="10" spans="1:10" s="712" customFormat="1" ht="22.95" customHeight="1" x14ac:dyDescent="0.7">
      <c r="A10" s="709"/>
      <c r="B10" s="710"/>
      <c r="C10" s="710"/>
      <c r="D10" s="710"/>
      <c r="E10" s="710"/>
      <c r="F10" s="710"/>
      <c r="G10" s="710"/>
      <c r="H10" s="710"/>
      <c r="I10" s="710"/>
      <c r="J10" s="711"/>
    </row>
    <row r="11" spans="1:10" s="712" customFormat="1" ht="22.95" customHeight="1" x14ac:dyDescent="0.7">
      <c r="A11" s="709"/>
      <c r="B11" s="710"/>
      <c r="C11" s="710"/>
      <c r="D11" s="710"/>
      <c r="E11" s="710"/>
      <c r="F11" s="710"/>
      <c r="G11" s="710"/>
      <c r="H11" s="710"/>
      <c r="I11" s="710"/>
      <c r="J11" s="711"/>
    </row>
    <row r="12" spans="1:10" s="712" customFormat="1" ht="22.95" customHeight="1" x14ac:dyDescent="0.7">
      <c r="A12" s="709"/>
      <c r="B12" s="710"/>
      <c r="C12" s="710"/>
      <c r="D12" s="710"/>
      <c r="E12" s="710"/>
      <c r="F12" s="710"/>
      <c r="G12" s="710"/>
      <c r="H12" s="710"/>
      <c r="I12" s="710"/>
      <c r="J12" s="711"/>
    </row>
    <row r="13" spans="1:10" s="712" customFormat="1" ht="22.95" customHeight="1" x14ac:dyDescent="0.7">
      <c r="A13" s="709"/>
      <c r="B13" s="710"/>
      <c r="C13" s="710"/>
      <c r="D13" s="710"/>
      <c r="E13" s="710"/>
      <c r="F13" s="710"/>
      <c r="G13" s="710"/>
      <c r="H13" s="710"/>
      <c r="I13" s="710"/>
      <c r="J13" s="711"/>
    </row>
    <row r="14" spans="1:10" s="712" customFormat="1" ht="22.95" customHeight="1" x14ac:dyDescent="0.7">
      <c r="A14" s="709"/>
      <c r="B14" s="710"/>
      <c r="C14" s="710"/>
      <c r="D14" s="710"/>
      <c r="E14" s="710"/>
      <c r="F14" s="710"/>
      <c r="G14" s="710"/>
      <c r="H14" s="710"/>
      <c r="I14" s="710"/>
      <c r="J14" s="711"/>
    </row>
    <row r="15" spans="1:10" s="712" customFormat="1" ht="22.95" customHeight="1" x14ac:dyDescent="0.7">
      <c r="A15" s="709"/>
      <c r="B15" s="710"/>
      <c r="C15" s="710"/>
      <c r="D15" s="710"/>
      <c r="E15" s="710"/>
      <c r="F15" s="710"/>
      <c r="G15" s="710"/>
      <c r="H15" s="710"/>
      <c r="I15" s="710"/>
      <c r="J15" s="711"/>
    </row>
    <row r="16" spans="1:10" s="712" customFormat="1" ht="22.95" customHeight="1" x14ac:dyDescent="0.7">
      <c r="A16" s="709"/>
      <c r="B16" s="710"/>
      <c r="C16" s="710"/>
      <c r="D16" s="710"/>
      <c r="E16" s="710"/>
      <c r="F16" s="710"/>
      <c r="G16" s="710"/>
      <c r="H16" s="710"/>
      <c r="I16" s="710"/>
      <c r="J16" s="711"/>
    </row>
    <row r="17" spans="1:10" s="712" customFormat="1" ht="22.95" customHeight="1" x14ac:dyDescent="0.7">
      <c r="A17" s="709"/>
      <c r="B17" s="710"/>
      <c r="C17" s="710"/>
      <c r="D17" s="710"/>
      <c r="E17" s="710"/>
      <c r="F17" s="710"/>
      <c r="G17" s="710"/>
      <c r="H17" s="710"/>
      <c r="I17" s="710"/>
      <c r="J17" s="711"/>
    </row>
    <row r="18" spans="1:10" s="712" customFormat="1" ht="22.95" customHeight="1" x14ac:dyDescent="0.7">
      <c r="A18" s="709"/>
      <c r="B18" s="710"/>
      <c r="C18" s="710"/>
      <c r="D18" s="710"/>
      <c r="E18" s="710"/>
      <c r="F18" s="710"/>
      <c r="G18" s="710"/>
      <c r="H18" s="710"/>
      <c r="I18" s="710"/>
      <c r="J18" s="711"/>
    </row>
    <row r="19" spans="1:10" s="712" customFormat="1" ht="22.95" customHeight="1" x14ac:dyDescent="0.7">
      <c r="A19" s="709"/>
      <c r="B19" s="710"/>
      <c r="C19" s="710"/>
      <c r="D19" s="710"/>
      <c r="E19" s="710"/>
      <c r="F19" s="710"/>
      <c r="G19" s="710"/>
      <c r="H19" s="710"/>
      <c r="I19" s="710"/>
      <c r="J19" s="711"/>
    </row>
    <row r="20" spans="1:10" s="712" customFormat="1" ht="22.95" customHeight="1" x14ac:dyDescent="0.7">
      <c r="A20" s="709"/>
      <c r="B20" s="710"/>
      <c r="C20" s="710"/>
      <c r="D20" s="710"/>
      <c r="E20" s="710"/>
      <c r="F20" s="710"/>
      <c r="G20" s="710"/>
      <c r="H20" s="710"/>
      <c r="I20" s="710"/>
      <c r="J20" s="711"/>
    </row>
    <row r="21" spans="1:10" s="712" customFormat="1" ht="22.95" customHeight="1" x14ac:dyDescent="0.7">
      <c r="A21" s="709"/>
      <c r="B21" s="710"/>
      <c r="C21" s="710"/>
      <c r="D21" s="710"/>
      <c r="E21" s="710"/>
      <c r="F21" s="710"/>
      <c r="G21" s="710"/>
      <c r="H21" s="710"/>
      <c r="I21" s="710"/>
      <c r="J21" s="711"/>
    </row>
    <row r="22" spans="1:10" s="712" customFormat="1" ht="22.95" customHeight="1" x14ac:dyDescent="0.3">
      <c r="A22" s="1310" t="s">
        <v>1467</v>
      </c>
      <c r="B22" s="1311"/>
      <c r="C22" s="1311"/>
      <c r="D22" s="1311"/>
      <c r="E22" s="1311"/>
      <c r="F22" s="1311"/>
      <c r="G22" s="1311"/>
      <c r="H22" s="1311"/>
      <c r="I22" s="1311"/>
      <c r="J22" s="1312"/>
    </row>
    <row r="23" spans="1:10" ht="15" customHeight="1" x14ac:dyDescent="0.3">
      <c r="A23" s="1310"/>
      <c r="B23" s="1311"/>
      <c r="C23" s="1311"/>
      <c r="D23" s="1311"/>
      <c r="E23" s="1311"/>
      <c r="F23" s="1311"/>
      <c r="G23" s="1311"/>
      <c r="H23" s="1311"/>
      <c r="I23" s="1311"/>
      <c r="J23" s="1312"/>
    </row>
    <row r="24" spans="1:10" ht="15" customHeight="1" x14ac:dyDescent="0.3">
      <c r="A24" s="1310"/>
      <c r="B24" s="1311"/>
      <c r="C24" s="1311"/>
      <c r="D24" s="1311"/>
      <c r="E24" s="1311"/>
      <c r="F24" s="1311"/>
      <c r="G24" s="1311"/>
      <c r="H24" s="1311"/>
      <c r="I24" s="1311"/>
      <c r="J24" s="1312"/>
    </row>
    <row r="25" spans="1:10" ht="15" customHeight="1" x14ac:dyDescent="0.7">
      <c r="A25" s="716"/>
      <c r="B25" s="717"/>
      <c r="C25" s="717"/>
      <c r="D25" s="717"/>
      <c r="E25" s="717"/>
      <c r="F25" s="717"/>
      <c r="G25" s="717"/>
      <c r="H25" s="717"/>
      <c r="I25" s="717"/>
      <c r="J25" s="718"/>
    </row>
    <row r="26" spans="1:10" ht="15" customHeight="1" x14ac:dyDescent="0.7">
      <c r="A26" s="716"/>
      <c r="B26" s="717"/>
      <c r="C26" s="717"/>
      <c r="D26" s="717"/>
      <c r="E26" s="717"/>
      <c r="F26" s="717"/>
      <c r="G26" s="717"/>
      <c r="H26" s="717"/>
      <c r="I26" s="717"/>
      <c r="J26" s="718"/>
    </row>
    <row r="27" spans="1:10" ht="24" customHeight="1" x14ac:dyDescent="0.3">
      <c r="A27" s="1313">
        <f>+Veri!$C$21</f>
        <v>6</v>
      </c>
      <c r="B27" s="1314"/>
      <c r="C27" s="1314"/>
      <c r="D27" s="1314"/>
      <c r="E27" s="1314"/>
      <c r="F27" s="1314"/>
      <c r="G27" s="1314"/>
      <c r="H27" s="1314"/>
      <c r="I27" s="1314"/>
      <c r="J27" s="1315"/>
    </row>
    <row r="28" spans="1:10" s="719" customFormat="1" ht="24" customHeight="1" x14ac:dyDescent="0.3">
      <c r="A28" s="1313"/>
      <c r="B28" s="1314"/>
      <c r="C28" s="1314"/>
      <c r="D28" s="1314"/>
      <c r="E28" s="1314"/>
      <c r="F28" s="1314"/>
      <c r="G28" s="1314"/>
      <c r="H28" s="1314"/>
      <c r="I28" s="1314"/>
      <c r="J28" s="1315"/>
    </row>
    <row r="29" spans="1:10" s="719" customFormat="1" ht="24" customHeight="1" x14ac:dyDescent="0.7">
      <c r="A29" s="1316"/>
      <c r="B29" s="1317"/>
      <c r="C29" s="1317"/>
      <c r="D29" s="1317"/>
      <c r="E29" s="1317"/>
      <c r="F29" s="1317"/>
      <c r="G29" s="1317"/>
      <c r="H29" s="1317"/>
      <c r="I29" s="1317"/>
      <c r="J29" s="1318"/>
    </row>
    <row r="30" spans="1:10" s="719" customFormat="1" ht="24" customHeight="1" x14ac:dyDescent="0.3">
      <c r="A30" s="1319" t="str">
        <f>+[9]İcmal!B16</f>
        <v>Hakediş Tarihi:</v>
      </c>
      <c r="B30" s="1320"/>
      <c r="C30" s="1320"/>
      <c r="D30" s="1320"/>
      <c r="E30" s="1320"/>
      <c r="F30" s="1321">
        <f>Veri!$C$22</f>
        <v>46142</v>
      </c>
      <c r="G30" s="1321"/>
      <c r="H30" s="1321"/>
      <c r="I30" s="1321"/>
      <c r="J30" s="1322"/>
    </row>
    <row r="31" spans="1:10" ht="24" customHeight="1" x14ac:dyDescent="0.3">
      <c r="A31" s="1319"/>
      <c r="B31" s="1320"/>
      <c r="C31" s="1320"/>
      <c r="D31" s="1320"/>
      <c r="E31" s="1320"/>
      <c r="F31" s="1321"/>
      <c r="G31" s="1321"/>
      <c r="H31" s="1321"/>
      <c r="I31" s="1321"/>
      <c r="J31" s="1322"/>
    </row>
    <row r="32" spans="1:10" ht="24" customHeight="1" x14ac:dyDescent="0.7">
      <c r="A32" s="716"/>
      <c r="B32" s="717"/>
      <c r="C32" s="717"/>
      <c r="D32" s="717"/>
      <c r="E32" s="717"/>
      <c r="F32" s="717"/>
      <c r="G32" s="717"/>
      <c r="H32" s="717"/>
      <c r="I32" s="717"/>
      <c r="J32" s="718"/>
    </row>
    <row r="33" spans="1:10" ht="24" customHeight="1" x14ac:dyDescent="0.7">
      <c r="A33" s="716"/>
      <c r="B33" s="717"/>
      <c r="C33" s="717"/>
      <c r="D33" s="717"/>
      <c r="E33" s="717"/>
      <c r="F33" s="717"/>
      <c r="G33" s="717"/>
      <c r="H33" s="717"/>
      <c r="I33" s="717"/>
      <c r="J33" s="718"/>
    </row>
    <row r="34" spans="1:10" ht="24" customHeight="1" x14ac:dyDescent="0.7">
      <c r="A34" s="716"/>
      <c r="B34" s="717"/>
      <c r="C34" s="717"/>
      <c r="D34" s="717"/>
      <c r="E34" s="717"/>
      <c r="F34" s="717"/>
      <c r="G34" s="717"/>
      <c r="H34" s="717"/>
      <c r="I34" s="717"/>
      <c r="J34" s="718"/>
    </row>
    <row r="35" spans="1:10" ht="24" customHeight="1" x14ac:dyDescent="0.3">
      <c r="A35" s="1292"/>
      <c r="B35" s="1293"/>
      <c r="C35" s="1293"/>
      <c r="D35" s="1293"/>
      <c r="E35" s="1293"/>
      <c r="F35" s="1293"/>
      <c r="G35" s="1293"/>
      <c r="H35" s="1293"/>
      <c r="I35" s="1293"/>
      <c r="J35" s="1294"/>
    </row>
    <row r="36" spans="1:10" ht="24" customHeight="1" x14ac:dyDescent="0.3">
      <c r="A36" s="1292"/>
      <c r="B36" s="1293"/>
      <c r="C36" s="1293"/>
      <c r="D36" s="1293"/>
      <c r="E36" s="1293"/>
      <c r="F36" s="1293"/>
      <c r="G36" s="1293"/>
      <c r="H36" s="1293"/>
      <c r="I36" s="1293"/>
      <c r="J36" s="1294"/>
    </row>
    <row r="37" spans="1:10" ht="24" customHeight="1" x14ac:dyDescent="0.3">
      <c r="A37" s="720"/>
      <c r="B37" s="721"/>
      <c r="C37" s="721"/>
      <c r="D37" s="721"/>
      <c r="E37" s="721"/>
      <c r="F37" s="721"/>
      <c r="G37" s="721"/>
      <c r="H37" s="721"/>
      <c r="I37" s="721"/>
      <c r="J37" s="722"/>
    </row>
    <row r="38" spans="1:10" ht="24" customHeight="1" x14ac:dyDescent="0.3">
      <c r="A38" s="720"/>
      <c r="B38" s="721"/>
      <c r="C38" s="721"/>
      <c r="D38" s="721"/>
      <c r="E38" s="721"/>
      <c r="F38" s="721"/>
      <c r="G38" s="721"/>
      <c r="H38" s="721"/>
      <c r="I38" s="721"/>
      <c r="J38" s="722"/>
    </row>
    <row r="39" spans="1:10" ht="24" customHeight="1" x14ac:dyDescent="0.3">
      <c r="A39" s="720"/>
      <c r="B39" s="721"/>
      <c r="C39" s="721"/>
      <c r="D39" s="721"/>
      <c r="E39" s="721"/>
      <c r="F39" s="721"/>
      <c r="G39" s="721"/>
      <c r="H39" s="721"/>
      <c r="I39" s="721"/>
      <c r="J39" s="722"/>
    </row>
    <row r="40" spans="1:10" ht="24" customHeight="1" x14ac:dyDescent="0.3">
      <c r="A40" s="720"/>
      <c r="B40" s="721"/>
      <c r="C40" s="721"/>
      <c r="D40" s="721"/>
      <c r="E40" s="721"/>
      <c r="F40" s="721"/>
      <c r="G40" s="721"/>
      <c r="H40" s="721"/>
      <c r="I40" s="721"/>
      <c r="J40" s="722"/>
    </row>
    <row r="41" spans="1:10" ht="24" customHeight="1" x14ac:dyDescent="0.3">
      <c r="A41" s="720"/>
      <c r="B41" s="721"/>
      <c r="C41" s="721"/>
      <c r="D41" s="721"/>
      <c r="E41" s="721"/>
      <c r="F41" s="721"/>
      <c r="G41" s="721"/>
      <c r="H41" s="721"/>
      <c r="I41" s="721"/>
      <c r="J41" s="722"/>
    </row>
    <row r="42" spans="1:10" ht="24" customHeight="1" x14ac:dyDescent="0.3">
      <c r="A42" s="720"/>
      <c r="B42" s="721"/>
      <c r="C42" s="721"/>
      <c r="D42" s="721"/>
      <c r="E42" s="721"/>
      <c r="F42" s="721"/>
      <c r="G42" s="721"/>
      <c r="H42" s="721"/>
      <c r="I42" s="721"/>
      <c r="J42" s="722"/>
    </row>
    <row r="43" spans="1:10" ht="24" customHeight="1" x14ac:dyDescent="0.3">
      <c r="A43" s="720"/>
      <c r="B43" s="721"/>
      <c r="C43" s="721"/>
      <c r="D43" s="721"/>
      <c r="E43" s="721"/>
      <c r="F43" s="721"/>
      <c r="G43" s="721"/>
      <c r="H43" s="721"/>
      <c r="I43" s="721"/>
      <c r="J43" s="722"/>
    </row>
    <row r="44" spans="1:10" ht="24" customHeight="1" x14ac:dyDescent="0.3">
      <c r="A44" s="720"/>
      <c r="B44" s="721"/>
      <c r="C44" s="721"/>
      <c r="D44" s="721"/>
      <c r="E44" s="721"/>
      <c r="F44" s="721"/>
      <c r="G44" s="721"/>
      <c r="H44" s="721"/>
      <c r="I44" s="721"/>
      <c r="J44" s="722"/>
    </row>
    <row r="45" spans="1:10" ht="24" customHeight="1" x14ac:dyDescent="0.3">
      <c r="A45" s="720"/>
      <c r="B45" s="721"/>
      <c r="C45" s="721"/>
      <c r="D45" s="721"/>
      <c r="E45" s="721"/>
      <c r="F45" s="721"/>
      <c r="G45" s="721"/>
      <c r="H45" s="721"/>
      <c r="I45" s="721"/>
      <c r="J45" s="722"/>
    </row>
    <row r="46" spans="1:10" ht="24" customHeight="1" x14ac:dyDescent="0.3">
      <c r="A46" s="720"/>
      <c r="B46" s="721"/>
      <c r="C46" s="721"/>
      <c r="D46" s="721"/>
      <c r="E46" s="721"/>
      <c r="F46" s="721"/>
      <c r="G46" s="721"/>
      <c r="H46" s="721"/>
      <c r="I46" s="721"/>
      <c r="J46" s="722"/>
    </row>
    <row r="47" spans="1:10" ht="24" customHeight="1" x14ac:dyDescent="0.3">
      <c r="A47" s="720"/>
      <c r="B47" s="721"/>
      <c r="C47" s="721"/>
      <c r="D47" s="721"/>
      <c r="E47" s="721"/>
      <c r="F47" s="721"/>
      <c r="G47" s="721"/>
      <c r="H47" s="721"/>
      <c r="I47" s="721"/>
      <c r="J47" s="722"/>
    </row>
    <row r="48" spans="1:10" ht="24" customHeight="1" x14ac:dyDescent="0.3">
      <c r="A48" s="720"/>
      <c r="B48" s="721"/>
      <c r="C48" s="721"/>
      <c r="D48" s="721"/>
      <c r="E48" s="721"/>
      <c r="F48" s="721"/>
      <c r="G48" s="721"/>
      <c r="H48" s="721"/>
      <c r="I48" s="721"/>
      <c r="J48" s="722"/>
    </row>
    <row r="49" spans="1:10" ht="24" customHeight="1" x14ac:dyDescent="0.3">
      <c r="A49" s="720"/>
      <c r="B49" s="721"/>
      <c r="C49" s="721"/>
      <c r="D49" s="721"/>
      <c r="E49" s="721"/>
      <c r="F49" s="721"/>
      <c r="G49" s="721"/>
      <c r="H49" s="721"/>
      <c r="I49" s="721"/>
      <c r="J49" s="722"/>
    </row>
    <row r="50" spans="1:10" ht="24" customHeight="1" x14ac:dyDescent="0.3">
      <c r="A50" s="720"/>
      <c r="B50" s="721"/>
      <c r="C50" s="721"/>
      <c r="D50" s="721"/>
      <c r="E50" s="721"/>
      <c r="F50" s="721"/>
      <c r="G50" s="721"/>
      <c r="H50" s="721"/>
      <c r="I50" s="721"/>
      <c r="J50" s="722"/>
    </row>
    <row r="51" spans="1:10" ht="15" customHeight="1" x14ac:dyDescent="0.3">
      <c r="A51" s="720"/>
      <c r="B51" s="721"/>
      <c r="C51" s="721"/>
      <c r="D51" s="721"/>
      <c r="E51" s="721"/>
      <c r="F51" s="721"/>
      <c r="G51" s="721"/>
      <c r="H51" s="721"/>
      <c r="I51" s="721"/>
      <c r="J51" s="722"/>
    </row>
    <row r="52" spans="1:10" ht="15" customHeight="1" x14ac:dyDescent="0.7">
      <c r="A52" s="716"/>
      <c r="B52" s="717"/>
      <c r="C52" s="717"/>
      <c r="D52" s="717"/>
      <c r="E52" s="717"/>
      <c r="F52" s="717"/>
      <c r="G52" s="717"/>
      <c r="H52" s="717"/>
      <c r="I52" s="717"/>
      <c r="J52" s="718"/>
    </row>
    <row r="53" spans="1:10" ht="15" customHeight="1" x14ac:dyDescent="0.7">
      <c r="A53" s="716"/>
      <c r="B53" s="717"/>
      <c r="C53" s="717"/>
      <c r="D53" s="717"/>
      <c r="E53" s="717"/>
      <c r="F53" s="717"/>
      <c r="G53" s="717"/>
      <c r="H53" s="717"/>
      <c r="I53" s="717"/>
      <c r="J53" s="718"/>
    </row>
    <row r="54" spans="1:10" ht="15" customHeight="1" x14ac:dyDescent="0.3">
      <c r="A54" s="1292"/>
      <c r="B54" s="1293"/>
      <c r="C54" s="1293"/>
      <c r="D54" s="1293"/>
      <c r="E54" s="1293"/>
      <c r="F54" s="1293"/>
      <c r="G54" s="1293"/>
      <c r="H54" s="1293"/>
      <c r="I54" s="1293"/>
      <c r="J54" s="1294"/>
    </row>
    <row r="55" spans="1:10" ht="15" customHeight="1" thickBot="1" x14ac:dyDescent="0.35">
      <c r="A55" s="1295"/>
      <c r="B55" s="1296"/>
      <c r="C55" s="1296"/>
      <c r="D55" s="1296"/>
      <c r="E55" s="1296"/>
      <c r="F55" s="1296"/>
      <c r="G55" s="1296"/>
      <c r="H55" s="1296"/>
      <c r="I55" s="1296"/>
      <c r="J55" s="1297"/>
    </row>
    <row r="56" spans="1:10" ht="15" customHeight="1" thickTop="1" x14ac:dyDescent="0.3"/>
  </sheetData>
  <mergeCells count="12">
    <mergeCell ref="A54:J55"/>
    <mergeCell ref="A2:J2"/>
    <mergeCell ref="A3:J3"/>
    <mergeCell ref="A4:J4"/>
    <mergeCell ref="A5:J5"/>
    <mergeCell ref="A6:J7"/>
    <mergeCell ref="A22:J24"/>
    <mergeCell ref="A27:J28"/>
    <mergeCell ref="A29:J29"/>
    <mergeCell ref="A30:E31"/>
    <mergeCell ref="F30:J31"/>
    <mergeCell ref="A35:J36"/>
  </mergeCells>
  <printOptions horizontalCentered="1" verticalCentered="1"/>
  <pageMargins left="0.19685039370078741" right="0.19685039370078741" top="0.19685039370078741" bottom="0.19685039370078741" header="0.31496062992125984" footer="0.31496062992125984"/>
  <pageSetup paperSize="9" scale="45" orientation="landscape" r:id="rId1"/>
  <headerFooter>
    <oddHeader>&amp;L&amp;"Aptos"&amp;10&amp;K008000 Herkese Açık (Public)&amp;1#_x000D_</oddHeader>
    <oddFooter>&amp;L_x000D_&amp;1#&amp;"Aptos"&amp;10&amp;K008000 Herkese Açık (Public)</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3734-2BFD-43E4-ABAE-8A993F93F10F}">
  <sheetPr codeName="Sayfa30">
    <pageSetUpPr fitToPage="1"/>
  </sheetPr>
  <dimension ref="A1:K513"/>
  <sheetViews>
    <sheetView showGridLines="0" view="pageBreakPreview" zoomScale="70" zoomScaleNormal="100" zoomScaleSheetLayoutView="70" workbookViewId="0">
      <selection activeCell="K100" sqref="K100"/>
    </sheetView>
  </sheetViews>
  <sheetFormatPr defaultRowHeight="15" customHeight="1" x14ac:dyDescent="0.3"/>
  <cols>
    <col min="1" max="2" width="8.88671875" style="11"/>
    <col min="3" max="3" width="8.88671875" style="28"/>
    <col min="4" max="4" width="8.88671875" style="11"/>
    <col min="5" max="7" width="25.77734375" style="11" customWidth="1"/>
    <col min="8" max="8" width="10.109375" style="11" customWidth="1"/>
    <col min="9" max="9" width="24.109375" style="11" customWidth="1"/>
    <col min="10" max="10" width="17.88671875" style="516" customWidth="1"/>
    <col min="11" max="11" width="24.109375" style="11" customWidth="1"/>
    <col min="12" max="16384" width="8.88671875" style="11"/>
  </cols>
  <sheetData>
    <row r="1" spans="1:11" ht="15" customHeight="1" x14ac:dyDescent="0.3">
      <c r="C1" s="677"/>
      <c r="D1" s="33"/>
      <c r="E1" s="33"/>
      <c r="F1" s="33"/>
      <c r="G1" s="33"/>
      <c r="H1" s="33"/>
      <c r="I1" s="33"/>
      <c r="J1" s="736"/>
      <c r="K1" s="33"/>
    </row>
    <row r="2" spans="1:11" s="222" customFormat="1" ht="15" customHeight="1" x14ac:dyDescent="0.3">
      <c r="C2" s="1323" t="s">
        <v>118</v>
      </c>
      <c r="D2" s="982"/>
      <c r="E2" s="982"/>
      <c r="F2" s="982"/>
      <c r="G2" s="982"/>
      <c r="H2" s="982"/>
      <c r="I2" s="35"/>
      <c r="J2" s="742"/>
      <c r="K2" s="35"/>
    </row>
    <row r="3" spans="1:11" s="222" customFormat="1" ht="15" customHeight="1" x14ac:dyDescent="0.3">
      <c r="C3" s="1323" t="s">
        <v>1161</v>
      </c>
      <c r="D3" s="982"/>
      <c r="E3" s="982"/>
      <c r="F3" s="982"/>
      <c r="G3" s="982"/>
      <c r="H3" s="982"/>
      <c r="I3" s="35"/>
      <c r="J3" s="742"/>
      <c r="K3" s="35"/>
    </row>
    <row r="4" spans="1:11" s="222" customFormat="1" ht="15" customHeight="1" x14ac:dyDescent="0.3">
      <c r="C4" s="1273" t="s">
        <v>1432</v>
      </c>
      <c r="D4" s="974"/>
      <c r="E4" s="974"/>
      <c r="F4" s="974"/>
      <c r="G4" s="974"/>
      <c r="H4" s="974"/>
      <c r="I4" s="228"/>
      <c r="J4" s="743"/>
      <c r="K4" s="228"/>
    </row>
    <row r="5" spans="1:11" s="222" customFormat="1" ht="15" customHeight="1" x14ac:dyDescent="0.3">
      <c r="C5" s="216"/>
      <c r="J5" s="737"/>
    </row>
    <row r="6" spans="1:11" s="222" customFormat="1" ht="15" customHeight="1" x14ac:dyDescent="0.3">
      <c r="C6" s="1273" t="s">
        <v>37</v>
      </c>
      <c r="D6" s="974"/>
      <c r="E6" s="974"/>
      <c r="F6" s="974"/>
      <c r="G6" s="974"/>
      <c r="H6" s="974"/>
      <c r="I6" s="228"/>
      <c r="J6" s="743"/>
      <c r="K6" s="228"/>
    </row>
    <row r="7" spans="1:11" s="222" customFormat="1" ht="15" customHeight="1" x14ac:dyDescent="0.3">
      <c r="C7" s="1388" t="str">
        <f>+TEXT(Veri!$C$20,"gg.aa.yyyy")&amp;" ile "&amp;TEXT(Veri!$C$22,"gg.aa.yyyy")&amp;" TARİHLERİ ARASI METRAJ ÖZETİ"</f>
        <v>01.04.2026 ile 30.04.2026 TARİHLERİ ARASI METRAJ ÖZETİ</v>
      </c>
      <c r="D7" s="983"/>
      <c r="E7" s="983"/>
      <c r="F7" s="983"/>
      <c r="G7" s="983"/>
      <c r="H7" s="983"/>
      <c r="I7" s="229"/>
      <c r="J7" s="744"/>
      <c r="K7" s="229"/>
    </row>
    <row r="8" spans="1:11" ht="15" customHeight="1" x14ac:dyDescent="0.3">
      <c r="C8" s="25"/>
      <c r="E8" s="112"/>
      <c r="F8" s="112"/>
      <c r="G8" s="112"/>
      <c r="H8" s="112"/>
      <c r="I8" s="112"/>
      <c r="J8" s="738"/>
      <c r="K8" s="112"/>
    </row>
    <row r="9" spans="1:11" ht="15" customHeight="1" x14ac:dyDescent="0.3">
      <c r="C9" s="25"/>
    </row>
    <row r="10" spans="1:11" ht="15" customHeight="1" x14ac:dyDescent="0.3">
      <c r="C10" s="25"/>
    </row>
    <row r="11" spans="1:11" ht="15" customHeight="1" x14ac:dyDescent="0.3">
      <c r="C11" s="25"/>
      <c r="E11" s="111"/>
      <c r="F11" s="111"/>
      <c r="G11" s="111"/>
      <c r="H11" s="104"/>
      <c r="I11" s="1390" t="s">
        <v>1514</v>
      </c>
      <c r="J11" s="1390"/>
      <c r="K11" s="1390"/>
    </row>
    <row r="12" spans="1:11" ht="30" customHeight="1" x14ac:dyDescent="0.3">
      <c r="C12" s="700" t="s">
        <v>1156</v>
      </c>
      <c r="D12" s="701" t="s">
        <v>1157</v>
      </c>
      <c r="E12" s="1389" t="s">
        <v>1155</v>
      </c>
      <c r="F12" s="1389"/>
      <c r="G12" s="1389"/>
      <c r="H12" s="700" t="s">
        <v>1154</v>
      </c>
      <c r="I12" s="702" t="s">
        <v>1466</v>
      </c>
      <c r="J12" s="739" t="s">
        <v>1460</v>
      </c>
      <c r="K12" s="702" t="s">
        <v>1160</v>
      </c>
    </row>
    <row r="13" spans="1:11" ht="19.95" customHeight="1" x14ac:dyDescent="0.3">
      <c r="A13" s="23" t="s">
        <v>1241</v>
      </c>
      <c r="C13" s="681" t="s">
        <v>1228</v>
      </c>
      <c r="D13" s="682"/>
      <c r="E13" s="682"/>
      <c r="F13" s="682"/>
      <c r="G13" s="682"/>
      <c r="H13" s="683"/>
      <c r="I13" s="699"/>
      <c r="J13" s="740"/>
      <c r="K13" s="684"/>
    </row>
    <row r="14" spans="1:11" ht="19.95" customHeight="1" x14ac:dyDescent="0.3">
      <c r="A14" s="262" t="s">
        <v>1240</v>
      </c>
      <c r="C14" s="678"/>
      <c r="D14" s="232" t="s">
        <v>1223</v>
      </c>
      <c r="E14" s="217"/>
      <c r="F14" s="217"/>
      <c r="G14" s="217"/>
      <c r="H14" s="217"/>
      <c r="I14" s="231"/>
      <c r="J14" s="691"/>
      <c r="K14" s="599"/>
    </row>
    <row r="15" spans="1:11" ht="19.95" customHeight="1" x14ac:dyDescent="0.3">
      <c r="A15" s="262">
        <v>1</v>
      </c>
      <c r="C15" s="686"/>
      <c r="D15" s="233" t="s">
        <v>1224</v>
      </c>
      <c r="E15" s="234"/>
      <c r="F15" s="234"/>
      <c r="G15" s="234"/>
      <c r="H15" s="234"/>
      <c r="I15" s="235"/>
      <c r="J15" s="688"/>
      <c r="K15" s="600"/>
    </row>
    <row r="16" spans="1:11" ht="19.95" customHeight="1" x14ac:dyDescent="0.3">
      <c r="A16" s="262" t="s">
        <v>151</v>
      </c>
      <c r="C16" s="160">
        <v>1</v>
      </c>
      <c r="D16" s="210" t="s">
        <v>223</v>
      </c>
      <c r="E16" s="1373" t="s">
        <v>224</v>
      </c>
      <c r="F16" s="1373"/>
      <c r="G16" s="1373"/>
      <c r="H16" s="160" t="s">
        <v>225</v>
      </c>
      <c r="I16" s="741">
        <f>+'[11]Metraj Özeti'!AI16</f>
        <v>0</v>
      </c>
      <c r="J16" s="741">
        <f>+'Yeşil Defter'!AC16</f>
        <v>0</v>
      </c>
      <c r="K16" s="495">
        <f>+J16+I16</f>
        <v>0</v>
      </c>
    </row>
    <row r="17" spans="1:11" ht="19.95" customHeight="1" x14ac:dyDescent="0.3">
      <c r="A17" s="262" t="s">
        <v>151</v>
      </c>
      <c r="C17" s="161">
        <v>2</v>
      </c>
      <c r="D17" s="161" t="s">
        <v>226</v>
      </c>
      <c r="E17" s="1371" t="s">
        <v>227</v>
      </c>
      <c r="F17" s="1371"/>
      <c r="G17" s="1371"/>
      <c r="H17" s="161" t="s">
        <v>228</v>
      </c>
      <c r="I17" s="741">
        <f>+'[11]Metraj Özeti'!AI17</f>
        <v>0</v>
      </c>
      <c r="J17" s="705">
        <f>+'Yeşil Defter'!AC17</f>
        <v>0</v>
      </c>
      <c r="K17" s="703">
        <f t="shared" ref="K17:K64" si="0">+J17+I17</f>
        <v>0</v>
      </c>
    </row>
    <row r="18" spans="1:11" ht="19.95" customHeight="1" x14ac:dyDescent="0.3">
      <c r="A18" s="262" t="s">
        <v>151</v>
      </c>
      <c r="C18" s="161">
        <v>3</v>
      </c>
      <c r="D18" s="161" t="s">
        <v>229</v>
      </c>
      <c r="E18" s="1371" t="s">
        <v>230</v>
      </c>
      <c r="F18" s="1371"/>
      <c r="G18" s="1371"/>
      <c r="H18" s="161" t="s">
        <v>228</v>
      </c>
      <c r="I18" s="741">
        <f>+'[11]Metraj Özeti'!AI18</f>
        <v>0</v>
      </c>
      <c r="J18" s="705">
        <f>+'Yeşil Defter'!AC18</f>
        <v>0</v>
      </c>
      <c r="K18" s="703">
        <f t="shared" si="0"/>
        <v>0</v>
      </c>
    </row>
    <row r="19" spans="1:11" ht="19.95" customHeight="1" x14ac:dyDescent="0.3">
      <c r="A19" s="262" t="s">
        <v>151</v>
      </c>
      <c r="C19" s="161">
        <v>4</v>
      </c>
      <c r="D19" s="161" t="s">
        <v>231</v>
      </c>
      <c r="E19" s="1371" t="s">
        <v>232</v>
      </c>
      <c r="F19" s="1371"/>
      <c r="G19" s="1371"/>
      <c r="H19" s="161" t="s">
        <v>228</v>
      </c>
      <c r="I19" s="741">
        <f>+'[11]Metraj Özeti'!AI19</f>
        <v>0</v>
      </c>
      <c r="J19" s="705">
        <f>+'Yeşil Defter'!AC19</f>
        <v>0</v>
      </c>
      <c r="K19" s="703">
        <f t="shared" si="0"/>
        <v>0</v>
      </c>
    </row>
    <row r="20" spans="1:11" ht="19.95" customHeight="1" x14ac:dyDescent="0.3">
      <c r="A20" s="262" t="s">
        <v>151</v>
      </c>
      <c r="C20" s="161">
        <v>5</v>
      </c>
      <c r="D20" s="213" t="s">
        <v>233</v>
      </c>
      <c r="E20" s="1371" t="s">
        <v>234</v>
      </c>
      <c r="F20" s="1371"/>
      <c r="G20" s="1371"/>
      <c r="H20" s="161" t="s">
        <v>228</v>
      </c>
      <c r="I20" s="741">
        <f>+'[11]Metraj Özeti'!AI20</f>
        <v>0</v>
      </c>
      <c r="J20" s="705">
        <f>+'Yeşil Defter'!AC20</f>
        <v>0</v>
      </c>
      <c r="K20" s="703">
        <f t="shared" si="0"/>
        <v>0</v>
      </c>
    </row>
    <row r="21" spans="1:11" ht="19.95" customHeight="1" x14ac:dyDescent="0.3">
      <c r="A21" s="262" t="s">
        <v>151</v>
      </c>
      <c r="C21" s="161">
        <v>6</v>
      </c>
      <c r="D21" s="161" t="s">
        <v>235</v>
      </c>
      <c r="E21" s="1371" t="s">
        <v>236</v>
      </c>
      <c r="F21" s="1371"/>
      <c r="G21" s="1371"/>
      <c r="H21" s="161" t="s">
        <v>228</v>
      </c>
      <c r="I21" s="741">
        <f>+'[11]Metraj Özeti'!AI21</f>
        <v>0</v>
      </c>
      <c r="J21" s="705">
        <f>+'Yeşil Defter'!AC21</f>
        <v>0</v>
      </c>
      <c r="K21" s="703">
        <f t="shared" si="0"/>
        <v>0</v>
      </c>
    </row>
    <row r="22" spans="1:11" ht="19.95" customHeight="1" x14ac:dyDescent="0.3">
      <c r="A22" s="262" t="s">
        <v>151</v>
      </c>
      <c r="C22" s="161">
        <v>7</v>
      </c>
      <c r="D22" s="161" t="s">
        <v>237</v>
      </c>
      <c r="E22" s="1371" t="s">
        <v>238</v>
      </c>
      <c r="F22" s="1371"/>
      <c r="G22" s="1371"/>
      <c r="H22" s="161" t="s">
        <v>228</v>
      </c>
      <c r="I22" s="741">
        <f>+'[11]Metraj Özeti'!AI22</f>
        <v>0</v>
      </c>
      <c r="J22" s="705">
        <f>+'Yeşil Defter'!AC22</f>
        <v>0</v>
      </c>
      <c r="K22" s="703">
        <f t="shared" si="0"/>
        <v>0</v>
      </c>
    </row>
    <row r="23" spans="1:11" ht="19.95" customHeight="1" x14ac:dyDescent="0.3">
      <c r="A23" s="262" t="s">
        <v>151</v>
      </c>
      <c r="C23" s="161">
        <v>8</v>
      </c>
      <c r="D23" s="213" t="s">
        <v>239</v>
      </c>
      <c r="E23" s="1371" t="s">
        <v>240</v>
      </c>
      <c r="F23" s="1371"/>
      <c r="G23" s="1371"/>
      <c r="H23" s="161" t="s">
        <v>228</v>
      </c>
      <c r="I23" s="741">
        <f>+'[11]Metraj Özeti'!AI23</f>
        <v>0</v>
      </c>
      <c r="J23" s="705">
        <f>+'Yeşil Defter'!AC23</f>
        <v>0</v>
      </c>
      <c r="K23" s="703">
        <f t="shared" si="0"/>
        <v>0</v>
      </c>
    </row>
    <row r="24" spans="1:11" ht="19.95" customHeight="1" x14ac:dyDescent="0.3">
      <c r="A24" s="262" t="s">
        <v>151</v>
      </c>
      <c r="C24" s="161">
        <v>9</v>
      </c>
      <c r="D24" s="161" t="s">
        <v>241</v>
      </c>
      <c r="E24" s="1371" t="s">
        <v>242</v>
      </c>
      <c r="F24" s="1371"/>
      <c r="G24" s="1371"/>
      <c r="H24" s="161" t="s">
        <v>202</v>
      </c>
      <c r="I24" s="741">
        <f>+'[11]Metraj Özeti'!AI24</f>
        <v>0</v>
      </c>
      <c r="J24" s="705">
        <f>+'Yeşil Defter'!AC24</f>
        <v>0</v>
      </c>
      <c r="K24" s="703">
        <f t="shared" si="0"/>
        <v>0</v>
      </c>
    </row>
    <row r="25" spans="1:11" ht="19.95" customHeight="1" x14ac:dyDescent="0.3">
      <c r="A25" s="262" t="s">
        <v>151</v>
      </c>
      <c r="C25" s="161">
        <v>10</v>
      </c>
      <c r="D25" s="161" t="s">
        <v>243</v>
      </c>
      <c r="E25" s="1371" t="s">
        <v>244</v>
      </c>
      <c r="F25" s="1371"/>
      <c r="G25" s="1371"/>
      <c r="H25" s="161" t="s">
        <v>202</v>
      </c>
      <c r="I25" s="741">
        <f>+'[11]Metraj Özeti'!AI25</f>
        <v>0</v>
      </c>
      <c r="J25" s="705">
        <f>+'Yeşil Defter'!AC25</f>
        <v>0</v>
      </c>
      <c r="K25" s="703">
        <f t="shared" si="0"/>
        <v>0</v>
      </c>
    </row>
    <row r="26" spans="1:11" ht="19.95" customHeight="1" x14ac:dyDescent="0.3">
      <c r="A26" s="262" t="s">
        <v>151</v>
      </c>
      <c r="C26" s="161">
        <v>11</v>
      </c>
      <c r="D26" s="161" t="s">
        <v>245</v>
      </c>
      <c r="E26" s="1371" t="s">
        <v>246</v>
      </c>
      <c r="F26" s="1371"/>
      <c r="G26" s="1371"/>
      <c r="H26" s="161" t="s">
        <v>247</v>
      </c>
      <c r="I26" s="741">
        <f>+'[11]Metraj Özeti'!AI26</f>
        <v>0</v>
      </c>
      <c r="J26" s="705">
        <f>+'Yeşil Defter'!AC26</f>
        <v>0</v>
      </c>
      <c r="K26" s="703">
        <f t="shared" si="0"/>
        <v>0</v>
      </c>
    </row>
    <row r="27" spans="1:11" ht="19.95" customHeight="1" x14ac:dyDescent="0.3">
      <c r="A27" s="262" t="s">
        <v>151</v>
      </c>
      <c r="C27" s="161">
        <v>12</v>
      </c>
      <c r="D27" s="161" t="s">
        <v>248</v>
      </c>
      <c r="E27" s="1371" t="s">
        <v>249</v>
      </c>
      <c r="F27" s="1371"/>
      <c r="G27" s="1371"/>
      <c r="H27" s="161" t="s">
        <v>247</v>
      </c>
      <c r="I27" s="741">
        <f>+'[11]Metraj Özeti'!AI27</f>
        <v>0</v>
      </c>
      <c r="J27" s="705">
        <f>+'Yeşil Defter'!AC27</f>
        <v>0</v>
      </c>
      <c r="K27" s="703">
        <f t="shared" si="0"/>
        <v>0</v>
      </c>
    </row>
    <row r="28" spans="1:11" ht="19.95" customHeight="1" x14ac:dyDescent="0.3">
      <c r="A28" s="262" t="s">
        <v>151</v>
      </c>
      <c r="C28" s="161">
        <v>13</v>
      </c>
      <c r="D28" s="161" t="s">
        <v>250</v>
      </c>
      <c r="E28" s="1371" t="s">
        <v>251</v>
      </c>
      <c r="F28" s="1371"/>
      <c r="G28" s="1371"/>
      <c r="H28" s="161" t="s">
        <v>247</v>
      </c>
      <c r="I28" s="741">
        <f>+'[11]Metraj Özeti'!AI28</f>
        <v>0</v>
      </c>
      <c r="J28" s="705">
        <f>+'Yeşil Defter'!AC28</f>
        <v>0</v>
      </c>
      <c r="K28" s="703">
        <f t="shared" si="0"/>
        <v>0</v>
      </c>
    </row>
    <row r="29" spans="1:11" ht="19.95" customHeight="1" x14ac:dyDescent="0.3">
      <c r="A29" s="262" t="s">
        <v>151</v>
      </c>
      <c r="C29" s="161">
        <v>14</v>
      </c>
      <c r="D29" s="161" t="s">
        <v>252</v>
      </c>
      <c r="E29" s="1371" t="s">
        <v>253</v>
      </c>
      <c r="F29" s="1371"/>
      <c r="G29" s="1371"/>
      <c r="H29" s="161" t="s">
        <v>247</v>
      </c>
      <c r="I29" s="741">
        <f>+'[11]Metraj Özeti'!AI29</f>
        <v>0</v>
      </c>
      <c r="J29" s="705">
        <f>+'Yeşil Defter'!AC29</f>
        <v>0</v>
      </c>
      <c r="K29" s="703">
        <f t="shared" si="0"/>
        <v>0</v>
      </c>
    </row>
    <row r="30" spans="1:11" ht="19.95" customHeight="1" x14ac:dyDescent="0.3">
      <c r="A30" s="262" t="s">
        <v>151</v>
      </c>
      <c r="C30" s="161">
        <v>15</v>
      </c>
      <c r="D30" s="213" t="s">
        <v>254</v>
      </c>
      <c r="E30" s="1371" t="s">
        <v>255</v>
      </c>
      <c r="F30" s="1371"/>
      <c r="G30" s="1371"/>
      <c r="H30" s="161" t="s">
        <v>225</v>
      </c>
      <c r="I30" s="741">
        <f>+'[11]Metraj Özeti'!AI30</f>
        <v>0</v>
      </c>
      <c r="J30" s="705">
        <f>+'Yeşil Defter'!AC30</f>
        <v>0</v>
      </c>
      <c r="K30" s="703">
        <f t="shared" si="0"/>
        <v>0</v>
      </c>
    </row>
    <row r="31" spans="1:11" ht="19.95" customHeight="1" x14ac:dyDescent="0.3">
      <c r="A31" s="262" t="s">
        <v>151</v>
      </c>
      <c r="C31" s="161">
        <v>16</v>
      </c>
      <c r="D31" s="161" t="s">
        <v>256</v>
      </c>
      <c r="E31" s="1371" t="s">
        <v>257</v>
      </c>
      <c r="F31" s="1371"/>
      <c r="G31" s="1371"/>
      <c r="H31" s="161" t="s">
        <v>228</v>
      </c>
      <c r="I31" s="741">
        <f>+'[11]Metraj Özeti'!AI31</f>
        <v>0</v>
      </c>
      <c r="J31" s="705">
        <f>+'Yeşil Defter'!AC31</f>
        <v>0</v>
      </c>
      <c r="K31" s="703">
        <f t="shared" si="0"/>
        <v>0</v>
      </c>
    </row>
    <row r="32" spans="1:11" ht="19.95" customHeight="1" x14ac:dyDescent="0.3">
      <c r="A32" s="262" t="s">
        <v>151</v>
      </c>
      <c r="C32" s="161">
        <v>17</v>
      </c>
      <c r="D32" s="161" t="s">
        <v>258</v>
      </c>
      <c r="E32" s="1371" t="s">
        <v>259</v>
      </c>
      <c r="F32" s="1371"/>
      <c r="G32" s="1371"/>
      <c r="H32" s="161" t="s">
        <v>228</v>
      </c>
      <c r="I32" s="741">
        <f>+'[11]Metraj Özeti'!AI32</f>
        <v>0</v>
      </c>
      <c r="J32" s="705">
        <f>+'Yeşil Defter'!AC32</f>
        <v>0</v>
      </c>
      <c r="K32" s="703">
        <f t="shared" si="0"/>
        <v>0</v>
      </c>
    </row>
    <row r="33" spans="1:11" ht="19.95" customHeight="1" x14ac:dyDescent="0.3">
      <c r="A33" s="262" t="s">
        <v>151</v>
      </c>
      <c r="C33" s="161">
        <v>18</v>
      </c>
      <c r="D33" s="161" t="s">
        <v>260</v>
      </c>
      <c r="E33" s="1371" t="s">
        <v>261</v>
      </c>
      <c r="F33" s="1371"/>
      <c r="G33" s="1371"/>
      <c r="H33" s="161" t="s">
        <v>262</v>
      </c>
      <c r="I33" s="741">
        <f>+'[11]Metraj Özeti'!AI33</f>
        <v>0</v>
      </c>
      <c r="J33" s="705">
        <f>+'[2]Yeşil Defter'!AJ33</f>
        <v>0</v>
      </c>
      <c r="K33" s="703">
        <f t="shared" si="0"/>
        <v>0</v>
      </c>
    </row>
    <row r="34" spans="1:11" ht="19.95" customHeight="1" x14ac:dyDescent="0.3">
      <c r="A34" s="262" t="s">
        <v>151</v>
      </c>
      <c r="C34" s="161">
        <v>18</v>
      </c>
      <c r="D34" s="161" t="s">
        <v>260</v>
      </c>
      <c r="E34" s="1371" t="s">
        <v>261</v>
      </c>
      <c r="F34" s="1371"/>
      <c r="G34" s="1371"/>
      <c r="H34" s="161" t="s">
        <v>262</v>
      </c>
      <c r="I34" s="741">
        <f>+'[11]Metraj Özeti'!AI34</f>
        <v>0</v>
      </c>
      <c r="J34" s="705">
        <f>+'Yeşil Defter'!AC34</f>
        <v>0</v>
      </c>
      <c r="K34" s="703">
        <f t="shared" si="0"/>
        <v>0</v>
      </c>
    </row>
    <row r="35" spans="1:11" ht="19.95" customHeight="1" x14ac:dyDescent="0.3">
      <c r="A35" s="262" t="s">
        <v>151</v>
      </c>
      <c r="C35" s="161">
        <v>19</v>
      </c>
      <c r="D35" s="161" t="s">
        <v>263</v>
      </c>
      <c r="E35" s="1371" t="s">
        <v>264</v>
      </c>
      <c r="F35" s="1371"/>
      <c r="G35" s="1371"/>
      <c r="H35" s="161" t="s">
        <v>262</v>
      </c>
      <c r="I35" s="741">
        <f>+'[11]Metraj Özeti'!AI35</f>
        <v>0</v>
      </c>
      <c r="J35" s="705">
        <f>+'Yeşil Defter'!AC35</f>
        <v>0</v>
      </c>
      <c r="K35" s="703">
        <f t="shared" si="0"/>
        <v>0</v>
      </c>
    </row>
    <row r="36" spans="1:11" ht="19.95" customHeight="1" x14ac:dyDescent="0.3">
      <c r="A36" s="262" t="s">
        <v>151</v>
      </c>
      <c r="C36" s="161">
        <v>20</v>
      </c>
      <c r="D36" s="161" t="s">
        <v>265</v>
      </c>
      <c r="E36" s="1371" t="s">
        <v>266</v>
      </c>
      <c r="F36" s="1371"/>
      <c r="G36" s="1371"/>
      <c r="H36" s="161" t="s">
        <v>225</v>
      </c>
      <c r="I36" s="741">
        <f>+'[11]Metraj Özeti'!AI36</f>
        <v>0</v>
      </c>
      <c r="J36" s="705">
        <f>+'Yeşil Defter'!AC36</f>
        <v>0</v>
      </c>
      <c r="K36" s="703">
        <f t="shared" si="0"/>
        <v>0</v>
      </c>
    </row>
    <row r="37" spans="1:11" ht="19.95" customHeight="1" x14ac:dyDescent="0.3">
      <c r="A37" s="262" t="s">
        <v>151</v>
      </c>
      <c r="C37" s="161">
        <v>21</v>
      </c>
      <c r="D37" s="161" t="s">
        <v>267</v>
      </c>
      <c r="E37" s="1371" t="s">
        <v>268</v>
      </c>
      <c r="F37" s="1371"/>
      <c r="G37" s="1371"/>
      <c r="H37" s="161" t="s">
        <v>225</v>
      </c>
      <c r="I37" s="741">
        <f>+'[11]Metraj Özeti'!AI37</f>
        <v>0</v>
      </c>
      <c r="J37" s="705">
        <f>+'Yeşil Defter'!AC37</f>
        <v>0</v>
      </c>
      <c r="K37" s="703">
        <f t="shared" si="0"/>
        <v>0</v>
      </c>
    </row>
    <row r="38" spans="1:11" ht="19.95" customHeight="1" x14ac:dyDescent="0.3">
      <c r="A38" s="262" t="s">
        <v>151</v>
      </c>
      <c r="C38" s="161">
        <v>22</v>
      </c>
      <c r="D38" s="161" t="s">
        <v>269</v>
      </c>
      <c r="E38" s="1371" t="s">
        <v>270</v>
      </c>
      <c r="F38" s="1371"/>
      <c r="G38" s="1371"/>
      <c r="H38" s="161" t="s">
        <v>225</v>
      </c>
      <c r="I38" s="741">
        <f>+'[11]Metraj Özeti'!AI38</f>
        <v>0</v>
      </c>
      <c r="J38" s="705">
        <f>+'Yeşil Defter'!AC38</f>
        <v>0</v>
      </c>
      <c r="K38" s="703">
        <f t="shared" si="0"/>
        <v>0</v>
      </c>
    </row>
    <row r="39" spans="1:11" ht="19.95" customHeight="1" x14ac:dyDescent="0.3">
      <c r="A39" s="262" t="s">
        <v>151</v>
      </c>
      <c r="C39" s="161">
        <v>23</v>
      </c>
      <c r="D39" s="213" t="s">
        <v>271</v>
      </c>
      <c r="E39" s="1371" t="s">
        <v>272</v>
      </c>
      <c r="F39" s="1371"/>
      <c r="G39" s="1371"/>
      <c r="H39" s="161" t="s">
        <v>202</v>
      </c>
      <c r="I39" s="741">
        <f>+'[11]Metraj Özeti'!AI39</f>
        <v>0</v>
      </c>
      <c r="J39" s="705">
        <f>+'Yeşil Defter'!AC39</f>
        <v>0</v>
      </c>
      <c r="K39" s="703">
        <f t="shared" si="0"/>
        <v>0</v>
      </c>
    </row>
    <row r="40" spans="1:11" ht="19.95" customHeight="1" x14ac:dyDescent="0.3">
      <c r="A40" s="262" t="s">
        <v>151</v>
      </c>
      <c r="C40" s="161">
        <v>24</v>
      </c>
      <c r="D40" s="161" t="s">
        <v>273</v>
      </c>
      <c r="E40" s="1371" t="s">
        <v>274</v>
      </c>
      <c r="F40" s="1371"/>
      <c r="G40" s="1371"/>
      <c r="H40" s="161" t="s">
        <v>225</v>
      </c>
      <c r="I40" s="741">
        <f>+'[11]Metraj Özeti'!AI40</f>
        <v>0</v>
      </c>
      <c r="J40" s="705">
        <f>+'Yeşil Defter'!AC40</f>
        <v>0</v>
      </c>
      <c r="K40" s="703">
        <f t="shared" si="0"/>
        <v>0</v>
      </c>
    </row>
    <row r="41" spans="1:11" ht="19.95" customHeight="1" x14ac:dyDescent="0.3">
      <c r="A41" s="262" t="s">
        <v>151</v>
      </c>
      <c r="C41" s="161">
        <v>25</v>
      </c>
      <c r="D41" s="161" t="s">
        <v>275</v>
      </c>
      <c r="E41" s="1371" t="s">
        <v>276</v>
      </c>
      <c r="F41" s="1371"/>
      <c r="G41" s="1371"/>
      <c r="H41" s="161" t="s">
        <v>225</v>
      </c>
      <c r="I41" s="741">
        <f>+'[11]Metraj Özeti'!AI41</f>
        <v>0</v>
      </c>
      <c r="J41" s="705">
        <f>+'Yeşil Defter'!AC41</f>
        <v>0</v>
      </c>
      <c r="K41" s="703">
        <f t="shared" si="0"/>
        <v>0</v>
      </c>
    </row>
    <row r="42" spans="1:11" ht="19.95" customHeight="1" x14ac:dyDescent="0.3">
      <c r="A42" s="262" t="s">
        <v>151</v>
      </c>
      <c r="C42" s="161">
        <v>26</v>
      </c>
      <c r="D42" s="161" t="s">
        <v>277</v>
      </c>
      <c r="E42" s="1371" t="s">
        <v>278</v>
      </c>
      <c r="F42" s="1371"/>
      <c r="G42" s="1371"/>
      <c r="H42" s="161" t="s">
        <v>225</v>
      </c>
      <c r="I42" s="741">
        <f>+'[11]Metraj Özeti'!AI42</f>
        <v>0</v>
      </c>
      <c r="J42" s="705">
        <f>+'Yeşil Defter'!AC42</f>
        <v>0</v>
      </c>
      <c r="K42" s="703">
        <f t="shared" si="0"/>
        <v>0</v>
      </c>
    </row>
    <row r="43" spans="1:11" ht="19.95" customHeight="1" x14ac:dyDescent="0.3">
      <c r="A43" s="262" t="s">
        <v>151</v>
      </c>
      <c r="C43" s="161">
        <v>27</v>
      </c>
      <c r="D43" s="161" t="s">
        <v>279</v>
      </c>
      <c r="E43" s="1371" t="s">
        <v>280</v>
      </c>
      <c r="F43" s="1371"/>
      <c r="G43" s="1371"/>
      <c r="H43" s="161" t="s">
        <v>225</v>
      </c>
      <c r="I43" s="741">
        <f>+'[11]Metraj Özeti'!AI43</f>
        <v>0</v>
      </c>
      <c r="J43" s="705">
        <f>+'Yeşil Defter'!AC43</f>
        <v>0</v>
      </c>
      <c r="K43" s="703">
        <f t="shared" si="0"/>
        <v>0</v>
      </c>
    </row>
    <row r="44" spans="1:11" ht="19.95" customHeight="1" x14ac:dyDescent="0.3">
      <c r="A44" s="262" t="s">
        <v>151</v>
      </c>
      <c r="C44" s="161">
        <v>28</v>
      </c>
      <c r="D44" s="161" t="s">
        <v>281</v>
      </c>
      <c r="E44" s="1371" t="s">
        <v>282</v>
      </c>
      <c r="F44" s="1371"/>
      <c r="G44" s="1371"/>
      <c r="H44" s="161" t="s">
        <v>225</v>
      </c>
      <c r="I44" s="741">
        <f>+'[11]Metraj Özeti'!AI44</f>
        <v>0</v>
      </c>
      <c r="J44" s="705">
        <f>+'Yeşil Defter'!AC44</f>
        <v>0</v>
      </c>
      <c r="K44" s="703">
        <f t="shared" si="0"/>
        <v>0</v>
      </c>
    </row>
    <row r="45" spans="1:11" ht="19.95" customHeight="1" x14ac:dyDescent="0.3">
      <c r="A45" s="262" t="s">
        <v>151</v>
      </c>
      <c r="C45" s="161">
        <v>29</v>
      </c>
      <c r="D45" s="161" t="s">
        <v>283</v>
      </c>
      <c r="E45" s="1371" t="s">
        <v>1162</v>
      </c>
      <c r="F45" s="1371"/>
      <c r="G45" s="1371"/>
      <c r="H45" s="161" t="s">
        <v>225</v>
      </c>
      <c r="I45" s="741">
        <f>+'[11]Metraj Özeti'!AI45</f>
        <v>0</v>
      </c>
      <c r="J45" s="705">
        <f>+'Yeşil Defter'!AC63</f>
        <v>0</v>
      </c>
      <c r="K45" s="705">
        <f t="shared" si="0"/>
        <v>0</v>
      </c>
    </row>
    <row r="46" spans="1:11" ht="19.95" customHeight="1" x14ac:dyDescent="0.3">
      <c r="A46" s="262" t="s">
        <v>151</v>
      </c>
      <c r="C46" s="161">
        <v>30</v>
      </c>
      <c r="D46" s="161" t="s">
        <v>284</v>
      </c>
      <c r="E46" s="1371" t="s">
        <v>285</v>
      </c>
      <c r="F46" s="1371"/>
      <c r="G46" s="1371"/>
      <c r="H46" s="161" t="s">
        <v>286</v>
      </c>
      <c r="I46" s="741">
        <f>+'[11]Metraj Özeti'!AI46</f>
        <v>0</v>
      </c>
      <c r="J46" s="705">
        <f>+'Yeşil Defter'!AC64</f>
        <v>0</v>
      </c>
      <c r="K46" s="703">
        <f t="shared" si="0"/>
        <v>0</v>
      </c>
    </row>
    <row r="47" spans="1:11" ht="19.95" customHeight="1" x14ac:dyDescent="0.3">
      <c r="A47" s="262" t="s">
        <v>151</v>
      </c>
      <c r="C47" s="161">
        <v>31</v>
      </c>
      <c r="D47" s="161" t="s">
        <v>287</v>
      </c>
      <c r="E47" s="1371" t="s">
        <v>288</v>
      </c>
      <c r="F47" s="1371"/>
      <c r="G47" s="1371"/>
      <c r="H47" s="161" t="s">
        <v>286</v>
      </c>
      <c r="I47" s="741">
        <f>+'[11]Metraj Özeti'!AI47</f>
        <v>0</v>
      </c>
      <c r="J47" s="705">
        <f>+'Yeşil Defter'!AC65</f>
        <v>0</v>
      </c>
      <c r="K47" s="703">
        <f t="shared" si="0"/>
        <v>0</v>
      </c>
    </row>
    <row r="48" spans="1:11" ht="19.95" customHeight="1" x14ac:dyDescent="0.3">
      <c r="A48" s="262" t="s">
        <v>151</v>
      </c>
      <c r="C48" s="161">
        <v>32</v>
      </c>
      <c r="D48" s="161" t="s">
        <v>289</v>
      </c>
      <c r="E48" s="1371" t="s">
        <v>290</v>
      </c>
      <c r="F48" s="1371"/>
      <c r="G48" s="1371"/>
      <c r="H48" s="161" t="s">
        <v>286</v>
      </c>
      <c r="I48" s="741">
        <f>+'[11]Metraj Özeti'!AI48</f>
        <v>0</v>
      </c>
      <c r="J48" s="705">
        <f>+'Yeşil Defter'!AC66</f>
        <v>0</v>
      </c>
      <c r="K48" s="703">
        <f t="shared" si="0"/>
        <v>0</v>
      </c>
    </row>
    <row r="49" spans="1:11" ht="19.95" customHeight="1" x14ac:dyDescent="0.3">
      <c r="A49" s="262" t="s">
        <v>151</v>
      </c>
      <c r="C49" s="161">
        <v>33</v>
      </c>
      <c r="D49" s="161" t="s">
        <v>291</v>
      </c>
      <c r="E49" s="1371" t="s">
        <v>292</v>
      </c>
      <c r="F49" s="1371"/>
      <c r="G49" s="1371"/>
      <c r="H49" s="161" t="s">
        <v>286</v>
      </c>
      <c r="I49" s="741">
        <f>+'[11]Metraj Özeti'!AI49</f>
        <v>0</v>
      </c>
      <c r="J49" s="705">
        <f>+'Yeşil Defter'!AC67</f>
        <v>0</v>
      </c>
      <c r="K49" s="703">
        <f t="shared" si="0"/>
        <v>0</v>
      </c>
    </row>
    <row r="50" spans="1:11" ht="19.95" customHeight="1" x14ac:dyDescent="0.3">
      <c r="A50" s="262" t="s">
        <v>151</v>
      </c>
      <c r="C50" s="161">
        <v>34</v>
      </c>
      <c r="D50" s="161" t="s">
        <v>293</v>
      </c>
      <c r="E50" s="1371" t="s">
        <v>294</v>
      </c>
      <c r="F50" s="1371"/>
      <c r="G50" s="1371"/>
      <c r="H50" s="161" t="s">
        <v>225</v>
      </c>
      <c r="I50" s="741">
        <f>+'[11]Metraj Özeti'!AI50</f>
        <v>0</v>
      </c>
      <c r="J50" s="705">
        <f>+'Yeşil Defter'!AC68</f>
        <v>0</v>
      </c>
      <c r="K50" s="703">
        <f t="shared" si="0"/>
        <v>0</v>
      </c>
    </row>
    <row r="51" spans="1:11" ht="19.95" customHeight="1" x14ac:dyDescent="0.3">
      <c r="A51" s="262" t="s">
        <v>151</v>
      </c>
      <c r="C51" s="161">
        <v>35</v>
      </c>
      <c r="D51" s="161" t="s">
        <v>295</v>
      </c>
      <c r="E51" s="1371" t="s">
        <v>296</v>
      </c>
      <c r="F51" s="1371"/>
      <c r="G51" s="1371"/>
      <c r="H51" s="161" t="s">
        <v>225</v>
      </c>
      <c r="I51" s="741">
        <f>+'[11]Metraj Özeti'!AI51</f>
        <v>0</v>
      </c>
      <c r="J51" s="705">
        <f>+'Yeşil Defter'!AC69</f>
        <v>0</v>
      </c>
      <c r="K51" s="703">
        <f t="shared" si="0"/>
        <v>0</v>
      </c>
    </row>
    <row r="52" spans="1:11" ht="19.95" customHeight="1" x14ac:dyDescent="0.3">
      <c r="A52" s="262" t="s">
        <v>151</v>
      </c>
      <c r="C52" s="161">
        <v>36</v>
      </c>
      <c r="D52" s="161" t="s">
        <v>297</v>
      </c>
      <c r="E52" s="1371" t="s">
        <v>298</v>
      </c>
      <c r="F52" s="1371"/>
      <c r="G52" s="1371"/>
      <c r="H52" s="161" t="s">
        <v>225</v>
      </c>
      <c r="I52" s="741">
        <f>+'[11]Metraj Özeti'!AI52</f>
        <v>0</v>
      </c>
      <c r="J52" s="705">
        <f>+'Yeşil Defter'!AC70</f>
        <v>0</v>
      </c>
      <c r="K52" s="703">
        <f t="shared" si="0"/>
        <v>0</v>
      </c>
    </row>
    <row r="53" spans="1:11" ht="19.95" customHeight="1" x14ac:dyDescent="0.3">
      <c r="A53" s="262" t="s">
        <v>151</v>
      </c>
      <c r="C53" s="161">
        <v>37</v>
      </c>
      <c r="D53" s="161" t="s">
        <v>299</v>
      </c>
      <c r="E53" s="1371" t="s">
        <v>300</v>
      </c>
      <c r="F53" s="1371"/>
      <c r="G53" s="1371"/>
      <c r="H53" s="161" t="s">
        <v>225</v>
      </c>
      <c r="I53" s="741">
        <f>+'[11]Metraj Özeti'!AI53</f>
        <v>0</v>
      </c>
      <c r="J53" s="705">
        <f>+'Yeşil Defter'!AC71</f>
        <v>0</v>
      </c>
      <c r="K53" s="703">
        <f t="shared" si="0"/>
        <v>0</v>
      </c>
    </row>
    <row r="54" spans="1:11" ht="16.05" customHeight="1" x14ac:dyDescent="0.3">
      <c r="A54" s="262" t="s">
        <v>151</v>
      </c>
      <c r="C54" s="161">
        <v>38</v>
      </c>
      <c r="D54" s="161" t="s">
        <v>301</v>
      </c>
      <c r="E54" s="1371" t="s">
        <v>302</v>
      </c>
      <c r="F54" s="1371"/>
      <c r="G54" s="1371"/>
      <c r="H54" s="161" t="s">
        <v>286</v>
      </c>
      <c r="I54" s="741">
        <f>+'[11]Metraj Özeti'!AI54</f>
        <v>0.2455</v>
      </c>
      <c r="J54" s="705">
        <f>+'Yeşil Defter'!AC72</f>
        <v>0</v>
      </c>
      <c r="K54" s="705">
        <f t="shared" si="0"/>
        <v>0.2455</v>
      </c>
    </row>
    <row r="55" spans="1:11" ht="16.05" customHeight="1" x14ac:dyDescent="0.3">
      <c r="A55" s="262" t="s">
        <v>151</v>
      </c>
      <c r="C55" s="161">
        <v>39</v>
      </c>
      <c r="D55" s="161" t="s">
        <v>303</v>
      </c>
      <c r="E55" s="1371" t="s">
        <v>304</v>
      </c>
      <c r="F55" s="1371"/>
      <c r="G55" s="1371"/>
      <c r="H55" s="161" t="s">
        <v>286</v>
      </c>
      <c r="I55" s="741">
        <f>+'[11]Metraj Özeti'!AI55</f>
        <v>0.11950000000000001</v>
      </c>
      <c r="J55" s="705">
        <f>+'Yeşil Defter'!AC73</f>
        <v>0</v>
      </c>
      <c r="K55" s="705">
        <f t="shared" si="0"/>
        <v>0.11950000000000001</v>
      </c>
    </row>
    <row r="56" spans="1:11" ht="16.05" customHeight="1" x14ac:dyDescent="0.3">
      <c r="A56" s="262" t="s">
        <v>151</v>
      </c>
      <c r="C56" s="161">
        <v>40</v>
      </c>
      <c r="D56" s="161" t="s">
        <v>305</v>
      </c>
      <c r="E56" s="1371" t="s">
        <v>306</v>
      </c>
      <c r="F56" s="1371"/>
      <c r="G56" s="1371"/>
      <c r="H56" s="161" t="s">
        <v>286</v>
      </c>
      <c r="I56" s="741">
        <f>+'[11]Metraj Özeti'!AI56</f>
        <v>0.2</v>
      </c>
      <c r="J56" s="705">
        <f>+'Yeşil Defter'!AC74</f>
        <v>0</v>
      </c>
      <c r="K56" s="705">
        <f t="shared" si="0"/>
        <v>0.2</v>
      </c>
    </row>
    <row r="57" spans="1:11" ht="16.05" customHeight="1" x14ac:dyDescent="0.3">
      <c r="A57" s="262" t="s">
        <v>151</v>
      </c>
      <c r="C57" s="161">
        <v>41</v>
      </c>
      <c r="D57" s="161" t="s">
        <v>307</v>
      </c>
      <c r="E57" s="1371" t="s">
        <v>308</v>
      </c>
      <c r="F57" s="1371"/>
      <c r="G57" s="1371"/>
      <c r="H57" s="161" t="s">
        <v>286</v>
      </c>
      <c r="I57" s="741">
        <f>+'[11]Metraj Özeti'!AI57</f>
        <v>0.12550000000000003</v>
      </c>
      <c r="J57" s="705">
        <f>+'Yeşil Defter'!AC75</f>
        <v>0</v>
      </c>
      <c r="K57" s="705">
        <f t="shared" si="0"/>
        <v>0.12550000000000003</v>
      </c>
    </row>
    <row r="58" spans="1:11" ht="16.05" customHeight="1" x14ac:dyDescent="0.3">
      <c r="A58" s="262" t="s">
        <v>151</v>
      </c>
      <c r="C58" s="161">
        <v>42</v>
      </c>
      <c r="D58" s="161" t="s">
        <v>309</v>
      </c>
      <c r="E58" s="1371" t="s">
        <v>310</v>
      </c>
      <c r="F58" s="1371"/>
      <c r="G58" s="1371"/>
      <c r="H58" s="161" t="s">
        <v>286</v>
      </c>
      <c r="I58" s="741">
        <f>+'[11]Metraj Özeti'!AI58</f>
        <v>0.11950000000000001</v>
      </c>
      <c r="J58" s="705">
        <f>+'Yeşil Defter'!AC76</f>
        <v>0</v>
      </c>
      <c r="K58" s="705">
        <f t="shared" si="0"/>
        <v>0.11950000000000001</v>
      </c>
    </row>
    <row r="59" spans="1:11" ht="16.05" customHeight="1" x14ac:dyDescent="0.3">
      <c r="A59" s="262" t="s">
        <v>151</v>
      </c>
      <c r="C59" s="161">
        <v>43</v>
      </c>
      <c r="D59" s="161" t="s">
        <v>311</v>
      </c>
      <c r="E59" s="1371" t="s">
        <v>312</v>
      </c>
      <c r="F59" s="1371"/>
      <c r="G59" s="1371"/>
      <c r="H59" s="161" t="s">
        <v>286</v>
      </c>
      <c r="I59" s="741">
        <f>+'[11]Metraj Özeti'!AI59</f>
        <v>9.1899999999999996E-2</v>
      </c>
      <c r="J59" s="705">
        <f>+'Yeşil Defter'!AC77</f>
        <v>0</v>
      </c>
      <c r="K59" s="705">
        <f t="shared" si="0"/>
        <v>9.1899999999999996E-2</v>
      </c>
    </row>
    <row r="60" spans="1:11" ht="19.95" customHeight="1" x14ac:dyDescent="0.3">
      <c r="A60" s="262" t="s">
        <v>151</v>
      </c>
      <c r="C60" s="161">
        <v>44</v>
      </c>
      <c r="D60" s="161" t="s">
        <v>313</v>
      </c>
      <c r="E60" s="1371" t="s">
        <v>314</v>
      </c>
      <c r="F60" s="1371"/>
      <c r="G60" s="1371"/>
      <c r="H60" s="161" t="s">
        <v>286</v>
      </c>
      <c r="I60" s="741">
        <f>+'[11]Metraj Özeti'!AI60</f>
        <v>0</v>
      </c>
      <c r="J60" s="705">
        <f>+'Yeşil Defter'!AC78</f>
        <v>0</v>
      </c>
      <c r="K60" s="703">
        <f t="shared" si="0"/>
        <v>0</v>
      </c>
    </row>
    <row r="61" spans="1:11" ht="19.95" customHeight="1" x14ac:dyDescent="0.3">
      <c r="A61" s="262" t="s">
        <v>151</v>
      </c>
      <c r="C61" s="161">
        <v>45</v>
      </c>
      <c r="D61" s="161" t="s">
        <v>315</v>
      </c>
      <c r="E61" s="1371" t="s">
        <v>316</v>
      </c>
      <c r="F61" s="1371"/>
      <c r="G61" s="1371"/>
      <c r="H61" s="161" t="s">
        <v>286</v>
      </c>
      <c r="I61" s="741">
        <f>+'[11]Metraj Özeti'!AI61</f>
        <v>0</v>
      </c>
      <c r="J61" s="705">
        <f>+'Yeşil Defter'!AC79</f>
        <v>0</v>
      </c>
      <c r="K61" s="703">
        <f t="shared" si="0"/>
        <v>0</v>
      </c>
    </row>
    <row r="62" spans="1:11" ht="19.95" customHeight="1" x14ac:dyDescent="0.3">
      <c r="A62" s="262" t="s">
        <v>151</v>
      </c>
      <c r="C62" s="161">
        <v>46</v>
      </c>
      <c r="D62" s="161" t="s">
        <v>317</v>
      </c>
      <c r="E62" s="1371" t="s">
        <v>318</v>
      </c>
      <c r="F62" s="1371"/>
      <c r="G62" s="1371"/>
      <c r="H62" s="161" t="s">
        <v>286</v>
      </c>
      <c r="I62" s="741">
        <f>+'[11]Metraj Özeti'!AI62</f>
        <v>0</v>
      </c>
      <c r="J62" s="705">
        <f>+'Yeşil Defter'!AC80</f>
        <v>0</v>
      </c>
      <c r="K62" s="703">
        <f t="shared" si="0"/>
        <v>0</v>
      </c>
    </row>
    <row r="63" spans="1:11" ht="19.95" customHeight="1" x14ac:dyDescent="0.3">
      <c r="A63" s="262" t="s">
        <v>151</v>
      </c>
      <c r="C63" s="161">
        <v>47</v>
      </c>
      <c r="D63" s="161" t="s">
        <v>319</v>
      </c>
      <c r="E63" s="1371" t="s">
        <v>320</v>
      </c>
      <c r="F63" s="1371"/>
      <c r="G63" s="1371"/>
      <c r="H63" s="161" t="s">
        <v>286</v>
      </c>
      <c r="I63" s="741">
        <f>+'[11]Metraj Özeti'!AI63</f>
        <v>0</v>
      </c>
      <c r="J63" s="705">
        <f>+'Yeşil Defter'!AC81</f>
        <v>0</v>
      </c>
      <c r="K63" s="703">
        <f t="shared" si="0"/>
        <v>0</v>
      </c>
    </row>
    <row r="64" spans="1:11" ht="19.95" customHeight="1" x14ac:dyDescent="0.3">
      <c r="A64" s="262" t="s">
        <v>151</v>
      </c>
      <c r="C64" s="658">
        <v>48</v>
      </c>
      <c r="D64" s="658" t="s">
        <v>321</v>
      </c>
      <c r="E64" s="1372" t="s">
        <v>322</v>
      </c>
      <c r="F64" s="1372"/>
      <c r="G64" s="1372"/>
      <c r="H64" s="658" t="s">
        <v>286</v>
      </c>
      <c r="I64" s="741">
        <f>+'[11]Metraj Özeti'!AI64</f>
        <v>0</v>
      </c>
      <c r="J64" s="706">
        <f>+'Yeşil Defter'!AC82</f>
        <v>0</v>
      </c>
      <c r="K64" s="704">
        <f t="shared" si="0"/>
        <v>0</v>
      </c>
    </row>
    <row r="65" spans="1:11" ht="19.95" customHeight="1" x14ac:dyDescent="0.3">
      <c r="A65" s="262">
        <v>1</v>
      </c>
      <c r="C65" s="724"/>
      <c r="D65" s="634" t="s">
        <v>1225</v>
      </c>
      <c r="E65" s="635"/>
      <c r="F65" s="635"/>
      <c r="G65" s="635"/>
      <c r="H65" s="635"/>
      <c r="I65" s="741">
        <f>+'[11]Metraj Özeti'!AI65</f>
        <v>0</v>
      </c>
      <c r="J65" s="725"/>
      <c r="K65" s="637"/>
    </row>
    <row r="66" spans="1:11" ht="13.05" customHeight="1" x14ac:dyDescent="0.3">
      <c r="A66" s="262" t="s">
        <v>152</v>
      </c>
      <c r="C66" s="160">
        <v>49</v>
      </c>
      <c r="D66" s="210" t="s">
        <v>323</v>
      </c>
      <c r="E66" s="1373" t="s">
        <v>324</v>
      </c>
      <c r="F66" s="1373"/>
      <c r="G66" s="1373"/>
      <c r="H66" s="160" t="s">
        <v>228</v>
      </c>
      <c r="I66" s="741">
        <f>+'[11]Metraj Özeti'!AI66</f>
        <v>53746.188000000002</v>
      </c>
      <c r="J66" s="489" t="e">
        <f>+#REF!+#REF!</f>
        <v>#REF!</v>
      </c>
      <c r="K66" s="513" t="e">
        <f t="shared" ref="K66:K96" si="1">+J66+I66</f>
        <v>#REF!</v>
      </c>
    </row>
    <row r="67" spans="1:11" ht="13.05" customHeight="1" x14ac:dyDescent="0.3">
      <c r="A67" s="262" t="s">
        <v>152</v>
      </c>
      <c r="C67" s="161">
        <v>50</v>
      </c>
      <c r="D67" s="161" t="s">
        <v>325</v>
      </c>
      <c r="E67" s="1371" t="s">
        <v>326</v>
      </c>
      <c r="F67" s="1371"/>
      <c r="G67" s="1371"/>
      <c r="H67" s="161" t="s">
        <v>228</v>
      </c>
      <c r="I67" s="741">
        <f>+'[11]Metraj Özeti'!AI67</f>
        <v>0</v>
      </c>
      <c r="J67" s="489" t="e">
        <f>+#REF!+#REF!</f>
        <v>#REF!</v>
      </c>
      <c r="K67" s="511" t="e">
        <f t="shared" si="1"/>
        <v>#REF!</v>
      </c>
    </row>
    <row r="68" spans="1:11" ht="13.05" customHeight="1" x14ac:dyDescent="0.3">
      <c r="A68" s="262" t="s">
        <v>152</v>
      </c>
      <c r="C68" s="161">
        <v>51</v>
      </c>
      <c r="D68" s="161" t="s">
        <v>327</v>
      </c>
      <c r="E68" s="1371" t="s">
        <v>238</v>
      </c>
      <c r="F68" s="1371"/>
      <c r="G68" s="1371"/>
      <c r="H68" s="161" t="s">
        <v>228</v>
      </c>
      <c r="I68" s="741">
        <f>+'[11]Metraj Özeti'!AI68</f>
        <v>0</v>
      </c>
      <c r="J68" s="489" t="e">
        <f>+#REF!+#REF!</f>
        <v>#REF!</v>
      </c>
      <c r="K68" s="511" t="e">
        <f t="shared" si="1"/>
        <v>#REF!</v>
      </c>
    </row>
    <row r="69" spans="1:11" ht="13.05" customHeight="1" x14ac:dyDescent="0.3">
      <c r="A69" s="262" t="s">
        <v>152</v>
      </c>
      <c r="C69" s="161">
        <v>52</v>
      </c>
      <c r="D69" s="213" t="s">
        <v>328</v>
      </c>
      <c r="E69" s="1371" t="s">
        <v>329</v>
      </c>
      <c r="F69" s="1371"/>
      <c r="G69" s="1371"/>
      <c r="H69" s="161" t="s">
        <v>228</v>
      </c>
      <c r="I69" s="741">
        <f>+'[11]Metraj Özeti'!AI69</f>
        <v>11287.989999999998</v>
      </c>
      <c r="J69" s="489" t="e">
        <f>+#REF!+#REF!</f>
        <v>#REF!</v>
      </c>
      <c r="K69" s="511" t="e">
        <f t="shared" si="1"/>
        <v>#REF!</v>
      </c>
    </row>
    <row r="70" spans="1:11" ht="13.05" customHeight="1" x14ac:dyDescent="0.3">
      <c r="A70" s="262" t="s">
        <v>152</v>
      </c>
      <c r="C70" s="161">
        <v>53</v>
      </c>
      <c r="D70" s="161" t="s">
        <v>330</v>
      </c>
      <c r="E70" s="1371" t="s">
        <v>331</v>
      </c>
      <c r="F70" s="1371"/>
      <c r="G70" s="1371"/>
      <c r="H70" s="161" t="s">
        <v>202</v>
      </c>
      <c r="I70" s="741">
        <f>+'[11]Metraj Özeti'!AI70</f>
        <v>0</v>
      </c>
      <c r="J70" s="489" t="e">
        <f>+#REF!+#REF!</f>
        <v>#REF!</v>
      </c>
      <c r="K70" s="511" t="e">
        <f t="shared" si="1"/>
        <v>#REF!</v>
      </c>
    </row>
    <row r="71" spans="1:11" ht="13.05" customHeight="1" x14ac:dyDescent="0.3">
      <c r="A71" s="262" t="s">
        <v>152</v>
      </c>
      <c r="C71" s="161">
        <v>54</v>
      </c>
      <c r="D71" s="161" t="s">
        <v>332</v>
      </c>
      <c r="E71" s="1371" t="s">
        <v>333</v>
      </c>
      <c r="F71" s="1371"/>
      <c r="G71" s="1371"/>
      <c r="H71" s="161" t="s">
        <v>202</v>
      </c>
      <c r="I71" s="741">
        <f>+'[11]Metraj Özeti'!AI71</f>
        <v>0</v>
      </c>
      <c r="J71" s="489" t="e">
        <f>+#REF!+#REF!</f>
        <v>#REF!</v>
      </c>
      <c r="K71" s="511" t="e">
        <f t="shared" si="1"/>
        <v>#REF!</v>
      </c>
    </row>
    <row r="72" spans="1:11" ht="13.05" customHeight="1" x14ac:dyDescent="0.3">
      <c r="A72" s="262" t="s">
        <v>152</v>
      </c>
      <c r="C72" s="161">
        <v>55</v>
      </c>
      <c r="D72" s="161" t="s">
        <v>334</v>
      </c>
      <c r="E72" s="1371" t="s">
        <v>246</v>
      </c>
      <c r="F72" s="1371"/>
      <c r="G72" s="1371"/>
      <c r="H72" s="161" t="s">
        <v>247</v>
      </c>
      <c r="I72" s="741">
        <f>+'[11]Metraj Özeti'!AI72</f>
        <v>0</v>
      </c>
      <c r="J72" s="489" t="e">
        <f>+#REF!+#REF!</f>
        <v>#REF!</v>
      </c>
      <c r="K72" s="511" t="e">
        <f t="shared" si="1"/>
        <v>#REF!</v>
      </c>
    </row>
    <row r="73" spans="1:11" ht="13.05" customHeight="1" x14ac:dyDescent="0.3">
      <c r="A73" s="262" t="s">
        <v>152</v>
      </c>
      <c r="C73" s="161">
        <v>56</v>
      </c>
      <c r="D73" s="161" t="s">
        <v>335</v>
      </c>
      <c r="E73" s="1371" t="s">
        <v>249</v>
      </c>
      <c r="F73" s="1371"/>
      <c r="G73" s="1371"/>
      <c r="H73" s="161" t="s">
        <v>247</v>
      </c>
      <c r="I73" s="741">
        <f>+'[11]Metraj Özeti'!AI73</f>
        <v>2492</v>
      </c>
      <c r="J73" s="489" t="e">
        <f>+#REF!+#REF!</f>
        <v>#REF!</v>
      </c>
      <c r="K73" s="511" t="e">
        <f t="shared" si="1"/>
        <v>#REF!</v>
      </c>
    </row>
    <row r="74" spans="1:11" ht="13.05" customHeight="1" x14ac:dyDescent="0.3">
      <c r="A74" s="262" t="s">
        <v>152</v>
      </c>
      <c r="C74" s="161">
        <v>57</v>
      </c>
      <c r="D74" s="161" t="s">
        <v>336</v>
      </c>
      <c r="E74" s="1371" t="s">
        <v>251</v>
      </c>
      <c r="F74" s="1371"/>
      <c r="G74" s="1371"/>
      <c r="H74" s="161" t="s">
        <v>247</v>
      </c>
      <c r="I74" s="741">
        <f>+'[11]Metraj Özeti'!AI74</f>
        <v>0</v>
      </c>
      <c r="J74" s="489" t="e">
        <f>+#REF!+#REF!</f>
        <v>#REF!</v>
      </c>
      <c r="K74" s="511" t="e">
        <f t="shared" si="1"/>
        <v>#REF!</v>
      </c>
    </row>
    <row r="75" spans="1:11" ht="13.05" customHeight="1" x14ac:dyDescent="0.3">
      <c r="A75" s="262" t="s">
        <v>152</v>
      </c>
      <c r="C75" s="161">
        <v>58</v>
      </c>
      <c r="D75" s="161" t="s">
        <v>337</v>
      </c>
      <c r="E75" s="1371" t="s">
        <v>253</v>
      </c>
      <c r="F75" s="1371"/>
      <c r="G75" s="1371"/>
      <c r="H75" s="161" t="s">
        <v>247</v>
      </c>
      <c r="I75" s="741">
        <f>+'[11]Metraj Özeti'!AI75</f>
        <v>2074</v>
      </c>
      <c r="J75" s="489" t="e">
        <f>+#REF!+#REF!</f>
        <v>#REF!</v>
      </c>
      <c r="K75" s="511" t="e">
        <f t="shared" si="1"/>
        <v>#REF!</v>
      </c>
    </row>
    <row r="76" spans="1:11" ht="13.05" customHeight="1" x14ac:dyDescent="0.3">
      <c r="A76" s="262" t="s">
        <v>152</v>
      </c>
      <c r="C76" s="161">
        <v>59</v>
      </c>
      <c r="D76" s="161" t="s">
        <v>338</v>
      </c>
      <c r="E76" s="1371" t="s">
        <v>339</v>
      </c>
      <c r="F76" s="1371"/>
      <c r="G76" s="1371"/>
      <c r="H76" s="161" t="s">
        <v>247</v>
      </c>
      <c r="I76" s="741">
        <f>+'[11]Metraj Özeti'!AI76</f>
        <v>9774</v>
      </c>
      <c r="J76" s="489" t="e">
        <f>+#REF!+#REF!</f>
        <v>#REF!</v>
      </c>
      <c r="K76" s="511" t="e">
        <f t="shared" si="1"/>
        <v>#REF!</v>
      </c>
    </row>
    <row r="77" spans="1:11" ht="13.05" customHeight="1" x14ac:dyDescent="0.3">
      <c r="A77" s="262" t="s">
        <v>152</v>
      </c>
      <c r="C77" s="161">
        <v>60</v>
      </c>
      <c r="D77" s="161" t="s">
        <v>340</v>
      </c>
      <c r="E77" s="1371" t="s">
        <v>242</v>
      </c>
      <c r="F77" s="1371"/>
      <c r="G77" s="1371"/>
      <c r="H77" s="161" t="s">
        <v>202</v>
      </c>
      <c r="I77" s="741">
        <f>+'[11]Metraj Özeti'!AI77</f>
        <v>37566</v>
      </c>
      <c r="J77" s="489" t="e">
        <f>+#REF!+#REF!</f>
        <v>#REF!</v>
      </c>
      <c r="K77" s="511" t="e">
        <f t="shared" si="1"/>
        <v>#REF!</v>
      </c>
    </row>
    <row r="78" spans="1:11" ht="13.05" customHeight="1" x14ac:dyDescent="0.3">
      <c r="A78" s="262" t="s">
        <v>152</v>
      </c>
      <c r="C78" s="161">
        <v>61</v>
      </c>
      <c r="D78" s="161" t="s">
        <v>341</v>
      </c>
      <c r="E78" s="1371" t="s">
        <v>244</v>
      </c>
      <c r="F78" s="1371"/>
      <c r="G78" s="1371"/>
      <c r="H78" s="161" t="s">
        <v>202</v>
      </c>
      <c r="I78" s="741">
        <f>+'[11]Metraj Özeti'!AI78</f>
        <v>0</v>
      </c>
      <c r="J78" s="489" t="e">
        <f>+#REF!+#REF!</f>
        <v>#REF!</v>
      </c>
      <c r="K78" s="511" t="e">
        <f t="shared" si="1"/>
        <v>#REF!</v>
      </c>
    </row>
    <row r="79" spans="1:11" ht="13.05" customHeight="1" x14ac:dyDescent="0.3">
      <c r="A79" s="262" t="s">
        <v>152</v>
      </c>
      <c r="C79" s="161">
        <v>62</v>
      </c>
      <c r="D79" s="213" t="s">
        <v>342</v>
      </c>
      <c r="E79" s="1371" t="s">
        <v>343</v>
      </c>
      <c r="F79" s="1371"/>
      <c r="G79" s="1371"/>
      <c r="H79" s="161" t="s">
        <v>262</v>
      </c>
      <c r="I79" s="741">
        <f>+'[11]Metraj Özeti'!AI79</f>
        <v>2244.4250000000002</v>
      </c>
      <c r="J79" s="489" t="e">
        <f>+#REF!+#REF!</f>
        <v>#REF!</v>
      </c>
      <c r="K79" s="511" t="e">
        <f t="shared" si="1"/>
        <v>#REF!</v>
      </c>
    </row>
    <row r="80" spans="1:11" ht="13.05" customHeight="1" x14ac:dyDescent="0.3">
      <c r="A80" s="262" t="s">
        <v>152</v>
      </c>
      <c r="C80" s="161">
        <v>63</v>
      </c>
      <c r="D80" s="213" t="s">
        <v>344</v>
      </c>
      <c r="E80" s="1371" t="s">
        <v>345</v>
      </c>
      <c r="F80" s="1371"/>
      <c r="G80" s="1371"/>
      <c r="H80" s="161" t="s">
        <v>202</v>
      </c>
      <c r="I80" s="741">
        <f>+'[11]Metraj Özeti'!AI80</f>
        <v>95616</v>
      </c>
      <c r="J80" s="489" t="e">
        <f>+#REF!+#REF!</f>
        <v>#REF!</v>
      </c>
      <c r="K80" s="511" t="e">
        <f t="shared" si="1"/>
        <v>#REF!</v>
      </c>
    </row>
    <row r="81" spans="1:11" ht="13.05" customHeight="1" x14ac:dyDescent="0.3">
      <c r="A81" s="262" t="s">
        <v>152</v>
      </c>
      <c r="C81" s="161">
        <v>64</v>
      </c>
      <c r="D81" s="161" t="s">
        <v>346</v>
      </c>
      <c r="E81" s="1371" t="s">
        <v>347</v>
      </c>
      <c r="F81" s="1371"/>
      <c r="G81" s="1371"/>
      <c r="H81" s="161" t="s">
        <v>225</v>
      </c>
      <c r="I81" s="741">
        <f>+'[11]Metraj Özeti'!AI81</f>
        <v>5086.1019000000106</v>
      </c>
      <c r="J81" s="489" t="e">
        <f>+#REF!+#REF!</f>
        <v>#REF!</v>
      </c>
      <c r="K81" s="511" t="e">
        <f t="shared" si="1"/>
        <v>#REF!</v>
      </c>
    </row>
    <row r="82" spans="1:11" ht="13.05" customHeight="1" x14ac:dyDescent="0.3">
      <c r="A82" s="262" t="s">
        <v>152</v>
      </c>
      <c r="C82" s="161">
        <v>65</v>
      </c>
      <c r="D82" s="161" t="s">
        <v>348</v>
      </c>
      <c r="E82" s="1371" t="s">
        <v>349</v>
      </c>
      <c r="F82" s="1371"/>
      <c r="G82" s="1371"/>
      <c r="H82" s="161" t="s">
        <v>225</v>
      </c>
      <c r="I82" s="741">
        <f>+'[11]Metraj Özeti'!AI82</f>
        <v>2929.7649000000056</v>
      </c>
      <c r="J82" s="489" t="e">
        <f>+#REF!+#REF!</f>
        <v>#REF!</v>
      </c>
      <c r="K82" s="511" t="e">
        <f t="shared" si="1"/>
        <v>#REF!</v>
      </c>
    </row>
    <row r="83" spans="1:11" ht="13.05" customHeight="1" x14ac:dyDescent="0.3">
      <c r="A83" s="262" t="s">
        <v>152</v>
      </c>
      <c r="C83" s="161">
        <v>66</v>
      </c>
      <c r="D83" s="213" t="s">
        <v>350</v>
      </c>
      <c r="E83" s="1371" t="s">
        <v>351</v>
      </c>
      <c r="F83" s="1371"/>
      <c r="G83" s="1371"/>
      <c r="H83" s="161" t="s">
        <v>202</v>
      </c>
      <c r="I83" s="741">
        <f>+'[11]Metraj Özeti'!AI83</f>
        <v>938.72700000000123</v>
      </c>
      <c r="J83" s="489" t="e">
        <f>+#REF!+#REF!</f>
        <v>#REF!</v>
      </c>
      <c r="K83" s="511" t="e">
        <f t="shared" si="1"/>
        <v>#REF!</v>
      </c>
    </row>
    <row r="84" spans="1:11" ht="13.05" customHeight="1" x14ac:dyDescent="0.3">
      <c r="A84" s="262" t="s">
        <v>152</v>
      </c>
      <c r="C84" s="161">
        <v>67</v>
      </c>
      <c r="D84" s="161" t="s">
        <v>352</v>
      </c>
      <c r="E84" s="1371" t="s">
        <v>353</v>
      </c>
      <c r="F84" s="1371"/>
      <c r="G84" s="1371"/>
      <c r="H84" s="161" t="s">
        <v>225</v>
      </c>
      <c r="I84" s="741">
        <f>+'[11]Metraj Özeti'!AI84</f>
        <v>0</v>
      </c>
      <c r="J84" s="489" t="e">
        <f>+#REF!+#REF!</f>
        <v>#REF!</v>
      </c>
      <c r="K84" s="511" t="e">
        <f t="shared" si="1"/>
        <v>#REF!</v>
      </c>
    </row>
    <row r="85" spans="1:11" ht="13.05" customHeight="1" x14ac:dyDescent="0.3">
      <c r="A85" s="262" t="s">
        <v>152</v>
      </c>
      <c r="C85" s="161">
        <v>68</v>
      </c>
      <c r="D85" s="161" t="s">
        <v>354</v>
      </c>
      <c r="E85" s="1371" t="s">
        <v>355</v>
      </c>
      <c r="F85" s="1371"/>
      <c r="G85" s="1371"/>
      <c r="H85" s="161" t="s">
        <v>225</v>
      </c>
      <c r="I85" s="741">
        <f>+'[11]Metraj Özeti'!AI85</f>
        <v>0</v>
      </c>
      <c r="J85" s="489" t="e">
        <f>+#REF!+#REF!</f>
        <v>#REF!</v>
      </c>
      <c r="K85" s="511" t="e">
        <f t="shared" si="1"/>
        <v>#REF!</v>
      </c>
    </row>
    <row r="86" spans="1:11" ht="13.05" customHeight="1" x14ac:dyDescent="0.3">
      <c r="A86" s="262" t="s">
        <v>152</v>
      </c>
      <c r="C86" s="161">
        <v>69</v>
      </c>
      <c r="D86" s="161" t="s">
        <v>356</v>
      </c>
      <c r="E86" s="1371" t="s">
        <v>357</v>
      </c>
      <c r="F86" s="1371"/>
      <c r="G86" s="1371"/>
      <c r="H86" s="161" t="s">
        <v>225</v>
      </c>
      <c r="I86" s="741">
        <f>+'[11]Metraj Özeti'!AI86</f>
        <v>155.322</v>
      </c>
      <c r="J86" s="489" t="e">
        <f>+#REF!+#REF!</f>
        <v>#REF!</v>
      </c>
      <c r="K86" s="511" t="e">
        <f t="shared" si="1"/>
        <v>#REF!</v>
      </c>
    </row>
    <row r="87" spans="1:11" ht="13.05" customHeight="1" x14ac:dyDescent="0.3">
      <c r="A87" s="262" t="s">
        <v>152</v>
      </c>
      <c r="C87" s="161">
        <v>70</v>
      </c>
      <c r="D87" s="161" t="s">
        <v>358</v>
      </c>
      <c r="E87" s="1371" t="s">
        <v>359</v>
      </c>
      <c r="F87" s="1371"/>
      <c r="G87" s="1371"/>
      <c r="H87" s="161" t="s">
        <v>228</v>
      </c>
      <c r="I87" s="741">
        <f>+'[11]Metraj Özeti'!AI87</f>
        <v>0</v>
      </c>
      <c r="J87" s="489" t="e">
        <f>+#REF!+#REF!</f>
        <v>#REF!</v>
      </c>
      <c r="K87" s="511" t="e">
        <f t="shared" si="1"/>
        <v>#REF!</v>
      </c>
    </row>
    <row r="88" spans="1:11" ht="13.05" customHeight="1" x14ac:dyDescent="0.3">
      <c r="A88" s="262" t="s">
        <v>152</v>
      </c>
      <c r="C88" s="161">
        <v>71</v>
      </c>
      <c r="D88" s="161" t="s">
        <v>360</v>
      </c>
      <c r="E88" s="1371" t="s">
        <v>361</v>
      </c>
      <c r="F88" s="1371"/>
      <c r="G88" s="1371"/>
      <c r="H88" s="161" t="s">
        <v>228</v>
      </c>
      <c r="I88" s="741">
        <f>+'[11]Metraj Özeti'!AI88</f>
        <v>1278.4686000000017</v>
      </c>
      <c r="J88" s="489" t="e">
        <f>+#REF!+#REF!</f>
        <v>#REF!</v>
      </c>
      <c r="K88" s="511" t="e">
        <f t="shared" si="1"/>
        <v>#REF!</v>
      </c>
    </row>
    <row r="89" spans="1:11" ht="13.05" customHeight="1" x14ac:dyDescent="0.3">
      <c r="A89" s="262" t="s">
        <v>152</v>
      </c>
      <c r="C89" s="161">
        <v>72</v>
      </c>
      <c r="D89" s="161" t="s">
        <v>362</v>
      </c>
      <c r="E89" s="1371" t="s">
        <v>363</v>
      </c>
      <c r="F89" s="1371"/>
      <c r="G89" s="1371"/>
      <c r="H89" s="161" t="s">
        <v>228</v>
      </c>
      <c r="I89" s="741">
        <f>+'[11]Metraj Özeti'!AI89</f>
        <v>0</v>
      </c>
      <c r="J89" s="489" t="e">
        <f>+#REF!+#REF!</f>
        <v>#REF!</v>
      </c>
      <c r="K89" s="511" t="e">
        <f t="shared" si="1"/>
        <v>#REF!</v>
      </c>
    </row>
    <row r="90" spans="1:11" ht="13.05" customHeight="1" x14ac:dyDescent="0.3">
      <c r="A90" s="262" t="s">
        <v>152</v>
      </c>
      <c r="C90" s="161">
        <v>73</v>
      </c>
      <c r="D90" s="161" t="s">
        <v>364</v>
      </c>
      <c r="E90" s="1371" t="s">
        <v>365</v>
      </c>
      <c r="F90" s="1371"/>
      <c r="G90" s="1371"/>
      <c r="H90" s="161" t="s">
        <v>228</v>
      </c>
      <c r="I90" s="741">
        <f>+'[11]Metraj Özeti'!AI90</f>
        <v>0</v>
      </c>
      <c r="J90" s="489" t="e">
        <f>+#REF!+#REF!</f>
        <v>#REF!</v>
      </c>
      <c r="K90" s="511" t="e">
        <f t="shared" si="1"/>
        <v>#REF!</v>
      </c>
    </row>
    <row r="91" spans="1:11" ht="13.05" customHeight="1" x14ac:dyDescent="0.3">
      <c r="A91" s="262" t="s">
        <v>152</v>
      </c>
      <c r="C91" s="161">
        <v>74</v>
      </c>
      <c r="D91" s="161" t="s">
        <v>366</v>
      </c>
      <c r="E91" s="1371" t="s">
        <v>367</v>
      </c>
      <c r="F91" s="1371"/>
      <c r="G91" s="1371"/>
      <c r="H91" s="161" t="s">
        <v>262</v>
      </c>
      <c r="I91" s="741">
        <f>+'[11]Metraj Özeti'!AI91</f>
        <v>117.03899999999997</v>
      </c>
      <c r="J91" s="489" t="e">
        <f>+#REF!+#REF!</f>
        <v>#REF!</v>
      </c>
      <c r="K91" s="511" t="e">
        <f t="shared" si="1"/>
        <v>#REF!</v>
      </c>
    </row>
    <row r="92" spans="1:11" ht="13.05" customHeight="1" x14ac:dyDescent="0.3">
      <c r="A92" s="262" t="s">
        <v>152</v>
      </c>
      <c r="C92" s="161">
        <v>75</v>
      </c>
      <c r="D92" s="161" t="s">
        <v>368</v>
      </c>
      <c r="E92" s="1371" t="s">
        <v>369</v>
      </c>
      <c r="F92" s="1371"/>
      <c r="G92" s="1371"/>
      <c r="H92" s="161" t="s">
        <v>262</v>
      </c>
      <c r="I92" s="741">
        <f>+'[11]Metraj Özeti'!AI92</f>
        <v>281.45999999999992</v>
      </c>
      <c r="J92" s="489" t="e">
        <f>+#REF!+#REF!</f>
        <v>#REF!</v>
      </c>
      <c r="K92" s="511" t="e">
        <f t="shared" si="1"/>
        <v>#REF!</v>
      </c>
    </row>
    <row r="93" spans="1:11" ht="13.05" customHeight="1" x14ac:dyDescent="0.3">
      <c r="A93" s="262" t="s">
        <v>152</v>
      </c>
      <c r="C93" s="161">
        <v>76</v>
      </c>
      <c r="D93" s="161" t="s">
        <v>370</v>
      </c>
      <c r="E93" s="1371" t="s">
        <v>371</v>
      </c>
      <c r="F93" s="1371"/>
      <c r="G93" s="1371"/>
      <c r="H93" s="161" t="s">
        <v>262</v>
      </c>
      <c r="I93" s="741">
        <f>+'[11]Metraj Özeti'!AI93</f>
        <v>707.92799999999988</v>
      </c>
      <c r="J93" s="489" t="e">
        <f>+#REF!+#REF!</f>
        <v>#REF!</v>
      </c>
      <c r="K93" s="511" t="e">
        <f t="shared" si="1"/>
        <v>#REF!</v>
      </c>
    </row>
    <row r="94" spans="1:11" ht="19.95" customHeight="1" x14ac:dyDescent="0.3">
      <c r="A94" s="262" t="s">
        <v>152</v>
      </c>
      <c r="C94" s="161">
        <v>77</v>
      </c>
      <c r="D94" s="161" t="s">
        <v>372</v>
      </c>
      <c r="E94" s="1371" t="s">
        <v>373</v>
      </c>
      <c r="F94" s="1371"/>
      <c r="G94" s="1371"/>
      <c r="H94" s="161" t="s">
        <v>374</v>
      </c>
      <c r="I94" s="741">
        <f>+'[11]Metraj Özeti'!AI94</f>
        <v>0</v>
      </c>
      <c r="J94" s="489" t="e">
        <f>+#REF!+#REF!</f>
        <v>#REF!</v>
      </c>
      <c r="K94" s="511" t="e">
        <f t="shared" si="1"/>
        <v>#REF!</v>
      </c>
    </row>
    <row r="95" spans="1:11" ht="19.95" customHeight="1" x14ac:dyDescent="0.3">
      <c r="A95" s="262" t="s">
        <v>152</v>
      </c>
      <c r="C95" s="161">
        <v>78</v>
      </c>
      <c r="D95" s="161" t="s">
        <v>375</v>
      </c>
      <c r="E95" s="1371" t="s">
        <v>376</v>
      </c>
      <c r="F95" s="1371"/>
      <c r="G95" s="1371"/>
      <c r="H95" s="161" t="s">
        <v>374</v>
      </c>
      <c r="I95" s="741">
        <f>+'[11]Metraj Özeti'!AI95</f>
        <v>0</v>
      </c>
      <c r="J95" s="489" t="e">
        <f>+#REF!+#REF!</f>
        <v>#REF!</v>
      </c>
      <c r="K95" s="511" t="e">
        <f t="shared" si="1"/>
        <v>#REF!</v>
      </c>
    </row>
    <row r="96" spans="1:11" ht="19.95" customHeight="1" x14ac:dyDescent="0.3">
      <c r="A96" s="262" t="s">
        <v>152</v>
      </c>
      <c r="C96" s="658">
        <v>79</v>
      </c>
      <c r="D96" s="689" t="s">
        <v>377</v>
      </c>
      <c r="E96" s="1372" t="s">
        <v>378</v>
      </c>
      <c r="F96" s="1372"/>
      <c r="G96" s="1372"/>
      <c r="H96" s="658" t="s">
        <v>202</v>
      </c>
      <c r="I96" s="741">
        <f>+'[11]Metraj Özeti'!AI96</f>
        <v>0</v>
      </c>
      <c r="J96" s="489" t="e">
        <f>+#REF!+#REF!</f>
        <v>#REF!</v>
      </c>
      <c r="K96" s="511" t="e">
        <f t="shared" si="1"/>
        <v>#REF!</v>
      </c>
    </row>
    <row r="97" spans="1:11" ht="19.95" customHeight="1" x14ac:dyDescent="0.3">
      <c r="A97" s="262">
        <v>1</v>
      </c>
      <c r="C97" s="724"/>
      <c r="D97" s="634" t="s">
        <v>1226</v>
      </c>
      <c r="E97" s="635"/>
      <c r="F97" s="635"/>
      <c r="G97" s="635"/>
      <c r="H97" s="635"/>
      <c r="I97" s="741">
        <f>+'[11]Metraj Özeti'!AI97</f>
        <v>0</v>
      </c>
      <c r="J97" s="725"/>
      <c r="K97" s="637"/>
    </row>
    <row r="98" spans="1:11" ht="10.050000000000001" customHeight="1" x14ac:dyDescent="0.3">
      <c r="A98" s="262" t="s">
        <v>153</v>
      </c>
      <c r="C98" s="160">
        <v>80</v>
      </c>
      <c r="D98" s="210" t="s">
        <v>379</v>
      </c>
      <c r="E98" s="1373" t="s">
        <v>380</v>
      </c>
      <c r="F98" s="1373"/>
      <c r="G98" s="1373"/>
      <c r="H98" s="160" t="s">
        <v>202</v>
      </c>
      <c r="I98" s="741">
        <f>+'[11]Metraj Özeti'!AI98</f>
        <v>0</v>
      </c>
      <c r="J98" s="489">
        <f>+'Yeşil Defter'!AC158</f>
        <v>0</v>
      </c>
      <c r="K98" s="489">
        <f t="shared" ref="K98:K99" si="2">+J98+I98</f>
        <v>0</v>
      </c>
    </row>
    <row r="99" spans="1:11" ht="10.050000000000001" customHeight="1" x14ac:dyDescent="0.3">
      <c r="A99" s="262" t="s">
        <v>153</v>
      </c>
      <c r="C99" s="161">
        <v>81</v>
      </c>
      <c r="D99" s="213" t="s">
        <v>381</v>
      </c>
      <c r="E99" s="1371" t="s">
        <v>382</v>
      </c>
      <c r="F99" s="1371"/>
      <c r="G99" s="1371"/>
      <c r="H99" s="161" t="s">
        <v>286</v>
      </c>
      <c r="I99" s="741">
        <f>+'[11]Metraj Özeti'!AI99</f>
        <v>0</v>
      </c>
      <c r="J99" s="226">
        <f>+[13]İcmal!$M$20</f>
        <v>6.5803125000000018E-2</v>
      </c>
      <c r="K99" s="226">
        <f t="shared" si="2"/>
        <v>6.5803125000000018E-2</v>
      </c>
    </row>
    <row r="100" spans="1:11" ht="10.050000000000001" customHeight="1" x14ac:dyDescent="0.3">
      <c r="A100" s="262" t="s">
        <v>153</v>
      </c>
      <c r="C100" s="658">
        <v>82</v>
      </c>
      <c r="D100" s="689" t="s">
        <v>383</v>
      </c>
      <c r="E100" s="1372" t="s">
        <v>384</v>
      </c>
      <c r="F100" s="1372"/>
      <c r="G100" s="1372"/>
      <c r="H100" s="658" t="s">
        <v>286</v>
      </c>
      <c r="I100" s="741">
        <f>+'[11]Metraj Özeti'!AI100</f>
        <v>0.25349999999999995</v>
      </c>
      <c r="J100" s="687">
        <f>+[14]İcmal!$L$20</f>
        <v>1.6900000000000026E-2</v>
      </c>
      <c r="K100" s="687">
        <f>+I100+J100</f>
        <v>0.27039999999999997</v>
      </c>
    </row>
    <row r="101" spans="1:11" ht="10.050000000000001" customHeight="1" x14ac:dyDescent="0.3">
      <c r="A101" s="262">
        <v>1</v>
      </c>
      <c r="C101" s="686"/>
      <c r="D101" s="233" t="s">
        <v>1227</v>
      </c>
      <c r="E101" s="234"/>
      <c r="F101" s="234"/>
      <c r="G101" s="234"/>
      <c r="H101" s="234"/>
      <c r="I101" s="741">
        <f>+'[11]Metraj Özeti'!AI101</f>
        <v>0</v>
      </c>
      <c r="J101" s="688"/>
      <c r="K101" s="600">
        <f t="shared" ref="K101:K164" si="3">+J101+I101</f>
        <v>0</v>
      </c>
    </row>
    <row r="102" spans="1:11" ht="19.95" customHeight="1" x14ac:dyDescent="0.3">
      <c r="A102" s="262" t="s">
        <v>154</v>
      </c>
      <c r="C102" s="160">
        <v>83</v>
      </c>
      <c r="D102" s="210" t="s">
        <v>385</v>
      </c>
      <c r="E102" s="1373" t="s">
        <v>386</v>
      </c>
      <c r="F102" s="1373"/>
      <c r="G102" s="1373"/>
      <c r="H102" s="160" t="s">
        <v>225</v>
      </c>
      <c r="I102" s="741">
        <f>+'[11]Metraj Özeti'!AI102</f>
        <v>0</v>
      </c>
      <c r="J102" s="705">
        <f>+'Yeşil Defter'!AC205</f>
        <v>0</v>
      </c>
      <c r="K102" s="703">
        <f t="shared" si="3"/>
        <v>0</v>
      </c>
    </row>
    <row r="103" spans="1:11" ht="19.95" customHeight="1" x14ac:dyDescent="0.3">
      <c r="A103" s="262" t="s">
        <v>154</v>
      </c>
      <c r="C103" s="161">
        <v>84</v>
      </c>
      <c r="D103" s="213" t="s">
        <v>387</v>
      </c>
      <c r="E103" s="1371" t="s">
        <v>388</v>
      </c>
      <c r="F103" s="1371"/>
      <c r="G103" s="1371"/>
      <c r="H103" s="161" t="s">
        <v>225</v>
      </c>
      <c r="I103" s="741">
        <f>+'[11]Metraj Özeti'!AI103</f>
        <v>0</v>
      </c>
      <c r="J103" s="705">
        <f>+'Yeşil Defter'!AC206</f>
        <v>0</v>
      </c>
      <c r="K103" s="703">
        <f t="shared" si="3"/>
        <v>0</v>
      </c>
    </row>
    <row r="104" spans="1:11" ht="19.95" customHeight="1" x14ac:dyDescent="0.3">
      <c r="A104" s="262" t="s">
        <v>154</v>
      </c>
      <c r="C104" s="161">
        <v>85</v>
      </c>
      <c r="D104" s="213" t="s">
        <v>389</v>
      </c>
      <c r="E104" s="1371" t="s">
        <v>390</v>
      </c>
      <c r="F104" s="1371"/>
      <c r="G104" s="1371"/>
      <c r="H104" s="161" t="s">
        <v>228</v>
      </c>
      <c r="I104" s="741">
        <f>+'[11]Metraj Özeti'!AI104</f>
        <v>0</v>
      </c>
      <c r="J104" s="705">
        <f>+'Yeşil Defter'!AC207</f>
        <v>0</v>
      </c>
      <c r="K104" s="703">
        <f t="shared" si="3"/>
        <v>0</v>
      </c>
    </row>
    <row r="105" spans="1:11" ht="19.95" customHeight="1" x14ac:dyDescent="0.3">
      <c r="A105" s="262" t="s">
        <v>154</v>
      </c>
      <c r="C105" s="161">
        <v>86</v>
      </c>
      <c r="D105" s="161" t="s">
        <v>391</v>
      </c>
      <c r="E105" s="1371" t="s">
        <v>392</v>
      </c>
      <c r="F105" s="1371"/>
      <c r="G105" s="1371"/>
      <c r="H105" s="161" t="s">
        <v>225</v>
      </c>
      <c r="I105" s="741">
        <f>+'[11]Metraj Özeti'!AI105</f>
        <v>0</v>
      </c>
      <c r="J105" s="705">
        <f>+'Yeşil Defter'!AC208</f>
        <v>0</v>
      </c>
      <c r="K105" s="703">
        <f t="shared" si="3"/>
        <v>0</v>
      </c>
    </row>
    <row r="106" spans="1:11" ht="19.95" customHeight="1" x14ac:dyDescent="0.3">
      <c r="A106" s="262" t="s">
        <v>154</v>
      </c>
      <c r="C106" s="161">
        <v>87</v>
      </c>
      <c r="D106" s="161" t="s">
        <v>393</v>
      </c>
      <c r="E106" s="1371" t="s">
        <v>394</v>
      </c>
      <c r="F106" s="1371"/>
      <c r="G106" s="1371"/>
      <c r="H106" s="161" t="s">
        <v>225</v>
      </c>
      <c r="I106" s="741">
        <f>+'[11]Metraj Özeti'!AI106</f>
        <v>0</v>
      </c>
      <c r="J106" s="705">
        <f>+'Yeşil Defter'!AC209</f>
        <v>0</v>
      </c>
      <c r="K106" s="703">
        <f t="shared" si="3"/>
        <v>0</v>
      </c>
    </row>
    <row r="107" spans="1:11" ht="19.95" customHeight="1" x14ac:dyDescent="0.3">
      <c r="A107" s="262" t="s">
        <v>154</v>
      </c>
      <c r="C107" s="161">
        <v>88</v>
      </c>
      <c r="D107" s="161" t="s">
        <v>395</v>
      </c>
      <c r="E107" s="1371" t="s">
        <v>396</v>
      </c>
      <c r="F107" s="1371"/>
      <c r="G107" s="1371"/>
      <c r="H107" s="161" t="s">
        <v>225</v>
      </c>
      <c r="I107" s="741">
        <f>+'[11]Metraj Özeti'!AI107</f>
        <v>0</v>
      </c>
      <c r="J107" s="705">
        <f>+'Yeşil Defter'!AC210</f>
        <v>0</v>
      </c>
      <c r="K107" s="703">
        <f t="shared" si="3"/>
        <v>0</v>
      </c>
    </row>
    <row r="108" spans="1:11" ht="19.95" customHeight="1" x14ac:dyDescent="0.3">
      <c r="A108" s="262" t="s">
        <v>154</v>
      </c>
      <c r="C108" s="161">
        <v>89</v>
      </c>
      <c r="D108" s="161" t="s">
        <v>397</v>
      </c>
      <c r="E108" s="1371" t="s">
        <v>398</v>
      </c>
      <c r="F108" s="1371"/>
      <c r="G108" s="1371"/>
      <c r="H108" s="161" t="s">
        <v>225</v>
      </c>
      <c r="I108" s="741">
        <f>+'[11]Metraj Özeti'!AI108</f>
        <v>0</v>
      </c>
      <c r="J108" s="705">
        <f>+'Yeşil Defter'!AC211</f>
        <v>0</v>
      </c>
      <c r="K108" s="703">
        <f t="shared" si="3"/>
        <v>0</v>
      </c>
    </row>
    <row r="109" spans="1:11" ht="19.95" customHeight="1" x14ac:dyDescent="0.3">
      <c r="A109" s="262" t="s">
        <v>154</v>
      </c>
      <c r="C109" s="161">
        <v>90</v>
      </c>
      <c r="D109" s="161" t="s">
        <v>399</v>
      </c>
      <c r="E109" s="1371" t="s">
        <v>400</v>
      </c>
      <c r="F109" s="1371"/>
      <c r="G109" s="1371"/>
      <c r="H109" s="161" t="s">
        <v>225</v>
      </c>
      <c r="I109" s="741">
        <f>+'[11]Metraj Özeti'!AI109</f>
        <v>0</v>
      </c>
      <c r="J109" s="705">
        <f>+'Yeşil Defter'!AC212</f>
        <v>0</v>
      </c>
      <c r="K109" s="703">
        <f t="shared" si="3"/>
        <v>0</v>
      </c>
    </row>
    <row r="110" spans="1:11" ht="19.95" customHeight="1" x14ac:dyDescent="0.3">
      <c r="A110" s="262" t="s">
        <v>154</v>
      </c>
      <c r="C110" s="161">
        <v>91</v>
      </c>
      <c r="D110" s="161" t="s">
        <v>401</v>
      </c>
      <c r="E110" s="1371" t="s">
        <v>402</v>
      </c>
      <c r="F110" s="1371"/>
      <c r="G110" s="1371"/>
      <c r="H110" s="161" t="s">
        <v>225</v>
      </c>
      <c r="I110" s="741">
        <f>+'[11]Metraj Özeti'!AI110</f>
        <v>0</v>
      </c>
      <c r="J110" s="705">
        <f>+'Yeşil Defter'!AC213</f>
        <v>0</v>
      </c>
      <c r="K110" s="703">
        <f t="shared" si="3"/>
        <v>0</v>
      </c>
    </row>
    <row r="111" spans="1:11" ht="19.95" customHeight="1" x14ac:dyDescent="0.3">
      <c r="A111" s="262" t="s">
        <v>154</v>
      </c>
      <c r="C111" s="161">
        <v>92</v>
      </c>
      <c r="D111" s="161" t="s">
        <v>403</v>
      </c>
      <c r="E111" s="1371" t="s">
        <v>404</v>
      </c>
      <c r="F111" s="1371"/>
      <c r="G111" s="1371"/>
      <c r="H111" s="161" t="s">
        <v>225</v>
      </c>
      <c r="I111" s="741">
        <f>+'[11]Metraj Özeti'!AI111</f>
        <v>0</v>
      </c>
      <c r="J111" s="705">
        <f>+'Yeşil Defter'!AC214</f>
        <v>0</v>
      </c>
      <c r="K111" s="703">
        <f t="shared" si="3"/>
        <v>0</v>
      </c>
    </row>
    <row r="112" spans="1:11" ht="19.95" customHeight="1" x14ac:dyDescent="0.3">
      <c r="A112" s="262" t="s">
        <v>154</v>
      </c>
      <c r="C112" s="161">
        <v>93</v>
      </c>
      <c r="D112" s="161" t="s">
        <v>405</v>
      </c>
      <c r="E112" s="1371" t="s">
        <v>406</v>
      </c>
      <c r="F112" s="1371"/>
      <c r="G112" s="1371"/>
      <c r="H112" s="161" t="s">
        <v>225</v>
      </c>
      <c r="I112" s="741">
        <f>+'[11]Metraj Özeti'!AI112</f>
        <v>0</v>
      </c>
      <c r="J112" s="705">
        <f>+'Yeşil Defter'!AC215</f>
        <v>0</v>
      </c>
      <c r="K112" s="703">
        <f t="shared" si="3"/>
        <v>0</v>
      </c>
    </row>
    <row r="113" spans="1:11" ht="19.95" customHeight="1" x14ac:dyDescent="0.3">
      <c r="A113" s="262" t="s">
        <v>154</v>
      </c>
      <c r="C113" s="161">
        <v>94</v>
      </c>
      <c r="D113" s="161" t="s">
        <v>407</v>
      </c>
      <c r="E113" s="1371" t="s">
        <v>408</v>
      </c>
      <c r="F113" s="1371"/>
      <c r="G113" s="1371"/>
      <c r="H113" s="161" t="s">
        <v>225</v>
      </c>
      <c r="I113" s="741">
        <f>+'[11]Metraj Özeti'!AI113</f>
        <v>0</v>
      </c>
      <c r="J113" s="705">
        <f>+'Yeşil Defter'!AC216</f>
        <v>0</v>
      </c>
      <c r="K113" s="703">
        <f t="shared" si="3"/>
        <v>0</v>
      </c>
    </row>
    <row r="114" spans="1:11" ht="19.95" customHeight="1" x14ac:dyDescent="0.3">
      <c r="A114" s="262" t="s">
        <v>154</v>
      </c>
      <c r="C114" s="161">
        <v>95</v>
      </c>
      <c r="D114" s="161" t="s">
        <v>409</v>
      </c>
      <c r="E114" s="1371" t="s">
        <v>410</v>
      </c>
      <c r="F114" s="1371"/>
      <c r="G114" s="1371"/>
      <c r="H114" s="161" t="s">
        <v>225</v>
      </c>
      <c r="I114" s="741">
        <f>+'[11]Metraj Özeti'!AI114</f>
        <v>0</v>
      </c>
      <c r="J114" s="705">
        <f>+'Yeşil Defter'!AC217</f>
        <v>0</v>
      </c>
      <c r="K114" s="703">
        <f t="shared" si="3"/>
        <v>0</v>
      </c>
    </row>
    <row r="115" spans="1:11" ht="19.95" customHeight="1" x14ac:dyDescent="0.3">
      <c r="A115" s="262" t="s">
        <v>154</v>
      </c>
      <c r="C115" s="161">
        <v>96</v>
      </c>
      <c r="D115" s="161" t="s">
        <v>411</v>
      </c>
      <c r="E115" s="1371" t="s">
        <v>412</v>
      </c>
      <c r="F115" s="1371"/>
      <c r="G115" s="1371"/>
      <c r="H115" s="161" t="s">
        <v>225</v>
      </c>
      <c r="I115" s="741">
        <f>+'[11]Metraj Özeti'!AI115</f>
        <v>0</v>
      </c>
      <c r="J115" s="705">
        <f>+'Yeşil Defter'!AC218</f>
        <v>0</v>
      </c>
      <c r="K115" s="703">
        <f t="shared" si="3"/>
        <v>0</v>
      </c>
    </row>
    <row r="116" spans="1:11" ht="19.95" customHeight="1" x14ac:dyDescent="0.3">
      <c r="A116" s="262" t="s">
        <v>154</v>
      </c>
      <c r="C116" s="161">
        <v>97</v>
      </c>
      <c r="D116" s="161" t="s">
        <v>413</v>
      </c>
      <c r="E116" s="1371" t="s">
        <v>414</v>
      </c>
      <c r="F116" s="1371"/>
      <c r="G116" s="1371"/>
      <c r="H116" s="161" t="s">
        <v>225</v>
      </c>
      <c r="I116" s="741">
        <f>+'[11]Metraj Özeti'!AI116</f>
        <v>0</v>
      </c>
      <c r="J116" s="705">
        <f>+'Yeşil Defter'!AC219</f>
        <v>0</v>
      </c>
      <c r="K116" s="703">
        <f t="shared" si="3"/>
        <v>0</v>
      </c>
    </row>
    <row r="117" spans="1:11" ht="19.95" customHeight="1" x14ac:dyDescent="0.3">
      <c r="A117" s="262" t="s">
        <v>154</v>
      </c>
      <c r="C117" s="161">
        <v>98</v>
      </c>
      <c r="D117" s="161" t="s">
        <v>415</v>
      </c>
      <c r="E117" s="1371" t="s">
        <v>416</v>
      </c>
      <c r="F117" s="1371"/>
      <c r="G117" s="1371"/>
      <c r="H117" s="161" t="s">
        <v>225</v>
      </c>
      <c r="I117" s="741">
        <f>+'[11]Metraj Özeti'!AI117</f>
        <v>0</v>
      </c>
      <c r="J117" s="705">
        <f>+'Yeşil Defter'!AC220</f>
        <v>0</v>
      </c>
      <c r="K117" s="703">
        <f t="shared" si="3"/>
        <v>0</v>
      </c>
    </row>
    <row r="118" spans="1:11" ht="19.95" customHeight="1" x14ac:dyDescent="0.3">
      <c r="A118" s="262" t="s">
        <v>154</v>
      </c>
      <c r="C118" s="161">
        <v>99</v>
      </c>
      <c r="D118" s="213" t="s">
        <v>417</v>
      </c>
      <c r="E118" s="1371" t="s">
        <v>418</v>
      </c>
      <c r="F118" s="1371"/>
      <c r="G118" s="1371"/>
      <c r="H118" s="161" t="s">
        <v>225</v>
      </c>
      <c r="I118" s="741">
        <f>+'[11]Metraj Özeti'!AI118</f>
        <v>0</v>
      </c>
      <c r="J118" s="705">
        <f>+'Yeşil Defter'!AC221</f>
        <v>0</v>
      </c>
      <c r="K118" s="703">
        <f t="shared" si="3"/>
        <v>0</v>
      </c>
    </row>
    <row r="119" spans="1:11" ht="19.95" customHeight="1" x14ac:dyDescent="0.3">
      <c r="A119" s="262" t="s">
        <v>154</v>
      </c>
      <c r="C119" s="161">
        <v>100</v>
      </c>
      <c r="D119" s="213" t="s">
        <v>419</v>
      </c>
      <c r="E119" s="1371" t="s">
        <v>420</v>
      </c>
      <c r="F119" s="1371"/>
      <c r="G119" s="1371"/>
      <c r="H119" s="161" t="s">
        <v>225</v>
      </c>
      <c r="I119" s="741">
        <f>+'[11]Metraj Özeti'!AI119</f>
        <v>0</v>
      </c>
      <c r="J119" s="705">
        <f>+'Yeşil Defter'!AC222</f>
        <v>0</v>
      </c>
      <c r="K119" s="703">
        <f t="shared" si="3"/>
        <v>0</v>
      </c>
    </row>
    <row r="120" spans="1:11" ht="19.95" customHeight="1" x14ac:dyDescent="0.3">
      <c r="A120" s="262" t="s">
        <v>154</v>
      </c>
      <c r="C120" s="161">
        <v>101</v>
      </c>
      <c r="D120" s="213" t="s">
        <v>421</v>
      </c>
      <c r="E120" s="1371" t="s">
        <v>422</v>
      </c>
      <c r="F120" s="1371"/>
      <c r="G120" s="1371"/>
      <c r="H120" s="161" t="s">
        <v>225</v>
      </c>
      <c r="I120" s="741">
        <f>+'[11]Metraj Özeti'!AI120</f>
        <v>0</v>
      </c>
      <c r="J120" s="705">
        <f>+'Yeşil Defter'!AC223</f>
        <v>0</v>
      </c>
      <c r="K120" s="703">
        <f t="shared" si="3"/>
        <v>0</v>
      </c>
    </row>
    <row r="121" spans="1:11" ht="19.95" customHeight="1" x14ac:dyDescent="0.3">
      <c r="A121" s="262" t="s">
        <v>154</v>
      </c>
      <c r="C121" s="161">
        <v>102</v>
      </c>
      <c r="D121" s="213" t="s">
        <v>423</v>
      </c>
      <c r="E121" s="1371" t="s">
        <v>424</v>
      </c>
      <c r="F121" s="1371"/>
      <c r="G121" s="1371"/>
      <c r="H121" s="161" t="s">
        <v>202</v>
      </c>
      <c r="I121" s="741">
        <f>+'[11]Metraj Özeti'!AI121</f>
        <v>0</v>
      </c>
      <c r="J121" s="705">
        <f>+'Yeşil Defter'!AC224</f>
        <v>0</v>
      </c>
      <c r="K121" s="703">
        <f t="shared" si="3"/>
        <v>0</v>
      </c>
    </row>
    <row r="122" spans="1:11" ht="19.95" customHeight="1" x14ac:dyDescent="0.3">
      <c r="A122" s="262" t="s">
        <v>154</v>
      </c>
      <c r="C122" s="161">
        <v>103</v>
      </c>
      <c r="D122" s="213" t="s">
        <v>425</v>
      </c>
      <c r="E122" s="1371" t="s">
        <v>426</v>
      </c>
      <c r="F122" s="1371"/>
      <c r="G122" s="1371"/>
      <c r="H122" s="161" t="s">
        <v>225</v>
      </c>
      <c r="I122" s="741">
        <f>+'[11]Metraj Özeti'!AI122</f>
        <v>0</v>
      </c>
      <c r="J122" s="705">
        <f>+'Yeşil Defter'!AC225</f>
        <v>0</v>
      </c>
      <c r="K122" s="703">
        <f t="shared" si="3"/>
        <v>0</v>
      </c>
    </row>
    <row r="123" spans="1:11" ht="19.95" customHeight="1" x14ac:dyDescent="0.3">
      <c r="A123" s="262" t="s">
        <v>154</v>
      </c>
      <c r="C123" s="161">
        <v>104</v>
      </c>
      <c r="D123" s="213" t="s">
        <v>427</v>
      </c>
      <c r="E123" s="1371" t="s">
        <v>428</v>
      </c>
      <c r="F123" s="1371"/>
      <c r="G123" s="1371"/>
      <c r="H123" s="161" t="s">
        <v>202</v>
      </c>
      <c r="I123" s="741">
        <f>+'[11]Metraj Özeti'!AI123</f>
        <v>0</v>
      </c>
      <c r="J123" s="705">
        <f>+'Yeşil Defter'!AC226</f>
        <v>0</v>
      </c>
      <c r="K123" s="703">
        <f t="shared" si="3"/>
        <v>0</v>
      </c>
    </row>
    <row r="124" spans="1:11" ht="19.95" customHeight="1" x14ac:dyDescent="0.3">
      <c r="A124" s="262" t="s">
        <v>154</v>
      </c>
      <c r="C124" s="161">
        <v>105</v>
      </c>
      <c r="D124" s="161" t="s">
        <v>429</v>
      </c>
      <c r="E124" s="1371" t="s">
        <v>430</v>
      </c>
      <c r="F124" s="1371"/>
      <c r="G124" s="1371"/>
      <c r="H124" s="161" t="s">
        <v>202</v>
      </c>
      <c r="I124" s="741">
        <f>+'[11]Metraj Özeti'!AI124</f>
        <v>0</v>
      </c>
      <c r="J124" s="705">
        <f>+'Yeşil Defter'!AC227</f>
        <v>0</v>
      </c>
      <c r="K124" s="703">
        <f t="shared" si="3"/>
        <v>0</v>
      </c>
    </row>
    <row r="125" spans="1:11" ht="19.95" customHeight="1" x14ac:dyDescent="0.3">
      <c r="A125" s="262" t="s">
        <v>154</v>
      </c>
      <c r="C125" s="161">
        <v>106</v>
      </c>
      <c r="D125" s="161" t="s">
        <v>431</v>
      </c>
      <c r="E125" s="1371" t="s">
        <v>432</v>
      </c>
      <c r="F125" s="1371"/>
      <c r="G125" s="1371"/>
      <c r="H125" s="161" t="s">
        <v>202</v>
      </c>
      <c r="I125" s="741">
        <f>+'[11]Metraj Özeti'!AI125</f>
        <v>0</v>
      </c>
      <c r="J125" s="705">
        <f>+'Yeşil Defter'!AC228</f>
        <v>0</v>
      </c>
      <c r="K125" s="703">
        <f t="shared" si="3"/>
        <v>0</v>
      </c>
    </row>
    <row r="126" spans="1:11" ht="19.95" customHeight="1" x14ac:dyDescent="0.3">
      <c r="A126" s="262" t="s">
        <v>154</v>
      </c>
      <c r="C126" s="161">
        <v>107</v>
      </c>
      <c r="D126" s="161" t="s">
        <v>433</v>
      </c>
      <c r="E126" s="1371" t="s">
        <v>434</v>
      </c>
      <c r="F126" s="1371"/>
      <c r="G126" s="1371"/>
      <c r="H126" s="161" t="s">
        <v>202</v>
      </c>
      <c r="I126" s="741">
        <f>+'[11]Metraj Özeti'!AI126</f>
        <v>0</v>
      </c>
      <c r="J126" s="705">
        <f>+'Yeşil Defter'!AC229</f>
        <v>0</v>
      </c>
      <c r="K126" s="703">
        <f t="shared" si="3"/>
        <v>0</v>
      </c>
    </row>
    <row r="127" spans="1:11" ht="19.95" customHeight="1" x14ac:dyDescent="0.3">
      <c r="A127" s="262" t="s">
        <v>154</v>
      </c>
      <c r="C127" s="161">
        <v>108</v>
      </c>
      <c r="D127" s="161" t="s">
        <v>435</v>
      </c>
      <c r="E127" s="1371" t="s">
        <v>436</v>
      </c>
      <c r="F127" s="1371"/>
      <c r="G127" s="1371"/>
      <c r="H127" s="161" t="s">
        <v>225</v>
      </c>
      <c r="I127" s="741">
        <f>+'[11]Metraj Özeti'!AI127</f>
        <v>0</v>
      </c>
      <c r="J127" s="705">
        <f>+'Yeşil Defter'!AC230</f>
        <v>0</v>
      </c>
      <c r="K127" s="703">
        <f t="shared" si="3"/>
        <v>0</v>
      </c>
    </row>
    <row r="128" spans="1:11" ht="19.95" customHeight="1" x14ac:dyDescent="0.3">
      <c r="A128" s="262" t="s">
        <v>154</v>
      </c>
      <c r="C128" s="161">
        <v>109</v>
      </c>
      <c r="D128" s="161" t="s">
        <v>437</v>
      </c>
      <c r="E128" s="1371" t="s">
        <v>438</v>
      </c>
      <c r="F128" s="1371"/>
      <c r="G128" s="1371"/>
      <c r="H128" s="161" t="s">
        <v>225</v>
      </c>
      <c r="I128" s="741">
        <f>+'[11]Metraj Özeti'!AI128</f>
        <v>0</v>
      </c>
      <c r="J128" s="705">
        <f>+'Yeşil Defter'!AC231</f>
        <v>0</v>
      </c>
      <c r="K128" s="703">
        <f t="shared" si="3"/>
        <v>0</v>
      </c>
    </row>
    <row r="129" spans="1:11" ht="19.95" customHeight="1" x14ac:dyDescent="0.3">
      <c r="A129" s="262" t="s">
        <v>154</v>
      </c>
      <c r="C129" s="161">
        <v>110</v>
      </c>
      <c r="D129" s="213" t="s">
        <v>439</v>
      </c>
      <c r="E129" s="1371" t="s">
        <v>440</v>
      </c>
      <c r="F129" s="1371"/>
      <c r="G129" s="1371"/>
      <c r="H129" s="161" t="s">
        <v>225</v>
      </c>
      <c r="I129" s="741">
        <f>+'[11]Metraj Özeti'!AI129</f>
        <v>0</v>
      </c>
      <c r="J129" s="705">
        <f>+'Yeşil Defter'!AC232</f>
        <v>0</v>
      </c>
      <c r="K129" s="703">
        <f t="shared" si="3"/>
        <v>0</v>
      </c>
    </row>
    <row r="130" spans="1:11" ht="19.95" customHeight="1" x14ac:dyDescent="0.3">
      <c r="A130" s="262" t="s">
        <v>154</v>
      </c>
      <c r="C130" s="161">
        <v>111</v>
      </c>
      <c r="D130" s="161" t="s">
        <v>441</v>
      </c>
      <c r="E130" s="1371" t="s">
        <v>442</v>
      </c>
      <c r="F130" s="1371"/>
      <c r="G130" s="1371"/>
      <c r="H130" s="161" t="s">
        <v>202</v>
      </c>
      <c r="I130" s="741">
        <f>+'[11]Metraj Özeti'!AI130</f>
        <v>0</v>
      </c>
      <c r="J130" s="705">
        <f>+'Yeşil Defter'!AC233</f>
        <v>0</v>
      </c>
      <c r="K130" s="703">
        <f t="shared" si="3"/>
        <v>0</v>
      </c>
    </row>
    <row r="131" spans="1:11" ht="19.95" customHeight="1" x14ac:dyDescent="0.3">
      <c r="A131" s="262" t="s">
        <v>154</v>
      </c>
      <c r="C131" s="161">
        <v>112</v>
      </c>
      <c r="D131" s="161" t="s">
        <v>443</v>
      </c>
      <c r="E131" s="1371" t="s">
        <v>444</v>
      </c>
      <c r="F131" s="1371"/>
      <c r="G131" s="1371"/>
      <c r="H131" s="161" t="s">
        <v>202</v>
      </c>
      <c r="I131" s="741">
        <f>+'[11]Metraj Özeti'!AI131</f>
        <v>0</v>
      </c>
      <c r="J131" s="705">
        <f>+'Yeşil Defter'!AC234</f>
        <v>0</v>
      </c>
      <c r="K131" s="703">
        <f t="shared" si="3"/>
        <v>0</v>
      </c>
    </row>
    <row r="132" spans="1:11" ht="19.95" customHeight="1" x14ac:dyDescent="0.3">
      <c r="A132" s="262" t="s">
        <v>154</v>
      </c>
      <c r="C132" s="161">
        <v>113</v>
      </c>
      <c r="D132" s="213" t="s">
        <v>445</v>
      </c>
      <c r="E132" s="1371" t="s">
        <v>446</v>
      </c>
      <c r="F132" s="1371"/>
      <c r="G132" s="1371"/>
      <c r="H132" s="161" t="s">
        <v>225</v>
      </c>
      <c r="I132" s="741">
        <f>+'[11]Metraj Özeti'!AI132</f>
        <v>0</v>
      </c>
      <c r="J132" s="705">
        <f>+'Yeşil Defter'!AC235</f>
        <v>0</v>
      </c>
      <c r="K132" s="703">
        <f t="shared" si="3"/>
        <v>0</v>
      </c>
    </row>
    <row r="133" spans="1:11" ht="19.95" customHeight="1" x14ac:dyDescent="0.3">
      <c r="A133" s="262" t="s">
        <v>154</v>
      </c>
      <c r="C133" s="161">
        <v>114</v>
      </c>
      <c r="D133" s="161" t="s">
        <v>447</v>
      </c>
      <c r="E133" s="1371" t="s">
        <v>448</v>
      </c>
      <c r="F133" s="1371"/>
      <c r="G133" s="1371"/>
      <c r="H133" s="161" t="s">
        <v>225</v>
      </c>
      <c r="I133" s="741">
        <f>+'[11]Metraj Özeti'!AI133</f>
        <v>0</v>
      </c>
      <c r="J133" s="705">
        <f>+'Yeşil Defter'!AC236</f>
        <v>0</v>
      </c>
      <c r="K133" s="703">
        <f t="shared" si="3"/>
        <v>0</v>
      </c>
    </row>
    <row r="134" spans="1:11" ht="19.95" customHeight="1" x14ac:dyDescent="0.3">
      <c r="A134" s="262" t="s">
        <v>154</v>
      </c>
      <c r="C134" s="161">
        <v>115</v>
      </c>
      <c r="D134" s="161" t="s">
        <v>449</v>
      </c>
      <c r="E134" s="1371" t="s">
        <v>450</v>
      </c>
      <c r="F134" s="1371"/>
      <c r="G134" s="1371"/>
      <c r="H134" s="161" t="s">
        <v>225</v>
      </c>
      <c r="I134" s="741">
        <f>+'[11]Metraj Özeti'!AI134</f>
        <v>0</v>
      </c>
      <c r="J134" s="226">
        <f>+'Yeşil Defter'!AC249</f>
        <v>0</v>
      </c>
      <c r="K134" s="226">
        <f t="shared" si="3"/>
        <v>0</v>
      </c>
    </row>
    <row r="135" spans="1:11" ht="19.95" customHeight="1" x14ac:dyDescent="0.3">
      <c r="A135" s="262" t="s">
        <v>154</v>
      </c>
      <c r="C135" s="161">
        <v>116</v>
      </c>
      <c r="D135" s="161" t="s">
        <v>451</v>
      </c>
      <c r="E135" s="1371" t="s">
        <v>452</v>
      </c>
      <c r="F135" s="1371"/>
      <c r="G135" s="1371"/>
      <c r="H135" s="161" t="s">
        <v>225</v>
      </c>
      <c r="I135" s="741">
        <f>+'[11]Metraj Özeti'!AI135</f>
        <v>0</v>
      </c>
      <c r="J135" s="226">
        <f>+'Yeşil Defter'!AC250</f>
        <v>0</v>
      </c>
      <c r="K135" s="226">
        <f t="shared" si="3"/>
        <v>0</v>
      </c>
    </row>
    <row r="136" spans="1:11" ht="19.95" customHeight="1" x14ac:dyDescent="0.3">
      <c r="A136" s="262" t="s">
        <v>154</v>
      </c>
      <c r="C136" s="161">
        <v>117</v>
      </c>
      <c r="D136" s="161" t="s">
        <v>453</v>
      </c>
      <c r="E136" s="1371" t="s">
        <v>454</v>
      </c>
      <c r="F136" s="1371"/>
      <c r="G136" s="1371"/>
      <c r="H136" s="161" t="s">
        <v>225</v>
      </c>
      <c r="I136" s="741">
        <f>+'[11]Metraj Özeti'!AI136</f>
        <v>0</v>
      </c>
      <c r="J136" s="226">
        <f>+'Yeşil Defter'!AC251</f>
        <v>0</v>
      </c>
      <c r="K136" s="226">
        <f t="shared" si="3"/>
        <v>0</v>
      </c>
    </row>
    <row r="137" spans="1:11" ht="19.95" customHeight="1" x14ac:dyDescent="0.3">
      <c r="A137" s="262" t="s">
        <v>154</v>
      </c>
      <c r="C137" s="161">
        <v>118</v>
      </c>
      <c r="D137" s="161" t="s">
        <v>455</v>
      </c>
      <c r="E137" s="1371" t="s">
        <v>456</v>
      </c>
      <c r="F137" s="1371"/>
      <c r="G137" s="1371"/>
      <c r="H137" s="161" t="s">
        <v>225</v>
      </c>
      <c r="I137" s="741">
        <f>+'[11]Metraj Özeti'!AI137</f>
        <v>0</v>
      </c>
      <c r="J137" s="226">
        <f>+'Yeşil Defter'!AC252</f>
        <v>0</v>
      </c>
      <c r="K137" s="226">
        <f t="shared" si="3"/>
        <v>0</v>
      </c>
    </row>
    <row r="138" spans="1:11" ht="19.95" customHeight="1" x14ac:dyDescent="0.3">
      <c r="A138" s="262" t="s">
        <v>154</v>
      </c>
      <c r="C138" s="161">
        <v>119</v>
      </c>
      <c r="D138" s="161" t="s">
        <v>457</v>
      </c>
      <c r="E138" s="1371" t="s">
        <v>458</v>
      </c>
      <c r="F138" s="1371"/>
      <c r="G138" s="1371"/>
      <c r="H138" s="161" t="s">
        <v>225</v>
      </c>
      <c r="I138" s="741">
        <f>+'[11]Metraj Özeti'!AI138</f>
        <v>0</v>
      </c>
      <c r="J138" s="226">
        <f>+'Yeşil Defter'!AC253</f>
        <v>0</v>
      </c>
      <c r="K138" s="226">
        <f t="shared" si="3"/>
        <v>0</v>
      </c>
    </row>
    <row r="139" spans="1:11" ht="19.95" customHeight="1" x14ac:dyDescent="0.3">
      <c r="A139" s="262" t="s">
        <v>154</v>
      </c>
      <c r="C139" s="161">
        <v>120</v>
      </c>
      <c r="D139" s="161" t="s">
        <v>459</v>
      </c>
      <c r="E139" s="1371" t="s">
        <v>460</v>
      </c>
      <c r="F139" s="1371"/>
      <c r="G139" s="1371"/>
      <c r="H139" s="161" t="s">
        <v>225</v>
      </c>
      <c r="I139" s="741">
        <f>+'[11]Metraj Özeti'!AI139</f>
        <v>0</v>
      </c>
      <c r="J139" s="226">
        <f>+'Yeşil Defter'!AC254</f>
        <v>0</v>
      </c>
      <c r="K139" s="226">
        <f t="shared" si="3"/>
        <v>0</v>
      </c>
    </row>
    <row r="140" spans="1:11" ht="19.95" customHeight="1" x14ac:dyDescent="0.3">
      <c r="A140" s="262" t="s">
        <v>154</v>
      </c>
      <c r="C140" s="161">
        <v>121</v>
      </c>
      <c r="D140" s="161" t="s">
        <v>461</v>
      </c>
      <c r="E140" s="1371" t="s">
        <v>462</v>
      </c>
      <c r="F140" s="1371"/>
      <c r="G140" s="1371"/>
      <c r="H140" s="161" t="s">
        <v>225</v>
      </c>
      <c r="I140" s="741">
        <f>+'[11]Metraj Özeti'!AI140</f>
        <v>0</v>
      </c>
      <c r="J140" s="226">
        <f>+'Yeşil Defter'!AC255</f>
        <v>0</v>
      </c>
      <c r="K140" s="226">
        <f t="shared" si="3"/>
        <v>0</v>
      </c>
    </row>
    <row r="141" spans="1:11" ht="19.95" customHeight="1" x14ac:dyDescent="0.3">
      <c r="A141" s="262" t="s">
        <v>154</v>
      </c>
      <c r="C141" s="161">
        <v>122</v>
      </c>
      <c r="D141" s="161" t="s">
        <v>463</v>
      </c>
      <c r="E141" s="1371" t="s">
        <v>464</v>
      </c>
      <c r="F141" s="1371"/>
      <c r="G141" s="1371"/>
      <c r="H141" s="161" t="s">
        <v>225</v>
      </c>
      <c r="I141" s="741">
        <f>+'[11]Metraj Özeti'!AI141</f>
        <v>0</v>
      </c>
      <c r="J141" s="226">
        <f>+'Yeşil Defter'!AC256</f>
        <v>0</v>
      </c>
      <c r="K141" s="226">
        <f t="shared" si="3"/>
        <v>0</v>
      </c>
    </row>
    <row r="142" spans="1:11" ht="19.95" customHeight="1" x14ac:dyDescent="0.3">
      <c r="A142" s="262" t="s">
        <v>154</v>
      </c>
      <c r="C142" s="161">
        <v>123</v>
      </c>
      <c r="D142" s="161" t="s">
        <v>465</v>
      </c>
      <c r="E142" s="1371" t="s">
        <v>466</v>
      </c>
      <c r="F142" s="1371"/>
      <c r="G142" s="1371"/>
      <c r="H142" s="161" t="s">
        <v>225</v>
      </c>
      <c r="I142" s="741">
        <f>+'[11]Metraj Özeti'!AI142</f>
        <v>0</v>
      </c>
      <c r="J142" s="226">
        <f>+'Yeşil Defter'!AC257</f>
        <v>0</v>
      </c>
      <c r="K142" s="226">
        <f t="shared" si="3"/>
        <v>0</v>
      </c>
    </row>
    <row r="143" spans="1:11" ht="19.95" customHeight="1" x14ac:dyDescent="0.3">
      <c r="A143" s="262" t="s">
        <v>154</v>
      </c>
      <c r="C143" s="161">
        <v>124</v>
      </c>
      <c r="D143" s="161" t="s">
        <v>467</v>
      </c>
      <c r="E143" s="1371" t="s">
        <v>468</v>
      </c>
      <c r="F143" s="1371"/>
      <c r="G143" s="1371"/>
      <c r="H143" s="161" t="s">
        <v>225</v>
      </c>
      <c r="I143" s="741">
        <f>+'[11]Metraj Özeti'!AI143</f>
        <v>0</v>
      </c>
      <c r="J143" s="226">
        <f>+'Yeşil Defter'!AC258</f>
        <v>0</v>
      </c>
      <c r="K143" s="226">
        <f t="shared" si="3"/>
        <v>0</v>
      </c>
    </row>
    <row r="144" spans="1:11" ht="19.95" customHeight="1" x14ac:dyDescent="0.3">
      <c r="A144" s="262" t="s">
        <v>154</v>
      </c>
      <c r="C144" s="161">
        <v>125</v>
      </c>
      <c r="D144" s="161" t="s">
        <v>469</v>
      </c>
      <c r="E144" s="1371" t="s">
        <v>470</v>
      </c>
      <c r="F144" s="1371"/>
      <c r="G144" s="1371"/>
      <c r="H144" s="161" t="s">
        <v>225</v>
      </c>
      <c r="I144" s="741">
        <f>+'[11]Metraj Özeti'!AI144</f>
        <v>0</v>
      </c>
      <c r="J144" s="226">
        <f>+'Yeşil Defter'!AC259</f>
        <v>0</v>
      </c>
      <c r="K144" s="226">
        <f t="shared" si="3"/>
        <v>0</v>
      </c>
    </row>
    <row r="145" spans="1:11" ht="19.95" customHeight="1" x14ac:dyDescent="0.3">
      <c r="A145" s="262" t="s">
        <v>154</v>
      </c>
      <c r="C145" s="161">
        <v>126</v>
      </c>
      <c r="D145" s="161" t="s">
        <v>471</v>
      </c>
      <c r="E145" s="1371" t="s">
        <v>472</v>
      </c>
      <c r="F145" s="1371"/>
      <c r="G145" s="1371"/>
      <c r="H145" s="161" t="s">
        <v>225</v>
      </c>
      <c r="I145" s="741">
        <f>+'[11]Metraj Özeti'!AI145</f>
        <v>0</v>
      </c>
      <c r="J145" s="226">
        <f>+'Yeşil Defter'!AC260</f>
        <v>0</v>
      </c>
      <c r="K145" s="226">
        <f t="shared" si="3"/>
        <v>0</v>
      </c>
    </row>
    <row r="146" spans="1:11" ht="19.95" customHeight="1" x14ac:dyDescent="0.3">
      <c r="A146" s="262" t="s">
        <v>154</v>
      </c>
      <c r="C146" s="161">
        <v>127</v>
      </c>
      <c r="D146" s="213" t="s">
        <v>473</v>
      </c>
      <c r="E146" s="1371" t="s">
        <v>474</v>
      </c>
      <c r="F146" s="1371"/>
      <c r="G146" s="1371"/>
      <c r="H146" s="161" t="s">
        <v>225</v>
      </c>
      <c r="I146" s="741">
        <f>+'[11]Metraj Özeti'!AI146</f>
        <v>0</v>
      </c>
      <c r="J146" s="226">
        <f>+'Yeşil Defter'!AC261</f>
        <v>0</v>
      </c>
      <c r="K146" s="226">
        <f t="shared" si="3"/>
        <v>0</v>
      </c>
    </row>
    <row r="147" spans="1:11" ht="19.95" customHeight="1" x14ac:dyDescent="0.3">
      <c r="A147" s="262" t="s">
        <v>154</v>
      </c>
      <c r="C147" s="161">
        <v>128</v>
      </c>
      <c r="D147" s="213" t="s">
        <v>475</v>
      </c>
      <c r="E147" s="1371" t="s">
        <v>476</v>
      </c>
      <c r="F147" s="1371"/>
      <c r="G147" s="1371"/>
      <c r="H147" s="161" t="s">
        <v>225</v>
      </c>
      <c r="I147" s="741">
        <f>+'[11]Metraj Özeti'!AI147</f>
        <v>0</v>
      </c>
      <c r="J147" s="226">
        <f>+'Yeşil Defter'!AC262</f>
        <v>0</v>
      </c>
      <c r="K147" s="226">
        <f t="shared" si="3"/>
        <v>0</v>
      </c>
    </row>
    <row r="148" spans="1:11" ht="19.95" customHeight="1" x14ac:dyDescent="0.3">
      <c r="A148" s="262" t="s">
        <v>154</v>
      </c>
      <c r="C148" s="161">
        <v>129</v>
      </c>
      <c r="D148" s="161" t="s">
        <v>477</v>
      </c>
      <c r="E148" s="1371" t="s">
        <v>478</v>
      </c>
      <c r="F148" s="1371"/>
      <c r="G148" s="1371"/>
      <c r="H148" s="161" t="s">
        <v>225</v>
      </c>
      <c r="I148" s="741">
        <f>+'[11]Metraj Özeti'!AI148</f>
        <v>0</v>
      </c>
      <c r="J148" s="226">
        <f>+'Yeşil Defter'!AC263</f>
        <v>0</v>
      </c>
      <c r="K148" s="226">
        <f t="shared" si="3"/>
        <v>0</v>
      </c>
    </row>
    <row r="149" spans="1:11" ht="19.95" customHeight="1" x14ac:dyDescent="0.3">
      <c r="A149" s="262" t="s">
        <v>154</v>
      </c>
      <c r="C149" s="161">
        <v>130</v>
      </c>
      <c r="D149" s="161" t="s">
        <v>479</v>
      </c>
      <c r="E149" s="1371" t="s">
        <v>480</v>
      </c>
      <c r="F149" s="1371"/>
      <c r="G149" s="1371"/>
      <c r="H149" s="161" t="s">
        <v>225</v>
      </c>
      <c r="I149" s="741">
        <f>+'[11]Metraj Özeti'!AI149</f>
        <v>0</v>
      </c>
      <c r="J149" s="226">
        <f>+'Yeşil Defter'!AC264</f>
        <v>0</v>
      </c>
      <c r="K149" s="226">
        <f t="shared" si="3"/>
        <v>0</v>
      </c>
    </row>
    <row r="150" spans="1:11" ht="19.95" customHeight="1" x14ac:dyDescent="0.3">
      <c r="A150" s="262" t="s">
        <v>154</v>
      </c>
      <c r="C150" s="161">
        <v>131</v>
      </c>
      <c r="D150" s="161" t="s">
        <v>481</v>
      </c>
      <c r="E150" s="1371" t="s">
        <v>482</v>
      </c>
      <c r="F150" s="1371"/>
      <c r="G150" s="1371"/>
      <c r="H150" s="161" t="s">
        <v>225</v>
      </c>
      <c r="I150" s="741">
        <f>+'[11]Metraj Özeti'!AI150</f>
        <v>0</v>
      </c>
      <c r="J150" s="226">
        <f>+'Yeşil Defter'!AC265</f>
        <v>0</v>
      </c>
      <c r="K150" s="226">
        <f t="shared" si="3"/>
        <v>0</v>
      </c>
    </row>
    <row r="151" spans="1:11" ht="19.95" customHeight="1" x14ac:dyDescent="0.3">
      <c r="A151" s="262" t="s">
        <v>154</v>
      </c>
      <c r="C151" s="161">
        <v>132</v>
      </c>
      <c r="D151" s="161" t="s">
        <v>483</v>
      </c>
      <c r="E151" s="1371" t="s">
        <v>484</v>
      </c>
      <c r="F151" s="1371"/>
      <c r="G151" s="1371"/>
      <c r="H151" s="161" t="s">
        <v>225</v>
      </c>
      <c r="I151" s="741">
        <f>+'[11]Metraj Özeti'!AI151</f>
        <v>0</v>
      </c>
      <c r="J151" s="226">
        <f>+'Yeşil Defter'!AC266</f>
        <v>0</v>
      </c>
      <c r="K151" s="226">
        <f t="shared" si="3"/>
        <v>0</v>
      </c>
    </row>
    <row r="152" spans="1:11" ht="19.95" customHeight="1" x14ac:dyDescent="0.3">
      <c r="A152" s="262" t="s">
        <v>154</v>
      </c>
      <c r="C152" s="161">
        <v>133</v>
      </c>
      <c r="D152" s="213" t="s">
        <v>485</v>
      </c>
      <c r="E152" s="1371" t="s">
        <v>486</v>
      </c>
      <c r="F152" s="1371"/>
      <c r="G152" s="1371"/>
      <c r="H152" s="161" t="s">
        <v>225</v>
      </c>
      <c r="I152" s="741">
        <f>+'[11]Metraj Özeti'!AI152</f>
        <v>0</v>
      </c>
      <c r="J152" s="226">
        <f>+'Yeşil Defter'!AC267</f>
        <v>0</v>
      </c>
      <c r="K152" s="226">
        <f t="shared" si="3"/>
        <v>0</v>
      </c>
    </row>
    <row r="153" spans="1:11" ht="19.95" customHeight="1" x14ac:dyDescent="0.3">
      <c r="A153" s="262" t="s">
        <v>154</v>
      </c>
      <c r="C153" s="161">
        <v>134</v>
      </c>
      <c r="D153" s="213" t="s">
        <v>487</v>
      </c>
      <c r="E153" s="1371" t="s">
        <v>488</v>
      </c>
      <c r="F153" s="1371"/>
      <c r="G153" s="1371"/>
      <c r="H153" s="161" t="s">
        <v>225</v>
      </c>
      <c r="I153" s="741">
        <f>+'[11]Metraj Özeti'!AI153</f>
        <v>0</v>
      </c>
      <c r="J153" s="226">
        <f>+'Yeşil Defter'!AC268</f>
        <v>0</v>
      </c>
      <c r="K153" s="226">
        <f t="shared" si="3"/>
        <v>0</v>
      </c>
    </row>
    <row r="154" spans="1:11" ht="19.95" customHeight="1" x14ac:dyDescent="0.3">
      <c r="A154" s="262" t="s">
        <v>154</v>
      </c>
      <c r="C154" s="161">
        <v>135</v>
      </c>
      <c r="D154" s="213" t="s">
        <v>489</v>
      </c>
      <c r="E154" s="1371" t="s">
        <v>490</v>
      </c>
      <c r="F154" s="1371"/>
      <c r="G154" s="1371"/>
      <c r="H154" s="161" t="s">
        <v>225</v>
      </c>
      <c r="I154" s="741">
        <f>+'[11]Metraj Özeti'!AI154</f>
        <v>0</v>
      </c>
      <c r="J154" s="226">
        <f>+'Yeşil Defter'!AC269</f>
        <v>0</v>
      </c>
      <c r="K154" s="226">
        <f t="shared" si="3"/>
        <v>0</v>
      </c>
    </row>
    <row r="155" spans="1:11" ht="19.95" customHeight="1" x14ac:dyDescent="0.3">
      <c r="A155" s="262" t="s">
        <v>154</v>
      </c>
      <c r="C155" s="161">
        <v>136</v>
      </c>
      <c r="D155" s="213" t="s">
        <v>491</v>
      </c>
      <c r="E155" s="1371" t="s">
        <v>492</v>
      </c>
      <c r="F155" s="1371"/>
      <c r="G155" s="1371"/>
      <c r="H155" s="161" t="s">
        <v>225</v>
      </c>
      <c r="I155" s="741">
        <f>+'[11]Metraj Özeti'!AI155</f>
        <v>0</v>
      </c>
      <c r="J155" s="226">
        <f>+'Yeşil Defter'!AC270</f>
        <v>0</v>
      </c>
      <c r="K155" s="226">
        <f t="shared" si="3"/>
        <v>0</v>
      </c>
    </row>
    <row r="156" spans="1:11" ht="19.95" customHeight="1" x14ac:dyDescent="0.3">
      <c r="A156" s="262" t="s">
        <v>154</v>
      </c>
      <c r="C156" s="161">
        <v>137</v>
      </c>
      <c r="D156" s="213" t="s">
        <v>493</v>
      </c>
      <c r="E156" s="1371" t="s">
        <v>494</v>
      </c>
      <c r="F156" s="1371"/>
      <c r="G156" s="1371"/>
      <c r="H156" s="161" t="s">
        <v>202</v>
      </c>
      <c r="I156" s="741">
        <f>+'[11]Metraj Özeti'!AI156</f>
        <v>0</v>
      </c>
      <c r="J156" s="226">
        <f>+'Yeşil Defter'!AC271</f>
        <v>0</v>
      </c>
      <c r="K156" s="226">
        <f t="shared" si="3"/>
        <v>0</v>
      </c>
    </row>
    <row r="157" spans="1:11" ht="19.95" customHeight="1" x14ac:dyDescent="0.3">
      <c r="A157" s="262" t="s">
        <v>154</v>
      </c>
      <c r="C157" s="161">
        <v>138</v>
      </c>
      <c r="D157" s="213" t="s">
        <v>495</v>
      </c>
      <c r="E157" s="1371" t="s">
        <v>496</v>
      </c>
      <c r="F157" s="1371"/>
      <c r="G157" s="1371"/>
      <c r="H157" s="161" t="s">
        <v>202</v>
      </c>
      <c r="I157" s="741">
        <f>+'[11]Metraj Özeti'!AI157</f>
        <v>0</v>
      </c>
      <c r="J157" s="226">
        <f>+'Yeşil Defter'!AC272</f>
        <v>0</v>
      </c>
      <c r="K157" s="226">
        <f t="shared" si="3"/>
        <v>0</v>
      </c>
    </row>
    <row r="158" spans="1:11" ht="19.95" customHeight="1" x14ac:dyDescent="0.3">
      <c r="A158" s="262" t="s">
        <v>154</v>
      </c>
      <c r="C158" s="161">
        <v>139</v>
      </c>
      <c r="D158" s="213" t="s">
        <v>497</v>
      </c>
      <c r="E158" s="1371" t="s">
        <v>498</v>
      </c>
      <c r="F158" s="1371"/>
      <c r="G158" s="1371"/>
      <c r="H158" s="161" t="s">
        <v>202</v>
      </c>
      <c r="I158" s="741">
        <f>+'[11]Metraj Özeti'!AI158</f>
        <v>0</v>
      </c>
      <c r="J158" s="226">
        <f>+'Yeşil Defter'!AC273</f>
        <v>0</v>
      </c>
      <c r="K158" s="226">
        <f t="shared" si="3"/>
        <v>0</v>
      </c>
    </row>
    <row r="159" spans="1:11" ht="19.95" customHeight="1" x14ac:dyDescent="0.3">
      <c r="A159" s="262" t="s">
        <v>154</v>
      </c>
      <c r="C159" s="161">
        <v>140</v>
      </c>
      <c r="D159" s="213" t="s">
        <v>499</v>
      </c>
      <c r="E159" s="1371" t="s">
        <v>500</v>
      </c>
      <c r="F159" s="1371"/>
      <c r="G159" s="1371"/>
      <c r="H159" s="161" t="s">
        <v>225</v>
      </c>
      <c r="I159" s="741">
        <f>+'[11]Metraj Özeti'!AI159</f>
        <v>0</v>
      </c>
      <c r="J159" s="226">
        <f>+'Yeşil Defter'!AC274</f>
        <v>0</v>
      </c>
      <c r="K159" s="226">
        <f t="shared" si="3"/>
        <v>0</v>
      </c>
    </row>
    <row r="160" spans="1:11" ht="19.95" customHeight="1" x14ac:dyDescent="0.3">
      <c r="A160" s="262" t="s">
        <v>154</v>
      </c>
      <c r="C160" s="161">
        <v>141</v>
      </c>
      <c r="D160" s="213" t="s">
        <v>501</v>
      </c>
      <c r="E160" s="1371" t="s">
        <v>502</v>
      </c>
      <c r="F160" s="1371"/>
      <c r="G160" s="1371"/>
      <c r="H160" s="161" t="s">
        <v>202</v>
      </c>
      <c r="I160" s="741">
        <f>+'[11]Metraj Özeti'!AI160</f>
        <v>0</v>
      </c>
      <c r="J160" s="226">
        <f>+'Yeşil Defter'!AC275</f>
        <v>0</v>
      </c>
      <c r="K160" s="226">
        <f t="shared" si="3"/>
        <v>0</v>
      </c>
    </row>
    <row r="161" spans="1:11" ht="19.95" customHeight="1" x14ac:dyDescent="0.3">
      <c r="A161" s="262" t="s">
        <v>154</v>
      </c>
      <c r="C161" s="161">
        <v>142</v>
      </c>
      <c r="D161" s="213" t="s">
        <v>503</v>
      </c>
      <c r="E161" s="1371" t="s">
        <v>504</v>
      </c>
      <c r="F161" s="1371"/>
      <c r="G161" s="1371"/>
      <c r="H161" s="161" t="s">
        <v>247</v>
      </c>
      <c r="I161" s="741">
        <f>+'[11]Metraj Özeti'!AI161</f>
        <v>0</v>
      </c>
      <c r="J161" s="226">
        <f>+'Yeşil Defter'!AC276</f>
        <v>0</v>
      </c>
      <c r="K161" s="226">
        <f t="shared" si="3"/>
        <v>0</v>
      </c>
    </row>
    <row r="162" spans="1:11" ht="19.95" customHeight="1" x14ac:dyDescent="0.3">
      <c r="A162" s="262" t="s">
        <v>154</v>
      </c>
      <c r="C162" s="161">
        <v>143</v>
      </c>
      <c r="D162" s="161" t="s">
        <v>505</v>
      </c>
      <c r="E162" s="1371" t="s">
        <v>506</v>
      </c>
      <c r="F162" s="1371"/>
      <c r="G162" s="1371"/>
      <c r="H162" s="161" t="s">
        <v>247</v>
      </c>
      <c r="I162" s="741">
        <f>+'[11]Metraj Özeti'!AI162</f>
        <v>0</v>
      </c>
      <c r="J162" s="226">
        <f>+'Yeşil Defter'!AC277</f>
        <v>0</v>
      </c>
      <c r="K162" s="226">
        <f t="shared" si="3"/>
        <v>0</v>
      </c>
    </row>
    <row r="163" spans="1:11" ht="19.95" customHeight="1" x14ac:dyDescent="0.3">
      <c r="A163" s="262" t="s">
        <v>154</v>
      </c>
      <c r="C163" s="161">
        <v>144</v>
      </c>
      <c r="D163" s="161" t="s">
        <v>507</v>
      </c>
      <c r="E163" s="1371" t="s">
        <v>508</v>
      </c>
      <c r="F163" s="1371"/>
      <c r="G163" s="1371"/>
      <c r="H163" s="161" t="s">
        <v>247</v>
      </c>
      <c r="I163" s="741">
        <f>+'[11]Metraj Özeti'!AI163</f>
        <v>0</v>
      </c>
      <c r="J163" s="226">
        <f>+'Yeşil Defter'!AC278</f>
        <v>0</v>
      </c>
      <c r="K163" s="226">
        <f t="shared" si="3"/>
        <v>0</v>
      </c>
    </row>
    <row r="164" spans="1:11" ht="19.95" customHeight="1" x14ac:dyDescent="0.3">
      <c r="A164" s="262" t="s">
        <v>154</v>
      </c>
      <c r="C164" s="161">
        <v>145</v>
      </c>
      <c r="D164" s="161" t="s">
        <v>509</v>
      </c>
      <c r="E164" s="1371" t="s">
        <v>510</v>
      </c>
      <c r="F164" s="1371"/>
      <c r="G164" s="1371"/>
      <c r="H164" s="161" t="s">
        <v>247</v>
      </c>
      <c r="I164" s="741">
        <f>+'[11]Metraj Özeti'!AI164</f>
        <v>0</v>
      </c>
      <c r="J164" s="226">
        <f>+'Yeşil Defter'!AC279</f>
        <v>0</v>
      </c>
      <c r="K164" s="226">
        <f t="shared" si="3"/>
        <v>0</v>
      </c>
    </row>
    <row r="165" spans="1:11" ht="19.95" customHeight="1" x14ac:dyDescent="0.3">
      <c r="A165" s="262" t="s">
        <v>154</v>
      </c>
      <c r="C165" s="161">
        <v>146</v>
      </c>
      <c r="D165" s="161" t="s">
        <v>511</v>
      </c>
      <c r="E165" s="1371" t="s">
        <v>512</v>
      </c>
      <c r="F165" s="1371"/>
      <c r="G165" s="1371"/>
      <c r="H165" s="161" t="s">
        <v>247</v>
      </c>
      <c r="I165" s="741">
        <f>+'[11]Metraj Özeti'!AI165</f>
        <v>0</v>
      </c>
      <c r="J165" s="226">
        <f>+'Yeşil Defter'!AC280</f>
        <v>0</v>
      </c>
      <c r="K165" s="226">
        <f t="shared" ref="K165:K228" si="4">+J165+I165</f>
        <v>0</v>
      </c>
    </row>
    <row r="166" spans="1:11" ht="19.95" customHeight="1" x14ac:dyDescent="0.3">
      <c r="A166" s="262" t="s">
        <v>154</v>
      </c>
      <c r="C166" s="161">
        <v>147</v>
      </c>
      <c r="D166" s="161" t="s">
        <v>513</v>
      </c>
      <c r="E166" s="1371" t="s">
        <v>514</v>
      </c>
      <c r="F166" s="1371"/>
      <c r="G166" s="1371"/>
      <c r="H166" s="161" t="s">
        <v>247</v>
      </c>
      <c r="I166" s="741">
        <f>+'[11]Metraj Özeti'!AI166</f>
        <v>0</v>
      </c>
      <c r="J166" s="226">
        <f>+'Yeşil Defter'!AC281</f>
        <v>0</v>
      </c>
      <c r="K166" s="226">
        <f t="shared" si="4"/>
        <v>0</v>
      </c>
    </row>
    <row r="167" spans="1:11" ht="19.95" customHeight="1" x14ac:dyDescent="0.3">
      <c r="A167" s="262" t="s">
        <v>154</v>
      </c>
      <c r="C167" s="161">
        <v>148</v>
      </c>
      <c r="D167" s="161" t="s">
        <v>515</v>
      </c>
      <c r="E167" s="1371" t="s">
        <v>516</v>
      </c>
      <c r="F167" s="1371"/>
      <c r="G167" s="1371"/>
      <c r="H167" s="161" t="s">
        <v>247</v>
      </c>
      <c r="I167" s="741">
        <f>+'[11]Metraj Özeti'!AI167</f>
        <v>0</v>
      </c>
      <c r="J167" s="226">
        <f>+'Yeşil Defter'!AC295</f>
        <v>0</v>
      </c>
      <c r="K167" s="226">
        <f t="shared" si="4"/>
        <v>0</v>
      </c>
    </row>
    <row r="168" spans="1:11" ht="19.95" customHeight="1" x14ac:dyDescent="0.3">
      <c r="A168" s="262" t="s">
        <v>154</v>
      </c>
      <c r="C168" s="161">
        <v>149</v>
      </c>
      <c r="D168" s="161" t="s">
        <v>517</v>
      </c>
      <c r="E168" s="1371" t="s">
        <v>518</v>
      </c>
      <c r="F168" s="1371"/>
      <c r="G168" s="1371"/>
      <c r="H168" s="161" t="s">
        <v>247</v>
      </c>
      <c r="I168" s="741">
        <f>+'[11]Metraj Özeti'!AI168</f>
        <v>0</v>
      </c>
      <c r="J168" s="226">
        <f>+'Yeşil Defter'!AC296</f>
        <v>0</v>
      </c>
      <c r="K168" s="226">
        <f t="shared" si="4"/>
        <v>0</v>
      </c>
    </row>
    <row r="169" spans="1:11" ht="19.95" customHeight="1" x14ac:dyDescent="0.3">
      <c r="A169" s="262" t="s">
        <v>154</v>
      </c>
      <c r="C169" s="161">
        <v>150</v>
      </c>
      <c r="D169" s="161" t="s">
        <v>519</v>
      </c>
      <c r="E169" s="1371" t="s">
        <v>520</v>
      </c>
      <c r="F169" s="1371"/>
      <c r="G169" s="1371"/>
      <c r="H169" s="161" t="s">
        <v>247</v>
      </c>
      <c r="I169" s="741">
        <f>+'[11]Metraj Özeti'!AI169</f>
        <v>0</v>
      </c>
      <c r="J169" s="226">
        <f>+'Yeşil Defter'!AC297</f>
        <v>0</v>
      </c>
      <c r="K169" s="226">
        <f t="shared" si="4"/>
        <v>0</v>
      </c>
    </row>
    <row r="170" spans="1:11" ht="19.95" customHeight="1" x14ac:dyDescent="0.3">
      <c r="A170" s="262" t="s">
        <v>154</v>
      </c>
      <c r="C170" s="161">
        <v>151</v>
      </c>
      <c r="D170" s="161" t="s">
        <v>521</v>
      </c>
      <c r="E170" s="1371" t="s">
        <v>522</v>
      </c>
      <c r="F170" s="1371"/>
      <c r="G170" s="1371"/>
      <c r="H170" s="161" t="s">
        <v>247</v>
      </c>
      <c r="I170" s="741">
        <f>+'[11]Metraj Özeti'!AI170</f>
        <v>0</v>
      </c>
      <c r="J170" s="226">
        <f>+'Yeşil Defter'!AC298</f>
        <v>0</v>
      </c>
      <c r="K170" s="226">
        <f t="shared" si="4"/>
        <v>0</v>
      </c>
    </row>
    <row r="171" spans="1:11" ht="19.95" customHeight="1" x14ac:dyDescent="0.3">
      <c r="A171" s="262" t="s">
        <v>154</v>
      </c>
      <c r="C171" s="161">
        <v>152</v>
      </c>
      <c r="D171" s="161" t="s">
        <v>523</v>
      </c>
      <c r="E171" s="1371" t="s">
        <v>524</v>
      </c>
      <c r="F171" s="1371"/>
      <c r="G171" s="1371"/>
      <c r="H171" s="161" t="s">
        <v>247</v>
      </c>
      <c r="I171" s="741">
        <f>+'[11]Metraj Özeti'!AI171</f>
        <v>0</v>
      </c>
      <c r="J171" s="226">
        <f>+'Yeşil Defter'!AC299</f>
        <v>0</v>
      </c>
      <c r="K171" s="226">
        <f t="shared" si="4"/>
        <v>0</v>
      </c>
    </row>
    <row r="172" spans="1:11" ht="19.95" customHeight="1" x14ac:dyDescent="0.3">
      <c r="A172" s="262" t="s">
        <v>154</v>
      </c>
      <c r="C172" s="161">
        <v>153</v>
      </c>
      <c r="D172" s="161" t="s">
        <v>525</v>
      </c>
      <c r="E172" s="1371" t="s">
        <v>526</v>
      </c>
      <c r="F172" s="1371"/>
      <c r="G172" s="1371"/>
      <c r="H172" s="161" t="s">
        <v>247</v>
      </c>
      <c r="I172" s="741">
        <f>+'[11]Metraj Özeti'!AI172</f>
        <v>0</v>
      </c>
      <c r="J172" s="226">
        <f>+'Yeşil Defter'!AC300</f>
        <v>0</v>
      </c>
      <c r="K172" s="226">
        <f t="shared" si="4"/>
        <v>0</v>
      </c>
    </row>
    <row r="173" spans="1:11" ht="19.95" customHeight="1" x14ac:dyDescent="0.3">
      <c r="A173" s="262" t="s">
        <v>154</v>
      </c>
      <c r="C173" s="161">
        <v>154</v>
      </c>
      <c r="D173" s="161" t="s">
        <v>527</v>
      </c>
      <c r="E173" s="1371" t="s">
        <v>528</v>
      </c>
      <c r="F173" s="1371"/>
      <c r="G173" s="1371"/>
      <c r="H173" s="161" t="s">
        <v>247</v>
      </c>
      <c r="I173" s="741">
        <f>+'[11]Metraj Özeti'!AI173</f>
        <v>0</v>
      </c>
      <c r="J173" s="226">
        <f>+'Yeşil Defter'!AC301</f>
        <v>0</v>
      </c>
      <c r="K173" s="226">
        <f t="shared" si="4"/>
        <v>0</v>
      </c>
    </row>
    <row r="174" spans="1:11" ht="19.95" customHeight="1" x14ac:dyDescent="0.3">
      <c r="A174" s="262" t="s">
        <v>154</v>
      </c>
      <c r="C174" s="161">
        <v>155</v>
      </c>
      <c r="D174" s="161" t="s">
        <v>529</v>
      </c>
      <c r="E174" s="1371" t="s">
        <v>530</v>
      </c>
      <c r="F174" s="1371"/>
      <c r="G174" s="1371"/>
      <c r="H174" s="161" t="s">
        <v>247</v>
      </c>
      <c r="I174" s="741">
        <f>+'[11]Metraj Özeti'!AI174</f>
        <v>0</v>
      </c>
      <c r="J174" s="226">
        <f>+'Yeşil Defter'!AC302</f>
        <v>0</v>
      </c>
      <c r="K174" s="226">
        <f t="shared" si="4"/>
        <v>0</v>
      </c>
    </row>
    <row r="175" spans="1:11" ht="19.95" customHeight="1" x14ac:dyDescent="0.3">
      <c r="A175" s="262" t="s">
        <v>154</v>
      </c>
      <c r="C175" s="161">
        <v>156</v>
      </c>
      <c r="D175" s="161" t="s">
        <v>531</v>
      </c>
      <c r="E175" s="1371" t="s">
        <v>532</v>
      </c>
      <c r="F175" s="1371"/>
      <c r="G175" s="1371"/>
      <c r="H175" s="161" t="s">
        <v>247</v>
      </c>
      <c r="I175" s="741">
        <f>+'[11]Metraj Özeti'!AI175</f>
        <v>0</v>
      </c>
      <c r="J175" s="226">
        <f>+'Yeşil Defter'!AC303</f>
        <v>0</v>
      </c>
      <c r="K175" s="226">
        <f t="shared" si="4"/>
        <v>0</v>
      </c>
    </row>
    <row r="176" spans="1:11" ht="19.95" customHeight="1" x14ac:dyDescent="0.3">
      <c r="A176" s="262" t="s">
        <v>154</v>
      </c>
      <c r="C176" s="161">
        <v>157</v>
      </c>
      <c r="D176" s="161" t="s">
        <v>533</v>
      </c>
      <c r="E176" s="1371" t="s">
        <v>534</v>
      </c>
      <c r="F176" s="1371"/>
      <c r="G176" s="1371"/>
      <c r="H176" s="161" t="s">
        <v>247</v>
      </c>
      <c r="I176" s="741">
        <f>+'[11]Metraj Özeti'!AI176</f>
        <v>0</v>
      </c>
      <c r="J176" s="226">
        <f>+'Yeşil Defter'!AC304</f>
        <v>0</v>
      </c>
      <c r="K176" s="226">
        <f t="shared" si="4"/>
        <v>0</v>
      </c>
    </row>
    <row r="177" spans="1:11" ht="19.95" customHeight="1" x14ac:dyDescent="0.3">
      <c r="A177" s="262" t="s">
        <v>154</v>
      </c>
      <c r="C177" s="161">
        <v>158</v>
      </c>
      <c r="D177" s="161" t="s">
        <v>535</v>
      </c>
      <c r="E177" s="1371" t="s">
        <v>536</v>
      </c>
      <c r="F177" s="1371"/>
      <c r="G177" s="1371"/>
      <c r="H177" s="161" t="s">
        <v>247</v>
      </c>
      <c r="I177" s="741">
        <f>+'[11]Metraj Özeti'!AI177</f>
        <v>0</v>
      </c>
      <c r="J177" s="226">
        <f>+'Yeşil Defter'!AC305</f>
        <v>0</v>
      </c>
      <c r="K177" s="226">
        <f t="shared" si="4"/>
        <v>0</v>
      </c>
    </row>
    <row r="178" spans="1:11" ht="19.95" customHeight="1" x14ac:dyDescent="0.3">
      <c r="A178" s="262" t="s">
        <v>154</v>
      </c>
      <c r="C178" s="161">
        <v>159</v>
      </c>
      <c r="D178" s="161" t="s">
        <v>537</v>
      </c>
      <c r="E178" s="1371" t="s">
        <v>538</v>
      </c>
      <c r="F178" s="1371"/>
      <c r="G178" s="1371"/>
      <c r="H178" s="161" t="s">
        <v>247</v>
      </c>
      <c r="I178" s="741">
        <f>+'[11]Metraj Özeti'!AI178</f>
        <v>0</v>
      </c>
      <c r="J178" s="226">
        <f>+'Yeşil Defter'!AC306</f>
        <v>0</v>
      </c>
      <c r="K178" s="226">
        <f t="shared" si="4"/>
        <v>0</v>
      </c>
    </row>
    <row r="179" spans="1:11" ht="19.95" customHeight="1" x14ac:dyDescent="0.3">
      <c r="A179" s="262" t="s">
        <v>154</v>
      </c>
      <c r="C179" s="161">
        <v>160</v>
      </c>
      <c r="D179" s="161" t="s">
        <v>539</v>
      </c>
      <c r="E179" s="1371" t="s">
        <v>540</v>
      </c>
      <c r="F179" s="1371"/>
      <c r="G179" s="1371"/>
      <c r="H179" s="161" t="s">
        <v>247</v>
      </c>
      <c r="I179" s="741">
        <f>+'[11]Metraj Özeti'!AI179</f>
        <v>0</v>
      </c>
      <c r="J179" s="226">
        <f>+'Yeşil Defter'!AC307</f>
        <v>0</v>
      </c>
      <c r="K179" s="226">
        <f t="shared" si="4"/>
        <v>0</v>
      </c>
    </row>
    <row r="180" spans="1:11" ht="19.95" customHeight="1" x14ac:dyDescent="0.3">
      <c r="A180" s="262" t="s">
        <v>154</v>
      </c>
      <c r="C180" s="161">
        <v>161</v>
      </c>
      <c r="D180" s="161" t="s">
        <v>541</v>
      </c>
      <c r="E180" s="1371" t="s">
        <v>542</v>
      </c>
      <c r="F180" s="1371"/>
      <c r="G180" s="1371"/>
      <c r="H180" s="161" t="s">
        <v>247</v>
      </c>
      <c r="I180" s="741">
        <f>+'[11]Metraj Özeti'!AI180</f>
        <v>0</v>
      </c>
      <c r="J180" s="226">
        <f>+'Yeşil Defter'!AC308</f>
        <v>0</v>
      </c>
      <c r="K180" s="226">
        <f t="shared" si="4"/>
        <v>0</v>
      </c>
    </row>
    <row r="181" spans="1:11" ht="19.95" customHeight="1" x14ac:dyDescent="0.3">
      <c r="A181" s="262" t="s">
        <v>154</v>
      </c>
      <c r="C181" s="161">
        <v>162</v>
      </c>
      <c r="D181" s="161" t="s">
        <v>543</v>
      </c>
      <c r="E181" s="1371" t="s">
        <v>544</v>
      </c>
      <c r="F181" s="1371"/>
      <c r="G181" s="1371"/>
      <c r="H181" s="161" t="s">
        <v>247</v>
      </c>
      <c r="I181" s="741">
        <f>+'[11]Metraj Özeti'!AI181</f>
        <v>0</v>
      </c>
      <c r="J181" s="226">
        <f>+'Yeşil Defter'!AC309</f>
        <v>0</v>
      </c>
      <c r="K181" s="226">
        <f t="shared" si="4"/>
        <v>0</v>
      </c>
    </row>
    <row r="182" spans="1:11" ht="19.95" customHeight="1" x14ac:dyDescent="0.3">
      <c r="A182" s="262" t="s">
        <v>154</v>
      </c>
      <c r="C182" s="161">
        <v>163</v>
      </c>
      <c r="D182" s="161" t="s">
        <v>545</v>
      </c>
      <c r="E182" s="1371" t="s">
        <v>546</v>
      </c>
      <c r="F182" s="1371"/>
      <c r="G182" s="1371"/>
      <c r="H182" s="161" t="s">
        <v>247</v>
      </c>
      <c r="I182" s="741">
        <f>+'[11]Metraj Özeti'!AI182</f>
        <v>0</v>
      </c>
      <c r="J182" s="226">
        <f>+'Yeşil Defter'!AC310</f>
        <v>0</v>
      </c>
      <c r="K182" s="226">
        <f t="shared" si="4"/>
        <v>0</v>
      </c>
    </row>
    <row r="183" spans="1:11" ht="19.95" customHeight="1" x14ac:dyDescent="0.3">
      <c r="A183" s="262" t="s">
        <v>154</v>
      </c>
      <c r="C183" s="161">
        <v>164</v>
      </c>
      <c r="D183" s="213" t="s">
        <v>547</v>
      </c>
      <c r="E183" s="1371" t="s">
        <v>548</v>
      </c>
      <c r="F183" s="1371"/>
      <c r="G183" s="1371"/>
      <c r="H183" s="161" t="s">
        <v>374</v>
      </c>
      <c r="I183" s="741">
        <f>+'[11]Metraj Özeti'!AI183</f>
        <v>0</v>
      </c>
      <c r="J183" s="226">
        <f>+'Yeşil Defter'!AC311</f>
        <v>0</v>
      </c>
      <c r="K183" s="226">
        <f t="shared" si="4"/>
        <v>0</v>
      </c>
    </row>
    <row r="184" spans="1:11" ht="19.95" customHeight="1" x14ac:dyDescent="0.3">
      <c r="A184" s="262" t="s">
        <v>154</v>
      </c>
      <c r="C184" s="161">
        <v>165</v>
      </c>
      <c r="D184" s="213" t="s">
        <v>549</v>
      </c>
      <c r="E184" s="1371" t="s">
        <v>550</v>
      </c>
      <c r="F184" s="1371"/>
      <c r="G184" s="1371"/>
      <c r="H184" s="161" t="s">
        <v>225</v>
      </c>
      <c r="I184" s="741">
        <f>+'[11]Metraj Özeti'!AI184</f>
        <v>0</v>
      </c>
      <c r="J184" s="226">
        <f>+'Yeşil Defter'!AC312</f>
        <v>0</v>
      </c>
      <c r="K184" s="226">
        <f t="shared" si="4"/>
        <v>0</v>
      </c>
    </row>
    <row r="185" spans="1:11" ht="19.95" customHeight="1" x14ac:dyDescent="0.3">
      <c r="A185" s="262" t="s">
        <v>154</v>
      </c>
      <c r="C185" s="161">
        <v>166</v>
      </c>
      <c r="D185" s="213" t="s">
        <v>551</v>
      </c>
      <c r="E185" s="1371" t="s">
        <v>552</v>
      </c>
      <c r="F185" s="1371"/>
      <c r="G185" s="1371"/>
      <c r="H185" s="161" t="s">
        <v>202</v>
      </c>
      <c r="I185" s="741">
        <f>+'[11]Metraj Özeti'!AI185</f>
        <v>0</v>
      </c>
      <c r="J185" s="226">
        <f>+'Yeşil Defter'!AC313</f>
        <v>0</v>
      </c>
      <c r="K185" s="226">
        <f t="shared" si="4"/>
        <v>0</v>
      </c>
    </row>
    <row r="186" spans="1:11" ht="19.95" customHeight="1" x14ac:dyDescent="0.3">
      <c r="A186" s="262" t="s">
        <v>154</v>
      </c>
      <c r="C186" s="161">
        <v>167</v>
      </c>
      <c r="D186" s="213" t="s">
        <v>553</v>
      </c>
      <c r="E186" s="1371" t="s">
        <v>554</v>
      </c>
      <c r="F186" s="1371"/>
      <c r="G186" s="1371"/>
      <c r="H186" s="161" t="s">
        <v>202</v>
      </c>
      <c r="I186" s="741">
        <f>+'[11]Metraj Özeti'!AI186</f>
        <v>0</v>
      </c>
      <c r="J186" s="226">
        <f>+'Yeşil Defter'!AC314</f>
        <v>0</v>
      </c>
      <c r="K186" s="226">
        <f t="shared" si="4"/>
        <v>0</v>
      </c>
    </row>
    <row r="187" spans="1:11" ht="19.95" customHeight="1" x14ac:dyDescent="0.3">
      <c r="A187" s="262" t="s">
        <v>154</v>
      </c>
      <c r="C187" s="161">
        <v>168</v>
      </c>
      <c r="D187" s="213" t="s">
        <v>555</v>
      </c>
      <c r="E187" s="1371" t="s">
        <v>556</v>
      </c>
      <c r="F187" s="1371"/>
      <c r="G187" s="1371"/>
      <c r="H187" s="161" t="s">
        <v>247</v>
      </c>
      <c r="I187" s="741">
        <f>+'[11]Metraj Özeti'!AI187</f>
        <v>0</v>
      </c>
      <c r="J187" s="226">
        <f>+'Yeşil Defter'!AC315</f>
        <v>0</v>
      </c>
      <c r="K187" s="226">
        <f t="shared" si="4"/>
        <v>0</v>
      </c>
    </row>
    <row r="188" spans="1:11" ht="19.95" customHeight="1" x14ac:dyDescent="0.3">
      <c r="A188" s="262" t="s">
        <v>154</v>
      </c>
      <c r="C188" s="161">
        <v>169</v>
      </c>
      <c r="D188" s="213" t="s">
        <v>557</v>
      </c>
      <c r="E188" s="1371" t="s">
        <v>558</v>
      </c>
      <c r="F188" s="1371"/>
      <c r="G188" s="1371"/>
      <c r="H188" s="161" t="s">
        <v>225</v>
      </c>
      <c r="I188" s="741">
        <f>+'[11]Metraj Özeti'!AI188</f>
        <v>0</v>
      </c>
      <c r="J188" s="226">
        <f>+'Yeşil Defter'!AC316</f>
        <v>0</v>
      </c>
      <c r="K188" s="226">
        <f t="shared" si="4"/>
        <v>0</v>
      </c>
    </row>
    <row r="189" spans="1:11" ht="19.95" customHeight="1" x14ac:dyDescent="0.3">
      <c r="A189" s="262" t="s">
        <v>154</v>
      </c>
      <c r="C189" s="161">
        <v>170</v>
      </c>
      <c r="D189" s="213" t="s">
        <v>559</v>
      </c>
      <c r="E189" s="1371" t="s">
        <v>560</v>
      </c>
      <c r="F189" s="1371"/>
      <c r="G189" s="1371"/>
      <c r="H189" s="161" t="s">
        <v>225</v>
      </c>
      <c r="I189" s="741">
        <f>+'[11]Metraj Özeti'!AI189</f>
        <v>0</v>
      </c>
      <c r="J189" s="226">
        <f>+'Yeşil Defter'!AC317</f>
        <v>0</v>
      </c>
      <c r="K189" s="226">
        <f t="shared" si="4"/>
        <v>0</v>
      </c>
    </row>
    <row r="190" spans="1:11" ht="19.95" customHeight="1" x14ac:dyDescent="0.3">
      <c r="A190" s="262" t="s">
        <v>154</v>
      </c>
      <c r="C190" s="161">
        <v>171</v>
      </c>
      <c r="D190" s="213" t="s">
        <v>561</v>
      </c>
      <c r="E190" s="1371" t="s">
        <v>562</v>
      </c>
      <c r="F190" s="1371"/>
      <c r="G190" s="1371"/>
      <c r="H190" s="161" t="s">
        <v>247</v>
      </c>
      <c r="I190" s="741">
        <f>+'[11]Metraj Özeti'!AI190</f>
        <v>0</v>
      </c>
      <c r="J190" s="226">
        <f>+'Yeşil Defter'!AC318</f>
        <v>0</v>
      </c>
      <c r="K190" s="226">
        <f t="shared" si="4"/>
        <v>0</v>
      </c>
    </row>
    <row r="191" spans="1:11" ht="19.95" customHeight="1" x14ac:dyDescent="0.3">
      <c r="A191" s="262" t="s">
        <v>154</v>
      </c>
      <c r="C191" s="161">
        <v>172</v>
      </c>
      <c r="D191" s="213" t="s">
        <v>563</v>
      </c>
      <c r="E191" s="1371" t="s">
        <v>564</v>
      </c>
      <c r="F191" s="1371"/>
      <c r="G191" s="1371"/>
      <c r="H191" s="161" t="s">
        <v>225</v>
      </c>
      <c r="I191" s="741">
        <f>+'[11]Metraj Özeti'!AI191</f>
        <v>0</v>
      </c>
      <c r="J191" s="226">
        <f>+'Yeşil Defter'!AC319</f>
        <v>0</v>
      </c>
      <c r="K191" s="226">
        <f t="shared" si="4"/>
        <v>0</v>
      </c>
    </row>
    <row r="192" spans="1:11" ht="19.95" customHeight="1" x14ac:dyDescent="0.3">
      <c r="A192" s="262" t="s">
        <v>154</v>
      </c>
      <c r="C192" s="161">
        <v>173</v>
      </c>
      <c r="D192" s="213" t="s">
        <v>565</v>
      </c>
      <c r="E192" s="1371" t="s">
        <v>566</v>
      </c>
      <c r="F192" s="1371"/>
      <c r="G192" s="1371"/>
      <c r="H192" s="161" t="s">
        <v>225</v>
      </c>
      <c r="I192" s="741">
        <f>+'[11]Metraj Özeti'!AI192</f>
        <v>0</v>
      </c>
      <c r="J192" s="226">
        <f>+'Yeşil Defter'!AC320</f>
        <v>0</v>
      </c>
      <c r="K192" s="226">
        <f t="shared" si="4"/>
        <v>0</v>
      </c>
    </row>
    <row r="193" spans="1:11" ht="19.95" customHeight="1" x14ac:dyDescent="0.3">
      <c r="A193" s="262" t="s">
        <v>154</v>
      </c>
      <c r="C193" s="161">
        <v>174</v>
      </c>
      <c r="D193" s="161" t="s">
        <v>567</v>
      </c>
      <c r="E193" s="1371" t="s">
        <v>568</v>
      </c>
      <c r="F193" s="1371"/>
      <c r="G193" s="1371"/>
      <c r="H193" s="161" t="s">
        <v>225</v>
      </c>
      <c r="I193" s="741">
        <f>+'[11]Metraj Özeti'!AI193</f>
        <v>0</v>
      </c>
      <c r="J193" s="226">
        <f>+'Yeşil Defter'!AC321</f>
        <v>0</v>
      </c>
      <c r="K193" s="226">
        <f t="shared" si="4"/>
        <v>0</v>
      </c>
    </row>
    <row r="194" spans="1:11" ht="19.95" customHeight="1" x14ac:dyDescent="0.3">
      <c r="A194" s="262" t="s">
        <v>154</v>
      </c>
      <c r="C194" s="161">
        <v>175</v>
      </c>
      <c r="D194" s="161" t="s">
        <v>569</v>
      </c>
      <c r="E194" s="1371" t="s">
        <v>570</v>
      </c>
      <c r="F194" s="1371"/>
      <c r="G194" s="1371"/>
      <c r="H194" s="161" t="s">
        <v>225</v>
      </c>
      <c r="I194" s="741">
        <f>+'[11]Metraj Özeti'!AI194</f>
        <v>0</v>
      </c>
      <c r="J194" s="226">
        <f>+'Yeşil Defter'!AC322</f>
        <v>0</v>
      </c>
      <c r="K194" s="226">
        <f t="shared" si="4"/>
        <v>0</v>
      </c>
    </row>
    <row r="195" spans="1:11" ht="19.95" customHeight="1" x14ac:dyDescent="0.3">
      <c r="A195" s="262" t="s">
        <v>154</v>
      </c>
      <c r="C195" s="161">
        <v>176</v>
      </c>
      <c r="D195" s="213" t="s">
        <v>571</v>
      </c>
      <c r="E195" s="1371" t="s">
        <v>572</v>
      </c>
      <c r="F195" s="1371"/>
      <c r="G195" s="1371"/>
      <c r="H195" s="161" t="s">
        <v>247</v>
      </c>
      <c r="I195" s="741">
        <f>+'[11]Metraj Özeti'!AI195</f>
        <v>0</v>
      </c>
      <c r="J195" s="226">
        <f>+'Yeşil Defter'!AC323</f>
        <v>0</v>
      </c>
      <c r="K195" s="226">
        <f t="shared" si="4"/>
        <v>0</v>
      </c>
    </row>
    <row r="196" spans="1:11" ht="19.95" customHeight="1" x14ac:dyDescent="0.3">
      <c r="A196" s="262" t="s">
        <v>154</v>
      </c>
      <c r="C196" s="161">
        <v>177</v>
      </c>
      <c r="D196" s="213" t="s">
        <v>573</v>
      </c>
      <c r="E196" s="1371" t="s">
        <v>574</v>
      </c>
      <c r="F196" s="1371"/>
      <c r="G196" s="1371"/>
      <c r="H196" s="161" t="s">
        <v>225</v>
      </c>
      <c r="I196" s="741">
        <f>+'[11]Metraj Özeti'!AI196</f>
        <v>0</v>
      </c>
      <c r="J196" s="226">
        <f>+'Yeşil Defter'!AC324</f>
        <v>0</v>
      </c>
      <c r="K196" s="226">
        <f t="shared" si="4"/>
        <v>0</v>
      </c>
    </row>
    <row r="197" spans="1:11" ht="19.95" customHeight="1" x14ac:dyDescent="0.3">
      <c r="A197" s="262" t="s">
        <v>154</v>
      </c>
      <c r="C197" s="161">
        <v>178</v>
      </c>
      <c r="D197" s="213" t="s">
        <v>575</v>
      </c>
      <c r="E197" s="1371" t="s">
        <v>576</v>
      </c>
      <c r="F197" s="1371"/>
      <c r="G197" s="1371"/>
      <c r="H197" s="161" t="s">
        <v>202</v>
      </c>
      <c r="I197" s="741">
        <f>+'[11]Metraj Özeti'!AI197</f>
        <v>0</v>
      </c>
      <c r="J197" s="226">
        <f>+'Yeşil Defter'!AC325</f>
        <v>0</v>
      </c>
      <c r="K197" s="226">
        <f t="shared" si="4"/>
        <v>0</v>
      </c>
    </row>
    <row r="198" spans="1:11" ht="19.95" customHeight="1" x14ac:dyDescent="0.3">
      <c r="A198" s="262" t="s">
        <v>154</v>
      </c>
      <c r="C198" s="161">
        <v>179</v>
      </c>
      <c r="D198" s="213" t="s">
        <v>577</v>
      </c>
      <c r="E198" s="1371" t="s">
        <v>578</v>
      </c>
      <c r="F198" s="1371"/>
      <c r="G198" s="1371"/>
      <c r="H198" s="161" t="s">
        <v>374</v>
      </c>
      <c r="I198" s="741">
        <f>+'[11]Metraj Özeti'!AI198</f>
        <v>0</v>
      </c>
      <c r="J198" s="226">
        <f>+'Yeşil Defter'!AC326</f>
        <v>0</v>
      </c>
      <c r="K198" s="226">
        <f t="shared" si="4"/>
        <v>0</v>
      </c>
    </row>
    <row r="199" spans="1:11" ht="19.95" customHeight="1" x14ac:dyDescent="0.3">
      <c r="A199" s="262" t="s">
        <v>154</v>
      </c>
      <c r="C199" s="161">
        <v>180</v>
      </c>
      <c r="D199" s="213" t="s">
        <v>579</v>
      </c>
      <c r="E199" s="1371" t="s">
        <v>580</v>
      </c>
      <c r="F199" s="1371"/>
      <c r="G199" s="1371"/>
      <c r="H199" s="161" t="s">
        <v>374</v>
      </c>
      <c r="I199" s="741">
        <f>+'[11]Metraj Özeti'!AI199</f>
        <v>0</v>
      </c>
      <c r="J199" s="226">
        <f>+'Yeşil Defter'!AC327</f>
        <v>0</v>
      </c>
      <c r="K199" s="226">
        <f t="shared" si="4"/>
        <v>0</v>
      </c>
    </row>
    <row r="200" spans="1:11" ht="19.95" customHeight="1" x14ac:dyDescent="0.3">
      <c r="A200" s="262" t="s">
        <v>154</v>
      </c>
      <c r="C200" s="161">
        <v>181</v>
      </c>
      <c r="D200" s="213" t="s">
        <v>581</v>
      </c>
      <c r="E200" s="1371" t="s">
        <v>582</v>
      </c>
      <c r="F200" s="1371"/>
      <c r="G200" s="1371"/>
      <c r="H200" s="161" t="s">
        <v>225</v>
      </c>
      <c r="I200" s="741">
        <f>+'[11]Metraj Özeti'!AI200</f>
        <v>0</v>
      </c>
      <c r="J200" s="226">
        <f>+'Yeşil Defter'!AC328</f>
        <v>0</v>
      </c>
      <c r="K200" s="226">
        <f t="shared" si="4"/>
        <v>0</v>
      </c>
    </row>
    <row r="201" spans="1:11" ht="19.95" customHeight="1" x14ac:dyDescent="0.3">
      <c r="A201" s="262" t="s">
        <v>154</v>
      </c>
      <c r="C201" s="161">
        <v>182</v>
      </c>
      <c r="D201" s="213" t="s">
        <v>583</v>
      </c>
      <c r="E201" s="1371" t="s">
        <v>584</v>
      </c>
      <c r="F201" s="1371"/>
      <c r="G201" s="1371"/>
      <c r="H201" s="161" t="s">
        <v>247</v>
      </c>
      <c r="I201" s="741">
        <f>+'[11]Metraj Özeti'!AI201</f>
        <v>0</v>
      </c>
      <c r="J201" s="226">
        <f>+'Yeşil Defter'!AC341</f>
        <v>0</v>
      </c>
      <c r="K201" s="226">
        <f t="shared" si="4"/>
        <v>0</v>
      </c>
    </row>
    <row r="202" spans="1:11" ht="19.95" customHeight="1" x14ac:dyDescent="0.3">
      <c r="A202" s="262" t="s">
        <v>154</v>
      </c>
      <c r="C202" s="161">
        <v>183</v>
      </c>
      <c r="D202" s="213" t="s">
        <v>585</v>
      </c>
      <c r="E202" s="1371" t="s">
        <v>586</v>
      </c>
      <c r="F202" s="1371"/>
      <c r="G202" s="1371"/>
      <c r="H202" s="161" t="s">
        <v>247</v>
      </c>
      <c r="I202" s="741">
        <f>+'[11]Metraj Özeti'!AI202</f>
        <v>0</v>
      </c>
      <c r="J202" s="226">
        <f>+'Yeşil Defter'!AC342</f>
        <v>0</v>
      </c>
      <c r="K202" s="226">
        <f t="shared" si="4"/>
        <v>0</v>
      </c>
    </row>
    <row r="203" spans="1:11" ht="19.95" customHeight="1" x14ac:dyDescent="0.3">
      <c r="A203" s="262" t="s">
        <v>154</v>
      </c>
      <c r="C203" s="658">
        <v>184</v>
      </c>
      <c r="D203" s="689" t="s">
        <v>587</v>
      </c>
      <c r="E203" s="1372" t="s">
        <v>588</v>
      </c>
      <c r="F203" s="1372"/>
      <c r="G203" s="1372"/>
      <c r="H203" s="658" t="s">
        <v>247</v>
      </c>
      <c r="I203" s="741">
        <f>+'[11]Metraj Özeti'!AI203</f>
        <v>0</v>
      </c>
      <c r="J203" s="226">
        <f>+'Yeşil Defter'!AC343</f>
        <v>0</v>
      </c>
      <c r="K203" s="226">
        <f t="shared" si="4"/>
        <v>0</v>
      </c>
    </row>
    <row r="204" spans="1:11" ht="10.050000000000001" customHeight="1" x14ac:dyDescent="0.3">
      <c r="A204" s="262" t="s">
        <v>1240</v>
      </c>
      <c r="C204" s="678"/>
      <c r="D204" s="690" t="s">
        <v>1229</v>
      </c>
      <c r="E204" s="217"/>
      <c r="F204" s="217"/>
      <c r="G204" s="217"/>
      <c r="H204" s="217"/>
      <c r="I204" s="741">
        <f>+'[11]Metraj Özeti'!AI204</f>
        <v>0</v>
      </c>
      <c r="J204" s="691"/>
      <c r="K204" s="599">
        <f t="shared" si="4"/>
        <v>0</v>
      </c>
    </row>
    <row r="205" spans="1:11" ht="19.95" customHeight="1" x14ac:dyDescent="0.3">
      <c r="A205" s="262">
        <v>2</v>
      </c>
      <c r="C205" s="243">
        <v>185</v>
      </c>
      <c r="D205" s="210" t="s">
        <v>589</v>
      </c>
      <c r="E205" s="1373" t="s">
        <v>590</v>
      </c>
      <c r="F205" s="1373"/>
      <c r="G205" s="1373"/>
      <c r="H205" s="160" t="s">
        <v>286</v>
      </c>
      <c r="I205" s="741">
        <f>+'[11]Metraj Özeti'!AI205</f>
        <v>0</v>
      </c>
      <c r="J205" s="226">
        <f>+'Yeşil Defter'!AC388</f>
        <v>0</v>
      </c>
      <c r="K205" s="226">
        <f t="shared" si="4"/>
        <v>0</v>
      </c>
    </row>
    <row r="206" spans="1:11" ht="19.95" customHeight="1" x14ac:dyDescent="0.3">
      <c r="A206" s="262">
        <v>2</v>
      </c>
      <c r="C206" s="244">
        <v>186</v>
      </c>
      <c r="D206" s="161" t="s">
        <v>591</v>
      </c>
      <c r="E206" s="1371" t="s">
        <v>592</v>
      </c>
      <c r="F206" s="1371"/>
      <c r="G206" s="1371"/>
      <c r="H206" s="161" t="s">
        <v>286</v>
      </c>
      <c r="I206" s="741">
        <f>+'[11]Metraj Özeti'!AI206</f>
        <v>0</v>
      </c>
      <c r="J206" s="226">
        <f>+'Yeşil Defter'!AC389</f>
        <v>0</v>
      </c>
      <c r="K206" s="226">
        <f t="shared" si="4"/>
        <v>0</v>
      </c>
    </row>
    <row r="207" spans="1:11" ht="19.95" customHeight="1" x14ac:dyDescent="0.3">
      <c r="A207" s="262">
        <v>2</v>
      </c>
      <c r="C207" s="244">
        <v>187</v>
      </c>
      <c r="D207" s="161" t="s">
        <v>593</v>
      </c>
      <c r="E207" s="1371" t="s">
        <v>594</v>
      </c>
      <c r="F207" s="1371"/>
      <c r="G207" s="1371"/>
      <c r="H207" s="161" t="s">
        <v>286</v>
      </c>
      <c r="I207" s="741">
        <f>+'[11]Metraj Özeti'!AI207</f>
        <v>0</v>
      </c>
      <c r="J207" s="226">
        <f>+'Yeşil Defter'!AC390</f>
        <v>0</v>
      </c>
      <c r="K207" s="226">
        <f t="shared" si="4"/>
        <v>0</v>
      </c>
    </row>
    <row r="208" spans="1:11" ht="19.95" customHeight="1" x14ac:dyDescent="0.3">
      <c r="A208" s="262">
        <v>2</v>
      </c>
      <c r="C208" s="244">
        <v>188</v>
      </c>
      <c r="D208" s="161" t="s">
        <v>595</v>
      </c>
      <c r="E208" s="1371" t="s">
        <v>596</v>
      </c>
      <c r="F208" s="1371"/>
      <c r="G208" s="1371"/>
      <c r="H208" s="161" t="s">
        <v>286</v>
      </c>
      <c r="I208" s="741">
        <f>+'[11]Metraj Özeti'!AI208</f>
        <v>0</v>
      </c>
      <c r="J208" s="226">
        <f>+'Yeşil Defter'!AC391</f>
        <v>0</v>
      </c>
      <c r="K208" s="226">
        <f t="shared" si="4"/>
        <v>0</v>
      </c>
    </row>
    <row r="209" spans="1:11" ht="19.95" customHeight="1" x14ac:dyDescent="0.3">
      <c r="A209" s="262">
        <v>2</v>
      </c>
      <c r="C209" s="244">
        <v>189</v>
      </c>
      <c r="D209" s="161" t="s">
        <v>597</v>
      </c>
      <c r="E209" s="1371" t="s">
        <v>598</v>
      </c>
      <c r="F209" s="1371"/>
      <c r="G209" s="1371"/>
      <c r="H209" s="161" t="s">
        <v>286</v>
      </c>
      <c r="I209" s="741">
        <f>+'[11]Metraj Özeti'!AI209</f>
        <v>0</v>
      </c>
      <c r="J209" s="226">
        <f>+'Yeşil Defter'!AC392</f>
        <v>0</v>
      </c>
      <c r="K209" s="226">
        <f t="shared" si="4"/>
        <v>0</v>
      </c>
    </row>
    <row r="210" spans="1:11" ht="19.95" customHeight="1" x14ac:dyDescent="0.3">
      <c r="A210" s="262">
        <v>2</v>
      </c>
      <c r="C210" s="244">
        <v>190</v>
      </c>
      <c r="D210" s="161" t="s">
        <v>599</v>
      </c>
      <c r="E210" s="1371" t="s">
        <v>600</v>
      </c>
      <c r="F210" s="1371"/>
      <c r="G210" s="1371"/>
      <c r="H210" s="161" t="s">
        <v>286</v>
      </c>
      <c r="I210" s="741">
        <f>+'[11]Metraj Özeti'!AI210</f>
        <v>0</v>
      </c>
      <c r="J210" s="226">
        <f>+'Yeşil Defter'!AC393</f>
        <v>0</v>
      </c>
      <c r="K210" s="226">
        <f t="shared" si="4"/>
        <v>0</v>
      </c>
    </row>
    <row r="211" spans="1:11" ht="19.95" customHeight="1" x14ac:dyDescent="0.3">
      <c r="A211" s="262">
        <v>2</v>
      </c>
      <c r="C211" s="244">
        <v>191</v>
      </c>
      <c r="D211" s="161" t="s">
        <v>601</v>
      </c>
      <c r="E211" s="1371" t="s">
        <v>602</v>
      </c>
      <c r="F211" s="1371"/>
      <c r="G211" s="1371"/>
      <c r="H211" s="161" t="s">
        <v>286</v>
      </c>
      <c r="I211" s="741">
        <f>+'[11]Metraj Özeti'!AI211</f>
        <v>0</v>
      </c>
      <c r="J211" s="226">
        <f>+'Yeşil Defter'!AC394</f>
        <v>0</v>
      </c>
      <c r="K211" s="226">
        <f t="shared" si="4"/>
        <v>0</v>
      </c>
    </row>
    <row r="212" spans="1:11" ht="19.95" customHeight="1" x14ac:dyDescent="0.3">
      <c r="A212" s="262">
        <v>2</v>
      </c>
      <c r="C212" s="244">
        <v>192</v>
      </c>
      <c r="D212" s="161" t="s">
        <v>603</v>
      </c>
      <c r="E212" s="1371" t="s">
        <v>604</v>
      </c>
      <c r="F212" s="1371"/>
      <c r="G212" s="1371"/>
      <c r="H212" s="161" t="s">
        <v>286</v>
      </c>
      <c r="I212" s="741">
        <f>+'[11]Metraj Özeti'!AI212</f>
        <v>0</v>
      </c>
      <c r="J212" s="226">
        <f>+'Yeşil Defter'!AC395</f>
        <v>0</v>
      </c>
      <c r="K212" s="226">
        <f t="shared" si="4"/>
        <v>0</v>
      </c>
    </row>
    <row r="213" spans="1:11" ht="19.95" customHeight="1" x14ac:dyDescent="0.3">
      <c r="A213" s="262">
        <v>2</v>
      </c>
      <c r="C213" s="244">
        <v>193</v>
      </c>
      <c r="D213" s="161" t="s">
        <v>605</v>
      </c>
      <c r="E213" s="1371" t="s">
        <v>606</v>
      </c>
      <c r="F213" s="1371"/>
      <c r="G213" s="1371"/>
      <c r="H213" s="161" t="s">
        <v>286</v>
      </c>
      <c r="I213" s="741">
        <f>+'[11]Metraj Özeti'!AI213</f>
        <v>0</v>
      </c>
      <c r="J213" s="226">
        <f>+'Yeşil Defter'!AC396</f>
        <v>0</v>
      </c>
      <c r="K213" s="226">
        <f t="shared" si="4"/>
        <v>0</v>
      </c>
    </row>
    <row r="214" spans="1:11" ht="19.95" customHeight="1" x14ac:dyDescent="0.3">
      <c r="A214" s="262">
        <v>2</v>
      </c>
      <c r="C214" s="244">
        <v>194</v>
      </c>
      <c r="D214" s="161" t="s">
        <v>607</v>
      </c>
      <c r="E214" s="1371" t="s">
        <v>608</v>
      </c>
      <c r="F214" s="1371"/>
      <c r="G214" s="1371"/>
      <c r="H214" s="161" t="s">
        <v>286</v>
      </c>
      <c r="I214" s="741">
        <f>+'[11]Metraj Özeti'!AI214</f>
        <v>0</v>
      </c>
      <c r="J214" s="226">
        <f>+'Yeşil Defter'!AC397</f>
        <v>0</v>
      </c>
      <c r="K214" s="226">
        <f t="shared" si="4"/>
        <v>0</v>
      </c>
    </row>
    <row r="215" spans="1:11" ht="19.95" customHeight="1" x14ac:dyDescent="0.3">
      <c r="A215" s="262">
        <v>2</v>
      </c>
      <c r="C215" s="244">
        <v>195</v>
      </c>
      <c r="D215" s="161" t="s">
        <v>609</v>
      </c>
      <c r="E215" s="1371" t="s">
        <v>610</v>
      </c>
      <c r="F215" s="1371"/>
      <c r="G215" s="1371"/>
      <c r="H215" s="161" t="s">
        <v>286</v>
      </c>
      <c r="I215" s="741">
        <f>+'[11]Metraj Özeti'!AI215</f>
        <v>0</v>
      </c>
      <c r="J215" s="226">
        <f>+'Yeşil Defter'!AC398</f>
        <v>0</v>
      </c>
      <c r="K215" s="226">
        <f t="shared" si="4"/>
        <v>0</v>
      </c>
    </row>
    <row r="216" spans="1:11" ht="19.95" customHeight="1" x14ac:dyDescent="0.3">
      <c r="A216" s="262">
        <v>2</v>
      </c>
      <c r="C216" s="244">
        <v>196</v>
      </c>
      <c r="D216" s="161" t="s">
        <v>611</v>
      </c>
      <c r="E216" s="1371" t="s">
        <v>612</v>
      </c>
      <c r="F216" s="1371"/>
      <c r="G216" s="1371"/>
      <c r="H216" s="161" t="s">
        <v>286</v>
      </c>
      <c r="I216" s="741">
        <f>+'[11]Metraj Özeti'!AI216</f>
        <v>0</v>
      </c>
      <c r="J216" s="226">
        <f>+'Yeşil Defter'!AC399</f>
        <v>0</v>
      </c>
      <c r="K216" s="226">
        <f t="shared" si="4"/>
        <v>0</v>
      </c>
    </row>
    <row r="217" spans="1:11" ht="19.95" customHeight="1" x14ac:dyDescent="0.3">
      <c r="A217" s="262">
        <v>2</v>
      </c>
      <c r="C217" s="244">
        <v>197</v>
      </c>
      <c r="D217" s="161" t="s">
        <v>613</v>
      </c>
      <c r="E217" s="1371" t="s">
        <v>614</v>
      </c>
      <c r="F217" s="1371"/>
      <c r="G217" s="1371"/>
      <c r="H217" s="161" t="s">
        <v>286</v>
      </c>
      <c r="I217" s="741">
        <f>+'[11]Metraj Özeti'!AI217</f>
        <v>0</v>
      </c>
      <c r="J217" s="226">
        <f>+'Yeşil Defter'!AC400</f>
        <v>0</v>
      </c>
      <c r="K217" s="226">
        <f t="shared" si="4"/>
        <v>0</v>
      </c>
    </row>
    <row r="218" spans="1:11" ht="19.95" customHeight="1" x14ac:dyDescent="0.3">
      <c r="A218" s="262">
        <v>2</v>
      </c>
      <c r="C218" s="244">
        <v>198</v>
      </c>
      <c r="D218" s="161" t="s">
        <v>615</v>
      </c>
      <c r="E218" s="1371" t="s">
        <v>616</v>
      </c>
      <c r="F218" s="1371"/>
      <c r="G218" s="1371"/>
      <c r="H218" s="161" t="s">
        <v>286</v>
      </c>
      <c r="I218" s="741">
        <f>+'[11]Metraj Özeti'!AI218</f>
        <v>0</v>
      </c>
      <c r="J218" s="226">
        <f>+'Yeşil Defter'!AC401</f>
        <v>0</v>
      </c>
      <c r="K218" s="226">
        <f t="shared" si="4"/>
        <v>0</v>
      </c>
    </row>
    <row r="219" spans="1:11" ht="19.95" customHeight="1" x14ac:dyDescent="0.3">
      <c r="A219" s="262">
        <v>2</v>
      </c>
      <c r="C219" s="244">
        <v>199</v>
      </c>
      <c r="D219" s="161" t="s">
        <v>617</v>
      </c>
      <c r="E219" s="1371" t="s">
        <v>618</v>
      </c>
      <c r="F219" s="1371"/>
      <c r="G219" s="1371"/>
      <c r="H219" s="161" t="s">
        <v>286</v>
      </c>
      <c r="I219" s="741">
        <f>+'[11]Metraj Özeti'!AI219</f>
        <v>0</v>
      </c>
      <c r="J219" s="226">
        <f>+'Yeşil Defter'!AC402</f>
        <v>0</v>
      </c>
      <c r="K219" s="226">
        <f t="shared" si="4"/>
        <v>0</v>
      </c>
    </row>
    <row r="220" spans="1:11" ht="19.95" customHeight="1" x14ac:dyDescent="0.3">
      <c r="A220" s="262">
        <v>2</v>
      </c>
      <c r="C220" s="244">
        <v>200</v>
      </c>
      <c r="D220" s="161" t="s">
        <v>619</v>
      </c>
      <c r="E220" s="1371" t="s">
        <v>620</v>
      </c>
      <c r="F220" s="1371"/>
      <c r="G220" s="1371"/>
      <c r="H220" s="161" t="s">
        <v>286</v>
      </c>
      <c r="I220" s="741">
        <f>+'[11]Metraj Özeti'!AI220</f>
        <v>0</v>
      </c>
      <c r="J220" s="226">
        <f>+'Yeşil Defter'!AC403</f>
        <v>0</v>
      </c>
      <c r="K220" s="226">
        <f t="shared" si="4"/>
        <v>0</v>
      </c>
    </row>
    <row r="221" spans="1:11" ht="19.95" customHeight="1" x14ac:dyDescent="0.3">
      <c r="A221" s="262">
        <v>2</v>
      </c>
      <c r="C221" s="244">
        <v>201</v>
      </c>
      <c r="D221" s="161" t="s">
        <v>621</v>
      </c>
      <c r="E221" s="1371" t="s">
        <v>622</v>
      </c>
      <c r="F221" s="1371"/>
      <c r="G221" s="1371"/>
      <c r="H221" s="161" t="s">
        <v>286</v>
      </c>
      <c r="I221" s="741">
        <f>+'[11]Metraj Özeti'!AI221</f>
        <v>0</v>
      </c>
      <c r="J221" s="226">
        <f>+'Yeşil Defter'!AC404</f>
        <v>0</v>
      </c>
      <c r="K221" s="226">
        <f t="shared" si="4"/>
        <v>0</v>
      </c>
    </row>
    <row r="222" spans="1:11" ht="19.95" customHeight="1" x14ac:dyDescent="0.3">
      <c r="A222" s="262">
        <v>2</v>
      </c>
      <c r="C222" s="244">
        <v>202</v>
      </c>
      <c r="D222" s="161" t="s">
        <v>623</v>
      </c>
      <c r="E222" s="1371" t="s">
        <v>624</v>
      </c>
      <c r="F222" s="1371"/>
      <c r="G222" s="1371"/>
      <c r="H222" s="161" t="s">
        <v>286</v>
      </c>
      <c r="I222" s="741">
        <f>+'[11]Metraj Özeti'!AI222</f>
        <v>0</v>
      </c>
      <c r="J222" s="226">
        <f>+'Yeşil Defter'!AC405</f>
        <v>0</v>
      </c>
      <c r="K222" s="226">
        <f t="shared" si="4"/>
        <v>0</v>
      </c>
    </row>
    <row r="223" spans="1:11" ht="19.95" customHeight="1" x14ac:dyDescent="0.3">
      <c r="A223" s="262">
        <v>2</v>
      </c>
      <c r="C223" s="244">
        <v>203</v>
      </c>
      <c r="D223" s="161" t="s">
        <v>625</v>
      </c>
      <c r="E223" s="1371" t="s">
        <v>626</v>
      </c>
      <c r="F223" s="1371"/>
      <c r="G223" s="1371"/>
      <c r="H223" s="161" t="s">
        <v>286</v>
      </c>
      <c r="I223" s="741">
        <f>+'[11]Metraj Özeti'!AI223</f>
        <v>0</v>
      </c>
      <c r="J223" s="226">
        <f>+'Yeşil Defter'!AC406</f>
        <v>0</v>
      </c>
      <c r="K223" s="226">
        <f t="shared" si="4"/>
        <v>0</v>
      </c>
    </row>
    <row r="224" spans="1:11" ht="19.95" customHeight="1" x14ac:dyDescent="0.3">
      <c r="A224" s="262">
        <v>2</v>
      </c>
      <c r="C224" s="244">
        <v>204</v>
      </c>
      <c r="D224" s="161" t="s">
        <v>627</v>
      </c>
      <c r="E224" s="1371" t="s">
        <v>628</v>
      </c>
      <c r="F224" s="1371"/>
      <c r="G224" s="1371"/>
      <c r="H224" s="161" t="s">
        <v>286</v>
      </c>
      <c r="I224" s="741">
        <f>+'[11]Metraj Özeti'!AI224</f>
        <v>0</v>
      </c>
      <c r="J224" s="226">
        <f>+'Yeşil Defter'!AC407</f>
        <v>0</v>
      </c>
      <c r="K224" s="226">
        <f t="shared" si="4"/>
        <v>0</v>
      </c>
    </row>
    <row r="225" spans="1:11" ht="19.95" customHeight="1" x14ac:dyDescent="0.3">
      <c r="A225" s="262">
        <v>2</v>
      </c>
      <c r="C225" s="244">
        <v>205</v>
      </c>
      <c r="D225" s="161" t="s">
        <v>629</v>
      </c>
      <c r="E225" s="1371" t="s">
        <v>630</v>
      </c>
      <c r="F225" s="1371"/>
      <c r="G225" s="1371"/>
      <c r="H225" s="161" t="s">
        <v>286</v>
      </c>
      <c r="I225" s="741">
        <f>+'[11]Metraj Özeti'!AI225</f>
        <v>0</v>
      </c>
      <c r="J225" s="226">
        <f>+'Yeşil Defter'!AC408</f>
        <v>0</v>
      </c>
      <c r="K225" s="226">
        <f t="shared" si="4"/>
        <v>0</v>
      </c>
    </row>
    <row r="226" spans="1:11" ht="19.95" customHeight="1" x14ac:dyDescent="0.3">
      <c r="A226" s="262">
        <v>2</v>
      </c>
      <c r="C226" s="244">
        <v>206</v>
      </c>
      <c r="D226" s="161" t="s">
        <v>631</v>
      </c>
      <c r="E226" s="1371" t="s">
        <v>632</v>
      </c>
      <c r="F226" s="1371"/>
      <c r="G226" s="1371"/>
      <c r="H226" s="161" t="s">
        <v>286</v>
      </c>
      <c r="I226" s="741">
        <f>+'[11]Metraj Özeti'!AI226</f>
        <v>0</v>
      </c>
      <c r="J226" s="226">
        <f>+'Yeşil Defter'!AC409</f>
        <v>0</v>
      </c>
      <c r="K226" s="226">
        <f t="shared" si="4"/>
        <v>0</v>
      </c>
    </row>
    <row r="227" spans="1:11" ht="19.95" customHeight="1" x14ac:dyDescent="0.3">
      <c r="A227" s="262">
        <v>2</v>
      </c>
      <c r="C227" s="244">
        <v>207</v>
      </c>
      <c r="D227" s="161" t="s">
        <v>633</v>
      </c>
      <c r="E227" s="1371" t="s">
        <v>634</v>
      </c>
      <c r="F227" s="1371"/>
      <c r="G227" s="1371"/>
      <c r="H227" s="161" t="s">
        <v>286</v>
      </c>
      <c r="I227" s="741">
        <f>+'[11]Metraj Özeti'!AI227</f>
        <v>0</v>
      </c>
      <c r="J227" s="226">
        <f>+'Yeşil Defter'!AC410</f>
        <v>0</v>
      </c>
      <c r="K227" s="226">
        <f t="shared" si="4"/>
        <v>0</v>
      </c>
    </row>
    <row r="228" spans="1:11" ht="19.95" customHeight="1" x14ac:dyDescent="0.3">
      <c r="A228" s="262">
        <v>2</v>
      </c>
      <c r="C228" s="244">
        <v>208</v>
      </c>
      <c r="D228" s="161" t="s">
        <v>635</v>
      </c>
      <c r="E228" s="1371" t="s">
        <v>636</v>
      </c>
      <c r="F228" s="1371"/>
      <c r="G228" s="1371"/>
      <c r="H228" s="161" t="s">
        <v>286</v>
      </c>
      <c r="I228" s="741">
        <f>+'[11]Metraj Özeti'!AI228</f>
        <v>0</v>
      </c>
      <c r="J228" s="226">
        <f>+'Yeşil Defter'!AC411</f>
        <v>0</v>
      </c>
      <c r="K228" s="226">
        <f t="shared" si="4"/>
        <v>0</v>
      </c>
    </row>
    <row r="229" spans="1:11" ht="19.95" customHeight="1" x14ac:dyDescent="0.3">
      <c r="A229" s="262">
        <v>2</v>
      </c>
      <c r="C229" s="244">
        <v>209</v>
      </c>
      <c r="D229" s="161" t="s">
        <v>637</v>
      </c>
      <c r="E229" s="1371" t="s">
        <v>638</v>
      </c>
      <c r="F229" s="1371"/>
      <c r="G229" s="1371"/>
      <c r="H229" s="161" t="s">
        <v>286</v>
      </c>
      <c r="I229" s="741">
        <f>+'[11]Metraj Özeti'!AI229</f>
        <v>0</v>
      </c>
      <c r="J229" s="226">
        <f>+'Yeşil Defter'!AC412</f>
        <v>0</v>
      </c>
      <c r="K229" s="226">
        <f t="shared" ref="K229:K292" si="5">+J229+I229</f>
        <v>0</v>
      </c>
    </row>
    <row r="230" spans="1:11" ht="19.95" customHeight="1" x14ac:dyDescent="0.3">
      <c r="A230" s="262">
        <v>2</v>
      </c>
      <c r="C230" s="244">
        <v>210</v>
      </c>
      <c r="D230" s="161" t="s">
        <v>639</v>
      </c>
      <c r="E230" s="1371" t="s">
        <v>640</v>
      </c>
      <c r="F230" s="1371"/>
      <c r="G230" s="1371"/>
      <c r="H230" s="161" t="s">
        <v>286</v>
      </c>
      <c r="I230" s="741">
        <f>+'[11]Metraj Özeti'!AI230</f>
        <v>0</v>
      </c>
      <c r="J230" s="226">
        <f>+'Yeşil Defter'!AC413</f>
        <v>0</v>
      </c>
      <c r="K230" s="226">
        <f t="shared" si="5"/>
        <v>0</v>
      </c>
    </row>
    <row r="231" spans="1:11" ht="19.95" customHeight="1" x14ac:dyDescent="0.3">
      <c r="A231" s="262">
        <v>2</v>
      </c>
      <c r="C231" s="244">
        <v>211</v>
      </c>
      <c r="D231" s="161" t="s">
        <v>641</v>
      </c>
      <c r="E231" s="1371" t="s">
        <v>642</v>
      </c>
      <c r="F231" s="1371"/>
      <c r="G231" s="1371"/>
      <c r="H231" s="161" t="s">
        <v>286</v>
      </c>
      <c r="I231" s="741">
        <f>+'[11]Metraj Özeti'!AI231</f>
        <v>0</v>
      </c>
      <c r="J231" s="226">
        <f>+'Yeşil Defter'!AC414</f>
        <v>0</v>
      </c>
      <c r="K231" s="226">
        <f t="shared" si="5"/>
        <v>0</v>
      </c>
    </row>
    <row r="232" spans="1:11" ht="19.95" customHeight="1" x14ac:dyDescent="0.3">
      <c r="A232" s="262">
        <v>2</v>
      </c>
      <c r="C232" s="244">
        <v>212</v>
      </c>
      <c r="D232" s="161" t="s">
        <v>643</v>
      </c>
      <c r="E232" s="1371" t="s">
        <v>644</v>
      </c>
      <c r="F232" s="1371"/>
      <c r="G232" s="1371"/>
      <c r="H232" s="161" t="s">
        <v>286</v>
      </c>
      <c r="I232" s="741">
        <f>+'[11]Metraj Özeti'!AI232</f>
        <v>0</v>
      </c>
      <c r="J232" s="226">
        <f>+'Yeşil Defter'!AC415</f>
        <v>0</v>
      </c>
      <c r="K232" s="226">
        <f t="shared" si="5"/>
        <v>0</v>
      </c>
    </row>
    <row r="233" spans="1:11" ht="19.95" customHeight="1" x14ac:dyDescent="0.3">
      <c r="A233" s="262">
        <v>2</v>
      </c>
      <c r="C233" s="244">
        <v>213</v>
      </c>
      <c r="D233" s="161" t="s">
        <v>645</v>
      </c>
      <c r="E233" s="1371" t="s">
        <v>646</v>
      </c>
      <c r="F233" s="1371"/>
      <c r="G233" s="1371"/>
      <c r="H233" s="161" t="s">
        <v>286</v>
      </c>
      <c r="I233" s="741">
        <f>+'[11]Metraj Özeti'!AI233</f>
        <v>0</v>
      </c>
      <c r="J233" s="226">
        <f>+'Yeşil Defter'!AC416</f>
        <v>0</v>
      </c>
      <c r="K233" s="226">
        <f t="shared" si="5"/>
        <v>0</v>
      </c>
    </row>
    <row r="234" spans="1:11" ht="19.95" customHeight="1" x14ac:dyDescent="0.3">
      <c r="A234" s="262">
        <v>2</v>
      </c>
      <c r="C234" s="244">
        <v>214</v>
      </c>
      <c r="D234" s="161" t="s">
        <v>647</v>
      </c>
      <c r="E234" s="1371" t="s">
        <v>648</v>
      </c>
      <c r="F234" s="1371"/>
      <c r="G234" s="1371"/>
      <c r="H234" s="161" t="s">
        <v>286</v>
      </c>
      <c r="I234" s="741">
        <f>+'[11]Metraj Özeti'!AI234</f>
        <v>0</v>
      </c>
      <c r="J234" s="226">
        <f>+'Yeşil Defter'!AC417</f>
        <v>0</v>
      </c>
      <c r="K234" s="226">
        <f t="shared" si="5"/>
        <v>0</v>
      </c>
    </row>
    <row r="235" spans="1:11" ht="19.95" customHeight="1" x14ac:dyDescent="0.3">
      <c r="A235" s="262">
        <v>2</v>
      </c>
      <c r="C235" s="244">
        <v>215</v>
      </c>
      <c r="D235" s="161" t="s">
        <v>649</v>
      </c>
      <c r="E235" s="1371" t="s">
        <v>650</v>
      </c>
      <c r="F235" s="1371"/>
      <c r="G235" s="1371"/>
      <c r="H235" s="161" t="s">
        <v>286</v>
      </c>
      <c r="I235" s="741">
        <f>+'[11]Metraj Özeti'!AI235</f>
        <v>0</v>
      </c>
      <c r="J235" s="226">
        <f>+'Yeşil Defter'!AC418</f>
        <v>0</v>
      </c>
      <c r="K235" s="226">
        <f t="shared" si="5"/>
        <v>0</v>
      </c>
    </row>
    <row r="236" spans="1:11" ht="19.95" customHeight="1" x14ac:dyDescent="0.3">
      <c r="A236" s="262">
        <v>2</v>
      </c>
      <c r="C236" s="244">
        <v>216</v>
      </c>
      <c r="D236" s="161" t="s">
        <v>651</v>
      </c>
      <c r="E236" s="1371" t="s">
        <v>652</v>
      </c>
      <c r="F236" s="1371"/>
      <c r="G236" s="1371"/>
      <c r="H236" s="161" t="s">
        <v>286</v>
      </c>
      <c r="I236" s="741">
        <f>+'[11]Metraj Özeti'!AI236</f>
        <v>0</v>
      </c>
      <c r="J236" s="226">
        <f>+'Yeşil Defter'!AC419</f>
        <v>0</v>
      </c>
      <c r="K236" s="226">
        <f t="shared" si="5"/>
        <v>0</v>
      </c>
    </row>
    <row r="237" spans="1:11" ht="19.95" customHeight="1" x14ac:dyDescent="0.3">
      <c r="A237" s="262">
        <v>2</v>
      </c>
      <c r="C237" s="244">
        <v>217</v>
      </c>
      <c r="D237" s="161" t="s">
        <v>653</v>
      </c>
      <c r="E237" s="1371" t="s">
        <v>654</v>
      </c>
      <c r="F237" s="1371"/>
      <c r="G237" s="1371"/>
      <c r="H237" s="161" t="s">
        <v>286</v>
      </c>
      <c r="I237" s="741">
        <f>+'[11]Metraj Özeti'!AI237</f>
        <v>0</v>
      </c>
      <c r="J237" s="226">
        <f>+'Yeşil Defter'!AC420</f>
        <v>0</v>
      </c>
      <c r="K237" s="226">
        <f t="shared" si="5"/>
        <v>0</v>
      </c>
    </row>
    <row r="238" spans="1:11" ht="19.95" customHeight="1" x14ac:dyDescent="0.3">
      <c r="A238" s="262">
        <v>2</v>
      </c>
      <c r="C238" s="244">
        <v>218</v>
      </c>
      <c r="D238" s="161" t="s">
        <v>655</v>
      </c>
      <c r="E238" s="1371" t="s">
        <v>656</v>
      </c>
      <c r="F238" s="1371"/>
      <c r="G238" s="1371"/>
      <c r="H238" s="161" t="s">
        <v>286</v>
      </c>
      <c r="I238" s="741">
        <f>+'[11]Metraj Özeti'!AI238</f>
        <v>0</v>
      </c>
      <c r="J238" s="226">
        <f>+'Yeşil Defter'!AC433</f>
        <v>0</v>
      </c>
      <c r="K238" s="226">
        <f t="shared" si="5"/>
        <v>0</v>
      </c>
    </row>
    <row r="239" spans="1:11" ht="19.95" customHeight="1" x14ac:dyDescent="0.3">
      <c r="A239" s="262">
        <v>2</v>
      </c>
      <c r="C239" s="244">
        <v>219</v>
      </c>
      <c r="D239" s="161" t="s">
        <v>657</v>
      </c>
      <c r="E239" s="1371" t="s">
        <v>658</v>
      </c>
      <c r="F239" s="1371"/>
      <c r="G239" s="1371"/>
      <c r="H239" s="161" t="s">
        <v>286</v>
      </c>
      <c r="I239" s="741">
        <f>+'[11]Metraj Özeti'!AI239</f>
        <v>0</v>
      </c>
      <c r="J239" s="226">
        <f>+'Yeşil Defter'!AC434</f>
        <v>0</v>
      </c>
      <c r="K239" s="226">
        <f t="shared" si="5"/>
        <v>0</v>
      </c>
    </row>
    <row r="240" spans="1:11" ht="19.95" customHeight="1" x14ac:dyDescent="0.3">
      <c r="A240" s="262">
        <v>2</v>
      </c>
      <c r="C240" s="244">
        <v>220</v>
      </c>
      <c r="D240" s="161" t="s">
        <v>659</v>
      </c>
      <c r="E240" s="1371" t="s">
        <v>660</v>
      </c>
      <c r="F240" s="1371"/>
      <c r="G240" s="1371"/>
      <c r="H240" s="161" t="s">
        <v>286</v>
      </c>
      <c r="I240" s="741">
        <f>+'[11]Metraj Özeti'!AI240</f>
        <v>0</v>
      </c>
      <c r="J240" s="226">
        <f>+'Yeşil Defter'!AC435</f>
        <v>0</v>
      </c>
      <c r="K240" s="226">
        <f t="shared" si="5"/>
        <v>0</v>
      </c>
    </row>
    <row r="241" spans="1:11" ht="19.95" customHeight="1" x14ac:dyDescent="0.3">
      <c r="A241" s="262">
        <v>2</v>
      </c>
      <c r="C241" s="244">
        <v>221</v>
      </c>
      <c r="D241" s="161" t="s">
        <v>661</v>
      </c>
      <c r="E241" s="1371" t="s">
        <v>662</v>
      </c>
      <c r="F241" s="1371"/>
      <c r="G241" s="1371"/>
      <c r="H241" s="161" t="s">
        <v>286</v>
      </c>
      <c r="I241" s="741">
        <f>+'[11]Metraj Özeti'!AI241</f>
        <v>0</v>
      </c>
      <c r="J241" s="226">
        <f>+'Yeşil Defter'!AC436</f>
        <v>0</v>
      </c>
      <c r="K241" s="226">
        <f t="shared" si="5"/>
        <v>0</v>
      </c>
    </row>
    <row r="242" spans="1:11" ht="19.95" customHeight="1" x14ac:dyDescent="0.3">
      <c r="A242" s="262">
        <v>2</v>
      </c>
      <c r="C242" s="244">
        <v>222</v>
      </c>
      <c r="D242" s="161" t="s">
        <v>663</v>
      </c>
      <c r="E242" s="1371" t="s">
        <v>664</v>
      </c>
      <c r="F242" s="1371"/>
      <c r="G242" s="1371"/>
      <c r="H242" s="161" t="s">
        <v>286</v>
      </c>
      <c r="I242" s="741">
        <f>+'[11]Metraj Özeti'!AI242</f>
        <v>0</v>
      </c>
      <c r="J242" s="226">
        <f>+'Yeşil Defter'!AC437</f>
        <v>0</v>
      </c>
      <c r="K242" s="226">
        <f t="shared" si="5"/>
        <v>0</v>
      </c>
    </row>
    <row r="243" spans="1:11" ht="19.95" customHeight="1" x14ac:dyDescent="0.3">
      <c r="A243" s="262">
        <v>2</v>
      </c>
      <c r="C243" s="244">
        <v>223</v>
      </c>
      <c r="D243" s="161" t="s">
        <v>665</v>
      </c>
      <c r="E243" s="1371" t="s">
        <v>666</v>
      </c>
      <c r="F243" s="1371"/>
      <c r="G243" s="1371"/>
      <c r="H243" s="161" t="s">
        <v>286</v>
      </c>
      <c r="I243" s="741">
        <f>+'[11]Metraj Özeti'!AI243</f>
        <v>0</v>
      </c>
      <c r="J243" s="226">
        <f>+'Yeşil Defter'!AC438</f>
        <v>0</v>
      </c>
      <c r="K243" s="226">
        <f t="shared" si="5"/>
        <v>0</v>
      </c>
    </row>
    <row r="244" spans="1:11" ht="19.95" customHeight="1" x14ac:dyDescent="0.3">
      <c r="A244" s="262">
        <v>2</v>
      </c>
      <c r="C244" s="244">
        <v>224</v>
      </c>
      <c r="D244" s="161" t="s">
        <v>667</v>
      </c>
      <c r="E244" s="1371" t="s">
        <v>668</v>
      </c>
      <c r="F244" s="1371"/>
      <c r="G244" s="1371"/>
      <c r="H244" s="161" t="s">
        <v>286</v>
      </c>
      <c r="I244" s="741">
        <f>+'[11]Metraj Özeti'!AI244</f>
        <v>0</v>
      </c>
      <c r="J244" s="226">
        <f>+'Yeşil Defter'!AC439</f>
        <v>0</v>
      </c>
      <c r="K244" s="226">
        <f t="shared" si="5"/>
        <v>0</v>
      </c>
    </row>
    <row r="245" spans="1:11" ht="19.95" customHeight="1" x14ac:dyDescent="0.3">
      <c r="A245" s="262">
        <v>2</v>
      </c>
      <c r="C245" s="244">
        <v>225</v>
      </c>
      <c r="D245" s="161" t="s">
        <v>669</v>
      </c>
      <c r="E245" s="1371" t="s">
        <v>670</v>
      </c>
      <c r="F245" s="1371"/>
      <c r="G245" s="1371"/>
      <c r="H245" s="161" t="s">
        <v>286</v>
      </c>
      <c r="I245" s="741">
        <f>+'[11]Metraj Özeti'!AI245</f>
        <v>0</v>
      </c>
      <c r="J245" s="226">
        <f>+'Yeşil Defter'!AC440</f>
        <v>0</v>
      </c>
      <c r="K245" s="226">
        <f t="shared" si="5"/>
        <v>0</v>
      </c>
    </row>
    <row r="246" spans="1:11" ht="19.95" customHeight="1" x14ac:dyDescent="0.3">
      <c r="A246" s="262">
        <v>2</v>
      </c>
      <c r="C246" s="244">
        <v>226</v>
      </c>
      <c r="D246" s="161" t="s">
        <v>671</v>
      </c>
      <c r="E246" s="1371" t="s">
        <v>672</v>
      </c>
      <c r="F246" s="1371"/>
      <c r="G246" s="1371"/>
      <c r="H246" s="161" t="s">
        <v>286</v>
      </c>
      <c r="I246" s="741">
        <f>+'[11]Metraj Özeti'!AI246</f>
        <v>0</v>
      </c>
      <c r="J246" s="226">
        <f>+'Yeşil Defter'!AC441</f>
        <v>0</v>
      </c>
      <c r="K246" s="226">
        <f t="shared" si="5"/>
        <v>0</v>
      </c>
    </row>
    <row r="247" spans="1:11" ht="19.95" customHeight="1" x14ac:dyDescent="0.3">
      <c r="A247" s="262">
        <v>2</v>
      </c>
      <c r="C247" s="244">
        <v>227</v>
      </c>
      <c r="D247" s="161" t="s">
        <v>673</v>
      </c>
      <c r="E247" s="1371" t="s">
        <v>674</v>
      </c>
      <c r="F247" s="1371"/>
      <c r="G247" s="1371"/>
      <c r="H247" s="161" t="s">
        <v>286</v>
      </c>
      <c r="I247" s="741">
        <f>+'[11]Metraj Özeti'!AI247</f>
        <v>0</v>
      </c>
      <c r="J247" s="226">
        <f>+'Yeşil Defter'!AC442</f>
        <v>0</v>
      </c>
      <c r="K247" s="226">
        <f t="shared" si="5"/>
        <v>0</v>
      </c>
    </row>
    <row r="248" spans="1:11" ht="19.95" customHeight="1" x14ac:dyDescent="0.3">
      <c r="A248" s="262">
        <v>2</v>
      </c>
      <c r="C248" s="244">
        <v>228</v>
      </c>
      <c r="D248" s="161" t="s">
        <v>675</v>
      </c>
      <c r="E248" s="1371" t="s">
        <v>676</v>
      </c>
      <c r="F248" s="1371"/>
      <c r="G248" s="1371"/>
      <c r="H248" s="161" t="s">
        <v>286</v>
      </c>
      <c r="I248" s="741">
        <f>+'[11]Metraj Özeti'!AI248</f>
        <v>0</v>
      </c>
      <c r="J248" s="226">
        <f>+'Yeşil Defter'!AC443</f>
        <v>0</v>
      </c>
      <c r="K248" s="226">
        <f t="shared" si="5"/>
        <v>0</v>
      </c>
    </row>
    <row r="249" spans="1:11" ht="19.95" customHeight="1" x14ac:dyDescent="0.3">
      <c r="A249" s="262">
        <v>2</v>
      </c>
      <c r="C249" s="244">
        <v>229</v>
      </c>
      <c r="D249" s="161" t="s">
        <v>677</v>
      </c>
      <c r="E249" s="1371" t="s">
        <v>678</v>
      </c>
      <c r="F249" s="1371"/>
      <c r="G249" s="1371"/>
      <c r="H249" s="161" t="s">
        <v>286</v>
      </c>
      <c r="I249" s="741">
        <f>+'[11]Metraj Özeti'!AI249</f>
        <v>0</v>
      </c>
      <c r="J249" s="226">
        <f>+'Yeşil Defter'!AC444</f>
        <v>0</v>
      </c>
      <c r="K249" s="226">
        <f t="shared" si="5"/>
        <v>0</v>
      </c>
    </row>
    <row r="250" spans="1:11" ht="19.95" customHeight="1" x14ac:dyDescent="0.3">
      <c r="A250" s="262">
        <v>2</v>
      </c>
      <c r="C250" s="244">
        <v>230</v>
      </c>
      <c r="D250" s="161" t="s">
        <v>679</v>
      </c>
      <c r="E250" s="1371" t="s">
        <v>680</v>
      </c>
      <c r="F250" s="1371"/>
      <c r="G250" s="1371"/>
      <c r="H250" s="161" t="s">
        <v>286</v>
      </c>
      <c r="I250" s="741">
        <f>+'[11]Metraj Özeti'!AI250</f>
        <v>0</v>
      </c>
      <c r="J250" s="226">
        <f>+'Yeşil Defter'!AC445</f>
        <v>0</v>
      </c>
      <c r="K250" s="226">
        <f t="shared" si="5"/>
        <v>0</v>
      </c>
    </row>
    <row r="251" spans="1:11" ht="19.95" customHeight="1" x14ac:dyDescent="0.3">
      <c r="A251" s="262">
        <v>2</v>
      </c>
      <c r="C251" s="244">
        <v>231</v>
      </c>
      <c r="D251" s="161" t="s">
        <v>681</v>
      </c>
      <c r="E251" s="1371" t="s">
        <v>682</v>
      </c>
      <c r="F251" s="1371"/>
      <c r="G251" s="1371"/>
      <c r="H251" s="161" t="s">
        <v>286</v>
      </c>
      <c r="I251" s="741">
        <f>+'[11]Metraj Özeti'!AI251</f>
        <v>0</v>
      </c>
      <c r="J251" s="226">
        <f>+'Yeşil Defter'!AC446</f>
        <v>0</v>
      </c>
      <c r="K251" s="226">
        <f t="shared" si="5"/>
        <v>0</v>
      </c>
    </row>
    <row r="252" spans="1:11" ht="19.95" customHeight="1" x14ac:dyDescent="0.3">
      <c r="A252" s="262">
        <v>2</v>
      </c>
      <c r="C252" s="244">
        <v>232</v>
      </c>
      <c r="D252" s="161" t="s">
        <v>683</v>
      </c>
      <c r="E252" s="1371" t="s">
        <v>684</v>
      </c>
      <c r="F252" s="1371"/>
      <c r="G252" s="1371"/>
      <c r="H252" s="161" t="s">
        <v>286</v>
      </c>
      <c r="I252" s="741">
        <f>+'[11]Metraj Özeti'!AI252</f>
        <v>0</v>
      </c>
      <c r="J252" s="226">
        <f>+'Yeşil Defter'!AC447</f>
        <v>0</v>
      </c>
      <c r="K252" s="226">
        <f t="shared" si="5"/>
        <v>0</v>
      </c>
    </row>
    <row r="253" spans="1:11" ht="19.95" customHeight="1" x14ac:dyDescent="0.3">
      <c r="A253" s="262">
        <v>2</v>
      </c>
      <c r="C253" s="244">
        <v>233</v>
      </c>
      <c r="D253" s="161" t="s">
        <v>685</v>
      </c>
      <c r="E253" s="1371" t="s">
        <v>686</v>
      </c>
      <c r="F253" s="1371"/>
      <c r="G253" s="1371"/>
      <c r="H253" s="161" t="s">
        <v>286</v>
      </c>
      <c r="I253" s="741">
        <f>+'[11]Metraj Özeti'!AI253</f>
        <v>0</v>
      </c>
      <c r="J253" s="226">
        <f>+'Yeşil Defter'!AC448</f>
        <v>0</v>
      </c>
      <c r="K253" s="226">
        <f t="shared" si="5"/>
        <v>0</v>
      </c>
    </row>
    <row r="254" spans="1:11" ht="19.95" customHeight="1" x14ac:dyDescent="0.3">
      <c r="A254" s="262">
        <v>2</v>
      </c>
      <c r="C254" s="244">
        <v>234</v>
      </c>
      <c r="D254" s="161" t="s">
        <v>687</v>
      </c>
      <c r="E254" s="1371" t="s">
        <v>688</v>
      </c>
      <c r="F254" s="1371"/>
      <c r="G254" s="1371"/>
      <c r="H254" s="161" t="s">
        <v>286</v>
      </c>
      <c r="I254" s="741">
        <f>+'[11]Metraj Özeti'!AI254</f>
        <v>0</v>
      </c>
      <c r="J254" s="226">
        <f>+'Yeşil Defter'!AC449</f>
        <v>0</v>
      </c>
      <c r="K254" s="226">
        <f t="shared" si="5"/>
        <v>0</v>
      </c>
    </row>
    <row r="255" spans="1:11" ht="19.95" customHeight="1" x14ac:dyDescent="0.3">
      <c r="A255" s="262">
        <v>2</v>
      </c>
      <c r="C255" s="244">
        <v>235</v>
      </c>
      <c r="D255" s="161" t="s">
        <v>689</v>
      </c>
      <c r="E255" s="1371" t="s">
        <v>690</v>
      </c>
      <c r="F255" s="1371"/>
      <c r="G255" s="1371"/>
      <c r="H255" s="161" t="s">
        <v>286</v>
      </c>
      <c r="I255" s="741">
        <f>+'[11]Metraj Özeti'!AI255</f>
        <v>0</v>
      </c>
      <c r="J255" s="226">
        <f>+'Yeşil Defter'!AC450</f>
        <v>0</v>
      </c>
      <c r="K255" s="226">
        <f t="shared" si="5"/>
        <v>0</v>
      </c>
    </row>
    <row r="256" spans="1:11" ht="19.95" customHeight="1" x14ac:dyDescent="0.3">
      <c r="A256" s="262">
        <v>2</v>
      </c>
      <c r="C256" s="244">
        <v>236</v>
      </c>
      <c r="D256" s="161" t="s">
        <v>691</v>
      </c>
      <c r="E256" s="1371" t="s">
        <v>692</v>
      </c>
      <c r="F256" s="1371"/>
      <c r="G256" s="1371"/>
      <c r="H256" s="161" t="s">
        <v>286</v>
      </c>
      <c r="I256" s="741">
        <f>+'[11]Metraj Özeti'!AI256</f>
        <v>0</v>
      </c>
      <c r="J256" s="226">
        <f>+'Yeşil Defter'!AC451</f>
        <v>0</v>
      </c>
      <c r="K256" s="226">
        <f t="shared" si="5"/>
        <v>0</v>
      </c>
    </row>
    <row r="257" spans="1:11" ht="19.95" customHeight="1" x14ac:dyDescent="0.3">
      <c r="A257" s="262">
        <v>2</v>
      </c>
      <c r="C257" s="244">
        <v>237</v>
      </c>
      <c r="D257" s="161" t="s">
        <v>693</v>
      </c>
      <c r="E257" s="1371" t="s">
        <v>694</v>
      </c>
      <c r="F257" s="1371"/>
      <c r="G257" s="1371"/>
      <c r="H257" s="161" t="s">
        <v>286</v>
      </c>
      <c r="I257" s="741">
        <f>+'[11]Metraj Özeti'!AI257</f>
        <v>0</v>
      </c>
      <c r="J257" s="226">
        <f>+'Yeşil Defter'!AC452</f>
        <v>0</v>
      </c>
      <c r="K257" s="226">
        <f t="shared" si="5"/>
        <v>0</v>
      </c>
    </row>
    <row r="258" spans="1:11" ht="19.95" customHeight="1" x14ac:dyDescent="0.3">
      <c r="A258" s="262">
        <v>2</v>
      </c>
      <c r="C258" s="244">
        <v>238</v>
      </c>
      <c r="D258" s="161" t="s">
        <v>695</v>
      </c>
      <c r="E258" s="1371" t="s">
        <v>696</v>
      </c>
      <c r="F258" s="1371"/>
      <c r="G258" s="1371"/>
      <c r="H258" s="161" t="s">
        <v>286</v>
      </c>
      <c r="I258" s="741">
        <f>+'[11]Metraj Özeti'!AI258</f>
        <v>0</v>
      </c>
      <c r="J258" s="226">
        <f>+'Yeşil Defter'!AC453</f>
        <v>0</v>
      </c>
      <c r="K258" s="226">
        <f t="shared" si="5"/>
        <v>0</v>
      </c>
    </row>
    <row r="259" spans="1:11" ht="19.95" customHeight="1" x14ac:dyDescent="0.3">
      <c r="A259" s="262">
        <v>2</v>
      </c>
      <c r="C259" s="244">
        <v>239</v>
      </c>
      <c r="D259" s="161" t="s">
        <v>697</v>
      </c>
      <c r="E259" s="1371" t="s">
        <v>698</v>
      </c>
      <c r="F259" s="1371"/>
      <c r="G259" s="1371"/>
      <c r="H259" s="161" t="s">
        <v>286</v>
      </c>
      <c r="I259" s="741">
        <f>+'[11]Metraj Özeti'!AI259</f>
        <v>0</v>
      </c>
      <c r="J259" s="226">
        <f>+'Yeşil Defter'!AC454</f>
        <v>0</v>
      </c>
      <c r="K259" s="226">
        <f t="shared" si="5"/>
        <v>0</v>
      </c>
    </row>
    <row r="260" spans="1:11" ht="19.95" customHeight="1" x14ac:dyDescent="0.3">
      <c r="A260" s="262">
        <v>2</v>
      </c>
      <c r="C260" s="244">
        <v>240</v>
      </c>
      <c r="D260" s="161" t="s">
        <v>699</v>
      </c>
      <c r="E260" s="1371" t="s">
        <v>700</v>
      </c>
      <c r="F260" s="1371"/>
      <c r="G260" s="1371"/>
      <c r="H260" s="161" t="s">
        <v>286</v>
      </c>
      <c r="I260" s="741">
        <f>+'[11]Metraj Özeti'!AI260</f>
        <v>0</v>
      </c>
      <c r="J260" s="226">
        <f>+'Yeşil Defter'!AC455</f>
        <v>0</v>
      </c>
      <c r="K260" s="226">
        <f t="shared" si="5"/>
        <v>0</v>
      </c>
    </row>
    <row r="261" spans="1:11" ht="19.95" customHeight="1" x14ac:dyDescent="0.3">
      <c r="A261" s="262">
        <v>2</v>
      </c>
      <c r="C261" s="244">
        <v>241</v>
      </c>
      <c r="D261" s="161" t="s">
        <v>701</v>
      </c>
      <c r="E261" s="1371" t="s">
        <v>702</v>
      </c>
      <c r="F261" s="1371"/>
      <c r="G261" s="1371"/>
      <c r="H261" s="161" t="s">
        <v>286</v>
      </c>
      <c r="I261" s="741">
        <f>+'[11]Metraj Özeti'!AI261</f>
        <v>0</v>
      </c>
      <c r="J261" s="226">
        <f>+'Yeşil Defter'!AC456</f>
        <v>0</v>
      </c>
      <c r="K261" s="226">
        <f t="shared" si="5"/>
        <v>0</v>
      </c>
    </row>
    <row r="262" spans="1:11" ht="19.95" customHeight="1" x14ac:dyDescent="0.3">
      <c r="A262" s="262">
        <v>2</v>
      </c>
      <c r="C262" s="244">
        <v>242</v>
      </c>
      <c r="D262" s="161" t="s">
        <v>703</v>
      </c>
      <c r="E262" s="1371" t="s">
        <v>704</v>
      </c>
      <c r="F262" s="1371"/>
      <c r="G262" s="1371"/>
      <c r="H262" s="161" t="s">
        <v>286</v>
      </c>
      <c r="I262" s="741">
        <f>+'[11]Metraj Özeti'!AI262</f>
        <v>0</v>
      </c>
      <c r="J262" s="226">
        <f>+'Yeşil Defter'!AC457</f>
        <v>0</v>
      </c>
      <c r="K262" s="226">
        <f t="shared" si="5"/>
        <v>0</v>
      </c>
    </row>
    <row r="263" spans="1:11" ht="19.95" customHeight="1" x14ac:dyDescent="0.3">
      <c r="A263" s="262">
        <v>2</v>
      </c>
      <c r="C263" s="244">
        <v>243</v>
      </c>
      <c r="D263" s="161" t="s">
        <v>705</v>
      </c>
      <c r="E263" s="1371" t="s">
        <v>706</v>
      </c>
      <c r="F263" s="1371"/>
      <c r="G263" s="1371"/>
      <c r="H263" s="161" t="s">
        <v>286</v>
      </c>
      <c r="I263" s="741">
        <f>+'[11]Metraj Özeti'!AI263</f>
        <v>0</v>
      </c>
      <c r="J263" s="226">
        <f>+'Yeşil Defter'!AC458</f>
        <v>0</v>
      </c>
      <c r="K263" s="226">
        <f t="shared" si="5"/>
        <v>0</v>
      </c>
    </row>
    <row r="264" spans="1:11" ht="19.95" customHeight="1" x14ac:dyDescent="0.3">
      <c r="A264" s="262">
        <v>2</v>
      </c>
      <c r="C264" s="244">
        <v>244</v>
      </c>
      <c r="D264" s="161" t="s">
        <v>707</v>
      </c>
      <c r="E264" s="1371" t="s">
        <v>708</v>
      </c>
      <c r="F264" s="1371"/>
      <c r="G264" s="1371"/>
      <c r="H264" s="161" t="s">
        <v>286</v>
      </c>
      <c r="I264" s="741">
        <f>+'[11]Metraj Özeti'!AI264</f>
        <v>0</v>
      </c>
      <c r="J264" s="226">
        <f>+'Yeşil Defter'!AC459</f>
        <v>0</v>
      </c>
      <c r="K264" s="226">
        <f t="shared" si="5"/>
        <v>0</v>
      </c>
    </row>
    <row r="265" spans="1:11" ht="19.95" customHeight="1" x14ac:dyDescent="0.3">
      <c r="A265" s="262">
        <v>2</v>
      </c>
      <c r="C265" s="244">
        <v>245</v>
      </c>
      <c r="D265" s="161" t="s">
        <v>709</v>
      </c>
      <c r="E265" s="1371" t="s">
        <v>710</v>
      </c>
      <c r="F265" s="1371"/>
      <c r="G265" s="1371"/>
      <c r="H265" s="161" t="s">
        <v>286</v>
      </c>
      <c r="I265" s="741">
        <f>+'[11]Metraj Özeti'!AI265</f>
        <v>0</v>
      </c>
      <c r="J265" s="226">
        <f>+'Yeşil Defter'!AC460</f>
        <v>0</v>
      </c>
      <c r="K265" s="226">
        <f t="shared" si="5"/>
        <v>0</v>
      </c>
    </row>
    <row r="266" spans="1:11" ht="19.95" customHeight="1" x14ac:dyDescent="0.3">
      <c r="A266" s="262">
        <v>2</v>
      </c>
      <c r="C266" s="244">
        <v>246</v>
      </c>
      <c r="D266" s="161" t="s">
        <v>711</v>
      </c>
      <c r="E266" s="1371" t="s">
        <v>712</v>
      </c>
      <c r="F266" s="1371"/>
      <c r="G266" s="1371"/>
      <c r="H266" s="161" t="s">
        <v>286</v>
      </c>
      <c r="I266" s="741">
        <f>+'[11]Metraj Özeti'!AI266</f>
        <v>0</v>
      </c>
      <c r="J266" s="226">
        <f>+'Yeşil Defter'!AC461</f>
        <v>0</v>
      </c>
      <c r="K266" s="226">
        <f t="shared" si="5"/>
        <v>0</v>
      </c>
    </row>
    <row r="267" spans="1:11" ht="19.95" customHeight="1" x14ac:dyDescent="0.3">
      <c r="A267" s="262">
        <v>2</v>
      </c>
      <c r="C267" s="244">
        <v>247</v>
      </c>
      <c r="D267" s="161" t="s">
        <v>713</v>
      </c>
      <c r="E267" s="1371" t="s">
        <v>714</v>
      </c>
      <c r="F267" s="1371"/>
      <c r="G267" s="1371"/>
      <c r="H267" s="161" t="s">
        <v>286</v>
      </c>
      <c r="I267" s="741">
        <f>+'[11]Metraj Özeti'!AI267</f>
        <v>0</v>
      </c>
      <c r="J267" s="226">
        <f>+'Yeşil Defter'!AC462</f>
        <v>0</v>
      </c>
      <c r="K267" s="226">
        <f t="shared" si="5"/>
        <v>0</v>
      </c>
    </row>
    <row r="268" spans="1:11" ht="19.95" customHeight="1" x14ac:dyDescent="0.3">
      <c r="A268" s="262">
        <v>2</v>
      </c>
      <c r="C268" s="244">
        <v>248</v>
      </c>
      <c r="D268" s="161" t="s">
        <v>715</v>
      </c>
      <c r="E268" s="1371" t="s">
        <v>716</v>
      </c>
      <c r="F268" s="1371"/>
      <c r="G268" s="1371"/>
      <c r="H268" s="161" t="s">
        <v>286</v>
      </c>
      <c r="I268" s="741">
        <f>+'[11]Metraj Özeti'!AI268</f>
        <v>0</v>
      </c>
      <c r="J268" s="226">
        <f>+'Yeşil Defter'!AC463</f>
        <v>0</v>
      </c>
      <c r="K268" s="226">
        <f t="shared" si="5"/>
        <v>0</v>
      </c>
    </row>
    <row r="269" spans="1:11" ht="19.95" customHeight="1" x14ac:dyDescent="0.3">
      <c r="A269" s="262">
        <v>2</v>
      </c>
      <c r="C269" s="244">
        <v>249</v>
      </c>
      <c r="D269" s="161" t="s">
        <v>717</v>
      </c>
      <c r="E269" s="1371" t="s">
        <v>718</v>
      </c>
      <c r="F269" s="1371"/>
      <c r="G269" s="1371"/>
      <c r="H269" s="161" t="s">
        <v>286</v>
      </c>
      <c r="I269" s="741">
        <f>+'[11]Metraj Özeti'!AI269</f>
        <v>0</v>
      </c>
      <c r="J269" s="226">
        <f>+'Yeşil Defter'!AC464</f>
        <v>0</v>
      </c>
      <c r="K269" s="226">
        <f t="shared" si="5"/>
        <v>0</v>
      </c>
    </row>
    <row r="270" spans="1:11" ht="19.95" customHeight="1" x14ac:dyDescent="0.3">
      <c r="A270" s="262">
        <v>2</v>
      </c>
      <c r="C270" s="244">
        <v>250</v>
      </c>
      <c r="D270" s="161" t="s">
        <v>719</v>
      </c>
      <c r="E270" s="1371" t="s">
        <v>720</v>
      </c>
      <c r="F270" s="1371"/>
      <c r="G270" s="1371"/>
      <c r="H270" s="161" t="s">
        <v>286</v>
      </c>
      <c r="I270" s="741">
        <f>+'[11]Metraj Özeti'!AI270</f>
        <v>0</v>
      </c>
      <c r="J270" s="226">
        <f>+'Yeşil Defter'!AC465</f>
        <v>0</v>
      </c>
      <c r="K270" s="226">
        <f t="shared" si="5"/>
        <v>0</v>
      </c>
    </row>
    <row r="271" spans="1:11" ht="19.95" customHeight="1" x14ac:dyDescent="0.3">
      <c r="A271" s="262">
        <v>2</v>
      </c>
      <c r="C271" s="244">
        <v>251</v>
      </c>
      <c r="D271" s="161" t="s">
        <v>721</v>
      </c>
      <c r="E271" s="1371" t="s">
        <v>722</v>
      </c>
      <c r="F271" s="1371"/>
      <c r="G271" s="1371"/>
      <c r="H271" s="161" t="s">
        <v>286</v>
      </c>
      <c r="I271" s="741">
        <f>+'[11]Metraj Özeti'!AI271</f>
        <v>0</v>
      </c>
      <c r="J271" s="226">
        <f>+'Yeşil Defter'!AC466</f>
        <v>0</v>
      </c>
      <c r="K271" s="226">
        <f t="shared" si="5"/>
        <v>0</v>
      </c>
    </row>
    <row r="272" spans="1:11" ht="19.95" customHeight="1" x14ac:dyDescent="0.3">
      <c r="A272" s="262">
        <v>2</v>
      </c>
      <c r="C272" s="244">
        <v>252</v>
      </c>
      <c r="D272" s="161" t="s">
        <v>723</v>
      </c>
      <c r="E272" s="1371" t="s">
        <v>724</v>
      </c>
      <c r="F272" s="1371"/>
      <c r="G272" s="1371"/>
      <c r="H272" s="161" t="s">
        <v>286</v>
      </c>
      <c r="I272" s="741">
        <f>+'[11]Metraj Özeti'!AI272</f>
        <v>0</v>
      </c>
      <c r="J272" s="226">
        <f>+'Yeşil Defter'!AC479</f>
        <v>0</v>
      </c>
      <c r="K272" s="226">
        <f t="shared" si="5"/>
        <v>0</v>
      </c>
    </row>
    <row r="273" spans="1:11" ht="19.95" customHeight="1" x14ac:dyDescent="0.3">
      <c r="A273" s="262">
        <v>2</v>
      </c>
      <c r="C273" s="244">
        <v>253</v>
      </c>
      <c r="D273" s="161" t="s">
        <v>725</v>
      </c>
      <c r="E273" s="1371" t="s">
        <v>726</v>
      </c>
      <c r="F273" s="1371"/>
      <c r="G273" s="1371"/>
      <c r="H273" s="161" t="s">
        <v>286</v>
      </c>
      <c r="I273" s="741">
        <f>+'[11]Metraj Özeti'!AI273</f>
        <v>0</v>
      </c>
      <c r="J273" s="226">
        <f>+'Yeşil Defter'!AC480</f>
        <v>0</v>
      </c>
      <c r="K273" s="226">
        <f t="shared" si="5"/>
        <v>0</v>
      </c>
    </row>
    <row r="274" spans="1:11" ht="19.95" customHeight="1" x14ac:dyDescent="0.3">
      <c r="A274" s="262">
        <v>2</v>
      </c>
      <c r="C274" s="244">
        <v>254</v>
      </c>
      <c r="D274" s="161" t="s">
        <v>727</v>
      </c>
      <c r="E274" s="1371" t="s">
        <v>728</v>
      </c>
      <c r="F274" s="1371"/>
      <c r="G274" s="1371"/>
      <c r="H274" s="161" t="s">
        <v>286</v>
      </c>
      <c r="I274" s="741">
        <f>+'[11]Metraj Özeti'!AI274</f>
        <v>0</v>
      </c>
      <c r="J274" s="226">
        <f>+'Yeşil Defter'!AC481</f>
        <v>0</v>
      </c>
      <c r="K274" s="226">
        <f t="shared" si="5"/>
        <v>0</v>
      </c>
    </row>
    <row r="275" spans="1:11" ht="19.95" customHeight="1" x14ac:dyDescent="0.3">
      <c r="A275" s="262">
        <v>2</v>
      </c>
      <c r="C275" s="244">
        <v>255</v>
      </c>
      <c r="D275" s="161" t="s">
        <v>729</v>
      </c>
      <c r="E275" s="1371" t="s">
        <v>730</v>
      </c>
      <c r="F275" s="1371"/>
      <c r="G275" s="1371"/>
      <c r="H275" s="161" t="s">
        <v>286</v>
      </c>
      <c r="I275" s="741">
        <f>+'[11]Metraj Özeti'!AI275</f>
        <v>0</v>
      </c>
      <c r="J275" s="226">
        <f>+'Yeşil Defter'!AC482</f>
        <v>0</v>
      </c>
      <c r="K275" s="226">
        <f t="shared" si="5"/>
        <v>0</v>
      </c>
    </row>
    <row r="276" spans="1:11" ht="19.95" customHeight="1" x14ac:dyDescent="0.3">
      <c r="A276" s="262">
        <v>2</v>
      </c>
      <c r="C276" s="244">
        <v>256</v>
      </c>
      <c r="D276" s="161" t="s">
        <v>731</v>
      </c>
      <c r="E276" s="1371" t="s">
        <v>732</v>
      </c>
      <c r="F276" s="1371"/>
      <c r="G276" s="1371"/>
      <c r="H276" s="161" t="s">
        <v>286</v>
      </c>
      <c r="I276" s="741">
        <f>+'[11]Metraj Özeti'!AI276</f>
        <v>0</v>
      </c>
      <c r="J276" s="226">
        <f>+'Yeşil Defter'!AC483</f>
        <v>0</v>
      </c>
      <c r="K276" s="226">
        <f t="shared" si="5"/>
        <v>0</v>
      </c>
    </row>
    <row r="277" spans="1:11" ht="19.95" customHeight="1" x14ac:dyDescent="0.3">
      <c r="A277" s="262">
        <v>2</v>
      </c>
      <c r="C277" s="244">
        <v>257</v>
      </c>
      <c r="D277" s="161" t="s">
        <v>733</v>
      </c>
      <c r="E277" s="1371" t="s">
        <v>734</v>
      </c>
      <c r="F277" s="1371"/>
      <c r="G277" s="1371"/>
      <c r="H277" s="161" t="s">
        <v>286</v>
      </c>
      <c r="I277" s="741">
        <f>+'[11]Metraj Özeti'!AI277</f>
        <v>0</v>
      </c>
      <c r="J277" s="226">
        <f>+'Yeşil Defter'!AC484</f>
        <v>0</v>
      </c>
      <c r="K277" s="226">
        <f t="shared" si="5"/>
        <v>0</v>
      </c>
    </row>
    <row r="278" spans="1:11" ht="19.95" customHeight="1" x14ac:dyDescent="0.3">
      <c r="A278" s="262">
        <v>2</v>
      </c>
      <c r="C278" s="244">
        <v>258</v>
      </c>
      <c r="D278" s="161" t="s">
        <v>735</v>
      </c>
      <c r="E278" s="1371" t="s">
        <v>736</v>
      </c>
      <c r="F278" s="1371"/>
      <c r="G278" s="1371"/>
      <c r="H278" s="161" t="s">
        <v>202</v>
      </c>
      <c r="I278" s="741">
        <f>+'[11]Metraj Özeti'!AI278</f>
        <v>0</v>
      </c>
      <c r="J278" s="226">
        <f>+'Yeşil Defter'!AC485</f>
        <v>0</v>
      </c>
      <c r="K278" s="226">
        <f t="shared" si="5"/>
        <v>0</v>
      </c>
    </row>
    <row r="279" spans="1:11" ht="19.95" customHeight="1" x14ac:dyDescent="0.3">
      <c r="A279" s="262">
        <v>2</v>
      </c>
      <c r="C279" s="244">
        <v>259</v>
      </c>
      <c r="D279" s="161" t="s">
        <v>737</v>
      </c>
      <c r="E279" s="1371" t="s">
        <v>738</v>
      </c>
      <c r="F279" s="1371"/>
      <c r="G279" s="1371"/>
      <c r="H279" s="161" t="s">
        <v>202</v>
      </c>
      <c r="I279" s="741">
        <f>+'[11]Metraj Özeti'!AI279</f>
        <v>0</v>
      </c>
      <c r="J279" s="226">
        <f>+'Yeşil Defter'!AC486</f>
        <v>0</v>
      </c>
      <c r="K279" s="226">
        <f t="shared" si="5"/>
        <v>0</v>
      </c>
    </row>
    <row r="280" spans="1:11" ht="19.95" customHeight="1" x14ac:dyDescent="0.3">
      <c r="A280" s="262">
        <v>2</v>
      </c>
      <c r="C280" s="693">
        <v>260</v>
      </c>
      <c r="D280" s="658" t="s">
        <v>739</v>
      </c>
      <c r="E280" s="1372" t="s">
        <v>740</v>
      </c>
      <c r="F280" s="1372"/>
      <c r="G280" s="1372"/>
      <c r="H280" s="658" t="s">
        <v>286</v>
      </c>
      <c r="I280" s="741">
        <f>+'[11]Metraj Özeti'!AI280</f>
        <v>0</v>
      </c>
      <c r="J280" s="226">
        <f>+'Yeşil Defter'!AC487</f>
        <v>0</v>
      </c>
      <c r="K280" s="226">
        <f t="shared" si="5"/>
        <v>0</v>
      </c>
    </row>
    <row r="281" spans="1:11" ht="10.050000000000001" customHeight="1" x14ac:dyDescent="0.3">
      <c r="A281" s="262" t="s">
        <v>1240</v>
      </c>
      <c r="C281" s="678"/>
      <c r="D281" s="690" t="s">
        <v>1230</v>
      </c>
      <c r="E281" s="217"/>
      <c r="F281" s="217"/>
      <c r="G281" s="217"/>
      <c r="H281" s="217"/>
      <c r="I281" s="741">
        <f>+'[11]Metraj Özeti'!AI281</f>
        <v>0</v>
      </c>
      <c r="J281" s="691"/>
      <c r="K281" s="599">
        <f t="shared" si="5"/>
        <v>0</v>
      </c>
    </row>
    <row r="282" spans="1:11" ht="19.95" customHeight="1" x14ac:dyDescent="0.3">
      <c r="A282" s="262">
        <v>3</v>
      </c>
      <c r="C282" s="160">
        <v>261</v>
      </c>
      <c r="D282" s="210" t="s">
        <v>741</v>
      </c>
      <c r="E282" s="1373" t="s">
        <v>742</v>
      </c>
      <c r="F282" s="1373"/>
      <c r="G282" s="1373"/>
      <c r="H282" s="160" t="s">
        <v>743</v>
      </c>
      <c r="I282" s="741">
        <f>+'[11]Metraj Özeti'!AI282</f>
        <v>0</v>
      </c>
      <c r="J282" s="226">
        <f>+'Yeşil Defter'!AC489</f>
        <v>0</v>
      </c>
      <c r="K282" s="226">
        <f t="shared" si="5"/>
        <v>0</v>
      </c>
    </row>
    <row r="283" spans="1:11" ht="19.95" customHeight="1" x14ac:dyDescent="0.3">
      <c r="A283" s="262">
        <v>3</v>
      </c>
      <c r="C283" s="161">
        <v>262</v>
      </c>
      <c r="D283" s="213" t="s">
        <v>744</v>
      </c>
      <c r="E283" s="1371" t="s">
        <v>745</v>
      </c>
      <c r="F283" s="1371"/>
      <c r="G283" s="1371"/>
      <c r="H283" s="161" t="s">
        <v>286</v>
      </c>
      <c r="I283" s="741">
        <f>+'[11]Metraj Özeti'!AI283</f>
        <v>0</v>
      </c>
      <c r="J283" s="226">
        <f>+'Yeşil Defter'!AC490</f>
        <v>0</v>
      </c>
      <c r="K283" s="226">
        <f t="shared" si="5"/>
        <v>0</v>
      </c>
    </row>
    <row r="284" spans="1:11" ht="19.95" customHeight="1" x14ac:dyDescent="0.3">
      <c r="A284" s="262">
        <v>3</v>
      </c>
      <c r="C284" s="161">
        <v>263</v>
      </c>
      <c r="D284" s="213" t="s">
        <v>746</v>
      </c>
      <c r="E284" s="1371" t="s">
        <v>747</v>
      </c>
      <c r="F284" s="1371"/>
      <c r="G284" s="1371"/>
      <c r="H284" s="161" t="s">
        <v>286</v>
      </c>
      <c r="I284" s="741">
        <f>+'[11]Metraj Özeti'!AI284</f>
        <v>0</v>
      </c>
      <c r="J284" s="226">
        <f>+'Yeşil Defter'!AC491</f>
        <v>0</v>
      </c>
      <c r="K284" s="226">
        <f t="shared" si="5"/>
        <v>0</v>
      </c>
    </row>
    <row r="285" spans="1:11" ht="19.95" customHeight="1" x14ac:dyDescent="0.3">
      <c r="A285" s="262">
        <v>3</v>
      </c>
      <c r="C285" s="161">
        <v>264</v>
      </c>
      <c r="D285" s="161" t="s">
        <v>748</v>
      </c>
      <c r="E285" s="1371" t="s">
        <v>749</v>
      </c>
      <c r="F285" s="1371"/>
      <c r="G285" s="1371"/>
      <c r="H285" s="161" t="s">
        <v>286</v>
      </c>
      <c r="I285" s="741">
        <f>+'[11]Metraj Özeti'!AI285</f>
        <v>0</v>
      </c>
      <c r="J285" s="226">
        <f>+'Yeşil Defter'!AC492</f>
        <v>0</v>
      </c>
      <c r="K285" s="226">
        <f t="shared" si="5"/>
        <v>0</v>
      </c>
    </row>
    <row r="286" spans="1:11" ht="19.95" customHeight="1" x14ac:dyDescent="0.3">
      <c r="A286" s="262">
        <v>3</v>
      </c>
      <c r="C286" s="161">
        <v>265</v>
      </c>
      <c r="D286" s="161" t="s">
        <v>750</v>
      </c>
      <c r="E286" s="1371" t="s">
        <v>751</v>
      </c>
      <c r="F286" s="1371"/>
      <c r="G286" s="1371"/>
      <c r="H286" s="161" t="s">
        <v>286</v>
      </c>
      <c r="I286" s="741">
        <f>+'[11]Metraj Özeti'!AI286</f>
        <v>0</v>
      </c>
      <c r="J286" s="226">
        <f>+'Yeşil Defter'!AC493</f>
        <v>0</v>
      </c>
      <c r="K286" s="226">
        <f t="shared" si="5"/>
        <v>0</v>
      </c>
    </row>
    <row r="287" spans="1:11" ht="19.95" customHeight="1" x14ac:dyDescent="0.3">
      <c r="A287" s="262">
        <v>3</v>
      </c>
      <c r="C287" s="161">
        <v>266</v>
      </c>
      <c r="D287" s="161" t="s">
        <v>752</v>
      </c>
      <c r="E287" s="1371" t="s">
        <v>753</v>
      </c>
      <c r="F287" s="1371"/>
      <c r="G287" s="1371"/>
      <c r="H287" s="161" t="s">
        <v>247</v>
      </c>
      <c r="I287" s="741">
        <f>+'[11]Metraj Özeti'!AI287</f>
        <v>0</v>
      </c>
      <c r="J287" s="226">
        <f>+'Yeşil Defter'!AC494</f>
        <v>0</v>
      </c>
      <c r="K287" s="226">
        <f t="shared" si="5"/>
        <v>0</v>
      </c>
    </row>
    <row r="288" spans="1:11" ht="19.95" customHeight="1" x14ac:dyDescent="0.3">
      <c r="A288" s="262">
        <v>3</v>
      </c>
      <c r="C288" s="161">
        <v>267</v>
      </c>
      <c r="D288" s="161" t="s">
        <v>754</v>
      </c>
      <c r="E288" s="1371" t="s">
        <v>755</v>
      </c>
      <c r="F288" s="1371"/>
      <c r="G288" s="1371"/>
      <c r="H288" s="161" t="s">
        <v>247</v>
      </c>
      <c r="I288" s="741">
        <f>+'[11]Metraj Özeti'!AI288</f>
        <v>0</v>
      </c>
      <c r="J288" s="226">
        <f>+'Yeşil Defter'!AC495</f>
        <v>0</v>
      </c>
      <c r="K288" s="226">
        <f t="shared" si="5"/>
        <v>0</v>
      </c>
    </row>
    <row r="289" spans="1:11" ht="19.95" customHeight="1" x14ac:dyDescent="0.3">
      <c r="A289" s="262">
        <v>3</v>
      </c>
      <c r="C289" s="161">
        <v>268</v>
      </c>
      <c r="D289" s="161" t="s">
        <v>756</v>
      </c>
      <c r="E289" s="1371" t="s">
        <v>757</v>
      </c>
      <c r="F289" s="1371"/>
      <c r="G289" s="1371"/>
      <c r="H289" s="161" t="s">
        <v>247</v>
      </c>
      <c r="I289" s="741">
        <f>+'[11]Metraj Özeti'!AI289</f>
        <v>0</v>
      </c>
      <c r="J289" s="226">
        <f>+'Yeşil Defter'!AC496</f>
        <v>0</v>
      </c>
      <c r="K289" s="226">
        <f t="shared" si="5"/>
        <v>0</v>
      </c>
    </row>
    <row r="290" spans="1:11" ht="19.95" customHeight="1" x14ac:dyDescent="0.3">
      <c r="A290" s="262">
        <v>3</v>
      </c>
      <c r="C290" s="658">
        <v>269</v>
      </c>
      <c r="D290" s="689" t="s">
        <v>758</v>
      </c>
      <c r="E290" s="1372" t="s">
        <v>759</v>
      </c>
      <c r="F290" s="1372"/>
      <c r="G290" s="1372"/>
      <c r="H290" s="658" t="s">
        <v>286</v>
      </c>
      <c r="I290" s="741">
        <f>+'[11]Metraj Özeti'!AI290</f>
        <v>0</v>
      </c>
      <c r="J290" s="226">
        <f>+'Yeşil Defter'!AC497</f>
        <v>0</v>
      </c>
      <c r="K290" s="226">
        <f t="shared" si="5"/>
        <v>0</v>
      </c>
    </row>
    <row r="291" spans="1:11" ht="10.050000000000001" customHeight="1" x14ac:dyDescent="0.3">
      <c r="A291" s="262" t="s">
        <v>1240</v>
      </c>
      <c r="C291" s="678"/>
      <c r="D291" s="690" t="s">
        <v>1231</v>
      </c>
      <c r="E291" s="217"/>
      <c r="F291" s="217"/>
      <c r="G291" s="217"/>
      <c r="H291" s="217"/>
      <c r="I291" s="741">
        <f>+'[11]Metraj Özeti'!AI291</f>
        <v>0</v>
      </c>
      <c r="J291" s="691"/>
      <c r="K291" s="599">
        <f t="shared" si="5"/>
        <v>0</v>
      </c>
    </row>
    <row r="292" spans="1:11" ht="19.95" customHeight="1" x14ac:dyDescent="0.3">
      <c r="A292" s="262">
        <v>4</v>
      </c>
      <c r="C292" s="160">
        <v>270</v>
      </c>
      <c r="D292" s="160" t="s">
        <v>760</v>
      </c>
      <c r="E292" s="1373" t="s">
        <v>761</v>
      </c>
      <c r="F292" s="1373"/>
      <c r="G292" s="1373"/>
      <c r="H292" s="160" t="s">
        <v>286</v>
      </c>
      <c r="I292" s="741">
        <f>+'[11]Metraj Özeti'!AI292</f>
        <v>0</v>
      </c>
      <c r="J292" s="226">
        <f>+'Yeşil Defter'!AC526</f>
        <v>0</v>
      </c>
      <c r="K292" s="226">
        <f t="shared" si="5"/>
        <v>0</v>
      </c>
    </row>
    <row r="293" spans="1:11" ht="19.95" customHeight="1" x14ac:dyDescent="0.3">
      <c r="A293" s="262">
        <v>4</v>
      </c>
      <c r="C293" s="161">
        <v>271</v>
      </c>
      <c r="D293" s="161" t="s">
        <v>762</v>
      </c>
      <c r="E293" s="1371" t="s">
        <v>763</v>
      </c>
      <c r="F293" s="1371"/>
      <c r="G293" s="1371"/>
      <c r="H293" s="161" t="s">
        <v>286</v>
      </c>
      <c r="I293" s="741">
        <f>+'[11]Metraj Özeti'!AI293</f>
        <v>0</v>
      </c>
      <c r="J293" s="226">
        <f>+'Yeşil Defter'!AC527</f>
        <v>0</v>
      </c>
      <c r="K293" s="226">
        <f t="shared" ref="K293:K356" si="6">+J293+I293</f>
        <v>0</v>
      </c>
    </row>
    <row r="294" spans="1:11" ht="19.95" customHeight="1" x14ac:dyDescent="0.3">
      <c r="A294" s="262">
        <v>4</v>
      </c>
      <c r="C294" s="161">
        <v>272</v>
      </c>
      <c r="D294" s="161" t="s">
        <v>764</v>
      </c>
      <c r="E294" s="1371" t="s">
        <v>765</v>
      </c>
      <c r="F294" s="1371"/>
      <c r="G294" s="1371"/>
      <c r="H294" s="161" t="s">
        <v>286</v>
      </c>
      <c r="I294" s="741">
        <f>+'[11]Metraj Özeti'!AI294</f>
        <v>0</v>
      </c>
      <c r="J294" s="226">
        <f>+'Yeşil Defter'!AC528</f>
        <v>0</v>
      </c>
      <c r="K294" s="226">
        <f t="shared" si="6"/>
        <v>0</v>
      </c>
    </row>
    <row r="295" spans="1:11" ht="19.95" customHeight="1" x14ac:dyDescent="0.3">
      <c r="A295" s="262">
        <v>4</v>
      </c>
      <c r="C295" s="161">
        <v>273</v>
      </c>
      <c r="D295" s="161" t="s">
        <v>766</v>
      </c>
      <c r="E295" s="1371" t="s">
        <v>767</v>
      </c>
      <c r="F295" s="1371"/>
      <c r="G295" s="1371"/>
      <c r="H295" s="161" t="s">
        <v>286</v>
      </c>
      <c r="I295" s="741">
        <f>+'[11]Metraj Özeti'!AI295</f>
        <v>0</v>
      </c>
      <c r="J295" s="226">
        <f>+'Yeşil Defter'!AC529</f>
        <v>0</v>
      </c>
      <c r="K295" s="226">
        <f t="shared" si="6"/>
        <v>0</v>
      </c>
    </row>
    <row r="296" spans="1:11" ht="19.95" customHeight="1" x14ac:dyDescent="0.3">
      <c r="A296" s="262">
        <v>4</v>
      </c>
      <c r="C296" s="161">
        <v>274</v>
      </c>
      <c r="D296" s="161" t="s">
        <v>768</v>
      </c>
      <c r="E296" s="1371" t="s">
        <v>769</v>
      </c>
      <c r="F296" s="1371"/>
      <c r="G296" s="1371"/>
      <c r="H296" s="161" t="s">
        <v>286</v>
      </c>
      <c r="I296" s="741">
        <f>+'[11]Metraj Özeti'!AI296</f>
        <v>0</v>
      </c>
      <c r="J296" s="226">
        <f>+'Yeşil Defter'!AC530</f>
        <v>0</v>
      </c>
      <c r="K296" s="226">
        <f t="shared" si="6"/>
        <v>0</v>
      </c>
    </row>
    <row r="297" spans="1:11" ht="19.95" customHeight="1" x14ac:dyDescent="0.3">
      <c r="A297" s="262">
        <v>4</v>
      </c>
      <c r="C297" s="161">
        <v>275</v>
      </c>
      <c r="D297" s="161" t="s">
        <v>770</v>
      </c>
      <c r="E297" s="1371" t="s">
        <v>771</v>
      </c>
      <c r="F297" s="1371"/>
      <c r="G297" s="1371"/>
      <c r="H297" s="161" t="s">
        <v>286</v>
      </c>
      <c r="I297" s="741">
        <f>+'[11]Metraj Özeti'!AI297</f>
        <v>0</v>
      </c>
      <c r="J297" s="226">
        <f>+'Yeşil Defter'!AC531</f>
        <v>0</v>
      </c>
      <c r="K297" s="226">
        <f t="shared" si="6"/>
        <v>0</v>
      </c>
    </row>
    <row r="298" spans="1:11" ht="19.95" customHeight="1" x14ac:dyDescent="0.3">
      <c r="A298" s="262">
        <v>4</v>
      </c>
      <c r="C298" s="161">
        <v>276</v>
      </c>
      <c r="D298" s="161" t="s">
        <v>772</v>
      </c>
      <c r="E298" s="1371" t="s">
        <v>773</v>
      </c>
      <c r="F298" s="1371"/>
      <c r="G298" s="1371"/>
      <c r="H298" s="161" t="s">
        <v>286</v>
      </c>
      <c r="I298" s="741">
        <f>+'[11]Metraj Özeti'!AI298</f>
        <v>0</v>
      </c>
      <c r="J298" s="226">
        <f>+'Yeşil Defter'!AC532</f>
        <v>0</v>
      </c>
      <c r="K298" s="226">
        <f t="shared" si="6"/>
        <v>0</v>
      </c>
    </row>
    <row r="299" spans="1:11" ht="19.95" customHeight="1" x14ac:dyDescent="0.3">
      <c r="A299" s="262">
        <v>4</v>
      </c>
      <c r="C299" s="161">
        <v>277</v>
      </c>
      <c r="D299" s="161" t="s">
        <v>774</v>
      </c>
      <c r="E299" s="1371" t="s">
        <v>775</v>
      </c>
      <c r="F299" s="1371"/>
      <c r="G299" s="1371"/>
      <c r="H299" s="161" t="s">
        <v>286</v>
      </c>
      <c r="I299" s="741">
        <f>+'[11]Metraj Özeti'!AI299</f>
        <v>0</v>
      </c>
      <c r="J299" s="226">
        <f>+'Yeşil Defter'!AC533</f>
        <v>0</v>
      </c>
      <c r="K299" s="226">
        <f t="shared" si="6"/>
        <v>0</v>
      </c>
    </row>
    <row r="300" spans="1:11" ht="19.95" customHeight="1" x14ac:dyDescent="0.3">
      <c r="A300" s="262">
        <v>4</v>
      </c>
      <c r="C300" s="161">
        <v>278</v>
      </c>
      <c r="D300" s="161" t="s">
        <v>776</v>
      </c>
      <c r="E300" s="1371" t="s">
        <v>777</v>
      </c>
      <c r="F300" s="1371"/>
      <c r="G300" s="1371"/>
      <c r="H300" s="161" t="s">
        <v>286</v>
      </c>
      <c r="I300" s="741">
        <f>+'[11]Metraj Özeti'!AI300</f>
        <v>0</v>
      </c>
      <c r="J300" s="226">
        <f>+'Yeşil Defter'!AC534</f>
        <v>0</v>
      </c>
      <c r="K300" s="226">
        <f t="shared" si="6"/>
        <v>0</v>
      </c>
    </row>
    <row r="301" spans="1:11" ht="19.95" customHeight="1" x14ac:dyDescent="0.3">
      <c r="A301" s="262">
        <v>4</v>
      </c>
      <c r="C301" s="161">
        <v>279</v>
      </c>
      <c r="D301" s="161" t="s">
        <v>778</v>
      </c>
      <c r="E301" s="1371" t="s">
        <v>779</v>
      </c>
      <c r="F301" s="1371"/>
      <c r="G301" s="1371"/>
      <c r="H301" s="161" t="s">
        <v>286</v>
      </c>
      <c r="I301" s="741">
        <f>+'[11]Metraj Özeti'!AI301</f>
        <v>0</v>
      </c>
      <c r="J301" s="226">
        <f>+'Yeşil Defter'!AC535</f>
        <v>0</v>
      </c>
      <c r="K301" s="226">
        <f t="shared" si="6"/>
        <v>0</v>
      </c>
    </row>
    <row r="302" spans="1:11" ht="19.95" customHeight="1" x14ac:dyDescent="0.3">
      <c r="A302" s="262">
        <v>4</v>
      </c>
      <c r="C302" s="161">
        <v>280</v>
      </c>
      <c r="D302" s="161" t="s">
        <v>780</v>
      </c>
      <c r="E302" s="1371" t="s">
        <v>781</v>
      </c>
      <c r="F302" s="1371"/>
      <c r="G302" s="1371"/>
      <c r="H302" s="161" t="s">
        <v>286</v>
      </c>
      <c r="I302" s="741">
        <f>+'[11]Metraj Özeti'!AI302</f>
        <v>0</v>
      </c>
      <c r="J302" s="226">
        <f>+'Yeşil Defter'!AC536</f>
        <v>0</v>
      </c>
      <c r="K302" s="226">
        <f t="shared" si="6"/>
        <v>0</v>
      </c>
    </row>
    <row r="303" spans="1:11" ht="19.95" customHeight="1" x14ac:dyDescent="0.3">
      <c r="A303" s="262">
        <v>4</v>
      </c>
      <c r="C303" s="161">
        <v>281</v>
      </c>
      <c r="D303" s="161" t="s">
        <v>782</v>
      </c>
      <c r="E303" s="1371" t="s">
        <v>783</v>
      </c>
      <c r="F303" s="1371"/>
      <c r="G303" s="1371"/>
      <c r="H303" s="161" t="s">
        <v>286</v>
      </c>
      <c r="I303" s="741">
        <f>+'[11]Metraj Özeti'!AI303</f>
        <v>0</v>
      </c>
      <c r="J303" s="226">
        <f>+'Yeşil Defter'!AC537</f>
        <v>0</v>
      </c>
      <c r="K303" s="226">
        <f t="shared" si="6"/>
        <v>0</v>
      </c>
    </row>
    <row r="304" spans="1:11" ht="19.95" customHeight="1" x14ac:dyDescent="0.3">
      <c r="A304" s="262">
        <v>4</v>
      </c>
      <c r="C304" s="161">
        <v>282</v>
      </c>
      <c r="D304" s="161" t="s">
        <v>784</v>
      </c>
      <c r="E304" s="1371" t="s">
        <v>785</v>
      </c>
      <c r="F304" s="1371"/>
      <c r="G304" s="1371"/>
      <c r="H304" s="161" t="s">
        <v>286</v>
      </c>
      <c r="I304" s="741">
        <f>+'[11]Metraj Özeti'!AI304</f>
        <v>0</v>
      </c>
      <c r="J304" s="226">
        <f>+'Yeşil Defter'!AC538</f>
        <v>0</v>
      </c>
      <c r="K304" s="226">
        <f t="shared" si="6"/>
        <v>0</v>
      </c>
    </row>
    <row r="305" spans="1:11" ht="19.95" customHeight="1" x14ac:dyDescent="0.3">
      <c r="A305" s="262">
        <v>4</v>
      </c>
      <c r="C305" s="161">
        <v>283</v>
      </c>
      <c r="D305" s="161" t="s">
        <v>786</v>
      </c>
      <c r="E305" s="1371" t="s">
        <v>787</v>
      </c>
      <c r="F305" s="1371"/>
      <c r="G305" s="1371"/>
      <c r="H305" s="161" t="s">
        <v>286</v>
      </c>
      <c r="I305" s="741">
        <f>+'[11]Metraj Özeti'!AI305</f>
        <v>0</v>
      </c>
      <c r="J305" s="226">
        <f>+'Yeşil Defter'!AC539</f>
        <v>0</v>
      </c>
      <c r="K305" s="226">
        <f t="shared" si="6"/>
        <v>0</v>
      </c>
    </row>
    <row r="306" spans="1:11" ht="19.95" customHeight="1" x14ac:dyDescent="0.3">
      <c r="A306" s="262">
        <v>4</v>
      </c>
      <c r="C306" s="161">
        <v>284</v>
      </c>
      <c r="D306" s="161" t="s">
        <v>788</v>
      </c>
      <c r="E306" s="1371" t="s">
        <v>789</v>
      </c>
      <c r="F306" s="1371"/>
      <c r="G306" s="1371"/>
      <c r="H306" s="161" t="s">
        <v>286</v>
      </c>
      <c r="I306" s="741">
        <f>+'[11]Metraj Özeti'!AI306</f>
        <v>0</v>
      </c>
      <c r="J306" s="226">
        <f>+'Yeşil Defter'!AC540</f>
        <v>0</v>
      </c>
      <c r="K306" s="226">
        <f t="shared" si="6"/>
        <v>0</v>
      </c>
    </row>
    <row r="307" spans="1:11" ht="19.95" customHeight="1" x14ac:dyDescent="0.3">
      <c r="A307" s="262">
        <v>4</v>
      </c>
      <c r="C307" s="161">
        <v>285</v>
      </c>
      <c r="D307" s="161" t="s">
        <v>790</v>
      </c>
      <c r="E307" s="1371" t="s">
        <v>791</v>
      </c>
      <c r="F307" s="1371"/>
      <c r="G307" s="1371"/>
      <c r="H307" s="161" t="s">
        <v>286</v>
      </c>
      <c r="I307" s="741">
        <f>+'[11]Metraj Özeti'!AI307</f>
        <v>0</v>
      </c>
      <c r="J307" s="226">
        <f>+'Yeşil Defter'!AC541</f>
        <v>0</v>
      </c>
      <c r="K307" s="226">
        <f t="shared" si="6"/>
        <v>0</v>
      </c>
    </row>
    <row r="308" spans="1:11" ht="19.95" customHeight="1" x14ac:dyDescent="0.3">
      <c r="A308" s="262">
        <v>4</v>
      </c>
      <c r="C308" s="161">
        <v>286</v>
      </c>
      <c r="D308" s="161" t="s">
        <v>792</v>
      </c>
      <c r="E308" s="1371" t="s">
        <v>793</v>
      </c>
      <c r="F308" s="1371"/>
      <c r="G308" s="1371"/>
      <c r="H308" s="161" t="s">
        <v>286</v>
      </c>
      <c r="I308" s="741">
        <f>+'[11]Metraj Özeti'!AI308</f>
        <v>0</v>
      </c>
      <c r="J308" s="226">
        <f>+'Yeşil Defter'!AC542</f>
        <v>0</v>
      </c>
      <c r="K308" s="226">
        <f t="shared" si="6"/>
        <v>0</v>
      </c>
    </row>
    <row r="309" spans="1:11" ht="19.95" customHeight="1" x14ac:dyDescent="0.3">
      <c r="A309" s="262">
        <v>4</v>
      </c>
      <c r="C309" s="161">
        <v>287</v>
      </c>
      <c r="D309" s="161" t="s">
        <v>794</v>
      </c>
      <c r="E309" s="1371" t="s">
        <v>1163</v>
      </c>
      <c r="F309" s="1371"/>
      <c r="G309" s="1371"/>
      <c r="H309" s="161" t="s">
        <v>286</v>
      </c>
      <c r="I309" s="741">
        <f>+'[11]Metraj Özeti'!AI309</f>
        <v>0</v>
      </c>
      <c r="J309" s="226">
        <f>+'Yeşil Defter'!AC543</f>
        <v>0</v>
      </c>
      <c r="K309" s="226">
        <f t="shared" si="6"/>
        <v>0</v>
      </c>
    </row>
    <row r="310" spans="1:11" ht="19.95" customHeight="1" x14ac:dyDescent="0.3">
      <c r="A310" s="262">
        <v>4</v>
      </c>
      <c r="C310" s="161">
        <v>288</v>
      </c>
      <c r="D310" s="161" t="s">
        <v>795</v>
      </c>
      <c r="E310" s="1371" t="s">
        <v>1171</v>
      </c>
      <c r="F310" s="1371"/>
      <c r="G310" s="1371"/>
      <c r="H310" s="161" t="s">
        <v>286</v>
      </c>
      <c r="I310" s="741">
        <f>+'[11]Metraj Özeti'!AI310</f>
        <v>0</v>
      </c>
      <c r="J310" s="226">
        <f>+'Yeşil Defter'!AC544</f>
        <v>0</v>
      </c>
      <c r="K310" s="226">
        <f t="shared" si="6"/>
        <v>0</v>
      </c>
    </row>
    <row r="311" spans="1:11" ht="19.95" customHeight="1" x14ac:dyDescent="0.3">
      <c r="A311" s="262">
        <v>4</v>
      </c>
      <c r="C311" s="161">
        <v>289</v>
      </c>
      <c r="D311" s="161" t="s">
        <v>796</v>
      </c>
      <c r="E311" s="1371" t="s">
        <v>1179</v>
      </c>
      <c r="F311" s="1371"/>
      <c r="G311" s="1371"/>
      <c r="H311" s="161" t="s">
        <v>286</v>
      </c>
      <c r="I311" s="741">
        <f>+'[11]Metraj Özeti'!AI311</f>
        <v>0</v>
      </c>
      <c r="J311" s="226">
        <f>+'Yeşil Defter'!AC545</f>
        <v>0</v>
      </c>
      <c r="K311" s="226">
        <f t="shared" si="6"/>
        <v>0</v>
      </c>
    </row>
    <row r="312" spans="1:11" ht="19.95" customHeight="1" x14ac:dyDescent="0.3">
      <c r="A312" s="262">
        <v>4</v>
      </c>
      <c r="C312" s="161">
        <v>290</v>
      </c>
      <c r="D312" s="161" t="s">
        <v>797</v>
      </c>
      <c r="E312" s="1371" t="s">
        <v>1187</v>
      </c>
      <c r="F312" s="1371"/>
      <c r="G312" s="1371"/>
      <c r="H312" s="161" t="s">
        <v>286</v>
      </c>
      <c r="I312" s="741">
        <f>+'[11]Metraj Özeti'!AI312</f>
        <v>0</v>
      </c>
      <c r="J312" s="226">
        <f>+'Yeşil Defter'!AC546</f>
        <v>0</v>
      </c>
      <c r="K312" s="226">
        <f t="shared" si="6"/>
        <v>0</v>
      </c>
    </row>
    <row r="313" spans="1:11" ht="19.95" customHeight="1" x14ac:dyDescent="0.3">
      <c r="A313" s="262">
        <v>4</v>
      </c>
      <c r="C313" s="161">
        <v>291</v>
      </c>
      <c r="D313" s="161" t="s">
        <v>798</v>
      </c>
      <c r="E313" s="1371" t="s">
        <v>799</v>
      </c>
      <c r="F313" s="1371"/>
      <c r="G313" s="1371"/>
      <c r="H313" s="161" t="s">
        <v>286</v>
      </c>
      <c r="I313" s="741">
        <f>+'[11]Metraj Özeti'!AI313</f>
        <v>0</v>
      </c>
      <c r="J313" s="226">
        <f>+'Yeşil Defter'!AC547</f>
        <v>0</v>
      </c>
      <c r="K313" s="226">
        <f t="shared" si="6"/>
        <v>0</v>
      </c>
    </row>
    <row r="314" spans="1:11" ht="19.95" customHeight="1" x14ac:dyDescent="0.3">
      <c r="A314" s="262">
        <v>4</v>
      </c>
      <c r="C314" s="161">
        <v>292</v>
      </c>
      <c r="D314" s="161" t="s">
        <v>800</v>
      </c>
      <c r="E314" s="1371" t="s">
        <v>801</v>
      </c>
      <c r="F314" s="1371"/>
      <c r="G314" s="1371"/>
      <c r="H314" s="161" t="s">
        <v>286</v>
      </c>
      <c r="I314" s="741">
        <f>+'[11]Metraj Özeti'!AI314</f>
        <v>0</v>
      </c>
      <c r="J314" s="226">
        <f>+'Yeşil Defter'!AC548</f>
        <v>0</v>
      </c>
      <c r="K314" s="226">
        <f t="shared" si="6"/>
        <v>0</v>
      </c>
    </row>
    <row r="315" spans="1:11" ht="19.95" customHeight="1" x14ac:dyDescent="0.3">
      <c r="A315" s="262">
        <v>4</v>
      </c>
      <c r="C315" s="161">
        <v>293</v>
      </c>
      <c r="D315" s="161" t="s">
        <v>802</v>
      </c>
      <c r="E315" s="1371" t="s">
        <v>1164</v>
      </c>
      <c r="F315" s="1371"/>
      <c r="G315" s="1371"/>
      <c r="H315" s="161" t="s">
        <v>286</v>
      </c>
      <c r="I315" s="741">
        <f>+'[11]Metraj Özeti'!AI315</f>
        <v>0</v>
      </c>
      <c r="J315" s="226">
        <f>+'Yeşil Defter'!AC549</f>
        <v>0</v>
      </c>
      <c r="K315" s="226">
        <f t="shared" si="6"/>
        <v>0</v>
      </c>
    </row>
    <row r="316" spans="1:11" ht="19.95" customHeight="1" x14ac:dyDescent="0.3">
      <c r="A316" s="262">
        <v>4</v>
      </c>
      <c r="C316" s="161">
        <v>294</v>
      </c>
      <c r="D316" s="161" t="s">
        <v>803</v>
      </c>
      <c r="E316" s="1371" t="s">
        <v>1172</v>
      </c>
      <c r="F316" s="1371"/>
      <c r="G316" s="1371"/>
      <c r="H316" s="161" t="s">
        <v>286</v>
      </c>
      <c r="I316" s="741">
        <f>+'[11]Metraj Özeti'!AI316</f>
        <v>0</v>
      </c>
      <c r="J316" s="226">
        <f>+'Yeşil Defter'!AC550</f>
        <v>0</v>
      </c>
      <c r="K316" s="226">
        <f t="shared" si="6"/>
        <v>0</v>
      </c>
    </row>
    <row r="317" spans="1:11" ht="19.95" customHeight="1" x14ac:dyDescent="0.3">
      <c r="A317" s="262">
        <v>4</v>
      </c>
      <c r="C317" s="161">
        <v>295</v>
      </c>
      <c r="D317" s="161" t="s">
        <v>804</v>
      </c>
      <c r="E317" s="1371" t="s">
        <v>1180</v>
      </c>
      <c r="F317" s="1371"/>
      <c r="G317" s="1371"/>
      <c r="H317" s="161" t="s">
        <v>286</v>
      </c>
      <c r="I317" s="741">
        <f>+'[11]Metraj Özeti'!AI317</f>
        <v>0</v>
      </c>
      <c r="J317" s="226">
        <f>+'Yeşil Defter'!AC551</f>
        <v>0</v>
      </c>
      <c r="K317" s="226">
        <f t="shared" si="6"/>
        <v>0</v>
      </c>
    </row>
    <row r="318" spans="1:11" ht="19.95" customHeight="1" x14ac:dyDescent="0.3">
      <c r="A318" s="262">
        <v>4</v>
      </c>
      <c r="C318" s="161">
        <v>296</v>
      </c>
      <c r="D318" s="161" t="s">
        <v>805</v>
      </c>
      <c r="E318" s="1371" t="s">
        <v>1188</v>
      </c>
      <c r="F318" s="1371"/>
      <c r="G318" s="1371"/>
      <c r="H318" s="161" t="s">
        <v>286</v>
      </c>
      <c r="I318" s="741">
        <f>+'[11]Metraj Özeti'!AI318</f>
        <v>0</v>
      </c>
      <c r="J318" s="226">
        <f>+'Yeşil Defter'!AC552</f>
        <v>0</v>
      </c>
      <c r="K318" s="226">
        <f t="shared" si="6"/>
        <v>0</v>
      </c>
    </row>
    <row r="319" spans="1:11" ht="19.95" customHeight="1" x14ac:dyDescent="0.3">
      <c r="A319" s="262">
        <v>4</v>
      </c>
      <c r="C319" s="161">
        <v>297</v>
      </c>
      <c r="D319" s="161" t="s">
        <v>806</v>
      </c>
      <c r="E319" s="1371" t="s">
        <v>807</v>
      </c>
      <c r="F319" s="1371"/>
      <c r="G319" s="1371"/>
      <c r="H319" s="161" t="s">
        <v>286</v>
      </c>
      <c r="I319" s="741">
        <f>+'[11]Metraj Özeti'!AI319</f>
        <v>0</v>
      </c>
      <c r="J319" s="226">
        <f>+'Yeşil Defter'!AC553</f>
        <v>0</v>
      </c>
      <c r="K319" s="226">
        <f t="shared" si="6"/>
        <v>0</v>
      </c>
    </row>
    <row r="320" spans="1:11" ht="19.95" customHeight="1" x14ac:dyDescent="0.3">
      <c r="A320" s="262">
        <v>4</v>
      </c>
      <c r="C320" s="161">
        <v>298</v>
      </c>
      <c r="D320" s="161" t="s">
        <v>808</v>
      </c>
      <c r="E320" s="1371" t="s">
        <v>809</v>
      </c>
      <c r="F320" s="1371"/>
      <c r="G320" s="1371"/>
      <c r="H320" s="161" t="s">
        <v>286</v>
      </c>
      <c r="I320" s="741">
        <f>+'[11]Metraj Özeti'!AI320</f>
        <v>0</v>
      </c>
      <c r="J320" s="226">
        <f>+'Yeşil Defter'!AC554</f>
        <v>0</v>
      </c>
      <c r="K320" s="226">
        <f t="shared" si="6"/>
        <v>0</v>
      </c>
    </row>
    <row r="321" spans="1:11" ht="19.95" customHeight="1" x14ac:dyDescent="0.3">
      <c r="A321" s="262">
        <v>4</v>
      </c>
      <c r="C321" s="161">
        <v>299</v>
      </c>
      <c r="D321" s="161" t="s">
        <v>810</v>
      </c>
      <c r="E321" s="1371" t="s">
        <v>811</v>
      </c>
      <c r="F321" s="1371"/>
      <c r="G321" s="1371"/>
      <c r="H321" s="161" t="s">
        <v>286</v>
      </c>
      <c r="I321" s="741">
        <f>+'[11]Metraj Özeti'!AI321</f>
        <v>0</v>
      </c>
      <c r="J321" s="226">
        <f>+'Yeşil Defter'!AC555</f>
        <v>0</v>
      </c>
      <c r="K321" s="226">
        <f t="shared" si="6"/>
        <v>0</v>
      </c>
    </row>
    <row r="322" spans="1:11" ht="19.95" customHeight="1" x14ac:dyDescent="0.3">
      <c r="A322" s="262">
        <v>4</v>
      </c>
      <c r="C322" s="161">
        <v>300</v>
      </c>
      <c r="D322" s="161" t="s">
        <v>812</v>
      </c>
      <c r="E322" s="1371" t="s">
        <v>1165</v>
      </c>
      <c r="F322" s="1371"/>
      <c r="G322" s="1371"/>
      <c r="H322" s="161" t="s">
        <v>286</v>
      </c>
      <c r="I322" s="741">
        <f>+'[11]Metraj Özeti'!AI322</f>
        <v>0</v>
      </c>
      <c r="J322" s="226">
        <f>+'Yeşil Defter'!AC556</f>
        <v>0</v>
      </c>
      <c r="K322" s="226">
        <f t="shared" si="6"/>
        <v>0</v>
      </c>
    </row>
    <row r="323" spans="1:11" ht="19.95" customHeight="1" x14ac:dyDescent="0.3">
      <c r="A323" s="262">
        <v>4</v>
      </c>
      <c r="C323" s="161">
        <v>301</v>
      </c>
      <c r="D323" s="161" t="s">
        <v>813</v>
      </c>
      <c r="E323" s="1371" t="s">
        <v>1173</v>
      </c>
      <c r="F323" s="1371"/>
      <c r="G323" s="1371"/>
      <c r="H323" s="161" t="s">
        <v>286</v>
      </c>
      <c r="I323" s="741">
        <f>+'[11]Metraj Özeti'!AI323</f>
        <v>0</v>
      </c>
      <c r="J323" s="226">
        <f>+'Yeşil Defter'!AC557</f>
        <v>0</v>
      </c>
      <c r="K323" s="226">
        <f t="shared" si="6"/>
        <v>0</v>
      </c>
    </row>
    <row r="324" spans="1:11" ht="19.95" customHeight="1" x14ac:dyDescent="0.3">
      <c r="A324" s="262">
        <v>4</v>
      </c>
      <c r="C324" s="161">
        <v>302</v>
      </c>
      <c r="D324" s="161" t="s">
        <v>814</v>
      </c>
      <c r="E324" s="1371" t="s">
        <v>1181</v>
      </c>
      <c r="F324" s="1371"/>
      <c r="G324" s="1371"/>
      <c r="H324" s="161" t="s">
        <v>286</v>
      </c>
      <c r="I324" s="741">
        <f>+'[11]Metraj Özeti'!AI324</f>
        <v>0</v>
      </c>
      <c r="J324" s="226">
        <f>+'Yeşil Defter'!AC558</f>
        <v>0</v>
      </c>
      <c r="K324" s="226">
        <f t="shared" si="6"/>
        <v>0</v>
      </c>
    </row>
    <row r="325" spans="1:11" ht="19.95" customHeight="1" x14ac:dyDescent="0.3">
      <c r="A325" s="262">
        <v>4</v>
      </c>
      <c r="C325" s="161">
        <v>303</v>
      </c>
      <c r="D325" s="161" t="s">
        <v>815</v>
      </c>
      <c r="E325" s="1371" t="s">
        <v>1189</v>
      </c>
      <c r="F325" s="1371"/>
      <c r="G325" s="1371"/>
      <c r="H325" s="161" t="s">
        <v>286</v>
      </c>
      <c r="I325" s="741">
        <f>+'[11]Metraj Özeti'!AI325</f>
        <v>0</v>
      </c>
      <c r="J325" s="226">
        <f>+'Yeşil Defter'!AC571</f>
        <v>0</v>
      </c>
      <c r="K325" s="226">
        <f t="shared" si="6"/>
        <v>0</v>
      </c>
    </row>
    <row r="326" spans="1:11" ht="19.95" customHeight="1" x14ac:dyDescent="0.3">
      <c r="A326" s="262">
        <v>4</v>
      </c>
      <c r="C326" s="161">
        <v>304</v>
      </c>
      <c r="D326" s="161" t="s">
        <v>816</v>
      </c>
      <c r="E326" s="1371" t="s">
        <v>817</v>
      </c>
      <c r="F326" s="1371"/>
      <c r="G326" s="1371"/>
      <c r="H326" s="161" t="s">
        <v>286</v>
      </c>
      <c r="I326" s="741">
        <f>+'[11]Metraj Özeti'!AI326</f>
        <v>0</v>
      </c>
      <c r="J326" s="226">
        <f>+'Yeşil Defter'!AC572</f>
        <v>0</v>
      </c>
      <c r="K326" s="226">
        <f t="shared" si="6"/>
        <v>0</v>
      </c>
    </row>
    <row r="327" spans="1:11" ht="19.95" customHeight="1" x14ac:dyDescent="0.3">
      <c r="A327" s="262">
        <v>4</v>
      </c>
      <c r="C327" s="161">
        <v>305</v>
      </c>
      <c r="D327" s="161" t="s">
        <v>818</v>
      </c>
      <c r="E327" s="1371" t="s">
        <v>819</v>
      </c>
      <c r="F327" s="1371"/>
      <c r="G327" s="1371"/>
      <c r="H327" s="161" t="s">
        <v>286</v>
      </c>
      <c r="I327" s="741">
        <f>+'[11]Metraj Özeti'!AI327</f>
        <v>0</v>
      </c>
      <c r="J327" s="226">
        <f>+'Yeşil Defter'!AC573</f>
        <v>0</v>
      </c>
      <c r="K327" s="226">
        <f t="shared" si="6"/>
        <v>0</v>
      </c>
    </row>
    <row r="328" spans="1:11" ht="19.95" customHeight="1" x14ac:dyDescent="0.3">
      <c r="A328" s="262">
        <v>4</v>
      </c>
      <c r="C328" s="161">
        <v>306</v>
      </c>
      <c r="D328" s="161" t="s">
        <v>820</v>
      </c>
      <c r="E328" s="1371" t="s">
        <v>821</v>
      </c>
      <c r="F328" s="1371"/>
      <c r="G328" s="1371"/>
      <c r="H328" s="161" t="s">
        <v>286</v>
      </c>
      <c r="I328" s="741">
        <f>+'[11]Metraj Özeti'!AI328</f>
        <v>0</v>
      </c>
      <c r="J328" s="226">
        <f>+'Yeşil Defter'!AC574</f>
        <v>0</v>
      </c>
      <c r="K328" s="226">
        <f t="shared" si="6"/>
        <v>0</v>
      </c>
    </row>
    <row r="329" spans="1:11" ht="19.95" customHeight="1" x14ac:dyDescent="0.3">
      <c r="A329" s="262">
        <v>4</v>
      </c>
      <c r="C329" s="161">
        <v>307</v>
      </c>
      <c r="D329" s="161" t="s">
        <v>822</v>
      </c>
      <c r="E329" s="1371" t="s">
        <v>1166</v>
      </c>
      <c r="F329" s="1371"/>
      <c r="G329" s="1371"/>
      <c r="H329" s="161" t="s">
        <v>286</v>
      </c>
      <c r="I329" s="741">
        <f>+'[11]Metraj Özeti'!AI329</f>
        <v>0</v>
      </c>
      <c r="J329" s="226">
        <f>+'Yeşil Defter'!AC575</f>
        <v>0</v>
      </c>
      <c r="K329" s="226">
        <f t="shared" si="6"/>
        <v>0</v>
      </c>
    </row>
    <row r="330" spans="1:11" ht="19.95" customHeight="1" x14ac:dyDescent="0.3">
      <c r="A330" s="262">
        <v>4</v>
      </c>
      <c r="C330" s="161">
        <v>308</v>
      </c>
      <c r="D330" s="161" t="s">
        <v>823</v>
      </c>
      <c r="E330" s="1371" t="s">
        <v>1174</v>
      </c>
      <c r="F330" s="1371"/>
      <c r="G330" s="1371"/>
      <c r="H330" s="161" t="s">
        <v>286</v>
      </c>
      <c r="I330" s="741">
        <f>+'[11]Metraj Özeti'!AI330</f>
        <v>0</v>
      </c>
      <c r="J330" s="226">
        <f>+'Yeşil Defter'!AC576</f>
        <v>0</v>
      </c>
      <c r="K330" s="226">
        <f t="shared" si="6"/>
        <v>0</v>
      </c>
    </row>
    <row r="331" spans="1:11" ht="19.95" customHeight="1" x14ac:dyDescent="0.3">
      <c r="A331" s="262">
        <v>4</v>
      </c>
      <c r="C331" s="161">
        <v>309</v>
      </c>
      <c r="D331" s="161" t="s">
        <v>824</v>
      </c>
      <c r="E331" s="1371" t="s">
        <v>1182</v>
      </c>
      <c r="F331" s="1371"/>
      <c r="G331" s="1371"/>
      <c r="H331" s="161" t="s">
        <v>286</v>
      </c>
      <c r="I331" s="741">
        <f>+'[11]Metraj Özeti'!AI331</f>
        <v>0</v>
      </c>
      <c r="J331" s="226">
        <f>+'Yeşil Defter'!AC577</f>
        <v>0</v>
      </c>
      <c r="K331" s="226">
        <f t="shared" si="6"/>
        <v>0</v>
      </c>
    </row>
    <row r="332" spans="1:11" ht="19.95" customHeight="1" x14ac:dyDescent="0.3">
      <c r="A332" s="262">
        <v>4</v>
      </c>
      <c r="C332" s="161">
        <v>310</v>
      </c>
      <c r="D332" s="161" t="s">
        <v>825</v>
      </c>
      <c r="E332" s="1371" t="s">
        <v>1190</v>
      </c>
      <c r="F332" s="1371"/>
      <c r="G332" s="1371"/>
      <c r="H332" s="161" t="s">
        <v>286</v>
      </c>
      <c r="I332" s="741">
        <f>+'[11]Metraj Özeti'!AI332</f>
        <v>0</v>
      </c>
      <c r="J332" s="226">
        <f>+'Yeşil Defter'!AC578</f>
        <v>0</v>
      </c>
      <c r="K332" s="226">
        <f t="shared" si="6"/>
        <v>0</v>
      </c>
    </row>
    <row r="333" spans="1:11" ht="19.95" customHeight="1" x14ac:dyDescent="0.3">
      <c r="A333" s="262">
        <v>4</v>
      </c>
      <c r="C333" s="161">
        <v>311</v>
      </c>
      <c r="D333" s="161" t="s">
        <v>826</v>
      </c>
      <c r="E333" s="1371" t="s">
        <v>827</v>
      </c>
      <c r="F333" s="1371"/>
      <c r="G333" s="1371"/>
      <c r="H333" s="161" t="s">
        <v>286</v>
      </c>
      <c r="I333" s="741">
        <f>+'[11]Metraj Özeti'!AI333</f>
        <v>0</v>
      </c>
      <c r="J333" s="226">
        <f>+'Yeşil Defter'!AC579</f>
        <v>0</v>
      </c>
      <c r="K333" s="226">
        <f t="shared" si="6"/>
        <v>0</v>
      </c>
    </row>
    <row r="334" spans="1:11" ht="19.95" customHeight="1" x14ac:dyDescent="0.3">
      <c r="A334" s="262">
        <v>4</v>
      </c>
      <c r="C334" s="161">
        <v>312</v>
      </c>
      <c r="D334" s="161" t="s">
        <v>828</v>
      </c>
      <c r="E334" s="1371" t="s">
        <v>829</v>
      </c>
      <c r="F334" s="1371"/>
      <c r="G334" s="1371"/>
      <c r="H334" s="161" t="s">
        <v>286</v>
      </c>
      <c r="I334" s="741">
        <f>+'[11]Metraj Özeti'!AI334</f>
        <v>0</v>
      </c>
      <c r="J334" s="226">
        <f>+'Yeşil Defter'!AC580</f>
        <v>0</v>
      </c>
      <c r="K334" s="226">
        <f t="shared" si="6"/>
        <v>0</v>
      </c>
    </row>
    <row r="335" spans="1:11" ht="19.95" customHeight="1" x14ac:dyDescent="0.3">
      <c r="A335" s="262">
        <v>4</v>
      </c>
      <c r="C335" s="161">
        <v>313</v>
      </c>
      <c r="D335" s="161" t="s">
        <v>830</v>
      </c>
      <c r="E335" s="1371" t="s">
        <v>1167</v>
      </c>
      <c r="F335" s="1371"/>
      <c r="G335" s="1371"/>
      <c r="H335" s="161" t="s">
        <v>286</v>
      </c>
      <c r="I335" s="741">
        <f>+'[11]Metraj Özeti'!AI335</f>
        <v>0</v>
      </c>
      <c r="J335" s="226">
        <f>+'Yeşil Defter'!AC581</f>
        <v>0</v>
      </c>
      <c r="K335" s="226">
        <f t="shared" si="6"/>
        <v>0</v>
      </c>
    </row>
    <row r="336" spans="1:11" ht="19.95" customHeight="1" x14ac:dyDescent="0.3">
      <c r="A336" s="262">
        <v>4</v>
      </c>
      <c r="C336" s="161">
        <v>314</v>
      </c>
      <c r="D336" s="161" t="s">
        <v>831</v>
      </c>
      <c r="E336" s="1371" t="s">
        <v>1175</v>
      </c>
      <c r="F336" s="1371"/>
      <c r="G336" s="1371"/>
      <c r="H336" s="161" t="s">
        <v>286</v>
      </c>
      <c r="I336" s="741">
        <f>+'[11]Metraj Özeti'!AI336</f>
        <v>0</v>
      </c>
      <c r="J336" s="226">
        <f>+'Yeşil Defter'!AC582</f>
        <v>0</v>
      </c>
      <c r="K336" s="226">
        <f t="shared" si="6"/>
        <v>0</v>
      </c>
    </row>
    <row r="337" spans="1:11" ht="19.95" customHeight="1" x14ac:dyDescent="0.3">
      <c r="A337" s="262">
        <v>4</v>
      </c>
      <c r="C337" s="161">
        <v>315</v>
      </c>
      <c r="D337" s="161" t="s">
        <v>832</v>
      </c>
      <c r="E337" s="1371" t="s">
        <v>1183</v>
      </c>
      <c r="F337" s="1371"/>
      <c r="G337" s="1371"/>
      <c r="H337" s="161" t="s">
        <v>286</v>
      </c>
      <c r="I337" s="741">
        <f>+'[11]Metraj Özeti'!AI337</f>
        <v>0</v>
      </c>
      <c r="J337" s="226">
        <f>+'Yeşil Defter'!AC583</f>
        <v>0</v>
      </c>
      <c r="K337" s="226">
        <f t="shared" si="6"/>
        <v>0</v>
      </c>
    </row>
    <row r="338" spans="1:11" ht="19.95" customHeight="1" x14ac:dyDescent="0.3">
      <c r="A338" s="262">
        <v>4</v>
      </c>
      <c r="C338" s="161">
        <v>316</v>
      </c>
      <c r="D338" s="161" t="s">
        <v>833</v>
      </c>
      <c r="E338" s="1371" t="s">
        <v>1191</v>
      </c>
      <c r="F338" s="1371"/>
      <c r="G338" s="1371"/>
      <c r="H338" s="161" t="s">
        <v>286</v>
      </c>
      <c r="I338" s="741">
        <f>+'[11]Metraj Özeti'!AI338</f>
        <v>0</v>
      </c>
      <c r="J338" s="226">
        <f>+'Yeşil Defter'!AC584</f>
        <v>0</v>
      </c>
      <c r="K338" s="226">
        <f t="shared" si="6"/>
        <v>0</v>
      </c>
    </row>
    <row r="339" spans="1:11" ht="19.95" customHeight="1" x14ac:dyDescent="0.3">
      <c r="A339" s="262">
        <v>4</v>
      </c>
      <c r="C339" s="161">
        <v>317</v>
      </c>
      <c r="D339" s="161" t="s">
        <v>834</v>
      </c>
      <c r="E339" s="1371" t="s">
        <v>835</v>
      </c>
      <c r="F339" s="1371"/>
      <c r="G339" s="1371"/>
      <c r="H339" s="161" t="s">
        <v>286</v>
      </c>
      <c r="I339" s="741">
        <f>+'[11]Metraj Özeti'!AI339</f>
        <v>0</v>
      </c>
      <c r="J339" s="226">
        <f>+'Yeşil Defter'!AC585</f>
        <v>0</v>
      </c>
      <c r="K339" s="226">
        <f t="shared" si="6"/>
        <v>0</v>
      </c>
    </row>
    <row r="340" spans="1:11" ht="19.95" customHeight="1" x14ac:dyDescent="0.3">
      <c r="A340" s="262">
        <v>4</v>
      </c>
      <c r="C340" s="161">
        <v>318</v>
      </c>
      <c r="D340" s="161" t="s">
        <v>836</v>
      </c>
      <c r="E340" s="1371" t="s">
        <v>837</v>
      </c>
      <c r="F340" s="1371"/>
      <c r="G340" s="1371"/>
      <c r="H340" s="161" t="s">
        <v>286</v>
      </c>
      <c r="I340" s="741">
        <f>+'[11]Metraj Özeti'!AI340</f>
        <v>0</v>
      </c>
      <c r="J340" s="226">
        <f>+'Yeşil Defter'!AC586</f>
        <v>0</v>
      </c>
      <c r="K340" s="226">
        <f t="shared" si="6"/>
        <v>0</v>
      </c>
    </row>
    <row r="341" spans="1:11" ht="19.95" customHeight="1" x14ac:dyDescent="0.3">
      <c r="A341" s="262">
        <v>4</v>
      </c>
      <c r="C341" s="161">
        <v>319</v>
      </c>
      <c r="D341" s="161" t="s">
        <v>838</v>
      </c>
      <c r="E341" s="1371" t="s">
        <v>1168</v>
      </c>
      <c r="F341" s="1371"/>
      <c r="G341" s="1371"/>
      <c r="H341" s="161" t="s">
        <v>286</v>
      </c>
      <c r="I341" s="741">
        <f>+'[11]Metraj Özeti'!AI341</f>
        <v>0</v>
      </c>
      <c r="J341" s="226">
        <f>+'Yeşil Defter'!AC587</f>
        <v>0</v>
      </c>
      <c r="K341" s="226">
        <f t="shared" si="6"/>
        <v>0</v>
      </c>
    </row>
    <row r="342" spans="1:11" ht="19.95" customHeight="1" x14ac:dyDescent="0.3">
      <c r="A342" s="262">
        <v>4</v>
      </c>
      <c r="C342" s="161">
        <v>320</v>
      </c>
      <c r="D342" s="161" t="s">
        <v>839</v>
      </c>
      <c r="E342" s="1371" t="s">
        <v>1176</v>
      </c>
      <c r="F342" s="1371"/>
      <c r="G342" s="1371"/>
      <c r="H342" s="161" t="s">
        <v>286</v>
      </c>
      <c r="I342" s="741">
        <f>+'[11]Metraj Özeti'!AI342</f>
        <v>0</v>
      </c>
      <c r="J342" s="226">
        <f>+'Yeşil Defter'!AC588</f>
        <v>0</v>
      </c>
      <c r="K342" s="226">
        <f t="shared" si="6"/>
        <v>0</v>
      </c>
    </row>
    <row r="343" spans="1:11" ht="19.95" customHeight="1" x14ac:dyDescent="0.3">
      <c r="A343" s="262">
        <v>4</v>
      </c>
      <c r="C343" s="161">
        <v>321</v>
      </c>
      <c r="D343" s="161" t="s">
        <v>840</v>
      </c>
      <c r="E343" s="1371" t="s">
        <v>1184</v>
      </c>
      <c r="F343" s="1371"/>
      <c r="G343" s="1371"/>
      <c r="H343" s="161" t="s">
        <v>286</v>
      </c>
      <c r="I343" s="741">
        <f>+'[11]Metraj Özeti'!AI343</f>
        <v>0</v>
      </c>
      <c r="J343" s="226">
        <f>+'Yeşil Defter'!AC589</f>
        <v>0</v>
      </c>
      <c r="K343" s="226">
        <f t="shared" si="6"/>
        <v>0</v>
      </c>
    </row>
    <row r="344" spans="1:11" ht="19.95" customHeight="1" x14ac:dyDescent="0.3">
      <c r="A344" s="262">
        <v>4</v>
      </c>
      <c r="C344" s="161">
        <v>322</v>
      </c>
      <c r="D344" s="161" t="s">
        <v>841</v>
      </c>
      <c r="E344" s="1371" t="s">
        <v>1192</v>
      </c>
      <c r="F344" s="1371"/>
      <c r="G344" s="1371"/>
      <c r="H344" s="161" t="s">
        <v>286</v>
      </c>
      <c r="I344" s="741">
        <f>+'[11]Metraj Özeti'!AI344</f>
        <v>0</v>
      </c>
      <c r="J344" s="226">
        <f>+'Yeşil Defter'!AC590</f>
        <v>0</v>
      </c>
      <c r="K344" s="226">
        <f t="shared" si="6"/>
        <v>0</v>
      </c>
    </row>
    <row r="345" spans="1:11" ht="19.95" customHeight="1" x14ac:dyDescent="0.3">
      <c r="A345" s="262">
        <v>4</v>
      </c>
      <c r="C345" s="161">
        <v>323</v>
      </c>
      <c r="D345" s="161" t="s">
        <v>842</v>
      </c>
      <c r="E345" s="1371" t="s">
        <v>843</v>
      </c>
      <c r="F345" s="1371"/>
      <c r="G345" s="1371"/>
      <c r="H345" s="161" t="s">
        <v>286</v>
      </c>
      <c r="I345" s="741">
        <f>+'[11]Metraj Özeti'!AI345</f>
        <v>0</v>
      </c>
      <c r="J345" s="226">
        <f>+'Yeşil Defter'!AC591</f>
        <v>0</v>
      </c>
      <c r="K345" s="226">
        <f t="shared" si="6"/>
        <v>0</v>
      </c>
    </row>
    <row r="346" spans="1:11" ht="19.95" customHeight="1" x14ac:dyDescent="0.3">
      <c r="A346" s="262">
        <v>4</v>
      </c>
      <c r="C346" s="161">
        <v>324</v>
      </c>
      <c r="D346" s="161" t="s">
        <v>844</v>
      </c>
      <c r="E346" s="1371" t="s">
        <v>845</v>
      </c>
      <c r="F346" s="1371"/>
      <c r="G346" s="1371"/>
      <c r="H346" s="161" t="s">
        <v>286</v>
      </c>
      <c r="I346" s="741">
        <f>+'[11]Metraj Özeti'!AI346</f>
        <v>0</v>
      </c>
      <c r="J346" s="226">
        <f>+'Yeşil Defter'!AC592</f>
        <v>0</v>
      </c>
      <c r="K346" s="226">
        <f t="shared" si="6"/>
        <v>0</v>
      </c>
    </row>
    <row r="347" spans="1:11" ht="19.95" customHeight="1" x14ac:dyDescent="0.3">
      <c r="A347" s="262">
        <v>4</v>
      </c>
      <c r="C347" s="161">
        <v>325</v>
      </c>
      <c r="D347" s="161" t="s">
        <v>846</v>
      </c>
      <c r="E347" s="1371" t="s">
        <v>1169</v>
      </c>
      <c r="F347" s="1371"/>
      <c r="G347" s="1371"/>
      <c r="H347" s="161" t="s">
        <v>286</v>
      </c>
      <c r="I347" s="741">
        <f>+'[11]Metraj Özeti'!AI347</f>
        <v>0</v>
      </c>
      <c r="J347" s="226">
        <f>+'Yeşil Defter'!AC593</f>
        <v>0</v>
      </c>
      <c r="K347" s="226">
        <f t="shared" si="6"/>
        <v>0</v>
      </c>
    </row>
    <row r="348" spans="1:11" ht="19.95" customHeight="1" x14ac:dyDescent="0.3">
      <c r="A348" s="262">
        <v>4</v>
      </c>
      <c r="C348" s="161">
        <v>326</v>
      </c>
      <c r="D348" s="161" t="s">
        <v>847</v>
      </c>
      <c r="E348" s="1371" t="s">
        <v>1177</v>
      </c>
      <c r="F348" s="1371"/>
      <c r="G348" s="1371"/>
      <c r="H348" s="161" t="s">
        <v>286</v>
      </c>
      <c r="I348" s="741">
        <f>+'[11]Metraj Özeti'!AI348</f>
        <v>0</v>
      </c>
      <c r="J348" s="226">
        <f>+'Yeşil Defter'!AC594</f>
        <v>0</v>
      </c>
      <c r="K348" s="226">
        <f t="shared" si="6"/>
        <v>0</v>
      </c>
    </row>
    <row r="349" spans="1:11" ht="19.95" customHeight="1" x14ac:dyDescent="0.3">
      <c r="A349" s="262">
        <v>4</v>
      </c>
      <c r="C349" s="161">
        <v>327</v>
      </c>
      <c r="D349" s="161" t="s">
        <v>848</v>
      </c>
      <c r="E349" s="1371" t="s">
        <v>1185</v>
      </c>
      <c r="F349" s="1371"/>
      <c r="G349" s="1371"/>
      <c r="H349" s="161" t="s">
        <v>286</v>
      </c>
      <c r="I349" s="741">
        <f>+'[11]Metraj Özeti'!AI349</f>
        <v>0</v>
      </c>
      <c r="J349" s="226">
        <f>+'Yeşil Defter'!AC595</f>
        <v>0</v>
      </c>
      <c r="K349" s="226">
        <f t="shared" si="6"/>
        <v>0</v>
      </c>
    </row>
    <row r="350" spans="1:11" ht="19.95" customHeight="1" x14ac:dyDescent="0.3">
      <c r="A350" s="262">
        <v>4</v>
      </c>
      <c r="C350" s="161">
        <v>328</v>
      </c>
      <c r="D350" s="161" t="s">
        <v>849</v>
      </c>
      <c r="E350" s="1371" t="s">
        <v>1193</v>
      </c>
      <c r="F350" s="1371"/>
      <c r="G350" s="1371"/>
      <c r="H350" s="161" t="s">
        <v>286</v>
      </c>
      <c r="I350" s="741">
        <f>+'[11]Metraj Özeti'!AI350</f>
        <v>0</v>
      </c>
      <c r="J350" s="226">
        <f>+'Yeşil Defter'!AC596</f>
        <v>0</v>
      </c>
      <c r="K350" s="226">
        <f t="shared" si="6"/>
        <v>0</v>
      </c>
    </row>
    <row r="351" spans="1:11" ht="19.95" customHeight="1" x14ac:dyDescent="0.3">
      <c r="A351" s="262">
        <v>4</v>
      </c>
      <c r="C351" s="161">
        <v>329</v>
      </c>
      <c r="D351" s="161" t="s">
        <v>850</v>
      </c>
      <c r="E351" s="1371" t="s">
        <v>851</v>
      </c>
      <c r="F351" s="1371"/>
      <c r="G351" s="1371"/>
      <c r="H351" s="161" t="s">
        <v>286</v>
      </c>
      <c r="I351" s="741">
        <f>+'[11]Metraj Özeti'!AI351</f>
        <v>0</v>
      </c>
      <c r="J351" s="226">
        <f>+'Yeşil Defter'!AC597</f>
        <v>0</v>
      </c>
      <c r="K351" s="226">
        <f t="shared" si="6"/>
        <v>0</v>
      </c>
    </row>
    <row r="352" spans="1:11" ht="19.95" customHeight="1" x14ac:dyDescent="0.3">
      <c r="A352" s="262">
        <v>4</v>
      </c>
      <c r="C352" s="161">
        <v>330</v>
      </c>
      <c r="D352" s="161" t="s">
        <v>852</v>
      </c>
      <c r="E352" s="1371" t="s">
        <v>853</v>
      </c>
      <c r="F352" s="1371"/>
      <c r="G352" s="1371"/>
      <c r="H352" s="161" t="s">
        <v>286</v>
      </c>
      <c r="I352" s="741">
        <f>+'[11]Metraj Özeti'!AI352</f>
        <v>0</v>
      </c>
      <c r="J352" s="226">
        <f>+'Yeşil Defter'!AC598</f>
        <v>0</v>
      </c>
      <c r="K352" s="226">
        <f t="shared" si="6"/>
        <v>0</v>
      </c>
    </row>
    <row r="353" spans="1:11" ht="19.95" customHeight="1" x14ac:dyDescent="0.3">
      <c r="A353" s="262">
        <v>4</v>
      </c>
      <c r="C353" s="161">
        <v>331</v>
      </c>
      <c r="D353" s="161" t="s">
        <v>854</v>
      </c>
      <c r="E353" s="1371" t="s">
        <v>1170</v>
      </c>
      <c r="F353" s="1371"/>
      <c r="G353" s="1371"/>
      <c r="H353" s="161" t="s">
        <v>286</v>
      </c>
      <c r="I353" s="741">
        <f>+'[11]Metraj Özeti'!AI353</f>
        <v>0</v>
      </c>
      <c r="J353" s="226">
        <f>+'Yeşil Defter'!AC599</f>
        <v>0</v>
      </c>
      <c r="K353" s="226">
        <f t="shared" si="6"/>
        <v>0</v>
      </c>
    </row>
    <row r="354" spans="1:11" ht="19.95" customHeight="1" x14ac:dyDescent="0.3">
      <c r="A354" s="262">
        <v>4</v>
      </c>
      <c r="C354" s="161">
        <v>332</v>
      </c>
      <c r="D354" s="161" t="s">
        <v>855</v>
      </c>
      <c r="E354" s="1371" t="s">
        <v>1178</v>
      </c>
      <c r="F354" s="1371"/>
      <c r="G354" s="1371"/>
      <c r="H354" s="161" t="s">
        <v>286</v>
      </c>
      <c r="I354" s="741">
        <f>+'[11]Metraj Özeti'!AI354</f>
        <v>0</v>
      </c>
      <c r="J354" s="226">
        <f>+'Yeşil Defter'!AC600</f>
        <v>0</v>
      </c>
      <c r="K354" s="226">
        <f t="shared" si="6"/>
        <v>0</v>
      </c>
    </row>
    <row r="355" spans="1:11" ht="19.95" customHeight="1" x14ac:dyDescent="0.3">
      <c r="A355" s="262">
        <v>4</v>
      </c>
      <c r="C355" s="161">
        <v>333</v>
      </c>
      <c r="D355" s="161" t="s">
        <v>856</v>
      </c>
      <c r="E355" s="1371" t="s">
        <v>1186</v>
      </c>
      <c r="F355" s="1371"/>
      <c r="G355" s="1371"/>
      <c r="H355" s="161" t="s">
        <v>286</v>
      </c>
      <c r="I355" s="741">
        <f>+'[11]Metraj Özeti'!AI355</f>
        <v>0</v>
      </c>
      <c r="J355" s="226">
        <f>+'Yeşil Defter'!AC601</f>
        <v>0</v>
      </c>
      <c r="K355" s="226">
        <f t="shared" si="6"/>
        <v>0</v>
      </c>
    </row>
    <row r="356" spans="1:11" ht="19.95" customHeight="1" x14ac:dyDescent="0.3">
      <c r="A356" s="262">
        <v>4</v>
      </c>
      <c r="C356" s="161">
        <v>334</v>
      </c>
      <c r="D356" s="161" t="s">
        <v>857</v>
      </c>
      <c r="E356" s="1371" t="s">
        <v>1194</v>
      </c>
      <c r="F356" s="1371"/>
      <c r="G356" s="1371"/>
      <c r="H356" s="161" t="s">
        <v>286</v>
      </c>
      <c r="I356" s="741">
        <f>+'[11]Metraj Özeti'!AI356</f>
        <v>0</v>
      </c>
      <c r="J356" s="226">
        <f>+'Yeşil Defter'!AC602</f>
        <v>0</v>
      </c>
      <c r="K356" s="226">
        <f t="shared" si="6"/>
        <v>0</v>
      </c>
    </row>
    <row r="357" spans="1:11" ht="19.95" customHeight="1" x14ac:dyDescent="0.3">
      <c r="A357" s="262">
        <v>4</v>
      </c>
      <c r="C357" s="161">
        <v>335</v>
      </c>
      <c r="D357" s="161" t="s">
        <v>858</v>
      </c>
      <c r="E357" s="1371" t="s">
        <v>859</v>
      </c>
      <c r="F357" s="1371"/>
      <c r="G357" s="1371"/>
      <c r="H357" s="161" t="s">
        <v>286</v>
      </c>
      <c r="I357" s="741">
        <f>+'[11]Metraj Özeti'!AI357</f>
        <v>0</v>
      </c>
      <c r="J357" s="226">
        <f>+'Yeşil Defter'!AC603</f>
        <v>0</v>
      </c>
      <c r="K357" s="226">
        <f t="shared" ref="K357:K420" si="7">+J357+I357</f>
        <v>0</v>
      </c>
    </row>
    <row r="358" spans="1:11" ht="19.95" customHeight="1" x14ac:dyDescent="0.3">
      <c r="A358" s="262">
        <v>4</v>
      </c>
      <c r="C358" s="161">
        <v>336</v>
      </c>
      <c r="D358" s="161" t="s">
        <v>860</v>
      </c>
      <c r="E358" s="1371" t="s">
        <v>861</v>
      </c>
      <c r="F358" s="1371"/>
      <c r="G358" s="1371"/>
      <c r="H358" s="161" t="s">
        <v>286</v>
      </c>
      <c r="I358" s="741">
        <f>+'[11]Metraj Özeti'!AI358</f>
        <v>0</v>
      </c>
      <c r="J358" s="226">
        <f>+'Yeşil Defter'!AC604</f>
        <v>0</v>
      </c>
      <c r="K358" s="226">
        <f t="shared" si="7"/>
        <v>0</v>
      </c>
    </row>
    <row r="359" spans="1:11" ht="19.95" customHeight="1" x14ac:dyDescent="0.3">
      <c r="A359" s="262">
        <v>4</v>
      </c>
      <c r="C359" s="161">
        <v>337</v>
      </c>
      <c r="D359" s="161" t="s">
        <v>862</v>
      </c>
      <c r="E359" s="1371" t="s">
        <v>863</v>
      </c>
      <c r="F359" s="1371"/>
      <c r="G359" s="1371"/>
      <c r="H359" s="161" t="s">
        <v>247</v>
      </c>
      <c r="I359" s="741">
        <f>+'[11]Metraj Özeti'!AI359</f>
        <v>0</v>
      </c>
      <c r="J359" s="226">
        <f>+'Yeşil Defter'!AC605</f>
        <v>0</v>
      </c>
      <c r="K359" s="226">
        <f t="shared" si="7"/>
        <v>0</v>
      </c>
    </row>
    <row r="360" spans="1:11" ht="19.95" customHeight="1" x14ac:dyDescent="0.3">
      <c r="A360" s="262">
        <v>4</v>
      </c>
      <c r="C360" s="161">
        <v>338</v>
      </c>
      <c r="D360" s="161" t="s">
        <v>864</v>
      </c>
      <c r="E360" s="1371" t="s">
        <v>865</v>
      </c>
      <c r="F360" s="1371"/>
      <c r="G360" s="1371"/>
      <c r="H360" s="161" t="s">
        <v>247</v>
      </c>
      <c r="I360" s="741">
        <f>+'[11]Metraj Özeti'!AI360</f>
        <v>0</v>
      </c>
      <c r="J360" s="226">
        <f>+'Yeşil Defter'!AC617</f>
        <v>0</v>
      </c>
      <c r="K360" s="226">
        <f t="shared" si="7"/>
        <v>0</v>
      </c>
    </row>
    <row r="361" spans="1:11" ht="19.95" customHeight="1" x14ac:dyDescent="0.3">
      <c r="A361" s="262">
        <v>4</v>
      </c>
      <c r="C361" s="161">
        <v>339</v>
      </c>
      <c r="D361" s="161" t="s">
        <v>866</v>
      </c>
      <c r="E361" s="1371" t="s">
        <v>867</v>
      </c>
      <c r="F361" s="1371"/>
      <c r="G361" s="1371"/>
      <c r="H361" s="161" t="s">
        <v>286</v>
      </c>
      <c r="I361" s="741">
        <f>+'[11]Metraj Özeti'!AI361</f>
        <v>0</v>
      </c>
      <c r="J361" s="226">
        <f>+'Yeşil Defter'!AC618</f>
        <v>0</v>
      </c>
      <c r="K361" s="226">
        <f t="shared" si="7"/>
        <v>0</v>
      </c>
    </row>
    <row r="362" spans="1:11" ht="19.95" customHeight="1" x14ac:dyDescent="0.3">
      <c r="A362" s="262">
        <v>4</v>
      </c>
      <c r="C362" s="161">
        <v>340</v>
      </c>
      <c r="D362" s="213" t="s">
        <v>868</v>
      </c>
      <c r="E362" s="1371" t="s">
        <v>869</v>
      </c>
      <c r="F362" s="1371"/>
      <c r="G362" s="1371"/>
      <c r="H362" s="161" t="s">
        <v>286</v>
      </c>
      <c r="I362" s="741">
        <f>+'[11]Metraj Özeti'!AI362</f>
        <v>0</v>
      </c>
      <c r="J362" s="226">
        <f>+'Yeşil Defter'!AC619</f>
        <v>0</v>
      </c>
      <c r="K362" s="226">
        <f t="shared" si="7"/>
        <v>0</v>
      </c>
    </row>
    <row r="363" spans="1:11" ht="19.95" customHeight="1" x14ac:dyDescent="0.3">
      <c r="A363" s="262">
        <v>4</v>
      </c>
      <c r="C363" s="161">
        <v>341</v>
      </c>
      <c r="D363" s="213" t="s">
        <v>870</v>
      </c>
      <c r="E363" s="1371" t="s">
        <v>871</v>
      </c>
      <c r="F363" s="1371"/>
      <c r="G363" s="1371"/>
      <c r="H363" s="161" t="s">
        <v>286</v>
      </c>
      <c r="I363" s="741">
        <f>+'[11]Metraj Özeti'!AI363</f>
        <v>0</v>
      </c>
      <c r="J363" s="226">
        <f>+'Yeşil Defter'!AC620</f>
        <v>0</v>
      </c>
      <c r="K363" s="226">
        <f t="shared" si="7"/>
        <v>0</v>
      </c>
    </row>
    <row r="364" spans="1:11" ht="19.95" customHeight="1" x14ac:dyDescent="0.3">
      <c r="A364" s="262">
        <v>4</v>
      </c>
      <c r="C364" s="161">
        <v>342</v>
      </c>
      <c r="D364" s="213" t="s">
        <v>872</v>
      </c>
      <c r="E364" s="1371" t="s">
        <v>873</v>
      </c>
      <c r="F364" s="1371"/>
      <c r="G364" s="1371"/>
      <c r="H364" s="161" t="s">
        <v>286</v>
      </c>
      <c r="I364" s="741">
        <f>+'[11]Metraj Özeti'!AI364</f>
        <v>0</v>
      </c>
      <c r="J364" s="226">
        <f>+'Yeşil Defter'!AC621</f>
        <v>0</v>
      </c>
      <c r="K364" s="226">
        <f t="shared" si="7"/>
        <v>0</v>
      </c>
    </row>
    <row r="365" spans="1:11" ht="19.95" customHeight="1" x14ac:dyDescent="0.3">
      <c r="A365" s="262">
        <v>4</v>
      </c>
      <c r="C365" s="161">
        <v>343</v>
      </c>
      <c r="D365" s="213" t="s">
        <v>874</v>
      </c>
      <c r="E365" s="1371" t="s">
        <v>875</v>
      </c>
      <c r="F365" s="1371"/>
      <c r="G365" s="1371"/>
      <c r="H365" s="161" t="s">
        <v>286</v>
      </c>
      <c r="I365" s="741">
        <f>+'[11]Metraj Özeti'!AI365</f>
        <v>0</v>
      </c>
      <c r="J365" s="226">
        <f>+'Yeşil Defter'!AC622</f>
        <v>0</v>
      </c>
      <c r="K365" s="226">
        <f t="shared" si="7"/>
        <v>0</v>
      </c>
    </row>
    <row r="366" spans="1:11" ht="19.95" customHeight="1" x14ac:dyDescent="0.3">
      <c r="A366" s="262">
        <v>4</v>
      </c>
      <c r="C366" s="161">
        <v>344</v>
      </c>
      <c r="D366" s="213" t="s">
        <v>876</v>
      </c>
      <c r="E366" s="1371" t="s">
        <v>877</v>
      </c>
      <c r="F366" s="1371"/>
      <c r="G366" s="1371"/>
      <c r="H366" s="161" t="s">
        <v>286</v>
      </c>
      <c r="I366" s="741">
        <f>+'[11]Metraj Özeti'!AI366</f>
        <v>0</v>
      </c>
      <c r="J366" s="226">
        <f>+'Yeşil Defter'!AC623</f>
        <v>0</v>
      </c>
      <c r="K366" s="226">
        <f t="shared" si="7"/>
        <v>0</v>
      </c>
    </row>
    <row r="367" spans="1:11" ht="19.95" customHeight="1" x14ac:dyDescent="0.3">
      <c r="A367" s="262">
        <v>4</v>
      </c>
      <c r="C367" s="161">
        <v>345</v>
      </c>
      <c r="D367" s="213" t="s">
        <v>878</v>
      </c>
      <c r="E367" s="1371" t="s">
        <v>879</v>
      </c>
      <c r="F367" s="1371"/>
      <c r="G367" s="1371"/>
      <c r="H367" s="161" t="s">
        <v>286</v>
      </c>
      <c r="I367" s="741">
        <f>+'[11]Metraj Özeti'!AI367</f>
        <v>0</v>
      </c>
      <c r="J367" s="226">
        <f>+'Yeşil Defter'!AC624</f>
        <v>0</v>
      </c>
      <c r="K367" s="226">
        <f t="shared" si="7"/>
        <v>0</v>
      </c>
    </row>
    <row r="368" spans="1:11" ht="19.95" customHeight="1" x14ac:dyDescent="0.3">
      <c r="A368" s="262">
        <v>4</v>
      </c>
      <c r="C368" s="161">
        <v>346</v>
      </c>
      <c r="D368" s="213" t="s">
        <v>880</v>
      </c>
      <c r="E368" s="1371" t="s">
        <v>881</v>
      </c>
      <c r="F368" s="1371"/>
      <c r="G368" s="1371"/>
      <c r="H368" s="161" t="s">
        <v>286</v>
      </c>
      <c r="I368" s="741">
        <f>+'[11]Metraj Özeti'!AI368</f>
        <v>0</v>
      </c>
      <c r="J368" s="226">
        <f>+'Yeşil Defter'!AC625</f>
        <v>0</v>
      </c>
      <c r="K368" s="226">
        <f t="shared" si="7"/>
        <v>0</v>
      </c>
    </row>
    <row r="369" spans="1:11" ht="19.95" customHeight="1" x14ac:dyDescent="0.3">
      <c r="A369" s="262">
        <v>4</v>
      </c>
      <c r="C369" s="161">
        <v>347</v>
      </c>
      <c r="D369" s="213" t="s">
        <v>882</v>
      </c>
      <c r="E369" s="1371" t="s">
        <v>883</v>
      </c>
      <c r="F369" s="1371"/>
      <c r="G369" s="1371"/>
      <c r="H369" s="161" t="s">
        <v>286</v>
      </c>
      <c r="I369" s="741">
        <f>+'[11]Metraj Özeti'!AI369</f>
        <v>0</v>
      </c>
      <c r="J369" s="226">
        <f>+'Yeşil Defter'!AC626</f>
        <v>0</v>
      </c>
      <c r="K369" s="226">
        <f t="shared" si="7"/>
        <v>0</v>
      </c>
    </row>
    <row r="370" spans="1:11" ht="19.95" customHeight="1" x14ac:dyDescent="0.3">
      <c r="A370" s="262">
        <v>4</v>
      </c>
      <c r="C370" s="161">
        <v>348</v>
      </c>
      <c r="D370" s="213" t="s">
        <v>884</v>
      </c>
      <c r="E370" s="1371" t="s">
        <v>885</v>
      </c>
      <c r="F370" s="1371"/>
      <c r="G370" s="1371"/>
      <c r="H370" s="161" t="s">
        <v>286</v>
      </c>
      <c r="I370" s="741">
        <f>+'[11]Metraj Özeti'!AI370</f>
        <v>0</v>
      </c>
      <c r="J370" s="226">
        <f>+'Yeşil Defter'!AC627</f>
        <v>0</v>
      </c>
      <c r="K370" s="226">
        <f t="shared" si="7"/>
        <v>0</v>
      </c>
    </row>
    <row r="371" spans="1:11" ht="19.95" customHeight="1" x14ac:dyDescent="0.3">
      <c r="A371" s="262">
        <v>4</v>
      </c>
      <c r="C371" s="658">
        <v>349</v>
      </c>
      <c r="D371" s="689" t="s">
        <v>886</v>
      </c>
      <c r="E371" s="1372" t="s">
        <v>887</v>
      </c>
      <c r="F371" s="1372"/>
      <c r="G371" s="1372"/>
      <c r="H371" s="658" t="s">
        <v>286</v>
      </c>
      <c r="I371" s="741">
        <f>+'[11]Metraj Özeti'!AI371</f>
        <v>0</v>
      </c>
      <c r="J371" s="226">
        <f>+'Yeşil Defter'!AC628</f>
        <v>0</v>
      </c>
      <c r="K371" s="226">
        <f t="shared" si="7"/>
        <v>0</v>
      </c>
    </row>
    <row r="372" spans="1:11" ht="10.050000000000001" customHeight="1" x14ac:dyDescent="0.3">
      <c r="A372" s="262" t="s">
        <v>1240</v>
      </c>
      <c r="C372" s="678"/>
      <c r="D372" s="690" t="s">
        <v>1232</v>
      </c>
      <c r="E372" s="217"/>
      <c r="F372" s="217"/>
      <c r="G372" s="217"/>
      <c r="H372" s="217"/>
      <c r="I372" s="741">
        <f>+'[11]Metraj Özeti'!AI372</f>
        <v>0</v>
      </c>
      <c r="J372" s="691"/>
      <c r="K372" s="599">
        <f t="shared" si="7"/>
        <v>0</v>
      </c>
    </row>
    <row r="373" spans="1:11" ht="19.95" customHeight="1" x14ac:dyDescent="0.3">
      <c r="A373" s="262">
        <v>5</v>
      </c>
      <c r="C373" s="160">
        <v>350</v>
      </c>
      <c r="D373" s="160" t="s">
        <v>888</v>
      </c>
      <c r="E373" s="1373" t="s">
        <v>889</v>
      </c>
      <c r="F373" s="1373"/>
      <c r="G373" s="1373"/>
      <c r="H373" s="160" t="s">
        <v>286</v>
      </c>
      <c r="I373" s="741">
        <f>+'[11]Metraj Özeti'!AI373</f>
        <v>0</v>
      </c>
      <c r="J373" s="226">
        <f>+'Yeşil Defter'!AC664</f>
        <v>0</v>
      </c>
      <c r="K373" s="226">
        <f t="shared" si="7"/>
        <v>0</v>
      </c>
    </row>
    <row r="374" spans="1:11" ht="19.95" customHeight="1" x14ac:dyDescent="0.3">
      <c r="A374" s="262">
        <v>5</v>
      </c>
      <c r="C374" s="161">
        <v>351</v>
      </c>
      <c r="D374" s="161" t="s">
        <v>890</v>
      </c>
      <c r="E374" s="1371" t="s">
        <v>891</v>
      </c>
      <c r="F374" s="1371"/>
      <c r="G374" s="1371"/>
      <c r="H374" s="161" t="s">
        <v>286</v>
      </c>
      <c r="I374" s="741">
        <f>+'[11]Metraj Özeti'!AI374</f>
        <v>0</v>
      </c>
      <c r="J374" s="226">
        <f>+'Yeşil Defter'!AC665</f>
        <v>0</v>
      </c>
      <c r="K374" s="226">
        <f t="shared" si="7"/>
        <v>0</v>
      </c>
    </row>
    <row r="375" spans="1:11" ht="19.95" customHeight="1" x14ac:dyDescent="0.3">
      <c r="A375" s="262">
        <v>5</v>
      </c>
      <c r="C375" s="161">
        <v>352</v>
      </c>
      <c r="D375" s="161" t="s">
        <v>892</v>
      </c>
      <c r="E375" s="1371" t="s">
        <v>893</v>
      </c>
      <c r="F375" s="1371"/>
      <c r="G375" s="1371"/>
      <c r="H375" s="161" t="s">
        <v>286</v>
      </c>
      <c r="I375" s="741">
        <f>+'[11]Metraj Özeti'!AI375</f>
        <v>0</v>
      </c>
      <c r="J375" s="226">
        <f>+'Yeşil Defter'!AC666</f>
        <v>0</v>
      </c>
      <c r="K375" s="226">
        <f t="shared" si="7"/>
        <v>0</v>
      </c>
    </row>
    <row r="376" spans="1:11" ht="19.95" customHeight="1" x14ac:dyDescent="0.3">
      <c r="A376" s="262">
        <v>5</v>
      </c>
      <c r="C376" s="161">
        <v>353</v>
      </c>
      <c r="D376" s="161" t="s">
        <v>894</v>
      </c>
      <c r="E376" s="1371" t="s">
        <v>895</v>
      </c>
      <c r="F376" s="1371"/>
      <c r="G376" s="1371"/>
      <c r="H376" s="161" t="s">
        <v>286</v>
      </c>
      <c r="I376" s="741">
        <f>+'[11]Metraj Özeti'!AI376</f>
        <v>0</v>
      </c>
      <c r="J376" s="226">
        <f>+'Yeşil Defter'!AC667</f>
        <v>0</v>
      </c>
      <c r="K376" s="226">
        <f t="shared" si="7"/>
        <v>0</v>
      </c>
    </row>
    <row r="377" spans="1:11" ht="19.95" customHeight="1" x14ac:dyDescent="0.3">
      <c r="A377" s="262">
        <v>5</v>
      </c>
      <c r="C377" s="161">
        <v>354</v>
      </c>
      <c r="D377" s="161" t="s">
        <v>896</v>
      </c>
      <c r="E377" s="1371" t="s">
        <v>897</v>
      </c>
      <c r="F377" s="1371"/>
      <c r="G377" s="1371"/>
      <c r="H377" s="161" t="s">
        <v>286</v>
      </c>
      <c r="I377" s="741">
        <f>+'[11]Metraj Özeti'!AI377</f>
        <v>0</v>
      </c>
      <c r="J377" s="226">
        <f>+'Yeşil Defter'!AC668</f>
        <v>0</v>
      </c>
      <c r="K377" s="226">
        <f t="shared" si="7"/>
        <v>0</v>
      </c>
    </row>
    <row r="378" spans="1:11" ht="19.95" customHeight="1" x14ac:dyDescent="0.3">
      <c r="A378" s="262">
        <v>5</v>
      </c>
      <c r="C378" s="161">
        <v>355</v>
      </c>
      <c r="D378" s="161" t="s">
        <v>898</v>
      </c>
      <c r="E378" s="1371" t="s">
        <v>899</v>
      </c>
      <c r="F378" s="1371"/>
      <c r="G378" s="1371"/>
      <c r="H378" s="161" t="s">
        <v>286</v>
      </c>
      <c r="I378" s="741">
        <f>+'[11]Metraj Özeti'!AI378</f>
        <v>0</v>
      </c>
      <c r="J378" s="226">
        <f>+'Yeşil Defter'!AC669</f>
        <v>0</v>
      </c>
      <c r="K378" s="226">
        <f t="shared" si="7"/>
        <v>0</v>
      </c>
    </row>
    <row r="379" spans="1:11" ht="19.95" customHeight="1" x14ac:dyDescent="0.3">
      <c r="A379" s="262">
        <v>5</v>
      </c>
      <c r="C379" s="161">
        <v>356</v>
      </c>
      <c r="D379" s="161" t="s">
        <v>900</v>
      </c>
      <c r="E379" s="1371" t="s">
        <v>901</v>
      </c>
      <c r="F379" s="1371"/>
      <c r="G379" s="1371"/>
      <c r="H379" s="161" t="s">
        <v>286</v>
      </c>
      <c r="I379" s="741">
        <f>+'[11]Metraj Özeti'!AI379</f>
        <v>0</v>
      </c>
      <c r="J379" s="226">
        <f>+'Yeşil Defter'!AC670</f>
        <v>0</v>
      </c>
      <c r="K379" s="226">
        <f t="shared" si="7"/>
        <v>0</v>
      </c>
    </row>
    <row r="380" spans="1:11" ht="19.95" customHeight="1" x14ac:dyDescent="0.3">
      <c r="A380" s="262">
        <v>5</v>
      </c>
      <c r="C380" s="161">
        <v>357</v>
      </c>
      <c r="D380" s="161" t="s">
        <v>902</v>
      </c>
      <c r="E380" s="1371" t="s">
        <v>903</v>
      </c>
      <c r="F380" s="1371"/>
      <c r="G380" s="1371"/>
      <c r="H380" s="161" t="s">
        <v>286</v>
      </c>
      <c r="I380" s="741">
        <f>+'[11]Metraj Özeti'!AI380</f>
        <v>0</v>
      </c>
      <c r="J380" s="226">
        <f>+'Yeşil Defter'!AC671</f>
        <v>0</v>
      </c>
      <c r="K380" s="226">
        <f t="shared" si="7"/>
        <v>0</v>
      </c>
    </row>
    <row r="381" spans="1:11" ht="19.95" customHeight="1" x14ac:dyDescent="0.3">
      <c r="A381" s="262">
        <v>5</v>
      </c>
      <c r="C381" s="161">
        <v>358</v>
      </c>
      <c r="D381" s="161" t="s">
        <v>904</v>
      </c>
      <c r="E381" s="1371" t="s">
        <v>905</v>
      </c>
      <c r="F381" s="1371"/>
      <c r="G381" s="1371"/>
      <c r="H381" s="161" t="s">
        <v>286</v>
      </c>
      <c r="I381" s="741">
        <f>+'[11]Metraj Özeti'!AI381</f>
        <v>0</v>
      </c>
      <c r="J381" s="226">
        <f>+'Yeşil Defter'!AC672</f>
        <v>0</v>
      </c>
      <c r="K381" s="226">
        <f t="shared" si="7"/>
        <v>0</v>
      </c>
    </row>
    <row r="382" spans="1:11" ht="19.95" customHeight="1" x14ac:dyDescent="0.3">
      <c r="A382" s="262">
        <v>5</v>
      </c>
      <c r="C382" s="161">
        <v>359</v>
      </c>
      <c r="D382" s="161" t="s">
        <v>906</v>
      </c>
      <c r="E382" s="1371" t="s">
        <v>907</v>
      </c>
      <c r="F382" s="1371"/>
      <c r="G382" s="1371"/>
      <c r="H382" s="161" t="s">
        <v>286</v>
      </c>
      <c r="I382" s="741">
        <f>+'[11]Metraj Özeti'!AI382</f>
        <v>0</v>
      </c>
      <c r="J382" s="226">
        <f>+'Yeşil Defter'!AC673</f>
        <v>0</v>
      </c>
      <c r="K382" s="226">
        <f t="shared" si="7"/>
        <v>0</v>
      </c>
    </row>
    <row r="383" spans="1:11" ht="19.95" customHeight="1" x14ac:dyDescent="0.3">
      <c r="A383" s="262">
        <v>5</v>
      </c>
      <c r="C383" s="161">
        <v>360</v>
      </c>
      <c r="D383" s="161" t="s">
        <v>908</v>
      </c>
      <c r="E383" s="1371" t="s">
        <v>909</v>
      </c>
      <c r="F383" s="1371"/>
      <c r="G383" s="1371"/>
      <c r="H383" s="161" t="s">
        <v>286</v>
      </c>
      <c r="I383" s="741">
        <f>+'[11]Metraj Özeti'!AI383</f>
        <v>0</v>
      </c>
      <c r="J383" s="226">
        <f>+'Yeşil Defter'!AC674</f>
        <v>0</v>
      </c>
      <c r="K383" s="226">
        <f t="shared" si="7"/>
        <v>0</v>
      </c>
    </row>
    <row r="384" spans="1:11" ht="19.95" customHeight="1" x14ac:dyDescent="0.3">
      <c r="A384" s="262">
        <v>5</v>
      </c>
      <c r="C384" s="161">
        <v>361</v>
      </c>
      <c r="D384" s="161" t="s">
        <v>910</v>
      </c>
      <c r="E384" s="1371" t="s">
        <v>911</v>
      </c>
      <c r="F384" s="1371"/>
      <c r="G384" s="1371"/>
      <c r="H384" s="161" t="s">
        <v>286</v>
      </c>
      <c r="I384" s="741">
        <f>+'[11]Metraj Özeti'!AI384</f>
        <v>0</v>
      </c>
      <c r="J384" s="226">
        <f>+'Yeşil Defter'!AC675</f>
        <v>0</v>
      </c>
      <c r="K384" s="226">
        <f t="shared" si="7"/>
        <v>0</v>
      </c>
    </row>
    <row r="385" spans="1:11" ht="19.95" customHeight="1" x14ac:dyDescent="0.3">
      <c r="A385" s="262">
        <v>5</v>
      </c>
      <c r="C385" s="161">
        <v>362</v>
      </c>
      <c r="D385" s="161" t="s">
        <v>912</v>
      </c>
      <c r="E385" s="1371" t="s">
        <v>913</v>
      </c>
      <c r="F385" s="1371"/>
      <c r="G385" s="1371"/>
      <c r="H385" s="161" t="s">
        <v>286</v>
      </c>
      <c r="I385" s="741">
        <f>+'[11]Metraj Özeti'!AI385</f>
        <v>0</v>
      </c>
      <c r="J385" s="226">
        <f>+'Yeşil Defter'!AC676</f>
        <v>0</v>
      </c>
      <c r="K385" s="226">
        <f t="shared" si="7"/>
        <v>0</v>
      </c>
    </row>
    <row r="386" spans="1:11" ht="19.95" customHeight="1" x14ac:dyDescent="0.3">
      <c r="A386" s="262">
        <v>5</v>
      </c>
      <c r="C386" s="161">
        <v>363</v>
      </c>
      <c r="D386" s="161" t="s">
        <v>914</v>
      </c>
      <c r="E386" s="1371" t="s">
        <v>915</v>
      </c>
      <c r="F386" s="1371"/>
      <c r="G386" s="1371"/>
      <c r="H386" s="161" t="s">
        <v>286</v>
      </c>
      <c r="I386" s="741">
        <f>+'[11]Metraj Özeti'!AI386</f>
        <v>0</v>
      </c>
      <c r="J386" s="226">
        <f>+'Yeşil Defter'!AC677</f>
        <v>0</v>
      </c>
      <c r="K386" s="226">
        <f t="shared" si="7"/>
        <v>0</v>
      </c>
    </row>
    <row r="387" spans="1:11" ht="19.95" customHeight="1" x14ac:dyDescent="0.3">
      <c r="A387" s="262">
        <v>5</v>
      </c>
      <c r="C387" s="161">
        <v>364</v>
      </c>
      <c r="D387" s="161" t="s">
        <v>916</v>
      </c>
      <c r="E387" s="1371" t="s">
        <v>917</v>
      </c>
      <c r="F387" s="1371"/>
      <c r="G387" s="1371"/>
      <c r="H387" s="161" t="s">
        <v>286</v>
      </c>
      <c r="I387" s="741">
        <f>+'[11]Metraj Özeti'!AI387</f>
        <v>0</v>
      </c>
      <c r="J387" s="226">
        <f>+'Yeşil Defter'!AC678</f>
        <v>0</v>
      </c>
      <c r="K387" s="226">
        <f t="shared" si="7"/>
        <v>0</v>
      </c>
    </row>
    <row r="388" spans="1:11" ht="19.95" customHeight="1" x14ac:dyDescent="0.3">
      <c r="A388" s="262">
        <v>5</v>
      </c>
      <c r="C388" s="161">
        <v>365</v>
      </c>
      <c r="D388" s="161" t="s">
        <v>918</v>
      </c>
      <c r="E388" s="1371" t="s">
        <v>919</v>
      </c>
      <c r="F388" s="1371"/>
      <c r="G388" s="1371"/>
      <c r="H388" s="161" t="s">
        <v>286</v>
      </c>
      <c r="I388" s="741">
        <f>+'[11]Metraj Özeti'!AI388</f>
        <v>0</v>
      </c>
      <c r="J388" s="226">
        <f>+'Yeşil Defter'!AC679</f>
        <v>0</v>
      </c>
      <c r="K388" s="226">
        <f t="shared" si="7"/>
        <v>0</v>
      </c>
    </row>
    <row r="389" spans="1:11" ht="19.95" customHeight="1" x14ac:dyDescent="0.3">
      <c r="A389" s="262">
        <v>5</v>
      </c>
      <c r="C389" s="161">
        <v>366</v>
      </c>
      <c r="D389" s="161" t="s">
        <v>920</v>
      </c>
      <c r="E389" s="1371" t="s">
        <v>921</v>
      </c>
      <c r="F389" s="1371"/>
      <c r="G389" s="1371"/>
      <c r="H389" s="161" t="s">
        <v>286</v>
      </c>
      <c r="I389" s="741">
        <f>+'[11]Metraj Özeti'!AI389</f>
        <v>0</v>
      </c>
      <c r="J389" s="226">
        <f>+'Yeşil Defter'!AC680</f>
        <v>0</v>
      </c>
      <c r="K389" s="226">
        <f t="shared" si="7"/>
        <v>0</v>
      </c>
    </row>
    <row r="390" spans="1:11" ht="19.95" customHeight="1" x14ac:dyDescent="0.3">
      <c r="A390" s="262">
        <v>5</v>
      </c>
      <c r="C390" s="658">
        <v>367</v>
      </c>
      <c r="D390" s="658" t="s">
        <v>922</v>
      </c>
      <c r="E390" s="1372" t="s">
        <v>923</v>
      </c>
      <c r="F390" s="1372"/>
      <c r="G390" s="1372"/>
      <c r="H390" s="658" t="s">
        <v>286</v>
      </c>
      <c r="I390" s="741">
        <f>+'[11]Metraj Özeti'!AI390</f>
        <v>0</v>
      </c>
      <c r="J390" s="226">
        <f>+'Yeşil Defter'!AC681</f>
        <v>0</v>
      </c>
      <c r="K390" s="226">
        <f t="shared" si="7"/>
        <v>0</v>
      </c>
    </row>
    <row r="391" spans="1:11" ht="10.050000000000001" customHeight="1" x14ac:dyDescent="0.3">
      <c r="A391" s="262" t="s">
        <v>1240</v>
      </c>
      <c r="C391" s="678"/>
      <c r="D391" s="690" t="s">
        <v>1233</v>
      </c>
      <c r="E391" s="217"/>
      <c r="F391" s="217"/>
      <c r="G391" s="217"/>
      <c r="H391" s="217"/>
      <c r="I391" s="741">
        <f>+'[11]Metraj Özeti'!AI391</f>
        <v>0</v>
      </c>
      <c r="J391" s="691"/>
      <c r="K391" s="599">
        <f t="shared" si="7"/>
        <v>0</v>
      </c>
    </row>
    <row r="392" spans="1:11" ht="19.95" customHeight="1" x14ac:dyDescent="0.3">
      <c r="A392" s="262">
        <v>6</v>
      </c>
      <c r="C392" s="160">
        <v>368</v>
      </c>
      <c r="D392" s="160" t="s">
        <v>924</v>
      </c>
      <c r="E392" s="1373" t="s">
        <v>925</v>
      </c>
      <c r="F392" s="1373"/>
      <c r="G392" s="1373"/>
      <c r="H392" s="160" t="s">
        <v>286</v>
      </c>
      <c r="I392" s="741">
        <f>+'[11]Metraj Özeti'!AI392</f>
        <v>0</v>
      </c>
      <c r="J392" s="226">
        <f>+'Yeşil Defter'!AC710</f>
        <v>0</v>
      </c>
      <c r="K392" s="226">
        <f t="shared" si="7"/>
        <v>0</v>
      </c>
    </row>
    <row r="393" spans="1:11" ht="19.95" customHeight="1" x14ac:dyDescent="0.3">
      <c r="A393" s="262">
        <v>6</v>
      </c>
      <c r="C393" s="161">
        <v>369</v>
      </c>
      <c r="D393" s="161" t="s">
        <v>926</v>
      </c>
      <c r="E393" s="1371" t="s">
        <v>927</v>
      </c>
      <c r="F393" s="1371"/>
      <c r="G393" s="1371"/>
      <c r="H393" s="161" t="s">
        <v>286</v>
      </c>
      <c r="I393" s="741">
        <f>+'[11]Metraj Özeti'!AI393</f>
        <v>0</v>
      </c>
      <c r="J393" s="226">
        <f>+'Yeşil Defter'!AC711</f>
        <v>0</v>
      </c>
      <c r="K393" s="226">
        <f t="shared" si="7"/>
        <v>0</v>
      </c>
    </row>
    <row r="394" spans="1:11" ht="19.95" customHeight="1" x14ac:dyDescent="0.3">
      <c r="A394" s="262">
        <v>6</v>
      </c>
      <c r="C394" s="161">
        <v>370</v>
      </c>
      <c r="D394" s="161" t="s">
        <v>928</v>
      </c>
      <c r="E394" s="1371" t="s">
        <v>929</v>
      </c>
      <c r="F394" s="1371"/>
      <c r="G394" s="1371"/>
      <c r="H394" s="161" t="s">
        <v>286</v>
      </c>
      <c r="I394" s="741">
        <f>+'[11]Metraj Özeti'!AI394</f>
        <v>0</v>
      </c>
      <c r="J394" s="226">
        <f>+'Yeşil Defter'!AC712</f>
        <v>0</v>
      </c>
      <c r="K394" s="226">
        <f t="shared" si="7"/>
        <v>0</v>
      </c>
    </row>
    <row r="395" spans="1:11" ht="19.95" customHeight="1" x14ac:dyDescent="0.3">
      <c r="A395" s="262">
        <v>6</v>
      </c>
      <c r="C395" s="161">
        <v>371</v>
      </c>
      <c r="D395" s="161" t="s">
        <v>930</v>
      </c>
      <c r="E395" s="1371" t="s">
        <v>931</v>
      </c>
      <c r="F395" s="1371"/>
      <c r="G395" s="1371"/>
      <c r="H395" s="161" t="s">
        <v>286</v>
      </c>
      <c r="I395" s="741">
        <f>+'[11]Metraj Özeti'!AI395</f>
        <v>0</v>
      </c>
      <c r="J395" s="226">
        <f>+'Yeşil Defter'!AC713</f>
        <v>0</v>
      </c>
      <c r="K395" s="226">
        <f t="shared" si="7"/>
        <v>0</v>
      </c>
    </row>
    <row r="396" spans="1:11" ht="19.95" customHeight="1" x14ac:dyDescent="0.3">
      <c r="A396" s="262">
        <v>6</v>
      </c>
      <c r="C396" s="161">
        <v>372</v>
      </c>
      <c r="D396" s="161" t="s">
        <v>932</v>
      </c>
      <c r="E396" s="1371" t="s">
        <v>933</v>
      </c>
      <c r="F396" s="1371"/>
      <c r="G396" s="1371"/>
      <c r="H396" s="161" t="s">
        <v>286</v>
      </c>
      <c r="I396" s="741">
        <f>+'[11]Metraj Özeti'!AI396</f>
        <v>0</v>
      </c>
      <c r="J396" s="226">
        <f>+'Yeşil Defter'!AC714</f>
        <v>0</v>
      </c>
      <c r="K396" s="226">
        <f t="shared" si="7"/>
        <v>0</v>
      </c>
    </row>
    <row r="397" spans="1:11" ht="19.95" customHeight="1" x14ac:dyDescent="0.3">
      <c r="A397" s="262">
        <v>6</v>
      </c>
      <c r="C397" s="161">
        <v>373</v>
      </c>
      <c r="D397" s="161" t="s">
        <v>934</v>
      </c>
      <c r="E397" s="1371" t="s">
        <v>935</v>
      </c>
      <c r="F397" s="1371"/>
      <c r="G397" s="1371"/>
      <c r="H397" s="161" t="s">
        <v>286</v>
      </c>
      <c r="I397" s="741">
        <f>+'[11]Metraj Özeti'!AI397</f>
        <v>0</v>
      </c>
      <c r="J397" s="226">
        <f>+'Yeşil Defter'!AC715</f>
        <v>0</v>
      </c>
      <c r="K397" s="226">
        <f t="shared" si="7"/>
        <v>0</v>
      </c>
    </row>
    <row r="398" spans="1:11" ht="19.95" customHeight="1" x14ac:dyDescent="0.3">
      <c r="A398" s="262">
        <v>6</v>
      </c>
      <c r="C398" s="161">
        <v>374</v>
      </c>
      <c r="D398" s="161" t="s">
        <v>936</v>
      </c>
      <c r="E398" s="1371" t="s">
        <v>937</v>
      </c>
      <c r="F398" s="1371"/>
      <c r="G398" s="1371"/>
      <c r="H398" s="161" t="s">
        <v>286</v>
      </c>
      <c r="I398" s="741">
        <f>+'[11]Metraj Özeti'!AI398</f>
        <v>0</v>
      </c>
      <c r="J398" s="226">
        <f>+'Yeşil Defter'!AC716</f>
        <v>0</v>
      </c>
      <c r="K398" s="226">
        <f t="shared" si="7"/>
        <v>0</v>
      </c>
    </row>
    <row r="399" spans="1:11" ht="19.95" customHeight="1" x14ac:dyDescent="0.3">
      <c r="A399" s="262">
        <v>6</v>
      </c>
      <c r="C399" s="161">
        <v>375</v>
      </c>
      <c r="D399" s="161" t="s">
        <v>938</v>
      </c>
      <c r="E399" s="1371" t="s">
        <v>939</v>
      </c>
      <c r="F399" s="1371"/>
      <c r="G399" s="1371"/>
      <c r="H399" s="161" t="s">
        <v>286</v>
      </c>
      <c r="I399" s="741">
        <f>+'[11]Metraj Özeti'!AI399</f>
        <v>0</v>
      </c>
      <c r="J399" s="226">
        <f>+'Yeşil Defter'!AC717</f>
        <v>0</v>
      </c>
      <c r="K399" s="226">
        <f t="shared" si="7"/>
        <v>0</v>
      </c>
    </row>
    <row r="400" spans="1:11" ht="19.95" customHeight="1" x14ac:dyDescent="0.3">
      <c r="A400" s="262">
        <v>6</v>
      </c>
      <c r="C400" s="161">
        <v>376</v>
      </c>
      <c r="D400" s="161" t="s">
        <v>940</v>
      </c>
      <c r="E400" s="1371" t="s">
        <v>941</v>
      </c>
      <c r="F400" s="1371"/>
      <c r="G400" s="1371"/>
      <c r="H400" s="161" t="s">
        <v>286</v>
      </c>
      <c r="I400" s="741">
        <f>+'[11]Metraj Özeti'!AI400</f>
        <v>0</v>
      </c>
      <c r="J400" s="226">
        <f>+'Yeşil Defter'!AC718</f>
        <v>0</v>
      </c>
      <c r="K400" s="226">
        <f t="shared" si="7"/>
        <v>0</v>
      </c>
    </row>
    <row r="401" spans="1:11" ht="19.95" customHeight="1" x14ac:dyDescent="0.3">
      <c r="A401" s="262">
        <v>6</v>
      </c>
      <c r="C401" s="161">
        <v>377</v>
      </c>
      <c r="D401" s="161" t="s">
        <v>942</v>
      </c>
      <c r="E401" s="1371" t="s">
        <v>943</v>
      </c>
      <c r="F401" s="1371"/>
      <c r="G401" s="1371"/>
      <c r="H401" s="161" t="s">
        <v>286</v>
      </c>
      <c r="I401" s="741">
        <f>+'[11]Metraj Özeti'!AI401</f>
        <v>0</v>
      </c>
      <c r="J401" s="226">
        <f>+'Yeşil Defter'!AC719</f>
        <v>0</v>
      </c>
      <c r="K401" s="226">
        <f t="shared" si="7"/>
        <v>0</v>
      </c>
    </row>
    <row r="402" spans="1:11" ht="19.95" customHeight="1" x14ac:dyDescent="0.3">
      <c r="A402" s="262">
        <v>6</v>
      </c>
      <c r="C402" s="161">
        <v>378</v>
      </c>
      <c r="D402" s="161" t="s">
        <v>944</v>
      </c>
      <c r="E402" s="1371" t="s">
        <v>945</v>
      </c>
      <c r="F402" s="1371"/>
      <c r="G402" s="1371"/>
      <c r="H402" s="161" t="s">
        <v>286</v>
      </c>
      <c r="I402" s="741">
        <f>+'[11]Metraj Özeti'!AI402</f>
        <v>0</v>
      </c>
      <c r="J402" s="226">
        <f>+'Yeşil Defter'!AC720</f>
        <v>0</v>
      </c>
      <c r="K402" s="226">
        <f t="shared" si="7"/>
        <v>0</v>
      </c>
    </row>
    <row r="403" spans="1:11" ht="19.95" customHeight="1" x14ac:dyDescent="0.3">
      <c r="A403" s="262">
        <v>6</v>
      </c>
      <c r="C403" s="161">
        <v>379</v>
      </c>
      <c r="D403" s="161" t="s">
        <v>946</v>
      </c>
      <c r="E403" s="1371" t="s">
        <v>947</v>
      </c>
      <c r="F403" s="1371"/>
      <c r="G403" s="1371"/>
      <c r="H403" s="161" t="s">
        <v>286</v>
      </c>
      <c r="I403" s="741">
        <f>+'[11]Metraj Özeti'!AI403</f>
        <v>0</v>
      </c>
      <c r="J403" s="226">
        <f>+'Yeşil Defter'!AC721</f>
        <v>0</v>
      </c>
      <c r="K403" s="226">
        <f t="shared" si="7"/>
        <v>0</v>
      </c>
    </row>
    <row r="404" spans="1:11" ht="19.95" customHeight="1" x14ac:dyDescent="0.3">
      <c r="A404" s="262">
        <v>6</v>
      </c>
      <c r="C404" s="161">
        <v>380</v>
      </c>
      <c r="D404" s="161" t="s">
        <v>948</v>
      </c>
      <c r="E404" s="1371" t="s">
        <v>949</v>
      </c>
      <c r="F404" s="1371"/>
      <c r="G404" s="1371"/>
      <c r="H404" s="161" t="s">
        <v>286</v>
      </c>
      <c r="I404" s="741">
        <f>+'[11]Metraj Özeti'!AI404</f>
        <v>0</v>
      </c>
      <c r="J404" s="226">
        <f>+'Yeşil Defter'!AC722</f>
        <v>0</v>
      </c>
      <c r="K404" s="226">
        <f t="shared" si="7"/>
        <v>0</v>
      </c>
    </row>
    <row r="405" spans="1:11" ht="19.95" customHeight="1" x14ac:dyDescent="0.3">
      <c r="A405" s="262">
        <v>6</v>
      </c>
      <c r="C405" s="161">
        <v>381</v>
      </c>
      <c r="D405" s="161" t="s">
        <v>950</v>
      </c>
      <c r="E405" s="1371" t="s">
        <v>951</v>
      </c>
      <c r="F405" s="1371"/>
      <c r="G405" s="1371"/>
      <c r="H405" s="161" t="s">
        <v>286</v>
      </c>
      <c r="I405" s="741">
        <f>+'[11]Metraj Özeti'!AI405</f>
        <v>0</v>
      </c>
      <c r="J405" s="226">
        <f>+'Yeşil Defter'!AC723</f>
        <v>0</v>
      </c>
      <c r="K405" s="226">
        <f t="shared" si="7"/>
        <v>0</v>
      </c>
    </row>
    <row r="406" spans="1:11" ht="19.95" customHeight="1" x14ac:dyDescent="0.3">
      <c r="A406" s="262">
        <v>6</v>
      </c>
      <c r="C406" s="161">
        <v>382</v>
      </c>
      <c r="D406" s="161" t="s">
        <v>952</v>
      </c>
      <c r="E406" s="1371" t="s">
        <v>953</v>
      </c>
      <c r="F406" s="1371"/>
      <c r="G406" s="1371"/>
      <c r="H406" s="161" t="s">
        <v>286</v>
      </c>
      <c r="I406" s="741">
        <f>+'[11]Metraj Özeti'!AI406</f>
        <v>0</v>
      </c>
      <c r="J406" s="226">
        <f>+'Yeşil Defter'!AC724</f>
        <v>0</v>
      </c>
      <c r="K406" s="226">
        <f t="shared" si="7"/>
        <v>0</v>
      </c>
    </row>
    <row r="407" spans="1:11" ht="19.95" customHeight="1" x14ac:dyDescent="0.3">
      <c r="A407" s="262">
        <v>6</v>
      </c>
      <c r="C407" s="161">
        <v>383</v>
      </c>
      <c r="D407" s="161" t="s">
        <v>954</v>
      </c>
      <c r="E407" s="1371" t="s">
        <v>955</v>
      </c>
      <c r="F407" s="1371"/>
      <c r="G407" s="1371"/>
      <c r="H407" s="161" t="s">
        <v>286</v>
      </c>
      <c r="I407" s="741">
        <f>+'[11]Metraj Özeti'!AI407</f>
        <v>0</v>
      </c>
      <c r="J407" s="226">
        <f>+'Yeşil Defter'!AC725</f>
        <v>0</v>
      </c>
      <c r="K407" s="226">
        <f t="shared" si="7"/>
        <v>0</v>
      </c>
    </row>
    <row r="408" spans="1:11" ht="19.95" customHeight="1" x14ac:dyDescent="0.3">
      <c r="A408" s="262">
        <v>6</v>
      </c>
      <c r="C408" s="161">
        <v>384</v>
      </c>
      <c r="D408" s="161" t="s">
        <v>956</v>
      </c>
      <c r="E408" s="1371" t="s">
        <v>957</v>
      </c>
      <c r="F408" s="1371"/>
      <c r="G408" s="1371"/>
      <c r="H408" s="161" t="s">
        <v>286</v>
      </c>
      <c r="I408" s="741">
        <f>+'[11]Metraj Özeti'!AI408</f>
        <v>0</v>
      </c>
      <c r="J408" s="226">
        <f>+'Yeşil Defter'!AC726</f>
        <v>0</v>
      </c>
      <c r="K408" s="226">
        <f t="shared" si="7"/>
        <v>0</v>
      </c>
    </row>
    <row r="409" spans="1:11" ht="19.95" customHeight="1" x14ac:dyDescent="0.3">
      <c r="A409" s="262">
        <v>6</v>
      </c>
      <c r="C409" s="161">
        <v>385</v>
      </c>
      <c r="D409" s="161" t="s">
        <v>958</v>
      </c>
      <c r="E409" s="1371" t="s">
        <v>959</v>
      </c>
      <c r="F409" s="1371"/>
      <c r="G409" s="1371"/>
      <c r="H409" s="161" t="s">
        <v>286</v>
      </c>
      <c r="I409" s="741">
        <f>+'[11]Metraj Özeti'!AI409</f>
        <v>0</v>
      </c>
      <c r="J409" s="226">
        <f>+'Yeşil Defter'!AC727</f>
        <v>0</v>
      </c>
      <c r="K409" s="226">
        <f t="shared" si="7"/>
        <v>0</v>
      </c>
    </row>
    <row r="410" spans="1:11" ht="19.95" customHeight="1" x14ac:dyDescent="0.3">
      <c r="A410" s="262">
        <v>6</v>
      </c>
      <c r="C410" s="161">
        <v>386</v>
      </c>
      <c r="D410" s="161" t="s">
        <v>960</v>
      </c>
      <c r="E410" s="1371" t="s">
        <v>961</v>
      </c>
      <c r="F410" s="1371"/>
      <c r="G410" s="1371"/>
      <c r="H410" s="161" t="s">
        <v>286</v>
      </c>
      <c r="I410" s="741">
        <f>+'[11]Metraj Özeti'!AI410</f>
        <v>0</v>
      </c>
      <c r="J410" s="226">
        <f>+'Yeşil Defter'!AC728</f>
        <v>0</v>
      </c>
      <c r="K410" s="226">
        <f t="shared" si="7"/>
        <v>0</v>
      </c>
    </row>
    <row r="411" spans="1:11" ht="19.95" customHeight="1" x14ac:dyDescent="0.3">
      <c r="A411" s="262">
        <v>6</v>
      </c>
      <c r="C411" s="161">
        <v>387</v>
      </c>
      <c r="D411" s="161" t="s">
        <v>962</v>
      </c>
      <c r="E411" s="1371" t="s">
        <v>963</v>
      </c>
      <c r="F411" s="1371"/>
      <c r="G411" s="1371"/>
      <c r="H411" s="161" t="s">
        <v>286</v>
      </c>
      <c r="I411" s="741">
        <f>+'[11]Metraj Özeti'!AI411</f>
        <v>0</v>
      </c>
      <c r="J411" s="226">
        <f>+'Yeşil Defter'!AC729</f>
        <v>0</v>
      </c>
      <c r="K411" s="226">
        <f t="shared" si="7"/>
        <v>0</v>
      </c>
    </row>
    <row r="412" spans="1:11" ht="19.95" customHeight="1" x14ac:dyDescent="0.3">
      <c r="A412" s="262">
        <v>6</v>
      </c>
      <c r="C412" s="161">
        <v>388</v>
      </c>
      <c r="D412" s="161" t="s">
        <v>964</v>
      </c>
      <c r="E412" s="1371" t="s">
        <v>965</v>
      </c>
      <c r="F412" s="1371"/>
      <c r="G412" s="1371"/>
      <c r="H412" s="161" t="s">
        <v>286</v>
      </c>
      <c r="I412" s="741">
        <f>+'[11]Metraj Özeti'!AI412</f>
        <v>0</v>
      </c>
      <c r="J412" s="226">
        <f>+'Yeşil Defter'!AC730</f>
        <v>0</v>
      </c>
      <c r="K412" s="226">
        <f t="shared" si="7"/>
        <v>0</v>
      </c>
    </row>
    <row r="413" spans="1:11" ht="19.95" customHeight="1" x14ac:dyDescent="0.3">
      <c r="A413" s="262">
        <v>6</v>
      </c>
      <c r="C413" s="161">
        <v>389</v>
      </c>
      <c r="D413" s="161" t="s">
        <v>966</v>
      </c>
      <c r="E413" s="1371" t="s">
        <v>967</v>
      </c>
      <c r="F413" s="1371"/>
      <c r="G413" s="1371"/>
      <c r="H413" s="161" t="s">
        <v>286</v>
      </c>
      <c r="I413" s="741">
        <f>+'[11]Metraj Özeti'!AI413</f>
        <v>0</v>
      </c>
      <c r="J413" s="226">
        <f>+'Yeşil Defter'!AC731</f>
        <v>0</v>
      </c>
      <c r="K413" s="226">
        <f t="shared" si="7"/>
        <v>0</v>
      </c>
    </row>
    <row r="414" spans="1:11" ht="19.95" customHeight="1" x14ac:dyDescent="0.3">
      <c r="A414" s="262">
        <v>6</v>
      </c>
      <c r="C414" s="161">
        <v>390</v>
      </c>
      <c r="D414" s="161" t="s">
        <v>968</v>
      </c>
      <c r="E414" s="1371" t="s">
        <v>969</v>
      </c>
      <c r="F414" s="1371"/>
      <c r="G414" s="1371"/>
      <c r="H414" s="161" t="s">
        <v>286</v>
      </c>
      <c r="I414" s="741">
        <f>+'[11]Metraj Özeti'!AI414</f>
        <v>0</v>
      </c>
      <c r="J414" s="226">
        <f>+'Yeşil Defter'!AC732</f>
        <v>0</v>
      </c>
      <c r="K414" s="226">
        <f t="shared" si="7"/>
        <v>0</v>
      </c>
    </row>
    <row r="415" spans="1:11" ht="19.95" customHeight="1" x14ac:dyDescent="0.3">
      <c r="A415" s="262">
        <v>6</v>
      </c>
      <c r="C415" s="161">
        <v>391</v>
      </c>
      <c r="D415" s="161" t="s">
        <v>970</v>
      </c>
      <c r="E415" s="1371" t="s">
        <v>971</v>
      </c>
      <c r="F415" s="1371"/>
      <c r="G415" s="1371"/>
      <c r="H415" s="161" t="s">
        <v>286</v>
      </c>
      <c r="I415" s="741">
        <f>+'[11]Metraj Özeti'!AI415</f>
        <v>0</v>
      </c>
      <c r="J415" s="226">
        <f>+'Yeşil Defter'!AC733</f>
        <v>0</v>
      </c>
      <c r="K415" s="226">
        <f t="shared" si="7"/>
        <v>0</v>
      </c>
    </row>
    <row r="416" spans="1:11" ht="19.95" customHeight="1" x14ac:dyDescent="0.3">
      <c r="A416" s="262">
        <v>6</v>
      </c>
      <c r="C416" s="161">
        <v>392</v>
      </c>
      <c r="D416" s="161" t="s">
        <v>972</v>
      </c>
      <c r="E416" s="1371" t="s">
        <v>973</v>
      </c>
      <c r="F416" s="1371"/>
      <c r="G416" s="1371"/>
      <c r="H416" s="161" t="s">
        <v>286</v>
      </c>
      <c r="I416" s="741">
        <f>+'[11]Metraj Özeti'!AI416</f>
        <v>0</v>
      </c>
      <c r="J416" s="226">
        <f>+'Yeşil Defter'!AC734</f>
        <v>0</v>
      </c>
      <c r="K416" s="226">
        <f t="shared" si="7"/>
        <v>0</v>
      </c>
    </row>
    <row r="417" spans="1:11" ht="19.95" customHeight="1" x14ac:dyDescent="0.3">
      <c r="A417" s="262">
        <v>6</v>
      </c>
      <c r="C417" s="161">
        <v>393</v>
      </c>
      <c r="D417" s="161" t="s">
        <v>974</v>
      </c>
      <c r="E417" s="1371" t="s">
        <v>975</v>
      </c>
      <c r="F417" s="1371"/>
      <c r="G417" s="1371"/>
      <c r="H417" s="161" t="s">
        <v>286</v>
      </c>
      <c r="I417" s="741">
        <f>+'[11]Metraj Özeti'!AI417</f>
        <v>0</v>
      </c>
      <c r="J417" s="226">
        <f>+'Yeşil Defter'!AC735</f>
        <v>0</v>
      </c>
      <c r="K417" s="226">
        <f t="shared" si="7"/>
        <v>0</v>
      </c>
    </row>
    <row r="418" spans="1:11" ht="19.95" customHeight="1" x14ac:dyDescent="0.3">
      <c r="A418" s="262">
        <v>6</v>
      </c>
      <c r="C418" s="161">
        <v>394</v>
      </c>
      <c r="D418" s="161" t="s">
        <v>976</v>
      </c>
      <c r="E418" s="1371" t="s">
        <v>977</v>
      </c>
      <c r="F418" s="1371"/>
      <c r="G418" s="1371"/>
      <c r="H418" s="161" t="s">
        <v>286</v>
      </c>
      <c r="I418" s="741">
        <f>+'[11]Metraj Özeti'!AI418</f>
        <v>0</v>
      </c>
      <c r="J418" s="226">
        <f>+'Yeşil Defter'!AC736</f>
        <v>0</v>
      </c>
      <c r="K418" s="226">
        <f t="shared" si="7"/>
        <v>0</v>
      </c>
    </row>
    <row r="419" spans="1:11" ht="19.95" customHeight="1" x14ac:dyDescent="0.3">
      <c r="A419" s="262">
        <v>6</v>
      </c>
      <c r="C419" s="161">
        <v>395</v>
      </c>
      <c r="D419" s="161" t="s">
        <v>978</v>
      </c>
      <c r="E419" s="1371" t="s">
        <v>979</v>
      </c>
      <c r="F419" s="1371"/>
      <c r="G419" s="1371"/>
      <c r="H419" s="161" t="s">
        <v>286</v>
      </c>
      <c r="I419" s="741">
        <f>+'[11]Metraj Özeti'!AI419</f>
        <v>0</v>
      </c>
      <c r="J419" s="226">
        <f>+'Yeşil Defter'!AC737</f>
        <v>0</v>
      </c>
      <c r="K419" s="226">
        <f t="shared" si="7"/>
        <v>0</v>
      </c>
    </row>
    <row r="420" spans="1:11" ht="19.95" customHeight="1" x14ac:dyDescent="0.3">
      <c r="A420" s="262">
        <v>6</v>
      </c>
      <c r="C420" s="161">
        <v>396</v>
      </c>
      <c r="D420" s="161" t="s">
        <v>980</v>
      </c>
      <c r="E420" s="1371" t="s">
        <v>981</v>
      </c>
      <c r="F420" s="1371"/>
      <c r="G420" s="1371"/>
      <c r="H420" s="161" t="s">
        <v>286</v>
      </c>
      <c r="I420" s="741">
        <f>+'[11]Metraj Özeti'!AI420</f>
        <v>0</v>
      </c>
      <c r="J420" s="226">
        <f>+'Yeşil Defter'!AC738</f>
        <v>0</v>
      </c>
      <c r="K420" s="226">
        <f t="shared" si="7"/>
        <v>0</v>
      </c>
    </row>
    <row r="421" spans="1:11" ht="19.95" customHeight="1" x14ac:dyDescent="0.3">
      <c r="A421" s="262">
        <v>6</v>
      </c>
      <c r="C421" s="161">
        <v>397</v>
      </c>
      <c r="D421" s="161" t="s">
        <v>982</v>
      </c>
      <c r="E421" s="1371" t="s">
        <v>983</v>
      </c>
      <c r="F421" s="1371"/>
      <c r="G421" s="1371"/>
      <c r="H421" s="161" t="s">
        <v>286</v>
      </c>
      <c r="I421" s="741">
        <f>+'[11]Metraj Özeti'!AI421</f>
        <v>0</v>
      </c>
      <c r="J421" s="226">
        <f>+'Yeşil Defter'!AC739</f>
        <v>0</v>
      </c>
      <c r="K421" s="226">
        <f t="shared" ref="K421:K484" si="8">+J421+I421</f>
        <v>0</v>
      </c>
    </row>
    <row r="422" spans="1:11" ht="19.95" customHeight="1" x14ac:dyDescent="0.3">
      <c r="A422" s="262">
        <v>6</v>
      </c>
      <c r="C422" s="161">
        <v>398</v>
      </c>
      <c r="D422" s="161" t="s">
        <v>984</v>
      </c>
      <c r="E422" s="1371" t="s">
        <v>985</v>
      </c>
      <c r="F422" s="1371"/>
      <c r="G422" s="1371"/>
      <c r="H422" s="161" t="s">
        <v>286</v>
      </c>
      <c r="I422" s="741">
        <f>+'[11]Metraj Özeti'!AI422</f>
        <v>0</v>
      </c>
      <c r="J422" s="226">
        <f>+'Yeşil Defter'!AC740</f>
        <v>0</v>
      </c>
      <c r="K422" s="226">
        <f t="shared" si="8"/>
        <v>0</v>
      </c>
    </row>
    <row r="423" spans="1:11" ht="19.95" customHeight="1" x14ac:dyDescent="0.3">
      <c r="A423" s="262">
        <v>6</v>
      </c>
      <c r="C423" s="161">
        <v>399</v>
      </c>
      <c r="D423" s="161" t="s">
        <v>986</v>
      </c>
      <c r="E423" s="1371" t="s">
        <v>987</v>
      </c>
      <c r="F423" s="1371"/>
      <c r="G423" s="1371"/>
      <c r="H423" s="161" t="s">
        <v>286</v>
      </c>
      <c r="I423" s="741">
        <f>+'[11]Metraj Özeti'!AI423</f>
        <v>0</v>
      </c>
      <c r="J423" s="226">
        <f>+'Yeşil Defter'!AC741</f>
        <v>0</v>
      </c>
      <c r="K423" s="226">
        <f t="shared" si="8"/>
        <v>0</v>
      </c>
    </row>
    <row r="424" spans="1:11" ht="19.95" customHeight="1" x14ac:dyDescent="0.3">
      <c r="A424" s="262">
        <v>6</v>
      </c>
      <c r="C424" s="161">
        <v>400</v>
      </c>
      <c r="D424" s="161" t="s">
        <v>988</v>
      </c>
      <c r="E424" s="1371" t="s">
        <v>989</v>
      </c>
      <c r="F424" s="1371"/>
      <c r="G424" s="1371"/>
      <c r="H424" s="161" t="s">
        <v>286</v>
      </c>
      <c r="I424" s="741">
        <f>+'[11]Metraj Özeti'!AI424</f>
        <v>0</v>
      </c>
      <c r="J424" s="226">
        <f>+'Yeşil Defter'!AC742</f>
        <v>0</v>
      </c>
      <c r="K424" s="226">
        <f t="shared" si="8"/>
        <v>0</v>
      </c>
    </row>
    <row r="425" spans="1:11" ht="19.95" customHeight="1" x14ac:dyDescent="0.3">
      <c r="A425" s="262">
        <v>6</v>
      </c>
      <c r="C425" s="161">
        <v>401</v>
      </c>
      <c r="D425" s="161" t="s">
        <v>990</v>
      </c>
      <c r="E425" s="1371" t="s">
        <v>991</v>
      </c>
      <c r="F425" s="1371"/>
      <c r="G425" s="1371"/>
      <c r="H425" s="161" t="s">
        <v>286</v>
      </c>
      <c r="I425" s="741">
        <f>+'[11]Metraj Özeti'!AI425</f>
        <v>0</v>
      </c>
      <c r="J425" s="226">
        <f>+'Yeşil Defter'!AC743</f>
        <v>0</v>
      </c>
      <c r="K425" s="226">
        <f t="shared" si="8"/>
        <v>0</v>
      </c>
    </row>
    <row r="426" spans="1:11" ht="19.95" customHeight="1" x14ac:dyDescent="0.3">
      <c r="A426" s="262">
        <v>6</v>
      </c>
      <c r="C426" s="161">
        <v>402</v>
      </c>
      <c r="D426" s="161" t="s">
        <v>992</v>
      </c>
      <c r="E426" s="1371" t="s">
        <v>993</v>
      </c>
      <c r="F426" s="1371"/>
      <c r="G426" s="1371"/>
      <c r="H426" s="161" t="s">
        <v>286</v>
      </c>
      <c r="I426" s="741">
        <f>+'[11]Metraj Özeti'!AI426</f>
        <v>0</v>
      </c>
      <c r="J426" s="226">
        <f>+'Yeşil Defter'!AC756</f>
        <v>0</v>
      </c>
      <c r="K426" s="226">
        <f t="shared" si="8"/>
        <v>0</v>
      </c>
    </row>
    <row r="427" spans="1:11" ht="19.95" customHeight="1" x14ac:dyDescent="0.3">
      <c r="A427" s="262">
        <v>6</v>
      </c>
      <c r="C427" s="161">
        <v>403</v>
      </c>
      <c r="D427" s="161" t="s">
        <v>994</v>
      </c>
      <c r="E427" s="1371" t="s">
        <v>995</v>
      </c>
      <c r="F427" s="1371"/>
      <c r="G427" s="1371"/>
      <c r="H427" s="161" t="s">
        <v>286</v>
      </c>
      <c r="I427" s="741">
        <f>+'[11]Metraj Özeti'!AI427</f>
        <v>0</v>
      </c>
      <c r="J427" s="226">
        <f>+'Yeşil Defter'!AC757</f>
        <v>0</v>
      </c>
      <c r="K427" s="226">
        <f t="shared" si="8"/>
        <v>0</v>
      </c>
    </row>
    <row r="428" spans="1:11" ht="19.95" customHeight="1" x14ac:dyDescent="0.3">
      <c r="A428" s="262">
        <v>6</v>
      </c>
      <c r="C428" s="161">
        <v>404</v>
      </c>
      <c r="D428" s="161" t="s">
        <v>996</v>
      </c>
      <c r="E428" s="1371" t="s">
        <v>997</v>
      </c>
      <c r="F428" s="1371"/>
      <c r="G428" s="1371"/>
      <c r="H428" s="161" t="s">
        <v>286</v>
      </c>
      <c r="I428" s="741">
        <f>+'[11]Metraj Özeti'!AI428</f>
        <v>0</v>
      </c>
      <c r="J428" s="226">
        <f>+'Yeşil Defter'!AC758</f>
        <v>0</v>
      </c>
      <c r="K428" s="226">
        <f t="shared" si="8"/>
        <v>0</v>
      </c>
    </row>
    <row r="429" spans="1:11" ht="19.95" customHeight="1" x14ac:dyDescent="0.3">
      <c r="A429" s="262">
        <v>6</v>
      </c>
      <c r="C429" s="161">
        <v>405</v>
      </c>
      <c r="D429" s="161" t="s">
        <v>998</v>
      </c>
      <c r="E429" s="1371" t="s">
        <v>999</v>
      </c>
      <c r="F429" s="1371"/>
      <c r="G429" s="1371"/>
      <c r="H429" s="161" t="s">
        <v>286</v>
      </c>
      <c r="I429" s="741">
        <f>+'[11]Metraj Özeti'!AI429</f>
        <v>0</v>
      </c>
      <c r="J429" s="226">
        <f>+'Yeşil Defter'!AC759</f>
        <v>0</v>
      </c>
      <c r="K429" s="226">
        <f t="shared" si="8"/>
        <v>0</v>
      </c>
    </row>
    <row r="430" spans="1:11" ht="19.95" customHeight="1" x14ac:dyDescent="0.3">
      <c r="A430" s="262">
        <v>6</v>
      </c>
      <c r="C430" s="658">
        <v>406</v>
      </c>
      <c r="D430" s="658" t="s">
        <v>1000</v>
      </c>
      <c r="E430" s="1372" t="s">
        <v>1001</v>
      </c>
      <c r="F430" s="1372"/>
      <c r="G430" s="1372"/>
      <c r="H430" s="658" t="s">
        <v>286</v>
      </c>
      <c r="I430" s="741">
        <f>+'[11]Metraj Özeti'!AI430</f>
        <v>0</v>
      </c>
      <c r="J430" s="226">
        <f>+'Yeşil Defter'!AC760</f>
        <v>0</v>
      </c>
      <c r="K430" s="226">
        <f t="shared" si="8"/>
        <v>0</v>
      </c>
    </row>
    <row r="431" spans="1:11" ht="10.050000000000001" customHeight="1" x14ac:dyDescent="0.3">
      <c r="A431" s="262" t="s">
        <v>1240</v>
      </c>
      <c r="C431" s="678"/>
      <c r="D431" s="690" t="s">
        <v>1234</v>
      </c>
      <c r="E431" s="217"/>
      <c r="F431" s="217"/>
      <c r="G431" s="217"/>
      <c r="H431" s="217"/>
      <c r="I431" s="741">
        <f>+'[11]Metraj Özeti'!AI431</f>
        <v>0</v>
      </c>
      <c r="J431" s="691"/>
      <c r="K431" s="599">
        <f t="shared" si="8"/>
        <v>0</v>
      </c>
    </row>
    <row r="432" spans="1:11" ht="19.95" customHeight="1" x14ac:dyDescent="0.3">
      <c r="A432" s="262">
        <v>7</v>
      </c>
      <c r="C432" s="160">
        <v>407</v>
      </c>
      <c r="D432" s="210" t="s">
        <v>1002</v>
      </c>
      <c r="E432" s="1373" t="s">
        <v>1003</v>
      </c>
      <c r="F432" s="1373"/>
      <c r="G432" s="1373"/>
      <c r="H432" s="160" t="s">
        <v>286</v>
      </c>
      <c r="I432" s="741">
        <f>+'[11]Metraj Özeti'!AI432</f>
        <v>0</v>
      </c>
      <c r="J432" s="226">
        <f>+'Yeşil Defter'!AC762</f>
        <v>0</v>
      </c>
      <c r="K432" s="226">
        <f t="shared" si="8"/>
        <v>0</v>
      </c>
    </row>
    <row r="433" spans="1:11" ht="19.95" customHeight="1" x14ac:dyDescent="0.3">
      <c r="A433" s="262">
        <v>7</v>
      </c>
      <c r="C433" s="161">
        <v>408</v>
      </c>
      <c r="D433" s="161" t="s">
        <v>1004</v>
      </c>
      <c r="E433" s="1371" t="s">
        <v>1005</v>
      </c>
      <c r="F433" s="1371"/>
      <c r="G433" s="1371"/>
      <c r="H433" s="161" t="s">
        <v>247</v>
      </c>
      <c r="I433" s="741">
        <f>+'[11]Metraj Özeti'!AI433</f>
        <v>0</v>
      </c>
      <c r="J433" s="226">
        <f>+'Yeşil Defter'!AC763</f>
        <v>0</v>
      </c>
      <c r="K433" s="226">
        <f t="shared" si="8"/>
        <v>0</v>
      </c>
    </row>
    <row r="434" spans="1:11" ht="19.95" customHeight="1" x14ac:dyDescent="0.3">
      <c r="A434" s="262">
        <v>7</v>
      </c>
      <c r="C434" s="161">
        <v>409</v>
      </c>
      <c r="D434" s="161" t="s">
        <v>1006</v>
      </c>
      <c r="E434" s="1371" t="s">
        <v>1007</v>
      </c>
      <c r="F434" s="1371"/>
      <c r="G434" s="1371"/>
      <c r="H434" s="161" t="s">
        <v>247</v>
      </c>
      <c r="I434" s="741">
        <f>+'[11]Metraj Özeti'!AI434</f>
        <v>0</v>
      </c>
      <c r="J434" s="226">
        <f>+'Yeşil Defter'!AC764</f>
        <v>0</v>
      </c>
      <c r="K434" s="226">
        <f t="shared" si="8"/>
        <v>0</v>
      </c>
    </row>
    <row r="435" spans="1:11" ht="19.95" customHeight="1" x14ac:dyDescent="0.3">
      <c r="A435" s="262">
        <v>7</v>
      </c>
      <c r="C435" s="161">
        <v>410</v>
      </c>
      <c r="D435" s="161" t="s">
        <v>1008</v>
      </c>
      <c r="E435" s="1371" t="s">
        <v>1009</v>
      </c>
      <c r="F435" s="1371"/>
      <c r="G435" s="1371"/>
      <c r="H435" s="161" t="s">
        <v>247</v>
      </c>
      <c r="I435" s="741">
        <f>+'[11]Metraj Özeti'!AI435</f>
        <v>0</v>
      </c>
      <c r="J435" s="226">
        <f>+'Yeşil Defter'!AC765</f>
        <v>0</v>
      </c>
      <c r="K435" s="226">
        <f t="shared" si="8"/>
        <v>0</v>
      </c>
    </row>
    <row r="436" spans="1:11" ht="19.95" customHeight="1" x14ac:dyDescent="0.3">
      <c r="A436" s="262">
        <v>7</v>
      </c>
      <c r="C436" s="161">
        <v>411</v>
      </c>
      <c r="D436" s="161" t="s">
        <v>1010</v>
      </c>
      <c r="E436" s="1371" t="s">
        <v>1011</v>
      </c>
      <c r="F436" s="1371"/>
      <c r="G436" s="1371"/>
      <c r="H436" s="161" t="s">
        <v>247</v>
      </c>
      <c r="I436" s="741">
        <f>+'[11]Metraj Özeti'!AI436</f>
        <v>0</v>
      </c>
      <c r="J436" s="226">
        <f>+'Yeşil Defter'!AC766</f>
        <v>0</v>
      </c>
      <c r="K436" s="226">
        <f t="shared" si="8"/>
        <v>0</v>
      </c>
    </row>
    <row r="437" spans="1:11" ht="19.95" customHeight="1" x14ac:dyDescent="0.3">
      <c r="A437" s="262">
        <v>7</v>
      </c>
      <c r="C437" s="161">
        <v>412</v>
      </c>
      <c r="D437" s="161" t="s">
        <v>1012</v>
      </c>
      <c r="E437" s="1371" t="s">
        <v>1013</v>
      </c>
      <c r="F437" s="1371"/>
      <c r="G437" s="1371"/>
      <c r="H437" s="161" t="s">
        <v>247</v>
      </c>
      <c r="I437" s="741">
        <f>+'[11]Metraj Özeti'!AI437</f>
        <v>0</v>
      </c>
      <c r="J437" s="226">
        <f>+'Yeşil Defter'!AC767</f>
        <v>0</v>
      </c>
      <c r="K437" s="226">
        <f t="shared" si="8"/>
        <v>0</v>
      </c>
    </row>
    <row r="438" spans="1:11" ht="19.95" customHeight="1" x14ac:dyDescent="0.3">
      <c r="A438" s="262">
        <v>7</v>
      </c>
      <c r="C438" s="161">
        <v>413</v>
      </c>
      <c r="D438" s="161" t="s">
        <v>1014</v>
      </c>
      <c r="E438" s="1371" t="s">
        <v>1015</v>
      </c>
      <c r="F438" s="1371"/>
      <c r="G438" s="1371"/>
      <c r="H438" s="161" t="s">
        <v>247</v>
      </c>
      <c r="I438" s="741">
        <f>+'[11]Metraj Özeti'!AI438</f>
        <v>0</v>
      </c>
      <c r="J438" s="226">
        <f>+'Yeşil Defter'!AC768</f>
        <v>0</v>
      </c>
      <c r="K438" s="226">
        <f t="shared" si="8"/>
        <v>0</v>
      </c>
    </row>
    <row r="439" spans="1:11" ht="19.95" customHeight="1" x14ac:dyDescent="0.3">
      <c r="A439" s="262">
        <v>7</v>
      </c>
      <c r="C439" s="161">
        <v>414</v>
      </c>
      <c r="D439" s="161" t="s">
        <v>1016</v>
      </c>
      <c r="E439" s="1371" t="s">
        <v>1017</v>
      </c>
      <c r="F439" s="1371"/>
      <c r="G439" s="1371"/>
      <c r="H439" s="161" t="s">
        <v>247</v>
      </c>
      <c r="I439" s="741">
        <f>+'[11]Metraj Özeti'!AI439</f>
        <v>0</v>
      </c>
      <c r="J439" s="226">
        <f>+'Yeşil Defter'!AC769</f>
        <v>0</v>
      </c>
      <c r="K439" s="226">
        <f t="shared" si="8"/>
        <v>0</v>
      </c>
    </row>
    <row r="440" spans="1:11" ht="19.95" customHeight="1" x14ac:dyDescent="0.3">
      <c r="A440" s="262">
        <v>7</v>
      </c>
      <c r="C440" s="658">
        <v>415</v>
      </c>
      <c r="D440" s="658" t="s">
        <v>1018</v>
      </c>
      <c r="E440" s="1372" t="s">
        <v>1019</v>
      </c>
      <c r="F440" s="1372"/>
      <c r="G440" s="1372"/>
      <c r="H440" s="658" t="s">
        <v>247</v>
      </c>
      <c r="I440" s="741">
        <f>+'[11]Metraj Özeti'!AI440</f>
        <v>0</v>
      </c>
      <c r="J440" s="226">
        <f>+'Yeşil Defter'!AC770</f>
        <v>0</v>
      </c>
      <c r="K440" s="226">
        <f t="shared" si="8"/>
        <v>0</v>
      </c>
    </row>
    <row r="441" spans="1:11" ht="10.050000000000001" customHeight="1" x14ac:dyDescent="0.3">
      <c r="A441" s="262" t="s">
        <v>1240</v>
      </c>
      <c r="C441" s="678"/>
      <c r="D441" s="690" t="s">
        <v>1235</v>
      </c>
      <c r="E441" s="217"/>
      <c r="F441" s="217"/>
      <c r="G441" s="217"/>
      <c r="H441" s="217"/>
      <c r="I441" s="741">
        <f>+'[11]Metraj Özeti'!AI441</f>
        <v>0</v>
      </c>
      <c r="J441" s="691"/>
      <c r="K441" s="599">
        <f t="shared" si="8"/>
        <v>0</v>
      </c>
    </row>
    <row r="442" spans="1:11" ht="19.95" customHeight="1" x14ac:dyDescent="0.3">
      <c r="A442" s="262">
        <v>8</v>
      </c>
      <c r="C442" s="160">
        <v>416</v>
      </c>
      <c r="D442" s="210" t="s">
        <v>1020</v>
      </c>
      <c r="E442" s="1373" t="s">
        <v>1021</v>
      </c>
      <c r="F442" s="1373"/>
      <c r="G442" s="1373"/>
      <c r="H442" s="160" t="s">
        <v>286</v>
      </c>
      <c r="I442" s="741">
        <f>+'[11]Metraj Özeti'!AI442</f>
        <v>0</v>
      </c>
      <c r="J442" s="226">
        <f>+'Yeşil Defter'!AC802</f>
        <v>0</v>
      </c>
      <c r="K442" s="226">
        <f t="shared" si="8"/>
        <v>0</v>
      </c>
    </row>
    <row r="443" spans="1:11" ht="19.95" customHeight="1" x14ac:dyDescent="0.3">
      <c r="A443" s="262">
        <v>8</v>
      </c>
      <c r="C443" s="161">
        <v>417</v>
      </c>
      <c r="D443" s="213" t="s">
        <v>1022</v>
      </c>
      <c r="E443" s="1371" t="s">
        <v>1023</v>
      </c>
      <c r="F443" s="1371"/>
      <c r="G443" s="1371"/>
      <c r="H443" s="161" t="s">
        <v>202</v>
      </c>
      <c r="I443" s="741">
        <f>+'[11]Metraj Özeti'!AI443</f>
        <v>0</v>
      </c>
      <c r="J443" s="226">
        <f>+'Yeşil Defter'!AC803</f>
        <v>0</v>
      </c>
      <c r="K443" s="226">
        <f t="shared" si="8"/>
        <v>0</v>
      </c>
    </row>
    <row r="444" spans="1:11" ht="19.95" customHeight="1" x14ac:dyDescent="0.3">
      <c r="A444" s="262">
        <v>8</v>
      </c>
      <c r="C444" s="161">
        <v>418</v>
      </c>
      <c r="D444" s="161" t="s">
        <v>1024</v>
      </c>
      <c r="E444" s="1371" t="s">
        <v>1025</v>
      </c>
      <c r="F444" s="1371"/>
      <c r="G444" s="1371"/>
      <c r="H444" s="161" t="s">
        <v>202</v>
      </c>
      <c r="I444" s="741">
        <f>+'[11]Metraj Özeti'!AI444</f>
        <v>0</v>
      </c>
      <c r="J444" s="226">
        <f>+'Yeşil Defter'!AC804</f>
        <v>0</v>
      </c>
      <c r="K444" s="226">
        <f t="shared" si="8"/>
        <v>0</v>
      </c>
    </row>
    <row r="445" spans="1:11" ht="19.95" customHeight="1" x14ac:dyDescent="0.3">
      <c r="A445" s="262">
        <v>8</v>
      </c>
      <c r="C445" s="161">
        <v>419</v>
      </c>
      <c r="D445" s="161" t="s">
        <v>1026</v>
      </c>
      <c r="E445" s="1371" t="s">
        <v>1027</v>
      </c>
      <c r="F445" s="1371"/>
      <c r="G445" s="1371"/>
      <c r="H445" s="161" t="s">
        <v>247</v>
      </c>
      <c r="I445" s="741">
        <f>+'[11]Metraj Özeti'!AI445</f>
        <v>0</v>
      </c>
      <c r="J445" s="226">
        <f>+'Yeşil Defter'!AC805</f>
        <v>0</v>
      </c>
      <c r="K445" s="226">
        <f t="shared" si="8"/>
        <v>0</v>
      </c>
    </row>
    <row r="446" spans="1:11" ht="19.95" customHeight="1" x14ac:dyDescent="0.3">
      <c r="A446" s="262">
        <v>8</v>
      </c>
      <c r="C446" s="161">
        <v>420</v>
      </c>
      <c r="D446" s="161" t="s">
        <v>1028</v>
      </c>
      <c r="E446" s="1371" t="s">
        <v>1029</v>
      </c>
      <c r="F446" s="1371"/>
      <c r="G446" s="1371"/>
      <c r="H446" s="161" t="s">
        <v>247</v>
      </c>
      <c r="I446" s="741">
        <f>+'[11]Metraj Özeti'!AI446</f>
        <v>0</v>
      </c>
      <c r="J446" s="226">
        <f>+'Yeşil Defter'!AC806</f>
        <v>0</v>
      </c>
      <c r="K446" s="226">
        <f t="shared" si="8"/>
        <v>0</v>
      </c>
    </row>
    <row r="447" spans="1:11" ht="19.95" customHeight="1" x14ac:dyDescent="0.3">
      <c r="A447" s="262">
        <v>8</v>
      </c>
      <c r="C447" s="161">
        <v>421</v>
      </c>
      <c r="D447" s="213" t="s">
        <v>1030</v>
      </c>
      <c r="E447" s="1371" t="s">
        <v>1031</v>
      </c>
      <c r="F447" s="1371"/>
      <c r="G447" s="1371"/>
      <c r="H447" s="161" t="s">
        <v>247</v>
      </c>
      <c r="I447" s="741">
        <f>+'[11]Metraj Özeti'!AI447</f>
        <v>0</v>
      </c>
      <c r="J447" s="226">
        <f>+'Yeşil Defter'!AC807</f>
        <v>0</v>
      </c>
      <c r="K447" s="226">
        <f t="shared" si="8"/>
        <v>0</v>
      </c>
    </row>
    <row r="448" spans="1:11" ht="19.95" customHeight="1" x14ac:dyDescent="0.3">
      <c r="A448" s="262">
        <v>8</v>
      </c>
      <c r="C448" s="161">
        <v>422</v>
      </c>
      <c r="D448" s="213" t="s">
        <v>1032</v>
      </c>
      <c r="E448" s="1371" t="s">
        <v>1033</v>
      </c>
      <c r="F448" s="1371"/>
      <c r="G448" s="1371"/>
      <c r="H448" s="161" t="s">
        <v>247</v>
      </c>
      <c r="I448" s="741">
        <f>+'[11]Metraj Özeti'!AI448</f>
        <v>0</v>
      </c>
      <c r="J448" s="226">
        <f>+'Yeşil Defter'!AC808</f>
        <v>0</v>
      </c>
      <c r="K448" s="226">
        <f t="shared" si="8"/>
        <v>0</v>
      </c>
    </row>
    <row r="449" spans="1:11" ht="19.95" customHeight="1" x14ac:dyDescent="0.3">
      <c r="A449" s="262">
        <v>8</v>
      </c>
      <c r="C449" s="161">
        <v>423</v>
      </c>
      <c r="D449" s="213" t="s">
        <v>1034</v>
      </c>
      <c r="E449" s="1371" t="s">
        <v>1035</v>
      </c>
      <c r="F449" s="1371"/>
      <c r="G449" s="1371"/>
      <c r="H449" s="161" t="s">
        <v>286</v>
      </c>
      <c r="I449" s="741">
        <f>+'[11]Metraj Özeti'!AI449</f>
        <v>0</v>
      </c>
      <c r="J449" s="226">
        <f>+'Yeşil Defter'!AC809</f>
        <v>0</v>
      </c>
      <c r="K449" s="226">
        <f t="shared" si="8"/>
        <v>0</v>
      </c>
    </row>
    <row r="450" spans="1:11" ht="19.95" customHeight="1" x14ac:dyDescent="0.3">
      <c r="A450" s="262">
        <v>8</v>
      </c>
      <c r="C450" s="658">
        <v>424</v>
      </c>
      <c r="D450" s="689" t="s">
        <v>1036</v>
      </c>
      <c r="E450" s="1372" t="s">
        <v>1037</v>
      </c>
      <c r="F450" s="1372"/>
      <c r="G450" s="1372"/>
      <c r="H450" s="658" t="s">
        <v>225</v>
      </c>
      <c r="I450" s="741">
        <f>+'[11]Metraj Özeti'!AI450</f>
        <v>0</v>
      </c>
      <c r="J450" s="226">
        <f>+'Yeşil Defter'!AC810</f>
        <v>0</v>
      </c>
      <c r="K450" s="226">
        <f t="shared" si="8"/>
        <v>0</v>
      </c>
    </row>
    <row r="451" spans="1:11" ht="10.050000000000001" customHeight="1" x14ac:dyDescent="0.3">
      <c r="A451" s="262" t="s">
        <v>1240</v>
      </c>
      <c r="C451" s="678"/>
      <c r="D451" s="690" t="s">
        <v>1236</v>
      </c>
      <c r="E451" s="217"/>
      <c r="F451" s="217"/>
      <c r="G451" s="217"/>
      <c r="H451" s="217"/>
      <c r="I451" s="741">
        <f>+'[11]Metraj Özeti'!AI451</f>
        <v>0</v>
      </c>
      <c r="J451" s="691"/>
      <c r="K451" s="599">
        <f t="shared" si="8"/>
        <v>0</v>
      </c>
    </row>
    <row r="452" spans="1:11" ht="19.95" customHeight="1" x14ac:dyDescent="0.3">
      <c r="A452" s="262">
        <v>9</v>
      </c>
      <c r="C452" s="160">
        <v>425</v>
      </c>
      <c r="D452" s="210" t="s">
        <v>1038</v>
      </c>
      <c r="E452" s="1373" t="s">
        <v>1039</v>
      </c>
      <c r="F452" s="1373"/>
      <c r="G452" s="1373"/>
      <c r="H452" s="160" t="s">
        <v>286</v>
      </c>
      <c r="I452" s="741">
        <f>+'[11]Metraj Özeti'!AI452</f>
        <v>0</v>
      </c>
      <c r="J452" s="226">
        <f>+'Yeşil Defter'!AC848</f>
        <v>0</v>
      </c>
      <c r="K452" s="226">
        <f t="shared" si="8"/>
        <v>0</v>
      </c>
    </row>
    <row r="453" spans="1:11" ht="19.95" customHeight="1" x14ac:dyDescent="0.3">
      <c r="A453" s="262">
        <v>9</v>
      </c>
      <c r="C453" s="161">
        <v>426</v>
      </c>
      <c r="D453" s="213" t="s">
        <v>1040</v>
      </c>
      <c r="E453" s="1371" t="s">
        <v>1041</v>
      </c>
      <c r="F453" s="1371"/>
      <c r="G453" s="1371"/>
      <c r="H453" s="161" t="s">
        <v>286</v>
      </c>
      <c r="I453" s="741">
        <f>+'[11]Metraj Özeti'!AI453</f>
        <v>0</v>
      </c>
      <c r="J453" s="226">
        <f>+'Yeşil Defter'!AC849</f>
        <v>0</v>
      </c>
      <c r="K453" s="226">
        <f t="shared" si="8"/>
        <v>0</v>
      </c>
    </row>
    <row r="454" spans="1:11" ht="19.95" customHeight="1" x14ac:dyDescent="0.3">
      <c r="A454" s="262">
        <v>9</v>
      </c>
      <c r="C454" s="161">
        <v>427</v>
      </c>
      <c r="D454" s="213" t="s">
        <v>1042</v>
      </c>
      <c r="E454" s="1371" t="s">
        <v>1043</v>
      </c>
      <c r="F454" s="1371"/>
      <c r="G454" s="1371"/>
      <c r="H454" s="161" t="s">
        <v>286</v>
      </c>
      <c r="I454" s="741">
        <f>+'[11]Metraj Özeti'!AI454</f>
        <v>0</v>
      </c>
      <c r="J454" s="226">
        <f>+'Yeşil Defter'!AC850</f>
        <v>0</v>
      </c>
      <c r="K454" s="226">
        <f t="shared" si="8"/>
        <v>0</v>
      </c>
    </row>
    <row r="455" spans="1:11" ht="19.95" customHeight="1" x14ac:dyDescent="0.3">
      <c r="A455" s="262">
        <v>9</v>
      </c>
      <c r="C455" s="658">
        <v>428</v>
      </c>
      <c r="D455" s="689" t="s">
        <v>1044</v>
      </c>
      <c r="E455" s="1372" t="s">
        <v>1045</v>
      </c>
      <c r="F455" s="1372"/>
      <c r="G455" s="1372"/>
      <c r="H455" s="658" t="s">
        <v>286</v>
      </c>
      <c r="I455" s="741">
        <f>+'[11]Metraj Özeti'!AI455</f>
        <v>0</v>
      </c>
      <c r="J455" s="226">
        <f>+'Yeşil Defter'!AC851</f>
        <v>0</v>
      </c>
      <c r="K455" s="226">
        <f t="shared" si="8"/>
        <v>0</v>
      </c>
    </row>
    <row r="456" spans="1:11" ht="10.050000000000001" customHeight="1" x14ac:dyDescent="0.3">
      <c r="A456" s="262" t="s">
        <v>1240</v>
      </c>
      <c r="C456" s="678"/>
      <c r="D456" s="690" t="s">
        <v>1237</v>
      </c>
      <c r="E456" s="217"/>
      <c r="F456" s="217"/>
      <c r="G456" s="217"/>
      <c r="H456" s="217"/>
      <c r="I456" s="741">
        <f>+'[11]Metraj Özeti'!AI456</f>
        <v>0</v>
      </c>
      <c r="J456" s="691"/>
      <c r="K456" s="599">
        <f t="shared" si="8"/>
        <v>0</v>
      </c>
    </row>
    <row r="457" spans="1:11" ht="19.95" customHeight="1" x14ac:dyDescent="0.3">
      <c r="A457" s="262">
        <v>10</v>
      </c>
      <c r="C457" s="160">
        <v>429</v>
      </c>
      <c r="D457" s="210" t="s">
        <v>1046</v>
      </c>
      <c r="E457" s="992" t="s">
        <v>1047</v>
      </c>
      <c r="F457" s="993"/>
      <c r="G457" s="994"/>
      <c r="H457" s="160" t="s">
        <v>286</v>
      </c>
      <c r="I457" s="741">
        <f>+'[11]Metraj Özeti'!AI457</f>
        <v>0</v>
      </c>
      <c r="J457" s="226"/>
      <c r="K457" s="226">
        <f t="shared" si="8"/>
        <v>0</v>
      </c>
    </row>
    <row r="458" spans="1:11" ht="19.95" customHeight="1" x14ac:dyDescent="0.3">
      <c r="A458" s="262">
        <v>10</v>
      </c>
      <c r="C458" s="161">
        <v>430</v>
      </c>
      <c r="D458" s="161" t="s">
        <v>1048</v>
      </c>
      <c r="E458" s="969" t="s">
        <v>1049</v>
      </c>
      <c r="F458" s="970"/>
      <c r="G458" s="971"/>
      <c r="H458" s="161" t="s">
        <v>286</v>
      </c>
      <c r="I458" s="741">
        <f>+'[11]Metraj Özeti'!AI458</f>
        <v>0</v>
      </c>
      <c r="J458" s="226">
        <f>+'Yeşil Defter'!AC901</f>
        <v>0</v>
      </c>
      <c r="K458" s="226">
        <f t="shared" si="8"/>
        <v>0</v>
      </c>
    </row>
    <row r="459" spans="1:11" ht="19.95" customHeight="1" x14ac:dyDescent="0.3">
      <c r="A459" s="262">
        <v>10</v>
      </c>
      <c r="C459" s="161">
        <v>431</v>
      </c>
      <c r="D459" s="161" t="s">
        <v>1050</v>
      </c>
      <c r="E459" s="969" t="s">
        <v>1051</v>
      </c>
      <c r="F459" s="970"/>
      <c r="G459" s="971"/>
      <c r="H459" s="161" t="s">
        <v>286</v>
      </c>
      <c r="I459" s="741">
        <f>+'[11]Metraj Özeti'!AI459</f>
        <v>0</v>
      </c>
      <c r="J459" s="226">
        <f>+'Yeşil Defter'!AC902</f>
        <v>0</v>
      </c>
      <c r="K459" s="226">
        <f t="shared" si="8"/>
        <v>0</v>
      </c>
    </row>
    <row r="460" spans="1:11" ht="19.95" customHeight="1" x14ac:dyDescent="0.3">
      <c r="A460" s="262">
        <v>10</v>
      </c>
      <c r="C460" s="161">
        <v>432</v>
      </c>
      <c r="D460" s="161" t="s">
        <v>1052</v>
      </c>
      <c r="E460" s="969" t="s">
        <v>1053</v>
      </c>
      <c r="F460" s="970"/>
      <c r="G460" s="971"/>
      <c r="H460" s="161" t="s">
        <v>286</v>
      </c>
      <c r="I460" s="741">
        <f>+'[11]Metraj Özeti'!AI460</f>
        <v>0</v>
      </c>
      <c r="J460" s="226">
        <f>+'Yeşil Defter'!AC903</f>
        <v>0</v>
      </c>
      <c r="K460" s="226">
        <f t="shared" si="8"/>
        <v>0</v>
      </c>
    </row>
    <row r="461" spans="1:11" ht="19.95" customHeight="1" x14ac:dyDescent="0.3">
      <c r="A461" s="262">
        <v>10</v>
      </c>
      <c r="C461" s="161">
        <v>433</v>
      </c>
      <c r="D461" s="161" t="s">
        <v>1054</v>
      </c>
      <c r="E461" s="969" t="s">
        <v>1055</v>
      </c>
      <c r="F461" s="970"/>
      <c r="G461" s="971"/>
      <c r="H461" s="161" t="s">
        <v>286</v>
      </c>
      <c r="I461" s="741">
        <f>+'[11]Metraj Özeti'!AI461</f>
        <v>0</v>
      </c>
      <c r="J461" s="226">
        <f>+'Yeşil Defter'!AC904</f>
        <v>0</v>
      </c>
      <c r="K461" s="226">
        <f t="shared" si="8"/>
        <v>0</v>
      </c>
    </row>
    <row r="462" spans="1:11" ht="19.95" customHeight="1" x14ac:dyDescent="0.3">
      <c r="A462" s="262">
        <v>10</v>
      </c>
      <c r="C462" s="161">
        <v>434</v>
      </c>
      <c r="D462" s="161" t="s">
        <v>1056</v>
      </c>
      <c r="E462" s="969" t="s">
        <v>1057</v>
      </c>
      <c r="F462" s="970"/>
      <c r="G462" s="971"/>
      <c r="H462" s="161" t="s">
        <v>286</v>
      </c>
      <c r="I462" s="741">
        <f>+'[11]Metraj Özeti'!AI462</f>
        <v>0</v>
      </c>
      <c r="J462" s="226">
        <f>+'Yeşil Defter'!AC905</f>
        <v>0</v>
      </c>
      <c r="K462" s="226">
        <f t="shared" si="8"/>
        <v>0</v>
      </c>
    </row>
    <row r="463" spans="1:11" ht="19.95" customHeight="1" x14ac:dyDescent="0.3">
      <c r="A463" s="262">
        <v>10</v>
      </c>
      <c r="C463" s="161">
        <v>435</v>
      </c>
      <c r="D463" s="161" t="s">
        <v>1058</v>
      </c>
      <c r="E463" s="969" t="s">
        <v>1059</v>
      </c>
      <c r="F463" s="970"/>
      <c r="G463" s="971"/>
      <c r="H463" s="161" t="s">
        <v>286</v>
      </c>
      <c r="I463" s="741">
        <f>+'[11]Metraj Özeti'!AI463</f>
        <v>0</v>
      </c>
      <c r="J463" s="226">
        <f>+'Yeşil Defter'!AC906</f>
        <v>0</v>
      </c>
      <c r="K463" s="226">
        <f t="shared" si="8"/>
        <v>0</v>
      </c>
    </row>
    <row r="464" spans="1:11" ht="19.95" customHeight="1" x14ac:dyDescent="0.3">
      <c r="A464" s="262">
        <v>10</v>
      </c>
      <c r="C464" s="161">
        <v>436</v>
      </c>
      <c r="D464" s="161" t="s">
        <v>1060</v>
      </c>
      <c r="E464" s="969" t="s">
        <v>1061</v>
      </c>
      <c r="F464" s="970"/>
      <c r="G464" s="971"/>
      <c r="H464" s="161" t="s">
        <v>286</v>
      </c>
      <c r="I464" s="741">
        <f>+'[11]Metraj Özeti'!AI464</f>
        <v>0</v>
      </c>
      <c r="J464" s="226">
        <f>+'Yeşil Defter'!AC907</f>
        <v>0</v>
      </c>
      <c r="K464" s="226">
        <f t="shared" si="8"/>
        <v>0</v>
      </c>
    </row>
    <row r="465" spans="1:11" ht="19.95" customHeight="1" x14ac:dyDescent="0.3">
      <c r="A465" s="262">
        <v>10</v>
      </c>
      <c r="C465" s="161">
        <v>437</v>
      </c>
      <c r="D465" s="161" t="s">
        <v>1062</v>
      </c>
      <c r="E465" s="969" t="s">
        <v>1063</v>
      </c>
      <c r="F465" s="970"/>
      <c r="G465" s="971"/>
      <c r="H465" s="161" t="s">
        <v>286</v>
      </c>
      <c r="I465" s="741">
        <f>+'[11]Metraj Özeti'!AI465</f>
        <v>0</v>
      </c>
      <c r="J465" s="226">
        <f>+'Yeşil Defter'!AC908</f>
        <v>0</v>
      </c>
      <c r="K465" s="226">
        <f t="shared" si="8"/>
        <v>0</v>
      </c>
    </row>
    <row r="466" spans="1:11" ht="19.95" customHeight="1" x14ac:dyDescent="0.3">
      <c r="A466" s="262">
        <v>10</v>
      </c>
      <c r="C466" s="161">
        <v>438</v>
      </c>
      <c r="D466" s="161" t="s">
        <v>1064</v>
      </c>
      <c r="E466" s="969" t="s">
        <v>1065</v>
      </c>
      <c r="F466" s="970"/>
      <c r="G466" s="971"/>
      <c r="H466" s="161" t="s">
        <v>286</v>
      </c>
      <c r="I466" s="741">
        <f>+'[11]Metraj Özeti'!AI466</f>
        <v>0</v>
      </c>
      <c r="J466" s="226">
        <f>+'Yeşil Defter'!AC909</f>
        <v>0</v>
      </c>
      <c r="K466" s="226">
        <f t="shared" si="8"/>
        <v>0</v>
      </c>
    </row>
    <row r="467" spans="1:11" ht="19.95" customHeight="1" x14ac:dyDescent="0.3">
      <c r="A467" s="262">
        <v>10</v>
      </c>
      <c r="C467" s="161">
        <v>439</v>
      </c>
      <c r="D467" s="161" t="s">
        <v>1066</v>
      </c>
      <c r="E467" s="969" t="s">
        <v>1067</v>
      </c>
      <c r="F467" s="970"/>
      <c r="G467" s="971"/>
      <c r="H467" s="161" t="s">
        <v>286</v>
      </c>
      <c r="I467" s="741">
        <f>+'[11]Metraj Özeti'!AI467</f>
        <v>0</v>
      </c>
      <c r="J467" s="226">
        <f>+'Yeşil Defter'!AC910</f>
        <v>0</v>
      </c>
      <c r="K467" s="226">
        <f t="shared" si="8"/>
        <v>0</v>
      </c>
    </row>
    <row r="468" spans="1:11" ht="19.95" customHeight="1" x14ac:dyDescent="0.3">
      <c r="A468" s="262">
        <v>10</v>
      </c>
      <c r="C468" s="161">
        <v>440</v>
      </c>
      <c r="D468" s="161" t="s">
        <v>1068</v>
      </c>
      <c r="E468" s="969" t="s">
        <v>1069</v>
      </c>
      <c r="F468" s="970"/>
      <c r="G468" s="971"/>
      <c r="H468" s="161" t="s">
        <v>286</v>
      </c>
      <c r="I468" s="741">
        <f>+'[11]Metraj Özeti'!AI468</f>
        <v>0</v>
      </c>
      <c r="J468" s="226">
        <f>+'Yeşil Defter'!AC911</f>
        <v>0</v>
      </c>
      <c r="K468" s="226">
        <f t="shared" si="8"/>
        <v>0</v>
      </c>
    </row>
    <row r="469" spans="1:11" ht="19.95" customHeight="1" x14ac:dyDescent="0.3">
      <c r="A469" s="262">
        <v>10</v>
      </c>
      <c r="C469" s="161">
        <v>441</v>
      </c>
      <c r="D469" s="161" t="s">
        <v>1070</v>
      </c>
      <c r="E469" s="969" t="s">
        <v>1071</v>
      </c>
      <c r="F469" s="970"/>
      <c r="G469" s="971"/>
      <c r="H469" s="161" t="s">
        <v>286</v>
      </c>
      <c r="I469" s="741">
        <f>+'[11]Metraj Özeti'!AI469</f>
        <v>0</v>
      </c>
      <c r="J469" s="226">
        <f>+'Yeşil Defter'!AC912</f>
        <v>0</v>
      </c>
      <c r="K469" s="226">
        <f t="shared" si="8"/>
        <v>0</v>
      </c>
    </row>
    <row r="470" spans="1:11" ht="19.95" customHeight="1" x14ac:dyDescent="0.3">
      <c r="A470" s="262">
        <v>10</v>
      </c>
      <c r="C470" s="161">
        <v>442</v>
      </c>
      <c r="D470" s="161" t="s">
        <v>1072</v>
      </c>
      <c r="E470" s="969" t="s">
        <v>1073</v>
      </c>
      <c r="F470" s="970"/>
      <c r="G470" s="971"/>
      <c r="H470" s="161" t="s">
        <v>286</v>
      </c>
      <c r="I470" s="741">
        <f>+'[11]Metraj Özeti'!AI470</f>
        <v>0</v>
      </c>
      <c r="J470" s="226">
        <f>+'Yeşil Defter'!AC913</f>
        <v>0</v>
      </c>
      <c r="K470" s="226">
        <f t="shared" si="8"/>
        <v>0</v>
      </c>
    </row>
    <row r="471" spans="1:11" ht="19.95" customHeight="1" x14ac:dyDescent="0.3">
      <c r="A471" s="262">
        <v>10</v>
      </c>
      <c r="C471" s="161">
        <v>443</v>
      </c>
      <c r="D471" s="161" t="s">
        <v>1074</v>
      </c>
      <c r="E471" s="969" t="s">
        <v>1075</v>
      </c>
      <c r="F471" s="970"/>
      <c r="G471" s="971"/>
      <c r="H471" s="161" t="s">
        <v>286</v>
      </c>
      <c r="I471" s="741">
        <f>+'[11]Metraj Özeti'!AI471</f>
        <v>0</v>
      </c>
      <c r="J471" s="226">
        <f>+'Yeşil Defter'!AC914</f>
        <v>0</v>
      </c>
      <c r="K471" s="226">
        <f t="shared" si="8"/>
        <v>0</v>
      </c>
    </row>
    <row r="472" spans="1:11" ht="19.95" customHeight="1" x14ac:dyDescent="0.3">
      <c r="A472" s="262">
        <v>10</v>
      </c>
      <c r="C472" s="161">
        <v>444</v>
      </c>
      <c r="D472" s="161" t="s">
        <v>1076</v>
      </c>
      <c r="E472" s="969" t="s">
        <v>1077</v>
      </c>
      <c r="F472" s="970"/>
      <c r="G472" s="971"/>
      <c r="H472" s="161" t="s">
        <v>286</v>
      </c>
      <c r="I472" s="741">
        <f>+'[11]Metraj Özeti'!AI472</f>
        <v>0</v>
      </c>
      <c r="J472" s="226">
        <f>+'Yeşil Defter'!AC915</f>
        <v>0</v>
      </c>
      <c r="K472" s="226">
        <f t="shared" si="8"/>
        <v>0</v>
      </c>
    </row>
    <row r="473" spans="1:11" ht="19.95" customHeight="1" x14ac:dyDescent="0.3">
      <c r="A473" s="262">
        <v>10</v>
      </c>
      <c r="C473" s="161">
        <v>445</v>
      </c>
      <c r="D473" s="161" t="s">
        <v>1078</v>
      </c>
      <c r="E473" s="969" t="s">
        <v>1079</v>
      </c>
      <c r="F473" s="970"/>
      <c r="G473" s="971"/>
      <c r="H473" s="161" t="s">
        <v>286</v>
      </c>
      <c r="I473" s="741">
        <f>+'[11]Metraj Özeti'!AI473</f>
        <v>0</v>
      </c>
      <c r="J473" s="226">
        <f>+'Yeşil Defter'!AC916</f>
        <v>0</v>
      </c>
      <c r="K473" s="226">
        <f t="shared" si="8"/>
        <v>0</v>
      </c>
    </row>
    <row r="474" spans="1:11" ht="19.95" customHeight="1" x14ac:dyDescent="0.3">
      <c r="A474" s="262">
        <v>10</v>
      </c>
      <c r="C474" s="161">
        <v>446</v>
      </c>
      <c r="D474" s="161" t="s">
        <v>1080</v>
      </c>
      <c r="E474" s="969" t="s">
        <v>1081</v>
      </c>
      <c r="F474" s="970"/>
      <c r="G474" s="971"/>
      <c r="H474" s="161" t="s">
        <v>286</v>
      </c>
      <c r="I474" s="741">
        <f>+'[11]Metraj Özeti'!AI474</f>
        <v>0</v>
      </c>
      <c r="J474" s="226">
        <f>+'Yeşil Defter'!AC917</f>
        <v>0</v>
      </c>
      <c r="K474" s="226">
        <f t="shared" si="8"/>
        <v>0</v>
      </c>
    </row>
    <row r="475" spans="1:11" ht="19.95" customHeight="1" x14ac:dyDescent="0.3">
      <c r="A475" s="262">
        <v>10</v>
      </c>
      <c r="C475" s="161">
        <v>447</v>
      </c>
      <c r="D475" s="161" t="s">
        <v>1082</v>
      </c>
      <c r="E475" s="969" t="s">
        <v>1083</v>
      </c>
      <c r="F475" s="970"/>
      <c r="G475" s="971"/>
      <c r="H475" s="161" t="s">
        <v>286</v>
      </c>
      <c r="I475" s="741">
        <f>+'[11]Metraj Özeti'!AI475</f>
        <v>0</v>
      </c>
      <c r="J475" s="226">
        <f>+'Yeşil Defter'!AC918</f>
        <v>0</v>
      </c>
      <c r="K475" s="226">
        <f t="shared" si="8"/>
        <v>0</v>
      </c>
    </row>
    <row r="476" spans="1:11" ht="19.95" customHeight="1" x14ac:dyDescent="0.3">
      <c r="A476" s="262">
        <v>10</v>
      </c>
      <c r="C476" s="161">
        <v>448</v>
      </c>
      <c r="D476" s="161" t="s">
        <v>1084</v>
      </c>
      <c r="E476" s="969" t="s">
        <v>1085</v>
      </c>
      <c r="F476" s="970"/>
      <c r="G476" s="971"/>
      <c r="H476" s="161" t="s">
        <v>286</v>
      </c>
      <c r="I476" s="741">
        <f>+'[11]Metraj Özeti'!AI476</f>
        <v>0</v>
      </c>
      <c r="J476" s="226">
        <f>+'Yeşil Defter'!AC919</f>
        <v>0</v>
      </c>
      <c r="K476" s="226">
        <f t="shared" si="8"/>
        <v>0</v>
      </c>
    </row>
    <row r="477" spans="1:11" ht="19.95" customHeight="1" x14ac:dyDescent="0.3">
      <c r="A477" s="262">
        <v>10</v>
      </c>
      <c r="C477" s="161">
        <v>449</v>
      </c>
      <c r="D477" s="161" t="s">
        <v>1086</v>
      </c>
      <c r="E477" s="969" t="s">
        <v>1087</v>
      </c>
      <c r="F477" s="970"/>
      <c r="G477" s="971"/>
      <c r="H477" s="161" t="s">
        <v>286</v>
      </c>
      <c r="I477" s="741">
        <f>+'[11]Metraj Özeti'!AI477</f>
        <v>0</v>
      </c>
      <c r="J477" s="226">
        <f>+'Yeşil Defter'!AC920</f>
        <v>0</v>
      </c>
      <c r="K477" s="226">
        <f t="shared" si="8"/>
        <v>0</v>
      </c>
    </row>
    <row r="478" spans="1:11" ht="19.95" customHeight="1" x14ac:dyDescent="0.3">
      <c r="A478" s="262">
        <v>10</v>
      </c>
      <c r="C478" s="161">
        <v>450</v>
      </c>
      <c r="D478" s="161" t="s">
        <v>1088</v>
      </c>
      <c r="E478" s="969" t="s">
        <v>1089</v>
      </c>
      <c r="F478" s="970"/>
      <c r="G478" s="971"/>
      <c r="H478" s="161" t="s">
        <v>286</v>
      </c>
      <c r="I478" s="741">
        <f>+'[11]Metraj Özeti'!AI478</f>
        <v>0</v>
      </c>
      <c r="J478" s="226">
        <f>+'Yeşil Defter'!AC921</f>
        <v>0</v>
      </c>
      <c r="K478" s="226">
        <f t="shared" si="8"/>
        <v>0</v>
      </c>
    </row>
    <row r="479" spans="1:11" ht="19.95" customHeight="1" x14ac:dyDescent="0.3">
      <c r="A479" s="262">
        <v>10</v>
      </c>
      <c r="C479" s="161">
        <v>451</v>
      </c>
      <c r="D479" s="161" t="s">
        <v>1090</v>
      </c>
      <c r="E479" s="969" t="s">
        <v>1091</v>
      </c>
      <c r="F479" s="970"/>
      <c r="G479" s="971"/>
      <c r="H479" s="161" t="s">
        <v>286</v>
      </c>
      <c r="I479" s="741">
        <f>+'[11]Metraj Özeti'!AI479</f>
        <v>0</v>
      </c>
      <c r="J479" s="226">
        <f>+'Yeşil Defter'!AC922</f>
        <v>0</v>
      </c>
      <c r="K479" s="226">
        <f t="shared" si="8"/>
        <v>0</v>
      </c>
    </row>
    <row r="480" spans="1:11" ht="19.95" customHeight="1" x14ac:dyDescent="0.3">
      <c r="A480" s="262">
        <v>10</v>
      </c>
      <c r="C480" s="161">
        <v>452</v>
      </c>
      <c r="D480" s="161" t="s">
        <v>1092</v>
      </c>
      <c r="E480" s="969" t="s">
        <v>1093</v>
      </c>
      <c r="F480" s="970"/>
      <c r="G480" s="971"/>
      <c r="H480" s="161" t="s">
        <v>286</v>
      </c>
      <c r="I480" s="741">
        <f>+'[11]Metraj Özeti'!AI480</f>
        <v>0</v>
      </c>
      <c r="J480" s="226">
        <f>+'Yeşil Defter'!AC923</f>
        <v>0</v>
      </c>
      <c r="K480" s="226">
        <f t="shared" si="8"/>
        <v>0</v>
      </c>
    </row>
    <row r="481" spans="1:11" ht="19.95" customHeight="1" x14ac:dyDescent="0.3">
      <c r="A481" s="262">
        <v>10</v>
      </c>
      <c r="C481" s="161">
        <v>453</v>
      </c>
      <c r="D481" s="161" t="s">
        <v>1094</v>
      </c>
      <c r="E481" s="969" t="s">
        <v>1095</v>
      </c>
      <c r="F481" s="970"/>
      <c r="G481" s="971"/>
      <c r="H481" s="161" t="s">
        <v>286</v>
      </c>
      <c r="I481" s="741">
        <f>+'[11]Metraj Özeti'!AI481</f>
        <v>0</v>
      </c>
      <c r="J481" s="226">
        <f>+'Yeşil Defter'!AC924</f>
        <v>0</v>
      </c>
      <c r="K481" s="226">
        <f t="shared" si="8"/>
        <v>0</v>
      </c>
    </row>
    <row r="482" spans="1:11" ht="19.95" customHeight="1" x14ac:dyDescent="0.3">
      <c r="A482" s="262">
        <v>10</v>
      </c>
      <c r="C482" s="161">
        <v>454</v>
      </c>
      <c r="D482" s="161" t="s">
        <v>1096</v>
      </c>
      <c r="E482" s="969" t="s">
        <v>1097</v>
      </c>
      <c r="F482" s="970"/>
      <c r="G482" s="971"/>
      <c r="H482" s="161" t="s">
        <v>286</v>
      </c>
      <c r="I482" s="741">
        <f>+'[11]Metraj Özeti'!AI482</f>
        <v>0</v>
      </c>
      <c r="J482" s="226">
        <f>+'Yeşil Defter'!AC925</f>
        <v>0</v>
      </c>
      <c r="K482" s="226">
        <f t="shared" si="8"/>
        <v>0</v>
      </c>
    </row>
    <row r="483" spans="1:11" ht="19.95" customHeight="1" x14ac:dyDescent="0.3">
      <c r="A483" s="262">
        <v>10</v>
      </c>
      <c r="C483" s="161">
        <v>455</v>
      </c>
      <c r="D483" s="161" t="s">
        <v>1098</v>
      </c>
      <c r="E483" s="969" t="s">
        <v>1099</v>
      </c>
      <c r="F483" s="970"/>
      <c r="G483" s="971"/>
      <c r="H483" s="161" t="s">
        <v>286</v>
      </c>
      <c r="I483" s="741">
        <f>+'[11]Metraj Özeti'!AI483</f>
        <v>0</v>
      </c>
      <c r="J483" s="226">
        <f>+'Yeşil Defter'!AC926</f>
        <v>0</v>
      </c>
      <c r="K483" s="226">
        <f t="shared" si="8"/>
        <v>0</v>
      </c>
    </row>
    <row r="484" spans="1:11" ht="19.95" customHeight="1" x14ac:dyDescent="0.3">
      <c r="A484" s="262">
        <v>10</v>
      </c>
      <c r="C484" s="161">
        <v>456</v>
      </c>
      <c r="D484" s="161" t="s">
        <v>1100</v>
      </c>
      <c r="E484" s="969" t="s">
        <v>1101</v>
      </c>
      <c r="F484" s="970"/>
      <c r="G484" s="971"/>
      <c r="H484" s="161" t="s">
        <v>202</v>
      </c>
      <c r="I484" s="741">
        <f>+'[11]Metraj Özeti'!AI484</f>
        <v>0</v>
      </c>
      <c r="J484" s="226">
        <f>+'Yeşil Defter'!AC927</f>
        <v>0</v>
      </c>
      <c r="K484" s="226">
        <f t="shared" si="8"/>
        <v>0</v>
      </c>
    </row>
    <row r="485" spans="1:11" ht="19.95" customHeight="1" x14ac:dyDescent="0.3">
      <c r="A485" s="262">
        <v>10</v>
      </c>
      <c r="C485" s="161">
        <v>457</v>
      </c>
      <c r="D485" s="161" t="s">
        <v>1102</v>
      </c>
      <c r="E485" s="969" t="s">
        <v>1103</v>
      </c>
      <c r="F485" s="970"/>
      <c r="G485" s="971"/>
      <c r="H485" s="161" t="s">
        <v>202</v>
      </c>
      <c r="I485" s="741">
        <f>+'[11]Metraj Özeti'!AI485</f>
        <v>0</v>
      </c>
      <c r="J485" s="226">
        <f>+'Yeşil Defter'!AC928</f>
        <v>0</v>
      </c>
      <c r="K485" s="226">
        <f t="shared" ref="K485:K512" si="9">+J485+I485</f>
        <v>0</v>
      </c>
    </row>
    <row r="486" spans="1:11" ht="19.95" customHeight="1" x14ac:dyDescent="0.3">
      <c r="A486" s="262">
        <v>10</v>
      </c>
      <c r="C486" s="161">
        <v>458</v>
      </c>
      <c r="D486" s="161" t="s">
        <v>1104</v>
      </c>
      <c r="E486" s="969" t="s">
        <v>1105</v>
      </c>
      <c r="F486" s="970"/>
      <c r="G486" s="971"/>
      <c r="H486" s="161" t="s">
        <v>202</v>
      </c>
      <c r="I486" s="741">
        <f>+'[11]Metraj Özeti'!AI486</f>
        <v>0</v>
      </c>
      <c r="J486" s="226">
        <f>+'Yeşil Defter'!AC929</f>
        <v>0</v>
      </c>
      <c r="K486" s="226">
        <f t="shared" si="9"/>
        <v>0</v>
      </c>
    </row>
    <row r="487" spans="1:11" ht="19.95" customHeight="1" x14ac:dyDescent="0.3">
      <c r="A487" s="262">
        <v>10</v>
      </c>
      <c r="C487" s="161">
        <v>459</v>
      </c>
      <c r="D487" s="161" t="s">
        <v>1106</v>
      </c>
      <c r="E487" s="969" t="s">
        <v>1107</v>
      </c>
      <c r="F487" s="970"/>
      <c r="G487" s="971"/>
      <c r="H487" s="161" t="s">
        <v>202</v>
      </c>
      <c r="I487" s="741">
        <f>+'[11]Metraj Özeti'!AI487</f>
        <v>0</v>
      </c>
      <c r="J487" s="226">
        <f>+'Yeşil Defter'!AC930</f>
        <v>0</v>
      </c>
      <c r="K487" s="226">
        <f t="shared" si="9"/>
        <v>0</v>
      </c>
    </row>
    <row r="488" spans="1:11" ht="19.95" customHeight="1" x14ac:dyDescent="0.3">
      <c r="A488" s="262">
        <v>10</v>
      </c>
      <c r="C488" s="161">
        <v>460</v>
      </c>
      <c r="D488" s="161" t="s">
        <v>1108</v>
      </c>
      <c r="E488" s="969" t="s">
        <v>1109</v>
      </c>
      <c r="F488" s="970"/>
      <c r="G488" s="971"/>
      <c r="H488" s="161" t="s">
        <v>202</v>
      </c>
      <c r="I488" s="741">
        <f>+'[11]Metraj Özeti'!AI488</f>
        <v>0</v>
      </c>
      <c r="J488" s="226">
        <f>+'Yeşil Defter'!AC931</f>
        <v>0</v>
      </c>
      <c r="K488" s="226">
        <f t="shared" si="9"/>
        <v>0</v>
      </c>
    </row>
    <row r="489" spans="1:11" ht="19.95" customHeight="1" x14ac:dyDescent="0.3">
      <c r="A489" s="262">
        <v>10</v>
      </c>
      <c r="C489" s="161">
        <v>461</v>
      </c>
      <c r="D489" s="161" t="s">
        <v>1110</v>
      </c>
      <c r="E489" s="969" t="s">
        <v>1111</v>
      </c>
      <c r="F489" s="970"/>
      <c r="G489" s="971"/>
      <c r="H489" s="161" t="s">
        <v>202</v>
      </c>
      <c r="I489" s="741">
        <f>+'[11]Metraj Özeti'!AI489</f>
        <v>0</v>
      </c>
      <c r="J489" s="226">
        <f>+'Yeşil Defter'!AC932</f>
        <v>0</v>
      </c>
      <c r="K489" s="226">
        <f t="shared" si="9"/>
        <v>0</v>
      </c>
    </row>
    <row r="490" spans="1:11" ht="19.8" customHeight="1" x14ac:dyDescent="0.3">
      <c r="A490" s="262">
        <v>10</v>
      </c>
      <c r="C490" s="161">
        <v>462</v>
      </c>
      <c r="D490" s="161" t="s">
        <v>1112</v>
      </c>
      <c r="E490" s="969" t="s">
        <v>1113</v>
      </c>
      <c r="F490" s="970"/>
      <c r="G490" s="971"/>
      <c r="H490" s="161" t="s">
        <v>202</v>
      </c>
      <c r="I490" s="741">
        <f>+'[11]Metraj Özeti'!AI490</f>
        <v>0</v>
      </c>
      <c r="J490" s="226">
        <f>+'Yeşil Defter'!AC991</f>
        <v>0</v>
      </c>
      <c r="K490" s="226">
        <f t="shared" si="9"/>
        <v>0</v>
      </c>
    </row>
    <row r="491" spans="1:11" ht="19.95" customHeight="1" x14ac:dyDescent="0.3">
      <c r="A491" s="262">
        <v>10</v>
      </c>
      <c r="C491" s="161">
        <v>463</v>
      </c>
      <c r="D491" s="161" t="s">
        <v>1114</v>
      </c>
      <c r="E491" s="969" t="s">
        <v>1115</v>
      </c>
      <c r="F491" s="970"/>
      <c r="G491" s="971"/>
      <c r="H491" s="161" t="s">
        <v>202</v>
      </c>
      <c r="I491" s="741">
        <f>+'[11]Metraj Özeti'!AI491</f>
        <v>0</v>
      </c>
      <c r="J491" s="226">
        <f>+'Yeşil Defter'!AC992</f>
        <v>0</v>
      </c>
      <c r="K491" s="226">
        <f t="shared" si="9"/>
        <v>0</v>
      </c>
    </row>
    <row r="492" spans="1:11" ht="19.95" customHeight="1" x14ac:dyDescent="0.3">
      <c r="A492" s="262">
        <v>10</v>
      </c>
      <c r="C492" s="161">
        <v>464</v>
      </c>
      <c r="D492" s="161" t="s">
        <v>1116</v>
      </c>
      <c r="E492" s="969" t="s">
        <v>1117</v>
      </c>
      <c r="F492" s="970"/>
      <c r="G492" s="971"/>
      <c r="H492" s="161" t="s">
        <v>202</v>
      </c>
      <c r="I492" s="741">
        <f>+'[11]Metraj Özeti'!AI492</f>
        <v>0</v>
      </c>
      <c r="J492" s="226">
        <f>+'Yeşil Defter'!AC993</f>
        <v>0</v>
      </c>
      <c r="K492" s="226">
        <f t="shared" si="9"/>
        <v>0</v>
      </c>
    </row>
    <row r="493" spans="1:11" ht="19.95" customHeight="1" x14ac:dyDescent="0.3">
      <c r="A493" s="262">
        <v>10</v>
      </c>
      <c r="C493" s="161">
        <v>465</v>
      </c>
      <c r="D493" s="161" t="s">
        <v>1118</v>
      </c>
      <c r="E493" s="969" t="s">
        <v>1119</v>
      </c>
      <c r="F493" s="970"/>
      <c r="G493" s="971"/>
      <c r="H493" s="161" t="s">
        <v>202</v>
      </c>
      <c r="I493" s="741">
        <f>+'[11]Metraj Özeti'!AI493</f>
        <v>0</v>
      </c>
      <c r="J493" s="226">
        <f>+'Yeşil Defter'!AC994</f>
        <v>0</v>
      </c>
      <c r="K493" s="226">
        <f t="shared" si="9"/>
        <v>0</v>
      </c>
    </row>
    <row r="494" spans="1:11" ht="19.95" customHeight="1" x14ac:dyDescent="0.3">
      <c r="A494" s="262">
        <v>10</v>
      </c>
      <c r="C494" s="161">
        <v>466</v>
      </c>
      <c r="D494" s="161" t="s">
        <v>1120</v>
      </c>
      <c r="E494" s="969" t="s">
        <v>1121</v>
      </c>
      <c r="F494" s="970"/>
      <c r="G494" s="971"/>
      <c r="H494" s="161" t="s">
        <v>286</v>
      </c>
      <c r="I494" s="741">
        <f>+'[11]Metraj Özeti'!AI494</f>
        <v>0</v>
      </c>
      <c r="J494" s="226">
        <f>+'Yeşil Defter'!AC995</f>
        <v>0</v>
      </c>
      <c r="K494" s="226">
        <f t="shared" si="9"/>
        <v>0</v>
      </c>
    </row>
    <row r="495" spans="1:11" ht="19.95" customHeight="1" x14ac:dyDescent="0.3">
      <c r="A495" s="262">
        <v>10</v>
      </c>
      <c r="C495" s="161">
        <v>467</v>
      </c>
      <c r="D495" s="161" t="s">
        <v>1122</v>
      </c>
      <c r="E495" s="969" t="s">
        <v>1123</v>
      </c>
      <c r="F495" s="970"/>
      <c r="G495" s="971"/>
      <c r="H495" s="161" t="s">
        <v>286</v>
      </c>
      <c r="I495" s="741">
        <f>+'[11]Metraj Özeti'!AI495</f>
        <v>0</v>
      </c>
      <c r="J495" s="226">
        <f>+'Yeşil Defter'!AC996</f>
        <v>0</v>
      </c>
      <c r="K495" s="226">
        <f t="shared" si="9"/>
        <v>0</v>
      </c>
    </row>
    <row r="496" spans="1:11" ht="19.95" customHeight="1" x14ac:dyDescent="0.3">
      <c r="A496" s="262">
        <v>10</v>
      </c>
      <c r="C496" s="161">
        <v>468</v>
      </c>
      <c r="D496" s="161" t="s">
        <v>1124</v>
      </c>
      <c r="E496" s="969" t="s">
        <v>1125</v>
      </c>
      <c r="F496" s="970"/>
      <c r="G496" s="971"/>
      <c r="H496" s="161" t="s">
        <v>286</v>
      </c>
      <c r="I496" s="741">
        <f>+'[11]Metraj Özeti'!AI496</f>
        <v>0</v>
      </c>
      <c r="J496" s="226">
        <f>+'Yeşil Defter'!AC997</f>
        <v>0</v>
      </c>
      <c r="K496" s="226">
        <f t="shared" si="9"/>
        <v>0</v>
      </c>
    </row>
    <row r="497" spans="1:11" ht="19.95" customHeight="1" x14ac:dyDescent="0.3">
      <c r="A497" s="262">
        <v>10</v>
      </c>
      <c r="C497" s="161">
        <v>469</v>
      </c>
      <c r="D497" s="161" t="s">
        <v>1126</v>
      </c>
      <c r="E497" s="969" t="s">
        <v>1127</v>
      </c>
      <c r="F497" s="970"/>
      <c r="G497" s="971"/>
      <c r="H497" s="161" t="s">
        <v>286</v>
      </c>
      <c r="I497" s="741">
        <f>+'[11]Metraj Özeti'!AI497</f>
        <v>0</v>
      </c>
      <c r="J497" s="226">
        <f>+'Yeşil Defter'!AC998</f>
        <v>0</v>
      </c>
      <c r="K497" s="226">
        <f t="shared" si="9"/>
        <v>0</v>
      </c>
    </row>
    <row r="498" spans="1:11" ht="19.95" customHeight="1" x14ac:dyDescent="0.3">
      <c r="A498" s="262">
        <v>10</v>
      </c>
      <c r="C498" s="161">
        <v>470</v>
      </c>
      <c r="D498" s="161" t="s">
        <v>1128</v>
      </c>
      <c r="E498" s="969" t="s">
        <v>1129</v>
      </c>
      <c r="F498" s="970"/>
      <c r="G498" s="971"/>
      <c r="H498" s="161" t="s">
        <v>286</v>
      </c>
      <c r="I498" s="741">
        <f>+'[11]Metraj Özeti'!AI498</f>
        <v>0</v>
      </c>
      <c r="J498" s="226">
        <f>+'Yeşil Defter'!AC999</f>
        <v>0</v>
      </c>
      <c r="K498" s="226">
        <f t="shared" si="9"/>
        <v>0</v>
      </c>
    </row>
    <row r="499" spans="1:11" ht="19.95" customHeight="1" x14ac:dyDescent="0.3">
      <c r="A499" s="262">
        <v>10</v>
      </c>
      <c r="C499" s="161">
        <v>471</v>
      </c>
      <c r="D499" s="161" t="s">
        <v>1130</v>
      </c>
      <c r="E499" s="969" t="s">
        <v>1131</v>
      </c>
      <c r="F499" s="970"/>
      <c r="G499" s="971"/>
      <c r="H499" s="161" t="s">
        <v>286</v>
      </c>
      <c r="I499" s="741">
        <f>+'[11]Metraj Özeti'!AI499</f>
        <v>0</v>
      </c>
      <c r="J499" s="226">
        <f>+'Yeşil Defter'!AC1000</f>
        <v>0</v>
      </c>
      <c r="K499" s="226">
        <f t="shared" si="9"/>
        <v>0</v>
      </c>
    </row>
    <row r="500" spans="1:11" ht="19.95" customHeight="1" x14ac:dyDescent="0.3">
      <c r="A500" s="262">
        <v>10</v>
      </c>
      <c r="C500" s="161">
        <v>472</v>
      </c>
      <c r="D500" s="161" t="s">
        <v>1132</v>
      </c>
      <c r="E500" s="969" t="s">
        <v>1133</v>
      </c>
      <c r="F500" s="970"/>
      <c r="G500" s="971"/>
      <c r="H500" s="161" t="s">
        <v>286</v>
      </c>
      <c r="I500" s="741">
        <f>+'[11]Metraj Özeti'!AI500</f>
        <v>0</v>
      </c>
      <c r="J500" s="226">
        <f>+'Yeşil Defter'!AC1001</f>
        <v>0</v>
      </c>
      <c r="K500" s="226">
        <f t="shared" si="9"/>
        <v>0</v>
      </c>
    </row>
    <row r="501" spans="1:11" ht="19.95" customHeight="1" x14ac:dyDescent="0.3">
      <c r="A501" s="262">
        <v>10</v>
      </c>
      <c r="C501" s="161">
        <v>473</v>
      </c>
      <c r="D501" s="161" t="s">
        <v>1134</v>
      </c>
      <c r="E501" s="969" t="s">
        <v>1135</v>
      </c>
      <c r="F501" s="970"/>
      <c r="G501" s="971"/>
      <c r="H501" s="161" t="s">
        <v>286</v>
      </c>
      <c r="I501" s="741">
        <f>+'[11]Metraj Özeti'!AI501</f>
        <v>0</v>
      </c>
      <c r="J501" s="226">
        <f>+'Yeşil Defter'!AC1002</f>
        <v>0</v>
      </c>
      <c r="K501" s="226">
        <f t="shared" si="9"/>
        <v>0</v>
      </c>
    </row>
    <row r="502" spans="1:11" ht="19.95" customHeight="1" x14ac:dyDescent="0.3">
      <c r="A502" s="262">
        <v>10</v>
      </c>
      <c r="C502" s="161">
        <v>474</v>
      </c>
      <c r="D502" s="161" t="s">
        <v>1136</v>
      </c>
      <c r="E502" s="969" t="s">
        <v>1137</v>
      </c>
      <c r="F502" s="970"/>
      <c r="G502" s="971"/>
      <c r="H502" s="161" t="s">
        <v>286</v>
      </c>
      <c r="I502" s="741">
        <f>+'[11]Metraj Özeti'!AI502</f>
        <v>0</v>
      </c>
      <c r="J502" s="226">
        <f>+'Yeşil Defter'!AC1003</f>
        <v>0</v>
      </c>
      <c r="K502" s="226">
        <f t="shared" si="9"/>
        <v>0</v>
      </c>
    </row>
    <row r="503" spans="1:11" ht="19.95" customHeight="1" x14ac:dyDescent="0.3">
      <c r="A503" s="262">
        <v>10</v>
      </c>
      <c r="C503" s="161">
        <v>475</v>
      </c>
      <c r="D503" s="161" t="s">
        <v>1138</v>
      </c>
      <c r="E503" s="969" t="s">
        <v>1139</v>
      </c>
      <c r="F503" s="970"/>
      <c r="G503" s="971"/>
      <c r="H503" s="161" t="s">
        <v>286</v>
      </c>
      <c r="I503" s="741">
        <f>+'[11]Metraj Özeti'!AI503</f>
        <v>0</v>
      </c>
      <c r="J503" s="226">
        <f>+'Yeşil Defter'!AC1004</f>
        <v>0</v>
      </c>
      <c r="K503" s="226">
        <f t="shared" si="9"/>
        <v>0</v>
      </c>
    </row>
    <row r="504" spans="1:11" ht="19.95" customHeight="1" x14ac:dyDescent="0.3">
      <c r="A504" s="262">
        <v>10</v>
      </c>
      <c r="C504" s="161">
        <v>476</v>
      </c>
      <c r="D504" s="161" t="s">
        <v>1140</v>
      </c>
      <c r="E504" s="969" t="s">
        <v>1141</v>
      </c>
      <c r="F504" s="970"/>
      <c r="G504" s="971"/>
      <c r="H504" s="161" t="s">
        <v>286</v>
      </c>
      <c r="I504" s="741">
        <f>+'[11]Metraj Özeti'!AI504</f>
        <v>0</v>
      </c>
      <c r="J504" s="226">
        <f>+'Yeşil Defter'!AC1005</f>
        <v>0</v>
      </c>
      <c r="K504" s="226">
        <f t="shared" si="9"/>
        <v>0</v>
      </c>
    </row>
    <row r="505" spans="1:11" ht="19.95" customHeight="1" x14ac:dyDescent="0.3">
      <c r="A505" s="262">
        <v>10</v>
      </c>
      <c r="C505" s="161">
        <v>477</v>
      </c>
      <c r="D505" s="161" t="s">
        <v>1142</v>
      </c>
      <c r="E505" s="969" t="s">
        <v>1143</v>
      </c>
      <c r="F505" s="970"/>
      <c r="G505" s="971"/>
      <c r="H505" s="161" t="s">
        <v>286</v>
      </c>
      <c r="I505" s="741">
        <f>+'[11]Metraj Özeti'!AI505</f>
        <v>0</v>
      </c>
      <c r="J505" s="226">
        <f>+'Yeşil Defter'!AC1006</f>
        <v>0</v>
      </c>
      <c r="K505" s="226">
        <f t="shared" si="9"/>
        <v>0</v>
      </c>
    </row>
    <row r="506" spans="1:11" ht="19.95" customHeight="1" x14ac:dyDescent="0.3">
      <c r="A506" s="262">
        <v>10</v>
      </c>
      <c r="C506" s="161">
        <v>478</v>
      </c>
      <c r="D506" s="161" t="s">
        <v>1144</v>
      </c>
      <c r="E506" s="969" t="s">
        <v>1145</v>
      </c>
      <c r="F506" s="970"/>
      <c r="G506" s="971"/>
      <c r="H506" s="161" t="s">
        <v>286</v>
      </c>
      <c r="I506" s="741">
        <f>+'[11]Metraj Özeti'!AI506</f>
        <v>0</v>
      </c>
      <c r="J506" s="226">
        <f>+'Yeşil Defter'!AC1007</f>
        <v>0</v>
      </c>
      <c r="K506" s="226">
        <f t="shared" si="9"/>
        <v>0</v>
      </c>
    </row>
    <row r="507" spans="1:11" ht="19.95" customHeight="1" x14ac:dyDescent="0.3">
      <c r="A507" s="262">
        <v>10</v>
      </c>
      <c r="C507" s="161">
        <v>479</v>
      </c>
      <c r="D507" s="161" t="s">
        <v>1146</v>
      </c>
      <c r="E507" s="969" t="s">
        <v>1147</v>
      </c>
      <c r="F507" s="970"/>
      <c r="G507" s="971"/>
      <c r="H507" s="161" t="s">
        <v>286</v>
      </c>
      <c r="I507" s="741">
        <f>+'[11]Metraj Özeti'!AI507</f>
        <v>0</v>
      </c>
      <c r="J507" s="226">
        <f>+'Yeşil Defter'!AC1008</f>
        <v>0</v>
      </c>
      <c r="K507" s="226">
        <f t="shared" si="9"/>
        <v>0</v>
      </c>
    </row>
    <row r="508" spans="1:11" ht="19.95" customHeight="1" x14ac:dyDescent="0.3">
      <c r="A508" s="262">
        <v>10</v>
      </c>
      <c r="C508" s="658">
        <v>480</v>
      </c>
      <c r="D508" s="658" t="s">
        <v>1148</v>
      </c>
      <c r="E508" s="1335" t="s">
        <v>1152</v>
      </c>
      <c r="F508" s="1336"/>
      <c r="G508" s="1337"/>
      <c r="H508" s="658" t="s">
        <v>286</v>
      </c>
      <c r="I508" s="741">
        <f>+'[11]Metraj Özeti'!AI508</f>
        <v>0</v>
      </c>
      <c r="J508" s="226">
        <f>+'Yeşil Defter'!AC1009</f>
        <v>0</v>
      </c>
      <c r="K508" s="226">
        <f t="shared" si="9"/>
        <v>0</v>
      </c>
    </row>
    <row r="509" spans="1:11" ht="10.050000000000001" customHeight="1" x14ac:dyDescent="0.3">
      <c r="A509" s="262" t="s">
        <v>1240</v>
      </c>
      <c r="C509" s="678"/>
      <c r="D509" s="690" t="s">
        <v>1238</v>
      </c>
      <c r="E509" s="217"/>
      <c r="F509" s="217"/>
      <c r="G509" s="217"/>
      <c r="H509" s="217"/>
      <c r="I509" s="741">
        <f>+'[11]Metraj Özeti'!AI509</f>
        <v>0</v>
      </c>
      <c r="J509" s="691"/>
      <c r="K509" s="599">
        <f t="shared" si="9"/>
        <v>0</v>
      </c>
    </row>
    <row r="510" spans="1:11" ht="19.95" customHeight="1" x14ac:dyDescent="0.3">
      <c r="A510" s="262">
        <v>11</v>
      </c>
      <c r="C510" s="161">
        <v>481</v>
      </c>
      <c r="D510" s="694" t="s">
        <v>1149</v>
      </c>
      <c r="E510" s="1338" t="s">
        <v>138</v>
      </c>
      <c r="F510" s="1086"/>
      <c r="G510" s="1339"/>
      <c r="H510" s="25" t="s">
        <v>247</v>
      </c>
      <c r="I510" s="741">
        <f>+'[11]Metraj Özeti'!AI510</f>
        <v>0</v>
      </c>
      <c r="J510" s="695">
        <f>+'Yeşil Defter'!AC1085</f>
        <v>0</v>
      </c>
      <c r="K510" s="695">
        <f t="shared" si="9"/>
        <v>0</v>
      </c>
    </row>
    <row r="511" spans="1:11" ht="10.050000000000001" customHeight="1" x14ac:dyDescent="0.3">
      <c r="A511" s="262" t="s">
        <v>1240</v>
      </c>
      <c r="C511" s="678"/>
      <c r="D511" s="263" t="s">
        <v>1239</v>
      </c>
      <c r="E511" s="217"/>
      <c r="F511" s="217"/>
      <c r="G511" s="217"/>
      <c r="H511" s="217"/>
      <c r="I511" s="741">
        <f>+'[11]Metraj Özeti'!AI511</f>
        <v>0</v>
      </c>
      <c r="J511" s="691"/>
      <c r="K511" s="599">
        <f t="shared" si="9"/>
        <v>0</v>
      </c>
    </row>
    <row r="512" spans="1:11" ht="19.95" customHeight="1" x14ac:dyDescent="0.3">
      <c r="A512" s="262">
        <v>12</v>
      </c>
      <c r="C512" s="23">
        <v>482</v>
      </c>
      <c r="D512" s="696" t="s">
        <v>1150</v>
      </c>
      <c r="E512" s="1332" t="s">
        <v>1151</v>
      </c>
      <c r="F512" s="1333"/>
      <c r="G512" s="1334"/>
      <c r="H512" s="697" t="s">
        <v>247</v>
      </c>
      <c r="I512" s="741">
        <f>+'[11]Metraj Özeti'!AI512</f>
        <v>0</v>
      </c>
      <c r="J512" s="695">
        <f>+'Yeşil Defter'!AC1087</f>
        <v>0</v>
      </c>
      <c r="K512" s="695">
        <f t="shared" si="9"/>
        <v>0</v>
      </c>
    </row>
    <row r="513" spans="1:11" ht="13.2" customHeight="1" x14ac:dyDescent="0.3">
      <c r="A513" s="262"/>
      <c r="C513" s="316"/>
      <c r="D513" s="723"/>
      <c r="E513" s="666"/>
      <c r="F513" s="666"/>
      <c r="G513" s="666"/>
      <c r="H513" s="28"/>
      <c r="I513" s="741">
        <f>+'[11]Metraj Özeti'!AI513</f>
        <v>0</v>
      </c>
      <c r="J513" s="698"/>
      <c r="K513" s="698"/>
    </row>
  </sheetData>
  <autoFilter ref="A13:A513" xr:uid="{73603584-4FAD-4DB7-B932-3276AB62821D}"/>
  <mergeCells count="490">
    <mergeCell ref="I11:K11"/>
    <mergeCell ref="E40:G40"/>
    <mergeCell ref="E41:G41"/>
    <mergeCell ref="E42:G42"/>
    <mergeCell ref="E30:G30"/>
    <mergeCell ref="E31:G31"/>
    <mergeCell ref="E32:G32"/>
    <mergeCell ref="E21:G21"/>
    <mergeCell ref="E22:G22"/>
    <mergeCell ref="E23:G23"/>
    <mergeCell ref="E24:G24"/>
    <mergeCell ref="E25:G25"/>
    <mergeCell ref="E26:G26"/>
    <mergeCell ref="E33:G33"/>
    <mergeCell ref="C2:H2"/>
    <mergeCell ref="C3:H3"/>
    <mergeCell ref="C4:H4"/>
    <mergeCell ref="C6:H6"/>
    <mergeCell ref="C7:H7"/>
    <mergeCell ref="E43:G43"/>
    <mergeCell ref="E44:G44"/>
    <mergeCell ref="E45:G45"/>
    <mergeCell ref="E34:G34"/>
    <mergeCell ref="E35:G35"/>
    <mergeCell ref="E36:G36"/>
    <mergeCell ref="E37:G37"/>
    <mergeCell ref="E38:G38"/>
    <mergeCell ref="E39:G39"/>
    <mergeCell ref="E12:G12"/>
    <mergeCell ref="E16:G16"/>
    <mergeCell ref="E17:G17"/>
    <mergeCell ref="E18:G18"/>
    <mergeCell ref="E19:G19"/>
    <mergeCell ref="E20:G20"/>
    <mergeCell ref="E27:G27"/>
    <mergeCell ref="E28:G28"/>
    <mergeCell ref="E29:G29"/>
    <mergeCell ref="E52:G52"/>
    <mergeCell ref="E53:G53"/>
    <mergeCell ref="E54:G54"/>
    <mergeCell ref="E55:G55"/>
    <mergeCell ref="E56:G56"/>
    <mergeCell ref="E57:G57"/>
    <mergeCell ref="E46:G46"/>
    <mergeCell ref="E47:G47"/>
    <mergeCell ref="E48:G48"/>
    <mergeCell ref="E49:G49"/>
    <mergeCell ref="E50:G50"/>
    <mergeCell ref="E51:G51"/>
    <mergeCell ref="E64:G64"/>
    <mergeCell ref="E58:G58"/>
    <mergeCell ref="E59:G59"/>
    <mergeCell ref="E60:G60"/>
    <mergeCell ref="E61:G61"/>
    <mergeCell ref="E62:G62"/>
    <mergeCell ref="E63:G63"/>
    <mergeCell ref="E66:G66"/>
    <mergeCell ref="E67:G67"/>
    <mergeCell ref="E68:G68"/>
    <mergeCell ref="E75:G75"/>
    <mergeCell ref="E76:G76"/>
    <mergeCell ref="E77:G77"/>
    <mergeCell ref="E78:G78"/>
    <mergeCell ref="E79:G79"/>
    <mergeCell ref="E80:G80"/>
    <mergeCell ref="E69:G69"/>
    <mergeCell ref="E70:G70"/>
    <mergeCell ref="E71:G71"/>
    <mergeCell ref="E72:G72"/>
    <mergeCell ref="E73:G73"/>
    <mergeCell ref="E74:G74"/>
    <mergeCell ref="E87:G87"/>
    <mergeCell ref="E88:G88"/>
    <mergeCell ref="E89:G89"/>
    <mergeCell ref="E90:G90"/>
    <mergeCell ref="E91:G91"/>
    <mergeCell ref="E92:G92"/>
    <mergeCell ref="E81:G81"/>
    <mergeCell ref="E82:G82"/>
    <mergeCell ref="E83:G83"/>
    <mergeCell ref="E84:G84"/>
    <mergeCell ref="E85:G85"/>
    <mergeCell ref="E86:G86"/>
    <mergeCell ref="E93:G93"/>
    <mergeCell ref="E94:G94"/>
    <mergeCell ref="E95:G95"/>
    <mergeCell ref="E96:G96"/>
    <mergeCell ref="E105:G105"/>
    <mergeCell ref="E106:G106"/>
    <mergeCell ref="E107:G107"/>
    <mergeCell ref="E108:G108"/>
    <mergeCell ref="E109:G109"/>
    <mergeCell ref="E110:G110"/>
    <mergeCell ref="E98:G98"/>
    <mergeCell ref="E99:G99"/>
    <mergeCell ref="E100:G100"/>
    <mergeCell ref="E102:G102"/>
    <mergeCell ref="E103:G103"/>
    <mergeCell ref="E104:G104"/>
    <mergeCell ref="E117:G117"/>
    <mergeCell ref="E118:G118"/>
    <mergeCell ref="E119:G119"/>
    <mergeCell ref="E120:G120"/>
    <mergeCell ref="E121:G121"/>
    <mergeCell ref="E122:G122"/>
    <mergeCell ref="E111:G111"/>
    <mergeCell ref="E112:G112"/>
    <mergeCell ref="E113:G113"/>
    <mergeCell ref="E114:G114"/>
    <mergeCell ref="E115:G115"/>
    <mergeCell ref="E116:G116"/>
    <mergeCell ref="E129:G129"/>
    <mergeCell ref="E130:G130"/>
    <mergeCell ref="E131:G131"/>
    <mergeCell ref="E132:G132"/>
    <mergeCell ref="E133:G133"/>
    <mergeCell ref="E134:G134"/>
    <mergeCell ref="E123:G123"/>
    <mergeCell ref="E124:G124"/>
    <mergeCell ref="E125:G125"/>
    <mergeCell ref="E126:G126"/>
    <mergeCell ref="E127:G127"/>
    <mergeCell ref="E128:G128"/>
    <mergeCell ref="E141:G141"/>
    <mergeCell ref="E142:G142"/>
    <mergeCell ref="E143:G143"/>
    <mergeCell ref="E144:G144"/>
    <mergeCell ref="E145:G145"/>
    <mergeCell ref="E146:G146"/>
    <mergeCell ref="E135:G135"/>
    <mergeCell ref="E136:G136"/>
    <mergeCell ref="E137:G137"/>
    <mergeCell ref="E138:G138"/>
    <mergeCell ref="E139:G139"/>
    <mergeCell ref="E140:G140"/>
    <mergeCell ref="E153:G153"/>
    <mergeCell ref="E154:G154"/>
    <mergeCell ref="E155:G155"/>
    <mergeCell ref="E156:G156"/>
    <mergeCell ref="E157:G157"/>
    <mergeCell ref="E158:G158"/>
    <mergeCell ref="E147:G147"/>
    <mergeCell ref="E148:G148"/>
    <mergeCell ref="E149:G149"/>
    <mergeCell ref="E150:G150"/>
    <mergeCell ref="E151:G151"/>
    <mergeCell ref="E152:G152"/>
    <mergeCell ref="E165:G165"/>
    <mergeCell ref="E166:G166"/>
    <mergeCell ref="E167:G167"/>
    <mergeCell ref="E168:G168"/>
    <mergeCell ref="E169:G169"/>
    <mergeCell ref="E170:G170"/>
    <mergeCell ref="E159:G159"/>
    <mergeCell ref="E160:G160"/>
    <mergeCell ref="E161:G161"/>
    <mergeCell ref="E162:G162"/>
    <mergeCell ref="E163:G163"/>
    <mergeCell ref="E164:G164"/>
    <mergeCell ref="E177:G177"/>
    <mergeCell ref="E178:G178"/>
    <mergeCell ref="E179:G179"/>
    <mergeCell ref="E180:G180"/>
    <mergeCell ref="E181:G181"/>
    <mergeCell ref="E182:G182"/>
    <mergeCell ref="E171:G171"/>
    <mergeCell ref="E172:G172"/>
    <mergeCell ref="E173:G173"/>
    <mergeCell ref="E174:G174"/>
    <mergeCell ref="E175:G175"/>
    <mergeCell ref="E176:G176"/>
    <mergeCell ref="E189:G189"/>
    <mergeCell ref="E190:G190"/>
    <mergeCell ref="E191:G191"/>
    <mergeCell ref="E192:G192"/>
    <mergeCell ref="E193:G193"/>
    <mergeCell ref="E194:G194"/>
    <mergeCell ref="E183:G183"/>
    <mergeCell ref="E184:G184"/>
    <mergeCell ref="E185:G185"/>
    <mergeCell ref="E186:G186"/>
    <mergeCell ref="E187:G187"/>
    <mergeCell ref="E188:G188"/>
    <mergeCell ref="E201:G201"/>
    <mergeCell ref="E202:G202"/>
    <mergeCell ref="E203:G203"/>
    <mergeCell ref="E205:G205"/>
    <mergeCell ref="E206:G206"/>
    <mergeCell ref="E207:G207"/>
    <mergeCell ref="E195:G195"/>
    <mergeCell ref="E196:G196"/>
    <mergeCell ref="E197:G197"/>
    <mergeCell ref="E198:G198"/>
    <mergeCell ref="E199:G199"/>
    <mergeCell ref="E200:G200"/>
    <mergeCell ref="E214:G214"/>
    <mergeCell ref="E215:G215"/>
    <mergeCell ref="E216:G216"/>
    <mergeCell ref="E217:G217"/>
    <mergeCell ref="E218:G218"/>
    <mergeCell ref="E219:G219"/>
    <mergeCell ref="E208:G208"/>
    <mergeCell ref="E209:G209"/>
    <mergeCell ref="E210:G210"/>
    <mergeCell ref="E211:G211"/>
    <mergeCell ref="E212:G212"/>
    <mergeCell ref="E213:G213"/>
    <mergeCell ref="E226:G226"/>
    <mergeCell ref="E227:G227"/>
    <mergeCell ref="E228:G228"/>
    <mergeCell ref="E229:G229"/>
    <mergeCell ref="E230:G230"/>
    <mergeCell ref="E231:G231"/>
    <mergeCell ref="E220:G220"/>
    <mergeCell ref="E221:G221"/>
    <mergeCell ref="E222:G222"/>
    <mergeCell ref="E223:G223"/>
    <mergeCell ref="E224:G224"/>
    <mergeCell ref="E225:G225"/>
    <mergeCell ref="E238:G238"/>
    <mergeCell ref="E239:G239"/>
    <mergeCell ref="E240:G240"/>
    <mergeCell ref="E241:G241"/>
    <mergeCell ref="E242:G242"/>
    <mergeCell ref="E243:G243"/>
    <mergeCell ref="E232:G232"/>
    <mergeCell ref="E233:G233"/>
    <mergeCell ref="E234:G234"/>
    <mergeCell ref="E235:G235"/>
    <mergeCell ref="E236:G236"/>
    <mergeCell ref="E237:G237"/>
    <mergeCell ref="E250:G250"/>
    <mergeCell ref="E251:G251"/>
    <mergeCell ref="E252:G252"/>
    <mergeCell ref="E253:G253"/>
    <mergeCell ref="E254:G254"/>
    <mergeCell ref="E255:G255"/>
    <mergeCell ref="E244:G244"/>
    <mergeCell ref="E245:G245"/>
    <mergeCell ref="E246:G246"/>
    <mergeCell ref="E247:G247"/>
    <mergeCell ref="E248:G248"/>
    <mergeCell ref="E249:G249"/>
    <mergeCell ref="E262:G262"/>
    <mergeCell ref="E263:G263"/>
    <mergeCell ref="E264:G264"/>
    <mergeCell ref="E265:G265"/>
    <mergeCell ref="E266:G266"/>
    <mergeCell ref="E267:G267"/>
    <mergeCell ref="E256:G256"/>
    <mergeCell ref="E257:G257"/>
    <mergeCell ref="E258:G258"/>
    <mergeCell ref="E259:G259"/>
    <mergeCell ref="E260:G260"/>
    <mergeCell ref="E261:G261"/>
    <mergeCell ref="E274:G274"/>
    <mergeCell ref="E275:G275"/>
    <mergeCell ref="E276:G276"/>
    <mergeCell ref="E277:G277"/>
    <mergeCell ref="E278:G278"/>
    <mergeCell ref="E279:G279"/>
    <mergeCell ref="E268:G268"/>
    <mergeCell ref="E269:G269"/>
    <mergeCell ref="E270:G270"/>
    <mergeCell ref="E271:G271"/>
    <mergeCell ref="E272:G272"/>
    <mergeCell ref="E273:G273"/>
    <mergeCell ref="E287:G287"/>
    <mergeCell ref="E288:G288"/>
    <mergeCell ref="E289:G289"/>
    <mergeCell ref="E290:G290"/>
    <mergeCell ref="E292:G292"/>
    <mergeCell ref="E293:G293"/>
    <mergeCell ref="E280:G280"/>
    <mergeCell ref="E282:G282"/>
    <mergeCell ref="E283:G283"/>
    <mergeCell ref="E284:G284"/>
    <mergeCell ref="E285:G285"/>
    <mergeCell ref="E286:G286"/>
    <mergeCell ref="E300:G300"/>
    <mergeCell ref="E301:G301"/>
    <mergeCell ref="E302:G302"/>
    <mergeCell ref="E303:G303"/>
    <mergeCell ref="E304:G304"/>
    <mergeCell ref="E305:G305"/>
    <mergeCell ref="E294:G294"/>
    <mergeCell ref="E295:G295"/>
    <mergeCell ref="E296:G296"/>
    <mergeCell ref="E297:G297"/>
    <mergeCell ref="E298:G298"/>
    <mergeCell ref="E299:G299"/>
    <mergeCell ref="E312:G312"/>
    <mergeCell ref="E313:G313"/>
    <mergeCell ref="E314:G314"/>
    <mergeCell ref="E315:G315"/>
    <mergeCell ref="E316:G316"/>
    <mergeCell ref="E317:G317"/>
    <mergeCell ref="E306:G306"/>
    <mergeCell ref="E307:G307"/>
    <mergeCell ref="E308:G308"/>
    <mergeCell ref="E309:G309"/>
    <mergeCell ref="E310:G310"/>
    <mergeCell ref="E311:G311"/>
    <mergeCell ref="E324:G324"/>
    <mergeCell ref="E325:G325"/>
    <mergeCell ref="E326:G326"/>
    <mergeCell ref="E327:G327"/>
    <mergeCell ref="E328:G328"/>
    <mergeCell ref="E329:G329"/>
    <mergeCell ref="E318:G318"/>
    <mergeCell ref="E319:G319"/>
    <mergeCell ref="E320:G320"/>
    <mergeCell ref="E321:G321"/>
    <mergeCell ref="E322:G322"/>
    <mergeCell ref="E323:G323"/>
    <mergeCell ref="E336:G336"/>
    <mergeCell ref="E337:G337"/>
    <mergeCell ref="E338:G338"/>
    <mergeCell ref="E339:G339"/>
    <mergeCell ref="E340:G340"/>
    <mergeCell ref="E341:G341"/>
    <mergeCell ref="E330:G330"/>
    <mergeCell ref="E331:G331"/>
    <mergeCell ref="E332:G332"/>
    <mergeCell ref="E333:G333"/>
    <mergeCell ref="E334:G334"/>
    <mergeCell ref="E335:G335"/>
    <mergeCell ref="E348:G348"/>
    <mergeCell ref="E349:G349"/>
    <mergeCell ref="E350:G350"/>
    <mergeCell ref="E351:G351"/>
    <mergeCell ref="E352:G352"/>
    <mergeCell ref="E353:G353"/>
    <mergeCell ref="E342:G342"/>
    <mergeCell ref="E343:G343"/>
    <mergeCell ref="E344:G344"/>
    <mergeCell ref="E345:G345"/>
    <mergeCell ref="E346:G346"/>
    <mergeCell ref="E347:G347"/>
    <mergeCell ref="E360:G360"/>
    <mergeCell ref="E361:G361"/>
    <mergeCell ref="E362:G362"/>
    <mergeCell ref="E363:G363"/>
    <mergeCell ref="E364:G364"/>
    <mergeCell ref="E365:G365"/>
    <mergeCell ref="E354:G354"/>
    <mergeCell ref="E355:G355"/>
    <mergeCell ref="E356:G356"/>
    <mergeCell ref="E357:G357"/>
    <mergeCell ref="E358:G358"/>
    <mergeCell ref="E359:G359"/>
    <mergeCell ref="E373:G373"/>
    <mergeCell ref="E374:G374"/>
    <mergeCell ref="E375:G375"/>
    <mergeCell ref="E376:G376"/>
    <mergeCell ref="E377:G377"/>
    <mergeCell ref="E378:G378"/>
    <mergeCell ref="E366:G366"/>
    <mergeCell ref="E367:G367"/>
    <mergeCell ref="E368:G368"/>
    <mergeCell ref="E369:G369"/>
    <mergeCell ref="E370:G370"/>
    <mergeCell ref="E371:G371"/>
    <mergeCell ref="E385:G385"/>
    <mergeCell ref="E386:G386"/>
    <mergeCell ref="E387:G387"/>
    <mergeCell ref="E388:G388"/>
    <mergeCell ref="E389:G389"/>
    <mergeCell ref="E390:G390"/>
    <mergeCell ref="E379:G379"/>
    <mergeCell ref="E380:G380"/>
    <mergeCell ref="E381:G381"/>
    <mergeCell ref="E382:G382"/>
    <mergeCell ref="E383:G383"/>
    <mergeCell ref="E384:G384"/>
    <mergeCell ref="E398:G398"/>
    <mergeCell ref="E399:G399"/>
    <mergeCell ref="E400:G400"/>
    <mergeCell ref="E401:G401"/>
    <mergeCell ref="E402:G402"/>
    <mergeCell ref="E403:G403"/>
    <mergeCell ref="E392:G392"/>
    <mergeCell ref="E393:G393"/>
    <mergeCell ref="E394:G394"/>
    <mergeCell ref="E395:G395"/>
    <mergeCell ref="E396:G396"/>
    <mergeCell ref="E397:G397"/>
    <mergeCell ref="E410:G410"/>
    <mergeCell ref="E411:G411"/>
    <mergeCell ref="E412:G412"/>
    <mergeCell ref="E413:G413"/>
    <mergeCell ref="E414:G414"/>
    <mergeCell ref="E415:G415"/>
    <mergeCell ref="E404:G404"/>
    <mergeCell ref="E405:G405"/>
    <mergeCell ref="E406:G406"/>
    <mergeCell ref="E407:G407"/>
    <mergeCell ref="E408:G408"/>
    <mergeCell ref="E409:G409"/>
    <mergeCell ref="E422:G422"/>
    <mergeCell ref="E423:G423"/>
    <mergeCell ref="E424:G424"/>
    <mergeCell ref="E425:G425"/>
    <mergeCell ref="E426:G426"/>
    <mergeCell ref="E427:G427"/>
    <mergeCell ref="E416:G416"/>
    <mergeCell ref="E417:G417"/>
    <mergeCell ref="E418:G418"/>
    <mergeCell ref="E419:G419"/>
    <mergeCell ref="E420:G420"/>
    <mergeCell ref="E421:G421"/>
    <mergeCell ref="E435:G435"/>
    <mergeCell ref="E436:G436"/>
    <mergeCell ref="E437:G437"/>
    <mergeCell ref="E438:G438"/>
    <mergeCell ref="E439:G439"/>
    <mergeCell ref="E440:G440"/>
    <mergeCell ref="E428:G428"/>
    <mergeCell ref="E429:G429"/>
    <mergeCell ref="E430:G430"/>
    <mergeCell ref="E432:G432"/>
    <mergeCell ref="E433:G433"/>
    <mergeCell ref="E434:G434"/>
    <mergeCell ref="E448:G448"/>
    <mergeCell ref="E449:G449"/>
    <mergeCell ref="E450:G450"/>
    <mergeCell ref="E452:G452"/>
    <mergeCell ref="E453:G453"/>
    <mergeCell ref="E454:G454"/>
    <mergeCell ref="E442:G442"/>
    <mergeCell ref="E443:G443"/>
    <mergeCell ref="E444:G444"/>
    <mergeCell ref="E445:G445"/>
    <mergeCell ref="E446:G446"/>
    <mergeCell ref="E447:G447"/>
    <mergeCell ref="E462:G462"/>
    <mergeCell ref="E463:G463"/>
    <mergeCell ref="E464:G464"/>
    <mergeCell ref="E465:G465"/>
    <mergeCell ref="E466:G466"/>
    <mergeCell ref="E467:G467"/>
    <mergeCell ref="E455:G455"/>
    <mergeCell ref="E457:G457"/>
    <mergeCell ref="E458:G458"/>
    <mergeCell ref="E459:G459"/>
    <mergeCell ref="E460:G460"/>
    <mergeCell ref="E461:G461"/>
    <mergeCell ref="E474:G474"/>
    <mergeCell ref="E475:G475"/>
    <mergeCell ref="E476:G476"/>
    <mergeCell ref="E477:G477"/>
    <mergeCell ref="E478:G478"/>
    <mergeCell ref="E479:G479"/>
    <mergeCell ref="E468:G468"/>
    <mergeCell ref="E469:G469"/>
    <mergeCell ref="E470:G470"/>
    <mergeCell ref="E471:G471"/>
    <mergeCell ref="E472:G472"/>
    <mergeCell ref="E473:G473"/>
    <mergeCell ref="E496:G496"/>
    <mergeCell ref="E497:G497"/>
    <mergeCell ref="E486:G486"/>
    <mergeCell ref="E487:G487"/>
    <mergeCell ref="E488:G488"/>
    <mergeCell ref="E489:G489"/>
    <mergeCell ref="E490:G490"/>
    <mergeCell ref="E491:G491"/>
    <mergeCell ref="E480:G480"/>
    <mergeCell ref="E481:G481"/>
    <mergeCell ref="E482:G482"/>
    <mergeCell ref="E483:G483"/>
    <mergeCell ref="E484:G484"/>
    <mergeCell ref="E485:G485"/>
    <mergeCell ref="E492:G492"/>
    <mergeCell ref="E493:G493"/>
    <mergeCell ref="E494:G494"/>
    <mergeCell ref="E495:G495"/>
    <mergeCell ref="E512:G512"/>
    <mergeCell ref="E504:G504"/>
    <mergeCell ref="E505:G505"/>
    <mergeCell ref="E506:G506"/>
    <mergeCell ref="E507:G507"/>
    <mergeCell ref="E508:G508"/>
    <mergeCell ref="E510:G510"/>
    <mergeCell ref="E498:G498"/>
    <mergeCell ref="E499:G499"/>
    <mergeCell ref="E500:G500"/>
    <mergeCell ref="E501:G501"/>
    <mergeCell ref="E502:G502"/>
    <mergeCell ref="E503:G503"/>
  </mergeCells>
  <printOptions horizontalCentered="1"/>
  <pageMargins left="0.25" right="0.25" top="0.75" bottom="0.75" header="0.3" footer="0.3"/>
  <pageSetup paperSize="9" scale="83" fitToHeight="0" orientation="landscape" r:id="rId1"/>
  <headerFooter>
    <oddHeader>&amp;L&amp;"Aptos"&amp;10&amp;K008000 Herkese Açık (Public)&amp;1#_x000D_</oddHeader>
    <oddFooter>&amp;L_x000D_&amp;1#&amp;"Aptos"&amp;10&amp;K008000 Herkese Açık (Public)&amp;CMetraj Özeti: &amp;P/&amp;N</oddFooter>
  </headerFooter>
  <rowBreaks count="2" manualBreakCount="2">
    <brk id="64" min="2" max="34" man="1"/>
    <brk id="96" min="2" max="34"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DB37-5CB9-4888-AF21-86B625E9709E}">
  <sheetPr codeName="Sayfa24">
    <pageSetUpPr fitToPage="1"/>
  </sheetPr>
  <dimension ref="A1:V49"/>
  <sheetViews>
    <sheetView view="pageBreakPreview" zoomScale="190" zoomScaleNormal="100" zoomScaleSheetLayoutView="190" workbookViewId="0">
      <selection activeCell="U2" sqref="U2"/>
    </sheetView>
  </sheetViews>
  <sheetFormatPr defaultRowHeight="14.4" x14ac:dyDescent="0.3"/>
  <cols>
    <col min="1" max="1" width="4.77734375" customWidth="1"/>
    <col min="2" max="2" width="4.77734375" style="368" customWidth="1"/>
    <col min="3" max="20" width="4.77734375" customWidth="1"/>
  </cols>
  <sheetData>
    <row r="1" spans="1:22" ht="42" customHeight="1" x14ac:dyDescent="0.3">
      <c r="A1" s="1391">
        <f>+Veri!$C$21</f>
        <v>6</v>
      </c>
      <c r="B1" s="366" t="str">
        <f>+Veri!$C$20</f>
        <v>01.04.2026</v>
      </c>
      <c r="C1" s="374" t="s">
        <v>1430</v>
      </c>
      <c r="D1" s="1393" t="s">
        <v>1328</v>
      </c>
      <c r="E1" s="1394"/>
      <c r="F1" s="1394"/>
      <c r="G1" s="1394"/>
      <c r="H1" s="1394"/>
      <c r="I1" s="1394"/>
      <c r="J1" s="1394"/>
      <c r="K1" s="1394"/>
      <c r="L1" s="1394"/>
      <c r="M1" s="1394"/>
      <c r="N1" s="1394"/>
      <c r="O1" s="1394"/>
      <c r="P1" s="1394"/>
      <c r="Q1" s="1394"/>
      <c r="R1" s="1394"/>
      <c r="S1" s="362"/>
      <c r="T1" s="363"/>
    </row>
    <row r="2" spans="1:22" ht="42" customHeight="1" x14ac:dyDescent="0.3">
      <c r="A2" s="1392"/>
      <c r="B2" s="367">
        <f>+Veri!$C$22</f>
        <v>46142</v>
      </c>
      <c r="C2" s="375" t="s">
        <v>1337</v>
      </c>
      <c r="D2" s="1395" t="s">
        <v>1329</v>
      </c>
      <c r="E2" s="1396"/>
      <c r="F2" s="1396"/>
      <c r="G2" s="1396"/>
      <c r="H2" s="1396"/>
      <c r="I2" s="1396"/>
      <c r="J2" s="1396"/>
      <c r="K2" s="1396"/>
      <c r="L2" s="1396"/>
      <c r="M2" s="1396"/>
      <c r="N2" s="1396"/>
      <c r="O2" s="1396"/>
      <c r="P2" s="1396"/>
      <c r="Q2" s="1396"/>
      <c r="R2" s="1396"/>
      <c r="S2" s="364"/>
      <c r="T2" s="365"/>
      <c r="V2" s="4"/>
    </row>
    <row r="3" spans="1:22" ht="75" customHeight="1" x14ac:dyDescent="0.3">
      <c r="A3" s="1391">
        <f>+Veri!$C$21</f>
        <v>6</v>
      </c>
      <c r="B3" s="366" t="str">
        <f>+Veri!$C$20</f>
        <v>01.04.2026</v>
      </c>
      <c r="C3" s="374" t="s">
        <v>1430</v>
      </c>
      <c r="D3" s="1393" t="s">
        <v>1328</v>
      </c>
      <c r="E3" s="1394"/>
      <c r="F3" s="1394"/>
      <c r="G3" s="1394"/>
      <c r="H3" s="1394"/>
      <c r="I3" s="1394"/>
      <c r="J3" s="1394"/>
      <c r="K3" s="1394"/>
      <c r="L3" s="1394"/>
      <c r="M3" s="1394"/>
      <c r="N3" s="1394"/>
      <c r="O3" s="1394"/>
      <c r="P3" s="1394"/>
      <c r="Q3" s="1394"/>
      <c r="R3" s="1394"/>
      <c r="S3" s="362"/>
      <c r="T3" s="363"/>
    </row>
    <row r="4" spans="1:22" ht="75" customHeight="1" x14ac:dyDescent="0.3">
      <c r="A4" s="1392"/>
      <c r="B4" s="367">
        <f>+Veri!$C$22</f>
        <v>46142</v>
      </c>
      <c r="C4" s="375" t="s">
        <v>1511</v>
      </c>
      <c r="D4" s="1395" t="s">
        <v>1329</v>
      </c>
      <c r="E4" s="1396"/>
      <c r="F4" s="1396"/>
      <c r="G4" s="1396"/>
      <c r="H4" s="1396"/>
      <c r="I4" s="1396"/>
      <c r="J4" s="1396"/>
      <c r="K4" s="1396"/>
      <c r="L4" s="1396"/>
      <c r="M4" s="1396"/>
      <c r="N4" s="1396"/>
      <c r="O4" s="1396"/>
      <c r="P4" s="1396"/>
      <c r="Q4" s="1396"/>
      <c r="R4" s="1396"/>
      <c r="S4" s="364"/>
      <c r="T4" s="365"/>
      <c r="V4" s="4"/>
    </row>
    <row r="5" spans="1:22" ht="42" customHeight="1" x14ac:dyDescent="0.3">
      <c r="A5" s="1391">
        <f>+Veri!$C$21</f>
        <v>6</v>
      </c>
      <c r="B5" s="366" t="str">
        <f>+Veri!$C$20</f>
        <v>01.04.2026</v>
      </c>
      <c r="C5" s="374" t="s">
        <v>1430</v>
      </c>
      <c r="D5" s="1393" t="s">
        <v>1328</v>
      </c>
      <c r="E5" s="1394"/>
      <c r="F5" s="1394"/>
      <c r="G5" s="1394"/>
      <c r="H5" s="1394"/>
      <c r="I5" s="1394"/>
      <c r="J5" s="1394"/>
      <c r="K5" s="1394"/>
      <c r="L5" s="1394"/>
      <c r="M5" s="1394"/>
      <c r="N5" s="1394"/>
      <c r="O5" s="1394"/>
      <c r="P5" s="1394"/>
      <c r="Q5" s="1394"/>
      <c r="R5" s="1394"/>
      <c r="S5" s="362"/>
      <c r="T5" s="363"/>
    </row>
    <row r="6" spans="1:22" ht="42" customHeight="1" x14ac:dyDescent="0.3">
      <c r="A6" s="1392"/>
      <c r="B6" s="367">
        <f>+Veri!$C$22</f>
        <v>46142</v>
      </c>
      <c r="C6" s="375" t="s">
        <v>1337</v>
      </c>
      <c r="D6" s="1395" t="s">
        <v>1329</v>
      </c>
      <c r="E6" s="1396"/>
      <c r="F6" s="1396"/>
      <c r="G6" s="1396"/>
      <c r="H6" s="1396"/>
      <c r="I6" s="1396"/>
      <c r="J6" s="1396"/>
      <c r="K6" s="1396"/>
      <c r="L6" s="1396"/>
      <c r="M6" s="1396"/>
      <c r="N6" s="1396"/>
      <c r="O6" s="1396"/>
      <c r="P6" s="1396"/>
      <c r="Q6" s="1396"/>
      <c r="R6" s="1396"/>
      <c r="S6" s="364"/>
      <c r="T6" s="365"/>
      <c r="V6" s="4"/>
    </row>
    <row r="7" spans="1:22" ht="42" customHeight="1" x14ac:dyDescent="0.3">
      <c r="A7" s="1391">
        <f>+Veri!$C$21</f>
        <v>6</v>
      </c>
      <c r="B7" s="366" t="str">
        <f>+Veri!$C$20</f>
        <v>01.04.2026</v>
      </c>
      <c r="C7" s="374" t="s">
        <v>1430</v>
      </c>
      <c r="D7" s="1393" t="s">
        <v>1328</v>
      </c>
      <c r="E7" s="1394"/>
      <c r="F7" s="1394"/>
      <c r="G7" s="1394"/>
      <c r="H7" s="1394"/>
      <c r="I7" s="1394"/>
      <c r="J7" s="1394"/>
      <c r="K7" s="1394"/>
      <c r="L7" s="1394"/>
      <c r="M7" s="1394"/>
      <c r="N7" s="1394"/>
      <c r="O7" s="1394"/>
      <c r="P7" s="1394"/>
      <c r="Q7" s="1394"/>
      <c r="R7" s="1394"/>
      <c r="S7" s="362"/>
      <c r="T7" s="363"/>
    </row>
    <row r="8" spans="1:22" ht="42" customHeight="1" x14ac:dyDescent="0.3">
      <c r="A8" s="1392"/>
      <c r="B8" s="367">
        <f>+Veri!$C$22</f>
        <v>46142</v>
      </c>
      <c r="C8" s="375" t="s">
        <v>1337</v>
      </c>
      <c r="D8" s="1395" t="s">
        <v>1329</v>
      </c>
      <c r="E8" s="1396"/>
      <c r="F8" s="1396"/>
      <c r="G8" s="1396"/>
      <c r="H8" s="1396"/>
      <c r="I8" s="1396"/>
      <c r="J8" s="1396"/>
      <c r="K8" s="1396"/>
      <c r="L8" s="1396"/>
      <c r="M8" s="1396"/>
      <c r="N8" s="1396"/>
      <c r="O8" s="1396"/>
      <c r="P8" s="1396"/>
      <c r="Q8" s="1396"/>
      <c r="R8" s="1396"/>
      <c r="S8" s="364"/>
      <c r="T8" s="365"/>
      <c r="V8" s="4"/>
    </row>
    <row r="9" spans="1:22" ht="42" customHeight="1" x14ac:dyDescent="0.3">
      <c r="A9" s="1391">
        <f>+Veri!$C$21</f>
        <v>6</v>
      </c>
      <c r="B9" s="366" t="str">
        <f>+Veri!$C$20</f>
        <v>01.04.2026</v>
      </c>
      <c r="C9" s="374" t="s">
        <v>1430</v>
      </c>
      <c r="D9" s="1393" t="s">
        <v>1328</v>
      </c>
      <c r="E9" s="1394"/>
      <c r="F9" s="1394"/>
      <c r="G9" s="1394"/>
      <c r="H9" s="1394"/>
      <c r="I9" s="1394"/>
      <c r="J9" s="1394"/>
      <c r="K9" s="1394"/>
      <c r="L9" s="1394"/>
      <c r="M9" s="1394"/>
      <c r="N9" s="1394"/>
      <c r="O9" s="1394"/>
      <c r="P9" s="1394"/>
      <c r="Q9" s="1394"/>
      <c r="R9" s="1394"/>
      <c r="S9" s="362"/>
      <c r="T9" s="363"/>
    </row>
    <row r="10" spans="1:22" ht="42" customHeight="1" x14ac:dyDescent="0.3">
      <c r="A10" s="1392"/>
      <c r="B10" s="367">
        <f>+Veri!$C$22</f>
        <v>46142</v>
      </c>
      <c r="C10" s="375" t="s">
        <v>1337</v>
      </c>
      <c r="D10" s="1395" t="s">
        <v>1329</v>
      </c>
      <c r="E10" s="1396"/>
      <c r="F10" s="1396"/>
      <c r="G10" s="1396"/>
      <c r="H10" s="1396"/>
      <c r="I10" s="1396"/>
      <c r="J10" s="1396"/>
      <c r="K10" s="1396"/>
      <c r="L10" s="1396"/>
      <c r="M10" s="1396"/>
      <c r="N10" s="1396"/>
      <c r="O10" s="1396"/>
      <c r="P10" s="1396"/>
      <c r="Q10" s="1396"/>
      <c r="R10" s="1396"/>
      <c r="S10" s="364"/>
      <c r="T10" s="365"/>
      <c r="V10" s="4"/>
    </row>
    <row r="11" spans="1:22" ht="42" customHeight="1" x14ac:dyDescent="0.3">
      <c r="A11" s="1391">
        <f>+Veri!$C$21</f>
        <v>6</v>
      </c>
      <c r="B11" s="366" t="str">
        <f>+Veri!$C$20</f>
        <v>01.04.2026</v>
      </c>
      <c r="C11" s="374" t="s">
        <v>1430</v>
      </c>
      <c r="D11" s="1393" t="s">
        <v>1328</v>
      </c>
      <c r="E11" s="1394"/>
      <c r="F11" s="1394"/>
      <c r="G11" s="1394"/>
      <c r="H11" s="1394"/>
      <c r="I11" s="1394"/>
      <c r="J11" s="1394"/>
      <c r="K11" s="1394"/>
      <c r="L11" s="1394"/>
      <c r="M11" s="1394"/>
      <c r="N11" s="1394"/>
      <c r="O11" s="1394"/>
      <c r="P11" s="1394"/>
      <c r="Q11" s="1394"/>
      <c r="R11" s="1394"/>
      <c r="S11" s="362"/>
      <c r="T11" s="363"/>
    </row>
    <row r="12" spans="1:22" ht="42" customHeight="1" x14ac:dyDescent="0.3">
      <c r="A12" s="1392"/>
      <c r="B12" s="367">
        <f>+Veri!$C$22</f>
        <v>46142</v>
      </c>
      <c r="C12" s="375" t="s">
        <v>1337</v>
      </c>
      <c r="D12" s="1395" t="s">
        <v>1329</v>
      </c>
      <c r="E12" s="1396"/>
      <c r="F12" s="1396"/>
      <c r="G12" s="1396"/>
      <c r="H12" s="1396"/>
      <c r="I12" s="1396"/>
      <c r="J12" s="1396"/>
      <c r="K12" s="1396"/>
      <c r="L12" s="1396"/>
      <c r="M12" s="1396"/>
      <c r="N12" s="1396"/>
      <c r="O12" s="1396"/>
      <c r="P12" s="1396"/>
      <c r="Q12" s="1396"/>
      <c r="R12" s="1396"/>
      <c r="S12" s="364"/>
      <c r="T12" s="365"/>
      <c r="V12" s="4"/>
    </row>
    <row r="13" spans="1:22" ht="42" customHeight="1" x14ac:dyDescent="0.3"/>
    <row r="14" spans="1:22" ht="42" customHeight="1" x14ac:dyDescent="0.3"/>
    <row r="15" spans="1:22" ht="42" customHeight="1" x14ac:dyDescent="0.3"/>
    <row r="16" spans="1:22" ht="42" customHeight="1" x14ac:dyDescent="0.3"/>
    <row r="17" ht="42" customHeight="1" x14ac:dyDescent="0.3"/>
    <row r="18" ht="42" customHeight="1" x14ac:dyDescent="0.3"/>
    <row r="19" ht="42" customHeight="1" x14ac:dyDescent="0.3"/>
    <row r="20" ht="42" customHeight="1" x14ac:dyDescent="0.3"/>
    <row r="21" ht="34.950000000000003" customHeight="1" x14ac:dyDescent="0.3"/>
    <row r="22" ht="34.950000000000003" customHeight="1" x14ac:dyDescent="0.3"/>
    <row r="23" ht="34.950000000000003" customHeight="1" x14ac:dyDescent="0.3"/>
    <row r="24" ht="34.950000000000003" customHeight="1" x14ac:dyDescent="0.3"/>
    <row r="25" ht="34.049999999999997" customHeight="1" x14ac:dyDescent="0.3"/>
    <row r="26" ht="34.049999999999997" customHeight="1" x14ac:dyDescent="0.3"/>
    <row r="27" ht="40.049999999999997" customHeight="1" x14ac:dyDescent="0.3"/>
    <row r="28" ht="40.049999999999997" customHeight="1" x14ac:dyDescent="0.3"/>
    <row r="29" ht="40.049999999999997" customHeight="1" x14ac:dyDescent="0.3"/>
    <row r="30" ht="40.049999999999997" customHeight="1" x14ac:dyDescent="0.3"/>
    <row r="31" ht="40.049999999999997" customHeight="1" x14ac:dyDescent="0.3"/>
    <row r="32" ht="40.049999999999997" customHeight="1" x14ac:dyDescent="0.3"/>
    <row r="33" ht="40.049999999999997" customHeight="1" x14ac:dyDescent="0.3"/>
    <row r="34" ht="40.049999999999997" customHeight="1" x14ac:dyDescent="0.3"/>
    <row r="35" ht="40.049999999999997" customHeight="1" x14ac:dyDescent="0.3"/>
    <row r="36" ht="40.049999999999997" customHeight="1" x14ac:dyDescent="0.3"/>
    <row r="37" ht="40.049999999999997" customHeight="1" x14ac:dyDescent="0.3"/>
    <row r="38" ht="40.049999999999997" customHeight="1" x14ac:dyDescent="0.3"/>
    <row r="39" ht="40.049999999999997" customHeight="1" x14ac:dyDescent="0.3"/>
    <row r="40" ht="40.049999999999997" customHeight="1" x14ac:dyDescent="0.3"/>
    <row r="41" ht="40.049999999999997" customHeight="1" x14ac:dyDescent="0.3"/>
    <row r="42" ht="40.049999999999997" customHeight="1" x14ac:dyDescent="0.3"/>
    <row r="43" ht="40.049999999999997" customHeight="1" x14ac:dyDescent="0.3"/>
    <row r="44" ht="40.049999999999997" customHeight="1" x14ac:dyDescent="0.3"/>
    <row r="45" ht="40.049999999999997" customHeight="1" x14ac:dyDescent="0.3"/>
    <row r="46" ht="40.049999999999997" customHeight="1" x14ac:dyDescent="0.3"/>
    <row r="47" ht="40.049999999999997" customHeight="1" x14ac:dyDescent="0.3"/>
    <row r="48" ht="40.049999999999997" customHeight="1" x14ac:dyDescent="0.3"/>
    <row r="49" ht="40.049999999999997" customHeight="1" x14ac:dyDescent="0.3"/>
  </sheetData>
  <mergeCells count="18">
    <mergeCell ref="A9:A10"/>
    <mergeCell ref="A11:A12"/>
    <mergeCell ref="D9:R9"/>
    <mergeCell ref="D10:R10"/>
    <mergeCell ref="D11:R11"/>
    <mergeCell ref="D12:R12"/>
    <mergeCell ref="A5:A6"/>
    <mergeCell ref="A7:A8"/>
    <mergeCell ref="D5:R5"/>
    <mergeCell ref="D6:R6"/>
    <mergeCell ref="D7:R7"/>
    <mergeCell ref="D8:R8"/>
    <mergeCell ref="A1:A2"/>
    <mergeCell ref="A3:A4"/>
    <mergeCell ref="D1:R1"/>
    <mergeCell ref="D2:R2"/>
    <mergeCell ref="D3:R3"/>
    <mergeCell ref="D4:R4"/>
  </mergeCells>
  <printOptions horizontalCentered="1" verticalCentered="1"/>
  <pageMargins left="0" right="0" top="0" bottom="0" header="0" footer="0"/>
  <pageSetup paperSize="9" scale="89" orientation="portrait" r:id="rId1"/>
  <headerFooter>
    <oddFooter>&amp;L_x000D_&amp;1#&amp;"Aptos"&amp;10&amp;K008000 Herkese Açık (Public)</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72CBD-CE43-42E9-983D-5628A6556B73}">
  <sheetPr codeName="Sayfa31">
    <pageSetUpPr fitToPage="1"/>
  </sheetPr>
  <dimension ref="A1:W49"/>
  <sheetViews>
    <sheetView view="pageBreakPreview" zoomScale="190" zoomScaleNormal="100" zoomScaleSheetLayoutView="190" workbookViewId="0">
      <selection activeCell="C1" sqref="C1"/>
    </sheetView>
  </sheetViews>
  <sheetFormatPr defaultRowHeight="14.4" x14ac:dyDescent="0.3"/>
  <cols>
    <col min="1" max="1" width="4.77734375" customWidth="1"/>
    <col min="2" max="2" width="4.77734375" style="368" customWidth="1"/>
    <col min="3" max="21" width="4.77734375" customWidth="1"/>
  </cols>
  <sheetData>
    <row r="1" spans="1:23" ht="42" customHeight="1" x14ac:dyDescent="0.3">
      <c r="A1" s="1391">
        <f>+Veri!$C$21</f>
        <v>6</v>
      </c>
      <c r="B1" s="366" t="str">
        <f>+Veri!$C$20</f>
        <v>01.04.2026</v>
      </c>
      <c r="C1" s="374" t="s">
        <v>1336</v>
      </c>
      <c r="D1" s="1393" t="s">
        <v>1328</v>
      </c>
      <c r="E1" s="1394"/>
      <c r="F1" s="1394"/>
      <c r="G1" s="1394"/>
      <c r="H1" s="1394"/>
      <c r="I1" s="1394"/>
      <c r="J1" s="1394"/>
      <c r="K1" s="1394"/>
      <c r="L1" s="1394"/>
      <c r="M1" s="1394"/>
      <c r="N1" s="1394"/>
      <c r="O1" s="1394"/>
      <c r="P1" s="1394"/>
      <c r="Q1" s="1394"/>
      <c r="R1" s="1394"/>
      <c r="S1" s="1397"/>
      <c r="T1" s="362"/>
      <c r="U1" s="363"/>
    </row>
    <row r="2" spans="1:23" ht="42" customHeight="1" x14ac:dyDescent="0.3">
      <c r="A2" s="1392"/>
      <c r="B2" s="367">
        <f>+Veri!$C$22</f>
        <v>46142</v>
      </c>
      <c r="C2" s="375" t="s">
        <v>1337</v>
      </c>
      <c r="D2" s="1395" t="s">
        <v>1329</v>
      </c>
      <c r="E2" s="1396"/>
      <c r="F2" s="1396"/>
      <c r="G2" s="1396"/>
      <c r="H2" s="1396"/>
      <c r="I2" s="1396"/>
      <c r="J2" s="1396"/>
      <c r="K2" s="1396"/>
      <c r="L2" s="1396"/>
      <c r="M2" s="1396"/>
      <c r="N2" s="1396"/>
      <c r="O2" s="1396"/>
      <c r="P2" s="1396"/>
      <c r="Q2" s="1396"/>
      <c r="R2" s="1396"/>
      <c r="S2" s="1398"/>
      <c r="T2" s="364"/>
      <c r="U2" s="365"/>
      <c r="W2" s="4"/>
    </row>
    <row r="3" spans="1:23" ht="42" customHeight="1" x14ac:dyDescent="0.3">
      <c r="A3" s="1391">
        <f>+Veri!$C$21</f>
        <v>6</v>
      </c>
      <c r="B3" s="366" t="str">
        <f>+Veri!$C$20</f>
        <v>01.04.2026</v>
      </c>
      <c r="C3" s="374" t="s">
        <v>1336</v>
      </c>
      <c r="D3" s="1393" t="s">
        <v>1328</v>
      </c>
      <c r="E3" s="1394"/>
      <c r="F3" s="1394"/>
      <c r="G3" s="1394"/>
      <c r="H3" s="1394"/>
      <c r="I3" s="1394"/>
      <c r="J3" s="1394"/>
      <c r="K3" s="1394"/>
      <c r="L3" s="1394"/>
      <c r="M3" s="1394"/>
      <c r="N3" s="1394"/>
      <c r="O3" s="1394"/>
      <c r="P3" s="1394"/>
      <c r="Q3" s="1394"/>
      <c r="R3" s="1394"/>
      <c r="S3" s="1397"/>
      <c r="T3" s="362"/>
      <c r="U3" s="363"/>
    </row>
    <row r="4" spans="1:23" ht="42" customHeight="1" x14ac:dyDescent="0.3">
      <c r="A4" s="1392"/>
      <c r="B4" s="367">
        <f>+Veri!$C$22</f>
        <v>46142</v>
      </c>
      <c r="C4" s="375" t="s">
        <v>1337</v>
      </c>
      <c r="D4" s="1395" t="s">
        <v>1329</v>
      </c>
      <c r="E4" s="1396"/>
      <c r="F4" s="1396"/>
      <c r="G4" s="1396"/>
      <c r="H4" s="1396"/>
      <c r="I4" s="1396"/>
      <c r="J4" s="1396"/>
      <c r="K4" s="1396"/>
      <c r="L4" s="1396"/>
      <c r="M4" s="1396"/>
      <c r="N4" s="1396"/>
      <c r="O4" s="1396"/>
      <c r="P4" s="1396"/>
      <c r="Q4" s="1396"/>
      <c r="R4" s="1396"/>
      <c r="S4" s="1398"/>
      <c r="T4" s="364"/>
      <c r="U4" s="365"/>
      <c r="W4" s="4"/>
    </row>
    <row r="5" spans="1:23" ht="42" customHeight="1" x14ac:dyDescent="0.3">
      <c r="A5" s="1391">
        <f>+Veri!$C$21</f>
        <v>6</v>
      </c>
      <c r="B5" s="366" t="str">
        <f>+Veri!$C$20</f>
        <v>01.04.2026</v>
      </c>
      <c r="C5" s="374" t="s">
        <v>1336</v>
      </c>
      <c r="D5" s="1393" t="s">
        <v>1328</v>
      </c>
      <c r="E5" s="1394"/>
      <c r="F5" s="1394"/>
      <c r="G5" s="1394"/>
      <c r="H5" s="1394"/>
      <c r="I5" s="1394"/>
      <c r="J5" s="1394"/>
      <c r="K5" s="1394"/>
      <c r="L5" s="1394"/>
      <c r="M5" s="1394"/>
      <c r="N5" s="1394"/>
      <c r="O5" s="1394"/>
      <c r="P5" s="1394"/>
      <c r="Q5" s="1394"/>
      <c r="R5" s="1394"/>
      <c r="S5" s="1397"/>
      <c r="T5" s="362"/>
      <c r="U5" s="363"/>
    </row>
    <row r="6" spans="1:23" ht="42" customHeight="1" x14ac:dyDescent="0.3">
      <c r="A6" s="1392"/>
      <c r="B6" s="367">
        <f>+Veri!$C$22</f>
        <v>46142</v>
      </c>
      <c r="C6" s="375" t="s">
        <v>1337</v>
      </c>
      <c r="D6" s="1395" t="s">
        <v>1329</v>
      </c>
      <c r="E6" s="1396"/>
      <c r="F6" s="1396"/>
      <c r="G6" s="1396"/>
      <c r="H6" s="1396"/>
      <c r="I6" s="1396"/>
      <c r="J6" s="1396"/>
      <c r="K6" s="1396"/>
      <c r="L6" s="1396"/>
      <c r="M6" s="1396"/>
      <c r="N6" s="1396"/>
      <c r="O6" s="1396"/>
      <c r="P6" s="1396"/>
      <c r="Q6" s="1396"/>
      <c r="R6" s="1396"/>
      <c r="S6" s="1398"/>
      <c r="T6" s="364"/>
      <c r="U6" s="365"/>
      <c r="W6" s="4"/>
    </row>
    <row r="7" spans="1:23" ht="42" customHeight="1" x14ac:dyDescent="0.3">
      <c r="A7" s="1391">
        <f>+Veri!$C$21</f>
        <v>6</v>
      </c>
      <c r="B7" s="366" t="str">
        <f>+Veri!$C$20</f>
        <v>01.04.2026</v>
      </c>
      <c r="C7" s="374" t="s">
        <v>1336</v>
      </c>
      <c r="D7" s="1393" t="s">
        <v>1328</v>
      </c>
      <c r="E7" s="1394"/>
      <c r="F7" s="1394"/>
      <c r="G7" s="1394"/>
      <c r="H7" s="1394"/>
      <c r="I7" s="1394"/>
      <c r="J7" s="1394"/>
      <c r="K7" s="1394"/>
      <c r="L7" s="1394"/>
      <c r="M7" s="1394"/>
      <c r="N7" s="1394"/>
      <c r="O7" s="1394"/>
      <c r="P7" s="1394"/>
      <c r="Q7" s="1394"/>
      <c r="R7" s="1394"/>
      <c r="S7" s="1397"/>
      <c r="T7" s="362"/>
      <c r="U7" s="363"/>
    </row>
    <row r="8" spans="1:23" ht="42" customHeight="1" x14ac:dyDescent="0.3">
      <c r="A8" s="1392"/>
      <c r="B8" s="367">
        <f>+Veri!$C$22</f>
        <v>46142</v>
      </c>
      <c r="C8" s="375" t="s">
        <v>1337</v>
      </c>
      <c r="D8" s="1395" t="s">
        <v>1329</v>
      </c>
      <c r="E8" s="1396"/>
      <c r="F8" s="1396"/>
      <c r="G8" s="1396"/>
      <c r="H8" s="1396"/>
      <c r="I8" s="1396"/>
      <c r="J8" s="1396"/>
      <c r="K8" s="1396"/>
      <c r="L8" s="1396"/>
      <c r="M8" s="1396"/>
      <c r="N8" s="1396"/>
      <c r="O8" s="1396"/>
      <c r="P8" s="1396"/>
      <c r="Q8" s="1396"/>
      <c r="R8" s="1396"/>
      <c r="S8" s="1398"/>
      <c r="T8" s="364"/>
      <c r="U8" s="365"/>
      <c r="W8" s="4"/>
    </row>
    <row r="9" spans="1:23" ht="42" customHeight="1" x14ac:dyDescent="0.3">
      <c r="A9" s="1391">
        <f>+Veri!$C$21</f>
        <v>6</v>
      </c>
      <c r="B9" s="366" t="str">
        <f>+Veri!$C$20</f>
        <v>01.04.2026</v>
      </c>
      <c r="C9" s="374" t="s">
        <v>1336</v>
      </c>
      <c r="D9" s="1393" t="s">
        <v>1328</v>
      </c>
      <c r="E9" s="1394"/>
      <c r="F9" s="1394"/>
      <c r="G9" s="1394"/>
      <c r="H9" s="1394"/>
      <c r="I9" s="1394"/>
      <c r="J9" s="1394"/>
      <c r="K9" s="1394"/>
      <c r="L9" s="1394"/>
      <c r="M9" s="1394"/>
      <c r="N9" s="1394"/>
      <c r="O9" s="1394"/>
      <c r="P9" s="1394"/>
      <c r="Q9" s="1394"/>
      <c r="R9" s="1394"/>
      <c r="S9" s="1397"/>
      <c r="T9" s="362"/>
      <c r="U9" s="363"/>
    </row>
    <row r="10" spans="1:23" ht="42" customHeight="1" x14ac:dyDescent="0.3">
      <c r="A10" s="1392"/>
      <c r="B10" s="367">
        <f>+Veri!$C$22</f>
        <v>46142</v>
      </c>
      <c r="C10" s="375" t="s">
        <v>1337</v>
      </c>
      <c r="D10" s="1395" t="s">
        <v>1329</v>
      </c>
      <c r="E10" s="1396"/>
      <c r="F10" s="1396"/>
      <c r="G10" s="1396"/>
      <c r="H10" s="1396"/>
      <c r="I10" s="1396"/>
      <c r="J10" s="1396"/>
      <c r="K10" s="1396"/>
      <c r="L10" s="1396"/>
      <c r="M10" s="1396"/>
      <c r="N10" s="1396"/>
      <c r="O10" s="1396"/>
      <c r="P10" s="1396"/>
      <c r="Q10" s="1396"/>
      <c r="R10" s="1396"/>
      <c r="S10" s="1398"/>
      <c r="T10" s="364"/>
      <c r="U10" s="365"/>
      <c r="W10" s="4"/>
    </row>
    <row r="11" spans="1:23" ht="42" customHeight="1" x14ac:dyDescent="0.3">
      <c r="A11" s="1391">
        <f>+Veri!$C$21</f>
        <v>6</v>
      </c>
      <c r="B11" s="366" t="str">
        <f>+Veri!$C$20</f>
        <v>01.04.2026</v>
      </c>
      <c r="C11" s="374" t="s">
        <v>1336</v>
      </c>
      <c r="D11" s="1393" t="s">
        <v>1328</v>
      </c>
      <c r="E11" s="1394"/>
      <c r="F11" s="1394"/>
      <c r="G11" s="1394"/>
      <c r="H11" s="1394"/>
      <c r="I11" s="1394"/>
      <c r="J11" s="1394"/>
      <c r="K11" s="1394"/>
      <c r="L11" s="1394"/>
      <c r="M11" s="1394"/>
      <c r="N11" s="1394"/>
      <c r="O11" s="1394"/>
      <c r="P11" s="1394"/>
      <c r="Q11" s="1394"/>
      <c r="R11" s="1394"/>
      <c r="S11" s="1397"/>
      <c r="T11" s="362"/>
      <c r="U11" s="363"/>
    </row>
    <row r="12" spans="1:23" ht="42" customHeight="1" x14ac:dyDescent="0.3">
      <c r="A12" s="1392"/>
      <c r="B12" s="367">
        <f>+Veri!$C$22</f>
        <v>46142</v>
      </c>
      <c r="C12" s="375" t="s">
        <v>1337</v>
      </c>
      <c r="D12" s="1395" t="s">
        <v>1329</v>
      </c>
      <c r="E12" s="1396"/>
      <c r="F12" s="1396"/>
      <c r="G12" s="1396"/>
      <c r="H12" s="1396"/>
      <c r="I12" s="1396"/>
      <c r="J12" s="1396"/>
      <c r="K12" s="1396"/>
      <c r="L12" s="1396"/>
      <c r="M12" s="1396"/>
      <c r="N12" s="1396"/>
      <c r="O12" s="1396"/>
      <c r="P12" s="1396"/>
      <c r="Q12" s="1396"/>
      <c r="R12" s="1396"/>
      <c r="S12" s="1398"/>
      <c r="T12" s="364"/>
      <c r="U12" s="365"/>
      <c r="W12" s="4"/>
    </row>
    <row r="13" spans="1:23" ht="42" customHeight="1" x14ac:dyDescent="0.3"/>
    <row r="14" spans="1:23" ht="42" customHeight="1" x14ac:dyDescent="0.3"/>
    <row r="15" spans="1:23" ht="42" customHeight="1" x14ac:dyDescent="0.3"/>
    <row r="16" spans="1:23" ht="42" customHeight="1" x14ac:dyDescent="0.3"/>
    <row r="17" ht="42" customHeight="1" x14ac:dyDescent="0.3"/>
    <row r="18" ht="42" customHeight="1" x14ac:dyDescent="0.3"/>
    <row r="19" ht="42" customHeight="1" x14ac:dyDescent="0.3"/>
    <row r="20" ht="42" customHeight="1" x14ac:dyDescent="0.3"/>
    <row r="21" ht="34.950000000000003" customHeight="1" x14ac:dyDescent="0.3"/>
    <row r="22" ht="34.950000000000003" customHeight="1" x14ac:dyDescent="0.3"/>
    <row r="23" ht="34.950000000000003" customHeight="1" x14ac:dyDescent="0.3"/>
    <row r="24" ht="34.950000000000003" customHeight="1" x14ac:dyDescent="0.3"/>
    <row r="25" ht="34.049999999999997" customHeight="1" x14ac:dyDescent="0.3"/>
    <row r="26" ht="34.049999999999997" customHeight="1" x14ac:dyDescent="0.3"/>
    <row r="27" ht="40.049999999999997" customHeight="1" x14ac:dyDescent="0.3"/>
    <row r="28" ht="40.049999999999997" customHeight="1" x14ac:dyDescent="0.3"/>
    <row r="29" ht="40.049999999999997" customHeight="1" x14ac:dyDescent="0.3"/>
    <row r="30" ht="40.049999999999997" customHeight="1" x14ac:dyDescent="0.3"/>
    <row r="31" ht="40.049999999999997" customHeight="1" x14ac:dyDescent="0.3"/>
    <row r="32" ht="40.049999999999997" customHeight="1" x14ac:dyDescent="0.3"/>
    <row r="33" ht="40.049999999999997" customHeight="1" x14ac:dyDescent="0.3"/>
    <row r="34" ht="40.049999999999997" customHeight="1" x14ac:dyDescent="0.3"/>
    <row r="35" ht="40.049999999999997" customHeight="1" x14ac:dyDescent="0.3"/>
    <row r="36" ht="40.049999999999997" customHeight="1" x14ac:dyDescent="0.3"/>
    <row r="37" ht="40.049999999999997" customHeight="1" x14ac:dyDescent="0.3"/>
    <row r="38" ht="40.049999999999997" customHeight="1" x14ac:dyDescent="0.3"/>
    <row r="39" ht="40.049999999999997" customHeight="1" x14ac:dyDescent="0.3"/>
    <row r="40" ht="40.049999999999997" customHeight="1" x14ac:dyDescent="0.3"/>
    <row r="41" ht="40.049999999999997" customHeight="1" x14ac:dyDescent="0.3"/>
    <row r="42" ht="40.049999999999997" customHeight="1" x14ac:dyDescent="0.3"/>
    <row r="43" ht="40.049999999999997" customHeight="1" x14ac:dyDescent="0.3"/>
    <row r="44" ht="40.049999999999997" customHeight="1" x14ac:dyDescent="0.3"/>
    <row r="45" ht="40.049999999999997" customHeight="1" x14ac:dyDescent="0.3"/>
    <row r="46" ht="40.049999999999997" customHeight="1" x14ac:dyDescent="0.3"/>
    <row r="47" ht="40.049999999999997" customHeight="1" x14ac:dyDescent="0.3"/>
    <row r="48" ht="40.049999999999997" customHeight="1" x14ac:dyDescent="0.3"/>
    <row r="49" ht="40.049999999999997" customHeight="1" x14ac:dyDescent="0.3"/>
  </sheetData>
  <mergeCells count="18">
    <mergeCell ref="A9:A10"/>
    <mergeCell ref="D9:S9"/>
    <mergeCell ref="D10:S10"/>
    <mergeCell ref="A11:A12"/>
    <mergeCell ref="D11:S11"/>
    <mergeCell ref="D12:S12"/>
    <mergeCell ref="A5:A6"/>
    <mergeCell ref="D5:S5"/>
    <mergeCell ref="D6:S6"/>
    <mergeCell ref="A7:A8"/>
    <mergeCell ref="D7:S7"/>
    <mergeCell ref="D8:S8"/>
    <mergeCell ref="A1:A2"/>
    <mergeCell ref="D1:S1"/>
    <mergeCell ref="D2:S2"/>
    <mergeCell ref="A3:A4"/>
    <mergeCell ref="D3:S3"/>
    <mergeCell ref="D4:S4"/>
  </mergeCells>
  <printOptions horizontalCentered="1" verticalCentered="1"/>
  <pageMargins left="0" right="0" top="0" bottom="0" header="0" footer="0"/>
  <pageSetup paperSize="9" scale="96"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DD8C-5571-41A6-962E-C69190FB6A69}">
  <sheetPr codeName="Sayfa32">
    <pageSetUpPr fitToPage="1"/>
  </sheetPr>
  <dimension ref="A1:W1121"/>
  <sheetViews>
    <sheetView view="pageBreakPreview" topLeftCell="G3" zoomScale="60" zoomScaleNormal="100" workbookViewId="0">
      <selection activeCell="N15" sqref="N15:P15"/>
    </sheetView>
  </sheetViews>
  <sheetFormatPr defaultRowHeight="15" customHeight="1" x14ac:dyDescent="0.3"/>
  <cols>
    <col min="1" max="2" width="8.88671875" style="11"/>
    <col min="3" max="3" width="10.6640625" style="28" customWidth="1"/>
    <col min="4" max="4" width="8.88671875" style="11"/>
    <col min="5" max="7" width="25.77734375" style="11" customWidth="1"/>
    <col min="8" max="8" width="10.109375" style="11" bestFit="1" customWidth="1"/>
    <col min="9" max="9" width="30.77734375" style="24" customWidth="1"/>
    <col min="10" max="10" width="1.77734375" style="11" customWidth="1"/>
    <col min="11" max="11" width="30.77734375" style="11" customWidth="1"/>
    <col min="12" max="12" width="30.77734375" style="26" customWidth="1"/>
    <col min="13" max="13" width="1.77734375" style="11" customWidth="1"/>
    <col min="14" max="14" width="30.77734375" style="676" customWidth="1"/>
    <col min="15" max="16" width="30.77734375" style="516" customWidth="1"/>
    <col min="17" max="17" width="1.77734375" style="609" customWidth="1"/>
    <col min="18" max="20" width="30.77734375" style="11" customWidth="1"/>
    <col min="21" max="21" width="8.88671875" style="11"/>
    <col min="22" max="22" width="15" bestFit="1" customWidth="1"/>
    <col min="24" max="16384" width="8.88671875" style="11"/>
  </cols>
  <sheetData>
    <row r="1" spans="1:23" ht="15" customHeight="1" x14ac:dyDescent="0.3">
      <c r="I1" s="11"/>
      <c r="L1" s="11"/>
      <c r="N1" s="516"/>
      <c r="Q1" s="11"/>
    </row>
    <row r="2" spans="1:23" s="222" customFormat="1" ht="19.95" customHeight="1" x14ac:dyDescent="0.3">
      <c r="C2" s="982" t="s">
        <v>118</v>
      </c>
      <c r="D2" s="982"/>
      <c r="E2" s="982"/>
      <c r="F2" s="982"/>
      <c r="G2" s="982"/>
      <c r="H2" s="982"/>
      <c r="I2" s="982"/>
      <c r="J2" s="982"/>
      <c r="K2" s="982"/>
      <c r="L2" s="982"/>
      <c r="M2" s="982"/>
      <c r="N2" s="982"/>
      <c r="O2" s="982"/>
      <c r="P2" s="982"/>
      <c r="Q2" s="982"/>
      <c r="R2" s="982"/>
      <c r="S2" s="982"/>
      <c r="T2" s="982"/>
      <c r="V2"/>
      <c r="W2"/>
    </row>
    <row r="3" spans="1:23" s="222" customFormat="1" ht="19.95" customHeight="1" x14ac:dyDescent="0.3">
      <c r="C3" s="982" t="s">
        <v>1161</v>
      </c>
      <c r="D3" s="982"/>
      <c r="E3" s="982"/>
      <c r="F3" s="982"/>
      <c r="G3" s="982"/>
      <c r="H3" s="982"/>
      <c r="I3" s="982"/>
      <c r="J3" s="982"/>
      <c r="K3" s="982"/>
      <c r="L3" s="982"/>
      <c r="M3" s="982"/>
      <c r="N3" s="982"/>
      <c r="O3" s="982"/>
      <c r="P3" s="982"/>
      <c r="Q3" s="982"/>
      <c r="R3" s="982"/>
      <c r="S3" s="982"/>
      <c r="T3" s="982"/>
      <c r="V3"/>
      <c r="W3"/>
    </row>
    <row r="4" spans="1:23" s="222" customFormat="1" ht="19.95" customHeight="1" x14ac:dyDescent="0.3">
      <c r="C4" s="983" t="s">
        <v>1434</v>
      </c>
      <c r="D4" s="983"/>
      <c r="E4" s="983"/>
      <c r="F4" s="983"/>
      <c r="G4" s="983"/>
      <c r="H4" s="983"/>
      <c r="I4" s="983"/>
      <c r="J4" s="983"/>
      <c r="K4" s="983"/>
      <c r="L4" s="983"/>
      <c r="M4" s="983"/>
      <c r="N4" s="983"/>
      <c r="O4" s="983"/>
      <c r="P4" s="983"/>
      <c r="Q4" s="983"/>
      <c r="R4" s="983"/>
      <c r="S4" s="983"/>
      <c r="T4" s="983"/>
      <c r="V4"/>
      <c r="W4"/>
    </row>
    <row r="5" spans="1:23" s="222" customFormat="1" ht="19.95" customHeight="1" x14ac:dyDescent="0.3">
      <c r="C5" s="983" t="s">
        <v>1435</v>
      </c>
      <c r="D5" s="983"/>
      <c r="E5" s="983"/>
      <c r="F5" s="983"/>
      <c r="G5" s="983"/>
      <c r="H5" s="983"/>
      <c r="I5" s="983"/>
      <c r="J5" s="983"/>
      <c r="K5" s="983"/>
      <c r="L5" s="983"/>
      <c r="M5" s="983"/>
      <c r="N5" s="983"/>
      <c r="O5" s="983"/>
      <c r="P5" s="983"/>
      <c r="Q5" s="983"/>
      <c r="R5" s="983"/>
      <c r="S5" s="983"/>
      <c r="T5" s="983"/>
      <c r="V5"/>
      <c r="W5"/>
    </row>
    <row r="6" spans="1:23" s="222" customFormat="1" ht="19.95" customHeight="1" x14ac:dyDescent="0.3">
      <c r="C6" s="983" t="s">
        <v>37</v>
      </c>
      <c r="D6" s="983"/>
      <c r="E6" s="983"/>
      <c r="F6" s="983"/>
      <c r="G6" s="983"/>
      <c r="H6" s="983"/>
      <c r="I6" s="983"/>
      <c r="J6" s="983"/>
      <c r="K6" s="983"/>
      <c r="L6" s="983"/>
      <c r="M6" s="983"/>
      <c r="N6" s="983"/>
      <c r="O6" s="983"/>
      <c r="P6" s="983"/>
      <c r="Q6" s="983"/>
      <c r="R6" s="983"/>
      <c r="S6" s="983"/>
      <c r="T6" s="983"/>
      <c r="V6"/>
      <c r="W6"/>
    </row>
    <row r="7" spans="1:23" s="222" customFormat="1" ht="19.95" customHeight="1" thickBot="1" x14ac:dyDescent="0.35">
      <c r="C7" s="984" t="s">
        <v>1474</v>
      </c>
      <c r="D7" s="984"/>
      <c r="E7" s="984"/>
      <c r="F7" s="984"/>
      <c r="G7" s="984"/>
      <c r="H7" s="984"/>
      <c r="I7" s="984"/>
      <c r="J7" s="984"/>
      <c r="K7" s="984"/>
      <c r="L7" s="984"/>
      <c r="M7" s="984"/>
      <c r="N7" s="984"/>
      <c r="O7" s="984"/>
      <c r="P7" s="984"/>
      <c r="Q7" s="984"/>
      <c r="R7" s="984"/>
      <c r="S7" s="984"/>
      <c r="T7" s="984"/>
      <c r="V7"/>
      <c r="W7"/>
    </row>
    <row r="8" spans="1:23" ht="15" customHeight="1" x14ac:dyDescent="0.3">
      <c r="C8" s="25"/>
      <c r="I8" s="11"/>
      <c r="L8" s="11"/>
      <c r="N8" s="11"/>
      <c r="O8" s="11"/>
      <c r="P8" s="11"/>
      <c r="Q8" s="11"/>
      <c r="T8" s="32"/>
    </row>
    <row r="9" spans="1:23" ht="34.950000000000003" customHeight="1" x14ac:dyDescent="0.3">
      <c r="C9" s="413" t="str">
        <f>"Hakediş No: "&amp;Veri!C21&amp;"   Hakediş Tarihi:  "&amp;TEXT(Veri!C22,"gg.aa.yyyy")</f>
        <v>Hakediş No: 6   Hakediş Tarihi:  30.04.2026</v>
      </c>
      <c r="D9" s="413"/>
      <c r="E9" s="111"/>
      <c r="F9" s="598"/>
      <c r="G9" s="111"/>
      <c r="H9" s="104"/>
      <c r="I9" s="29"/>
      <c r="J9" s="29"/>
      <c r="K9" s="985" t="s">
        <v>1453</v>
      </c>
      <c r="L9" s="987"/>
      <c r="M9" s="432"/>
      <c r="N9" s="985" t="s">
        <v>1222</v>
      </c>
      <c r="O9" s="986"/>
      <c r="P9" s="987"/>
      <c r="Q9" s="432"/>
      <c r="R9" s="985" t="s">
        <v>1452</v>
      </c>
      <c r="S9" s="986"/>
      <c r="T9" s="987"/>
    </row>
    <row r="10" spans="1:23" ht="15" customHeight="1" x14ac:dyDescent="0.3">
      <c r="C10" s="413"/>
      <c r="D10" s="413"/>
      <c r="E10" s="111"/>
      <c r="F10" s="598"/>
      <c r="G10" s="111"/>
      <c r="H10" s="104"/>
      <c r="I10" s="29"/>
      <c r="J10" s="29"/>
      <c r="K10" s="432"/>
      <c r="L10" s="432"/>
      <c r="M10" s="432"/>
      <c r="N10" s="432"/>
      <c r="O10" s="432"/>
      <c r="P10" s="432"/>
      <c r="Q10" s="432"/>
      <c r="R10" s="432"/>
      <c r="S10" s="432"/>
      <c r="T10" s="432"/>
    </row>
    <row r="11" spans="1:23" ht="34.950000000000003" customHeight="1" x14ac:dyDescent="0.3">
      <c r="C11" s="135" t="s">
        <v>1156</v>
      </c>
      <c r="D11" s="135" t="s">
        <v>1157</v>
      </c>
      <c r="E11" s="991" t="s">
        <v>1155</v>
      </c>
      <c r="F11" s="991"/>
      <c r="G11" s="991"/>
      <c r="H11" s="135" t="s">
        <v>1154</v>
      </c>
      <c r="I11" s="465" t="s">
        <v>1450</v>
      </c>
      <c r="J11" s="560"/>
      <c r="K11" s="465" t="s">
        <v>1449</v>
      </c>
      <c r="L11" s="465" t="s">
        <v>1451</v>
      </c>
      <c r="M11" s="560"/>
      <c r="N11" s="465" t="s">
        <v>1476</v>
      </c>
      <c r="O11" s="465" t="s">
        <v>1477</v>
      </c>
      <c r="P11" s="465" t="s">
        <v>1478</v>
      </c>
      <c r="Q11" s="560"/>
      <c r="R11" s="465" t="s">
        <v>1476</v>
      </c>
      <c r="S11" s="465" t="s">
        <v>1477</v>
      </c>
      <c r="T11" s="465" t="s">
        <v>1478</v>
      </c>
    </row>
    <row r="12" spans="1:23" ht="15" customHeight="1" x14ac:dyDescent="0.3">
      <c r="C12" s="413"/>
      <c r="D12" s="413"/>
      <c r="E12" s="111"/>
      <c r="F12" s="598"/>
      <c r="G12" s="111"/>
      <c r="H12" s="104"/>
      <c r="I12" s="29"/>
      <c r="J12" s="29"/>
      <c r="K12" s="432"/>
      <c r="L12" s="432"/>
      <c r="M12" s="432"/>
      <c r="N12" s="432"/>
      <c r="O12" s="432"/>
      <c r="P12" s="432"/>
      <c r="Q12" s="432"/>
      <c r="R12" s="432"/>
      <c r="S12" s="432"/>
      <c r="T12" s="432"/>
    </row>
    <row r="13" spans="1:23" ht="34.950000000000003" customHeight="1" x14ac:dyDescent="0.3">
      <c r="A13" s="23" t="s">
        <v>1241</v>
      </c>
      <c r="C13" s="640" t="s">
        <v>1228</v>
      </c>
      <c r="D13" s="166"/>
      <c r="E13" s="166"/>
      <c r="F13" s="166"/>
      <c r="G13" s="166"/>
      <c r="H13" s="166"/>
      <c r="I13" s="166"/>
      <c r="J13" s="166"/>
      <c r="K13" s="166"/>
      <c r="L13" s="610">
        <f>+SUMIFS(L:L,A:A,"B")</f>
        <v>21982860999.999996</v>
      </c>
      <c r="M13" s="1005"/>
      <c r="N13" s="999"/>
      <c r="O13" s="1000"/>
      <c r="P13" s="1001"/>
      <c r="Q13" s="1005"/>
      <c r="R13" s="656" t="e">
        <f>+SUMIFS(R:R,A:A,"B")</f>
        <v>#REF!</v>
      </c>
      <c r="S13" s="610">
        <f>+SUMIFS(S:S,A:A,"B")</f>
        <v>37210860.43</v>
      </c>
      <c r="T13" s="610" t="e">
        <f>+SUMIFS(T:T,A:A,"B")</f>
        <v>#REF!</v>
      </c>
    </row>
    <row r="14" spans="1:23" ht="34.950000000000003" customHeight="1" x14ac:dyDescent="0.3">
      <c r="A14" s="262" t="s">
        <v>1240</v>
      </c>
      <c r="C14" s="241"/>
      <c r="D14" s="232" t="s">
        <v>1223</v>
      </c>
      <c r="E14" s="217"/>
      <c r="F14" s="217"/>
      <c r="G14" s="217"/>
      <c r="H14" s="217"/>
      <c r="I14" s="231"/>
      <c r="J14" s="231"/>
      <c r="K14" s="231"/>
      <c r="L14" s="644">
        <f>+SUMIFS(L:L,A:A,"1")</f>
        <v>14142505792.030001</v>
      </c>
      <c r="M14" s="1006"/>
      <c r="N14" s="1002"/>
      <c r="O14" s="1002"/>
      <c r="P14" s="1002"/>
      <c r="Q14" s="1006"/>
      <c r="R14" s="630" t="e">
        <f>+SUMIFS(R:R,A:A,"1")</f>
        <v>#REF!</v>
      </c>
      <c r="S14" s="251">
        <f>+SUMIFS(S:S,A:A,"1")</f>
        <v>37210860.43</v>
      </c>
      <c r="T14" s="251" t="e">
        <f>+SUMIFS(T:T,A:A,"1")</f>
        <v>#REF!</v>
      </c>
    </row>
    <row r="15" spans="1:23" ht="30" hidden="1" customHeight="1" x14ac:dyDescent="0.3">
      <c r="A15" s="262">
        <v>1</v>
      </c>
      <c r="C15" s="242"/>
      <c r="D15" s="233" t="s">
        <v>1224</v>
      </c>
      <c r="E15" s="234"/>
      <c r="F15" s="234"/>
      <c r="G15" s="234"/>
      <c r="H15" s="234"/>
      <c r="I15" s="235"/>
      <c r="J15" s="235"/>
      <c r="K15" s="235"/>
      <c r="L15" s="642">
        <f>+SUMIFS(L:L,A:A,"1.A")</f>
        <v>4405699645.8199997</v>
      </c>
      <c r="M15" s="1007"/>
      <c r="N15" s="1003"/>
      <c r="O15" s="1004"/>
      <c r="P15" s="1004"/>
      <c r="Q15" s="1007"/>
      <c r="R15" s="249" t="e">
        <f>+SUMIFS(R:R,A:A,"1.A")</f>
        <v>#REF!</v>
      </c>
      <c r="S15" s="249">
        <f>+SUMIFS(S:S,A:A,"1.A")</f>
        <v>0</v>
      </c>
      <c r="T15" s="249" t="e">
        <f>+SUMIFS(T:T,A:A,"1.A")</f>
        <v>#REF!</v>
      </c>
    </row>
    <row r="16" spans="1:23" ht="30" hidden="1" customHeight="1" x14ac:dyDescent="0.3">
      <c r="A16" s="262" t="s">
        <v>151</v>
      </c>
      <c r="C16" s="243">
        <v>1</v>
      </c>
      <c r="D16" s="210" t="s">
        <v>223</v>
      </c>
      <c r="E16" s="992" t="s">
        <v>224</v>
      </c>
      <c r="F16" s="993"/>
      <c r="G16" s="994"/>
      <c r="H16" s="604" t="s">
        <v>225</v>
      </c>
      <c r="I16" s="212">
        <v>500</v>
      </c>
      <c r="J16" s="605"/>
      <c r="K16" s="212">
        <v>4600</v>
      </c>
      <c r="L16" s="211">
        <f t="shared" ref="L16:L35" si="0">+ROUND(I16*K16,2)</f>
        <v>2300000</v>
      </c>
      <c r="M16" s="211"/>
      <c r="N16" s="675" t="e">
        <f>+#REF!</f>
        <v>#REF!</v>
      </c>
      <c r="O16" s="675">
        <f>+'Yeşil Defter'!L16</f>
        <v>0</v>
      </c>
      <c r="P16" s="675" t="e">
        <f t="shared" ref="P16:P35" si="1">+N16+O16</f>
        <v>#REF!</v>
      </c>
      <c r="Q16" s="211"/>
      <c r="R16" s="607" t="e">
        <f t="shared" ref="R16:R35" si="2">+ROUND(I16*N16,2)</f>
        <v>#REF!</v>
      </c>
      <c r="S16" s="224">
        <f t="shared" ref="S16:S35" si="3">+ROUND(I16*O16,2)</f>
        <v>0</v>
      </c>
      <c r="T16" s="236" t="e">
        <f t="shared" ref="T16:T35" si="4">+ROUND(I16*P16,2)</f>
        <v>#REF!</v>
      </c>
    </row>
    <row r="17" spans="1:20" ht="30" hidden="1" customHeight="1" x14ac:dyDescent="0.3">
      <c r="A17" s="262" t="s">
        <v>151</v>
      </c>
      <c r="C17" s="244">
        <v>2</v>
      </c>
      <c r="D17" s="161" t="s">
        <v>226</v>
      </c>
      <c r="E17" s="969" t="s">
        <v>227</v>
      </c>
      <c r="F17" s="970"/>
      <c r="G17" s="971"/>
      <c r="H17" s="544" t="s">
        <v>228</v>
      </c>
      <c r="I17" s="212">
        <v>4063</v>
      </c>
      <c r="J17" s="605"/>
      <c r="K17" s="212">
        <v>528.66</v>
      </c>
      <c r="L17" s="212">
        <f t="shared" si="0"/>
        <v>2147945.58</v>
      </c>
      <c r="M17" s="602"/>
      <c r="N17" s="675" t="e">
        <f>+#REF!</f>
        <v>#REF!</v>
      </c>
      <c r="O17" s="675">
        <f>+'Yeşil Defter'!L17</f>
        <v>0</v>
      </c>
      <c r="P17" s="675" t="e">
        <f t="shared" si="1"/>
        <v>#REF!</v>
      </c>
      <c r="Q17" s="212"/>
      <c r="R17" s="605" t="e">
        <f t="shared" si="2"/>
        <v>#REF!</v>
      </c>
      <c r="S17" s="225">
        <f t="shared" si="3"/>
        <v>0</v>
      </c>
      <c r="T17" s="237" t="e">
        <f t="shared" si="4"/>
        <v>#REF!</v>
      </c>
    </row>
    <row r="18" spans="1:20" ht="30" hidden="1" customHeight="1" x14ac:dyDescent="0.3">
      <c r="A18" s="262" t="s">
        <v>151</v>
      </c>
      <c r="C18" s="244">
        <v>3</v>
      </c>
      <c r="D18" s="161" t="s">
        <v>229</v>
      </c>
      <c r="E18" s="969" t="s">
        <v>230</v>
      </c>
      <c r="F18" s="970"/>
      <c r="G18" s="971"/>
      <c r="H18" s="544" t="s">
        <v>228</v>
      </c>
      <c r="I18" s="212">
        <v>2000</v>
      </c>
      <c r="J18" s="605"/>
      <c r="K18" s="212">
        <v>550.69000000000005</v>
      </c>
      <c r="L18" s="212">
        <f t="shared" si="0"/>
        <v>1101380</v>
      </c>
      <c r="M18" s="602"/>
      <c r="N18" s="675" t="e">
        <f>+#REF!</f>
        <v>#REF!</v>
      </c>
      <c r="O18" s="675">
        <f>+'Yeşil Defter'!L18</f>
        <v>0</v>
      </c>
      <c r="P18" s="675" t="e">
        <f t="shared" si="1"/>
        <v>#REF!</v>
      </c>
      <c r="Q18" s="212"/>
      <c r="R18" s="605" t="e">
        <f t="shared" si="2"/>
        <v>#REF!</v>
      </c>
      <c r="S18" s="225">
        <f t="shared" si="3"/>
        <v>0</v>
      </c>
      <c r="T18" s="237" t="e">
        <f t="shared" si="4"/>
        <v>#REF!</v>
      </c>
    </row>
    <row r="19" spans="1:20" ht="30" hidden="1" customHeight="1" x14ac:dyDescent="0.3">
      <c r="A19" s="262" t="s">
        <v>151</v>
      </c>
      <c r="C19" s="244">
        <v>4</v>
      </c>
      <c r="D19" s="161" t="s">
        <v>231</v>
      </c>
      <c r="E19" s="969" t="s">
        <v>232</v>
      </c>
      <c r="F19" s="970"/>
      <c r="G19" s="971"/>
      <c r="H19" s="544" t="s">
        <v>228</v>
      </c>
      <c r="I19" s="212">
        <v>10500</v>
      </c>
      <c r="J19" s="605"/>
      <c r="K19" s="212">
        <v>440.55</v>
      </c>
      <c r="L19" s="212">
        <f t="shared" si="0"/>
        <v>4625775</v>
      </c>
      <c r="M19" s="602"/>
      <c r="N19" s="675" t="e">
        <f>+#REF!</f>
        <v>#REF!</v>
      </c>
      <c r="O19" s="675">
        <f>+'Yeşil Defter'!L19</f>
        <v>0</v>
      </c>
      <c r="P19" s="675" t="e">
        <f t="shared" si="1"/>
        <v>#REF!</v>
      </c>
      <c r="Q19" s="212"/>
      <c r="R19" s="605" t="e">
        <f t="shared" si="2"/>
        <v>#REF!</v>
      </c>
      <c r="S19" s="225">
        <f t="shared" si="3"/>
        <v>0</v>
      </c>
      <c r="T19" s="237" t="e">
        <f t="shared" si="4"/>
        <v>#REF!</v>
      </c>
    </row>
    <row r="20" spans="1:20" ht="30" hidden="1" customHeight="1" x14ac:dyDescent="0.3">
      <c r="A20" s="262" t="s">
        <v>151</v>
      </c>
      <c r="C20" s="244">
        <v>5</v>
      </c>
      <c r="D20" s="213" t="s">
        <v>233</v>
      </c>
      <c r="E20" s="969" t="s">
        <v>234</v>
      </c>
      <c r="F20" s="970"/>
      <c r="G20" s="971"/>
      <c r="H20" s="544" t="s">
        <v>228</v>
      </c>
      <c r="I20" s="212">
        <v>1485</v>
      </c>
      <c r="J20" s="605"/>
      <c r="K20" s="212">
        <v>175497.85</v>
      </c>
      <c r="L20" s="212">
        <f t="shared" si="0"/>
        <v>260614307.25</v>
      </c>
      <c r="M20" s="602"/>
      <c r="N20" s="675" t="e">
        <f>+#REF!</f>
        <v>#REF!</v>
      </c>
      <c r="O20" s="675">
        <f>+'Yeşil Defter'!L20</f>
        <v>0</v>
      </c>
      <c r="P20" s="675" t="e">
        <f t="shared" si="1"/>
        <v>#REF!</v>
      </c>
      <c r="Q20" s="212"/>
      <c r="R20" s="605" t="e">
        <f t="shared" si="2"/>
        <v>#REF!</v>
      </c>
      <c r="S20" s="225">
        <f t="shared" si="3"/>
        <v>0</v>
      </c>
      <c r="T20" s="237" t="e">
        <f t="shared" si="4"/>
        <v>#REF!</v>
      </c>
    </row>
    <row r="21" spans="1:20" ht="30" hidden="1" customHeight="1" x14ac:dyDescent="0.3">
      <c r="A21" s="262" t="s">
        <v>151</v>
      </c>
      <c r="C21" s="244">
        <v>6</v>
      </c>
      <c r="D21" s="161" t="s">
        <v>235</v>
      </c>
      <c r="E21" s="969" t="s">
        <v>236</v>
      </c>
      <c r="F21" s="970"/>
      <c r="G21" s="971"/>
      <c r="H21" s="544" t="s">
        <v>228</v>
      </c>
      <c r="I21" s="212">
        <v>300</v>
      </c>
      <c r="J21" s="605"/>
      <c r="K21" s="212">
        <v>26184.71</v>
      </c>
      <c r="L21" s="212">
        <f t="shared" si="0"/>
        <v>7855413</v>
      </c>
      <c r="M21" s="602"/>
      <c r="N21" s="675" t="e">
        <f>+#REF!</f>
        <v>#REF!</v>
      </c>
      <c r="O21" s="675">
        <f>+'Yeşil Defter'!L21</f>
        <v>0</v>
      </c>
      <c r="P21" s="675" t="e">
        <f t="shared" si="1"/>
        <v>#REF!</v>
      </c>
      <c r="Q21" s="212"/>
      <c r="R21" s="605" t="e">
        <f t="shared" si="2"/>
        <v>#REF!</v>
      </c>
      <c r="S21" s="225">
        <f t="shared" si="3"/>
        <v>0</v>
      </c>
      <c r="T21" s="237" t="e">
        <f t="shared" si="4"/>
        <v>#REF!</v>
      </c>
    </row>
    <row r="22" spans="1:20" ht="30" hidden="1" customHeight="1" x14ac:dyDescent="0.3">
      <c r="A22" s="262" t="s">
        <v>151</v>
      </c>
      <c r="C22" s="244">
        <v>7</v>
      </c>
      <c r="D22" s="161" t="s">
        <v>237</v>
      </c>
      <c r="E22" s="969" t="s">
        <v>238</v>
      </c>
      <c r="F22" s="970"/>
      <c r="G22" s="971"/>
      <c r="H22" s="544" t="s">
        <v>228</v>
      </c>
      <c r="I22" s="212">
        <v>1500</v>
      </c>
      <c r="J22" s="605"/>
      <c r="K22" s="212">
        <v>27657.96</v>
      </c>
      <c r="L22" s="212">
        <f t="shared" si="0"/>
        <v>41486940</v>
      </c>
      <c r="M22" s="602"/>
      <c r="N22" s="675" t="e">
        <f>+#REF!</f>
        <v>#REF!</v>
      </c>
      <c r="O22" s="675">
        <f>+'Yeşil Defter'!L22</f>
        <v>0</v>
      </c>
      <c r="P22" s="675" t="e">
        <f t="shared" si="1"/>
        <v>#REF!</v>
      </c>
      <c r="Q22" s="212"/>
      <c r="R22" s="605" t="e">
        <f t="shared" si="2"/>
        <v>#REF!</v>
      </c>
      <c r="S22" s="225">
        <f t="shared" si="3"/>
        <v>0</v>
      </c>
      <c r="T22" s="237" t="e">
        <f t="shared" si="4"/>
        <v>#REF!</v>
      </c>
    </row>
    <row r="23" spans="1:20" ht="30" hidden="1" customHeight="1" x14ac:dyDescent="0.3">
      <c r="A23" s="262" t="s">
        <v>151</v>
      </c>
      <c r="C23" s="244">
        <v>8</v>
      </c>
      <c r="D23" s="213" t="s">
        <v>239</v>
      </c>
      <c r="E23" s="969" t="s">
        <v>240</v>
      </c>
      <c r="F23" s="970"/>
      <c r="G23" s="971"/>
      <c r="H23" s="544" t="s">
        <v>228</v>
      </c>
      <c r="I23" s="212">
        <v>17500</v>
      </c>
      <c r="J23" s="605"/>
      <c r="K23" s="212">
        <v>1734</v>
      </c>
      <c r="L23" s="212">
        <f t="shared" si="0"/>
        <v>30345000</v>
      </c>
      <c r="M23" s="602"/>
      <c r="N23" s="675" t="e">
        <f>+#REF!</f>
        <v>#REF!</v>
      </c>
      <c r="O23" s="675">
        <f>+'Yeşil Defter'!L23</f>
        <v>0</v>
      </c>
      <c r="P23" s="675" t="e">
        <f t="shared" si="1"/>
        <v>#REF!</v>
      </c>
      <c r="Q23" s="212"/>
      <c r="R23" s="605" t="e">
        <f t="shared" si="2"/>
        <v>#REF!</v>
      </c>
      <c r="S23" s="225">
        <f t="shared" si="3"/>
        <v>0</v>
      </c>
      <c r="T23" s="237" t="e">
        <f t="shared" si="4"/>
        <v>#REF!</v>
      </c>
    </row>
    <row r="24" spans="1:20" ht="30" hidden="1" customHeight="1" x14ac:dyDescent="0.3">
      <c r="A24" s="262" t="s">
        <v>151</v>
      </c>
      <c r="C24" s="244">
        <v>9</v>
      </c>
      <c r="D24" s="161" t="s">
        <v>241</v>
      </c>
      <c r="E24" s="969" t="s">
        <v>242</v>
      </c>
      <c r="F24" s="970"/>
      <c r="G24" s="971"/>
      <c r="H24" s="544" t="s">
        <v>202</v>
      </c>
      <c r="I24" s="212">
        <v>1050</v>
      </c>
      <c r="J24" s="605"/>
      <c r="K24" s="212">
        <v>1884</v>
      </c>
      <c r="L24" s="212">
        <f t="shared" si="0"/>
        <v>1978200</v>
      </c>
      <c r="M24" s="602"/>
      <c r="N24" s="675" t="e">
        <f>+#REF!</f>
        <v>#REF!</v>
      </c>
      <c r="O24" s="675">
        <f>+'Yeşil Defter'!L24</f>
        <v>0</v>
      </c>
      <c r="P24" s="675" t="e">
        <f t="shared" si="1"/>
        <v>#REF!</v>
      </c>
      <c r="Q24" s="212"/>
      <c r="R24" s="605" t="e">
        <f t="shared" si="2"/>
        <v>#REF!</v>
      </c>
      <c r="S24" s="225">
        <f t="shared" si="3"/>
        <v>0</v>
      </c>
      <c r="T24" s="237" t="e">
        <f t="shared" si="4"/>
        <v>#REF!</v>
      </c>
    </row>
    <row r="25" spans="1:20" ht="30" hidden="1" customHeight="1" x14ac:dyDescent="0.3">
      <c r="A25" s="262" t="s">
        <v>151</v>
      </c>
      <c r="C25" s="244">
        <v>10</v>
      </c>
      <c r="D25" s="161" t="s">
        <v>243</v>
      </c>
      <c r="E25" s="969" t="s">
        <v>244</v>
      </c>
      <c r="F25" s="970"/>
      <c r="G25" s="971"/>
      <c r="H25" s="544" t="s">
        <v>202</v>
      </c>
      <c r="I25" s="212">
        <v>1200</v>
      </c>
      <c r="J25" s="605"/>
      <c r="K25" s="212">
        <v>960</v>
      </c>
      <c r="L25" s="212">
        <f t="shared" si="0"/>
        <v>1152000</v>
      </c>
      <c r="M25" s="602"/>
      <c r="N25" s="675" t="e">
        <f>+#REF!</f>
        <v>#REF!</v>
      </c>
      <c r="O25" s="675">
        <f>+'Yeşil Defter'!L25</f>
        <v>0</v>
      </c>
      <c r="P25" s="675" t="e">
        <f t="shared" si="1"/>
        <v>#REF!</v>
      </c>
      <c r="Q25" s="212"/>
      <c r="R25" s="605" t="e">
        <f t="shared" si="2"/>
        <v>#REF!</v>
      </c>
      <c r="S25" s="225">
        <f t="shared" si="3"/>
        <v>0</v>
      </c>
      <c r="T25" s="237" t="e">
        <f t="shared" si="4"/>
        <v>#REF!</v>
      </c>
    </row>
    <row r="26" spans="1:20" ht="30" hidden="1" customHeight="1" x14ac:dyDescent="0.3">
      <c r="A26" s="262" t="s">
        <v>151</v>
      </c>
      <c r="C26" s="244">
        <v>11</v>
      </c>
      <c r="D26" s="161" t="s">
        <v>245</v>
      </c>
      <c r="E26" s="969" t="s">
        <v>246</v>
      </c>
      <c r="F26" s="970"/>
      <c r="G26" s="971"/>
      <c r="H26" s="544" t="s">
        <v>247</v>
      </c>
      <c r="I26" s="212">
        <v>2475</v>
      </c>
      <c r="J26" s="605"/>
      <c r="K26" s="212">
        <v>530</v>
      </c>
      <c r="L26" s="212">
        <f t="shared" si="0"/>
        <v>1311750</v>
      </c>
      <c r="M26" s="602"/>
      <c r="N26" s="675" t="e">
        <f>+#REF!</f>
        <v>#REF!</v>
      </c>
      <c r="O26" s="675">
        <f>+'Yeşil Defter'!L26</f>
        <v>0</v>
      </c>
      <c r="P26" s="675" t="e">
        <f t="shared" si="1"/>
        <v>#REF!</v>
      </c>
      <c r="Q26" s="212"/>
      <c r="R26" s="605" t="e">
        <f t="shared" si="2"/>
        <v>#REF!</v>
      </c>
      <c r="S26" s="225">
        <f t="shared" si="3"/>
        <v>0</v>
      </c>
      <c r="T26" s="237" t="e">
        <f t="shared" si="4"/>
        <v>#REF!</v>
      </c>
    </row>
    <row r="27" spans="1:20" ht="30" hidden="1" customHeight="1" x14ac:dyDescent="0.3">
      <c r="A27" s="262" t="s">
        <v>151</v>
      </c>
      <c r="C27" s="244">
        <v>12</v>
      </c>
      <c r="D27" s="161" t="s">
        <v>248</v>
      </c>
      <c r="E27" s="969" t="s">
        <v>249</v>
      </c>
      <c r="F27" s="970"/>
      <c r="G27" s="971"/>
      <c r="H27" s="544" t="s">
        <v>247</v>
      </c>
      <c r="I27" s="212">
        <v>3900</v>
      </c>
      <c r="J27" s="605"/>
      <c r="K27" s="212">
        <v>408</v>
      </c>
      <c r="L27" s="212">
        <f t="shared" si="0"/>
        <v>1591200</v>
      </c>
      <c r="M27" s="602"/>
      <c r="N27" s="675" t="e">
        <f>+#REF!</f>
        <v>#REF!</v>
      </c>
      <c r="O27" s="675">
        <f>+'Yeşil Defter'!L27</f>
        <v>0</v>
      </c>
      <c r="P27" s="675" t="e">
        <f t="shared" si="1"/>
        <v>#REF!</v>
      </c>
      <c r="Q27" s="212"/>
      <c r="R27" s="605" t="e">
        <f t="shared" si="2"/>
        <v>#REF!</v>
      </c>
      <c r="S27" s="225">
        <f t="shared" si="3"/>
        <v>0</v>
      </c>
      <c r="T27" s="237" t="e">
        <f t="shared" si="4"/>
        <v>#REF!</v>
      </c>
    </row>
    <row r="28" spans="1:20" ht="30" hidden="1" customHeight="1" x14ac:dyDescent="0.3">
      <c r="A28" s="262" t="s">
        <v>151</v>
      </c>
      <c r="C28" s="244">
        <v>13</v>
      </c>
      <c r="D28" s="161" t="s">
        <v>250</v>
      </c>
      <c r="E28" s="969" t="s">
        <v>251</v>
      </c>
      <c r="F28" s="970"/>
      <c r="G28" s="971"/>
      <c r="H28" s="544" t="s">
        <v>247</v>
      </c>
      <c r="I28" s="212">
        <v>4125</v>
      </c>
      <c r="J28" s="605"/>
      <c r="K28" s="212">
        <v>396</v>
      </c>
      <c r="L28" s="212">
        <f t="shared" si="0"/>
        <v>1633500</v>
      </c>
      <c r="M28" s="602"/>
      <c r="N28" s="675" t="e">
        <f>+#REF!</f>
        <v>#REF!</v>
      </c>
      <c r="O28" s="675">
        <f>+'Yeşil Defter'!L28</f>
        <v>0</v>
      </c>
      <c r="P28" s="675" t="e">
        <f t="shared" si="1"/>
        <v>#REF!</v>
      </c>
      <c r="Q28" s="212"/>
      <c r="R28" s="605" t="e">
        <f t="shared" si="2"/>
        <v>#REF!</v>
      </c>
      <c r="S28" s="225">
        <f t="shared" si="3"/>
        <v>0</v>
      </c>
      <c r="T28" s="237" t="e">
        <f t="shared" si="4"/>
        <v>#REF!</v>
      </c>
    </row>
    <row r="29" spans="1:20" ht="30" hidden="1" customHeight="1" x14ac:dyDescent="0.3">
      <c r="A29" s="262" t="s">
        <v>151</v>
      </c>
      <c r="C29" s="244">
        <v>14</v>
      </c>
      <c r="D29" s="161" t="s">
        <v>252</v>
      </c>
      <c r="E29" s="969" t="s">
        <v>253</v>
      </c>
      <c r="F29" s="970"/>
      <c r="G29" s="971"/>
      <c r="H29" s="544" t="s">
        <v>247</v>
      </c>
      <c r="I29" s="212">
        <v>5850</v>
      </c>
      <c r="J29" s="605"/>
      <c r="K29" s="212">
        <v>396</v>
      </c>
      <c r="L29" s="212">
        <f t="shared" si="0"/>
        <v>2316600</v>
      </c>
      <c r="M29" s="602"/>
      <c r="N29" s="675" t="e">
        <f>+#REF!</f>
        <v>#REF!</v>
      </c>
      <c r="O29" s="675">
        <f>+'Yeşil Defter'!L29</f>
        <v>0</v>
      </c>
      <c r="P29" s="675" t="e">
        <f t="shared" si="1"/>
        <v>#REF!</v>
      </c>
      <c r="Q29" s="212"/>
      <c r="R29" s="605" t="e">
        <f t="shared" si="2"/>
        <v>#REF!</v>
      </c>
      <c r="S29" s="225">
        <f t="shared" si="3"/>
        <v>0</v>
      </c>
      <c r="T29" s="237" t="e">
        <f t="shared" si="4"/>
        <v>#REF!</v>
      </c>
    </row>
    <row r="30" spans="1:20" ht="30" hidden="1" customHeight="1" x14ac:dyDescent="0.3">
      <c r="A30" s="262" t="s">
        <v>151</v>
      </c>
      <c r="C30" s="244">
        <v>15</v>
      </c>
      <c r="D30" s="213" t="s">
        <v>254</v>
      </c>
      <c r="E30" s="969" t="s">
        <v>255</v>
      </c>
      <c r="F30" s="970"/>
      <c r="G30" s="971"/>
      <c r="H30" s="544" t="s">
        <v>225</v>
      </c>
      <c r="I30" s="212">
        <v>3140</v>
      </c>
      <c r="J30" s="605"/>
      <c r="K30" s="212">
        <v>138744.07</v>
      </c>
      <c r="L30" s="212">
        <f t="shared" si="0"/>
        <v>435656379.80000001</v>
      </c>
      <c r="M30" s="602"/>
      <c r="N30" s="675" t="e">
        <f>+#REF!</f>
        <v>#REF!</v>
      </c>
      <c r="O30" s="675">
        <f>+'Yeşil Defter'!L30</f>
        <v>0</v>
      </c>
      <c r="P30" s="675" t="e">
        <f t="shared" si="1"/>
        <v>#REF!</v>
      </c>
      <c r="Q30" s="212"/>
      <c r="R30" s="605" t="e">
        <f t="shared" si="2"/>
        <v>#REF!</v>
      </c>
      <c r="S30" s="225">
        <f t="shared" si="3"/>
        <v>0</v>
      </c>
      <c r="T30" s="237" t="e">
        <f t="shared" si="4"/>
        <v>#REF!</v>
      </c>
    </row>
    <row r="31" spans="1:20" ht="30" hidden="1" customHeight="1" x14ac:dyDescent="0.3">
      <c r="A31" s="262" t="s">
        <v>151</v>
      </c>
      <c r="C31" s="244">
        <v>16</v>
      </c>
      <c r="D31" s="161" t="s">
        <v>256</v>
      </c>
      <c r="E31" s="969" t="s">
        <v>257</v>
      </c>
      <c r="F31" s="970"/>
      <c r="G31" s="971"/>
      <c r="H31" s="544" t="s">
        <v>228</v>
      </c>
      <c r="I31" s="212">
        <v>3504</v>
      </c>
      <c r="J31" s="605"/>
      <c r="K31" s="212">
        <v>43459.98</v>
      </c>
      <c r="L31" s="212">
        <f t="shared" si="0"/>
        <v>152283769.91999999</v>
      </c>
      <c r="M31" s="602"/>
      <c r="N31" s="675" t="e">
        <f>+#REF!</f>
        <v>#REF!</v>
      </c>
      <c r="O31" s="675">
        <f>+'Yeşil Defter'!L31</f>
        <v>0</v>
      </c>
      <c r="P31" s="675" t="e">
        <f t="shared" si="1"/>
        <v>#REF!</v>
      </c>
      <c r="Q31" s="212"/>
      <c r="R31" s="605" t="e">
        <f t="shared" si="2"/>
        <v>#REF!</v>
      </c>
      <c r="S31" s="225">
        <f t="shared" si="3"/>
        <v>0</v>
      </c>
      <c r="T31" s="237" t="e">
        <f t="shared" si="4"/>
        <v>#REF!</v>
      </c>
    </row>
    <row r="32" spans="1:20" ht="30" hidden="1" customHeight="1" x14ac:dyDescent="0.3">
      <c r="A32" s="262" t="s">
        <v>151</v>
      </c>
      <c r="C32" s="244">
        <v>17</v>
      </c>
      <c r="D32" s="161" t="s">
        <v>258</v>
      </c>
      <c r="E32" s="969" t="s">
        <v>259</v>
      </c>
      <c r="F32" s="970"/>
      <c r="G32" s="971"/>
      <c r="H32" s="544" t="s">
        <v>228</v>
      </c>
      <c r="I32" s="212">
        <v>6114</v>
      </c>
      <c r="J32" s="605"/>
      <c r="K32" s="212">
        <v>115476.85</v>
      </c>
      <c r="L32" s="212">
        <f t="shared" si="0"/>
        <v>706025460.89999998</v>
      </c>
      <c r="M32" s="602"/>
      <c r="N32" s="675" t="e">
        <f>+#REF!</f>
        <v>#REF!</v>
      </c>
      <c r="O32" s="675">
        <f>+'Yeşil Defter'!L32</f>
        <v>0</v>
      </c>
      <c r="P32" s="675" t="e">
        <f t="shared" si="1"/>
        <v>#REF!</v>
      </c>
      <c r="Q32" s="212"/>
      <c r="R32" s="605" t="e">
        <f t="shared" si="2"/>
        <v>#REF!</v>
      </c>
      <c r="S32" s="225">
        <f t="shared" si="3"/>
        <v>0</v>
      </c>
      <c r="T32" s="237" t="e">
        <f t="shared" si="4"/>
        <v>#REF!</v>
      </c>
    </row>
    <row r="33" spans="1:20" ht="30" hidden="1" customHeight="1" x14ac:dyDescent="0.3">
      <c r="A33" s="262" t="s">
        <v>151</v>
      </c>
      <c r="C33" s="244">
        <v>18</v>
      </c>
      <c r="D33" s="161" t="s">
        <v>260</v>
      </c>
      <c r="E33" s="969" t="s">
        <v>261</v>
      </c>
      <c r="F33" s="970"/>
      <c r="G33" s="971"/>
      <c r="H33" s="544" t="s">
        <v>262</v>
      </c>
      <c r="I33" s="212">
        <v>75316</v>
      </c>
      <c r="J33" s="605"/>
      <c r="K33" s="212">
        <v>20487.48</v>
      </c>
      <c r="L33" s="212">
        <f t="shared" si="0"/>
        <v>1543035043.6800001</v>
      </c>
      <c r="M33" s="602"/>
      <c r="N33" s="675" t="e">
        <f>+#REF!</f>
        <v>#REF!</v>
      </c>
      <c r="O33" s="675">
        <f>+'Yeşil Defter'!L34</f>
        <v>0</v>
      </c>
      <c r="P33" s="675" t="e">
        <f t="shared" si="1"/>
        <v>#REF!</v>
      </c>
      <c r="Q33" s="212"/>
      <c r="R33" s="605" t="e">
        <f t="shared" si="2"/>
        <v>#REF!</v>
      </c>
      <c r="S33" s="225">
        <f t="shared" si="3"/>
        <v>0</v>
      </c>
      <c r="T33" s="237" t="e">
        <f t="shared" si="4"/>
        <v>#REF!</v>
      </c>
    </row>
    <row r="34" spans="1:20" ht="30" hidden="1" customHeight="1" x14ac:dyDescent="0.3">
      <c r="A34" s="262" t="s">
        <v>151</v>
      </c>
      <c r="C34" s="244">
        <v>19</v>
      </c>
      <c r="D34" s="161" t="s">
        <v>263</v>
      </c>
      <c r="E34" s="969" t="s">
        <v>264</v>
      </c>
      <c r="F34" s="970"/>
      <c r="G34" s="971"/>
      <c r="H34" s="544" t="s">
        <v>262</v>
      </c>
      <c r="I34" s="212">
        <v>87125</v>
      </c>
      <c r="J34" s="605"/>
      <c r="K34" s="212">
        <v>67.77</v>
      </c>
      <c r="L34" s="212">
        <f t="shared" si="0"/>
        <v>5904461.25</v>
      </c>
      <c r="M34" s="602"/>
      <c r="N34" s="675" t="e">
        <f>+#REF!</f>
        <v>#REF!</v>
      </c>
      <c r="O34" s="675">
        <f>+'Yeşil Defter'!L35</f>
        <v>0</v>
      </c>
      <c r="P34" s="675" t="e">
        <f t="shared" si="1"/>
        <v>#REF!</v>
      </c>
      <c r="Q34" s="212"/>
      <c r="R34" s="605" t="e">
        <f t="shared" si="2"/>
        <v>#REF!</v>
      </c>
      <c r="S34" s="225">
        <f t="shared" si="3"/>
        <v>0</v>
      </c>
      <c r="T34" s="237" t="e">
        <f t="shared" si="4"/>
        <v>#REF!</v>
      </c>
    </row>
    <row r="35" spans="1:20" ht="30" hidden="1" customHeight="1" x14ac:dyDescent="0.3">
      <c r="A35" s="262" t="s">
        <v>151</v>
      </c>
      <c r="C35" s="253">
        <v>20</v>
      </c>
      <c r="D35" s="218" t="s">
        <v>265</v>
      </c>
      <c r="E35" s="988" t="s">
        <v>266</v>
      </c>
      <c r="F35" s="989"/>
      <c r="G35" s="990"/>
      <c r="H35" s="545" t="s">
        <v>225</v>
      </c>
      <c r="I35" s="212">
        <v>5196</v>
      </c>
      <c r="J35" s="605"/>
      <c r="K35" s="212">
        <v>42149.53</v>
      </c>
      <c r="L35" s="220">
        <f t="shared" si="0"/>
        <v>219008957.88</v>
      </c>
      <c r="M35" s="424"/>
      <c r="N35" s="675" t="e">
        <f>+#REF!</f>
        <v>#REF!</v>
      </c>
      <c r="O35" s="675">
        <f>+'Yeşil Defter'!L36</f>
        <v>0</v>
      </c>
      <c r="P35" s="675" t="e">
        <f t="shared" si="1"/>
        <v>#REF!</v>
      </c>
      <c r="Q35" s="220"/>
      <c r="R35" s="605" t="e">
        <f t="shared" si="2"/>
        <v>#REF!</v>
      </c>
      <c r="S35" s="254">
        <f t="shared" si="3"/>
        <v>0</v>
      </c>
      <c r="T35" s="237" t="e">
        <f t="shared" si="4"/>
        <v>#REF!</v>
      </c>
    </row>
    <row r="36" spans="1:20" ht="40.049999999999997" hidden="1" customHeight="1" x14ac:dyDescent="0.3">
      <c r="A36" s="262" t="s">
        <v>1242</v>
      </c>
      <c r="C36" s="258"/>
      <c r="D36" s="258"/>
      <c r="E36" s="972" t="s">
        <v>33</v>
      </c>
      <c r="F36" s="972"/>
      <c r="G36" s="972"/>
      <c r="H36" s="973" t="s">
        <v>29</v>
      </c>
      <c r="I36" s="973"/>
      <c r="J36" s="973"/>
      <c r="K36" s="973"/>
      <c r="L36" s="973"/>
      <c r="M36" s="549"/>
      <c r="N36" s="973" t="s">
        <v>22</v>
      </c>
      <c r="O36" s="973"/>
      <c r="P36" s="973"/>
      <c r="Q36" s="973"/>
      <c r="R36" s="973"/>
      <c r="S36" s="973"/>
      <c r="T36" s="973"/>
    </row>
    <row r="37" spans="1:20" ht="19.95" hidden="1" customHeight="1" x14ac:dyDescent="0.3">
      <c r="A37" s="262" t="s">
        <v>1242</v>
      </c>
      <c r="D37" s="28"/>
      <c r="E37" s="974" t="s">
        <v>1214</v>
      </c>
      <c r="F37" s="974"/>
      <c r="G37" s="974"/>
      <c r="H37" s="975" t="s">
        <v>38</v>
      </c>
      <c r="I37" s="975"/>
      <c r="J37" s="975"/>
      <c r="K37" s="975"/>
      <c r="L37" s="975"/>
      <c r="M37" s="562"/>
      <c r="N37" s="975" t="s">
        <v>1437</v>
      </c>
      <c r="O37" s="975"/>
      <c r="P37" s="975"/>
      <c r="Q37" s="975"/>
      <c r="R37" s="975"/>
      <c r="S37" s="975"/>
      <c r="T37" s="975"/>
    </row>
    <row r="38" spans="1:20" ht="19.95" hidden="1" customHeight="1" x14ac:dyDescent="0.3">
      <c r="A38" s="262" t="s">
        <v>1242</v>
      </c>
      <c r="C38" s="228"/>
      <c r="D38" s="228"/>
      <c r="E38" s="561"/>
      <c r="F38" s="561"/>
      <c r="G38" s="561"/>
      <c r="H38" s="228"/>
      <c r="I38" s="260"/>
      <c r="J38" s="260"/>
      <c r="K38" s="260"/>
      <c r="L38" s="260"/>
      <c r="M38" s="260"/>
      <c r="N38" s="975"/>
      <c r="O38" s="975"/>
      <c r="P38" s="975"/>
      <c r="Q38" s="975"/>
      <c r="R38" s="975"/>
      <c r="S38" s="975"/>
      <c r="T38" s="975"/>
    </row>
    <row r="39" spans="1:20" ht="19.95" hidden="1" customHeight="1" x14ac:dyDescent="0.3">
      <c r="A39" s="262" t="s">
        <v>1242</v>
      </c>
      <c r="C39" s="228"/>
      <c r="D39" s="228"/>
      <c r="E39" s="561"/>
      <c r="F39" s="561"/>
      <c r="G39" s="561"/>
      <c r="H39" s="228"/>
      <c r="I39" s="260"/>
      <c r="J39" s="260"/>
      <c r="K39" s="260"/>
      <c r="L39" s="260"/>
      <c r="M39" s="260"/>
      <c r="N39" s="975"/>
      <c r="O39" s="975"/>
      <c r="P39" s="975"/>
      <c r="Q39" s="975"/>
      <c r="R39" s="975"/>
      <c r="S39" s="975"/>
      <c r="T39" s="975"/>
    </row>
    <row r="40" spans="1:20" ht="19.95" hidden="1" customHeight="1" x14ac:dyDescent="0.3">
      <c r="A40" s="262" t="s">
        <v>1242</v>
      </c>
      <c r="C40" s="228"/>
      <c r="D40" s="228"/>
      <c r="E40" s="561"/>
      <c r="F40" s="561"/>
      <c r="G40" s="561"/>
      <c r="H40" s="228"/>
      <c r="I40" s="260"/>
      <c r="J40" s="260"/>
      <c r="K40" s="260"/>
      <c r="L40" s="260"/>
      <c r="M40" s="260"/>
      <c r="N40" s="260"/>
      <c r="O40" s="260"/>
      <c r="P40" s="260"/>
      <c r="Q40" s="260"/>
      <c r="R40" s="260"/>
      <c r="S40" s="624"/>
      <c r="T40" s="260"/>
    </row>
    <row r="41" spans="1:20" ht="19.95" hidden="1" customHeight="1" x14ac:dyDescent="0.3">
      <c r="A41" s="262" t="s">
        <v>1242</v>
      </c>
      <c r="C41" s="228"/>
      <c r="D41" s="228"/>
      <c r="E41" s="561"/>
      <c r="F41" s="561"/>
      <c r="G41" s="561"/>
      <c r="H41" s="975" t="s">
        <v>32</v>
      </c>
      <c r="I41" s="975"/>
      <c r="J41" s="562"/>
      <c r="K41" s="975" t="s">
        <v>1407</v>
      </c>
      <c r="L41" s="975"/>
      <c r="M41" s="562"/>
      <c r="N41" s="968" t="s">
        <v>54</v>
      </c>
      <c r="O41" s="968"/>
      <c r="P41" s="968" t="s">
        <v>1218</v>
      </c>
      <c r="Q41" s="968"/>
      <c r="R41" s="968"/>
      <c r="S41" s="981" t="s">
        <v>55</v>
      </c>
      <c r="T41" s="981"/>
    </row>
    <row r="42" spans="1:20" ht="19.95" hidden="1" customHeight="1" x14ac:dyDescent="0.3">
      <c r="A42" s="262" t="s">
        <v>1242</v>
      </c>
      <c r="C42" s="228"/>
      <c r="D42" s="228"/>
      <c r="E42" s="561"/>
      <c r="F42" s="561"/>
      <c r="G42" s="561"/>
      <c r="H42" s="976" t="s">
        <v>94</v>
      </c>
      <c r="I42" s="976"/>
      <c r="J42" s="623"/>
      <c r="K42" s="976" t="s">
        <v>94</v>
      </c>
      <c r="L42" s="976"/>
      <c r="M42" s="623"/>
      <c r="N42" s="968" t="s">
        <v>1484</v>
      </c>
      <c r="O42" s="968"/>
      <c r="P42" s="968" t="s">
        <v>1471</v>
      </c>
      <c r="Q42" s="968"/>
      <c r="R42" s="968"/>
      <c r="S42" s="968" t="s">
        <v>1484</v>
      </c>
      <c r="T42" s="968"/>
    </row>
    <row r="43" spans="1:20" ht="19.95" hidden="1" customHeight="1" x14ac:dyDescent="0.3">
      <c r="A43" s="262" t="s">
        <v>1242</v>
      </c>
      <c r="C43" s="228"/>
      <c r="D43" s="228"/>
      <c r="E43" s="561"/>
      <c r="F43" s="561"/>
      <c r="G43" s="561"/>
      <c r="H43" s="976"/>
      <c r="I43" s="976"/>
      <c r="J43" s="623"/>
      <c r="K43" s="976"/>
      <c r="L43" s="976"/>
      <c r="M43" s="623"/>
      <c r="N43" s="968"/>
      <c r="O43" s="968"/>
      <c r="P43" s="968"/>
      <c r="Q43" s="968"/>
      <c r="R43" s="968"/>
      <c r="S43" s="981"/>
      <c r="T43" s="981"/>
    </row>
    <row r="44" spans="1:20" ht="19.95" hidden="1" customHeight="1" x14ac:dyDescent="0.3">
      <c r="A44" s="262" t="s">
        <v>1242</v>
      </c>
      <c r="C44" s="228"/>
      <c r="D44" s="228"/>
      <c r="E44" s="561"/>
      <c r="F44" s="561"/>
      <c r="G44" s="561"/>
      <c r="H44" s="228"/>
      <c r="I44" s="260"/>
      <c r="J44" s="260"/>
      <c r="K44" s="260"/>
      <c r="L44" s="260"/>
      <c r="M44" s="260"/>
      <c r="N44" s="260"/>
      <c r="O44" s="260"/>
      <c r="P44" s="260"/>
      <c r="Q44" s="260"/>
      <c r="R44" s="260"/>
      <c r="S44" s="624"/>
      <c r="T44" s="260"/>
    </row>
    <row r="45" spans="1:20" ht="19.95" hidden="1" customHeight="1" x14ac:dyDescent="0.3">
      <c r="A45" s="262" t="s">
        <v>1242</v>
      </c>
      <c r="C45" s="228"/>
      <c r="D45" s="228"/>
      <c r="E45" s="975" t="s">
        <v>1215</v>
      </c>
      <c r="F45" s="975"/>
      <c r="G45" s="975"/>
      <c r="H45" s="975" t="s">
        <v>1348</v>
      </c>
      <c r="I45" s="975"/>
      <c r="J45" s="975"/>
      <c r="K45" s="975"/>
      <c r="L45" s="975"/>
      <c r="M45" s="562"/>
      <c r="N45" s="977" t="s">
        <v>1217</v>
      </c>
      <c r="O45" s="968"/>
      <c r="P45" s="968"/>
      <c r="Q45" s="968"/>
      <c r="R45" s="968"/>
      <c r="S45" s="968"/>
      <c r="T45" s="968"/>
    </row>
    <row r="46" spans="1:20" ht="19.95" hidden="1" customHeight="1" x14ac:dyDescent="0.3">
      <c r="A46" s="262" t="s">
        <v>1290</v>
      </c>
      <c r="C46" s="228"/>
      <c r="D46" s="228"/>
      <c r="E46" s="975"/>
      <c r="F46" s="975"/>
      <c r="G46" s="975"/>
      <c r="H46" s="975"/>
      <c r="I46" s="975"/>
      <c r="J46" s="975"/>
      <c r="K46" s="975"/>
      <c r="L46" s="975"/>
      <c r="M46" s="562"/>
      <c r="N46" s="968"/>
      <c r="O46" s="968"/>
      <c r="P46" s="968"/>
      <c r="Q46" s="968"/>
      <c r="R46" s="968"/>
      <c r="S46" s="968"/>
      <c r="T46" s="968"/>
    </row>
    <row r="47" spans="1:20" ht="30" hidden="1" customHeight="1" x14ac:dyDescent="0.3">
      <c r="A47" s="262" t="s">
        <v>151</v>
      </c>
      <c r="C47" s="255">
        <v>21</v>
      </c>
      <c r="D47" s="256" t="s">
        <v>267</v>
      </c>
      <c r="E47" s="978" t="s">
        <v>268</v>
      </c>
      <c r="F47" s="979"/>
      <c r="G47" s="980"/>
      <c r="H47" s="546" t="s">
        <v>225</v>
      </c>
      <c r="I47" s="257">
        <v>1535</v>
      </c>
      <c r="J47" s="606"/>
      <c r="K47" s="257">
        <v>12946.85</v>
      </c>
      <c r="L47" s="257">
        <f t="shared" ref="L47:L69" si="5">+ROUND(I47*K47,2)</f>
        <v>19873414.75</v>
      </c>
      <c r="M47" s="603"/>
      <c r="N47" s="675" t="e">
        <f>+#REF!</f>
        <v>#REF!</v>
      </c>
      <c r="O47" s="675">
        <f>+'Yeşil Defter'!L37</f>
        <v>0</v>
      </c>
      <c r="P47" s="675" t="e">
        <f t="shared" ref="P47:P69" si="6">+N47+O47</f>
        <v>#REF!</v>
      </c>
      <c r="Q47" s="257"/>
      <c r="R47" s="606" t="e">
        <f t="shared" ref="R47:R69" si="7">+ROUND(I47*N47,2)</f>
        <v>#REF!</v>
      </c>
      <c r="S47" s="247">
        <f t="shared" ref="S47:S69" si="8">+ROUND(I47*O47,2)</f>
        <v>0</v>
      </c>
      <c r="T47" s="248" t="e">
        <f t="shared" ref="T47:T69" si="9">+ROUND(I47*P47,2)</f>
        <v>#REF!</v>
      </c>
    </row>
    <row r="48" spans="1:20" ht="30" hidden="1" customHeight="1" x14ac:dyDescent="0.3">
      <c r="A48" s="262" t="s">
        <v>151</v>
      </c>
      <c r="C48" s="244">
        <v>22</v>
      </c>
      <c r="D48" s="161" t="s">
        <v>269</v>
      </c>
      <c r="E48" s="969" t="s">
        <v>270</v>
      </c>
      <c r="F48" s="970"/>
      <c r="G48" s="971"/>
      <c r="H48" s="544" t="s">
        <v>225</v>
      </c>
      <c r="I48" s="257">
        <v>1462</v>
      </c>
      <c r="J48" s="606"/>
      <c r="K48" s="257">
        <v>12871.85</v>
      </c>
      <c r="L48" s="212">
        <f t="shared" si="5"/>
        <v>18818644.699999999</v>
      </c>
      <c r="M48" s="602"/>
      <c r="N48" s="675" t="e">
        <f>+#REF!</f>
        <v>#REF!</v>
      </c>
      <c r="O48" s="675">
        <f>+'Yeşil Defter'!L38</f>
        <v>0</v>
      </c>
      <c r="P48" s="675" t="e">
        <f t="shared" si="6"/>
        <v>#REF!</v>
      </c>
      <c r="Q48" s="212"/>
      <c r="R48" s="606" t="e">
        <f t="shared" si="7"/>
        <v>#REF!</v>
      </c>
      <c r="S48" s="247">
        <f t="shared" si="8"/>
        <v>0</v>
      </c>
      <c r="T48" s="248" t="e">
        <f t="shared" si="9"/>
        <v>#REF!</v>
      </c>
    </row>
    <row r="49" spans="1:22" ht="30" hidden="1" customHeight="1" x14ac:dyDescent="0.3">
      <c r="A49" s="262" t="s">
        <v>151</v>
      </c>
      <c r="C49" s="244">
        <v>23</v>
      </c>
      <c r="D49" s="213" t="s">
        <v>271</v>
      </c>
      <c r="E49" s="969" t="s">
        <v>272</v>
      </c>
      <c r="F49" s="970"/>
      <c r="G49" s="971"/>
      <c r="H49" s="544" t="s">
        <v>202</v>
      </c>
      <c r="I49" s="257">
        <v>2094</v>
      </c>
      <c r="J49" s="606"/>
      <c r="K49" s="257">
        <v>14706.45</v>
      </c>
      <c r="L49" s="212">
        <f t="shared" si="5"/>
        <v>30795306.300000001</v>
      </c>
      <c r="M49" s="602"/>
      <c r="N49" s="675" t="e">
        <f>+#REF!</f>
        <v>#REF!</v>
      </c>
      <c r="O49" s="675">
        <f>+'Yeşil Defter'!L39</f>
        <v>0</v>
      </c>
      <c r="P49" s="675" t="e">
        <f t="shared" si="6"/>
        <v>#REF!</v>
      </c>
      <c r="Q49" s="212"/>
      <c r="R49" s="606" t="e">
        <f t="shared" si="7"/>
        <v>#REF!</v>
      </c>
      <c r="S49" s="247">
        <f t="shared" si="8"/>
        <v>0</v>
      </c>
      <c r="T49" s="248" t="e">
        <f t="shared" si="9"/>
        <v>#REF!</v>
      </c>
    </row>
    <row r="50" spans="1:22" ht="30" hidden="1" customHeight="1" x14ac:dyDescent="0.3">
      <c r="A50" s="262" t="s">
        <v>151</v>
      </c>
      <c r="C50" s="244">
        <v>24</v>
      </c>
      <c r="D50" s="161" t="s">
        <v>273</v>
      </c>
      <c r="E50" s="969" t="s">
        <v>274</v>
      </c>
      <c r="F50" s="970"/>
      <c r="G50" s="971"/>
      <c r="H50" s="544" t="s">
        <v>225</v>
      </c>
      <c r="I50" s="257">
        <v>37481</v>
      </c>
      <c r="J50" s="606"/>
      <c r="K50" s="257">
        <v>3073.23</v>
      </c>
      <c r="L50" s="212">
        <f t="shared" si="5"/>
        <v>115187733.63</v>
      </c>
      <c r="M50" s="602"/>
      <c r="N50" s="675" t="e">
        <f>+#REF!</f>
        <v>#REF!</v>
      </c>
      <c r="O50" s="675">
        <f>+'Yeşil Defter'!L40</f>
        <v>0</v>
      </c>
      <c r="P50" s="675" t="e">
        <f t="shared" si="6"/>
        <v>#REF!</v>
      </c>
      <c r="Q50" s="212"/>
      <c r="R50" s="606" t="e">
        <f t="shared" si="7"/>
        <v>#REF!</v>
      </c>
      <c r="S50" s="247">
        <f t="shared" si="8"/>
        <v>0</v>
      </c>
      <c r="T50" s="248" t="e">
        <f t="shared" si="9"/>
        <v>#REF!</v>
      </c>
    </row>
    <row r="51" spans="1:22" ht="30" hidden="1" customHeight="1" x14ac:dyDescent="0.3">
      <c r="A51" s="262" t="s">
        <v>151</v>
      </c>
      <c r="C51" s="244">
        <v>25</v>
      </c>
      <c r="D51" s="161" t="s">
        <v>275</v>
      </c>
      <c r="E51" s="969" t="s">
        <v>276</v>
      </c>
      <c r="F51" s="970"/>
      <c r="G51" s="971"/>
      <c r="H51" s="544" t="s">
        <v>225</v>
      </c>
      <c r="I51" s="257">
        <v>43633</v>
      </c>
      <c r="J51" s="606"/>
      <c r="K51" s="257">
        <v>2679.52</v>
      </c>
      <c r="L51" s="212">
        <f t="shared" si="5"/>
        <v>116915496.16</v>
      </c>
      <c r="M51" s="602"/>
      <c r="N51" s="675" t="e">
        <f>+#REF!</f>
        <v>#REF!</v>
      </c>
      <c r="O51" s="675">
        <f>+'Yeşil Defter'!L41</f>
        <v>0</v>
      </c>
      <c r="P51" s="675" t="e">
        <f t="shared" si="6"/>
        <v>#REF!</v>
      </c>
      <c r="Q51" s="212"/>
      <c r="R51" s="606" t="e">
        <f t="shared" si="7"/>
        <v>#REF!</v>
      </c>
      <c r="S51" s="247">
        <f t="shared" si="8"/>
        <v>0</v>
      </c>
      <c r="T51" s="248" t="e">
        <f t="shared" si="9"/>
        <v>#REF!</v>
      </c>
    </row>
    <row r="52" spans="1:22" ht="30" hidden="1" customHeight="1" x14ac:dyDescent="0.3">
      <c r="A52" s="262" t="s">
        <v>151</v>
      </c>
      <c r="C52" s="244">
        <v>26</v>
      </c>
      <c r="D52" s="161" t="s">
        <v>277</v>
      </c>
      <c r="E52" s="969" t="s">
        <v>278</v>
      </c>
      <c r="F52" s="970"/>
      <c r="G52" s="971"/>
      <c r="H52" s="544" t="s">
        <v>225</v>
      </c>
      <c r="I52" s="257">
        <v>23682</v>
      </c>
      <c r="J52" s="606"/>
      <c r="K52" s="257">
        <v>4321.2299999999996</v>
      </c>
      <c r="L52" s="212">
        <f t="shared" si="5"/>
        <v>102335368.86</v>
      </c>
      <c r="M52" s="602"/>
      <c r="N52" s="675" t="e">
        <f>+#REF!</f>
        <v>#REF!</v>
      </c>
      <c r="O52" s="675">
        <f>+'Yeşil Defter'!L42</f>
        <v>0</v>
      </c>
      <c r="P52" s="675" t="e">
        <f t="shared" si="6"/>
        <v>#REF!</v>
      </c>
      <c r="Q52" s="212"/>
      <c r="R52" s="606" t="e">
        <f t="shared" si="7"/>
        <v>#REF!</v>
      </c>
      <c r="S52" s="247">
        <f t="shared" si="8"/>
        <v>0</v>
      </c>
      <c r="T52" s="248" t="e">
        <f t="shared" si="9"/>
        <v>#REF!</v>
      </c>
    </row>
    <row r="53" spans="1:22" ht="30" hidden="1" customHeight="1" x14ac:dyDescent="0.3">
      <c r="A53" s="262" t="s">
        <v>151</v>
      </c>
      <c r="C53" s="244">
        <v>27</v>
      </c>
      <c r="D53" s="161" t="s">
        <v>279</v>
      </c>
      <c r="E53" s="969" t="s">
        <v>280</v>
      </c>
      <c r="F53" s="970"/>
      <c r="G53" s="971"/>
      <c r="H53" s="544" t="s">
        <v>225</v>
      </c>
      <c r="I53" s="257">
        <v>26351</v>
      </c>
      <c r="J53" s="606"/>
      <c r="K53" s="257">
        <v>8103.7</v>
      </c>
      <c r="L53" s="212">
        <f t="shared" si="5"/>
        <v>213540598.69999999</v>
      </c>
      <c r="M53" s="602"/>
      <c r="N53" s="675" t="e">
        <f>+#REF!</f>
        <v>#REF!</v>
      </c>
      <c r="O53" s="675">
        <f>+'Yeşil Defter'!L43</f>
        <v>0</v>
      </c>
      <c r="P53" s="675" t="e">
        <f t="shared" si="6"/>
        <v>#REF!</v>
      </c>
      <c r="Q53" s="212"/>
      <c r="R53" s="606" t="e">
        <f t="shared" si="7"/>
        <v>#REF!</v>
      </c>
      <c r="S53" s="247">
        <f t="shared" si="8"/>
        <v>0</v>
      </c>
      <c r="T53" s="248" t="e">
        <f t="shared" si="9"/>
        <v>#REF!</v>
      </c>
    </row>
    <row r="54" spans="1:22" ht="30" hidden="1" customHeight="1" x14ac:dyDescent="0.3">
      <c r="A54" s="262" t="s">
        <v>151</v>
      </c>
      <c r="C54" s="244">
        <v>28</v>
      </c>
      <c r="D54" s="161" t="s">
        <v>281</v>
      </c>
      <c r="E54" s="969" t="s">
        <v>282</v>
      </c>
      <c r="F54" s="970"/>
      <c r="G54" s="971"/>
      <c r="H54" s="544" t="s">
        <v>225</v>
      </c>
      <c r="I54" s="257">
        <v>36167</v>
      </c>
      <c r="J54" s="606"/>
      <c r="K54" s="257">
        <v>3944.25</v>
      </c>
      <c r="L54" s="212">
        <f t="shared" si="5"/>
        <v>142651689.75</v>
      </c>
      <c r="M54" s="602"/>
      <c r="N54" s="675" t="e">
        <f>+#REF!</f>
        <v>#REF!</v>
      </c>
      <c r="O54" s="675">
        <f>+'Yeşil Defter'!L44</f>
        <v>0</v>
      </c>
      <c r="P54" s="675" t="e">
        <f t="shared" si="6"/>
        <v>#REF!</v>
      </c>
      <c r="Q54" s="212"/>
      <c r="R54" s="606" t="e">
        <f t="shared" si="7"/>
        <v>#REF!</v>
      </c>
      <c r="S54" s="247">
        <f t="shared" si="8"/>
        <v>0</v>
      </c>
      <c r="T54" s="248" t="e">
        <f t="shared" si="9"/>
        <v>#REF!</v>
      </c>
    </row>
    <row r="55" spans="1:22" ht="30" hidden="1" customHeight="1" x14ac:dyDescent="0.3">
      <c r="A55" s="262" t="s">
        <v>151</v>
      </c>
      <c r="C55" s="244">
        <v>29</v>
      </c>
      <c r="D55" s="161" t="s">
        <v>283</v>
      </c>
      <c r="E55" s="969" t="s">
        <v>1162</v>
      </c>
      <c r="F55" s="970"/>
      <c r="G55" s="971"/>
      <c r="H55" s="544" t="s">
        <v>225</v>
      </c>
      <c r="I55" s="257">
        <v>36167</v>
      </c>
      <c r="J55" s="606"/>
      <c r="K55" s="257">
        <v>920.13</v>
      </c>
      <c r="L55" s="212">
        <f t="shared" si="5"/>
        <v>33278341.710000001</v>
      </c>
      <c r="M55" s="602"/>
      <c r="N55" s="675" t="e">
        <f>+#REF!</f>
        <v>#REF!</v>
      </c>
      <c r="O55" s="675">
        <f>+'Yeşil Defter'!L63</f>
        <v>0</v>
      </c>
      <c r="P55" s="675" t="e">
        <f t="shared" si="6"/>
        <v>#REF!</v>
      </c>
      <c r="Q55" s="212"/>
      <c r="R55" s="606" t="e">
        <f t="shared" si="7"/>
        <v>#REF!</v>
      </c>
      <c r="S55" s="247">
        <f t="shared" si="8"/>
        <v>0</v>
      </c>
      <c r="T55" s="248" t="e">
        <f t="shared" si="9"/>
        <v>#REF!</v>
      </c>
    </row>
    <row r="56" spans="1:22" ht="30" hidden="1" customHeight="1" x14ac:dyDescent="0.3">
      <c r="A56" s="262" t="s">
        <v>151</v>
      </c>
      <c r="C56" s="244">
        <v>30</v>
      </c>
      <c r="D56" s="161" t="s">
        <v>284</v>
      </c>
      <c r="E56" s="969" t="s">
        <v>285</v>
      </c>
      <c r="F56" s="970"/>
      <c r="G56" s="971"/>
      <c r="H56" s="544" t="s">
        <v>286</v>
      </c>
      <c r="I56" s="257">
        <v>1125000</v>
      </c>
      <c r="J56" s="606"/>
      <c r="K56" s="257">
        <v>1</v>
      </c>
      <c r="L56" s="212">
        <f t="shared" si="5"/>
        <v>1125000</v>
      </c>
      <c r="M56" s="602"/>
      <c r="N56" s="675" t="e">
        <f>+#REF!</f>
        <v>#REF!</v>
      </c>
      <c r="O56" s="675">
        <f>+'Yeşil Defter'!L64</f>
        <v>0</v>
      </c>
      <c r="P56" s="675" t="e">
        <f t="shared" si="6"/>
        <v>#REF!</v>
      </c>
      <c r="Q56" s="212"/>
      <c r="R56" s="606" t="e">
        <f t="shared" si="7"/>
        <v>#REF!</v>
      </c>
      <c r="S56" s="247">
        <f t="shared" si="8"/>
        <v>0</v>
      </c>
      <c r="T56" s="248" t="e">
        <f t="shared" si="9"/>
        <v>#REF!</v>
      </c>
    </row>
    <row r="57" spans="1:22" ht="30" hidden="1" customHeight="1" x14ac:dyDescent="0.3">
      <c r="A57" s="262" t="s">
        <v>151</v>
      </c>
      <c r="C57" s="244">
        <v>31</v>
      </c>
      <c r="D57" s="161" t="s">
        <v>287</v>
      </c>
      <c r="E57" s="969" t="s">
        <v>288</v>
      </c>
      <c r="F57" s="970"/>
      <c r="G57" s="971"/>
      <c r="H57" s="544" t="s">
        <v>286</v>
      </c>
      <c r="I57" s="257">
        <v>1125000</v>
      </c>
      <c r="J57" s="606"/>
      <c r="K57" s="257">
        <v>1</v>
      </c>
      <c r="L57" s="212">
        <f t="shared" si="5"/>
        <v>1125000</v>
      </c>
      <c r="M57" s="602"/>
      <c r="N57" s="675" t="e">
        <f>+#REF!</f>
        <v>#REF!</v>
      </c>
      <c r="O57" s="675">
        <f>+'Yeşil Defter'!L65</f>
        <v>0</v>
      </c>
      <c r="P57" s="675" t="e">
        <f t="shared" si="6"/>
        <v>#REF!</v>
      </c>
      <c r="Q57" s="212"/>
      <c r="R57" s="606" t="e">
        <f t="shared" si="7"/>
        <v>#REF!</v>
      </c>
      <c r="S57" s="247">
        <f t="shared" si="8"/>
        <v>0</v>
      </c>
      <c r="T57" s="248" t="e">
        <f t="shared" si="9"/>
        <v>#REF!</v>
      </c>
    </row>
    <row r="58" spans="1:22" ht="30" hidden="1" customHeight="1" x14ac:dyDescent="0.3">
      <c r="A58" s="262" t="s">
        <v>151</v>
      </c>
      <c r="C58" s="244">
        <v>32</v>
      </c>
      <c r="D58" s="161" t="s">
        <v>289</v>
      </c>
      <c r="E58" s="969" t="s">
        <v>290</v>
      </c>
      <c r="F58" s="970"/>
      <c r="G58" s="971"/>
      <c r="H58" s="544" t="s">
        <v>286</v>
      </c>
      <c r="I58" s="257">
        <v>3000000</v>
      </c>
      <c r="J58" s="606"/>
      <c r="K58" s="257">
        <v>1</v>
      </c>
      <c r="L58" s="212">
        <f t="shared" si="5"/>
        <v>3000000</v>
      </c>
      <c r="M58" s="602"/>
      <c r="N58" s="675" t="e">
        <f>+#REF!</f>
        <v>#REF!</v>
      </c>
      <c r="O58" s="675">
        <f>+'Yeşil Defter'!L66</f>
        <v>0</v>
      </c>
      <c r="P58" s="675" t="e">
        <f t="shared" si="6"/>
        <v>#REF!</v>
      </c>
      <c r="Q58" s="212"/>
      <c r="R58" s="606" t="e">
        <f t="shared" si="7"/>
        <v>#REF!</v>
      </c>
      <c r="S58" s="247">
        <f t="shared" si="8"/>
        <v>0</v>
      </c>
      <c r="T58" s="248" t="e">
        <f t="shared" si="9"/>
        <v>#REF!</v>
      </c>
    </row>
    <row r="59" spans="1:22" ht="30" hidden="1" customHeight="1" x14ac:dyDescent="0.3">
      <c r="A59" s="262" t="s">
        <v>151</v>
      </c>
      <c r="C59" s="244">
        <v>33</v>
      </c>
      <c r="D59" s="161" t="s">
        <v>291</v>
      </c>
      <c r="E59" s="969" t="s">
        <v>292</v>
      </c>
      <c r="F59" s="970"/>
      <c r="G59" s="971"/>
      <c r="H59" s="544" t="s">
        <v>286</v>
      </c>
      <c r="I59" s="257">
        <v>2250000</v>
      </c>
      <c r="J59" s="606"/>
      <c r="K59" s="257">
        <v>1</v>
      </c>
      <c r="L59" s="212">
        <f t="shared" si="5"/>
        <v>2250000</v>
      </c>
      <c r="M59" s="602"/>
      <c r="N59" s="675" t="e">
        <f>+#REF!</f>
        <v>#REF!</v>
      </c>
      <c r="O59" s="675">
        <f>+'Yeşil Defter'!L67</f>
        <v>0</v>
      </c>
      <c r="P59" s="675" t="e">
        <f t="shared" si="6"/>
        <v>#REF!</v>
      </c>
      <c r="Q59" s="212"/>
      <c r="R59" s="606" t="e">
        <f t="shared" si="7"/>
        <v>#REF!</v>
      </c>
      <c r="S59" s="247">
        <f t="shared" si="8"/>
        <v>0</v>
      </c>
      <c r="T59" s="248" t="e">
        <f t="shared" si="9"/>
        <v>#REF!</v>
      </c>
    </row>
    <row r="60" spans="1:22" ht="30" hidden="1" customHeight="1" x14ac:dyDescent="0.3">
      <c r="A60" s="262" t="s">
        <v>151</v>
      </c>
      <c r="C60" s="244">
        <v>34</v>
      </c>
      <c r="D60" s="161" t="s">
        <v>293</v>
      </c>
      <c r="E60" s="969" t="s">
        <v>294</v>
      </c>
      <c r="F60" s="970"/>
      <c r="G60" s="971"/>
      <c r="H60" s="544" t="s">
        <v>225</v>
      </c>
      <c r="I60" s="257">
        <v>2400</v>
      </c>
      <c r="J60" s="606"/>
      <c r="K60" s="257">
        <v>5500</v>
      </c>
      <c r="L60" s="212">
        <f t="shared" si="5"/>
        <v>13200000</v>
      </c>
      <c r="M60" s="602"/>
      <c r="N60" s="675" t="e">
        <f>+#REF!</f>
        <v>#REF!</v>
      </c>
      <c r="O60" s="675">
        <f>+'Yeşil Defter'!L68</f>
        <v>0</v>
      </c>
      <c r="P60" s="675" t="e">
        <f t="shared" si="6"/>
        <v>#REF!</v>
      </c>
      <c r="Q60" s="212"/>
      <c r="R60" s="606" t="e">
        <f t="shared" si="7"/>
        <v>#REF!</v>
      </c>
      <c r="S60" s="247">
        <f t="shared" si="8"/>
        <v>0</v>
      </c>
      <c r="T60" s="248" t="e">
        <f t="shared" si="9"/>
        <v>#REF!</v>
      </c>
    </row>
    <row r="61" spans="1:22" ht="30" hidden="1" customHeight="1" x14ac:dyDescent="0.3">
      <c r="A61" s="262" t="s">
        <v>151</v>
      </c>
      <c r="C61" s="244">
        <v>35</v>
      </c>
      <c r="D61" s="161" t="s">
        <v>295</v>
      </c>
      <c r="E61" s="969" t="s">
        <v>296</v>
      </c>
      <c r="F61" s="970"/>
      <c r="G61" s="971"/>
      <c r="H61" s="544" t="s">
        <v>225</v>
      </c>
      <c r="I61" s="257">
        <v>2400</v>
      </c>
      <c r="J61" s="606"/>
      <c r="K61" s="257">
        <v>6500</v>
      </c>
      <c r="L61" s="212">
        <f t="shared" si="5"/>
        <v>15600000</v>
      </c>
      <c r="M61" s="602"/>
      <c r="N61" s="675" t="e">
        <f>+#REF!</f>
        <v>#REF!</v>
      </c>
      <c r="O61" s="675">
        <f>+'Yeşil Defter'!L69</f>
        <v>0</v>
      </c>
      <c r="P61" s="675" t="e">
        <f t="shared" si="6"/>
        <v>#REF!</v>
      </c>
      <c r="Q61" s="212"/>
      <c r="R61" s="606" t="e">
        <f t="shared" si="7"/>
        <v>#REF!</v>
      </c>
      <c r="S61" s="247">
        <f t="shared" si="8"/>
        <v>0</v>
      </c>
      <c r="T61" s="248" t="e">
        <f t="shared" si="9"/>
        <v>#REF!</v>
      </c>
    </row>
    <row r="62" spans="1:22" ht="30" hidden="1" customHeight="1" x14ac:dyDescent="0.3">
      <c r="A62" s="262" t="s">
        <v>151</v>
      </c>
      <c r="C62" s="244">
        <v>36</v>
      </c>
      <c r="D62" s="161" t="s">
        <v>297</v>
      </c>
      <c r="E62" s="969" t="s">
        <v>298</v>
      </c>
      <c r="F62" s="970"/>
      <c r="G62" s="971"/>
      <c r="H62" s="544" t="s">
        <v>225</v>
      </c>
      <c r="I62" s="257">
        <v>2400</v>
      </c>
      <c r="J62" s="606"/>
      <c r="K62" s="257">
        <v>8000</v>
      </c>
      <c r="L62" s="212">
        <f t="shared" si="5"/>
        <v>19200000</v>
      </c>
      <c r="M62" s="602"/>
      <c r="N62" s="675" t="e">
        <f>+#REF!</f>
        <v>#REF!</v>
      </c>
      <c r="O62" s="675">
        <f>+'Yeşil Defter'!L70</f>
        <v>0</v>
      </c>
      <c r="P62" s="675" t="e">
        <f t="shared" si="6"/>
        <v>#REF!</v>
      </c>
      <c r="Q62" s="212"/>
      <c r="R62" s="606" t="e">
        <f t="shared" si="7"/>
        <v>#REF!</v>
      </c>
      <c r="S62" s="247">
        <f t="shared" si="8"/>
        <v>0</v>
      </c>
      <c r="T62" s="248" t="e">
        <f t="shared" si="9"/>
        <v>#REF!</v>
      </c>
    </row>
    <row r="63" spans="1:22" ht="30" hidden="1" customHeight="1" x14ac:dyDescent="0.3">
      <c r="A63" s="262" t="s">
        <v>151</v>
      </c>
      <c r="C63" s="244">
        <v>37</v>
      </c>
      <c r="D63" s="161" t="s">
        <v>299</v>
      </c>
      <c r="E63" s="969" t="s">
        <v>300</v>
      </c>
      <c r="F63" s="970"/>
      <c r="G63" s="971"/>
      <c r="H63" s="544" t="s">
        <v>225</v>
      </c>
      <c r="I63" s="257">
        <v>2400</v>
      </c>
      <c r="J63" s="606"/>
      <c r="K63" s="257">
        <v>20500</v>
      </c>
      <c r="L63" s="212">
        <f t="shared" si="5"/>
        <v>49200000</v>
      </c>
      <c r="M63" s="602"/>
      <c r="N63" s="675" t="e">
        <f>+#REF!</f>
        <v>#REF!</v>
      </c>
      <c r="O63" s="675">
        <f>+'Yeşil Defter'!L71</f>
        <v>0</v>
      </c>
      <c r="P63" s="675" t="e">
        <f t="shared" si="6"/>
        <v>#REF!</v>
      </c>
      <c r="Q63" s="212"/>
      <c r="R63" s="606" t="e">
        <f t="shared" si="7"/>
        <v>#REF!</v>
      </c>
      <c r="S63" s="247">
        <f t="shared" si="8"/>
        <v>0</v>
      </c>
      <c r="T63" s="248" t="e">
        <f t="shared" si="9"/>
        <v>#REF!</v>
      </c>
    </row>
    <row r="64" spans="1:22" ht="30" hidden="1" customHeight="1" x14ac:dyDescent="0.3">
      <c r="A64" s="262" t="s">
        <v>151</v>
      </c>
      <c r="C64" s="244">
        <v>38</v>
      </c>
      <c r="D64" s="161" t="s">
        <v>301</v>
      </c>
      <c r="E64" s="969" t="s">
        <v>302</v>
      </c>
      <c r="F64" s="970"/>
      <c r="G64" s="971"/>
      <c r="H64" s="544" t="s">
        <v>286</v>
      </c>
      <c r="I64" s="257">
        <v>6167886</v>
      </c>
      <c r="J64" s="606"/>
      <c r="K64" s="257">
        <v>1</v>
      </c>
      <c r="L64" s="212">
        <f t="shared" si="5"/>
        <v>6167886</v>
      </c>
      <c r="M64" s="602"/>
      <c r="N64" s="675" t="e">
        <f>+#REF!</f>
        <v>#REF!</v>
      </c>
      <c r="O64" s="675">
        <f>+'Yeşil Defter'!L72</f>
        <v>0</v>
      </c>
      <c r="P64" s="675" t="e">
        <f t="shared" si="6"/>
        <v>#REF!</v>
      </c>
      <c r="Q64" s="511"/>
      <c r="R64" s="606" t="e">
        <f t="shared" si="7"/>
        <v>#REF!</v>
      </c>
      <c r="S64" s="247">
        <f t="shared" si="8"/>
        <v>0</v>
      </c>
      <c r="T64" s="248" t="e">
        <f t="shared" si="9"/>
        <v>#REF!</v>
      </c>
      <c r="V64" s="327"/>
    </row>
    <row r="65" spans="1:22" ht="30" hidden="1" customHeight="1" x14ac:dyDescent="0.3">
      <c r="A65" s="262" t="s">
        <v>151</v>
      </c>
      <c r="C65" s="244">
        <v>39</v>
      </c>
      <c r="D65" s="161" t="s">
        <v>303</v>
      </c>
      <c r="E65" s="969" t="s">
        <v>304</v>
      </c>
      <c r="F65" s="970"/>
      <c r="G65" s="971"/>
      <c r="H65" s="544" t="s">
        <v>286</v>
      </c>
      <c r="I65" s="257">
        <v>6167886</v>
      </c>
      <c r="J65" s="606"/>
      <c r="K65" s="257">
        <v>1</v>
      </c>
      <c r="L65" s="212">
        <f t="shared" si="5"/>
        <v>6167886</v>
      </c>
      <c r="M65" s="602"/>
      <c r="N65" s="675">
        <v>0</v>
      </c>
      <c r="O65" s="675">
        <f>+'Yeşil Defter'!L73</f>
        <v>0</v>
      </c>
      <c r="P65" s="675">
        <f t="shared" si="6"/>
        <v>0</v>
      </c>
      <c r="Q65" s="511"/>
      <c r="R65" s="606">
        <f t="shared" si="7"/>
        <v>0</v>
      </c>
      <c r="S65" s="247">
        <f t="shared" si="8"/>
        <v>0</v>
      </c>
      <c r="T65" s="248">
        <f t="shared" si="9"/>
        <v>0</v>
      </c>
    </row>
    <row r="66" spans="1:22" ht="30" hidden="1" customHeight="1" x14ac:dyDescent="0.3">
      <c r="A66" s="262" t="s">
        <v>151</v>
      </c>
      <c r="C66" s="244">
        <v>40</v>
      </c>
      <c r="D66" s="161" t="s">
        <v>305</v>
      </c>
      <c r="E66" s="969" t="s">
        <v>306</v>
      </c>
      <c r="F66" s="970"/>
      <c r="G66" s="971"/>
      <c r="H66" s="544" t="s">
        <v>286</v>
      </c>
      <c r="I66" s="257">
        <v>14017922</v>
      </c>
      <c r="J66" s="606"/>
      <c r="K66" s="257">
        <v>1</v>
      </c>
      <c r="L66" s="212">
        <f t="shared" si="5"/>
        <v>14017922</v>
      </c>
      <c r="M66" s="602"/>
      <c r="N66" s="675" t="e">
        <f>+#REF!</f>
        <v>#REF!</v>
      </c>
      <c r="O66" s="675">
        <f>+'Yeşil Defter'!L74</f>
        <v>0</v>
      </c>
      <c r="P66" s="675" t="e">
        <f t="shared" si="6"/>
        <v>#REF!</v>
      </c>
      <c r="Q66" s="511"/>
      <c r="R66" s="606" t="e">
        <f t="shared" si="7"/>
        <v>#REF!</v>
      </c>
      <c r="S66" s="247">
        <f t="shared" si="8"/>
        <v>0</v>
      </c>
      <c r="T66" s="248" t="e">
        <f t="shared" si="9"/>
        <v>#REF!</v>
      </c>
    </row>
    <row r="67" spans="1:22" ht="30" hidden="1" customHeight="1" x14ac:dyDescent="0.3">
      <c r="A67" s="262" t="s">
        <v>151</v>
      </c>
      <c r="C67" s="244">
        <v>41</v>
      </c>
      <c r="D67" s="161" t="s">
        <v>307</v>
      </c>
      <c r="E67" s="969" t="s">
        <v>308</v>
      </c>
      <c r="F67" s="970"/>
      <c r="G67" s="971"/>
      <c r="H67" s="544" t="s">
        <v>286</v>
      </c>
      <c r="I67" s="257">
        <v>14017922</v>
      </c>
      <c r="J67" s="606"/>
      <c r="K67" s="257">
        <v>1</v>
      </c>
      <c r="L67" s="212">
        <f t="shared" si="5"/>
        <v>14017922</v>
      </c>
      <c r="M67" s="602"/>
      <c r="N67" s="675" t="e">
        <f>+#REF!</f>
        <v>#REF!</v>
      </c>
      <c r="O67" s="675">
        <f>+'Yeşil Defter'!L75</f>
        <v>0</v>
      </c>
      <c r="P67" s="675" t="e">
        <f t="shared" si="6"/>
        <v>#REF!</v>
      </c>
      <c r="Q67" s="511"/>
      <c r="R67" s="606" t="e">
        <f t="shared" si="7"/>
        <v>#REF!</v>
      </c>
      <c r="S67" s="247">
        <f t="shared" si="8"/>
        <v>0</v>
      </c>
      <c r="T67" s="248" t="e">
        <f t="shared" si="9"/>
        <v>#REF!</v>
      </c>
      <c r="V67" s="325"/>
    </row>
    <row r="68" spans="1:22" ht="30" hidden="1" customHeight="1" x14ac:dyDescent="0.3">
      <c r="A68" s="262" t="s">
        <v>151</v>
      </c>
      <c r="C68" s="244">
        <v>42</v>
      </c>
      <c r="D68" s="161" t="s">
        <v>309</v>
      </c>
      <c r="E68" s="969" t="s">
        <v>310</v>
      </c>
      <c r="F68" s="970"/>
      <c r="G68" s="971"/>
      <c r="H68" s="544" t="s">
        <v>286</v>
      </c>
      <c r="I68" s="257">
        <v>6167886</v>
      </c>
      <c r="J68" s="606"/>
      <c r="K68" s="257">
        <v>1</v>
      </c>
      <c r="L68" s="212">
        <f t="shared" si="5"/>
        <v>6167886</v>
      </c>
      <c r="M68" s="602"/>
      <c r="N68" s="675" t="e">
        <f>+#REF!</f>
        <v>#REF!</v>
      </c>
      <c r="O68" s="675">
        <f>+'Yeşil Defter'!L76</f>
        <v>0</v>
      </c>
      <c r="P68" s="675" t="e">
        <f t="shared" si="6"/>
        <v>#REF!</v>
      </c>
      <c r="Q68" s="511"/>
      <c r="R68" s="606" t="e">
        <f t="shared" si="7"/>
        <v>#REF!</v>
      </c>
      <c r="S68" s="247">
        <f t="shared" si="8"/>
        <v>0</v>
      </c>
      <c r="T68" s="248" t="e">
        <f t="shared" si="9"/>
        <v>#REF!</v>
      </c>
    </row>
    <row r="69" spans="1:22" ht="30" hidden="1" customHeight="1" x14ac:dyDescent="0.3">
      <c r="A69" s="262" t="s">
        <v>151</v>
      </c>
      <c r="C69" s="244">
        <v>43</v>
      </c>
      <c r="D69" s="161" t="s">
        <v>311</v>
      </c>
      <c r="E69" s="969" t="s">
        <v>312</v>
      </c>
      <c r="F69" s="970"/>
      <c r="G69" s="971"/>
      <c r="H69" s="544" t="s">
        <v>286</v>
      </c>
      <c r="I69" s="257">
        <v>15419714</v>
      </c>
      <c r="J69" s="606"/>
      <c r="K69" s="257">
        <v>1</v>
      </c>
      <c r="L69" s="212">
        <f t="shared" si="5"/>
        <v>15419714</v>
      </c>
      <c r="M69" s="602"/>
      <c r="N69" s="675" t="e">
        <f>+#REF!</f>
        <v>#REF!</v>
      </c>
      <c r="O69" s="675">
        <f>+'Yeşil Defter'!L77</f>
        <v>0</v>
      </c>
      <c r="P69" s="675" t="e">
        <f t="shared" si="6"/>
        <v>#REF!</v>
      </c>
      <c r="Q69" s="511"/>
      <c r="R69" s="606" t="e">
        <f t="shared" si="7"/>
        <v>#REF!</v>
      </c>
      <c r="S69" s="247">
        <f t="shared" si="8"/>
        <v>0</v>
      </c>
      <c r="T69" s="248" t="e">
        <f t="shared" si="9"/>
        <v>#REF!</v>
      </c>
    </row>
    <row r="70" spans="1:22" ht="40.049999999999997" hidden="1" customHeight="1" x14ac:dyDescent="0.3">
      <c r="A70" s="262" t="s">
        <v>1242</v>
      </c>
      <c r="C70" s="258"/>
      <c r="D70" s="258"/>
      <c r="E70" s="972" t="s">
        <v>33</v>
      </c>
      <c r="F70" s="972"/>
      <c r="G70" s="972"/>
      <c r="H70" s="973" t="s">
        <v>29</v>
      </c>
      <c r="I70" s="973"/>
      <c r="J70" s="973"/>
      <c r="K70" s="973"/>
      <c r="L70" s="973"/>
      <c r="M70" s="549"/>
      <c r="N70" s="973" t="s">
        <v>22</v>
      </c>
      <c r="O70" s="973"/>
      <c r="P70" s="973"/>
      <c r="Q70" s="973"/>
      <c r="R70" s="973"/>
      <c r="S70" s="973"/>
      <c r="T70" s="973"/>
    </row>
    <row r="71" spans="1:22" ht="19.95" hidden="1" customHeight="1" x14ac:dyDescent="0.3">
      <c r="A71" s="262" t="s">
        <v>1242</v>
      </c>
      <c r="D71" s="28"/>
      <c r="E71" s="974" t="s">
        <v>1214</v>
      </c>
      <c r="F71" s="974"/>
      <c r="G71" s="974"/>
      <c r="H71" s="975" t="s">
        <v>38</v>
      </c>
      <c r="I71" s="975"/>
      <c r="J71" s="975"/>
      <c r="K71" s="975"/>
      <c r="L71" s="975"/>
      <c r="M71" s="562"/>
      <c r="N71" s="975" t="s">
        <v>1437</v>
      </c>
      <c r="O71" s="975"/>
      <c r="P71" s="975"/>
      <c r="Q71" s="975"/>
      <c r="R71" s="975"/>
      <c r="S71" s="975"/>
      <c r="T71" s="975"/>
    </row>
    <row r="72" spans="1:22" ht="19.95" hidden="1" customHeight="1" x14ac:dyDescent="0.3">
      <c r="A72" s="262" t="s">
        <v>1242</v>
      </c>
      <c r="C72" s="228"/>
      <c r="D72" s="228"/>
      <c r="E72" s="561"/>
      <c r="F72" s="561"/>
      <c r="G72" s="561"/>
      <c r="H72" s="228"/>
      <c r="I72" s="260"/>
      <c r="J72" s="260"/>
      <c r="K72" s="260"/>
      <c r="L72" s="260"/>
      <c r="M72" s="260"/>
      <c r="N72" s="975"/>
      <c r="O72" s="975"/>
      <c r="P72" s="975"/>
      <c r="Q72" s="975"/>
      <c r="R72" s="975"/>
      <c r="S72" s="975"/>
      <c r="T72" s="975"/>
    </row>
    <row r="73" spans="1:22" ht="19.95" hidden="1" customHeight="1" x14ac:dyDescent="0.3">
      <c r="A73" s="262" t="s">
        <v>1242</v>
      </c>
      <c r="C73" s="228"/>
      <c r="D73" s="228"/>
      <c r="E73" s="561"/>
      <c r="F73" s="561"/>
      <c r="G73" s="561"/>
      <c r="H73" s="228"/>
      <c r="I73" s="260"/>
      <c r="J73" s="260"/>
      <c r="K73" s="260"/>
      <c r="L73" s="260"/>
      <c r="M73" s="260"/>
      <c r="N73" s="975"/>
      <c r="O73" s="975"/>
      <c r="P73" s="975"/>
      <c r="Q73" s="975"/>
      <c r="R73" s="975"/>
      <c r="S73" s="975"/>
      <c r="T73" s="975"/>
    </row>
    <row r="74" spans="1:22" ht="19.95" hidden="1" customHeight="1" x14ac:dyDescent="0.3">
      <c r="A74" s="262" t="s">
        <v>1242</v>
      </c>
      <c r="C74" s="228"/>
      <c r="D74" s="228"/>
      <c r="E74" s="561"/>
      <c r="F74" s="561"/>
      <c r="G74" s="561"/>
      <c r="H74" s="228"/>
      <c r="I74" s="260"/>
      <c r="J74" s="260"/>
      <c r="K74" s="260"/>
      <c r="L74" s="260"/>
      <c r="M74" s="260"/>
      <c r="N74" s="260"/>
      <c r="O74" s="260"/>
      <c r="P74" s="260"/>
      <c r="Q74" s="260"/>
      <c r="R74" s="260"/>
      <c r="S74" s="624"/>
      <c r="T74" s="260"/>
    </row>
    <row r="75" spans="1:22" ht="19.95" hidden="1" customHeight="1" x14ac:dyDescent="0.3">
      <c r="A75" s="262" t="s">
        <v>1242</v>
      </c>
      <c r="C75" s="228"/>
      <c r="D75" s="228"/>
      <c r="E75" s="561"/>
      <c r="F75" s="561"/>
      <c r="G75" s="561"/>
      <c r="H75" s="975" t="s">
        <v>32</v>
      </c>
      <c r="I75" s="975"/>
      <c r="J75" s="562"/>
      <c r="K75" s="975" t="s">
        <v>1407</v>
      </c>
      <c r="L75" s="975"/>
      <c r="M75" s="562"/>
      <c r="N75" s="968" t="s">
        <v>54</v>
      </c>
      <c r="O75" s="968"/>
      <c r="P75" s="968" t="s">
        <v>1218</v>
      </c>
      <c r="Q75" s="968"/>
      <c r="R75" s="968"/>
      <c r="S75" s="981" t="s">
        <v>55</v>
      </c>
      <c r="T75" s="981"/>
    </row>
    <row r="76" spans="1:22" ht="19.95" hidden="1" customHeight="1" x14ac:dyDescent="0.3">
      <c r="A76" s="262" t="s">
        <v>1242</v>
      </c>
      <c r="C76" s="228"/>
      <c r="D76" s="228"/>
      <c r="E76" s="561"/>
      <c r="F76" s="561"/>
      <c r="G76" s="561"/>
      <c r="H76" s="976" t="s">
        <v>94</v>
      </c>
      <c r="I76" s="976"/>
      <c r="J76" s="623"/>
      <c r="K76" s="976" t="s">
        <v>94</v>
      </c>
      <c r="L76" s="976"/>
      <c r="M76" s="623"/>
      <c r="N76" s="968" t="s">
        <v>1484</v>
      </c>
      <c r="O76" s="968"/>
      <c r="P76" s="968" t="s">
        <v>1471</v>
      </c>
      <c r="Q76" s="968"/>
      <c r="R76" s="968"/>
      <c r="S76" s="968" t="s">
        <v>1484</v>
      </c>
      <c r="T76" s="968"/>
    </row>
    <row r="77" spans="1:22" ht="19.95" hidden="1" customHeight="1" x14ac:dyDescent="0.3">
      <c r="A77" s="262" t="s">
        <v>1242</v>
      </c>
      <c r="C77" s="228"/>
      <c r="D77" s="228"/>
      <c r="E77" s="561"/>
      <c r="F77" s="561"/>
      <c r="G77" s="561"/>
      <c r="H77" s="976"/>
      <c r="I77" s="976"/>
      <c r="J77" s="623"/>
      <c r="K77" s="976"/>
      <c r="L77" s="976"/>
      <c r="M77" s="623"/>
      <c r="N77" s="968"/>
      <c r="O77" s="968"/>
      <c r="P77" s="968"/>
      <c r="Q77" s="968"/>
      <c r="R77" s="968"/>
      <c r="S77" s="981"/>
      <c r="T77" s="981"/>
    </row>
    <row r="78" spans="1:22" ht="19.95" hidden="1" customHeight="1" x14ac:dyDescent="0.3">
      <c r="A78" s="262" t="s">
        <v>1242</v>
      </c>
      <c r="C78" s="228"/>
      <c r="D78" s="228"/>
      <c r="E78" s="561"/>
      <c r="F78" s="561"/>
      <c r="G78" s="561"/>
      <c r="H78" s="228"/>
      <c r="I78" s="260"/>
      <c r="J78" s="260"/>
      <c r="K78" s="260"/>
      <c r="L78" s="260"/>
      <c r="M78" s="260"/>
      <c r="N78" s="260"/>
      <c r="O78" s="260"/>
      <c r="P78" s="260"/>
      <c r="Q78" s="260"/>
      <c r="R78" s="260"/>
      <c r="S78" s="624"/>
      <c r="T78" s="260"/>
    </row>
    <row r="79" spans="1:22" ht="19.95" hidden="1" customHeight="1" x14ac:dyDescent="0.3">
      <c r="A79" s="262" t="s">
        <v>1242</v>
      </c>
      <c r="C79" s="228"/>
      <c r="D79" s="228"/>
      <c r="E79" s="975" t="s">
        <v>1215</v>
      </c>
      <c r="F79" s="975"/>
      <c r="G79" s="975"/>
      <c r="H79" s="975" t="s">
        <v>1348</v>
      </c>
      <c r="I79" s="975"/>
      <c r="J79" s="975"/>
      <c r="K79" s="975"/>
      <c r="L79" s="975"/>
      <c r="M79" s="562"/>
      <c r="N79" s="977" t="s">
        <v>1217</v>
      </c>
      <c r="O79" s="968"/>
      <c r="P79" s="968"/>
      <c r="Q79" s="968"/>
      <c r="R79" s="968"/>
      <c r="S79" s="968"/>
      <c r="T79" s="968"/>
    </row>
    <row r="80" spans="1:22" ht="19.95" hidden="1" customHeight="1" x14ac:dyDescent="0.3">
      <c r="A80" s="262" t="s">
        <v>1290</v>
      </c>
      <c r="C80" s="228"/>
      <c r="D80" s="228"/>
      <c r="E80" s="975"/>
      <c r="F80" s="975"/>
      <c r="G80" s="975"/>
      <c r="H80" s="975"/>
      <c r="I80" s="975"/>
      <c r="J80" s="975"/>
      <c r="K80" s="975"/>
      <c r="L80" s="975"/>
      <c r="M80" s="562"/>
      <c r="N80" s="968"/>
      <c r="O80" s="968"/>
      <c r="P80" s="968"/>
      <c r="Q80" s="968"/>
      <c r="R80" s="968"/>
      <c r="S80" s="968"/>
      <c r="T80" s="968"/>
    </row>
    <row r="81" spans="1:20" ht="30" hidden="1" customHeight="1" x14ac:dyDescent="0.3">
      <c r="A81" s="262" t="s">
        <v>151</v>
      </c>
      <c r="C81" s="255">
        <v>44</v>
      </c>
      <c r="D81" s="256" t="s">
        <v>313</v>
      </c>
      <c r="E81" s="978" t="s">
        <v>314</v>
      </c>
      <c r="F81" s="979"/>
      <c r="G81" s="980"/>
      <c r="H81" s="546" t="s">
        <v>286</v>
      </c>
      <c r="I81" s="257">
        <v>4205377</v>
      </c>
      <c r="J81" s="606"/>
      <c r="K81" s="257">
        <v>1</v>
      </c>
      <c r="L81" s="257">
        <f>+ROUND(I81*K81,2)</f>
        <v>4205377</v>
      </c>
      <c r="M81" s="602"/>
      <c r="N81" s="675" t="e">
        <f>+#REF!</f>
        <v>#REF!</v>
      </c>
      <c r="O81" s="675">
        <f>+'Yeşil Defter'!L78</f>
        <v>0</v>
      </c>
      <c r="P81" s="675" t="e">
        <f t="shared" ref="P81:P85" si="10">+N81+O81</f>
        <v>#REF!</v>
      </c>
      <c r="Q81" s="257"/>
      <c r="R81" s="606" t="e">
        <f t="shared" ref="R81:R85" si="11">+ROUND(I81*N81,2)</f>
        <v>#REF!</v>
      </c>
      <c r="S81" s="247">
        <f t="shared" ref="S81:S85" si="12">+ROUND(I81*O81,2)</f>
        <v>0</v>
      </c>
      <c r="T81" s="248" t="e">
        <f t="shared" ref="T81:T85" si="13">+ROUND(I81*P81,2)</f>
        <v>#REF!</v>
      </c>
    </row>
    <row r="82" spans="1:20" ht="30" hidden="1" customHeight="1" x14ac:dyDescent="0.3">
      <c r="A82" s="262" t="s">
        <v>151</v>
      </c>
      <c r="C82" s="244">
        <v>45</v>
      </c>
      <c r="D82" s="161" t="s">
        <v>315</v>
      </c>
      <c r="E82" s="969" t="s">
        <v>316</v>
      </c>
      <c r="F82" s="970"/>
      <c r="G82" s="971"/>
      <c r="H82" s="544" t="s">
        <v>286</v>
      </c>
      <c r="I82" s="212">
        <v>4205377</v>
      </c>
      <c r="J82" s="605"/>
      <c r="K82" s="212">
        <v>1</v>
      </c>
      <c r="L82" s="212">
        <f>+ROUND(I82*K82,2)</f>
        <v>4205377</v>
      </c>
      <c r="M82" s="602"/>
      <c r="N82" s="675" t="e">
        <f>+#REF!</f>
        <v>#REF!</v>
      </c>
      <c r="O82" s="675">
        <f>+'Yeşil Defter'!L79</f>
        <v>0</v>
      </c>
      <c r="P82" s="675" t="e">
        <f t="shared" si="10"/>
        <v>#REF!</v>
      </c>
      <c r="Q82" s="212"/>
      <c r="R82" s="606" t="e">
        <f t="shared" si="11"/>
        <v>#REF!</v>
      </c>
      <c r="S82" s="247">
        <f t="shared" si="12"/>
        <v>0</v>
      </c>
      <c r="T82" s="248" t="e">
        <f t="shared" si="13"/>
        <v>#REF!</v>
      </c>
    </row>
    <row r="83" spans="1:20" ht="30" hidden="1" customHeight="1" x14ac:dyDescent="0.3">
      <c r="A83" s="262" t="s">
        <v>151</v>
      </c>
      <c r="C83" s="244">
        <v>46</v>
      </c>
      <c r="D83" s="161" t="s">
        <v>317</v>
      </c>
      <c r="E83" s="969" t="s">
        <v>318</v>
      </c>
      <c r="F83" s="970"/>
      <c r="G83" s="971"/>
      <c r="H83" s="544" t="s">
        <v>286</v>
      </c>
      <c r="I83" s="212">
        <v>5326810</v>
      </c>
      <c r="J83" s="605"/>
      <c r="K83" s="212">
        <v>1</v>
      </c>
      <c r="L83" s="212">
        <f>+ROUND(I83*K83,2)</f>
        <v>5326810</v>
      </c>
      <c r="M83" s="602"/>
      <c r="N83" s="675" t="e">
        <f>+#REF!</f>
        <v>#REF!</v>
      </c>
      <c r="O83" s="675">
        <f>+'Yeşil Defter'!L80</f>
        <v>0</v>
      </c>
      <c r="P83" s="675" t="e">
        <f t="shared" si="10"/>
        <v>#REF!</v>
      </c>
      <c r="Q83" s="212"/>
      <c r="R83" s="606" t="e">
        <f t="shared" si="11"/>
        <v>#REF!</v>
      </c>
      <c r="S83" s="247">
        <f t="shared" si="12"/>
        <v>0</v>
      </c>
      <c r="T83" s="248" t="e">
        <f t="shared" si="13"/>
        <v>#REF!</v>
      </c>
    </row>
    <row r="84" spans="1:20" ht="30" hidden="1" customHeight="1" x14ac:dyDescent="0.3">
      <c r="A84" s="262" t="s">
        <v>151</v>
      </c>
      <c r="C84" s="244">
        <v>47</v>
      </c>
      <c r="D84" s="161" t="s">
        <v>319</v>
      </c>
      <c r="E84" s="969" t="s">
        <v>320</v>
      </c>
      <c r="F84" s="970"/>
      <c r="G84" s="971"/>
      <c r="H84" s="544" t="s">
        <v>286</v>
      </c>
      <c r="I84" s="212">
        <v>5326810</v>
      </c>
      <c r="J84" s="605"/>
      <c r="K84" s="212">
        <v>1</v>
      </c>
      <c r="L84" s="212">
        <f>+ROUND(I84*K84,2)</f>
        <v>5326810</v>
      </c>
      <c r="M84" s="602"/>
      <c r="N84" s="675" t="e">
        <f>+#REF!</f>
        <v>#REF!</v>
      </c>
      <c r="O84" s="675">
        <f>+'Yeşil Defter'!L81</f>
        <v>0</v>
      </c>
      <c r="P84" s="675" t="e">
        <f t="shared" si="10"/>
        <v>#REF!</v>
      </c>
      <c r="Q84" s="212"/>
      <c r="R84" s="606" t="e">
        <f t="shared" si="11"/>
        <v>#REF!</v>
      </c>
      <c r="S84" s="247">
        <f t="shared" si="12"/>
        <v>0</v>
      </c>
      <c r="T84" s="248" t="e">
        <f t="shared" si="13"/>
        <v>#REF!</v>
      </c>
    </row>
    <row r="85" spans="1:20" ht="30" hidden="1" customHeight="1" x14ac:dyDescent="0.3">
      <c r="A85" s="262" t="s">
        <v>151</v>
      </c>
      <c r="C85" s="244">
        <v>48</v>
      </c>
      <c r="D85" s="161" t="s">
        <v>321</v>
      </c>
      <c r="E85" s="969" t="s">
        <v>322</v>
      </c>
      <c r="F85" s="970"/>
      <c r="G85" s="971"/>
      <c r="H85" s="544" t="s">
        <v>286</v>
      </c>
      <c r="I85" s="212">
        <v>4205377</v>
      </c>
      <c r="J85" s="605"/>
      <c r="K85" s="212">
        <v>1</v>
      </c>
      <c r="L85" s="341">
        <f>+ROUND(I85*K85,2)</f>
        <v>4205377</v>
      </c>
      <c r="M85" s="212"/>
      <c r="N85" s="675" t="e">
        <f>+#REF!</f>
        <v>#REF!</v>
      </c>
      <c r="O85" s="675">
        <f>+'Yeşil Defter'!L82</f>
        <v>0</v>
      </c>
      <c r="P85" s="675" t="e">
        <f t="shared" si="10"/>
        <v>#REF!</v>
      </c>
      <c r="Q85" s="212"/>
      <c r="R85" s="606" t="e">
        <f t="shared" si="11"/>
        <v>#REF!</v>
      </c>
      <c r="S85" s="247">
        <f t="shared" si="12"/>
        <v>0</v>
      </c>
      <c r="T85" s="248" t="e">
        <f t="shared" si="13"/>
        <v>#REF!</v>
      </c>
    </row>
    <row r="86" spans="1:20" ht="30" hidden="1" customHeight="1" x14ac:dyDescent="0.3">
      <c r="A86" s="262" t="s">
        <v>151</v>
      </c>
      <c r="C86" s="244"/>
      <c r="D86" s="161"/>
      <c r="E86" s="969"/>
      <c r="F86" s="970"/>
      <c r="G86" s="971"/>
      <c r="H86" s="161"/>
      <c r="I86" s="605"/>
      <c r="J86" s="605"/>
      <c r="K86" s="212"/>
      <c r="L86" s="341"/>
      <c r="M86" s="212"/>
      <c r="N86" s="605"/>
      <c r="O86" s="212"/>
      <c r="P86" s="341"/>
      <c r="Q86" s="212"/>
      <c r="R86" s="605"/>
      <c r="S86" s="225"/>
      <c r="T86" s="237"/>
    </row>
    <row r="87" spans="1:20" ht="30" hidden="1" customHeight="1" x14ac:dyDescent="0.3">
      <c r="A87" s="262" t="s">
        <v>151</v>
      </c>
      <c r="C87" s="244"/>
      <c r="D87" s="161"/>
      <c r="E87" s="969"/>
      <c r="F87" s="970"/>
      <c r="G87" s="971"/>
      <c r="H87" s="161"/>
      <c r="I87" s="605"/>
      <c r="J87" s="605"/>
      <c r="K87" s="212"/>
      <c r="L87" s="341"/>
      <c r="M87" s="212"/>
      <c r="N87" s="605"/>
      <c r="O87" s="212"/>
      <c r="P87" s="341"/>
      <c r="Q87" s="212"/>
      <c r="R87" s="605"/>
      <c r="S87" s="225"/>
      <c r="T87" s="237"/>
    </row>
    <row r="88" spans="1:20" ht="30" hidden="1" customHeight="1" x14ac:dyDescent="0.3">
      <c r="A88" s="262" t="s">
        <v>151</v>
      </c>
      <c r="C88" s="244"/>
      <c r="D88" s="161"/>
      <c r="E88" s="969"/>
      <c r="F88" s="970"/>
      <c r="G88" s="971"/>
      <c r="H88" s="161"/>
      <c r="I88" s="605"/>
      <c r="J88" s="605"/>
      <c r="K88" s="212"/>
      <c r="L88" s="341"/>
      <c r="M88" s="212"/>
      <c r="N88" s="605"/>
      <c r="O88" s="212"/>
      <c r="P88" s="341"/>
      <c r="Q88" s="212"/>
      <c r="R88" s="605"/>
      <c r="S88" s="225"/>
      <c r="T88" s="237"/>
    </row>
    <row r="89" spans="1:20" ht="30" hidden="1" customHeight="1" x14ac:dyDescent="0.3">
      <c r="A89" s="262" t="s">
        <v>151</v>
      </c>
      <c r="C89" s="244"/>
      <c r="D89" s="161"/>
      <c r="E89" s="969"/>
      <c r="F89" s="970"/>
      <c r="G89" s="971"/>
      <c r="H89" s="161"/>
      <c r="I89" s="605"/>
      <c r="J89" s="605"/>
      <c r="K89" s="212"/>
      <c r="L89" s="341"/>
      <c r="M89" s="212"/>
      <c r="N89" s="605"/>
      <c r="O89" s="212"/>
      <c r="P89" s="341"/>
      <c r="Q89" s="212"/>
      <c r="R89" s="605"/>
      <c r="S89" s="225"/>
      <c r="T89" s="237"/>
    </row>
    <row r="90" spans="1:20" ht="30" hidden="1" customHeight="1" x14ac:dyDescent="0.3">
      <c r="A90" s="262" t="s">
        <v>151</v>
      </c>
      <c r="C90" s="244"/>
      <c r="D90" s="213"/>
      <c r="E90" s="969"/>
      <c r="F90" s="970"/>
      <c r="G90" s="971"/>
      <c r="H90" s="161"/>
      <c r="I90" s="605"/>
      <c r="J90" s="605"/>
      <c r="K90" s="212"/>
      <c r="L90" s="341"/>
      <c r="M90" s="212"/>
      <c r="N90" s="605"/>
      <c r="O90" s="212"/>
      <c r="P90" s="341"/>
      <c r="Q90" s="212"/>
      <c r="R90" s="605"/>
      <c r="S90" s="225"/>
      <c r="T90" s="237"/>
    </row>
    <row r="91" spans="1:20" ht="30" hidden="1" customHeight="1" x14ac:dyDescent="0.3">
      <c r="A91" s="262" t="s">
        <v>151</v>
      </c>
      <c r="C91" s="244"/>
      <c r="D91" s="161"/>
      <c r="E91" s="969"/>
      <c r="F91" s="970"/>
      <c r="G91" s="971"/>
      <c r="H91" s="161"/>
      <c r="I91" s="605"/>
      <c r="J91" s="605"/>
      <c r="K91" s="212"/>
      <c r="L91" s="341"/>
      <c r="M91" s="212"/>
      <c r="N91" s="605"/>
      <c r="O91" s="212"/>
      <c r="P91" s="341"/>
      <c r="Q91" s="212"/>
      <c r="R91" s="605"/>
      <c r="S91" s="225"/>
      <c r="T91" s="237"/>
    </row>
    <row r="92" spans="1:20" ht="30" hidden="1" customHeight="1" x14ac:dyDescent="0.3">
      <c r="A92" s="262" t="s">
        <v>151</v>
      </c>
      <c r="C92" s="244"/>
      <c r="D92" s="161"/>
      <c r="E92" s="969"/>
      <c r="F92" s="970"/>
      <c r="G92" s="971"/>
      <c r="H92" s="161"/>
      <c r="I92" s="605"/>
      <c r="J92" s="605"/>
      <c r="K92" s="212"/>
      <c r="L92" s="341"/>
      <c r="M92" s="212"/>
      <c r="N92" s="605"/>
      <c r="O92" s="212"/>
      <c r="P92" s="341"/>
      <c r="Q92" s="212"/>
      <c r="R92" s="605"/>
      <c r="S92" s="225"/>
      <c r="T92" s="237"/>
    </row>
    <row r="93" spans="1:20" ht="30" hidden="1" customHeight="1" x14ac:dyDescent="0.3">
      <c r="A93" s="262" t="s">
        <v>151</v>
      </c>
      <c r="C93" s="244"/>
      <c r="D93" s="161"/>
      <c r="E93" s="969"/>
      <c r="F93" s="970"/>
      <c r="G93" s="971"/>
      <c r="H93" s="161"/>
      <c r="I93" s="605"/>
      <c r="J93" s="605"/>
      <c r="K93" s="212"/>
      <c r="L93" s="341"/>
      <c r="M93" s="212"/>
      <c r="N93" s="605"/>
      <c r="O93" s="212"/>
      <c r="P93" s="341"/>
      <c r="Q93" s="212"/>
      <c r="R93" s="605"/>
      <c r="S93" s="225"/>
      <c r="T93" s="237"/>
    </row>
    <row r="94" spans="1:20" ht="30" hidden="1" customHeight="1" x14ac:dyDescent="0.3">
      <c r="A94" s="262" t="s">
        <v>151</v>
      </c>
      <c r="C94" s="244"/>
      <c r="D94" s="161"/>
      <c r="E94" s="969"/>
      <c r="F94" s="970"/>
      <c r="G94" s="971"/>
      <c r="H94" s="161"/>
      <c r="I94" s="605"/>
      <c r="J94" s="605"/>
      <c r="K94" s="212"/>
      <c r="L94" s="341"/>
      <c r="M94" s="212"/>
      <c r="N94" s="605"/>
      <c r="O94" s="212"/>
      <c r="P94" s="341"/>
      <c r="Q94" s="212"/>
      <c r="R94" s="605"/>
      <c r="S94" s="225"/>
      <c r="T94" s="237"/>
    </row>
    <row r="95" spans="1:20" ht="30" hidden="1" customHeight="1" x14ac:dyDescent="0.3">
      <c r="A95" s="262" t="s">
        <v>151</v>
      </c>
      <c r="C95" s="244"/>
      <c r="D95" s="161"/>
      <c r="E95" s="969"/>
      <c r="F95" s="970"/>
      <c r="G95" s="971"/>
      <c r="H95" s="161"/>
      <c r="I95" s="605"/>
      <c r="J95" s="605"/>
      <c r="K95" s="212"/>
      <c r="L95" s="341"/>
      <c r="M95" s="212"/>
      <c r="N95" s="605"/>
      <c r="O95" s="212"/>
      <c r="P95" s="341"/>
      <c r="Q95" s="212"/>
      <c r="R95" s="605"/>
      <c r="S95" s="225"/>
      <c r="T95" s="237"/>
    </row>
    <row r="96" spans="1:20" ht="30" hidden="1" customHeight="1" x14ac:dyDescent="0.3">
      <c r="A96" s="262" t="s">
        <v>151</v>
      </c>
      <c r="C96" s="244"/>
      <c r="D96" s="161"/>
      <c r="E96" s="969"/>
      <c r="F96" s="970"/>
      <c r="G96" s="971"/>
      <c r="H96" s="161"/>
      <c r="I96" s="605"/>
      <c r="J96" s="605"/>
      <c r="K96" s="212"/>
      <c r="L96" s="341"/>
      <c r="M96" s="212"/>
      <c r="N96" s="605"/>
      <c r="O96" s="212"/>
      <c r="P96" s="341"/>
      <c r="Q96" s="212"/>
      <c r="R96" s="605"/>
      <c r="S96" s="225"/>
      <c r="T96" s="237"/>
    </row>
    <row r="97" spans="1:20" ht="30" hidden="1" customHeight="1" x14ac:dyDescent="0.3">
      <c r="A97" s="262" t="s">
        <v>151</v>
      </c>
      <c r="C97" s="244"/>
      <c r="D97" s="161"/>
      <c r="E97" s="969"/>
      <c r="F97" s="970"/>
      <c r="G97" s="971"/>
      <c r="H97" s="161"/>
      <c r="I97" s="605"/>
      <c r="J97" s="605"/>
      <c r="K97" s="212"/>
      <c r="L97" s="341"/>
      <c r="M97" s="212"/>
      <c r="N97" s="605"/>
      <c r="O97" s="212"/>
      <c r="P97" s="341"/>
      <c r="Q97" s="212"/>
      <c r="R97" s="605"/>
      <c r="S97" s="225"/>
      <c r="T97" s="237"/>
    </row>
    <row r="98" spans="1:20" ht="30" hidden="1" customHeight="1" x14ac:dyDescent="0.3">
      <c r="A98" s="262" t="s">
        <v>151</v>
      </c>
      <c r="C98" s="244"/>
      <c r="D98" s="161"/>
      <c r="E98" s="969"/>
      <c r="F98" s="970"/>
      <c r="G98" s="971"/>
      <c r="H98" s="161"/>
      <c r="I98" s="605"/>
      <c r="J98" s="605"/>
      <c r="K98" s="212"/>
      <c r="L98" s="341"/>
      <c r="M98" s="212"/>
      <c r="N98" s="605"/>
      <c r="O98" s="212"/>
      <c r="P98" s="341"/>
      <c r="Q98" s="212"/>
      <c r="R98" s="605"/>
      <c r="S98" s="225"/>
      <c r="T98" s="237"/>
    </row>
    <row r="99" spans="1:20" ht="30" hidden="1" customHeight="1" x14ac:dyDescent="0.3">
      <c r="A99" s="262" t="s">
        <v>151</v>
      </c>
      <c r="C99" s="244"/>
      <c r="D99" s="161"/>
      <c r="E99" s="969"/>
      <c r="F99" s="970"/>
      <c r="G99" s="971"/>
      <c r="H99" s="161"/>
      <c r="I99" s="605"/>
      <c r="J99" s="605"/>
      <c r="K99" s="212"/>
      <c r="L99" s="341"/>
      <c r="M99" s="212"/>
      <c r="N99" s="605"/>
      <c r="O99" s="212"/>
      <c r="P99" s="341"/>
      <c r="Q99" s="212"/>
      <c r="R99" s="605"/>
      <c r="S99" s="225"/>
      <c r="T99" s="237"/>
    </row>
    <row r="100" spans="1:20" ht="30" hidden="1" customHeight="1" x14ac:dyDescent="0.3">
      <c r="A100" s="262" t="s">
        <v>151</v>
      </c>
      <c r="C100" s="244"/>
      <c r="D100" s="213"/>
      <c r="E100" s="969"/>
      <c r="F100" s="970"/>
      <c r="G100" s="971"/>
      <c r="H100" s="161"/>
      <c r="I100" s="605"/>
      <c r="J100" s="605"/>
      <c r="K100" s="212"/>
      <c r="L100" s="341"/>
      <c r="M100" s="212"/>
      <c r="N100" s="605"/>
      <c r="O100" s="212"/>
      <c r="P100" s="341"/>
      <c r="Q100" s="212"/>
      <c r="R100" s="605"/>
      <c r="S100" s="225"/>
      <c r="T100" s="237"/>
    </row>
    <row r="101" spans="1:20" ht="30" hidden="1" customHeight="1" x14ac:dyDescent="0.3">
      <c r="A101" s="262" t="s">
        <v>151</v>
      </c>
      <c r="C101" s="244"/>
      <c r="D101" s="213"/>
      <c r="E101" s="969"/>
      <c r="F101" s="970"/>
      <c r="G101" s="971"/>
      <c r="H101" s="161"/>
      <c r="I101" s="605"/>
      <c r="J101" s="605"/>
      <c r="K101" s="212"/>
      <c r="L101" s="341"/>
      <c r="M101" s="212"/>
      <c r="N101" s="605"/>
      <c r="O101" s="212"/>
      <c r="P101" s="341"/>
      <c r="Q101" s="212"/>
      <c r="R101" s="605"/>
      <c r="S101" s="225"/>
      <c r="T101" s="237"/>
    </row>
    <row r="102" spans="1:20" ht="30" hidden="1" customHeight="1" x14ac:dyDescent="0.3">
      <c r="A102" s="262" t="s">
        <v>151</v>
      </c>
      <c r="C102" s="244"/>
      <c r="D102" s="161"/>
      <c r="E102" s="969"/>
      <c r="F102" s="970"/>
      <c r="G102" s="971"/>
      <c r="H102" s="161"/>
      <c r="I102" s="605"/>
      <c r="J102" s="605"/>
      <c r="K102" s="212"/>
      <c r="L102" s="341"/>
      <c r="M102" s="212"/>
      <c r="N102" s="605"/>
      <c r="O102" s="212"/>
      <c r="P102" s="341"/>
      <c r="Q102" s="212"/>
      <c r="R102" s="605"/>
      <c r="S102" s="225"/>
      <c r="T102" s="237"/>
    </row>
    <row r="103" spans="1:20" ht="30" hidden="1" customHeight="1" x14ac:dyDescent="0.3">
      <c r="A103" s="262" t="s">
        <v>151</v>
      </c>
      <c r="C103" s="244"/>
      <c r="D103" s="161"/>
      <c r="E103" s="969"/>
      <c r="F103" s="970"/>
      <c r="G103" s="971"/>
      <c r="H103" s="658"/>
      <c r="I103" s="605"/>
      <c r="J103" s="605"/>
      <c r="K103" s="212"/>
      <c r="L103" s="341"/>
      <c r="M103" s="302"/>
      <c r="N103" s="605"/>
      <c r="O103" s="212"/>
      <c r="P103" s="341"/>
      <c r="Q103" s="302"/>
      <c r="R103" s="605"/>
      <c r="S103" s="225"/>
      <c r="T103" s="237"/>
    </row>
    <row r="104" spans="1:20" ht="40.049999999999997" hidden="1" customHeight="1" x14ac:dyDescent="0.3">
      <c r="A104" s="262" t="s">
        <v>1242</v>
      </c>
      <c r="C104" s="258"/>
      <c r="D104" s="258"/>
      <c r="E104" s="972" t="s">
        <v>33</v>
      </c>
      <c r="F104" s="972"/>
      <c r="G104" s="972"/>
      <c r="H104" s="973" t="s">
        <v>29</v>
      </c>
      <c r="I104" s="973"/>
      <c r="J104" s="973"/>
      <c r="K104" s="973"/>
      <c r="L104" s="973"/>
      <c r="M104" s="549"/>
      <c r="N104" s="973" t="s">
        <v>22</v>
      </c>
      <c r="O104" s="973"/>
      <c r="P104" s="973"/>
      <c r="Q104" s="973"/>
      <c r="R104" s="973"/>
      <c r="S104" s="973"/>
      <c r="T104" s="973"/>
    </row>
    <row r="105" spans="1:20" ht="19.95" hidden="1" customHeight="1" x14ac:dyDescent="0.3">
      <c r="A105" s="262" t="s">
        <v>1242</v>
      </c>
      <c r="D105" s="28"/>
      <c r="E105" s="974" t="s">
        <v>1214</v>
      </c>
      <c r="F105" s="974"/>
      <c r="G105" s="974"/>
      <c r="H105" s="975" t="s">
        <v>38</v>
      </c>
      <c r="I105" s="975"/>
      <c r="J105" s="975"/>
      <c r="K105" s="975"/>
      <c r="L105" s="975"/>
      <c r="M105" s="562"/>
      <c r="N105" s="975" t="s">
        <v>1437</v>
      </c>
      <c r="O105" s="975"/>
      <c r="P105" s="975"/>
      <c r="Q105" s="975"/>
      <c r="R105" s="975"/>
      <c r="S105" s="975"/>
      <c r="T105" s="975"/>
    </row>
    <row r="106" spans="1:20" ht="19.95" hidden="1" customHeight="1" x14ac:dyDescent="0.3">
      <c r="A106" s="262" t="s">
        <v>1242</v>
      </c>
      <c r="C106" s="228"/>
      <c r="D106" s="228"/>
      <c r="E106" s="561"/>
      <c r="F106" s="561"/>
      <c r="G106" s="561"/>
      <c r="H106" s="228"/>
      <c r="I106" s="260"/>
      <c r="J106" s="260"/>
      <c r="K106" s="260"/>
      <c r="L106" s="260"/>
      <c r="M106" s="260"/>
      <c r="N106" s="975"/>
      <c r="O106" s="975"/>
      <c r="P106" s="975"/>
      <c r="Q106" s="975"/>
      <c r="R106" s="975"/>
      <c r="S106" s="975"/>
      <c r="T106" s="975"/>
    </row>
    <row r="107" spans="1:20" ht="19.95" hidden="1" customHeight="1" x14ac:dyDescent="0.3">
      <c r="A107" s="262" t="s">
        <v>1242</v>
      </c>
      <c r="C107" s="228"/>
      <c r="D107" s="228"/>
      <c r="E107" s="561"/>
      <c r="F107" s="561"/>
      <c r="G107" s="561"/>
      <c r="H107" s="228"/>
      <c r="I107" s="260"/>
      <c r="J107" s="260"/>
      <c r="K107" s="260"/>
      <c r="L107" s="260"/>
      <c r="M107" s="260"/>
      <c r="N107" s="975"/>
      <c r="O107" s="975"/>
      <c r="P107" s="975"/>
      <c r="Q107" s="975"/>
      <c r="R107" s="975"/>
      <c r="S107" s="975"/>
      <c r="T107" s="975"/>
    </row>
    <row r="108" spans="1:20" ht="19.95" hidden="1" customHeight="1" x14ac:dyDescent="0.3">
      <c r="A108" s="262" t="s">
        <v>1242</v>
      </c>
      <c r="C108" s="228"/>
      <c r="D108" s="228"/>
      <c r="E108" s="561"/>
      <c r="F108" s="561"/>
      <c r="G108" s="561"/>
      <c r="H108" s="228"/>
      <c r="I108" s="260"/>
      <c r="J108" s="260"/>
      <c r="K108" s="260"/>
      <c r="L108" s="260"/>
      <c r="M108" s="260"/>
      <c r="N108" s="260"/>
      <c r="O108" s="260"/>
      <c r="P108" s="260"/>
      <c r="Q108" s="260"/>
      <c r="R108" s="260"/>
      <c r="S108" s="624"/>
      <c r="T108" s="260"/>
    </row>
    <row r="109" spans="1:20" ht="19.95" hidden="1" customHeight="1" x14ac:dyDescent="0.3">
      <c r="A109" s="262" t="s">
        <v>1242</v>
      </c>
      <c r="C109" s="228"/>
      <c r="D109" s="228"/>
      <c r="E109" s="561"/>
      <c r="F109" s="561"/>
      <c r="G109" s="561"/>
      <c r="H109" s="975" t="s">
        <v>32</v>
      </c>
      <c r="I109" s="975"/>
      <c r="J109" s="562"/>
      <c r="K109" s="975" t="s">
        <v>1407</v>
      </c>
      <c r="L109" s="975"/>
      <c r="M109" s="562"/>
      <c r="N109" s="968" t="s">
        <v>54</v>
      </c>
      <c r="O109" s="968"/>
      <c r="P109" s="968" t="s">
        <v>1218</v>
      </c>
      <c r="Q109" s="968"/>
      <c r="R109" s="968"/>
      <c r="S109" s="981" t="s">
        <v>55</v>
      </c>
      <c r="T109" s="981"/>
    </row>
    <row r="110" spans="1:20" ht="19.95" hidden="1" customHeight="1" x14ac:dyDescent="0.3">
      <c r="A110" s="262" t="s">
        <v>1242</v>
      </c>
      <c r="C110" s="228"/>
      <c r="D110" s="228"/>
      <c r="E110" s="561"/>
      <c r="F110" s="561"/>
      <c r="G110" s="561"/>
      <c r="H110" s="976" t="s">
        <v>94</v>
      </c>
      <c r="I110" s="976"/>
      <c r="J110" s="623"/>
      <c r="K110" s="976" t="s">
        <v>94</v>
      </c>
      <c r="L110" s="976"/>
      <c r="M110" s="623"/>
      <c r="N110" s="968" t="s">
        <v>1484</v>
      </c>
      <c r="O110" s="968"/>
      <c r="P110" s="968" t="s">
        <v>1471</v>
      </c>
      <c r="Q110" s="968"/>
      <c r="R110" s="968"/>
      <c r="S110" s="968" t="s">
        <v>1484</v>
      </c>
      <c r="T110" s="968"/>
    </row>
    <row r="111" spans="1:20" ht="19.95" hidden="1" customHeight="1" x14ac:dyDescent="0.3">
      <c r="A111" s="262" t="s">
        <v>1242</v>
      </c>
      <c r="C111" s="228"/>
      <c r="D111" s="228"/>
      <c r="E111" s="561"/>
      <c r="F111" s="561"/>
      <c r="G111" s="561"/>
      <c r="H111" s="976"/>
      <c r="I111" s="976"/>
      <c r="J111" s="623"/>
      <c r="K111" s="976"/>
      <c r="L111" s="976"/>
      <c r="M111" s="623"/>
      <c r="N111" s="968"/>
      <c r="O111" s="968"/>
      <c r="P111" s="968"/>
      <c r="Q111" s="968"/>
      <c r="R111" s="968"/>
      <c r="S111" s="981"/>
      <c r="T111" s="981"/>
    </row>
    <row r="112" spans="1:20" ht="19.95" hidden="1" customHeight="1" x14ac:dyDescent="0.3">
      <c r="A112" s="262" t="s">
        <v>1242</v>
      </c>
      <c r="C112" s="228"/>
      <c r="D112" s="228"/>
      <c r="E112" s="561"/>
      <c r="F112" s="561"/>
      <c r="G112" s="561"/>
      <c r="H112" s="228"/>
      <c r="I112" s="260"/>
      <c r="J112" s="260"/>
      <c r="K112" s="260"/>
      <c r="L112" s="260"/>
      <c r="M112" s="260"/>
      <c r="N112" s="260"/>
      <c r="O112" s="260"/>
      <c r="P112" s="260"/>
      <c r="Q112" s="260"/>
      <c r="R112" s="260"/>
      <c r="S112" s="624"/>
      <c r="T112" s="260"/>
    </row>
    <row r="113" spans="1:20" ht="19.95" hidden="1" customHeight="1" x14ac:dyDescent="0.3">
      <c r="A113" s="262" t="s">
        <v>1242</v>
      </c>
      <c r="C113" s="228"/>
      <c r="D113" s="228"/>
      <c r="E113" s="975" t="s">
        <v>1215</v>
      </c>
      <c r="F113" s="975"/>
      <c r="G113" s="975"/>
      <c r="H113" s="975" t="s">
        <v>1348</v>
      </c>
      <c r="I113" s="975"/>
      <c r="J113" s="975"/>
      <c r="K113" s="975"/>
      <c r="L113" s="975"/>
      <c r="M113" s="562"/>
      <c r="N113" s="977" t="s">
        <v>1217</v>
      </c>
      <c r="O113" s="968"/>
      <c r="P113" s="968"/>
      <c r="Q113" s="968"/>
      <c r="R113" s="968"/>
      <c r="S113" s="968"/>
      <c r="T113" s="968"/>
    </row>
    <row r="114" spans="1:20" ht="19.95" hidden="1" customHeight="1" x14ac:dyDescent="0.3">
      <c r="A114" s="262" t="s">
        <v>1290</v>
      </c>
      <c r="C114" s="228"/>
      <c r="D114" s="228"/>
      <c r="E114" s="975"/>
      <c r="F114" s="975"/>
      <c r="G114" s="975"/>
      <c r="H114" s="975"/>
      <c r="I114" s="975"/>
      <c r="J114" s="975"/>
      <c r="K114" s="975"/>
      <c r="L114" s="975"/>
      <c r="M114" s="562"/>
      <c r="N114" s="968"/>
      <c r="O114" s="968"/>
      <c r="P114" s="968"/>
      <c r="Q114" s="968"/>
      <c r="R114" s="968"/>
      <c r="S114" s="968"/>
      <c r="T114" s="968"/>
    </row>
    <row r="115" spans="1:20" ht="34.950000000000003" customHeight="1" x14ac:dyDescent="0.3">
      <c r="A115" s="262">
        <v>1</v>
      </c>
      <c r="C115" s="633"/>
      <c r="D115" s="634" t="s">
        <v>1225</v>
      </c>
      <c r="E115" s="635"/>
      <c r="F115" s="635"/>
      <c r="G115" s="635"/>
      <c r="H115" s="635"/>
      <c r="I115" s="636"/>
      <c r="J115" s="636"/>
      <c r="K115" s="636"/>
      <c r="L115" s="643">
        <f>+SUMIFS(L:L,A:A,"1.B")</f>
        <v>8608381485.9000015</v>
      </c>
      <c r="M115" s="637"/>
      <c r="N115" s="647"/>
      <c r="O115" s="636"/>
      <c r="P115" s="636"/>
      <c r="Q115" s="654"/>
      <c r="R115" s="649" t="e">
        <f>+SUMIFS(R:R,A:A,"1.B")</f>
        <v>#REF!</v>
      </c>
      <c r="S115" s="638">
        <f>+SUMIFS(S:S,A:A,"1.B")</f>
        <v>37210860.43</v>
      </c>
      <c r="T115" s="639" t="e">
        <f>+SUMIFS(T:T,A:A,"1.B")</f>
        <v>#REF!</v>
      </c>
    </row>
    <row r="116" spans="1:20" ht="34.950000000000003" customHeight="1" x14ac:dyDescent="0.3">
      <c r="A116" s="262" t="s">
        <v>152</v>
      </c>
      <c r="C116" s="244">
        <v>49</v>
      </c>
      <c r="D116" s="213" t="s">
        <v>323</v>
      </c>
      <c r="E116" s="969" t="s">
        <v>324</v>
      </c>
      <c r="F116" s="970"/>
      <c r="G116" s="971"/>
      <c r="H116" s="544" t="s">
        <v>228</v>
      </c>
      <c r="I116" s="212">
        <v>5075</v>
      </c>
      <c r="J116" s="605"/>
      <c r="K116" s="212">
        <v>186392.65</v>
      </c>
      <c r="L116" s="212">
        <f t="shared" ref="L116:L137" si="14">+ROUND(I116*K116,2)</f>
        <v>945942698.75</v>
      </c>
      <c r="M116" s="602"/>
      <c r="N116" s="675" t="e">
        <f>+#REF!</f>
        <v>#REF!</v>
      </c>
      <c r="O116" s="675">
        <f>+'Yeşil Defter'!L113</f>
        <v>1909.8839999999998</v>
      </c>
      <c r="P116" s="675" t="e">
        <f t="shared" ref="P116:P137" si="15">+N116+O116</f>
        <v>#REF!</v>
      </c>
      <c r="Q116" s="612"/>
      <c r="R116" s="606" t="e">
        <f t="shared" ref="R116:R137" si="16">+ROUND(I116*N116,2)</f>
        <v>#REF!</v>
      </c>
      <c r="S116" s="247">
        <f t="shared" ref="S116:S137" si="17">+ROUND(I116*O116,2)</f>
        <v>9692661.3000000007</v>
      </c>
      <c r="T116" s="248" t="e">
        <f t="shared" ref="T116:T137" si="18">+ROUND(I116*P116,2)</f>
        <v>#REF!</v>
      </c>
    </row>
    <row r="117" spans="1:20" ht="30" hidden="1" customHeight="1" x14ac:dyDescent="0.3">
      <c r="A117" s="262" t="s">
        <v>152</v>
      </c>
      <c r="C117" s="244">
        <v>50</v>
      </c>
      <c r="D117" s="161" t="s">
        <v>325</v>
      </c>
      <c r="E117" s="969" t="s">
        <v>326</v>
      </c>
      <c r="F117" s="970"/>
      <c r="G117" s="971"/>
      <c r="H117" s="544" t="s">
        <v>228</v>
      </c>
      <c r="I117" s="212">
        <v>600</v>
      </c>
      <c r="J117" s="605"/>
      <c r="K117" s="212">
        <v>910</v>
      </c>
      <c r="L117" s="212">
        <f t="shared" si="14"/>
        <v>546000</v>
      </c>
      <c r="M117" s="602"/>
      <c r="N117" s="675" t="e">
        <f>+#REF!</f>
        <v>#REF!</v>
      </c>
      <c r="O117" s="675">
        <f>+'Yeşil Defter'!L114</f>
        <v>0</v>
      </c>
      <c r="P117" s="675" t="e">
        <f t="shared" si="15"/>
        <v>#REF!</v>
      </c>
      <c r="Q117" s="511"/>
      <c r="R117" s="606" t="e">
        <f t="shared" si="16"/>
        <v>#REF!</v>
      </c>
      <c r="S117" s="247">
        <f t="shared" si="17"/>
        <v>0</v>
      </c>
      <c r="T117" s="248" t="e">
        <f t="shared" si="18"/>
        <v>#REF!</v>
      </c>
    </row>
    <row r="118" spans="1:20" ht="30" hidden="1" customHeight="1" x14ac:dyDescent="0.3">
      <c r="A118" s="262" t="s">
        <v>152</v>
      </c>
      <c r="C118" s="244">
        <v>51</v>
      </c>
      <c r="D118" s="161" t="s">
        <v>327</v>
      </c>
      <c r="E118" s="969" t="s">
        <v>238</v>
      </c>
      <c r="F118" s="970"/>
      <c r="G118" s="971"/>
      <c r="H118" s="544" t="s">
        <v>228</v>
      </c>
      <c r="I118" s="212">
        <v>1500</v>
      </c>
      <c r="J118" s="605"/>
      <c r="K118" s="212">
        <v>1785</v>
      </c>
      <c r="L118" s="212">
        <f t="shared" si="14"/>
        <v>2677500</v>
      </c>
      <c r="M118" s="602"/>
      <c r="N118" s="675" t="e">
        <f>+#REF!</f>
        <v>#REF!</v>
      </c>
      <c r="O118" s="675">
        <f>+'Yeşil Defter'!L115</f>
        <v>0</v>
      </c>
      <c r="P118" s="675" t="e">
        <f t="shared" si="15"/>
        <v>#REF!</v>
      </c>
      <c r="Q118" s="511"/>
      <c r="R118" s="606" t="e">
        <f t="shared" si="16"/>
        <v>#REF!</v>
      </c>
      <c r="S118" s="247">
        <f t="shared" si="17"/>
        <v>0</v>
      </c>
      <c r="T118" s="248" t="e">
        <f t="shared" si="18"/>
        <v>#REF!</v>
      </c>
    </row>
    <row r="119" spans="1:20" ht="34.950000000000003" customHeight="1" x14ac:dyDescent="0.3">
      <c r="A119" s="262" t="s">
        <v>152</v>
      </c>
      <c r="C119" s="244">
        <v>52</v>
      </c>
      <c r="D119" s="213" t="s">
        <v>328</v>
      </c>
      <c r="E119" s="969" t="s">
        <v>329</v>
      </c>
      <c r="F119" s="970"/>
      <c r="G119" s="971"/>
      <c r="H119" s="544" t="s">
        <v>228</v>
      </c>
      <c r="I119" s="212">
        <v>15334</v>
      </c>
      <c r="J119" s="605"/>
      <c r="K119" s="212">
        <v>38798.589999999997</v>
      </c>
      <c r="L119" s="212">
        <f t="shared" si="14"/>
        <v>594937579.05999994</v>
      </c>
      <c r="M119" s="602"/>
      <c r="N119" s="675" t="e">
        <f>+#REF!</f>
        <v>#REF!</v>
      </c>
      <c r="O119" s="675">
        <f>+'Yeşil Defter'!L116</f>
        <v>298.29100000000005</v>
      </c>
      <c r="P119" s="675" t="e">
        <f t="shared" si="15"/>
        <v>#REF!</v>
      </c>
      <c r="Q119" s="511"/>
      <c r="R119" s="606" t="e">
        <f t="shared" si="16"/>
        <v>#REF!</v>
      </c>
      <c r="S119" s="247">
        <f t="shared" si="17"/>
        <v>4573994.1900000004</v>
      </c>
      <c r="T119" s="248" t="e">
        <f t="shared" si="18"/>
        <v>#REF!</v>
      </c>
    </row>
    <row r="120" spans="1:20" ht="30" hidden="1" customHeight="1" x14ac:dyDescent="0.3">
      <c r="A120" s="262" t="s">
        <v>152</v>
      </c>
      <c r="C120" s="244">
        <v>53</v>
      </c>
      <c r="D120" s="161" t="s">
        <v>330</v>
      </c>
      <c r="E120" s="969" t="s">
        <v>331</v>
      </c>
      <c r="F120" s="970"/>
      <c r="G120" s="971"/>
      <c r="H120" s="544" t="s">
        <v>202</v>
      </c>
      <c r="I120" s="212">
        <v>248</v>
      </c>
      <c r="J120" s="605"/>
      <c r="K120" s="212">
        <v>19569.89</v>
      </c>
      <c r="L120" s="212">
        <f t="shared" si="14"/>
        <v>4853332.72</v>
      </c>
      <c r="M120" s="602"/>
      <c r="N120" s="675" t="e">
        <f>+#REF!</f>
        <v>#REF!</v>
      </c>
      <c r="O120" s="675">
        <f>+'Yeşil Defter'!L117</f>
        <v>0</v>
      </c>
      <c r="P120" s="675" t="e">
        <f t="shared" si="15"/>
        <v>#REF!</v>
      </c>
      <c r="Q120" s="511"/>
      <c r="R120" s="606" t="e">
        <f t="shared" si="16"/>
        <v>#REF!</v>
      </c>
      <c r="S120" s="247">
        <f t="shared" si="17"/>
        <v>0</v>
      </c>
      <c r="T120" s="248" t="e">
        <f t="shared" si="18"/>
        <v>#REF!</v>
      </c>
    </row>
    <row r="121" spans="1:20" ht="30" hidden="1" customHeight="1" x14ac:dyDescent="0.3">
      <c r="A121" s="262" t="s">
        <v>152</v>
      </c>
      <c r="C121" s="244">
        <v>54</v>
      </c>
      <c r="D121" s="161" t="s">
        <v>332</v>
      </c>
      <c r="E121" s="969" t="s">
        <v>333</v>
      </c>
      <c r="F121" s="970"/>
      <c r="G121" s="971"/>
      <c r="H121" s="544" t="s">
        <v>202</v>
      </c>
      <c r="I121" s="212">
        <v>371</v>
      </c>
      <c r="J121" s="605"/>
      <c r="K121" s="212">
        <v>10655.78</v>
      </c>
      <c r="L121" s="212">
        <f t="shared" si="14"/>
        <v>3953294.38</v>
      </c>
      <c r="M121" s="602"/>
      <c r="N121" s="675" t="e">
        <f>+#REF!</f>
        <v>#REF!</v>
      </c>
      <c r="O121" s="675">
        <f>+'Yeşil Defter'!L118</f>
        <v>0</v>
      </c>
      <c r="P121" s="675" t="e">
        <f t="shared" si="15"/>
        <v>#REF!</v>
      </c>
      <c r="Q121" s="511"/>
      <c r="R121" s="606" t="e">
        <f t="shared" si="16"/>
        <v>#REF!</v>
      </c>
      <c r="S121" s="247">
        <f t="shared" si="17"/>
        <v>0</v>
      </c>
      <c r="T121" s="248" t="e">
        <f t="shared" si="18"/>
        <v>#REF!</v>
      </c>
    </row>
    <row r="122" spans="1:20" ht="30" hidden="1" customHeight="1" x14ac:dyDescent="0.3">
      <c r="A122" s="262" t="s">
        <v>152</v>
      </c>
      <c r="C122" s="244">
        <v>55</v>
      </c>
      <c r="D122" s="161" t="s">
        <v>334</v>
      </c>
      <c r="E122" s="969" t="s">
        <v>246</v>
      </c>
      <c r="F122" s="970"/>
      <c r="G122" s="971"/>
      <c r="H122" s="544" t="s">
        <v>247</v>
      </c>
      <c r="I122" s="212">
        <v>2250</v>
      </c>
      <c r="J122" s="605"/>
      <c r="K122" s="212">
        <v>800</v>
      </c>
      <c r="L122" s="212">
        <f t="shared" si="14"/>
        <v>1800000</v>
      </c>
      <c r="M122" s="602"/>
      <c r="N122" s="675" t="e">
        <f>+#REF!</f>
        <v>#REF!</v>
      </c>
      <c r="O122" s="675">
        <f>+'Yeşil Defter'!L119</f>
        <v>0</v>
      </c>
      <c r="P122" s="675" t="e">
        <f t="shared" si="15"/>
        <v>#REF!</v>
      </c>
      <c r="Q122" s="511"/>
      <c r="R122" s="606" t="e">
        <f t="shared" si="16"/>
        <v>#REF!</v>
      </c>
      <c r="S122" s="247">
        <f t="shared" si="17"/>
        <v>0</v>
      </c>
      <c r="T122" s="248" t="e">
        <f t="shared" si="18"/>
        <v>#REF!</v>
      </c>
    </row>
    <row r="123" spans="1:20" ht="34.950000000000003" customHeight="1" x14ac:dyDescent="0.3">
      <c r="A123" s="262" t="s">
        <v>152</v>
      </c>
      <c r="C123" s="244">
        <v>56</v>
      </c>
      <c r="D123" s="161" t="s">
        <v>335</v>
      </c>
      <c r="E123" s="969" t="s">
        <v>249</v>
      </c>
      <c r="F123" s="970"/>
      <c r="G123" s="971"/>
      <c r="H123" s="544" t="s">
        <v>247</v>
      </c>
      <c r="I123" s="212">
        <v>8000</v>
      </c>
      <c r="J123" s="605"/>
      <c r="K123" s="212">
        <v>2466.42</v>
      </c>
      <c r="L123" s="212">
        <f t="shared" si="14"/>
        <v>19731360</v>
      </c>
      <c r="M123" s="602"/>
      <c r="N123" s="675" t="e">
        <f>+#REF!</f>
        <v>#REF!</v>
      </c>
      <c r="O123" s="675">
        <f>+'Yeşil Defter'!L120</f>
        <v>0</v>
      </c>
      <c r="P123" s="675" t="e">
        <f t="shared" si="15"/>
        <v>#REF!</v>
      </c>
      <c r="Q123" s="511"/>
      <c r="R123" s="606" t="e">
        <f t="shared" si="16"/>
        <v>#REF!</v>
      </c>
      <c r="S123" s="247">
        <f t="shared" si="17"/>
        <v>0</v>
      </c>
      <c r="T123" s="248" t="e">
        <f t="shared" si="18"/>
        <v>#REF!</v>
      </c>
    </row>
    <row r="124" spans="1:20" ht="30" hidden="1" customHeight="1" x14ac:dyDescent="0.3">
      <c r="A124" s="262" t="s">
        <v>152</v>
      </c>
      <c r="C124" s="244">
        <v>57</v>
      </c>
      <c r="D124" s="161" t="s">
        <v>336</v>
      </c>
      <c r="E124" s="969" t="s">
        <v>251</v>
      </c>
      <c r="F124" s="970"/>
      <c r="G124" s="971"/>
      <c r="H124" s="544" t="s">
        <v>247</v>
      </c>
      <c r="I124" s="212">
        <v>8288</v>
      </c>
      <c r="J124" s="605"/>
      <c r="K124" s="212">
        <v>2401.3000000000002</v>
      </c>
      <c r="L124" s="212">
        <f t="shared" si="14"/>
        <v>19901974.399999999</v>
      </c>
      <c r="M124" s="602"/>
      <c r="N124" s="675" t="e">
        <f>+#REF!</f>
        <v>#REF!</v>
      </c>
      <c r="O124" s="675">
        <f>+'Yeşil Defter'!L121</f>
        <v>0</v>
      </c>
      <c r="P124" s="675" t="e">
        <f t="shared" si="15"/>
        <v>#REF!</v>
      </c>
      <c r="Q124" s="511"/>
      <c r="R124" s="606" t="e">
        <f t="shared" si="16"/>
        <v>#REF!</v>
      </c>
      <c r="S124" s="247">
        <f t="shared" si="17"/>
        <v>0</v>
      </c>
      <c r="T124" s="248" t="e">
        <f t="shared" si="18"/>
        <v>#REF!</v>
      </c>
    </row>
    <row r="125" spans="1:20" ht="30" hidden="1" customHeight="1" x14ac:dyDescent="0.3">
      <c r="A125" s="262" t="s">
        <v>152</v>
      </c>
      <c r="C125" s="244">
        <v>58</v>
      </c>
      <c r="D125" s="161" t="s">
        <v>337</v>
      </c>
      <c r="E125" s="969" t="s">
        <v>253</v>
      </c>
      <c r="F125" s="970"/>
      <c r="G125" s="971"/>
      <c r="H125" s="544" t="s">
        <v>247</v>
      </c>
      <c r="I125" s="212">
        <v>12000</v>
      </c>
      <c r="J125" s="605"/>
      <c r="K125" s="212">
        <v>2970</v>
      </c>
      <c r="L125" s="212">
        <f t="shared" si="14"/>
        <v>35640000</v>
      </c>
      <c r="M125" s="602"/>
      <c r="N125" s="675" t="e">
        <f>+#REF!</f>
        <v>#REF!</v>
      </c>
      <c r="O125" s="675">
        <f>+'Yeşil Defter'!L122</f>
        <v>0</v>
      </c>
      <c r="P125" s="675" t="e">
        <f t="shared" si="15"/>
        <v>#REF!</v>
      </c>
      <c r="Q125" s="511"/>
      <c r="R125" s="606" t="e">
        <f t="shared" si="16"/>
        <v>#REF!</v>
      </c>
      <c r="S125" s="247">
        <f t="shared" si="17"/>
        <v>0</v>
      </c>
      <c r="T125" s="248" t="e">
        <f t="shared" si="18"/>
        <v>#REF!</v>
      </c>
    </row>
    <row r="126" spans="1:20" ht="34.950000000000003" customHeight="1" x14ac:dyDescent="0.3">
      <c r="A126" s="262" t="s">
        <v>152</v>
      </c>
      <c r="C126" s="244">
        <v>59</v>
      </c>
      <c r="D126" s="161" t="s">
        <v>338</v>
      </c>
      <c r="E126" s="969" t="s">
        <v>339</v>
      </c>
      <c r="F126" s="970"/>
      <c r="G126" s="971"/>
      <c r="H126" s="544" t="s">
        <v>247</v>
      </c>
      <c r="I126" s="212">
        <v>28000</v>
      </c>
      <c r="J126" s="605"/>
      <c r="K126" s="212">
        <v>7008.23</v>
      </c>
      <c r="L126" s="212">
        <f t="shared" si="14"/>
        <v>196230440</v>
      </c>
      <c r="M126" s="602"/>
      <c r="N126" s="675" t="e">
        <f>+#REF!</f>
        <v>#REF!</v>
      </c>
      <c r="O126" s="675">
        <f>+'Yeşil Defter'!L123</f>
        <v>480</v>
      </c>
      <c r="P126" s="675" t="e">
        <f t="shared" si="15"/>
        <v>#REF!</v>
      </c>
      <c r="Q126" s="511"/>
      <c r="R126" s="606" t="e">
        <f t="shared" si="16"/>
        <v>#REF!</v>
      </c>
      <c r="S126" s="247">
        <f t="shared" si="17"/>
        <v>13440000</v>
      </c>
      <c r="T126" s="248" t="e">
        <f t="shared" si="18"/>
        <v>#REF!</v>
      </c>
    </row>
    <row r="127" spans="1:20" ht="34.950000000000003" customHeight="1" x14ac:dyDescent="0.3">
      <c r="A127" s="262" t="s">
        <v>152</v>
      </c>
      <c r="C127" s="244">
        <v>60</v>
      </c>
      <c r="D127" s="161" t="s">
        <v>340</v>
      </c>
      <c r="E127" s="969" t="s">
        <v>242</v>
      </c>
      <c r="F127" s="970"/>
      <c r="G127" s="971"/>
      <c r="H127" s="544" t="s">
        <v>202</v>
      </c>
      <c r="I127" s="212">
        <v>375</v>
      </c>
      <c r="J127" s="605"/>
      <c r="K127" s="212">
        <v>156606.89000000001</v>
      </c>
      <c r="L127" s="212">
        <f t="shared" si="14"/>
        <v>58727583.75</v>
      </c>
      <c r="M127" s="602"/>
      <c r="N127" s="675" t="e">
        <f>+#REF!</f>
        <v>#REF!</v>
      </c>
      <c r="O127" s="675">
        <f>+'Yeşil Defter'!L124</f>
        <v>0</v>
      </c>
      <c r="P127" s="675" t="e">
        <f t="shared" si="15"/>
        <v>#REF!</v>
      </c>
      <c r="Q127" s="511"/>
      <c r="R127" s="606" t="e">
        <f t="shared" si="16"/>
        <v>#REF!</v>
      </c>
      <c r="S127" s="247">
        <f t="shared" si="17"/>
        <v>0</v>
      </c>
      <c r="T127" s="248" t="e">
        <f t="shared" si="18"/>
        <v>#REF!</v>
      </c>
    </row>
    <row r="128" spans="1:20" ht="30" hidden="1" customHeight="1" x14ac:dyDescent="0.3">
      <c r="A128" s="262" t="s">
        <v>152</v>
      </c>
      <c r="C128" s="244">
        <v>61</v>
      </c>
      <c r="D128" s="161" t="s">
        <v>341</v>
      </c>
      <c r="E128" s="969" t="s">
        <v>244</v>
      </c>
      <c r="F128" s="970"/>
      <c r="G128" s="971"/>
      <c r="H128" s="544" t="s">
        <v>202</v>
      </c>
      <c r="I128" s="212">
        <v>388</v>
      </c>
      <c r="J128" s="605"/>
      <c r="K128" s="212">
        <v>145635</v>
      </c>
      <c r="L128" s="212">
        <f t="shared" si="14"/>
        <v>56506380</v>
      </c>
      <c r="M128" s="602"/>
      <c r="N128" s="675" t="e">
        <f>+#REF!</f>
        <v>#REF!</v>
      </c>
      <c r="O128" s="675">
        <f>+'Yeşil Defter'!L125</f>
        <v>0</v>
      </c>
      <c r="P128" s="675" t="e">
        <f t="shared" si="15"/>
        <v>#REF!</v>
      </c>
      <c r="Q128" s="511"/>
      <c r="R128" s="606" t="e">
        <f t="shared" si="16"/>
        <v>#REF!</v>
      </c>
      <c r="S128" s="247">
        <f t="shared" si="17"/>
        <v>0</v>
      </c>
      <c r="T128" s="248" t="e">
        <f t="shared" si="18"/>
        <v>#REF!</v>
      </c>
    </row>
    <row r="129" spans="1:21" ht="34.950000000000003" customHeight="1" x14ac:dyDescent="0.3">
      <c r="A129" s="262" t="s">
        <v>152</v>
      </c>
      <c r="C129" s="244">
        <v>62</v>
      </c>
      <c r="D129" s="213" t="s">
        <v>342</v>
      </c>
      <c r="E129" s="969" t="s">
        <v>343</v>
      </c>
      <c r="F129" s="970"/>
      <c r="G129" s="971"/>
      <c r="H129" s="544" t="s">
        <v>262</v>
      </c>
      <c r="I129" s="212">
        <v>102000</v>
      </c>
      <c r="J129" s="605"/>
      <c r="K129" s="212">
        <v>8410</v>
      </c>
      <c r="L129" s="212">
        <f t="shared" si="14"/>
        <v>857820000</v>
      </c>
      <c r="M129" s="602"/>
      <c r="N129" s="675" t="e">
        <f>+#REF!</f>
        <v>#REF!</v>
      </c>
      <c r="O129" s="675">
        <f>+'Yeşil Defter'!L126</f>
        <v>68.646000000000001</v>
      </c>
      <c r="P129" s="675" t="e">
        <f t="shared" si="15"/>
        <v>#REF!</v>
      </c>
      <c r="Q129" s="511"/>
      <c r="R129" s="606" t="e">
        <f t="shared" si="16"/>
        <v>#REF!</v>
      </c>
      <c r="S129" s="247">
        <f t="shared" si="17"/>
        <v>7001892</v>
      </c>
      <c r="T129" s="248" t="e">
        <f t="shared" si="18"/>
        <v>#REF!</v>
      </c>
    </row>
    <row r="130" spans="1:21" ht="34.950000000000003" customHeight="1" x14ac:dyDescent="0.3">
      <c r="A130" s="262" t="s">
        <v>152</v>
      </c>
      <c r="C130" s="244">
        <v>63</v>
      </c>
      <c r="D130" s="213" t="s">
        <v>344</v>
      </c>
      <c r="E130" s="969" t="s">
        <v>345</v>
      </c>
      <c r="F130" s="970"/>
      <c r="G130" s="971"/>
      <c r="H130" s="544" t="s">
        <v>202</v>
      </c>
      <c r="I130" s="212">
        <v>3400</v>
      </c>
      <c r="J130" s="605"/>
      <c r="K130" s="212">
        <v>360205.7</v>
      </c>
      <c r="L130" s="212">
        <f t="shared" si="14"/>
        <v>1224699380</v>
      </c>
      <c r="M130" s="602"/>
      <c r="N130" s="675" t="e">
        <f>+#REF!</f>
        <v>#REF!</v>
      </c>
      <c r="O130" s="675">
        <f>+'Yeşil Defter'!L127</f>
        <v>0</v>
      </c>
      <c r="P130" s="675" t="e">
        <f t="shared" si="15"/>
        <v>#REF!</v>
      </c>
      <c r="Q130" s="511"/>
      <c r="R130" s="606" t="e">
        <f t="shared" si="16"/>
        <v>#REF!</v>
      </c>
      <c r="S130" s="247">
        <f t="shared" si="17"/>
        <v>0</v>
      </c>
      <c r="T130" s="248" t="e">
        <f t="shared" si="18"/>
        <v>#REF!</v>
      </c>
    </row>
    <row r="131" spans="1:21" ht="30" hidden="1" customHeight="1" x14ac:dyDescent="0.3">
      <c r="A131" s="262" t="s">
        <v>152</v>
      </c>
      <c r="C131" s="244">
        <v>64</v>
      </c>
      <c r="D131" s="161" t="s">
        <v>346</v>
      </c>
      <c r="E131" s="969" t="s">
        <v>347</v>
      </c>
      <c r="F131" s="970"/>
      <c r="G131" s="971"/>
      <c r="H131" s="544" t="s">
        <v>225</v>
      </c>
      <c r="I131" s="212">
        <v>510</v>
      </c>
      <c r="J131" s="605"/>
      <c r="K131" s="212">
        <v>78502.509999999995</v>
      </c>
      <c r="L131" s="212">
        <f t="shared" si="14"/>
        <v>40036280.100000001</v>
      </c>
      <c r="M131" s="602"/>
      <c r="N131" s="675" t="e">
        <f>+#REF!</f>
        <v>#REF!</v>
      </c>
      <c r="O131" s="675">
        <f>+'Yeşil Defter'!L128</f>
        <v>0</v>
      </c>
      <c r="P131" s="675" t="e">
        <f t="shared" si="15"/>
        <v>#REF!</v>
      </c>
      <c r="Q131" s="511"/>
      <c r="R131" s="606" t="e">
        <f t="shared" si="16"/>
        <v>#REF!</v>
      </c>
      <c r="S131" s="247">
        <f t="shared" si="17"/>
        <v>0</v>
      </c>
      <c r="T131" s="248" t="e">
        <f t="shared" si="18"/>
        <v>#REF!</v>
      </c>
    </row>
    <row r="132" spans="1:21" ht="30" hidden="1" customHeight="1" x14ac:dyDescent="0.3">
      <c r="A132" s="262" t="s">
        <v>152</v>
      </c>
      <c r="C132" s="244">
        <v>65</v>
      </c>
      <c r="D132" s="161" t="s">
        <v>348</v>
      </c>
      <c r="E132" s="969" t="s">
        <v>349</v>
      </c>
      <c r="F132" s="970"/>
      <c r="G132" s="971"/>
      <c r="H132" s="544" t="s">
        <v>225</v>
      </c>
      <c r="I132" s="212">
        <v>1200</v>
      </c>
      <c r="J132" s="605"/>
      <c r="K132" s="212">
        <v>67207.820000000007</v>
      </c>
      <c r="L132" s="212">
        <f t="shared" si="14"/>
        <v>80649384</v>
      </c>
      <c r="M132" s="602"/>
      <c r="N132" s="675" t="e">
        <f>+#REF!</f>
        <v>#REF!</v>
      </c>
      <c r="O132" s="675">
        <f>+'Yeşil Defter'!L129</f>
        <v>0</v>
      </c>
      <c r="P132" s="675" t="e">
        <f t="shared" si="15"/>
        <v>#REF!</v>
      </c>
      <c r="Q132" s="511"/>
      <c r="R132" s="606" t="e">
        <f t="shared" si="16"/>
        <v>#REF!</v>
      </c>
      <c r="S132" s="247">
        <f t="shared" si="17"/>
        <v>0</v>
      </c>
      <c r="T132" s="248" t="e">
        <f t="shared" si="18"/>
        <v>#REF!</v>
      </c>
    </row>
    <row r="133" spans="1:21" ht="30" hidden="1" customHeight="1" x14ac:dyDescent="0.3">
      <c r="A133" s="262" t="s">
        <v>152</v>
      </c>
      <c r="C133" s="244">
        <v>66</v>
      </c>
      <c r="D133" s="213" t="s">
        <v>350</v>
      </c>
      <c r="E133" s="969" t="s">
        <v>351</v>
      </c>
      <c r="F133" s="970"/>
      <c r="G133" s="971"/>
      <c r="H133" s="544" t="s">
        <v>202</v>
      </c>
      <c r="I133" s="212">
        <v>2160</v>
      </c>
      <c r="J133" s="605"/>
      <c r="K133" s="212">
        <v>11190.19</v>
      </c>
      <c r="L133" s="212">
        <f t="shared" si="14"/>
        <v>24170810.399999999</v>
      </c>
      <c r="M133" s="602"/>
      <c r="N133" s="675" t="e">
        <f>+#REF!</f>
        <v>#REF!</v>
      </c>
      <c r="O133" s="675">
        <f>+'Yeşil Defter'!L130</f>
        <v>0</v>
      </c>
      <c r="P133" s="675" t="e">
        <f t="shared" si="15"/>
        <v>#REF!</v>
      </c>
      <c r="Q133" s="511"/>
      <c r="R133" s="606" t="e">
        <f t="shared" si="16"/>
        <v>#REF!</v>
      </c>
      <c r="S133" s="247">
        <f t="shared" si="17"/>
        <v>0</v>
      </c>
      <c r="T133" s="248" t="e">
        <f t="shared" si="18"/>
        <v>#REF!</v>
      </c>
    </row>
    <row r="134" spans="1:21" ht="30" hidden="1" customHeight="1" x14ac:dyDescent="0.3">
      <c r="A134" s="262" t="s">
        <v>152</v>
      </c>
      <c r="C134" s="244">
        <v>67</v>
      </c>
      <c r="D134" s="161" t="s">
        <v>352</v>
      </c>
      <c r="E134" s="969" t="s">
        <v>353</v>
      </c>
      <c r="F134" s="970"/>
      <c r="G134" s="971"/>
      <c r="H134" s="544" t="s">
        <v>225</v>
      </c>
      <c r="I134" s="212">
        <v>4150</v>
      </c>
      <c r="J134" s="605"/>
      <c r="K134" s="212">
        <v>24185.25</v>
      </c>
      <c r="L134" s="212">
        <f t="shared" si="14"/>
        <v>100368787.5</v>
      </c>
      <c r="M134" s="602"/>
      <c r="N134" s="675" t="e">
        <f>+#REF!</f>
        <v>#REF!</v>
      </c>
      <c r="O134" s="675">
        <f>+'Yeşil Defter'!L131</f>
        <v>0</v>
      </c>
      <c r="P134" s="675" t="e">
        <f t="shared" si="15"/>
        <v>#REF!</v>
      </c>
      <c r="Q134" s="511"/>
      <c r="R134" s="606" t="e">
        <f t="shared" si="16"/>
        <v>#REF!</v>
      </c>
      <c r="S134" s="247">
        <f t="shared" si="17"/>
        <v>0</v>
      </c>
      <c r="T134" s="248" t="e">
        <f t="shared" si="18"/>
        <v>#REF!</v>
      </c>
    </row>
    <row r="135" spans="1:21" ht="30" hidden="1" customHeight="1" x14ac:dyDescent="0.3">
      <c r="A135" s="262" t="s">
        <v>152</v>
      </c>
      <c r="C135" s="244">
        <v>68</v>
      </c>
      <c r="D135" s="161" t="s">
        <v>354</v>
      </c>
      <c r="E135" s="969" t="s">
        <v>355</v>
      </c>
      <c r="F135" s="970"/>
      <c r="G135" s="971"/>
      <c r="H135" s="544" t="s">
        <v>225</v>
      </c>
      <c r="I135" s="212">
        <v>1500</v>
      </c>
      <c r="J135" s="605"/>
      <c r="K135" s="212">
        <v>59207.42</v>
      </c>
      <c r="L135" s="212">
        <f t="shared" si="14"/>
        <v>88811130</v>
      </c>
      <c r="M135" s="602"/>
      <c r="N135" s="675" t="e">
        <f>+#REF!</f>
        <v>#REF!</v>
      </c>
      <c r="O135" s="675">
        <f>+'Yeşil Defter'!L132</f>
        <v>0</v>
      </c>
      <c r="P135" s="675" t="e">
        <f t="shared" si="15"/>
        <v>#REF!</v>
      </c>
      <c r="Q135" s="511"/>
      <c r="R135" s="606" t="e">
        <f t="shared" si="16"/>
        <v>#REF!</v>
      </c>
      <c r="S135" s="247">
        <f t="shared" si="17"/>
        <v>0</v>
      </c>
      <c r="T135" s="248" t="e">
        <f t="shared" si="18"/>
        <v>#REF!</v>
      </c>
    </row>
    <row r="136" spans="1:21" ht="30" hidden="1" customHeight="1" x14ac:dyDescent="0.3">
      <c r="A136" s="262" t="s">
        <v>152</v>
      </c>
      <c r="C136" s="244">
        <v>69</v>
      </c>
      <c r="D136" s="161" t="s">
        <v>356</v>
      </c>
      <c r="E136" s="969" t="s">
        <v>357</v>
      </c>
      <c r="F136" s="970"/>
      <c r="G136" s="971"/>
      <c r="H136" s="544" t="s">
        <v>225</v>
      </c>
      <c r="I136" s="212">
        <v>500</v>
      </c>
      <c r="J136" s="605"/>
      <c r="K136" s="212">
        <v>36357.33</v>
      </c>
      <c r="L136" s="212">
        <f t="shared" si="14"/>
        <v>18178665</v>
      </c>
      <c r="M136" s="602"/>
      <c r="N136" s="675" t="e">
        <f>+#REF!</f>
        <v>#REF!</v>
      </c>
      <c r="O136" s="675">
        <f>+'Yeşil Defter'!L133</f>
        <v>0</v>
      </c>
      <c r="P136" s="675" t="e">
        <f t="shared" si="15"/>
        <v>#REF!</v>
      </c>
      <c r="Q136" s="511"/>
      <c r="R136" s="606" t="e">
        <f t="shared" si="16"/>
        <v>#REF!</v>
      </c>
      <c r="S136" s="247">
        <f t="shared" si="17"/>
        <v>0</v>
      </c>
      <c r="T136" s="248" t="e">
        <f t="shared" si="18"/>
        <v>#REF!</v>
      </c>
    </row>
    <row r="137" spans="1:21" ht="30" hidden="1" customHeight="1" x14ac:dyDescent="0.3">
      <c r="A137" s="262" t="s">
        <v>152</v>
      </c>
      <c r="C137" s="244">
        <v>70</v>
      </c>
      <c r="D137" s="161" t="s">
        <v>358</v>
      </c>
      <c r="E137" s="969" t="s">
        <v>359</v>
      </c>
      <c r="F137" s="970"/>
      <c r="G137" s="971"/>
      <c r="H137" s="544" t="s">
        <v>228</v>
      </c>
      <c r="I137" s="212">
        <v>6030</v>
      </c>
      <c r="J137" s="605"/>
      <c r="K137" s="212">
        <v>3898.42</v>
      </c>
      <c r="L137" s="212">
        <f t="shared" si="14"/>
        <v>23507472.600000001</v>
      </c>
      <c r="M137" s="602"/>
      <c r="N137" s="675" t="e">
        <f>+#REF!</f>
        <v>#REF!</v>
      </c>
      <c r="O137" s="675">
        <f>+'Yeşil Defter'!L134</f>
        <v>0</v>
      </c>
      <c r="P137" s="675" t="e">
        <f t="shared" si="15"/>
        <v>#REF!</v>
      </c>
      <c r="Q137" s="511"/>
      <c r="R137" s="606" t="e">
        <f t="shared" si="16"/>
        <v>#REF!</v>
      </c>
      <c r="S137" s="247">
        <f t="shared" si="17"/>
        <v>0</v>
      </c>
      <c r="T137" s="248" t="e">
        <f t="shared" si="18"/>
        <v>#REF!</v>
      </c>
    </row>
    <row r="138" spans="1:21" ht="40.049999999999997" hidden="1" customHeight="1" x14ac:dyDescent="0.3">
      <c r="A138" s="262" t="s">
        <v>1242</v>
      </c>
      <c r="C138" s="258"/>
      <c r="D138" s="258"/>
      <c r="E138" s="972" t="s">
        <v>33</v>
      </c>
      <c r="F138" s="972"/>
      <c r="G138" s="972"/>
      <c r="H138" s="973" t="s">
        <v>29</v>
      </c>
      <c r="I138" s="973"/>
      <c r="J138" s="973"/>
      <c r="K138" s="973"/>
      <c r="L138" s="973"/>
      <c r="M138" s="549"/>
      <c r="N138" s="973" t="s">
        <v>22</v>
      </c>
      <c r="O138" s="973"/>
      <c r="P138" s="973"/>
      <c r="Q138" s="973"/>
      <c r="R138" s="973"/>
      <c r="S138" s="973"/>
      <c r="T138" s="973"/>
    </row>
    <row r="139" spans="1:21" ht="19.95" hidden="1" customHeight="1" x14ac:dyDescent="0.3">
      <c r="A139" s="262" t="s">
        <v>1242</v>
      </c>
      <c r="D139" s="28"/>
      <c r="E139" s="974" t="s">
        <v>1214</v>
      </c>
      <c r="F139" s="974"/>
      <c r="G139" s="974"/>
      <c r="H139" s="975" t="s">
        <v>38</v>
      </c>
      <c r="I139" s="975"/>
      <c r="J139" s="975"/>
      <c r="K139" s="975"/>
      <c r="L139" s="975"/>
      <c r="M139" s="562"/>
      <c r="N139" s="975" t="s">
        <v>1437</v>
      </c>
      <c r="O139" s="975"/>
      <c r="P139" s="975"/>
      <c r="Q139" s="975"/>
      <c r="R139" s="975"/>
      <c r="S139" s="975"/>
      <c r="T139" s="975"/>
    </row>
    <row r="140" spans="1:21" ht="19.95" hidden="1" customHeight="1" x14ac:dyDescent="0.3">
      <c r="A140" s="262" t="s">
        <v>1242</v>
      </c>
      <c r="C140" s="228"/>
      <c r="D140" s="228"/>
      <c r="E140" s="561"/>
      <c r="F140" s="561"/>
      <c r="G140" s="561"/>
      <c r="H140" s="228"/>
      <c r="I140" s="260"/>
      <c r="J140" s="260"/>
      <c r="K140" s="260"/>
      <c r="L140" s="260"/>
      <c r="M140" s="260"/>
      <c r="N140" s="975"/>
      <c r="O140" s="975"/>
      <c r="P140" s="975"/>
      <c r="Q140" s="975"/>
      <c r="R140" s="975"/>
      <c r="S140" s="975"/>
      <c r="T140" s="975"/>
    </row>
    <row r="141" spans="1:21" ht="19.95" hidden="1" customHeight="1" x14ac:dyDescent="0.3">
      <c r="A141" s="262" t="s">
        <v>1242</v>
      </c>
      <c r="C141" s="228"/>
      <c r="D141" s="228"/>
      <c r="E141" s="561"/>
      <c r="F141" s="561"/>
      <c r="G141" s="561"/>
      <c r="H141" s="228"/>
      <c r="I141" s="260"/>
      <c r="J141" s="260"/>
      <c r="K141" s="260"/>
      <c r="L141" s="260"/>
      <c r="M141" s="260"/>
      <c r="N141" s="975"/>
      <c r="O141" s="975"/>
      <c r="P141" s="975"/>
      <c r="Q141" s="975"/>
      <c r="R141" s="975"/>
      <c r="S141" s="975"/>
      <c r="T141" s="975"/>
    </row>
    <row r="142" spans="1:21" ht="19.95" hidden="1" customHeight="1" x14ac:dyDescent="0.3">
      <c r="A142" s="262" t="s">
        <v>1242</v>
      </c>
      <c r="C142" s="228"/>
      <c r="D142" s="228"/>
      <c r="E142" s="561"/>
      <c r="F142" s="561"/>
      <c r="G142" s="561"/>
      <c r="H142" s="228"/>
      <c r="I142" s="260"/>
      <c r="J142" s="260"/>
      <c r="K142" s="260"/>
      <c r="L142" s="260"/>
      <c r="M142" s="260"/>
      <c r="N142" s="260"/>
      <c r="O142" s="260"/>
      <c r="P142" s="260"/>
      <c r="Q142" s="260"/>
      <c r="R142" s="260"/>
      <c r="S142" s="624"/>
      <c r="T142" s="260"/>
    </row>
    <row r="143" spans="1:21" ht="19.95" hidden="1" customHeight="1" x14ac:dyDescent="0.3">
      <c r="A143" s="262" t="s">
        <v>1242</v>
      </c>
      <c r="C143" s="228"/>
      <c r="D143" s="228"/>
      <c r="E143" s="561"/>
      <c r="F143" s="561"/>
      <c r="G143" s="561"/>
      <c r="H143" s="975" t="s">
        <v>32</v>
      </c>
      <c r="I143" s="975"/>
      <c r="J143" s="562"/>
      <c r="K143" s="975" t="s">
        <v>1407</v>
      </c>
      <c r="L143" s="975"/>
      <c r="M143" s="562"/>
      <c r="N143" s="968" t="s">
        <v>54</v>
      </c>
      <c r="O143" s="968"/>
      <c r="P143" s="968"/>
      <c r="Q143" s="260"/>
      <c r="R143" s="968" t="s">
        <v>1455</v>
      </c>
      <c r="S143" s="968"/>
      <c r="T143" s="968"/>
      <c r="U143" s="260"/>
    </row>
    <row r="144" spans="1:21" ht="19.95" hidden="1" customHeight="1" x14ac:dyDescent="0.3">
      <c r="A144" s="262" t="s">
        <v>1242</v>
      </c>
      <c r="C144" s="228"/>
      <c r="D144" s="228"/>
      <c r="E144" s="561"/>
      <c r="F144" s="561"/>
      <c r="G144" s="561"/>
      <c r="H144" s="976" t="s">
        <v>94</v>
      </c>
      <c r="I144" s="976"/>
      <c r="J144" s="623"/>
      <c r="K144" s="976" t="s">
        <v>94</v>
      </c>
      <c r="L144" s="976"/>
      <c r="M144" s="623"/>
      <c r="N144" s="968" t="s">
        <v>1484</v>
      </c>
      <c r="O144" s="968"/>
      <c r="P144" s="968"/>
      <c r="Q144" s="260"/>
      <c r="R144" s="968" t="s">
        <v>1473</v>
      </c>
      <c r="S144" s="968"/>
      <c r="T144" s="968"/>
      <c r="U144" s="260"/>
    </row>
    <row r="145" spans="1:21" ht="19.95" hidden="1" customHeight="1" x14ac:dyDescent="0.3">
      <c r="A145" s="262" t="s">
        <v>1242</v>
      </c>
      <c r="C145" s="228"/>
      <c r="D145" s="228"/>
      <c r="E145" s="561"/>
      <c r="F145" s="561"/>
      <c r="G145" s="561"/>
      <c r="H145" s="976"/>
      <c r="I145" s="976"/>
      <c r="J145" s="623"/>
      <c r="K145" s="976"/>
      <c r="L145" s="976"/>
      <c r="M145" s="623"/>
      <c r="N145" s="968"/>
      <c r="O145" s="968"/>
      <c r="P145" s="968"/>
      <c r="Q145" s="260"/>
      <c r="R145" s="968"/>
      <c r="S145" s="968"/>
      <c r="T145" s="968"/>
      <c r="U145" s="260"/>
    </row>
    <row r="146" spans="1:21" ht="19.95" hidden="1" customHeight="1" x14ac:dyDescent="0.3">
      <c r="A146" s="262" t="s">
        <v>1242</v>
      </c>
      <c r="C146" s="228"/>
      <c r="D146" s="228"/>
      <c r="E146" s="561"/>
      <c r="F146" s="561"/>
      <c r="G146" s="561"/>
      <c r="H146" s="228"/>
      <c r="I146" s="260"/>
      <c r="J146" s="260"/>
      <c r="K146" s="260"/>
      <c r="L146" s="260"/>
      <c r="M146" s="260"/>
      <c r="N146" s="260"/>
      <c r="O146" s="260"/>
      <c r="P146" s="260"/>
      <c r="Q146" s="260"/>
      <c r="R146" s="260"/>
      <c r="S146" s="624"/>
      <c r="T146" s="260"/>
    </row>
    <row r="147" spans="1:21" ht="19.95" hidden="1" customHeight="1" x14ac:dyDescent="0.3">
      <c r="A147" s="262" t="s">
        <v>1242</v>
      </c>
      <c r="C147" s="228"/>
      <c r="D147" s="228"/>
      <c r="E147" s="975" t="s">
        <v>1215</v>
      </c>
      <c r="F147" s="975"/>
      <c r="G147" s="975"/>
      <c r="H147" s="975" t="s">
        <v>1348</v>
      </c>
      <c r="I147" s="975"/>
      <c r="J147" s="975"/>
      <c r="K147" s="975"/>
      <c r="L147" s="975"/>
      <c r="M147" s="562"/>
      <c r="N147" s="977" t="s">
        <v>1217</v>
      </c>
      <c r="O147" s="968"/>
      <c r="P147" s="968"/>
      <c r="Q147" s="968"/>
      <c r="R147" s="968"/>
      <c r="S147" s="968"/>
      <c r="T147" s="968"/>
    </row>
    <row r="148" spans="1:21" ht="19.95" hidden="1" customHeight="1" x14ac:dyDescent="0.3">
      <c r="A148" s="262" t="s">
        <v>1290</v>
      </c>
      <c r="C148" s="228"/>
      <c r="D148" s="228"/>
      <c r="E148" s="975"/>
      <c r="F148" s="975"/>
      <c r="G148" s="975"/>
      <c r="H148" s="975"/>
      <c r="I148" s="975"/>
      <c r="J148" s="975"/>
      <c r="K148" s="975"/>
      <c r="L148" s="975"/>
      <c r="M148" s="562"/>
      <c r="N148" s="968"/>
      <c r="O148" s="968"/>
      <c r="P148" s="968"/>
      <c r="Q148" s="968"/>
      <c r="R148" s="968"/>
      <c r="S148" s="968"/>
      <c r="T148" s="968"/>
    </row>
    <row r="149" spans="1:21" ht="30" hidden="1" customHeight="1" x14ac:dyDescent="0.3">
      <c r="A149" s="262" t="s">
        <v>152</v>
      </c>
      <c r="C149" s="255">
        <v>71</v>
      </c>
      <c r="D149" s="256" t="s">
        <v>360</v>
      </c>
      <c r="E149" s="978" t="s">
        <v>361</v>
      </c>
      <c r="F149" s="979"/>
      <c r="G149" s="980"/>
      <c r="H149" s="546" t="s">
        <v>228</v>
      </c>
      <c r="I149" s="257">
        <v>10355</v>
      </c>
      <c r="J149" s="606"/>
      <c r="K149" s="257">
        <v>14995.14</v>
      </c>
      <c r="L149" s="257">
        <f t="shared" ref="L149:L157" si="19">+ROUND(I149*K149,2)</f>
        <v>155274674.69999999</v>
      </c>
      <c r="M149" s="603"/>
      <c r="N149" s="675" t="e">
        <f>+#REF!</f>
        <v>#REF!</v>
      </c>
      <c r="O149" s="675">
        <f>+'Yeşil Defter'!L135</f>
        <v>0</v>
      </c>
      <c r="P149" s="675" t="e">
        <f t="shared" ref="P149:P157" si="20">+N149+O149</f>
        <v>#REF!</v>
      </c>
      <c r="Q149" s="612"/>
      <c r="R149" s="606" t="e">
        <f t="shared" ref="R149:R157" si="21">+ROUND(I149*N149,2)</f>
        <v>#REF!</v>
      </c>
      <c r="S149" s="247">
        <f t="shared" ref="S149:S157" si="22">+ROUND(I149*O149,2)</f>
        <v>0</v>
      </c>
      <c r="T149" s="248" t="e">
        <f t="shared" ref="T149:T157" si="23">+ROUND(I149*P149,2)</f>
        <v>#REF!</v>
      </c>
    </row>
    <row r="150" spans="1:21" ht="30" hidden="1" customHeight="1" x14ac:dyDescent="0.3">
      <c r="A150" s="262" t="s">
        <v>152</v>
      </c>
      <c r="C150" s="244">
        <v>72</v>
      </c>
      <c r="D150" s="161" t="s">
        <v>362</v>
      </c>
      <c r="E150" s="969" t="s">
        <v>363</v>
      </c>
      <c r="F150" s="970"/>
      <c r="G150" s="971"/>
      <c r="H150" s="544" t="s">
        <v>228</v>
      </c>
      <c r="I150" s="212">
        <v>10355</v>
      </c>
      <c r="J150" s="605"/>
      <c r="K150" s="212">
        <v>29458.35</v>
      </c>
      <c r="L150" s="212">
        <f t="shared" si="19"/>
        <v>305041214.25</v>
      </c>
      <c r="M150" s="602"/>
      <c r="N150" s="675" t="e">
        <f>+#REF!</f>
        <v>#REF!</v>
      </c>
      <c r="O150" s="675">
        <f>+'Yeşil Defter'!L136</f>
        <v>0</v>
      </c>
      <c r="P150" s="675" t="e">
        <f t="shared" si="20"/>
        <v>#REF!</v>
      </c>
      <c r="Q150" s="511"/>
      <c r="R150" s="606" t="e">
        <f t="shared" si="21"/>
        <v>#REF!</v>
      </c>
      <c r="S150" s="247">
        <f t="shared" si="22"/>
        <v>0</v>
      </c>
      <c r="T150" s="248" t="e">
        <f t="shared" si="23"/>
        <v>#REF!</v>
      </c>
    </row>
    <row r="151" spans="1:21" ht="30" hidden="1" customHeight="1" x14ac:dyDescent="0.3">
      <c r="A151" s="262" t="s">
        <v>152</v>
      </c>
      <c r="C151" s="244">
        <v>73</v>
      </c>
      <c r="D151" s="161" t="s">
        <v>364</v>
      </c>
      <c r="E151" s="969" t="s">
        <v>365</v>
      </c>
      <c r="F151" s="970"/>
      <c r="G151" s="971"/>
      <c r="H151" s="544" t="s">
        <v>228</v>
      </c>
      <c r="I151" s="212">
        <v>10355</v>
      </c>
      <c r="J151" s="605"/>
      <c r="K151" s="212">
        <v>3917.38</v>
      </c>
      <c r="L151" s="212">
        <f t="shared" si="19"/>
        <v>40564469.899999999</v>
      </c>
      <c r="M151" s="602"/>
      <c r="N151" s="675" t="e">
        <f>+#REF!</f>
        <v>#REF!</v>
      </c>
      <c r="O151" s="675">
        <f>+'Yeşil Defter'!L137</f>
        <v>0</v>
      </c>
      <c r="P151" s="675" t="e">
        <f t="shared" si="20"/>
        <v>#REF!</v>
      </c>
      <c r="Q151" s="511"/>
      <c r="R151" s="606" t="e">
        <f t="shared" si="21"/>
        <v>#REF!</v>
      </c>
      <c r="S151" s="247">
        <f t="shared" si="22"/>
        <v>0</v>
      </c>
      <c r="T151" s="248" t="e">
        <f t="shared" si="23"/>
        <v>#REF!</v>
      </c>
    </row>
    <row r="152" spans="1:21" ht="34.950000000000003" customHeight="1" x14ac:dyDescent="0.3">
      <c r="A152" s="262" t="s">
        <v>152</v>
      </c>
      <c r="C152" s="244">
        <v>74</v>
      </c>
      <c r="D152" s="161" t="s">
        <v>366</v>
      </c>
      <c r="E152" s="969" t="s">
        <v>367</v>
      </c>
      <c r="F152" s="970"/>
      <c r="G152" s="971"/>
      <c r="H152" s="544" t="s">
        <v>262</v>
      </c>
      <c r="I152" s="212">
        <v>46250</v>
      </c>
      <c r="J152" s="605"/>
      <c r="K152" s="212">
        <v>62.29</v>
      </c>
      <c r="L152" s="212">
        <f t="shared" si="19"/>
        <v>2880912.5</v>
      </c>
      <c r="M152" s="602"/>
      <c r="N152" s="675" t="e">
        <f>+#REF!</f>
        <v>#REF!</v>
      </c>
      <c r="O152" s="675">
        <f>+'Yeşil Defter'!L138</f>
        <v>7.4200000000000008</v>
      </c>
      <c r="P152" s="675" t="e">
        <f t="shared" si="20"/>
        <v>#REF!</v>
      </c>
      <c r="Q152" s="511"/>
      <c r="R152" s="606" t="e">
        <f t="shared" si="21"/>
        <v>#REF!</v>
      </c>
      <c r="S152" s="247">
        <f t="shared" si="22"/>
        <v>343175</v>
      </c>
      <c r="T152" s="248" t="e">
        <f t="shared" si="23"/>
        <v>#REF!</v>
      </c>
    </row>
    <row r="153" spans="1:21" ht="34.950000000000003" customHeight="1" x14ac:dyDescent="0.3">
      <c r="A153" s="262" t="s">
        <v>152</v>
      </c>
      <c r="C153" s="244">
        <v>75</v>
      </c>
      <c r="D153" s="161" t="s">
        <v>368</v>
      </c>
      <c r="E153" s="969" t="s">
        <v>369</v>
      </c>
      <c r="F153" s="970"/>
      <c r="G153" s="971"/>
      <c r="H153" s="544" t="s">
        <v>262</v>
      </c>
      <c r="I153" s="212">
        <v>92500</v>
      </c>
      <c r="J153" s="605"/>
      <c r="K153" s="212">
        <v>4367.51</v>
      </c>
      <c r="L153" s="212">
        <f t="shared" si="19"/>
        <v>403994675</v>
      </c>
      <c r="M153" s="602"/>
      <c r="N153" s="675" t="e">
        <f>+#REF!</f>
        <v>#REF!</v>
      </c>
      <c r="O153" s="675">
        <f>+'Yeşil Defter'!L139</f>
        <v>0</v>
      </c>
      <c r="P153" s="675" t="e">
        <f t="shared" si="20"/>
        <v>#REF!</v>
      </c>
      <c r="Q153" s="511"/>
      <c r="R153" s="606" t="e">
        <f t="shared" si="21"/>
        <v>#REF!</v>
      </c>
      <c r="S153" s="247">
        <f t="shared" si="22"/>
        <v>0</v>
      </c>
      <c r="T153" s="248" t="e">
        <f t="shared" si="23"/>
        <v>#REF!</v>
      </c>
    </row>
    <row r="154" spans="1:21" ht="34.950000000000003" customHeight="1" x14ac:dyDescent="0.3">
      <c r="A154" s="262" t="s">
        <v>152</v>
      </c>
      <c r="C154" s="244">
        <v>76</v>
      </c>
      <c r="D154" s="161" t="s">
        <v>370</v>
      </c>
      <c r="E154" s="969" t="s">
        <v>371</v>
      </c>
      <c r="F154" s="970"/>
      <c r="G154" s="971"/>
      <c r="H154" s="544" t="s">
        <v>262</v>
      </c>
      <c r="I154" s="212">
        <v>97333</v>
      </c>
      <c r="J154" s="605"/>
      <c r="K154" s="212">
        <v>2581.33</v>
      </c>
      <c r="L154" s="212">
        <f t="shared" si="19"/>
        <v>251248592.88999999</v>
      </c>
      <c r="M154" s="602"/>
      <c r="N154" s="675" t="e">
        <f>+#REF!</f>
        <v>#REF!</v>
      </c>
      <c r="O154" s="675">
        <f>+'Yeşil Defter'!L140</f>
        <v>22.183</v>
      </c>
      <c r="P154" s="675" t="e">
        <f t="shared" si="20"/>
        <v>#REF!</v>
      </c>
      <c r="Q154" s="511"/>
      <c r="R154" s="606" t="e">
        <f t="shared" si="21"/>
        <v>#REF!</v>
      </c>
      <c r="S154" s="247">
        <f t="shared" si="22"/>
        <v>2159137.94</v>
      </c>
      <c r="T154" s="248" t="e">
        <f t="shared" si="23"/>
        <v>#REF!</v>
      </c>
    </row>
    <row r="155" spans="1:21" ht="30" hidden="1" customHeight="1" x14ac:dyDescent="0.3">
      <c r="A155" s="262" t="s">
        <v>152</v>
      </c>
      <c r="C155" s="244">
        <v>77</v>
      </c>
      <c r="D155" s="161" t="s">
        <v>372</v>
      </c>
      <c r="E155" s="969" t="s">
        <v>373</v>
      </c>
      <c r="F155" s="970"/>
      <c r="G155" s="971"/>
      <c r="H155" s="544" t="s">
        <v>374</v>
      </c>
      <c r="I155" s="212">
        <v>150</v>
      </c>
      <c r="J155" s="605"/>
      <c r="K155" s="212">
        <v>3500</v>
      </c>
      <c r="L155" s="212">
        <f t="shared" si="19"/>
        <v>525000</v>
      </c>
      <c r="M155" s="602"/>
      <c r="N155" s="675" t="e">
        <f>+#REF!</f>
        <v>#REF!</v>
      </c>
      <c r="O155" s="675">
        <f>+'Yeşil Defter'!L141</f>
        <v>0</v>
      </c>
      <c r="P155" s="675" t="e">
        <f t="shared" si="20"/>
        <v>#REF!</v>
      </c>
      <c r="Q155" s="511"/>
      <c r="R155" s="606" t="e">
        <f t="shared" si="21"/>
        <v>#REF!</v>
      </c>
      <c r="S155" s="247">
        <f t="shared" si="22"/>
        <v>0</v>
      </c>
      <c r="T155" s="248" t="e">
        <f t="shared" si="23"/>
        <v>#REF!</v>
      </c>
    </row>
    <row r="156" spans="1:21" ht="30" hidden="1" customHeight="1" x14ac:dyDescent="0.3">
      <c r="A156" s="262" t="s">
        <v>152</v>
      </c>
      <c r="C156" s="244">
        <v>78</v>
      </c>
      <c r="D156" s="161" t="s">
        <v>375</v>
      </c>
      <c r="E156" s="969" t="s">
        <v>376</v>
      </c>
      <c r="F156" s="970"/>
      <c r="G156" s="971"/>
      <c r="H156" s="544" t="s">
        <v>374</v>
      </c>
      <c r="I156" s="212">
        <v>180</v>
      </c>
      <c r="J156" s="605"/>
      <c r="K156" s="212">
        <v>4500</v>
      </c>
      <c r="L156" s="212">
        <f t="shared" si="19"/>
        <v>810000</v>
      </c>
      <c r="M156" s="602"/>
      <c r="N156" s="675" t="e">
        <f>+#REF!</f>
        <v>#REF!</v>
      </c>
      <c r="O156" s="675">
        <f>+'Yeşil Defter'!L142</f>
        <v>0</v>
      </c>
      <c r="P156" s="675" t="e">
        <f t="shared" si="20"/>
        <v>#REF!</v>
      </c>
      <c r="Q156" s="511"/>
      <c r="R156" s="606" t="e">
        <f t="shared" si="21"/>
        <v>#REF!</v>
      </c>
      <c r="S156" s="247">
        <f t="shared" si="22"/>
        <v>0</v>
      </c>
      <c r="T156" s="248" t="e">
        <f t="shared" si="23"/>
        <v>#REF!</v>
      </c>
    </row>
    <row r="157" spans="1:21" ht="30" hidden="1" customHeight="1" x14ac:dyDescent="0.3">
      <c r="A157" s="262" t="s">
        <v>152</v>
      </c>
      <c r="C157" s="244">
        <v>79</v>
      </c>
      <c r="D157" s="213" t="s">
        <v>377</v>
      </c>
      <c r="E157" s="969" t="s">
        <v>378</v>
      </c>
      <c r="F157" s="970"/>
      <c r="G157" s="971"/>
      <c r="H157" s="544" t="s">
        <v>202</v>
      </c>
      <c r="I157" s="212">
        <v>340200</v>
      </c>
      <c r="J157" s="605"/>
      <c r="K157" s="212">
        <v>8960.4699999999993</v>
      </c>
      <c r="L157" s="212">
        <f t="shared" si="19"/>
        <v>3048351894</v>
      </c>
      <c r="M157" s="602"/>
      <c r="N157" s="675" t="e">
        <f>+#REF!</f>
        <v>#REF!</v>
      </c>
      <c r="O157" s="675">
        <f>+'Yeşil Defter'!L143</f>
        <v>0</v>
      </c>
      <c r="P157" s="675" t="e">
        <f t="shared" si="20"/>
        <v>#REF!</v>
      </c>
      <c r="Q157" s="511"/>
      <c r="R157" s="606" t="e">
        <f t="shared" si="21"/>
        <v>#REF!</v>
      </c>
      <c r="S157" s="247">
        <f t="shared" si="22"/>
        <v>0</v>
      </c>
      <c r="T157" s="248" t="e">
        <f t="shared" si="23"/>
        <v>#REF!</v>
      </c>
    </row>
    <row r="158" spans="1:21" ht="30" hidden="1" customHeight="1" x14ac:dyDescent="0.3">
      <c r="A158" s="262">
        <v>1</v>
      </c>
      <c r="C158" s="242"/>
      <c r="D158" s="233" t="s">
        <v>1226</v>
      </c>
      <c r="E158" s="234"/>
      <c r="F158" s="234"/>
      <c r="G158" s="234"/>
      <c r="H158" s="234"/>
      <c r="I158" s="235"/>
      <c r="J158" s="235"/>
      <c r="K158" s="235"/>
      <c r="L158" s="642">
        <f>+SUMIFS(L:L,A:A,"1.C")</f>
        <v>160312500</v>
      </c>
      <c r="M158" s="600"/>
      <c r="N158" s="646"/>
      <c r="O158" s="235"/>
      <c r="P158" s="235"/>
      <c r="Q158" s="655"/>
      <c r="R158" s="650" t="e">
        <f>+SUMIFS(R:R,A:A,"1.C")</f>
        <v>#REF!</v>
      </c>
      <c r="S158" s="249">
        <f>+SUMIFS(S:S,A:A,"1.C")</f>
        <v>0</v>
      </c>
      <c r="T158" s="250" t="e">
        <f>+SUMIFS(T:T,A:A,"1.C")</f>
        <v>#REF!</v>
      </c>
    </row>
    <row r="159" spans="1:21" ht="30" hidden="1" customHeight="1" x14ac:dyDescent="0.3">
      <c r="A159" s="262" t="s">
        <v>153</v>
      </c>
      <c r="C159" s="244">
        <v>80</v>
      </c>
      <c r="D159" s="213" t="s">
        <v>379</v>
      </c>
      <c r="E159" s="969" t="s">
        <v>380</v>
      </c>
      <c r="F159" s="970"/>
      <c r="G159" s="971"/>
      <c r="H159" s="544" t="s">
        <v>202</v>
      </c>
      <c r="I159" s="212">
        <v>3750</v>
      </c>
      <c r="J159" s="605"/>
      <c r="K159" s="212">
        <v>2750</v>
      </c>
      <c r="L159" s="212">
        <f>+ROUND(I159*K159,2)</f>
        <v>10312500</v>
      </c>
      <c r="M159" s="602"/>
      <c r="N159" s="675" t="e">
        <f>+#REF!</f>
        <v>#REF!</v>
      </c>
      <c r="O159" s="675">
        <f>+'Yeşil Defter'!L158</f>
        <v>0</v>
      </c>
      <c r="P159" s="675" t="e">
        <f t="shared" ref="P159:P161" si="24">+N159+O159</f>
        <v>#REF!</v>
      </c>
      <c r="Q159" s="257"/>
      <c r="R159" s="606" t="e">
        <f t="shared" ref="R159:R161" si="25">+ROUND(I159*N159,2)</f>
        <v>#REF!</v>
      </c>
      <c r="S159" s="247">
        <f t="shared" ref="S159:S161" si="26">+ROUND(I159*O159,2)</f>
        <v>0</v>
      </c>
      <c r="T159" s="248" t="e">
        <f t="shared" ref="T159:T161" si="27">+ROUND(I159*P159,2)</f>
        <v>#REF!</v>
      </c>
    </row>
    <row r="160" spans="1:21" ht="30" hidden="1" customHeight="1" x14ac:dyDescent="0.3">
      <c r="A160" s="262" t="s">
        <v>153</v>
      </c>
      <c r="C160" s="244">
        <v>81</v>
      </c>
      <c r="D160" s="213" t="s">
        <v>381</v>
      </c>
      <c r="E160" s="969" t="s">
        <v>382</v>
      </c>
      <c r="F160" s="970"/>
      <c r="G160" s="971"/>
      <c r="H160" s="544" t="s">
        <v>286</v>
      </c>
      <c r="I160" s="212">
        <v>108000000</v>
      </c>
      <c r="J160" s="605"/>
      <c r="K160" s="212">
        <v>1</v>
      </c>
      <c r="L160" s="212">
        <f>+ROUND(I160*K160,2)</f>
        <v>108000000</v>
      </c>
      <c r="M160" s="602"/>
      <c r="N160" s="675" t="e">
        <f>+#REF!</f>
        <v>#REF!</v>
      </c>
      <c r="O160" s="675">
        <f>+'Yeşil Defter'!L159</f>
        <v>0</v>
      </c>
      <c r="P160" s="675" t="e">
        <f t="shared" si="24"/>
        <v>#REF!</v>
      </c>
      <c r="Q160" s="212"/>
      <c r="R160" s="606" t="e">
        <f t="shared" si="25"/>
        <v>#REF!</v>
      </c>
      <c r="S160" s="247">
        <f t="shared" si="26"/>
        <v>0</v>
      </c>
      <c r="T160" s="248" t="e">
        <f t="shared" si="27"/>
        <v>#REF!</v>
      </c>
    </row>
    <row r="161" spans="1:22" ht="30" hidden="1" customHeight="1" x14ac:dyDescent="0.3">
      <c r="A161" s="262" t="s">
        <v>153</v>
      </c>
      <c r="C161" s="244">
        <v>82</v>
      </c>
      <c r="D161" s="213" t="s">
        <v>383</v>
      </c>
      <c r="E161" s="969" t="s">
        <v>384</v>
      </c>
      <c r="F161" s="970"/>
      <c r="G161" s="971"/>
      <c r="H161" s="544" t="s">
        <v>286</v>
      </c>
      <c r="I161" s="212">
        <v>42000000</v>
      </c>
      <c r="J161" s="605"/>
      <c r="K161" s="212">
        <v>1</v>
      </c>
      <c r="L161" s="212">
        <f>+ROUND(I161*K161,2)</f>
        <v>42000000</v>
      </c>
      <c r="M161" s="602"/>
      <c r="N161" s="675" t="e">
        <f>+#REF!</f>
        <v>#REF!</v>
      </c>
      <c r="O161" s="675">
        <v>0</v>
      </c>
      <c r="P161" s="675" t="e">
        <f t="shared" si="24"/>
        <v>#REF!</v>
      </c>
      <c r="Q161" s="226"/>
      <c r="R161" s="606" t="e">
        <f t="shared" si="25"/>
        <v>#REF!</v>
      </c>
      <c r="S161" s="247">
        <f t="shared" si="26"/>
        <v>0</v>
      </c>
      <c r="T161" s="248" t="e">
        <f t="shared" si="27"/>
        <v>#REF!</v>
      </c>
      <c r="V161" s="325"/>
    </row>
    <row r="162" spans="1:22" ht="30" hidden="1" customHeight="1" x14ac:dyDescent="0.3">
      <c r="A162" s="262" t="s">
        <v>153</v>
      </c>
      <c r="C162" s="244"/>
      <c r="D162" s="213"/>
      <c r="E162" s="969"/>
      <c r="F162" s="970"/>
      <c r="G162" s="971"/>
      <c r="H162" s="161"/>
      <c r="I162" s="605"/>
      <c r="J162" s="605"/>
      <c r="K162" s="212"/>
      <c r="L162" s="341"/>
      <c r="M162" s="212"/>
      <c r="N162" s="657"/>
      <c r="O162" s="212"/>
      <c r="P162" s="341"/>
      <c r="Q162" s="212"/>
      <c r="R162" s="605"/>
      <c r="S162" s="225"/>
      <c r="T162" s="237"/>
      <c r="V162" s="325"/>
    </row>
    <row r="163" spans="1:22" ht="30" hidden="1" customHeight="1" x14ac:dyDescent="0.3">
      <c r="A163" s="262" t="s">
        <v>153</v>
      </c>
      <c r="C163" s="244"/>
      <c r="D163" s="213"/>
      <c r="E163" s="969"/>
      <c r="F163" s="970"/>
      <c r="G163" s="971"/>
      <c r="H163" s="161"/>
      <c r="I163" s="605"/>
      <c r="J163" s="605"/>
      <c r="K163" s="212"/>
      <c r="L163" s="341"/>
      <c r="M163" s="212"/>
      <c r="N163" s="605"/>
      <c r="O163" s="212"/>
      <c r="P163" s="341"/>
      <c r="Q163" s="212"/>
      <c r="R163" s="605"/>
      <c r="S163" s="225"/>
      <c r="T163" s="237"/>
    </row>
    <row r="164" spans="1:22" ht="30" hidden="1" customHeight="1" x14ac:dyDescent="0.3">
      <c r="A164" s="262" t="s">
        <v>153</v>
      </c>
      <c r="C164" s="244"/>
      <c r="D164" s="213"/>
      <c r="E164" s="969"/>
      <c r="F164" s="970"/>
      <c r="G164" s="971"/>
      <c r="H164" s="161"/>
      <c r="I164" s="605"/>
      <c r="J164" s="605"/>
      <c r="K164" s="212"/>
      <c r="L164" s="341"/>
      <c r="M164" s="212"/>
      <c r="N164" s="605"/>
      <c r="O164" s="212"/>
      <c r="P164" s="341"/>
      <c r="Q164" s="212"/>
      <c r="R164" s="605"/>
      <c r="S164" s="225"/>
      <c r="T164" s="237"/>
    </row>
    <row r="165" spans="1:22" ht="30" hidden="1" customHeight="1" x14ac:dyDescent="0.3">
      <c r="A165" s="262" t="s">
        <v>153</v>
      </c>
      <c r="C165" s="244"/>
      <c r="D165" s="213"/>
      <c r="E165" s="969"/>
      <c r="F165" s="970"/>
      <c r="G165" s="971"/>
      <c r="H165" s="161"/>
      <c r="I165" s="605"/>
      <c r="J165" s="605"/>
      <c r="K165" s="212"/>
      <c r="L165" s="341"/>
      <c r="M165" s="212"/>
      <c r="N165" s="605"/>
      <c r="O165" s="212"/>
      <c r="P165" s="341"/>
      <c r="Q165" s="212"/>
      <c r="R165" s="605"/>
      <c r="S165" s="225"/>
      <c r="T165" s="237"/>
    </row>
    <row r="166" spans="1:22" ht="30" hidden="1" customHeight="1" x14ac:dyDescent="0.3">
      <c r="A166" s="262" t="s">
        <v>153</v>
      </c>
      <c r="C166" s="244"/>
      <c r="D166" s="161"/>
      <c r="E166" s="969"/>
      <c r="F166" s="970"/>
      <c r="G166" s="971"/>
      <c r="H166" s="161"/>
      <c r="I166" s="605"/>
      <c r="J166" s="605"/>
      <c r="K166" s="212"/>
      <c r="L166" s="341"/>
      <c r="M166" s="212"/>
      <c r="N166" s="605"/>
      <c r="O166" s="212"/>
      <c r="P166" s="341"/>
      <c r="Q166" s="212"/>
      <c r="R166" s="605"/>
      <c r="S166" s="225"/>
      <c r="T166" s="237"/>
    </row>
    <row r="167" spans="1:22" ht="30" hidden="1" customHeight="1" x14ac:dyDescent="0.3">
      <c r="A167" s="262" t="s">
        <v>153</v>
      </c>
      <c r="C167" s="244"/>
      <c r="D167" s="161"/>
      <c r="E167" s="969"/>
      <c r="F167" s="970"/>
      <c r="G167" s="971"/>
      <c r="H167" s="161"/>
      <c r="I167" s="605"/>
      <c r="J167" s="605"/>
      <c r="K167" s="212"/>
      <c r="L167" s="341"/>
      <c r="M167" s="212"/>
      <c r="N167" s="605"/>
      <c r="O167" s="212"/>
      <c r="P167" s="341"/>
      <c r="Q167" s="212"/>
      <c r="R167" s="605"/>
      <c r="S167" s="225"/>
      <c r="T167" s="237"/>
    </row>
    <row r="168" spans="1:22" ht="30" hidden="1" customHeight="1" x14ac:dyDescent="0.3">
      <c r="A168" s="262" t="s">
        <v>153</v>
      </c>
      <c r="C168" s="244"/>
      <c r="D168" s="161"/>
      <c r="E168" s="969"/>
      <c r="F168" s="970"/>
      <c r="G168" s="971"/>
      <c r="H168" s="161"/>
      <c r="I168" s="605"/>
      <c r="J168" s="605"/>
      <c r="K168" s="212"/>
      <c r="L168" s="341"/>
      <c r="M168" s="212"/>
      <c r="N168" s="605"/>
      <c r="O168" s="212"/>
      <c r="P168" s="341"/>
      <c r="Q168" s="212"/>
      <c r="R168" s="605"/>
      <c r="S168" s="225"/>
      <c r="T168" s="237"/>
    </row>
    <row r="169" spans="1:22" ht="30" hidden="1" customHeight="1" x14ac:dyDescent="0.3">
      <c r="A169" s="262" t="s">
        <v>153</v>
      </c>
      <c r="C169" s="244"/>
      <c r="D169" s="161"/>
      <c r="E169" s="969"/>
      <c r="F169" s="970"/>
      <c r="G169" s="971"/>
      <c r="H169" s="161"/>
      <c r="I169" s="605"/>
      <c r="J169" s="605"/>
      <c r="K169" s="212"/>
      <c r="L169" s="341"/>
      <c r="M169" s="212"/>
      <c r="N169" s="605"/>
      <c r="O169" s="212"/>
      <c r="P169" s="341"/>
      <c r="Q169" s="212"/>
      <c r="R169" s="605"/>
      <c r="S169" s="225"/>
      <c r="T169" s="237"/>
    </row>
    <row r="170" spans="1:22" ht="30" hidden="1" customHeight="1" x14ac:dyDescent="0.3">
      <c r="A170" s="262" t="s">
        <v>153</v>
      </c>
      <c r="C170" s="244"/>
      <c r="D170" s="161"/>
      <c r="E170" s="969"/>
      <c r="F170" s="970"/>
      <c r="G170" s="971"/>
      <c r="H170" s="161"/>
      <c r="I170" s="605"/>
      <c r="J170" s="605"/>
      <c r="K170" s="212"/>
      <c r="L170" s="341"/>
      <c r="M170" s="212"/>
      <c r="N170" s="605"/>
      <c r="O170" s="212"/>
      <c r="P170" s="341"/>
      <c r="Q170" s="212"/>
      <c r="R170" s="605"/>
      <c r="S170" s="225"/>
      <c r="T170" s="237"/>
    </row>
    <row r="171" spans="1:22" ht="30" hidden="1" customHeight="1" x14ac:dyDescent="0.3">
      <c r="A171" s="262" t="s">
        <v>153</v>
      </c>
      <c r="C171" s="244"/>
      <c r="D171" s="161"/>
      <c r="E171" s="969"/>
      <c r="F171" s="970"/>
      <c r="G171" s="971"/>
      <c r="H171" s="658"/>
      <c r="I171" s="605"/>
      <c r="J171" s="605"/>
      <c r="K171" s="212"/>
      <c r="L171" s="341"/>
      <c r="M171" s="302"/>
      <c r="N171" s="605"/>
      <c r="O171" s="212"/>
      <c r="P171" s="341"/>
      <c r="Q171" s="302"/>
      <c r="R171" s="605"/>
      <c r="S171" s="225"/>
      <c r="T171" s="237"/>
    </row>
    <row r="172" spans="1:22" ht="30" customHeight="1" x14ac:dyDescent="0.3">
      <c r="A172" s="262"/>
      <c r="D172" s="28"/>
      <c r="E172" s="666"/>
      <c r="F172" s="666"/>
      <c r="G172" s="666"/>
      <c r="H172" s="28"/>
      <c r="I172" s="214"/>
      <c r="J172" s="214"/>
      <c r="K172" s="214"/>
      <c r="L172" s="214"/>
      <c r="M172" s="214"/>
      <c r="N172" s="214"/>
      <c r="O172" s="214"/>
      <c r="P172" s="214"/>
      <c r="Q172" s="214"/>
      <c r="R172" s="214"/>
      <c r="S172" s="307"/>
      <c r="T172" s="214"/>
    </row>
    <row r="173" spans="1:22" ht="30" customHeight="1" x14ac:dyDescent="0.3">
      <c r="A173" s="262"/>
      <c r="D173" s="28"/>
      <c r="E173" s="666"/>
      <c r="F173" s="666"/>
      <c r="G173" s="666"/>
      <c r="H173" s="28"/>
      <c r="I173" s="214"/>
      <c r="J173" s="214"/>
      <c r="K173" s="214"/>
      <c r="L173" s="214"/>
      <c r="M173" s="214"/>
      <c r="N173" s="214"/>
      <c r="O173" s="214"/>
      <c r="P173" s="214"/>
      <c r="Q173" s="214"/>
      <c r="R173" s="214"/>
      <c r="S173" s="307"/>
      <c r="T173" s="214"/>
    </row>
    <row r="174" spans="1:22" ht="30" customHeight="1" x14ac:dyDescent="0.3">
      <c r="A174" s="262"/>
      <c r="D174" s="28"/>
      <c r="E174" s="666"/>
      <c r="F174" s="666"/>
      <c r="G174" s="666"/>
      <c r="H174" s="28"/>
      <c r="I174" s="214"/>
      <c r="J174" s="214"/>
      <c r="K174" s="214"/>
      <c r="L174" s="214"/>
      <c r="M174" s="214"/>
      <c r="N174" s="214"/>
      <c r="O174" s="214"/>
      <c r="P174" s="214"/>
      <c r="Q174" s="214"/>
      <c r="R174" s="214"/>
      <c r="S174" s="307"/>
      <c r="T174" s="214"/>
    </row>
    <row r="175" spans="1:22" ht="30" customHeight="1" x14ac:dyDescent="0.3">
      <c r="A175" s="262"/>
      <c r="D175" s="28"/>
      <c r="E175" s="666"/>
      <c r="F175" s="666"/>
      <c r="G175" s="666"/>
      <c r="H175" s="28"/>
      <c r="I175" s="214"/>
      <c r="J175" s="214"/>
      <c r="K175" s="214"/>
      <c r="L175" s="214"/>
      <c r="M175" s="214"/>
      <c r="N175" s="214"/>
      <c r="O175" s="214"/>
      <c r="P175" s="214"/>
      <c r="Q175" s="214"/>
      <c r="R175" s="214"/>
      <c r="S175" s="307"/>
      <c r="T175" s="214"/>
    </row>
    <row r="176" spans="1:22" ht="30" customHeight="1" x14ac:dyDescent="0.3">
      <c r="A176" s="262"/>
      <c r="D176" s="28"/>
      <c r="E176" s="666"/>
      <c r="F176" s="666"/>
      <c r="G176" s="666"/>
      <c r="H176" s="28"/>
      <c r="I176" s="214"/>
      <c r="J176" s="214"/>
      <c r="K176" s="214"/>
      <c r="L176" s="214"/>
      <c r="M176" s="214"/>
      <c r="N176" s="214"/>
      <c r="O176" s="214"/>
      <c r="P176" s="214"/>
      <c r="Q176" s="214"/>
      <c r="R176" s="214"/>
      <c r="S176" s="307"/>
      <c r="T176" s="214"/>
    </row>
    <row r="177" spans="1:20" ht="30" customHeight="1" x14ac:dyDescent="0.3">
      <c r="A177" s="262"/>
      <c r="D177" s="28"/>
      <c r="E177" s="666"/>
      <c r="F177" s="666"/>
      <c r="G177" s="666"/>
      <c r="H177" s="28"/>
      <c r="I177" s="214"/>
      <c r="J177" s="214"/>
      <c r="K177" s="214"/>
      <c r="L177" s="214"/>
      <c r="M177" s="214"/>
      <c r="N177" s="214"/>
      <c r="O177" s="214"/>
      <c r="P177" s="214"/>
      <c r="Q177" s="214"/>
      <c r="R177" s="214"/>
      <c r="S177" s="307"/>
      <c r="T177" s="214"/>
    </row>
    <row r="178" spans="1:20" ht="30" customHeight="1" x14ac:dyDescent="0.3">
      <c r="A178" s="262"/>
      <c r="D178" s="28"/>
      <c r="E178" s="666"/>
      <c r="F178" s="666"/>
      <c r="G178" s="666"/>
      <c r="H178" s="28"/>
      <c r="I178" s="214"/>
      <c r="J178" s="214"/>
      <c r="K178" s="214"/>
      <c r="L178" s="214"/>
      <c r="M178" s="214"/>
      <c r="N178" s="214"/>
      <c r="O178" s="214"/>
      <c r="P178" s="214"/>
      <c r="Q178" s="214"/>
      <c r="R178" s="214"/>
      <c r="S178" s="307"/>
      <c r="T178" s="214"/>
    </row>
    <row r="179" spans="1:20" ht="30" customHeight="1" x14ac:dyDescent="0.3">
      <c r="A179" s="262"/>
      <c r="D179" s="28"/>
      <c r="E179" s="666"/>
      <c r="F179" s="666"/>
      <c r="G179" s="666"/>
      <c r="H179" s="28"/>
      <c r="I179" s="214"/>
      <c r="J179" s="214"/>
      <c r="K179" s="214"/>
      <c r="L179" s="214"/>
      <c r="M179" s="214"/>
      <c r="N179" s="214"/>
      <c r="O179" s="214"/>
      <c r="P179" s="214"/>
      <c r="Q179" s="214"/>
      <c r="R179" s="214"/>
      <c r="S179" s="307"/>
      <c r="T179" s="214"/>
    </row>
    <row r="180" spans="1:20" ht="30" customHeight="1" x14ac:dyDescent="0.3">
      <c r="A180" s="262"/>
      <c r="D180" s="28"/>
      <c r="E180" s="666"/>
      <c r="F180" s="666"/>
      <c r="G180" s="666"/>
      <c r="H180" s="28"/>
      <c r="I180" s="214"/>
      <c r="J180" s="214"/>
      <c r="K180" s="214"/>
      <c r="L180" s="214"/>
      <c r="M180" s="214"/>
      <c r="N180" s="214"/>
      <c r="O180" s="214"/>
      <c r="P180" s="214"/>
      <c r="Q180" s="214"/>
      <c r="R180" s="214"/>
      <c r="S180" s="307"/>
      <c r="T180" s="214"/>
    </row>
    <row r="181" spans="1:20" ht="30" customHeight="1" x14ac:dyDescent="0.3">
      <c r="A181" s="262"/>
      <c r="D181" s="28"/>
      <c r="E181" s="666"/>
      <c r="F181" s="666"/>
      <c r="G181" s="666"/>
      <c r="H181" s="28"/>
      <c r="I181" s="214"/>
      <c r="J181" s="214"/>
      <c r="K181" s="214"/>
      <c r="L181" s="214"/>
      <c r="M181" s="214"/>
      <c r="N181" s="214"/>
      <c r="O181" s="214"/>
      <c r="P181" s="214"/>
      <c r="Q181" s="214"/>
      <c r="R181" s="214"/>
      <c r="S181" s="307"/>
      <c r="T181" s="214"/>
    </row>
    <row r="182" spans="1:20" ht="30" customHeight="1" x14ac:dyDescent="0.3">
      <c r="A182" s="262"/>
      <c r="D182" s="28"/>
      <c r="E182" s="666"/>
      <c r="F182" s="666"/>
      <c r="G182" s="666"/>
      <c r="H182" s="28"/>
      <c r="I182" s="214"/>
      <c r="J182" s="214"/>
      <c r="K182" s="214"/>
      <c r="L182" s="214"/>
      <c r="M182" s="214"/>
      <c r="N182" s="214"/>
      <c r="O182" s="214"/>
      <c r="P182" s="214"/>
      <c r="Q182" s="214"/>
      <c r="R182" s="214"/>
      <c r="S182" s="307"/>
      <c r="T182" s="214"/>
    </row>
    <row r="183" spans="1:20" ht="30" customHeight="1" x14ac:dyDescent="0.3">
      <c r="A183" s="262"/>
      <c r="D183" s="28"/>
      <c r="E183" s="666"/>
      <c r="F183" s="666"/>
      <c r="G183" s="666"/>
      <c r="H183" s="28"/>
      <c r="I183" s="214"/>
      <c r="J183" s="214"/>
      <c r="K183" s="214"/>
      <c r="L183" s="214"/>
      <c r="M183" s="214"/>
      <c r="N183" s="214"/>
      <c r="O183" s="214"/>
      <c r="P183" s="214"/>
      <c r="Q183" s="214"/>
      <c r="R183" s="214"/>
      <c r="S183" s="307"/>
      <c r="T183" s="214"/>
    </row>
    <row r="184" spans="1:20" ht="30" customHeight="1" x14ac:dyDescent="0.3">
      <c r="A184" s="262"/>
      <c r="D184" s="28"/>
      <c r="E184" s="666"/>
      <c r="F184" s="666"/>
      <c r="G184" s="666"/>
      <c r="H184" s="28"/>
      <c r="I184" s="214"/>
      <c r="J184" s="214"/>
      <c r="K184" s="214"/>
      <c r="L184" s="214"/>
      <c r="M184" s="214"/>
      <c r="N184" s="214"/>
      <c r="O184" s="214"/>
      <c r="P184" s="214"/>
      <c r="Q184" s="214"/>
      <c r="R184" s="214"/>
      <c r="S184" s="307"/>
      <c r="T184" s="214"/>
    </row>
    <row r="185" spans="1:20" ht="30" customHeight="1" x14ac:dyDescent="0.3">
      <c r="A185" s="262"/>
      <c r="D185" s="28"/>
      <c r="E185" s="666"/>
      <c r="F185" s="666"/>
      <c r="G185" s="666"/>
      <c r="H185" s="28"/>
      <c r="I185" s="214"/>
      <c r="J185" s="214"/>
      <c r="K185" s="214"/>
      <c r="L185" s="214"/>
      <c r="M185" s="214"/>
      <c r="N185" s="214"/>
      <c r="O185" s="214"/>
      <c r="P185" s="214"/>
      <c r="Q185" s="214"/>
      <c r="R185" s="214"/>
      <c r="S185" s="307"/>
      <c r="T185" s="214"/>
    </row>
    <row r="186" spans="1:20" ht="30" customHeight="1" x14ac:dyDescent="0.3">
      <c r="A186" s="262"/>
      <c r="D186" s="28"/>
      <c r="E186" s="666"/>
      <c r="F186" s="666"/>
      <c r="G186" s="666"/>
      <c r="H186" s="28"/>
      <c r="I186" s="214"/>
      <c r="J186" s="214"/>
      <c r="K186" s="214"/>
      <c r="L186" s="214"/>
      <c r="M186" s="214"/>
      <c r="N186" s="214"/>
      <c r="O186" s="214"/>
      <c r="P186" s="214"/>
      <c r="Q186" s="214"/>
      <c r="R186" s="214"/>
      <c r="S186" s="307"/>
      <c r="T186" s="214"/>
    </row>
    <row r="187" spans="1:20" ht="30" customHeight="1" x14ac:dyDescent="0.3">
      <c r="A187" s="262"/>
      <c r="D187" s="28"/>
      <c r="E187" s="666"/>
      <c r="F187" s="666"/>
      <c r="G187" s="666"/>
      <c r="H187" s="28"/>
      <c r="I187" s="214"/>
      <c r="J187" s="214"/>
      <c r="K187" s="214"/>
      <c r="L187" s="214"/>
      <c r="M187" s="214"/>
      <c r="N187" s="214"/>
      <c r="O187" s="214"/>
      <c r="P187" s="214"/>
      <c r="Q187" s="214"/>
      <c r="R187" s="214"/>
      <c r="S187" s="307"/>
      <c r="T187" s="214"/>
    </row>
    <row r="188" spans="1:20" ht="30" customHeight="1" x14ac:dyDescent="0.3">
      <c r="A188" s="262"/>
      <c r="D188" s="28"/>
      <c r="E188" s="666"/>
      <c r="F188" s="666"/>
      <c r="G188" s="666"/>
      <c r="H188" s="28"/>
      <c r="I188" s="214"/>
      <c r="J188" s="214"/>
      <c r="K188" s="214"/>
      <c r="L188" s="214"/>
      <c r="M188" s="214"/>
      <c r="N188" s="214"/>
      <c r="O188" s="214"/>
      <c r="P188" s="214"/>
      <c r="Q188" s="214"/>
      <c r="R188" s="214"/>
      <c r="S188" s="307"/>
      <c r="T188" s="214"/>
    </row>
    <row r="189" spans="1:20" ht="40.049999999999997" customHeight="1" x14ac:dyDescent="0.35">
      <c r="A189" s="262" t="s">
        <v>1242</v>
      </c>
      <c r="C189" s="228"/>
      <c r="D189" s="228"/>
      <c r="E189" s="1403" t="s">
        <v>33</v>
      </c>
      <c r="F189" s="1403"/>
      <c r="G189" s="1403"/>
      <c r="H189" s="1404" t="s">
        <v>29</v>
      </c>
      <c r="I189" s="1404"/>
      <c r="J189" s="1404"/>
      <c r="K189" s="1404"/>
      <c r="L189" s="1404"/>
      <c r="M189" s="729"/>
      <c r="N189" s="1404" t="s">
        <v>22</v>
      </c>
      <c r="O189" s="1404"/>
      <c r="P189" s="1404"/>
      <c r="Q189" s="1404"/>
      <c r="R189" s="1404"/>
      <c r="S189" s="1404"/>
      <c r="T189" s="1404"/>
    </row>
    <row r="190" spans="1:20" ht="19.95" customHeight="1" x14ac:dyDescent="0.3">
      <c r="A190" s="262" t="s">
        <v>1242</v>
      </c>
      <c r="D190" s="28"/>
      <c r="E190" s="1405" t="s">
        <v>1214</v>
      </c>
      <c r="F190" s="1405"/>
      <c r="G190" s="1405"/>
      <c r="H190" s="1399" t="s">
        <v>38</v>
      </c>
      <c r="I190" s="1399"/>
      <c r="J190" s="1399"/>
      <c r="K190" s="1399"/>
      <c r="L190" s="1399"/>
      <c r="M190" s="731"/>
      <c r="N190" s="1399" t="s">
        <v>1437</v>
      </c>
      <c r="O190" s="1399"/>
      <c r="P190" s="1399"/>
      <c r="Q190" s="1399"/>
      <c r="R190" s="1399"/>
      <c r="S190" s="1399"/>
      <c r="T190" s="1399"/>
    </row>
    <row r="191" spans="1:20" ht="19.95" customHeight="1" x14ac:dyDescent="0.3">
      <c r="A191" s="262" t="s">
        <v>1242</v>
      </c>
      <c r="C191" s="228"/>
      <c r="D191" s="228"/>
      <c r="E191" s="732"/>
      <c r="F191" s="732"/>
      <c r="G191" s="732"/>
      <c r="H191" s="730"/>
      <c r="I191" s="733"/>
      <c r="J191" s="733"/>
      <c r="K191" s="733"/>
      <c r="L191" s="733"/>
      <c r="M191" s="733"/>
      <c r="N191" s="1399"/>
      <c r="O191" s="1399"/>
      <c r="P191" s="1399"/>
      <c r="Q191" s="1399"/>
      <c r="R191" s="1399"/>
      <c r="S191" s="1399"/>
      <c r="T191" s="1399"/>
    </row>
    <row r="192" spans="1:20" ht="19.95" customHeight="1" x14ac:dyDescent="0.3">
      <c r="A192" s="262" t="s">
        <v>1242</v>
      </c>
      <c r="C192" s="228"/>
      <c r="D192" s="228"/>
      <c r="E192" s="732"/>
      <c r="F192" s="732"/>
      <c r="G192" s="732"/>
      <c r="H192" s="730"/>
      <c r="I192" s="733"/>
      <c r="J192" s="733"/>
      <c r="K192" s="733"/>
      <c r="L192" s="733"/>
      <c r="M192" s="733"/>
      <c r="N192" s="1399"/>
      <c r="O192" s="1399"/>
      <c r="P192" s="1399"/>
      <c r="Q192" s="1399"/>
      <c r="R192" s="1399"/>
      <c r="S192" s="1399"/>
      <c r="T192" s="1399"/>
    </row>
    <row r="193" spans="1:20" ht="19.95" customHeight="1" x14ac:dyDescent="0.3">
      <c r="A193" s="262" t="s">
        <v>1242</v>
      </c>
      <c r="C193" s="228"/>
      <c r="D193" s="228"/>
      <c r="E193" s="732"/>
      <c r="F193" s="732"/>
      <c r="G193" s="732"/>
      <c r="H193" s="730"/>
      <c r="I193" s="733"/>
      <c r="J193" s="733"/>
      <c r="K193" s="733"/>
      <c r="L193" s="733"/>
      <c r="M193" s="733"/>
      <c r="N193" s="733"/>
      <c r="O193" s="733"/>
      <c r="P193" s="733"/>
      <c r="Q193" s="733"/>
      <c r="R193" s="733"/>
      <c r="S193" s="734"/>
      <c r="T193" s="733"/>
    </row>
    <row r="194" spans="1:20" ht="19.95" customHeight="1" x14ac:dyDescent="0.3">
      <c r="A194" s="262" t="s">
        <v>1242</v>
      </c>
      <c r="C194" s="228"/>
      <c r="D194" s="228"/>
      <c r="E194" s="732"/>
      <c r="F194" s="732"/>
      <c r="G194" s="732"/>
      <c r="H194" s="1399" t="s">
        <v>32</v>
      </c>
      <c r="I194" s="1399"/>
      <c r="J194" s="731"/>
      <c r="K194" s="1399" t="s">
        <v>1407</v>
      </c>
      <c r="L194" s="1399"/>
      <c r="M194" s="731"/>
      <c r="N194" s="1402" t="s">
        <v>54</v>
      </c>
      <c r="O194" s="1402"/>
      <c r="P194" s="1402"/>
      <c r="Q194" s="1402"/>
      <c r="R194" s="1402"/>
      <c r="S194" s="1402"/>
      <c r="T194" s="1402"/>
    </row>
    <row r="195" spans="1:20" ht="19.95" customHeight="1" x14ac:dyDescent="0.3">
      <c r="A195" s="262" t="s">
        <v>1242</v>
      </c>
      <c r="C195" s="228"/>
      <c r="D195" s="228"/>
      <c r="E195" s="732"/>
      <c r="F195" s="732"/>
      <c r="G195" s="732"/>
      <c r="H195" s="1401" t="s">
        <v>94</v>
      </c>
      <c r="I195" s="1401"/>
      <c r="J195" s="735"/>
      <c r="K195" s="1401" t="s">
        <v>94</v>
      </c>
      <c r="L195" s="1401"/>
      <c r="M195" s="735"/>
      <c r="N195" s="1402" t="s">
        <v>1484</v>
      </c>
      <c r="O195" s="1402"/>
      <c r="P195" s="1402"/>
      <c r="Q195" s="1402"/>
      <c r="R195" s="1402"/>
      <c r="S195" s="1402"/>
      <c r="T195" s="1402"/>
    </row>
    <row r="196" spans="1:20" ht="19.95" customHeight="1" x14ac:dyDescent="0.3">
      <c r="A196" s="262" t="s">
        <v>1242</v>
      </c>
      <c r="C196" s="228"/>
      <c r="D196" s="228"/>
      <c r="E196" s="732"/>
      <c r="F196" s="732"/>
      <c r="G196" s="732"/>
      <c r="H196" s="1401"/>
      <c r="I196" s="1401"/>
      <c r="J196" s="735"/>
      <c r="K196" s="1401"/>
      <c r="L196" s="1401"/>
      <c r="M196" s="735"/>
      <c r="N196" s="1402"/>
      <c r="O196" s="1402"/>
      <c r="P196" s="1402"/>
      <c r="Q196" s="733"/>
      <c r="R196" s="1402"/>
      <c r="S196" s="1402"/>
      <c r="T196" s="1402"/>
    </row>
    <row r="197" spans="1:20" ht="19.95" customHeight="1" x14ac:dyDescent="0.3">
      <c r="A197" s="262" t="s">
        <v>1242</v>
      </c>
      <c r="C197" s="228"/>
      <c r="D197" s="228"/>
      <c r="E197" s="732"/>
      <c r="F197" s="732"/>
      <c r="G197" s="732"/>
      <c r="H197" s="730"/>
      <c r="I197" s="733"/>
      <c r="J197" s="733"/>
      <c r="K197" s="733"/>
      <c r="L197" s="733"/>
      <c r="M197" s="733"/>
      <c r="N197" s="733"/>
      <c r="O197" s="733"/>
      <c r="P197" s="733"/>
      <c r="Q197" s="733"/>
      <c r="R197" s="733"/>
      <c r="S197" s="734"/>
      <c r="T197" s="733"/>
    </row>
    <row r="198" spans="1:20" ht="19.95" customHeight="1" x14ac:dyDescent="0.3">
      <c r="A198" s="262" t="s">
        <v>1242</v>
      </c>
      <c r="C198" s="228"/>
      <c r="D198" s="228"/>
      <c r="E198" s="1399" t="s">
        <v>1215</v>
      </c>
      <c r="F198" s="1399"/>
      <c r="G198" s="1399"/>
      <c r="H198" s="1399" t="s">
        <v>1348</v>
      </c>
      <c r="I198" s="1399"/>
      <c r="J198" s="1399"/>
      <c r="K198" s="1399"/>
      <c r="L198" s="1399"/>
      <c r="M198" s="731"/>
      <c r="N198" s="1400" t="s">
        <v>1217</v>
      </c>
      <c r="O198" s="1400"/>
      <c r="P198" s="1400"/>
      <c r="Q198" s="1400"/>
      <c r="R198" s="1400"/>
      <c r="S198" s="1400"/>
      <c r="T198" s="1400"/>
    </row>
    <row r="199" spans="1:20" ht="19.95" customHeight="1" x14ac:dyDescent="0.3">
      <c r="A199" s="262" t="s">
        <v>1290</v>
      </c>
      <c r="C199" s="228"/>
      <c r="D199" s="228"/>
      <c r="E199" s="1399"/>
      <c r="F199" s="1399"/>
      <c r="G199" s="1399"/>
      <c r="H199" s="1399"/>
      <c r="I199" s="1399"/>
      <c r="J199" s="1399"/>
      <c r="K199" s="1399"/>
      <c r="L199" s="1399"/>
      <c r="M199" s="731"/>
      <c r="N199" s="1400"/>
      <c r="O199" s="1400"/>
      <c r="P199" s="1400"/>
      <c r="Q199" s="1400"/>
      <c r="R199" s="1400"/>
      <c r="S199" s="1400"/>
      <c r="T199" s="1400"/>
    </row>
    <row r="200" spans="1:20" ht="30" hidden="1" customHeight="1" x14ac:dyDescent="0.3">
      <c r="A200" s="262">
        <v>1</v>
      </c>
      <c r="C200" s="633"/>
      <c r="D200" s="634" t="s">
        <v>1227</v>
      </c>
      <c r="E200" s="635"/>
      <c r="F200" s="635"/>
      <c r="G200" s="635"/>
      <c r="H200" s="635"/>
      <c r="I200" s="636"/>
      <c r="J200" s="636"/>
      <c r="K200" s="636"/>
      <c r="L200" s="643">
        <f>+SUMIFS(L:L,A:A,"1.D")</f>
        <v>968112160.30999994</v>
      </c>
      <c r="M200" s="637"/>
      <c r="N200" s="1406"/>
      <c r="O200" s="1407"/>
      <c r="P200" s="1407"/>
      <c r="Q200" s="1407"/>
      <c r="R200" s="1407"/>
      <c r="S200" s="1407"/>
      <c r="T200" s="1408"/>
    </row>
    <row r="201" spans="1:20" ht="30" hidden="1" customHeight="1" x14ac:dyDescent="0.3">
      <c r="A201" s="262" t="s">
        <v>154</v>
      </c>
      <c r="C201" s="244">
        <v>83</v>
      </c>
      <c r="D201" s="213" t="s">
        <v>385</v>
      </c>
      <c r="E201" s="969" t="s">
        <v>386</v>
      </c>
      <c r="F201" s="970"/>
      <c r="G201" s="971"/>
      <c r="H201" s="544" t="s">
        <v>225</v>
      </c>
      <c r="I201" s="212">
        <v>1040</v>
      </c>
      <c r="J201" s="605"/>
      <c r="K201" s="212">
        <v>3033.68</v>
      </c>
      <c r="L201" s="212">
        <f t="shared" ref="L201:L222" si="28">+ROUND(I201*K201,2)</f>
        <v>3155027.2</v>
      </c>
      <c r="M201" s="602"/>
      <c r="N201" s="675">
        <f>+'Yeşil Defter'!K205</f>
        <v>0</v>
      </c>
      <c r="O201" s="675">
        <f>+'Yeşil Defter'!L205</f>
        <v>0</v>
      </c>
      <c r="P201" s="675">
        <f>+'Yeşil Defter'!M205</f>
        <v>0</v>
      </c>
      <c r="Q201" s="257"/>
      <c r="R201" s="606">
        <f t="shared" ref="R201:R222" si="29">+ROUND(K201*N201,2)</f>
        <v>0</v>
      </c>
      <c r="S201" s="247">
        <f t="shared" ref="S201:S270" si="30">+T201-R201</f>
        <v>0</v>
      </c>
      <c r="T201" s="248">
        <f t="shared" ref="T201:T222" si="31">+ROUND(K201*P201,2)</f>
        <v>0</v>
      </c>
    </row>
    <row r="202" spans="1:20" ht="30" hidden="1" customHeight="1" x14ac:dyDescent="0.3">
      <c r="A202" s="262" t="s">
        <v>154</v>
      </c>
      <c r="C202" s="244">
        <v>84</v>
      </c>
      <c r="D202" s="213" t="s">
        <v>387</v>
      </c>
      <c r="E202" s="969" t="s">
        <v>388</v>
      </c>
      <c r="F202" s="970"/>
      <c r="G202" s="971"/>
      <c r="H202" s="544" t="s">
        <v>225</v>
      </c>
      <c r="I202" s="212">
        <v>988</v>
      </c>
      <c r="J202" s="605"/>
      <c r="K202" s="212">
        <v>23957.52</v>
      </c>
      <c r="L202" s="212">
        <f t="shared" si="28"/>
        <v>23670029.760000002</v>
      </c>
      <c r="M202" s="602"/>
      <c r="N202" s="675">
        <f>+'Yeşil Defter'!K206</f>
        <v>0</v>
      </c>
      <c r="O202" s="675">
        <f>+'Yeşil Defter'!L206</f>
        <v>0</v>
      </c>
      <c r="P202" s="675">
        <f>+'Yeşil Defter'!M206</f>
        <v>0</v>
      </c>
      <c r="Q202" s="212"/>
      <c r="R202" s="605">
        <f t="shared" si="29"/>
        <v>0</v>
      </c>
      <c r="S202" s="225">
        <f t="shared" si="30"/>
        <v>0</v>
      </c>
      <c r="T202" s="237">
        <f t="shared" si="31"/>
        <v>0</v>
      </c>
    </row>
    <row r="203" spans="1:20" ht="30" hidden="1" customHeight="1" x14ac:dyDescent="0.3">
      <c r="A203" s="262" t="s">
        <v>154</v>
      </c>
      <c r="C203" s="244">
        <v>85</v>
      </c>
      <c r="D203" s="213" t="s">
        <v>389</v>
      </c>
      <c r="E203" s="969" t="s">
        <v>390</v>
      </c>
      <c r="F203" s="970"/>
      <c r="G203" s="971"/>
      <c r="H203" s="544" t="s">
        <v>228</v>
      </c>
      <c r="I203" s="212">
        <v>4072</v>
      </c>
      <c r="J203" s="605"/>
      <c r="K203" s="212">
        <v>958.3</v>
      </c>
      <c r="L203" s="212">
        <f t="shared" si="28"/>
        <v>3902197.6</v>
      </c>
      <c r="M203" s="602"/>
      <c r="N203" s="675">
        <f>+'Yeşil Defter'!K207</f>
        <v>0</v>
      </c>
      <c r="O203" s="675">
        <f>+'Yeşil Defter'!L207</f>
        <v>0</v>
      </c>
      <c r="P203" s="675">
        <f>+'Yeşil Defter'!M207</f>
        <v>0</v>
      </c>
      <c r="Q203" s="212"/>
      <c r="R203" s="605">
        <f t="shared" si="29"/>
        <v>0</v>
      </c>
      <c r="S203" s="225">
        <f t="shared" si="30"/>
        <v>0</v>
      </c>
      <c r="T203" s="237">
        <f t="shared" si="31"/>
        <v>0</v>
      </c>
    </row>
    <row r="204" spans="1:20" ht="30" hidden="1" customHeight="1" x14ac:dyDescent="0.3">
      <c r="A204" s="262" t="s">
        <v>154</v>
      </c>
      <c r="C204" s="244">
        <v>86</v>
      </c>
      <c r="D204" s="161" t="s">
        <v>391</v>
      </c>
      <c r="E204" s="969" t="s">
        <v>392</v>
      </c>
      <c r="F204" s="970"/>
      <c r="G204" s="971"/>
      <c r="H204" s="544" t="s">
        <v>225</v>
      </c>
      <c r="I204" s="212">
        <v>1849</v>
      </c>
      <c r="J204" s="605"/>
      <c r="K204" s="212">
        <v>23920.44</v>
      </c>
      <c r="L204" s="212">
        <f t="shared" si="28"/>
        <v>44228893.560000002</v>
      </c>
      <c r="M204" s="602"/>
      <c r="N204" s="675">
        <f>+'Yeşil Defter'!K208</f>
        <v>0</v>
      </c>
      <c r="O204" s="675">
        <f>+'Yeşil Defter'!L208</f>
        <v>0</v>
      </c>
      <c r="P204" s="675">
        <f>+'Yeşil Defter'!M208</f>
        <v>0</v>
      </c>
      <c r="Q204" s="212"/>
      <c r="R204" s="605">
        <f t="shared" si="29"/>
        <v>0</v>
      </c>
      <c r="S204" s="225">
        <f t="shared" si="30"/>
        <v>0</v>
      </c>
      <c r="T204" s="237">
        <f t="shared" si="31"/>
        <v>0</v>
      </c>
    </row>
    <row r="205" spans="1:20" ht="30" hidden="1" customHeight="1" x14ac:dyDescent="0.3">
      <c r="A205" s="262" t="s">
        <v>154</v>
      </c>
      <c r="C205" s="244">
        <v>87</v>
      </c>
      <c r="D205" s="161" t="s">
        <v>393</v>
      </c>
      <c r="E205" s="969" t="s">
        <v>394</v>
      </c>
      <c r="F205" s="970"/>
      <c r="G205" s="971"/>
      <c r="H205" s="544" t="s">
        <v>225</v>
      </c>
      <c r="I205" s="212">
        <v>1849</v>
      </c>
      <c r="J205" s="605"/>
      <c r="K205" s="212">
        <v>3058.14</v>
      </c>
      <c r="L205" s="212">
        <f t="shared" si="28"/>
        <v>5654500.8600000003</v>
      </c>
      <c r="M205" s="602"/>
      <c r="N205" s="675">
        <f>+'Yeşil Defter'!K209</f>
        <v>0</v>
      </c>
      <c r="O205" s="675">
        <f>+'Yeşil Defter'!L209</f>
        <v>0</v>
      </c>
      <c r="P205" s="675">
        <f>+'Yeşil Defter'!M209</f>
        <v>0</v>
      </c>
      <c r="Q205" s="212"/>
      <c r="R205" s="605">
        <f t="shared" si="29"/>
        <v>0</v>
      </c>
      <c r="S205" s="225">
        <f t="shared" si="30"/>
        <v>0</v>
      </c>
      <c r="T205" s="237">
        <f t="shared" si="31"/>
        <v>0</v>
      </c>
    </row>
    <row r="206" spans="1:20" ht="30" hidden="1" customHeight="1" x14ac:dyDescent="0.3">
      <c r="A206" s="262" t="s">
        <v>154</v>
      </c>
      <c r="C206" s="244">
        <v>88</v>
      </c>
      <c r="D206" s="161" t="s">
        <v>395</v>
      </c>
      <c r="E206" s="969" t="s">
        <v>396</v>
      </c>
      <c r="F206" s="970"/>
      <c r="G206" s="971"/>
      <c r="H206" s="544" t="s">
        <v>225</v>
      </c>
      <c r="I206" s="212">
        <v>1849</v>
      </c>
      <c r="J206" s="605"/>
      <c r="K206" s="212">
        <v>3419.9</v>
      </c>
      <c r="L206" s="212">
        <f t="shared" si="28"/>
        <v>6323395.0999999996</v>
      </c>
      <c r="M206" s="602"/>
      <c r="N206" s="675">
        <f>+'Yeşil Defter'!K210</f>
        <v>0</v>
      </c>
      <c r="O206" s="675">
        <f>+'Yeşil Defter'!L210</f>
        <v>0</v>
      </c>
      <c r="P206" s="675">
        <f>+'Yeşil Defter'!M210</f>
        <v>0</v>
      </c>
      <c r="Q206" s="212"/>
      <c r="R206" s="605">
        <f t="shared" si="29"/>
        <v>0</v>
      </c>
      <c r="S206" s="225">
        <f t="shared" si="30"/>
        <v>0</v>
      </c>
      <c r="T206" s="237">
        <f t="shared" si="31"/>
        <v>0</v>
      </c>
    </row>
    <row r="207" spans="1:20" ht="30" hidden="1" customHeight="1" x14ac:dyDescent="0.3">
      <c r="A207" s="262" t="s">
        <v>154</v>
      </c>
      <c r="C207" s="244">
        <v>89</v>
      </c>
      <c r="D207" s="161" t="s">
        <v>397</v>
      </c>
      <c r="E207" s="969" t="s">
        <v>398</v>
      </c>
      <c r="F207" s="970"/>
      <c r="G207" s="971"/>
      <c r="H207" s="544" t="s">
        <v>225</v>
      </c>
      <c r="I207" s="212">
        <v>3999</v>
      </c>
      <c r="J207" s="605"/>
      <c r="K207" s="212">
        <v>880.44</v>
      </c>
      <c r="L207" s="212">
        <f t="shared" si="28"/>
        <v>3520879.56</v>
      </c>
      <c r="M207" s="602"/>
      <c r="N207" s="675">
        <f>+'Yeşil Defter'!K211</f>
        <v>0</v>
      </c>
      <c r="O207" s="675">
        <f>+'Yeşil Defter'!L211</f>
        <v>0</v>
      </c>
      <c r="P207" s="675">
        <f>+'Yeşil Defter'!M211</f>
        <v>0</v>
      </c>
      <c r="Q207" s="212"/>
      <c r="R207" s="605">
        <f t="shared" si="29"/>
        <v>0</v>
      </c>
      <c r="S207" s="225">
        <f t="shared" si="30"/>
        <v>0</v>
      </c>
      <c r="T207" s="237">
        <f t="shared" si="31"/>
        <v>0</v>
      </c>
    </row>
    <row r="208" spans="1:20" ht="30" hidden="1" customHeight="1" x14ac:dyDescent="0.3">
      <c r="A208" s="262" t="s">
        <v>154</v>
      </c>
      <c r="C208" s="244">
        <v>90</v>
      </c>
      <c r="D208" s="161" t="s">
        <v>399</v>
      </c>
      <c r="E208" s="969" t="s">
        <v>400</v>
      </c>
      <c r="F208" s="970"/>
      <c r="G208" s="971"/>
      <c r="H208" s="544" t="s">
        <v>225</v>
      </c>
      <c r="I208" s="212">
        <v>3999</v>
      </c>
      <c r="J208" s="605"/>
      <c r="K208" s="212">
        <v>1076.47</v>
      </c>
      <c r="L208" s="212">
        <f t="shared" si="28"/>
        <v>4304803.53</v>
      </c>
      <c r="M208" s="602"/>
      <c r="N208" s="675">
        <f>+'Yeşil Defter'!K212</f>
        <v>0</v>
      </c>
      <c r="O208" s="675">
        <f>+'Yeşil Defter'!L212</f>
        <v>0</v>
      </c>
      <c r="P208" s="675">
        <f>+'Yeşil Defter'!M212</f>
        <v>0</v>
      </c>
      <c r="Q208" s="212"/>
      <c r="R208" s="605">
        <f t="shared" si="29"/>
        <v>0</v>
      </c>
      <c r="S208" s="225">
        <f t="shared" si="30"/>
        <v>0</v>
      </c>
      <c r="T208" s="237">
        <f t="shared" si="31"/>
        <v>0</v>
      </c>
    </row>
    <row r="209" spans="1:20" ht="30" hidden="1" customHeight="1" x14ac:dyDescent="0.3">
      <c r="A209" s="262" t="s">
        <v>154</v>
      </c>
      <c r="C209" s="244">
        <v>91</v>
      </c>
      <c r="D209" s="161" t="s">
        <v>401</v>
      </c>
      <c r="E209" s="969" t="s">
        <v>402</v>
      </c>
      <c r="F209" s="970"/>
      <c r="G209" s="971"/>
      <c r="H209" s="544" t="s">
        <v>225</v>
      </c>
      <c r="I209" s="212">
        <v>3999</v>
      </c>
      <c r="J209" s="605"/>
      <c r="K209" s="212">
        <v>291.58</v>
      </c>
      <c r="L209" s="212">
        <f t="shared" si="28"/>
        <v>1166028.42</v>
      </c>
      <c r="M209" s="602"/>
      <c r="N209" s="675">
        <f>+'Yeşil Defter'!K213</f>
        <v>0</v>
      </c>
      <c r="O209" s="675">
        <f>+'Yeşil Defter'!L213</f>
        <v>0</v>
      </c>
      <c r="P209" s="675">
        <f>+'Yeşil Defter'!M213</f>
        <v>0</v>
      </c>
      <c r="Q209" s="212"/>
      <c r="R209" s="605">
        <f t="shared" si="29"/>
        <v>0</v>
      </c>
      <c r="S209" s="225">
        <f t="shared" si="30"/>
        <v>0</v>
      </c>
      <c r="T209" s="237">
        <f t="shared" si="31"/>
        <v>0</v>
      </c>
    </row>
    <row r="210" spans="1:20" ht="30" hidden="1" customHeight="1" x14ac:dyDescent="0.3">
      <c r="A210" s="262" t="s">
        <v>154</v>
      </c>
      <c r="C210" s="244">
        <v>92</v>
      </c>
      <c r="D210" s="161" t="s">
        <v>403</v>
      </c>
      <c r="E210" s="969" t="s">
        <v>404</v>
      </c>
      <c r="F210" s="970"/>
      <c r="G210" s="971"/>
      <c r="H210" s="544" t="s">
        <v>225</v>
      </c>
      <c r="I210" s="212">
        <v>3999</v>
      </c>
      <c r="J210" s="605"/>
      <c r="K210" s="212">
        <v>619.36</v>
      </c>
      <c r="L210" s="212">
        <f t="shared" si="28"/>
        <v>2476820.64</v>
      </c>
      <c r="M210" s="602"/>
      <c r="N210" s="675">
        <f>+'Yeşil Defter'!K214</f>
        <v>0</v>
      </c>
      <c r="O210" s="675">
        <f>+'Yeşil Defter'!L214</f>
        <v>0</v>
      </c>
      <c r="P210" s="675">
        <f>+'Yeşil Defter'!M214</f>
        <v>0</v>
      </c>
      <c r="Q210" s="212"/>
      <c r="R210" s="605">
        <f t="shared" si="29"/>
        <v>0</v>
      </c>
      <c r="S210" s="225">
        <f t="shared" si="30"/>
        <v>0</v>
      </c>
      <c r="T210" s="237">
        <f t="shared" si="31"/>
        <v>0</v>
      </c>
    </row>
    <row r="211" spans="1:20" ht="30" hidden="1" customHeight="1" x14ac:dyDescent="0.3">
      <c r="A211" s="262" t="s">
        <v>154</v>
      </c>
      <c r="C211" s="244">
        <v>93</v>
      </c>
      <c r="D211" s="161" t="s">
        <v>405</v>
      </c>
      <c r="E211" s="969" t="s">
        <v>406</v>
      </c>
      <c r="F211" s="970"/>
      <c r="G211" s="971"/>
      <c r="H211" s="544" t="s">
        <v>225</v>
      </c>
      <c r="I211" s="212">
        <v>3924</v>
      </c>
      <c r="J211" s="605"/>
      <c r="K211" s="212">
        <v>493.2</v>
      </c>
      <c r="L211" s="212">
        <f t="shared" si="28"/>
        <v>1935316.8</v>
      </c>
      <c r="M211" s="602"/>
      <c r="N211" s="675">
        <f>+'Yeşil Defter'!K215</f>
        <v>0</v>
      </c>
      <c r="O211" s="675">
        <f>+'Yeşil Defter'!L215</f>
        <v>0</v>
      </c>
      <c r="P211" s="675">
        <f>+'Yeşil Defter'!M215</f>
        <v>0</v>
      </c>
      <c r="Q211" s="212"/>
      <c r="R211" s="605">
        <f t="shared" si="29"/>
        <v>0</v>
      </c>
      <c r="S211" s="225">
        <f t="shared" si="30"/>
        <v>0</v>
      </c>
      <c r="T211" s="237">
        <f t="shared" si="31"/>
        <v>0</v>
      </c>
    </row>
    <row r="212" spans="1:20" ht="30" hidden="1" customHeight="1" x14ac:dyDescent="0.3">
      <c r="A212" s="262" t="s">
        <v>154</v>
      </c>
      <c r="C212" s="244">
        <v>94</v>
      </c>
      <c r="D212" s="161" t="s">
        <v>407</v>
      </c>
      <c r="E212" s="969" t="s">
        <v>408</v>
      </c>
      <c r="F212" s="970"/>
      <c r="G212" s="971"/>
      <c r="H212" s="544" t="s">
        <v>225</v>
      </c>
      <c r="I212" s="212">
        <v>4295</v>
      </c>
      <c r="J212" s="605"/>
      <c r="K212" s="212">
        <v>493.2</v>
      </c>
      <c r="L212" s="212">
        <f t="shared" si="28"/>
        <v>2118294</v>
      </c>
      <c r="M212" s="602"/>
      <c r="N212" s="675">
        <f>+'Yeşil Defter'!K216</f>
        <v>0</v>
      </c>
      <c r="O212" s="675">
        <f>+'Yeşil Defter'!L216</f>
        <v>0</v>
      </c>
      <c r="P212" s="675">
        <f>+'Yeşil Defter'!M216</f>
        <v>0</v>
      </c>
      <c r="Q212" s="212"/>
      <c r="R212" s="605">
        <f t="shared" si="29"/>
        <v>0</v>
      </c>
      <c r="S212" s="225">
        <f t="shared" si="30"/>
        <v>0</v>
      </c>
      <c r="T212" s="237">
        <f t="shared" si="31"/>
        <v>0</v>
      </c>
    </row>
    <row r="213" spans="1:20" ht="30" hidden="1" customHeight="1" x14ac:dyDescent="0.3">
      <c r="A213" s="262" t="s">
        <v>154</v>
      </c>
      <c r="C213" s="244">
        <v>95</v>
      </c>
      <c r="D213" s="161" t="s">
        <v>409</v>
      </c>
      <c r="E213" s="969" t="s">
        <v>410</v>
      </c>
      <c r="F213" s="970"/>
      <c r="G213" s="971"/>
      <c r="H213" s="544" t="s">
        <v>225</v>
      </c>
      <c r="I213" s="212">
        <v>4295</v>
      </c>
      <c r="J213" s="605"/>
      <c r="K213" s="212">
        <v>493.2</v>
      </c>
      <c r="L213" s="212">
        <f t="shared" si="28"/>
        <v>2118294</v>
      </c>
      <c r="M213" s="602"/>
      <c r="N213" s="675">
        <f>+'Yeşil Defter'!K217</f>
        <v>0</v>
      </c>
      <c r="O213" s="675">
        <f>+'Yeşil Defter'!L217</f>
        <v>0</v>
      </c>
      <c r="P213" s="675">
        <f>+'Yeşil Defter'!M217</f>
        <v>0</v>
      </c>
      <c r="Q213" s="212"/>
      <c r="R213" s="605">
        <f t="shared" si="29"/>
        <v>0</v>
      </c>
      <c r="S213" s="225">
        <f t="shared" si="30"/>
        <v>0</v>
      </c>
      <c r="T213" s="237">
        <f t="shared" si="31"/>
        <v>0</v>
      </c>
    </row>
    <row r="214" spans="1:20" ht="30" hidden="1" customHeight="1" x14ac:dyDescent="0.3">
      <c r="A214" s="262" t="s">
        <v>154</v>
      </c>
      <c r="C214" s="244">
        <v>96</v>
      </c>
      <c r="D214" s="161" t="s">
        <v>411</v>
      </c>
      <c r="E214" s="969" t="s">
        <v>412</v>
      </c>
      <c r="F214" s="970"/>
      <c r="G214" s="971"/>
      <c r="H214" s="544" t="s">
        <v>225</v>
      </c>
      <c r="I214" s="212">
        <v>3924</v>
      </c>
      <c r="J214" s="605"/>
      <c r="K214" s="212">
        <v>1892.35</v>
      </c>
      <c r="L214" s="212">
        <f t="shared" si="28"/>
        <v>7425581.4000000004</v>
      </c>
      <c r="M214" s="602"/>
      <c r="N214" s="675">
        <f>+'Yeşil Defter'!K218</f>
        <v>0</v>
      </c>
      <c r="O214" s="675">
        <f>+'Yeşil Defter'!L218</f>
        <v>0</v>
      </c>
      <c r="P214" s="675">
        <f>+'Yeşil Defter'!M218</f>
        <v>0</v>
      </c>
      <c r="Q214" s="212"/>
      <c r="R214" s="605">
        <f t="shared" si="29"/>
        <v>0</v>
      </c>
      <c r="S214" s="225">
        <f t="shared" si="30"/>
        <v>0</v>
      </c>
      <c r="T214" s="237">
        <f t="shared" si="31"/>
        <v>0</v>
      </c>
    </row>
    <row r="215" spans="1:20" ht="30" hidden="1" customHeight="1" x14ac:dyDescent="0.3">
      <c r="A215" s="262" t="s">
        <v>154</v>
      </c>
      <c r="C215" s="244">
        <v>97</v>
      </c>
      <c r="D215" s="161" t="s">
        <v>413</v>
      </c>
      <c r="E215" s="969" t="s">
        <v>414</v>
      </c>
      <c r="F215" s="970"/>
      <c r="G215" s="971"/>
      <c r="H215" s="544" t="s">
        <v>225</v>
      </c>
      <c r="I215" s="212">
        <v>4295</v>
      </c>
      <c r="J215" s="605"/>
      <c r="K215" s="212">
        <v>1892.35</v>
      </c>
      <c r="L215" s="212">
        <f t="shared" si="28"/>
        <v>8127643.25</v>
      </c>
      <c r="M215" s="602"/>
      <c r="N215" s="675">
        <f>+'Yeşil Defter'!K219</f>
        <v>0</v>
      </c>
      <c r="O215" s="675">
        <f>+'Yeşil Defter'!L219</f>
        <v>0</v>
      </c>
      <c r="P215" s="675">
        <f>+'Yeşil Defter'!M219</f>
        <v>0</v>
      </c>
      <c r="Q215" s="212"/>
      <c r="R215" s="605">
        <f t="shared" si="29"/>
        <v>0</v>
      </c>
      <c r="S215" s="225">
        <f t="shared" si="30"/>
        <v>0</v>
      </c>
      <c r="T215" s="237">
        <f t="shared" si="31"/>
        <v>0</v>
      </c>
    </row>
    <row r="216" spans="1:20" ht="30" hidden="1" customHeight="1" x14ac:dyDescent="0.3">
      <c r="A216" s="262" t="s">
        <v>154</v>
      </c>
      <c r="C216" s="244">
        <v>98</v>
      </c>
      <c r="D216" s="161" t="s">
        <v>415</v>
      </c>
      <c r="E216" s="969" t="s">
        <v>416</v>
      </c>
      <c r="F216" s="970"/>
      <c r="G216" s="971"/>
      <c r="H216" s="544" t="s">
        <v>225</v>
      </c>
      <c r="I216" s="212">
        <v>4295</v>
      </c>
      <c r="J216" s="605"/>
      <c r="K216" s="212">
        <v>1892.35</v>
      </c>
      <c r="L216" s="212">
        <f t="shared" si="28"/>
        <v>8127643.25</v>
      </c>
      <c r="M216" s="602"/>
      <c r="N216" s="675">
        <f>+'Yeşil Defter'!K220</f>
        <v>0</v>
      </c>
      <c r="O216" s="675">
        <f>+'Yeşil Defter'!L220</f>
        <v>0</v>
      </c>
      <c r="P216" s="675">
        <f>+'Yeşil Defter'!M220</f>
        <v>0</v>
      </c>
      <c r="Q216" s="212"/>
      <c r="R216" s="605">
        <f t="shared" si="29"/>
        <v>0</v>
      </c>
      <c r="S216" s="225">
        <f t="shared" si="30"/>
        <v>0</v>
      </c>
      <c r="T216" s="237">
        <f t="shared" si="31"/>
        <v>0</v>
      </c>
    </row>
    <row r="217" spans="1:20" ht="30" hidden="1" customHeight="1" x14ac:dyDescent="0.3">
      <c r="A217" s="262" t="s">
        <v>154</v>
      </c>
      <c r="C217" s="244">
        <v>99</v>
      </c>
      <c r="D217" s="213" t="s">
        <v>417</v>
      </c>
      <c r="E217" s="969" t="s">
        <v>418</v>
      </c>
      <c r="F217" s="970"/>
      <c r="G217" s="971"/>
      <c r="H217" s="544" t="s">
        <v>225</v>
      </c>
      <c r="I217" s="212">
        <v>3952</v>
      </c>
      <c r="J217" s="605"/>
      <c r="K217" s="212">
        <v>528.38</v>
      </c>
      <c r="L217" s="212">
        <f t="shared" si="28"/>
        <v>2088157.76</v>
      </c>
      <c r="M217" s="602"/>
      <c r="N217" s="675">
        <f>+'Yeşil Defter'!K221</f>
        <v>0</v>
      </c>
      <c r="O217" s="675">
        <f>+'Yeşil Defter'!L221</f>
        <v>0</v>
      </c>
      <c r="P217" s="675">
        <f>+'Yeşil Defter'!M221</f>
        <v>0</v>
      </c>
      <c r="Q217" s="212"/>
      <c r="R217" s="605">
        <f t="shared" si="29"/>
        <v>0</v>
      </c>
      <c r="S217" s="225">
        <f t="shared" si="30"/>
        <v>0</v>
      </c>
      <c r="T217" s="237">
        <f t="shared" si="31"/>
        <v>0</v>
      </c>
    </row>
    <row r="218" spans="1:20" ht="30" hidden="1" customHeight="1" x14ac:dyDescent="0.3">
      <c r="A218" s="262" t="s">
        <v>154</v>
      </c>
      <c r="C218" s="244">
        <v>100</v>
      </c>
      <c r="D218" s="213" t="s">
        <v>419</v>
      </c>
      <c r="E218" s="969" t="s">
        <v>420</v>
      </c>
      <c r="F218" s="970"/>
      <c r="G218" s="971"/>
      <c r="H218" s="544" t="s">
        <v>225</v>
      </c>
      <c r="I218" s="212">
        <v>5743</v>
      </c>
      <c r="J218" s="605"/>
      <c r="K218" s="212">
        <v>2117.79</v>
      </c>
      <c r="L218" s="212">
        <f t="shared" si="28"/>
        <v>12162467.970000001</v>
      </c>
      <c r="M218" s="602"/>
      <c r="N218" s="675">
        <f>+'Yeşil Defter'!K222</f>
        <v>0</v>
      </c>
      <c r="O218" s="675">
        <f>+'Yeşil Defter'!L222</f>
        <v>0</v>
      </c>
      <c r="P218" s="675">
        <f>+'Yeşil Defter'!M222</f>
        <v>0</v>
      </c>
      <c r="Q218" s="212"/>
      <c r="R218" s="605">
        <f t="shared" si="29"/>
        <v>0</v>
      </c>
      <c r="S218" s="225">
        <f t="shared" si="30"/>
        <v>0</v>
      </c>
      <c r="T218" s="237">
        <f t="shared" si="31"/>
        <v>0</v>
      </c>
    </row>
    <row r="219" spans="1:20" ht="30" hidden="1" customHeight="1" x14ac:dyDescent="0.3">
      <c r="A219" s="262" t="s">
        <v>154</v>
      </c>
      <c r="C219" s="244">
        <v>101</v>
      </c>
      <c r="D219" s="213" t="s">
        <v>421</v>
      </c>
      <c r="E219" s="969" t="s">
        <v>422</v>
      </c>
      <c r="F219" s="970"/>
      <c r="G219" s="971"/>
      <c r="H219" s="544" t="s">
        <v>225</v>
      </c>
      <c r="I219" s="212">
        <v>910</v>
      </c>
      <c r="J219" s="605"/>
      <c r="K219" s="212">
        <v>14111.21</v>
      </c>
      <c r="L219" s="212">
        <f t="shared" si="28"/>
        <v>12841201.1</v>
      </c>
      <c r="M219" s="602"/>
      <c r="N219" s="675">
        <f>+'Yeşil Defter'!K223</f>
        <v>0</v>
      </c>
      <c r="O219" s="675">
        <f>+'Yeşil Defter'!L223</f>
        <v>0</v>
      </c>
      <c r="P219" s="675">
        <f>+'Yeşil Defter'!M223</f>
        <v>0</v>
      </c>
      <c r="Q219" s="212"/>
      <c r="R219" s="605">
        <f t="shared" si="29"/>
        <v>0</v>
      </c>
      <c r="S219" s="225">
        <f t="shared" si="30"/>
        <v>0</v>
      </c>
      <c r="T219" s="237">
        <f t="shared" si="31"/>
        <v>0</v>
      </c>
    </row>
    <row r="220" spans="1:20" ht="30" hidden="1" customHeight="1" x14ac:dyDescent="0.3">
      <c r="A220" s="262" t="s">
        <v>154</v>
      </c>
      <c r="C220" s="244">
        <v>102</v>
      </c>
      <c r="D220" s="213" t="s">
        <v>423</v>
      </c>
      <c r="E220" s="969" t="s">
        <v>424</v>
      </c>
      <c r="F220" s="970"/>
      <c r="G220" s="971"/>
      <c r="H220" s="544" t="s">
        <v>202</v>
      </c>
      <c r="I220" s="212">
        <v>1625</v>
      </c>
      <c r="J220" s="605"/>
      <c r="K220" s="212">
        <v>250</v>
      </c>
      <c r="L220" s="212">
        <f t="shared" si="28"/>
        <v>406250</v>
      </c>
      <c r="M220" s="602"/>
      <c r="N220" s="675">
        <f>+'Yeşil Defter'!K224</f>
        <v>0</v>
      </c>
      <c r="O220" s="675">
        <f>+'Yeşil Defter'!L224</f>
        <v>0</v>
      </c>
      <c r="P220" s="675">
        <f>+'Yeşil Defter'!M224</f>
        <v>0</v>
      </c>
      <c r="Q220" s="212"/>
      <c r="R220" s="605">
        <f t="shared" si="29"/>
        <v>0</v>
      </c>
      <c r="S220" s="225">
        <f t="shared" si="30"/>
        <v>0</v>
      </c>
      <c r="T220" s="237">
        <f t="shared" si="31"/>
        <v>0</v>
      </c>
    </row>
    <row r="221" spans="1:20" ht="30" hidden="1" customHeight="1" x14ac:dyDescent="0.3">
      <c r="A221" s="262" t="s">
        <v>154</v>
      </c>
      <c r="C221" s="244">
        <v>103</v>
      </c>
      <c r="D221" s="213" t="s">
        <v>425</v>
      </c>
      <c r="E221" s="969" t="s">
        <v>426</v>
      </c>
      <c r="F221" s="970"/>
      <c r="G221" s="971"/>
      <c r="H221" s="544" t="s">
        <v>225</v>
      </c>
      <c r="I221" s="212">
        <v>1121</v>
      </c>
      <c r="J221" s="605"/>
      <c r="K221" s="212">
        <v>482.96</v>
      </c>
      <c r="L221" s="212">
        <f t="shared" si="28"/>
        <v>541398.16</v>
      </c>
      <c r="M221" s="602"/>
      <c r="N221" s="675">
        <f>+'Yeşil Defter'!K225</f>
        <v>0</v>
      </c>
      <c r="O221" s="675">
        <f>+'Yeşil Defter'!L225</f>
        <v>0</v>
      </c>
      <c r="P221" s="675">
        <f>+'Yeşil Defter'!M225</f>
        <v>0</v>
      </c>
      <c r="Q221" s="212"/>
      <c r="R221" s="605">
        <f t="shared" si="29"/>
        <v>0</v>
      </c>
      <c r="S221" s="225">
        <f t="shared" si="30"/>
        <v>0</v>
      </c>
      <c r="T221" s="237">
        <f t="shared" si="31"/>
        <v>0</v>
      </c>
    </row>
    <row r="222" spans="1:20" ht="30" hidden="1" customHeight="1" x14ac:dyDescent="0.3">
      <c r="A222" s="262" t="s">
        <v>154</v>
      </c>
      <c r="C222" s="244">
        <v>104</v>
      </c>
      <c r="D222" s="213" t="s">
        <v>427</v>
      </c>
      <c r="E222" s="969" t="s">
        <v>428</v>
      </c>
      <c r="F222" s="970"/>
      <c r="G222" s="971"/>
      <c r="H222" s="544" t="s">
        <v>202</v>
      </c>
      <c r="I222" s="212">
        <v>2600</v>
      </c>
      <c r="J222" s="605"/>
      <c r="K222" s="212">
        <v>3805.85</v>
      </c>
      <c r="L222" s="212">
        <f t="shared" si="28"/>
        <v>9895210</v>
      </c>
      <c r="M222" s="602"/>
      <c r="N222" s="675">
        <f>+'Yeşil Defter'!K226</f>
        <v>0</v>
      </c>
      <c r="O222" s="675">
        <f>+'Yeşil Defter'!L226</f>
        <v>0</v>
      </c>
      <c r="P222" s="675">
        <f>+'Yeşil Defter'!M226</f>
        <v>0</v>
      </c>
      <c r="Q222" s="212"/>
      <c r="R222" s="605">
        <f t="shared" si="29"/>
        <v>0</v>
      </c>
      <c r="S222" s="225">
        <f t="shared" si="30"/>
        <v>0</v>
      </c>
      <c r="T222" s="237">
        <f t="shared" si="31"/>
        <v>0</v>
      </c>
    </row>
    <row r="223" spans="1:20" ht="40.049999999999997" hidden="1" customHeight="1" x14ac:dyDescent="0.3">
      <c r="A223" s="262" t="s">
        <v>1242</v>
      </c>
      <c r="C223" s="258"/>
      <c r="D223" s="258"/>
      <c r="E223" s="972" t="s">
        <v>33</v>
      </c>
      <c r="F223" s="972"/>
      <c r="G223" s="972"/>
      <c r="H223" s="973" t="s">
        <v>29</v>
      </c>
      <c r="I223" s="973"/>
      <c r="J223" s="973"/>
      <c r="K223" s="973"/>
      <c r="L223" s="973"/>
      <c r="M223" s="549"/>
      <c r="N223" s="973" t="s">
        <v>22</v>
      </c>
      <c r="O223" s="973"/>
      <c r="P223" s="973"/>
      <c r="Q223" s="973"/>
      <c r="R223" s="973"/>
      <c r="S223" s="973"/>
      <c r="T223" s="973"/>
    </row>
    <row r="224" spans="1:20" ht="19.95" hidden="1" customHeight="1" x14ac:dyDescent="0.3">
      <c r="A224" s="262" t="s">
        <v>1242</v>
      </c>
      <c r="D224" s="28"/>
      <c r="E224" s="974" t="s">
        <v>1214</v>
      </c>
      <c r="F224" s="974"/>
      <c r="G224" s="974"/>
      <c r="H224" s="975" t="s">
        <v>38</v>
      </c>
      <c r="I224" s="975"/>
      <c r="J224" s="975"/>
      <c r="K224" s="975"/>
      <c r="L224" s="975"/>
      <c r="M224" s="562"/>
      <c r="N224" s="975" t="s">
        <v>1437</v>
      </c>
      <c r="O224" s="975"/>
      <c r="P224" s="975"/>
      <c r="Q224" s="975"/>
      <c r="R224" s="975"/>
      <c r="S224" s="975"/>
      <c r="T224" s="975"/>
    </row>
    <row r="225" spans="1:20" ht="19.95" hidden="1" customHeight="1" x14ac:dyDescent="0.3">
      <c r="A225" s="262" t="s">
        <v>1242</v>
      </c>
      <c r="C225" s="228"/>
      <c r="D225" s="228"/>
      <c r="E225" s="561"/>
      <c r="F225" s="561"/>
      <c r="G225" s="561"/>
      <c r="H225" s="228"/>
      <c r="I225" s="260"/>
      <c r="J225" s="260"/>
      <c r="K225" s="260"/>
      <c r="L225" s="260"/>
      <c r="M225" s="260"/>
      <c r="N225" s="975"/>
      <c r="O225" s="975"/>
      <c r="P225" s="975"/>
      <c r="Q225" s="975"/>
      <c r="R225" s="975"/>
      <c r="S225" s="975"/>
      <c r="T225" s="975"/>
    </row>
    <row r="226" spans="1:20" ht="19.95" hidden="1" customHeight="1" x14ac:dyDescent="0.3">
      <c r="A226" s="262" t="s">
        <v>1242</v>
      </c>
      <c r="C226" s="228"/>
      <c r="D226" s="228"/>
      <c r="E226" s="561"/>
      <c r="F226" s="561"/>
      <c r="G226" s="561"/>
      <c r="H226" s="228"/>
      <c r="I226" s="260"/>
      <c r="J226" s="260"/>
      <c r="K226" s="260"/>
      <c r="L226" s="260"/>
      <c r="M226" s="260"/>
      <c r="N226" s="975"/>
      <c r="O226" s="975"/>
      <c r="P226" s="975"/>
      <c r="Q226" s="975"/>
      <c r="R226" s="975"/>
      <c r="S226" s="975"/>
      <c r="T226" s="975"/>
    </row>
    <row r="227" spans="1:20" ht="19.95" hidden="1" customHeight="1" x14ac:dyDescent="0.3">
      <c r="A227" s="262" t="s">
        <v>1242</v>
      </c>
      <c r="C227" s="228"/>
      <c r="D227" s="228"/>
      <c r="E227" s="561"/>
      <c r="F227" s="561"/>
      <c r="G227" s="561"/>
      <c r="H227" s="228"/>
      <c r="I227" s="260"/>
      <c r="J227" s="260"/>
      <c r="K227" s="260"/>
      <c r="L227" s="260"/>
      <c r="M227" s="260"/>
      <c r="N227" s="260"/>
      <c r="O227" s="260"/>
      <c r="P227" s="260"/>
      <c r="Q227" s="260"/>
      <c r="R227" s="260"/>
      <c r="S227" s="624"/>
      <c r="T227" s="260"/>
    </row>
    <row r="228" spans="1:20" ht="19.95" hidden="1" customHeight="1" x14ac:dyDescent="0.3">
      <c r="A228" s="262" t="s">
        <v>1242</v>
      </c>
      <c r="C228" s="228"/>
      <c r="D228" s="228"/>
      <c r="E228" s="561"/>
      <c r="F228" s="561"/>
      <c r="G228" s="561"/>
      <c r="H228" s="975" t="s">
        <v>32</v>
      </c>
      <c r="I228" s="975"/>
      <c r="J228" s="562"/>
      <c r="K228" s="975" t="s">
        <v>1407</v>
      </c>
      <c r="L228" s="975"/>
      <c r="M228" s="562"/>
      <c r="N228" s="968" t="s">
        <v>58</v>
      </c>
      <c r="O228" s="968"/>
      <c r="P228" s="968"/>
      <c r="Q228" s="547"/>
      <c r="R228" s="968" t="s">
        <v>57</v>
      </c>
      <c r="S228" s="968"/>
      <c r="T228" s="968"/>
    </row>
    <row r="229" spans="1:20" ht="19.95" hidden="1" customHeight="1" x14ac:dyDescent="0.3">
      <c r="A229" s="262" t="s">
        <v>1242</v>
      </c>
      <c r="C229" s="228"/>
      <c r="D229" s="228"/>
      <c r="E229" s="561"/>
      <c r="F229" s="561"/>
      <c r="G229" s="561"/>
      <c r="H229" s="976" t="s">
        <v>94</v>
      </c>
      <c r="I229" s="976"/>
      <c r="J229" s="623"/>
      <c r="K229" s="976" t="s">
        <v>94</v>
      </c>
      <c r="L229" s="976"/>
      <c r="M229" s="623"/>
      <c r="N229" s="968" t="s">
        <v>1472</v>
      </c>
      <c r="O229" s="968"/>
      <c r="P229" s="968"/>
      <c r="Q229" s="547"/>
      <c r="R229" s="968" t="s">
        <v>1472</v>
      </c>
      <c r="S229" s="968"/>
      <c r="T229" s="968"/>
    </row>
    <row r="230" spans="1:20" ht="19.95" hidden="1" customHeight="1" x14ac:dyDescent="0.3">
      <c r="A230" s="262" t="s">
        <v>1242</v>
      </c>
      <c r="C230" s="228"/>
      <c r="D230" s="228"/>
      <c r="E230" s="561"/>
      <c r="F230" s="561"/>
      <c r="G230" s="561"/>
      <c r="H230" s="976"/>
      <c r="I230" s="976"/>
      <c r="J230" s="623"/>
      <c r="K230" s="976"/>
      <c r="L230" s="976"/>
      <c r="M230" s="623"/>
      <c r="N230" s="968"/>
      <c r="O230" s="968"/>
      <c r="P230" s="968"/>
      <c r="Q230" s="260"/>
      <c r="R230" s="968"/>
      <c r="S230" s="968"/>
      <c r="T230" s="968"/>
    </row>
    <row r="231" spans="1:20" ht="19.95" hidden="1" customHeight="1" x14ac:dyDescent="0.3">
      <c r="A231" s="262" t="s">
        <v>1242</v>
      </c>
      <c r="C231" s="228"/>
      <c r="D231" s="228"/>
      <c r="E231" s="561"/>
      <c r="F231" s="561"/>
      <c r="G231" s="561"/>
      <c r="H231" s="228"/>
      <c r="I231" s="260"/>
      <c r="J231" s="260"/>
      <c r="K231" s="260"/>
      <c r="L231" s="260"/>
      <c r="M231" s="260"/>
      <c r="N231" s="260"/>
      <c r="O231" s="260"/>
      <c r="P231" s="260"/>
      <c r="Q231" s="260"/>
      <c r="R231" s="260"/>
      <c r="S231" s="624"/>
      <c r="T231" s="260"/>
    </row>
    <row r="232" spans="1:20" ht="19.95" hidden="1" customHeight="1" x14ac:dyDescent="0.3">
      <c r="A232" s="262" t="s">
        <v>1242</v>
      </c>
      <c r="C232" s="228"/>
      <c r="D232" s="228"/>
      <c r="E232" s="975" t="s">
        <v>1215</v>
      </c>
      <c r="F232" s="975"/>
      <c r="G232" s="975"/>
      <c r="H232" s="975" t="s">
        <v>1348</v>
      </c>
      <c r="I232" s="975"/>
      <c r="J232" s="975"/>
      <c r="K232" s="975"/>
      <c r="L232" s="975"/>
      <c r="M232" s="562"/>
      <c r="N232" s="977" t="s">
        <v>1217</v>
      </c>
      <c r="O232" s="968"/>
      <c r="P232" s="968"/>
      <c r="Q232" s="968"/>
      <c r="R232" s="968"/>
      <c r="S232" s="968"/>
      <c r="T232" s="968"/>
    </row>
    <row r="233" spans="1:20" ht="19.95" hidden="1" customHeight="1" x14ac:dyDescent="0.3">
      <c r="A233" s="262" t="s">
        <v>1290</v>
      </c>
      <c r="C233" s="228"/>
      <c r="D233" s="228"/>
      <c r="E233" s="975"/>
      <c r="F233" s="975"/>
      <c r="G233" s="975"/>
      <c r="H233" s="975"/>
      <c r="I233" s="975"/>
      <c r="J233" s="975"/>
      <c r="K233" s="975"/>
      <c r="L233" s="975"/>
      <c r="M233" s="562"/>
      <c r="N233" s="968"/>
      <c r="O233" s="968"/>
      <c r="P233" s="968"/>
      <c r="Q233" s="968"/>
      <c r="R233" s="968"/>
      <c r="S233" s="968"/>
      <c r="T233" s="968"/>
    </row>
    <row r="234" spans="1:20" ht="30" hidden="1" customHeight="1" x14ac:dyDescent="0.3">
      <c r="A234" s="262" t="s">
        <v>154</v>
      </c>
      <c r="C234" s="255">
        <v>105</v>
      </c>
      <c r="D234" s="256" t="s">
        <v>429</v>
      </c>
      <c r="E234" s="978" t="s">
        <v>430</v>
      </c>
      <c r="F234" s="979"/>
      <c r="G234" s="980"/>
      <c r="H234" s="546" t="s">
        <v>202</v>
      </c>
      <c r="I234" s="257">
        <v>2275</v>
      </c>
      <c r="J234" s="606"/>
      <c r="K234" s="257">
        <v>1252.8800000000001</v>
      </c>
      <c r="L234" s="257">
        <f t="shared" ref="L234:L256" si="32">+ROUND(I234*K234,2)</f>
        <v>2850302</v>
      </c>
      <c r="M234" s="603"/>
      <c r="N234" s="675">
        <f>+'Yeşil Defter'!K227</f>
        <v>0</v>
      </c>
      <c r="O234" s="675">
        <f>+'Yeşil Defter'!L227</f>
        <v>0</v>
      </c>
      <c r="P234" s="675">
        <f>+'Yeşil Defter'!M227</f>
        <v>0</v>
      </c>
      <c r="Q234" s="257"/>
      <c r="R234" s="606">
        <f t="shared" ref="R234:R256" si="33">+ROUND(K234*N234,2)</f>
        <v>0</v>
      </c>
      <c r="S234" s="247">
        <f t="shared" si="30"/>
        <v>0</v>
      </c>
      <c r="T234" s="248">
        <f t="shared" ref="T234:T256" si="34">+ROUND(K234*P234,2)</f>
        <v>0</v>
      </c>
    </row>
    <row r="235" spans="1:20" ht="30" hidden="1" customHeight="1" x14ac:dyDescent="0.3">
      <c r="A235" s="262" t="s">
        <v>154</v>
      </c>
      <c r="C235" s="244">
        <v>106</v>
      </c>
      <c r="D235" s="161" t="s">
        <v>431</v>
      </c>
      <c r="E235" s="969" t="s">
        <v>432</v>
      </c>
      <c r="F235" s="970"/>
      <c r="G235" s="971"/>
      <c r="H235" s="544" t="s">
        <v>202</v>
      </c>
      <c r="I235" s="212">
        <v>2275</v>
      </c>
      <c r="J235" s="605"/>
      <c r="K235" s="212">
        <v>605.75</v>
      </c>
      <c r="L235" s="212">
        <f t="shared" si="32"/>
        <v>1378081.25</v>
      </c>
      <c r="M235" s="602"/>
      <c r="N235" s="675">
        <f>+'Yeşil Defter'!K228</f>
        <v>0</v>
      </c>
      <c r="O235" s="675">
        <f>+'Yeşil Defter'!L228</f>
        <v>0</v>
      </c>
      <c r="P235" s="675">
        <f>+'Yeşil Defter'!M228</f>
        <v>0</v>
      </c>
      <c r="Q235" s="212"/>
      <c r="R235" s="605">
        <f t="shared" si="33"/>
        <v>0</v>
      </c>
      <c r="S235" s="225">
        <f t="shared" si="30"/>
        <v>0</v>
      </c>
      <c r="T235" s="237">
        <f t="shared" si="34"/>
        <v>0</v>
      </c>
    </row>
    <row r="236" spans="1:20" ht="30" hidden="1" customHeight="1" x14ac:dyDescent="0.3">
      <c r="A236" s="262" t="s">
        <v>154</v>
      </c>
      <c r="C236" s="244">
        <v>107</v>
      </c>
      <c r="D236" s="161" t="s">
        <v>433</v>
      </c>
      <c r="E236" s="969" t="s">
        <v>434</v>
      </c>
      <c r="F236" s="970"/>
      <c r="G236" s="971"/>
      <c r="H236" s="544" t="s">
        <v>202</v>
      </c>
      <c r="I236" s="212">
        <v>2925</v>
      </c>
      <c r="J236" s="605"/>
      <c r="K236" s="212">
        <v>605.75</v>
      </c>
      <c r="L236" s="212">
        <f t="shared" si="32"/>
        <v>1771818.75</v>
      </c>
      <c r="M236" s="602"/>
      <c r="N236" s="675">
        <f>+'Yeşil Defter'!K229</f>
        <v>0</v>
      </c>
      <c r="O236" s="675">
        <f>+'Yeşil Defter'!L229</f>
        <v>0</v>
      </c>
      <c r="P236" s="675">
        <f>+'Yeşil Defter'!M229</f>
        <v>0</v>
      </c>
      <c r="Q236" s="212"/>
      <c r="R236" s="605">
        <f t="shared" si="33"/>
        <v>0</v>
      </c>
      <c r="S236" s="225">
        <f t="shared" si="30"/>
        <v>0</v>
      </c>
      <c r="T236" s="237">
        <f t="shared" si="34"/>
        <v>0</v>
      </c>
    </row>
    <row r="237" spans="1:20" ht="30" hidden="1" customHeight="1" x14ac:dyDescent="0.3">
      <c r="A237" s="262" t="s">
        <v>154</v>
      </c>
      <c r="C237" s="244">
        <v>108</v>
      </c>
      <c r="D237" s="161" t="s">
        <v>435</v>
      </c>
      <c r="E237" s="969" t="s">
        <v>436</v>
      </c>
      <c r="F237" s="970"/>
      <c r="G237" s="971"/>
      <c r="H237" s="544" t="s">
        <v>225</v>
      </c>
      <c r="I237" s="212">
        <v>1560</v>
      </c>
      <c r="J237" s="605"/>
      <c r="K237" s="212">
        <v>560.04</v>
      </c>
      <c r="L237" s="212">
        <f t="shared" si="32"/>
        <v>873662.4</v>
      </c>
      <c r="M237" s="602"/>
      <c r="N237" s="675">
        <f>+'Yeşil Defter'!K230</f>
        <v>0</v>
      </c>
      <c r="O237" s="675">
        <f>+'Yeşil Defter'!L230</f>
        <v>0</v>
      </c>
      <c r="P237" s="675">
        <f>+'Yeşil Defter'!M230</f>
        <v>0</v>
      </c>
      <c r="Q237" s="212"/>
      <c r="R237" s="605">
        <f t="shared" si="33"/>
        <v>0</v>
      </c>
      <c r="S237" s="225">
        <f t="shared" si="30"/>
        <v>0</v>
      </c>
      <c r="T237" s="237">
        <f t="shared" si="34"/>
        <v>0</v>
      </c>
    </row>
    <row r="238" spans="1:20" ht="30" hidden="1" customHeight="1" x14ac:dyDescent="0.3">
      <c r="A238" s="262" t="s">
        <v>154</v>
      </c>
      <c r="C238" s="244">
        <v>109</v>
      </c>
      <c r="D238" s="161" t="s">
        <v>437</v>
      </c>
      <c r="E238" s="969" t="s">
        <v>438</v>
      </c>
      <c r="F238" s="970"/>
      <c r="G238" s="971"/>
      <c r="H238" s="544" t="s">
        <v>225</v>
      </c>
      <c r="I238" s="212">
        <v>2600</v>
      </c>
      <c r="J238" s="605"/>
      <c r="K238" s="212">
        <v>20987.8</v>
      </c>
      <c r="L238" s="212">
        <f t="shared" si="32"/>
        <v>54568280</v>
      </c>
      <c r="M238" s="602"/>
      <c r="N238" s="675">
        <f>+'Yeşil Defter'!K231</f>
        <v>0</v>
      </c>
      <c r="O238" s="675">
        <f>+'Yeşil Defter'!L231</f>
        <v>0</v>
      </c>
      <c r="P238" s="675">
        <f>+'Yeşil Defter'!M231</f>
        <v>0</v>
      </c>
      <c r="Q238" s="212"/>
      <c r="R238" s="605">
        <f t="shared" si="33"/>
        <v>0</v>
      </c>
      <c r="S238" s="225">
        <f t="shared" si="30"/>
        <v>0</v>
      </c>
      <c r="T238" s="237">
        <f t="shared" si="34"/>
        <v>0</v>
      </c>
    </row>
    <row r="239" spans="1:20" ht="30" hidden="1" customHeight="1" x14ac:dyDescent="0.3">
      <c r="A239" s="262" t="s">
        <v>154</v>
      </c>
      <c r="C239" s="244">
        <v>110</v>
      </c>
      <c r="D239" s="213" t="s">
        <v>439</v>
      </c>
      <c r="E239" s="969" t="s">
        <v>440</v>
      </c>
      <c r="F239" s="970"/>
      <c r="G239" s="971"/>
      <c r="H239" s="544" t="s">
        <v>225</v>
      </c>
      <c r="I239" s="212">
        <v>1300</v>
      </c>
      <c r="J239" s="605"/>
      <c r="K239" s="212">
        <v>17353.38</v>
      </c>
      <c r="L239" s="212">
        <f t="shared" si="32"/>
        <v>22559394</v>
      </c>
      <c r="M239" s="602"/>
      <c r="N239" s="675">
        <f>+'Yeşil Defter'!K232</f>
        <v>0</v>
      </c>
      <c r="O239" s="675">
        <f>+'Yeşil Defter'!L232</f>
        <v>0</v>
      </c>
      <c r="P239" s="675">
        <f>+'Yeşil Defter'!M232</f>
        <v>0</v>
      </c>
      <c r="Q239" s="212"/>
      <c r="R239" s="605">
        <f t="shared" si="33"/>
        <v>0</v>
      </c>
      <c r="S239" s="225">
        <f t="shared" si="30"/>
        <v>0</v>
      </c>
      <c r="T239" s="237">
        <f t="shared" si="34"/>
        <v>0</v>
      </c>
    </row>
    <row r="240" spans="1:20" ht="30" hidden="1" customHeight="1" x14ac:dyDescent="0.3">
      <c r="A240" s="262" t="s">
        <v>154</v>
      </c>
      <c r="C240" s="244">
        <v>111</v>
      </c>
      <c r="D240" s="161" t="s">
        <v>441</v>
      </c>
      <c r="E240" s="969" t="s">
        <v>442</v>
      </c>
      <c r="F240" s="970"/>
      <c r="G240" s="971"/>
      <c r="H240" s="544" t="s">
        <v>202</v>
      </c>
      <c r="I240" s="212">
        <v>1235</v>
      </c>
      <c r="J240" s="605"/>
      <c r="K240" s="212">
        <v>4497.83</v>
      </c>
      <c r="L240" s="212">
        <f t="shared" si="32"/>
        <v>5554820.0499999998</v>
      </c>
      <c r="M240" s="602"/>
      <c r="N240" s="675">
        <f>+'Yeşil Defter'!K233</f>
        <v>0</v>
      </c>
      <c r="O240" s="675">
        <f>+'Yeşil Defter'!L233</f>
        <v>0</v>
      </c>
      <c r="P240" s="675">
        <f>+'Yeşil Defter'!M233</f>
        <v>0</v>
      </c>
      <c r="Q240" s="212"/>
      <c r="R240" s="605">
        <f t="shared" si="33"/>
        <v>0</v>
      </c>
      <c r="S240" s="225">
        <f t="shared" si="30"/>
        <v>0</v>
      </c>
      <c r="T240" s="237">
        <f t="shared" si="34"/>
        <v>0</v>
      </c>
    </row>
    <row r="241" spans="1:20" ht="30" hidden="1" customHeight="1" x14ac:dyDescent="0.3">
      <c r="A241" s="262" t="s">
        <v>154</v>
      </c>
      <c r="C241" s="244">
        <v>112</v>
      </c>
      <c r="D241" s="161" t="s">
        <v>443</v>
      </c>
      <c r="E241" s="969" t="s">
        <v>444</v>
      </c>
      <c r="F241" s="970"/>
      <c r="G241" s="971"/>
      <c r="H241" s="544" t="s">
        <v>202</v>
      </c>
      <c r="I241" s="212">
        <v>1235</v>
      </c>
      <c r="J241" s="605"/>
      <c r="K241" s="212">
        <v>2909.43</v>
      </c>
      <c r="L241" s="212">
        <f t="shared" si="32"/>
        <v>3593146.05</v>
      </c>
      <c r="M241" s="602"/>
      <c r="N241" s="675">
        <f>+'Yeşil Defter'!K234</f>
        <v>0</v>
      </c>
      <c r="O241" s="675">
        <f>+'Yeşil Defter'!L234</f>
        <v>0</v>
      </c>
      <c r="P241" s="675">
        <f>+'Yeşil Defter'!M234</f>
        <v>0</v>
      </c>
      <c r="Q241" s="212"/>
      <c r="R241" s="605">
        <f t="shared" si="33"/>
        <v>0</v>
      </c>
      <c r="S241" s="225">
        <f t="shared" si="30"/>
        <v>0</v>
      </c>
      <c r="T241" s="237">
        <f t="shared" si="34"/>
        <v>0</v>
      </c>
    </row>
    <row r="242" spans="1:20" ht="30" hidden="1" customHeight="1" x14ac:dyDescent="0.3">
      <c r="A242" s="262" t="s">
        <v>154</v>
      </c>
      <c r="C242" s="244">
        <v>113</v>
      </c>
      <c r="D242" s="213" t="s">
        <v>445</v>
      </c>
      <c r="E242" s="969" t="s">
        <v>446</v>
      </c>
      <c r="F242" s="970"/>
      <c r="G242" s="971"/>
      <c r="H242" s="544" t="s">
        <v>225</v>
      </c>
      <c r="I242" s="212">
        <v>4680</v>
      </c>
      <c r="J242" s="605"/>
      <c r="K242" s="212">
        <v>1158.7</v>
      </c>
      <c r="L242" s="212">
        <f t="shared" si="32"/>
        <v>5422716</v>
      </c>
      <c r="M242" s="602"/>
      <c r="N242" s="675">
        <f>+'Yeşil Defter'!K235</f>
        <v>0</v>
      </c>
      <c r="O242" s="675">
        <f>+'Yeşil Defter'!L235</f>
        <v>0</v>
      </c>
      <c r="P242" s="675">
        <f>+'Yeşil Defter'!M235</f>
        <v>0</v>
      </c>
      <c r="Q242" s="212"/>
      <c r="R242" s="605">
        <f t="shared" si="33"/>
        <v>0</v>
      </c>
      <c r="S242" s="225">
        <f t="shared" si="30"/>
        <v>0</v>
      </c>
      <c r="T242" s="237">
        <f t="shared" si="34"/>
        <v>0</v>
      </c>
    </row>
    <row r="243" spans="1:20" ht="30" hidden="1" customHeight="1" x14ac:dyDescent="0.3">
      <c r="A243" s="262" t="s">
        <v>154</v>
      </c>
      <c r="C243" s="244">
        <v>114</v>
      </c>
      <c r="D243" s="161" t="s">
        <v>447</v>
      </c>
      <c r="E243" s="969" t="s">
        <v>448</v>
      </c>
      <c r="F243" s="970"/>
      <c r="G243" s="971"/>
      <c r="H243" s="544" t="s">
        <v>225</v>
      </c>
      <c r="I243" s="212">
        <v>6175</v>
      </c>
      <c r="J243" s="605"/>
      <c r="K243" s="212">
        <v>13116.45</v>
      </c>
      <c r="L243" s="212">
        <f t="shared" si="32"/>
        <v>80994078.75</v>
      </c>
      <c r="M243" s="602"/>
      <c r="N243" s="675">
        <f>+'Yeşil Defter'!K236</f>
        <v>0</v>
      </c>
      <c r="O243" s="675">
        <f>+'Yeşil Defter'!L236</f>
        <v>0</v>
      </c>
      <c r="P243" s="675">
        <f>+'Yeşil Defter'!M236</f>
        <v>0</v>
      </c>
      <c r="Q243" s="212"/>
      <c r="R243" s="605">
        <f t="shared" si="33"/>
        <v>0</v>
      </c>
      <c r="S243" s="225">
        <f t="shared" si="30"/>
        <v>0</v>
      </c>
      <c r="T243" s="237">
        <f t="shared" si="34"/>
        <v>0</v>
      </c>
    </row>
    <row r="244" spans="1:20" ht="30" hidden="1" customHeight="1" x14ac:dyDescent="0.3">
      <c r="A244" s="262" t="s">
        <v>154</v>
      </c>
      <c r="C244" s="244">
        <v>115</v>
      </c>
      <c r="D244" s="161" t="s">
        <v>449</v>
      </c>
      <c r="E244" s="969" t="s">
        <v>450</v>
      </c>
      <c r="F244" s="970"/>
      <c r="G244" s="971"/>
      <c r="H244" s="544" t="s">
        <v>225</v>
      </c>
      <c r="I244" s="212">
        <v>6175</v>
      </c>
      <c r="J244" s="605"/>
      <c r="K244" s="212">
        <v>2140.9299999999998</v>
      </c>
      <c r="L244" s="212">
        <f t="shared" si="32"/>
        <v>13220242.75</v>
      </c>
      <c r="M244" s="602"/>
      <c r="N244" s="675">
        <f>+'Yeşil Defter'!K249</f>
        <v>0</v>
      </c>
      <c r="O244" s="675">
        <f>+'Yeşil Defter'!L249</f>
        <v>0</v>
      </c>
      <c r="P244" s="675">
        <f>+'Yeşil Defter'!M249</f>
        <v>0</v>
      </c>
      <c r="Q244" s="212"/>
      <c r="R244" s="605">
        <f t="shared" si="33"/>
        <v>0</v>
      </c>
      <c r="S244" s="225">
        <f t="shared" si="30"/>
        <v>0</v>
      </c>
      <c r="T244" s="237">
        <f t="shared" si="34"/>
        <v>0</v>
      </c>
    </row>
    <row r="245" spans="1:20" ht="30" hidden="1" customHeight="1" x14ac:dyDescent="0.3">
      <c r="A245" s="262" t="s">
        <v>154</v>
      </c>
      <c r="C245" s="244">
        <v>116</v>
      </c>
      <c r="D245" s="161" t="s">
        <v>451</v>
      </c>
      <c r="E245" s="969" t="s">
        <v>452</v>
      </c>
      <c r="F245" s="970"/>
      <c r="G245" s="971"/>
      <c r="H245" s="544" t="s">
        <v>225</v>
      </c>
      <c r="I245" s="212">
        <v>6175</v>
      </c>
      <c r="J245" s="605"/>
      <c r="K245" s="212">
        <v>2465.06</v>
      </c>
      <c r="L245" s="212">
        <f t="shared" si="32"/>
        <v>15221745.5</v>
      </c>
      <c r="M245" s="602"/>
      <c r="N245" s="675">
        <f>+'Yeşil Defter'!K250</f>
        <v>0</v>
      </c>
      <c r="O245" s="675">
        <f>+'Yeşil Defter'!L250</f>
        <v>0</v>
      </c>
      <c r="P245" s="675">
        <f>+'Yeşil Defter'!M250</f>
        <v>0</v>
      </c>
      <c r="Q245" s="212"/>
      <c r="R245" s="605">
        <f t="shared" si="33"/>
        <v>0</v>
      </c>
      <c r="S245" s="225">
        <f t="shared" si="30"/>
        <v>0</v>
      </c>
      <c r="T245" s="237">
        <f t="shared" si="34"/>
        <v>0</v>
      </c>
    </row>
    <row r="246" spans="1:20" ht="30" hidden="1" customHeight="1" x14ac:dyDescent="0.3">
      <c r="A246" s="262" t="s">
        <v>154</v>
      </c>
      <c r="C246" s="244">
        <v>117</v>
      </c>
      <c r="D246" s="161" t="s">
        <v>453</v>
      </c>
      <c r="E246" s="969" t="s">
        <v>454</v>
      </c>
      <c r="F246" s="970"/>
      <c r="G246" s="971"/>
      <c r="H246" s="544" t="s">
        <v>225</v>
      </c>
      <c r="I246" s="212">
        <v>3900</v>
      </c>
      <c r="J246" s="605"/>
      <c r="K246" s="212">
        <v>609.66</v>
      </c>
      <c r="L246" s="212">
        <f t="shared" si="32"/>
        <v>2377674</v>
      </c>
      <c r="M246" s="602"/>
      <c r="N246" s="675">
        <f>+'Yeşil Defter'!K251</f>
        <v>0</v>
      </c>
      <c r="O246" s="675">
        <f>+'Yeşil Defter'!L251</f>
        <v>0</v>
      </c>
      <c r="P246" s="675">
        <f>+'Yeşil Defter'!M251</f>
        <v>0</v>
      </c>
      <c r="Q246" s="212"/>
      <c r="R246" s="605">
        <f t="shared" si="33"/>
        <v>0</v>
      </c>
      <c r="S246" s="225">
        <f t="shared" si="30"/>
        <v>0</v>
      </c>
      <c r="T246" s="237">
        <f t="shared" si="34"/>
        <v>0</v>
      </c>
    </row>
    <row r="247" spans="1:20" ht="30" hidden="1" customHeight="1" x14ac:dyDescent="0.3">
      <c r="A247" s="262" t="s">
        <v>154</v>
      </c>
      <c r="C247" s="244">
        <v>118</v>
      </c>
      <c r="D247" s="161" t="s">
        <v>455</v>
      </c>
      <c r="E247" s="969" t="s">
        <v>456</v>
      </c>
      <c r="F247" s="970"/>
      <c r="G247" s="971"/>
      <c r="H247" s="544" t="s">
        <v>225</v>
      </c>
      <c r="I247" s="212">
        <v>8775</v>
      </c>
      <c r="J247" s="605"/>
      <c r="K247" s="212">
        <v>547.5</v>
      </c>
      <c r="L247" s="212">
        <f t="shared" si="32"/>
        <v>4804312.5</v>
      </c>
      <c r="M247" s="602"/>
      <c r="N247" s="675">
        <f>+'Yeşil Defter'!K252</f>
        <v>0</v>
      </c>
      <c r="O247" s="675">
        <f>+'Yeşil Defter'!L252</f>
        <v>0</v>
      </c>
      <c r="P247" s="675">
        <f>+'Yeşil Defter'!M252</f>
        <v>0</v>
      </c>
      <c r="Q247" s="212"/>
      <c r="R247" s="605">
        <f t="shared" si="33"/>
        <v>0</v>
      </c>
      <c r="S247" s="225">
        <f t="shared" si="30"/>
        <v>0</v>
      </c>
      <c r="T247" s="237">
        <f t="shared" si="34"/>
        <v>0</v>
      </c>
    </row>
    <row r="248" spans="1:20" ht="30" hidden="1" customHeight="1" x14ac:dyDescent="0.3">
      <c r="A248" s="262" t="s">
        <v>154</v>
      </c>
      <c r="C248" s="244">
        <v>119</v>
      </c>
      <c r="D248" s="161" t="s">
        <v>457</v>
      </c>
      <c r="E248" s="969" t="s">
        <v>458</v>
      </c>
      <c r="F248" s="970"/>
      <c r="G248" s="971"/>
      <c r="H248" s="544" t="s">
        <v>225</v>
      </c>
      <c r="I248" s="212">
        <v>8775</v>
      </c>
      <c r="J248" s="605"/>
      <c r="K248" s="212">
        <v>547.5</v>
      </c>
      <c r="L248" s="212">
        <f t="shared" si="32"/>
        <v>4804312.5</v>
      </c>
      <c r="M248" s="602"/>
      <c r="N248" s="675">
        <f>+'Yeşil Defter'!K253</f>
        <v>0</v>
      </c>
      <c r="O248" s="675">
        <f>+'Yeşil Defter'!L253</f>
        <v>0</v>
      </c>
      <c r="P248" s="675">
        <f>+'Yeşil Defter'!M253</f>
        <v>0</v>
      </c>
      <c r="Q248" s="212"/>
      <c r="R248" s="605">
        <f t="shared" si="33"/>
        <v>0</v>
      </c>
      <c r="S248" s="225">
        <f t="shared" si="30"/>
        <v>0</v>
      </c>
      <c r="T248" s="237">
        <f t="shared" si="34"/>
        <v>0</v>
      </c>
    </row>
    <row r="249" spans="1:20" ht="30" hidden="1" customHeight="1" x14ac:dyDescent="0.3">
      <c r="A249" s="262" t="s">
        <v>154</v>
      </c>
      <c r="C249" s="244">
        <v>120</v>
      </c>
      <c r="D249" s="161" t="s">
        <v>459</v>
      </c>
      <c r="E249" s="969" t="s">
        <v>460</v>
      </c>
      <c r="F249" s="970"/>
      <c r="G249" s="971"/>
      <c r="H249" s="544" t="s">
        <v>225</v>
      </c>
      <c r="I249" s="212">
        <v>8775</v>
      </c>
      <c r="J249" s="605"/>
      <c r="K249" s="212">
        <v>2991.9</v>
      </c>
      <c r="L249" s="212">
        <f t="shared" si="32"/>
        <v>26253922.5</v>
      </c>
      <c r="M249" s="602"/>
      <c r="N249" s="675">
        <f>+'Yeşil Defter'!K254</f>
        <v>0</v>
      </c>
      <c r="O249" s="675">
        <f>+'Yeşil Defter'!L254</f>
        <v>0</v>
      </c>
      <c r="P249" s="675">
        <f>+'Yeşil Defter'!M254</f>
        <v>0</v>
      </c>
      <c r="Q249" s="212"/>
      <c r="R249" s="605">
        <f t="shared" si="33"/>
        <v>0</v>
      </c>
      <c r="S249" s="225">
        <f t="shared" si="30"/>
        <v>0</v>
      </c>
      <c r="T249" s="237">
        <f t="shared" si="34"/>
        <v>0</v>
      </c>
    </row>
    <row r="250" spans="1:20" ht="30" hidden="1" customHeight="1" x14ac:dyDescent="0.3">
      <c r="A250" s="262" t="s">
        <v>154</v>
      </c>
      <c r="C250" s="244">
        <v>121</v>
      </c>
      <c r="D250" s="161" t="s">
        <v>461</v>
      </c>
      <c r="E250" s="969" t="s">
        <v>462</v>
      </c>
      <c r="F250" s="970"/>
      <c r="G250" s="971"/>
      <c r="H250" s="544" t="s">
        <v>225</v>
      </c>
      <c r="I250" s="212">
        <v>4185</v>
      </c>
      <c r="J250" s="605"/>
      <c r="K250" s="212">
        <v>800</v>
      </c>
      <c r="L250" s="212">
        <f t="shared" si="32"/>
        <v>3348000</v>
      </c>
      <c r="M250" s="602"/>
      <c r="N250" s="675">
        <f>+'Yeşil Defter'!K255</f>
        <v>0</v>
      </c>
      <c r="O250" s="675">
        <f>+'Yeşil Defter'!L255</f>
        <v>0</v>
      </c>
      <c r="P250" s="675">
        <f>+'Yeşil Defter'!M255</f>
        <v>0</v>
      </c>
      <c r="Q250" s="212"/>
      <c r="R250" s="605">
        <f t="shared" si="33"/>
        <v>0</v>
      </c>
      <c r="S250" s="225">
        <f t="shared" si="30"/>
        <v>0</v>
      </c>
      <c r="T250" s="237">
        <f t="shared" si="34"/>
        <v>0</v>
      </c>
    </row>
    <row r="251" spans="1:20" ht="30" hidden="1" customHeight="1" x14ac:dyDescent="0.3">
      <c r="A251" s="262" t="s">
        <v>154</v>
      </c>
      <c r="C251" s="244">
        <v>122</v>
      </c>
      <c r="D251" s="161" t="s">
        <v>463</v>
      </c>
      <c r="E251" s="969" t="s">
        <v>464</v>
      </c>
      <c r="F251" s="970"/>
      <c r="G251" s="971"/>
      <c r="H251" s="544" t="s">
        <v>225</v>
      </c>
      <c r="I251" s="212">
        <v>4425</v>
      </c>
      <c r="J251" s="605"/>
      <c r="K251" s="212">
        <v>800</v>
      </c>
      <c r="L251" s="212">
        <f t="shared" si="32"/>
        <v>3540000</v>
      </c>
      <c r="M251" s="602"/>
      <c r="N251" s="675">
        <f>+'Yeşil Defter'!K256</f>
        <v>0</v>
      </c>
      <c r="O251" s="675">
        <f>+'Yeşil Defter'!L256</f>
        <v>0</v>
      </c>
      <c r="P251" s="675">
        <f>+'Yeşil Defter'!M256</f>
        <v>0</v>
      </c>
      <c r="Q251" s="212"/>
      <c r="R251" s="605">
        <f t="shared" si="33"/>
        <v>0</v>
      </c>
      <c r="S251" s="225">
        <f t="shared" si="30"/>
        <v>0</v>
      </c>
      <c r="T251" s="237">
        <f t="shared" si="34"/>
        <v>0</v>
      </c>
    </row>
    <row r="252" spans="1:20" ht="30" hidden="1" customHeight="1" x14ac:dyDescent="0.3">
      <c r="A252" s="262" t="s">
        <v>154</v>
      </c>
      <c r="C252" s="244">
        <v>123</v>
      </c>
      <c r="D252" s="161" t="s">
        <v>465</v>
      </c>
      <c r="E252" s="969" t="s">
        <v>466</v>
      </c>
      <c r="F252" s="970"/>
      <c r="G252" s="971"/>
      <c r="H252" s="544" t="s">
        <v>225</v>
      </c>
      <c r="I252" s="212">
        <v>4425</v>
      </c>
      <c r="J252" s="605"/>
      <c r="K252" s="212">
        <v>800</v>
      </c>
      <c r="L252" s="212">
        <f t="shared" si="32"/>
        <v>3540000</v>
      </c>
      <c r="M252" s="602"/>
      <c r="N252" s="675">
        <f>+'Yeşil Defter'!K257</f>
        <v>0</v>
      </c>
      <c r="O252" s="675">
        <f>+'Yeşil Defter'!L257</f>
        <v>0</v>
      </c>
      <c r="P252" s="675">
        <f>+'Yeşil Defter'!M257</f>
        <v>0</v>
      </c>
      <c r="Q252" s="212"/>
      <c r="R252" s="605">
        <f t="shared" si="33"/>
        <v>0</v>
      </c>
      <c r="S252" s="225">
        <f t="shared" si="30"/>
        <v>0</v>
      </c>
      <c r="T252" s="237">
        <f t="shared" si="34"/>
        <v>0</v>
      </c>
    </row>
    <row r="253" spans="1:20" ht="30" hidden="1" customHeight="1" x14ac:dyDescent="0.3">
      <c r="A253" s="262" t="s">
        <v>154</v>
      </c>
      <c r="C253" s="244">
        <v>124</v>
      </c>
      <c r="D253" s="161" t="s">
        <v>467</v>
      </c>
      <c r="E253" s="969" t="s">
        <v>468</v>
      </c>
      <c r="F253" s="970"/>
      <c r="G253" s="971"/>
      <c r="H253" s="544" t="s">
        <v>225</v>
      </c>
      <c r="I253" s="212">
        <v>8215</v>
      </c>
      <c r="J253" s="605"/>
      <c r="K253" s="212">
        <v>2640</v>
      </c>
      <c r="L253" s="212">
        <f t="shared" si="32"/>
        <v>21687600</v>
      </c>
      <c r="M253" s="602"/>
      <c r="N253" s="675">
        <f>+'Yeşil Defter'!K258</f>
        <v>0</v>
      </c>
      <c r="O253" s="675">
        <f>+'Yeşil Defter'!L258</f>
        <v>0</v>
      </c>
      <c r="P253" s="675">
        <f>+'Yeşil Defter'!M258</f>
        <v>0</v>
      </c>
      <c r="Q253" s="212"/>
      <c r="R253" s="605">
        <f t="shared" si="33"/>
        <v>0</v>
      </c>
      <c r="S253" s="225">
        <f t="shared" si="30"/>
        <v>0</v>
      </c>
      <c r="T253" s="237">
        <f t="shared" si="34"/>
        <v>0</v>
      </c>
    </row>
    <row r="254" spans="1:20" ht="30" hidden="1" customHeight="1" x14ac:dyDescent="0.3">
      <c r="A254" s="262" t="s">
        <v>154</v>
      </c>
      <c r="C254" s="244">
        <v>125</v>
      </c>
      <c r="D254" s="161" t="s">
        <v>469</v>
      </c>
      <c r="E254" s="969" t="s">
        <v>470</v>
      </c>
      <c r="F254" s="970"/>
      <c r="G254" s="971"/>
      <c r="H254" s="544" t="s">
        <v>225</v>
      </c>
      <c r="I254" s="212">
        <v>8599</v>
      </c>
      <c r="J254" s="605"/>
      <c r="K254" s="212">
        <v>2640</v>
      </c>
      <c r="L254" s="212">
        <f t="shared" si="32"/>
        <v>22701360</v>
      </c>
      <c r="M254" s="602"/>
      <c r="N254" s="675">
        <f>+'Yeşil Defter'!K259</f>
        <v>0</v>
      </c>
      <c r="O254" s="675">
        <f>+'Yeşil Defter'!L259</f>
        <v>0</v>
      </c>
      <c r="P254" s="675">
        <f>+'Yeşil Defter'!M259</f>
        <v>0</v>
      </c>
      <c r="Q254" s="212"/>
      <c r="R254" s="605">
        <f t="shared" si="33"/>
        <v>0</v>
      </c>
      <c r="S254" s="225">
        <f t="shared" si="30"/>
        <v>0</v>
      </c>
      <c r="T254" s="237">
        <f t="shared" si="34"/>
        <v>0</v>
      </c>
    </row>
    <row r="255" spans="1:20" ht="30" hidden="1" customHeight="1" x14ac:dyDescent="0.3">
      <c r="A255" s="262" t="s">
        <v>154</v>
      </c>
      <c r="C255" s="244">
        <v>126</v>
      </c>
      <c r="D255" s="161" t="s">
        <v>471</v>
      </c>
      <c r="E255" s="969" t="s">
        <v>472</v>
      </c>
      <c r="F255" s="970"/>
      <c r="G255" s="971"/>
      <c r="H255" s="544" t="s">
        <v>225</v>
      </c>
      <c r="I255" s="212">
        <v>8599</v>
      </c>
      <c r="J255" s="605"/>
      <c r="K255" s="212">
        <v>2640</v>
      </c>
      <c r="L255" s="212">
        <f t="shared" si="32"/>
        <v>22701360</v>
      </c>
      <c r="M255" s="602"/>
      <c r="N255" s="675">
        <f>+'Yeşil Defter'!K260</f>
        <v>0</v>
      </c>
      <c r="O255" s="675">
        <f>+'Yeşil Defter'!L260</f>
        <v>0</v>
      </c>
      <c r="P255" s="675">
        <f>+'Yeşil Defter'!M260</f>
        <v>0</v>
      </c>
      <c r="Q255" s="212"/>
      <c r="R255" s="605">
        <f t="shared" si="33"/>
        <v>0</v>
      </c>
      <c r="S255" s="225">
        <f t="shared" si="30"/>
        <v>0</v>
      </c>
      <c r="T255" s="237">
        <f t="shared" si="34"/>
        <v>0</v>
      </c>
    </row>
    <row r="256" spans="1:20" ht="30" hidden="1" customHeight="1" x14ac:dyDescent="0.3">
      <c r="A256" s="262" t="s">
        <v>154</v>
      </c>
      <c r="C256" s="244">
        <v>127</v>
      </c>
      <c r="D256" s="213" t="s">
        <v>473</v>
      </c>
      <c r="E256" s="969" t="s">
        <v>474</v>
      </c>
      <c r="F256" s="970"/>
      <c r="G256" s="971"/>
      <c r="H256" s="544" t="s">
        <v>225</v>
      </c>
      <c r="I256" s="212">
        <v>2311</v>
      </c>
      <c r="J256" s="605"/>
      <c r="K256" s="212">
        <v>607.15</v>
      </c>
      <c r="L256" s="212">
        <f t="shared" si="32"/>
        <v>1403123.65</v>
      </c>
      <c r="M256" s="602"/>
      <c r="N256" s="675">
        <f>+'Yeşil Defter'!K261</f>
        <v>0</v>
      </c>
      <c r="O256" s="675">
        <f>+'Yeşil Defter'!L261</f>
        <v>0</v>
      </c>
      <c r="P256" s="675">
        <f>+'Yeşil Defter'!M261</f>
        <v>0</v>
      </c>
      <c r="Q256" s="212"/>
      <c r="R256" s="605">
        <f t="shared" si="33"/>
        <v>0</v>
      </c>
      <c r="S256" s="225">
        <f t="shared" si="30"/>
        <v>0</v>
      </c>
      <c r="T256" s="237">
        <f t="shared" si="34"/>
        <v>0</v>
      </c>
    </row>
    <row r="257" spans="1:20" ht="40.049999999999997" hidden="1" customHeight="1" x14ac:dyDescent="0.3">
      <c r="A257" s="262" t="s">
        <v>1242</v>
      </c>
      <c r="C257" s="258"/>
      <c r="D257" s="258"/>
      <c r="E257" s="972" t="s">
        <v>33</v>
      </c>
      <c r="F257" s="972"/>
      <c r="G257" s="972"/>
      <c r="H257" s="973" t="s">
        <v>29</v>
      </c>
      <c r="I257" s="973"/>
      <c r="J257" s="973"/>
      <c r="K257" s="973"/>
      <c r="L257" s="973"/>
      <c r="M257" s="549"/>
      <c r="N257" s="973" t="s">
        <v>22</v>
      </c>
      <c r="O257" s="973"/>
      <c r="P257" s="973"/>
      <c r="Q257" s="973"/>
      <c r="R257" s="973"/>
      <c r="S257" s="973"/>
      <c r="T257" s="973"/>
    </row>
    <row r="258" spans="1:20" ht="19.95" hidden="1" customHeight="1" x14ac:dyDescent="0.3">
      <c r="A258" s="262" t="s">
        <v>1242</v>
      </c>
      <c r="D258" s="28"/>
      <c r="E258" s="974" t="s">
        <v>1214</v>
      </c>
      <c r="F258" s="974"/>
      <c r="G258" s="974"/>
      <c r="H258" s="975" t="s">
        <v>38</v>
      </c>
      <c r="I258" s="975"/>
      <c r="J258" s="975"/>
      <c r="K258" s="975"/>
      <c r="L258" s="975"/>
      <c r="M258" s="562"/>
      <c r="N258" s="975" t="s">
        <v>1437</v>
      </c>
      <c r="O258" s="975"/>
      <c r="P258" s="975"/>
      <c r="Q258" s="975"/>
      <c r="R258" s="975"/>
      <c r="S258" s="975"/>
      <c r="T258" s="975"/>
    </row>
    <row r="259" spans="1:20" ht="19.95" hidden="1" customHeight="1" x14ac:dyDescent="0.3">
      <c r="A259" s="262" t="s">
        <v>1242</v>
      </c>
      <c r="C259" s="228"/>
      <c r="D259" s="228"/>
      <c r="E259" s="561"/>
      <c r="F259" s="561"/>
      <c r="G259" s="561"/>
      <c r="H259" s="228"/>
      <c r="I259" s="260"/>
      <c r="J259" s="260"/>
      <c r="K259" s="260"/>
      <c r="L259" s="260"/>
      <c r="M259" s="260"/>
      <c r="N259" s="975"/>
      <c r="O259" s="975"/>
      <c r="P259" s="975"/>
      <c r="Q259" s="975"/>
      <c r="R259" s="975"/>
      <c r="S259" s="975"/>
      <c r="T259" s="975"/>
    </row>
    <row r="260" spans="1:20" ht="19.95" hidden="1" customHeight="1" x14ac:dyDescent="0.3">
      <c r="A260" s="262" t="s">
        <v>1242</v>
      </c>
      <c r="C260" s="228"/>
      <c r="D260" s="228"/>
      <c r="E260" s="561"/>
      <c r="F260" s="561"/>
      <c r="G260" s="561"/>
      <c r="H260" s="228"/>
      <c r="I260" s="260"/>
      <c r="J260" s="260"/>
      <c r="K260" s="260"/>
      <c r="L260" s="260"/>
      <c r="M260" s="260"/>
      <c r="N260" s="975"/>
      <c r="O260" s="975"/>
      <c r="P260" s="975"/>
      <c r="Q260" s="975"/>
      <c r="R260" s="975"/>
      <c r="S260" s="975"/>
      <c r="T260" s="975"/>
    </row>
    <row r="261" spans="1:20" ht="19.95" hidden="1" customHeight="1" x14ac:dyDescent="0.3">
      <c r="A261" s="262" t="s">
        <v>1242</v>
      </c>
      <c r="C261" s="228"/>
      <c r="D261" s="228"/>
      <c r="E261" s="561"/>
      <c r="F261" s="561"/>
      <c r="G261" s="561"/>
      <c r="H261" s="228"/>
      <c r="I261" s="260"/>
      <c r="J261" s="260"/>
      <c r="K261" s="260"/>
      <c r="L261" s="260"/>
      <c r="M261" s="260"/>
      <c r="N261" s="260"/>
      <c r="O261" s="260"/>
      <c r="P261" s="260"/>
      <c r="Q261" s="260"/>
      <c r="R261" s="260"/>
      <c r="S261" s="624"/>
      <c r="T261" s="260"/>
    </row>
    <row r="262" spans="1:20" ht="19.95" hidden="1" customHeight="1" x14ac:dyDescent="0.3">
      <c r="A262" s="262" t="s">
        <v>1242</v>
      </c>
      <c r="C262" s="228"/>
      <c r="D262" s="228"/>
      <c r="E262" s="561"/>
      <c r="F262" s="561"/>
      <c r="G262" s="561"/>
      <c r="H262" s="975" t="s">
        <v>32</v>
      </c>
      <c r="I262" s="975"/>
      <c r="J262" s="562"/>
      <c r="K262" s="975" t="s">
        <v>1407</v>
      </c>
      <c r="L262" s="975"/>
      <c r="M262" s="562"/>
      <c r="N262" s="968" t="s">
        <v>58</v>
      </c>
      <c r="O262" s="968"/>
      <c r="P262" s="968"/>
      <c r="Q262" s="547"/>
      <c r="R262" s="968" t="s">
        <v>57</v>
      </c>
      <c r="S262" s="968"/>
      <c r="T262" s="968"/>
    </row>
    <row r="263" spans="1:20" ht="19.95" hidden="1" customHeight="1" x14ac:dyDescent="0.3">
      <c r="A263" s="262" t="s">
        <v>1242</v>
      </c>
      <c r="C263" s="228"/>
      <c r="D263" s="228"/>
      <c r="E263" s="561"/>
      <c r="F263" s="561"/>
      <c r="G263" s="561"/>
      <c r="H263" s="976" t="s">
        <v>94</v>
      </c>
      <c r="I263" s="976"/>
      <c r="J263" s="623"/>
      <c r="K263" s="976" t="s">
        <v>94</v>
      </c>
      <c r="L263" s="976"/>
      <c r="M263" s="623"/>
      <c r="N263" s="968" t="s">
        <v>1472</v>
      </c>
      <c r="O263" s="968"/>
      <c r="P263" s="968"/>
      <c r="Q263" s="547"/>
      <c r="R263" s="968" t="s">
        <v>1472</v>
      </c>
      <c r="S263" s="968"/>
      <c r="T263" s="968"/>
    </row>
    <row r="264" spans="1:20" ht="19.95" hidden="1" customHeight="1" x14ac:dyDescent="0.3">
      <c r="A264" s="262" t="s">
        <v>1242</v>
      </c>
      <c r="C264" s="228"/>
      <c r="D264" s="228"/>
      <c r="E264" s="561"/>
      <c r="F264" s="561"/>
      <c r="G264" s="561"/>
      <c r="H264" s="976"/>
      <c r="I264" s="976"/>
      <c r="J264" s="623"/>
      <c r="K264" s="976"/>
      <c r="L264" s="976"/>
      <c r="M264" s="623"/>
      <c r="N264" s="968"/>
      <c r="O264" s="968"/>
      <c r="P264" s="968"/>
      <c r="Q264" s="260"/>
      <c r="R264" s="968"/>
      <c r="S264" s="968"/>
      <c r="T264" s="968"/>
    </row>
    <row r="265" spans="1:20" ht="19.95" hidden="1" customHeight="1" x14ac:dyDescent="0.3">
      <c r="A265" s="262" t="s">
        <v>1242</v>
      </c>
      <c r="C265" s="228"/>
      <c r="D265" s="228"/>
      <c r="E265" s="561"/>
      <c r="F265" s="561"/>
      <c r="G265" s="561"/>
      <c r="H265" s="228"/>
      <c r="I265" s="260"/>
      <c r="J265" s="260"/>
      <c r="K265" s="260"/>
      <c r="L265" s="260"/>
      <c r="M265" s="260"/>
      <c r="N265" s="260"/>
      <c r="O265" s="260"/>
      <c r="P265" s="260"/>
      <c r="Q265" s="260"/>
      <c r="R265" s="260"/>
      <c r="S265" s="624"/>
      <c r="T265" s="260"/>
    </row>
    <row r="266" spans="1:20" ht="19.95" hidden="1" customHeight="1" x14ac:dyDescent="0.3">
      <c r="A266" s="262" t="s">
        <v>1242</v>
      </c>
      <c r="C266" s="228"/>
      <c r="D266" s="228"/>
      <c r="E266" s="975" t="s">
        <v>1215</v>
      </c>
      <c r="F266" s="975"/>
      <c r="G266" s="975"/>
      <c r="H266" s="975" t="s">
        <v>1348</v>
      </c>
      <c r="I266" s="975"/>
      <c r="J266" s="975"/>
      <c r="K266" s="975"/>
      <c r="L266" s="975"/>
      <c r="M266" s="562"/>
      <c r="N266" s="977" t="s">
        <v>1217</v>
      </c>
      <c r="O266" s="968"/>
      <c r="P266" s="968"/>
      <c r="Q266" s="968"/>
      <c r="R266" s="968"/>
      <c r="S266" s="968"/>
      <c r="T266" s="968"/>
    </row>
    <row r="267" spans="1:20" ht="19.95" hidden="1" customHeight="1" x14ac:dyDescent="0.3">
      <c r="A267" s="262" t="s">
        <v>1290</v>
      </c>
      <c r="C267" s="228"/>
      <c r="D267" s="228"/>
      <c r="E267" s="975"/>
      <c r="F267" s="975"/>
      <c r="G267" s="975"/>
      <c r="H267" s="975"/>
      <c r="I267" s="975"/>
      <c r="J267" s="975"/>
      <c r="K267" s="975"/>
      <c r="L267" s="975"/>
      <c r="M267" s="562"/>
      <c r="N267" s="968"/>
      <c r="O267" s="968"/>
      <c r="P267" s="968"/>
      <c r="Q267" s="968"/>
      <c r="R267" s="968"/>
      <c r="S267" s="968"/>
      <c r="T267" s="968"/>
    </row>
    <row r="268" spans="1:20" ht="30" hidden="1" customHeight="1" x14ac:dyDescent="0.3">
      <c r="A268" s="262" t="s">
        <v>154</v>
      </c>
      <c r="C268" s="255">
        <v>128</v>
      </c>
      <c r="D268" s="632" t="s">
        <v>475</v>
      </c>
      <c r="E268" s="978" t="s">
        <v>476</v>
      </c>
      <c r="F268" s="979"/>
      <c r="G268" s="980"/>
      <c r="H268" s="546" t="s">
        <v>225</v>
      </c>
      <c r="I268" s="257">
        <v>2311</v>
      </c>
      <c r="J268" s="606"/>
      <c r="K268" s="257">
        <v>240.25</v>
      </c>
      <c r="L268" s="257">
        <f t="shared" ref="L268:L290" si="35">+ROUND(I268*K268,2)</f>
        <v>555217.75</v>
      </c>
      <c r="M268" s="603"/>
      <c r="N268" s="675">
        <f>+'Yeşil Defter'!K262</f>
        <v>0</v>
      </c>
      <c r="O268" s="675">
        <f>+'Yeşil Defter'!L262</f>
        <v>0</v>
      </c>
      <c r="P268" s="675">
        <f>+'Yeşil Defter'!M262</f>
        <v>0</v>
      </c>
      <c r="Q268" s="257"/>
      <c r="R268" s="606">
        <f t="shared" ref="R268:R290" si="36">+ROUND(K268*N268,2)</f>
        <v>0</v>
      </c>
      <c r="S268" s="247">
        <f t="shared" si="30"/>
        <v>0</v>
      </c>
      <c r="T268" s="248">
        <f t="shared" ref="T268:T290" si="37">+ROUND(K268*P268,2)</f>
        <v>0</v>
      </c>
    </row>
    <row r="269" spans="1:20" ht="30" hidden="1" customHeight="1" x14ac:dyDescent="0.3">
      <c r="A269" s="262" t="s">
        <v>154</v>
      </c>
      <c r="C269" s="244">
        <v>129</v>
      </c>
      <c r="D269" s="161" t="s">
        <v>477</v>
      </c>
      <c r="E269" s="969" t="s">
        <v>478</v>
      </c>
      <c r="F269" s="970"/>
      <c r="G269" s="971"/>
      <c r="H269" s="544" t="s">
        <v>225</v>
      </c>
      <c r="I269" s="212">
        <v>3120</v>
      </c>
      <c r="J269" s="605"/>
      <c r="K269" s="212">
        <v>476</v>
      </c>
      <c r="L269" s="212">
        <f t="shared" si="35"/>
        <v>1485120</v>
      </c>
      <c r="M269" s="602"/>
      <c r="N269" s="675">
        <f>+'Yeşil Defter'!K263</f>
        <v>0</v>
      </c>
      <c r="O269" s="675">
        <f>+'Yeşil Defter'!L263</f>
        <v>0</v>
      </c>
      <c r="P269" s="675">
        <f>+'Yeşil Defter'!M263</f>
        <v>0</v>
      </c>
      <c r="Q269" s="212"/>
      <c r="R269" s="605">
        <f t="shared" si="36"/>
        <v>0</v>
      </c>
      <c r="S269" s="225">
        <f t="shared" si="30"/>
        <v>0</v>
      </c>
      <c r="T269" s="237">
        <f t="shared" si="37"/>
        <v>0</v>
      </c>
    </row>
    <row r="270" spans="1:20" ht="30" hidden="1" customHeight="1" x14ac:dyDescent="0.3">
      <c r="A270" s="262" t="s">
        <v>154</v>
      </c>
      <c r="C270" s="244">
        <v>130</v>
      </c>
      <c r="D270" s="161" t="s">
        <v>479</v>
      </c>
      <c r="E270" s="969" t="s">
        <v>480</v>
      </c>
      <c r="F270" s="970"/>
      <c r="G270" s="971"/>
      <c r="H270" s="544" t="s">
        <v>225</v>
      </c>
      <c r="I270" s="212">
        <v>3640</v>
      </c>
      <c r="J270" s="605"/>
      <c r="K270" s="212">
        <v>26.5</v>
      </c>
      <c r="L270" s="212">
        <f t="shared" si="35"/>
        <v>96460</v>
      </c>
      <c r="M270" s="602"/>
      <c r="N270" s="675">
        <f>+'Yeşil Defter'!K264</f>
        <v>0</v>
      </c>
      <c r="O270" s="675">
        <f>+'Yeşil Defter'!L264</f>
        <v>0</v>
      </c>
      <c r="P270" s="675">
        <f>+'Yeşil Defter'!M264</f>
        <v>0</v>
      </c>
      <c r="Q270" s="212"/>
      <c r="R270" s="605">
        <f t="shared" si="36"/>
        <v>0</v>
      </c>
      <c r="S270" s="225">
        <f t="shared" si="30"/>
        <v>0</v>
      </c>
      <c r="T270" s="237">
        <f t="shared" si="37"/>
        <v>0</v>
      </c>
    </row>
    <row r="271" spans="1:20" ht="30" hidden="1" customHeight="1" x14ac:dyDescent="0.3">
      <c r="A271" s="262" t="s">
        <v>154</v>
      </c>
      <c r="C271" s="244">
        <v>131</v>
      </c>
      <c r="D271" s="161" t="s">
        <v>481</v>
      </c>
      <c r="E271" s="969" t="s">
        <v>482</v>
      </c>
      <c r="F271" s="970"/>
      <c r="G271" s="971"/>
      <c r="H271" s="544" t="s">
        <v>225</v>
      </c>
      <c r="I271" s="212">
        <v>2746</v>
      </c>
      <c r="J271" s="605"/>
      <c r="K271" s="212">
        <v>173.36</v>
      </c>
      <c r="L271" s="212">
        <f t="shared" si="35"/>
        <v>476046.56</v>
      </c>
      <c r="M271" s="602"/>
      <c r="N271" s="675">
        <f>+'Yeşil Defter'!K265</f>
        <v>0</v>
      </c>
      <c r="O271" s="675">
        <f>+'Yeşil Defter'!L265</f>
        <v>0</v>
      </c>
      <c r="P271" s="675">
        <f>+'Yeşil Defter'!M265</f>
        <v>0</v>
      </c>
      <c r="Q271" s="212"/>
      <c r="R271" s="605">
        <f t="shared" si="36"/>
        <v>0</v>
      </c>
      <c r="S271" s="225">
        <f t="shared" ref="S271:S346" si="38">+T271-R271</f>
        <v>0</v>
      </c>
      <c r="T271" s="237">
        <f t="shared" si="37"/>
        <v>0</v>
      </c>
    </row>
    <row r="272" spans="1:20" ht="30" hidden="1" customHeight="1" x14ac:dyDescent="0.3">
      <c r="A272" s="262" t="s">
        <v>154</v>
      </c>
      <c r="C272" s="244">
        <v>132</v>
      </c>
      <c r="D272" s="161" t="s">
        <v>483</v>
      </c>
      <c r="E272" s="969" t="s">
        <v>484</v>
      </c>
      <c r="F272" s="970"/>
      <c r="G272" s="971"/>
      <c r="H272" s="544" t="s">
        <v>225</v>
      </c>
      <c r="I272" s="212">
        <v>3081</v>
      </c>
      <c r="J272" s="605"/>
      <c r="K272" s="212">
        <v>28308.66</v>
      </c>
      <c r="L272" s="212">
        <f t="shared" si="35"/>
        <v>87218981.459999993</v>
      </c>
      <c r="M272" s="602"/>
      <c r="N272" s="675">
        <f>+'Yeşil Defter'!K266</f>
        <v>0</v>
      </c>
      <c r="O272" s="675">
        <f>+'Yeşil Defter'!L266</f>
        <v>0</v>
      </c>
      <c r="P272" s="675">
        <f>+'Yeşil Defter'!M266</f>
        <v>0</v>
      </c>
      <c r="Q272" s="212"/>
      <c r="R272" s="605">
        <f t="shared" si="36"/>
        <v>0</v>
      </c>
      <c r="S272" s="225">
        <f t="shared" si="38"/>
        <v>0</v>
      </c>
      <c r="T272" s="237">
        <f t="shared" si="37"/>
        <v>0</v>
      </c>
    </row>
    <row r="273" spans="1:20" ht="30" hidden="1" customHeight="1" x14ac:dyDescent="0.3">
      <c r="A273" s="262" t="s">
        <v>154</v>
      </c>
      <c r="C273" s="244">
        <v>133</v>
      </c>
      <c r="D273" s="213" t="s">
        <v>485</v>
      </c>
      <c r="E273" s="969" t="s">
        <v>486</v>
      </c>
      <c r="F273" s="970"/>
      <c r="G273" s="971"/>
      <c r="H273" s="544" t="s">
        <v>225</v>
      </c>
      <c r="I273" s="212">
        <v>936</v>
      </c>
      <c r="J273" s="605"/>
      <c r="K273" s="212">
        <v>87933.56</v>
      </c>
      <c r="L273" s="212">
        <f t="shared" si="35"/>
        <v>82305812.159999996</v>
      </c>
      <c r="M273" s="602"/>
      <c r="N273" s="675">
        <f>+'Yeşil Defter'!K267</f>
        <v>0</v>
      </c>
      <c r="O273" s="675">
        <f>+'Yeşil Defter'!L267</f>
        <v>0</v>
      </c>
      <c r="P273" s="675">
        <f>+'Yeşil Defter'!M267</f>
        <v>0</v>
      </c>
      <c r="Q273" s="212"/>
      <c r="R273" s="605">
        <f t="shared" si="36"/>
        <v>0</v>
      </c>
      <c r="S273" s="225">
        <f t="shared" si="38"/>
        <v>0</v>
      </c>
      <c r="T273" s="237">
        <f t="shared" si="37"/>
        <v>0</v>
      </c>
    </row>
    <row r="274" spans="1:20" ht="30" hidden="1" customHeight="1" x14ac:dyDescent="0.3">
      <c r="A274" s="262" t="s">
        <v>154</v>
      </c>
      <c r="C274" s="244">
        <v>134</v>
      </c>
      <c r="D274" s="213" t="s">
        <v>487</v>
      </c>
      <c r="E274" s="969" t="s">
        <v>488</v>
      </c>
      <c r="F274" s="970"/>
      <c r="G274" s="971"/>
      <c r="H274" s="544" t="s">
        <v>225</v>
      </c>
      <c r="I274" s="212">
        <v>1014</v>
      </c>
      <c r="J274" s="605"/>
      <c r="K274" s="212">
        <v>400</v>
      </c>
      <c r="L274" s="212">
        <f t="shared" si="35"/>
        <v>405600</v>
      </c>
      <c r="M274" s="602"/>
      <c r="N274" s="675">
        <f>+'Yeşil Defter'!K268</f>
        <v>0</v>
      </c>
      <c r="O274" s="675">
        <f>+'Yeşil Defter'!L268</f>
        <v>0</v>
      </c>
      <c r="P274" s="675">
        <f>+'Yeşil Defter'!M268</f>
        <v>0</v>
      </c>
      <c r="Q274" s="212"/>
      <c r="R274" s="605">
        <f t="shared" si="36"/>
        <v>0</v>
      </c>
      <c r="S274" s="225">
        <f t="shared" si="38"/>
        <v>0</v>
      </c>
      <c r="T274" s="237">
        <f t="shared" si="37"/>
        <v>0</v>
      </c>
    </row>
    <row r="275" spans="1:20" ht="30" hidden="1" customHeight="1" x14ac:dyDescent="0.3">
      <c r="A275" s="262" t="s">
        <v>154</v>
      </c>
      <c r="C275" s="244">
        <v>135</v>
      </c>
      <c r="D275" s="213" t="s">
        <v>489</v>
      </c>
      <c r="E275" s="969" t="s">
        <v>490</v>
      </c>
      <c r="F275" s="970"/>
      <c r="G275" s="971"/>
      <c r="H275" s="544" t="s">
        <v>225</v>
      </c>
      <c r="I275" s="212">
        <v>286</v>
      </c>
      <c r="J275" s="605"/>
      <c r="K275" s="212">
        <v>94845.71</v>
      </c>
      <c r="L275" s="212">
        <f t="shared" si="35"/>
        <v>27125873.059999999</v>
      </c>
      <c r="M275" s="602"/>
      <c r="N275" s="675">
        <f>+'Yeşil Defter'!K269</f>
        <v>0</v>
      </c>
      <c r="O275" s="675">
        <f>+'Yeşil Defter'!L269</f>
        <v>0</v>
      </c>
      <c r="P275" s="675">
        <f>+'Yeşil Defter'!M269</f>
        <v>0</v>
      </c>
      <c r="Q275" s="212"/>
      <c r="R275" s="605">
        <f t="shared" si="36"/>
        <v>0</v>
      </c>
      <c r="S275" s="225">
        <f t="shared" si="38"/>
        <v>0</v>
      </c>
      <c r="T275" s="237">
        <f t="shared" si="37"/>
        <v>0</v>
      </c>
    </row>
    <row r="276" spans="1:20" ht="30" hidden="1" customHeight="1" x14ac:dyDescent="0.3">
      <c r="A276" s="262" t="s">
        <v>154</v>
      </c>
      <c r="C276" s="244">
        <v>136</v>
      </c>
      <c r="D276" s="213" t="s">
        <v>491</v>
      </c>
      <c r="E276" s="969" t="s">
        <v>492</v>
      </c>
      <c r="F276" s="970"/>
      <c r="G276" s="971"/>
      <c r="H276" s="544" t="s">
        <v>225</v>
      </c>
      <c r="I276" s="212">
        <v>11050</v>
      </c>
      <c r="J276" s="605"/>
      <c r="K276" s="212">
        <v>2234.29</v>
      </c>
      <c r="L276" s="212">
        <f t="shared" si="35"/>
        <v>24688904.5</v>
      </c>
      <c r="M276" s="602"/>
      <c r="N276" s="675">
        <f>+'Yeşil Defter'!K270</f>
        <v>0</v>
      </c>
      <c r="O276" s="675">
        <f>+'Yeşil Defter'!L270</f>
        <v>0</v>
      </c>
      <c r="P276" s="675">
        <f>+'Yeşil Defter'!M270</f>
        <v>0</v>
      </c>
      <c r="Q276" s="212"/>
      <c r="R276" s="605">
        <f t="shared" si="36"/>
        <v>0</v>
      </c>
      <c r="S276" s="225">
        <f t="shared" si="38"/>
        <v>0</v>
      </c>
      <c r="T276" s="237">
        <f t="shared" si="37"/>
        <v>0</v>
      </c>
    </row>
    <row r="277" spans="1:20" ht="30" hidden="1" customHeight="1" x14ac:dyDescent="0.3">
      <c r="A277" s="262" t="s">
        <v>154</v>
      </c>
      <c r="C277" s="244">
        <v>137</v>
      </c>
      <c r="D277" s="213" t="s">
        <v>493</v>
      </c>
      <c r="E277" s="969" t="s">
        <v>494</v>
      </c>
      <c r="F277" s="970"/>
      <c r="G277" s="971"/>
      <c r="H277" s="544" t="s">
        <v>202</v>
      </c>
      <c r="I277" s="212">
        <v>9750</v>
      </c>
      <c r="J277" s="605"/>
      <c r="K277" s="212">
        <v>7567.18</v>
      </c>
      <c r="L277" s="212">
        <f t="shared" si="35"/>
        <v>73780005</v>
      </c>
      <c r="M277" s="602"/>
      <c r="N277" s="675">
        <f>+'Yeşil Defter'!K271</f>
        <v>0</v>
      </c>
      <c r="O277" s="675">
        <f>+'Yeşil Defter'!L271</f>
        <v>0</v>
      </c>
      <c r="P277" s="675">
        <f>+'Yeşil Defter'!M271</f>
        <v>0</v>
      </c>
      <c r="Q277" s="212"/>
      <c r="R277" s="605">
        <f t="shared" si="36"/>
        <v>0</v>
      </c>
      <c r="S277" s="225">
        <f t="shared" si="38"/>
        <v>0</v>
      </c>
      <c r="T277" s="237">
        <f t="shared" si="37"/>
        <v>0</v>
      </c>
    </row>
    <row r="278" spans="1:20" ht="30" hidden="1" customHeight="1" x14ac:dyDescent="0.3">
      <c r="A278" s="262" t="s">
        <v>154</v>
      </c>
      <c r="C278" s="244">
        <v>138</v>
      </c>
      <c r="D278" s="213" t="s">
        <v>495</v>
      </c>
      <c r="E278" s="969" t="s">
        <v>496</v>
      </c>
      <c r="F278" s="970"/>
      <c r="G278" s="971"/>
      <c r="H278" s="544" t="s">
        <v>202</v>
      </c>
      <c r="I278" s="212">
        <v>10400</v>
      </c>
      <c r="J278" s="605"/>
      <c r="K278" s="212">
        <v>1532.04</v>
      </c>
      <c r="L278" s="212">
        <f t="shared" si="35"/>
        <v>15933216</v>
      </c>
      <c r="M278" s="602"/>
      <c r="N278" s="675">
        <f>+'Yeşil Defter'!K272</f>
        <v>0</v>
      </c>
      <c r="O278" s="675">
        <f>+'Yeşil Defter'!L272</f>
        <v>0</v>
      </c>
      <c r="P278" s="675">
        <f>+'Yeşil Defter'!M272</f>
        <v>0</v>
      </c>
      <c r="Q278" s="212"/>
      <c r="R278" s="605">
        <f t="shared" si="36"/>
        <v>0</v>
      </c>
      <c r="S278" s="225">
        <f t="shared" si="38"/>
        <v>0</v>
      </c>
      <c r="T278" s="237">
        <f t="shared" si="37"/>
        <v>0</v>
      </c>
    </row>
    <row r="279" spans="1:20" ht="30" hidden="1" customHeight="1" x14ac:dyDescent="0.3">
      <c r="A279" s="262" t="s">
        <v>154</v>
      </c>
      <c r="C279" s="244">
        <v>139</v>
      </c>
      <c r="D279" s="213" t="s">
        <v>497</v>
      </c>
      <c r="E279" s="969" t="s">
        <v>498</v>
      </c>
      <c r="F279" s="970"/>
      <c r="G279" s="971"/>
      <c r="H279" s="544" t="s">
        <v>202</v>
      </c>
      <c r="I279" s="212">
        <v>7150</v>
      </c>
      <c r="J279" s="605"/>
      <c r="K279" s="212">
        <v>9871.18</v>
      </c>
      <c r="L279" s="212">
        <f t="shared" si="35"/>
        <v>70578937</v>
      </c>
      <c r="M279" s="602"/>
      <c r="N279" s="675">
        <f>+'Yeşil Defter'!K273</f>
        <v>0</v>
      </c>
      <c r="O279" s="675">
        <f>+'Yeşil Defter'!L273</f>
        <v>0</v>
      </c>
      <c r="P279" s="675">
        <f>+'Yeşil Defter'!M273</f>
        <v>0</v>
      </c>
      <c r="Q279" s="212"/>
      <c r="R279" s="605">
        <f t="shared" si="36"/>
        <v>0</v>
      </c>
      <c r="S279" s="225">
        <f t="shared" si="38"/>
        <v>0</v>
      </c>
      <c r="T279" s="237">
        <f t="shared" si="37"/>
        <v>0</v>
      </c>
    </row>
    <row r="280" spans="1:20" ht="30" hidden="1" customHeight="1" x14ac:dyDescent="0.3">
      <c r="A280" s="262" t="s">
        <v>154</v>
      </c>
      <c r="C280" s="244">
        <v>140</v>
      </c>
      <c r="D280" s="213" t="s">
        <v>499</v>
      </c>
      <c r="E280" s="969" t="s">
        <v>500</v>
      </c>
      <c r="F280" s="970"/>
      <c r="G280" s="971"/>
      <c r="H280" s="544" t="s">
        <v>225</v>
      </c>
      <c r="I280" s="212">
        <v>17550</v>
      </c>
      <c r="J280" s="605"/>
      <c r="K280" s="212">
        <v>120</v>
      </c>
      <c r="L280" s="212">
        <f t="shared" si="35"/>
        <v>2106000</v>
      </c>
      <c r="M280" s="602"/>
      <c r="N280" s="675">
        <f>+'Yeşil Defter'!K274</f>
        <v>0</v>
      </c>
      <c r="O280" s="675">
        <f>+'Yeşil Defter'!L274</f>
        <v>0</v>
      </c>
      <c r="P280" s="675">
        <f>+'Yeşil Defter'!M274</f>
        <v>0</v>
      </c>
      <c r="Q280" s="212"/>
      <c r="R280" s="605">
        <f t="shared" si="36"/>
        <v>0</v>
      </c>
      <c r="S280" s="225">
        <f t="shared" si="38"/>
        <v>0</v>
      </c>
      <c r="T280" s="237">
        <f t="shared" si="37"/>
        <v>0</v>
      </c>
    </row>
    <row r="281" spans="1:20" ht="30" hidden="1" customHeight="1" x14ac:dyDescent="0.3">
      <c r="A281" s="262" t="s">
        <v>154</v>
      </c>
      <c r="C281" s="244">
        <v>141</v>
      </c>
      <c r="D281" s="213" t="s">
        <v>501</v>
      </c>
      <c r="E281" s="969" t="s">
        <v>502</v>
      </c>
      <c r="F281" s="970"/>
      <c r="G281" s="971"/>
      <c r="H281" s="544" t="s">
        <v>202</v>
      </c>
      <c r="I281" s="212">
        <v>7800</v>
      </c>
      <c r="J281" s="605"/>
      <c r="K281" s="212">
        <v>463.6</v>
      </c>
      <c r="L281" s="212">
        <f t="shared" si="35"/>
        <v>3616080</v>
      </c>
      <c r="M281" s="602"/>
      <c r="N281" s="675">
        <f>+'Yeşil Defter'!K275</f>
        <v>0</v>
      </c>
      <c r="O281" s="675">
        <f>+'Yeşil Defter'!L275</f>
        <v>0</v>
      </c>
      <c r="P281" s="675">
        <f>+'Yeşil Defter'!M275</f>
        <v>0</v>
      </c>
      <c r="Q281" s="212"/>
      <c r="R281" s="605">
        <f t="shared" si="36"/>
        <v>0</v>
      </c>
      <c r="S281" s="225">
        <f t="shared" si="38"/>
        <v>0</v>
      </c>
      <c r="T281" s="237">
        <f t="shared" si="37"/>
        <v>0</v>
      </c>
    </row>
    <row r="282" spans="1:20" ht="30" hidden="1" customHeight="1" x14ac:dyDescent="0.3">
      <c r="A282" s="262" t="s">
        <v>154</v>
      </c>
      <c r="C282" s="244">
        <v>142</v>
      </c>
      <c r="D282" s="213" t="s">
        <v>503</v>
      </c>
      <c r="E282" s="969" t="s">
        <v>504</v>
      </c>
      <c r="F282" s="970"/>
      <c r="G282" s="971"/>
      <c r="H282" s="544" t="s">
        <v>247</v>
      </c>
      <c r="I282" s="212">
        <v>13000</v>
      </c>
      <c r="J282" s="605"/>
      <c r="K282" s="212">
        <v>262</v>
      </c>
      <c r="L282" s="212">
        <f t="shared" si="35"/>
        <v>3406000</v>
      </c>
      <c r="M282" s="602"/>
      <c r="N282" s="675">
        <f>+'Yeşil Defter'!K276</f>
        <v>0</v>
      </c>
      <c r="O282" s="675">
        <f>+'Yeşil Defter'!L276</f>
        <v>0</v>
      </c>
      <c r="P282" s="675">
        <f>+'Yeşil Defter'!M276</f>
        <v>0</v>
      </c>
      <c r="Q282" s="212"/>
      <c r="R282" s="605">
        <f t="shared" si="36"/>
        <v>0</v>
      </c>
      <c r="S282" s="225">
        <f t="shared" si="38"/>
        <v>0</v>
      </c>
      <c r="T282" s="237">
        <f t="shared" si="37"/>
        <v>0</v>
      </c>
    </row>
    <row r="283" spans="1:20" ht="30" hidden="1" customHeight="1" x14ac:dyDescent="0.3">
      <c r="A283" s="262" t="s">
        <v>154</v>
      </c>
      <c r="C283" s="244">
        <v>143</v>
      </c>
      <c r="D283" s="161" t="s">
        <v>505</v>
      </c>
      <c r="E283" s="969" t="s">
        <v>506</v>
      </c>
      <c r="F283" s="970"/>
      <c r="G283" s="971"/>
      <c r="H283" s="544" t="s">
        <v>247</v>
      </c>
      <c r="I283" s="212">
        <v>5525</v>
      </c>
      <c r="J283" s="605"/>
      <c r="K283" s="212">
        <v>191</v>
      </c>
      <c r="L283" s="212">
        <f t="shared" si="35"/>
        <v>1055275</v>
      </c>
      <c r="M283" s="602"/>
      <c r="N283" s="675">
        <f>+'Yeşil Defter'!K277</f>
        <v>0</v>
      </c>
      <c r="O283" s="675">
        <f>+'Yeşil Defter'!L277</f>
        <v>0</v>
      </c>
      <c r="P283" s="675">
        <f>+'Yeşil Defter'!M277</f>
        <v>0</v>
      </c>
      <c r="Q283" s="212"/>
      <c r="R283" s="605">
        <f t="shared" si="36"/>
        <v>0</v>
      </c>
      <c r="S283" s="225">
        <f t="shared" si="38"/>
        <v>0</v>
      </c>
      <c r="T283" s="237">
        <f t="shared" si="37"/>
        <v>0</v>
      </c>
    </row>
    <row r="284" spans="1:20" ht="30" hidden="1" customHeight="1" x14ac:dyDescent="0.3">
      <c r="A284" s="262" t="s">
        <v>154</v>
      </c>
      <c r="C284" s="244">
        <v>144</v>
      </c>
      <c r="D284" s="161" t="s">
        <v>507</v>
      </c>
      <c r="E284" s="969" t="s">
        <v>508</v>
      </c>
      <c r="F284" s="970"/>
      <c r="G284" s="971"/>
      <c r="H284" s="544" t="s">
        <v>247</v>
      </c>
      <c r="I284" s="212">
        <v>9490</v>
      </c>
      <c r="J284" s="605"/>
      <c r="K284" s="212">
        <v>76</v>
      </c>
      <c r="L284" s="212">
        <f t="shared" si="35"/>
        <v>721240</v>
      </c>
      <c r="M284" s="602"/>
      <c r="N284" s="675">
        <f>+'Yeşil Defter'!K278</f>
        <v>0</v>
      </c>
      <c r="O284" s="675">
        <f>+'Yeşil Defter'!L278</f>
        <v>0</v>
      </c>
      <c r="P284" s="675">
        <f>+'Yeşil Defter'!M278</f>
        <v>0</v>
      </c>
      <c r="Q284" s="212"/>
      <c r="R284" s="605">
        <f t="shared" si="36"/>
        <v>0</v>
      </c>
      <c r="S284" s="225">
        <f t="shared" si="38"/>
        <v>0</v>
      </c>
      <c r="T284" s="237">
        <f t="shared" si="37"/>
        <v>0</v>
      </c>
    </row>
    <row r="285" spans="1:20" ht="30" hidden="1" customHeight="1" x14ac:dyDescent="0.3">
      <c r="A285" s="262" t="s">
        <v>154</v>
      </c>
      <c r="C285" s="244">
        <v>145</v>
      </c>
      <c r="D285" s="161" t="s">
        <v>509</v>
      </c>
      <c r="E285" s="969" t="s">
        <v>510</v>
      </c>
      <c r="F285" s="970"/>
      <c r="G285" s="971"/>
      <c r="H285" s="544" t="s">
        <v>247</v>
      </c>
      <c r="I285" s="212">
        <v>40950</v>
      </c>
      <c r="J285" s="605"/>
      <c r="K285" s="212">
        <v>46</v>
      </c>
      <c r="L285" s="212">
        <f t="shared" si="35"/>
        <v>1883700</v>
      </c>
      <c r="M285" s="602"/>
      <c r="N285" s="675">
        <f>+'Yeşil Defter'!K279</f>
        <v>0</v>
      </c>
      <c r="O285" s="675">
        <f>+'Yeşil Defter'!L279</f>
        <v>0</v>
      </c>
      <c r="P285" s="675">
        <f>+'Yeşil Defter'!M279</f>
        <v>0</v>
      </c>
      <c r="Q285" s="212"/>
      <c r="R285" s="605">
        <f t="shared" si="36"/>
        <v>0</v>
      </c>
      <c r="S285" s="225">
        <f t="shared" si="38"/>
        <v>0</v>
      </c>
      <c r="T285" s="237">
        <f t="shared" si="37"/>
        <v>0</v>
      </c>
    </row>
    <row r="286" spans="1:20" ht="30" hidden="1" customHeight="1" x14ac:dyDescent="0.3">
      <c r="A286" s="262" t="s">
        <v>154</v>
      </c>
      <c r="C286" s="244">
        <v>146</v>
      </c>
      <c r="D286" s="161" t="s">
        <v>511</v>
      </c>
      <c r="E286" s="969" t="s">
        <v>512</v>
      </c>
      <c r="F286" s="970"/>
      <c r="G286" s="971"/>
      <c r="H286" s="544" t="s">
        <v>247</v>
      </c>
      <c r="I286" s="212">
        <v>32500</v>
      </c>
      <c r="J286" s="605"/>
      <c r="K286" s="212">
        <v>61</v>
      </c>
      <c r="L286" s="212">
        <f t="shared" si="35"/>
        <v>1982500</v>
      </c>
      <c r="M286" s="602"/>
      <c r="N286" s="675">
        <f>+'Yeşil Defter'!K280</f>
        <v>0</v>
      </c>
      <c r="O286" s="675">
        <f>+'Yeşil Defter'!L280</f>
        <v>0</v>
      </c>
      <c r="P286" s="675">
        <f>+'Yeşil Defter'!M280</f>
        <v>0</v>
      </c>
      <c r="Q286" s="212"/>
      <c r="R286" s="605">
        <f t="shared" si="36"/>
        <v>0</v>
      </c>
      <c r="S286" s="225">
        <f t="shared" si="38"/>
        <v>0</v>
      </c>
      <c r="T286" s="237">
        <f t="shared" si="37"/>
        <v>0</v>
      </c>
    </row>
    <row r="287" spans="1:20" ht="30" hidden="1" customHeight="1" x14ac:dyDescent="0.3">
      <c r="A287" s="262" t="s">
        <v>154</v>
      </c>
      <c r="C287" s="244">
        <v>147</v>
      </c>
      <c r="D287" s="161" t="s">
        <v>513</v>
      </c>
      <c r="E287" s="969" t="s">
        <v>514</v>
      </c>
      <c r="F287" s="970"/>
      <c r="G287" s="971"/>
      <c r="H287" s="544" t="s">
        <v>247</v>
      </c>
      <c r="I287" s="212">
        <v>5590</v>
      </c>
      <c r="J287" s="605"/>
      <c r="K287" s="212">
        <v>90</v>
      </c>
      <c r="L287" s="212">
        <f t="shared" si="35"/>
        <v>503100</v>
      </c>
      <c r="M287" s="602"/>
      <c r="N287" s="675">
        <f>+'Yeşil Defter'!K281</f>
        <v>0</v>
      </c>
      <c r="O287" s="675">
        <f>+'Yeşil Defter'!L281</f>
        <v>0</v>
      </c>
      <c r="P287" s="675">
        <f>+'Yeşil Defter'!M281</f>
        <v>0</v>
      </c>
      <c r="Q287" s="212"/>
      <c r="R287" s="605">
        <f t="shared" si="36"/>
        <v>0</v>
      </c>
      <c r="S287" s="225">
        <f t="shared" si="38"/>
        <v>0</v>
      </c>
      <c r="T287" s="237">
        <f t="shared" si="37"/>
        <v>0</v>
      </c>
    </row>
    <row r="288" spans="1:20" ht="30" hidden="1" customHeight="1" x14ac:dyDescent="0.3">
      <c r="A288" s="262" t="s">
        <v>154</v>
      </c>
      <c r="C288" s="244">
        <v>148</v>
      </c>
      <c r="D288" s="161" t="s">
        <v>515</v>
      </c>
      <c r="E288" s="969" t="s">
        <v>516</v>
      </c>
      <c r="F288" s="970"/>
      <c r="G288" s="971"/>
      <c r="H288" s="544" t="s">
        <v>247</v>
      </c>
      <c r="I288" s="212">
        <v>2860</v>
      </c>
      <c r="J288" s="605"/>
      <c r="K288" s="212">
        <v>52</v>
      </c>
      <c r="L288" s="212">
        <f t="shared" si="35"/>
        <v>148720</v>
      </c>
      <c r="M288" s="602"/>
      <c r="N288" s="675">
        <f>+'Yeşil Defter'!K295</f>
        <v>0</v>
      </c>
      <c r="O288" s="675">
        <f>+'Yeşil Defter'!L295</f>
        <v>0</v>
      </c>
      <c r="P288" s="675">
        <f>+'Yeşil Defter'!M295</f>
        <v>0</v>
      </c>
      <c r="Q288" s="212"/>
      <c r="R288" s="605">
        <f t="shared" si="36"/>
        <v>0</v>
      </c>
      <c r="S288" s="225">
        <f t="shared" si="38"/>
        <v>0</v>
      </c>
      <c r="T288" s="237">
        <f t="shared" si="37"/>
        <v>0</v>
      </c>
    </row>
    <row r="289" spans="1:20" ht="30" hidden="1" customHeight="1" x14ac:dyDescent="0.3">
      <c r="A289" s="262" t="s">
        <v>154</v>
      </c>
      <c r="C289" s="244">
        <v>149</v>
      </c>
      <c r="D289" s="161" t="s">
        <v>517</v>
      </c>
      <c r="E289" s="969" t="s">
        <v>518</v>
      </c>
      <c r="F289" s="970"/>
      <c r="G289" s="971"/>
      <c r="H289" s="544" t="s">
        <v>247</v>
      </c>
      <c r="I289" s="212">
        <v>5460</v>
      </c>
      <c r="J289" s="605"/>
      <c r="K289" s="212">
        <v>512</v>
      </c>
      <c r="L289" s="212">
        <f t="shared" si="35"/>
        <v>2795520</v>
      </c>
      <c r="M289" s="602"/>
      <c r="N289" s="675">
        <f>+'Yeşil Defter'!K296</f>
        <v>0</v>
      </c>
      <c r="O289" s="675">
        <f>+'Yeşil Defter'!L296</f>
        <v>0</v>
      </c>
      <c r="P289" s="675">
        <f>+'Yeşil Defter'!M296</f>
        <v>0</v>
      </c>
      <c r="Q289" s="212"/>
      <c r="R289" s="605">
        <f t="shared" si="36"/>
        <v>0</v>
      </c>
      <c r="S289" s="225">
        <f t="shared" si="38"/>
        <v>0</v>
      </c>
      <c r="T289" s="237">
        <f t="shared" si="37"/>
        <v>0</v>
      </c>
    </row>
    <row r="290" spans="1:20" ht="30" hidden="1" customHeight="1" x14ac:dyDescent="0.3">
      <c r="A290" s="262" t="s">
        <v>154</v>
      </c>
      <c r="C290" s="244">
        <v>150</v>
      </c>
      <c r="D290" s="161" t="s">
        <v>519</v>
      </c>
      <c r="E290" s="969" t="s">
        <v>520</v>
      </c>
      <c r="F290" s="970"/>
      <c r="G290" s="971"/>
      <c r="H290" s="544" t="s">
        <v>247</v>
      </c>
      <c r="I290" s="212">
        <v>5460</v>
      </c>
      <c r="J290" s="605"/>
      <c r="K290" s="212">
        <v>90</v>
      </c>
      <c r="L290" s="212">
        <f t="shared" si="35"/>
        <v>491400</v>
      </c>
      <c r="M290" s="602"/>
      <c r="N290" s="675">
        <f>+'Yeşil Defter'!K297</f>
        <v>0</v>
      </c>
      <c r="O290" s="675">
        <f>+'Yeşil Defter'!L297</f>
        <v>0</v>
      </c>
      <c r="P290" s="675">
        <f>+'Yeşil Defter'!M297</f>
        <v>0</v>
      </c>
      <c r="Q290" s="212"/>
      <c r="R290" s="605">
        <f t="shared" si="36"/>
        <v>0</v>
      </c>
      <c r="S290" s="225">
        <f t="shared" si="38"/>
        <v>0</v>
      </c>
      <c r="T290" s="237">
        <f t="shared" si="37"/>
        <v>0</v>
      </c>
    </row>
    <row r="291" spans="1:20" ht="40.049999999999997" hidden="1" customHeight="1" x14ac:dyDescent="0.3">
      <c r="A291" s="262" t="s">
        <v>1242</v>
      </c>
      <c r="C291" s="258"/>
      <c r="D291" s="258"/>
      <c r="E291" s="972" t="s">
        <v>33</v>
      </c>
      <c r="F291" s="972"/>
      <c r="G291" s="972"/>
      <c r="H291" s="973" t="s">
        <v>29</v>
      </c>
      <c r="I291" s="973"/>
      <c r="J291" s="973"/>
      <c r="K291" s="973"/>
      <c r="L291" s="973"/>
      <c r="M291" s="549"/>
      <c r="N291" s="973" t="s">
        <v>22</v>
      </c>
      <c r="O291" s="973"/>
      <c r="P291" s="973"/>
      <c r="Q291" s="973"/>
      <c r="R291" s="973"/>
      <c r="S291" s="973"/>
      <c r="T291" s="973"/>
    </row>
    <row r="292" spans="1:20" ht="19.95" hidden="1" customHeight="1" x14ac:dyDescent="0.3">
      <c r="A292" s="262" t="s">
        <v>1242</v>
      </c>
      <c r="D292" s="28"/>
      <c r="E292" s="974" t="s">
        <v>1214</v>
      </c>
      <c r="F292" s="974"/>
      <c r="G292" s="974"/>
      <c r="H292" s="975" t="s">
        <v>38</v>
      </c>
      <c r="I292" s="975"/>
      <c r="J292" s="975"/>
      <c r="K292" s="975"/>
      <c r="L292" s="975"/>
      <c r="M292" s="562"/>
      <c r="N292" s="975" t="s">
        <v>1437</v>
      </c>
      <c r="O292" s="975"/>
      <c r="P292" s="975"/>
      <c r="Q292" s="975"/>
      <c r="R292" s="975"/>
      <c r="S292" s="975"/>
      <c r="T292" s="975"/>
    </row>
    <row r="293" spans="1:20" ht="19.95" hidden="1" customHeight="1" x14ac:dyDescent="0.3">
      <c r="A293" s="262" t="s">
        <v>1242</v>
      </c>
      <c r="C293" s="228"/>
      <c r="D293" s="228"/>
      <c r="E293" s="561"/>
      <c r="F293" s="561"/>
      <c r="G293" s="561"/>
      <c r="H293" s="228"/>
      <c r="I293" s="260"/>
      <c r="J293" s="260"/>
      <c r="K293" s="260"/>
      <c r="L293" s="260"/>
      <c r="M293" s="260"/>
      <c r="N293" s="975"/>
      <c r="O293" s="975"/>
      <c r="P293" s="975"/>
      <c r="Q293" s="975"/>
      <c r="R293" s="975"/>
      <c r="S293" s="975"/>
      <c r="T293" s="975"/>
    </row>
    <row r="294" spans="1:20" ht="19.95" hidden="1" customHeight="1" x14ac:dyDescent="0.3">
      <c r="A294" s="262" t="s">
        <v>1242</v>
      </c>
      <c r="C294" s="228"/>
      <c r="D294" s="228"/>
      <c r="E294" s="561"/>
      <c r="F294" s="561"/>
      <c r="G294" s="561"/>
      <c r="H294" s="228"/>
      <c r="I294" s="260"/>
      <c r="J294" s="260"/>
      <c r="K294" s="260"/>
      <c r="L294" s="260"/>
      <c r="M294" s="260"/>
      <c r="N294" s="975"/>
      <c r="O294" s="975"/>
      <c r="P294" s="975"/>
      <c r="Q294" s="975"/>
      <c r="R294" s="975"/>
      <c r="S294" s="975"/>
      <c r="T294" s="975"/>
    </row>
    <row r="295" spans="1:20" ht="19.95" hidden="1" customHeight="1" x14ac:dyDescent="0.3">
      <c r="A295" s="262" t="s">
        <v>1242</v>
      </c>
      <c r="C295" s="228"/>
      <c r="D295" s="228"/>
      <c r="E295" s="561"/>
      <c r="F295" s="561"/>
      <c r="G295" s="561"/>
      <c r="H295" s="228"/>
      <c r="I295" s="260"/>
      <c r="J295" s="260"/>
      <c r="K295" s="260"/>
      <c r="L295" s="260"/>
      <c r="M295" s="260"/>
      <c r="N295" s="260"/>
      <c r="O295" s="260"/>
      <c r="P295" s="260"/>
      <c r="Q295" s="260"/>
      <c r="R295" s="260"/>
      <c r="S295" s="624"/>
      <c r="T295" s="260"/>
    </row>
    <row r="296" spans="1:20" ht="19.95" hidden="1" customHeight="1" x14ac:dyDescent="0.3">
      <c r="A296" s="262" t="s">
        <v>1242</v>
      </c>
      <c r="C296" s="228"/>
      <c r="D296" s="228"/>
      <c r="E296" s="561"/>
      <c r="F296" s="561"/>
      <c r="G296" s="561"/>
      <c r="H296" s="975" t="s">
        <v>32</v>
      </c>
      <c r="I296" s="975"/>
      <c r="J296" s="562"/>
      <c r="K296" s="975" t="s">
        <v>1407</v>
      </c>
      <c r="L296" s="975"/>
      <c r="M296" s="562"/>
      <c r="N296" s="968" t="s">
        <v>58</v>
      </c>
      <c r="O296" s="968"/>
      <c r="P296" s="968"/>
      <c r="Q296" s="547"/>
      <c r="R296" s="968" t="s">
        <v>57</v>
      </c>
      <c r="S296" s="968"/>
      <c r="T296" s="968"/>
    </row>
    <row r="297" spans="1:20" ht="19.95" hidden="1" customHeight="1" x14ac:dyDescent="0.3">
      <c r="A297" s="262" t="s">
        <v>1242</v>
      </c>
      <c r="C297" s="228"/>
      <c r="D297" s="228"/>
      <c r="E297" s="561"/>
      <c r="F297" s="561"/>
      <c r="G297" s="561"/>
      <c r="H297" s="976" t="s">
        <v>94</v>
      </c>
      <c r="I297" s="976"/>
      <c r="J297" s="623"/>
      <c r="K297" s="976" t="s">
        <v>94</v>
      </c>
      <c r="L297" s="976"/>
      <c r="M297" s="623"/>
      <c r="N297" s="968" t="s">
        <v>1472</v>
      </c>
      <c r="O297" s="968"/>
      <c r="P297" s="968"/>
      <c r="Q297" s="547"/>
      <c r="R297" s="968" t="s">
        <v>1472</v>
      </c>
      <c r="S297" s="968"/>
      <c r="T297" s="968"/>
    </row>
    <row r="298" spans="1:20" ht="19.95" hidden="1" customHeight="1" x14ac:dyDescent="0.3">
      <c r="A298" s="262" t="s">
        <v>1242</v>
      </c>
      <c r="C298" s="228"/>
      <c r="D298" s="228"/>
      <c r="E298" s="561"/>
      <c r="F298" s="561"/>
      <c r="G298" s="561"/>
      <c r="H298" s="976"/>
      <c r="I298" s="976"/>
      <c r="J298" s="623"/>
      <c r="K298" s="976"/>
      <c r="L298" s="976"/>
      <c r="M298" s="623"/>
      <c r="N298" s="968"/>
      <c r="O298" s="968"/>
      <c r="P298" s="968"/>
      <c r="Q298" s="260"/>
      <c r="R298" s="968"/>
      <c r="S298" s="968"/>
      <c r="T298" s="968"/>
    </row>
    <row r="299" spans="1:20" ht="19.95" hidden="1" customHeight="1" x14ac:dyDescent="0.3">
      <c r="A299" s="262" t="s">
        <v>1242</v>
      </c>
      <c r="C299" s="228"/>
      <c r="D299" s="228"/>
      <c r="E299" s="561"/>
      <c r="F299" s="561"/>
      <c r="G299" s="561"/>
      <c r="H299" s="228"/>
      <c r="I299" s="260"/>
      <c r="J299" s="260"/>
      <c r="K299" s="260"/>
      <c r="L299" s="260"/>
      <c r="M299" s="260"/>
      <c r="N299" s="260"/>
      <c r="O299" s="260"/>
      <c r="P299" s="260"/>
      <c r="Q299" s="260"/>
      <c r="R299" s="260"/>
      <c r="S299" s="624"/>
      <c r="T299" s="260"/>
    </row>
    <row r="300" spans="1:20" ht="19.95" hidden="1" customHeight="1" x14ac:dyDescent="0.3">
      <c r="A300" s="262" t="s">
        <v>1242</v>
      </c>
      <c r="C300" s="228"/>
      <c r="D300" s="228"/>
      <c r="E300" s="975" t="s">
        <v>1215</v>
      </c>
      <c r="F300" s="975"/>
      <c r="G300" s="975"/>
      <c r="H300" s="975" t="s">
        <v>1348</v>
      </c>
      <c r="I300" s="975"/>
      <c r="J300" s="975"/>
      <c r="K300" s="975"/>
      <c r="L300" s="975"/>
      <c r="M300" s="562"/>
      <c r="N300" s="977" t="s">
        <v>1217</v>
      </c>
      <c r="O300" s="968"/>
      <c r="P300" s="968"/>
      <c r="Q300" s="968"/>
      <c r="R300" s="968"/>
      <c r="S300" s="968"/>
      <c r="T300" s="968"/>
    </row>
    <row r="301" spans="1:20" ht="19.95" hidden="1" customHeight="1" x14ac:dyDescent="0.3">
      <c r="A301" s="262" t="s">
        <v>1290</v>
      </c>
      <c r="C301" s="228"/>
      <c r="D301" s="228"/>
      <c r="E301" s="975"/>
      <c r="F301" s="975"/>
      <c r="G301" s="975"/>
      <c r="H301" s="975"/>
      <c r="I301" s="975"/>
      <c r="J301" s="975"/>
      <c r="K301" s="975"/>
      <c r="L301" s="975"/>
      <c r="M301" s="562"/>
      <c r="N301" s="968"/>
      <c r="O301" s="968"/>
      <c r="P301" s="968"/>
      <c r="Q301" s="968"/>
      <c r="R301" s="968"/>
      <c r="S301" s="968"/>
      <c r="T301" s="968"/>
    </row>
    <row r="302" spans="1:20" ht="30" hidden="1" customHeight="1" x14ac:dyDescent="0.3">
      <c r="A302" s="262" t="s">
        <v>154</v>
      </c>
      <c r="C302" s="255">
        <v>151</v>
      </c>
      <c r="D302" s="256" t="s">
        <v>521</v>
      </c>
      <c r="E302" s="978" t="s">
        <v>522</v>
      </c>
      <c r="F302" s="979"/>
      <c r="G302" s="980"/>
      <c r="H302" s="546" t="s">
        <v>247</v>
      </c>
      <c r="I302" s="257">
        <v>46800</v>
      </c>
      <c r="J302" s="606"/>
      <c r="K302" s="257">
        <v>8</v>
      </c>
      <c r="L302" s="257">
        <f t="shared" ref="L302:L324" si="39">+ROUND(I302*K302,2)</f>
        <v>374400</v>
      </c>
      <c r="M302" s="603"/>
      <c r="N302" s="675">
        <f>+'Yeşil Defter'!K298</f>
        <v>0</v>
      </c>
      <c r="O302" s="675">
        <f>+'Yeşil Defter'!L298</f>
        <v>0</v>
      </c>
      <c r="P302" s="675">
        <f>+'Yeşil Defter'!M298</f>
        <v>0</v>
      </c>
      <c r="Q302" s="257"/>
      <c r="R302" s="606">
        <f t="shared" ref="R302:R324" si="40">+ROUND(K302*N302,2)</f>
        <v>0</v>
      </c>
      <c r="S302" s="247">
        <f t="shared" si="38"/>
        <v>0</v>
      </c>
      <c r="T302" s="248">
        <f t="shared" ref="T302:T324" si="41">+ROUND(K302*P302,2)</f>
        <v>0</v>
      </c>
    </row>
    <row r="303" spans="1:20" ht="30" hidden="1" customHeight="1" x14ac:dyDescent="0.3">
      <c r="A303" s="262" t="s">
        <v>154</v>
      </c>
      <c r="C303" s="244">
        <v>152</v>
      </c>
      <c r="D303" s="161" t="s">
        <v>523</v>
      </c>
      <c r="E303" s="969" t="s">
        <v>524</v>
      </c>
      <c r="F303" s="970"/>
      <c r="G303" s="971"/>
      <c r="H303" s="544" t="s">
        <v>247</v>
      </c>
      <c r="I303" s="212">
        <v>42900</v>
      </c>
      <c r="J303" s="605"/>
      <c r="K303" s="212">
        <v>8</v>
      </c>
      <c r="L303" s="212">
        <f t="shared" si="39"/>
        <v>343200</v>
      </c>
      <c r="M303" s="602"/>
      <c r="N303" s="675">
        <f>+'Yeşil Defter'!K299</f>
        <v>0</v>
      </c>
      <c r="O303" s="675">
        <f>+'Yeşil Defter'!L299</f>
        <v>0</v>
      </c>
      <c r="P303" s="675">
        <f>+'Yeşil Defter'!M299</f>
        <v>0</v>
      </c>
      <c r="Q303" s="212"/>
      <c r="R303" s="605">
        <f t="shared" si="40"/>
        <v>0</v>
      </c>
      <c r="S303" s="225">
        <f t="shared" si="38"/>
        <v>0</v>
      </c>
      <c r="T303" s="237">
        <f t="shared" si="41"/>
        <v>0</v>
      </c>
    </row>
    <row r="304" spans="1:20" ht="30" hidden="1" customHeight="1" x14ac:dyDescent="0.3">
      <c r="A304" s="262" t="s">
        <v>154</v>
      </c>
      <c r="C304" s="244">
        <v>153</v>
      </c>
      <c r="D304" s="161" t="s">
        <v>525</v>
      </c>
      <c r="E304" s="969" t="s">
        <v>526</v>
      </c>
      <c r="F304" s="970"/>
      <c r="G304" s="971"/>
      <c r="H304" s="544" t="s">
        <v>247</v>
      </c>
      <c r="I304" s="212">
        <v>36400</v>
      </c>
      <c r="J304" s="605"/>
      <c r="K304" s="212">
        <v>3</v>
      </c>
      <c r="L304" s="212">
        <f t="shared" si="39"/>
        <v>109200</v>
      </c>
      <c r="M304" s="602"/>
      <c r="N304" s="675">
        <f>+'Yeşil Defter'!K300</f>
        <v>0</v>
      </c>
      <c r="O304" s="675">
        <f>+'Yeşil Defter'!L300</f>
        <v>0</v>
      </c>
      <c r="P304" s="675">
        <f>+'Yeşil Defter'!M300</f>
        <v>0</v>
      </c>
      <c r="Q304" s="212"/>
      <c r="R304" s="605">
        <f t="shared" si="40"/>
        <v>0</v>
      </c>
      <c r="S304" s="225">
        <f t="shared" si="38"/>
        <v>0</v>
      </c>
      <c r="T304" s="237">
        <f t="shared" si="41"/>
        <v>0</v>
      </c>
    </row>
    <row r="305" spans="1:20" ht="30" hidden="1" customHeight="1" x14ac:dyDescent="0.3">
      <c r="A305" s="262" t="s">
        <v>154</v>
      </c>
      <c r="C305" s="244">
        <v>154</v>
      </c>
      <c r="D305" s="161" t="s">
        <v>527</v>
      </c>
      <c r="E305" s="969" t="s">
        <v>528</v>
      </c>
      <c r="F305" s="970"/>
      <c r="G305" s="971"/>
      <c r="H305" s="544" t="s">
        <v>247</v>
      </c>
      <c r="I305" s="212">
        <v>31200</v>
      </c>
      <c r="J305" s="605"/>
      <c r="K305" s="212">
        <v>5</v>
      </c>
      <c r="L305" s="212">
        <f t="shared" si="39"/>
        <v>156000</v>
      </c>
      <c r="M305" s="602"/>
      <c r="N305" s="675">
        <f>+'Yeşil Defter'!K301</f>
        <v>0</v>
      </c>
      <c r="O305" s="675">
        <f>+'Yeşil Defter'!L301</f>
        <v>0</v>
      </c>
      <c r="P305" s="675">
        <f>+'Yeşil Defter'!M301</f>
        <v>0</v>
      </c>
      <c r="Q305" s="212"/>
      <c r="R305" s="605">
        <f t="shared" si="40"/>
        <v>0</v>
      </c>
      <c r="S305" s="225">
        <f t="shared" si="38"/>
        <v>0</v>
      </c>
      <c r="T305" s="237">
        <f t="shared" si="41"/>
        <v>0</v>
      </c>
    </row>
    <row r="306" spans="1:20" ht="30" hidden="1" customHeight="1" x14ac:dyDescent="0.3">
      <c r="A306" s="262" t="s">
        <v>154</v>
      </c>
      <c r="C306" s="244">
        <v>155</v>
      </c>
      <c r="D306" s="161" t="s">
        <v>529</v>
      </c>
      <c r="E306" s="969" t="s">
        <v>530</v>
      </c>
      <c r="F306" s="970"/>
      <c r="G306" s="971"/>
      <c r="H306" s="544" t="s">
        <v>247</v>
      </c>
      <c r="I306" s="212">
        <v>35100</v>
      </c>
      <c r="J306" s="605"/>
      <c r="K306" s="212">
        <v>3</v>
      </c>
      <c r="L306" s="212">
        <f t="shared" si="39"/>
        <v>105300</v>
      </c>
      <c r="M306" s="602"/>
      <c r="N306" s="675">
        <f>+'Yeşil Defter'!K302</f>
        <v>0</v>
      </c>
      <c r="O306" s="675">
        <f>+'Yeşil Defter'!L302</f>
        <v>0</v>
      </c>
      <c r="P306" s="675">
        <f>+'Yeşil Defter'!M302</f>
        <v>0</v>
      </c>
      <c r="Q306" s="212"/>
      <c r="R306" s="605">
        <f t="shared" si="40"/>
        <v>0</v>
      </c>
      <c r="S306" s="225">
        <f t="shared" si="38"/>
        <v>0</v>
      </c>
      <c r="T306" s="237">
        <f t="shared" si="41"/>
        <v>0</v>
      </c>
    </row>
    <row r="307" spans="1:20" ht="30" hidden="1" customHeight="1" x14ac:dyDescent="0.3">
      <c r="A307" s="262" t="s">
        <v>154</v>
      </c>
      <c r="C307" s="244">
        <v>156</v>
      </c>
      <c r="D307" s="161" t="s">
        <v>531</v>
      </c>
      <c r="E307" s="969" t="s">
        <v>532</v>
      </c>
      <c r="F307" s="970"/>
      <c r="G307" s="971"/>
      <c r="H307" s="544" t="s">
        <v>247</v>
      </c>
      <c r="I307" s="212">
        <v>31200</v>
      </c>
      <c r="J307" s="605"/>
      <c r="K307" s="212">
        <v>50</v>
      </c>
      <c r="L307" s="212">
        <f t="shared" si="39"/>
        <v>1560000</v>
      </c>
      <c r="M307" s="602"/>
      <c r="N307" s="675">
        <f>+'Yeşil Defter'!K303</f>
        <v>0</v>
      </c>
      <c r="O307" s="675">
        <f>+'Yeşil Defter'!L303</f>
        <v>0</v>
      </c>
      <c r="P307" s="675">
        <f>+'Yeşil Defter'!M303</f>
        <v>0</v>
      </c>
      <c r="Q307" s="212"/>
      <c r="R307" s="605">
        <f t="shared" si="40"/>
        <v>0</v>
      </c>
      <c r="S307" s="225">
        <f t="shared" si="38"/>
        <v>0</v>
      </c>
      <c r="T307" s="237">
        <f t="shared" si="41"/>
        <v>0</v>
      </c>
    </row>
    <row r="308" spans="1:20" ht="30" hidden="1" customHeight="1" x14ac:dyDescent="0.3">
      <c r="A308" s="262" t="s">
        <v>154</v>
      </c>
      <c r="C308" s="244">
        <v>157</v>
      </c>
      <c r="D308" s="161" t="s">
        <v>533</v>
      </c>
      <c r="E308" s="969" t="s">
        <v>534</v>
      </c>
      <c r="F308" s="970"/>
      <c r="G308" s="971"/>
      <c r="H308" s="544" t="s">
        <v>247</v>
      </c>
      <c r="I308" s="212">
        <v>27300</v>
      </c>
      <c r="J308" s="605"/>
      <c r="K308" s="212">
        <v>2</v>
      </c>
      <c r="L308" s="212">
        <f t="shared" si="39"/>
        <v>54600</v>
      </c>
      <c r="M308" s="602"/>
      <c r="N308" s="675">
        <f>+'Yeşil Defter'!K304</f>
        <v>0</v>
      </c>
      <c r="O308" s="675">
        <f>+'Yeşil Defter'!L304</f>
        <v>0</v>
      </c>
      <c r="P308" s="675">
        <f>+'Yeşil Defter'!M304</f>
        <v>0</v>
      </c>
      <c r="Q308" s="212"/>
      <c r="R308" s="605">
        <f t="shared" si="40"/>
        <v>0</v>
      </c>
      <c r="S308" s="225">
        <f t="shared" si="38"/>
        <v>0</v>
      </c>
      <c r="T308" s="237">
        <f t="shared" si="41"/>
        <v>0</v>
      </c>
    </row>
    <row r="309" spans="1:20" ht="30" hidden="1" customHeight="1" x14ac:dyDescent="0.3">
      <c r="A309" s="262" t="s">
        <v>154</v>
      </c>
      <c r="C309" s="244">
        <v>158</v>
      </c>
      <c r="D309" s="161" t="s">
        <v>535</v>
      </c>
      <c r="E309" s="969" t="s">
        <v>536</v>
      </c>
      <c r="F309" s="970"/>
      <c r="G309" s="971"/>
      <c r="H309" s="544" t="s">
        <v>247</v>
      </c>
      <c r="I309" s="212">
        <v>24700</v>
      </c>
      <c r="J309" s="605"/>
      <c r="K309" s="212">
        <v>154</v>
      </c>
      <c r="L309" s="212">
        <f t="shared" si="39"/>
        <v>3803800</v>
      </c>
      <c r="M309" s="602"/>
      <c r="N309" s="675">
        <f>+'Yeşil Defter'!K305</f>
        <v>0</v>
      </c>
      <c r="O309" s="675">
        <f>+'Yeşil Defter'!L305</f>
        <v>0</v>
      </c>
      <c r="P309" s="675">
        <f>+'Yeşil Defter'!M305</f>
        <v>0</v>
      </c>
      <c r="Q309" s="212"/>
      <c r="R309" s="605">
        <f t="shared" si="40"/>
        <v>0</v>
      </c>
      <c r="S309" s="225">
        <f t="shared" si="38"/>
        <v>0</v>
      </c>
      <c r="T309" s="237">
        <f t="shared" si="41"/>
        <v>0</v>
      </c>
    </row>
    <row r="310" spans="1:20" ht="30" hidden="1" customHeight="1" x14ac:dyDescent="0.3">
      <c r="A310" s="262" t="s">
        <v>154</v>
      </c>
      <c r="C310" s="244">
        <v>159</v>
      </c>
      <c r="D310" s="161" t="s">
        <v>537</v>
      </c>
      <c r="E310" s="969" t="s">
        <v>538</v>
      </c>
      <c r="F310" s="970"/>
      <c r="G310" s="971"/>
      <c r="H310" s="544" t="s">
        <v>247</v>
      </c>
      <c r="I310" s="212">
        <v>13000</v>
      </c>
      <c r="J310" s="605"/>
      <c r="K310" s="212">
        <v>6</v>
      </c>
      <c r="L310" s="212">
        <f t="shared" si="39"/>
        <v>78000</v>
      </c>
      <c r="M310" s="602"/>
      <c r="N310" s="675">
        <f>+'Yeşil Defter'!K306</f>
        <v>0</v>
      </c>
      <c r="O310" s="675">
        <f>+'Yeşil Defter'!L306</f>
        <v>0</v>
      </c>
      <c r="P310" s="675">
        <f>+'Yeşil Defter'!M306</f>
        <v>0</v>
      </c>
      <c r="Q310" s="212"/>
      <c r="R310" s="605">
        <f t="shared" si="40"/>
        <v>0</v>
      </c>
      <c r="S310" s="225">
        <f t="shared" si="38"/>
        <v>0</v>
      </c>
      <c r="T310" s="237">
        <f t="shared" si="41"/>
        <v>0</v>
      </c>
    </row>
    <row r="311" spans="1:20" ht="30" hidden="1" customHeight="1" x14ac:dyDescent="0.3">
      <c r="A311" s="262" t="s">
        <v>154</v>
      </c>
      <c r="C311" s="244">
        <v>160</v>
      </c>
      <c r="D311" s="161" t="s">
        <v>539</v>
      </c>
      <c r="E311" s="969" t="s">
        <v>540</v>
      </c>
      <c r="F311" s="970"/>
      <c r="G311" s="971"/>
      <c r="H311" s="544" t="s">
        <v>247</v>
      </c>
      <c r="I311" s="212">
        <v>11700</v>
      </c>
      <c r="J311" s="605"/>
      <c r="K311" s="212">
        <v>134</v>
      </c>
      <c r="L311" s="212">
        <f t="shared" si="39"/>
        <v>1567800</v>
      </c>
      <c r="M311" s="602"/>
      <c r="N311" s="675">
        <f>+'Yeşil Defter'!K307</f>
        <v>0</v>
      </c>
      <c r="O311" s="675">
        <f>+'Yeşil Defter'!L307</f>
        <v>0</v>
      </c>
      <c r="P311" s="675">
        <f>+'Yeşil Defter'!M307</f>
        <v>0</v>
      </c>
      <c r="Q311" s="212"/>
      <c r="R311" s="605">
        <f t="shared" si="40"/>
        <v>0</v>
      </c>
      <c r="S311" s="225">
        <f t="shared" si="38"/>
        <v>0</v>
      </c>
      <c r="T311" s="237">
        <f t="shared" si="41"/>
        <v>0</v>
      </c>
    </row>
    <row r="312" spans="1:20" ht="30" hidden="1" customHeight="1" x14ac:dyDescent="0.3">
      <c r="A312" s="262" t="s">
        <v>154</v>
      </c>
      <c r="C312" s="244">
        <v>161</v>
      </c>
      <c r="D312" s="161" t="s">
        <v>541</v>
      </c>
      <c r="E312" s="969" t="s">
        <v>542</v>
      </c>
      <c r="F312" s="970"/>
      <c r="G312" s="971"/>
      <c r="H312" s="544" t="s">
        <v>247</v>
      </c>
      <c r="I312" s="212">
        <v>11700</v>
      </c>
      <c r="J312" s="605"/>
      <c r="K312" s="212">
        <v>13</v>
      </c>
      <c r="L312" s="212">
        <f t="shared" si="39"/>
        <v>152100</v>
      </c>
      <c r="M312" s="602"/>
      <c r="N312" s="675">
        <f>+'Yeşil Defter'!K308</f>
        <v>0</v>
      </c>
      <c r="O312" s="675">
        <f>+'Yeşil Defter'!L308</f>
        <v>0</v>
      </c>
      <c r="P312" s="675">
        <f>+'Yeşil Defter'!M308</f>
        <v>0</v>
      </c>
      <c r="Q312" s="212"/>
      <c r="R312" s="605">
        <f t="shared" si="40"/>
        <v>0</v>
      </c>
      <c r="S312" s="225">
        <f t="shared" si="38"/>
        <v>0</v>
      </c>
      <c r="T312" s="237">
        <f t="shared" si="41"/>
        <v>0</v>
      </c>
    </row>
    <row r="313" spans="1:20" ht="30" hidden="1" customHeight="1" x14ac:dyDescent="0.3">
      <c r="A313" s="262" t="s">
        <v>154</v>
      </c>
      <c r="C313" s="244">
        <v>162</v>
      </c>
      <c r="D313" s="161" t="s">
        <v>543</v>
      </c>
      <c r="E313" s="969" t="s">
        <v>544</v>
      </c>
      <c r="F313" s="970"/>
      <c r="G313" s="971"/>
      <c r="H313" s="544" t="s">
        <v>247</v>
      </c>
      <c r="I313" s="212">
        <v>28600</v>
      </c>
      <c r="J313" s="605"/>
      <c r="K313" s="212">
        <v>28</v>
      </c>
      <c r="L313" s="212">
        <f t="shared" si="39"/>
        <v>800800</v>
      </c>
      <c r="M313" s="602"/>
      <c r="N313" s="675">
        <f>+'Yeşil Defter'!K309</f>
        <v>0</v>
      </c>
      <c r="O313" s="675">
        <f>+'Yeşil Defter'!L309</f>
        <v>0</v>
      </c>
      <c r="P313" s="675">
        <f>+'Yeşil Defter'!M309</f>
        <v>0</v>
      </c>
      <c r="Q313" s="212"/>
      <c r="R313" s="605">
        <f t="shared" si="40"/>
        <v>0</v>
      </c>
      <c r="S313" s="225">
        <f t="shared" si="38"/>
        <v>0</v>
      </c>
      <c r="T313" s="237">
        <f t="shared" si="41"/>
        <v>0</v>
      </c>
    </row>
    <row r="314" spans="1:20" ht="30" hidden="1" customHeight="1" x14ac:dyDescent="0.3">
      <c r="A314" s="262" t="s">
        <v>154</v>
      </c>
      <c r="C314" s="244">
        <v>163</v>
      </c>
      <c r="D314" s="161" t="s">
        <v>545</v>
      </c>
      <c r="E314" s="969" t="s">
        <v>546</v>
      </c>
      <c r="F314" s="970"/>
      <c r="G314" s="971"/>
      <c r="H314" s="544" t="s">
        <v>247</v>
      </c>
      <c r="I314" s="212">
        <v>13000</v>
      </c>
      <c r="J314" s="605"/>
      <c r="K314" s="212">
        <v>34</v>
      </c>
      <c r="L314" s="212">
        <f t="shared" si="39"/>
        <v>442000</v>
      </c>
      <c r="M314" s="602"/>
      <c r="N314" s="675">
        <f>+'Yeşil Defter'!K310</f>
        <v>0</v>
      </c>
      <c r="O314" s="675">
        <f>+'Yeşil Defter'!L310</f>
        <v>0</v>
      </c>
      <c r="P314" s="675">
        <f>+'Yeşil Defter'!M310</f>
        <v>0</v>
      </c>
      <c r="Q314" s="212"/>
      <c r="R314" s="605">
        <f t="shared" si="40"/>
        <v>0</v>
      </c>
      <c r="S314" s="225">
        <f t="shared" si="38"/>
        <v>0</v>
      </c>
      <c r="T314" s="237">
        <f t="shared" si="41"/>
        <v>0</v>
      </c>
    </row>
    <row r="315" spans="1:20" ht="30" hidden="1" customHeight="1" x14ac:dyDescent="0.3">
      <c r="A315" s="262" t="s">
        <v>154</v>
      </c>
      <c r="C315" s="244">
        <v>164</v>
      </c>
      <c r="D315" s="213" t="s">
        <v>547</v>
      </c>
      <c r="E315" s="969" t="s">
        <v>548</v>
      </c>
      <c r="F315" s="970"/>
      <c r="G315" s="971"/>
      <c r="H315" s="544" t="s">
        <v>374</v>
      </c>
      <c r="I315" s="212">
        <v>1235</v>
      </c>
      <c r="J315" s="605"/>
      <c r="K315" s="212">
        <v>120</v>
      </c>
      <c r="L315" s="212">
        <f t="shared" si="39"/>
        <v>148200</v>
      </c>
      <c r="M315" s="602"/>
      <c r="N315" s="675">
        <f>+'Yeşil Defter'!K311</f>
        <v>0</v>
      </c>
      <c r="O315" s="675">
        <f>+'Yeşil Defter'!L311</f>
        <v>0</v>
      </c>
      <c r="P315" s="675">
        <f>+'Yeşil Defter'!M311</f>
        <v>0</v>
      </c>
      <c r="Q315" s="212"/>
      <c r="R315" s="605">
        <f t="shared" si="40"/>
        <v>0</v>
      </c>
      <c r="S315" s="225">
        <f t="shared" si="38"/>
        <v>0</v>
      </c>
      <c r="T315" s="237">
        <f t="shared" si="41"/>
        <v>0</v>
      </c>
    </row>
    <row r="316" spans="1:20" ht="30" hidden="1" customHeight="1" x14ac:dyDescent="0.3">
      <c r="A316" s="262" t="s">
        <v>154</v>
      </c>
      <c r="C316" s="244">
        <v>165</v>
      </c>
      <c r="D316" s="213" t="s">
        <v>549</v>
      </c>
      <c r="E316" s="969" t="s">
        <v>550</v>
      </c>
      <c r="F316" s="970"/>
      <c r="G316" s="971"/>
      <c r="H316" s="544" t="s">
        <v>225</v>
      </c>
      <c r="I316" s="212">
        <v>5850</v>
      </c>
      <c r="J316" s="605"/>
      <c r="K316" s="212">
        <v>29.3</v>
      </c>
      <c r="L316" s="212">
        <f t="shared" si="39"/>
        <v>171405</v>
      </c>
      <c r="M316" s="602"/>
      <c r="N316" s="675">
        <f>+'Yeşil Defter'!K312</f>
        <v>0</v>
      </c>
      <c r="O316" s="675">
        <f>+'Yeşil Defter'!L312</f>
        <v>0</v>
      </c>
      <c r="P316" s="675">
        <f>+'Yeşil Defter'!M312</f>
        <v>0</v>
      </c>
      <c r="Q316" s="212"/>
      <c r="R316" s="605">
        <f t="shared" si="40"/>
        <v>0</v>
      </c>
      <c r="S316" s="225">
        <f t="shared" si="38"/>
        <v>0</v>
      </c>
      <c r="T316" s="237">
        <f t="shared" si="41"/>
        <v>0</v>
      </c>
    </row>
    <row r="317" spans="1:20" ht="30" hidden="1" customHeight="1" x14ac:dyDescent="0.3">
      <c r="A317" s="262" t="s">
        <v>154</v>
      </c>
      <c r="C317" s="244">
        <v>166</v>
      </c>
      <c r="D317" s="213" t="s">
        <v>551</v>
      </c>
      <c r="E317" s="969" t="s">
        <v>552</v>
      </c>
      <c r="F317" s="970"/>
      <c r="G317" s="971"/>
      <c r="H317" s="544" t="s">
        <v>202</v>
      </c>
      <c r="I317" s="212">
        <v>975</v>
      </c>
      <c r="J317" s="605"/>
      <c r="K317" s="212">
        <v>703.32</v>
      </c>
      <c r="L317" s="212">
        <f t="shared" si="39"/>
        <v>685737</v>
      </c>
      <c r="M317" s="602"/>
      <c r="N317" s="675">
        <f>+'Yeşil Defter'!K313</f>
        <v>0</v>
      </c>
      <c r="O317" s="675">
        <f>+'Yeşil Defter'!L313</f>
        <v>0</v>
      </c>
      <c r="P317" s="675">
        <f>+'Yeşil Defter'!M313</f>
        <v>0</v>
      </c>
      <c r="Q317" s="212"/>
      <c r="R317" s="605">
        <f t="shared" si="40"/>
        <v>0</v>
      </c>
      <c r="S317" s="225">
        <f t="shared" si="38"/>
        <v>0</v>
      </c>
      <c r="T317" s="237">
        <f t="shared" si="41"/>
        <v>0</v>
      </c>
    </row>
    <row r="318" spans="1:20" ht="30" hidden="1" customHeight="1" x14ac:dyDescent="0.3">
      <c r="A318" s="262" t="s">
        <v>154</v>
      </c>
      <c r="C318" s="244">
        <v>167</v>
      </c>
      <c r="D318" s="213" t="s">
        <v>553</v>
      </c>
      <c r="E318" s="969" t="s">
        <v>554</v>
      </c>
      <c r="F318" s="970"/>
      <c r="G318" s="971"/>
      <c r="H318" s="544" t="s">
        <v>202</v>
      </c>
      <c r="I318" s="212">
        <v>8450</v>
      </c>
      <c r="J318" s="605"/>
      <c r="K318" s="212">
        <v>41.15</v>
      </c>
      <c r="L318" s="212">
        <f t="shared" si="39"/>
        <v>347717.5</v>
      </c>
      <c r="M318" s="602"/>
      <c r="N318" s="675">
        <f>+'Yeşil Defter'!K314</f>
        <v>0</v>
      </c>
      <c r="O318" s="675">
        <f>+'Yeşil Defter'!L314</f>
        <v>0</v>
      </c>
      <c r="P318" s="675">
        <f>+'Yeşil Defter'!M314</f>
        <v>0</v>
      </c>
      <c r="Q318" s="212"/>
      <c r="R318" s="605">
        <f t="shared" si="40"/>
        <v>0</v>
      </c>
      <c r="S318" s="225">
        <f t="shared" si="38"/>
        <v>0</v>
      </c>
      <c r="T318" s="237">
        <f t="shared" si="41"/>
        <v>0</v>
      </c>
    </row>
    <row r="319" spans="1:20" ht="30" hidden="1" customHeight="1" x14ac:dyDescent="0.3">
      <c r="A319" s="262" t="s">
        <v>154</v>
      </c>
      <c r="C319" s="244">
        <v>168</v>
      </c>
      <c r="D319" s="213" t="s">
        <v>555</v>
      </c>
      <c r="E319" s="969" t="s">
        <v>556</v>
      </c>
      <c r="F319" s="970"/>
      <c r="G319" s="971"/>
      <c r="H319" s="544" t="s">
        <v>247</v>
      </c>
      <c r="I319" s="212">
        <v>5850</v>
      </c>
      <c r="J319" s="605"/>
      <c r="K319" s="212">
        <v>980</v>
      </c>
      <c r="L319" s="212">
        <f t="shared" si="39"/>
        <v>5733000</v>
      </c>
      <c r="M319" s="602"/>
      <c r="N319" s="675">
        <f>+'Yeşil Defter'!K315</f>
        <v>0</v>
      </c>
      <c r="O319" s="675">
        <f>+'Yeşil Defter'!L315</f>
        <v>0</v>
      </c>
      <c r="P319" s="675">
        <f>+'Yeşil Defter'!M315</f>
        <v>0</v>
      </c>
      <c r="Q319" s="212"/>
      <c r="R319" s="605">
        <f t="shared" si="40"/>
        <v>0</v>
      </c>
      <c r="S319" s="225">
        <f t="shared" si="38"/>
        <v>0</v>
      </c>
      <c r="T319" s="237">
        <f t="shared" si="41"/>
        <v>0</v>
      </c>
    </row>
    <row r="320" spans="1:20" ht="30" hidden="1" customHeight="1" x14ac:dyDescent="0.3">
      <c r="A320" s="262" t="s">
        <v>154</v>
      </c>
      <c r="C320" s="244">
        <v>169</v>
      </c>
      <c r="D320" s="213" t="s">
        <v>557</v>
      </c>
      <c r="E320" s="969" t="s">
        <v>558</v>
      </c>
      <c r="F320" s="970"/>
      <c r="G320" s="971"/>
      <c r="H320" s="544" t="s">
        <v>225</v>
      </c>
      <c r="I320" s="212">
        <v>9750</v>
      </c>
      <c r="J320" s="605"/>
      <c r="K320" s="212">
        <v>162.5</v>
      </c>
      <c r="L320" s="212">
        <f t="shared" si="39"/>
        <v>1584375</v>
      </c>
      <c r="M320" s="602"/>
      <c r="N320" s="675">
        <f>+'Yeşil Defter'!K316</f>
        <v>0</v>
      </c>
      <c r="O320" s="675">
        <f>+'Yeşil Defter'!L316</f>
        <v>0</v>
      </c>
      <c r="P320" s="675">
        <f>+'Yeşil Defter'!M316</f>
        <v>0</v>
      </c>
      <c r="Q320" s="212"/>
      <c r="R320" s="605">
        <f t="shared" si="40"/>
        <v>0</v>
      </c>
      <c r="S320" s="225">
        <f t="shared" si="38"/>
        <v>0</v>
      </c>
      <c r="T320" s="237">
        <f t="shared" si="41"/>
        <v>0</v>
      </c>
    </row>
    <row r="321" spans="1:20" ht="30" hidden="1" customHeight="1" x14ac:dyDescent="0.3">
      <c r="A321" s="262" t="s">
        <v>154</v>
      </c>
      <c r="C321" s="244">
        <v>170</v>
      </c>
      <c r="D321" s="213" t="s">
        <v>559</v>
      </c>
      <c r="E321" s="969" t="s">
        <v>560</v>
      </c>
      <c r="F321" s="970"/>
      <c r="G321" s="971"/>
      <c r="H321" s="544" t="s">
        <v>225</v>
      </c>
      <c r="I321" s="212">
        <v>9750</v>
      </c>
      <c r="J321" s="605"/>
      <c r="K321" s="212">
        <v>16.25</v>
      </c>
      <c r="L321" s="212">
        <f t="shared" si="39"/>
        <v>158437.5</v>
      </c>
      <c r="M321" s="602"/>
      <c r="N321" s="675">
        <f>+'Yeşil Defter'!K317</f>
        <v>0</v>
      </c>
      <c r="O321" s="675">
        <f>+'Yeşil Defter'!L317</f>
        <v>0</v>
      </c>
      <c r="P321" s="675">
        <f>+'Yeşil Defter'!M317</f>
        <v>0</v>
      </c>
      <c r="Q321" s="212"/>
      <c r="R321" s="605">
        <f t="shared" si="40"/>
        <v>0</v>
      </c>
      <c r="S321" s="225">
        <f t="shared" si="38"/>
        <v>0</v>
      </c>
      <c r="T321" s="237">
        <f t="shared" si="41"/>
        <v>0</v>
      </c>
    </row>
    <row r="322" spans="1:20" ht="30" hidden="1" customHeight="1" x14ac:dyDescent="0.3">
      <c r="A322" s="262" t="s">
        <v>154</v>
      </c>
      <c r="C322" s="244">
        <v>171</v>
      </c>
      <c r="D322" s="213" t="s">
        <v>561</v>
      </c>
      <c r="E322" s="969" t="s">
        <v>562</v>
      </c>
      <c r="F322" s="970"/>
      <c r="G322" s="971"/>
      <c r="H322" s="544" t="s">
        <v>247</v>
      </c>
      <c r="I322" s="212">
        <v>7800</v>
      </c>
      <c r="J322" s="605"/>
      <c r="K322" s="212">
        <v>80</v>
      </c>
      <c r="L322" s="212">
        <f t="shared" si="39"/>
        <v>624000</v>
      </c>
      <c r="M322" s="602"/>
      <c r="N322" s="675">
        <f>+'Yeşil Defter'!K318</f>
        <v>0</v>
      </c>
      <c r="O322" s="675">
        <f>+'Yeşil Defter'!L318</f>
        <v>0</v>
      </c>
      <c r="P322" s="675">
        <f>+'Yeşil Defter'!M318</f>
        <v>0</v>
      </c>
      <c r="Q322" s="212"/>
      <c r="R322" s="605">
        <f t="shared" si="40"/>
        <v>0</v>
      </c>
      <c r="S322" s="225">
        <f t="shared" si="38"/>
        <v>0</v>
      </c>
      <c r="T322" s="237">
        <f t="shared" si="41"/>
        <v>0</v>
      </c>
    </row>
    <row r="323" spans="1:20" ht="30" hidden="1" customHeight="1" x14ac:dyDescent="0.3">
      <c r="A323" s="262" t="s">
        <v>154</v>
      </c>
      <c r="C323" s="244">
        <v>172</v>
      </c>
      <c r="D323" s="213" t="s">
        <v>563</v>
      </c>
      <c r="E323" s="969" t="s">
        <v>564</v>
      </c>
      <c r="F323" s="970"/>
      <c r="G323" s="971"/>
      <c r="H323" s="544" t="s">
        <v>225</v>
      </c>
      <c r="I323" s="212">
        <v>26000</v>
      </c>
      <c r="J323" s="605"/>
      <c r="K323" s="212">
        <v>80</v>
      </c>
      <c r="L323" s="212">
        <f t="shared" si="39"/>
        <v>2080000</v>
      </c>
      <c r="M323" s="602"/>
      <c r="N323" s="675">
        <f>+'Yeşil Defter'!K319</f>
        <v>0</v>
      </c>
      <c r="O323" s="675">
        <f>+'Yeşil Defter'!L319</f>
        <v>0</v>
      </c>
      <c r="P323" s="675">
        <f>+'Yeşil Defter'!M319</f>
        <v>0</v>
      </c>
      <c r="Q323" s="212"/>
      <c r="R323" s="605">
        <f t="shared" si="40"/>
        <v>0</v>
      </c>
      <c r="S323" s="225">
        <f t="shared" si="38"/>
        <v>0</v>
      </c>
      <c r="T323" s="237">
        <f t="shared" si="41"/>
        <v>0</v>
      </c>
    </row>
    <row r="324" spans="1:20" ht="30" hidden="1" customHeight="1" x14ac:dyDescent="0.3">
      <c r="A324" s="262" t="s">
        <v>154</v>
      </c>
      <c r="C324" s="244">
        <v>173</v>
      </c>
      <c r="D324" s="213" t="s">
        <v>565</v>
      </c>
      <c r="E324" s="969" t="s">
        <v>566</v>
      </c>
      <c r="F324" s="970"/>
      <c r="G324" s="971"/>
      <c r="H324" s="544" t="s">
        <v>225</v>
      </c>
      <c r="I324" s="212">
        <v>26000</v>
      </c>
      <c r="J324" s="605"/>
      <c r="K324" s="212">
        <v>64.42</v>
      </c>
      <c r="L324" s="212">
        <f t="shared" si="39"/>
        <v>1674920</v>
      </c>
      <c r="M324" s="602"/>
      <c r="N324" s="675">
        <f>+'Yeşil Defter'!K320</f>
        <v>0</v>
      </c>
      <c r="O324" s="675">
        <f>+'Yeşil Defter'!L320</f>
        <v>0</v>
      </c>
      <c r="P324" s="675">
        <f>+'Yeşil Defter'!M320</f>
        <v>0</v>
      </c>
      <c r="Q324" s="212"/>
      <c r="R324" s="605">
        <f t="shared" si="40"/>
        <v>0</v>
      </c>
      <c r="S324" s="225">
        <f t="shared" si="38"/>
        <v>0</v>
      </c>
      <c r="T324" s="237">
        <f t="shared" si="41"/>
        <v>0</v>
      </c>
    </row>
    <row r="325" spans="1:20" ht="40.049999999999997" hidden="1" customHeight="1" x14ac:dyDescent="0.3">
      <c r="A325" s="262" t="s">
        <v>1242</v>
      </c>
      <c r="C325" s="258"/>
      <c r="D325" s="258"/>
      <c r="E325" s="972" t="s">
        <v>33</v>
      </c>
      <c r="F325" s="972"/>
      <c r="G325" s="972"/>
      <c r="H325" s="973" t="s">
        <v>29</v>
      </c>
      <c r="I325" s="973"/>
      <c r="J325" s="973"/>
      <c r="K325" s="973"/>
      <c r="L325" s="973"/>
      <c r="M325" s="549"/>
      <c r="N325" s="973" t="s">
        <v>22</v>
      </c>
      <c r="O325" s="973"/>
      <c r="P325" s="973"/>
      <c r="Q325" s="973"/>
      <c r="R325" s="973"/>
      <c r="S325" s="973"/>
      <c r="T325" s="973"/>
    </row>
    <row r="326" spans="1:20" ht="19.95" hidden="1" customHeight="1" x14ac:dyDescent="0.3">
      <c r="A326" s="262" t="s">
        <v>1242</v>
      </c>
      <c r="D326" s="28"/>
      <c r="E326" s="974" t="s">
        <v>1214</v>
      </c>
      <c r="F326" s="974"/>
      <c r="G326" s="974"/>
      <c r="H326" s="975" t="s">
        <v>38</v>
      </c>
      <c r="I326" s="975"/>
      <c r="J326" s="975"/>
      <c r="K326" s="975"/>
      <c r="L326" s="975"/>
      <c r="M326" s="562"/>
      <c r="N326" s="975" t="s">
        <v>1437</v>
      </c>
      <c r="O326" s="975"/>
      <c r="P326" s="975"/>
      <c r="Q326" s="975"/>
      <c r="R326" s="975"/>
      <c r="S326" s="975"/>
      <c r="T326" s="975"/>
    </row>
    <row r="327" spans="1:20" ht="19.95" hidden="1" customHeight="1" x14ac:dyDescent="0.3">
      <c r="A327" s="262" t="s">
        <v>1242</v>
      </c>
      <c r="C327" s="228"/>
      <c r="D327" s="228"/>
      <c r="E327" s="561"/>
      <c r="F327" s="561"/>
      <c r="G327" s="561"/>
      <c r="H327" s="228"/>
      <c r="I327" s="260"/>
      <c r="J327" s="260"/>
      <c r="K327" s="260"/>
      <c r="L327" s="260"/>
      <c r="M327" s="260"/>
      <c r="N327" s="975"/>
      <c r="O327" s="975"/>
      <c r="P327" s="975"/>
      <c r="Q327" s="975"/>
      <c r="R327" s="975"/>
      <c r="S327" s="975"/>
      <c r="T327" s="975"/>
    </row>
    <row r="328" spans="1:20" ht="19.95" hidden="1" customHeight="1" x14ac:dyDescent="0.3">
      <c r="A328" s="262" t="s">
        <v>1242</v>
      </c>
      <c r="C328" s="228"/>
      <c r="D328" s="228"/>
      <c r="E328" s="561"/>
      <c r="F328" s="561"/>
      <c r="G328" s="561"/>
      <c r="H328" s="228"/>
      <c r="I328" s="260"/>
      <c r="J328" s="260"/>
      <c r="K328" s="260"/>
      <c r="L328" s="260"/>
      <c r="M328" s="260"/>
      <c r="N328" s="975"/>
      <c r="O328" s="975"/>
      <c r="P328" s="975"/>
      <c r="Q328" s="975"/>
      <c r="R328" s="975"/>
      <c r="S328" s="975"/>
      <c r="T328" s="975"/>
    </row>
    <row r="329" spans="1:20" ht="19.95" hidden="1" customHeight="1" x14ac:dyDescent="0.3">
      <c r="A329" s="262" t="s">
        <v>1242</v>
      </c>
      <c r="C329" s="228"/>
      <c r="D329" s="228"/>
      <c r="E329" s="561"/>
      <c r="F329" s="561"/>
      <c r="G329" s="561"/>
      <c r="H329" s="228"/>
      <c r="I329" s="260"/>
      <c r="J329" s="260"/>
      <c r="K329" s="260"/>
      <c r="L329" s="260"/>
      <c r="M329" s="260"/>
      <c r="N329" s="260"/>
      <c r="O329" s="260"/>
      <c r="P329" s="260"/>
      <c r="Q329" s="260"/>
      <c r="R329" s="260"/>
      <c r="S329" s="624"/>
      <c r="T329" s="260"/>
    </row>
    <row r="330" spans="1:20" ht="19.95" hidden="1" customHeight="1" x14ac:dyDescent="0.3">
      <c r="A330" s="262" t="s">
        <v>1242</v>
      </c>
      <c r="C330" s="228"/>
      <c r="D330" s="228"/>
      <c r="E330" s="561"/>
      <c r="F330" s="561"/>
      <c r="G330" s="561"/>
      <c r="H330" s="975" t="s">
        <v>32</v>
      </c>
      <c r="I330" s="975"/>
      <c r="J330" s="562"/>
      <c r="K330" s="975" t="s">
        <v>1407</v>
      </c>
      <c r="L330" s="975"/>
      <c r="M330" s="562"/>
      <c r="N330" s="968" t="s">
        <v>58</v>
      </c>
      <c r="O330" s="968"/>
      <c r="P330" s="968"/>
      <c r="Q330" s="547"/>
      <c r="R330" s="968" t="s">
        <v>57</v>
      </c>
      <c r="S330" s="968"/>
      <c r="T330" s="968"/>
    </row>
    <row r="331" spans="1:20" ht="19.95" hidden="1" customHeight="1" x14ac:dyDescent="0.3">
      <c r="A331" s="262" t="s">
        <v>1242</v>
      </c>
      <c r="C331" s="228"/>
      <c r="D331" s="228"/>
      <c r="E331" s="561"/>
      <c r="F331" s="561"/>
      <c r="G331" s="561"/>
      <c r="H331" s="976" t="s">
        <v>94</v>
      </c>
      <c r="I331" s="976"/>
      <c r="J331" s="623"/>
      <c r="K331" s="976" t="s">
        <v>94</v>
      </c>
      <c r="L331" s="976"/>
      <c r="M331" s="623"/>
      <c r="N331" s="968" t="s">
        <v>1472</v>
      </c>
      <c r="O331" s="968"/>
      <c r="P331" s="968"/>
      <c r="Q331" s="547"/>
      <c r="R331" s="968" t="s">
        <v>1472</v>
      </c>
      <c r="S331" s="968"/>
      <c r="T331" s="968"/>
    </row>
    <row r="332" spans="1:20" ht="19.95" hidden="1" customHeight="1" x14ac:dyDescent="0.3">
      <c r="A332" s="262" t="s">
        <v>1242</v>
      </c>
      <c r="C332" s="228"/>
      <c r="D332" s="228"/>
      <c r="E332" s="561"/>
      <c r="F332" s="561"/>
      <c r="G332" s="561"/>
      <c r="H332" s="976"/>
      <c r="I332" s="976"/>
      <c r="J332" s="623"/>
      <c r="K332" s="976"/>
      <c r="L332" s="976"/>
      <c r="M332" s="623"/>
      <c r="N332" s="968"/>
      <c r="O332" s="968"/>
      <c r="P332" s="968"/>
      <c r="Q332" s="260"/>
      <c r="R332" s="968"/>
      <c r="S332" s="968"/>
      <c r="T332" s="968"/>
    </row>
    <row r="333" spans="1:20" ht="19.95" hidden="1" customHeight="1" x14ac:dyDescent="0.3">
      <c r="A333" s="262" t="s">
        <v>1242</v>
      </c>
      <c r="C333" s="228"/>
      <c r="D333" s="228"/>
      <c r="E333" s="561"/>
      <c r="F333" s="561"/>
      <c r="G333" s="561"/>
      <c r="H333" s="228"/>
      <c r="I333" s="260"/>
      <c r="J333" s="260"/>
      <c r="K333" s="260"/>
      <c r="L333" s="260"/>
      <c r="M333" s="260"/>
      <c r="N333" s="260"/>
      <c r="O333" s="260"/>
      <c r="P333" s="260"/>
      <c r="Q333" s="260"/>
      <c r="R333" s="260"/>
      <c r="S333" s="624"/>
      <c r="T333" s="260"/>
    </row>
    <row r="334" spans="1:20" ht="19.95" hidden="1" customHeight="1" x14ac:dyDescent="0.3">
      <c r="A334" s="262" t="s">
        <v>1242</v>
      </c>
      <c r="C334" s="228"/>
      <c r="D334" s="228"/>
      <c r="E334" s="975" t="s">
        <v>1215</v>
      </c>
      <c r="F334" s="975"/>
      <c r="G334" s="975"/>
      <c r="H334" s="975" t="s">
        <v>1348</v>
      </c>
      <c r="I334" s="975"/>
      <c r="J334" s="975"/>
      <c r="K334" s="975"/>
      <c r="L334" s="975"/>
      <c r="M334" s="562"/>
      <c r="N334" s="977" t="s">
        <v>1217</v>
      </c>
      <c r="O334" s="968"/>
      <c r="P334" s="968"/>
      <c r="Q334" s="968"/>
      <c r="R334" s="968"/>
      <c r="S334" s="968"/>
      <c r="T334" s="968"/>
    </row>
    <row r="335" spans="1:20" ht="19.95" hidden="1" customHeight="1" x14ac:dyDescent="0.3">
      <c r="A335" s="262" t="s">
        <v>1290</v>
      </c>
      <c r="C335" s="228"/>
      <c r="D335" s="228"/>
      <c r="E335" s="975"/>
      <c r="F335" s="975"/>
      <c r="G335" s="975"/>
      <c r="H335" s="975"/>
      <c r="I335" s="975"/>
      <c r="J335" s="975"/>
      <c r="K335" s="975"/>
      <c r="L335" s="975"/>
      <c r="M335" s="562"/>
      <c r="N335" s="968"/>
      <c r="O335" s="968"/>
      <c r="P335" s="968"/>
      <c r="Q335" s="968"/>
      <c r="R335" s="968"/>
      <c r="S335" s="968"/>
      <c r="T335" s="968"/>
    </row>
    <row r="336" spans="1:20" ht="30" hidden="1" customHeight="1" x14ac:dyDescent="0.3">
      <c r="A336" s="262" t="s">
        <v>154</v>
      </c>
      <c r="C336" s="255">
        <v>174</v>
      </c>
      <c r="D336" s="256" t="s">
        <v>567</v>
      </c>
      <c r="E336" s="978" t="s">
        <v>568</v>
      </c>
      <c r="F336" s="979"/>
      <c r="G336" s="980"/>
      <c r="H336" s="546" t="s">
        <v>225</v>
      </c>
      <c r="I336" s="257">
        <v>26000</v>
      </c>
      <c r="J336" s="606"/>
      <c r="K336" s="257">
        <v>465</v>
      </c>
      <c r="L336" s="257">
        <f t="shared" ref="L336:L346" si="42">+ROUND(I336*K336,2)</f>
        <v>12090000</v>
      </c>
      <c r="M336" s="603"/>
      <c r="N336" s="675">
        <f>+'Yeşil Defter'!K321</f>
        <v>0</v>
      </c>
      <c r="O336" s="675">
        <f>+'Yeşil Defter'!L321</f>
        <v>0</v>
      </c>
      <c r="P336" s="675">
        <f>+'Yeşil Defter'!M321</f>
        <v>0</v>
      </c>
      <c r="Q336" s="257"/>
      <c r="R336" s="606">
        <f t="shared" ref="R336:R346" si="43">+ROUND(K336*N336,2)</f>
        <v>0</v>
      </c>
      <c r="S336" s="247">
        <f t="shared" si="38"/>
        <v>0</v>
      </c>
      <c r="T336" s="248">
        <f t="shared" ref="T336:T346" si="44">+ROUND(K336*P336,2)</f>
        <v>0</v>
      </c>
    </row>
    <row r="337" spans="1:20" ht="30" hidden="1" customHeight="1" x14ac:dyDescent="0.3">
      <c r="A337" s="262" t="s">
        <v>154</v>
      </c>
      <c r="C337" s="244">
        <v>175</v>
      </c>
      <c r="D337" s="161" t="s">
        <v>569</v>
      </c>
      <c r="E337" s="969" t="s">
        <v>570</v>
      </c>
      <c r="F337" s="970"/>
      <c r="G337" s="971"/>
      <c r="H337" s="544" t="s">
        <v>225</v>
      </c>
      <c r="I337" s="212">
        <v>32500</v>
      </c>
      <c r="J337" s="605"/>
      <c r="K337" s="212">
        <v>33</v>
      </c>
      <c r="L337" s="212">
        <f t="shared" si="42"/>
        <v>1072500</v>
      </c>
      <c r="M337" s="602"/>
      <c r="N337" s="675">
        <f>+'Yeşil Defter'!K322</f>
        <v>0</v>
      </c>
      <c r="O337" s="675">
        <f>+'Yeşil Defter'!L322</f>
        <v>0</v>
      </c>
      <c r="P337" s="675">
        <f>+'Yeşil Defter'!M322</f>
        <v>0</v>
      </c>
      <c r="Q337" s="212"/>
      <c r="R337" s="605">
        <f t="shared" si="43"/>
        <v>0</v>
      </c>
      <c r="S337" s="225">
        <f t="shared" si="38"/>
        <v>0</v>
      </c>
      <c r="T337" s="237">
        <f t="shared" si="44"/>
        <v>0</v>
      </c>
    </row>
    <row r="338" spans="1:20" ht="30" hidden="1" customHeight="1" x14ac:dyDescent="0.3">
      <c r="A338" s="262" t="s">
        <v>154</v>
      </c>
      <c r="C338" s="244">
        <v>176</v>
      </c>
      <c r="D338" s="213" t="s">
        <v>571</v>
      </c>
      <c r="E338" s="969" t="s">
        <v>572</v>
      </c>
      <c r="F338" s="970"/>
      <c r="G338" s="971"/>
      <c r="H338" s="544" t="s">
        <v>247</v>
      </c>
      <c r="I338" s="212">
        <v>32500</v>
      </c>
      <c r="J338" s="605"/>
      <c r="K338" s="212">
        <v>4</v>
      </c>
      <c r="L338" s="212">
        <f t="shared" si="42"/>
        <v>130000</v>
      </c>
      <c r="M338" s="602"/>
      <c r="N338" s="675">
        <f>+'Yeşil Defter'!K323</f>
        <v>0</v>
      </c>
      <c r="O338" s="675">
        <f>+'Yeşil Defter'!L323</f>
        <v>0</v>
      </c>
      <c r="P338" s="675">
        <f>+'Yeşil Defter'!M323</f>
        <v>0</v>
      </c>
      <c r="Q338" s="212"/>
      <c r="R338" s="605">
        <f t="shared" si="43"/>
        <v>0</v>
      </c>
      <c r="S338" s="225">
        <f t="shared" si="38"/>
        <v>0</v>
      </c>
      <c r="T338" s="237">
        <f t="shared" si="44"/>
        <v>0</v>
      </c>
    </row>
    <row r="339" spans="1:20" ht="30" hidden="1" customHeight="1" x14ac:dyDescent="0.3">
      <c r="A339" s="262" t="s">
        <v>154</v>
      </c>
      <c r="C339" s="244">
        <v>177</v>
      </c>
      <c r="D339" s="213" t="s">
        <v>573</v>
      </c>
      <c r="E339" s="969" t="s">
        <v>574</v>
      </c>
      <c r="F339" s="970"/>
      <c r="G339" s="971"/>
      <c r="H339" s="544" t="s">
        <v>225</v>
      </c>
      <c r="I339" s="212">
        <v>21645</v>
      </c>
      <c r="J339" s="605"/>
      <c r="K339" s="212">
        <v>114.4</v>
      </c>
      <c r="L339" s="212">
        <f t="shared" si="42"/>
        <v>2476188</v>
      </c>
      <c r="M339" s="602"/>
      <c r="N339" s="675">
        <f>+'Yeşil Defter'!K324</f>
        <v>0</v>
      </c>
      <c r="O339" s="675">
        <f>+'Yeşil Defter'!L324</f>
        <v>0</v>
      </c>
      <c r="P339" s="675">
        <f>+'Yeşil Defter'!M324</f>
        <v>0</v>
      </c>
      <c r="Q339" s="212"/>
      <c r="R339" s="605">
        <f t="shared" si="43"/>
        <v>0</v>
      </c>
      <c r="S339" s="225">
        <f t="shared" si="38"/>
        <v>0</v>
      </c>
      <c r="T339" s="237">
        <f t="shared" si="44"/>
        <v>0</v>
      </c>
    </row>
    <row r="340" spans="1:20" ht="30" hidden="1" customHeight="1" x14ac:dyDescent="0.3">
      <c r="A340" s="262" t="s">
        <v>154</v>
      </c>
      <c r="C340" s="244">
        <v>178</v>
      </c>
      <c r="D340" s="213" t="s">
        <v>575</v>
      </c>
      <c r="E340" s="969" t="s">
        <v>576</v>
      </c>
      <c r="F340" s="970"/>
      <c r="G340" s="971"/>
      <c r="H340" s="544" t="s">
        <v>202</v>
      </c>
      <c r="I340" s="212">
        <v>5850</v>
      </c>
      <c r="J340" s="605"/>
      <c r="K340" s="212">
        <v>754</v>
      </c>
      <c r="L340" s="212">
        <f t="shared" si="42"/>
        <v>4410900</v>
      </c>
      <c r="M340" s="602"/>
      <c r="N340" s="675">
        <f>+'Yeşil Defter'!K325</f>
        <v>0</v>
      </c>
      <c r="O340" s="675">
        <f>+'Yeşil Defter'!L325</f>
        <v>0</v>
      </c>
      <c r="P340" s="675">
        <f>+'Yeşil Defter'!M325</f>
        <v>0</v>
      </c>
      <c r="Q340" s="212"/>
      <c r="R340" s="605">
        <f t="shared" si="43"/>
        <v>0</v>
      </c>
      <c r="S340" s="225">
        <f t="shared" si="38"/>
        <v>0</v>
      </c>
      <c r="T340" s="237">
        <f t="shared" si="44"/>
        <v>0</v>
      </c>
    </row>
    <row r="341" spans="1:20" ht="30" hidden="1" customHeight="1" x14ac:dyDescent="0.3">
      <c r="A341" s="262" t="s">
        <v>154</v>
      </c>
      <c r="C341" s="244">
        <v>179</v>
      </c>
      <c r="D341" s="213" t="s">
        <v>577</v>
      </c>
      <c r="E341" s="969" t="s">
        <v>578</v>
      </c>
      <c r="F341" s="970"/>
      <c r="G341" s="971"/>
      <c r="H341" s="544" t="s">
        <v>374</v>
      </c>
      <c r="I341" s="212">
        <v>260</v>
      </c>
      <c r="J341" s="605"/>
      <c r="K341" s="212">
        <v>10500</v>
      </c>
      <c r="L341" s="212">
        <f t="shared" si="42"/>
        <v>2730000</v>
      </c>
      <c r="M341" s="602"/>
      <c r="N341" s="675">
        <f>+'Yeşil Defter'!K326</f>
        <v>0</v>
      </c>
      <c r="O341" s="675">
        <f>+'Yeşil Defter'!L326</f>
        <v>0</v>
      </c>
      <c r="P341" s="675">
        <f>+'Yeşil Defter'!M326</f>
        <v>0</v>
      </c>
      <c r="Q341" s="212"/>
      <c r="R341" s="605">
        <f t="shared" si="43"/>
        <v>0</v>
      </c>
      <c r="S341" s="225">
        <f t="shared" si="38"/>
        <v>0</v>
      </c>
      <c r="T341" s="237">
        <f t="shared" si="44"/>
        <v>0</v>
      </c>
    </row>
    <row r="342" spans="1:20" ht="30" hidden="1" customHeight="1" x14ac:dyDescent="0.3">
      <c r="A342" s="262" t="s">
        <v>154</v>
      </c>
      <c r="C342" s="244">
        <v>180</v>
      </c>
      <c r="D342" s="213" t="s">
        <v>579</v>
      </c>
      <c r="E342" s="969" t="s">
        <v>580</v>
      </c>
      <c r="F342" s="970"/>
      <c r="G342" s="971"/>
      <c r="H342" s="544" t="s">
        <v>374</v>
      </c>
      <c r="I342" s="212">
        <v>156</v>
      </c>
      <c r="J342" s="605"/>
      <c r="K342" s="212">
        <v>122584</v>
      </c>
      <c r="L342" s="212">
        <f t="shared" si="42"/>
        <v>19123104</v>
      </c>
      <c r="M342" s="602"/>
      <c r="N342" s="675">
        <f>+'Yeşil Defter'!K327</f>
        <v>0</v>
      </c>
      <c r="O342" s="675">
        <f>+'Yeşil Defter'!L327</f>
        <v>0</v>
      </c>
      <c r="P342" s="675">
        <f>+'Yeşil Defter'!M327</f>
        <v>0</v>
      </c>
      <c r="Q342" s="212"/>
      <c r="R342" s="605">
        <f t="shared" si="43"/>
        <v>0</v>
      </c>
      <c r="S342" s="225">
        <f t="shared" si="38"/>
        <v>0</v>
      </c>
      <c r="T342" s="237">
        <f t="shared" si="44"/>
        <v>0</v>
      </c>
    </row>
    <row r="343" spans="1:20" ht="30" hidden="1" customHeight="1" x14ac:dyDescent="0.3">
      <c r="A343" s="262" t="s">
        <v>154</v>
      </c>
      <c r="C343" s="244">
        <v>181</v>
      </c>
      <c r="D343" s="213" t="s">
        <v>581</v>
      </c>
      <c r="E343" s="969" t="s">
        <v>582</v>
      </c>
      <c r="F343" s="970"/>
      <c r="G343" s="971"/>
      <c r="H343" s="544" t="s">
        <v>225</v>
      </c>
      <c r="I343" s="212">
        <v>585</v>
      </c>
      <c r="J343" s="605"/>
      <c r="K343" s="212">
        <v>8531.25</v>
      </c>
      <c r="L343" s="212">
        <f t="shared" si="42"/>
        <v>4990781.25</v>
      </c>
      <c r="M343" s="602"/>
      <c r="N343" s="675">
        <f>+'Yeşil Defter'!K328</f>
        <v>0</v>
      </c>
      <c r="O343" s="675">
        <f>+'Yeşil Defter'!L328</f>
        <v>0</v>
      </c>
      <c r="P343" s="675">
        <f>+'Yeşil Defter'!M328</f>
        <v>0</v>
      </c>
      <c r="Q343" s="212"/>
      <c r="R343" s="605">
        <f t="shared" si="43"/>
        <v>0</v>
      </c>
      <c r="S343" s="225">
        <f t="shared" si="38"/>
        <v>0</v>
      </c>
      <c r="T343" s="237">
        <f t="shared" si="44"/>
        <v>0</v>
      </c>
    </row>
    <row r="344" spans="1:20" ht="30" hidden="1" customHeight="1" x14ac:dyDescent="0.3">
      <c r="A344" s="262" t="s">
        <v>154</v>
      </c>
      <c r="C344" s="244">
        <v>182</v>
      </c>
      <c r="D344" s="213" t="s">
        <v>583</v>
      </c>
      <c r="E344" s="969" t="s">
        <v>584</v>
      </c>
      <c r="F344" s="970"/>
      <c r="G344" s="971"/>
      <c r="H344" s="544" t="s">
        <v>247</v>
      </c>
      <c r="I344" s="212">
        <v>156000</v>
      </c>
      <c r="J344" s="605"/>
      <c r="K344" s="212">
        <v>4</v>
      </c>
      <c r="L344" s="212">
        <f t="shared" si="42"/>
        <v>624000</v>
      </c>
      <c r="M344" s="602"/>
      <c r="N344" s="675">
        <f>+'Yeşil Defter'!K341</f>
        <v>0</v>
      </c>
      <c r="O344" s="675">
        <f>+'Yeşil Defter'!L341</f>
        <v>0</v>
      </c>
      <c r="P344" s="675">
        <f>+'Yeşil Defter'!M341</f>
        <v>0</v>
      </c>
      <c r="Q344" s="212"/>
      <c r="R344" s="605">
        <f t="shared" si="43"/>
        <v>0</v>
      </c>
      <c r="S344" s="225">
        <f t="shared" si="38"/>
        <v>0</v>
      </c>
      <c r="T344" s="237">
        <f t="shared" si="44"/>
        <v>0</v>
      </c>
    </row>
    <row r="345" spans="1:20" ht="30" hidden="1" customHeight="1" x14ac:dyDescent="0.3">
      <c r="A345" s="262" t="s">
        <v>154</v>
      </c>
      <c r="C345" s="244">
        <v>183</v>
      </c>
      <c r="D345" s="213" t="s">
        <v>585</v>
      </c>
      <c r="E345" s="969" t="s">
        <v>586</v>
      </c>
      <c r="F345" s="970"/>
      <c r="G345" s="971"/>
      <c r="H345" s="544" t="s">
        <v>247</v>
      </c>
      <c r="I345" s="212">
        <v>227500</v>
      </c>
      <c r="J345" s="605"/>
      <c r="K345" s="212">
        <v>8</v>
      </c>
      <c r="L345" s="212">
        <f t="shared" si="42"/>
        <v>1820000</v>
      </c>
      <c r="M345" s="602"/>
      <c r="N345" s="675">
        <f>+'Yeşil Defter'!K342</f>
        <v>0</v>
      </c>
      <c r="O345" s="675">
        <f>+'Yeşil Defter'!L342</f>
        <v>0</v>
      </c>
      <c r="P345" s="675">
        <f>+'Yeşil Defter'!M342</f>
        <v>0</v>
      </c>
      <c r="Q345" s="212"/>
      <c r="R345" s="605">
        <f t="shared" si="43"/>
        <v>0</v>
      </c>
      <c r="S345" s="225">
        <f t="shared" si="38"/>
        <v>0</v>
      </c>
      <c r="T345" s="237">
        <f t="shared" si="44"/>
        <v>0</v>
      </c>
    </row>
    <row r="346" spans="1:20" ht="30" hidden="1" customHeight="1" x14ac:dyDescent="0.3">
      <c r="A346" s="262" t="s">
        <v>154</v>
      </c>
      <c r="C346" s="244">
        <v>184</v>
      </c>
      <c r="D346" s="213" t="s">
        <v>587</v>
      </c>
      <c r="E346" s="969" t="s">
        <v>588</v>
      </c>
      <c r="F346" s="970"/>
      <c r="G346" s="971"/>
      <c r="H346" s="544" t="s">
        <v>247</v>
      </c>
      <c r="I346" s="212">
        <v>292500</v>
      </c>
      <c r="J346" s="605"/>
      <c r="K346" s="212">
        <v>4</v>
      </c>
      <c r="L346" s="341">
        <f t="shared" si="42"/>
        <v>1170000</v>
      </c>
      <c r="M346" s="212"/>
      <c r="N346" s="675">
        <f>+'Yeşil Defter'!K343</f>
        <v>0</v>
      </c>
      <c r="O346" s="675">
        <f>+'Yeşil Defter'!L343</f>
        <v>0</v>
      </c>
      <c r="P346" s="675">
        <f>+'Yeşil Defter'!M343</f>
        <v>0</v>
      </c>
      <c r="Q346" s="212"/>
      <c r="R346" s="605">
        <f t="shared" si="43"/>
        <v>0</v>
      </c>
      <c r="S346" s="225">
        <f t="shared" si="38"/>
        <v>0</v>
      </c>
      <c r="T346" s="237">
        <f t="shared" si="44"/>
        <v>0</v>
      </c>
    </row>
    <row r="347" spans="1:20" ht="30" hidden="1" customHeight="1" x14ac:dyDescent="0.3">
      <c r="A347" s="262" t="s">
        <v>154</v>
      </c>
      <c r="C347" s="244"/>
      <c r="D347" s="213"/>
      <c r="E347" s="969"/>
      <c r="F347" s="970"/>
      <c r="G347" s="971"/>
      <c r="H347" s="161"/>
      <c r="I347" s="605"/>
      <c r="J347" s="605"/>
      <c r="K347" s="212"/>
      <c r="L347" s="341"/>
      <c r="M347" s="212"/>
      <c r="N347" s="605"/>
      <c r="O347" s="212"/>
      <c r="P347" s="341"/>
      <c r="Q347" s="212"/>
      <c r="R347" s="605"/>
      <c r="S347" s="225"/>
      <c r="T347" s="237"/>
    </row>
    <row r="348" spans="1:20" ht="30" hidden="1" customHeight="1" x14ac:dyDescent="0.3">
      <c r="A348" s="262" t="s">
        <v>154</v>
      </c>
      <c r="C348" s="244"/>
      <c r="D348" s="213"/>
      <c r="E348" s="969"/>
      <c r="F348" s="970"/>
      <c r="G348" s="971"/>
      <c r="H348" s="161"/>
      <c r="I348" s="605"/>
      <c r="J348" s="605"/>
      <c r="K348" s="212"/>
      <c r="L348" s="341"/>
      <c r="M348" s="212"/>
      <c r="N348" s="605"/>
      <c r="O348" s="212"/>
      <c r="P348" s="341"/>
      <c r="Q348" s="212"/>
      <c r="R348" s="605"/>
      <c r="S348" s="225"/>
      <c r="T348" s="237"/>
    </row>
    <row r="349" spans="1:20" ht="30" hidden="1" customHeight="1" x14ac:dyDescent="0.3">
      <c r="A349" s="262" t="s">
        <v>154</v>
      </c>
      <c r="C349" s="244"/>
      <c r="D349" s="213"/>
      <c r="E349" s="969"/>
      <c r="F349" s="970"/>
      <c r="G349" s="971"/>
      <c r="H349" s="161"/>
      <c r="I349" s="605"/>
      <c r="J349" s="605"/>
      <c r="K349" s="212"/>
      <c r="L349" s="341"/>
      <c r="M349" s="212"/>
      <c r="N349" s="605"/>
      <c r="O349" s="212"/>
      <c r="P349" s="341"/>
      <c r="Q349" s="212"/>
      <c r="R349" s="605"/>
      <c r="S349" s="225"/>
      <c r="T349" s="237"/>
    </row>
    <row r="350" spans="1:20" ht="30" hidden="1" customHeight="1" x14ac:dyDescent="0.3">
      <c r="A350" s="262" t="s">
        <v>154</v>
      </c>
      <c r="C350" s="244"/>
      <c r="D350" s="213"/>
      <c r="E350" s="969"/>
      <c r="F350" s="970"/>
      <c r="G350" s="971"/>
      <c r="H350" s="161"/>
      <c r="I350" s="605"/>
      <c r="J350" s="605"/>
      <c r="K350" s="212"/>
      <c r="L350" s="341"/>
      <c r="M350" s="212"/>
      <c r="N350" s="605"/>
      <c r="O350" s="212"/>
      <c r="P350" s="341"/>
      <c r="Q350" s="212"/>
      <c r="R350" s="605"/>
      <c r="S350" s="225"/>
      <c r="T350" s="237"/>
    </row>
    <row r="351" spans="1:20" ht="30" hidden="1" customHeight="1" x14ac:dyDescent="0.3">
      <c r="A351" s="262" t="s">
        <v>154</v>
      </c>
      <c r="C351" s="244"/>
      <c r="D351" s="213"/>
      <c r="E351" s="969"/>
      <c r="F351" s="970"/>
      <c r="G351" s="971"/>
      <c r="H351" s="161"/>
      <c r="I351" s="605"/>
      <c r="J351" s="605"/>
      <c r="K351" s="212"/>
      <c r="L351" s="341"/>
      <c r="M351" s="212"/>
      <c r="N351" s="605"/>
      <c r="O351" s="212"/>
      <c r="P351" s="341"/>
      <c r="Q351" s="212"/>
      <c r="R351" s="605"/>
      <c r="S351" s="225"/>
      <c r="T351" s="237"/>
    </row>
    <row r="352" spans="1:20" ht="30" hidden="1" customHeight="1" x14ac:dyDescent="0.3">
      <c r="A352" s="262" t="s">
        <v>154</v>
      </c>
      <c r="C352" s="244"/>
      <c r="D352" s="213"/>
      <c r="E352" s="969"/>
      <c r="F352" s="970"/>
      <c r="G352" s="971"/>
      <c r="H352" s="161"/>
      <c r="I352" s="605"/>
      <c r="J352" s="605"/>
      <c r="K352" s="212"/>
      <c r="L352" s="341"/>
      <c r="M352" s="212"/>
      <c r="N352" s="605"/>
      <c r="O352" s="212"/>
      <c r="P352" s="341"/>
      <c r="Q352" s="212"/>
      <c r="R352" s="605"/>
      <c r="S352" s="225"/>
      <c r="T352" s="237"/>
    </row>
    <row r="353" spans="1:20" ht="30" hidden="1" customHeight="1" x14ac:dyDescent="0.3">
      <c r="A353" s="262" t="s">
        <v>154</v>
      </c>
      <c r="C353" s="244"/>
      <c r="D353" s="213"/>
      <c r="E353" s="969"/>
      <c r="F353" s="970"/>
      <c r="G353" s="971"/>
      <c r="H353" s="161"/>
      <c r="I353" s="605"/>
      <c r="J353" s="605"/>
      <c r="K353" s="212"/>
      <c r="L353" s="341"/>
      <c r="M353" s="212"/>
      <c r="N353" s="605"/>
      <c r="O353" s="212"/>
      <c r="P353" s="341"/>
      <c r="Q353" s="212"/>
      <c r="R353" s="605"/>
      <c r="S353" s="225"/>
      <c r="T353" s="237"/>
    </row>
    <row r="354" spans="1:20" ht="30" hidden="1" customHeight="1" x14ac:dyDescent="0.3">
      <c r="A354" s="262" t="s">
        <v>154</v>
      </c>
      <c r="C354" s="244"/>
      <c r="D354" s="213"/>
      <c r="E354" s="969"/>
      <c r="F354" s="970"/>
      <c r="G354" s="971"/>
      <c r="H354" s="161"/>
      <c r="I354" s="605"/>
      <c r="J354" s="605"/>
      <c r="K354" s="212"/>
      <c r="L354" s="341"/>
      <c r="M354" s="212"/>
      <c r="N354" s="605"/>
      <c r="O354" s="212"/>
      <c r="P354" s="341"/>
      <c r="Q354" s="212"/>
      <c r="R354" s="605"/>
      <c r="S354" s="225"/>
      <c r="T354" s="237"/>
    </row>
    <row r="355" spans="1:20" ht="30" hidden="1" customHeight="1" x14ac:dyDescent="0.3">
      <c r="A355" s="262" t="s">
        <v>154</v>
      </c>
      <c r="C355" s="244"/>
      <c r="D355" s="213"/>
      <c r="E355" s="969"/>
      <c r="F355" s="970"/>
      <c r="G355" s="971"/>
      <c r="H355" s="161"/>
      <c r="I355" s="605"/>
      <c r="J355" s="605"/>
      <c r="K355" s="212"/>
      <c r="L355" s="341"/>
      <c r="M355" s="212"/>
      <c r="N355" s="605"/>
      <c r="O355" s="212"/>
      <c r="P355" s="341"/>
      <c r="Q355" s="212"/>
      <c r="R355" s="605"/>
      <c r="S355" s="225"/>
      <c r="T355" s="237"/>
    </row>
    <row r="356" spans="1:20" ht="30" hidden="1" customHeight="1" x14ac:dyDescent="0.3">
      <c r="A356" s="262" t="s">
        <v>154</v>
      </c>
      <c r="C356" s="244"/>
      <c r="D356" s="213"/>
      <c r="E356" s="969"/>
      <c r="F356" s="970"/>
      <c r="G356" s="971"/>
      <c r="H356" s="161"/>
      <c r="I356" s="605"/>
      <c r="J356" s="605"/>
      <c r="K356" s="212"/>
      <c r="L356" s="341"/>
      <c r="M356" s="212"/>
      <c r="N356" s="605"/>
      <c r="O356" s="212"/>
      <c r="P356" s="341"/>
      <c r="Q356" s="212"/>
      <c r="R356" s="605"/>
      <c r="S356" s="225"/>
      <c r="T356" s="237"/>
    </row>
    <row r="357" spans="1:20" ht="30" hidden="1" customHeight="1" x14ac:dyDescent="0.3">
      <c r="A357" s="262" t="s">
        <v>154</v>
      </c>
      <c r="C357" s="244"/>
      <c r="D357" s="213"/>
      <c r="E357" s="969"/>
      <c r="F357" s="970"/>
      <c r="G357" s="971"/>
      <c r="H357" s="161"/>
      <c r="I357" s="605"/>
      <c r="J357" s="605"/>
      <c r="K357" s="212"/>
      <c r="L357" s="341"/>
      <c r="M357" s="212"/>
      <c r="N357" s="605"/>
      <c r="O357" s="212"/>
      <c r="P357" s="341"/>
      <c r="Q357" s="212"/>
      <c r="R357" s="605"/>
      <c r="S357" s="225"/>
      <c r="T357" s="237"/>
    </row>
    <row r="358" spans="1:20" ht="30" hidden="1" customHeight="1" x14ac:dyDescent="0.3">
      <c r="A358" s="262" t="s">
        <v>154</v>
      </c>
      <c r="C358" s="244"/>
      <c r="D358" s="213"/>
      <c r="E358" s="969"/>
      <c r="F358" s="970"/>
      <c r="G358" s="971"/>
      <c r="H358" s="658"/>
      <c r="I358" s="605"/>
      <c r="J358" s="605"/>
      <c r="K358" s="212"/>
      <c r="L358" s="341"/>
      <c r="M358" s="302"/>
      <c r="N358" s="605"/>
      <c r="O358" s="212"/>
      <c r="P358" s="341"/>
      <c r="Q358" s="302"/>
      <c r="R358" s="605"/>
      <c r="S358" s="225"/>
      <c r="T358" s="237"/>
    </row>
    <row r="359" spans="1:20" ht="40.049999999999997" hidden="1" customHeight="1" x14ac:dyDescent="0.3">
      <c r="A359" s="262" t="s">
        <v>1242</v>
      </c>
      <c r="C359" s="258"/>
      <c r="D359" s="258"/>
      <c r="E359" s="972" t="s">
        <v>33</v>
      </c>
      <c r="F359" s="972"/>
      <c r="G359" s="972"/>
      <c r="H359" s="973" t="s">
        <v>29</v>
      </c>
      <c r="I359" s="973"/>
      <c r="J359" s="973"/>
      <c r="K359" s="973"/>
      <c r="L359" s="973"/>
      <c r="M359" s="549"/>
      <c r="N359" s="973" t="s">
        <v>22</v>
      </c>
      <c r="O359" s="973"/>
      <c r="P359" s="973"/>
      <c r="Q359" s="973"/>
      <c r="R359" s="973"/>
      <c r="S359" s="973"/>
      <c r="T359" s="973"/>
    </row>
    <row r="360" spans="1:20" ht="19.95" hidden="1" customHeight="1" x14ac:dyDescent="0.3">
      <c r="A360" s="262" t="s">
        <v>1242</v>
      </c>
      <c r="D360" s="28"/>
      <c r="E360" s="974" t="s">
        <v>1214</v>
      </c>
      <c r="F360" s="974"/>
      <c r="G360" s="974"/>
      <c r="H360" s="975" t="s">
        <v>38</v>
      </c>
      <c r="I360" s="975"/>
      <c r="J360" s="975"/>
      <c r="K360" s="975"/>
      <c r="L360" s="975"/>
      <c r="M360" s="562"/>
      <c r="N360" s="975" t="s">
        <v>1437</v>
      </c>
      <c r="O360" s="975"/>
      <c r="P360" s="975"/>
      <c r="Q360" s="975"/>
      <c r="R360" s="975"/>
      <c r="S360" s="975"/>
      <c r="T360" s="975"/>
    </row>
    <row r="361" spans="1:20" ht="19.95" hidden="1" customHeight="1" x14ac:dyDescent="0.3">
      <c r="A361" s="262" t="s">
        <v>1242</v>
      </c>
      <c r="C361" s="228"/>
      <c r="D361" s="228"/>
      <c r="E361" s="561"/>
      <c r="F361" s="561"/>
      <c r="G361" s="561"/>
      <c r="H361" s="228"/>
      <c r="I361" s="260"/>
      <c r="J361" s="260"/>
      <c r="K361" s="260"/>
      <c r="L361" s="260"/>
      <c r="M361" s="260"/>
      <c r="N361" s="975"/>
      <c r="O361" s="975"/>
      <c r="P361" s="975"/>
      <c r="Q361" s="975"/>
      <c r="R361" s="975"/>
      <c r="S361" s="975"/>
      <c r="T361" s="975"/>
    </row>
    <row r="362" spans="1:20" ht="19.95" hidden="1" customHeight="1" x14ac:dyDescent="0.3">
      <c r="A362" s="262" t="s">
        <v>1242</v>
      </c>
      <c r="C362" s="228"/>
      <c r="D362" s="228"/>
      <c r="E362" s="561"/>
      <c r="F362" s="561"/>
      <c r="G362" s="561"/>
      <c r="H362" s="228"/>
      <c r="I362" s="260"/>
      <c r="J362" s="260"/>
      <c r="K362" s="260"/>
      <c r="L362" s="260"/>
      <c r="M362" s="260"/>
      <c r="N362" s="975"/>
      <c r="O362" s="975"/>
      <c r="P362" s="975"/>
      <c r="Q362" s="975"/>
      <c r="R362" s="975"/>
      <c r="S362" s="975"/>
      <c r="T362" s="975"/>
    </row>
    <row r="363" spans="1:20" ht="19.95" hidden="1" customHeight="1" x14ac:dyDescent="0.3">
      <c r="A363" s="262" t="s">
        <v>1242</v>
      </c>
      <c r="C363" s="228"/>
      <c r="D363" s="228"/>
      <c r="E363" s="561"/>
      <c r="F363" s="561"/>
      <c r="G363" s="561"/>
      <c r="H363" s="228"/>
      <c r="I363" s="260"/>
      <c r="J363" s="260"/>
      <c r="K363" s="260"/>
      <c r="L363" s="260"/>
      <c r="M363" s="260"/>
      <c r="N363" s="260"/>
      <c r="O363" s="260"/>
      <c r="P363" s="260"/>
      <c r="Q363" s="260"/>
      <c r="R363" s="260"/>
      <c r="S363" s="624"/>
      <c r="T363" s="260"/>
    </row>
    <row r="364" spans="1:20" ht="19.95" hidden="1" customHeight="1" x14ac:dyDescent="0.3">
      <c r="A364" s="262" t="s">
        <v>1242</v>
      </c>
      <c r="C364" s="228"/>
      <c r="D364" s="228"/>
      <c r="E364" s="561"/>
      <c r="F364" s="561"/>
      <c r="G364" s="561"/>
      <c r="H364" s="975" t="s">
        <v>32</v>
      </c>
      <c r="I364" s="975"/>
      <c r="J364" s="562"/>
      <c r="K364" s="975" t="s">
        <v>1407</v>
      </c>
      <c r="L364" s="975"/>
      <c r="M364" s="562"/>
      <c r="N364" s="968" t="s">
        <v>58</v>
      </c>
      <c r="O364" s="968"/>
      <c r="P364" s="968"/>
      <c r="Q364" s="547"/>
      <c r="R364" s="968" t="s">
        <v>57</v>
      </c>
      <c r="S364" s="968"/>
      <c r="T364" s="968"/>
    </row>
    <row r="365" spans="1:20" ht="19.95" hidden="1" customHeight="1" x14ac:dyDescent="0.3">
      <c r="A365" s="262" t="s">
        <v>1242</v>
      </c>
      <c r="C365" s="228"/>
      <c r="D365" s="228"/>
      <c r="E365" s="561"/>
      <c r="F365" s="561"/>
      <c r="G365" s="561"/>
      <c r="H365" s="976" t="s">
        <v>94</v>
      </c>
      <c r="I365" s="976"/>
      <c r="J365" s="623"/>
      <c r="K365" s="976" t="s">
        <v>94</v>
      </c>
      <c r="L365" s="976"/>
      <c r="M365" s="623"/>
      <c r="N365" s="968" t="s">
        <v>1472</v>
      </c>
      <c r="O365" s="968"/>
      <c r="P365" s="968"/>
      <c r="Q365" s="547"/>
      <c r="R365" s="968" t="s">
        <v>1472</v>
      </c>
      <c r="S365" s="968"/>
      <c r="T365" s="968"/>
    </row>
    <row r="366" spans="1:20" ht="19.95" hidden="1" customHeight="1" x14ac:dyDescent="0.3">
      <c r="A366" s="262" t="s">
        <v>1242</v>
      </c>
      <c r="C366" s="228"/>
      <c r="D366" s="228"/>
      <c r="E366" s="561"/>
      <c r="F366" s="561"/>
      <c r="G366" s="561"/>
      <c r="H366" s="976"/>
      <c r="I366" s="976"/>
      <c r="J366" s="623"/>
      <c r="K366" s="976"/>
      <c r="L366" s="976"/>
      <c r="M366" s="623"/>
      <c r="N366" s="968"/>
      <c r="O366" s="968"/>
      <c r="P366" s="968"/>
      <c r="Q366" s="260"/>
      <c r="R366" s="968"/>
      <c r="S366" s="968"/>
      <c r="T366" s="968"/>
    </row>
    <row r="367" spans="1:20" ht="19.95" hidden="1" customHeight="1" x14ac:dyDescent="0.3">
      <c r="A367" s="262" t="s">
        <v>1242</v>
      </c>
      <c r="C367" s="228"/>
      <c r="D367" s="228"/>
      <c r="E367" s="561"/>
      <c r="F367" s="561"/>
      <c r="G367" s="561"/>
      <c r="H367" s="228"/>
      <c r="I367" s="260"/>
      <c r="J367" s="260"/>
      <c r="K367" s="260"/>
      <c r="L367" s="260"/>
      <c r="M367" s="260"/>
      <c r="N367" s="260"/>
      <c r="O367" s="260"/>
      <c r="P367" s="260"/>
      <c r="Q367" s="260"/>
      <c r="R367" s="260"/>
      <c r="S367" s="624"/>
      <c r="T367" s="260"/>
    </row>
    <row r="368" spans="1:20" ht="19.95" hidden="1" customHeight="1" x14ac:dyDescent="0.3">
      <c r="A368" s="262" t="s">
        <v>1242</v>
      </c>
      <c r="C368" s="228"/>
      <c r="D368" s="228"/>
      <c r="E368" s="975" t="s">
        <v>1215</v>
      </c>
      <c r="F368" s="975"/>
      <c r="G368" s="975"/>
      <c r="H368" s="975" t="s">
        <v>1348</v>
      </c>
      <c r="I368" s="975"/>
      <c r="J368" s="975"/>
      <c r="K368" s="975"/>
      <c r="L368" s="975"/>
      <c r="M368" s="562"/>
      <c r="N368" s="977" t="s">
        <v>1217</v>
      </c>
      <c r="O368" s="968"/>
      <c r="P368" s="968"/>
      <c r="Q368" s="968"/>
      <c r="R368" s="968"/>
      <c r="S368" s="968"/>
      <c r="T368" s="968"/>
    </row>
    <row r="369" spans="1:20" ht="19.95" hidden="1" customHeight="1" x14ac:dyDescent="0.3">
      <c r="A369" s="262" t="s">
        <v>1290</v>
      </c>
      <c r="C369" s="228"/>
      <c r="D369" s="228"/>
      <c r="E369" s="975"/>
      <c r="F369" s="975"/>
      <c r="G369" s="975"/>
      <c r="H369" s="975"/>
      <c r="I369" s="975"/>
      <c r="J369" s="975"/>
      <c r="K369" s="975"/>
      <c r="L369" s="975"/>
      <c r="M369" s="562"/>
      <c r="N369" s="968"/>
      <c r="O369" s="968"/>
      <c r="P369" s="968"/>
      <c r="Q369" s="968"/>
      <c r="R369" s="968"/>
      <c r="S369" s="968"/>
      <c r="T369" s="968"/>
    </row>
    <row r="370" spans="1:20" ht="30" hidden="1" customHeight="1" x14ac:dyDescent="0.3">
      <c r="A370" s="262" t="s">
        <v>1240</v>
      </c>
      <c r="C370" s="625"/>
      <c r="D370" s="626" t="s">
        <v>1229</v>
      </c>
      <c r="E370" s="627"/>
      <c r="F370" s="627"/>
      <c r="G370" s="627"/>
      <c r="H370" s="627"/>
      <c r="I370" s="628"/>
      <c r="J370" s="628"/>
      <c r="K370" s="628"/>
      <c r="L370" s="644">
        <f>+SUMIFS(L:L,A:A,"2")</f>
        <v>1424774746</v>
      </c>
      <c r="M370" s="629"/>
      <c r="N370" s="648"/>
      <c r="O370" s="628"/>
      <c r="P370" s="628"/>
      <c r="Q370" s="611"/>
      <c r="R370" s="651">
        <f>+SUMIFS(R:R,A:A,"2")</f>
        <v>0</v>
      </c>
      <c r="S370" s="630">
        <f>+SUMIFS(S:S,A:A,"2")</f>
        <v>0</v>
      </c>
      <c r="T370" s="631">
        <f>+SUMIFS(T:T,A:A,"2")</f>
        <v>0</v>
      </c>
    </row>
    <row r="371" spans="1:20" ht="30" hidden="1" customHeight="1" x14ac:dyDescent="0.3">
      <c r="A371" s="262">
        <v>2</v>
      </c>
      <c r="C371" s="244">
        <v>185</v>
      </c>
      <c r="D371" s="213" t="s">
        <v>589</v>
      </c>
      <c r="E371" s="969" t="s">
        <v>590</v>
      </c>
      <c r="F371" s="970"/>
      <c r="G371" s="971"/>
      <c r="H371" s="544" t="s">
        <v>286</v>
      </c>
      <c r="I371" s="212">
        <v>11275750</v>
      </c>
      <c r="J371" s="605"/>
      <c r="K371" s="212">
        <v>1</v>
      </c>
      <c r="L371" s="212">
        <f t="shared" ref="L371:L392" si="45">+ROUND(I371*K371,2)</f>
        <v>11275750</v>
      </c>
      <c r="M371" s="602"/>
      <c r="N371" s="675">
        <f>+'Yeşil Defter'!K388</f>
        <v>0</v>
      </c>
      <c r="O371" s="675">
        <f>+'Yeşil Defter'!L388</f>
        <v>0</v>
      </c>
      <c r="P371" s="675">
        <f>+'Yeşil Defter'!M388</f>
        <v>0</v>
      </c>
      <c r="Q371" s="212"/>
      <c r="R371" s="605">
        <f t="shared" ref="R371:R392" si="46">+ROUND(K371*N371,2)</f>
        <v>0</v>
      </c>
      <c r="S371" s="225">
        <f t="shared" ref="S371:S426" si="47">+T371-R371</f>
        <v>0</v>
      </c>
      <c r="T371" s="237">
        <f t="shared" ref="T371:T392" si="48">+ROUND(K371*P371,2)</f>
        <v>0</v>
      </c>
    </row>
    <row r="372" spans="1:20" ht="30" hidden="1" customHeight="1" x14ac:dyDescent="0.3">
      <c r="A372" s="262">
        <v>2</v>
      </c>
      <c r="C372" s="244">
        <v>186</v>
      </c>
      <c r="D372" s="161" t="s">
        <v>591</v>
      </c>
      <c r="E372" s="969" t="s">
        <v>592</v>
      </c>
      <c r="F372" s="970"/>
      <c r="G372" s="971"/>
      <c r="H372" s="544" t="s">
        <v>286</v>
      </c>
      <c r="I372" s="212">
        <v>22517035</v>
      </c>
      <c r="J372" s="605"/>
      <c r="K372" s="212">
        <v>1</v>
      </c>
      <c r="L372" s="212">
        <f t="shared" si="45"/>
        <v>22517035</v>
      </c>
      <c r="M372" s="602"/>
      <c r="N372" s="675">
        <f>+'Yeşil Defter'!K389</f>
        <v>0</v>
      </c>
      <c r="O372" s="675">
        <f>+'Yeşil Defter'!L389</f>
        <v>0</v>
      </c>
      <c r="P372" s="675">
        <f>+'Yeşil Defter'!M389</f>
        <v>0</v>
      </c>
      <c r="Q372" s="212"/>
      <c r="R372" s="605">
        <f t="shared" si="46"/>
        <v>0</v>
      </c>
      <c r="S372" s="225">
        <f t="shared" si="47"/>
        <v>0</v>
      </c>
      <c r="T372" s="237">
        <f t="shared" si="48"/>
        <v>0</v>
      </c>
    </row>
    <row r="373" spans="1:20" ht="30" hidden="1" customHeight="1" x14ac:dyDescent="0.3">
      <c r="A373" s="262">
        <v>2</v>
      </c>
      <c r="C373" s="244">
        <v>187</v>
      </c>
      <c r="D373" s="161" t="s">
        <v>593</v>
      </c>
      <c r="E373" s="969" t="s">
        <v>594</v>
      </c>
      <c r="F373" s="970"/>
      <c r="G373" s="971"/>
      <c r="H373" s="544" t="s">
        <v>286</v>
      </c>
      <c r="I373" s="212">
        <v>15921572</v>
      </c>
      <c r="J373" s="605"/>
      <c r="K373" s="212">
        <v>1</v>
      </c>
      <c r="L373" s="212">
        <f t="shared" si="45"/>
        <v>15921572</v>
      </c>
      <c r="M373" s="602"/>
      <c r="N373" s="675">
        <f>+'Yeşil Defter'!K390</f>
        <v>0</v>
      </c>
      <c r="O373" s="675">
        <f>+'Yeşil Defter'!L390</f>
        <v>0</v>
      </c>
      <c r="P373" s="675">
        <f>+'Yeşil Defter'!M390</f>
        <v>0</v>
      </c>
      <c r="Q373" s="212"/>
      <c r="R373" s="605">
        <f t="shared" si="46"/>
        <v>0</v>
      </c>
      <c r="S373" s="225">
        <f t="shared" si="47"/>
        <v>0</v>
      </c>
      <c r="T373" s="237">
        <f t="shared" si="48"/>
        <v>0</v>
      </c>
    </row>
    <row r="374" spans="1:20" ht="30" hidden="1" customHeight="1" x14ac:dyDescent="0.3">
      <c r="A374" s="262">
        <v>2</v>
      </c>
      <c r="C374" s="244">
        <v>188</v>
      </c>
      <c r="D374" s="161" t="s">
        <v>595</v>
      </c>
      <c r="E374" s="969" t="s">
        <v>596</v>
      </c>
      <c r="F374" s="970"/>
      <c r="G374" s="971"/>
      <c r="H374" s="544" t="s">
        <v>286</v>
      </c>
      <c r="I374" s="212">
        <v>15921572</v>
      </c>
      <c r="J374" s="605"/>
      <c r="K374" s="212">
        <v>1</v>
      </c>
      <c r="L374" s="212">
        <f t="shared" si="45"/>
        <v>15921572</v>
      </c>
      <c r="M374" s="602"/>
      <c r="N374" s="675">
        <f>+'Yeşil Defter'!K391</f>
        <v>0</v>
      </c>
      <c r="O374" s="675">
        <f>+'Yeşil Defter'!L391</f>
        <v>0</v>
      </c>
      <c r="P374" s="675">
        <f>+'Yeşil Defter'!M391</f>
        <v>0</v>
      </c>
      <c r="Q374" s="212"/>
      <c r="R374" s="605">
        <f t="shared" si="46"/>
        <v>0</v>
      </c>
      <c r="S374" s="225">
        <f t="shared" si="47"/>
        <v>0</v>
      </c>
      <c r="T374" s="237">
        <f t="shared" si="48"/>
        <v>0</v>
      </c>
    </row>
    <row r="375" spans="1:20" ht="30" hidden="1" customHeight="1" x14ac:dyDescent="0.3">
      <c r="A375" s="262">
        <v>2</v>
      </c>
      <c r="C375" s="244">
        <v>189</v>
      </c>
      <c r="D375" s="161" t="s">
        <v>597</v>
      </c>
      <c r="E375" s="969" t="s">
        <v>598</v>
      </c>
      <c r="F375" s="970"/>
      <c r="G375" s="971"/>
      <c r="H375" s="544" t="s">
        <v>286</v>
      </c>
      <c r="I375" s="212">
        <v>15921572</v>
      </c>
      <c r="J375" s="605"/>
      <c r="K375" s="212">
        <v>1</v>
      </c>
      <c r="L375" s="212">
        <f t="shared" si="45"/>
        <v>15921572</v>
      </c>
      <c r="M375" s="602"/>
      <c r="N375" s="675">
        <f>+'Yeşil Defter'!K392</f>
        <v>0</v>
      </c>
      <c r="O375" s="675">
        <f>+'Yeşil Defter'!L392</f>
        <v>0</v>
      </c>
      <c r="P375" s="675">
        <f>+'Yeşil Defter'!M392</f>
        <v>0</v>
      </c>
      <c r="Q375" s="212"/>
      <c r="R375" s="605">
        <f t="shared" si="46"/>
        <v>0</v>
      </c>
      <c r="S375" s="225">
        <f t="shared" si="47"/>
        <v>0</v>
      </c>
      <c r="T375" s="237">
        <f t="shared" si="48"/>
        <v>0</v>
      </c>
    </row>
    <row r="376" spans="1:20" ht="30" hidden="1" customHeight="1" x14ac:dyDescent="0.3">
      <c r="A376" s="262">
        <v>2</v>
      </c>
      <c r="C376" s="244">
        <v>190</v>
      </c>
      <c r="D376" s="161" t="s">
        <v>599</v>
      </c>
      <c r="E376" s="969" t="s">
        <v>600</v>
      </c>
      <c r="F376" s="970"/>
      <c r="G376" s="971"/>
      <c r="H376" s="544" t="s">
        <v>286</v>
      </c>
      <c r="I376" s="212">
        <v>25772110</v>
      </c>
      <c r="J376" s="605"/>
      <c r="K376" s="212">
        <v>1</v>
      </c>
      <c r="L376" s="212">
        <f t="shared" si="45"/>
        <v>25772110</v>
      </c>
      <c r="M376" s="602"/>
      <c r="N376" s="675">
        <f>+'Yeşil Defter'!K393</f>
        <v>0</v>
      </c>
      <c r="O376" s="675">
        <f>+'Yeşil Defter'!L393</f>
        <v>0</v>
      </c>
      <c r="P376" s="675">
        <f>+'Yeşil Defter'!M393</f>
        <v>0</v>
      </c>
      <c r="Q376" s="212"/>
      <c r="R376" s="605">
        <f t="shared" si="46"/>
        <v>0</v>
      </c>
      <c r="S376" s="225">
        <f t="shared" si="47"/>
        <v>0</v>
      </c>
      <c r="T376" s="237">
        <f t="shared" si="48"/>
        <v>0</v>
      </c>
    </row>
    <row r="377" spans="1:20" ht="30" hidden="1" customHeight="1" x14ac:dyDescent="0.3">
      <c r="A377" s="262">
        <v>2</v>
      </c>
      <c r="C377" s="244">
        <v>191</v>
      </c>
      <c r="D377" s="161" t="s">
        <v>601</v>
      </c>
      <c r="E377" s="969" t="s">
        <v>602</v>
      </c>
      <c r="F377" s="970"/>
      <c r="G377" s="971"/>
      <c r="H377" s="544" t="s">
        <v>286</v>
      </c>
      <c r="I377" s="212">
        <v>8305760</v>
      </c>
      <c r="J377" s="605"/>
      <c r="K377" s="212">
        <v>1</v>
      </c>
      <c r="L377" s="212">
        <f t="shared" si="45"/>
        <v>8305760</v>
      </c>
      <c r="M377" s="602"/>
      <c r="N377" s="675">
        <f>+'Yeşil Defter'!K394</f>
        <v>0</v>
      </c>
      <c r="O377" s="675">
        <f>+'Yeşil Defter'!L394</f>
        <v>0</v>
      </c>
      <c r="P377" s="675">
        <f>+'Yeşil Defter'!M394</f>
        <v>0</v>
      </c>
      <c r="Q377" s="212"/>
      <c r="R377" s="605">
        <f t="shared" si="46"/>
        <v>0</v>
      </c>
      <c r="S377" s="225">
        <f t="shared" si="47"/>
        <v>0</v>
      </c>
      <c r="T377" s="237">
        <f t="shared" si="48"/>
        <v>0</v>
      </c>
    </row>
    <row r="378" spans="1:20" ht="30" hidden="1" customHeight="1" x14ac:dyDescent="0.3">
      <c r="A378" s="262">
        <v>2</v>
      </c>
      <c r="C378" s="244">
        <v>192</v>
      </c>
      <c r="D378" s="161" t="s">
        <v>603</v>
      </c>
      <c r="E378" s="969" t="s">
        <v>604</v>
      </c>
      <c r="F378" s="970"/>
      <c r="G378" s="971"/>
      <c r="H378" s="544" t="s">
        <v>286</v>
      </c>
      <c r="I378" s="212">
        <v>8305760</v>
      </c>
      <c r="J378" s="605"/>
      <c r="K378" s="212">
        <v>1</v>
      </c>
      <c r="L378" s="212">
        <f t="shared" si="45"/>
        <v>8305760</v>
      </c>
      <c r="M378" s="602"/>
      <c r="N378" s="675">
        <f>+'Yeşil Defter'!K395</f>
        <v>0</v>
      </c>
      <c r="O378" s="675">
        <f>+'Yeşil Defter'!L395</f>
        <v>0</v>
      </c>
      <c r="P378" s="675">
        <f>+'Yeşil Defter'!M395</f>
        <v>0</v>
      </c>
      <c r="Q378" s="212"/>
      <c r="R378" s="605">
        <f t="shared" si="46"/>
        <v>0</v>
      </c>
      <c r="S378" s="225">
        <f t="shared" si="47"/>
        <v>0</v>
      </c>
      <c r="T378" s="237">
        <f t="shared" si="48"/>
        <v>0</v>
      </c>
    </row>
    <row r="379" spans="1:20" ht="30" hidden="1" customHeight="1" x14ac:dyDescent="0.3">
      <c r="A379" s="262">
        <v>2</v>
      </c>
      <c r="C379" s="244">
        <v>193</v>
      </c>
      <c r="D379" s="161" t="s">
        <v>605</v>
      </c>
      <c r="E379" s="969" t="s">
        <v>606</v>
      </c>
      <c r="F379" s="970"/>
      <c r="G379" s="971"/>
      <c r="H379" s="544" t="s">
        <v>286</v>
      </c>
      <c r="I379" s="212">
        <v>8305760</v>
      </c>
      <c r="J379" s="605"/>
      <c r="K379" s="212">
        <v>1</v>
      </c>
      <c r="L379" s="212">
        <f t="shared" si="45"/>
        <v>8305760</v>
      </c>
      <c r="M379" s="602"/>
      <c r="N379" s="675">
        <f>+'Yeşil Defter'!K396</f>
        <v>0</v>
      </c>
      <c r="O379" s="675">
        <f>+'Yeşil Defter'!L396</f>
        <v>0</v>
      </c>
      <c r="P379" s="675">
        <f>+'Yeşil Defter'!M396</f>
        <v>0</v>
      </c>
      <c r="Q379" s="212"/>
      <c r="R379" s="605">
        <f t="shared" si="46"/>
        <v>0</v>
      </c>
      <c r="S379" s="225">
        <f t="shared" si="47"/>
        <v>0</v>
      </c>
      <c r="T379" s="237">
        <f t="shared" si="48"/>
        <v>0</v>
      </c>
    </row>
    <row r="380" spans="1:20" ht="30" hidden="1" customHeight="1" x14ac:dyDescent="0.3">
      <c r="A380" s="262">
        <v>2</v>
      </c>
      <c r="C380" s="244">
        <v>194</v>
      </c>
      <c r="D380" s="161" t="s">
        <v>607</v>
      </c>
      <c r="E380" s="969" t="s">
        <v>608</v>
      </c>
      <c r="F380" s="970"/>
      <c r="G380" s="971"/>
      <c r="H380" s="544" t="s">
        <v>286</v>
      </c>
      <c r="I380" s="212">
        <v>8305760</v>
      </c>
      <c r="J380" s="605"/>
      <c r="K380" s="212">
        <v>1</v>
      </c>
      <c r="L380" s="212">
        <f t="shared" si="45"/>
        <v>8305760</v>
      </c>
      <c r="M380" s="602"/>
      <c r="N380" s="675">
        <f>+'Yeşil Defter'!K397</f>
        <v>0</v>
      </c>
      <c r="O380" s="675">
        <f>+'Yeşil Defter'!L397</f>
        <v>0</v>
      </c>
      <c r="P380" s="675">
        <f>+'Yeşil Defter'!M397</f>
        <v>0</v>
      </c>
      <c r="Q380" s="212"/>
      <c r="R380" s="605">
        <f t="shared" si="46"/>
        <v>0</v>
      </c>
      <c r="S380" s="225">
        <f t="shared" si="47"/>
        <v>0</v>
      </c>
      <c r="T380" s="237">
        <f t="shared" si="48"/>
        <v>0</v>
      </c>
    </row>
    <row r="381" spans="1:20" ht="30" hidden="1" customHeight="1" x14ac:dyDescent="0.3">
      <c r="A381" s="262">
        <v>2</v>
      </c>
      <c r="C381" s="244">
        <v>195</v>
      </c>
      <c r="D381" s="161" t="s">
        <v>609</v>
      </c>
      <c r="E381" s="969" t="s">
        <v>610</v>
      </c>
      <c r="F381" s="970"/>
      <c r="G381" s="971"/>
      <c r="H381" s="544" t="s">
        <v>286</v>
      </c>
      <c r="I381" s="212">
        <v>8305760</v>
      </c>
      <c r="J381" s="605"/>
      <c r="K381" s="212">
        <v>1</v>
      </c>
      <c r="L381" s="212">
        <f t="shared" si="45"/>
        <v>8305760</v>
      </c>
      <c r="M381" s="602"/>
      <c r="N381" s="675">
        <f>+'Yeşil Defter'!K398</f>
        <v>0</v>
      </c>
      <c r="O381" s="675">
        <f>+'Yeşil Defter'!L398</f>
        <v>0</v>
      </c>
      <c r="P381" s="675">
        <f>+'Yeşil Defter'!M398</f>
        <v>0</v>
      </c>
      <c r="Q381" s="212"/>
      <c r="R381" s="605">
        <f t="shared" si="46"/>
        <v>0</v>
      </c>
      <c r="S381" s="225">
        <f t="shared" si="47"/>
        <v>0</v>
      </c>
      <c r="T381" s="237">
        <f t="shared" si="48"/>
        <v>0</v>
      </c>
    </row>
    <row r="382" spans="1:20" ht="30" hidden="1" customHeight="1" x14ac:dyDescent="0.3">
      <c r="A382" s="262">
        <v>2</v>
      </c>
      <c r="C382" s="244">
        <v>196</v>
      </c>
      <c r="D382" s="161" t="s">
        <v>611</v>
      </c>
      <c r="E382" s="969" t="s">
        <v>612</v>
      </c>
      <c r="F382" s="970"/>
      <c r="G382" s="971"/>
      <c r="H382" s="544" t="s">
        <v>286</v>
      </c>
      <c r="I382" s="212">
        <v>12296950</v>
      </c>
      <c r="J382" s="605"/>
      <c r="K382" s="212">
        <v>1</v>
      </c>
      <c r="L382" s="212">
        <f t="shared" si="45"/>
        <v>12296950</v>
      </c>
      <c r="M382" s="602"/>
      <c r="N382" s="675">
        <f>+'Yeşil Defter'!K399</f>
        <v>0</v>
      </c>
      <c r="O382" s="675">
        <f>+'Yeşil Defter'!L399</f>
        <v>0</v>
      </c>
      <c r="P382" s="675">
        <f>+'Yeşil Defter'!M399</f>
        <v>0</v>
      </c>
      <c r="Q382" s="212"/>
      <c r="R382" s="605">
        <f t="shared" si="46"/>
        <v>0</v>
      </c>
      <c r="S382" s="225">
        <f t="shared" si="47"/>
        <v>0</v>
      </c>
      <c r="T382" s="237">
        <f t="shared" si="48"/>
        <v>0</v>
      </c>
    </row>
    <row r="383" spans="1:20" ht="30" hidden="1" customHeight="1" x14ac:dyDescent="0.3">
      <c r="A383" s="262">
        <v>2</v>
      </c>
      <c r="C383" s="244">
        <v>197</v>
      </c>
      <c r="D383" s="161" t="s">
        <v>613</v>
      </c>
      <c r="E383" s="969" t="s">
        <v>614</v>
      </c>
      <c r="F383" s="970"/>
      <c r="G383" s="971"/>
      <c r="H383" s="544" t="s">
        <v>286</v>
      </c>
      <c r="I383" s="212">
        <v>12296950</v>
      </c>
      <c r="J383" s="605"/>
      <c r="K383" s="212">
        <v>1</v>
      </c>
      <c r="L383" s="212">
        <f t="shared" si="45"/>
        <v>12296950</v>
      </c>
      <c r="M383" s="602"/>
      <c r="N383" s="675">
        <f>+'Yeşil Defter'!K400</f>
        <v>0</v>
      </c>
      <c r="O383" s="675">
        <f>+'Yeşil Defter'!L400</f>
        <v>0</v>
      </c>
      <c r="P383" s="675">
        <f>+'Yeşil Defter'!M400</f>
        <v>0</v>
      </c>
      <c r="Q383" s="212"/>
      <c r="R383" s="605">
        <f t="shared" si="46"/>
        <v>0</v>
      </c>
      <c r="S383" s="225">
        <f t="shared" si="47"/>
        <v>0</v>
      </c>
      <c r="T383" s="237">
        <f t="shared" si="48"/>
        <v>0</v>
      </c>
    </row>
    <row r="384" spans="1:20" ht="30" hidden="1" customHeight="1" x14ac:dyDescent="0.3">
      <c r="A384" s="262">
        <v>2</v>
      </c>
      <c r="C384" s="244">
        <v>198</v>
      </c>
      <c r="D384" s="161" t="s">
        <v>615</v>
      </c>
      <c r="E384" s="969" t="s">
        <v>616</v>
      </c>
      <c r="F384" s="970"/>
      <c r="G384" s="971"/>
      <c r="H384" s="544" t="s">
        <v>286</v>
      </c>
      <c r="I384" s="212">
        <v>12296950</v>
      </c>
      <c r="J384" s="605"/>
      <c r="K384" s="212">
        <v>1</v>
      </c>
      <c r="L384" s="212">
        <f t="shared" si="45"/>
        <v>12296950</v>
      </c>
      <c r="M384" s="602"/>
      <c r="N384" s="675">
        <f>+'Yeşil Defter'!K401</f>
        <v>0</v>
      </c>
      <c r="O384" s="675">
        <f>+'Yeşil Defter'!L401</f>
        <v>0</v>
      </c>
      <c r="P384" s="675">
        <f>+'Yeşil Defter'!M401</f>
        <v>0</v>
      </c>
      <c r="Q384" s="212"/>
      <c r="R384" s="605">
        <f t="shared" si="46"/>
        <v>0</v>
      </c>
      <c r="S384" s="225">
        <f t="shared" si="47"/>
        <v>0</v>
      </c>
      <c r="T384" s="237">
        <f t="shared" si="48"/>
        <v>0</v>
      </c>
    </row>
    <row r="385" spans="1:20" ht="30" hidden="1" customHeight="1" x14ac:dyDescent="0.3">
      <c r="A385" s="262">
        <v>2</v>
      </c>
      <c r="C385" s="244">
        <v>199</v>
      </c>
      <c r="D385" s="161" t="s">
        <v>617</v>
      </c>
      <c r="E385" s="969" t="s">
        <v>618</v>
      </c>
      <c r="F385" s="970"/>
      <c r="G385" s="971"/>
      <c r="H385" s="544" t="s">
        <v>286</v>
      </c>
      <c r="I385" s="212">
        <v>12296950</v>
      </c>
      <c r="J385" s="605"/>
      <c r="K385" s="212">
        <v>1</v>
      </c>
      <c r="L385" s="212">
        <f t="shared" si="45"/>
        <v>12296950</v>
      </c>
      <c r="M385" s="602"/>
      <c r="N385" s="675">
        <f>+'Yeşil Defter'!K402</f>
        <v>0</v>
      </c>
      <c r="O385" s="675">
        <f>+'Yeşil Defter'!L402</f>
        <v>0</v>
      </c>
      <c r="P385" s="675">
        <f>+'Yeşil Defter'!M402</f>
        <v>0</v>
      </c>
      <c r="Q385" s="212"/>
      <c r="R385" s="605">
        <f t="shared" si="46"/>
        <v>0</v>
      </c>
      <c r="S385" s="225">
        <f t="shared" si="47"/>
        <v>0</v>
      </c>
      <c r="T385" s="237">
        <f t="shared" si="48"/>
        <v>0</v>
      </c>
    </row>
    <row r="386" spans="1:20" ht="30" hidden="1" customHeight="1" x14ac:dyDescent="0.3">
      <c r="A386" s="262">
        <v>2</v>
      </c>
      <c r="C386" s="244">
        <v>200</v>
      </c>
      <c r="D386" s="161" t="s">
        <v>619</v>
      </c>
      <c r="E386" s="969" t="s">
        <v>620</v>
      </c>
      <c r="F386" s="970"/>
      <c r="G386" s="971"/>
      <c r="H386" s="544" t="s">
        <v>286</v>
      </c>
      <c r="I386" s="212">
        <v>12296950</v>
      </c>
      <c r="J386" s="605"/>
      <c r="K386" s="212">
        <v>1</v>
      </c>
      <c r="L386" s="212">
        <f t="shared" si="45"/>
        <v>12296950</v>
      </c>
      <c r="M386" s="602"/>
      <c r="N386" s="675">
        <f>+'Yeşil Defter'!K403</f>
        <v>0</v>
      </c>
      <c r="O386" s="675">
        <f>+'Yeşil Defter'!L403</f>
        <v>0</v>
      </c>
      <c r="P386" s="675">
        <f>+'Yeşil Defter'!M403</f>
        <v>0</v>
      </c>
      <c r="Q386" s="212"/>
      <c r="R386" s="605">
        <f t="shared" si="46"/>
        <v>0</v>
      </c>
      <c r="S386" s="225">
        <f t="shared" si="47"/>
        <v>0</v>
      </c>
      <c r="T386" s="237">
        <f t="shared" si="48"/>
        <v>0</v>
      </c>
    </row>
    <row r="387" spans="1:20" ht="30" hidden="1" customHeight="1" x14ac:dyDescent="0.3">
      <c r="A387" s="262">
        <v>2</v>
      </c>
      <c r="C387" s="244">
        <v>201</v>
      </c>
      <c r="D387" s="161" t="s">
        <v>621</v>
      </c>
      <c r="E387" s="969" t="s">
        <v>622</v>
      </c>
      <c r="F387" s="970"/>
      <c r="G387" s="971"/>
      <c r="H387" s="544" t="s">
        <v>286</v>
      </c>
      <c r="I387" s="212">
        <v>10347418</v>
      </c>
      <c r="J387" s="605"/>
      <c r="K387" s="212">
        <v>1</v>
      </c>
      <c r="L387" s="212">
        <f t="shared" si="45"/>
        <v>10347418</v>
      </c>
      <c r="M387" s="602"/>
      <c r="N387" s="675">
        <f>+'Yeşil Defter'!K404</f>
        <v>0</v>
      </c>
      <c r="O387" s="675">
        <f>+'Yeşil Defter'!L404</f>
        <v>0</v>
      </c>
      <c r="P387" s="675">
        <f>+'Yeşil Defter'!M404</f>
        <v>0</v>
      </c>
      <c r="Q387" s="212"/>
      <c r="R387" s="605">
        <f t="shared" si="46"/>
        <v>0</v>
      </c>
      <c r="S387" s="225">
        <f t="shared" si="47"/>
        <v>0</v>
      </c>
      <c r="T387" s="237">
        <f t="shared" si="48"/>
        <v>0</v>
      </c>
    </row>
    <row r="388" spans="1:20" ht="30" hidden="1" customHeight="1" x14ac:dyDescent="0.3">
      <c r="A388" s="262">
        <v>2</v>
      </c>
      <c r="C388" s="244">
        <v>202</v>
      </c>
      <c r="D388" s="161" t="s">
        <v>623</v>
      </c>
      <c r="E388" s="969" t="s">
        <v>624</v>
      </c>
      <c r="F388" s="970"/>
      <c r="G388" s="971"/>
      <c r="H388" s="544" t="s">
        <v>286</v>
      </c>
      <c r="I388" s="212">
        <v>11316761</v>
      </c>
      <c r="J388" s="605"/>
      <c r="K388" s="212">
        <v>1</v>
      </c>
      <c r="L388" s="212">
        <f t="shared" si="45"/>
        <v>11316761</v>
      </c>
      <c r="M388" s="602"/>
      <c r="N388" s="675">
        <f>+'Yeşil Defter'!K405</f>
        <v>0</v>
      </c>
      <c r="O388" s="675">
        <f>+'Yeşil Defter'!L405</f>
        <v>0</v>
      </c>
      <c r="P388" s="675">
        <f>+'Yeşil Defter'!M405</f>
        <v>0</v>
      </c>
      <c r="Q388" s="212"/>
      <c r="R388" s="605">
        <f t="shared" si="46"/>
        <v>0</v>
      </c>
      <c r="S388" s="225">
        <f t="shared" si="47"/>
        <v>0</v>
      </c>
      <c r="T388" s="237">
        <f t="shared" si="48"/>
        <v>0</v>
      </c>
    </row>
    <row r="389" spans="1:20" ht="30" hidden="1" customHeight="1" x14ac:dyDescent="0.3">
      <c r="A389" s="262">
        <v>2</v>
      </c>
      <c r="C389" s="244">
        <v>203</v>
      </c>
      <c r="D389" s="161" t="s">
        <v>625</v>
      </c>
      <c r="E389" s="969" t="s">
        <v>626</v>
      </c>
      <c r="F389" s="970"/>
      <c r="G389" s="971"/>
      <c r="H389" s="544" t="s">
        <v>286</v>
      </c>
      <c r="I389" s="212">
        <v>12286105</v>
      </c>
      <c r="J389" s="605"/>
      <c r="K389" s="212">
        <v>1</v>
      </c>
      <c r="L389" s="212">
        <f t="shared" si="45"/>
        <v>12286105</v>
      </c>
      <c r="M389" s="602"/>
      <c r="N389" s="675">
        <f>+'Yeşil Defter'!K406</f>
        <v>0</v>
      </c>
      <c r="O389" s="675">
        <f>+'Yeşil Defter'!L406</f>
        <v>0</v>
      </c>
      <c r="P389" s="675">
        <f>+'Yeşil Defter'!M406</f>
        <v>0</v>
      </c>
      <c r="Q389" s="212"/>
      <c r="R389" s="605">
        <f t="shared" si="46"/>
        <v>0</v>
      </c>
      <c r="S389" s="225">
        <f t="shared" si="47"/>
        <v>0</v>
      </c>
      <c r="T389" s="237">
        <f t="shared" si="48"/>
        <v>0</v>
      </c>
    </row>
    <row r="390" spans="1:20" ht="30" hidden="1" customHeight="1" x14ac:dyDescent="0.3">
      <c r="A390" s="262">
        <v>2</v>
      </c>
      <c r="C390" s="244">
        <v>204</v>
      </c>
      <c r="D390" s="161" t="s">
        <v>627</v>
      </c>
      <c r="E390" s="969" t="s">
        <v>628</v>
      </c>
      <c r="F390" s="970"/>
      <c r="G390" s="971"/>
      <c r="H390" s="544" t="s">
        <v>286</v>
      </c>
      <c r="I390" s="212">
        <v>11962990</v>
      </c>
      <c r="J390" s="605"/>
      <c r="K390" s="212">
        <v>1</v>
      </c>
      <c r="L390" s="212">
        <f t="shared" si="45"/>
        <v>11962990</v>
      </c>
      <c r="M390" s="602"/>
      <c r="N390" s="675">
        <f>+'Yeşil Defter'!K407</f>
        <v>0</v>
      </c>
      <c r="O390" s="675">
        <f>+'Yeşil Defter'!L407</f>
        <v>0</v>
      </c>
      <c r="P390" s="675">
        <f>+'Yeşil Defter'!M407</f>
        <v>0</v>
      </c>
      <c r="Q390" s="212"/>
      <c r="R390" s="605">
        <f t="shared" si="46"/>
        <v>0</v>
      </c>
      <c r="S390" s="225">
        <f t="shared" si="47"/>
        <v>0</v>
      </c>
      <c r="T390" s="237">
        <f t="shared" si="48"/>
        <v>0</v>
      </c>
    </row>
    <row r="391" spans="1:20" ht="30" hidden="1" customHeight="1" x14ac:dyDescent="0.3">
      <c r="A391" s="262">
        <v>2</v>
      </c>
      <c r="C391" s="244">
        <v>205</v>
      </c>
      <c r="D391" s="161" t="s">
        <v>629</v>
      </c>
      <c r="E391" s="969" t="s">
        <v>630</v>
      </c>
      <c r="F391" s="970"/>
      <c r="G391" s="971"/>
      <c r="H391" s="544" t="s">
        <v>286</v>
      </c>
      <c r="I391" s="212">
        <v>12286105</v>
      </c>
      <c r="J391" s="605"/>
      <c r="K391" s="212">
        <v>1</v>
      </c>
      <c r="L391" s="212">
        <f t="shared" si="45"/>
        <v>12286105</v>
      </c>
      <c r="M391" s="602"/>
      <c r="N391" s="675">
        <f>+'Yeşil Defter'!K408</f>
        <v>0</v>
      </c>
      <c r="O391" s="675">
        <f>+'Yeşil Defter'!L408</f>
        <v>0</v>
      </c>
      <c r="P391" s="675">
        <f>+'Yeşil Defter'!M408</f>
        <v>0</v>
      </c>
      <c r="Q391" s="212"/>
      <c r="R391" s="605">
        <f t="shared" si="46"/>
        <v>0</v>
      </c>
      <c r="S391" s="225">
        <f t="shared" si="47"/>
        <v>0</v>
      </c>
      <c r="T391" s="237">
        <f t="shared" si="48"/>
        <v>0</v>
      </c>
    </row>
    <row r="392" spans="1:20" ht="30" hidden="1" customHeight="1" x14ac:dyDescent="0.3">
      <c r="A392" s="262">
        <v>2</v>
      </c>
      <c r="C392" s="244">
        <v>206</v>
      </c>
      <c r="D392" s="161" t="s">
        <v>631</v>
      </c>
      <c r="E392" s="969" t="s">
        <v>632</v>
      </c>
      <c r="F392" s="970"/>
      <c r="G392" s="971"/>
      <c r="H392" s="544" t="s">
        <v>286</v>
      </c>
      <c r="I392" s="212">
        <v>28101296</v>
      </c>
      <c r="J392" s="605"/>
      <c r="K392" s="212">
        <v>1</v>
      </c>
      <c r="L392" s="212">
        <f t="shared" si="45"/>
        <v>28101296</v>
      </c>
      <c r="M392" s="602"/>
      <c r="N392" s="675">
        <f>+'Yeşil Defter'!K409</f>
        <v>0</v>
      </c>
      <c r="O392" s="675">
        <f>+'Yeşil Defter'!L409</f>
        <v>0</v>
      </c>
      <c r="P392" s="675">
        <f>+'Yeşil Defter'!M409</f>
        <v>0</v>
      </c>
      <c r="Q392" s="212"/>
      <c r="R392" s="605">
        <f t="shared" si="46"/>
        <v>0</v>
      </c>
      <c r="S392" s="225">
        <f t="shared" si="47"/>
        <v>0</v>
      </c>
      <c r="T392" s="237">
        <f t="shared" si="48"/>
        <v>0</v>
      </c>
    </row>
    <row r="393" spans="1:20" ht="40.049999999999997" hidden="1" customHeight="1" x14ac:dyDescent="0.3">
      <c r="A393" s="262" t="s">
        <v>1242</v>
      </c>
      <c r="C393" s="258"/>
      <c r="D393" s="258"/>
      <c r="E393" s="972" t="s">
        <v>33</v>
      </c>
      <c r="F393" s="972"/>
      <c r="G393" s="972"/>
      <c r="H393" s="973" t="s">
        <v>29</v>
      </c>
      <c r="I393" s="973"/>
      <c r="J393" s="973"/>
      <c r="K393" s="973"/>
      <c r="L393" s="973"/>
      <c r="M393" s="549"/>
      <c r="N393" s="973" t="s">
        <v>22</v>
      </c>
      <c r="O393" s="973"/>
      <c r="P393" s="973"/>
      <c r="Q393" s="973"/>
      <c r="R393" s="973"/>
      <c r="S393" s="973"/>
      <c r="T393" s="973"/>
    </row>
    <row r="394" spans="1:20" ht="19.95" hidden="1" customHeight="1" x14ac:dyDescent="0.3">
      <c r="A394" s="262" t="s">
        <v>1242</v>
      </c>
      <c r="D394" s="28"/>
      <c r="E394" s="974" t="s">
        <v>1214</v>
      </c>
      <c r="F394" s="974"/>
      <c r="G394" s="974"/>
      <c r="H394" s="975" t="s">
        <v>38</v>
      </c>
      <c r="I394" s="975"/>
      <c r="J394" s="975"/>
      <c r="K394" s="975"/>
      <c r="L394" s="975"/>
      <c r="M394" s="562"/>
      <c r="N394" s="975" t="s">
        <v>1437</v>
      </c>
      <c r="O394" s="975"/>
      <c r="P394" s="975"/>
      <c r="Q394" s="975"/>
      <c r="R394" s="975"/>
      <c r="S394" s="975"/>
      <c r="T394" s="975"/>
    </row>
    <row r="395" spans="1:20" ht="19.95" hidden="1" customHeight="1" x14ac:dyDescent="0.3">
      <c r="A395" s="262" t="s">
        <v>1242</v>
      </c>
      <c r="C395" s="228"/>
      <c r="D395" s="228"/>
      <c r="E395" s="561"/>
      <c r="F395" s="561"/>
      <c r="G395" s="561"/>
      <c r="H395" s="228"/>
      <c r="I395" s="260"/>
      <c r="J395" s="260"/>
      <c r="K395" s="260"/>
      <c r="L395" s="260"/>
      <c r="M395" s="260"/>
      <c r="N395" s="975"/>
      <c r="O395" s="975"/>
      <c r="P395" s="975"/>
      <c r="Q395" s="975"/>
      <c r="R395" s="975"/>
      <c r="S395" s="975"/>
      <c r="T395" s="975"/>
    </row>
    <row r="396" spans="1:20" ht="19.95" hidden="1" customHeight="1" x14ac:dyDescent="0.3">
      <c r="A396" s="262" t="s">
        <v>1242</v>
      </c>
      <c r="C396" s="228"/>
      <c r="D396" s="228"/>
      <c r="E396" s="561"/>
      <c r="F396" s="561"/>
      <c r="G396" s="561"/>
      <c r="H396" s="228"/>
      <c r="I396" s="260"/>
      <c r="J396" s="260"/>
      <c r="K396" s="260"/>
      <c r="L396" s="260"/>
      <c r="M396" s="260"/>
      <c r="N396" s="975"/>
      <c r="O396" s="975"/>
      <c r="P396" s="975"/>
      <c r="Q396" s="975"/>
      <c r="R396" s="975"/>
      <c r="S396" s="975"/>
      <c r="T396" s="975"/>
    </row>
    <row r="397" spans="1:20" ht="19.95" hidden="1" customHeight="1" x14ac:dyDescent="0.3">
      <c r="A397" s="262" t="s">
        <v>1242</v>
      </c>
      <c r="C397" s="228"/>
      <c r="D397" s="228"/>
      <c r="E397" s="561"/>
      <c r="F397" s="561"/>
      <c r="G397" s="561"/>
      <c r="H397" s="261"/>
      <c r="I397" s="261"/>
      <c r="J397" s="261"/>
      <c r="K397" s="261"/>
      <c r="L397" s="261"/>
      <c r="M397" s="261"/>
      <c r="N397" s="260"/>
      <c r="O397" s="260"/>
      <c r="P397" s="260"/>
      <c r="Q397" s="260"/>
      <c r="R397" s="260"/>
      <c r="S397" s="624"/>
      <c r="T397" s="260"/>
    </row>
    <row r="398" spans="1:20" ht="19.95" hidden="1" customHeight="1" x14ac:dyDescent="0.3">
      <c r="A398" s="262" t="s">
        <v>1242</v>
      </c>
      <c r="C398" s="228"/>
      <c r="D398" s="228"/>
      <c r="E398" s="561"/>
      <c r="F398" s="561"/>
      <c r="G398" s="561"/>
      <c r="H398" s="975" t="s">
        <v>32</v>
      </c>
      <c r="I398" s="975"/>
      <c r="J398" s="562"/>
      <c r="K398" s="975" t="s">
        <v>1407</v>
      </c>
      <c r="L398" s="975"/>
      <c r="M398" s="562"/>
      <c r="N398" s="968" t="s">
        <v>28</v>
      </c>
      <c r="O398" s="968"/>
      <c r="P398" s="968"/>
      <c r="Q398" s="968"/>
      <c r="R398" s="968"/>
      <c r="S398" s="968"/>
      <c r="T398" s="968"/>
    </row>
    <row r="399" spans="1:20" ht="19.95" hidden="1" customHeight="1" x14ac:dyDescent="0.3">
      <c r="A399" s="262" t="s">
        <v>1242</v>
      </c>
      <c r="C399" s="228"/>
      <c r="D399" s="228"/>
      <c r="E399" s="561"/>
      <c r="F399" s="561"/>
      <c r="G399" s="561"/>
      <c r="H399" s="976" t="s">
        <v>94</v>
      </c>
      <c r="I399" s="976"/>
      <c r="J399" s="623"/>
      <c r="K399" s="976" t="s">
        <v>94</v>
      </c>
      <c r="L399" s="976"/>
      <c r="M399" s="623"/>
      <c r="N399" s="968" t="s">
        <v>1486</v>
      </c>
      <c r="O399" s="968"/>
      <c r="P399" s="968"/>
      <c r="Q399" s="968"/>
      <c r="R399" s="968"/>
      <c r="S399" s="968"/>
      <c r="T399" s="968"/>
    </row>
    <row r="400" spans="1:20" ht="19.95" hidden="1" customHeight="1" x14ac:dyDescent="0.3">
      <c r="A400" s="262" t="s">
        <v>1242</v>
      </c>
      <c r="C400" s="228"/>
      <c r="D400" s="228"/>
      <c r="E400" s="561"/>
      <c r="F400" s="561"/>
      <c r="G400" s="561"/>
      <c r="H400" s="976"/>
      <c r="I400" s="976"/>
      <c r="J400" s="623"/>
      <c r="K400" s="976"/>
      <c r="L400" s="976"/>
      <c r="M400" s="623"/>
      <c r="N400" s="968"/>
      <c r="O400" s="968"/>
      <c r="P400" s="968"/>
      <c r="Q400" s="968"/>
      <c r="R400" s="968"/>
      <c r="S400" s="968"/>
      <c r="T400" s="968"/>
    </row>
    <row r="401" spans="1:20" ht="19.95" hidden="1" customHeight="1" x14ac:dyDescent="0.3">
      <c r="A401" s="262" t="s">
        <v>1242</v>
      </c>
      <c r="C401" s="228"/>
      <c r="D401" s="228"/>
      <c r="E401" s="561"/>
      <c r="F401" s="561"/>
      <c r="G401" s="561"/>
      <c r="H401" s="261"/>
      <c r="I401" s="261"/>
      <c r="J401" s="261"/>
      <c r="K401" s="261"/>
      <c r="L401" s="261"/>
      <c r="M401" s="261"/>
      <c r="N401" s="260"/>
      <c r="O401" s="260"/>
      <c r="P401" s="260"/>
      <c r="Q401" s="260"/>
      <c r="R401" s="260"/>
      <c r="S401" s="624"/>
      <c r="T401" s="260"/>
    </row>
    <row r="402" spans="1:20" ht="19.95" hidden="1" customHeight="1" x14ac:dyDescent="0.3">
      <c r="A402" s="262" t="s">
        <v>1242</v>
      </c>
      <c r="C402" s="228"/>
      <c r="D402" s="228"/>
      <c r="E402" s="975" t="s">
        <v>1215</v>
      </c>
      <c r="F402" s="975"/>
      <c r="G402" s="975"/>
      <c r="H402" s="975" t="s">
        <v>1348</v>
      </c>
      <c r="I402" s="975"/>
      <c r="J402" s="975"/>
      <c r="K402" s="975"/>
      <c r="L402" s="975"/>
      <c r="M402" s="562"/>
      <c r="N402" s="977" t="s">
        <v>1219</v>
      </c>
      <c r="O402" s="968"/>
      <c r="P402" s="968"/>
      <c r="Q402" s="968"/>
      <c r="R402" s="968"/>
      <c r="S402" s="968"/>
      <c r="T402" s="968"/>
    </row>
    <row r="403" spans="1:20" ht="19.95" hidden="1" customHeight="1" x14ac:dyDescent="0.3">
      <c r="A403" s="262" t="s">
        <v>1290</v>
      </c>
      <c r="C403" s="228"/>
      <c r="D403" s="228"/>
      <c r="E403" s="975"/>
      <c r="F403" s="975"/>
      <c r="G403" s="975"/>
      <c r="H403" s="975"/>
      <c r="I403" s="975"/>
      <c r="J403" s="975"/>
      <c r="K403" s="975"/>
      <c r="L403" s="975"/>
      <c r="M403" s="562"/>
      <c r="N403" s="968"/>
      <c r="O403" s="968"/>
      <c r="P403" s="968"/>
      <c r="Q403" s="968"/>
      <c r="R403" s="968"/>
      <c r="S403" s="968"/>
      <c r="T403" s="968"/>
    </row>
    <row r="404" spans="1:20" ht="30" hidden="1" customHeight="1" x14ac:dyDescent="0.3">
      <c r="A404" s="262">
        <v>2</v>
      </c>
      <c r="C404" s="255">
        <v>207</v>
      </c>
      <c r="D404" s="256" t="s">
        <v>633</v>
      </c>
      <c r="E404" s="978" t="s">
        <v>634</v>
      </c>
      <c r="F404" s="979"/>
      <c r="G404" s="980"/>
      <c r="H404" s="546" t="s">
        <v>286</v>
      </c>
      <c r="I404" s="257">
        <v>1415706</v>
      </c>
      <c r="J404" s="606"/>
      <c r="K404" s="257">
        <v>1</v>
      </c>
      <c r="L404" s="257">
        <f t="shared" ref="L404:L426" si="49">+ROUND(I404*K404,2)</f>
        <v>1415706</v>
      </c>
      <c r="M404" s="603"/>
      <c r="N404" s="675">
        <f>+'Yeşil Defter'!K410</f>
        <v>0</v>
      </c>
      <c r="O404" s="675">
        <f>+'Yeşil Defter'!L410</f>
        <v>0</v>
      </c>
      <c r="P404" s="675">
        <f>+'Yeşil Defter'!M410</f>
        <v>0</v>
      </c>
      <c r="Q404" s="257"/>
      <c r="R404" s="606">
        <f t="shared" ref="R404:R426" si="50">+ROUND(K404*N404,2)</f>
        <v>0</v>
      </c>
      <c r="S404" s="247">
        <f t="shared" si="47"/>
        <v>0</v>
      </c>
      <c r="T404" s="248">
        <f t="shared" ref="T404:T426" si="51">+ROUND(K404*P404,2)</f>
        <v>0</v>
      </c>
    </row>
    <row r="405" spans="1:20" ht="30" hidden="1" customHeight="1" x14ac:dyDescent="0.3">
      <c r="A405" s="262">
        <v>2</v>
      </c>
      <c r="C405" s="244">
        <v>208</v>
      </c>
      <c r="D405" s="161" t="s">
        <v>635</v>
      </c>
      <c r="E405" s="969" t="s">
        <v>636</v>
      </c>
      <c r="F405" s="970"/>
      <c r="G405" s="971"/>
      <c r="H405" s="544" t="s">
        <v>286</v>
      </c>
      <c r="I405" s="212">
        <v>1415706</v>
      </c>
      <c r="J405" s="605"/>
      <c r="K405" s="212">
        <v>1</v>
      </c>
      <c r="L405" s="212">
        <f t="shared" si="49"/>
        <v>1415706</v>
      </c>
      <c r="M405" s="602"/>
      <c r="N405" s="675">
        <f>+'Yeşil Defter'!K411</f>
        <v>0</v>
      </c>
      <c r="O405" s="675">
        <f>+'Yeşil Defter'!L411</f>
        <v>0</v>
      </c>
      <c r="P405" s="675">
        <f>+'Yeşil Defter'!M411</f>
        <v>0</v>
      </c>
      <c r="Q405" s="212"/>
      <c r="R405" s="605">
        <f t="shared" si="50"/>
        <v>0</v>
      </c>
      <c r="S405" s="225">
        <f t="shared" si="47"/>
        <v>0</v>
      </c>
      <c r="T405" s="237">
        <f t="shared" si="51"/>
        <v>0</v>
      </c>
    </row>
    <row r="406" spans="1:20" ht="30" hidden="1" customHeight="1" x14ac:dyDescent="0.3">
      <c r="A406" s="262">
        <v>2</v>
      </c>
      <c r="C406" s="244">
        <v>209</v>
      </c>
      <c r="D406" s="161" t="s">
        <v>637</v>
      </c>
      <c r="E406" s="969" t="s">
        <v>638</v>
      </c>
      <c r="F406" s="970"/>
      <c r="G406" s="971"/>
      <c r="H406" s="544" t="s">
        <v>286</v>
      </c>
      <c r="I406" s="212">
        <v>1415706</v>
      </c>
      <c r="J406" s="605"/>
      <c r="K406" s="212">
        <v>1</v>
      </c>
      <c r="L406" s="212">
        <f t="shared" si="49"/>
        <v>1415706</v>
      </c>
      <c r="M406" s="602"/>
      <c r="N406" s="675">
        <f>+'Yeşil Defter'!K412</f>
        <v>0</v>
      </c>
      <c r="O406" s="675">
        <f>+'Yeşil Defter'!L412</f>
        <v>0</v>
      </c>
      <c r="P406" s="675">
        <f>+'Yeşil Defter'!M412</f>
        <v>0</v>
      </c>
      <c r="Q406" s="212"/>
      <c r="R406" s="605">
        <f t="shared" si="50"/>
        <v>0</v>
      </c>
      <c r="S406" s="225">
        <f t="shared" si="47"/>
        <v>0</v>
      </c>
      <c r="T406" s="237">
        <f t="shared" si="51"/>
        <v>0</v>
      </c>
    </row>
    <row r="407" spans="1:20" ht="30" hidden="1" customHeight="1" x14ac:dyDescent="0.3">
      <c r="A407" s="262">
        <v>2</v>
      </c>
      <c r="C407" s="244">
        <v>210</v>
      </c>
      <c r="D407" s="161" t="s">
        <v>639</v>
      </c>
      <c r="E407" s="969" t="s">
        <v>640</v>
      </c>
      <c r="F407" s="970"/>
      <c r="G407" s="971"/>
      <c r="H407" s="544" t="s">
        <v>286</v>
      </c>
      <c r="I407" s="212">
        <v>1415706</v>
      </c>
      <c r="J407" s="605"/>
      <c r="K407" s="212">
        <v>1</v>
      </c>
      <c r="L407" s="212">
        <f t="shared" si="49"/>
        <v>1415706</v>
      </c>
      <c r="M407" s="602"/>
      <c r="N407" s="675">
        <f>+'Yeşil Defter'!K413</f>
        <v>0</v>
      </c>
      <c r="O407" s="675">
        <f>+'Yeşil Defter'!L413</f>
        <v>0</v>
      </c>
      <c r="P407" s="675">
        <f>+'Yeşil Defter'!M413</f>
        <v>0</v>
      </c>
      <c r="Q407" s="212"/>
      <c r="R407" s="605">
        <f t="shared" si="50"/>
        <v>0</v>
      </c>
      <c r="S407" s="225">
        <f t="shared" si="47"/>
        <v>0</v>
      </c>
      <c r="T407" s="237">
        <f t="shared" si="51"/>
        <v>0</v>
      </c>
    </row>
    <row r="408" spans="1:20" ht="30" hidden="1" customHeight="1" x14ac:dyDescent="0.3">
      <c r="A408" s="262">
        <v>2</v>
      </c>
      <c r="C408" s="244">
        <v>211</v>
      </c>
      <c r="D408" s="161" t="s">
        <v>641</v>
      </c>
      <c r="E408" s="969" t="s">
        <v>642</v>
      </c>
      <c r="F408" s="970"/>
      <c r="G408" s="971"/>
      <c r="H408" s="544" t="s">
        <v>286</v>
      </c>
      <c r="I408" s="212">
        <v>1415706</v>
      </c>
      <c r="J408" s="605"/>
      <c r="K408" s="212">
        <v>1</v>
      </c>
      <c r="L408" s="212">
        <f t="shared" si="49"/>
        <v>1415706</v>
      </c>
      <c r="M408" s="602"/>
      <c r="N408" s="675">
        <f>+'Yeşil Defter'!K414</f>
        <v>0</v>
      </c>
      <c r="O408" s="675">
        <f>+'Yeşil Defter'!L414</f>
        <v>0</v>
      </c>
      <c r="P408" s="675">
        <f>+'Yeşil Defter'!M414</f>
        <v>0</v>
      </c>
      <c r="Q408" s="212"/>
      <c r="R408" s="605">
        <f t="shared" si="50"/>
        <v>0</v>
      </c>
      <c r="S408" s="225">
        <f t="shared" si="47"/>
        <v>0</v>
      </c>
      <c r="T408" s="237">
        <f t="shared" si="51"/>
        <v>0</v>
      </c>
    </row>
    <row r="409" spans="1:20" ht="30" hidden="1" customHeight="1" x14ac:dyDescent="0.3">
      <c r="A409" s="262">
        <v>2</v>
      </c>
      <c r="C409" s="244">
        <v>212</v>
      </c>
      <c r="D409" s="161" t="s">
        <v>643</v>
      </c>
      <c r="E409" s="969" t="s">
        <v>644</v>
      </c>
      <c r="F409" s="970"/>
      <c r="G409" s="971"/>
      <c r="H409" s="544" t="s">
        <v>286</v>
      </c>
      <c r="I409" s="212">
        <v>17873116</v>
      </c>
      <c r="J409" s="605"/>
      <c r="K409" s="212">
        <v>1</v>
      </c>
      <c r="L409" s="212">
        <f t="shared" si="49"/>
        <v>17873116</v>
      </c>
      <c r="M409" s="602"/>
      <c r="N409" s="675">
        <f>+'Yeşil Defter'!K415</f>
        <v>0</v>
      </c>
      <c r="O409" s="675">
        <f>+'Yeşil Defter'!L415</f>
        <v>0</v>
      </c>
      <c r="P409" s="675">
        <f>+'Yeşil Defter'!M415</f>
        <v>0</v>
      </c>
      <c r="Q409" s="212"/>
      <c r="R409" s="605">
        <f t="shared" si="50"/>
        <v>0</v>
      </c>
      <c r="S409" s="225">
        <f t="shared" si="47"/>
        <v>0</v>
      </c>
      <c r="T409" s="237">
        <f t="shared" si="51"/>
        <v>0</v>
      </c>
    </row>
    <row r="410" spans="1:20" ht="30" hidden="1" customHeight="1" x14ac:dyDescent="0.3">
      <c r="A410" s="262">
        <v>2</v>
      </c>
      <c r="C410" s="244">
        <v>213</v>
      </c>
      <c r="D410" s="161" t="s">
        <v>645</v>
      </c>
      <c r="E410" s="969" t="s">
        <v>646</v>
      </c>
      <c r="F410" s="970"/>
      <c r="G410" s="971"/>
      <c r="H410" s="544" t="s">
        <v>286</v>
      </c>
      <c r="I410" s="212">
        <v>21676260</v>
      </c>
      <c r="J410" s="605"/>
      <c r="K410" s="212">
        <v>1</v>
      </c>
      <c r="L410" s="212">
        <f t="shared" si="49"/>
        <v>21676260</v>
      </c>
      <c r="M410" s="602"/>
      <c r="N410" s="675">
        <f>+'Yeşil Defter'!K416</f>
        <v>0</v>
      </c>
      <c r="O410" s="675">
        <f>+'Yeşil Defter'!L416</f>
        <v>0</v>
      </c>
      <c r="P410" s="675">
        <f>+'Yeşil Defter'!M416</f>
        <v>0</v>
      </c>
      <c r="Q410" s="212"/>
      <c r="R410" s="605">
        <f t="shared" si="50"/>
        <v>0</v>
      </c>
      <c r="S410" s="225">
        <f t="shared" si="47"/>
        <v>0</v>
      </c>
      <c r="T410" s="237">
        <f t="shared" si="51"/>
        <v>0</v>
      </c>
    </row>
    <row r="411" spans="1:20" ht="30" hidden="1" customHeight="1" x14ac:dyDescent="0.3">
      <c r="A411" s="262">
        <v>2</v>
      </c>
      <c r="C411" s="244">
        <v>214</v>
      </c>
      <c r="D411" s="161" t="s">
        <v>647</v>
      </c>
      <c r="E411" s="969" t="s">
        <v>648</v>
      </c>
      <c r="F411" s="970"/>
      <c r="G411" s="971"/>
      <c r="H411" s="544" t="s">
        <v>286</v>
      </c>
      <c r="I411" s="212">
        <v>19075108</v>
      </c>
      <c r="J411" s="605"/>
      <c r="K411" s="212">
        <v>1</v>
      </c>
      <c r="L411" s="212">
        <f t="shared" si="49"/>
        <v>19075108</v>
      </c>
      <c r="M411" s="602"/>
      <c r="N411" s="675">
        <f>+'Yeşil Defter'!K417</f>
        <v>0</v>
      </c>
      <c r="O411" s="675">
        <f>+'Yeşil Defter'!L417</f>
        <v>0</v>
      </c>
      <c r="P411" s="675">
        <f>+'Yeşil Defter'!M417</f>
        <v>0</v>
      </c>
      <c r="Q411" s="212"/>
      <c r="R411" s="605">
        <f t="shared" si="50"/>
        <v>0</v>
      </c>
      <c r="S411" s="225">
        <f t="shared" si="47"/>
        <v>0</v>
      </c>
      <c r="T411" s="237">
        <f t="shared" si="51"/>
        <v>0</v>
      </c>
    </row>
    <row r="412" spans="1:20" ht="30" hidden="1" customHeight="1" x14ac:dyDescent="0.3">
      <c r="A412" s="262">
        <v>2</v>
      </c>
      <c r="C412" s="244">
        <v>215</v>
      </c>
      <c r="D412" s="161" t="s">
        <v>649</v>
      </c>
      <c r="E412" s="969" t="s">
        <v>650</v>
      </c>
      <c r="F412" s="970"/>
      <c r="G412" s="971"/>
      <c r="H412" s="544" t="s">
        <v>286</v>
      </c>
      <c r="I412" s="212">
        <v>19075108</v>
      </c>
      <c r="J412" s="605"/>
      <c r="K412" s="212">
        <v>1</v>
      </c>
      <c r="L412" s="212">
        <f t="shared" si="49"/>
        <v>19075108</v>
      </c>
      <c r="M412" s="602"/>
      <c r="N412" s="675">
        <f>+'Yeşil Defter'!K418</f>
        <v>0</v>
      </c>
      <c r="O412" s="675">
        <f>+'Yeşil Defter'!L418</f>
        <v>0</v>
      </c>
      <c r="P412" s="675">
        <f>+'Yeşil Defter'!M418</f>
        <v>0</v>
      </c>
      <c r="Q412" s="212"/>
      <c r="R412" s="605">
        <f t="shared" si="50"/>
        <v>0</v>
      </c>
      <c r="S412" s="225">
        <f t="shared" si="47"/>
        <v>0</v>
      </c>
      <c r="T412" s="237">
        <f t="shared" si="51"/>
        <v>0</v>
      </c>
    </row>
    <row r="413" spans="1:20" ht="30" hidden="1" customHeight="1" x14ac:dyDescent="0.3">
      <c r="A413" s="262">
        <v>2</v>
      </c>
      <c r="C413" s="244">
        <v>216</v>
      </c>
      <c r="D413" s="161" t="s">
        <v>651</v>
      </c>
      <c r="E413" s="969" t="s">
        <v>652</v>
      </c>
      <c r="F413" s="970"/>
      <c r="G413" s="971"/>
      <c r="H413" s="544" t="s">
        <v>286</v>
      </c>
      <c r="I413" s="212">
        <v>19075108</v>
      </c>
      <c r="J413" s="605"/>
      <c r="K413" s="212">
        <v>1</v>
      </c>
      <c r="L413" s="212">
        <f t="shared" si="49"/>
        <v>19075108</v>
      </c>
      <c r="M413" s="602"/>
      <c r="N413" s="675">
        <f>+'Yeşil Defter'!K419</f>
        <v>0</v>
      </c>
      <c r="O413" s="675">
        <f>+'Yeşil Defter'!L419</f>
        <v>0</v>
      </c>
      <c r="P413" s="675">
        <f>+'Yeşil Defter'!M419</f>
        <v>0</v>
      </c>
      <c r="Q413" s="212"/>
      <c r="R413" s="605">
        <f t="shared" si="50"/>
        <v>0</v>
      </c>
      <c r="S413" s="225">
        <f t="shared" si="47"/>
        <v>0</v>
      </c>
      <c r="T413" s="237">
        <f t="shared" si="51"/>
        <v>0</v>
      </c>
    </row>
    <row r="414" spans="1:20" ht="30" hidden="1" customHeight="1" x14ac:dyDescent="0.3">
      <c r="A414" s="262">
        <v>2</v>
      </c>
      <c r="C414" s="244">
        <v>217</v>
      </c>
      <c r="D414" s="161" t="s">
        <v>653</v>
      </c>
      <c r="E414" s="969" t="s">
        <v>654</v>
      </c>
      <c r="F414" s="970"/>
      <c r="G414" s="971"/>
      <c r="H414" s="544" t="s">
        <v>286</v>
      </c>
      <c r="I414" s="212">
        <v>23121344</v>
      </c>
      <c r="J414" s="605"/>
      <c r="K414" s="212">
        <v>1</v>
      </c>
      <c r="L414" s="212">
        <f t="shared" si="49"/>
        <v>23121344</v>
      </c>
      <c r="M414" s="602"/>
      <c r="N414" s="675">
        <f>+'Yeşil Defter'!K420</f>
        <v>0</v>
      </c>
      <c r="O414" s="675">
        <f>+'Yeşil Defter'!L420</f>
        <v>0</v>
      </c>
      <c r="P414" s="675">
        <f>+'Yeşil Defter'!M420</f>
        <v>0</v>
      </c>
      <c r="Q414" s="212"/>
      <c r="R414" s="605">
        <f t="shared" si="50"/>
        <v>0</v>
      </c>
      <c r="S414" s="225">
        <f t="shared" si="47"/>
        <v>0</v>
      </c>
      <c r="T414" s="237">
        <f t="shared" si="51"/>
        <v>0</v>
      </c>
    </row>
    <row r="415" spans="1:20" ht="30" hidden="1" customHeight="1" x14ac:dyDescent="0.3">
      <c r="A415" s="262">
        <v>2</v>
      </c>
      <c r="C415" s="244">
        <v>218</v>
      </c>
      <c r="D415" s="161" t="s">
        <v>655</v>
      </c>
      <c r="E415" s="969" t="s">
        <v>656</v>
      </c>
      <c r="F415" s="970"/>
      <c r="G415" s="971"/>
      <c r="H415" s="544" t="s">
        <v>286</v>
      </c>
      <c r="I415" s="212">
        <v>43080843</v>
      </c>
      <c r="J415" s="605"/>
      <c r="K415" s="212">
        <v>1</v>
      </c>
      <c r="L415" s="212">
        <f t="shared" si="49"/>
        <v>43080843</v>
      </c>
      <c r="M415" s="602"/>
      <c r="N415" s="675">
        <f>+'Yeşil Defter'!K433</f>
        <v>0</v>
      </c>
      <c r="O415" s="675">
        <f>+'Yeşil Defter'!L433</f>
        <v>0</v>
      </c>
      <c r="P415" s="675">
        <f>+'Yeşil Defter'!M433</f>
        <v>0</v>
      </c>
      <c r="Q415" s="212"/>
      <c r="R415" s="605">
        <f t="shared" si="50"/>
        <v>0</v>
      </c>
      <c r="S415" s="225">
        <f t="shared" si="47"/>
        <v>0</v>
      </c>
      <c r="T415" s="237">
        <f t="shared" si="51"/>
        <v>0</v>
      </c>
    </row>
    <row r="416" spans="1:20" ht="30" hidden="1" customHeight="1" x14ac:dyDescent="0.3">
      <c r="A416" s="262">
        <v>2</v>
      </c>
      <c r="C416" s="244">
        <v>219</v>
      </c>
      <c r="D416" s="161" t="s">
        <v>657</v>
      </c>
      <c r="E416" s="969" t="s">
        <v>658</v>
      </c>
      <c r="F416" s="970"/>
      <c r="G416" s="971"/>
      <c r="H416" s="544" t="s">
        <v>286</v>
      </c>
      <c r="I416" s="212">
        <v>2427741</v>
      </c>
      <c r="J416" s="605"/>
      <c r="K416" s="212">
        <v>1</v>
      </c>
      <c r="L416" s="212">
        <f t="shared" si="49"/>
        <v>2427741</v>
      </c>
      <c r="M416" s="602"/>
      <c r="N416" s="675">
        <f>+'Yeşil Defter'!K434</f>
        <v>0</v>
      </c>
      <c r="O416" s="675">
        <f>+'Yeşil Defter'!L434</f>
        <v>0</v>
      </c>
      <c r="P416" s="675">
        <f>+'Yeşil Defter'!M434</f>
        <v>0</v>
      </c>
      <c r="Q416" s="212"/>
      <c r="R416" s="605">
        <f t="shared" si="50"/>
        <v>0</v>
      </c>
      <c r="S416" s="225">
        <f t="shared" si="47"/>
        <v>0</v>
      </c>
      <c r="T416" s="237">
        <f t="shared" si="51"/>
        <v>0</v>
      </c>
    </row>
    <row r="417" spans="1:20" ht="30" hidden="1" customHeight="1" x14ac:dyDescent="0.3">
      <c r="A417" s="262">
        <v>2</v>
      </c>
      <c r="C417" s="244">
        <v>220</v>
      </c>
      <c r="D417" s="161" t="s">
        <v>659</v>
      </c>
      <c r="E417" s="969" t="s">
        <v>660</v>
      </c>
      <c r="F417" s="970"/>
      <c r="G417" s="971"/>
      <c r="H417" s="544" t="s">
        <v>286</v>
      </c>
      <c r="I417" s="212">
        <v>2554908</v>
      </c>
      <c r="J417" s="605"/>
      <c r="K417" s="212">
        <v>1</v>
      </c>
      <c r="L417" s="212">
        <f t="shared" si="49"/>
        <v>2554908</v>
      </c>
      <c r="M417" s="602"/>
      <c r="N417" s="675">
        <f>+'Yeşil Defter'!K435</f>
        <v>0</v>
      </c>
      <c r="O417" s="675">
        <f>+'Yeşil Defter'!L435</f>
        <v>0</v>
      </c>
      <c r="P417" s="675">
        <f>+'Yeşil Defter'!M435</f>
        <v>0</v>
      </c>
      <c r="Q417" s="212"/>
      <c r="R417" s="605">
        <f t="shared" si="50"/>
        <v>0</v>
      </c>
      <c r="S417" s="225">
        <f t="shared" si="47"/>
        <v>0</v>
      </c>
      <c r="T417" s="237">
        <f t="shared" si="51"/>
        <v>0</v>
      </c>
    </row>
    <row r="418" spans="1:20" ht="30" hidden="1" customHeight="1" x14ac:dyDescent="0.3">
      <c r="A418" s="262">
        <v>2</v>
      </c>
      <c r="C418" s="244">
        <v>221</v>
      </c>
      <c r="D418" s="161" t="s">
        <v>661</v>
      </c>
      <c r="E418" s="969" t="s">
        <v>662</v>
      </c>
      <c r="F418" s="970"/>
      <c r="G418" s="971"/>
      <c r="H418" s="544" t="s">
        <v>286</v>
      </c>
      <c r="I418" s="212">
        <v>2630053</v>
      </c>
      <c r="J418" s="605"/>
      <c r="K418" s="212">
        <v>1</v>
      </c>
      <c r="L418" s="212">
        <f t="shared" si="49"/>
        <v>2630053</v>
      </c>
      <c r="M418" s="602"/>
      <c r="N418" s="675">
        <f>+'Yeşil Defter'!K436</f>
        <v>0</v>
      </c>
      <c r="O418" s="675">
        <f>+'Yeşil Defter'!L436</f>
        <v>0</v>
      </c>
      <c r="P418" s="675">
        <f>+'Yeşil Defter'!M436</f>
        <v>0</v>
      </c>
      <c r="Q418" s="212"/>
      <c r="R418" s="605">
        <f t="shared" si="50"/>
        <v>0</v>
      </c>
      <c r="S418" s="225">
        <f t="shared" si="47"/>
        <v>0</v>
      </c>
      <c r="T418" s="237">
        <f t="shared" si="51"/>
        <v>0</v>
      </c>
    </row>
    <row r="419" spans="1:20" ht="30" hidden="1" customHeight="1" x14ac:dyDescent="0.3">
      <c r="A419" s="262">
        <v>2</v>
      </c>
      <c r="C419" s="244">
        <v>222</v>
      </c>
      <c r="D419" s="161" t="s">
        <v>663</v>
      </c>
      <c r="E419" s="969" t="s">
        <v>664</v>
      </c>
      <c r="F419" s="970"/>
      <c r="G419" s="971"/>
      <c r="H419" s="544" t="s">
        <v>286</v>
      </c>
      <c r="I419" s="212">
        <v>2745660</v>
      </c>
      <c r="J419" s="605"/>
      <c r="K419" s="212">
        <v>1</v>
      </c>
      <c r="L419" s="212">
        <f t="shared" si="49"/>
        <v>2745660</v>
      </c>
      <c r="M419" s="602"/>
      <c r="N419" s="675">
        <f>+'Yeşil Defter'!K437</f>
        <v>0</v>
      </c>
      <c r="O419" s="675">
        <f>+'Yeşil Defter'!L437</f>
        <v>0</v>
      </c>
      <c r="P419" s="675">
        <f>+'Yeşil Defter'!M437</f>
        <v>0</v>
      </c>
      <c r="Q419" s="212"/>
      <c r="R419" s="605">
        <f t="shared" si="50"/>
        <v>0</v>
      </c>
      <c r="S419" s="225">
        <f t="shared" si="47"/>
        <v>0</v>
      </c>
      <c r="T419" s="237">
        <f t="shared" si="51"/>
        <v>0</v>
      </c>
    </row>
    <row r="420" spans="1:20" ht="30" hidden="1" customHeight="1" x14ac:dyDescent="0.3">
      <c r="A420" s="262">
        <v>2</v>
      </c>
      <c r="C420" s="244">
        <v>223</v>
      </c>
      <c r="D420" s="161" t="s">
        <v>665</v>
      </c>
      <c r="E420" s="969" t="s">
        <v>666</v>
      </c>
      <c r="F420" s="970"/>
      <c r="G420" s="971"/>
      <c r="H420" s="544" t="s">
        <v>286</v>
      </c>
      <c r="I420" s="212">
        <v>2861266</v>
      </c>
      <c r="J420" s="605"/>
      <c r="K420" s="212">
        <v>1</v>
      </c>
      <c r="L420" s="212">
        <f t="shared" si="49"/>
        <v>2861266</v>
      </c>
      <c r="M420" s="602"/>
      <c r="N420" s="675">
        <f>+'Yeşil Defter'!K438</f>
        <v>0</v>
      </c>
      <c r="O420" s="675">
        <f>+'Yeşil Defter'!L438</f>
        <v>0</v>
      </c>
      <c r="P420" s="675">
        <f>+'Yeşil Defter'!M438</f>
        <v>0</v>
      </c>
      <c r="Q420" s="212"/>
      <c r="R420" s="605">
        <f t="shared" si="50"/>
        <v>0</v>
      </c>
      <c r="S420" s="225">
        <f t="shared" si="47"/>
        <v>0</v>
      </c>
      <c r="T420" s="237">
        <f t="shared" si="51"/>
        <v>0</v>
      </c>
    </row>
    <row r="421" spans="1:20" ht="30" hidden="1" customHeight="1" x14ac:dyDescent="0.3">
      <c r="A421" s="262">
        <v>2</v>
      </c>
      <c r="C421" s="244">
        <v>224</v>
      </c>
      <c r="D421" s="161" t="s">
        <v>667</v>
      </c>
      <c r="E421" s="969" t="s">
        <v>668</v>
      </c>
      <c r="F421" s="970"/>
      <c r="G421" s="971"/>
      <c r="H421" s="544" t="s">
        <v>286</v>
      </c>
      <c r="I421" s="212">
        <v>6098559</v>
      </c>
      <c r="J421" s="605"/>
      <c r="K421" s="212">
        <v>1</v>
      </c>
      <c r="L421" s="212">
        <f t="shared" si="49"/>
        <v>6098559</v>
      </c>
      <c r="M421" s="602"/>
      <c r="N421" s="675">
        <f>+'Yeşil Defter'!K439</f>
        <v>0</v>
      </c>
      <c r="O421" s="675">
        <f>+'Yeşil Defter'!L439</f>
        <v>0</v>
      </c>
      <c r="P421" s="675">
        <f>+'Yeşil Defter'!M439</f>
        <v>0</v>
      </c>
      <c r="Q421" s="212"/>
      <c r="R421" s="605">
        <f t="shared" si="50"/>
        <v>0</v>
      </c>
      <c r="S421" s="225">
        <f t="shared" si="47"/>
        <v>0</v>
      </c>
      <c r="T421" s="237">
        <f t="shared" si="51"/>
        <v>0</v>
      </c>
    </row>
    <row r="422" spans="1:20" ht="30" hidden="1" customHeight="1" x14ac:dyDescent="0.3">
      <c r="A422" s="262">
        <v>2</v>
      </c>
      <c r="C422" s="244">
        <v>225</v>
      </c>
      <c r="D422" s="161" t="s">
        <v>669</v>
      </c>
      <c r="E422" s="969" t="s">
        <v>670</v>
      </c>
      <c r="F422" s="970"/>
      <c r="G422" s="971"/>
      <c r="H422" s="544" t="s">
        <v>286</v>
      </c>
      <c r="I422" s="212">
        <v>6098559</v>
      </c>
      <c r="J422" s="605"/>
      <c r="K422" s="212">
        <v>1</v>
      </c>
      <c r="L422" s="212">
        <f t="shared" si="49"/>
        <v>6098559</v>
      </c>
      <c r="M422" s="602"/>
      <c r="N422" s="675">
        <f>+'Yeşil Defter'!K440</f>
        <v>0</v>
      </c>
      <c r="O422" s="675">
        <f>+'Yeşil Defter'!L440</f>
        <v>0</v>
      </c>
      <c r="P422" s="675">
        <f>+'Yeşil Defter'!M440</f>
        <v>0</v>
      </c>
      <c r="Q422" s="212"/>
      <c r="R422" s="605">
        <f t="shared" si="50"/>
        <v>0</v>
      </c>
      <c r="S422" s="225">
        <f t="shared" si="47"/>
        <v>0</v>
      </c>
      <c r="T422" s="237">
        <f t="shared" si="51"/>
        <v>0</v>
      </c>
    </row>
    <row r="423" spans="1:20" ht="30" hidden="1" customHeight="1" x14ac:dyDescent="0.3">
      <c r="A423" s="262">
        <v>2</v>
      </c>
      <c r="C423" s="244">
        <v>226</v>
      </c>
      <c r="D423" s="161" t="s">
        <v>671</v>
      </c>
      <c r="E423" s="969" t="s">
        <v>672</v>
      </c>
      <c r="F423" s="970"/>
      <c r="G423" s="971"/>
      <c r="H423" s="544" t="s">
        <v>286</v>
      </c>
      <c r="I423" s="212">
        <v>6098559</v>
      </c>
      <c r="J423" s="605"/>
      <c r="K423" s="212">
        <v>1</v>
      </c>
      <c r="L423" s="212">
        <f t="shared" si="49"/>
        <v>6098559</v>
      </c>
      <c r="M423" s="602"/>
      <c r="N423" s="675">
        <f>+'Yeşil Defter'!K441</f>
        <v>0</v>
      </c>
      <c r="O423" s="675">
        <f>+'Yeşil Defter'!L441</f>
        <v>0</v>
      </c>
      <c r="P423" s="675">
        <f>+'Yeşil Defter'!M441</f>
        <v>0</v>
      </c>
      <c r="Q423" s="212"/>
      <c r="R423" s="605">
        <f t="shared" si="50"/>
        <v>0</v>
      </c>
      <c r="S423" s="225">
        <f t="shared" si="47"/>
        <v>0</v>
      </c>
      <c r="T423" s="237">
        <f t="shared" si="51"/>
        <v>0</v>
      </c>
    </row>
    <row r="424" spans="1:20" ht="30" hidden="1" customHeight="1" x14ac:dyDescent="0.3">
      <c r="A424" s="262">
        <v>2</v>
      </c>
      <c r="C424" s="244">
        <v>227</v>
      </c>
      <c r="D424" s="161" t="s">
        <v>673</v>
      </c>
      <c r="E424" s="969" t="s">
        <v>674</v>
      </c>
      <c r="F424" s="970"/>
      <c r="G424" s="971"/>
      <c r="H424" s="544" t="s">
        <v>286</v>
      </c>
      <c r="I424" s="212">
        <v>6098559</v>
      </c>
      <c r="J424" s="605"/>
      <c r="K424" s="212">
        <v>1</v>
      </c>
      <c r="L424" s="212">
        <f t="shared" si="49"/>
        <v>6098559</v>
      </c>
      <c r="M424" s="602"/>
      <c r="N424" s="675">
        <f>+'Yeşil Defter'!K442</f>
        <v>0</v>
      </c>
      <c r="O424" s="675">
        <f>+'Yeşil Defter'!L442</f>
        <v>0</v>
      </c>
      <c r="P424" s="675">
        <f>+'Yeşil Defter'!M442</f>
        <v>0</v>
      </c>
      <c r="Q424" s="212"/>
      <c r="R424" s="605">
        <f t="shared" si="50"/>
        <v>0</v>
      </c>
      <c r="S424" s="225">
        <f t="shared" si="47"/>
        <v>0</v>
      </c>
      <c r="T424" s="237">
        <f t="shared" si="51"/>
        <v>0</v>
      </c>
    </row>
    <row r="425" spans="1:20" ht="30" hidden="1" customHeight="1" x14ac:dyDescent="0.3">
      <c r="A425" s="262">
        <v>2</v>
      </c>
      <c r="C425" s="244">
        <v>228</v>
      </c>
      <c r="D425" s="161" t="s">
        <v>675</v>
      </c>
      <c r="E425" s="969" t="s">
        <v>676</v>
      </c>
      <c r="F425" s="970"/>
      <c r="G425" s="971"/>
      <c r="H425" s="544" t="s">
        <v>286</v>
      </c>
      <c r="I425" s="212">
        <v>6098559</v>
      </c>
      <c r="J425" s="605"/>
      <c r="K425" s="212">
        <v>1</v>
      </c>
      <c r="L425" s="212">
        <f t="shared" si="49"/>
        <v>6098559</v>
      </c>
      <c r="M425" s="602"/>
      <c r="N425" s="675">
        <f>+'Yeşil Defter'!K443</f>
        <v>0</v>
      </c>
      <c r="O425" s="675">
        <f>+'Yeşil Defter'!L443</f>
        <v>0</v>
      </c>
      <c r="P425" s="675">
        <f>+'Yeşil Defter'!M443</f>
        <v>0</v>
      </c>
      <c r="Q425" s="212"/>
      <c r="R425" s="605">
        <f t="shared" si="50"/>
        <v>0</v>
      </c>
      <c r="S425" s="225">
        <f t="shared" si="47"/>
        <v>0</v>
      </c>
      <c r="T425" s="237">
        <f t="shared" si="51"/>
        <v>0</v>
      </c>
    </row>
    <row r="426" spans="1:20" ht="30" hidden="1" customHeight="1" x14ac:dyDescent="0.3">
      <c r="A426" s="262">
        <v>2</v>
      </c>
      <c r="C426" s="244">
        <v>229</v>
      </c>
      <c r="D426" s="161" t="s">
        <v>677</v>
      </c>
      <c r="E426" s="969" t="s">
        <v>678</v>
      </c>
      <c r="F426" s="970"/>
      <c r="G426" s="971"/>
      <c r="H426" s="544" t="s">
        <v>286</v>
      </c>
      <c r="I426" s="212">
        <v>2604464</v>
      </c>
      <c r="J426" s="605"/>
      <c r="K426" s="212">
        <v>1</v>
      </c>
      <c r="L426" s="212">
        <f t="shared" si="49"/>
        <v>2604464</v>
      </c>
      <c r="M426" s="602"/>
      <c r="N426" s="675">
        <f>+'Yeşil Defter'!K444</f>
        <v>0</v>
      </c>
      <c r="O426" s="675">
        <f>+'Yeşil Defter'!L444</f>
        <v>0</v>
      </c>
      <c r="P426" s="675">
        <f>+'Yeşil Defter'!M444</f>
        <v>0</v>
      </c>
      <c r="Q426" s="212"/>
      <c r="R426" s="605">
        <f t="shared" si="50"/>
        <v>0</v>
      </c>
      <c r="S426" s="225">
        <f t="shared" si="47"/>
        <v>0</v>
      </c>
      <c r="T426" s="237">
        <f t="shared" si="51"/>
        <v>0</v>
      </c>
    </row>
    <row r="427" spans="1:20" ht="40.049999999999997" hidden="1" customHeight="1" x14ac:dyDescent="0.3">
      <c r="A427" s="262" t="s">
        <v>1242</v>
      </c>
      <c r="C427" s="258"/>
      <c r="D427" s="258"/>
      <c r="E427" s="972" t="s">
        <v>33</v>
      </c>
      <c r="F427" s="972"/>
      <c r="G427" s="972"/>
      <c r="H427" s="973" t="s">
        <v>29</v>
      </c>
      <c r="I427" s="973"/>
      <c r="J427" s="973"/>
      <c r="K427" s="973"/>
      <c r="L427" s="973"/>
      <c r="M427" s="549"/>
      <c r="N427" s="973" t="s">
        <v>22</v>
      </c>
      <c r="O427" s="973"/>
      <c r="P427" s="973"/>
      <c r="Q427" s="973"/>
      <c r="R427" s="973"/>
      <c r="S427" s="973"/>
      <c r="T427" s="973"/>
    </row>
    <row r="428" spans="1:20" ht="19.95" hidden="1" customHeight="1" x14ac:dyDescent="0.3">
      <c r="A428" s="262" t="s">
        <v>1242</v>
      </c>
      <c r="D428" s="28"/>
      <c r="E428" s="974" t="s">
        <v>1214</v>
      </c>
      <c r="F428" s="974"/>
      <c r="G428" s="974"/>
      <c r="H428" s="975" t="s">
        <v>38</v>
      </c>
      <c r="I428" s="975"/>
      <c r="J428" s="975"/>
      <c r="K428" s="975"/>
      <c r="L428" s="975"/>
      <c r="M428" s="562"/>
      <c r="N428" s="975" t="s">
        <v>1437</v>
      </c>
      <c r="O428" s="975"/>
      <c r="P428" s="975"/>
      <c r="Q428" s="975"/>
      <c r="R428" s="975"/>
      <c r="S428" s="975"/>
      <c r="T428" s="975"/>
    </row>
    <row r="429" spans="1:20" ht="19.95" hidden="1" customHeight="1" x14ac:dyDescent="0.3">
      <c r="A429" s="262" t="s">
        <v>1242</v>
      </c>
      <c r="C429" s="228"/>
      <c r="D429" s="228"/>
      <c r="E429" s="561"/>
      <c r="F429" s="561"/>
      <c r="G429" s="561"/>
      <c r="H429" s="228"/>
      <c r="I429" s="260"/>
      <c r="J429" s="260"/>
      <c r="K429" s="260"/>
      <c r="L429" s="260"/>
      <c r="M429" s="260"/>
      <c r="N429" s="975"/>
      <c r="O429" s="975"/>
      <c r="P429" s="975"/>
      <c r="Q429" s="975"/>
      <c r="R429" s="975"/>
      <c r="S429" s="975"/>
      <c r="T429" s="975"/>
    </row>
    <row r="430" spans="1:20" ht="19.95" hidden="1" customHeight="1" x14ac:dyDescent="0.3">
      <c r="A430" s="262" t="s">
        <v>1242</v>
      </c>
      <c r="C430" s="228"/>
      <c r="D430" s="228"/>
      <c r="E430" s="561"/>
      <c r="F430" s="561"/>
      <c r="G430" s="561"/>
      <c r="H430" s="228"/>
      <c r="I430" s="260"/>
      <c r="J430" s="260"/>
      <c r="K430" s="260"/>
      <c r="L430" s="260"/>
      <c r="M430" s="260"/>
      <c r="N430" s="975"/>
      <c r="O430" s="975"/>
      <c r="P430" s="975"/>
      <c r="Q430" s="975"/>
      <c r="R430" s="975"/>
      <c r="S430" s="975"/>
      <c r="T430" s="975"/>
    </row>
    <row r="431" spans="1:20" ht="19.95" hidden="1" customHeight="1" x14ac:dyDescent="0.3">
      <c r="A431" s="262" t="s">
        <v>1242</v>
      </c>
      <c r="C431" s="228"/>
      <c r="D431" s="228"/>
      <c r="E431" s="561"/>
      <c r="F431" s="561"/>
      <c r="G431" s="561"/>
      <c r="H431" s="261"/>
      <c r="I431" s="261"/>
      <c r="J431" s="261"/>
      <c r="K431" s="261"/>
      <c r="L431" s="261"/>
      <c r="M431" s="261"/>
      <c r="N431" s="260"/>
      <c r="O431" s="260"/>
      <c r="P431" s="260"/>
      <c r="Q431" s="260"/>
      <c r="R431" s="260"/>
      <c r="S431" s="260"/>
      <c r="T431" s="260"/>
    </row>
    <row r="432" spans="1:20" ht="19.95" hidden="1" customHeight="1" x14ac:dyDescent="0.3">
      <c r="A432" s="262" t="s">
        <v>1242</v>
      </c>
      <c r="C432" s="228"/>
      <c r="D432" s="228"/>
      <c r="E432" s="561"/>
      <c r="F432" s="561"/>
      <c r="G432" s="561"/>
      <c r="H432" s="975" t="s">
        <v>32</v>
      </c>
      <c r="I432" s="975"/>
      <c r="J432" s="562"/>
      <c r="K432" s="975" t="s">
        <v>1407</v>
      </c>
      <c r="L432" s="975"/>
      <c r="M432" s="562"/>
      <c r="N432" s="968" t="s">
        <v>28</v>
      </c>
      <c r="O432" s="968"/>
      <c r="P432" s="968"/>
      <c r="Q432" s="968"/>
      <c r="R432" s="968"/>
      <c r="S432" s="968"/>
      <c r="T432" s="968"/>
    </row>
    <row r="433" spans="1:20" ht="19.95" hidden="1" customHeight="1" x14ac:dyDescent="0.3">
      <c r="A433" s="262" t="s">
        <v>1242</v>
      </c>
      <c r="C433" s="228"/>
      <c r="D433" s="228"/>
      <c r="E433" s="561"/>
      <c r="F433" s="561"/>
      <c r="G433" s="561"/>
      <c r="H433" s="976" t="s">
        <v>94</v>
      </c>
      <c r="I433" s="976"/>
      <c r="J433" s="623"/>
      <c r="K433" s="976" t="s">
        <v>94</v>
      </c>
      <c r="L433" s="976"/>
      <c r="M433" s="623"/>
      <c r="N433" s="968" t="s">
        <v>1486</v>
      </c>
      <c r="O433" s="968"/>
      <c r="P433" s="968"/>
      <c r="Q433" s="968"/>
      <c r="R433" s="968"/>
      <c r="S433" s="968"/>
      <c r="T433" s="968"/>
    </row>
    <row r="434" spans="1:20" ht="19.95" hidden="1" customHeight="1" x14ac:dyDescent="0.3">
      <c r="A434" s="262" t="s">
        <v>1242</v>
      </c>
      <c r="C434" s="228"/>
      <c r="D434" s="228"/>
      <c r="E434" s="561"/>
      <c r="F434" s="561"/>
      <c r="G434" s="561"/>
      <c r="H434" s="976"/>
      <c r="I434" s="976"/>
      <c r="J434" s="623"/>
      <c r="K434" s="976"/>
      <c r="L434" s="976"/>
      <c r="M434" s="623"/>
      <c r="N434" s="968"/>
      <c r="O434" s="968"/>
      <c r="P434" s="968"/>
      <c r="Q434" s="968"/>
      <c r="R434" s="968"/>
      <c r="S434" s="968"/>
      <c r="T434" s="968"/>
    </row>
    <row r="435" spans="1:20" ht="19.95" hidden="1" customHeight="1" x14ac:dyDescent="0.3">
      <c r="A435" s="262" t="s">
        <v>1242</v>
      </c>
      <c r="C435" s="228"/>
      <c r="D435" s="228"/>
      <c r="E435" s="561"/>
      <c r="F435" s="561"/>
      <c r="G435" s="561"/>
      <c r="H435" s="261"/>
      <c r="I435" s="261"/>
      <c r="J435" s="261"/>
      <c r="K435" s="261"/>
      <c r="L435" s="261"/>
      <c r="M435" s="261"/>
      <c r="N435" s="260"/>
      <c r="O435" s="260"/>
      <c r="P435" s="260"/>
      <c r="Q435" s="260"/>
      <c r="R435" s="260"/>
      <c r="S435" s="624"/>
      <c r="T435" s="260"/>
    </row>
    <row r="436" spans="1:20" ht="19.95" hidden="1" customHeight="1" x14ac:dyDescent="0.3">
      <c r="A436" s="262" t="s">
        <v>1242</v>
      </c>
      <c r="C436" s="228"/>
      <c r="D436" s="228"/>
      <c r="E436" s="975" t="s">
        <v>1215</v>
      </c>
      <c r="F436" s="975"/>
      <c r="G436" s="975"/>
      <c r="H436" s="975" t="s">
        <v>1348</v>
      </c>
      <c r="I436" s="975"/>
      <c r="J436" s="975"/>
      <c r="K436" s="975"/>
      <c r="L436" s="975"/>
      <c r="M436" s="562"/>
      <c r="N436" s="977" t="s">
        <v>1219</v>
      </c>
      <c r="O436" s="968"/>
      <c r="P436" s="968"/>
      <c r="Q436" s="968"/>
      <c r="R436" s="968"/>
      <c r="S436" s="968"/>
      <c r="T436" s="968"/>
    </row>
    <row r="437" spans="1:20" ht="19.95" hidden="1" customHeight="1" x14ac:dyDescent="0.3">
      <c r="A437" s="262" t="s">
        <v>1290</v>
      </c>
      <c r="C437" s="228"/>
      <c r="D437" s="228"/>
      <c r="E437" s="975"/>
      <c r="F437" s="975"/>
      <c r="G437" s="975"/>
      <c r="H437" s="975"/>
      <c r="I437" s="975"/>
      <c r="J437" s="975"/>
      <c r="K437" s="975"/>
      <c r="L437" s="975"/>
      <c r="M437" s="562"/>
      <c r="N437" s="968"/>
      <c r="O437" s="968"/>
      <c r="P437" s="968"/>
      <c r="Q437" s="968"/>
      <c r="R437" s="968"/>
      <c r="S437" s="968"/>
      <c r="T437" s="968"/>
    </row>
    <row r="438" spans="1:20" ht="30" hidden="1" customHeight="1" x14ac:dyDescent="0.3">
      <c r="A438" s="262">
        <v>2</v>
      </c>
      <c r="C438" s="255">
        <v>230</v>
      </c>
      <c r="D438" s="256" t="s">
        <v>679</v>
      </c>
      <c r="E438" s="978" t="s">
        <v>680</v>
      </c>
      <c r="F438" s="979"/>
      <c r="G438" s="980"/>
      <c r="H438" s="546" t="s">
        <v>286</v>
      </c>
      <c r="I438" s="257">
        <v>2604464</v>
      </c>
      <c r="J438" s="606"/>
      <c r="K438" s="257">
        <v>1</v>
      </c>
      <c r="L438" s="257">
        <f t="shared" ref="L438:L460" si="52">+ROUND(I438*K438,2)</f>
        <v>2604464</v>
      </c>
      <c r="M438" s="603"/>
      <c r="N438" s="675">
        <f>+'Yeşil Defter'!K445</f>
        <v>0</v>
      </c>
      <c r="O438" s="675">
        <f>+'Yeşil Defter'!L445</f>
        <v>0</v>
      </c>
      <c r="P438" s="675">
        <f>+'Yeşil Defter'!M445</f>
        <v>0</v>
      </c>
      <c r="Q438" s="257"/>
      <c r="R438" s="606">
        <f t="shared" ref="R438:R460" si="53">+ROUND(K438*N438,2)</f>
        <v>0</v>
      </c>
      <c r="S438" s="247">
        <f t="shared" ref="S438:S479" si="54">+T438-R438</f>
        <v>0</v>
      </c>
      <c r="T438" s="248">
        <f t="shared" ref="T438:T460" si="55">+ROUND(K438*P438,2)</f>
        <v>0</v>
      </c>
    </row>
    <row r="439" spans="1:20" ht="30" hidden="1" customHeight="1" x14ac:dyDescent="0.3">
      <c r="A439" s="262">
        <v>2</v>
      </c>
      <c r="C439" s="244">
        <v>231</v>
      </c>
      <c r="D439" s="161" t="s">
        <v>681</v>
      </c>
      <c r="E439" s="969" t="s">
        <v>682</v>
      </c>
      <c r="F439" s="970"/>
      <c r="G439" s="971"/>
      <c r="H439" s="544" t="s">
        <v>286</v>
      </c>
      <c r="I439" s="212">
        <v>2604464</v>
      </c>
      <c r="J439" s="605"/>
      <c r="K439" s="212">
        <v>1</v>
      </c>
      <c r="L439" s="212">
        <f t="shared" si="52"/>
        <v>2604464</v>
      </c>
      <c r="M439" s="602"/>
      <c r="N439" s="675">
        <f>+'Yeşil Defter'!K446</f>
        <v>0</v>
      </c>
      <c r="O439" s="675">
        <f>+'Yeşil Defter'!L446</f>
        <v>0</v>
      </c>
      <c r="P439" s="675">
        <f>+'Yeşil Defter'!M446</f>
        <v>0</v>
      </c>
      <c r="Q439" s="212"/>
      <c r="R439" s="605">
        <f t="shared" si="53"/>
        <v>0</v>
      </c>
      <c r="S439" s="225">
        <f t="shared" si="54"/>
        <v>0</v>
      </c>
      <c r="T439" s="237">
        <f t="shared" si="55"/>
        <v>0</v>
      </c>
    </row>
    <row r="440" spans="1:20" ht="30" hidden="1" customHeight="1" x14ac:dyDescent="0.3">
      <c r="A440" s="262">
        <v>2</v>
      </c>
      <c r="C440" s="244">
        <v>232</v>
      </c>
      <c r="D440" s="161" t="s">
        <v>683</v>
      </c>
      <c r="E440" s="969" t="s">
        <v>684</v>
      </c>
      <c r="F440" s="970"/>
      <c r="G440" s="971"/>
      <c r="H440" s="544" t="s">
        <v>286</v>
      </c>
      <c r="I440" s="212">
        <v>2604464</v>
      </c>
      <c r="J440" s="605"/>
      <c r="K440" s="212">
        <v>1</v>
      </c>
      <c r="L440" s="212">
        <f t="shared" si="52"/>
        <v>2604464</v>
      </c>
      <c r="M440" s="602"/>
      <c r="N440" s="675">
        <f>+'Yeşil Defter'!K447</f>
        <v>0</v>
      </c>
      <c r="O440" s="675">
        <f>+'Yeşil Defter'!L447</f>
        <v>0</v>
      </c>
      <c r="P440" s="675">
        <f>+'Yeşil Defter'!M447</f>
        <v>0</v>
      </c>
      <c r="Q440" s="212"/>
      <c r="R440" s="605">
        <f t="shared" si="53"/>
        <v>0</v>
      </c>
      <c r="S440" s="225">
        <f t="shared" si="54"/>
        <v>0</v>
      </c>
      <c r="T440" s="237">
        <f t="shared" si="55"/>
        <v>0</v>
      </c>
    </row>
    <row r="441" spans="1:20" ht="30" hidden="1" customHeight="1" x14ac:dyDescent="0.3">
      <c r="A441" s="262">
        <v>2</v>
      </c>
      <c r="C441" s="244">
        <v>233</v>
      </c>
      <c r="D441" s="161" t="s">
        <v>685</v>
      </c>
      <c r="E441" s="969" t="s">
        <v>686</v>
      </c>
      <c r="F441" s="970"/>
      <c r="G441" s="971"/>
      <c r="H441" s="544" t="s">
        <v>286</v>
      </c>
      <c r="I441" s="212">
        <v>2604464</v>
      </c>
      <c r="J441" s="605"/>
      <c r="K441" s="212">
        <v>1</v>
      </c>
      <c r="L441" s="212">
        <f t="shared" si="52"/>
        <v>2604464</v>
      </c>
      <c r="M441" s="602"/>
      <c r="N441" s="675">
        <f>+'Yeşil Defter'!K448</f>
        <v>0</v>
      </c>
      <c r="O441" s="675">
        <f>+'Yeşil Defter'!L448</f>
        <v>0</v>
      </c>
      <c r="P441" s="675">
        <f>+'Yeşil Defter'!M448</f>
        <v>0</v>
      </c>
      <c r="Q441" s="212"/>
      <c r="R441" s="605">
        <f t="shared" si="53"/>
        <v>0</v>
      </c>
      <c r="S441" s="225">
        <f t="shared" si="54"/>
        <v>0</v>
      </c>
      <c r="T441" s="237">
        <f t="shared" si="55"/>
        <v>0</v>
      </c>
    </row>
    <row r="442" spans="1:20" ht="30" hidden="1" customHeight="1" x14ac:dyDescent="0.3">
      <c r="A442" s="262">
        <v>2</v>
      </c>
      <c r="C442" s="244">
        <v>234</v>
      </c>
      <c r="D442" s="161" t="s">
        <v>687</v>
      </c>
      <c r="E442" s="969" t="s">
        <v>688</v>
      </c>
      <c r="F442" s="970"/>
      <c r="G442" s="971"/>
      <c r="H442" s="544" t="s">
        <v>286</v>
      </c>
      <c r="I442" s="212">
        <v>30210926</v>
      </c>
      <c r="J442" s="605"/>
      <c r="K442" s="212">
        <v>1</v>
      </c>
      <c r="L442" s="212">
        <f t="shared" si="52"/>
        <v>30210926</v>
      </c>
      <c r="M442" s="602"/>
      <c r="N442" s="675">
        <f>+'Yeşil Defter'!K449</f>
        <v>0</v>
      </c>
      <c r="O442" s="675">
        <f>+'Yeşil Defter'!L449</f>
        <v>0</v>
      </c>
      <c r="P442" s="675">
        <f>+'Yeşil Defter'!M449</f>
        <v>0</v>
      </c>
      <c r="Q442" s="212"/>
      <c r="R442" s="605">
        <f t="shared" si="53"/>
        <v>0</v>
      </c>
      <c r="S442" s="225">
        <f t="shared" si="54"/>
        <v>0</v>
      </c>
      <c r="T442" s="237">
        <f t="shared" si="55"/>
        <v>0</v>
      </c>
    </row>
    <row r="443" spans="1:20" ht="30" hidden="1" customHeight="1" x14ac:dyDescent="0.3">
      <c r="A443" s="262">
        <v>2</v>
      </c>
      <c r="C443" s="244">
        <v>235</v>
      </c>
      <c r="D443" s="161" t="s">
        <v>689</v>
      </c>
      <c r="E443" s="969" t="s">
        <v>690</v>
      </c>
      <c r="F443" s="970"/>
      <c r="G443" s="971"/>
      <c r="H443" s="544" t="s">
        <v>286</v>
      </c>
      <c r="I443" s="212">
        <v>26408621</v>
      </c>
      <c r="J443" s="605"/>
      <c r="K443" s="212">
        <v>1</v>
      </c>
      <c r="L443" s="212">
        <f t="shared" si="52"/>
        <v>26408621</v>
      </c>
      <c r="M443" s="602"/>
      <c r="N443" s="675">
        <f>+'Yeşil Defter'!K450</f>
        <v>0</v>
      </c>
      <c r="O443" s="675">
        <f>+'Yeşil Defter'!L450</f>
        <v>0</v>
      </c>
      <c r="P443" s="675">
        <f>+'Yeşil Defter'!M450</f>
        <v>0</v>
      </c>
      <c r="Q443" s="212"/>
      <c r="R443" s="605">
        <f t="shared" si="53"/>
        <v>0</v>
      </c>
      <c r="S443" s="225">
        <f t="shared" si="54"/>
        <v>0</v>
      </c>
      <c r="T443" s="237">
        <f t="shared" si="55"/>
        <v>0</v>
      </c>
    </row>
    <row r="444" spans="1:20" ht="30" hidden="1" customHeight="1" x14ac:dyDescent="0.3">
      <c r="A444" s="262">
        <v>2</v>
      </c>
      <c r="C444" s="244">
        <v>236</v>
      </c>
      <c r="D444" s="161" t="s">
        <v>691</v>
      </c>
      <c r="E444" s="969" t="s">
        <v>692</v>
      </c>
      <c r="F444" s="970"/>
      <c r="G444" s="971"/>
      <c r="H444" s="544" t="s">
        <v>286</v>
      </c>
      <c r="I444" s="212">
        <v>28071623</v>
      </c>
      <c r="J444" s="605"/>
      <c r="K444" s="212">
        <v>1</v>
      </c>
      <c r="L444" s="212">
        <f t="shared" si="52"/>
        <v>28071623</v>
      </c>
      <c r="M444" s="602"/>
      <c r="N444" s="675">
        <f>+'Yeşil Defter'!K451</f>
        <v>0</v>
      </c>
      <c r="O444" s="675">
        <f>+'Yeşil Defter'!L451</f>
        <v>0</v>
      </c>
      <c r="P444" s="675">
        <f>+'Yeşil Defter'!M451</f>
        <v>0</v>
      </c>
      <c r="Q444" s="212"/>
      <c r="R444" s="605">
        <f t="shared" si="53"/>
        <v>0</v>
      </c>
      <c r="S444" s="225">
        <f t="shared" si="54"/>
        <v>0</v>
      </c>
      <c r="T444" s="237">
        <f t="shared" si="55"/>
        <v>0</v>
      </c>
    </row>
    <row r="445" spans="1:20" ht="30" hidden="1" customHeight="1" x14ac:dyDescent="0.3">
      <c r="A445" s="262">
        <v>2</v>
      </c>
      <c r="C445" s="244">
        <v>237</v>
      </c>
      <c r="D445" s="161" t="s">
        <v>693</v>
      </c>
      <c r="E445" s="969" t="s">
        <v>694</v>
      </c>
      <c r="F445" s="970"/>
      <c r="G445" s="971"/>
      <c r="H445" s="544" t="s">
        <v>286</v>
      </c>
      <c r="I445" s="212">
        <v>28062953</v>
      </c>
      <c r="J445" s="605"/>
      <c r="K445" s="212">
        <v>1</v>
      </c>
      <c r="L445" s="212">
        <f t="shared" si="52"/>
        <v>28062953</v>
      </c>
      <c r="M445" s="602"/>
      <c r="N445" s="675">
        <f>+'Yeşil Defter'!K452</f>
        <v>0</v>
      </c>
      <c r="O445" s="675">
        <f>+'Yeşil Defter'!L452</f>
        <v>0</v>
      </c>
      <c r="P445" s="675">
        <f>+'Yeşil Defter'!M452</f>
        <v>0</v>
      </c>
      <c r="Q445" s="212"/>
      <c r="R445" s="605">
        <f t="shared" si="53"/>
        <v>0</v>
      </c>
      <c r="S445" s="225">
        <f t="shared" si="54"/>
        <v>0</v>
      </c>
      <c r="T445" s="237">
        <f t="shared" si="55"/>
        <v>0</v>
      </c>
    </row>
    <row r="446" spans="1:20" ht="30" hidden="1" customHeight="1" x14ac:dyDescent="0.3">
      <c r="A446" s="262">
        <v>2</v>
      </c>
      <c r="C446" s="244">
        <v>238</v>
      </c>
      <c r="D446" s="161" t="s">
        <v>695</v>
      </c>
      <c r="E446" s="969" t="s">
        <v>696</v>
      </c>
      <c r="F446" s="970"/>
      <c r="G446" s="971"/>
      <c r="H446" s="544" t="s">
        <v>286</v>
      </c>
      <c r="I446" s="212">
        <v>33286064</v>
      </c>
      <c r="J446" s="605"/>
      <c r="K446" s="212">
        <v>1</v>
      </c>
      <c r="L446" s="212">
        <f t="shared" si="52"/>
        <v>33286064</v>
      </c>
      <c r="M446" s="602"/>
      <c r="N446" s="675">
        <f>+'Yeşil Defter'!K453</f>
        <v>0</v>
      </c>
      <c r="O446" s="675">
        <f>+'Yeşil Defter'!L453</f>
        <v>0</v>
      </c>
      <c r="P446" s="675">
        <f>+'Yeşil Defter'!M453</f>
        <v>0</v>
      </c>
      <c r="Q446" s="212"/>
      <c r="R446" s="605">
        <f t="shared" si="53"/>
        <v>0</v>
      </c>
      <c r="S446" s="225">
        <f t="shared" si="54"/>
        <v>0</v>
      </c>
      <c r="T446" s="237">
        <f t="shared" si="55"/>
        <v>0</v>
      </c>
    </row>
    <row r="447" spans="1:20" ht="30" hidden="1" customHeight="1" x14ac:dyDescent="0.3">
      <c r="A447" s="262">
        <v>2</v>
      </c>
      <c r="C447" s="244">
        <v>239</v>
      </c>
      <c r="D447" s="161" t="s">
        <v>697</v>
      </c>
      <c r="E447" s="969" t="s">
        <v>698</v>
      </c>
      <c r="F447" s="970"/>
      <c r="G447" s="971"/>
      <c r="H447" s="544" t="s">
        <v>286</v>
      </c>
      <c r="I447" s="212">
        <v>56812609</v>
      </c>
      <c r="J447" s="605"/>
      <c r="K447" s="212">
        <v>1</v>
      </c>
      <c r="L447" s="212">
        <f t="shared" si="52"/>
        <v>56812609</v>
      </c>
      <c r="M447" s="602"/>
      <c r="N447" s="675">
        <f>+'Yeşil Defter'!K454</f>
        <v>0</v>
      </c>
      <c r="O447" s="675">
        <f>+'Yeşil Defter'!L454</f>
        <v>0</v>
      </c>
      <c r="P447" s="675">
        <f>+'Yeşil Defter'!M454</f>
        <v>0</v>
      </c>
      <c r="Q447" s="212"/>
      <c r="R447" s="605">
        <f t="shared" si="53"/>
        <v>0</v>
      </c>
      <c r="S447" s="225">
        <f t="shared" si="54"/>
        <v>0</v>
      </c>
      <c r="T447" s="237">
        <f t="shared" si="55"/>
        <v>0</v>
      </c>
    </row>
    <row r="448" spans="1:20" ht="30" hidden="1" customHeight="1" x14ac:dyDescent="0.3">
      <c r="A448" s="262">
        <v>2</v>
      </c>
      <c r="C448" s="244">
        <v>240</v>
      </c>
      <c r="D448" s="161" t="s">
        <v>699</v>
      </c>
      <c r="E448" s="969" t="s">
        <v>700</v>
      </c>
      <c r="F448" s="970"/>
      <c r="G448" s="971"/>
      <c r="H448" s="544" t="s">
        <v>286</v>
      </c>
      <c r="I448" s="212">
        <v>22283195</v>
      </c>
      <c r="J448" s="605"/>
      <c r="K448" s="212">
        <v>1</v>
      </c>
      <c r="L448" s="212">
        <f t="shared" si="52"/>
        <v>22283195</v>
      </c>
      <c r="M448" s="602"/>
      <c r="N448" s="675">
        <f>+'Yeşil Defter'!K455</f>
        <v>0</v>
      </c>
      <c r="O448" s="675">
        <f>+'Yeşil Defter'!L455</f>
        <v>0</v>
      </c>
      <c r="P448" s="675">
        <f>+'Yeşil Defter'!M455</f>
        <v>0</v>
      </c>
      <c r="Q448" s="212"/>
      <c r="R448" s="605">
        <f t="shared" si="53"/>
        <v>0</v>
      </c>
      <c r="S448" s="225">
        <f t="shared" si="54"/>
        <v>0</v>
      </c>
      <c r="T448" s="237">
        <f t="shared" si="55"/>
        <v>0</v>
      </c>
    </row>
    <row r="449" spans="1:20" ht="30" hidden="1" customHeight="1" x14ac:dyDescent="0.3">
      <c r="A449" s="262">
        <v>2</v>
      </c>
      <c r="C449" s="244">
        <v>241</v>
      </c>
      <c r="D449" s="161" t="s">
        <v>701</v>
      </c>
      <c r="E449" s="969" t="s">
        <v>702</v>
      </c>
      <c r="F449" s="970"/>
      <c r="G449" s="971"/>
      <c r="H449" s="544" t="s">
        <v>286</v>
      </c>
      <c r="I449" s="212">
        <v>19971061</v>
      </c>
      <c r="J449" s="605"/>
      <c r="K449" s="212">
        <v>1</v>
      </c>
      <c r="L449" s="212">
        <f t="shared" si="52"/>
        <v>19971061</v>
      </c>
      <c r="M449" s="602"/>
      <c r="N449" s="675">
        <f>+'Yeşil Defter'!K456</f>
        <v>0</v>
      </c>
      <c r="O449" s="675">
        <f>+'Yeşil Defter'!L456</f>
        <v>0</v>
      </c>
      <c r="P449" s="675">
        <f>+'Yeşil Defter'!M456</f>
        <v>0</v>
      </c>
      <c r="Q449" s="212"/>
      <c r="R449" s="605">
        <f t="shared" si="53"/>
        <v>0</v>
      </c>
      <c r="S449" s="225">
        <f t="shared" si="54"/>
        <v>0</v>
      </c>
      <c r="T449" s="237">
        <f t="shared" si="55"/>
        <v>0</v>
      </c>
    </row>
    <row r="450" spans="1:20" ht="30" hidden="1" customHeight="1" x14ac:dyDescent="0.3">
      <c r="A450" s="262">
        <v>2</v>
      </c>
      <c r="C450" s="244">
        <v>242</v>
      </c>
      <c r="D450" s="161" t="s">
        <v>703</v>
      </c>
      <c r="E450" s="969" t="s">
        <v>704</v>
      </c>
      <c r="F450" s="970"/>
      <c r="G450" s="971"/>
      <c r="H450" s="544" t="s">
        <v>286</v>
      </c>
      <c r="I450" s="212">
        <v>19971061</v>
      </c>
      <c r="J450" s="605"/>
      <c r="K450" s="212">
        <v>1</v>
      </c>
      <c r="L450" s="212">
        <f t="shared" si="52"/>
        <v>19971061</v>
      </c>
      <c r="M450" s="602"/>
      <c r="N450" s="675">
        <f>+'Yeşil Defter'!K457</f>
        <v>0</v>
      </c>
      <c r="O450" s="675">
        <f>+'Yeşil Defter'!L457</f>
        <v>0</v>
      </c>
      <c r="P450" s="675">
        <f>+'Yeşil Defter'!M457</f>
        <v>0</v>
      </c>
      <c r="Q450" s="212"/>
      <c r="R450" s="605">
        <f t="shared" si="53"/>
        <v>0</v>
      </c>
      <c r="S450" s="225">
        <f t="shared" si="54"/>
        <v>0</v>
      </c>
      <c r="T450" s="237">
        <f t="shared" si="55"/>
        <v>0</v>
      </c>
    </row>
    <row r="451" spans="1:20" ht="30" hidden="1" customHeight="1" x14ac:dyDescent="0.3">
      <c r="A451" s="262">
        <v>2</v>
      </c>
      <c r="C451" s="244">
        <v>243</v>
      </c>
      <c r="D451" s="161" t="s">
        <v>705</v>
      </c>
      <c r="E451" s="969" t="s">
        <v>706</v>
      </c>
      <c r="F451" s="970"/>
      <c r="G451" s="971"/>
      <c r="H451" s="544" t="s">
        <v>286</v>
      </c>
      <c r="I451" s="212">
        <v>19971061</v>
      </c>
      <c r="J451" s="605"/>
      <c r="K451" s="212">
        <v>1</v>
      </c>
      <c r="L451" s="212">
        <f t="shared" si="52"/>
        <v>19971061</v>
      </c>
      <c r="M451" s="602"/>
      <c r="N451" s="675">
        <f>+'Yeşil Defter'!K458</f>
        <v>0</v>
      </c>
      <c r="O451" s="675">
        <f>+'Yeşil Defter'!L458</f>
        <v>0</v>
      </c>
      <c r="P451" s="675">
        <f>+'Yeşil Defter'!M458</f>
        <v>0</v>
      </c>
      <c r="Q451" s="212"/>
      <c r="R451" s="605">
        <f t="shared" si="53"/>
        <v>0</v>
      </c>
      <c r="S451" s="225">
        <f t="shared" si="54"/>
        <v>0</v>
      </c>
      <c r="T451" s="237">
        <f t="shared" si="55"/>
        <v>0</v>
      </c>
    </row>
    <row r="452" spans="1:20" ht="30" hidden="1" customHeight="1" x14ac:dyDescent="0.3">
      <c r="A452" s="262">
        <v>2</v>
      </c>
      <c r="C452" s="244">
        <v>244</v>
      </c>
      <c r="D452" s="161" t="s">
        <v>707</v>
      </c>
      <c r="E452" s="969" t="s">
        <v>708</v>
      </c>
      <c r="F452" s="970"/>
      <c r="G452" s="971"/>
      <c r="H452" s="544" t="s">
        <v>286</v>
      </c>
      <c r="I452" s="212">
        <v>23439262</v>
      </c>
      <c r="J452" s="605"/>
      <c r="K452" s="212">
        <v>1</v>
      </c>
      <c r="L452" s="212">
        <f t="shared" si="52"/>
        <v>23439262</v>
      </c>
      <c r="M452" s="602"/>
      <c r="N452" s="675">
        <f>+'Yeşil Defter'!K459</f>
        <v>0</v>
      </c>
      <c r="O452" s="675">
        <f>+'Yeşil Defter'!L459</f>
        <v>0</v>
      </c>
      <c r="P452" s="675">
        <f>+'Yeşil Defter'!M459</f>
        <v>0</v>
      </c>
      <c r="Q452" s="212"/>
      <c r="R452" s="605">
        <f t="shared" si="53"/>
        <v>0</v>
      </c>
      <c r="S452" s="225">
        <f t="shared" si="54"/>
        <v>0</v>
      </c>
      <c r="T452" s="237">
        <f t="shared" si="55"/>
        <v>0</v>
      </c>
    </row>
    <row r="453" spans="1:20" ht="30" hidden="1" customHeight="1" x14ac:dyDescent="0.3">
      <c r="A453" s="262">
        <v>2</v>
      </c>
      <c r="C453" s="244">
        <v>245</v>
      </c>
      <c r="D453" s="161" t="s">
        <v>709</v>
      </c>
      <c r="E453" s="969" t="s">
        <v>710</v>
      </c>
      <c r="F453" s="970"/>
      <c r="G453" s="971"/>
      <c r="H453" s="544" t="s">
        <v>286</v>
      </c>
      <c r="I453" s="212">
        <v>48019562</v>
      </c>
      <c r="J453" s="605"/>
      <c r="K453" s="212">
        <v>1</v>
      </c>
      <c r="L453" s="212">
        <f t="shared" si="52"/>
        <v>48019562</v>
      </c>
      <c r="M453" s="602"/>
      <c r="N453" s="675">
        <f>+'Yeşil Defter'!K460</f>
        <v>0</v>
      </c>
      <c r="O453" s="675">
        <f>+'Yeşil Defter'!L460</f>
        <v>0</v>
      </c>
      <c r="P453" s="675">
        <f>+'Yeşil Defter'!M460</f>
        <v>0</v>
      </c>
      <c r="Q453" s="212"/>
      <c r="R453" s="605">
        <f t="shared" si="53"/>
        <v>0</v>
      </c>
      <c r="S453" s="225">
        <f t="shared" si="54"/>
        <v>0</v>
      </c>
      <c r="T453" s="237">
        <f t="shared" si="55"/>
        <v>0</v>
      </c>
    </row>
    <row r="454" spans="1:20" ht="30" hidden="1" customHeight="1" x14ac:dyDescent="0.3">
      <c r="A454" s="262">
        <v>2</v>
      </c>
      <c r="C454" s="244">
        <v>246</v>
      </c>
      <c r="D454" s="161" t="s">
        <v>711</v>
      </c>
      <c r="E454" s="969" t="s">
        <v>712</v>
      </c>
      <c r="F454" s="970"/>
      <c r="G454" s="971"/>
      <c r="H454" s="544" t="s">
        <v>286</v>
      </c>
      <c r="I454" s="212">
        <v>33525948</v>
      </c>
      <c r="J454" s="605"/>
      <c r="K454" s="212">
        <v>1</v>
      </c>
      <c r="L454" s="212">
        <f t="shared" si="52"/>
        <v>33525948</v>
      </c>
      <c r="M454" s="602"/>
      <c r="N454" s="675">
        <f>+'Yeşil Defter'!K461</f>
        <v>0</v>
      </c>
      <c r="O454" s="675">
        <f>+'Yeşil Defter'!L461</f>
        <v>0</v>
      </c>
      <c r="P454" s="675">
        <f>+'Yeşil Defter'!M461</f>
        <v>0</v>
      </c>
      <c r="Q454" s="212"/>
      <c r="R454" s="605">
        <f t="shared" si="53"/>
        <v>0</v>
      </c>
      <c r="S454" s="225">
        <f t="shared" si="54"/>
        <v>0</v>
      </c>
      <c r="T454" s="237">
        <f t="shared" si="55"/>
        <v>0</v>
      </c>
    </row>
    <row r="455" spans="1:20" ht="30" hidden="1" customHeight="1" x14ac:dyDescent="0.3">
      <c r="A455" s="262">
        <v>2</v>
      </c>
      <c r="C455" s="244">
        <v>247</v>
      </c>
      <c r="D455" s="161" t="s">
        <v>713</v>
      </c>
      <c r="E455" s="969" t="s">
        <v>714</v>
      </c>
      <c r="F455" s="970"/>
      <c r="G455" s="971"/>
      <c r="H455" s="544" t="s">
        <v>286</v>
      </c>
      <c r="I455" s="212">
        <v>33525948</v>
      </c>
      <c r="J455" s="605"/>
      <c r="K455" s="212">
        <v>1</v>
      </c>
      <c r="L455" s="212">
        <f t="shared" si="52"/>
        <v>33525948</v>
      </c>
      <c r="M455" s="602"/>
      <c r="N455" s="675">
        <f>+'Yeşil Defter'!K462</f>
        <v>0</v>
      </c>
      <c r="O455" s="675">
        <f>+'Yeşil Defter'!L462</f>
        <v>0</v>
      </c>
      <c r="P455" s="675">
        <f>+'Yeşil Defter'!M462</f>
        <v>0</v>
      </c>
      <c r="Q455" s="212"/>
      <c r="R455" s="605">
        <f t="shared" si="53"/>
        <v>0</v>
      </c>
      <c r="S455" s="225">
        <f t="shared" si="54"/>
        <v>0</v>
      </c>
      <c r="T455" s="237">
        <f t="shared" si="55"/>
        <v>0</v>
      </c>
    </row>
    <row r="456" spans="1:20" ht="30" hidden="1" customHeight="1" x14ac:dyDescent="0.3">
      <c r="A456" s="262">
        <v>2</v>
      </c>
      <c r="C456" s="244">
        <v>248</v>
      </c>
      <c r="D456" s="161" t="s">
        <v>715</v>
      </c>
      <c r="E456" s="969" t="s">
        <v>716</v>
      </c>
      <c r="F456" s="970"/>
      <c r="G456" s="971"/>
      <c r="H456" s="544" t="s">
        <v>286</v>
      </c>
      <c r="I456" s="212">
        <v>33525948</v>
      </c>
      <c r="J456" s="605"/>
      <c r="K456" s="212">
        <v>1</v>
      </c>
      <c r="L456" s="212">
        <f t="shared" si="52"/>
        <v>33525948</v>
      </c>
      <c r="M456" s="602"/>
      <c r="N456" s="675">
        <f>+'Yeşil Defter'!K463</f>
        <v>0</v>
      </c>
      <c r="O456" s="675">
        <f>+'Yeşil Defter'!L463</f>
        <v>0</v>
      </c>
      <c r="P456" s="675">
        <f>+'Yeşil Defter'!M463</f>
        <v>0</v>
      </c>
      <c r="Q456" s="212"/>
      <c r="R456" s="605">
        <f t="shared" si="53"/>
        <v>0</v>
      </c>
      <c r="S456" s="225">
        <f t="shared" si="54"/>
        <v>0</v>
      </c>
      <c r="T456" s="237">
        <f t="shared" si="55"/>
        <v>0</v>
      </c>
    </row>
    <row r="457" spans="1:20" ht="30" hidden="1" customHeight="1" x14ac:dyDescent="0.3">
      <c r="A457" s="262">
        <v>2</v>
      </c>
      <c r="C457" s="244">
        <v>249</v>
      </c>
      <c r="D457" s="161" t="s">
        <v>717</v>
      </c>
      <c r="E457" s="969" t="s">
        <v>718</v>
      </c>
      <c r="F457" s="970"/>
      <c r="G457" s="971"/>
      <c r="H457" s="544" t="s">
        <v>286</v>
      </c>
      <c r="I457" s="212">
        <v>33525948</v>
      </c>
      <c r="J457" s="605"/>
      <c r="K457" s="212">
        <v>1</v>
      </c>
      <c r="L457" s="212">
        <f t="shared" si="52"/>
        <v>33525948</v>
      </c>
      <c r="M457" s="602"/>
      <c r="N457" s="675">
        <f>+'Yeşil Defter'!K464</f>
        <v>0</v>
      </c>
      <c r="O457" s="675">
        <f>+'Yeşil Defter'!L464</f>
        <v>0</v>
      </c>
      <c r="P457" s="675">
        <f>+'Yeşil Defter'!M464</f>
        <v>0</v>
      </c>
      <c r="Q457" s="212"/>
      <c r="R457" s="605">
        <f t="shared" si="53"/>
        <v>0</v>
      </c>
      <c r="S457" s="225">
        <f t="shared" si="54"/>
        <v>0</v>
      </c>
      <c r="T457" s="237">
        <f t="shared" si="55"/>
        <v>0</v>
      </c>
    </row>
    <row r="458" spans="1:20" ht="30" hidden="1" customHeight="1" x14ac:dyDescent="0.3">
      <c r="A458" s="262">
        <v>2</v>
      </c>
      <c r="C458" s="244">
        <v>250</v>
      </c>
      <c r="D458" s="161" t="s">
        <v>719</v>
      </c>
      <c r="E458" s="969" t="s">
        <v>720</v>
      </c>
      <c r="F458" s="970"/>
      <c r="G458" s="971"/>
      <c r="H458" s="544" t="s">
        <v>286</v>
      </c>
      <c r="I458" s="212">
        <v>47398754</v>
      </c>
      <c r="J458" s="605"/>
      <c r="K458" s="212">
        <v>1</v>
      </c>
      <c r="L458" s="212">
        <f t="shared" si="52"/>
        <v>47398754</v>
      </c>
      <c r="M458" s="602"/>
      <c r="N458" s="675">
        <f>+'Yeşil Defter'!K465</f>
        <v>0</v>
      </c>
      <c r="O458" s="675">
        <f>+'Yeşil Defter'!L465</f>
        <v>0</v>
      </c>
      <c r="P458" s="675">
        <f>+'Yeşil Defter'!M465</f>
        <v>0</v>
      </c>
      <c r="Q458" s="212"/>
      <c r="R458" s="605">
        <f t="shared" si="53"/>
        <v>0</v>
      </c>
      <c r="S458" s="225">
        <f t="shared" si="54"/>
        <v>0</v>
      </c>
      <c r="T458" s="237">
        <f t="shared" si="55"/>
        <v>0</v>
      </c>
    </row>
    <row r="459" spans="1:20" ht="30" hidden="1" customHeight="1" x14ac:dyDescent="0.3">
      <c r="A459" s="262">
        <v>2</v>
      </c>
      <c r="C459" s="244">
        <v>251</v>
      </c>
      <c r="D459" s="161" t="s">
        <v>721</v>
      </c>
      <c r="E459" s="969" t="s">
        <v>722</v>
      </c>
      <c r="F459" s="970"/>
      <c r="G459" s="971"/>
      <c r="H459" s="544" t="s">
        <v>286</v>
      </c>
      <c r="I459" s="212">
        <v>15780317</v>
      </c>
      <c r="J459" s="605"/>
      <c r="K459" s="212">
        <v>1</v>
      </c>
      <c r="L459" s="212">
        <f t="shared" si="52"/>
        <v>15780317</v>
      </c>
      <c r="M459" s="602"/>
      <c r="N459" s="675">
        <f>+'Yeşil Defter'!K466</f>
        <v>0</v>
      </c>
      <c r="O459" s="675">
        <f>+'Yeşil Defter'!L466</f>
        <v>0</v>
      </c>
      <c r="P459" s="675">
        <f>+'Yeşil Defter'!M466</f>
        <v>0</v>
      </c>
      <c r="Q459" s="212"/>
      <c r="R459" s="605">
        <f t="shared" si="53"/>
        <v>0</v>
      </c>
      <c r="S459" s="225">
        <f t="shared" si="54"/>
        <v>0</v>
      </c>
      <c r="T459" s="237">
        <f t="shared" si="55"/>
        <v>0</v>
      </c>
    </row>
    <row r="460" spans="1:20" ht="30" hidden="1" customHeight="1" x14ac:dyDescent="0.3">
      <c r="A460" s="262">
        <v>2</v>
      </c>
      <c r="C460" s="244">
        <v>252</v>
      </c>
      <c r="D460" s="161" t="s">
        <v>723</v>
      </c>
      <c r="E460" s="969" t="s">
        <v>724</v>
      </c>
      <c r="F460" s="970"/>
      <c r="G460" s="971"/>
      <c r="H460" s="544" t="s">
        <v>286</v>
      </c>
      <c r="I460" s="212">
        <v>15780317</v>
      </c>
      <c r="J460" s="605"/>
      <c r="K460" s="212">
        <v>1</v>
      </c>
      <c r="L460" s="212">
        <f t="shared" si="52"/>
        <v>15780317</v>
      </c>
      <c r="M460" s="602"/>
      <c r="N460" s="675">
        <f>+'Yeşil Defter'!K479</f>
        <v>0</v>
      </c>
      <c r="O460" s="675">
        <f>+'Yeşil Defter'!L479</f>
        <v>0</v>
      </c>
      <c r="P460" s="675">
        <f>+'Yeşil Defter'!M479</f>
        <v>0</v>
      </c>
      <c r="Q460" s="212"/>
      <c r="R460" s="605">
        <f t="shared" si="53"/>
        <v>0</v>
      </c>
      <c r="S460" s="225">
        <f t="shared" si="54"/>
        <v>0</v>
      </c>
      <c r="T460" s="237">
        <f t="shared" si="55"/>
        <v>0</v>
      </c>
    </row>
    <row r="461" spans="1:20" ht="40.049999999999997" hidden="1" customHeight="1" x14ac:dyDescent="0.3">
      <c r="A461" s="262" t="s">
        <v>1242</v>
      </c>
      <c r="C461" s="258"/>
      <c r="D461" s="258"/>
      <c r="E461" s="972" t="s">
        <v>33</v>
      </c>
      <c r="F461" s="972"/>
      <c r="G461" s="972"/>
      <c r="H461" s="973" t="s">
        <v>29</v>
      </c>
      <c r="I461" s="973"/>
      <c r="J461" s="973"/>
      <c r="K461" s="973"/>
      <c r="L461" s="973"/>
      <c r="M461" s="549"/>
      <c r="N461" s="973" t="s">
        <v>22</v>
      </c>
      <c r="O461" s="973"/>
      <c r="P461" s="973"/>
      <c r="Q461" s="973"/>
      <c r="R461" s="973"/>
      <c r="S461" s="973"/>
      <c r="T461" s="973"/>
    </row>
    <row r="462" spans="1:20" ht="19.95" hidden="1" customHeight="1" x14ac:dyDescent="0.3">
      <c r="A462" s="262" t="s">
        <v>1242</v>
      </c>
      <c r="D462" s="28"/>
      <c r="E462" s="974" t="s">
        <v>1214</v>
      </c>
      <c r="F462" s="974"/>
      <c r="G462" s="974"/>
      <c r="H462" s="975" t="s">
        <v>38</v>
      </c>
      <c r="I462" s="975"/>
      <c r="J462" s="975"/>
      <c r="K462" s="975"/>
      <c r="L462" s="975"/>
      <c r="M462" s="562"/>
      <c r="N462" s="975" t="s">
        <v>1437</v>
      </c>
      <c r="O462" s="975"/>
      <c r="P462" s="975"/>
      <c r="Q462" s="975"/>
      <c r="R462" s="975"/>
      <c r="S462" s="975"/>
      <c r="T462" s="975"/>
    </row>
    <row r="463" spans="1:20" ht="19.95" hidden="1" customHeight="1" x14ac:dyDescent="0.3">
      <c r="A463" s="262" t="s">
        <v>1242</v>
      </c>
      <c r="C463" s="228"/>
      <c r="D463" s="228"/>
      <c r="E463" s="561"/>
      <c r="F463" s="561"/>
      <c r="G463" s="561"/>
      <c r="H463" s="228"/>
      <c r="I463" s="260"/>
      <c r="J463" s="260"/>
      <c r="K463" s="260"/>
      <c r="L463" s="260"/>
      <c r="M463" s="260"/>
      <c r="N463" s="975"/>
      <c r="O463" s="975"/>
      <c r="P463" s="975"/>
      <c r="Q463" s="975"/>
      <c r="R463" s="975"/>
      <c r="S463" s="975"/>
      <c r="T463" s="975"/>
    </row>
    <row r="464" spans="1:20" ht="19.95" hidden="1" customHeight="1" x14ac:dyDescent="0.3">
      <c r="A464" s="262" t="s">
        <v>1242</v>
      </c>
      <c r="C464" s="228"/>
      <c r="D464" s="228"/>
      <c r="E464" s="561"/>
      <c r="F464" s="561"/>
      <c r="G464" s="561"/>
      <c r="H464" s="228"/>
      <c r="I464" s="260"/>
      <c r="J464" s="260"/>
      <c r="K464" s="260"/>
      <c r="L464" s="260"/>
      <c r="M464" s="260"/>
      <c r="N464" s="975"/>
      <c r="O464" s="975"/>
      <c r="P464" s="975"/>
      <c r="Q464" s="975"/>
      <c r="R464" s="975"/>
      <c r="S464" s="975"/>
      <c r="T464" s="975"/>
    </row>
    <row r="465" spans="1:20" ht="19.95" hidden="1" customHeight="1" x14ac:dyDescent="0.3">
      <c r="A465" s="262" t="s">
        <v>1242</v>
      </c>
      <c r="C465" s="228"/>
      <c r="D465" s="228"/>
      <c r="E465" s="561"/>
      <c r="F465" s="561"/>
      <c r="G465" s="561"/>
      <c r="H465" s="261"/>
      <c r="I465" s="261"/>
      <c r="J465" s="261"/>
      <c r="K465" s="261"/>
      <c r="L465" s="261"/>
      <c r="M465" s="261"/>
      <c r="N465" s="260"/>
      <c r="O465" s="260"/>
      <c r="P465" s="260"/>
      <c r="Q465" s="260"/>
      <c r="R465" s="260"/>
      <c r="S465" s="260"/>
      <c r="T465" s="260"/>
    </row>
    <row r="466" spans="1:20" ht="19.95" hidden="1" customHeight="1" x14ac:dyDescent="0.3">
      <c r="A466" s="262" t="s">
        <v>1242</v>
      </c>
      <c r="C466" s="228"/>
      <c r="D466" s="228"/>
      <c r="E466" s="561"/>
      <c r="F466" s="561"/>
      <c r="G466" s="561"/>
      <c r="H466" s="975" t="s">
        <v>32</v>
      </c>
      <c r="I466" s="975"/>
      <c r="J466" s="562"/>
      <c r="K466" s="975" t="s">
        <v>1407</v>
      </c>
      <c r="L466" s="975"/>
      <c r="M466" s="562"/>
      <c r="N466" s="968" t="s">
        <v>28</v>
      </c>
      <c r="O466" s="968"/>
      <c r="P466" s="968"/>
      <c r="Q466" s="968"/>
      <c r="R466" s="968"/>
      <c r="S466" s="968"/>
      <c r="T466" s="968"/>
    </row>
    <row r="467" spans="1:20" ht="19.95" hidden="1" customHeight="1" x14ac:dyDescent="0.3">
      <c r="A467" s="262" t="s">
        <v>1242</v>
      </c>
      <c r="C467" s="228"/>
      <c r="D467" s="228"/>
      <c r="E467" s="561"/>
      <c r="F467" s="561"/>
      <c r="G467" s="561"/>
      <c r="H467" s="976" t="s">
        <v>94</v>
      </c>
      <c r="I467" s="976"/>
      <c r="J467" s="623"/>
      <c r="K467" s="976" t="s">
        <v>94</v>
      </c>
      <c r="L467" s="976"/>
      <c r="M467" s="623"/>
      <c r="N467" s="968" t="s">
        <v>1486</v>
      </c>
      <c r="O467" s="968"/>
      <c r="P467" s="968"/>
      <c r="Q467" s="968"/>
      <c r="R467" s="968"/>
      <c r="S467" s="968"/>
      <c r="T467" s="968"/>
    </row>
    <row r="468" spans="1:20" ht="19.95" hidden="1" customHeight="1" x14ac:dyDescent="0.3">
      <c r="A468" s="262" t="s">
        <v>1242</v>
      </c>
      <c r="C468" s="228"/>
      <c r="D468" s="228"/>
      <c r="E468" s="561"/>
      <c r="F468" s="561"/>
      <c r="G468" s="561"/>
      <c r="H468" s="976"/>
      <c r="I468" s="976"/>
      <c r="J468" s="623"/>
      <c r="K468" s="976"/>
      <c r="L468" s="976"/>
      <c r="M468" s="623"/>
      <c r="N468" s="968"/>
      <c r="O468" s="968"/>
      <c r="P468" s="968"/>
      <c r="Q468" s="968"/>
      <c r="R468" s="968"/>
      <c r="S468" s="968"/>
      <c r="T468" s="968"/>
    </row>
    <row r="469" spans="1:20" ht="19.95" hidden="1" customHeight="1" x14ac:dyDescent="0.3">
      <c r="A469" s="262" t="s">
        <v>1242</v>
      </c>
      <c r="C469" s="228"/>
      <c r="D469" s="228"/>
      <c r="E469" s="561"/>
      <c r="F469" s="561"/>
      <c r="G469" s="561"/>
      <c r="H469" s="228"/>
      <c r="I469" s="260"/>
      <c r="J469" s="260"/>
      <c r="K469" s="260"/>
      <c r="L469" s="260"/>
      <c r="M469" s="260"/>
      <c r="N469" s="260"/>
      <c r="O469" s="260"/>
      <c r="P469" s="260"/>
      <c r="Q469" s="260"/>
      <c r="R469" s="260"/>
      <c r="S469" s="624"/>
      <c r="T469" s="260"/>
    </row>
    <row r="470" spans="1:20" ht="19.95" hidden="1" customHeight="1" x14ac:dyDescent="0.3">
      <c r="A470" s="262" t="s">
        <v>1242</v>
      </c>
      <c r="C470" s="228"/>
      <c r="D470" s="228"/>
      <c r="E470" s="975" t="s">
        <v>1215</v>
      </c>
      <c r="F470" s="975"/>
      <c r="G470" s="975"/>
      <c r="H470" s="975" t="s">
        <v>1348</v>
      </c>
      <c r="I470" s="975"/>
      <c r="J470" s="975"/>
      <c r="K470" s="975"/>
      <c r="L470" s="975"/>
      <c r="M470" s="562"/>
      <c r="N470" s="977" t="s">
        <v>1219</v>
      </c>
      <c r="O470" s="968"/>
      <c r="P470" s="968"/>
      <c r="Q470" s="968"/>
      <c r="R470" s="968"/>
      <c r="S470" s="968"/>
      <c r="T470" s="968"/>
    </row>
    <row r="471" spans="1:20" ht="19.95" hidden="1" customHeight="1" x14ac:dyDescent="0.3">
      <c r="A471" s="262" t="s">
        <v>1290</v>
      </c>
      <c r="C471" s="228"/>
      <c r="D471" s="228"/>
      <c r="E471" s="975"/>
      <c r="F471" s="975"/>
      <c r="G471" s="975"/>
      <c r="H471" s="975"/>
      <c r="I471" s="975"/>
      <c r="J471" s="975"/>
      <c r="K471" s="975"/>
      <c r="L471" s="975"/>
      <c r="M471" s="562"/>
      <c r="N471" s="968"/>
      <c r="O471" s="968"/>
      <c r="P471" s="968"/>
      <c r="Q471" s="968"/>
      <c r="R471" s="968"/>
      <c r="S471" s="968"/>
      <c r="T471" s="968"/>
    </row>
    <row r="472" spans="1:20" ht="30" hidden="1" customHeight="1" x14ac:dyDescent="0.3">
      <c r="A472" s="262">
        <v>2</v>
      </c>
      <c r="C472" s="255">
        <v>253</v>
      </c>
      <c r="D472" s="256" t="s">
        <v>725</v>
      </c>
      <c r="E472" s="978" t="s">
        <v>726</v>
      </c>
      <c r="F472" s="979"/>
      <c r="G472" s="980"/>
      <c r="H472" s="546" t="s">
        <v>286</v>
      </c>
      <c r="I472" s="257">
        <v>15780317</v>
      </c>
      <c r="J472" s="606"/>
      <c r="K472" s="257">
        <v>1</v>
      </c>
      <c r="L472" s="257">
        <f t="shared" ref="L472:L479" si="56">+ROUND(I472*K472,2)</f>
        <v>15780317</v>
      </c>
      <c r="M472" s="603"/>
      <c r="N472" s="675">
        <f>+'Yeşil Defter'!K479</f>
        <v>0</v>
      </c>
      <c r="O472" s="675">
        <f>+'Yeşil Defter'!L479</f>
        <v>0</v>
      </c>
      <c r="P472" s="675">
        <f>+'Yeşil Defter'!M479</f>
        <v>0</v>
      </c>
      <c r="Q472" s="257"/>
      <c r="R472" s="606">
        <f t="shared" ref="R472:R479" si="57">+ROUND(K472*N472,2)</f>
        <v>0</v>
      </c>
      <c r="S472" s="247">
        <f t="shared" si="54"/>
        <v>0</v>
      </c>
      <c r="T472" s="248">
        <f t="shared" ref="T472:T479" si="58">+ROUND(K472*P472,2)</f>
        <v>0</v>
      </c>
    </row>
    <row r="473" spans="1:20" ht="30" hidden="1" customHeight="1" x14ac:dyDescent="0.3">
      <c r="A473" s="262">
        <v>2</v>
      </c>
      <c r="C473" s="244">
        <v>254</v>
      </c>
      <c r="D473" s="161" t="s">
        <v>727</v>
      </c>
      <c r="E473" s="969" t="s">
        <v>728</v>
      </c>
      <c r="F473" s="970"/>
      <c r="G473" s="971"/>
      <c r="H473" s="544" t="s">
        <v>286</v>
      </c>
      <c r="I473" s="212">
        <v>15780317</v>
      </c>
      <c r="J473" s="605"/>
      <c r="K473" s="212">
        <v>1</v>
      </c>
      <c r="L473" s="212">
        <f t="shared" si="56"/>
        <v>15780317</v>
      </c>
      <c r="M473" s="602"/>
      <c r="N473" s="675">
        <f>+'Yeşil Defter'!K480</f>
        <v>0</v>
      </c>
      <c r="O473" s="675">
        <f>+'Yeşil Defter'!L480</f>
        <v>0</v>
      </c>
      <c r="P473" s="675">
        <f>+'Yeşil Defter'!M480</f>
        <v>0</v>
      </c>
      <c r="Q473" s="212"/>
      <c r="R473" s="605">
        <f t="shared" si="57"/>
        <v>0</v>
      </c>
      <c r="S473" s="225">
        <f t="shared" si="54"/>
        <v>0</v>
      </c>
      <c r="T473" s="237">
        <f t="shared" si="58"/>
        <v>0</v>
      </c>
    </row>
    <row r="474" spans="1:20" ht="30" hidden="1" customHeight="1" x14ac:dyDescent="0.3">
      <c r="A474" s="262">
        <v>2</v>
      </c>
      <c r="C474" s="244">
        <v>255</v>
      </c>
      <c r="D474" s="161" t="s">
        <v>729</v>
      </c>
      <c r="E474" s="969" t="s">
        <v>730</v>
      </c>
      <c r="F474" s="970"/>
      <c r="G474" s="971"/>
      <c r="H474" s="544" t="s">
        <v>286</v>
      </c>
      <c r="I474" s="212">
        <v>25144461</v>
      </c>
      <c r="J474" s="605"/>
      <c r="K474" s="212">
        <v>1</v>
      </c>
      <c r="L474" s="212">
        <f t="shared" si="56"/>
        <v>25144461</v>
      </c>
      <c r="M474" s="602"/>
      <c r="N474" s="675">
        <f>+'Yeşil Defter'!K481</f>
        <v>0</v>
      </c>
      <c r="O474" s="675">
        <f>+'Yeşil Defter'!L481</f>
        <v>0</v>
      </c>
      <c r="P474" s="675">
        <f>+'Yeşil Defter'!M481</f>
        <v>0</v>
      </c>
      <c r="Q474" s="212"/>
      <c r="R474" s="605">
        <f t="shared" si="57"/>
        <v>0</v>
      </c>
      <c r="S474" s="225">
        <f t="shared" si="54"/>
        <v>0</v>
      </c>
      <c r="T474" s="237">
        <f t="shared" si="58"/>
        <v>0</v>
      </c>
    </row>
    <row r="475" spans="1:20" ht="30" hidden="1" customHeight="1" x14ac:dyDescent="0.3">
      <c r="A475" s="262">
        <v>2</v>
      </c>
      <c r="C475" s="244">
        <v>256</v>
      </c>
      <c r="D475" s="161" t="s">
        <v>731</v>
      </c>
      <c r="E475" s="969" t="s">
        <v>732</v>
      </c>
      <c r="F475" s="970"/>
      <c r="G475" s="971"/>
      <c r="H475" s="544" t="s">
        <v>286</v>
      </c>
      <c r="I475" s="212">
        <v>38641545</v>
      </c>
      <c r="J475" s="605"/>
      <c r="K475" s="212">
        <v>1</v>
      </c>
      <c r="L475" s="212">
        <f t="shared" si="56"/>
        <v>38641545</v>
      </c>
      <c r="M475" s="602"/>
      <c r="N475" s="675">
        <f>+'Yeşil Defter'!K482</f>
        <v>0</v>
      </c>
      <c r="O475" s="675">
        <f>+'Yeşil Defter'!L482</f>
        <v>0</v>
      </c>
      <c r="P475" s="675">
        <f>+'Yeşil Defter'!M482</f>
        <v>0</v>
      </c>
      <c r="Q475" s="212"/>
      <c r="R475" s="605">
        <f t="shared" si="57"/>
        <v>0</v>
      </c>
      <c r="S475" s="225">
        <f t="shared" si="54"/>
        <v>0</v>
      </c>
      <c r="T475" s="237">
        <f t="shared" si="58"/>
        <v>0</v>
      </c>
    </row>
    <row r="476" spans="1:20" ht="30" hidden="1" customHeight="1" x14ac:dyDescent="0.3">
      <c r="A476" s="262">
        <v>2</v>
      </c>
      <c r="C476" s="244">
        <v>257</v>
      </c>
      <c r="D476" s="161" t="s">
        <v>733</v>
      </c>
      <c r="E476" s="969" t="s">
        <v>734</v>
      </c>
      <c r="F476" s="970"/>
      <c r="G476" s="971"/>
      <c r="H476" s="544" t="s">
        <v>286</v>
      </c>
      <c r="I476" s="212">
        <v>90828122</v>
      </c>
      <c r="J476" s="605"/>
      <c r="K476" s="212">
        <v>1</v>
      </c>
      <c r="L476" s="212">
        <f t="shared" si="56"/>
        <v>90828122</v>
      </c>
      <c r="M476" s="602"/>
      <c r="N476" s="675">
        <f>+'Yeşil Defter'!K483</f>
        <v>0</v>
      </c>
      <c r="O476" s="675">
        <f>+'Yeşil Defter'!L483</f>
        <v>0</v>
      </c>
      <c r="P476" s="675">
        <f>+'Yeşil Defter'!M483</f>
        <v>0</v>
      </c>
      <c r="Q476" s="212"/>
      <c r="R476" s="605">
        <f t="shared" si="57"/>
        <v>0</v>
      </c>
      <c r="S476" s="225">
        <f t="shared" si="54"/>
        <v>0</v>
      </c>
      <c r="T476" s="237">
        <f t="shared" si="58"/>
        <v>0</v>
      </c>
    </row>
    <row r="477" spans="1:20" ht="30" hidden="1" customHeight="1" x14ac:dyDescent="0.3">
      <c r="A477" s="262">
        <v>2</v>
      </c>
      <c r="C477" s="244">
        <v>258</v>
      </c>
      <c r="D477" s="161" t="s">
        <v>735</v>
      </c>
      <c r="E477" s="969" t="s">
        <v>736</v>
      </c>
      <c r="F477" s="970"/>
      <c r="G477" s="971"/>
      <c r="H477" s="544" t="s">
        <v>202</v>
      </c>
      <c r="I477" s="212">
        <v>11835</v>
      </c>
      <c r="J477" s="605"/>
      <c r="K477" s="212">
        <v>2500</v>
      </c>
      <c r="L477" s="212">
        <f t="shared" si="56"/>
        <v>29587500</v>
      </c>
      <c r="M477" s="602"/>
      <c r="N477" s="675">
        <f>+'Yeşil Defter'!K484</f>
        <v>0</v>
      </c>
      <c r="O477" s="675">
        <f>+'Yeşil Defter'!L484</f>
        <v>0</v>
      </c>
      <c r="P477" s="675">
        <f>+'Yeşil Defter'!M484</f>
        <v>0</v>
      </c>
      <c r="Q477" s="212"/>
      <c r="R477" s="605">
        <f t="shared" si="57"/>
        <v>0</v>
      </c>
      <c r="S477" s="225">
        <f t="shared" si="54"/>
        <v>0</v>
      </c>
      <c r="T477" s="237">
        <f t="shared" si="58"/>
        <v>0</v>
      </c>
    </row>
    <row r="478" spans="1:20" ht="30" hidden="1" customHeight="1" x14ac:dyDescent="0.3">
      <c r="A478" s="262">
        <v>2</v>
      </c>
      <c r="C478" s="244">
        <v>259</v>
      </c>
      <c r="D478" s="161" t="s">
        <v>737</v>
      </c>
      <c r="E478" s="969" t="s">
        <v>738</v>
      </c>
      <c r="F478" s="970"/>
      <c r="G478" s="971"/>
      <c r="H478" s="544" t="s">
        <v>202</v>
      </c>
      <c r="I478" s="212">
        <v>6676</v>
      </c>
      <c r="J478" s="605"/>
      <c r="K478" s="212">
        <v>14000</v>
      </c>
      <c r="L478" s="212">
        <f t="shared" si="56"/>
        <v>93464000</v>
      </c>
      <c r="M478" s="602"/>
      <c r="N478" s="675">
        <f>+'Yeşil Defter'!K485</f>
        <v>0</v>
      </c>
      <c r="O478" s="675">
        <f>+'Yeşil Defter'!L485</f>
        <v>0</v>
      </c>
      <c r="P478" s="675">
        <f>+'Yeşil Defter'!M485</f>
        <v>0</v>
      </c>
      <c r="Q478" s="212"/>
      <c r="R478" s="605">
        <f t="shared" si="57"/>
        <v>0</v>
      </c>
      <c r="S478" s="225">
        <f t="shared" si="54"/>
        <v>0</v>
      </c>
      <c r="T478" s="237">
        <f t="shared" si="58"/>
        <v>0</v>
      </c>
    </row>
    <row r="479" spans="1:20" ht="30" hidden="1" customHeight="1" x14ac:dyDescent="0.3">
      <c r="A479" s="262">
        <v>2</v>
      </c>
      <c r="C479" s="244">
        <v>260</v>
      </c>
      <c r="D479" s="161" t="s">
        <v>739</v>
      </c>
      <c r="E479" s="969" t="s">
        <v>740</v>
      </c>
      <c r="F479" s="970"/>
      <c r="G479" s="971"/>
      <c r="H479" s="544" t="s">
        <v>286</v>
      </c>
      <c r="I479" s="212">
        <v>22543310</v>
      </c>
      <c r="J479" s="605"/>
      <c r="K479" s="212">
        <v>1</v>
      </c>
      <c r="L479" s="341">
        <f t="shared" si="56"/>
        <v>22543310</v>
      </c>
      <c r="M479" s="212"/>
      <c r="N479" s="675">
        <f>+'Yeşil Defter'!K486</f>
        <v>0</v>
      </c>
      <c r="O479" s="675">
        <f>+'Yeşil Defter'!L486</f>
        <v>0</v>
      </c>
      <c r="P479" s="675">
        <f>+'Yeşil Defter'!M486</f>
        <v>0</v>
      </c>
      <c r="Q479" s="212"/>
      <c r="R479" s="605">
        <f t="shared" si="57"/>
        <v>0</v>
      </c>
      <c r="S479" s="225">
        <f t="shared" si="54"/>
        <v>0</v>
      </c>
      <c r="T479" s="237">
        <f t="shared" si="58"/>
        <v>0</v>
      </c>
    </row>
    <row r="480" spans="1:20" ht="30" hidden="1" customHeight="1" x14ac:dyDescent="0.3">
      <c r="A480" s="262">
        <v>2</v>
      </c>
      <c r="C480" s="244"/>
      <c r="D480" s="161"/>
      <c r="E480" s="969"/>
      <c r="F480" s="970"/>
      <c r="G480" s="971"/>
      <c r="H480" s="161"/>
      <c r="I480" s="605"/>
      <c r="J480" s="605"/>
      <c r="K480" s="212"/>
      <c r="L480" s="341"/>
      <c r="M480" s="212"/>
      <c r="N480" s="605"/>
      <c r="O480" s="212"/>
      <c r="P480" s="341"/>
      <c r="Q480" s="212"/>
      <c r="R480" s="605"/>
      <c r="S480" s="225"/>
      <c r="T480" s="237"/>
    </row>
    <row r="481" spans="1:20" ht="30" hidden="1" customHeight="1" x14ac:dyDescent="0.3">
      <c r="A481" s="262">
        <v>2</v>
      </c>
      <c r="C481" s="244"/>
      <c r="D481" s="161"/>
      <c r="E481" s="969"/>
      <c r="F481" s="970"/>
      <c r="G481" s="971"/>
      <c r="H481" s="161"/>
      <c r="I481" s="605"/>
      <c r="J481" s="605"/>
      <c r="K481" s="212"/>
      <c r="L481" s="341"/>
      <c r="M481" s="212"/>
      <c r="N481" s="605"/>
      <c r="O481" s="212"/>
      <c r="P481" s="341"/>
      <c r="Q481" s="212"/>
      <c r="R481" s="605"/>
      <c r="S481" s="225"/>
      <c r="T481" s="237"/>
    </row>
    <row r="482" spans="1:20" ht="30" hidden="1" customHeight="1" x14ac:dyDescent="0.3">
      <c r="A482" s="262">
        <v>2</v>
      </c>
      <c r="C482" s="244"/>
      <c r="D482" s="161"/>
      <c r="E482" s="969"/>
      <c r="F482" s="970"/>
      <c r="G482" s="971"/>
      <c r="H482" s="161"/>
      <c r="I482" s="605"/>
      <c r="J482" s="605"/>
      <c r="K482" s="212"/>
      <c r="L482" s="341"/>
      <c r="M482" s="212"/>
      <c r="N482" s="605"/>
      <c r="O482" s="212"/>
      <c r="P482" s="341"/>
      <c r="Q482" s="212"/>
      <c r="R482" s="605"/>
      <c r="S482" s="225"/>
      <c r="T482" s="237"/>
    </row>
    <row r="483" spans="1:20" ht="30" hidden="1" customHeight="1" x14ac:dyDescent="0.3">
      <c r="A483" s="262">
        <v>2</v>
      </c>
      <c r="C483" s="244"/>
      <c r="D483" s="161"/>
      <c r="E483" s="969"/>
      <c r="F483" s="970"/>
      <c r="G483" s="971"/>
      <c r="H483" s="161"/>
      <c r="I483" s="605"/>
      <c r="J483" s="605"/>
      <c r="K483" s="212"/>
      <c r="L483" s="341"/>
      <c r="M483" s="212"/>
      <c r="N483" s="605"/>
      <c r="O483" s="212"/>
      <c r="P483" s="341"/>
      <c r="Q483" s="212"/>
      <c r="R483" s="605"/>
      <c r="S483" s="225"/>
      <c r="T483" s="237"/>
    </row>
    <row r="484" spans="1:20" ht="30" hidden="1" customHeight="1" x14ac:dyDescent="0.3">
      <c r="A484" s="262">
        <v>2</v>
      </c>
      <c r="C484" s="244"/>
      <c r="D484" s="161"/>
      <c r="E484" s="969"/>
      <c r="F484" s="970"/>
      <c r="G484" s="971"/>
      <c r="H484" s="161"/>
      <c r="I484" s="605"/>
      <c r="J484" s="605"/>
      <c r="K484" s="212"/>
      <c r="L484" s="341"/>
      <c r="M484" s="212"/>
      <c r="N484" s="605"/>
      <c r="O484" s="212"/>
      <c r="P484" s="341"/>
      <c r="Q484" s="212"/>
      <c r="R484" s="605"/>
      <c r="S484" s="225"/>
      <c r="T484" s="237"/>
    </row>
    <row r="485" spans="1:20" ht="30" hidden="1" customHeight="1" x14ac:dyDescent="0.3">
      <c r="A485" s="262">
        <v>2</v>
      </c>
      <c r="C485" s="244"/>
      <c r="D485" s="161"/>
      <c r="E485" s="969"/>
      <c r="F485" s="970"/>
      <c r="G485" s="971"/>
      <c r="H485" s="161"/>
      <c r="I485" s="605"/>
      <c r="J485" s="605"/>
      <c r="K485" s="212"/>
      <c r="L485" s="341"/>
      <c r="M485" s="212"/>
      <c r="N485" s="605"/>
      <c r="O485" s="212"/>
      <c r="P485" s="341"/>
      <c r="Q485" s="212"/>
      <c r="R485" s="605"/>
      <c r="S485" s="225"/>
      <c r="T485" s="237"/>
    </row>
    <row r="486" spans="1:20" ht="30" hidden="1" customHeight="1" x14ac:dyDescent="0.3">
      <c r="A486" s="262">
        <v>2</v>
      </c>
      <c r="C486" s="244"/>
      <c r="D486" s="161"/>
      <c r="E486" s="969"/>
      <c r="F486" s="970"/>
      <c r="G486" s="971"/>
      <c r="H486" s="161"/>
      <c r="I486" s="605"/>
      <c r="J486" s="605"/>
      <c r="K486" s="212"/>
      <c r="L486" s="341"/>
      <c r="M486" s="212"/>
      <c r="N486" s="605"/>
      <c r="O486" s="212"/>
      <c r="P486" s="341"/>
      <c r="Q486" s="212"/>
      <c r="R486" s="605"/>
      <c r="S486" s="225"/>
      <c r="T486" s="237"/>
    </row>
    <row r="487" spans="1:20" ht="30" hidden="1" customHeight="1" x14ac:dyDescent="0.3">
      <c r="A487" s="262">
        <v>2</v>
      </c>
      <c r="C487" s="244"/>
      <c r="D487" s="161"/>
      <c r="E487" s="969"/>
      <c r="F487" s="970"/>
      <c r="G487" s="971"/>
      <c r="H487" s="161"/>
      <c r="I487" s="605"/>
      <c r="J487" s="605"/>
      <c r="K487" s="212"/>
      <c r="L487" s="341"/>
      <c r="M487" s="212"/>
      <c r="N487" s="605"/>
      <c r="O487" s="212"/>
      <c r="P487" s="341"/>
      <c r="Q487" s="212"/>
      <c r="R487" s="605"/>
      <c r="S487" s="225"/>
      <c r="T487" s="237"/>
    </row>
    <row r="488" spans="1:20" ht="30" hidden="1" customHeight="1" x14ac:dyDescent="0.3">
      <c r="A488" s="262">
        <v>2</v>
      </c>
      <c r="C488" s="244"/>
      <c r="D488" s="161"/>
      <c r="E488" s="969"/>
      <c r="F488" s="970"/>
      <c r="G488" s="971"/>
      <c r="H488" s="161"/>
      <c r="I488" s="605"/>
      <c r="J488" s="605"/>
      <c r="K488" s="212"/>
      <c r="L488" s="341"/>
      <c r="M488" s="212"/>
      <c r="N488" s="605"/>
      <c r="O488" s="212"/>
      <c r="P488" s="341"/>
      <c r="Q488" s="212"/>
      <c r="R488" s="605"/>
      <c r="S488" s="225"/>
      <c r="T488" s="237"/>
    </row>
    <row r="489" spans="1:20" ht="30" hidden="1" customHeight="1" x14ac:dyDescent="0.3">
      <c r="A489" s="262">
        <v>2</v>
      </c>
      <c r="C489" s="244"/>
      <c r="D489" s="161"/>
      <c r="E489" s="969"/>
      <c r="F489" s="970"/>
      <c r="G489" s="971"/>
      <c r="H489" s="161"/>
      <c r="I489" s="605"/>
      <c r="J489" s="605"/>
      <c r="K489" s="212"/>
      <c r="L489" s="341"/>
      <c r="M489" s="212"/>
      <c r="N489" s="605"/>
      <c r="O489" s="212"/>
      <c r="P489" s="341"/>
      <c r="Q489" s="212"/>
      <c r="R489" s="605"/>
      <c r="S489" s="225"/>
      <c r="T489" s="237"/>
    </row>
    <row r="490" spans="1:20" ht="30" hidden="1" customHeight="1" x14ac:dyDescent="0.3">
      <c r="A490" s="262">
        <v>2</v>
      </c>
      <c r="C490" s="244"/>
      <c r="D490" s="161"/>
      <c r="E490" s="969"/>
      <c r="F490" s="970"/>
      <c r="G490" s="971"/>
      <c r="H490" s="161"/>
      <c r="I490" s="605"/>
      <c r="J490" s="605"/>
      <c r="K490" s="212"/>
      <c r="L490" s="341"/>
      <c r="M490" s="212"/>
      <c r="N490" s="605"/>
      <c r="O490" s="212"/>
      <c r="P490" s="341"/>
      <c r="Q490" s="212"/>
      <c r="R490" s="605"/>
      <c r="S490" s="225"/>
      <c r="T490" s="237"/>
    </row>
    <row r="491" spans="1:20" ht="30" hidden="1" customHeight="1" x14ac:dyDescent="0.3">
      <c r="A491" s="262">
        <v>2</v>
      </c>
      <c r="C491" s="244"/>
      <c r="D491" s="161"/>
      <c r="E491" s="969"/>
      <c r="F491" s="970"/>
      <c r="G491" s="971"/>
      <c r="H491" s="161"/>
      <c r="I491" s="605"/>
      <c r="J491" s="605"/>
      <c r="K491" s="212"/>
      <c r="L491" s="341"/>
      <c r="M491" s="212"/>
      <c r="N491" s="605"/>
      <c r="O491" s="212"/>
      <c r="P491" s="341"/>
      <c r="Q491" s="212"/>
      <c r="R491" s="605"/>
      <c r="S491" s="225"/>
      <c r="T491" s="237"/>
    </row>
    <row r="492" spans="1:20" ht="30" hidden="1" customHeight="1" x14ac:dyDescent="0.3">
      <c r="A492" s="262">
        <v>2</v>
      </c>
      <c r="C492" s="244"/>
      <c r="D492" s="161"/>
      <c r="E492" s="969"/>
      <c r="F492" s="970"/>
      <c r="G492" s="971"/>
      <c r="H492" s="161"/>
      <c r="I492" s="605"/>
      <c r="J492" s="605"/>
      <c r="K492" s="212"/>
      <c r="L492" s="341"/>
      <c r="M492" s="212"/>
      <c r="N492" s="605"/>
      <c r="O492" s="212"/>
      <c r="P492" s="341"/>
      <c r="Q492" s="212"/>
      <c r="R492" s="605"/>
      <c r="S492" s="225"/>
      <c r="T492" s="237"/>
    </row>
    <row r="493" spans="1:20" ht="30" hidden="1" customHeight="1" x14ac:dyDescent="0.3">
      <c r="A493" s="262">
        <v>2</v>
      </c>
      <c r="C493" s="244"/>
      <c r="D493" s="161"/>
      <c r="E493" s="969"/>
      <c r="F493" s="970"/>
      <c r="G493" s="971"/>
      <c r="H493" s="161"/>
      <c r="I493" s="605"/>
      <c r="J493" s="605"/>
      <c r="K493" s="212"/>
      <c r="L493" s="341"/>
      <c r="M493" s="212"/>
      <c r="N493" s="605"/>
      <c r="O493" s="212"/>
      <c r="P493" s="341"/>
      <c r="Q493" s="212"/>
      <c r="R493" s="605"/>
      <c r="S493" s="225"/>
      <c r="T493" s="237"/>
    </row>
    <row r="494" spans="1:20" ht="30" hidden="1" customHeight="1" x14ac:dyDescent="0.3">
      <c r="A494" s="262">
        <v>2</v>
      </c>
      <c r="C494" s="244"/>
      <c r="D494" s="161"/>
      <c r="E494" s="969"/>
      <c r="F494" s="970"/>
      <c r="G494" s="971"/>
      <c r="H494" s="658"/>
      <c r="I494" s="605"/>
      <c r="J494" s="605"/>
      <c r="K494" s="212"/>
      <c r="L494" s="341"/>
      <c r="M494" s="302"/>
      <c r="N494" s="605"/>
      <c r="O494" s="212"/>
      <c r="P494" s="341"/>
      <c r="Q494" s="302"/>
      <c r="R494" s="605"/>
      <c r="S494" s="225"/>
      <c r="T494" s="237"/>
    </row>
    <row r="495" spans="1:20" ht="40.049999999999997" hidden="1" customHeight="1" x14ac:dyDescent="0.3">
      <c r="A495" s="262" t="s">
        <v>1242</v>
      </c>
      <c r="C495" s="258"/>
      <c r="D495" s="258"/>
      <c r="E495" s="972" t="s">
        <v>33</v>
      </c>
      <c r="F495" s="972"/>
      <c r="G495" s="972"/>
      <c r="H495" s="973" t="s">
        <v>29</v>
      </c>
      <c r="I495" s="973"/>
      <c r="J495" s="973"/>
      <c r="K495" s="973"/>
      <c r="L495" s="973"/>
      <c r="M495" s="549"/>
      <c r="N495" s="973" t="s">
        <v>22</v>
      </c>
      <c r="O495" s="973"/>
      <c r="P495" s="973"/>
      <c r="Q495" s="973"/>
      <c r="R495" s="973"/>
      <c r="S495" s="973"/>
      <c r="T495" s="973"/>
    </row>
    <row r="496" spans="1:20" ht="19.95" hidden="1" customHeight="1" x14ac:dyDescent="0.3">
      <c r="A496" s="262" t="s">
        <v>1242</v>
      </c>
      <c r="D496" s="28"/>
      <c r="E496" s="974" t="s">
        <v>1214</v>
      </c>
      <c r="F496" s="974"/>
      <c r="G496" s="974"/>
      <c r="H496" s="975" t="s">
        <v>38</v>
      </c>
      <c r="I496" s="975"/>
      <c r="J496" s="975"/>
      <c r="K496" s="975"/>
      <c r="L496" s="975"/>
      <c r="M496" s="562"/>
      <c r="N496" s="975" t="s">
        <v>1437</v>
      </c>
      <c r="O496" s="975"/>
      <c r="P496" s="975"/>
      <c r="Q496" s="975"/>
      <c r="R496" s="975"/>
      <c r="S496" s="975"/>
      <c r="T496" s="975"/>
    </row>
    <row r="497" spans="1:20" ht="19.95" hidden="1" customHeight="1" x14ac:dyDescent="0.3">
      <c r="A497" s="262" t="s">
        <v>1242</v>
      </c>
      <c r="C497" s="228"/>
      <c r="D497" s="228"/>
      <c r="E497" s="561"/>
      <c r="F497" s="561"/>
      <c r="G497" s="561"/>
      <c r="H497" s="228"/>
      <c r="I497" s="260"/>
      <c r="J497" s="260"/>
      <c r="K497" s="260"/>
      <c r="L497" s="260"/>
      <c r="M497" s="260"/>
      <c r="N497" s="975"/>
      <c r="O497" s="975"/>
      <c r="P497" s="975"/>
      <c r="Q497" s="975"/>
      <c r="R497" s="975"/>
      <c r="S497" s="975"/>
      <c r="T497" s="975"/>
    </row>
    <row r="498" spans="1:20" ht="19.95" hidden="1" customHeight="1" x14ac:dyDescent="0.3">
      <c r="A498" s="262" t="s">
        <v>1242</v>
      </c>
      <c r="C498" s="228"/>
      <c r="D498" s="228"/>
      <c r="E498" s="561"/>
      <c r="F498" s="561"/>
      <c r="G498" s="561"/>
      <c r="H498" s="228"/>
      <c r="I498" s="260"/>
      <c r="J498" s="260"/>
      <c r="K498" s="260"/>
      <c r="L498" s="260"/>
      <c r="M498" s="260"/>
      <c r="N498" s="975"/>
      <c r="O498" s="975"/>
      <c r="P498" s="975"/>
      <c r="Q498" s="975"/>
      <c r="R498" s="975"/>
      <c r="S498" s="975"/>
      <c r="T498" s="975"/>
    </row>
    <row r="499" spans="1:20" ht="19.95" hidden="1" customHeight="1" x14ac:dyDescent="0.3">
      <c r="A499" s="262" t="s">
        <v>1242</v>
      </c>
      <c r="C499" s="228"/>
      <c r="D499" s="228"/>
      <c r="E499" s="561"/>
      <c r="F499" s="561"/>
      <c r="G499" s="561"/>
      <c r="H499" s="261"/>
      <c r="I499" s="261"/>
      <c r="J499" s="261"/>
      <c r="K499" s="261"/>
      <c r="L499" s="261"/>
      <c r="M499" s="261"/>
      <c r="N499" s="260"/>
      <c r="O499" s="260"/>
      <c r="P499" s="260"/>
      <c r="Q499" s="260"/>
      <c r="R499" s="260"/>
      <c r="S499" s="260"/>
      <c r="T499" s="260"/>
    </row>
    <row r="500" spans="1:20" ht="19.95" hidden="1" customHeight="1" x14ac:dyDescent="0.3">
      <c r="A500" s="262" t="s">
        <v>1242</v>
      </c>
      <c r="C500" s="228"/>
      <c r="D500" s="228"/>
      <c r="E500" s="561"/>
      <c r="F500" s="561"/>
      <c r="G500" s="561"/>
      <c r="H500" s="975" t="s">
        <v>32</v>
      </c>
      <c r="I500" s="975"/>
      <c r="J500" s="562"/>
      <c r="K500" s="975" t="s">
        <v>1407</v>
      </c>
      <c r="L500" s="975"/>
      <c r="M500" s="562"/>
      <c r="N500" s="968" t="s">
        <v>28</v>
      </c>
      <c r="O500" s="968"/>
      <c r="P500" s="968"/>
      <c r="Q500" s="968"/>
      <c r="R500" s="968"/>
      <c r="S500" s="968"/>
      <c r="T500" s="968"/>
    </row>
    <row r="501" spans="1:20" ht="19.95" hidden="1" customHeight="1" x14ac:dyDescent="0.3">
      <c r="A501" s="262" t="s">
        <v>1242</v>
      </c>
      <c r="C501" s="228"/>
      <c r="D501" s="228"/>
      <c r="E501" s="561"/>
      <c r="F501" s="561"/>
      <c r="G501" s="561"/>
      <c r="H501" s="976" t="s">
        <v>94</v>
      </c>
      <c r="I501" s="976"/>
      <c r="J501" s="623"/>
      <c r="K501" s="976" t="s">
        <v>94</v>
      </c>
      <c r="L501" s="976"/>
      <c r="M501" s="623"/>
      <c r="N501" s="968" t="s">
        <v>1486</v>
      </c>
      <c r="O501" s="968"/>
      <c r="P501" s="968"/>
      <c r="Q501" s="968"/>
      <c r="R501" s="968"/>
      <c r="S501" s="968"/>
      <c r="T501" s="968"/>
    </row>
    <row r="502" spans="1:20" ht="19.95" hidden="1" customHeight="1" x14ac:dyDescent="0.3">
      <c r="A502" s="262" t="s">
        <v>1242</v>
      </c>
      <c r="C502" s="228"/>
      <c r="D502" s="228"/>
      <c r="E502" s="561"/>
      <c r="F502" s="561"/>
      <c r="G502" s="561"/>
      <c r="H502" s="976"/>
      <c r="I502" s="976"/>
      <c r="J502" s="623"/>
      <c r="K502" s="976"/>
      <c r="L502" s="976"/>
      <c r="M502" s="623"/>
      <c r="N502" s="968"/>
      <c r="O502" s="968"/>
      <c r="P502" s="968"/>
      <c r="Q502" s="968"/>
      <c r="R502" s="968"/>
      <c r="S502" s="968"/>
      <c r="T502" s="968"/>
    </row>
    <row r="503" spans="1:20" ht="19.95" hidden="1" customHeight="1" x14ac:dyDescent="0.3">
      <c r="A503" s="262" t="s">
        <v>1242</v>
      </c>
      <c r="C503" s="228"/>
      <c r="D503" s="228"/>
      <c r="E503" s="561"/>
      <c r="F503" s="561"/>
      <c r="G503" s="561"/>
      <c r="H503" s="228"/>
      <c r="I503" s="260"/>
      <c r="J503" s="260"/>
      <c r="K503" s="260"/>
      <c r="L503" s="260"/>
      <c r="M503" s="260"/>
      <c r="N503" s="260"/>
      <c r="O503" s="260"/>
      <c r="P503" s="260"/>
      <c r="Q503" s="260"/>
      <c r="R503" s="260"/>
      <c r="S503" s="624"/>
      <c r="T503" s="260"/>
    </row>
    <row r="504" spans="1:20" ht="19.95" hidden="1" customHeight="1" x14ac:dyDescent="0.3">
      <c r="A504" s="262" t="s">
        <v>1242</v>
      </c>
      <c r="C504" s="228"/>
      <c r="D504" s="228"/>
      <c r="E504" s="975" t="s">
        <v>1215</v>
      </c>
      <c r="F504" s="975"/>
      <c r="G504" s="975"/>
      <c r="H504" s="975" t="s">
        <v>1348</v>
      </c>
      <c r="I504" s="975"/>
      <c r="J504" s="975"/>
      <c r="K504" s="975"/>
      <c r="L504" s="975"/>
      <c r="M504" s="562"/>
      <c r="N504" s="977" t="s">
        <v>1219</v>
      </c>
      <c r="O504" s="968"/>
      <c r="P504" s="968"/>
      <c r="Q504" s="968"/>
      <c r="R504" s="968"/>
      <c r="S504" s="968"/>
      <c r="T504" s="968"/>
    </row>
    <row r="505" spans="1:20" ht="19.95" hidden="1" customHeight="1" x14ac:dyDescent="0.3">
      <c r="A505" s="262" t="s">
        <v>1290</v>
      </c>
      <c r="C505" s="228"/>
      <c r="D505" s="228"/>
      <c r="E505" s="975"/>
      <c r="F505" s="975"/>
      <c r="G505" s="975"/>
      <c r="H505" s="975"/>
      <c r="I505" s="975"/>
      <c r="J505" s="975"/>
      <c r="K505" s="975"/>
      <c r="L505" s="975"/>
      <c r="M505" s="562"/>
      <c r="N505" s="968"/>
      <c r="O505" s="968"/>
      <c r="P505" s="968"/>
      <c r="Q505" s="968"/>
      <c r="R505" s="968"/>
      <c r="S505" s="968"/>
      <c r="T505" s="968"/>
    </row>
    <row r="506" spans="1:20" ht="30" hidden="1" customHeight="1" x14ac:dyDescent="0.3">
      <c r="A506" s="262" t="s">
        <v>1240</v>
      </c>
      <c r="C506" s="625"/>
      <c r="D506" s="626" t="s">
        <v>1230</v>
      </c>
      <c r="E506" s="627"/>
      <c r="F506" s="627"/>
      <c r="G506" s="627"/>
      <c r="H506" s="627"/>
      <c r="I506" s="628"/>
      <c r="J506" s="628"/>
      <c r="K506" s="628"/>
      <c r="L506" s="644">
        <f>+SUMIFS(L:L,A:A,"3")</f>
        <v>3338487540</v>
      </c>
      <c r="M506" s="629"/>
      <c r="N506" s="648"/>
      <c r="O506" s="628"/>
      <c r="P506" s="628"/>
      <c r="Q506" s="611"/>
      <c r="R506" s="651">
        <f>+SUMIFS(R:R,A:A,"3")</f>
        <v>0</v>
      </c>
      <c r="S506" s="630">
        <f>+SUMIFS(S:S,A:A,"3")</f>
        <v>0</v>
      </c>
      <c r="T506" s="631">
        <f>+SUMIFS(T:T,A:A,"3")</f>
        <v>0</v>
      </c>
    </row>
    <row r="507" spans="1:20" ht="30" hidden="1" customHeight="1" x14ac:dyDescent="0.3">
      <c r="A507" s="262">
        <v>3</v>
      </c>
      <c r="C507" s="244">
        <v>261</v>
      </c>
      <c r="D507" s="213" t="s">
        <v>741</v>
      </c>
      <c r="E507" s="969" t="s">
        <v>742</v>
      </c>
      <c r="F507" s="970"/>
      <c r="G507" s="971"/>
      <c r="H507" s="544" t="s">
        <v>743</v>
      </c>
      <c r="I507" s="212">
        <v>283693978</v>
      </c>
      <c r="J507" s="605"/>
      <c r="K507" s="212">
        <v>1</v>
      </c>
      <c r="L507" s="212">
        <f t="shared" ref="L507:L515" si="59">+ROUND(I507*K507,2)</f>
        <v>283693978</v>
      </c>
      <c r="M507" s="602"/>
      <c r="N507" s="675">
        <f>+'Yeşil Defter'!K489</f>
        <v>0</v>
      </c>
      <c r="O507" s="675">
        <f>+'Yeşil Defter'!L489</f>
        <v>0</v>
      </c>
      <c r="P507" s="675">
        <f>+'Yeşil Defter'!M489</f>
        <v>0</v>
      </c>
      <c r="Q507" s="212"/>
      <c r="R507" s="605">
        <f t="shared" ref="R507:R515" si="60">+ROUND(K507*N507,2)</f>
        <v>0</v>
      </c>
      <c r="S507" s="225">
        <f t="shared" ref="S507:S515" si="61">+T507-R507</f>
        <v>0</v>
      </c>
      <c r="T507" s="237">
        <f t="shared" ref="T507:T515" si="62">+ROUND(K507*P507,2)</f>
        <v>0</v>
      </c>
    </row>
    <row r="508" spans="1:20" ht="30" hidden="1" customHeight="1" x14ac:dyDescent="0.3">
      <c r="A508" s="262">
        <v>3</v>
      </c>
      <c r="C508" s="244">
        <v>262</v>
      </c>
      <c r="D508" s="213" t="s">
        <v>744</v>
      </c>
      <c r="E508" s="969" t="s">
        <v>745</v>
      </c>
      <c r="F508" s="970"/>
      <c r="G508" s="971"/>
      <c r="H508" s="544" t="s">
        <v>286</v>
      </c>
      <c r="I508" s="212">
        <v>143604252</v>
      </c>
      <c r="J508" s="605"/>
      <c r="K508" s="212">
        <v>1</v>
      </c>
      <c r="L508" s="212">
        <f t="shared" si="59"/>
        <v>143604252</v>
      </c>
      <c r="M508" s="602"/>
      <c r="N508" s="675">
        <f>+'Yeşil Defter'!K490</f>
        <v>0</v>
      </c>
      <c r="O508" s="675">
        <f>+'Yeşil Defter'!L490</f>
        <v>0</v>
      </c>
      <c r="P508" s="675">
        <f>+'Yeşil Defter'!M490</f>
        <v>0</v>
      </c>
      <c r="Q508" s="212"/>
      <c r="R508" s="605">
        <f t="shared" si="60"/>
        <v>0</v>
      </c>
      <c r="S508" s="225">
        <f t="shared" si="61"/>
        <v>0</v>
      </c>
      <c r="T508" s="237">
        <f t="shared" si="62"/>
        <v>0</v>
      </c>
    </row>
    <row r="509" spans="1:20" ht="30" hidden="1" customHeight="1" x14ac:dyDescent="0.3">
      <c r="A509" s="262">
        <v>3</v>
      </c>
      <c r="C509" s="244">
        <v>263</v>
      </c>
      <c r="D509" s="213" t="s">
        <v>746</v>
      </c>
      <c r="E509" s="969" t="s">
        <v>747</v>
      </c>
      <c r="F509" s="970"/>
      <c r="G509" s="971"/>
      <c r="H509" s="544" t="s">
        <v>286</v>
      </c>
      <c r="I509" s="212">
        <v>95736168</v>
      </c>
      <c r="J509" s="605"/>
      <c r="K509" s="212">
        <v>1</v>
      </c>
      <c r="L509" s="212">
        <f t="shared" si="59"/>
        <v>95736168</v>
      </c>
      <c r="M509" s="602"/>
      <c r="N509" s="675">
        <f>+'Yeşil Defter'!K491</f>
        <v>0</v>
      </c>
      <c r="O509" s="675">
        <f>+'Yeşil Defter'!L491</f>
        <v>0</v>
      </c>
      <c r="P509" s="675">
        <f>+'Yeşil Defter'!M491</f>
        <v>0</v>
      </c>
      <c r="Q509" s="212"/>
      <c r="R509" s="605">
        <f t="shared" si="60"/>
        <v>0</v>
      </c>
      <c r="S509" s="225">
        <f t="shared" si="61"/>
        <v>0</v>
      </c>
      <c r="T509" s="237">
        <f t="shared" si="62"/>
        <v>0</v>
      </c>
    </row>
    <row r="510" spans="1:20" ht="30" hidden="1" customHeight="1" x14ac:dyDescent="0.3">
      <c r="A510" s="262">
        <v>3</v>
      </c>
      <c r="C510" s="244">
        <v>264</v>
      </c>
      <c r="D510" s="161" t="s">
        <v>748</v>
      </c>
      <c r="E510" s="969" t="s">
        <v>749</v>
      </c>
      <c r="F510" s="970"/>
      <c r="G510" s="971"/>
      <c r="H510" s="544" t="s">
        <v>286</v>
      </c>
      <c r="I510" s="212">
        <v>1668787435</v>
      </c>
      <c r="J510" s="605"/>
      <c r="K510" s="212">
        <v>1</v>
      </c>
      <c r="L510" s="212">
        <f t="shared" si="59"/>
        <v>1668787435</v>
      </c>
      <c r="M510" s="602"/>
      <c r="N510" s="675">
        <f>+'Yeşil Defter'!K492</f>
        <v>0</v>
      </c>
      <c r="O510" s="675">
        <f>+'Yeşil Defter'!L492</f>
        <v>0</v>
      </c>
      <c r="P510" s="675">
        <f>+'Yeşil Defter'!M492</f>
        <v>0</v>
      </c>
      <c r="Q510" s="212"/>
      <c r="R510" s="605">
        <f t="shared" si="60"/>
        <v>0</v>
      </c>
      <c r="S510" s="225">
        <f t="shared" si="61"/>
        <v>0</v>
      </c>
      <c r="T510" s="237">
        <f t="shared" si="62"/>
        <v>0</v>
      </c>
    </row>
    <row r="511" spans="1:20" ht="30" hidden="1" customHeight="1" x14ac:dyDescent="0.3">
      <c r="A511" s="262">
        <v>3</v>
      </c>
      <c r="C511" s="244">
        <v>265</v>
      </c>
      <c r="D511" s="161" t="s">
        <v>750</v>
      </c>
      <c r="E511" s="969" t="s">
        <v>751</v>
      </c>
      <c r="F511" s="970"/>
      <c r="G511" s="971"/>
      <c r="H511" s="544" t="s">
        <v>286</v>
      </c>
      <c r="I511" s="212">
        <v>450401959</v>
      </c>
      <c r="J511" s="605"/>
      <c r="K511" s="212">
        <v>1</v>
      </c>
      <c r="L511" s="212">
        <f t="shared" si="59"/>
        <v>450401959</v>
      </c>
      <c r="M511" s="602"/>
      <c r="N511" s="675">
        <f>+'Yeşil Defter'!K493</f>
        <v>0</v>
      </c>
      <c r="O511" s="675">
        <f>+'Yeşil Defter'!L493</f>
        <v>0</v>
      </c>
      <c r="P511" s="675">
        <f>+'Yeşil Defter'!M493</f>
        <v>0</v>
      </c>
      <c r="Q511" s="212"/>
      <c r="R511" s="605">
        <f t="shared" si="60"/>
        <v>0</v>
      </c>
      <c r="S511" s="225">
        <f t="shared" si="61"/>
        <v>0</v>
      </c>
      <c r="T511" s="237">
        <f t="shared" si="62"/>
        <v>0</v>
      </c>
    </row>
    <row r="512" spans="1:20" ht="30" hidden="1" customHeight="1" x14ac:dyDescent="0.3">
      <c r="A512" s="262">
        <v>3</v>
      </c>
      <c r="C512" s="244">
        <v>266</v>
      </c>
      <c r="D512" s="161" t="s">
        <v>752</v>
      </c>
      <c r="E512" s="969" t="s">
        <v>753</v>
      </c>
      <c r="F512" s="970"/>
      <c r="G512" s="971"/>
      <c r="H512" s="544" t="s">
        <v>247</v>
      </c>
      <c r="I512" s="212">
        <v>99900</v>
      </c>
      <c r="J512" s="605"/>
      <c r="K512" s="212">
        <v>29</v>
      </c>
      <c r="L512" s="212">
        <f t="shared" si="59"/>
        <v>2897100</v>
      </c>
      <c r="M512" s="602"/>
      <c r="N512" s="675">
        <f>+'Yeşil Defter'!K494</f>
        <v>0</v>
      </c>
      <c r="O512" s="675">
        <f>+'Yeşil Defter'!L494</f>
        <v>0</v>
      </c>
      <c r="P512" s="675">
        <f>+'Yeşil Defter'!M494</f>
        <v>0</v>
      </c>
      <c r="Q512" s="212"/>
      <c r="R512" s="605">
        <f t="shared" si="60"/>
        <v>0</v>
      </c>
      <c r="S512" s="225">
        <f t="shared" si="61"/>
        <v>0</v>
      </c>
      <c r="T512" s="237">
        <f t="shared" si="62"/>
        <v>0</v>
      </c>
    </row>
    <row r="513" spans="1:20" ht="30" hidden="1" customHeight="1" x14ac:dyDescent="0.3">
      <c r="A513" s="262">
        <v>3</v>
      </c>
      <c r="C513" s="244">
        <v>267</v>
      </c>
      <c r="D513" s="161" t="s">
        <v>754</v>
      </c>
      <c r="E513" s="969" t="s">
        <v>755</v>
      </c>
      <c r="F513" s="970"/>
      <c r="G513" s="971"/>
      <c r="H513" s="544" t="s">
        <v>247</v>
      </c>
      <c r="I513" s="212">
        <v>111000</v>
      </c>
      <c r="J513" s="605"/>
      <c r="K513" s="212">
        <v>29</v>
      </c>
      <c r="L513" s="212">
        <f t="shared" si="59"/>
        <v>3219000</v>
      </c>
      <c r="M513" s="602"/>
      <c r="N513" s="675">
        <f>+'Yeşil Defter'!K495</f>
        <v>0</v>
      </c>
      <c r="O513" s="675">
        <f>+'Yeşil Defter'!L495</f>
        <v>0</v>
      </c>
      <c r="P513" s="675">
        <f>+'Yeşil Defter'!M495</f>
        <v>0</v>
      </c>
      <c r="Q513" s="212"/>
      <c r="R513" s="605">
        <f t="shared" si="60"/>
        <v>0</v>
      </c>
      <c r="S513" s="225">
        <f t="shared" si="61"/>
        <v>0</v>
      </c>
      <c r="T513" s="237">
        <f t="shared" si="62"/>
        <v>0</v>
      </c>
    </row>
    <row r="514" spans="1:20" ht="30" hidden="1" customHeight="1" x14ac:dyDescent="0.3">
      <c r="A514" s="262">
        <v>3</v>
      </c>
      <c r="C514" s="244">
        <v>268</v>
      </c>
      <c r="D514" s="161" t="s">
        <v>756</v>
      </c>
      <c r="E514" s="969" t="s">
        <v>757</v>
      </c>
      <c r="F514" s="970"/>
      <c r="G514" s="971"/>
      <c r="H514" s="544" t="s">
        <v>247</v>
      </c>
      <c r="I514" s="212">
        <v>3496500</v>
      </c>
      <c r="J514" s="605"/>
      <c r="K514" s="212">
        <v>13</v>
      </c>
      <c r="L514" s="212">
        <f t="shared" si="59"/>
        <v>45454500</v>
      </c>
      <c r="M514" s="602"/>
      <c r="N514" s="675">
        <f>+'Yeşil Defter'!K496</f>
        <v>0</v>
      </c>
      <c r="O514" s="675">
        <f>+'Yeşil Defter'!L496</f>
        <v>0</v>
      </c>
      <c r="P514" s="675">
        <f>+'Yeşil Defter'!M496</f>
        <v>0</v>
      </c>
      <c r="Q514" s="212"/>
      <c r="R514" s="605">
        <f t="shared" si="60"/>
        <v>0</v>
      </c>
      <c r="S514" s="225">
        <f t="shared" si="61"/>
        <v>0</v>
      </c>
      <c r="T514" s="237">
        <f t="shared" si="62"/>
        <v>0</v>
      </c>
    </row>
    <row r="515" spans="1:20" ht="30" hidden="1" customHeight="1" x14ac:dyDescent="0.3">
      <c r="A515" s="262">
        <v>3</v>
      </c>
      <c r="C515" s="244">
        <v>269</v>
      </c>
      <c r="D515" s="213" t="s">
        <v>758</v>
      </c>
      <c r="E515" s="969" t="s">
        <v>759</v>
      </c>
      <c r="F515" s="970"/>
      <c r="G515" s="971"/>
      <c r="H515" s="544" t="s">
        <v>286</v>
      </c>
      <c r="I515" s="212">
        <v>14652117</v>
      </c>
      <c r="J515" s="605"/>
      <c r="K515" s="212">
        <v>44</v>
      </c>
      <c r="L515" s="212">
        <f t="shared" si="59"/>
        <v>644693148</v>
      </c>
      <c r="M515" s="602"/>
      <c r="N515" s="675">
        <f>+'Yeşil Defter'!K497</f>
        <v>0</v>
      </c>
      <c r="O515" s="675">
        <f>+'Yeşil Defter'!L497</f>
        <v>0</v>
      </c>
      <c r="P515" s="675">
        <f>+'Yeşil Defter'!M497</f>
        <v>0</v>
      </c>
      <c r="Q515" s="212"/>
      <c r="R515" s="605">
        <f t="shared" si="60"/>
        <v>0</v>
      </c>
      <c r="S515" s="225">
        <f t="shared" si="61"/>
        <v>0</v>
      </c>
      <c r="T515" s="237">
        <f t="shared" si="62"/>
        <v>0</v>
      </c>
    </row>
    <row r="516" spans="1:20" ht="30" hidden="1" customHeight="1" x14ac:dyDescent="0.3">
      <c r="A516" s="262">
        <v>3</v>
      </c>
      <c r="C516" s="244"/>
      <c r="D516" s="213"/>
      <c r="E516" s="969"/>
      <c r="F516" s="970"/>
      <c r="G516" s="971"/>
      <c r="H516" s="161"/>
      <c r="I516" s="605"/>
      <c r="J516" s="605"/>
      <c r="K516" s="212"/>
      <c r="L516" s="341"/>
      <c r="M516" s="212"/>
      <c r="N516" s="605"/>
      <c r="O516" s="212"/>
      <c r="P516" s="341"/>
      <c r="Q516" s="212"/>
      <c r="R516" s="605"/>
      <c r="S516" s="225"/>
      <c r="T516" s="237"/>
    </row>
    <row r="517" spans="1:20" ht="30" hidden="1" customHeight="1" x14ac:dyDescent="0.3">
      <c r="A517" s="262">
        <v>3</v>
      </c>
      <c r="C517" s="244"/>
      <c r="D517" s="213"/>
      <c r="E517" s="969"/>
      <c r="F517" s="970"/>
      <c r="G517" s="971"/>
      <c r="H517" s="161"/>
      <c r="I517" s="605"/>
      <c r="J517" s="605"/>
      <c r="K517" s="212"/>
      <c r="L517" s="341"/>
      <c r="M517" s="212"/>
      <c r="N517" s="605"/>
      <c r="O517" s="212"/>
      <c r="P517" s="341"/>
      <c r="Q517" s="212"/>
      <c r="R517" s="605"/>
      <c r="S517" s="225"/>
      <c r="T517" s="237"/>
    </row>
    <row r="518" spans="1:20" ht="30" hidden="1" customHeight="1" x14ac:dyDescent="0.3">
      <c r="A518" s="262">
        <v>3</v>
      </c>
      <c r="C518" s="244"/>
      <c r="D518" s="213"/>
      <c r="E518" s="969"/>
      <c r="F518" s="970"/>
      <c r="G518" s="971"/>
      <c r="H518" s="161"/>
      <c r="I518" s="605"/>
      <c r="J518" s="605"/>
      <c r="K518" s="212"/>
      <c r="L518" s="341"/>
      <c r="M518" s="212"/>
      <c r="N518" s="605"/>
      <c r="O518" s="212"/>
      <c r="P518" s="341"/>
      <c r="Q518" s="212"/>
      <c r="R518" s="605"/>
      <c r="S518" s="225"/>
      <c r="T518" s="237"/>
    </row>
    <row r="519" spans="1:20" ht="30" hidden="1" customHeight="1" x14ac:dyDescent="0.3">
      <c r="A519" s="262">
        <v>3</v>
      </c>
      <c r="C519" s="244"/>
      <c r="D519" s="213"/>
      <c r="E519" s="969"/>
      <c r="F519" s="970"/>
      <c r="G519" s="971"/>
      <c r="H519" s="161"/>
      <c r="I519" s="605"/>
      <c r="J519" s="605"/>
      <c r="K519" s="212"/>
      <c r="L519" s="341"/>
      <c r="M519" s="212"/>
      <c r="N519" s="605"/>
      <c r="O519" s="212"/>
      <c r="P519" s="341"/>
      <c r="Q519" s="212"/>
      <c r="R519" s="605"/>
      <c r="S519" s="225"/>
      <c r="T519" s="237"/>
    </row>
    <row r="520" spans="1:20" ht="30" hidden="1" customHeight="1" x14ac:dyDescent="0.3">
      <c r="A520" s="262">
        <v>3</v>
      </c>
      <c r="C520" s="244"/>
      <c r="D520" s="213"/>
      <c r="E520" s="969"/>
      <c r="F520" s="970"/>
      <c r="G520" s="971"/>
      <c r="H520" s="161"/>
      <c r="I520" s="605"/>
      <c r="J520" s="605"/>
      <c r="K520" s="212"/>
      <c r="L520" s="341"/>
      <c r="M520" s="212"/>
      <c r="N520" s="605"/>
      <c r="O520" s="212"/>
      <c r="P520" s="341"/>
      <c r="Q520" s="212"/>
      <c r="R520" s="605"/>
      <c r="S520" s="225"/>
      <c r="T520" s="237"/>
    </row>
    <row r="521" spans="1:20" ht="30" hidden="1" customHeight="1" x14ac:dyDescent="0.3">
      <c r="A521" s="262">
        <v>3</v>
      </c>
      <c r="C521" s="244"/>
      <c r="D521" s="213"/>
      <c r="E521" s="969"/>
      <c r="F521" s="970"/>
      <c r="G521" s="971"/>
      <c r="H521" s="161"/>
      <c r="I521" s="605"/>
      <c r="J521" s="605"/>
      <c r="K521" s="212"/>
      <c r="L521" s="341"/>
      <c r="M521" s="212"/>
      <c r="N521" s="605"/>
      <c r="O521" s="212"/>
      <c r="P521" s="341"/>
      <c r="Q521" s="212"/>
      <c r="R521" s="605"/>
      <c r="S521" s="225"/>
      <c r="T521" s="237"/>
    </row>
    <row r="522" spans="1:20" ht="30" hidden="1" customHeight="1" x14ac:dyDescent="0.3">
      <c r="A522" s="262">
        <v>3</v>
      </c>
      <c r="C522" s="244"/>
      <c r="D522" s="213"/>
      <c r="E522" s="969"/>
      <c r="F522" s="970"/>
      <c r="G522" s="971"/>
      <c r="H522" s="161"/>
      <c r="I522" s="605"/>
      <c r="J522" s="605"/>
      <c r="K522" s="212"/>
      <c r="L522" s="341"/>
      <c r="M522" s="212"/>
      <c r="N522" s="605"/>
      <c r="O522" s="212"/>
      <c r="P522" s="341"/>
      <c r="Q522" s="212"/>
      <c r="R522" s="605"/>
      <c r="S522" s="225"/>
      <c r="T522" s="237"/>
    </row>
    <row r="523" spans="1:20" ht="30" hidden="1" customHeight="1" x14ac:dyDescent="0.3">
      <c r="A523" s="262">
        <v>3</v>
      </c>
      <c r="C523" s="244"/>
      <c r="D523" s="213"/>
      <c r="E523" s="969"/>
      <c r="F523" s="970"/>
      <c r="G523" s="971"/>
      <c r="H523" s="161"/>
      <c r="I523" s="605"/>
      <c r="J523" s="605"/>
      <c r="K523" s="212"/>
      <c r="L523" s="341"/>
      <c r="M523" s="212"/>
      <c r="N523" s="605"/>
      <c r="O523" s="212"/>
      <c r="P523" s="341"/>
      <c r="Q523" s="212"/>
      <c r="R523" s="605"/>
      <c r="S523" s="225"/>
      <c r="T523" s="237"/>
    </row>
    <row r="524" spans="1:20" ht="30" hidden="1" customHeight="1" x14ac:dyDescent="0.3">
      <c r="A524" s="262">
        <v>3</v>
      </c>
      <c r="C524" s="244"/>
      <c r="D524" s="213"/>
      <c r="E524" s="969"/>
      <c r="F524" s="970"/>
      <c r="G524" s="971"/>
      <c r="H524" s="161"/>
      <c r="I524" s="605"/>
      <c r="J524" s="605"/>
      <c r="K524" s="212"/>
      <c r="L524" s="341"/>
      <c r="M524" s="212"/>
      <c r="N524" s="605"/>
      <c r="O524" s="212"/>
      <c r="P524" s="341"/>
      <c r="Q524" s="212"/>
      <c r="R524" s="605"/>
      <c r="S524" s="225"/>
      <c r="T524" s="237"/>
    </row>
    <row r="525" spans="1:20" ht="30" hidden="1" customHeight="1" x14ac:dyDescent="0.3">
      <c r="A525" s="262">
        <v>3</v>
      </c>
      <c r="C525" s="244"/>
      <c r="D525" s="213"/>
      <c r="E525" s="969"/>
      <c r="F525" s="970"/>
      <c r="G525" s="971"/>
      <c r="H525" s="161"/>
      <c r="I525" s="605"/>
      <c r="J525" s="605"/>
      <c r="K525" s="212"/>
      <c r="L525" s="341"/>
      <c r="M525" s="212"/>
      <c r="N525" s="605"/>
      <c r="O525" s="212"/>
      <c r="P525" s="341"/>
      <c r="Q525" s="212"/>
      <c r="R525" s="605"/>
      <c r="S525" s="225"/>
      <c r="T525" s="237"/>
    </row>
    <row r="526" spans="1:20" ht="30" hidden="1" customHeight="1" x14ac:dyDescent="0.3">
      <c r="A526" s="262">
        <v>3</v>
      </c>
      <c r="C526" s="244"/>
      <c r="D526" s="213"/>
      <c r="E526" s="969"/>
      <c r="F526" s="970"/>
      <c r="G526" s="971"/>
      <c r="H526" s="161"/>
      <c r="I526" s="605"/>
      <c r="J526" s="605"/>
      <c r="K526" s="212"/>
      <c r="L526" s="341"/>
      <c r="M526" s="212"/>
      <c r="N526" s="605"/>
      <c r="O526" s="212"/>
      <c r="P526" s="341"/>
      <c r="Q526" s="212"/>
      <c r="R526" s="605"/>
      <c r="S526" s="225"/>
      <c r="T526" s="237"/>
    </row>
    <row r="527" spans="1:20" ht="30" hidden="1" customHeight="1" x14ac:dyDescent="0.3">
      <c r="A527" s="262">
        <v>3</v>
      </c>
      <c r="C527" s="244"/>
      <c r="D527" s="213"/>
      <c r="E527" s="969"/>
      <c r="F527" s="970"/>
      <c r="G527" s="971"/>
      <c r="H527" s="161"/>
      <c r="I527" s="605"/>
      <c r="J527" s="605"/>
      <c r="K527" s="212"/>
      <c r="L527" s="341"/>
      <c r="M527" s="212"/>
      <c r="N527" s="605"/>
      <c r="O527" s="212"/>
      <c r="P527" s="341"/>
      <c r="Q527" s="212"/>
      <c r="R527" s="605"/>
      <c r="S527" s="225"/>
      <c r="T527" s="237"/>
    </row>
    <row r="528" spans="1:20" ht="30" hidden="1" customHeight="1" x14ac:dyDescent="0.3">
      <c r="A528" s="262">
        <v>3</v>
      </c>
      <c r="C528" s="244"/>
      <c r="D528" s="213"/>
      <c r="E528" s="969"/>
      <c r="F528" s="970"/>
      <c r="G528" s="971"/>
      <c r="H528" s="658"/>
      <c r="I528" s="605"/>
      <c r="J528" s="605"/>
      <c r="K528" s="212"/>
      <c r="L528" s="341"/>
      <c r="M528" s="302"/>
      <c r="N528" s="605"/>
      <c r="O528" s="212"/>
      <c r="P528" s="341"/>
      <c r="Q528" s="302"/>
      <c r="R528" s="605"/>
      <c r="S528" s="225"/>
      <c r="T528" s="237"/>
    </row>
    <row r="529" spans="1:20" ht="40.049999999999997" hidden="1" customHeight="1" x14ac:dyDescent="0.3">
      <c r="A529" s="262" t="s">
        <v>1242</v>
      </c>
      <c r="C529" s="258"/>
      <c r="D529" s="258"/>
      <c r="E529" s="972" t="s">
        <v>33</v>
      </c>
      <c r="F529" s="972"/>
      <c r="G529" s="972"/>
      <c r="H529" s="973" t="s">
        <v>29</v>
      </c>
      <c r="I529" s="973"/>
      <c r="J529" s="973"/>
      <c r="K529" s="973"/>
      <c r="L529" s="973"/>
      <c r="M529" s="549"/>
      <c r="N529" s="973" t="s">
        <v>22</v>
      </c>
      <c r="O529" s="973"/>
      <c r="P529" s="973"/>
      <c r="Q529" s="973"/>
      <c r="R529" s="973"/>
      <c r="S529" s="973"/>
      <c r="T529" s="973"/>
    </row>
    <row r="530" spans="1:20" ht="19.95" hidden="1" customHeight="1" x14ac:dyDescent="0.3">
      <c r="A530" s="262" t="s">
        <v>1242</v>
      </c>
      <c r="D530" s="28"/>
      <c r="E530" s="974" t="s">
        <v>1214</v>
      </c>
      <c r="F530" s="974"/>
      <c r="G530" s="974"/>
      <c r="H530" s="975" t="s">
        <v>38</v>
      </c>
      <c r="I530" s="975"/>
      <c r="J530" s="975"/>
      <c r="K530" s="975"/>
      <c r="L530" s="975"/>
      <c r="M530" s="562"/>
      <c r="N530" s="975" t="s">
        <v>1437</v>
      </c>
      <c r="O530" s="975"/>
      <c r="P530" s="975"/>
      <c r="Q530" s="975"/>
      <c r="R530" s="975"/>
      <c r="S530" s="975"/>
      <c r="T530" s="975"/>
    </row>
    <row r="531" spans="1:20" ht="19.95" hidden="1" customHeight="1" x14ac:dyDescent="0.3">
      <c r="A531" s="262" t="s">
        <v>1242</v>
      </c>
      <c r="C531" s="228"/>
      <c r="D531" s="228"/>
      <c r="E531" s="561"/>
      <c r="F531" s="561"/>
      <c r="G531" s="561"/>
      <c r="H531" s="228"/>
      <c r="I531" s="260"/>
      <c r="J531" s="260"/>
      <c r="K531" s="260"/>
      <c r="L531" s="260"/>
      <c r="M531" s="260"/>
      <c r="N531" s="975"/>
      <c r="O531" s="975"/>
      <c r="P531" s="975"/>
      <c r="Q531" s="975"/>
      <c r="R531" s="975"/>
      <c r="S531" s="975"/>
      <c r="T531" s="975"/>
    </row>
    <row r="532" spans="1:20" ht="19.95" hidden="1" customHeight="1" x14ac:dyDescent="0.3">
      <c r="A532" s="262" t="s">
        <v>1242</v>
      </c>
      <c r="C532" s="228"/>
      <c r="D532" s="228"/>
      <c r="E532" s="561"/>
      <c r="F532" s="561"/>
      <c r="G532" s="561"/>
      <c r="H532" s="228"/>
      <c r="I532" s="260"/>
      <c r="J532" s="260"/>
      <c r="K532" s="260"/>
      <c r="L532" s="260"/>
      <c r="M532" s="260"/>
      <c r="N532" s="975"/>
      <c r="O532" s="975"/>
      <c r="P532" s="975"/>
      <c r="Q532" s="975"/>
      <c r="R532" s="975"/>
      <c r="S532" s="975"/>
      <c r="T532" s="975"/>
    </row>
    <row r="533" spans="1:20" ht="19.95" hidden="1" customHeight="1" x14ac:dyDescent="0.3">
      <c r="A533" s="262" t="s">
        <v>1242</v>
      </c>
      <c r="C533" s="228"/>
      <c r="D533" s="228"/>
      <c r="E533" s="561"/>
      <c r="F533" s="561"/>
      <c r="G533" s="561"/>
      <c r="H533" s="261"/>
      <c r="I533" s="261"/>
      <c r="J533" s="261"/>
      <c r="K533" s="261"/>
      <c r="L533" s="261"/>
      <c r="M533" s="261"/>
      <c r="N533" s="260"/>
      <c r="O533" s="260"/>
      <c r="P533" s="260"/>
      <c r="Q533" s="260"/>
      <c r="R533" s="260"/>
      <c r="S533" s="260"/>
      <c r="T533" s="260"/>
    </row>
    <row r="534" spans="1:20" ht="19.95" hidden="1" customHeight="1" x14ac:dyDescent="0.3">
      <c r="A534" s="262" t="s">
        <v>1242</v>
      </c>
      <c r="C534" s="228"/>
      <c r="D534" s="228"/>
      <c r="E534" s="561"/>
      <c r="F534" s="561"/>
      <c r="G534" s="561"/>
      <c r="H534" s="975" t="s">
        <v>32</v>
      </c>
      <c r="I534" s="975"/>
      <c r="J534" s="562"/>
      <c r="K534" s="975" t="s">
        <v>1407</v>
      </c>
      <c r="L534" s="975"/>
      <c r="M534" s="562"/>
      <c r="N534" s="968" t="s">
        <v>28</v>
      </c>
      <c r="O534" s="968"/>
      <c r="P534" s="968"/>
      <c r="Q534" s="968"/>
      <c r="R534" s="968"/>
      <c r="S534" s="968"/>
      <c r="T534" s="968"/>
    </row>
    <row r="535" spans="1:20" ht="19.95" hidden="1" customHeight="1" x14ac:dyDescent="0.3">
      <c r="A535" s="262" t="s">
        <v>1242</v>
      </c>
      <c r="C535" s="228"/>
      <c r="D535" s="228"/>
      <c r="E535" s="561"/>
      <c r="F535" s="561"/>
      <c r="G535" s="561"/>
      <c r="H535" s="976" t="s">
        <v>94</v>
      </c>
      <c r="I535" s="976"/>
      <c r="J535" s="623"/>
      <c r="K535" s="976" t="s">
        <v>94</v>
      </c>
      <c r="L535" s="976"/>
      <c r="M535" s="623"/>
      <c r="N535" s="968" t="s">
        <v>1486</v>
      </c>
      <c r="O535" s="968"/>
      <c r="P535" s="968"/>
      <c r="Q535" s="968"/>
      <c r="R535" s="968"/>
      <c r="S535" s="968"/>
      <c r="T535" s="968"/>
    </row>
    <row r="536" spans="1:20" ht="19.95" hidden="1" customHeight="1" x14ac:dyDescent="0.3">
      <c r="A536" s="262" t="s">
        <v>1242</v>
      </c>
      <c r="C536" s="228"/>
      <c r="D536" s="228"/>
      <c r="E536" s="561"/>
      <c r="F536" s="561"/>
      <c r="G536" s="561"/>
      <c r="H536" s="976"/>
      <c r="I536" s="976"/>
      <c r="J536" s="623"/>
      <c r="K536" s="976"/>
      <c r="L536" s="976"/>
      <c r="M536" s="623"/>
      <c r="N536" s="968"/>
      <c r="O536" s="968"/>
      <c r="P536" s="968"/>
      <c r="Q536" s="968"/>
      <c r="R536" s="968"/>
      <c r="S536" s="968"/>
      <c r="T536" s="968"/>
    </row>
    <row r="537" spans="1:20" ht="19.95" hidden="1" customHeight="1" x14ac:dyDescent="0.3">
      <c r="A537" s="262" t="s">
        <v>1242</v>
      </c>
      <c r="C537" s="228"/>
      <c r="D537" s="228"/>
      <c r="E537" s="561"/>
      <c r="F537" s="561"/>
      <c r="G537" s="561"/>
      <c r="H537" s="228"/>
      <c r="I537" s="260"/>
      <c r="J537" s="260"/>
      <c r="K537" s="260"/>
      <c r="L537" s="260"/>
      <c r="M537" s="260"/>
      <c r="N537" s="260"/>
      <c r="O537" s="260"/>
      <c r="P537" s="260"/>
      <c r="Q537" s="260"/>
      <c r="R537" s="260"/>
      <c r="S537" s="624"/>
      <c r="T537" s="260"/>
    </row>
    <row r="538" spans="1:20" ht="19.95" hidden="1" customHeight="1" x14ac:dyDescent="0.3">
      <c r="A538" s="262" t="s">
        <v>1242</v>
      </c>
      <c r="C538" s="228"/>
      <c r="D538" s="228"/>
      <c r="E538" s="975" t="s">
        <v>1215</v>
      </c>
      <c r="F538" s="975"/>
      <c r="G538" s="975"/>
      <c r="H538" s="975" t="s">
        <v>1348</v>
      </c>
      <c r="I538" s="975"/>
      <c r="J538" s="975"/>
      <c r="K538" s="975"/>
      <c r="L538" s="975"/>
      <c r="M538" s="562"/>
      <c r="N538" s="977" t="s">
        <v>1219</v>
      </c>
      <c r="O538" s="968"/>
      <c r="P538" s="968"/>
      <c r="Q538" s="968"/>
      <c r="R538" s="968"/>
      <c r="S538" s="968"/>
      <c r="T538" s="968"/>
    </row>
    <row r="539" spans="1:20" ht="19.95" hidden="1" customHeight="1" x14ac:dyDescent="0.3">
      <c r="A539" s="262" t="s">
        <v>1290</v>
      </c>
      <c r="C539" s="228"/>
      <c r="D539" s="228"/>
      <c r="E539" s="975"/>
      <c r="F539" s="975"/>
      <c r="G539" s="975"/>
      <c r="H539" s="975"/>
      <c r="I539" s="975"/>
      <c r="J539" s="975"/>
      <c r="K539" s="975"/>
      <c r="L539" s="975"/>
      <c r="M539" s="562"/>
      <c r="N539" s="968"/>
      <c r="O539" s="968"/>
      <c r="P539" s="968"/>
      <c r="Q539" s="968"/>
      <c r="R539" s="968"/>
      <c r="S539" s="968"/>
      <c r="T539" s="968"/>
    </row>
    <row r="540" spans="1:20" ht="30" hidden="1" customHeight="1" x14ac:dyDescent="0.3">
      <c r="A540" s="262" t="s">
        <v>1240</v>
      </c>
      <c r="C540" s="625"/>
      <c r="D540" s="626" t="s">
        <v>1231</v>
      </c>
      <c r="E540" s="627"/>
      <c r="F540" s="627"/>
      <c r="G540" s="627"/>
      <c r="H540" s="627"/>
      <c r="I540" s="628"/>
      <c r="J540" s="628"/>
      <c r="K540" s="628"/>
      <c r="L540" s="644">
        <f>+SUMIFS(L:L,A:A,"4")</f>
        <v>419129552</v>
      </c>
      <c r="M540" s="629"/>
      <c r="N540" s="648"/>
      <c r="O540" s="628"/>
      <c r="P540" s="628"/>
      <c r="Q540" s="611"/>
      <c r="R540" s="651">
        <f>+SUMIFS(R:R,A:A,"4")</f>
        <v>0</v>
      </c>
      <c r="S540" s="630">
        <f>+SUMIFS(S:S,A:A,"4")</f>
        <v>0</v>
      </c>
      <c r="T540" s="631">
        <f>+SUMIFS(T:T,A:A,"4")</f>
        <v>0</v>
      </c>
    </row>
    <row r="541" spans="1:20" ht="30" hidden="1" customHeight="1" x14ac:dyDescent="0.3">
      <c r="A541" s="262">
        <v>4</v>
      </c>
      <c r="C541" s="244">
        <v>270</v>
      </c>
      <c r="D541" s="161" t="s">
        <v>760</v>
      </c>
      <c r="E541" s="969" t="s">
        <v>761</v>
      </c>
      <c r="F541" s="970"/>
      <c r="G541" s="971"/>
      <c r="H541" s="544" t="s">
        <v>286</v>
      </c>
      <c r="I541" s="212">
        <v>3871125</v>
      </c>
      <c r="J541" s="605"/>
      <c r="K541" s="212">
        <v>1</v>
      </c>
      <c r="L541" s="212">
        <f t="shared" ref="L541:L562" si="63">+ROUND(I541*K541,2)</f>
        <v>3871125</v>
      </c>
      <c r="M541" s="602"/>
      <c r="N541" s="675">
        <f>+'Yeşil Defter'!K526</f>
        <v>0</v>
      </c>
      <c r="O541" s="675">
        <f>+'Yeşil Defter'!L526</f>
        <v>0</v>
      </c>
      <c r="P541" s="675">
        <f>+'Yeşil Defter'!M526</f>
        <v>0</v>
      </c>
      <c r="Q541" s="212"/>
      <c r="R541" s="605">
        <f t="shared" ref="R541:R562" si="64">+ROUND(K541*N541,2)</f>
        <v>0</v>
      </c>
      <c r="S541" s="225">
        <f t="shared" ref="S541:S596" si="65">+T541-R541</f>
        <v>0</v>
      </c>
      <c r="T541" s="237">
        <f t="shared" ref="T541:T562" si="66">+ROUND(K541*P541,2)</f>
        <v>0</v>
      </c>
    </row>
    <row r="542" spans="1:20" ht="30" hidden="1" customHeight="1" x14ac:dyDescent="0.3">
      <c r="A542" s="262">
        <v>4</v>
      </c>
      <c r="C542" s="244">
        <v>271</v>
      </c>
      <c r="D542" s="161" t="s">
        <v>762</v>
      </c>
      <c r="E542" s="969" t="s">
        <v>763</v>
      </c>
      <c r="F542" s="970"/>
      <c r="G542" s="971"/>
      <c r="H542" s="544" t="s">
        <v>286</v>
      </c>
      <c r="I542" s="212">
        <v>2150625</v>
      </c>
      <c r="J542" s="605"/>
      <c r="K542" s="212">
        <v>1</v>
      </c>
      <c r="L542" s="212">
        <f t="shared" si="63"/>
        <v>2150625</v>
      </c>
      <c r="M542" s="602"/>
      <c r="N542" s="675">
        <f>+'Yeşil Defter'!K527</f>
        <v>0</v>
      </c>
      <c r="O542" s="675">
        <f>+'Yeşil Defter'!L527</f>
        <v>0</v>
      </c>
      <c r="P542" s="675">
        <f>+'Yeşil Defter'!M527</f>
        <v>0</v>
      </c>
      <c r="Q542" s="212"/>
      <c r="R542" s="605">
        <f t="shared" si="64"/>
        <v>0</v>
      </c>
      <c r="S542" s="225">
        <f t="shared" si="65"/>
        <v>0</v>
      </c>
      <c r="T542" s="237">
        <f t="shared" si="66"/>
        <v>0</v>
      </c>
    </row>
    <row r="543" spans="1:20" ht="30" hidden="1" customHeight="1" x14ac:dyDescent="0.3">
      <c r="A543" s="262">
        <v>4</v>
      </c>
      <c r="C543" s="244">
        <v>272</v>
      </c>
      <c r="D543" s="161" t="s">
        <v>764</v>
      </c>
      <c r="E543" s="969" t="s">
        <v>765</v>
      </c>
      <c r="F543" s="970"/>
      <c r="G543" s="971"/>
      <c r="H543" s="544" t="s">
        <v>286</v>
      </c>
      <c r="I543" s="212">
        <v>2368000</v>
      </c>
      <c r="J543" s="605"/>
      <c r="K543" s="212">
        <v>1</v>
      </c>
      <c r="L543" s="212">
        <f t="shared" si="63"/>
        <v>2368000</v>
      </c>
      <c r="M543" s="602"/>
      <c r="N543" s="675">
        <f>+'Yeşil Defter'!K528</f>
        <v>0</v>
      </c>
      <c r="O543" s="675">
        <f>+'Yeşil Defter'!L528</f>
        <v>0</v>
      </c>
      <c r="P543" s="675">
        <f>+'Yeşil Defter'!M528</f>
        <v>0</v>
      </c>
      <c r="Q543" s="212"/>
      <c r="R543" s="605">
        <f t="shared" si="64"/>
        <v>0</v>
      </c>
      <c r="S543" s="225">
        <f t="shared" si="65"/>
        <v>0</v>
      </c>
      <c r="T543" s="237">
        <f t="shared" si="66"/>
        <v>0</v>
      </c>
    </row>
    <row r="544" spans="1:20" ht="30" hidden="1" customHeight="1" x14ac:dyDescent="0.3">
      <c r="A544" s="262">
        <v>4</v>
      </c>
      <c r="C544" s="244">
        <v>273</v>
      </c>
      <c r="D544" s="161" t="s">
        <v>766</v>
      </c>
      <c r="E544" s="969" t="s">
        <v>767</v>
      </c>
      <c r="F544" s="970"/>
      <c r="G544" s="971"/>
      <c r="H544" s="544" t="s">
        <v>286</v>
      </c>
      <c r="I544" s="212">
        <v>2890625</v>
      </c>
      <c r="J544" s="605"/>
      <c r="K544" s="212">
        <v>1</v>
      </c>
      <c r="L544" s="212">
        <f t="shared" si="63"/>
        <v>2890625</v>
      </c>
      <c r="M544" s="602"/>
      <c r="N544" s="675">
        <f>+'Yeşil Defter'!K529</f>
        <v>0</v>
      </c>
      <c r="O544" s="675">
        <f>+'Yeşil Defter'!L529</f>
        <v>0</v>
      </c>
      <c r="P544" s="675">
        <f>+'Yeşil Defter'!M529</f>
        <v>0</v>
      </c>
      <c r="Q544" s="212"/>
      <c r="R544" s="605">
        <f t="shared" si="64"/>
        <v>0</v>
      </c>
      <c r="S544" s="225">
        <f t="shared" si="65"/>
        <v>0</v>
      </c>
      <c r="T544" s="237">
        <f t="shared" si="66"/>
        <v>0</v>
      </c>
    </row>
    <row r="545" spans="1:20" ht="30" hidden="1" customHeight="1" x14ac:dyDescent="0.3">
      <c r="A545" s="262">
        <v>4</v>
      </c>
      <c r="C545" s="244">
        <v>274</v>
      </c>
      <c r="D545" s="161" t="s">
        <v>768</v>
      </c>
      <c r="E545" s="969" t="s">
        <v>769</v>
      </c>
      <c r="F545" s="970"/>
      <c r="G545" s="971"/>
      <c r="H545" s="544" t="s">
        <v>286</v>
      </c>
      <c r="I545" s="212">
        <v>1077625</v>
      </c>
      <c r="J545" s="605"/>
      <c r="K545" s="212">
        <v>1</v>
      </c>
      <c r="L545" s="212">
        <f t="shared" si="63"/>
        <v>1077625</v>
      </c>
      <c r="M545" s="602"/>
      <c r="N545" s="675">
        <f>+'Yeşil Defter'!K530</f>
        <v>0</v>
      </c>
      <c r="O545" s="675">
        <f>+'Yeşil Defter'!L530</f>
        <v>0</v>
      </c>
      <c r="P545" s="675">
        <f>+'Yeşil Defter'!M530</f>
        <v>0</v>
      </c>
      <c r="Q545" s="212"/>
      <c r="R545" s="605">
        <f t="shared" si="64"/>
        <v>0</v>
      </c>
      <c r="S545" s="225">
        <f t="shared" si="65"/>
        <v>0</v>
      </c>
      <c r="T545" s="237">
        <f t="shared" si="66"/>
        <v>0</v>
      </c>
    </row>
    <row r="546" spans="1:20" ht="30" hidden="1" customHeight="1" x14ac:dyDescent="0.3">
      <c r="A546" s="262">
        <v>4</v>
      </c>
      <c r="C546" s="244">
        <v>275</v>
      </c>
      <c r="D546" s="161" t="s">
        <v>770</v>
      </c>
      <c r="E546" s="969" t="s">
        <v>771</v>
      </c>
      <c r="F546" s="970"/>
      <c r="G546" s="971"/>
      <c r="H546" s="544" t="s">
        <v>286</v>
      </c>
      <c r="I546" s="212">
        <v>1077625</v>
      </c>
      <c r="J546" s="605"/>
      <c r="K546" s="212">
        <v>1</v>
      </c>
      <c r="L546" s="212">
        <f t="shared" si="63"/>
        <v>1077625</v>
      </c>
      <c r="M546" s="602"/>
      <c r="N546" s="675">
        <f>+'Yeşil Defter'!K531</f>
        <v>0</v>
      </c>
      <c r="O546" s="675">
        <f>+'Yeşil Defter'!L531</f>
        <v>0</v>
      </c>
      <c r="P546" s="675">
        <f>+'Yeşil Defter'!M531</f>
        <v>0</v>
      </c>
      <c r="Q546" s="212"/>
      <c r="R546" s="605">
        <f t="shared" si="64"/>
        <v>0</v>
      </c>
      <c r="S546" s="225">
        <f t="shared" si="65"/>
        <v>0</v>
      </c>
      <c r="T546" s="237">
        <f t="shared" si="66"/>
        <v>0</v>
      </c>
    </row>
    <row r="547" spans="1:20" ht="30" hidden="1" customHeight="1" x14ac:dyDescent="0.3">
      <c r="A547" s="262">
        <v>4</v>
      </c>
      <c r="C547" s="244">
        <v>276</v>
      </c>
      <c r="D547" s="161" t="s">
        <v>772</v>
      </c>
      <c r="E547" s="969" t="s">
        <v>773</v>
      </c>
      <c r="F547" s="970"/>
      <c r="G547" s="971"/>
      <c r="H547" s="544" t="s">
        <v>286</v>
      </c>
      <c r="I547" s="212">
        <v>434750</v>
      </c>
      <c r="J547" s="605"/>
      <c r="K547" s="212">
        <v>1</v>
      </c>
      <c r="L547" s="212">
        <f t="shared" si="63"/>
        <v>434750</v>
      </c>
      <c r="M547" s="602"/>
      <c r="N547" s="675">
        <f>+'Yeşil Defter'!K532</f>
        <v>0</v>
      </c>
      <c r="O547" s="675">
        <f>+'Yeşil Defter'!L532</f>
        <v>0</v>
      </c>
      <c r="P547" s="675">
        <f>+'Yeşil Defter'!M532</f>
        <v>0</v>
      </c>
      <c r="Q547" s="212"/>
      <c r="R547" s="605">
        <f t="shared" si="64"/>
        <v>0</v>
      </c>
      <c r="S547" s="225">
        <f t="shared" si="65"/>
        <v>0</v>
      </c>
      <c r="T547" s="237">
        <f t="shared" si="66"/>
        <v>0</v>
      </c>
    </row>
    <row r="548" spans="1:20" ht="30" hidden="1" customHeight="1" x14ac:dyDescent="0.3">
      <c r="A548" s="262">
        <v>4</v>
      </c>
      <c r="C548" s="244">
        <v>277</v>
      </c>
      <c r="D548" s="161" t="s">
        <v>774</v>
      </c>
      <c r="E548" s="969" t="s">
        <v>775</v>
      </c>
      <c r="F548" s="970"/>
      <c r="G548" s="971"/>
      <c r="H548" s="544" t="s">
        <v>286</v>
      </c>
      <c r="I548" s="212">
        <v>1077625</v>
      </c>
      <c r="J548" s="605"/>
      <c r="K548" s="212">
        <v>1</v>
      </c>
      <c r="L548" s="212">
        <f t="shared" si="63"/>
        <v>1077625</v>
      </c>
      <c r="M548" s="602"/>
      <c r="N548" s="675">
        <f>+'Yeşil Defter'!K533</f>
        <v>0</v>
      </c>
      <c r="O548" s="675">
        <f>+'Yeşil Defter'!L533</f>
        <v>0</v>
      </c>
      <c r="P548" s="675">
        <f>+'Yeşil Defter'!M533</f>
        <v>0</v>
      </c>
      <c r="Q548" s="212"/>
      <c r="R548" s="605">
        <f t="shared" si="64"/>
        <v>0</v>
      </c>
      <c r="S548" s="225">
        <f t="shared" si="65"/>
        <v>0</v>
      </c>
      <c r="T548" s="237">
        <f t="shared" si="66"/>
        <v>0</v>
      </c>
    </row>
    <row r="549" spans="1:20" ht="30" hidden="1" customHeight="1" x14ac:dyDescent="0.3">
      <c r="A549" s="262">
        <v>4</v>
      </c>
      <c r="C549" s="244">
        <v>278</v>
      </c>
      <c r="D549" s="161" t="s">
        <v>776</v>
      </c>
      <c r="E549" s="969" t="s">
        <v>777</v>
      </c>
      <c r="F549" s="970"/>
      <c r="G549" s="971"/>
      <c r="H549" s="544" t="s">
        <v>286</v>
      </c>
      <c r="I549" s="212">
        <v>864875</v>
      </c>
      <c r="J549" s="605"/>
      <c r="K549" s="212">
        <v>1</v>
      </c>
      <c r="L549" s="212">
        <f t="shared" si="63"/>
        <v>864875</v>
      </c>
      <c r="M549" s="602"/>
      <c r="N549" s="675">
        <f>+'Yeşil Defter'!K534</f>
        <v>0</v>
      </c>
      <c r="O549" s="675">
        <f>+'Yeşil Defter'!L534</f>
        <v>0</v>
      </c>
      <c r="P549" s="675">
        <f>+'Yeşil Defter'!M534</f>
        <v>0</v>
      </c>
      <c r="Q549" s="212"/>
      <c r="R549" s="605">
        <f t="shared" si="64"/>
        <v>0</v>
      </c>
      <c r="S549" s="225">
        <f t="shared" si="65"/>
        <v>0</v>
      </c>
      <c r="T549" s="237">
        <f t="shared" si="66"/>
        <v>0</v>
      </c>
    </row>
    <row r="550" spans="1:20" ht="30" hidden="1" customHeight="1" x14ac:dyDescent="0.3">
      <c r="A550" s="262">
        <v>4</v>
      </c>
      <c r="C550" s="244">
        <v>279</v>
      </c>
      <c r="D550" s="161" t="s">
        <v>778</v>
      </c>
      <c r="E550" s="969" t="s">
        <v>779</v>
      </c>
      <c r="F550" s="970"/>
      <c r="G550" s="971"/>
      <c r="H550" s="544" t="s">
        <v>286</v>
      </c>
      <c r="I550" s="212">
        <v>864875</v>
      </c>
      <c r="J550" s="605"/>
      <c r="K550" s="212">
        <v>1</v>
      </c>
      <c r="L550" s="212">
        <f t="shared" si="63"/>
        <v>864875</v>
      </c>
      <c r="M550" s="602"/>
      <c r="N550" s="675">
        <f>+'Yeşil Defter'!K535</f>
        <v>0</v>
      </c>
      <c r="O550" s="675">
        <f>+'Yeşil Defter'!L535</f>
        <v>0</v>
      </c>
      <c r="P550" s="675">
        <f>+'Yeşil Defter'!M535</f>
        <v>0</v>
      </c>
      <c r="Q550" s="212"/>
      <c r="R550" s="605">
        <f t="shared" si="64"/>
        <v>0</v>
      </c>
      <c r="S550" s="225">
        <f t="shared" si="65"/>
        <v>0</v>
      </c>
      <c r="T550" s="237">
        <f t="shared" si="66"/>
        <v>0</v>
      </c>
    </row>
    <row r="551" spans="1:20" ht="30" hidden="1" customHeight="1" x14ac:dyDescent="0.3">
      <c r="A551" s="262">
        <v>4</v>
      </c>
      <c r="C551" s="244">
        <v>280</v>
      </c>
      <c r="D551" s="161" t="s">
        <v>780</v>
      </c>
      <c r="E551" s="969" t="s">
        <v>781</v>
      </c>
      <c r="F551" s="970"/>
      <c r="G551" s="971"/>
      <c r="H551" s="544" t="s">
        <v>286</v>
      </c>
      <c r="I551" s="212">
        <v>11119432</v>
      </c>
      <c r="J551" s="605"/>
      <c r="K551" s="212">
        <v>1</v>
      </c>
      <c r="L551" s="212">
        <f t="shared" si="63"/>
        <v>11119432</v>
      </c>
      <c r="M551" s="602"/>
      <c r="N551" s="675">
        <f>+'Yeşil Defter'!K536</f>
        <v>0</v>
      </c>
      <c r="O551" s="675">
        <f>+'Yeşil Defter'!L536</f>
        <v>0</v>
      </c>
      <c r="P551" s="675">
        <f>+'Yeşil Defter'!M536</f>
        <v>0</v>
      </c>
      <c r="Q551" s="212"/>
      <c r="R551" s="605">
        <f t="shared" si="64"/>
        <v>0</v>
      </c>
      <c r="S551" s="225">
        <f t="shared" si="65"/>
        <v>0</v>
      </c>
      <c r="T551" s="237">
        <f t="shared" si="66"/>
        <v>0</v>
      </c>
    </row>
    <row r="552" spans="1:20" ht="30" hidden="1" customHeight="1" x14ac:dyDescent="0.3">
      <c r="A552" s="262">
        <v>4</v>
      </c>
      <c r="C552" s="244">
        <v>281</v>
      </c>
      <c r="D552" s="161" t="s">
        <v>782</v>
      </c>
      <c r="E552" s="969" t="s">
        <v>783</v>
      </c>
      <c r="F552" s="970"/>
      <c r="G552" s="971"/>
      <c r="H552" s="544" t="s">
        <v>286</v>
      </c>
      <c r="I552" s="212">
        <v>12141908</v>
      </c>
      <c r="J552" s="605"/>
      <c r="K552" s="212">
        <v>1</v>
      </c>
      <c r="L552" s="212">
        <f t="shared" si="63"/>
        <v>12141908</v>
      </c>
      <c r="M552" s="602"/>
      <c r="N552" s="675">
        <f>+'Yeşil Defter'!K537</f>
        <v>0</v>
      </c>
      <c r="O552" s="675">
        <f>+'Yeşil Defter'!L537</f>
        <v>0</v>
      </c>
      <c r="P552" s="675">
        <f>+'Yeşil Defter'!M537</f>
        <v>0</v>
      </c>
      <c r="Q552" s="212"/>
      <c r="R552" s="605">
        <f t="shared" si="64"/>
        <v>0</v>
      </c>
      <c r="S552" s="225">
        <f t="shared" si="65"/>
        <v>0</v>
      </c>
      <c r="T552" s="237">
        <f t="shared" si="66"/>
        <v>0</v>
      </c>
    </row>
    <row r="553" spans="1:20" ht="30" hidden="1" customHeight="1" x14ac:dyDescent="0.3">
      <c r="A553" s="262">
        <v>4</v>
      </c>
      <c r="C553" s="244">
        <v>282</v>
      </c>
      <c r="D553" s="161" t="s">
        <v>784</v>
      </c>
      <c r="E553" s="969" t="s">
        <v>785</v>
      </c>
      <c r="F553" s="970"/>
      <c r="G553" s="971"/>
      <c r="H553" s="544" t="s">
        <v>286</v>
      </c>
      <c r="I553" s="212">
        <v>12780956</v>
      </c>
      <c r="J553" s="605"/>
      <c r="K553" s="212">
        <v>1</v>
      </c>
      <c r="L553" s="212">
        <f t="shared" si="63"/>
        <v>12780956</v>
      </c>
      <c r="M553" s="602"/>
      <c r="N553" s="675">
        <f>+'Yeşil Defter'!K538</f>
        <v>0</v>
      </c>
      <c r="O553" s="675">
        <f>+'Yeşil Defter'!L538</f>
        <v>0</v>
      </c>
      <c r="P553" s="675">
        <f>+'Yeşil Defter'!M538</f>
        <v>0</v>
      </c>
      <c r="Q553" s="212"/>
      <c r="R553" s="605">
        <f t="shared" si="64"/>
        <v>0</v>
      </c>
      <c r="S553" s="225">
        <f t="shared" si="65"/>
        <v>0</v>
      </c>
      <c r="T553" s="237">
        <f t="shared" si="66"/>
        <v>0</v>
      </c>
    </row>
    <row r="554" spans="1:20" ht="30" hidden="1" customHeight="1" x14ac:dyDescent="0.3">
      <c r="A554" s="262">
        <v>4</v>
      </c>
      <c r="C554" s="244">
        <v>283</v>
      </c>
      <c r="D554" s="161" t="s">
        <v>786</v>
      </c>
      <c r="E554" s="969" t="s">
        <v>787</v>
      </c>
      <c r="F554" s="970"/>
      <c r="G554" s="971"/>
      <c r="H554" s="544" t="s">
        <v>286</v>
      </c>
      <c r="I554" s="212">
        <v>11502861</v>
      </c>
      <c r="J554" s="605"/>
      <c r="K554" s="212">
        <v>1</v>
      </c>
      <c r="L554" s="212">
        <f t="shared" si="63"/>
        <v>11502861</v>
      </c>
      <c r="M554" s="602"/>
      <c r="N554" s="675">
        <f>+'Yeşil Defter'!K539</f>
        <v>0</v>
      </c>
      <c r="O554" s="675">
        <f>+'Yeşil Defter'!L539</f>
        <v>0</v>
      </c>
      <c r="P554" s="675">
        <f>+'Yeşil Defter'!M539</f>
        <v>0</v>
      </c>
      <c r="Q554" s="212"/>
      <c r="R554" s="605">
        <f t="shared" si="64"/>
        <v>0</v>
      </c>
      <c r="S554" s="225">
        <f t="shared" si="65"/>
        <v>0</v>
      </c>
      <c r="T554" s="237">
        <f t="shared" si="66"/>
        <v>0</v>
      </c>
    </row>
    <row r="555" spans="1:20" ht="30" hidden="1" customHeight="1" x14ac:dyDescent="0.3">
      <c r="A555" s="262">
        <v>4</v>
      </c>
      <c r="C555" s="244">
        <v>284</v>
      </c>
      <c r="D555" s="161" t="s">
        <v>788</v>
      </c>
      <c r="E555" s="969" t="s">
        <v>789</v>
      </c>
      <c r="F555" s="970"/>
      <c r="G555" s="971"/>
      <c r="H555" s="544" t="s">
        <v>286</v>
      </c>
      <c r="I555" s="212">
        <v>12141908</v>
      </c>
      <c r="J555" s="605"/>
      <c r="K555" s="212">
        <v>1</v>
      </c>
      <c r="L555" s="212">
        <f t="shared" si="63"/>
        <v>12141908</v>
      </c>
      <c r="M555" s="602"/>
      <c r="N555" s="675">
        <f>+'Yeşil Defter'!K540</f>
        <v>0</v>
      </c>
      <c r="O555" s="675">
        <f>+'Yeşil Defter'!L540</f>
        <v>0</v>
      </c>
      <c r="P555" s="675">
        <f>+'Yeşil Defter'!M540</f>
        <v>0</v>
      </c>
      <c r="Q555" s="212"/>
      <c r="R555" s="605">
        <f t="shared" si="64"/>
        <v>0</v>
      </c>
      <c r="S555" s="225">
        <f t="shared" si="65"/>
        <v>0</v>
      </c>
      <c r="T555" s="237">
        <f t="shared" si="66"/>
        <v>0</v>
      </c>
    </row>
    <row r="556" spans="1:20" ht="30" hidden="1" customHeight="1" x14ac:dyDescent="0.3">
      <c r="A556" s="262">
        <v>4</v>
      </c>
      <c r="C556" s="244">
        <v>285</v>
      </c>
      <c r="D556" s="161" t="s">
        <v>790</v>
      </c>
      <c r="E556" s="969" t="s">
        <v>791</v>
      </c>
      <c r="F556" s="970"/>
      <c r="G556" s="971"/>
      <c r="H556" s="544" t="s">
        <v>286</v>
      </c>
      <c r="I556" s="212">
        <v>1254994</v>
      </c>
      <c r="J556" s="605"/>
      <c r="K556" s="212">
        <v>1</v>
      </c>
      <c r="L556" s="212">
        <f t="shared" si="63"/>
        <v>1254994</v>
      </c>
      <c r="M556" s="602"/>
      <c r="N556" s="675">
        <f>+'Yeşil Defter'!K541</f>
        <v>0</v>
      </c>
      <c r="O556" s="675">
        <f>+'Yeşil Defter'!L541</f>
        <v>0</v>
      </c>
      <c r="P556" s="675">
        <f>+'Yeşil Defter'!M541</f>
        <v>0</v>
      </c>
      <c r="Q556" s="212"/>
      <c r="R556" s="605">
        <f t="shared" si="64"/>
        <v>0</v>
      </c>
      <c r="S556" s="225">
        <f t="shared" si="65"/>
        <v>0</v>
      </c>
      <c r="T556" s="237">
        <f t="shared" si="66"/>
        <v>0</v>
      </c>
    </row>
    <row r="557" spans="1:20" ht="30" hidden="1" customHeight="1" x14ac:dyDescent="0.3">
      <c r="A557" s="262">
        <v>4</v>
      </c>
      <c r="C557" s="244">
        <v>286</v>
      </c>
      <c r="D557" s="161" t="s">
        <v>792</v>
      </c>
      <c r="E557" s="969" t="s">
        <v>793</v>
      </c>
      <c r="F557" s="970"/>
      <c r="G557" s="971"/>
      <c r="H557" s="544" t="s">
        <v>286</v>
      </c>
      <c r="I557" s="212">
        <v>15222263</v>
      </c>
      <c r="J557" s="605"/>
      <c r="K557" s="212">
        <v>1</v>
      </c>
      <c r="L557" s="212">
        <f t="shared" si="63"/>
        <v>15222263</v>
      </c>
      <c r="M557" s="602"/>
      <c r="N557" s="675">
        <f>+'Yeşil Defter'!K542</f>
        <v>0</v>
      </c>
      <c r="O557" s="675">
        <f>+'Yeşil Defter'!L542</f>
        <v>0</v>
      </c>
      <c r="P557" s="675">
        <f>+'Yeşil Defter'!M542</f>
        <v>0</v>
      </c>
      <c r="Q557" s="212"/>
      <c r="R557" s="605">
        <f t="shared" si="64"/>
        <v>0</v>
      </c>
      <c r="S557" s="225">
        <f t="shared" si="65"/>
        <v>0</v>
      </c>
      <c r="T557" s="237">
        <f t="shared" si="66"/>
        <v>0</v>
      </c>
    </row>
    <row r="558" spans="1:20" ht="30" hidden="1" customHeight="1" x14ac:dyDescent="0.3">
      <c r="A558" s="262">
        <v>4</v>
      </c>
      <c r="C558" s="244">
        <v>287</v>
      </c>
      <c r="D558" s="161" t="s">
        <v>794</v>
      </c>
      <c r="E558" s="969" t="s">
        <v>1163</v>
      </c>
      <c r="F558" s="970"/>
      <c r="G558" s="971"/>
      <c r="H558" s="544" t="s">
        <v>286</v>
      </c>
      <c r="I558" s="212">
        <v>3008331</v>
      </c>
      <c r="J558" s="605"/>
      <c r="K558" s="212">
        <v>1</v>
      </c>
      <c r="L558" s="212">
        <f t="shared" si="63"/>
        <v>3008331</v>
      </c>
      <c r="M558" s="602"/>
      <c r="N558" s="675">
        <f>+'Yeşil Defter'!K543</f>
        <v>0</v>
      </c>
      <c r="O558" s="675">
        <f>+'Yeşil Defter'!L543</f>
        <v>0</v>
      </c>
      <c r="P558" s="675">
        <f>+'Yeşil Defter'!M543</f>
        <v>0</v>
      </c>
      <c r="Q558" s="212"/>
      <c r="R558" s="605">
        <f t="shared" si="64"/>
        <v>0</v>
      </c>
      <c r="S558" s="225">
        <f t="shared" si="65"/>
        <v>0</v>
      </c>
      <c r="T558" s="237">
        <f t="shared" si="66"/>
        <v>0</v>
      </c>
    </row>
    <row r="559" spans="1:20" ht="30" hidden="1" customHeight="1" x14ac:dyDescent="0.3">
      <c r="A559" s="262">
        <v>4</v>
      </c>
      <c r="C559" s="244">
        <v>288</v>
      </c>
      <c r="D559" s="161" t="s">
        <v>795</v>
      </c>
      <c r="E559" s="969" t="s">
        <v>1171</v>
      </c>
      <c r="F559" s="970"/>
      <c r="G559" s="971"/>
      <c r="H559" s="544" t="s">
        <v>286</v>
      </c>
      <c r="I559" s="212">
        <v>3008331</v>
      </c>
      <c r="J559" s="605"/>
      <c r="K559" s="212">
        <v>1</v>
      </c>
      <c r="L559" s="212">
        <f t="shared" si="63"/>
        <v>3008331</v>
      </c>
      <c r="M559" s="602"/>
      <c r="N559" s="675">
        <f>+'Yeşil Defter'!K544</f>
        <v>0</v>
      </c>
      <c r="O559" s="675">
        <f>+'Yeşil Defter'!L544</f>
        <v>0</v>
      </c>
      <c r="P559" s="675">
        <f>+'Yeşil Defter'!M544</f>
        <v>0</v>
      </c>
      <c r="Q559" s="212"/>
      <c r="R559" s="605">
        <f t="shared" si="64"/>
        <v>0</v>
      </c>
      <c r="S559" s="225">
        <f t="shared" si="65"/>
        <v>0</v>
      </c>
      <c r="T559" s="237">
        <f t="shared" si="66"/>
        <v>0</v>
      </c>
    </row>
    <row r="560" spans="1:20" ht="30" hidden="1" customHeight="1" x14ac:dyDescent="0.3">
      <c r="A560" s="262">
        <v>4</v>
      </c>
      <c r="C560" s="244">
        <v>289</v>
      </c>
      <c r="D560" s="161" t="s">
        <v>796</v>
      </c>
      <c r="E560" s="969" t="s">
        <v>1179</v>
      </c>
      <c r="F560" s="970"/>
      <c r="G560" s="971"/>
      <c r="H560" s="544" t="s">
        <v>286</v>
      </c>
      <c r="I560" s="212">
        <v>3008331</v>
      </c>
      <c r="J560" s="605"/>
      <c r="K560" s="212">
        <v>1</v>
      </c>
      <c r="L560" s="212">
        <f t="shared" si="63"/>
        <v>3008331</v>
      </c>
      <c r="M560" s="602"/>
      <c r="N560" s="675">
        <f>+'Yeşil Defter'!K545</f>
        <v>0</v>
      </c>
      <c r="O560" s="675">
        <f>+'Yeşil Defter'!L545</f>
        <v>0</v>
      </c>
      <c r="P560" s="675">
        <f>+'Yeşil Defter'!M545</f>
        <v>0</v>
      </c>
      <c r="Q560" s="212"/>
      <c r="R560" s="605">
        <f t="shared" si="64"/>
        <v>0</v>
      </c>
      <c r="S560" s="225">
        <f t="shared" si="65"/>
        <v>0</v>
      </c>
      <c r="T560" s="237">
        <f t="shared" si="66"/>
        <v>0</v>
      </c>
    </row>
    <row r="561" spans="1:20" ht="30" hidden="1" customHeight="1" x14ac:dyDescent="0.3">
      <c r="A561" s="262">
        <v>4</v>
      </c>
      <c r="C561" s="244">
        <v>290</v>
      </c>
      <c r="D561" s="161" t="s">
        <v>797</v>
      </c>
      <c r="E561" s="969" t="s">
        <v>1187</v>
      </c>
      <c r="F561" s="970"/>
      <c r="G561" s="971"/>
      <c r="H561" s="544" t="s">
        <v>286</v>
      </c>
      <c r="I561" s="212">
        <v>3008331</v>
      </c>
      <c r="J561" s="605"/>
      <c r="K561" s="212">
        <v>1</v>
      </c>
      <c r="L561" s="212">
        <f t="shared" si="63"/>
        <v>3008331</v>
      </c>
      <c r="M561" s="602"/>
      <c r="N561" s="675">
        <f>+'Yeşil Defter'!K546</f>
        <v>0</v>
      </c>
      <c r="O561" s="675">
        <f>+'Yeşil Defter'!L546</f>
        <v>0</v>
      </c>
      <c r="P561" s="675">
        <f>+'Yeşil Defter'!M546</f>
        <v>0</v>
      </c>
      <c r="Q561" s="212"/>
      <c r="R561" s="605">
        <f t="shared" si="64"/>
        <v>0</v>
      </c>
      <c r="S561" s="225">
        <f t="shared" si="65"/>
        <v>0</v>
      </c>
      <c r="T561" s="237">
        <f t="shared" si="66"/>
        <v>0</v>
      </c>
    </row>
    <row r="562" spans="1:20" ht="30" hidden="1" customHeight="1" x14ac:dyDescent="0.3">
      <c r="A562" s="262">
        <v>4</v>
      </c>
      <c r="C562" s="244">
        <v>291</v>
      </c>
      <c r="D562" s="161" t="s">
        <v>798</v>
      </c>
      <c r="E562" s="969" t="s">
        <v>799</v>
      </c>
      <c r="F562" s="970"/>
      <c r="G562" s="971"/>
      <c r="H562" s="544" t="s">
        <v>286</v>
      </c>
      <c r="I562" s="212">
        <v>3008331</v>
      </c>
      <c r="J562" s="605"/>
      <c r="K562" s="212">
        <v>1</v>
      </c>
      <c r="L562" s="212">
        <f t="shared" si="63"/>
        <v>3008331</v>
      </c>
      <c r="M562" s="602"/>
      <c r="N562" s="675">
        <f>+'Yeşil Defter'!K547</f>
        <v>0</v>
      </c>
      <c r="O562" s="675">
        <f>+'Yeşil Defter'!L547</f>
        <v>0</v>
      </c>
      <c r="P562" s="675">
        <f>+'Yeşil Defter'!M547</f>
        <v>0</v>
      </c>
      <c r="Q562" s="212"/>
      <c r="R562" s="605">
        <f t="shared" si="64"/>
        <v>0</v>
      </c>
      <c r="S562" s="225">
        <f t="shared" si="65"/>
        <v>0</v>
      </c>
      <c r="T562" s="237">
        <f t="shared" si="66"/>
        <v>0</v>
      </c>
    </row>
    <row r="563" spans="1:20" ht="40.049999999999997" hidden="1" customHeight="1" x14ac:dyDescent="0.3">
      <c r="A563" s="262" t="s">
        <v>1242</v>
      </c>
      <c r="C563" s="258"/>
      <c r="D563" s="258"/>
      <c r="E563" s="972" t="s">
        <v>33</v>
      </c>
      <c r="F563" s="972"/>
      <c r="G563" s="972"/>
      <c r="H563" s="973" t="s">
        <v>29</v>
      </c>
      <c r="I563" s="973"/>
      <c r="J563" s="973"/>
      <c r="K563" s="973"/>
      <c r="L563" s="973"/>
      <c r="M563" s="549"/>
      <c r="N563" s="973" t="s">
        <v>22</v>
      </c>
      <c r="O563" s="973"/>
      <c r="P563" s="973"/>
      <c r="Q563" s="973"/>
      <c r="R563" s="973"/>
      <c r="S563" s="973"/>
      <c r="T563" s="973"/>
    </row>
    <row r="564" spans="1:20" ht="19.95" hidden="1" customHeight="1" x14ac:dyDescent="0.3">
      <c r="A564" s="262" t="s">
        <v>1242</v>
      </c>
      <c r="D564" s="28"/>
      <c r="E564" s="974" t="s">
        <v>1214</v>
      </c>
      <c r="F564" s="974"/>
      <c r="G564" s="974"/>
      <c r="H564" s="975" t="s">
        <v>38</v>
      </c>
      <c r="I564" s="975"/>
      <c r="J564" s="975"/>
      <c r="K564" s="975"/>
      <c r="L564" s="975"/>
      <c r="M564" s="562"/>
      <c r="N564" s="975" t="s">
        <v>1437</v>
      </c>
      <c r="O564" s="975"/>
      <c r="P564" s="975"/>
      <c r="Q564" s="975"/>
      <c r="R564" s="975"/>
      <c r="S564" s="975"/>
      <c r="T564" s="975"/>
    </row>
    <row r="565" spans="1:20" ht="19.95" hidden="1" customHeight="1" x14ac:dyDescent="0.3">
      <c r="A565" s="262" t="s">
        <v>1242</v>
      </c>
      <c r="C565" s="228"/>
      <c r="D565" s="228"/>
      <c r="E565" s="561"/>
      <c r="F565" s="561"/>
      <c r="G565" s="561"/>
      <c r="H565" s="228"/>
      <c r="I565" s="260"/>
      <c r="J565" s="260"/>
      <c r="K565" s="260"/>
      <c r="L565" s="260"/>
      <c r="M565" s="260"/>
      <c r="N565" s="975"/>
      <c r="O565" s="975"/>
      <c r="P565" s="975"/>
      <c r="Q565" s="975"/>
      <c r="R565" s="975"/>
      <c r="S565" s="975"/>
      <c r="T565" s="975"/>
    </row>
    <row r="566" spans="1:20" ht="19.95" hidden="1" customHeight="1" x14ac:dyDescent="0.3">
      <c r="A566" s="262" t="s">
        <v>1242</v>
      </c>
      <c r="C566" s="228"/>
      <c r="D566" s="228"/>
      <c r="E566" s="561"/>
      <c r="F566" s="561"/>
      <c r="G566" s="561"/>
      <c r="H566" s="228"/>
      <c r="I566" s="260"/>
      <c r="J566" s="260"/>
      <c r="K566" s="260"/>
      <c r="L566" s="260"/>
      <c r="M566" s="260"/>
      <c r="N566" s="975"/>
      <c r="O566" s="975"/>
      <c r="P566" s="975"/>
      <c r="Q566" s="975"/>
      <c r="R566" s="975"/>
      <c r="S566" s="975"/>
      <c r="T566" s="975"/>
    </row>
    <row r="567" spans="1:20" ht="19.95" hidden="1" customHeight="1" x14ac:dyDescent="0.3">
      <c r="A567" s="262" t="s">
        <v>1242</v>
      </c>
      <c r="C567" s="228"/>
      <c r="D567" s="228"/>
      <c r="E567" s="561"/>
      <c r="F567" s="561"/>
      <c r="G567" s="561"/>
      <c r="H567" s="261"/>
      <c r="I567" s="261"/>
      <c r="J567" s="261"/>
      <c r="K567" s="261"/>
      <c r="L567" s="261"/>
      <c r="M567" s="261"/>
      <c r="N567" s="260"/>
      <c r="O567" s="260"/>
      <c r="P567" s="260"/>
      <c r="Q567" s="260"/>
      <c r="R567" s="260"/>
      <c r="S567" s="260"/>
      <c r="T567" s="260"/>
    </row>
    <row r="568" spans="1:20" ht="19.95" hidden="1" customHeight="1" x14ac:dyDescent="0.3">
      <c r="A568" s="262" t="s">
        <v>1242</v>
      </c>
      <c r="C568" s="228"/>
      <c r="D568" s="228"/>
      <c r="E568" s="561"/>
      <c r="F568" s="561"/>
      <c r="G568" s="561"/>
      <c r="H568" s="975" t="s">
        <v>32</v>
      </c>
      <c r="I568" s="975"/>
      <c r="J568" s="562"/>
      <c r="K568" s="975" t="s">
        <v>1407</v>
      </c>
      <c r="L568" s="975"/>
      <c r="M568" s="562"/>
      <c r="N568" s="968" t="s">
        <v>52</v>
      </c>
      <c r="O568" s="968"/>
      <c r="P568" s="968"/>
      <c r="Q568" s="260"/>
      <c r="R568" s="968" t="s">
        <v>28</v>
      </c>
      <c r="S568" s="968"/>
      <c r="T568" s="968"/>
    </row>
    <row r="569" spans="1:20" ht="19.95" hidden="1" customHeight="1" x14ac:dyDescent="0.3">
      <c r="A569" s="262" t="s">
        <v>1242</v>
      </c>
      <c r="C569" s="228"/>
      <c r="D569" s="228"/>
      <c r="E569" s="561"/>
      <c r="F569" s="561"/>
      <c r="G569" s="561"/>
      <c r="H569" s="976" t="s">
        <v>94</v>
      </c>
      <c r="I569" s="976"/>
      <c r="J569" s="623"/>
      <c r="K569" s="976" t="s">
        <v>94</v>
      </c>
      <c r="L569" s="976"/>
      <c r="M569" s="623"/>
      <c r="N569" s="968" t="s">
        <v>1485</v>
      </c>
      <c r="O569" s="968"/>
      <c r="P569" s="968"/>
      <c r="Q569" s="260"/>
      <c r="R569" s="968" t="s">
        <v>1486</v>
      </c>
      <c r="S569" s="968"/>
      <c r="T569" s="968"/>
    </row>
    <row r="570" spans="1:20" ht="19.95" hidden="1" customHeight="1" x14ac:dyDescent="0.3">
      <c r="A570" s="262" t="s">
        <v>1242</v>
      </c>
      <c r="C570" s="228"/>
      <c r="D570" s="228"/>
      <c r="E570" s="561"/>
      <c r="F570" s="561"/>
      <c r="G570" s="561"/>
      <c r="H570" s="976"/>
      <c r="I570" s="976"/>
      <c r="J570" s="623"/>
      <c r="K570" s="976"/>
      <c r="L570" s="976"/>
      <c r="M570" s="623"/>
      <c r="N570" s="968"/>
      <c r="O570" s="968"/>
      <c r="P570" s="968"/>
      <c r="Q570" s="260"/>
      <c r="R570" s="968"/>
      <c r="S570" s="968"/>
      <c r="T570" s="968"/>
    </row>
    <row r="571" spans="1:20" ht="19.95" hidden="1" customHeight="1" x14ac:dyDescent="0.3">
      <c r="A571" s="262" t="s">
        <v>1242</v>
      </c>
      <c r="C571" s="228"/>
      <c r="D571" s="228"/>
      <c r="E571" s="561"/>
      <c r="F571" s="561"/>
      <c r="G571" s="561"/>
      <c r="H571" s="228"/>
      <c r="I571" s="260"/>
      <c r="J571" s="260"/>
      <c r="K571" s="260"/>
      <c r="L571" s="260"/>
      <c r="M571" s="260"/>
      <c r="N571" s="260"/>
      <c r="O571" s="260"/>
      <c r="P571" s="260"/>
      <c r="Q571" s="260"/>
      <c r="R571" s="260"/>
      <c r="S571" s="260"/>
      <c r="T571" s="260"/>
    </row>
    <row r="572" spans="1:20" ht="19.95" hidden="1" customHeight="1" x14ac:dyDescent="0.3">
      <c r="A572" s="262" t="s">
        <v>1242</v>
      </c>
      <c r="C572" s="228"/>
      <c r="D572" s="228"/>
      <c r="E572" s="975" t="s">
        <v>1215</v>
      </c>
      <c r="F572" s="975"/>
      <c r="G572" s="975"/>
      <c r="H572" s="975" t="s">
        <v>1348</v>
      </c>
      <c r="I572" s="975"/>
      <c r="J572" s="975"/>
      <c r="K572" s="975"/>
      <c r="L572" s="975"/>
      <c r="M572" s="562"/>
      <c r="N572" s="977" t="s">
        <v>1219</v>
      </c>
      <c r="O572" s="968"/>
      <c r="P572" s="968"/>
      <c r="Q572" s="968"/>
      <c r="R572" s="968"/>
      <c r="S572" s="968"/>
      <c r="T572" s="968"/>
    </row>
    <row r="573" spans="1:20" ht="19.95" hidden="1" customHeight="1" x14ac:dyDescent="0.3">
      <c r="A573" s="262" t="s">
        <v>1290</v>
      </c>
      <c r="C573" s="228"/>
      <c r="D573" s="228"/>
      <c r="E573" s="975"/>
      <c r="F573" s="975"/>
      <c r="G573" s="975"/>
      <c r="H573" s="975"/>
      <c r="I573" s="975"/>
      <c r="J573" s="975"/>
      <c r="K573" s="975"/>
      <c r="L573" s="975"/>
      <c r="M573" s="562"/>
      <c r="N573" s="968"/>
      <c r="O573" s="968"/>
      <c r="P573" s="968"/>
      <c r="Q573" s="968"/>
      <c r="R573" s="968"/>
      <c r="S573" s="968"/>
      <c r="T573" s="968"/>
    </row>
    <row r="574" spans="1:20" ht="30" hidden="1" customHeight="1" x14ac:dyDescent="0.3">
      <c r="A574" s="262">
        <v>4</v>
      </c>
      <c r="C574" s="255">
        <v>292</v>
      </c>
      <c r="D574" s="256" t="s">
        <v>800</v>
      </c>
      <c r="E574" s="978" t="s">
        <v>801</v>
      </c>
      <c r="F574" s="979"/>
      <c r="G574" s="980"/>
      <c r="H574" s="546" t="s">
        <v>286</v>
      </c>
      <c r="I574" s="257">
        <v>9226875</v>
      </c>
      <c r="J574" s="606"/>
      <c r="K574" s="257">
        <v>1</v>
      </c>
      <c r="L574" s="257">
        <f t="shared" ref="L574:L596" si="67">+ROUND(I574*K574,2)</f>
        <v>9226875</v>
      </c>
      <c r="M574" s="603"/>
      <c r="N574" s="675">
        <f>+'Yeşil Defter'!K548</f>
        <v>0</v>
      </c>
      <c r="O574" s="675">
        <f>+'Yeşil Defter'!L548</f>
        <v>0</v>
      </c>
      <c r="P574" s="675">
        <f>+'Yeşil Defter'!M548</f>
        <v>0</v>
      </c>
      <c r="Q574" s="257"/>
      <c r="R574" s="606">
        <f t="shared" ref="R574:R596" si="68">+ROUND(K574*N574,2)</f>
        <v>0</v>
      </c>
      <c r="S574" s="247">
        <f t="shared" si="65"/>
        <v>0</v>
      </c>
      <c r="T574" s="248">
        <f t="shared" ref="T574:T596" si="69">+ROUND(K574*P574,2)</f>
        <v>0</v>
      </c>
    </row>
    <row r="575" spans="1:20" ht="30" hidden="1" customHeight="1" x14ac:dyDescent="0.3">
      <c r="A575" s="262">
        <v>4</v>
      </c>
      <c r="C575" s="244">
        <v>293</v>
      </c>
      <c r="D575" s="161" t="s">
        <v>802</v>
      </c>
      <c r="E575" s="969" t="s">
        <v>1164</v>
      </c>
      <c r="F575" s="970"/>
      <c r="G575" s="971"/>
      <c r="H575" s="544" t="s">
        <v>286</v>
      </c>
      <c r="I575" s="212">
        <v>2510820</v>
      </c>
      <c r="J575" s="605"/>
      <c r="K575" s="212">
        <v>1</v>
      </c>
      <c r="L575" s="212">
        <f t="shared" si="67"/>
        <v>2510820</v>
      </c>
      <c r="M575" s="602"/>
      <c r="N575" s="675">
        <f>+'Yeşil Defter'!K549</f>
        <v>0</v>
      </c>
      <c r="O575" s="675">
        <f>+'Yeşil Defter'!L549</f>
        <v>0</v>
      </c>
      <c r="P575" s="675">
        <f>+'Yeşil Defter'!M549</f>
        <v>0</v>
      </c>
      <c r="Q575" s="212"/>
      <c r="R575" s="605">
        <f t="shared" si="68"/>
        <v>0</v>
      </c>
      <c r="S575" s="225">
        <f t="shared" si="65"/>
        <v>0</v>
      </c>
      <c r="T575" s="237">
        <f t="shared" si="69"/>
        <v>0</v>
      </c>
    </row>
    <row r="576" spans="1:20" ht="30" hidden="1" customHeight="1" x14ac:dyDescent="0.3">
      <c r="A576" s="262">
        <v>4</v>
      </c>
      <c r="C576" s="244">
        <v>294</v>
      </c>
      <c r="D576" s="161" t="s">
        <v>803</v>
      </c>
      <c r="E576" s="969" t="s">
        <v>1172</v>
      </c>
      <c r="F576" s="970"/>
      <c r="G576" s="971"/>
      <c r="H576" s="544" t="s">
        <v>286</v>
      </c>
      <c r="I576" s="212">
        <v>2741700</v>
      </c>
      <c r="J576" s="605"/>
      <c r="K576" s="212">
        <v>1</v>
      </c>
      <c r="L576" s="212">
        <f t="shared" si="67"/>
        <v>2741700</v>
      </c>
      <c r="M576" s="602"/>
      <c r="N576" s="675">
        <f>+'Yeşil Defter'!K550</f>
        <v>0</v>
      </c>
      <c r="O576" s="675">
        <f>+'Yeşil Defter'!L550</f>
        <v>0</v>
      </c>
      <c r="P576" s="675">
        <f>+'Yeşil Defter'!M550</f>
        <v>0</v>
      </c>
      <c r="Q576" s="212"/>
      <c r="R576" s="605">
        <f t="shared" si="68"/>
        <v>0</v>
      </c>
      <c r="S576" s="225">
        <f t="shared" si="65"/>
        <v>0</v>
      </c>
      <c r="T576" s="237">
        <f t="shared" si="69"/>
        <v>0</v>
      </c>
    </row>
    <row r="577" spans="1:20" ht="30" hidden="1" customHeight="1" x14ac:dyDescent="0.3">
      <c r="A577" s="262">
        <v>4</v>
      </c>
      <c r="C577" s="244">
        <v>295</v>
      </c>
      <c r="D577" s="161" t="s">
        <v>804</v>
      </c>
      <c r="E577" s="969" t="s">
        <v>1180</v>
      </c>
      <c r="F577" s="970"/>
      <c r="G577" s="971"/>
      <c r="H577" s="544" t="s">
        <v>286</v>
      </c>
      <c r="I577" s="212">
        <v>2886000</v>
      </c>
      <c r="J577" s="605"/>
      <c r="K577" s="212">
        <v>1</v>
      </c>
      <c r="L577" s="212">
        <f t="shared" si="67"/>
        <v>2886000</v>
      </c>
      <c r="M577" s="602"/>
      <c r="N577" s="675">
        <f>+'Yeşil Defter'!K551</f>
        <v>0</v>
      </c>
      <c r="O577" s="675">
        <f>+'Yeşil Defter'!L551</f>
        <v>0</v>
      </c>
      <c r="P577" s="675">
        <f>+'Yeşil Defter'!M551</f>
        <v>0</v>
      </c>
      <c r="Q577" s="212"/>
      <c r="R577" s="605">
        <f t="shared" si="68"/>
        <v>0</v>
      </c>
      <c r="S577" s="225">
        <f t="shared" si="65"/>
        <v>0</v>
      </c>
      <c r="T577" s="237">
        <f t="shared" si="69"/>
        <v>0</v>
      </c>
    </row>
    <row r="578" spans="1:20" ht="30" hidden="1" customHeight="1" x14ac:dyDescent="0.3">
      <c r="A578" s="262">
        <v>4</v>
      </c>
      <c r="C578" s="244">
        <v>296</v>
      </c>
      <c r="D578" s="161" t="s">
        <v>805</v>
      </c>
      <c r="E578" s="969" t="s">
        <v>1188</v>
      </c>
      <c r="F578" s="970"/>
      <c r="G578" s="971"/>
      <c r="H578" s="544" t="s">
        <v>286</v>
      </c>
      <c r="I578" s="212">
        <v>2597400</v>
      </c>
      <c r="J578" s="605"/>
      <c r="K578" s="212">
        <v>1</v>
      </c>
      <c r="L578" s="212">
        <f t="shared" si="67"/>
        <v>2597400</v>
      </c>
      <c r="M578" s="602"/>
      <c r="N578" s="675">
        <f>+'Yeşil Defter'!K552</f>
        <v>0</v>
      </c>
      <c r="O578" s="675">
        <f>+'Yeşil Defter'!L552</f>
        <v>0</v>
      </c>
      <c r="P578" s="675">
        <f>+'Yeşil Defter'!M552</f>
        <v>0</v>
      </c>
      <c r="Q578" s="212"/>
      <c r="R578" s="605">
        <f t="shared" si="68"/>
        <v>0</v>
      </c>
      <c r="S578" s="225">
        <f t="shared" si="65"/>
        <v>0</v>
      </c>
      <c r="T578" s="237">
        <f t="shared" si="69"/>
        <v>0</v>
      </c>
    </row>
    <row r="579" spans="1:20" ht="30" hidden="1" customHeight="1" x14ac:dyDescent="0.3">
      <c r="A579" s="262">
        <v>4</v>
      </c>
      <c r="C579" s="244">
        <v>297</v>
      </c>
      <c r="D579" s="161" t="s">
        <v>806</v>
      </c>
      <c r="E579" s="969" t="s">
        <v>807</v>
      </c>
      <c r="F579" s="970"/>
      <c r="G579" s="971"/>
      <c r="H579" s="544" t="s">
        <v>286</v>
      </c>
      <c r="I579" s="212">
        <v>2741700</v>
      </c>
      <c r="J579" s="605"/>
      <c r="K579" s="212">
        <v>1</v>
      </c>
      <c r="L579" s="212">
        <f t="shared" si="67"/>
        <v>2741700</v>
      </c>
      <c r="M579" s="602"/>
      <c r="N579" s="675">
        <f>+'Yeşil Defter'!K553</f>
        <v>0</v>
      </c>
      <c r="O579" s="675">
        <f>+'Yeşil Defter'!L553</f>
        <v>0</v>
      </c>
      <c r="P579" s="675">
        <f>+'Yeşil Defter'!M553</f>
        <v>0</v>
      </c>
      <c r="Q579" s="212"/>
      <c r="R579" s="605">
        <f t="shared" si="68"/>
        <v>0</v>
      </c>
      <c r="S579" s="225">
        <f t="shared" si="65"/>
        <v>0</v>
      </c>
      <c r="T579" s="237">
        <f t="shared" si="69"/>
        <v>0</v>
      </c>
    </row>
    <row r="580" spans="1:20" ht="30" hidden="1" customHeight="1" x14ac:dyDescent="0.3">
      <c r="A580" s="262">
        <v>4</v>
      </c>
      <c r="C580" s="244">
        <v>298</v>
      </c>
      <c r="D580" s="161" t="s">
        <v>808</v>
      </c>
      <c r="E580" s="969" t="s">
        <v>809</v>
      </c>
      <c r="F580" s="970"/>
      <c r="G580" s="971"/>
      <c r="H580" s="544" t="s">
        <v>286</v>
      </c>
      <c r="I580" s="212">
        <v>5295625</v>
      </c>
      <c r="J580" s="605"/>
      <c r="K580" s="212">
        <v>1</v>
      </c>
      <c r="L580" s="212">
        <f t="shared" si="67"/>
        <v>5295625</v>
      </c>
      <c r="M580" s="602"/>
      <c r="N580" s="675">
        <f>+'Yeşil Defter'!K554</f>
        <v>0</v>
      </c>
      <c r="O580" s="675">
        <f>+'Yeşil Defter'!L554</f>
        <v>0</v>
      </c>
      <c r="P580" s="675">
        <f>+'Yeşil Defter'!M554</f>
        <v>0</v>
      </c>
      <c r="Q580" s="212"/>
      <c r="R580" s="605">
        <f t="shared" si="68"/>
        <v>0</v>
      </c>
      <c r="S580" s="225">
        <f t="shared" si="65"/>
        <v>0</v>
      </c>
      <c r="T580" s="237">
        <f t="shared" si="69"/>
        <v>0</v>
      </c>
    </row>
    <row r="581" spans="1:20" ht="30" hidden="1" customHeight="1" x14ac:dyDescent="0.3">
      <c r="A581" s="262">
        <v>4</v>
      </c>
      <c r="C581" s="244">
        <v>299</v>
      </c>
      <c r="D581" s="161" t="s">
        <v>810</v>
      </c>
      <c r="E581" s="969" t="s">
        <v>811</v>
      </c>
      <c r="F581" s="970"/>
      <c r="G581" s="971"/>
      <c r="H581" s="544" t="s">
        <v>286</v>
      </c>
      <c r="I581" s="212">
        <v>4551786</v>
      </c>
      <c r="J581" s="605"/>
      <c r="K581" s="212">
        <v>1</v>
      </c>
      <c r="L581" s="212">
        <f t="shared" si="67"/>
        <v>4551786</v>
      </c>
      <c r="M581" s="602"/>
      <c r="N581" s="675">
        <f>+'Yeşil Defter'!K555</f>
        <v>0</v>
      </c>
      <c r="O581" s="675">
        <f>+'Yeşil Defter'!L555</f>
        <v>0</v>
      </c>
      <c r="P581" s="675">
        <f>+'Yeşil Defter'!M555</f>
        <v>0</v>
      </c>
      <c r="Q581" s="212"/>
      <c r="R581" s="605">
        <f t="shared" si="68"/>
        <v>0</v>
      </c>
      <c r="S581" s="225">
        <f t="shared" si="65"/>
        <v>0</v>
      </c>
      <c r="T581" s="237">
        <f t="shared" si="69"/>
        <v>0</v>
      </c>
    </row>
    <row r="582" spans="1:20" ht="30" hidden="1" customHeight="1" x14ac:dyDescent="0.3">
      <c r="A582" s="262">
        <v>4</v>
      </c>
      <c r="C582" s="244">
        <v>300</v>
      </c>
      <c r="D582" s="161" t="s">
        <v>812</v>
      </c>
      <c r="E582" s="969" t="s">
        <v>1165</v>
      </c>
      <c r="F582" s="970"/>
      <c r="G582" s="971"/>
      <c r="H582" s="544" t="s">
        <v>286</v>
      </c>
      <c r="I582" s="212">
        <v>6679425</v>
      </c>
      <c r="J582" s="605"/>
      <c r="K582" s="212">
        <v>1</v>
      </c>
      <c r="L582" s="212">
        <f t="shared" si="67"/>
        <v>6679425</v>
      </c>
      <c r="M582" s="602"/>
      <c r="N582" s="675">
        <f>+'Yeşil Defter'!K556</f>
        <v>0</v>
      </c>
      <c r="O582" s="675">
        <f>+'Yeşil Defter'!L556</f>
        <v>0</v>
      </c>
      <c r="P582" s="675">
        <f>+'Yeşil Defter'!M556</f>
        <v>0</v>
      </c>
      <c r="Q582" s="212"/>
      <c r="R582" s="605">
        <f t="shared" si="68"/>
        <v>0</v>
      </c>
      <c r="S582" s="225">
        <f t="shared" si="65"/>
        <v>0</v>
      </c>
      <c r="T582" s="237">
        <f t="shared" si="69"/>
        <v>0</v>
      </c>
    </row>
    <row r="583" spans="1:20" ht="30" hidden="1" customHeight="1" x14ac:dyDescent="0.3">
      <c r="A583" s="262">
        <v>4</v>
      </c>
      <c r="C583" s="244">
        <v>301</v>
      </c>
      <c r="D583" s="161" t="s">
        <v>813</v>
      </c>
      <c r="E583" s="969" t="s">
        <v>1173</v>
      </c>
      <c r="F583" s="970"/>
      <c r="G583" s="971"/>
      <c r="H583" s="544" t="s">
        <v>286</v>
      </c>
      <c r="I583" s="212">
        <v>7293625</v>
      </c>
      <c r="J583" s="605"/>
      <c r="K583" s="212">
        <v>1</v>
      </c>
      <c r="L583" s="212">
        <f t="shared" si="67"/>
        <v>7293625</v>
      </c>
      <c r="M583" s="602"/>
      <c r="N583" s="675">
        <f>+'Yeşil Defter'!K557</f>
        <v>0</v>
      </c>
      <c r="O583" s="675">
        <f>+'Yeşil Defter'!L557</f>
        <v>0</v>
      </c>
      <c r="P583" s="675">
        <f>+'Yeşil Defter'!M557</f>
        <v>0</v>
      </c>
      <c r="Q583" s="212"/>
      <c r="R583" s="605">
        <f t="shared" si="68"/>
        <v>0</v>
      </c>
      <c r="S583" s="225">
        <f t="shared" si="65"/>
        <v>0</v>
      </c>
      <c r="T583" s="237">
        <f t="shared" si="69"/>
        <v>0</v>
      </c>
    </row>
    <row r="584" spans="1:20" ht="30" hidden="1" customHeight="1" x14ac:dyDescent="0.3">
      <c r="A584" s="262">
        <v>4</v>
      </c>
      <c r="C584" s="244">
        <v>302</v>
      </c>
      <c r="D584" s="161" t="s">
        <v>814</v>
      </c>
      <c r="E584" s="969" t="s">
        <v>1181</v>
      </c>
      <c r="F584" s="970"/>
      <c r="G584" s="971"/>
      <c r="H584" s="544" t="s">
        <v>286</v>
      </c>
      <c r="I584" s="212">
        <v>7677500</v>
      </c>
      <c r="J584" s="605"/>
      <c r="K584" s="212">
        <v>1</v>
      </c>
      <c r="L584" s="212">
        <f t="shared" si="67"/>
        <v>7677500</v>
      </c>
      <c r="M584" s="602"/>
      <c r="N584" s="675">
        <f>+'Yeşil Defter'!K558</f>
        <v>0</v>
      </c>
      <c r="O584" s="675">
        <f>+'Yeşil Defter'!L558</f>
        <v>0</v>
      </c>
      <c r="P584" s="675">
        <f>+'Yeşil Defter'!M558</f>
        <v>0</v>
      </c>
      <c r="Q584" s="212"/>
      <c r="R584" s="605">
        <f t="shared" si="68"/>
        <v>0</v>
      </c>
      <c r="S584" s="225">
        <f t="shared" si="65"/>
        <v>0</v>
      </c>
      <c r="T584" s="237">
        <f t="shared" si="69"/>
        <v>0</v>
      </c>
    </row>
    <row r="585" spans="1:20" ht="30" hidden="1" customHeight="1" x14ac:dyDescent="0.3">
      <c r="A585" s="262">
        <v>4</v>
      </c>
      <c r="C585" s="244">
        <v>303</v>
      </c>
      <c r="D585" s="161" t="s">
        <v>815</v>
      </c>
      <c r="E585" s="969" t="s">
        <v>1189</v>
      </c>
      <c r="F585" s="970"/>
      <c r="G585" s="971"/>
      <c r="H585" s="544" t="s">
        <v>286</v>
      </c>
      <c r="I585" s="212">
        <v>6909750</v>
      </c>
      <c r="J585" s="605"/>
      <c r="K585" s="212">
        <v>1</v>
      </c>
      <c r="L585" s="212">
        <f t="shared" si="67"/>
        <v>6909750</v>
      </c>
      <c r="M585" s="602"/>
      <c r="N585" s="675">
        <f>+'Yeşil Defter'!K571</f>
        <v>0</v>
      </c>
      <c r="O585" s="675">
        <f>+'Yeşil Defter'!L571</f>
        <v>0</v>
      </c>
      <c r="P585" s="675">
        <f>+'Yeşil Defter'!M571</f>
        <v>0</v>
      </c>
      <c r="Q585" s="212"/>
      <c r="R585" s="605">
        <f t="shared" si="68"/>
        <v>0</v>
      </c>
      <c r="S585" s="225">
        <f t="shared" si="65"/>
        <v>0</v>
      </c>
      <c r="T585" s="237">
        <f t="shared" si="69"/>
        <v>0</v>
      </c>
    </row>
    <row r="586" spans="1:20" ht="30" hidden="1" customHeight="1" x14ac:dyDescent="0.3">
      <c r="A586" s="262">
        <v>4</v>
      </c>
      <c r="C586" s="244">
        <v>304</v>
      </c>
      <c r="D586" s="161" t="s">
        <v>816</v>
      </c>
      <c r="E586" s="969" t="s">
        <v>817</v>
      </c>
      <c r="F586" s="970"/>
      <c r="G586" s="971"/>
      <c r="H586" s="544" t="s">
        <v>286</v>
      </c>
      <c r="I586" s="212">
        <v>7293625</v>
      </c>
      <c r="J586" s="605"/>
      <c r="K586" s="212">
        <v>1</v>
      </c>
      <c r="L586" s="212">
        <f t="shared" si="67"/>
        <v>7293625</v>
      </c>
      <c r="M586" s="602"/>
      <c r="N586" s="675">
        <f>+'Yeşil Defter'!K572</f>
        <v>0</v>
      </c>
      <c r="O586" s="675">
        <f>+'Yeşil Defter'!L572</f>
        <v>0</v>
      </c>
      <c r="P586" s="675">
        <f>+'Yeşil Defter'!M572</f>
        <v>0</v>
      </c>
      <c r="Q586" s="212"/>
      <c r="R586" s="605">
        <f t="shared" si="68"/>
        <v>0</v>
      </c>
      <c r="S586" s="225">
        <f t="shared" si="65"/>
        <v>0</v>
      </c>
      <c r="T586" s="237">
        <f t="shared" si="69"/>
        <v>0</v>
      </c>
    </row>
    <row r="587" spans="1:20" ht="30" hidden="1" customHeight="1" x14ac:dyDescent="0.3">
      <c r="A587" s="262">
        <v>4</v>
      </c>
      <c r="C587" s="244">
        <v>305</v>
      </c>
      <c r="D587" s="161" t="s">
        <v>818</v>
      </c>
      <c r="E587" s="969" t="s">
        <v>819</v>
      </c>
      <c r="F587" s="970"/>
      <c r="G587" s="971"/>
      <c r="H587" s="544" t="s">
        <v>286</v>
      </c>
      <c r="I587" s="212">
        <v>38724553</v>
      </c>
      <c r="J587" s="605"/>
      <c r="K587" s="212">
        <v>1</v>
      </c>
      <c r="L587" s="212">
        <f t="shared" si="67"/>
        <v>38724553</v>
      </c>
      <c r="M587" s="602"/>
      <c r="N587" s="675">
        <f>+'Yeşil Defter'!K573</f>
        <v>0</v>
      </c>
      <c r="O587" s="675">
        <f>+'Yeşil Defter'!L573</f>
        <v>0</v>
      </c>
      <c r="P587" s="675">
        <f>+'Yeşil Defter'!M573</f>
        <v>0</v>
      </c>
      <c r="Q587" s="212"/>
      <c r="R587" s="605">
        <f t="shared" si="68"/>
        <v>0</v>
      </c>
      <c r="S587" s="225">
        <f t="shared" si="65"/>
        <v>0</v>
      </c>
      <c r="T587" s="237">
        <f t="shared" si="69"/>
        <v>0</v>
      </c>
    </row>
    <row r="588" spans="1:20" ht="30" hidden="1" customHeight="1" x14ac:dyDescent="0.3">
      <c r="A588" s="262">
        <v>4</v>
      </c>
      <c r="C588" s="244">
        <v>306</v>
      </c>
      <c r="D588" s="161" t="s">
        <v>820</v>
      </c>
      <c r="E588" s="969" t="s">
        <v>821</v>
      </c>
      <c r="F588" s="970"/>
      <c r="G588" s="971"/>
      <c r="H588" s="544" t="s">
        <v>286</v>
      </c>
      <c r="I588" s="212">
        <v>4556411</v>
      </c>
      <c r="J588" s="605"/>
      <c r="K588" s="212">
        <v>1</v>
      </c>
      <c r="L588" s="212">
        <f t="shared" si="67"/>
        <v>4556411</v>
      </c>
      <c r="M588" s="602"/>
      <c r="N588" s="675">
        <f>+'Yeşil Defter'!K574</f>
        <v>0</v>
      </c>
      <c r="O588" s="675">
        <f>+'Yeşil Defter'!L574</f>
        <v>0</v>
      </c>
      <c r="P588" s="675">
        <f>+'Yeşil Defter'!M574</f>
        <v>0</v>
      </c>
      <c r="Q588" s="212"/>
      <c r="R588" s="605">
        <f t="shared" si="68"/>
        <v>0</v>
      </c>
      <c r="S588" s="225">
        <f t="shared" si="65"/>
        <v>0</v>
      </c>
      <c r="T588" s="237">
        <f t="shared" si="69"/>
        <v>0</v>
      </c>
    </row>
    <row r="589" spans="1:20" ht="30" hidden="1" customHeight="1" x14ac:dyDescent="0.3">
      <c r="A589" s="262">
        <v>4</v>
      </c>
      <c r="C589" s="244">
        <v>307</v>
      </c>
      <c r="D589" s="161" t="s">
        <v>822</v>
      </c>
      <c r="E589" s="969" t="s">
        <v>1166</v>
      </c>
      <c r="F589" s="970"/>
      <c r="G589" s="971"/>
      <c r="H589" s="544" t="s">
        <v>286</v>
      </c>
      <c r="I589" s="212">
        <v>3358141</v>
      </c>
      <c r="J589" s="605"/>
      <c r="K589" s="212">
        <v>1</v>
      </c>
      <c r="L589" s="212">
        <f t="shared" si="67"/>
        <v>3358141</v>
      </c>
      <c r="M589" s="602"/>
      <c r="N589" s="675">
        <f>+'Yeşil Defter'!K575</f>
        <v>0</v>
      </c>
      <c r="O589" s="675">
        <f>+'Yeşil Defter'!L575</f>
        <v>0</v>
      </c>
      <c r="P589" s="675">
        <f>+'Yeşil Defter'!M575</f>
        <v>0</v>
      </c>
      <c r="Q589" s="212"/>
      <c r="R589" s="605">
        <f t="shared" si="68"/>
        <v>0</v>
      </c>
      <c r="S589" s="225">
        <f t="shared" si="65"/>
        <v>0</v>
      </c>
      <c r="T589" s="237">
        <f t="shared" si="69"/>
        <v>0</v>
      </c>
    </row>
    <row r="590" spans="1:20" ht="30" hidden="1" customHeight="1" x14ac:dyDescent="0.3">
      <c r="A590" s="262">
        <v>4</v>
      </c>
      <c r="C590" s="244">
        <v>308</v>
      </c>
      <c r="D590" s="161" t="s">
        <v>823</v>
      </c>
      <c r="E590" s="969" t="s">
        <v>1174</v>
      </c>
      <c r="F590" s="970"/>
      <c r="G590" s="971"/>
      <c r="H590" s="544" t="s">
        <v>286</v>
      </c>
      <c r="I590" s="212">
        <v>3666936</v>
      </c>
      <c r="J590" s="605"/>
      <c r="K590" s="212">
        <v>1</v>
      </c>
      <c r="L590" s="212">
        <f t="shared" si="67"/>
        <v>3666936</v>
      </c>
      <c r="M590" s="602"/>
      <c r="N590" s="675">
        <f>+'Yeşil Defter'!K576</f>
        <v>0</v>
      </c>
      <c r="O590" s="675">
        <f>+'Yeşil Defter'!L576</f>
        <v>0</v>
      </c>
      <c r="P590" s="675">
        <f>+'Yeşil Defter'!M576</f>
        <v>0</v>
      </c>
      <c r="Q590" s="212"/>
      <c r="R590" s="605">
        <f t="shared" si="68"/>
        <v>0</v>
      </c>
      <c r="S590" s="225">
        <f t="shared" si="65"/>
        <v>0</v>
      </c>
      <c r="T590" s="237">
        <f t="shared" si="69"/>
        <v>0</v>
      </c>
    </row>
    <row r="591" spans="1:20" ht="30" hidden="1" customHeight="1" x14ac:dyDescent="0.3">
      <c r="A591" s="262">
        <v>4</v>
      </c>
      <c r="C591" s="244">
        <v>309</v>
      </c>
      <c r="D591" s="161" t="s">
        <v>824</v>
      </c>
      <c r="E591" s="969" t="s">
        <v>1182</v>
      </c>
      <c r="F591" s="970"/>
      <c r="G591" s="971"/>
      <c r="H591" s="544" t="s">
        <v>286</v>
      </c>
      <c r="I591" s="212">
        <v>3859933</v>
      </c>
      <c r="J591" s="605"/>
      <c r="K591" s="212">
        <v>1</v>
      </c>
      <c r="L591" s="212">
        <f t="shared" si="67"/>
        <v>3859933</v>
      </c>
      <c r="M591" s="602"/>
      <c r="N591" s="675">
        <f>+'Yeşil Defter'!K577</f>
        <v>0</v>
      </c>
      <c r="O591" s="675">
        <f>+'Yeşil Defter'!L577</f>
        <v>0</v>
      </c>
      <c r="P591" s="675">
        <f>+'Yeşil Defter'!M577</f>
        <v>0</v>
      </c>
      <c r="Q591" s="212"/>
      <c r="R591" s="605">
        <f t="shared" si="68"/>
        <v>0</v>
      </c>
      <c r="S591" s="225">
        <f t="shared" si="65"/>
        <v>0</v>
      </c>
      <c r="T591" s="237">
        <f t="shared" si="69"/>
        <v>0</v>
      </c>
    </row>
    <row r="592" spans="1:20" ht="30" hidden="1" customHeight="1" x14ac:dyDescent="0.3">
      <c r="A592" s="262">
        <v>4</v>
      </c>
      <c r="C592" s="244">
        <v>310</v>
      </c>
      <c r="D592" s="161" t="s">
        <v>825</v>
      </c>
      <c r="E592" s="969" t="s">
        <v>1190</v>
      </c>
      <c r="F592" s="970"/>
      <c r="G592" s="971"/>
      <c r="H592" s="544" t="s">
        <v>286</v>
      </c>
      <c r="I592" s="212">
        <v>3473939</v>
      </c>
      <c r="J592" s="605"/>
      <c r="K592" s="212">
        <v>1</v>
      </c>
      <c r="L592" s="212">
        <f t="shared" si="67"/>
        <v>3473939</v>
      </c>
      <c r="M592" s="602"/>
      <c r="N592" s="675">
        <f>+'Yeşil Defter'!K578</f>
        <v>0</v>
      </c>
      <c r="O592" s="675">
        <f>+'Yeşil Defter'!L578</f>
        <v>0</v>
      </c>
      <c r="P592" s="675">
        <f>+'Yeşil Defter'!M578</f>
        <v>0</v>
      </c>
      <c r="Q592" s="212"/>
      <c r="R592" s="605">
        <f t="shared" si="68"/>
        <v>0</v>
      </c>
      <c r="S592" s="225">
        <f t="shared" si="65"/>
        <v>0</v>
      </c>
      <c r="T592" s="237">
        <f t="shared" si="69"/>
        <v>0</v>
      </c>
    </row>
    <row r="593" spans="1:20" ht="30" hidden="1" customHeight="1" x14ac:dyDescent="0.3">
      <c r="A593" s="262">
        <v>4</v>
      </c>
      <c r="C593" s="244">
        <v>311</v>
      </c>
      <c r="D593" s="161" t="s">
        <v>826</v>
      </c>
      <c r="E593" s="969" t="s">
        <v>827</v>
      </c>
      <c r="F593" s="970"/>
      <c r="G593" s="971"/>
      <c r="H593" s="544" t="s">
        <v>286</v>
      </c>
      <c r="I593" s="212">
        <v>3666936</v>
      </c>
      <c r="J593" s="605"/>
      <c r="K593" s="212">
        <v>1</v>
      </c>
      <c r="L593" s="212">
        <f t="shared" si="67"/>
        <v>3666936</v>
      </c>
      <c r="M593" s="602"/>
      <c r="N593" s="675">
        <f>+'Yeşil Defter'!K579</f>
        <v>0</v>
      </c>
      <c r="O593" s="675">
        <f>+'Yeşil Defter'!L579</f>
        <v>0</v>
      </c>
      <c r="P593" s="675">
        <f>+'Yeşil Defter'!M579</f>
        <v>0</v>
      </c>
      <c r="Q593" s="212"/>
      <c r="R593" s="605">
        <f t="shared" si="68"/>
        <v>0</v>
      </c>
      <c r="S593" s="225">
        <f t="shared" si="65"/>
        <v>0</v>
      </c>
      <c r="T593" s="237">
        <f t="shared" si="69"/>
        <v>0</v>
      </c>
    </row>
    <row r="594" spans="1:20" ht="30" hidden="1" customHeight="1" x14ac:dyDescent="0.3">
      <c r="A594" s="262">
        <v>4</v>
      </c>
      <c r="C594" s="244">
        <v>312</v>
      </c>
      <c r="D594" s="161" t="s">
        <v>828</v>
      </c>
      <c r="E594" s="969" t="s">
        <v>829</v>
      </c>
      <c r="F594" s="970"/>
      <c r="G594" s="971"/>
      <c r="H594" s="544" t="s">
        <v>286</v>
      </c>
      <c r="I594" s="212">
        <v>2070501</v>
      </c>
      <c r="J594" s="605"/>
      <c r="K594" s="212">
        <v>1</v>
      </c>
      <c r="L594" s="212">
        <f t="shared" si="67"/>
        <v>2070501</v>
      </c>
      <c r="M594" s="602"/>
      <c r="N594" s="675">
        <f>+'Yeşil Defter'!K580</f>
        <v>0</v>
      </c>
      <c r="O594" s="675">
        <f>+'Yeşil Defter'!L580</f>
        <v>0</v>
      </c>
      <c r="P594" s="675">
        <f>+'Yeşil Defter'!M580</f>
        <v>0</v>
      </c>
      <c r="Q594" s="212"/>
      <c r="R594" s="605">
        <f t="shared" si="68"/>
        <v>0</v>
      </c>
      <c r="S594" s="225">
        <f t="shared" si="65"/>
        <v>0</v>
      </c>
      <c r="T594" s="237">
        <f t="shared" si="69"/>
        <v>0</v>
      </c>
    </row>
    <row r="595" spans="1:20" ht="30" hidden="1" customHeight="1" x14ac:dyDescent="0.3">
      <c r="A595" s="262">
        <v>4</v>
      </c>
      <c r="C595" s="244">
        <v>313</v>
      </c>
      <c r="D595" s="161" t="s">
        <v>830</v>
      </c>
      <c r="E595" s="969" t="s">
        <v>1167</v>
      </c>
      <c r="F595" s="970"/>
      <c r="G595" s="971"/>
      <c r="H595" s="544" t="s">
        <v>286</v>
      </c>
      <c r="I595" s="212">
        <v>5740604</v>
      </c>
      <c r="J595" s="605"/>
      <c r="K595" s="212">
        <v>1</v>
      </c>
      <c r="L595" s="212">
        <f t="shared" si="67"/>
        <v>5740604</v>
      </c>
      <c r="M595" s="602"/>
      <c r="N595" s="675">
        <f>+'Yeşil Defter'!K581</f>
        <v>0</v>
      </c>
      <c r="O595" s="675">
        <f>+'Yeşil Defter'!L581</f>
        <v>0</v>
      </c>
      <c r="P595" s="675">
        <f>+'Yeşil Defter'!M581</f>
        <v>0</v>
      </c>
      <c r="Q595" s="212"/>
      <c r="R595" s="605">
        <f t="shared" si="68"/>
        <v>0</v>
      </c>
      <c r="S595" s="225">
        <f t="shared" si="65"/>
        <v>0</v>
      </c>
      <c r="T595" s="237">
        <f t="shared" si="69"/>
        <v>0</v>
      </c>
    </row>
    <row r="596" spans="1:20" ht="30" hidden="1" customHeight="1" x14ac:dyDescent="0.3">
      <c r="A596" s="262">
        <v>4</v>
      </c>
      <c r="C596" s="244">
        <v>314</v>
      </c>
      <c r="D596" s="161" t="s">
        <v>831</v>
      </c>
      <c r="E596" s="969" t="s">
        <v>1175</v>
      </c>
      <c r="F596" s="970"/>
      <c r="G596" s="971"/>
      <c r="H596" s="544" t="s">
        <v>286</v>
      </c>
      <c r="I596" s="212">
        <v>6268475</v>
      </c>
      <c r="J596" s="605"/>
      <c r="K596" s="212">
        <v>1</v>
      </c>
      <c r="L596" s="212">
        <f t="shared" si="67"/>
        <v>6268475</v>
      </c>
      <c r="M596" s="602"/>
      <c r="N596" s="675">
        <f>+'Yeşil Defter'!K582</f>
        <v>0</v>
      </c>
      <c r="O596" s="675">
        <f>+'Yeşil Defter'!L582</f>
        <v>0</v>
      </c>
      <c r="P596" s="675">
        <f>+'Yeşil Defter'!M582</f>
        <v>0</v>
      </c>
      <c r="Q596" s="212"/>
      <c r="R596" s="605">
        <f t="shared" si="68"/>
        <v>0</v>
      </c>
      <c r="S596" s="225">
        <f t="shared" si="65"/>
        <v>0</v>
      </c>
      <c r="T596" s="237">
        <f t="shared" si="69"/>
        <v>0</v>
      </c>
    </row>
    <row r="597" spans="1:20" ht="40.049999999999997" hidden="1" customHeight="1" x14ac:dyDescent="0.3">
      <c r="A597" s="262" t="s">
        <v>1242</v>
      </c>
      <c r="C597" s="258"/>
      <c r="D597" s="258"/>
      <c r="E597" s="972" t="s">
        <v>33</v>
      </c>
      <c r="F597" s="972"/>
      <c r="G597" s="972"/>
      <c r="H597" s="973" t="s">
        <v>29</v>
      </c>
      <c r="I597" s="973"/>
      <c r="J597" s="973"/>
      <c r="K597" s="973"/>
      <c r="L597" s="973"/>
      <c r="M597" s="549"/>
      <c r="N597" s="973" t="s">
        <v>22</v>
      </c>
      <c r="O597" s="973"/>
      <c r="P597" s="973"/>
      <c r="Q597" s="973"/>
      <c r="R597" s="973"/>
      <c r="S597" s="973"/>
      <c r="T597" s="973"/>
    </row>
    <row r="598" spans="1:20" ht="19.95" hidden="1" customHeight="1" x14ac:dyDescent="0.3">
      <c r="A598" s="262" t="s">
        <v>1242</v>
      </c>
      <c r="D598" s="28"/>
      <c r="E598" s="974" t="s">
        <v>1214</v>
      </c>
      <c r="F598" s="974"/>
      <c r="G598" s="974"/>
      <c r="H598" s="975" t="s">
        <v>38</v>
      </c>
      <c r="I598" s="975"/>
      <c r="J598" s="975"/>
      <c r="K598" s="975"/>
      <c r="L598" s="975"/>
      <c r="M598" s="562"/>
      <c r="N598" s="975" t="s">
        <v>1437</v>
      </c>
      <c r="O598" s="975"/>
      <c r="P598" s="975"/>
      <c r="Q598" s="975"/>
      <c r="R598" s="975"/>
      <c r="S598" s="975"/>
      <c r="T598" s="975"/>
    </row>
    <row r="599" spans="1:20" ht="19.95" hidden="1" customHeight="1" x14ac:dyDescent="0.3">
      <c r="A599" s="262" t="s">
        <v>1242</v>
      </c>
      <c r="C599" s="228"/>
      <c r="D599" s="228"/>
      <c r="E599" s="561"/>
      <c r="F599" s="561"/>
      <c r="G599" s="561"/>
      <c r="H599" s="228"/>
      <c r="I599" s="260"/>
      <c r="J599" s="260"/>
      <c r="K599" s="260"/>
      <c r="L599" s="260"/>
      <c r="M599" s="260"/>
      <c r="N599" s="975"/>
      <c r="O599" s="975"/>
      <c r="P599" s="975"/>
      <c r="Q599" s="975"/>
      <c r="R599" s="975"/>
      <c r="S599" s="975"/>
      <c r="T599" s="975"/>
    </row>
    <row r="600" spans="1:20" ht="19.95" hidden="1" customHeight="1" x14ac:dyDescent="0.3">
      <c r="A600" s="262" t="s">
        <v>1242</v>
      </c>
      <c r="C600" s="228"/>
      <c r="D600" s="228"/>
      <c r="E600" s="561"/>
      <c r="F600" s="561"/>
      <c r="G600" s="561"/>
      <c r="H600" s="228"/>
      <c r="I600" s="260"/>
      <c r="J600" s="260"/>
      <c r="K600" s="260"/>
      <c r="L600" s="260"/>
      <c r="M600" s="260"/>
      <c r="N600" s="975"/>
      <c r="O600" s="975"/>
      <c r="P600" s="975"/>
      <c r="Q600" s="975"/>
      <c r="R600" s="975"/>
      <c r="S600" s="975"/>
      <c r="T600" s="975"/>
    </row>
    <row r="601" spans="1:20" ht="19.95" hidden="1" customHeight="1" x14ac:dyDescent="0.3">
      <c r="A601" s="262" t="s">
        <v>1242</v>
      </c>
      <c r="C601" s="228"/>
      <c r="D601" s="228"/>
      <c r="E601" s="561"/>
      <c r="F601" s="561"/>
      <c r="G601" s="561"/>
      <c r="H601" s="261"/>
      <c r="I601" s="261"/>
      <c r="J601" s="261"/>
      <c r="K601" s="261"/>
      <c r="L601" s="261"/>
      <c r="M601" s="261"/>
      <c r="N601" s="260"/>
      <c r="O601" s="260"/>
      <c r="P601" s="260"/>
      <c r="Q601" s="260"/>
      <c r="R601" s="260"/>
      <c r="S601" s="260"/>
      <c r="T601" s="260"/>
    </row>
    <row r="602" spans="1:20" ht="19.95" hidden="1" customHeight="1" x14ac:dyDescent="0.3">
      <c r="A602" s="262" t="s">
        <v>1242</v>
      </c>
      <c r="C602" s="228"/>
      <c r="D602" s="228"/>
      <c r="E602" s="561"/>
      <c r="F602" s="561"/>
      <c r="G602" s="561"/>
      <c r="H602" s="975" t="s">
        <v>32</v>
      </c>
      <c r="I602" s="975"/>
      <c r="J602" s="562"/>
      <c r="K602" s="975" t="s">
        <v>1407</v>
      </c>
      <c r="L602" s="975"/>
      <c r="M602" s="562"/>
      <c r="N602" s="968" t="s">
        <v>52</v>
      </c>
      <c r="O602" s="968"/>
      <c r="P602" s="968"/>
      <c r="Q602" s="968"/>
      <c r="R602" s="968"/>
      <c r="S602" s="968"/>
      <c r="T602" s="968"/>
    </row>
    <row r="603" spans="1:20" ht="19.95" hidden="1" customHeight="1" x14ac:dyDescent="0.3">
      <c r="A603" s="262" t="s">
        <v>1242</v>
      </c>
      <c r="C603" s="228"/>
      <c r="D603" s="228"/>
      <c r="E603" s="561"/>
      <c r="F603" s="561"/>
      <c r="G603" s="561"/>
      <c r="H603" s="976" t="s">
        <v>94</v>
      </c>
      <c r="I603" s="976"/>
      <c r="J603" s="623"/>
      <c r="K603" s="976" t="s">
        <v>94</v>
      </c>
      <c r="L603" s="976"/>
      <c r="M603" s="623"/>
      <c r="N603" s="968" t="s">
        <v>1485</v>
      </c>
      <c r="O603" s="968"/>
      <c r="P603" s="968"/>
      <c r="Q603" s="968"/>
      <c r="R603" s="968"/>
      <c r="S603" s="968"/>
      <c r="T603" s="968"/>
    </row>
    <row r="604" spans="1:20" ht="19.95" hidden="1" customHeight="1" x14ac:dyDescent="0.3">
      <c r="A604" s="262" t="s">
        <v>1242</v>
      </c>
      <c r="C604" s="228"/>
      <c r="D604" s="228"/>
      <c r="E604" s="561"/>
      <c r="F604" s="561"/>
      <c r="G604" s="561"/>
      <c r="H604" s="976"/>
      <c r="I604" s="976"/>
      <c r="J604" s="623"/>
      <c r="K604" s="976"/>
      <c r="L604" s="976"/>
      <c r="M604" s="623"/>
      <c r="N604" s="968"/>
      <c r="O604" s="968"/>
      <c r="P604" s="968"/>
      <c r="Q604" s="968"/>
      <c r="R604" s="968"/>
      <c r="S604" s="968"/>
      <c r="T604" s="968"/>
    </row>
    <row r="605" spans="1:20" ht="19.95" hidden="1" customHeight="1" x14ac:dyDescent="0.3">
      <c r="A605" s="262" t="s">
        <v>1242</v>
      </c>
      <c r="C605" s="228"/>
      <c r="D605" s="228"/>
      <c r="E605" s="561"/>
      <c r="F605" s="561"/>
      <c r="G605" s="561"/>
      <c r="H605" s="228"/>
      <c r="I605" s="260"/>
      <c r="J605" s="260"/>
      <c r="K605" s="260"/>
      <c r="L605" s="260"/>
      <c r="M605" s="260"/>
      <c r="N605" s="260"/>
      <c r="O605" s="260"/>
      <c r="P605" s="260"/>
      <c r="Q605" s="260"/>
      <c r="R605" s="260"/>
      <c r="S605" s="624"/>
      <c r="T605" s="260"/>
    </row>
    <row r="606" spans="1:20" ht="19.95" hidden="1" customHeight="1" x14ac:dyDescent="0.3">
      <c r="A606" s="262" t="s">
        <v>1242</v>
      </c>
      <c r="C606" s="228"/>
      <c r="D606" s="228"/>
      <c r="E606" s="975" t="s">
        <v>1215</v>
      </c>
      <c r="F606" s="975"/>
      <c r="G606" s="975"/>
      <c r="H606" s="975" t="s">
        <v>1348</v>
      </c>
      <c r="I606" s="975"/>
      <c r="J606" s="975"/>
      <c r="K606" s="975"/>
      <c r="L606" s="975"/>
      <c r="M606" s="562"/>
      <c r="N606" s="977" t="s">
        <v>1219</v>
      </c>
      <c r="O606" s="968"/>
      <c r="P606" s="968"/>
      <c r="Q606" s="968"/>
      <c r="R606" s="968"/>
      <c r="S606" s="968"/>
      <c r="T606" s="968"/>
    </row>
    <row r="607" spans="1:20" ht="19.95" hidden="1" customHeight="1" x14ac:dyDescent="0.3">
      <c r="A607" s="262" t="s">
        <v>1290</v>
      </c>
      <c r="C607" s="228"/>
      <c r="D607" s="228"/>
      <c r="E607" s="975"/>
      <c r="F607" s="975"/>
      <c r="G607" s="975"/>
      <c r="H607" s="975"/>
      <c r="I607" s="975"/>
      <c r="J607" s="975"/>
      <c r="K607" s="975"/>
      <c r="L607" s="975"/>
      <c r="M607" s="562"/>
      <c r="N607" s="968"/>
      <c r="O607" s="968"/>
      <c r="P607" s="968"/>
      <c r="Q607" s="968"/>
      <c r="R607" s="968"/>
      <c r="S607" s="968"/>
      <c r="T607" s="968"/>
    </row>
    <row r="608" spans="1:20" ht="30" hidden="1" customHeight="1" x14ac:dyDescent="0.3">
      <c r="A608" s="262">
        <v>4</v>
      </c>
      <c r="C608" s="255">
        <v>315</v>
      </c>
      <c r="D608" s="256" t="s">
        <v>832</v>
      </c>
      <c r="E608" s="978" t="s">
        <v>1183</v>
      </c>
      <c r="F608" s="979"/>
      <c r="G608" s="980"/>
      <c r="H608" s="546" t="s">
        <v>286</v>
      </c>
      <c r="I608" s="257">
        <v>6598395</v>
      </c>
      <c r="J608" s="606"/>
      <c r="K608" s="257">
        <v>1</v>
      </c>
      <c r="L608" s="257">
        <f t="shared" ref="L608:L630" si="70">+ROUND(I608*K608,2)</f>
        <v>6598395</v>
      </c>
      <c r="M608" s="603"/>
      <c r="N608" s="675">
        <f>+'Yeşil Defter'!K583</f>
        <v>0</v>
      </c>
      <c r="O608" s="675">
        <f>+'Yeşil Defter'!L583</f>
        <v>0</v>
      </c>
      <c r="P608" s="675">
        <f>+'Yeşil Defter'!M583</f>
        <v>0</v>
      </c>
      <c r="Q608" s="257"/>
      <c r="R608" s="606">
        <f t="shared" ref="R608:R630" si="71">+ROUND(K608*N608,2)</f>
        <v>0</v>
      </c>
      <c r="S608" s="247">
        <f t="shared" ref="S608:S745" si="72">+T608-R608</f>
        <v>0</v>
      </c>
      <c r="T608" s="248">
        <f t="shared" ref="T608:T630" si="73">+ROUND(K608*P608,2)</f>
        <v>0</v>
      </c>
    </row>
    <row r="609" spans="1:20" ht="30" hidden="1" customHeight="1" x14ac:dyDescent="0.3">
      <c r="A609" s="262">
        <v>4</v>
      </c>
      <c r="C609" s="244">
        <v>316</v>
      </c>
      <c r="D609" s="161" t="s">
        <v>833</v>
      </c>
      <c r="E609" s="969" t="s">
        <v>1191</v>
      </c>
      <c r="F609" s="970"/>
      <c r="G609" s="971"/>
      <c r="H609" s="544" t="s">
        <v>286</v>
      </c>
      <c r="I609" s="212">
        <v>5938556</v>
      </c>
      <c r="J609" s="605"/>
      <c r="K609" s="212">
        <v>1</v>
      </c>
      <c r="L609" s="212">
        <f t="shared" si="70"/>
        <v>5938556</v>
      </c>
      <c r="M609" s="602"/>
      <c r="N609" s="675">
        <f>+'Yeşil Defter'!K584</f>
        <v>0</v>
      </c>
      <c r="O609" s="675">
        <f>+'Yeşil Defter'!L584</f>
        <v>0</v>
      </c>
      <c r="P609" s="675">
        <f>+'Yeşil Defter'!M584</f>
        <v>0</v>
      </c>
      <c r="Q609" s="212"/>
      <c r="R609" s="605">
        <f t="shared" si="71"/>
        <v>0</v>
      </c>
      <c r="S609" s="225">
        <f t="shared" si="72"/>
        <v>0</v>
      </c>
      <c r="T609" s="237">
        <f t="shared" si="73"/>
        <v>0</v>
      </c>
    </row>
    <row r="610" spans="1:20" ht="30" hidden="1" customHeight="1" x14ac:dyDescent="0.3">
      <c r="A610" s="262">
        <v>4</v>
      </c>
      <c r="C610" s="244">
        <v>317</v>
      </c>
      <c r="D610" s="161" t="s">
        <v>834</v>
      </c>
      <c r="E610" s="969" t="s">
        <v>835</v>
      </c>
      <c r="F610" s="970"/>
      <c r="G610" s="971"/>
      <c r="H610" s="544" t="s">
        <v>286</v>
      </c>
      <c r="I610" s="212">
        <v>6268475</v>
      </c>
      <c r="J610" s="605"/>
      <c r="K610" s="212">
        <v>1</v>
      </c>
      <c r="L610" s="212">
        <f t="shared" si="70"/>
        <v>6268475</v>
      </c>
      <c r="M610" s="602"/>
      <c r="N610" s="675">
        <f>+'Yeşil Defter'!K585</f>
        <v>0</v>
      </c>
      <c r="O610" s="675">
        <f>+'Yeşil Defter'!L585</f>
        <v>0</v>
      </c>
      <c r="P610" s="675">
        <f>+'Yeşil Defter'!M585</f>
        <v>0</v>
      </c>
      <c r="Q610" s="212"/>
      <c r="R610" s="605">
        <f t="shared" si="71"/>
        <v>0</v>
      </c>
      <c r="S610" s="225">
        <f t="shared" si="72"/>
        <v>0</v>
      </c>
      <c r="T610" s="237">
        <f t="shared" si="73"/>
        <v>0</v>
      </c>
    </row>
    <row r="611" spans="1:20" ht="30" hidden="1" customHeight="1" x14ac:dyDescent="0.3">
      <c r="A611" s="262">
        <v>4</v>
      </c>
      <c r="C611" s="244">
        <v>318</v>
      </c>
      <c r="D611" s="161" t="s">
        <v>836</v>
      </c>
      <c r="E611" s="969" t="s">
        <v>837</v>
      </c>
      <c r="F611" s="970"/>
      <c r="G611" s="971"/>
      <c r="H611" s="544" t="s">
        <v>286</v>
      </c>
      <c r="I611" s="212">
        <v>21648954</v>
      </c>
      <c r="J611" s="605"/>
      <c r="K611" s="212">
        <v>1</v>
      </c>
      <c r="L611" s="212">
        <f t="shared" si="70"/>
        <v>21648954</v>
      </c>
      <c r="M611" s="602"/>
      <c r="N611" s="675">
        <f>+'Yeşil Defter'!K586</f>
        <v>0</v>
      </c>
      <c r="O611" s="675">
        <f>+'Yeşil Defter'!L586</f>
        <v>0</v>
      </c>
      <c r="P611" s="675">
        <f>+'Yeşil Defter'!M586</f>
        <v>0</v>
      </c>
      <c r="Q611" s="212"/>
      <c r="R611" s="605">
        <f t="shared" si="71"/>
        <v>0</v>
      </c>
      <c r="S611" s="225">
        <f t="shared" si="72"/>
        <v>0</v>
      </c>
      <c r="T611" s="237">
        <f t="shared" si="73"/>
        <v>0</v>
      </c>
    </row>
    <row r="612" spans="1:20" ht="30" hidden="1" customHeight="1" x14ac:dyDescent="0.3">
      <c r="A612" s="262">
        <v>4</v>
      </c>
      <c r="C612" s="244">
        <v>319</v>
      </c>
      <c r="D612" s="161" t="s">
        <v>838</v>
      </c>
      <c r="E612" s="969" t="s">
        <v>1168</v>
      </c>
      <c r="F612" s="970"/>
      <c r="G612" s="971"/>
      <c r="H612" s="544" t="s">
        <v>286</v>
      </c>
      <c r="I612" s="212">
        <v>518000</v>
      </c>
      <c r="J612" s="605"/>
      <c r="K612" s="212">
        <v>1</v>
      </c>
      <c r="L612" s="212">
        <f t="shared" si="70"/>
        <v>518000</v>
      </c>
      <c r="M612" s="602"/>
      <c r="N612" s="675">
        <f>+'Yeşil Defter'!K587</f>
        <v>0</v>
      </c>
      <c r="O612" s="675">
        <f>+'Yeşil Defter'!L587</f>
        <v>0</v>
      </c>
      <c r="P612" s="675">
        <f>+'Yeşil Defter'!M587</f>
        <v>0</v>
      </c>
      <c r="Q612" s="212"/>
      <c r="R612" s="605">
        <f t="shared" si="71"/>
        <v>0</v>
      </c>
      <c r="S612" s="225">
        <f t="shared" si="72"/>
        <v>0</v>
      </c>
      <c r="T612" s="237">
        <f t="shared" si="73"/>
        <v>0</v>
      </c>
    </row>
    <row r="613" spans="1:20" ht="30" hidden="1" customHeight="1" x14ac:dyDescent="0.3">
      <c r="A613" s="262">
        <v>4</v>
      </c>
      <c r="C613" s="244">
        <v>320</v>
      </c>
      <c r="D613" s="161" t="s">
        <v>839</v>
      </c>
      <c r="E613" s="969" t="s">
        <v>1176</v>
      </c>
      <c r="F613" s="970"/>
      <c r="G613" s="971"/>
      <c r="H613" s="544" t="s">
        <v>286</v>
      </c>
      <c r="I613" s="212">
        <v>518000</v>
      </c>
      <c r="J613" s="605"/>
      <c r="K613" s="212">
        <v>1</v>
      </c>
      <c r="L613" s="212">
        <f t="shared" si="70"/>
        <v>518000</v>
      </c>
      <c r="M613" s="602"/>
      <c r="N613" s="675">
        <f>+'Yeşil Defter'!K588</f>
        <v>0</v>
      </c>
      <c r="O613" s="675">
        <f>+'Yeşil Defter'!L588</f>
        <v>0</v>
      </c>
      <c r="P613" s="675">
        <f>+'Yeşil Defter'!M588</f>
        <v>0</v>
      </c>
      <c r="Q613" s="212"/>
      <c r="R613" s="605">
        <f t="shared" si="71"/>
        <v>0</v>
      </c>
      <c r="S613" s="225">
        <f t="shared" si="72"/>
        <v>0</v>
      </c>
      <c r="T613" s="237">
        <f t="shared" si="73"/>
        <v>0</v>
      </c>
    </row>
    <row r="614" spans="1:20" ht="30" hidden="1" customHeight="1" x14ac:dyDescent="0.3">
      <c r="A614" s="262">
        <v>4</v>
      </c>
      <c r="C614" s="244">
        <v>321</v>
      </c>
      <c r="D614" s="161" t="s">
        <v>840</v>
      </c>
      <c r="E614" s="969" t="s">
        <v>1184</v>
      </c>
      <c r="F614" s="970"/>
      <c r="G614" s="971"/>
      <c r="H614" s="544" t="s">
        <v>286</v>
      </c>
      <c r="I614" s="212">
        <v>518000</v>
      </c>
      <c r="J614" s="605"/>
      <c r="K614" s="212">
        <v>1</v>
      </c>
      <c r="L614" s="212">
        <f t="shared" si="70"/>
        <v>518000</v>
      </c>
      <c r="M614" s="602"/>
      <c r="N614" s="675">
        <f>+'Yeşil Defter'!K589</f>
        <v>0</v>
      </c>
      <c r="O614" s="675">
        <f>+'Yeşil Defter'!L589</f>
        <v>0</v>
      </c>
      <c r="P614" s="675">
        <f>+'Yeşil Defter'!M589</f>
        <v>0</v>
      </c>
      <c r="Q614" s="212"/>
      <c r="R614" s="605">
        <f t="shared" si="71"/>
        <v>0</v>
      </c>
      <c r="S614" s="225">
        <f t="shared" si="72"/>
        <v>0</v>
      </c>
      <c r="T614" s="237">
        <f t="shared" si="73"/>
        <v>0</v>
      </c>
    </row>
    <row r="615" spans="1:20" ht="30" hidden="1" customHeight="1" x14ac:dyDescent="0.3">
      <c r="A615" s="262">
        <v>4</v>
      </c>
      <c r="C615" s="244">
        <v>322</v>
      </c>
      <c r="D615" s="161" t="s">
        <v>841</v>
      </c>
      <c r="E615" s="969" t="s">
        <v>1192</v>
      </c>
      <c r="F615" s="970"/>
      <c r="G615" s="971"/>
      <c r="H615" s="544" t="s">
        <v>286</v>
      </c>
      <c r="I615" s="212">
        <v>518000</v>
      </c>
      <c r="J615" s="605"/>
      <c r="K615" s="212">
        <v>1</v>
      </c>
      <c r="L615" s="212">
        <f t="shared" si="70"/>
        <v>518000</v>
      </c>
      <c r="M615" s="602"/>
      <c r="N615" s="675">
        <f>+'Yeşil Defter'!K590</f>
        <v>0</v>
      </c>
      <c r="O615" s="675">
        <f>+'Yeşil Defter'!L590</f>
        <v>0</v>
      </c>
      <c r="P615" s="675">
        <f>+'Yeşil Defter'!M590</f>
        <v>0</v>
      </c>
      <c r="Q615" s="212"/>
      <c r="R615" s="605">
        <f t="shared" si="71"/>
        <v>0</v>
      </c>
      <c r="S615" s="225">
        <f t="shared" si="72"/>
        <v>0</v>
      </c>
      <c r="T615" s="237">
        <f t="shared" si="73"/>
        <v>0</v>
      </c>
    </row>
    <row r="616" spans="1:20" ht="30" hidden="1" customHeight="1" x14ac:dyDescent="0.3">
      <c r="A616" s="262">
        <v>4</v>
      </c>
      <c r="C616" s="244">
        <v>323</v>
      </c>
      <c r="D616" s="161" t="s">
        <v>842</v>
      </c>
      <c r="E616" s="969" t="s">
        <v>843</v>
      </c>
      <c r="F616" s="970"/>
      <c r="G616" s="971"/>
      <c r="H616" s="544" t="s">
        <v>286</v>
      </c>
      <c r="I616" s="212">
        <v>518000</v>
      </c>
      <c r="J616" s="605"/>
      <c r="K616" s="212">
        <v>1</v>
      </c>
      <c r="L616" s="212">
        <f t="shared" si="70"/>
        <v>518000</v>
      </c>
      <c r="M616" s="602"/>
      <c r="N616" s="675">
        <f>+'Yeşil Defter'!K591</f>
        <v>0</v>
      </c>
      <c r="O616" s="675">
        <f>+'Yeşil Defter'!L591</f>
        <v>0</v>
      </c>
      <c r="P616" s="675">
        <f>+'Yeşil Defter'!M591</f>
        <v>0</v>
      </c>
      <c r="Q616" s="212"/>
      <c r="R616" s="605">
        <f t="shared" si="71"/>
        <v>0</v>
      </c>
      <c r="S616" s="225">
        <f t="shared" si="72"/>
        <v>0</v>
      </c>
      <c r="T616" s="237">
        <f t="shared" si="73"/>
        <v>0</v>
      </c>
    </row>
    <row r="617" spans="1:20" ht="30" hidden="1" customHeight="1" x14ac:dyDescent="0.3">
      <c r="A617" s="262">
        <v>4</v>
      </c>
      <c r="C617" s="244">
        <v>324</v>
      </c>
      <c r="D617" s="161" t="s">
        <v>844</v>
      </c>
      <c r="E617" s="969" t="s">
        <v>845</v>
      </c>
      <c r="F617" s="970"/>
      <c r="G617" s="971"/>
      <c r="H617" s="544" t="s">
        <v>286</v>
      </c>
      <c r="I617" s="212">
        <v>971250</v>
      </c>
      <c r="J617" s="605"/>
      <c r="K617" s="212">
        <v>1</v>
      </c>
      <c r="L617" s="212">
        <f t="shared" si="70"/>
        <v>971250</v>
      </c>
      <c r="M617" s="602"/>
      <c r="N617" s="675">
        <f>+'Yeşil Defter'!K592</f>
        <v>0</v>
      </c>
      <c r="O617" s="675">
        <f>+'Yeşil Defter'!L592</f>
        <v>0</v>
      </c>
      <c r="P617" s="675">
        <f>+'Yeşil Defter'!M592</f>
        <v>0</v>
      </c>
      <c r="Q617" s="212"/>
      <c r="R617" s="605">
        <f t="shared" si="71"/>
        <v>0</v>
      </c>
      <c r="S617" s="225">
        <f t="shared" si="72"/>
        <v>0</v>
      </c>
      <c r="T617" s="237">
        <f t="shared" si="73"/>
        <v>0</v>
      </c>
    </row>
    <row r="618" spans="1:20" ht="30" hidden="1" customHeight="1" x14ac:dyDescent="0.3">
      <c r="A618" s="262">
        <v>4</v>
      </c>
      <c r="C618" s="244">
        <v>325</v>
      </c>
      <c r="D618" s="161" t="s">
        <v>846</v>
      </c>
      <c r="E618" s="969" t="s">
        <v>1169</v>
      </c>
      <c r="F618" s="970"/>
      <c r="G618" s="971"/>
      <c r="H618" s="544" t="s">
        <v>286</v>
      </c>
      <c r="I618" s="212">
        <v>3586388</v>
      </c>
      <c r="J618" s="605"/>
      <c r="K618" s="212">
        <v>1</v>
      </c>
      <c r="L618" s="212">
        <f t="shared" si="70"/>
        <v>3586388</v>
      </c>
      <c r="M618" s="602"/>
      <c r="N618" s="675">
        <f>+'Yeşil Defter'!K593</f>
        <v>0</v>
      </c>
      <c r="O618" s="675">
        <f>+'Yeşil Defter'!L593</f>
        <v>0</v>
      </c>
      <c r="P618" s="675">
        <f>+'Yeşil Defter'!M593</f>
        <v>0</v>
      </c>
      <c r="Q618" s="212"/>
      <c r="R618" s="605">
        <f t="shared" si="71"/>
        <v>0</v>
      </c>
      <c r="S618" s="225">
        <f t="shared" si="72"/>
        <v>0</v>
      </c>
      <c r="T618" s="237">
        <f t="shared" si="73"/>
        <v>0</v>
      </c>
    </row>
    <row r="619" spans="1:20" ht="30" hidden="1" customHeight="1" x14ac:dyDescent="0.3">
      <c r="A619" s="262">
        <v>4</v>
      </c>
      <c r="C619" s="244">
        <v>326</v>
      </c>
      <c r="D619" s="161" t="s">
        <v>847</v>
      </c>
      <c r="E619" s="969" t="s">
        <v>1177</v>
      </c>
      <c r="F619" s="970"/>
      <c r="G619" s="971"/>
      <c r="H619" s="544" t="s">
        <v>286</v>
      </c>
      <c r="I619" s="212">
        <v>3916171</v>
      </c>
      <c r="J619" s="605"/>
      <c r="K619" s="212">
        <v>1</v>
      </c>
      <c r="L619" s="212">
        <f t="shared" si="70"/>
        <v>3916171</v>
      </c>
      <c r="M619" s="602"/>
      <c r="N619" s="675">
        <f>+'Yeşil Defter'!K594</f>
        <v>0</v>
      </c>
      <c r="O619" s="675">
        <f>+'Yeşil Defter'!L594</f>
        <v>0</v>
      </c>
      <c r="P619" s="675">
        <f>+'Yeşil Defter'!M594</f>
        <v>0</v>
      </c>
      <c r="Q619" s="212"/>
      <c r="R619" s="605">
        <f t="shared" si="71"/>
        <v>0</v>
      </c>
      <c r="S619" s="225">
        <f t="shared" si="72"/>
        <v>0</v>
      </c>
      <c r="T619" s="237">
        <f t="shared" si="73"/>
        <v>0</v>
      </c>
    </row>
    <row r="620" spans="1:20" ht="30" hidden="1" customHeight="1" x14ac:dyDescent="0.3">
      <c r="A620" s="262">
        <v>4</v>
      </c>
      <c r="C620" s="244">
        <v>327</v>
      </c>
      <c r="D620" s="161" t="s">
        <v>848</v>
      </c>
      <c r="E620" s="969" t="s">
        <v>1185</v>
      </c>
      <c r="F620" s="970"/>
      <c r="G620" s="971"/>
      <c r="H620" s="544" t="s">
        <v>286</v>
      </c>
      <c r="I620" s="212">
        <v>4122285</v>
      </c>
      <c r="J620" s="605"/>
      <c r="K620" s="212">
        <v>1</v>
      </c>
      <c r="L620" s="212">
        <f t="shared" si="70"/>
        <v>4122285</v>
      </c>
      <c r="M620" s="602"/>
      <c r="N620" s="675">
        <f>+'Yeşil Defter'!K595</f>
        <v>0</v>
      </c>
      <c r="O620" s="675">
        <f>+'Yeşil Defter'!L595</f>
        <v>0</v>
      </c>
      <c r="P620" s="675">
        <f>+'Yeşil Defter'!M595</f>
        <v>0</v>
      </c>
      <c r="Q620" s="212"/>
      <c r="R620" s="605">
        <f t="shared" si="71"/>
        <v>0</v>
      </c>
      <c r="S620" s="225">
        <f t="shared" si="72"/>
        <v>0</v>
      </c>
      <c r="T620" s="237">
        <f t="shared" si="73"/>
        <v>0</v>
      </c>
    </row>
    <row r="621" spans="1:20" ht="30" hidden="1" customHeight="1" x14ac:dyDescent="0.3">
      <c r="A621" s="262">
        <v>4</v>
      </c>
      <c r="C621" s="244">
        <v>328</v>
      </c>
      <c r="D621" s="161" t="s">
        <v>849</v>
      </c>
      <c r="E621" s="969" t="s">
        <v>1193</v>
      </c>
      <c r="F621" s="970"/>
      <c r="G621" s="971"/>
      <c r="H621" s="544" t="s">
        <v>286</v>
      </c>
      <c r="I621" s="212">
        <v>3710056</v>
      </c>
      <c r="J621" s="605"/>
      <c r="K621" s="212">
        <v>1</v>
      </c>
      <c r="L621" s="212">
        <f t="shared" si="70"/>
        <v>3710056</v>
      </c>
      <c r="M621" s="602"/>
      <c r="N621" s="675">
        <f>+'Yeşil Defter'!K596</f>
        <v>0</v>
      </c>
      <c r="O621" s="675">
        <f>+'Yeşil Defter'!L596</f>
        <v>0</v>
      </c>
      <c r="P621" s="675">
        <f>+'Yeşil Defter'!M596</f>
        <v>0</v>
      </c>
      <c r="Q621" s="212"/>
      <c r="R621" s="605">
        <f t="shared" si="71"/>
        <v>0</v>
      </c>
      <c r="S621" s="225">
        <f t="shared" si="72"/>
        <v>0</v>
      </c>
      <c r="T621" s="237">
        <f t="shared" si="73"/>
        <v>0</v>
      </c>
    </row>
    <row r="622" spans="1:20" ht="30" hidden="1" customHeight="1" x14ac:dyDescent="0.3">
      <c r="A622" s="262">
        <v>4</v>
      </c>
      <c r="C622" s="244">
        <v>329</v>
      </c>
      <c r="D622" s="161" t="s">
        <v>850</v>
      </c>
      <c r="E622" s="969" t="s">
        <v>851</v>
      </c>
      <c r="F622" s="970"/>
      <c r="G622" s="971"/>
      <c r="H622" s="544" t="s">
        <v>286</v>
      </c>
      <c r="I622" s="212">
        <v>3916171</v>
      </c>
      <c r="J622" s="605"/>
      <c r="K622" s="212">
        <v>1</v>
      </c>
      <c r="L622" s="212">
        <f t="shared" si="70"/>
        <v>3916171</v>
      </c>
      <c r="M622" s="602"/>
      <c r="N622" s="675">
        <f>+'Yeşil Defter'!K597</f>
        <v>0</v>
      </c>
      <c r="O622" s="675">
        <f>+'Yeşil Defter'!L597</f>
        <v>0</v>
      </c>
      <c r="P622" s="675">
        <f>+'Yeşil Defter'!M597</f>
        <v>0</v>
      </c>
      <c r="Q622" s="212"/>
      <c r="R622" s="605">
        <f t="shared" si="71"/>
        <v>0</v>
      </c>
      <c r="S622" s="225">
        <f t="shared" si="72"/>
        <v>0</v>
      </c>
      <c r="T622" s="237">
        <f t="shared" si="73"/>
        <v>0</v>
      </c>
    </row>
    <row r="623" spans="1:20" ht="30" hidden="1" customHeight="1" x14ac:dyDescent="0.3">
      <c r="A623" s="262">
        <v>4</v>
      </c>
      <c r="C623" s="244">
        <v>330</v>
      </c>
      <c r="D623" s="161" t="s">
        <v>852</v>
      </c>
      <c r="E623" s="969" t="s">
        <v>853</v>
      </c>
      <c r="F623" s="970"/>
      <c r="G623" s="971"/>
      <c r="H623" s="544" t="s">
        <v>286</v>
      </c>
      <c r="I623" s="212">
        <v>1860887</v>
      </c>
      <c r="J623" s="605"/>
      <c r="K623" s="212">
        <v>1</v>
      </c>
      <c r="L623" s="212">
        <f t="shared" si="70"/>
        <v>1860887</v>
      </c>
      <c r="M623" s="602"/>
      <c r="N623" s="675">
        <f>+'Yeşil Defter'!K598</f>
        <v>0</v>
      </c>
      <c r="O623" s="675">
        <f>+'Yeşil Defter'!L598</f>
        <v>0</v>
      </c>
      <c r="P623" s="675">
        <f>+'Yeşil Defter'!M598</f>
        <v>0</v>
      </c>
      <c r="Q623" s="212"/>
      <c r="R623" s="605">
        <f t="shared" si="71"/>
        <v>0</v>
      </c>
      <c r="S623" s="225">
        <f t="shared" si="72"/>
        <v>0</v>
      </c>
      <c r="T623" s="237">
        <f t="shared" si="73"/>
        <v>0</v>
      </c>
    </row>
    <row r="624" spans="1:20" ht="30" hidden="1" customHeight="1" x14ac:dyDescent="0.3">
      <c r="A624" s="262">
        <v>4</v>
      </c>
      <c r="C624" s="244">
        <v>331</v>
      </c>
      <c r="D624" s="161" t="s">
        <v>854</v>
      </c>
      <c r="E624" s="969" t="s">
        <v>1170</v>
      </c>
      <c r="F624" s="970"/>
      <c r="G624" s="971"/>
      <c r="H624" s="544" t="s">
        <v>286</v>
      </c>
      <c r="I624" s="212">
        <v>929625</v>
      </c>
      <c r="J624" s="605"/>
      <c r="K624" s="212">
        <v>1</v>
      </c>
      <c r="L624" s="212">
        <f t="shared" si="70"/>
        <v>929625</v>
      </c>
      <c r="M624" s="602"/>
      <c r="N624" s="675">
        <f>+'Yeşil Defter'!K599</f>
        <v>0</v>
      </c>
      <c r="O624" s="675">
        <f>+'Yeşil Defter'!L599</f>
        <v>0</v>
      </c>
      <c r="P624" s="675">
        <f>+'Yeşil Defter'!M599</f>
        <v>0</v>
      </c>
      <c r="Q624" s="212"/>
      <c r="R624" s="605">
        <f t="shared" si="71"/>
        <v>0</v>
      </c>
      <c r="S624" s="225">
        <f t="shared" si="72"/>
        <v>0</v>
      </c>
      <c r="T624" s="237">
        <f t="shared" si="73"/>
        <v>0</v>
      </c>
    </row>
    <row r="625" spans="1:20" ht="30" hidden="1" customHeight="1" x14ac:dyDescent="0.3">
      <c r="A625" s="262">
        <v>4</v>
      </c>
      <c r="C625" s="244">
        <v>332</v>
      </c>
      <c r="D625" s="161" t="s">
        <v>855</v>
      </c>
      <c r="E625" s="969" t="s">
        <v>1178</v>
      </c>
      <c r="F625" s="970"/>
      <c r="G625" s="971"/>
      <c r="H625" s="544" t="s">
        <v>286</v>
      </c>
      <c r="I625" s="212">
        <v>929625</v>
      </c>
      <c r="J625" s="605"/>
      <c r="K625" s="212">
        <v>1</v>
      </c>
      <c r="L625" s="212">
        <f t="shared" si="70"/>
        <v>929625</v>
      </c>
      <c r="M625" s="602"/>
      <c r="N625" s="675">
        <f>+'Yeşil Defter'!K600</f>
        <v>0</v>
      </c>
      <c r="O625" s="675">
        <f>+'Yeşil Defter'!L600</f>
        <v>0</v>
      </c>
      <c r="P625" s="675">
        <f>+'Yeşil Defter'!M600</f>
        <v>0</v>
      </c>
      <c r="Q625" s="212"/>
      <c r="R625" s="605">
        <f t="shared" si="71"/>
        <v>0</v>
      </c>
      <c r="S625" s="225">
        <f t="shared" si="72"/>
        <v>0</v>
      </c>
      <c r="T625" s="237">
        <f t="shared" si="73"/>
        <v>0</v>
      </c>
    </row>
    <row r="626" spans="1:20" ht="30" hidden="1" customHeight="1" x14ac:dyDescent="0.3">
      <c r="A626" s="262">
        <v>4</v>
      </c>
      <c r="C626" s="244">
        <v>333</v>
      </c>
      <c r="D626" s="161" t="s">
        <v>856</v>
      </c>
      <c r="E626" s="969" t="s">
        <v>1186</v>
      </c>
      <c r="F626" s="970"/>
      <c r="G626" s="971"/>
      <c r="H626" s="544" t="s">
        <v>286</v>
      </c>
      <c r="I626" s="212">
        <v>929625</v>
      </c>
      <c r="J626" s="605"/>
      <c r="K626" s="212">
        <v>1</v>
      </c>
      <c r="L626" s="212">
        <f t="shared" si="70"/>
        <v>929625</v>
      </c>
      <c r="M626" s="602"/>
      <c r="N626" s="675">
        <f>+'Yeşil Defter'!K601</f>
        <v>0</v>
      </c>
      <c r="O626" s="675">
        <f>+'Yeşil Defter'!L601</f>
        <v>0</v>
      </c>
      <c r="P626" s="675">
        <f>+'Yeşil Defter'!M601</f>
        <v>0</v>
      </c>
      <c r="Q626" s="212"/>
      <c r="R626" s="605">
        <f t="shared" si="71"/>
        <v>0</v>
      </c>
      <c r="S626" s="225">
        <f t="shared" si="72"/>
        <v>0</v>
      </c>
      <c r="T626" s="237">
        <f t="shared" si="73"/>
        <v>0</v>
      </c>
    </row>
    <row r="627" spans="1:20" ht="30" hidden="1" customHeight="1" x14ac:dyDescent="0.3">
      <c r="A627" s="262">
        <v>4</v>
      </c>
      <c r="C627" s="244">
        <v>334</v>
      </c>
      <c r="D627" s="161" t="s">
        <v>857</v>
      </c>
      <c r="E627" s="969" t="s">
        <v>1194</v>
      </c>
      <c r="F627" s="970"/>
      <c r="G627" s="971"/>
      <c r="H627" s="544" t="s">
        <v>286</v>
      </c>
      <c r="I627" s="212">
        <v>929625</v>
      </c>
      <c r="J627" s="605"/>
      <c r="K627" s="212">
        <v>1</v>
      </c>
      <c r="L627" s="212">
        <f t="shared" si="70"/>
        <v>929625</v>
      </c>
      <c r="M627" s="602"/>
      <c r="N627" s="675">
        <f>+'Yeşil Defter'!K602</f>
        <v>0</v>
      </c>
      <c r="O627" s="675">
        <f>+'Yeşil Defter'!L602</f>
        <v>0</v>
      </c>
      <c r="P627" s="675">
        <f>+'Yeşil Defter'!M602</f>
        <v>0</v>
      </c>
      <c r="Q627" s="212"/>
      <c r="R627" s="605">
        <f t="shared" si="71"/>
        <v>0</v>
      </c>
      <c r="S627" s="225">
        <f t="shared" si="72"/>
        <v>0</v>
      </c>
      <c r="T627" s="237">
        <f t="shared" si="73"/>
        <v>0</v>
      </c>
    </row>
    <row r="628" spans="1:20" ht="30" hidden="1" customHeight="1" x14ac:dyDescent="0.3">
      <c r="A628" s="262">
        <v>4</v>
      </c>
      <c r="C628" s="244">
        <v>335</v>
      </c>
      <c r="D628" s="161" t="s">
        <v>858</v>
      </c>
      <c r="E628" s="969" t="s">
        <v>859</v>
      </c>
      <c r="F628" s="970"/>
      <c r="G628" s="971"/>
      <c r="H628" s="544" t="s">
        <v>286</v>
      </c>
      <c r="I628" s="212">
        <v>929625</v>
      </c>
      <c r="J628" s="605"/>
      <c r="K628" s="212">
        <v>1</v>
      </c>
      <c r="L628" s="212">
        <f t="shared" si="70"/>
        <v>929625</v>
      </c>
      <c r="M628" s="602"/>
      <c r="N628" s="675">
        <f>+'Yeşil Defter'!K603</f>
        <v>0</v>
      </c>
      <c r="O628" s="675">
        <f>+'Yeşil Defter'!L603</f>
        <v>0</v>
      </c>
      <c r="P628" s="675">
        <f>+'Yeşil Defter'!M603</f>
        <v>0</v>
      </c>
      <c r="Q628" s="212"/>
      <c r="R628" s="605">
        <f t="shared" si="71"/>
        <v>0</v>
      </c>
      <c r="S628" s="225">
        <f t="shared" si="72"/>
        <v>0</v>
      </c>
      <c r="T628" s="237">
        <f t="shared" si="73"/>
        <v>0</v>
      </c>
    </row>
    <row r="629" spans="1:20" ht="30" hidden="1" customHeight="1" x14ac:dyDescent="0.3">
      <c r="A629" s="262">
        <v>4</v>
      </c>
      <c r="C629" s="244">
        <v>336</v>
      </c>
      <c r="D629" s="161" t="s">
        <v>860</v>
      </c>
      <c r="E629" s="969" t="s">
        <v>861</v>
      </c>
      <c r="F629" s="970"/>
      <c r="G629" s="971"/>
      <c r="H629" s="544" t="s">
        <v>286</v>
      </c>
      <c r="I629" s="212">
        <v>1859250</v>
      </c>
      <c r="J629" s="605"/>
      <c r="K629" s="212">
        <v>1</v>
      </c>
      <c r="L629" s="212">
        <f t="shared" si="70"/>
        <v>1859250</v>
      </c>
      <c r="M629" s="602"/>
      <c r="N629" s="675">
        <f>+'Yeşil Defter'!K604</f>
        <v>0</v>
      </c>
      <c r="O629" s="675">
        <f>+'Yeşil Defter'!L604</f>
        <v>0</v>
      </c>
      <c r="P629" s="675">
        <f>+'Yeşil Defter'!M604</f>
        <v>0</v>
      </c>
      <c r="Q629" s="212"/>
      <c r="R629" s="605">
        <f t="shared" si="71"/>
        <v>0</v>
      </c>
      <c r="S629" s="225">
        <f t="shared" si="72"/>
        <v>0</v>
      </c>
      <c r="T629" s="237">
        <f t="shared" si="73"/>
        <v>0</v>
      </c>
    </row>
    <row r="630" spans="1:20" ht="30" hidden="1" customHeight="1" x14ac:dyDescent="0.3">
      <c r="A630" s="262">
        <v>4</v>
      </c>
      <c r="C630" s="244">
        <v>337</v>
      </c>
      <c r="D630" s="161" t="s">
        <v>862</v>
      </c>
      <c r="E630" s="969" t="s">
        <v>863</v>
      </c>
      <c r="F630" s="970"/>
      <c r="G630" s="971"/>
      <c r="H630" s="544" t="s">
        <v>247</v>
      </c>
      <c r="I630" s="212">
        <v>132000</v>
      </c>
      <c r="J630" s="605"/>
      <c r="K630" s="212">
        <v>64</v>
      </c>
      <c r="L630" s="212">
        <f t="shared" si="70"/>
        <v>8448000</v>
      </c>
      <c r="M630" s="602"/>
      <c r="N630" s="675">
        <f>+'Yeşil Defter'!K605</f>
        <v>0</v>
      </c>
      <c r="O630" s="675">
        <f>+'Yeşil Defter'!L605</f>
        <v>0</v>
      </c>
      <c r="P630" s="675">
        <f>+'Yeşil Defter'!M605</f>
        <v>0</v>
      </c>
      <c r="Q630" s="212"/>
      <c r="R630" s="605">
        <f t="shared" si="71"/>
        <v>0</v>
      </c>
      <c r="S630" s="225">
        <f t="shared" si="72"/>
        <v>0</v>
      </c>
      <c r="T630" s="237">
        <f t="shared" si="73"/>
        <v>0</v>
      </c>
    </row>
    <row r="631" spans="1:20" ht="40.049999999999997" hidden="1" customHeight="1" x14ac:dyDescent="0.3">
      <c r="A631" s="262" t="s">
        <v>1242</v>
      </c>
      <c r="C631" s="258"/>
      <c r="D631" s="258"/>
      <c r="E631" s="972" t="s">
        <v>33</v>
      </c>
      <c r="F631" s="972"/>
      <c r="G631" s="972"/>
      <c r="H631" s="973" t="s">
        <v>29</v>
      </c>
      <c r="I631" s="973"/>
      <c r="J631" s="973"/>
      <c r="K631" s="973"/>
      <c r="L631" s="973"/>
      <c r="M631" s="549"/>
      <c r="N631" s="973" t="s">
        <v>22</v>
      </c>
      <c r="O631" s="973"/>
      <c r="P631" s="973"/>
      <c r="Q631" s="973"/>
      <c r="R631" s="973"/>
      <c r="S631" s="973"/>
      <c r="T631" s="973"/>
    </row>
    <row r="632" spans="1:20" ht="19.95" hidden="1" customHeight="1" x14ac:dyDescent="0.3">
      <c r="A632" s="262" t="s">
        <v>1242</v>
      </c>
      <c r="D632" s="28"/>
      <c r="E632" s="974" t="s">
        <v>1214</v>
      </c>
      <c r="F632" s="974"/>
      <c r="G632" s="974"/>
      <c r="H632" s="975" t="s">
        <v>38</v>
      </c>
      <c r="I632" s="975"/>
      <c r="J632" s="975"/>
      <c r="K632" s="975"/>
      <c r="L632" s="975"/>
      <c r="M632" s="562"/>
      <c r="N632" s="975" t="s">
        <v>1437</v>
      </c>
      <c r="O632" s="975"/>
      <c r="P632" s="975"/>
      <c r="Q632" s="975"/>
      <c r="R632" s="975"/>
      <c r="S632" s="975"/>
      <c r="T632" s="975"/>
    </row>
    <row r="633" spans="1:20" ht="19.95" hidden="1" customHeight="1" x14ac:dyDescent="0.3">
      <c r="A633" s="262" t="s">
        <v>1242</v>
      </c>
      <c r="C633" s="228"/>
      <c r="D633" s="228"/>
      <c r="E633" s="561"/>
      <c r="F633" s="561"/>
      <c r="G633" s="561"/>
      <c r="H633" s="228"/>
      <c r="I633" s="260"/>
      <c r="J633" s="260"/>
      <c r="K633" s="260"/>
      <c r="L633" s="260"/>
      <c r="M633" s="260"/>
      <c r="N633" s="975"/>
      <c r="O633" s="975"/>
      <c r="P633" s="975"/>
      <c r="Q633" s="975"/>
      <c r="R633" s="975"/>
      <c r="S633" s="975"/>
      <c r="T633" s="975"/>
    </row>
    <row r="634" spans="1:20" ht="19.95" hidden="1" customHeight="1" x14ac:dyDescent="0.3">
      <c r="A634" s="262" t="s">
        <v>1242</v>
      </c>
      <c r="C634" s="228"/>
      <c r="D634" s="228"/>
      <c r="E634" s="561"/>
      <c r="F634" s="561"/>
      <c r="G634" s="561"/>
      <c r="H634" s="228"/>
      <c r="I634" s="260"/>
      <c r="J634" s="260"/>
      <c r="K634" s="260"/>
      <c r="L634" s="260"/>
      <c r="M634" s="260"/>
      <c r="N634" s="975"/>
      <c r="O634" s="975"/>
      <c r="P634" s="975"/>
      <c r="Q634" s="975"/>
      <c r="R634" s="975"/>
      <c r="S634" s="975"/>
      <c r="T634" s="975"/>
    </row>
    <row r="635" spans="1:20" ht="19.95" hidden="1" customHeight="1" x14ac:dyDescent="0.3">
      <c r="A635" s="262" t="s">
        <v>1242</v>
      </c>
      <c r="C635" s="228"/>
      <c r="D635" s="228"/>
      <c r="E635" s="561"/>
      <c r="F635" s="561"/>
      <c r="G635" s="561"/>
      <c r="H635" s="261"/>
      <c r="I635" s="261"/>
      <c r="J635" s="261"/>
      <c r="K635" s="261"/>
      <c r="L635" s="261"/>
      <c r="M635" s="261"/>
      <c r="N635" s="260"/>
      <c r="O635" s="260"/>
      <c r="P635" s="260"/>
      <c r="Q635" s="260"/>
      <c r="R635" s="260"/>
      <c r="S635" s="260"/>
      <c r="T635" s="260"/>
    </row>
    <row r="636" spans="1:20" ht="19.95" hidden="1" customHeight="1" x14ac:dyDescent="0.3">
      <c r="A636" s="262" t="s">
        <v>1242</v>
      </c>
      <c r="C636" s="228"/>
      <c r="D636" s="228"/>
      <c r="E636" s="561"/>
      <c r="F636" s="561"/>
      <c r="G636" s="561"/>
      <c r="H636" s="975" t="s">
        <v>32</v>
      </c>
      <c r="I636" s="975"/>
      <c r="J636" s="562"/>
      <c r="K636" s="975" t="s">
        <v>1407</v>
      </c>
      <c r="L636" s="975"/>
      <c r="M636" s="562"/>
      <c r="N636" s="968" t="s">
        <v>52</v>
      </c>
      <c r="O636" s="968"/>
      <c r="P636" s="968"/>
      <c r="Q636" s="968"/>
      <c r="R636" s="968"/>
      <c r="S636" s="968"/>
      <c r="T636" s="968"/>
    </row>
    <row r="637" spans="1:20" ht="19.95" hidden="1" customHeight="1" x14ac:dyDescent="0.3">
      <c r="A637" s="262" t="s">
        <v>1242</v>
      </c>
      <c r="C637" s="228"/>
      <c r="D637" s="228"/>
      <c r="E637" s="561"/>
      <c r="F637" s="561"/>
      <c r="G637" s="561"/>
      <c r="H637" s="976" t="s">
        <v>94</v>
      </c>
      <c r="I637" s="976"/>
      <c r="J637" s="623"/>
      <c r="K637" s="976" t="s">
        <v>94</v>
      </c>
      <c r="L637" s="976"/>
      <c r="M637" s="623"/>
      <c r="N637" s="968" t="s">
        <v>1485</v>
      </c>
      <c r="O637" s="968"/>
      <c r="P637" s="968"/>
      <c r="Q637" s="968"/>
      <c r="R637" s="968"/>
      <c r="S637" s="968"/>
      <c r="T637" s="968"/>
    </row>
    <row r="638" spans="1:20" ht="19.95" hidden="1" customHeight="1" x14ac:dyDescent="0.3">
      <c r="A638" s="262" t="s">
        <v>1242</v>
      </c>
      <c r="C638" s="228"/>
      <c r="D638" s="228"/>
      <c r="E638" s="561"/>
      <c r="F638" s="561"/>
      <c r="G638" s="561"/>
      <c r="H638" s="976"/>
      <c r="I638" s="976"/>
      <c r="J638" s="623"/>
      <c r="K638" s="976"/>
      <c r="L638" s="976"/>
      <c r="M638" s="623"/>
      <c r="N638" s="968"/>
      <c r="O638" s="968"/>
      <c r="P638" s="968"/>
      <c r="Q638" s="968"/>
      <c r="R638" s="968"/>
      <c r="S638" s="968"/>
      <c r="T638" s="968"/>
    </row>
    <row r="639" spans="1:20" ht="19.95" hidden="1" customHeight="1" x14ac:dyDescent="0.3">
      <c r="A639" s="262" t="s">
        <v>1242</v>
      </c>
      <c r="C639" s="228"/>
      <c r="D639" s="228"/>
      <c r="E639" s="561"/>
      <c r="F639" s="561"/>
      <c r="G639" s="561"/>
      <c r="H639" s="228"/>
      <c r="I639" s="260"/>
      <c r="J639" s="260"/>
      <c r="K639" s="260"/>
      <c r="L639" s="260"/>
      <c r="M639" s="260"/>
      <c r="N639" s="260"/>
      <c r="O639" s="260"/>
      <c r="P639" s="260"/>
      <c r="Q639" s="260"/>
      <c r="R639" s="260"/>
      <c r="S639" s="624"/>
      <c r="T639" s="260"/>
    </row>
    <row r="640" spans="1:20" ht="19.95" hidden="1" customHeight="1" x14ac:dyDescent="0.3">
      <c r="A640" s="262" t="s">
        <v>1242</v>
      </c>
      <c r="C640" s="228"/>
      <c r="D640" s="228"/>
      <c r="E640" s="975" t="s">
        <v>1215</v>
      </c>
      <c r="F640" s="975"/>
      <c r="G640" s="975"/>
      <c r="H640" s="975" t="s">
        <v>1348</v>
      </c>
      <c r="I640" s="975"/>
      <c r="J640" s="975"/>
      <c r="K640" s="975"/>
      <c r="L640" s="975"/>
      <c r="M640" s="562"/>
      <c r="N640" s="977" t="s">
        <v>1219</v>
      </c>
      <c r="O640" s="968"/>
      <c r="P640" s="968"/>
      <c r="Q640" s="968"/>
      <c r="R640" s="968"/>
      <c r="S640" s="968"/>
      <c r="T640" s="968"/>
    </row>
    <row r="641" spans="1:20" ht="19.95" hidden="1" customHeight="1" x14ac:dyDescent="0.3">
      <c r="A641" s="262" t="s">
        <v>1290</v>
      </c>
      <c r="C641" s="228"/>
      <c r="D641" s="228"/>
      <c r="E641" s="975"/>
      <c r="F641" s="975"/>
      <c r="G641" s="975"/>
      <c r="H641" s="975"/>
      <c r="I641" s="975"/>
      <c r="J641" s="975"/>
      <c r="K641" s="975"/>
      <c r="L641" s="975"/>
      <c r="M641" s="562"/>
      <c r="N641" s="968"/>
      <c r="O641" s="968"/>
      <c r="P641" s="968"/>
      <c r="Q641" s="968"/>
      <c r="R641" s="968"/>
      <c r="S641" s="968"/>
      <c r="T641" s="968"/>
    </row>
    <row r="642" spans="1:20" ht="30" hidden="1" customHeight="1" x14ac:dyDescent="0.3">
      <c r="A642" s="262">
        <v>4</v>
      </c>
      <c r="C642" s="255">
        <v>338</v>
      </c>
      <c r="D642" s="256" t="s">
        <v>864</v>
      </c>
      <c r="E642" s="978" t="s">
        <v>865</v>
      </c>
      <c r="F642" s="979"/>
      <c r="G642" s="980"/>
      <c r="H642" s="546" t="s">
        <v>247</v>
      </c>
      <c r="I642" s="257">
        <v>165000</v>
      </c>
      <c r="J642" s="606"/>
      <c r="K642" s="257">
        <v>10</v>
      </c>
      <c r="L642" s="257">
        <f t="shared" ref="L642:L653" si="74">+ROUND(I642*K642,2)</f>
        <v>1650000</v>
      </c>
      <c r="M642" s="603"/>
      <c r="N642" s="675">
        <f>+'Yeşil Defter'!K617</f>
        <v>0</v>
      </c>
      <c r="O642" s="675">
        <f>+'Yeşil Defter'!L617</f>
        <v>0</v>
      </c>
      <c r="P642" s="675">
        <f>+'Yeşil Defter'!M617</f>
        <v>0</v>
      </c>
      <c r="Q642" s="257"/>
      <c r="R642" s="606">
        <f t="shared" ref="R642:R653" si="75">+ROUND(K642*N642,2)</f>
        <v>0</v>
      </c>
      <c r="S642" s="247">
        <f t="shared" si="72"/>
        <v>0</v>
      </c>
      <c r="T642" s="248">
        <f t="shared" ref="T642:T653" si="76">+ROUND(K642*P642,2)</f>
        <v>0</v>
      </c>
    </row>
    <row r="643" spans="1:20" ht="30" hidden="1" customHeight="1" x14ac:dyDescent="0.3">
      <c r="A643" s="262">
        <v>4</v>
      </c>
      <c r="C643" s="244">
        <v>339</v>
      </c>
      <c r="D643" s="161" t="s">
        <v>866</v>
      </c>
      <c r="E643" s="969" t="s">
        <v>867</v>
      </c>
      <c r="F643" s="970"/>
      <c r="G643" s="971"/>
      <c r="H643" s="544" t="s">
        <v>286</v>
      </c>
      <c r="I643" s="212">
        <v>22000000</v>
      </c>
      <c r="J643" s="605"/>
      <c r="K643" s="212">
        <v>1</v>
      </c>
      <c r="L643" s="212">
        <f t="shared" si="74"/>
        <v>22000000</v>
      </c>
      <c r="M643" s="602"/>
      <c r="N643" s="675">
        <f>+'Yeşil Defter'!K618</f>
        <v>0</v>
      </c>
      <c r="O643" s="675">
        <f>+'Yeşil Defter'!L618</f>
        <v>0</v>
      </c>
      <c r="P643" s="675">
        <f>+'Yeşil Defter'!M618</f>
        <v>0</v>
      </c>
      <c r="Q643" s="212"/>
      <c r="R643" s="605">
        <f t="shared" si="75"/>
        <v>0</v>
      </c>
      <c r="S643" s="225">
        <f t="shared" si="72"/>
        <v>0</v>
      </c>
      <c r="T643" s="237">
        <f t="shared" si="76"/>
        <v>0</v>
      </c>
    </row>
    <row r="644" spans="1:20" ht="30" hidden="1" customHeight="1" x14ac:dyDescent="0.3">
      <c r="A644" s="262">
        <v>4</v>
      </c>
      <c r="C644" s="244">
        <v>340</v>
      </c>
      <c r="D644" s="213" t="s">
        <v>868</v>
      </c>
      <c r="E644" s="969" t="s">
        <v>869</v>
      </c>
      <c r="F644" s="970"/>
      <c r="G644" s="971"/>
      <c r="H644" s="544" t="s">
        <v>286</v>
      </c>
      <c r="I644" s="212">
        <v>20070000</v>
      </c>
      <c r="J644" s="605"/>
      <c r="K644" s="212">
        <v>1</v>
      </c>
      <c r="L644" s="212">
        <f t="shared" si="74"/>
        <v>20070000</v>
      </c>
      <c r="M644" s="602"/>
      <c r="N644" s="675">
        <f>+'Yeşil Defter'!K619</f>
        <v>0</v>
      </c>
      <c r="O644" s="675">
        <f>+'Yeşil Defter'!L619</f>
        <v>0</v>
      </c>
      <c r="P644" s="675">
        <f>+'Yeşil Defter'!M619</f>
        <v>0</v>
      </c>
      <c r="Q644" s="212"/>
      <c r="R644" s="605">
        <f t="shared" si="75"/>
        <v>0</v>
      </c>
      <c r="S644" s="225">
        <f t="shared" si="72"/>
        <v>0</v>
      </c>
      <c r="T644" s="237">
        <f t="shared" si="76"/>
        <v>0</v>
      </c>
    </row>
    <row r="645" spans="1:20" ht="30" hidden="1" customHeight="1" x14ac:dyDescent="0.3">
      <c r="A645" s="262">
        <v>4</v>
      </c>
      <c r="C645" s="244">
        <v>341</v>
      </c>
      <c r="D645" s="213" t="s">
        <v>870</v>
      </c>
      <c r="E645" s="969" t="s">
        <v>871</v>
      </c>
      <c r="F645" s="970"/>
      <c r="G645" s="971"/>
      <c r="H645" s="544" t="s">
        <v>286</v>
      </c>
      <c r="I645" s="212">
        <v>8989594</v>
      </c>
      <c r="J645" s="605"/>
      <c r="K645" s="212">
        <v>1</v>
      </c>
      <c r="L645" s="212">
        <f t="shared" si="74"/>
        <v>8989594</v>
      </c>
      <c r="M645" s="602"/>
      <c r="N645" s="675">
        <f>+'Yeşil Defter'!K620</f>
        <v>0</v>
      </c>
      <c r="O645" s="675">
        <f>+'Yeşil Defter'!L620</f>
        <v>0</v>
      </c>
      <c r="P645" s="675">
        <f>+'Yeşil Defter'!M620</f>
        <v>0</v>
      </c>
      <c r="Q645" s="212"/>
      <c r="R645" s="605">
        <f t="shared" si="75"/>
        <v>0</v>
      </c>
      <c r="S645" s="225">
        <f t="shared" si="72"/>
        <v>0</v>
      </c>
      <c r="T645" s="237">
        <f t="shared" si="76"/>
        <v>0</v>
      </c>
    </row>
    <row r="646" spans="1:20" ht="30" hidden="1" customHeight="1" x14ac:dyDescent="0.3">
      <c r="A646" s="262">
        <v>4</v>
      </c>
      <c r="C646" s="244">
        <v>342</v>
      </c>
      <c r="D646" s="213" t="s">
        <v>872</v>
      </c>
      <c r="E646" s="969" t="s">
        <v>873</v>
      </c>
      <c r="F646" s="970"/>
      <c r="G646" s="971"/>
      <c r="H646" s="544" t="s">
        <v>286</v>
      </c>
      <c r="I646" s="212">
        <v>3641429</v>
      </c>
      <c r="J646" s="605"/>
      <c r="K646" s="212">
        <v>1</v>
      </c>
      <c r="L646" s="212">
        <f t="shared" si="74"/>
        <v>3641429</v>
      </c>
      <c r="M646" s="602"/>
      <c r="N646" s="675">
        <f>+'Yeşil Defter'!K621</f>
        <v>0</v>
      </c>
      <c r="O646" s="675">
        <f>+'Yeşil Defter'!L621</f>
        <v>0</v>
      </c>
      <c r="P646" s="675">
        <f>+'Yeşil Defter'!M621</f>
        <v>0</v>
      </c>
      <c r="Q646" s="212"/>
      <c r="R646" s="605">
        <f t="shared" si="75"/>
        <v>0</v>
      </c>
      <c r="S646" s="225">
        <f t="shared" si="72"/>
        <v>0</v>
      </c>
      <c r="T646" s="237">
        <f t="shared" si="76"/>
        <v>0</v>
      </c>
    </row>
    <row r="647" spans="1:20" ht="30" hidden="1" customHeight="1" x14ac:dyDescent="0.3">
      <c r="A647" s="262">
        <v>4</v>
      </c>
      <c r="C647" s="244">
        <v>343</v>
      </c>
      <c r="D647" s="213" t="s">
        <v>874</v>
      </c>
      <c r="E647" s="969" t="s">
        <v>875</v>
      </c>
      <c r="F647" s="970"/>
      <c r="G647" s="971"/>
      <c r="H647" s="544" t="s">
        <v>286</v>
      </c>
      <c r="I647" s="212">
        <v>6993000</v>
      </c>
      <c r="J647" s="605"/>
      <c r="K647" s="212">
        <v>1</v>
      </c>
      <c r="L647" s="212">
        <f t="shared" si="74"/>
        <v>6993000</v>
      </c>
      <c r="M647" s="602"/>
      <c r="N647" s="675">
        <f>+'Yeşil Defter'!K622</f>
        <v>0</v>
      </c>
      <c r="O647" s="675">
        <f>+'Yeşil Defter'!L622</f>
        <v>0</v>
      </c>
      <c r="P647" s="675">
        <f>+'Yeşil Defter'!M622</f>
        <v>0</v>
      </c>
      <c r="Q647" s="212"/>
      <c r="R647" s="605">
        <f t="shared" si="75"/>
        <v>0</v>
      </c>
      <c r="S647" s="225">
        <f t="shared" si="72"/>
        <v>0</v>
      </c>
      <c r="T647" s="237">
        <f t="shared" si="76"/>
        <v>0</v>
      </c>
    </row>
    <row r="648" spans="1:20" ht="30" hidden="1" customHeight="1" x14ac:dyDescent="0.3">
      <c r="A648" s="262">
        <v>4</v>
      </c>
      <c r="C648" s="244">
        <v>344</v>
      </c>
      <c r="D648" s="213" t="s">
        <v>876</v>
      </c>
      <c r="E648" s="969" t="s">
        <v>877</v>
      </c>
      <c r="F648" s="970"/>
      <c r="G648" s="971"/>
      <c r="H648" s="544" t="s">
        <v>286</v>
      </c>
      <c r="I648" s="212">
        <v>1656379</v>
      </c>
      <c r="J648" s="605"/>
      <c r="K648" s="212">
        <v>1</v>
      </c>
      <c r="L648" s="212">
        <f t="shared" si="74"/>
        <v>1656379</v>
      </c>
      <c r="M648" s="602"/>
      <c r="N648" s="675">
        <f>+'Yeşil Defter'!K623</f>
        <v>0</v>
      </c>
      <c r="O648" s="675">
        <f>+'Yeşil Defter'!L623</f>
        <v>0</v>
      </c>
      <c r="P648" s="675">
        <f>+'Yeşil Defter'!M623</f>
        <v>0</v>
      </c>
      <c r="Q648" s="212"/>
      <c r="R648" s="605">
        <f t="shared" si="75"/>
        <v>0</v>
      </c>
      <c r="S648" s="225">
        <f t="shared" si="72"/>
        <v>0</v>
      </c>
      <c r="T648" s="237">
        <f t="shared" si="76"/>
        <v>0</v>
      </c>
    </row>
    <row r="649" spans="1:20" ht="30" hidden="1" customHeight="1" x14ac:dyDescent="0.3">
      <c r="A649" s="262">
        <v>4</v>
      </c>
      <c r="C649" s="244">
        <v>345</v>
      </c>
      <c r="D649" s="213" t="s">
        <v>878</v>
      </c>
      <c r="E649" s="969" t="s">
        <v>879</v>
      </c>
      <c r="F649" s="970"/>
      <c r="G649" s="971"/>
      <c r="H649" s="544" t="s">
        <v>286</v>
      </c>
      <c r="I649" s="212">
        <v>10963100</v>
      </c>
      <c r="J649" s="605"/>
      <c r="K649" s="212">
        <v>1</v>
      </c>
      <c r="L649" s="212">
        <f t="shared" si="74"/>
        <v>10963100</v>
      </c>
      <c r="M649" s="602"/>
      <c r="N649" s="675">
        <f>+'Yeşil Defter'!K624</f>
        <v>0</v>
      </c>
      <c r="O649" s="675">
        <f>+'Yeşil Defter'!L624</f>
        <v>0</v>
      </c>
      <c r="P649" s="675">
        <f>+'Yeşil Defter'!M624</f>
        <v>0</v>
      </c>
      <c r="Q649" s="212"/>
      <c r="R649" s="605">
        <f t="shared" si="75"/>
        <v>0</v>
      </c>
      <c r="S649" s="225">
        <f t="shared" si="72"/>
        <v>0</v>
      </c>
      <c r="T649" s="237">
        <f t="shared" si="76"/>
        <v>0</v>
      </c>
    </row>
    <row r="650" spans="1:20" ht="30" hidden="1" customHeight="1" x14ac:dyDescent="0.3">
      <c r="A650" s="262">
        <v>4</v>
      </c>
      <c r="C650" s="244">
        <v>346</v>
      </c>
      <c r="D650" s="213" t="s">
        <v>880</v>
      </c>
      <c r="E650" s="969" t="s">
        <v>881</v>
      </c>
      <c r="F650" s="970"/>
      <c r="G650" s="971"/>
      <c r="H650" s="544" t="s">
        <v>286</v>
      </c>
      <c r="I650" s="212">
        <v>377400</v>
      </c>
      <c r="J650" s="605"/>
      <c r="K650" s="212">
        <v>1</v>
      </c>
      <c r="L650" s="212">
        <f t="shared" si="74"/>
        <v>377400</v>
      </c>
      <c r="M650" s="602"/>
      <c r="N650" s="675">
        <f>+'Yeşil Defter'!K625</f>
        <v>0</v>
      </c>
      <c r="O650" s="675">
        <f>+'Yeşil Defter'!L625</f>
        <v>0</v>
      </c>
      <c r="P650" s="675">
        <f>+'Yeşil Defter'!M625</f>
        <v>0</v>
      </c>
      <c r="Q650" s="212"/>
      <c r="R650" s="605">
        <f t="shared" si="75"/>
        <v>0</v>
      </c>
      <c r="S650" s="225">
        <f t="shared" si="72"/>
        <v>0</v>
      </c>
      <c r="T650" s="237">
        <f t="shared" si="76"/>
        <v>0</v>
      </c>
    </row>
    <row r="651" spans="1:20" ht="30" hidden="1" customHeight="1" x14ac:dyDescent="0.3">
      <c r="A651" s="262">
        <v>4</v>
      </c>
      <c r="C651" s="244">
        <v>347</v>
      </c>
      <c r="D651" s="213" t="s">
        <v>882</v>
      </c>
      <c r="E651" s="969" t="s">
        <v>883</v>
      </c>
      <c r="F651" s="970"/>
      <c r="G651" s="971"/>
      <c r="H651" s="544" t="s">
        <v>286</v>
      </c>
      <c r="I651" s="212">
        <v>521700</v>
      </c>
      <c r="J651" s="605"/>
      <c r="K651" s="212">
        <v>1</v>
      </c>
      <c r="L651" s="212">
        <f t="shared" si="74"/>
        <v>521700</v>
      </c>
      <c r="M651" s="602"/>
      <c r="N651" s="675">
        <f>+'Yeşil Defter'!K626</f>
        <v>0</v>
      </c>
      <c r="O651" s="675">
        <f>+'Yeşil Defter'!L626</f>
        <v>0</v>
      </c>
      <c r="P651" s="675">
        <f>+'Yeşil Defter'!M626</f>
        <v>0</v>
      </c>
      <c r="Q651" s="212"/>
      <c r="R651" s="605">
        <f t="shared" si="75"/>
        <v>0</v>
      </c>
      <c r="S651" s="225">
        <f t="shared" si="72"/>
        <v>0</v>
      </c>
      <c r="T651" s="237">
        <f t="shared" si="76"/>
        <v>0</v>
      </c>
    </row>
    <row r="652" spans="1:20" ht="30" hidden="1" customHeight="1" x14ac:dyDescent="0.3">
      <c r="A652" s="262">
        <v>4</v>
      </c>
      <c r="C652" s="244">
        <v>348</v>
      </c>
      <c r="D652" s="213" t="s">
        <v>884</v>
      </c>
      <c r="E652" s="969" t="s">
        <v>885</v>
      </c>
      <c r="F652" s="970"/>
      <c r="G652" s="971"/>
      <c r="H652" s="544" t="s">
        <v>286</v>
      </c>
      <c r="I652" s="212">
        <v>9020600</v>
      </c>
      <c r="J652" s="605"/>
      <c r="K652" s="212">
        <v>1</v>
      </c>
      <c r="L652" s="212">
        <f t="shared" si="74"/>
        <v>9020600</v>
      </c>
      <c r="M652" s="602"/>
      <c r="N652" s="675">
        <f>+'Yeşil Defter'!K627</f>
        <v>0</v>
      </c>
      <c r="O652" s="675">
        <f>+'Yeşil Defter'!L627</f>
        <v>0</v>
      </c>
      <c r="P652" s="675">
        <f>+'Yeşil Defter'!M627</f>
        <v>0</v>
      </c>
      <c r="Q652" s="212"/>
      <c r="R652" s="605">
        <f t="shared" si="75"/>
        <v>0</v>
      </c>
      <c r="S652" s="225">
        <f t="shared" si="72"/>
        <v>0</v>
      </c>
      <c r="T652" s="237">
        <f t="shared" si="76"/>
        <v>0</v>
      </c>
    </row>
    <row r="653" spans="1:20" ht="30" hidden="1" customHeight="1" x14ac:dyDescent="0.3">
      <c r="A653" s="262">
        <v>4</v>
      </c>
      <c r="C653" s="244">
        <v>349</v>
      </c>
      <c r="D653" s="213" t="s">
        <v>886</v>
      </c>
      <c r="E653" s="969" t="s">
        <v>887</v>
      </c>
      <c r="F653" s="970"/>
      <c r="G653" s="971"/>
      <c r="H653" s="544" t="s">
        <v>286</v>
      </c>
      <c r="I653" s="212">
        <v>1487400</v>
      </c>
      <c r="J653" s="605"/>
      <c r="K653" s="212">
        <v>1</v>
      </c>
      <c r="L653" s="212">
        <f t="shared" si="74"/>
        <v>1487400</v>
      </c>
      <c r="M653" s="602"/>
      <c r="N653" s="675">
        <f>+'Yeşil Defter'!K628</f>
        <v>0</v>
      </c>
      <c r="O653" s="675">
        <f>+'Yeşil Defter'!L628</f>
        <v>0</v>
      </c>
      <c r="P653" s="675">
        <f>+'Yeşil Defter'!M628</f>
        <v>0</v>
      </c>
      <c r="Q653" s="212"/>
      <c r="R653" s="605">
        <f t="shared" si="75"/>
        <v>0</v>
      </c>
      <c r="S653" s="225">
        <f t="shared" si="72"/>
        <v>0</v>
      </c>
      <c r="T653" s="237">
        <f t="shared" si="76"/>
        <v>0</v>
      </c>
    </row>
    <row r="654" spans="1:20" ht="30" hidden="1" customHeight="1" x14ac:dyDescent="0.3">
      <c r="A654" s="262">
        <v>4</v>
      </c>
      <c r="C654" s="244"/>
      <c r="D654" s="213"/>
      <c r="E654" s="969"/>
      <c r="F654" s="970"/>
      <c r="G654" s="971"/>
      <c r="H654" s="161"/>
      <c r="I654" s="605"/>
      <c r="J654" s="605"/>
      <c r="K654" s="212"/>
      <c r="L654" s="341"/>
      <c r="M654" s="212"/>
      <c r="N654" s="605"/>
      <c r="O654" s="212"/>
      <c r="P654" s="341"/>
      <c r="Q654" s="212"/>
      <c r="R654" s="605"/>
      <c r="S654" s="225"/>
      <c r="T654" s="237"/>
    </row>
    <row r="655" spans="1:20" ht="30" hidden="1" customHeight="1" x14ac:dyDescent="0.3">
      <c r="A655" s="262">
        <v>4</v>
      </c>
      <c r="C655" s="244"/>
      <c r="D655" s="213"/>
      <c r="E655" s="969"/>
      <c r="F655" s="970"/>
      <c r="G655" s="971"/>
      <c r="H655" s="161"/>
      <c r="I655" s="605"/>
      <c r="J655" s="605"/>
      <c r="K655" s="212"/>
      <c r="L655" s="341"/>
      <c r="M655" s="212"/>
      <c r="N655" s="605"/>
      <c r="O655" s="212"/>
      <c r="P655" s="341"/>
      <c r="Q655" s="212"/>
      <c r="R655" s="605"/>
      <c r="S655" s="225"/>
      <c r="T655" s="237"/>
    </row>
    <row r="656" spans="1:20" ht="30" hidden="1" customHeight="1" x14ac:dyDescent="0.3">
      <c r="A656" s="262">
        <v>4</v>
      </c>
      <c r="C656" s="244"/>
      <c r="D656" s="213"/>
      <c r="E656" s="969"/>
      <c r="F656" s="970"/>
      <c r="G656" s="971"/>
      <c r="H656" s="161"/>
      <c r="I656" s="605"/>
      <c r="J656" s="605"/>
      <c r="K656" s="212"/>
      <c r="L656" s="341"/>
      <c r="M656" s="212"/>
      <c r="N656" s="605"/>
      <c r="O656" s="212"/>
      <c r="P656" s="341"/>
      <c r="Q656" s="212"/>
      <c r="R656" s="605"/>
      <c r="S656" s="225"/>
      <c r="T656" s="237"/>
    </row>
    <row r="657" spans="1:20" ht="30" hidden="1" customHeight="1" x14ac:dyDescent="0.3">
      <c r="A657" s="262">
        <v>4</v>
      </c>
      <c r="C657" s="244"/>
      <c r="D657" s="213"/>
      <c r="E657" s="969"/>
      <c r="F657" s="970"/>
      <c r="G657" s="971"/>
      <c r="H657" s="161"/>
      <c r="I657" s="605"/>
      <c r="J657" s="605"/>
      <c r="K657" s="212"/>
      <c r="L657" s="341"/>
      <c r="M657" s="212"/>
      <c r="N657" s="605"/>
      <c r="O657" s="212"/>
      <c r="P657" s="341"/>
      <c r="Q657" s="212"/>
      <c r="R657" s="605"/>
      <c r="S657" s="225"/>
      <c r="T657" s="237"/>
    </row>
    <row r="658" spans="1:20" ht="30" hidden="1" customHeight="1" x14ac:dyDescent="0.3">
      <c r="A658" s="262">
        <v>4</v>
      </c>
      <c r="C658" s="244"/>
      <c r="D658" s="213"/>
      <c r="E658" s="969"/>
      <c r="F658" s="970"/>
      <c r="G658" s="971"/>
      <c r="H658" s="161"/>
      <c r="I658" s="605"/>
      <c r="J658" s="605"/>
      <c r="K658" s="212"/>
      <c r="L658" s="341"/>
      <c r="M658" s="212"/>
      <c r="N658" s="605"/>
      <c r="O658" s="212"/>
      <c r="P658" s="341"/>
      <c r="Q658" s="212"/>
      <c r="R658" s="605"/>
      <c r="S658" s="225"/>
      <c r="T658" s="237"/>
    </row>
    <row r="659" spans="1:20" ht="30" hidden="1" customHeight="1" x14ac:dyDescent="0.3">
      <c r="A659" s="262">
        <v>4</v>
      </c>
      <c r="C659" s="244"/>
      <c r="D659" s="213"/>
      <c r="E659" s="969"/>
      <c r="F659" s="970"/>
      <c r="G659" s="971"/>
      <c r="H659" s="161"/>
      <c r="I659" s="605"/>
      <c r="J659" s="605"/>
      <c r="K659" s="212"/>
      <c r="L659" s="341"/>
      <c r="M659" s="212"/>
      <c r="N659" s="605"/>
      <c r="O659" s="212"/>
      <c r="P659" s="341"/>
      <c r="Q659" s="212"/>
      <c r="R659" s="605"/>
      <c r="S659" s="225"/>
      <c r="T659" s="237"/>
    </row>
    <row r="660" spans="1:20" ht="30" hidden="1" customHeight="1" x14ac:dyDescent="0.3">
      <c r="A660" s="262">
        <v>4</v>
      </c>
      <c r="C660" s="244"/>
      <c r="D660" s="213"/>
      <c r="E660" s="969"/>
      <c r="F660" s="970"/>
      <c r="G660" s="971"/>
      <c r="H660" s="161"/>
      <c r="I660" s="605"/>
      <c r="J660" s="605"/>
      <c r="K660" s="212"/>
      <c r="L660" s="341"/>
      <c r="M660" s="212"/>
      <c r="N660" s="605"/>
      <c r="O660" s="212"/>
      <c r="P660" s="341"/>
      <c r="Q660" s="212"/>
      <c r="R660" s="605"/>
      <c r="S660" s="225"/>
      <c r="T660" s="237"/>
    </row>
    <row r="661" spans="1:20" ht="30" hidden="1" customHeight="1" x14ac:dyDescent="0.3">
      <c r="A661" s="262">
        <v>4</v>
      </c>
      <c r="C661" s="244"/>
      <c r="D661" s="213"/>
      <c r="E661" s="969"/>
      <c r="F661" s="970"/>
      <c r="G661" s="971"/>
      <c r="H661" s="161"/>
      <c r="I661" s="605"/>
      <c r="J661" s="605"/>
      <c r="K661" s="212"/>
      <c r="L661" s="341"/>
      <c r="M661" s="212"/>
      <c r="N661" s="605"/>
      <c r="O661" s="212"/>
      <c r="P661" s="341"/>
      <c r="Q661" s="212"/>
      <c r="R661" s="605"/>
      <c r="S661" s="225"/>
      <c r="T661" s="237"/>
    </row>
    <row r="662" spans="1:20" ht="30" hidden="1" customHeight="1" x14ac:dyDescent="0.3">
      <c r="A662" s="262">
        <v>4</v>
      </c>
      <c r="C662" s="244"/>
      <c r="D662" s="213"/>
      <c r="E662" s="969"/>
      <c r="F662" s="970"/>
      <c r="G662" s="971"/>
      <c r="H662" s="161"/>
      <c r="I662" s="605"/>
      <c r="J662" s="605"/>
      <c r="K662" s="212"/>
      <c r="L662" s="341"/>
      <c r="M662" s="212"/>
      <c r="N662" s="605"/>
      <c r="O662" s="212"/>
      <c r="P662" s="341"/>
      <c r="Q662" s="212"/>
      <c r="R662" s="605"/>
      <c r="S662" s="225"/>
      <c r="T662" s="237"/>
    </row>
    <row r="663" spans="1:20" ht="30" hidden="1" customHeight="1" x14ac:dyDescent="0.3">
      <c r="A663" s="262">
        <v>4</v>
      </c>
      <c r="C663" s="244"/>
      <c r="D663" s="213"/>
      <c r="E663" s="969"/>
      <c r="F663" s="970"/>
      <c r="G663" s="971"/>
      <c r="H663" s="161"/>
      <c r="I663" s="605"/>
      <c r="J663" s="605"/>
      <c r="K663" s="212"/>
      <c r="L663" s="341"/>
      <c r="M663" s="212"/>
      <c r="N663" s="605"/>
      <c r="O663" s="212"/>
      <c r="P663" s="341"/>
      <c r="Q663" s="212"/>
      <c r="R663" s="605"/>
      <c r="S663" s="225"/>
      <c r="T663" s="237"/>
    </row>
    <row r="664" spans="1:20" ht="30" hidden="1" customHeight="1" x14ac:dyDescent="0.3">
      <c r="A664" s="262">
        <v>4</v>
      </c>
      <c r="C664" s="244"/>
      <c r="D664" s="213"/>
      <c r="E664" s="969"/>
      <c r="F664" s="970"/>
      <c r="G664" s="971"/>
      <c r="H664" s="658"/>
      <c r="I664" s="605"/>
      <c r="J664" s="605"/>
      <c r="K664" s="212"/>
      <c r="L664" s="341"/>
      <c r="M664" s="302"/>
      <c r="N664" s="605"/>
      <c r="O664" s="212"/>
      <c r="P664" s="341"/>
      <c r="Q664" s="302"/>
      <c r="R664" s="605"/>
      <c r="S664" s="225"/>
      <c r="T664" s="237"/>
    </row>
    <row r="665" spans="1:20" ht="40.049999999999997" hidden="1" customHeight="1" x14ac:dyDescent="0.3">
      <c r="A665" s="262" t="s">
        <v>1242</v>
      </c>
      <c r="C665" s="258"/>
      <c r="D665" s="258"/>
      <c r="E665" s="972" t="s">
        <v>33</v>
      </c>
      <c r="F665" s="972"/>
      <c r="G665" s="972"/>
      <c r="H665" s="973" t="s">
        <v>29</v>
      </c>
      <c r="I665" s="973"/>
      <c r="J665" s="973"/>
      <c r="K665" s="973"/>
      <c r="L665" s="973"/>
      <c r="M665" s="549"/>
      <c r="N665" s="973" t="s">
        <v>22</v>
      </c>
      <c r="O665" s="973"/>
      <c r="P665" s="973"/>
      <c r="Q665" s="973"/>
      <c r="R665" s="973"/>
      <c r="S665" s="973"/>
      <c r="T665" s="973"/>
    </row>
    <row r="666" spans="1:20" ht="19.95" hidden="1" customHeight="1" x14ac:dyDescent="0.3">
      <c r="A666" s="262" t="s">
        <v>1242</v>
      </c>
      <c r="D666" s="28"/>
      <c r="E666" s="974" t="s">
        <v>1214</v>
      </c>
      <c r="F666" s="974"/>
      <c r="G666" s="974"/>
      <c r="H666" s="975" t="s">
        <v>38</v>
      </c>
      <c r="I666" s="975"/>
      <c r="J666" s="975"/>
      <c r="K666" s="975"/>
      <c r="L666" s="975"/>
      <c r="M666" s="562"/>
      <c r="N666" s="975" t="s">
        <v>1437</v>
      </c>
      <c r="O666" s="975"/>
      <c r="P666" s="975"/>
      <c r="Q666" s="975"/>
      <c r="R666" s="975"/>
      <c r="S666" s="975"/>
      <c r="T666" s="975"/>
    </row>
    <row r="667" spans="1:20" ht="19.95" hidden="1" customHeight="1" x14ac:dyDescent="0.3">
      <c r="A667" s="262" t="s">
        <v>1242</v>
      </c>
      <c r="C667" s="228"/>
      <c r="D667" s="228"/>
      <c r="E667" s="561"/>
      <c r="F667" s="561"/>
      <c r="G667" s="561"/>
      <c r="H667" s="228"/>
      <c r="I667" s="260"/>
      <c r="J667" s="260"/>
      <c r="K667" s="260"/>
      <c r="L667" s="260"/>
      <c r="M667" s="260"/>
      <c r="N667" s="975"/>
      <c r="O667" s="975"/>
      <c r="P667" s="975"/>
      <c r="Q667" s="975"/>
      <c r="R667" s="975"/>
      <c r="S667" s="975"/>
      <c r="T667" s="975"/>
    </row>
    <row r="668" spans="1:20" ht="19.95" hidden="1" customHeight="1" x14ac:dyDescent="0.3">
      <c r="A668" s="262" t="s">
        <v>1242</v>
      </c>
      <c r="C668" s="228"/>
      <c r="D668" s="228"/>
      <c r="E668" s="561"/>
      <c r="F668" s="561"/>
      <c r="G668" s="561"/>
      <c r="H668" s="228"/>
      <c r="I668" s="260"/>
      <c r="J668" s="260"/>
      <c r="K668" s="260"/>
      <c r="L668" s="260"/>
      <c r="M668" s="260"/>
      <c r="N668" s="975"/>
      <c r="O668" s="975"/>
      <c r="P668" s="975"/>
      <c r="Q668" s="975"/>
      <c r="R668" s="975"/>
      <c r="S668" s="975"/>
      <c r="T668" s="975"/>
    </row>
    <row r="669" spans="1:20" ht="19.95" hidden="1" customHeight="1" x14ac:dyDescent="0.3">
      <c r="A669" s="262" t="s">
        <v>1242</v>
      </c>
      <c r="C669" s="228"/>
      <c r="D669" s="228"/>
      <c r="E669" s="561"/>
      <c r="F669" s="561"/>
      <c r="G669" s="561"/>
      <c r="H669" s="261"/>
      <c r="I669" s="261"/>
      <c r="J669" s="261"/>
      <c r="K669" s="261"/>
      <c r="L669" s="261"/>
      <c r="M669" s="261"/>
      <c r="N669" s="260"/>
      <c r="O669" s="260"/>
      <c r="P669" s="260"/>
      <c r="Q669" s="260"/>
      <c r="R669" s="260"/>
      <c r="S669" s="260"/>
      <c r="T669" s="260"/>
    </row>
    <row r="670" spans="1:20" ht="19.95" hidden="1" customHeight="1" x14ac:dyDescent="0.3">
      <c r="A670" s="262" t="s">
        <v>1242</v>
      </c>
      <c r="C670" s="228"/>
      <c r="D670" s="228"/>
      <c r="E670" s="561"/>
      <c r="F670" s="561"/>
      <c r="G670" s="561"/>
      <c r="H670" s="975" t="s">
        <v>32</v>
      </c>
      <c r="I670" s="975"/>
      <c r="J670" s="562"/>
      <c r="K670" s="975" t="s">
        <v>1407</v>
      </c>
      <c r="L670" s="975"/>
      <c r="M670" s="562"/>
      <c r="N670" s="968" t="s">
        <v>52</v>
      </c>
      <c r="O670" s="968"/>
      <c r="P670" s="968"/>
      <c r="Q670" s="260"/>
      <c r="R670" s="968" t="s">
        <v>28</v>
      </c>
      <c r="S670" s="968"/>
      <c r="T670" s="968"/>
    </row>
    <row r="671" spans="1:20" ht="19.95" hidden="1" customHeight="1" x14ac:dyDescent="0.3">
      <c r="A671" s="262" t="s">
        <v>1242</v>
      </c>
      <c r="C671" s="228"/>
      <c r="D671" s="228"/>
      <c r="E671" s="561"/>
      <c r="F671" s="561"/>
      <c r="G671" s="561"/>
      <c r="H671" s="976" t="s">
        <v>94</v>
      </c>
      <c r="I671" s="976"/>
      <c r="J671" s="623"/>
      <c r="K671" s="976" t="s">
        <v>94</v>
      </c>
      <c r="L671" s="976"/>
      <c r="M671" s="623"/>
      <c r="N671" s="968" t="s">
        <v>1485</v>
      </c>
      <c r="O671" s="968"/>
      <c r="P671" s="968"/>
      <c r="Q671" s="260"/>
      <c r="R671" s="968" t="s">
        <v>1486</v>
      </c>
      <c r="S671" s="968"/>
      <c r="T671" s="968"/>
    </row>
    <row r="672" spans="1:20" ht="19.95" hidden="1" customHeight="1" x14ac:dyDescent="0.3">
      <c r="A672" s="262" t="s">
        <v>1242</v>
      </c>
      <c r="C672" s="228"/>
      <c r="D672" s="228"/>
      <c r="E672" s="561"/>
      <c r="F672" s="561"/>
      <c r="G672" s="561"/>
      <c r="H672" s="976"/>
      <c r="I672" s="976"/>
      <c r="J672" s="623"/>
      <c r="K672" s="976"/>
      <c r="L672" s="976"/>
      <c r="M672" s="623"/>
      <c r="N672" s="968"/>
      <c r="O672" s="968"/>
      <c r="P672" s="968"/>
      <c r="Q672" s="260"/>
      <c r="R672" s="968"/>
      <c r="S672" s="968"/>
      <c r="T672" s="968"/>
    </row>
    <row r="673" spans="1:20" ht="19.95" hidden="1" customHeight="1" x14ac:dyDescent="0.3">
      <c r="A673" s="262" t="s">
        <v>1242</v>
      </c>
      <c r="C673" s="228"/>
      <c r="D673" s="228"/>
      <c r="E673" s="561"/>
      <c r="F673" s="561"/>
      <c r="G673" s="561"/>
      <c r="H673" s="228"/>
      <c r="I673" s="260"/>
      <c r="J673" s="260"/>
      <c r="K673" s="260"/>
      <c r="L673" s="260"/>
      <c r="M673" s="260"/>
      <c r="N673" s="260"/>
      <c r="O673" s="260"/>
      <c r="P673" s="260"/>
      <c r="Q673" s="260"/>
      <c r="R673" s="260"/>
      <c r="S673" s="624"/>
      <c r="T673" s="260"/>
    </row>
    <row r="674" spans="1:20" ht="19.95" hidden="1" customHeight="1" x14ac:dyDescent="0.3">
      <c r="A674" s="262" t="s">
        <v>1242</v>
      </c>
      <c r="C674" s="228"/>
      <c r="D674" s="228"/>
      <c r="E674" s="975" t="s">
        <v>1215</v>
      </c>
      <c r="F674" s="975"/>
      <c r="G674" s="975"/>
      <c r="H674" s="975" t="s">
        <v>1348</v>
      </c>
      <c r="I674" s="975"/>
      <c r="J674" s="975"/>
      <c r="K674" s="975"/>
      <c r="L674" s="975"/>
      <c r="M674" s="562"/>
      <c r="N674" s="977" t="s">
        <v>1219</v>
      </c>
      <c r="O674" s="968"/>
      <c r="P674" s="968"/>
      <c r="Q674" s="968"/>
      <c r="R674" s="968"/>
      <c r="S674" s="968"/>
      <c r="T674" s="968"/>
    </row>
    <row r="675" spans="1:20" ht="19.95" hidden="1" customHeight="1" x14ac:dyDescent="0.3">
      <c r="A675" s="262" t="s">
        <v>1290</v>
      </c>
      <c r="C675" s="228"/>
      <c r="D675" s="228"/>
      <c r="E675" s="975"/>
      <c r="F675" s="975"/>
      <c r="G675" s="975"/>
      <c r="H675" s="975"/>
      <c r="I675" s="975"/>
      <c r="J675" s="975"/>
      <c r="K675" s="975"/>
      <c r="L675" s="975"/>
      <c r="M675" s="562"/>
      <c r="N675" s="968"/>
      <c r="O675" s="968"/>
      <c r="P675" s="968"/>
      <c r="Q675" s="968"/>
      <c r="R675" s="968"/>
      <c r="S675" s="968"/>
      <c r="T675" s="968"/>
    </row>
    <row r="676" spans="1:20" ht="30" hidden="1" customHeight="1" x14ac:dyDescent="0.3">
      <c r="A676" s="262" t="s">
        <v>1240</v>
      </c>
      <c r="C676" s="625"/>
      <c r="D676" s="626" t="s">
        <v>1232</v>
      </c>
      <c r="E676" s="627"/>
      <c r="F676" s="627"/>
      <c r="G676" s="627"/>
      <c r="H676" s="627"/>
      <c r="I676" s="628"/>
      <c r="J676" s="628"/>
      <c r="K676" s="628"/>
      <c r="L676" s="644">
        <f>+SUMIFS(L:L,A:A,"5")</f>
        <v>274307568</v>
      </c>
      <c r="M676" s="629"/>
      <c r="N676" s="648"/>
      <c r="O676" s="628"/>
      <c r="P676" s="628"/>
      <c r="Q676" s="611"/>
      <c r="R676" s="651">
        <f>+SUMIFS(R:R,A:A,"5")</f>
        <v>0</v>
      </c>
      <c r="S676" s="630">
        <f>+SUMIFS(S:S,A:A,"5")</f>
        <v>0</v>
      </c>
      <c r="T676" s="631">
        <f>+SUMIFS(T:T,A:A,"5")</f>
        <v>0</v>
      </c>
    </row>
    <row r="677" spans="1:20" ht="30" hidden="1" customHeight="1" x14ac:dyDescent="0.3">
      <c r="A677" s="262">
        <v>5</v>
      </c>
      <c r="C677" s="244">
        <v>350</v>
      </c>
      <c r="D677" s="161" t="s">
        <v>888</v>
      </c>
      <c r="E677" s="969" t="s">
        <v>889</v>
      </c>
      <c r="F677" s="970"/>
      <c r="G677" s="971"/>
      <c r="H677" s="544" t="s">
        <v>286</v>
      </c>
      <c r="I677" s="212">
        <v>5075000</v>
      </c>
      <c r="J677" s="605"/>
      <c r="K677" s="212">
        <v>1</v>
      </c>
      <c r="L677" s="212">
        <f t="shared" ref="L677:L694" si="77">+ROUND(I677*K677,2)</f>
        <v>5075000</v>
      </c>
      <c r="M677" s="602"/>
      <c r="N677" s="675">
        <f>+'Yeşil Defter'!K664</f>
        <v>0</v>
      </c>
      <c r="O677" s="675">
        <f>+'Yeşil Defter'!L664</f>
        <v>0</v>
      </c>
      <c r="P677" s="675">
        <f>+'Yeşil Defter'!M664</f>
        <v>0</v>
      </c>
      <c r="Q677" s="212"/>
      <c r="R677" s="605">
        <f t="shared" ref="R677:R694" si="78">+ROUND(K677*N677,2)</f>
        <v>0</v>
      </c>
      <c r="S677" s="225">
        <f t="shared" ref="S677:S686" si="79">+T677-R677</f>
        <v>0</v>
      </c>
      <c r="T677" s="237">
        <f t="shared" ref="T677:T694" si="80">+ROUND(K677*P677,2)</f>
        <v>0</v>
      </c>
    </row>
    <row r="678" spans="1:20" ht="30" hidden="1" customHeight="1" x14ac:dyDescent="0.3">
      <c r="A678" s="262">
        <v>5</v>
      </c>
      <c r="C678" s="244">
        <v>351</v>
      </c>
      <c r="D678" s="161" t="s">
        <v>890</v>
      </c>
      <c r="E678" s="969" t="s">
        <v>891</v>
      </c>
      <c r="F678" s="970"/>
      <c r="G678" s="971"/>
      <c r="H678" s="544" t="s">
        <v>286</v>
      </c>
      <c r="I678" s="212">
        <v>2081250</v>
      </c>
      <c r="J678" s="605"/>
      <c r="K678" s="212">
        <v>1</v>
      </c>
      <c r="L678" s="212">
        <f t="shared" si="77"/>
        <v>2081250</v>
      </c>
      <c r="M678" s="602"/>
      <c r="N678" s="675">
        <f>+'Yeşil Defter'!K665</f>
        <v>0</v>
      </c>
      <c r="O678" s="675">
        <f>+'Yeşil Defter'!L665</f>
        <v>0</v>
      </c>
      <c r="P678" s="675">
        <f>+'Yeşil Defter'!M665</f>
        <v>0</v>
      </c>
      <c r="Q678" s="212"/>
      <c r="R678" s="605">
        <f t="shared" si="78"/>
        <v>0</v>
      </c>
      <c r="S678" s="225">
        <f t="shared" si="79"/>
        <v>0</v>
      </c>
      <c r="T678" s="237">
        <f t="shared" si="80"/>
        <v>0</v>
      </c>
    </row>
    <row r="679" spans="1:20" ht="30" hidden="1" customHeight="1" x14ac:dyDescent="0.3">
      <c r="A679" s="262">
        <v>5</v>
      </c>
      <c r="C679" s="244">
        <v>352</v>
      </c>
      <c r="D679" s="161" t="s">
        <v>892</v>
      </c>
      <c r="E679" s="969" t="s">
        <v>893</v>
      </c>
      <c r="F679" s="970"/>
      <c r="G679" s="971"/>
      <c r="H679" s="544" t="s">
        <v>286</v>
      </c>
      <c r="I679" s="212">
        <v>2081250</v>
      </c>
      <c r="J679" s="605"/>
      <c r="K679" s="212">
        <v>1</v>
      </c>
      <c r="L679" s="212">
        <f t="shared" si="77"/>
        <v>2081250</v>
      </c>
      <c r="M679" s="602"/>
      <c r="N679" s="675">
        <f>+'Yeşil Defter'!K666</f>
        <v>0</v>
      </c>
      <c r="O679" s="675">
        <f>+'Yeşil Defter'!L666</f>
        <v>0</v>
      </c>
      <c r="P679" s="675">
        <f>+'Yeşil Defter'!M666</f>
        <v>0</v>
      </c>
      <c r="Q679" s="212"/>
      <c r="R679" s="605">
        <f t="shared" si="78"/>
        <v>0</v>
      </c>
      <c r="S679" s="225">
        <f t="shared" si="79"/>
        <v>0</v>
      </c>
      <c r="T679" s="237">
        <f t="shared" si="80"/>
        <v>0</v>
      </c>
    </row>
    <row r="680" spans="1:20" ht="30" hidden="1" customHeight="1" x14ac:dyDescent="0.3">
      <c r="A680" s="262">
        <v>5</v>
      </c>
      <c r="C680" s="244">
        <v>353</v>
      </c>
      <c r="D680" s="161" t="s">
        <v>894</v>
      </c>
      <c r="E680" s="969" t="s">
        <v>895</v>
      </c>
      <c r="F680" s="970"/>
      <c r="G680" s="971"/>
      <c r="H680" s="544" t="s">
        <v>286</v>
      </c>
      <c r="I680" s="212">
        <v>17280388</v>
      </c>
      <c r="J680" s="605"/>
      <c r="K680" s="212">
        <v>1</v>
      </c>
      <c r="L680" s="212">
        <f t="shared" si="77"/>
        <v>17280388</v>
      </c>
      <c r="M680" s="602"/>
      <c r="N680" s="675">
        <f>+'Yeşil Defter'!K667</f>
        <v>0</v>
      </c>
      <c r="O680" s="675">
        <f>+'Yeşil Defter'!L667</f>
        <v>0</v>
      </c>
      <c r="P680" s="675">
        <f>+'Yeşil Defter'!M667</f>
        <v>0</v>
      </c>
      <c r="Q680" s="212"/>
      <c r="R680" s="605">
        <f t="shared" si="78"/>
        <v>0</v>
      </c>
      <c r="S680" s="225">
        <f t="shared" si="79"/>
        <v>0</v>
      </c>
      <c r="T680" s="237">
        <f t="shared" si="80"/>
        <v>0</v>
      </c>
    </row>
    <row r="681" spans="1:20" ht="30" hidden="1" customHeight="1" x14ac:dyDescent="0.3">
      <c r="A681" s="262">
        <v>5</v>
      </c>
      <c r="C681" s="244">
        <v>354</v>
      </c>
      <c r="D681" s="161" t="s">
        <v>896</v>
      </c>
      <c r="E681" s="969" t="s">
        <v>897</v>
      </c>
      <c r="F681" s="970"/>
      <c r="G681" s="971"/>
      <c r="H681" s="544" t="s">
        <v>286</v>
      </c>
      <c r="I681" s="212">
        <v>17280388</v>
      </c>
      <c r="J681" s="605"/>
      <c r="K681" s="212">
        <v>1</v>
      </c>
      <c r="L681" s="212">
        <f t="shared" si="77"/>
        <v>17280388</v>
      </c>
      <c r="M681" s="602"/>
      <c r="N681" s="675">
        <f>+'Yeşil Defter'!K668</f>
        <v>0</v>
      </c>
      <c r="O681" s="675">
        <f>+'Yeşil Defter'!L668</f>
        <v>0</v>
      </c>
      <c r="P681" s="675">
        <f>+'Yeşil Defter'!M668</f>
        <v>0</v>
      </c>
      <c r="Q681" s="212"/>
      <c r="R681" s="605">
        <f t="shared" si="78"/>
        <v>0</v>
      </c>
      <c r="S681" s="225">
        <f t="shared" si="79"/>
        <v>0</v>
      </c>
      <c r="T681" s="237">
        <f t="shared" si="80"/>
        <v>0</v>
      </c>
    </row>
    <row r="682" spans="1:20" ht="30" hidden="1" customHeight="1" x14ac:dyDescent="0.3">
      <c r="A682" s="262">
        <v>5</v>
      </c>
      <c r="C682" s="244">
        <v>355</v>
      </c>
      <c r="D682" s="161" t="s">
        <v>898</v>
      </c>
      <c r="E682" s="969" t="s">
        <v>899</v>
      </c>
      <c r="F682" s="970"/>
      <c r="G682" s="971"/>
      <c r="H682" s="544" t="s">
        <v>286</v>
      </c>
      <c r="I682" s="212">
        <v>17280388</v>
      </c>
      <c r="J682" s="605"/>
      <c r="K682" s="212">
        <v>1</v>
      </c>
      <c r="L682" s="212">
        <f t="shared" si="77"/>
        <v>17280388</v>
      </c>
      <c r="M682" s="602"/>
      <c r="N682" s="675">
        <f>+'Yeşil Defter'!K669</f>
        <v>0</v>
      </c>
      <c r="O682" s="675">
        <f>+'Yeşil Defter'!L669</f>
        <v>0</v>
      </c>
      <c r="P682" s="675">
        <f>+'Yeşil Defter'!M669</f>
        <v>0</v>
      </c>
      <c r="Q682" s="212"/>
      <c r="R682" s="605">
        <f t="shared" si="78"/>
        <v>0</v>
      </c>
      <c r="S682" s="225">
        <f t="shared" si="79"/>
        <v>0</v>
      </c>
      <c r="T682" s="237">
        <f t="shared" si="80"/>
        <v>0</v>
      </c>
    </row>
    <row r="683" spans="1:20" ht="30" hidden="1" customHeight="1" x14ac:dyDescent="0.3">
      <c r="A683" s="262">
        <v>5</v>
      </c>
      <c r="C683" s="244">
        <v>356</v>
      </c>
      <c r="D683" s="161" t="s">
        <v>900</v>
      </c>
      <c r="E683" s="969" t="s">
        <v>901</v>
      </c>
      <c r="F683" s="970"/>
      <c r="G683" s="971"/>
      <c r="H683" s="544" t="s">
        <v>286</v>
      </c>
      <c r="I683" s="212">
        <v>17280388</v>
      </c>
      <c r="J683" s="605"/>
      <c r="K683" s="212">
        <v>1</v>
      </c>
      <c r="L683" s="212">
        <f t="shared" si="77"/>
        <v>17280388</v>
      </c>
      <c r="M683" s="602"/>
      <c r="N683" s="675">
        <f>+'Yeşil Defter'!K670</f>
        <v>0</v>
      </c>
      <c r="O683" s="675">
        <f>+'Yeşil Defter'!L670</f>
        <v>0</v>
      </c>
      <c r="P683" s="675">
        <f>+'Yeşil Defter'!M670</f>
        <v>0</v>
      </c>
      <c r="Q683" s="212"/>
      <c r="R683" s="605">
        <f t="shared" si="78"/>
        <v>0</v>
      </c>
      <c r="S683" s="225">
        <f t="shared" si="79"/>
        <v>0</v>
      </c>
      <c r="T683" s="237">
        <f t="shared" si="80"/>
        <v>0</v>
      </c>
    </row>
    <row r="684" spans="1:20" ht="30" hidden="1" customHeight="1" x14ac:dyDescent="0.3">
      <c r="A684" s="262">
        <v>5</v>
      </c>
      <c r="C684" s="244">
        <v>357</v>
      </c>
      <c r="D684" s="161" t="s">
        <v>902</v>
      </c>
      <c r="E684" s="969" t="s">
        <v>903</v>
      </c>
      <c r="F684" s="970"/>
      <c r="G684" s="971"/>
      <c r="H684" s="544" t="s">
        <v>286</v>
      </c>
      <c r="I684" s="212">
        <v>17280388</v>
      </c>
      <c r="J684" s="605"/>
      <c r="K684" s="212">
        <v>1</v>
      </c>
      <c r="L684" s="212">
        <f t="shared" si="77"/>
        <v>17280388</v>
      </c>
      <c r="M684" s="602"/>
      <c r="N684" s="675">
        <f>+'Yeşil Defter'!K671</f>
        <v>0</v>
      </c>
      <c r="O684" s="675">
        <f>+'Yeşil Defter'!L671</f>
        <v>0</v>
      </c>
      <c r="P684" s="675">
        <f>+'Yeşil Defter'!M671</f>
        <v>0</v>
      </c>
      <c r="Q684" s="212"/>
      <c r="R684" s="605">
        <f t="shared" si="78"/>
        <v>0</v>
      </c>
      <c r="S684" s="225">
        <f t="shared" si="79"/>
        <v>0</v>
      </c>
      <c r="T684" s="237">
        <f t="shared" si="80"/>
        <v>0</v>
      </c>
    </row>
    <row r="685" spans="1:20" ht="30" hidden="1" customHeight="1" x14ac:dyDescent="0.3">
      <c r="A685" s="262">
        <v>5</v>
      </c>
      <c r="C685" s="244">
        <v>358</v>
      </c>
      <c r="D685" s="161" t="s">
        <v>904</v>
      </c>
      <c r="E685" s="969" t="s">
        <v>905</v>
      </c>
      <c r="F685" s="970"/>
      <c r="G685" s="971"/>
      <c r="H685" s="544" t="s">
        <v>286</v>
      </c>
      <c r="I685" s="212">
        <v>30092779</v>
      </c>
      <c r="J685" s="605"/>
      <c r="K685" s="212">
        <v>1</v>
      </c>
      <c r="L685" s="212">
        <f t="shared" si="77"/>
        <v>30092779</v>
      </c>
      <c r="M685" s="602"/>
      <c r="N685" s="675">
        <f>+'Yeşil Defter'!K672</f>
        <v>0</v>
      </c>
      <c r="O685" s="675">
        <f>+'Yeşil Defter'!L672</f>
        <v>0</v>
      </c>
      <c r="P685" s="675">
        <f>+'Yeşil Defter'!M672</f>
        <v>0</v>
      </c>
      <c r="Q685" s="212"/>
      <c r="R685" s="605">
        <f t="shared" si="78"/>
        <v>0</v>
      </c>
      <c r="S685" s="225">
        <f t="shared" si="79"/>
        <v>0</v>
      </c>
      <c r="T685" s="237">
        <f t="shared" si="80"/>
        <v>0</v>
      </c>
    </row>
    <row r="686" spans="1:20" ht="30" hidden="1" customHeight="1" x14ac:dyDescent="0.3">
      <c r="A686" s="262">
        <v>5</v>
      </c>
      <c r="C686" s="244">
        <v>359</v>
      </c>
      <c r="D686" s="161" t="s">
        <v>906</v>
      </c>
      <c r="E686" s="969" t="s">
        <v>907</v>
      </c>
      <c r="F686" s="970"/>
      <c r="G686" s="971"/>
      <c r="H686" s="544" t="s">
        <v>286</v>
      </c>
      <c r="I686" s="212">
        <v>32859931</v>
      </c>
      <c r="J686" s="605"/>
      <c r="K686" s="212">
        <v>1</v>
      </c>
      <c r="L686" s="212">
        <f t="shared" si="77"/>
        <v>32859931</v>
      </c>
      <c r="M686" s="602"/>
      <c r="N686" s="675">
        <f>+'Yeşil Defter'!K673</f>
        <v>0</v>
      </c>
      <c r="O686" s="675">
        <f>+'Yeşil Defter'!L673</f>
        <v>0</v>
      </c>
      <c r="P686" s="675">
        <f>+'Yeşil Defter'!M673</f>
        <v>0</v>
      </c>
      <c r="Q686" s="212"/>
      <c r="R686" s="605">
        <f t="shared" si="78"/>
        <v>0</v>
      </c>
      <c r="S686" s="225">
        <f t="shared" si="79"/>
        <v>0</v>
      </c>
      <c r="T686" s="237">
        <f t="shared" si="80"/>
        <v>0</v>
      </c>
    </row>
    <row r="687" spans="1:20" ht="30" hidden="1" customHeight="1" x14ac:dyDescent="0.3">
      <c r="A687" s="262">
        <v>5</v>
      </c>
      <c r="C687" s="244">
        <v>360</v>
      </c>
      <c r="D687" s="161" t="s">
        <v>908</v>
      </c>
      <c r="E687" s="969" t="s">
        <v>909</v>
      </c>
      <c r="F687" s="970"/>
      <c r="G687" s="971"/>
      <c r="H687" s="544" t="s">
        <v>286</v>
      </c>
      <c r="I687" s="212">
        <v>34589401</v>
      </c>
      <c r="J687" s="605"/>
      <c r="K687" s="212">
        <v>1</v>
      </c>
      <c r="L687" s="212">
        <f t="shared" si="77"/>
        <v>34589401</v>
      </c>
      <c r="M687" s="602"/>
      <c r="N687" s="675">
        <f>+'Yeşil Defter'!K674</f>
        <v>0</v>
      </c>
      <c r="O687" s="675">
        <f>+'Yeşil Defter'!L674</f>
        <v>0</v>
      </c>
      <c r="P687" s="675">
        <f>+'Yeşil Defter'!M674</f>
        <v>0</v>
      </c>
      <c r="Q687" s="212"/>
      <c r="R687" s="605">
        <f t="shared" si="78"/>
        <v>0</v>
      </c>
      <c r="S687" s="225">
        <f t="shared" si="72"/>
        <v>0</v>
      </c>
      <c r="T687" s="237">
        <f t="shared" si="80"/>
        <v>0</v>
      </c>
    </row>
    <row r="688" spans="1:20" ht="30" hidden="1" customHeight="1" x14ac:dyDescent="0.3">
      <c r="A688" s="262">
        <v>5</v>
      </c>
      <c r="C688" s="244">
        <v>361</v>
      </c>
      <c r="D688" s="161" t="s">
        <v>910</v>
      </c>
      <c r="E688" s="969" t="s">
        <v>911</v>
      </c>
      <c r="F688" s="970"/>
      <c r="G688" s="971"/>
      <c r="H688" s="544" t="s">
        <v>286</v>
      </c>
      <c r="I688" s="212">
        <v>31130461</v>
      </c>
      <c r="J688" s="605"/>
      <c r="K688" s="212">
        <v>1</v>
      </c>
      <c r="L688" s="212">
        <f t="shared" si="77"/>
        <v>31130461</v>
      </c>
      <c r="M688" s="602"/>
      <c r="N688" s="675">
        <f>+'Yeşil Defter'!K675</f>
        <v>0</v>
      </c>
      <c r="O688" s="675">
        <f>+'Yeşil Defter'!L675</f>
        <v>0</v>
      </c>
      <c r="P688" s="675">
        <f>+'Yeşil Defter'!M675</f>
        <v>0</v>
      </c>
      <c r="Q688" s="212"/>
      <c r="R688" s="605">
        <f t="shared" si="78"/>
        <v>0</v>
      </c>
      <c r="S688" s="225">
        <f t="shared" si="72"/>
        <v>0</v>
      </c>
      <c r="T688" s="237">
        <f t="shared" si="80"/>
        <v>0</v>
      </c>
    </row>
    <row r="689" spans="1:20" ht="30" hidden="1" customHeight="1" x14ac:dyDescent="0.3">
      <c r="A689" s="262">
        <v>5</v>
      </c>
      <c r="C689" s="244">
        <v>362</v>
      </c>
      <c r="D689" s="161" t="s">
        <v>912</v>
      </c>
      <c r="E689" s="969" t="s">
        <v>913</v>
      </c>
      <c r="F689" s="970"/>
      <c r="G689" s="971"/>
      <c r="H689" s="544" t="s">
        <v>286</v>
      </c>
      <c r="I689" s="212">
        <v>32859931</v>
      </c>
      <c r="J689" s="605"/>
      <c r="K689" s="212">
        <v>1</v>
      </c>
      <c r="L689" s="212">
        <f t="shared" si="77"/>
        <v>32859931</v>
      </c>
      <c r="M689" s="602"/>
      <c r="N689" s="675">
        <f>+'Yeşil Defter'!K676</f>
        <v>0</v>
      </c>
      <c r="O689" s="675">
        <f>+'Yeşil Defter'!L676</f>
        <v>0</v>
      </c>
      <c r="P689" s="675">
        <f>+'Yeşil Defter'!M676</f>
        <v>0</v>
      </c>
      <c r="Q689" s="212"/>
      <c r="R689" s="605">
        <f t="shared" si="78"/>
        <v>0</v>
      </c>
      <c r="S689" s="225">
        <f t="shared" si="72"/>
        <v>0</v>
      </c>
      <c r="T689" s="237">
        <f t="shared" si="80"/>
        <v>0</v>
      </c>
    </row>
    <row r="690" spans="1:20" ht="30" hidden="1" customHeight="1" x14ac:dyDescent="0.3">
      <c r="A690" s="262">
        <v>5</v>
      </c>
      <c r="C690" s="244">
        <v>363</v>
      </c>
      <c r="D690" s="161" t="s">
        <v>914</v>
      </c>
      <c r="E690" s="969" t="s">
        <v>915</v>
      </c>
      <c r="F690" s="970"/>
      <c r="G690" s="971"/>
      <c r="H690" s="544" t="s">
        <v>286</v>
      </c>
      <c r="I690" s="212">
        <v>3427125</v>
      </c>
      <c r="J690" s="605"/>
      <c r="K690" s="212">
        <v>1</v>
      </c>
      <c r="L690" s="212">
        <f t="shared" si="77"/>
        <v>3427125</v>
      </c>
      <c r="M690" s="602"/>
      <c r="N690" s="675">
        <f>+'Yeşil Defter'!K677</f>
        <v>0</v>
      </c>
      <c r="O690" s="675">
        <f>+'Yeşil Defter'!L677</f>
        <v>0</v>
      </c>
      <c r="P690" s="675">
        <f>+'Yeşil Defter'!M677</f>
        <v>0</v>
      </c>
      <c r="Q690" s="212"/>
      <c r="R690" s="605">
        <f t="shared" si="78"/>
        <v>0</v>
      </c>
      <c r="S690" s="225">
        <f t="shared" si="72"/>
        <v>0</v>
      </c>
      <c r="T690" s="237">
        <f t="shared" si="80"/>
        <v>0</v>
      </c>
    </row>
    <row r="691" spans="1:20" ht="30" hidden="1" customHeight="1" x14ac:dyDescent="0.3">
      <c r="A691" s="262">
        <v>5</v>
      </c>
      <c r="C691" s="244">
        <v>364</v>
      </c>
      <c r="D691" s="161" t="s">
        <v>916</v>
      </c>
      <c r="E691" s="969" t="s">
        <v>917</v>
      </c>
      <c r="F691" s="970"/>
      <c r="G691" s="971"/>
      <c r="H691" s="544" t="s">
        <v>286</v>
      </c>
      <c r="I691" s="212">
        <v>3427125</v>
      </c>
      <c r="J691" s="605"/>
      <c r="K691" s="212">
        <v>1</v>
      </c>
      <c r="L691" s="212">
        <f t="shared" si="77"/>
        <v>3427125</v>
      </c>
      <c r="M691" s="602"/>
      <c r="N691" s="675">
        <f>+'Yeşil Defter'!K678</f>
        <v>0</v>
      </c>
      <c r="O691" s="675">
        <f>+'Yeşil Defter'!L678</f>
        <v>0</v>
      </c>
      <c r="P691" s="675">
        <f>+'Yeşil Defter'!M678</f>
        <v>0</v>
      </c>
      <c r="Q691" s="212"/>
      <c r="R691" s="605">
        <f t="shared" si="78"/>
        <v>0</v>
      </c>
      <c r="S691" s="225">
        <f t="shared" si="72"/>
        <v>0</v>
      </c>
      <c r="T691" s="237">
        <f t="shared" si="80"/>
        <v>0</v>
      </c>
    </row>
    <row r="692" spans="1:20" ht="30" hidden="1" customHeight="1" x14ac:dyDescent="0.3">
      <c r="A692" s="262">
        <v>5</v>
      </c>
      <c r="C692" s="244">
        <v>365</v>
      </c>
      <c r="D692" s="161" t="s">
        <v>918</v>
      </c>
      <c r="E692" s="969" t="s">
        <v>919</v>
      </c>
      <c r="F692" s="970"/>
      <c r="G692" s="971"/>
      <c r="H692" s="544" t="s">
        <v>286</v>
      </c>
      <c r="I692" s="212">
        <v>3427125</v>
      </c>
      <c r="J692" s="605"/>
      <c r="K692" s="212">
        <v>1</v>
      </c>
      <c r="L692" s="212">
        <f t="shared" si="77"/>
        <v>3427125</v>
      </c>
      <c r="M692" s="602"/>
      <c r="N692" s="675">
        <f>+'Yeşil Defter'!K679</f>
        <v>0</v>
      </c>
      <c r="O692" s="675">
        <f>+'Yeşil Defter'!L679</f>
        <v>0</v>
      </c>
      <c r="P692" s="675">
        <f>+'Yeşil Defter'!M679</f>
        <v>0</v>
      </c>
      <c r="Q692" s="212"/>
      <c r="R692" s="605">
        <f t="shared" si="78"/>
        <v>0</v>
      </c>
      <c r="S692" s="225">
        <f t="shared" si="72"/>
        <v>0</v>
      </c>
      <c r="T692" s="237">
        <f t="shared" si="80"/>
        <v>0</v>
      </c>
    </row>
    <row r="693" spans="1:20" ht="30" hidden="1" customHeight="1" x14ac:dyDescent="0.3">
      <c r="A693" s="262">
        <v>5</v>
      </c>
      <c r="C693" s="244">
        <v>366</v>
      </c>
      <c r="D693" s="161" t="s">
        <v>920</v>
      </c>
      <c r="E693" s="969" t="s">
        <v>921</v>
      </c>
      <c r="F693" s="970"/>
      <c r="G693" s="971"/>
      <c r="H693" s="544" t="s">
        <v>286</v>
      </c>
      <c r="I693" s="212">
        <v>3427125</v>
      </c>
      <c r="J693" s="605"/>
      <c r="K693" s="212">
        <v>1</v>
      </c>
      <c r="L693" s="212">
        <f t="shared" si="77"/>
        <v>3427125</v>
      </c>
      <c r="M693" s="602"/>
      <c r="N693" s="675">
        <f>+'Yeşil Defter'!K680</f>
        <v>0</v>
      </c>
      <c r="O693" s="675">
        <f>+'Yeşil Defter'!L680</f>
        <v>0</v>
      </c>
      <c r="P693" s="675">
        <f>+'Yeşil Defter'!M680</f>
        <v>0</v>
      </c>
      <c r="Q693" s="212"/>
      <c r="R693" s="605">
        <f t="shared" si="78"/>
        <v>0</v>
      </c>
      <c r="S693" s="225">
        <f t="shared" si="72"/>
        <v>0</v>
      </c>
      <c r="T693" s="237">
        <f t="shared" si="80"/>
        <v>0</v>
      </c>
    </row>
    <row r="694" spans="1:20" ht="30" hidden="1" customHeight="1" x14ac:dyDescent="0.3">
      <c r="A694" s="262">
        <v>5</v>
      </c>
      <c r="C694" s="244">
        <v>367</v>
      </c>
      <c r="D694" s="161" t="s">
        <v>922</v>
      </c>
      <c r="E694" s="969" t="s">
        <v>923</v>
      </c>
      <c r="F694" s="970"/>
      <c r="G694" s="971"/>
      <c r="H694" s="544" t="s">
        <v>286</v>
      </c>
      <c r="I694" s="212">
        <v>3427125</v>
      </c>
      <c r="J694" s="605"/>
      <c r="K694" s="212">
        <v>1</v>
      </c>
      <c r="L694" s="341">
        <f t="shared" si="77"/>
        <v>3427125</v>
      </c>
      <c r="M694" s="212"/>
      <c r="N694" s="675">
        <f>+'Yeşil Defter'!K681</f>
        <v>0</v>
      </c>
      <c r="O694" s="675">
        <f>+'Yeşil Defter'!L681</f>
        <v>0</v>
      </c>
      <c r="P694" s="675">
        <f>+'Yeşil Defter'!M681</f>
        <v>0</v>
      </c>
      <c r="Q694" s="212"/>
      <c r="R694" s="605">
        <f t="shared" si="78"/>
        <v>0</v>
      </c>
      <c r="S694" s="225">
        <f t="shared" si="72"/>
        <v>0</v>
      </c>
      <c r="T694" s="237">
        <f t="shared" si="80"/>
        <v>0</v>
      </c>
    </row>
    <row r="695" spans="1:20" ht="30" hidden="1" customHeight="1" x14ac:dyDescent="0.3">
      <c r="A695" s="262">
        <v>5</v>
      </c>
      <c r="C695" s="244"/>
      <c r="D695" s="161"/>
      <c r="E695" s="969"/>
      <c r="F695" s="970"/>
      <c r="G695" s="971"/>
      <c r="H695" s="161"/>
      <c r="I695" s="605"/>
      <c r="J695" s="605"/>
      <c r="K695" s="212"/>
      <c r="L695" s="341"/>
      <c r="M695" s="212"/>
      <c r="N695" s="605"/>
      <c r="O695" s="212"/>
      <c r="P695" s="341"/>
      <c r="Q695" s="212"/>
      <c r="R695" s="605"/>
      <c r="S695" s="225"/>
      <c r="T695" s="237"/>
    </row>
    <row r="696" spans="1:20" ht="30" hidden="1" customHeight="1" x14ac:dyDescent="0.3">
      <c r="A696" s="262">
        <v>5</v>
      </c>
      <c r="C696" s="244"/>
      <c r="D696" s="161"/>
      <c r="E696" s="969"/>
      <c r="F696" s="970"/>
      <c r="G696" s="971"/>
      <c r="H696" s="161"/>
      <c r="I696" s="605"/>
      <c r="J696" s="605"/>
      <c r="K696" s="212"/>
      <c r="L696" s="341"/>
      <c r="M696" s="212"/>
      <c r="N696" s="605"/>
      <c r="O696" s="212"/>
      <c r="P696" s="341"/>
      <c r="Q696" s="212"/>
      <c r="R696" s="605"/>
      <c r="S696" s="225"/>
      <c r="T696" s="237"/>
    </row>
    <row r="697" spans="1:20" ht="30" hidden="1" customHeight="1" x14ac:dyDescent="0.3">
      <c r="A697" s="262">
        <v>5</v>
      </c>
      <c r="C697" s="244"/>
      <c r="D697" s="161"/>
      <c r="E697" s="969"/>
      <c r="F697" s="970"/>
      <c r="G697" s="971"/>
      <c r="H697" s="161"/>
      <c r="I697" s="605"/>
      <c r="J697" s="605"/>
      <c r="K697" s="212"/>
      <c r="L697" s="341"/>
      <c r="M697" s="212"/>
      <c r="N697" s="605"/>
      <c r="O697" s="212"/>
      <c r="P697" s="341"/>
      <c r="Q697" s="212"/>
      <c r="R697" s="605"/>
      <c r="S697" s="225"/>
      <c r="T697" s="237"/>
    </row>
    <row r="698" spans="1:20" ht="30" hidden="1" customHeight="1" x14ac:dyDescent="0.3">
      <c r="A698" s="262">
        <v>5</v>
      </c>
      <c r="C698" s="244"/>
      <c r="D698" s="161"/>
      <c r="E698" s="969"/>
      <c r="F698" s="970"/>
      <c r="G698" s="971"/>
      <c r="H698" s="658"/>
      <c r="I698" s="605"/>
      <c r="J698" s="605"/>
      <c r="K698" s="212"/>
      <c r="L698" s="341"/>
      <c r="M698" s="302"/>
      <c r="N698" s="605"/>
      <c r="O698" s="212"/>
      <c r="P698" s="341"/>
      <c r="Q698" s="302"/>
      <c r="R698" s="605"/>
      <c r="S698" s="225"/>
      <c r="T698" s="237"/>
    </row>
    <row r="699" spans="1:20" ht="40.049999999999997" hidden="1" customHeight="1" x14ac:dyDescent="0.3">
      <c r="A699" s="262" t="s">
        <v>1242</v>
      </c>
      <c r="C699" s="258"/>
      <c r="D699" s="258"/>
      <c r="E699" s="972" t="s">
        <v>33</v>
      </c>
      <c r="F699" s="972"/>
      <c r="G699" s="972"/>
      <c r="H699" s="973" t="s">
        <v>29</v>
      </c>
      <c r="I699" s="973"/>
      <c r="J699" s="973"/>
      <c r="K699" s="973"/>
      <c r="L699" s="973"/>
      <c r="M699" s="549"/>
      <c r="N699" s="973" t="s">
        <v>22</v>
      </c>
      <c r="O699" s="973"/>
      <c r="P699" s="973"/>
      <c r="Q699" s="973"/>
      <c r="R699" s="973"/>
      <c r="S699" s="973"/>
      <c r="T699" s="973"/>
    </row>
    <row r="700" spans="1:20" ht="19.95" hidden="1" customHeight="1" x14ac:dyDescent="0.3">
      <c r="A700" s="262" t="s">
        <v>1242</v>
      </c>
      <c r="D700" s="28"/>
      <c r="E700" s="974" t="s">
        <v>1214</v>
      </c>
      <c r="F700" s="974"/>
      <c r="G700" s="974"/>
      <c r="H700" s="975" t="s">
        <v>38</v>
      </c>
      <c r="I700" s="975"/>
      <c r="J700" s="975"/>
      <c r="K700" s="975"/>
      <c r="L700" s="975"/>
      <c r="M700" s="562"/>
      <c r="N700" s="975" t="s">
        <v>1437</v>
      </c>
      <c r="O700" s="975"/>
      <c r="P700" s="975"/>
      <c r="Q700" s="975"/>
      <c r="R700" s="975"/>
      <c r="S700" s="975"/>
      <c r="T700" s="975"/>
    </row>
    <row r="701" spans="1:20" ht="19.95" hidden="1" customHeight="1" x14ac:dyDescent="0.3">
      <c r="A701" s="262" t="s">
        <v>1242</v>
      </c>
      <c r="C701" s="228"/>
      <c r="D701" s="228"/>
      <c r="E701" s="561"/>
      <c r="F701" s="561"/>
      <c r="G701" s="561"/>
      <c r="H701" s="228"/>
      <c r="I701" s="260"/>
      <c r="J701" s="260"/>
      <c r="K701" s="260"/>
      <c r="L701" s="260"/>
      <c r="M701" s="260"/>
      <c r="N701" s="975"/>
      <c r="O701" s="975"/>
      <c r="P701" s="975"/>
      <c r="Q701" s="975"/>
      <c r="R701" s="975"/>
      <c r="S701" s="975"/>
      <c r="T701" s="975"/>
    </row>
    <row r="702" spans="1:20" ht="19.95" hidden="1" customHeight="1" x14ac:dyDescent="0.3">
      <c r="A702" s="262" t="s">
        <v>1242</v>
      </c>
      <c r="C702" s="228"/>
      <c r="D702" s="228"/>
      <c r="E702" s="561"/>
      <c r="F702" s="561"/>
      <c r="G702" s="561"/>
      <c r="H702" s="228"/>
      <c r="I702" s="260"/>
      <c r="J702" s="260"/>
      <c r="K702" s="260"/>
      <c r="L702" s="260"/>
      <c r="M702" s="260"/>
      <c r="N702" s="975"/>
      <c r="O702" s="975"/>
      <c r="P702" s="975"/>
      <c r="Q702" s="975"/>
      <c r="R702" s="975"/>
      <c r="S702" s="975"/>
      <c r="T702" s="975"/>
    </row>
    <row r="703" spans="1:20" ht="19.95" hidden="1" customHeight="1" x14ac:dyDescent="0.3">
      <c r="A703" s="262" t="s">
        <v>1242</v>
      </c>
      <c r="C703" s="228"/>
      <c r="D703" s="228"/>
      <c r="E703" s="561"/>
      <c r="F703" s="561"/>
      <c r="G703" s="561"/>
      <c r="H703" s="261"/>
      <c r="I703" s="261"/>
      <c r="J703" s="261"/>
      <c r="K703" s="261"/>
      <c r="L703" s="261"/>
      <c r="M703" s="261"/>
      <c r="N703" s="260"/>
      <c r="O703" s="260"/>
      <c r="P703" s="260"/>
      <c r="Q703" s="260"/>
      <c r="R703" s="260"/>
      <c r="S703" s="260"/>
      <c r="T703" s="260"/>
    </row>
    <row r="704" spans="1:20" ht="19.95" hidden="1" customHeight="1" x14ac:dyDescent="0.3">
      <c r="A704" s="262" t="s">
        <v>1242</v>
      </c>
      <c r="C704" s="228"/>
      <c r="D704" s="228"/>
      <c r="E704" s="561"/>
      <c r="F704" s="561"/>
      <c r="G704" s="561"/>
      <c r="H704" s="975" t="s">
        <v>32</v>
      </c>
      <c r="I704" s="975"/>
      <c r="J704" s="562"/>
      <c r="K704" s="975" t="s">
        <v>1407</v>
      </c>
      <c r="L704" s="975"/>
      <c r="M704" s="562"/>
      <c r="N704" s="968" t="s">
        <v>1244</v>
      </c>
      <c r="O704" s="968"/>
      <c r="P704" s="968"/>
      <c r="Q704" s="968"/>
      <c r="R704" s="968"/>
      <c r="S704" s="968"/>
      <c r="T704" s="968"/>
    </row>
    <row r="705" spans="1:20" ht="19.95" hidden="1" customHeight="1" x14ac:dyDescent="0.3">
      <c r="A705" s="262" t="s">
        <v>1242</v>
      </c>
      <c r="C705" s="228"/>
      <c r="D705" s="228"/>
      <c r="E705" s="561"/>
      <c r="F705" s="561"/>
      <c r="G705" s="561"/>
      <c r="H705" s="976" t="s">
        <v>94</v>
      </c>
      <c r="I705" s="976"/>
      <c r="J705" s="623"/>
      <c r="K705" s="976" t="s">
        <v>94</v>
      </c>
      <c r="L705" s="976"/>
      <c r="M705" s="623"/>
      <c r="N705" s="968" t="s">
        <v>1483</v>
      </c>
      <c r="O705" s="968"/>
      <c r="P705" s="968"/>
      <c r="Q705" s="968"/>
      <c r="R705" s="968"/>
      <c r="S705" s="968"/>
      <c r="T705" s="968"/>
    </row>
    <row r="706" spans="1:20" ht="19.95" hidden="1" customHeight="1" x14ac:dyDescent="0.3">
      <c r="A706" s="262" t="s">
        <v>1242</v>
      </c>
      <c r="C706" s="228"/>
      <c r="D706" s="228"/>
      <c r="E706" s="561"/>
      <c r="F706" s="561"/>
      <c r="G706" s="561"/>
      <c r="H706" s="976"/>
      <c r="I706" s="976"/>
      <c r="J706" s="623"/>
      <c r="K706" s="976"/>
      <c r="L706" s="976"/>
      <c r="M706" s="623"/>
      <c r="N706" s="968"/>
      <c r="O706" s="968"/>
      <c r="P706" s="968"/>
      <c r="Q706" s="968"/>
      <c r="R706" s="968"/>
      <c r="S706" s="968"/>
      <c r="T706" s="968"/>
    </row>
    <row r="707" spans="1:20" ht="19.95" hidden="1" customHeight="1" x14ac:dyDescent="0.3">
      <c r="A707" s="262" t="s">
        <v>1242</v>
      </c>
      <c r="C707" s="228"/>
      <c r="D707" s="228"/>
      <c r="E707" s="561"/>
      <c r="F707" s="561"/>
      <c r="G707" s="561"/>
      <c r="H707" s="228"/>
      <c r="I707" s="260"/>
      <c r="J707" s="260"/>
      <c r="K707" s="260"/>
      <c r="L707" s="260"/>
      <c r="M707" s="260"/>
      <c r="N707" s="260"/>
      <c r="O707" s="260"/>
      <c r="P707" s="260"/>
      <c r="Q707" s="260"/>
      <c r="R707" s="260"/>
      <c r="S707" s="624"/>
      <c r="T707" s="260"/>
    </row>
    <row r="708" spans="1:20" ht="19.95" hidden="1" customHeight="1" x14ac:dyDescent="0.3">
      <c r="A708" s="262" t="s">
        <v>1242</v>
      </c>
      <c r="C708" s="228"/>
      <c r="D708" s="228"/>
      <c r="E708" s="975" t="s">
        <v>1215</v>
      </c>
      <c r="F708" s="975"/>
      <c r="G708" s="975"/>
      <c r="H708" s="975" t="s">
        <v>1348</v>
      </c>
      <c r="I708" s="975"/>
      <c r="J708" s="975"/>
      <c r="K708" s="975"/>
      <c r="L708" s="975"/>
      <c r="M708" s="562"/>
      <c r="N708" s="977" t="s">
        <v>1219</v>
      </c>
      <c r="O708" s="968"/>
      <c r="P708" s="968"/>
      <c r="Q708" s="968"/>
      <c r="R708" s="968"/>
      <c r="S708" s="968"/>
      <c r="T708" s="968"/>
    </row>
    <row r="709" spans="1:20" ht="19.95" hidden="1" customHeight="1" x14ac:dyDescent="0.3">
      <c r="A709" s="262" t="s">
        <v>1290</v>
      </c>
      <c r="C709" s="228"/>
      <c r="D709" s="228"/>
      <c r="E709" s="975"/>
      <c r="F709" s="975"/>
      <c r="G709" s="975"/>
      <c r="H709" s="975"/>
      <c r="I709" s="975"/>
      <c r="J709" s="975"/>
      <c r="K709" s="975"/>
      <c r="L709" s="975"/>
      <c r="M709" s="562"/>
      <c r="N709" s="968"/>
      <c r="O709" s="968"/>
      <c r="P709" s="968"/>
      <c r="Q709" s="968"/>
      <c r="R709" s="968"/>
      <c r="S709" s="968"/>
      <c r="T709" s="968"/>
    </row>
    <row r="710" spans="1:20" ht="30" hidden="1" customHeight="1" x14ac:dyDescent="0.3">
      <c r="A710" s="262" t="s">
        <v>1240</v>
      </c>
      <c r="C710" s="625"/>
      <c r="D710" s="626" t="s">
        <v>1233</v>
      </c>
      <c r="E710" s="627"/>
      <c r="F710" s="627"/>
      <c r="G710" s="627"/>
      <c r="H710" s="627"/>
      <c r="I710" s="628"/>
      <c r="J710" s="628"/>
      <c r="K710" s="628"/>
      <c r="L710" s="644">
        <f>+SUMIFS(L:L,A:A,"6")</f>
        <v>360484829</v>
      </c>
      <c r="M710" s="629"/>
      <c r="N710" s="648"/>
      <c r="O710" s="628"/>
      <c r="P710" s="628"/>
      <c r="Q710" s="611"/>
      <c r="R710" s="651">
        <f>+SUMIFS(R:R,A:A,"6")</f>
        <v>0</v>
      </c>
      <c r="S710" s="630">
        <f>+SUMIFS(S:S,A:A,"6")</f>
        <v>0</v>
      </c>
      <c r="T710" s="631">
        <f>+SUMIFS(T:T,A:A,"6")</f>
        <v>0</v>
      </c>
    </row>
    <row r="711" spans="1:20" ht="30" hidden="1" customHeight="1" x14ac:dyDescent="0.3">
      <c r="A711" s="262">
        <v>6</v>
      </c>
      <c r="C711" s="244">
        <v>368</v>
      </c>
      <c r="D711" s="161" t="s">
        <v>924</v>
      </c>
      <c r="E711" s="969" t="s">
        <v>925</v>
      </c>
      <c r="F711" s="970"/>
      <c r="G711" s="971"/>
      <c r="H711" s="544" t="s">
        <v>286</v>
      </c>
      <c r="I711" s="212">
        <v>2747944</v>
      </c>
      <c r="J711" s="605"/>
      <c r="K711" s="212">
        <v>1</v>
      </c>
      <c r="L711" s="212">
        <f t="shared" ref="L711:L732" si="81">+ROUND(I711*K711,2)</f>
        <v>2747944</v>
      </c>
      <c r="M711" s="602"/>
      <c r="N711" s="675">
        <f>+'Yeşil Defter'!K710</f>
        <v>0</v>
      </c>
      <c r="O711" s="675">
        <f>+'Yeşil Defter'!L710</f>
        <v>0</v>
      </c>
      <c r="P711" s="675">
        <f>+'Yeşil Defter'!M710</f>
        <v>0</v>
      </c>
      <c r="Q711" s="212"/>
      <c r="R711" s="605">
        <f t="shared" ref="R711:R732" si="82">+ROUND(K711*N711,2)</f>
        <v>0</v>
      </c>
      <c r="S711" s="225">
        <f t="shared" ref="S711:S713" si="83">+T711-R711</f>
        <v>0</v>
      </c>
      <c r="T711" s="237">
        <f t="shared" ref="T711:T732" si="84">+ROUND(K711*P711,2)</f>
        <v>0</v>
      </c>
    </row>
    <row r="712" spans="1:20" ht="30" hidden="1" customHeight="1" x14ac:dyDescent="0.3">
      <c r="A712" s="262">
        <v>6</v>
      </c>
      <c r="C712" s="244">
        <v>369</v>
      </c>
      <c r="D712" s="161" t="s">
        <v>926</v>
      </c>
      <c r="E712" s="969" t="s">
        <v>927</v>
      </c>
      <c r="F712" s="970"/>
      <c r="G712" s="971"/>
      <c r="H712" s="544" t="s">
        <v>286</v>
      </c>
      <c r="I712" s="212">
        <v>2747944</v>
      </c>
      <c r="J712" s="605"/>
      <c r="K712" s="212">
        <v>1</v>
      </c>
      <c r="L712" s="212">
        <f t="shared" si="81"/>
        <v>2747944</v>
      </c>
      <c r="M712" s="602"/>
      <c r="N712" s="675">
        <f>+'Yeşil Defter'!K711</f>
        <v>0</v>
      </c>
      <c r="O712" s="675">
        <f>+'Yeşil Defter'!L711</f>
        <v>0</v>
      </c>
      <c r="P712" s="675">
        <f>+'Yeşil Defter'!M711</f>
        <v>0</v>
      </c>
      <c r="Q712" s="212"/>
      <c r="R712" s="605">
        <f t="shared" si="82"/>
        <v>0</v>
      </c>
      <c r="S712" s="225">
        <f t="shared" si="83"/>
        <v>0</v>
      </c>
      <c r="T712" s="237">
        <f t="shared" si="84"/>
        <v>0</v>
      </c>
    </row>
    <row r="713" spans="1:20" ht="30" hidden="1" customHeight="1" x14ac:dyDescent="0.3">
      <c r="A713" s="262">
        <v>6</v>
      </c>
      <c r="C713" s="244">
        <v>370</v>
      </c>
      <c r="D713" s="161" t="s">
        <v>928</v>
      </c>
      <c r="E713" s="969" t="s">
        <v>929</v>
      </c>
      <c r="F713" s="970"/>
      <c r="G713" s="971"/>
      <c r="H713" s="544" t="s">
        <v>286</v>
      </c>
      <c r="I713" s="212">
        <v>2747944</v>
      </c>
      <c r="J713" s="605"/>
      <c r="K713" s="212">
        <v>1</v>
      </c>
      <c r="L713" s="212">
        <f t="shared" si="81"/>
        <v>2747944</v>
      </c>
      <c r="M713" s="602"/>
      <c r="N713" s="675">
        <f>+'Yeşil Defter'!K712</f>
        <v>0</v>
      </c>
      <c r="O713" s="675">
        <f>+'Yeşil Defter'!L712</f>
        <v>0</v>
      </c>
      <c r="P713" s="675">
        <f>+'Yeşil Defter'!M712</f>
        <v>0</v>
      </c>
      <c r="Q713" s="212"/>
      <c r="R713" s="605">
        <f t="shared" si="82"/>
        <v>0</v>
      </c>
      <c r="S713" s="225">
        <f t="shared" si="83"/>
        <v>0</v>
      </c>
      <c r="T713" s="237">
        <f t="shared" si="84"/>
        <v>0</v>
      </c>
    </row>
    <row r="714" spans="1:20" ht="30" hidden="1" customHeight="1" x14ac:dyDescent="0.3">
      <c r="A714" s="262">
        <v>6</v>
      </c>
      <c r="C714" s="244">
        <v>371</v>
      </c>
      <c r="D714" s="161" t="s">
        <v>930</v>
      </c>
      <c r="E714" s="969" t="s">
        <v>931</v>
      </c>
      <c r="F714" s="970"/>
      <c r="G714" s="971"/>
      <c r="H714" s="544" t="s">
        <v>286</v>
      </c>
      <c r="I714" s="212">
        <v>2747944</v>
      </c>
      <c r="J714" s="605"/>
      <c r="K714" s="212">
        <v>1</v>
      </c>
      <c r="L714" s="212">
        <f t="shared" si="81"/>
        <v>2747944</v>
      </c>
      <c r="M714" s="602"/>
      <c r="N714" s="675">
        <f>+'Yeşil Defter'!K713</f>
        <v>0</v>
      </c>
      <c r="O714" s="675">
        <f>+'Yeşil Defter'!L713</f>
        <v>0</v>
      </c>
      <c r="P714" s="675">
        <f>+'Yeşil Defter'!M713</f>
        <v>0</v>
      </c>
      <c r="Q714" s="212"/>
      <c r="R714" s="605">
        <f t="shared" si="82"/>
        <v>0</v>
      </c>
      <c r="S714" s="225">
        <f t="shared" si="72"/>
        <v>0</v>
      </c>
      <c r="T714" s="237">
        <f t="shared" si="84"/>
        <v>0</v>
      </c>
    </row>
    <row r="715" spans="1:20" ht="30" hidden="1" customHeight="1" x14ac:dyDescent="0.3">
      <c r="A715" s="262">
        <v>6</v>
      </c>
      <c r="C715" s="244">
        <v>372</v>
      </c>
      <c r="D715" s="161" t="s">
        <v>932</v>
      </c>
      <c r="E715" s="969" t="s">
        <v>933</v>
      </c>
      <c r="F715" s="970"/>
      <c r="G715" s="971"/>
      <c r="H715" s="544" t="s">
        <v>286</v>
      </c>
      <c r="I715" s="212">
        <v>2747944</v>
      </c>
      <c r="J715" s="605"/>
      <c r="K715" s="212">
        <v>1</v>
      </c>
      <c r="L715" s="212">
        <f t="shared" si="81"/>
        <v>2747944</v>
      </c>
      <c r="M715" s="602"/>
      <c r="N715" s="675">
        <f>+'Yeşil Defter'!K714</f>
        <v>0</v>
      </c>
      <c r="O715" s="675">
        <f>+'Yeşil Defter'!L714</f>
        <v>0</v>
      </c>
      <c r="P715" s="675">
        <f>+'Yeşil Defter'!M714</f>
        <v>0</v>
      </c>
      <c r="Q715" s="212"/>
      <c r="R715" s="605">
        <f t="shared" si="82"/>
        <v>0</v>
      </c>
      <c r="S715" s="225">
        <f t="shared" si="72"/>
        <v>0</v>
      </c>
      <c r="T715" s="237">
        <f t="shared" si="84"/>
        <v>0</v>
      </c>
    </row>
    <row r="716" spans="1:20" ht="30" hidden="1" customHeight="1" x14ac:dyDescent="0.3">
      <c r="A716" s="262">
        <v>6</v>
      </c>
      <c r="C716" s="244">
        <v>373</v>
      </c>
      <c r="D716" s="161" t="s">
        <v>934</v>
      </c>
      <c r="E716" s="969" t="s">
        <v>935</v>
      </c>
      <c r="F716" s="970"/>
      <c r="G716" s="971"/>
      <c r="H716" s="544" t="s">
        <v>286</v>
      </c>
      <c r="I716" s="212">
        <v>2747944</v>
      </c>
      <c r="J716" s="605"/>
      <c r="K716" s="212">
        <v>1</v>
      </c>
      <c r="L716" s="212">
        <f t="shared" si="81"/>
        <v>2747944</v>
      </c>
      <c r="M716" s="602"/>
      <c r="N716" s="675">
        <f>+'Yeşil Defter'!K715</f>
        <v>0</v>
      </c>
      <c r="O716" s="675">
        <f>+'Yeşil Defter'!L715</f>
        <v>0</v>
      </c>
      <c r="P716" s="675">
        <f>+'Yeşil Defter'!M715</f>
        <v>0</v>
      </c>
      <c r="Q716" s="212"/>
      <c r="R716" s="605">
        <f t="shared" si="82"/>
        <v>0</v>
      </c>
      <c r="S716" s="225">
        <f t="shared" si="72"/>
        <v>0</v>
      </c>
      <c r="T716" s="237">
        <f t="shared" si="84"/>
        <v>0</v>
      </c>
    </row>
    <row r="717" spans="1:20" ht="30" hidden="1" customHeight="1" x14ac:dyDescent="0.3">
      <c r="A717" s="262">
        <v>6</v>
      </c>
      <c r="C717" s="244">
        <v>374</v>
      </c>
      <c r="D717" s="161" t="s">
        <v>936</v>
      </c>
      <c r="E717" s="969" t="s">
        <v>937</v>
      </c>
      <c r="F717" s="970"/>
      <c r="G717" s="971"/>
      <c r="H717" s="544" t="s">
        <v>286</v>
      </c>
      <c r="I717" s="212">
        <v>5779751</v>
      </c>
      <c r="J717" s="605"/>
      <c r="K717" s="212">
        <v>1</v>
      </c>
      <c r="L717" s="212">
        <f t="shared" si="81"/>
        <v>5779751</v>
      </c>
      <c r="M717" s="602"/>
      <c r="N717" s="675">
        <f>+'Yeşil Defter'!K716</f>
        <v>0</v>
      </c>
      <c r="O717" s="675">
        <f>+'Yeşil Defter'!L716</f>
        <v>0</v>
      </c>
      <c r="P717" s="675">
        <f>+'Yeşil Defter'!M716</f>
        <v>0</v>
      </c>
      <c r="Q717" s="212"/>
      <c r="R717" s="605">
        <f t="shared" si="82"/>
        <v>0</v>
      </c>
      <c r="S717" s="225">
        <f t="shared" si="72"/>
        <v>0</v>
      </c>
      <c r="T717" s="237">
        <f t="shared" si="84"/>
        <v>0</v>
      </c>
    </row>
    <row r="718" spans="1:20" ht="30" hidden="1" customHeight="1" x14ac:dyDescent="0.3">
      <c r="A718" s="262">
        <v>6</v>
      </c>
      <c r="C718" s="244">
        <v>375</v>
      </c>
      <c r="D718" s="161" t="s">
        <v>938</v>
      </c>
      <c r="E718" s="969" t="s">
        <v>939</v>
      </c>
      <c r="F718" s="970"/>
      <c r="G718" s="971"/>
      <c r="H718" s="544" t="s">
        <v>286</v>
      </c>
      <c r="I718" s="212">
        <v>6311222</v>
      </c>
      <c r="J718" s="605"/>
      <c r="K718" s="212">
        <v>1</v>
      </c>
      <c r="L718" s="212">
        <f t="shared" si="81"/>
        <v>6311222</v>
      </c>
      <c r="M718" s="602"/>
      <c r="N718" s="675">
        <f>+'Yeşil Defter'!K717</f>
        <v>0</v>
      </c>
      <c r="O718" s="675">
        <f>+'Yeşil Defter'!L717</f>
        <v>0</v>
      </c>
      <c r="P718" s="675">
        <f>+'Yeşil Defter'!M717</f>
        <v>0</v>
      </c>
      <c r="Q718" s="212"/>
      <c r="R718" s="605">
        <f t="shared" si="82"/>
        <v>0</v>
      </c>
      <c r="S718" s="225">
        <f t="shared" si="72"/>
        <v>0</v>
      </c>
      <c r="T718" s="237">
        <f t="shared" si="84"/>
        <v>0</v>
      </c>
    </row>
    <row r="719" spans="1:20" ht="30" hidden="1" customHeight="1" x14ac:dyDescent="0.3">
      <c r="A719" s="262">
        <v>6</v>
      </c>
      <c r="C719" s="244">
        <v>376</v>
      </c>
      <c r="D719" s="161" t="s">
        <v>940</v>
      </c>
      <c r="E719" s="969" t="s">
        <v>941</v>
      </c>
      <c r="F719" s="970"/>
      <c r="G719" s="971"/>
      <c r="H719" s="544" t="s">
        <v>286</v>
      </c>
      <c r="I719" s="212">
        <v>6643392</v>
      </c>
      <c r="J719" s="605"/>
      <c r="K719" s="212">
        <v>1</v>
      </c>
      <c r="L719" s="212">
        <f t="shared" si="81"/>
        <v>6643392</v>
      </c>
      <c r="M719" s="602"/>
      <c r="N719" s="675">
        <f>+'Yeşil Defter'!K718</f>
        <v>0</v>
      </c>
      <c r="O719" s="675">
        <f>+'Yeşil Defter'!L718</f>
        <v>0</v>
      </c>
      <c r="P719" s="675">
        <f>+'Yeşil Defter'!M718</f>
        <v>0</v>
      </c>
      <c r="Q719" s="212"/>
      <c r="R719" s="605">
        <f t="shared" si="82"/>
        <v>0</v>
      </c>
      <c r="S719" s="225">
        <f t="shared" si="72"/>
        <v>0</v>
      </c>
      <c r="T719" s="237">
        <f t="shared" si="84"/>
        <v>0</v>
      </c>
    </row>
    <row r="720" spans="1:20" ht="30" hidden="1" customHeight="1" x14ac:dyDescent="0.3">
      <c r="A720" s="262">
        <v>6</v>
      </c>
      <c r="C720" s="244">
        <v>377</v>
      </c>
      <c r="D720" s="161" t="s">
        <v>942</v>
      </c>
      <c r="E720" s="969" t="s">
        <v>943</v>
      </c>
      <c r="F720" s="970"/>
      <c r="G720" s="971"/>
      <c r="H720" s="544" t="s">
        <v>286</v>
      </c>
      <c r="I720" s="212">
        <v>5979052</v>
      </c>
      <c r="J720" s="605"/>
      <c r="K720" s="212">
        <v>1</v>
      </c>
      <c r="L720" s="212">
        <f t="shared" si="81"/>
        <v>5979052</v>
      </c>
      <c r="M720" s="602"/>
      <c r="N720" s="675">
        <f>+'Yeşil Defter'!K719</f>
        <v>0</v>
      </c>
      <c r="O720" s="675">
        <f>+'Yeşil Defter'!L719</f>
        <v>0</v>
      </c>
      <c r="P720" s="675">
        <f>+'Yeşil Defter'!M719</f>
        <v>0</v>
      </c>
      <c r="Q720" s="212"/>
      <c r="R720" s="605">
        <f t="shared" si="82"/>
        <v>0</v>
      </c>
      <c r="S720" s="225">
        <f t="shared" si="72"/>
        <v>0</v>
      </c>
      <c r="T720" s="237">
        <f t="shared" si="84"/>
        <v>0</v>
      </c>
    </row>
    <row r="721" spans="1:20" ht="30" hidden="1" customHeight="1" x14ac:dyDescent="0.3">
      <c r="A721" s="262">
        <v>6</v>
      </c>
      <c r="C721" s="244">
        <v>378</v>
      </c>
      <c r="D721" s="161" t="s">
        <v>944</v>
      </c>
      <c r="E721" s="969" t="s">
        <v>945</v>
      </c>
      <c r="F721" s="970"/>
      <c r="G721" s="971"/>
      <c r="H721" s="544" t="s">
        <v>286</v>
      </c>
      <c r="I721" s="212">
        <v>6311222</v>
      </c>
      <c r="J721" s="605"/>
      <c r="K721" s="212">
        <v>1</v>
      </c>
      <c r="L721" s="212">
        <f t="shared" si="81"/>
        <v>6311222</v>
      </c>
      <c r="M721" s="602"/>
      <c r="N721" s="675">
        <f>+'Yeşil Defter'!K720</f>
        <v>0</v>
      </c>
      <c r="O721" s="675">
        <f>+'Yeşil Defter'!L720</f>
        <v>0</v>
      </c>
      <c r="P721" s="675">
        <f>+'Yeşil Defter'!M720</f>
        <v>0</v>
      </c>
      <c r="Q721" s="212"/>
      <c r="R721" s="605">
        <f t="shared" si="82"/>
        <v>0</v>
      </c>
      <c r="S721" s="225">
        <f t="shared" si="72"/>
        <v>0</v>
      </c>
      <c r="T721" s="237">
        <f t="shared" si="84"/>
        <v>0</v>
      </c>
    </row>
    <row r="722" spans="1:20" ht="30" hidden="1" customHeight="1" x14ac:dyDescent="0.3">
      <c r="A722" s="262">
        <v>6</v>
      </c>
      <c r="C722" s="244">
        <v>379</v>
      </c>
      <c r="D722" s="161" t="s">
        <v>946</v>
      </c>
      <c r="E722" s="969" t="s">
        <v>947</v>
      </c>
      <c r="F722" s="970"/>
      <c r="G722" s="971"/>
      <c r="H722" s="544" t="s">
        <v>286</v>
      </c>
      <c r="I722" s="212">
        <v>1769063</v>
      </c>
      <c r="J722" s="605"/>
      <c r="K722" s="212">
        <v>1</v>
      </c>
      <c r="L722" s="212">
        <f t="shared" si="81"/>
        <v>1769063</v>
      </c>
      <c r="M722" s="602"/>
      <c r="N722" s="675">
        <f>+'Yeşil Defter'!K721</f>
        <v>0</v>
      </c>
      <c r="O722" s="675">
        <f>+'Yeşil Defter'!L721</f>
        <v>0</v>
      </c>
      <c r="P722" s="675">
        <f>+'Yeşil Defter'!M721</f>
        <v>0</v>
      </c>
      <c r="Q722" s="212"/>
      <c r="R722" s="605">
        <f t="shared" si="82"/>
        <v>0</v>
      </c>
      <c r="S722" s="225">
        <f t="shared" si="72"/>
        <v>0</v>
      </c>
      <c r="T722" s="237">
        <f t="shared" si="84"/>
        <v>0</v>
      </c>
    </row>
    <row r="723" spans="1:20" ht="30" hidden="1" customHeight="1" x14ac:dyDescent="0.3">
      <c r="A723" s="262">
        <v>6</v>
      </c>
      <c r="C723" s="244">
        <v>380</v>
      </c>
      <c r="D723" s="161" t="s">
        <v>948</v>
      </c>
      <c r="E723" s="969" t="s">
        <v>949</v>
      </c>
      <c r="F723" s="970"/>
      <c r="G723" s="971"/>
      <c r="H723" s="544" t="s">
        <v>286</v>
      </c>
      <c r="I723" s="212">
        <v>23957287</v>
      </c>
      <c r="J723" s="605"/>
      <c r="K723" s="212">
        <v>1</v>
      </c>
      <c r="L723" s="212">
        <f t="shared" si="81"/>
        <v>23957287</v>
      </c>
      <c r="M723" s="602"/>
      <c r="N723" s="675">
        <f>+'Yeşil Defter'!K722</f>
        <v>0</v>
      </c>
      <c r="O723" s="675">
        <f>+'Yeşil Defter'!L722</f>
        <v>0</v>
      </c>
      <c r="P723" s="675">
        <f>+'Yeşil Defter'!M722</f>
        <v>0</v>
      </c>
      <c r="Q723" s="212"/>
      <c r="R723" s="605">
        <f t="shared" si="82"/>
        <v>0</v>
      </c>
      <c r="S723" s="225">
        <f t="shared" si="72"/>
        <v>0</v>
      </c>
      <c r="T723" s="237">
        <f t="shared" si="84"/>
        <v>0</v>
      </c>
    </row>
    <row r="724" spans="1:20" ht="30" hidden="1" customHeight="1" x14ac:dyDescent="0.3">
      <c r="A724" s="262">
        <v>6</v>
      </c>
      <c r="C724" s="244">
        <v>381</v>
      </c>
      <c r="D724" s="161" t="s">
        <v>950</v>
      </c>
      <c r="E724" s="969" t="s">
        <v>951</v>
      </c>
      <c r="F724" s="970"/>
      <c r="G724" s="971"/>
      <c r="H724" s="544" t="s">
        <v>286</v>
      </c>
      <c r="I724" s="212">
        <v>26160256</v>
      </c>
      <c r="J724" s="605"/>
      <c r="K724" s="212">
        <v>1</v>
      </c>
      <c r="L724" s="212">
        <f t="shared" si="81"/>
        <v>26160256</v>
      </c>
      <c r="M724" s="602"/>
      <c r="N724" s="675">
        <f>+'Yeşil Defter'!K723</f>
        <v>0</v>
      </c>
      <c r="O724" s="675">
        <f>+'Yeşil Defter'!L723</f>
        <v>0</v>
      </c>
      <c r="P724" s="675">
        <f>+'Yeşil Defter'!M723</f>
        <v>0</v>
      </c>
      <c r="Q724" s="212"/>
      <c r="R724" s="605">
        <f t="shared" si="82"/>
        <v>0</v>
      </c>
      <c r="S724" s="225">
        <f t="shared" si="72"/>
        <v>0</v>
      </c>
      <c r="T724" s="237">
        <f t="shared" si="84"/>
        <v>0</v>
      </c>
    </row>
    <row r="725" spans="1:20" ht="30" hidden="1" customHeight="1" x14ac:dyDescent="0.3">
      <c r="A725" s="262">
        <v>6</v>
      </c>
      <c r="C725" s="244">
        <v>382</v>
      </c>
      <c r="D725" s="161" t="s">
        <v>952</v>
      </c>
      <c r="E725" s="969" t="s">
        <v>953</v>
      </c>
      <c r="F725" s="970"/>
      <c r="G725" s="971"/>
      <c r="H725" s="544" t="s">
        <v>286</v>
      </c>
      <c r="I725" s="212">
        <v>27537111</v>
      </c>
      <c r="J725" s="605"/>
      <c r="K725" s="212">
        <v>1</v>
      </c>
      <c r="L725" s="212">
        <f t="shared" si="81"/>
        <v>27537111</v>
      </c>
      <c r="M725" s="602"/>
      <c r="N725" s="675">
        <f>+'Yeşil Defter'!K724</f>
        <v>0</v>
      </c>
      <c r="O725" s="675">
        <f>+'Yeşil Defter'!L724</f>
        <v>0</v>
      </c>
      <c r="P725" s="675">
        <f>+'Yeşil Defter'!M724</f>
        <v>0</v>
      </c>
      <c r="Q725" s="212"/>
      <c r="R725" s="605">
        <f t="shared" si="82"/>
        <v>0</v>
      </c>
      <c r="S725" s="225">
        <f t="shared" si="72"/>
        <v>0</v>
      </c>
      <c r="T725" s="237">
        <f t="shared" si="84"/>
        <v>0</v>
      </c>
    </row>
    <row r="726" spans="1:20" ht="30" hidden="1" customHeight="1" x14ac:dyDescent="0.3">
      <c r="A726" s="262">
        <v>6</v>
      </c>
      <c r="C726" s="244">
        <v>383</v>
      </c>
      <c r="D726" s="161" t="s">
        <v>954</v>
      </c>
      <c r="E726" s="969" t="s">
        <v>955</v>
      </c>
      <c r="F726" s="970"/>
      <c r="G726" s="971"/>
      <c r="H726" s="544" t="s">
        <v>286</v>
      </c>
      <c r="I726" s="212">
        <v>24783400</v>
      </c>
      <c r="J726" s="605"/>
      <c r="K726" s="212">
        <v>1</v>
      </c>
      <c r="L726" s="212">
        <f t="shared" si="81"/>
        <v>24783400</v>
      </c>
      <c r="M726" s="602"/>
      <c r="N726" s="675">
        <f>+'Yeşil Defter'!K725</f>
        <v>0</v>
      </c>
      <c r="O726" s="675">
        <f>+'Yeşil Defter'!L725</f>
        <v>0</v>
      </c>
      <c r="P726" s="675">
        <f>+'Yeşil Defter'!M725</f>
        <v>0</v>
      </c>
      <c r="Q726" s="212"/>
      <c r="R726" s="605">
        <f t="shared" si="82"/>
        <v>0</v>
      </c>
      <c r="S726" s="225">
        <f t="shared" si="72"/>
        <v>0</v>
      </c>
      <c r="T726" s="237">
        <f t="shared" si="84"/>
        <v>0</v>
      </c>
    </row>
    <row r="727" spans="1:20" ht="30" hidden="1" customHeight="1" x14ac:dyDescent="0.3">
      <c r="A727" s="262">
        <v>6</v>
      </c>
      <c r="C727" s="244">
        <v>384</v>
      </c>
      <c r="D727" s="161" t="s">
        <v>956</v>
      </c>
      <c r="E727" s="969" t="s">
        <v>957</v>
      </c>
      <c r="F727" s="970"/>
      <c r="G727" s="971"/>
      <c r="H727" s="544" t="s">
        <v>286</v>
      </c>
      <c r="I727" s="212">
        <v>26160256</v>
      </c>
      <c r="J727" s="605"/>
      <c r="K727" s="212">
        <v>1</v>
      </c>
      <c r="L727" s="212">
        <f t="shared" si="81"/>
        <v>26160256</v>
      </c>
      <c r="M727" s="602"/>
      <c r="N727" s="675">
        <f>+'Yeşil Defter'!K726</f>
        <v>0</v>
      </c>
      <c r="O727" s="675">
        <f>+'Yeşil Defter'!L726</f>
        <v>0</v>
      </c>
      <c r="P727" s="675">
        <f>+'Yeşil Defter'!M726</f>
        <v>0</v>
      </c>
      <c r="Q727" s="212"/>
      <c r="R727" s="605">
        <f t="shared" si="82"/>
        <v>0</v>
      </c>
      <c r="S727" s="225">
        <f t="shared" si="72"/>
        <v>0</v>
      </c>
      <c r="T727" s="237">
        <f t="shared" si="84"/>
        <v>0</v>
      </c>
    </row>
    <row r="728" spans="1:20" ht="30" hidden="1" customHeight="1" x14ac:dyDescent="0.3">
      <c r="A728" s="262">
        <v>6</v>
      </c>
      <c r="C728" s="244">
        <v>385</v>
      </c>
      <c r="D728" s="161" t="s">
        <v>958</v>
      </c>
      <c r="E728" s="969" t="s">
        <v>959</v>
      </c>
      <c r="F728" s="970"/>
      <c r="G728" s="971"/>
      <c r="H728" s="544" t="s">
        <v>286</v>
      </c>
      <c r="I728" s="212">
        <v>61312053</v>
      </c>
      <c r="J728" s="605"/>
      <c r="K728" s="212">
        <v>1</v>
      </c>
      <c r="L728" s="212">
        <f t="shared" si="81"/>
        <v>61312053</v>
      </c>
      <c r="M728" s="602"/>
      <c r="N728" s="675">
        <f>+'Yeşil Defter'!K727</f>
        <v>0</v>
      </c>
      <c r="O728" s="675">
        <f>+'Yeşil Defter'!L727</f>
        <v>0</v>
      </c>
      <c r="P728" s="675">
        <f>+'Yeşil Defter'!M727</f>
        <v>0</v>
      </c>
      <c r="Q728" s="212"/>
      <c r="R728" s="605">
        <f t="shared" si="82"/>
        <v>0</v>
      </c>
      <c r="S728" s="225">
        <f t="shared" si="72"/>
        <v>0</v>
      </c>
      <c r="T728" s="237">
        <f t="shared" si="84"/>
        <v>0</v>
      </c>
    </row>
    <row r="729" spans="1:20" ht="30" hidden="1" customHeight="1" x14ac:dyDescent="0.3">
      <c r="A729" s="262">
        <v>6</v>
      </c>
      <c r="C729" s="244">
        <v>386</v>
      </c>
      <c r="D729" s="161" t="s">
        <v>960</v>
      </c>
      <c r="E729" s="969" t="s">
        <v>961</v>
      </c>
      <c r="F729" s="970"/>
      <c r="G729" s="971"/>
      <c r="H729" s="544" t="s">
        <v>286</v>
      </c>
      <c r="I729" s="212">
        <v>7050905</v>
      </c>
      <c r="J729" s="605"/>
      <c r="K729" s="212">
        <v>1</v>
      </c>
      <c r="L729" s="212">
        <f t="shared" si="81"/>
        <v>7050905</v>
      </c>
      <c r="M729" s="602"/>
      <c r="N729" s="675">
        <f>+'Yeşil Defter'!K728</f>
        <v>0</v>
      </c>
      <c r="O729" s="675">
        <f>+'Yeşil Defter'!L728</f>
        <v>0</v>
      </c>
      <c r="P729" s="675">
        <f>+'Yeşil Defter'!M728</f>
        <v>0</v>
      </c>
      <c r="Q729" s="212"/>
      <c r="R729" s="605">
        <f t="shared" si="82"/>
        <v>0</v>
      </c>
      <c r="S729" s="225">
        <f t="shared" si="72"/>
        <v>0</v>
      </c>
      <c r="T729" s="237">
        <f t="shared" si="84"/>
        <v>0</v>
      </c>
    </row>
    <row r="730" spans="1:20" ht="30" hidden="1" customHeight="1" x14ac:dyDescent="0.3">
      <c r="A730" s="262">
        <v>6</v>
      </c>
      <c r="C730" s="244">
        <v>387</v>
      </c>
      <c r="D730" s="161" t="s">
        <v>962</v>
      </c>
      <c r="E730" s="969" t="s">
        <v>963</v>
      </c>
      <c r="F730" s="970"/>
      <c r="G730" s="971"/>
      <c r="H730" s="544" t="s">
        <v>286</v>
      </c>
      <c r="I730" s="212">
        <v>7050905</v>
      </c>
      <c r="J730" s="605"/>
      <c r="K730" s="212">
        <v>1</v>
      </c>
      <c r="L730" s="212">
        <f t="shared" si="81"/>
        <v>7050905</v>
      </c>
      <c r="M730" s="602"/>
      <c r="N730" s="675">
        <f>+'Yeşil Defter'!K729</f>
        <v>0</v>
      </c>
      <c r="O730" s="675">
        <f>+'Yeşil Defter'!L729</f>
        <v>0</v>
      </c>
      <c r="P730" s="675">
        <f>+'Yeşil Defter'!M729</f>
        <v>0</v>
      </c>
      <c r="Q730" s="212"/>
      <c r="R730" s="605">
        <f t="shared" si="82"/>
        <v>0</v>
      </c>
      <c r="S730" s="225">
        <f t="shared" si="72"/>
        <v>0</v>
      </c>
      <c r="T730" s="237">
        <f t="shared" si="84"/>
        <v>0</v>
      </c>
    </row>
    <row r="731" spans="1:20" ht="30" hidden="1" customHeight="1" x14ac:dyDescent="0.3">
      <c r="A731" s="262">
        <v>6</v>
      </c>
      <c r="C731" s="244">
        <v>388</v>
      </c>
      <c r="D731" s="161" t="s">
        <v>964</v>
      </c>
      <c r="E731" s="969" t="s">
        <v>965</v>
      </c>
      <c r="F731" s="970"/>
      <c r="G731" s="971"/>
      <c r="H731" s="544" t="s">
        <v>286</v>
      </c>
      <c r="I731" s="212">
        <v>7050905</v>
      </c>
      <c r="J731" s="605"/>
      <c r="K731" s="212">
        <v>1</v>
      </c>
      <c r="L731" s="212">
        <f t="shared" si="81"/>
        <v>7050905</v>
      </c>
      <c r="M731" s="602"/>
      <c r="N731" s="675">
        <f>+'Yeşil Defter'!K730</f>
        <v>0</v>
      </c>
      <c r="O731" s="675">
        <f>+'Yeşil Defter'!L730</f>
        <v>0</v>
      </c>
      <c r="P731" s="675">
        <f>+'Yeşil Defter'!M730</f>
        <v>0</v>
      </c>
      <c r="Q731" s="212"/>
      <c r="R731" s="605">
        <f t="shared" si="82"/>
        <v>0</v>
      </c>
      <c r="S731" s="225">
        <f t="shared" si="72"/>
        <v>0</v>
      </c>
      <c r="T731" s="237">
        <f t="shared" si="84"/>
        <v>0</v>
      </c>
    </row>
    <row r="732" spans="1:20" ht="30" hidden="1" customHeight="1" x14ac:dyDescent="0.3">
      <c r="A732" s="262">
        <v>6</v>
      </c>
      <c r="C732" s="244">
        <v>389</v>
      </c>
      <c r="D732" s="161" t="s">
        <v>966</v>
      </c>
      <c r="E732" s="969" t="s">
        <v>967</v>
      </c>
      <c r="F732" s="970"/>
      <c r="G732" s="971"/>
      <c r="H732" s="544" t="s">
        <v>286</v>
      </c>
      <c r="I732" s="212">
        <v>7050905</v>
      </c>
      <c r="J732" s="605"/>
      <c r="K732" s="212">
        <v>1</v>
      </c>
      <c r="L732" s="212">
        <f t="shared" si="81"/>
        <v>7050905</v>
      </c>
      <c r="M732" s="602"/>
      <c r="N732" s="675">
        <f>+'Yeşil Defter'!K731</f>
        <v>0</v>
      </c>
      <c r="O732" s="675">
        <f>+'Yeşil Defter'!L731</f>
        <v>0</v>
      </c>
      <c r="P732" s="675">
        <f>+'Yeşil Defter'!M731</f>
        <v>0</v>
      </c>
      <c r="Q732" s="212"/>
      <c r="R732" s="605">
        <f t="shared" si="82"/>
        <v>0</v>
      </c>
      <c r="S732" s="225">
        <f t="shared" si="72"/>
        <v>0</v>
      </c>
      <c r="T732" s="237">
        <f t="shared" si="84"/>
        <v>0</v>
      </c>
    </row>
    <row r="733" spans="1:20" ht="40.049999999999997" hidden="1" customHeight="1" x14ac:dyDescent="0.3">
      <c r="A733" s="262" t="s">
        <v>1242</v>
      </c>
      <c r="C733" s="258"/>
      <c r="D733" s="258"/>
      <c r="E733" s="972" t="s">
        <v>33</v>
      </c>
      <c r="F733" s="972"/>
      <c r="G733" s="972"/>
      <c r="H733" s="973" t="s">
        <v>29</v>
      </c>
      <c r="I733" s="973"/>
      <c r="J733" s="973"/>
      <c r="K733" s="973"/>
      <c r="L733" s="973"/>
      <c r="M733" s="549"/>
      <c r="N733" s="973" t="s">
        <v>22</v>
      </c>
      <c r="O733" s="973"/>
      <c r="P733" s="973"/>
      <c r="Q733" s="973"/>
      <c r="R733" s="973"/>
      <c r="S733" s="973"/>
      <c r="T733" s="973"/>
    </row>
    <row r="734" spans="1:20" ht="19.95" hidden="1" customHeight="1" x14ac:dyDescent="0.3">
      <c r="A734" s="262" t="s">
        <v>1242</v>
      </c>
      <c r="D734" s="28"/>
      <c r="E734" s="974" t="s">
        <v>1214</v>
      </c>
      <c r="F734" s="974"/>
      <c r="G734" s="974"/>
      <c r="H734" s="975" t="s">
        <v>38</v>
      </c>
      <c r="I734" s="975"/>
      <c r="J734" s="975"/>
      <c r="K734" s="975"/>
      <c r="L734" s="975"/>
      <c r="M734" s="562"/>
      <c r="N734" s="975" t="s">
        <v>1437</v>
      </c>
      <c r="O734" s="975"/>
      <c r="P734" s="975"/>
      <c r="Q734" s="975"/>
      <c r="R734" s="975"/>
      <c r="S734" s="975"/>
      <c r="T734" s="975"/>
    </row>
    <row r="735" spans="1:20" ht="19.95" hidden="1" customHeight="1" x14ac:dyDescent="0.3">
      <c r="A735" s="262" t="s">
        <v>1242</v>
      </c>
      <c r="C735" s="228"/>
      <c r="D735" s="228"/>
      <c r="E735" s="561"/>
      <c r="F735" s="561"/>
      <c r="G735" s="561"/>
      <c r="H735" s="228"/>
      <c r="I735" s="260"/>
      <c r="J735" s="260"/>
      <c r="K735" s="260"/>
      <c r="L735" s="260"/>
      <c r="M735" s="260"/>
      <c r="N735" s="975"/>
      <c r="O735" s="975"/>
      <c r="P735" s="975"/>
      <c r="Q735" s="975"/>
      <c r="R735" s="975"/>
      <c r="S735" s="975"/>
      <c r="T735" s="975"/>
    </row>
    <row r="736" spans="1:20" ht="19.95" hidden="1" customHeight="1" x14ac:dyDescent="0.3">
      <c r="A736" s="262" t="s">
        <v>1242</v>
      </c>
      <c r="C736" s="228"/>
      <c r="D736" s="228"/>
      <c r="E736" s="561"/>
      <c r="F736" s="561"/>
      <c r="G736" s="561"/>
      <c r="H736" s="228"/>
      <c r="I736" s="260"/>
      <c r="J736" s="260"/>
      <c r="K736" s="260"/>
      <c r="L736" s="260"/>
      <c r="M736" s="260"/>
      <c r="N736" s="975"/>
      <c r="O736" s="975"/>
      <c r="P736" s="975"/>
      <c r="Q736" s="975"/>
      <c r="R736" s="975"/>
      <c r="S736" s="975"/>
      <c r="T736" s="975"/>
    </row>
    <row r="737" spans="1:20" ht="19.95" hidden="1" customHeight="1" x14ac:dyDescent="0.3">
      <c r="A737" s="262" t="s">
        <v>1242</v>
      </c>
      <c r="C737" s="228"/>
      <c r="D737" s="228"/>
      <c r="E737" s="561"/>
      <c r="F737" s="561"/>
      <c r="G737" s="561"/>
      <c r="H737" s="261"/>
      <c r="I737" s="261"/>
      <c r="J737" s="261"/>
      <c r="K737" s="261"/>
      <c r="L737" s="261"/>
      <c r="M737" s="261"/>
      <c r="N737" s="260"/>
      <c r="O737" s="260"/>
      <c r="P737" s="260"/>
      <c r="Q737" s="260"/>
      <c r="R737" s="260"/>
      <c r="S737" s="260"/>
      <c r="T737" s="260"/>
    </row>
    <row r="738" spans="1:20" ht="19.95" hidden="1" customHeight="1" x14ac:dyDescent="0.3">
      <c r="A738" s="262" t="s">
        <v>1242</v>
      </c>
      <c r="C738" s="228"/>
      <c r="D738" s="228"/>
      <c r="E738" s="561"/>
      <c r="F738" s="561"/>
      <c r="G738" s="561"/>
      <c r="H738" s="975" t="s">
        <v>32</v>
      </c>
      <c r="I738" s="975"/>
      <c r="J738" s="562"/>
      <c r="K738" s="975" t="s">
        <v>1407</v>
      </c>
      <c r="L738" s="975"/>
      <c r="M738" s="562"/>
      <c r="N738" s="968" t="s">
        <v>1244</v>
      </c>
      <c r="O738" s="968"/>
      <c r="P738" s="968"/>
      <c r="Q738" s="260"/>
      <c r="R738" s="968" t="s">
        <v>52</v>
      </c>
      <c r="S738" s="968"/>
      <c r="T738" s="968"/>
    </row>
    <row r="739" spans="1:20" ht="19.95" hidden="1" customHeight="1" x14ac:dyDescent="0.3">
      <c r="A739" s="262" t="s">
        <v>1242</v>
      </c>
      <c r="C739" s="228"/>
      <c r="D739" s="228"/>
      <c r="E739" s="561"/>
      <c r="F739" s="561"/>
      <c r="G739" s="561"/>
      <c r="H739" s="976" t="s">
        <v>94</v>
      </c>
      <c r="I739" s="976"/>
      <c r="J739" s="623"/>
      <c r="K739" s="976" t="s">
        <v>94</v>
      </c>
      <c r="L739" s="976"/>
      <c r="M739" s="623"/>
      <c r="N739" s="968" t="s">
        <v>1483</v>
      </c>
      <c r="O739" s="968"/>
      <c r="P739" s="968"/>
      <c r="Q739" s="260"/>
      <c r="R739" s="968" t="s">
        <v>1485</v>
      </c>
      <c r="S739" s="968"/>
      <c r="T739" s="968"/>
    </row>
    <row r="740" spans="1:20" ht="19.95" hidden="1" customHeight="1" x14ac:dyDescent="0.3">
      <c r="A740" s="262" t="s">
        <v>1242</v>
      </c>
      <c r="C740" s="228"/>
      <c r="D740" s="228"/>
      <c r="E740" s="561"/>
      <c r="F740" s="561"/>
      <c r="G740" s="561"/>
      <c r="H740" s="976"/>
      <c r="I740" s="976"/>
      <c r="J740" s="623"/>
      <c r="K740" s="976"/>
      <c r="L740" s="976"/>
      <c r="M740" s="623"/>
      <c r="N740" s="968"/>
      <c r="O740" s="968"/>
      <c r="P740" s="968"/>
      <c r="Q740" s="260"/>
      <c r="R740" s="968"/>
      <c r="S740" s="968"/>
      <c r="T740" s="968"/>
    </row>
    <row r="741" spans="1:20" ht="19.95" hidden="1" customHeight="1" x14ac:dyDescent="0.3">
      <c r="A741" s="262" t="s">
        <v>1242</v>
      </c>
      <c r="C741" s="228"/>
      <c r="D741" s="228"/>
      <c r="E741" s="561"/>
      <c r="F741" s="561"/>
      <c r="G741" s="561"/>
      <c r="H741" s="228"/>
      <c r="I741" s="260"/>
      <c r="J741" s="260"/>
      <c r="K741" s="260"/>
      <c r="L741" s="260"/>
      <c r="M741" s="260"/>
      <c r="N741" s="260"/>
      <c r="O741" s="260"/>
      <c r="P741" s="260"/>
      <c r="Q741" s="260"/>
      <c r="R741" s="260"/>
      <c r="S741" s="624"/>
      <c r="T741" s="260"/>
    </row>
    <row r="742" spans="1:20" ht="19.95" hidden="1" customHeight="1" x14ac:dyDescent="0.3">
      <c r="A742" s="262" t="s">
        <v>1242</v>
      </c>
      <c r="C742" s="228"/>
      <c r="D742" s="228"/>
      <c r="E742" s="975" t="s">
        <v>1215</v>
      </c>
      <c r="F742" s="975"/>
      <c r="G742" s="975"/>
      <c r="H742" s="975" t="s">
        <v>1348</v>
      </c>
      <c r="I742" s="975"/>
      <c r="J742" s="975"/>
      <c r="K742" s="975"/>
      <c r="L742" s="975"/>
      <c r="M742" s="562"/>
      <c r="N742" s="977" t="s">
        <v>1219</v>
      </c>
      <c r="O742" s="968"/>
      <c r="P742" s="968"/>
      <c r="Q742" s="968"/>
      <c r="R742" s="968"/>
      <c r="S742" s="968"/>
      <c r="T742" s="968"/>
    </row>
    <row r="743" spans="1:20" ht="19.95" hidden="1" customHeight="1" x14ac:dyDescent="0.3">
      <c r="A743" s="262" t="s">
        <v>1290</v>
      </c>
      <c r="C743" s="228"/>
      <c r="D743" s="228"/>
      <c r="E743" s="975"/>
      <c r="F743" s="975"/>
      <c r="G743" s="975"/>
      <c r="H743" s="975"/>
      <c r="I743" s="975"/>
      <c r="J743" s="975"/>
      <c r="K743" s="975"/>
      <c r="L743" s="975"/>
      <c r="M743" s="562"/>
      <c r="N743" s="968"/>
      <c r="O743" s="968"/>
      <c r="P743" s="968"/>
      <c r="Q743" s="968"/>
      <c r="R743" s="968"/>
      <c r="S743" s="968"/>
      <c r="T743" s="968"/>
    </row>
    <row r="744" spans="1:20" ht="30" hidden="1" customHeight="1" x14ac:dyDescent="0.3">
      <c r="A744" s="262">
        <v>6</v>
      </c>
      <c r="C744" s="255">
        <v>390</v>
      </c>
      <c r="D744" s="256" t="s">
        <v>968</v>
      </c>
      <c r="E744" s="978" t="s">
        <v>969</v>
      </c>
      <c r="F744" s="979"/>
      <c r="G744" s="980"/>
      <c r="H744" s="546" t="s">
        <v>286</v>
      </c>
      <c r="I744" s="257">
        <v>7050905</v>
      </c>
      <c r="J744" s="606"/>
      <c r="K744" s="257">
        <v>1</v>
      </c>
      <c r="L744" s="257">
        <f t="shared" ref="L744:L760" si="85">+ROUND(I744*K744,2)</f>
        <v>7050905</v>
      </c>
      <c r="M744" s="603"/>
      <c r="N744" s="675">
        <f>+'Yeşil Defter'!K732</f>
        <v>0</v>
      </c>
      <c r="O744" s="675">
        <f>+'Yeşil Defter'!L732</f>
        <v>0</v>
      </c>
      <c r="P744" s="675">
        <f>+'Yeşil Defter'!M732</f>
        <v>0</v>
      </c>
      <c r="Q744" s="257"/>
      <c r="R744" s="606">
        <f t="shared" ref="R744:R760" si="86">+ROUND(K744*N744,2)</f>
        <v>0</v>
      </c>
      <c r="S744" s="247">
        <f t="shared" si="72"/>
        <v>0</v>
      </c>
      <c r="T744" s="248">
        <f t="shared" ref="T744:T760" si="87">+ROUND(K744*P744,2)</f>
        <v>0</v>
      </c>
    </row>
    <row r="745" spans="1:20" ht="30" hidden="1" customHeight="1" x14ac:dyDescent="0.3">
      <c r="A745" s="262">
        <v>6</v>
      </c>
      <c r="C745" s="244">
        <v>391</v>
      </c>
      <c r="D745" s="161" t="s">
        <v>970</v>
      </c>
      <c r="E745" s="969" t="s">
        <v>971</v>
      </c>
      <c r="F745" s="970"/>
      <c r="G745" s="971"/>
      <c r="H745" s="544" t="s">
        <v>286</v>
      </c>
      <c r="I745" s="212">
        <v>3644778</v>
      </c>
      <c r="J745" s="605"/>
      <c r="K745" s="212">
        <v>1</v>
      </c>
      <c r="L745" s="212">
        <f t="shared" si="85"/>
        <v>3644778</v>
      </c>
      <c r="M745" s="602"/>
      <c r="N745" s="675">
        <f>+'Yeşil Defter'!K733</f>
        <v>0</v>
      </c>
      <c r="O745" s="675">
        <f>+'Yeşil Defter'!L733</f>
        <v>0</v>
      </c>
      <c r="P745" s="675">
        <f>+'Yeşil Defter'!M733</f>
        <v>0</v>
      </c>
      <c r="Q745" s="212"/>
      <c r="R745" s="605">
        <f t="shared" si="86"/>
        <v>0</v>
      </c>
      <c r="S745" s="225">
        <f t="shared" si="72"/>
        <v>0</v>
      </c>
      <c r="T745" s="237">
        <f t="shared" si="87"/>
        <v>0</v>
      </c>
    </row>
    <row r="746" spans="1:20" ht="30" hidden="1" customHeight="1" x14ac:dyDescent="0.3">
      <c r="A746" s="262">
        <v>6</v>
      </c>
      <c r="C746" s="244">
        <v>392</v>
      </c>
      <c r="D746" s="161" t="s">
        <v>972</v>
      </c>
      <c r="E746" s="969" t="s">
        <v>973</v>
      </c>
      <c r="F746" s="970"/>
      <c r="G746" s="971"/>
      <c r="H746" s="544" t="s">
        <v>286</v>
      </c>
      <c r="I746" s="212">
        <v>3644778</v>
      </c>
      <c r="J746" s="605"/>
      <c r="K746" s="212">
        <v>1</v>
      </c>
      <c r="L746" s="212">
        <f t="shared" si="85"/>
        <v>3644778</v>
      </c>
      <c r="M746" s="602"/>
      <c r="N746" s="675">
        <f>+'Yeşil Defter'!K734</f>
        <v>0</v>
      </c>
      <c r="O746" s="675">
        <f>+'Yeşil Defter'!L734</f>
        <v>0</v>
      </c>
      <c r="P746" s="675">
        <f>+'Yeşil Defter'!M734</f>
        <v>0</v>
      </c>
      <c r="Q746" s="212"/>
      <c r="R746" s="605">
        <f t="shared" si="86"/>
        <v>0</v>
      </c>
      <c r="S746" s="225">
        <f t="shared" ref="S746:S905" si="88">+T746-R746</f>
        <v>0</v>
      </c>
      <c r="T746" s="237">
        <f t="shared" si="87"/>
        <v>0</v>
      </c>
    </row>
    <row r="747" spans="1:20" ht="30" hidden="1" customHeight="1" x14ac:dyDescent="0.3">
      <c r="A747" s="262">
        <v>6</v>
      </c>
      <c r="C747" s="244">
        <v>393</v>
      </c>
      <c r="D747" s="161" t="s">
        <v>974</v>
      </c>
      <c r="E747" s="969" t="s">
        <v>975</v>
      </c>
      <c r="F747" s="970"/>
      <c r="G747" s="971"/>
      <c r="H747" s="544" t="s">
        <v>286</v>
      </c>
      <c r="I747" s="212">
        <v>3644778</v>
      </c>
      <c r="J747" s="605"/>
      <c r="K747" s="212">
        <v>1</v>
      </c>
      <c r="L747" s="212">
        <f t="shared" si="85"/>
        <v>3644778</v>
      </c>
      <c r="M747" s="602"/>
      <c r="N747" s="675">
        <f>+'Yeşil Defter'!K735</f>
        <v>0</v>
      </c>
      <c r="O747" s="675">
        <f>+'Yeşil Defter'!L735</f>
        <v>0</v>
      </c>
      <c r="P747" s="675">
        <f>+'Yeşil Defter'!M735</f>
        <v>0</v>
      </c>
      <c r="Q747" s="212"/>
      <c r="R747" s="605">
        <f t="shared" si="86"/>
        <v>0</v>
      </c>
      <c r="S747" s="225">
        <f t="shared" si="88"/>
        <v>0</v>
      </c>
      <c r="T747" s="237">
        <f t="shared" si="87"/>
        <v>0</v>
      </c>
    </row>
    <row r="748" spans="1:20" ht="30" hidden="1" customHeight="1" x14ac:dyDescent="0.3">
      <c r="A748" s="262">
        <v>6</v>
      </c>
      <c r="C748" s="244">
        <v>394</v>
      </c>
      <c r="D748" s="161" t="s">
        <v>976</v>
      </c>
      <c r="E748" s="969" t="s">
        <v>977</v>
      </c>
      <c r="F748" s="970"/>
      <c r="G748" s="971"/>
      <c r="H748" s="544" t="s">
        <v>286</v>
      </c>
      <c r="I748" s="212">
        <v>3644778</v>
      </c>
      <c r="J748" s="605"/>
      <c r="K748" s="212">
        <v>1</v>
      </c>
      <c r="L748" s="212">
        <f t="shared" si="85"/>
        <v>3644778</v>
      </c>
      <c r="M748" s="602"/>
      <c r="N748" s="675">
        <f>+'Yeşil Defter'!K736</f>
        <v>0</v>
      </c>
      <c r="O748" s="675">
        <f>+'Yeşil Defter'!L736</f>
        <v>0</v>
      </c>
      <c r="P748" s="675">
        <f>+'Yeşil Defter'!M736</f>
        <v>0</v>
      </c>
      <c r="Q748" s="212"/>
      <c r="R748" s="605">
        <f t="shared" si="86"/>
        <v>0</v>
      </c>
      <c r="S748" s="225">
        <f t="shared" si="88"/>
        <v>0</v>
      </c>
      <c r="T748" s="237">
        <f t="shared" si="87"/>
        <v>0</v>
      </c>
    </row>
    <row r="749" spans="1:20" ht="30" hidden="1" customHeight="1" x14ac:dyDescent="0.3">
      <c r="A749" s="262">
        <v>6</v>
      </c>
      <c r="C749" s="244">
        <v>395</v>
      </c>
      <c r="D749" s="161" t="s">
        <v>978</v>
      </c>
      <c r="E749" s="969" t="s">
        <v>979</v>
      </c>
      <c r="F749" s="970"/>
      <c r="G749" s="971"/>
      <c r="H749" s="544" t="s">
        <v>286</v>
      </c>
      <c r="I749" s="212">
        <v>3644778</v>
      </c>
      <c r="J749" s="605"/>
      <c r="K749" s="212">
        <v>1</v>
      </c>
      <c r="L749" s="212">
        <f t="shared" si="85"/>
        <v>3644778</v>
      </c>
      <c r="M749" s="602"/>
      <c r="N749" s="675">
        <f>+'Yeşil Defter'!K737</f>
        <v>0</v>
      </c>
      <c r="O749" s="675">
        <f>+'Yeşil Defter'!L737</f>
        <v>0</v>
      </c>
      <c r="P749" s="675">
        <f>+'Yeşil Defter'!M737</f>
        <v>0</v>
      </c>
      <c r="Q749" s="212"/>
      <c r="R749" s="605">
        <f t="shared" si="86"/>
        <v>0</v>
      </c>
      <c r="S749" s="225">
        <f t="shared" si="88"/>
        <v>0</v>
      </c>
      <c r="T749" s="237">
        <f t="shared" si="87"/>
        <v>0</v>
      </c>
    </row>
    <row r="750" spans="1:20" ht="30" hidden="1" customHeight="1" x14ac:dyDescent="0.3">
      <c r="A750" s="262">
        <v>6</v>
      </c>
      <c r="C750" s="244">
        <v>396</v>
      </c>
      <c r="D750" s="161" t="s">
        <v>980</v>
      </c>
      <c r="E750" s="969" t="s">
        <v>981</v>
      </c>
      <c r="F750" s="970"/>
      <c r="G750" s="971"/>
      <c r="H750" s="544" t="s">
        <v>286</v>
      </c>
      <c r="I750" s="212">
        <v>1341518</v>
      </c>
      <c r="J750" s="605"/>
      <c r="K750" s="212">
        <v>1</v>
      </c>
      <c r="L750" s="212">
        <f t="shared" si="85"/>
        <v>1341518</v>
      </c>
      <c r="M750" s="602"/>
      <c r="N750" s="675">
        <f>+'Yeşil Defter'!K738</f>
        <v>0</v>
      </c>
      <c r="O750" s="675">
        <f>+'Yeşil Defter'!L738</f>
        <v>0</v>
      </c>
      <c r="P750" s="675">
        <f>+'Yeşil Defter'!M738</f>
        <v>0</v>
      </c>
      <c r="Q750" s="212"/>
      <c r="R750" s="605">
        <f t="shared" si="86"/>
        <v>0</v>
      </c>
      <c r="S750" s="225">
        <f t="shared" si="88"/>
        <v>0</v>
      </c>
      <c r="T750" s="237">
        <f t="shared" si="87"/>
        <v>0</v>
      </c>
    </row>
    <row r="751" spans="1:20" ht="30" hidden="1" customHeight="1" x14ac:dyDescent="0.3">
      <c r="A751" s="262">
        <v>6</v>
      </c>
      <c r="C751" s="244">
        <v>397</v>
      </c>
      <c r="D751" s="161" t="s">
        <v>982</v>
      </c>
      <c r="E751" s="969" t="s">
        <v>983</v>
      </c>
      <c r="F751" s="970"/>
      <c r="G751" s="971"/>
      <c r="H751" s="544" t="s">
        <v>286</v>
      </c>
      <c r="I751" s="212">
        <v>1464876</v>
      </c>
      <c r="J751" s="605"/>
      <c r="K751" s="212">
        <v>1</v>
      </c>
      <c r="L751" s="212">
        <f t="shared" si="85"/>
        <v>1464876</v>
      </c>
      <c r="M751" s="602"/>
      <c r="N751" s="675">
        <f>+'Yeşil Defter'!K739</f>
        <v>0</v>
      </c>
      <c r="O751" s="675">
        <f>+'Yeşil Defter'!L739</f>
        <v>0</v>
      </c>
      <c r="P751" s="675">
        <f>+'Yeşil Defter'!M739</f>
        <v>0</v>
      </c>
      <c r="Q751" s="212"/>
      <c r="R751" s="605">
        <f t="shared" si="86"/>
        <v>0</v>
      </c>
      <c r="S751" s="225">
        <f t="shared" si="88"/>
        <v>0</v>
      </c>
      <c r="T751" s="237">
        <f t="shared" si="87"/>
        <v>0</v>
      </c>
    </row>
    <row r="752" spans="1:20" ht="30" hidden="1" customHeight="1" x14ac:dyDescent="0.3">
      <c r="A752" s="262">
        <v>6</v>
      </c>
      <c r="C752" s="244">
        <v>398</v>
      </c>
      <c r="D752" s="161" t="s">
        <v>984</v>
      </c>
      <c r="E752" s="969" t="s">
        <v>985</v>
      </c>
      <c r="F752" s="970"/>
      <c r="G752" s="971"/>
      <c r="H752" s="544" t="s">
        <v>286</v>
      </c>
      <c r="I752" s="212">
        <v>1541975</v>
      </c>
      <c r="J752" s="605"/>
      <c r="K752" s="212">
        <v>1</v>
      </c>
      <c r="L752" s="212">
        <f t="shared" si="85"/>
        <v>1541975</v>
      </c>
      <c r="M752" s="602"/>
      <c r="N752" s="675">
        <f>+'Yeşil Defter'!K740</f>
        <v>0</v>
      </c>
      <c r="O752" s="675">
        <f>+'Yeşil Defter'!L740</f>
        <v>0</v>
      </c>
      <c r="P752" s="675">
        <f>+'Yeşil Defter'!M740</f>
        <v>0</v>
      </c>
      <c r="Q752" s="212"/>
      <c r="R752" s="605">
        <f t="shared" si="86"/>
        <v>0</v>
      </c>
      <c r="S752" s="225">
        <f t="shared" si="88"/>
        <v>0</v>
      </c>
      <c r="T752" s="237">
        <f t="shared" si="87"/>
        <v>0</v>
      </c>
    </row>
    <row r="753" spans="1:20" ht="30" hidden="1" customHeight="1" x14ac:dyDescent="0.3">
      <c r="A753" s="262">
        <v>6</v>
      </c>
      <c r="C753" s="244">
        <v>399</v>
      </c>
      <c r="D753" s="161" t="s">
        <v>986</v>
      </c>
      <c r="E753" s="969" t="s">
        <v>987</v>
      </c>
      <c r="F753" s="970"/>
      <c r="G753" s="971"/>
      <c r="H753" s="544" t="s">
        <v>286</v>
      </c>
      <c r="I753" s="212">
        <v>1387778</v>
      </c>
      <c r="J753" s="605"/>
      <c r="K753" s="212">
        <v>1</v>
      </c>
      <c r="L753" s="212">
        <f t="shared" si="85"/>
        <v>1387778</v>
      </c>
      <c r="M753" s="602"/>
      <c r="N753" s="675">
        <f>+'Yeşil Defter'!K741</f>
        <v>0</v>
      </c>
      <c r="O753" s="675">
        <f>+'Yeşil Defter'!L741</f>
        <v>0</v>
      </c>
      <c r="P753" s="675">
        <f>+'Yeşil Defter'!M741</f>
        <v>0</v>
      </c>
      <c r="Q753" s="212"/>
      <c r="R753" s="605">
        <f t="shared" si="86"/>
        <v>0</v>
      </c>
      <c r="S753" s="225">
        <f t="shared" si="88"/>
        <v>0</v>
      </c>
      <c r="T753" s="237">
        <f t="shared" si="87"/>
        <v>0</v>
      </c>
    </row>
    <row r="754" spans="1:20" ht="30" hidden="1" customHeight="1" x14ac:dyDescent="0.3">
      <c r="A754" s="262">
        <v>6</v>
      </c>
      <c r="C754" s="244">
        <v>400</v>
      </c>
      <c r="D754" s="161" t="s">
        <v>988</v>
      </c>
      <c r="E754" s="969" t="s">
        <v>989</v>
      </c>
      <c r="F754" s="970"/>
      <c r="G754" s="971"/>
      <c r="H754" s="544" t="s">
        <v>286</v>
      </c>
      <c r="I754" s="212">
        <v>1464876</v>
      </c>
      <c r="J754" s="605"/>
      <c r="K754" s="212">
        <v>1</v>
      </c>
      <c r="L754" s="212">
        <f t="shared" si="85"/>
        <v>1464876</v>
      </c>
      <c r="M754" s="602"/>
      <c r="N754" s="675">
        <f>+'Yeşil Defter'!K742</f>
        <v>0</v>
      </c>
      <c r="O754" s="675">
        <f>+'Yeşil Defter'!L742</f>
        <v>0</v>
      </c>
      <c r="P754" s="675">
        <f>+'Yeşil Defter'!M742</f>
        <v>0</v>
      </c>
      <c r="Q754" s="212"/>
      <c r="R754" s="605">
        <f t="shared" si="86"/>
        <v>0</v>
      </c>
      <c r="S754" s="225">
        <f t="shared" si="88"/>
        <v>0</v>
      </c>
      <c r="T754" s="237">
        <f t="shared" si="87"/>
        <v>0</v>
      </c>
    </row>
    <row r="755" spans="1:20" ht="30" hidden="1" customHeight="1" x14ac:dyDescent="0.3">
      <c r="A755" s="262">
        <v>6</v>
      </c>
      <c r="C755" s="244">
        <v>401</v>
      </c>
      <c r="D755" s="161" t="s">
        <v>990</v>
      </c>
      <c r="E755" s="969" t="s">
        <v>991</v>
      </c>
      <c r="F755" s="970"/>
      <c r="G755" s="971"/>
      <c r="H755" s="544" t="s">
        <v>286</v>
      </c>
      <c r="I755" s="212">
        <v>9231212</v>
      </c>
      <c r="J755" s="605"/>
      <c r="K755" s="212">
        <v>1</v>
      </c>
      <c r="L755" s="212">
        <f t="shared" si="85"/>
        <v>9231212</v>
      </c>
      <c r="M755" s="602"/>
      <c r="N755" s="675">
        <f>+'Yeşil Defter'!K743</f>
        <v>0</v>
      </c>
      <c r="O755" s="675">
        <f>+'Yeşil Defter'!L743</f>
        <v>0</v>
      </c>
      <c r="P755" s="675">
        <f>+'Yeşil Defter'!M743</f>
        <v>0</v>
      </c>
      <c r="Q755" s="212"/>
      <c r="R755" s="605">
        <f t="shared" si="86"/>
        <v>0</v>
      </c>
      <c r="S755" s="225">
        <f t="shared" si="88"/>
        <v>0</v>
      </c>
      <c r="T755" s="237">
        <f t="shared" si="87"/>
        <v>0</v>
      </c>
    </row>
    <row r="756" spans="1:20" ht="30" hidden="1" customHeight="1" x14ac:dyDescent="0.3">
      <c r="A756" s="262">
        <v>6</v>
      </c>
      <c r="C756" s="244">
        <v>402</v>
      </c>
      <c r="D756" s="161" t="s">
        <v>992</v>
      </c>
      <c r="E756" s="969" t="s">
        <v>993</v>
      </c>
      <c r="F756" s="970"/>
      <c r="G756" s="971"/>
      <c r="H756" s="544" t="s">
        <v>286</v>
      </c>
      <c r="I756" s="212">
        <v>11006961</v>
      </c>
      <c r="J756" s="605"/>
      <c r="K756" s="212">
        <v>1</v>
      </c>
      <c r="L756" s="212">
        <f t="shared" si="85"/>
        <v>11006961</v>
      </c>
      <c r="M756" s="602"/>
      <c r="N756" s="675">
        <f>+'Yeşil Defter'!K756</f>
        <v>0</v>
      </c>
      <c r="O756" s="675">
        <f>+'Yeşil Defter'!L756</f>
        <v>0</v>
      </c>
      <c r="P756" s="675">
        <f>+'Yeşil Defter'!M756</f>
        <v>0</v>
      </c>
      <c r="Q756" s="212"/>
      <c r="R756" s="605">
        <f t="shared" si="86"/>
        <v>0</v>
      </c>
      <c r="S756" s="225">
        <f t="shared" si="88"/>
        <v>0</v>
      </c>
      <c r="T756" s="237">
        <f t="shared" si="87"/>
        <v>0</v>
      </c>
    </row>
    <row r="757" spans="1:20" ht="30" hidden="1" customHeight="1" x14ac:dyDescent="0.3">
      <c r="A757" s="262">
        <v>6</v>
      </c>
      <c r="C757" s="244">
        <v>403</v>
      </c>
      <c r="D757" s="161" t="s">
        <v>994</v>
      </c>
      <c r="E757" s="969" t="s">
        <v>995</v>
      </c>
      <c r="F757" s="970"/>
      <c r="G757" s="971"/>
      <c r="H757" s="544" t="s">
        <v>286</v>
      </c>
      <c r="I757" s="212">
        <v>12196079</v>
      </c>
      <c r="J757" s="605"/>
      <c r="K757" s="212">
        <v>1</v>
      </c>
      <c r="L757" s="212">
        <f t="shared" si="85"/>
        <v>12196079</v>
      </c>
      <c r="M757" s="602"/>
      <c r="N757" s="675">
        <f>+'Yeşil Defter'!K757</f>
        <v>0</v>
      </c>
      <c r="O757" s="675">
        <f>+'Yeşil Defter'!L757</f>
        <v>0</v>
      </c>
      <c r="P757" s="675">
        <f>+'Yeşil Defter'!M757</f>
        <v>0</v>
      </c>
      <c r="Q757" s="212"/>
      <c r="R757" s="605">
        <f t="shared" si="86"/>
        <v>0</v>
      </c>
      <c r="S757" s="225">
        <f t="shared" si="88"/>
        <v>0</v>
      </c>
      <c r="T757" s="237">
        <f t="shared" si="87"/>
        <v>0</v>
      </c>
    </row>
    <row r="758" spans="1:20" ht="30" hidden="1" customHeight="1" x14ac:dyDescent="0.3">
      <c r="A758" s="262">
        <v>6</v>
      </c>
      <c r="C758" s="244">
        <v>404</v>
      </c>
      <c r="D758" s="161" t="s">
        <v>996</v>
      </c>
      <c r="E758" s="969" t="s">
        <v>997</v>
      </c>
      <c r="F758" s="970"/>
      <c r="G758" s="971"/>
      <c r="H758" s="544" t="s">
        <v>286</v>
      </c>
      <c r="I758" s="212">
        <v>9878824</v>
      </c>
      <c r="J758" s="605"/>
      <c r="K758" s="212">
        <v>1</v>
      </c>
      <c r="L758" s="212">
        <f t="shared" si="85"/>
        <v>9878824</v>
      </c>
      <c r="M758" s="602"/>
      <c r="N758" s="675">
        <f>+'Yeşil Defter'!K758</f>
        <v>0</v>
      </c>
      <c r="O758" s="675">
        <f>+'Yeşil Defter'!L758</f>
        <v>0</v>
      </c>
      <c r="P758" s="675">
        <f>+'Yeşil Defter'!M758</f>
        <v>0</v>
      </c>
      <c r="Q758" s="212"/>
      <c r="R758" s="605">
        <f t="shared" si="86"/>
        <v>0</v>
      </c>
      <c r="S758" s="225">
        <f t="shared" si="88"/>
        <v>0</v>
      </c>
      <c r="T758" s="237">
        <f t="shared" si="87"/>
        <v>0</v>
      </c>
    </row>
    <row r="759" spans="1:20" ht="30" hidden="1" customHeight="1" x14ac:dyDescent="0.3">
      <c r="A759" s="262">
        <v>6</v>
      </c>
      <c r="C759" s="244">
        <v>405</v>
      </c>
      <c r="D759" s="161" t="s">
        <v>998</v>
      </c>
      <c r="E759" s="969" t="s">
        <v>999</v>
      </c>
      <c r="F759" s="970"/>
      <c r="G759" s="971"/>
      <c r="H759" s="544" t="s">
        <v>286</v>
      </c>
      <c r="I759" s="212">
        <v>11006961</v>
      </c>
      <c r="J759" s="605"/>
      <c r="K759" s="212">
        <v>1</v>
      </c>
      <c r="L759" s="212">
        <f t="shared" si="85"/>
        <v>11006961</v>
      </c>
      <c r="M759" s="602"/>
      <c r="N759" s="675">
        <f>+'Yeşil Defter'!K759</f>
        <v>0</v>
      </c>
      <c r="O759" s="675">
        <f>+'Yeşil Defter'!L759</f>
        <v>0</v>
      </c>
      <c r="P759" s="675">
        <f>+'Yeşil Defter'!M759</f>
        <v>0</v>
      </c>
      <c r="Q759" s="212"/>
      <c r="R759" s="605">
        <f t="shared" si="86"/>
        <v>0</v>
      </c>
      <c r="S759" s="225">
        <f t="shared" si="88"/>
        <v>0</v>
      </c>
      <c r="T759" s="237">
        <f t="shared" si="87"/>
        <v>0</v>
      </c>
    </row>
    <row r="760" spans="1:20" ht="30" hidden="1" customHeight="1" x14ac:dyDescent="0.3">
      <c r="A760" s="262">
        <v>6</v>
      </c>
      <c r="C760" s="244">
        <v>406</v>
      </c>
      <c r="D760" s="161" t="s">
        <v>1000</v>
      </c>
      <c r="E760" s="969" t="s">
        <v>1001</v>
      </c>
      <c r="F760" s="970"/>
      <c r="G760" s="971"/>
      <c r="H760" s="544" t="s">
        <v>286</v>
      </c>
      <c r="I760" s="212">
        <v>7293625</v>
      </c>
      <c r="J760" s="605"/>
      <c r="K760" s="212">
        <v>1</v>
      </c>
      <c r="L760" s="212">
        <f t="shared" si="85"/>
        <v>7293625</v>
      </c>
      <c r="M760" s="602"/>
      <c r="N760" s="675">
        <f>+'Yeşil Defter'!K760</f>
        <v>0</v>
      </c>
      <c r="O760" s="675">
        <f>+'Yeşil Defter'!L760</f>
        <v>0</v>
      </c>
      <c r="P760" s="675">
        <f>+'Yeşil Defter'!M760</f>
        <v>0</v>
      </c>
      <c r="Q760" s="212"/>
      <c r="R760" s="605">
        <f t="shared" si="86"/>
        <v>0</v>
      </c>
      <c r="S760" s="225">
        <f t="shared" si="88"/>
        <v>0</v>
      </c>
      <c r="T760" s="237">
        <f t="shared" si="87"/>
        <v>0</v>
      </c>
    </row>
    <row r="761" spans="1:20" ht="30" hidden="1" customHeight="1" x14ac:dyDescent="0.3">
      <c r="A761" s="262">
        <v>6</v>
      </c>
      <c r="C761" s="244"/>
      <c r="D761" s="161"/>
      <c r="E761" s="969"/>
      <c r="F761" s="970"/>
      <c r="G761" s="971"/>
      <c r="H761" s="161"/>
      <c r="I761" s="605"/>
      <c r="J761" s="605"/>
      <c r="K761" s="212"/>
      <c r="L761" s="341"/>
      <c r="M761" s="212"/>
      <c r="N761" s="605"/>
      <c r="O761" s="212"/>
      <c r="P761" s="341"/>
      <c r="Q761" s="212"/>
      <c r="R761" s="605"/>
      <c r="S761" s="225"/>
      <c r="T761" s="237"/>
    </row>
    <row r="762" spans="1:20" ht="30" hidden="1" customHeight="1" x14ac:dyDescent="0.3">
      <c r="A762" s="262">
        <v>6</v>
      </c>
      <c r="C762" s="244"/>
      <c r="D762" s="161"/>
      <c r="E762" s="969"/>
      <c r="F762" s="970"/>
      <c r="G762" s="971"/>
      <c r="H762" s="161"/>
      <c r="I762" s="605"/>
      <c r="J762" s="605"/>
      <c r="K762" s="212"/>
      <c r="L762" s="341"/>
      <c r="M762" s="212"/>
      <c r="N762" s="605"/>
      <c r="O762" s="212"/>
      <c r="P762" s="341"/>
      <c r="Q762" s="212"/>
      <c r="R762" s="605"/>
      <c r="S762" s="225"/>
      <c r="T762" s="237"/>
    </row>
    <row r="763" spans="1:20" ht="30" hidden="1" customHeight="1" x14ac:dyDescent="0.3">
      <c r="A763" s="262">
        <v>6</v>
      </c>
      <c r="C763" s="244"/>
      <c r="D763" s="161"/>
      <c r="E763" s="969"/>
      <c r="F763" s="970"/>
      <c r="G763" s="971"/>
      <c r="H763" s="161"/>
      <c r="I763" s="605"/>
      <c r="J763" s="605"/>
      <c r="K763" s="212"/>
      <c r="L763" s="341"/>
      <c r="M763" s="212"/>
      <c r="N763" s="605"/>
      <c r="O763" s="212"/>
      <c r="P763" s="341"/>
      <c r="Q763" s="212"/>
      <c r="R763" s="605"/>
      <c r="S763" s="225"/>
      <c r="T763" s="237"/>
    </row>
    <row r="764" spans="1:20" ht="30" hidden="1" customHeight="1" x14ac:dyDescent="0.3">
      <c r="A764" s="262">
        <v>6</v>
      </c>
      <c r="C764" s="244"/>
      <c r="D764" s="161"/>
      <c r="E764" s="969"/>
      <c r="F764" s="970"/>
      <c r="G764" s="971"/>
      <c r="H764" s="161"/>
      <c r="I764" s="605"/>
      <c r="J764" s="605"/>
      <c r="K764" s="212"/>
      <c r="L764" s="341"/>
      <c r="M764" s="212"/>
      <c r="N764" s="605"/>
      <c r="O764" s="212"/>
      <c r="P764" s="341"/>
      <c r="Q764" s="212"/>
      <c r="R764" s="605"/>
      <c r="S764" s="225"/>
      <c r="T764" s="237"/>
    </row>
    <row r="765" spans="1:20" ht="30" hidden="1" customHeight="1" x14ac:dyDescent="0.3">
      <c r="A765" s="262">
        <v>6</v>
      </c>
      <c r="C765" s="244"/>
      <c r="D765" s="161"/>
      <c r="E765" s="969"/>
      <c r="F765" s="970"/>
      <c r="G765" s="971"/>
      <c r="H765" s="161"/>
      <c r="I765" s="605"/>
      <c r="J765" s="605"/>
      <c r="K765" s="212"/>
      <c r="L765" s="341"/>
      <c r="M765" s="212"/>
      <c r="N765" s="605"/>
      <c r="O765" s="212"/>
      <c r="P765" s="341"/>
      <c r="Q765" s="212"/>
      <c r="R765" s="605"/>
      <c r="S765" s="225"/>
      <c r="T765" s="237"/>
    </row>
    <row r="766" spans="1:20" ht="30" hidden="1" customHeight="1" x14ac:dyDescent="0.3">
      <c r="A766" s="262">
        <v>6</v>
      </c>
      <c r="C766" s="244"/>
      <c r="D766" s="161"/>
      <c r="E766" s="969"/>
      <c r="F766" s="970"/>
      <c r="G766" s="971"/>
      <c r="H766" s="658"/>
      <c r="I766" s="605"/>
      <c r="J766" s="605"/>
      <c r="K766" s="212"/>
      <c r="L766" s="341"/>
      <c r="M766" s="302"/>
      <c r="N766" s="605"/>
      <c r="O766" s="212"/>
      <c r="P766" s="341"/>
      <c r="Q766" s="302"/>
      <c r="R766" s="605"/>
      <c r="S766" s="225"/>
      <c r="T766" s="237"/>
    </row>
    <row r="767" spans="1:20" ht="40.049999999999997" hidden="1" customHeight="1" x14ac:dyDescent="0.3">
      <c r="A767" s="262" t="s">
        <v>1242</v>
      </c>
      <c r="C767" s="258"/>
      <c r="D767" s="258"/>
      <c r="E767" s="972" t="s">
        <v>33</v>
      </c>
      <c r="F767" s="972"/>
      <c r="G767" s="972"/>
      <c r="H767" s="973" t="s">
        <v>29</v>
      </c>
      <c r="I767" s="973"/>
      <c r="J767" s="973"/>
      <c r="K767" s="973"/>
      <c r="L767" s="973"/>
      <c r="M767" s="549"/>
      <c r="N767" s="973" t="s">
        <v>22</v>
      </c>
      <c r="O767" s="973"/>
      <c r="P767" s="973"/>
      <c r="Q767" s="973"/>
      <c r="R767" s="973"/>
      <c r="S767" s="973"/>
      <c r="T767" s="973"/>
    </row>
    <row r="768" spans="1:20" ht="19.95" hidden="1" customHeight="1" x14ac:dyDescent="0.3">
      <c r="A768" s="262" t="s">
        <v>1242</v>
      </c>
      <c r="D768" s="28"/>
      <c r="E768" s="974" t="s">
        <v>1214</v>
      </c>
      <c r="F768" s="974"/>
      <c r="G768" s="974"/>
      <c r="H768" s="975" t="s">
        <v>38</v>
      </c>
      <c r="I768" s="975"/>
      <c r="J768" s="975"/>
      <c r="K768" s="975"/>
      <c r="L768" s="975"/>
      <c r="M768" s="562"/>
      <c r="N768" s="975" t="s">
        <v>1437</v>
      </c>
      <c r="O768" s="975"/>
      <c r="P768" s="975"/>
      <c r="Q768" s="975"/>
      <c r="R768" s="975"/>
      <c r="S768" s="975"/>
      <c r="T768" s="975"/>
    </row>
    <row r="769" spans="1:20" ht="19.95" hidden="1" customHeight="1" x14ac:dyDescent="0.3">
      <c r="A769" s="262" t="s">
        <v>1242</v>
      </c>
      <c r="C769" s="228"/>
      <c r="D769" s="228"/>
      <c r="E769" s="561"/>
      <c r="F769" s="561"/>
      <c r="G769" s="561"/>
      <c r="H769" s="228"/>
      <c r="I769" s="260"/>
      <c r="J769" s="260"/>
      <c r="K769" s="260"/>
      <c r="L769" s="260"/>
      <c r="M769" s="260"/>
      <c r="N769" s="975"/>
      <c r="O769" s="975"/>
      <c r="P769" s="975"/>
      <c r="Q769" s="975"/>
      <c r="R769" s="975"/>
      <c r="S769" s="975"/>
      <c r="T769" s="975"/>
    </row>
    <row r="770" spans="1:20" ht="19.95" hidden="1" customHeight="1" x14ac:dyDescent="0.3">
      <c r="A770" s="262" t="s">
        <v>1242</v>
      </c>
      <c r="C770" s="228"/>
      <c r="D770" s="228"/>
      <c r="E770" s="561"/>
      <c r="F770" s="561"/>
      <c r="G770" s="561"/>
      <c r="H770" s="228"/>
      <c r="I770" s="260"/>
      <c r="J770" s="260"/>
      <c r="K770" s="260"/>
      <c r="L770" s="260"/>
      <c r="M770" s="260"/>
      <c r="N770" s="975"/>
      <c r="O770" s="975"/>
      <c r="P770" s="975"/>
      <c r="Q770" s="975"/>
      <c r="R770" s="975"/>
      <c r="S770" s="975"/>
      <c r="T770" s="975"/>
    </row>
    <row r="771" spans="1:20" ht="19.95" hidden="1" customHeight="1" x14ac:dyDescent="0.3">
      <c r="A771" s="262" t="s">
        <v>1242</v>
      </c>
      <c r="C771" s="228"/>
      <c r="D771" s="228"/>
      <c r="E771" s="561"/>
      <c r="F771" s="561"/>
      <c r="G771" s="561"/>
      <c r="H771" s="261"/>
      <c r="I771" s="261"/>
      <c r="J771" s="261"/>
      <c r="K771" s="261"/>
      <c r="L771" s="261"/>
      <c r="M771" s="261"/>
      <c r="N771" s="260"/>
      <c r="O771" s="260"/>
      <c r="P771" s="260"/>
      <c r="Q771" s="260"/>
      <c r="R771" s="260"/>
      <c r="S771" s="260"/>
      <c r="T771" s="260"/>
    </row>
    <row r="772" spans="1:20" ht="19.95" hidden="1" customHeight="1" x14ac:dyDescent="0.3">
      <c r="A772" s="262" t="s">
        <v>1242</v>
      </c>
      <c r="C772" s="228"/>
      <c r="D772" s="228"/>
      <c r="E772" s="561"/>
      <c r="F772" s="561"/>
      <c r="G772" s="561"/>
      <c r="H772" s="975" t="s">
        <v>32</v>
      </c>
      <c r="I772" s="975"/>
      <c r="J772" s="562"/>
      <c r="K772" s="975" t="s">
        <v>1407</v>
      </c>
      <c r="L772" s="975"/>
      <c r="M772" s="562"/>
      <c r="N772" s="968" t="s">
        <v>1244</v>
      </c>
      <c r="O772" s="968"/>
      <c r="P772" s="968"/>
      <c r="Q772" s="968"/>
      <c r="R772" s="968"/>
      <c r="S772" s="968"/>
      <c r="T772" s="968"/>
    </row>
    <row r="773" spans="1:20" ht="19.95" hidden="1" customHeight="1" x14ac:dyDescent="0.3">
      <c r="A773" s="262" t="s">
        <v>1242</v>
      </c>
      <c r="C773" s="228"/>
      <c r="D773" s="228"/>
      <c r="E773" s="561"/>
      <c r="F773" s="561"/>
      <c r="G773" s="561"/>
      <c r="H773" s="976" t="s">
        <v>94</v>
      </c>
      <c r="I773" s="976"/>
      <c r="J773" s="623"/>
      <c r="K773" s="976" t="s">
        <v>94</v>
      </c>
      <c r="L773" s="976"/>
      <c r="M773" s="623"/>
      <c r="N773" s="968" t="s">
        <v>1483</v>
      </c>
      <c r="O773" s="968"/>
      <c r="P773" s="968"/>
      <c r="Q773" s="968"/>
      <c r="R773" s="968"/>
      <c r="S773" s="968"/>
      <c r="T773" s="968"/>
    </row>
    <row r="774" spans="1:20" ht="19.95" hidden="1" customHeight="1" x14ac:dyDescent="0.3">
      <c r="A774" s="262" t="s">
        <v>1242</v>
      </c>
      <c r="C774" s="228"/>
      <c r="D774" s="228"/>
      <c r="E774" s="561"/>
      <c r="F774" s="561"/>
      <c r="G774" s="561"/>
      <c r="H774" s="976"/>
      <c r="I774" s="976"/>
      <c r="J774" s="623"/>
      <c r="K774" s="976"/>
      <c r="L774" s="976"/>
      <c r="M774" s="623"/>
      <c r="N774" s="968"/>
      <c r="O774" s="968"/>
      <c r="P774" s="968"/>
      <c r="Q774" s="968"/>
      <c r="R774" s="968"/>
      <c r="S774" s="968"/>
      <c r="T774" s="968"/>
    </row>
    <row r="775" spans="1:20" ht="19.95" hidden="1" customHeight="1" x14ac:dyDescent="0.3">
      <c r="A775" s="262" t="s">
        <v>1242</v>
      </c>
      <c r="C775" s="228"/>
      <c r="D775" s="228"/>
      <c r="E775" s="561"/>
      <c r="F775" s="561"/>
      <c r="G775" s="561"/>
      <c r="H775" s="228"/>
      <c r="I775" s="260"/>
      <c r="J775" s="260"/>
      <c r="K775" s="260"/>
      <c r="L775" s="260"/>
      <c r="M775" s="260"/>
      <c r="N775" s="260"/>
      <c r="O775" s="260"/>
      <c r="P775" s="260"/>
      <c r="Q775" s="260"/>
      <c r="R775" s="260"/>
      <c r="S775" s="624"/>
      <c r="T775" s="260"/>
    </row>
    <row r="776" spans="1:20" ht="19.95" hidden="1" customHeight="1" x14ac:dyDescent="0.3">
      <c r="A776" s="262" t="s">
        <v>1242</v>
      </c>
      <c r="C776" s="228"/>
      <c r="D776" s="228"/>
      <c r="E776" s="975" t="s">
        <v>1215</v>
      </c>
      <c r="F776" s="975"/>
      <c r="G776" s="975"/>
      <c r="H776" s="975" t="s">
        <v>1348</v>
      </c>
      <c r="I776" s="975"/>
      <c r="J776" s="975"/>
      <c r="K776" s="975"/>
      <c r="L776" s="975"/>
      <c r="M776" s="562"/>
      <c r="N776" s="977" t="s">
        <v>1219</v>
      </c>
      <c r="O776" s="968"/>
      <c r="P776" s="968"/>
      <c r="Q776" s="968"/>
      <c r="R776" s="968"/>
      <c r="S776" s="968"/>
      <c r="T776" s="968"/>
    </row>
    <row r="777" spans="1:20" ht="19.95" hidden="1" customHeight="1" x14ac:dyDescent="0.3">
      <c r="A777" s="262" t="s">
        <v>1290</v>
      </c>
      <c r="C777" s="228"/>
      <c r="D777" s="228"/>
      <c r="E777" s="975"/>
      <c r="F777" s="975"/>
      <c r="G777" s="975"/>
      <c r="H777" s="975"/>
      <c r="I777" s="975"/>
      <c r="J777" s="975"/>
      <c r="K777" s="975"/>
      <c r="L777" s="975"/>
      <c r="M777" s="562"/>
      <c r="N777" s="968"/>
      <c r="O777" s="968"/>
      <c r="P777" s="968"/>
      <c r="Q777" s="968"/>
      <c r="R777" s="968"/>
      <c r="S777" s="968"/>
      <c r="T777" s="968"/>
    </row>
    <row r="778" spans="1:20" ht="30" hidden="1" customHeight="1" x14ac:dyDescent="0.3">
      <c r="A778" s="262" t="s">
        <v>1240</v>
      </c>
      <c r="C778" s="625"/>
      <c r="D778" s="626" t="s">
        <v>1234</v>
      </c>
      <c r="E778" s="627"/>
      <c r="F778" s="627"/>
      <c r="G778" s="627"/>
      <c r="H778" s="627"/>
      <c r="I778" s="628"/>
      <c r="J778" s="628"/>
      <c r="K778" s="628"/>
      <c r="L778" s="644">
        <f>+SUMIFS(L:L,A:A,"7")</f>
        <v>318420015</v>
      </c>
      <c r="M778" s="629"/>
      <c r="N778" s="648"/>
      <c r="O778" s="628"/>
      <c r="P778" s="628"/>
      <c r="Q778" s="611"/>
      <c r="R778" s="651">
        <f>+SUMIFS(R:R,A:A,"7")</f>
        <v>0</v>
      </c>
      <c r="S778" s="630">
        <f>+SUMIFS(S:S,A:A,"7")</f>
        <v>0</v>
      </c>
      <c r="T778" s="631">
        <f>+SUMIFS(T:T,A:A,"7")</f>
        <v>0</v>
      </c>
    </row>
    <row r="779" spans="1:20" ht="30" hidden="1" customHeight="1" x14ac:dyDescent="0.3">
      <c r="A779" s="262">
        <v>7</v>
      </c>
      <c r="C779" s="244">
        <v>407</v>
      </c>
      <c r="D779" s="213" t="s">
        <v>1002</v>
      </c>
      <c r="E779" s="969" t="s">
        <v>1003</v>
      </c>
      <c r="F779" s="970"/>
      <c r="G779" s="971"/>
      <c r="H779" s="544" t="s">
        <v>286</v>
      </c>
      <c r="I779" s="212">
        <v>3750000</v>
      </c>
      <c r="J779" s="605"/>
      <c r="K779" s="212">
        <v>1</v>
      </c>
      <c r="L779" s="212">
        <f t="shared" ref="L779:L787" si="89">+ROUND(I779*K779,2)</f>
        <v>3750000</v>
      </c>
      <c r="M779" s="602"/>
      <c r="N779" s="675">
        <f>+'Yeşil Defter'!K762</f>
        <v>0</v>
      </c>
      <c r="O779" s="675">
        <f>+'Yeşil Defter'!L762</f>
        <v>0</v>
      </c>
      <c r="P779" s="675">
        <f>+'Yeşil Defter'!M762</f>
        <v>0</v>
      </c>
      <c r="Q779" s="212"/>
      <c r="R779" s="605">
        <f t="shared" ref="R779:R787" si="90">+ROUND(K779*N779,2)</f>
        <v>0</v>
      </c>
      <c r="S779" s="225">
        <f t="shared" ref="S779:S783" si="91">+T779-R779</f>
        <v>0</v>
      </c>
      <c r="T779" s="237">
        <f t="shared" ref="T779:T787" si="92">+ROUND(K779*P779,2)</f>
        <v>0</v>
      </c>
    </row>
    <row r="780" spans="1:20" ht="30" hidden="1" customHeight="1" x14ac:dyDescent="0.3">
      <c r="A780" s="262">
        <v>7</v>
      </c>
      <c r="C780" s="244">
        <v>408</v>
      </c>
      <c r="D780" s="161" t="s">
        <v>1004</v>
      </c>
      <c r="E780" s="969" t="s">
        <v>1005</v>
      </c>
      <c r="F780" s="970"/>
      <c r="G780" s="971"/>
      <c r="H780" s="544" t="s">
        <v>247</v>
      </c>
      <c r="I780" s="212">
        <v>5273388</v>
      </c>
      <c r="J780" s="605"/>
      <c r="K780" s="212">
        <v>30</v>
      </c>
      <c r="L780" s="212">
        <f t="shared" si="89"/>
        <v>158201640</v>
      </c>
      <c r="M780" s="602"/>
      <c r="N780" s="675">
        <f>+'Yeşil Defter'!K763</f>
        <v>0</v>
      </c>
      <c r="O780" s="675">
        <f>+'Yeşil Defter'!L763</f>
        <v>0</v>
      </c>
      <c r="P780" s="675">
        <f>+'Yeşil Defter'!M763</f>
        <v>0</v>
      </c>
      <c r="Q780" s="212"/>
      <c r="R780" s="605">
        <f t="shared" si="90"/>
        <v>0</v>
      </c>
      <c r="S780" s="225">
        <f t="shared" si="91"/>
        <v>0</v>
      </c>
      <c r="T780" s="237">
        <f t="shared" si="92"/>
        <v>0</v>
      </c>
    </row>
    <row r="781" spans="1:20" ht="30" hidden="1" customHeight="1" x14ac:dyDescent="0.3">
      <c r="A781" s="262">
        <v>7</v>
      </c>
      <c r="C781" s="244">
        <v>409</v>
      </c>
      <c r="D781" s="161" t="s">
        <v>1006</v>
      </c>
      <c r="E781" s="969" t="s">
        <v>1007</v>
      </c>
      <c r="F781" s="970"/>
      <c r="G781" s="971"/>
      <c r="H781" s="544" t="s">
        <v>247</v>
      </c>
      <c r="I781" s="212">
        <v>5494500</v>
      </c>
      <c r="J781" s="605"/>
      <c r="K781" s="212">
        <v>2</v>
      </c>
      <c r="L781" s="212">
        <f t="shared" si="89"/>
        <v>10989000</v>
      </c>
      <c r="M781" s="602"/>
      <c r="N781" s="675">
        <f>+'Yeşil Defter'!K764</f>
        <v>0</v>
      </c>
      <c r="O781" s="675">
        <f>+'Yeşil Defter'!L764</f>
        <v>0</v>
      </c>
      <c r="P781" s="675">
        <f>+'Yeşil Defter'!M764</f>
        <v>0</v>
      </c>
      <c r="Q781" s="212"/>
      <c r="R781" s="605">
        <f t="shared" si="90"/>
        <v>0</v>
      </c>
      <c r="S781" s="225">
        <f t="shared" si="91"/>
        <v>0</v>
      </c>
      <c r="T781" s="237">
        <f t="shared" si="92"/>
        <v>0</v>
      </c>
    </row>
    <row r="782" spans="1:20" ht="30" hidden="1" customHeight="1" x14ac:dyDescent="0.3">
      <c r="A782" s="262">
        <v>7</v>
      </c>
      <c r="C782" s="244">
        <v>410</v>
      </c>
      <c r="D782" s="161" t="s">
        <v>1008</v>
      </c>
      <c r="E782" s="969" t="s">
        <v>1009</v>
      </c>
      <c r="F782" s="970"/>
      <c r="G782" s="971"/>
      <c r="H782" s="544" t="s">
        <v>247</v>
      </c>
      <c r="I782" s="212">
        <v>6160500</v>
      </c>
      <c r="J782" s="605"/>
      <c r="K782" s="212">
        <v>2</v>
      </c>
      <c r="L782" s="212">
        <f t="shared" si="89"/>
        <v>12321000</v>
      </c>
      <c r="M782" s="602"/>
      <c r="N782" s="675">
        <f>+'Yeşil Defter'!K765</f>
        <v>0</v>
      </c>
      <c r="O782" s="675">
        <f>+'Yeşil Defter'!L765</f>
        <v>0</v>
      </c>
      <c r="P782" s="675">
        <f>+'Yeşil Defter'!M765</f>
        <v>0</v>
      </c>
      <c r="Q782" s="212"/>
      <c r="R782" s="605">
        <f t="shared" si="90"/>
        <v>0</v>
      </c>
      <c r="S782" s="225">
        <f t="shared" si="91"/>
        <v>0</v>
      </c>
      <c r="T782" s="237">
        <f t="shared" si="92"/>
        <v>0</v>
      </c>
    </row>
    <row r="783" spans="1:20" ht="30" hidden="1" customHeight="1" x14ac:dyDescent="0.3">
      <c r="A783" s="262">
        <v>7</v>
      </c>
      <c r="C783" s="244">
        <v>411</v>
      </c>
      <c r="D783" s="161" t="s">
        <v>1010</v>
      </c>
      <c r="E783" s="969" t="s">
        <v>1011</v>
      </c>
      <c r="F783" s="970"/>
      <c r="G783" s="971"/>
      <c r="H783" s="544" t="s">
        <v>247</v>
      </c>
      <c r="I783" s="212">
        <v>2705625</v>
      </c>
      <c r="J783" s="605"/>
      <c r="K783" s="212">
        <v>5</v>
      </c>
      <c r="L783" s="212">
        <f t="shared" si="89"/>
        <v>13528125</v>
      </c>
      <c r="M783" s="602"/>
      <c r="N783" s="675">
        <f>+'Yeşil Defter'!K766</f>
        <v>0</v>
      </c>
      <c r="O783" s="675">
        <f>+'Yeşil Defter'!L766</f>
        <v>0</v>
      </c>
      <c r="P783" s="675">
        <f>+'Yeşil Defter'!M766</f>
        <v>0</v>
      </c>
      <c r="Q783" s="212"/>
      <c r="R783" s="605">
        <f t="shared" si="90"/>
        <v>0</v>
      </c>
      <c r="S783" s="225">
        <f t="shared" si="91"/>
        <v>0</v>
      </c>
      <c r="T783" s="237">
        <f t="shared" si="92"/>
        <v>0</v>
      </c>
    </row>
    <row r="784" spans="1:20" ht="30" hidden="1" customHeight="1" x14ac:dyDescent="0.3">
      <c r="A784" s="262">
        <v>7</v>
      </c>
      <c r="C784" s="244">
        <v>412</v>
      </c>
      <c r="D784" s="161" t="s">
        <v>1012</v>
      </c>
      <c r="E784" s="969" t="s">
        <v>1013</v>
      </c>
      <c r="F784" s="970"/>
      <c r="G784" s="971"/>
      <c r="H784" s="544" t="s">
        <v>247</v>
      </c>
      <c r="I784" s="212">
        <v>3371625</v>
      </c>
      <c r="J784" s="605"/>
      <c r="K784" s="212">
        <v>4</v>
      </c>
      <c r="L784" s="212">
        <f t="shared" si="89"/>
        <v>13486500</v>
      </c>
      <c r="M784" s="602"/>
      <c r="N784" s="675">
        <f>+'Yeşil Defter'!K767</f>
        <v>0</v>
      </c>
      <c r="O784" s="675">
        <f>+'Yeşil Defter'!L767</f>
        <v>0</v>
      </c>
      <c r="P784" s="675">
        <f>+'Yeşil Defter'!M767</f>
        <v>0</v>
      </c>
      <c r="Q784" s="212"/>
      <c r="R784" s="605">
        <f t="shared" si="90"/>
        <v>0</v>
      </c>
      <c r="S784" s="225">
        <f t="shared" si="88"/>
        <v>0</v>
      </c>
      <c r="T784" s="237">
        <f t="shared" si="92"/>
        <v>0</v>
      </c>
    </row>
    <row r="785" spans="1:20" ht="30" hidden="1" customHeight="1" x14ac:dyDescent="0.3">
      <c r="A785" s="262">
        <v>7</v>
      </c>
      <c r="C785" s="244">
        <v>413</v>
      </c>
      <c r="D785" s="161" t="s">
        <v>1014</v>
      </c>
      <c r="E785" s="969" t="s">
        <v>1015</v>
      </c>
      <c r="F785" s="970"/>
      <c r="G785" s="971"/>
      <c r="H785" s="544" t="s">
        <v>247</v>
      </c>
      <c r="I785" s="212">
        <v>3454875</v>
      </c>
      <c r="J785" s="605"/>
      <c r="K785" s="212">
        <v>10</v>
      </c>
      <c r="L785" s="212">
        <f t="shared" si="89"/>
        <v>34548750</v>
      </c>
      <c r="M785" s="602"/>
      <c r="N785" s="675">
        <f>+'Yeşil Defter'!K768</f>
        <v>0</v>
      </c>
      <c r="O785" s="675">
        <f>+'Yeşil Defter'!L768</f>
        <v>0</v>
      </c>
      <c r="P785" s="675">
        <f>+'Yeşil Defter'!M768</f>
        <v>0</v>
      </c>
      <c r="Q785" s="212"/>
      <c r="R785" s="605">
        <f t="shared" si="90"/>
        <v>0</v>
      </c>
      <c r="S785" s="225">
        <f t="shared" si="88"/>
        <v>0</v>
      </c>
      <c r="T785" s="237">
        <f t="shared" si="92"/>
        <v>0</v>
      </c>
    </row>
    <row r="786" spans="1:20" ht="30" hidden="1" customHeight="1" x14ac:dyDescent="0.3">
      <c r="A786" s="262">
        <v>7</v>
      </c>
      <c r="C786" s="244">
        <v>414</v>
      </c>
      <c r="D786" s="161" t="s">
        <v>1016</v>
      </c>
      <c r="E786" s="969" t="s">
        <v>1017</v>
      </c>
      <c r="F786" s="970"/>
      <c r="G786" s="971"/>
      <c r="H786" s="544" t="s">
        <v>247</v>
      </c>
      <c r="I786" s="212">
        <v>3538125</v>
      </c>
      <c r="J786" s="605"/>
      <c r="K786" s="212">
        <v>10</v>
      </c>
      <c r="L786" s="212">
        <f t="shared" si="89"/>
        <v>35381250</v>
      </c>
      <c r="M786" s="602"/>
      <c r="N786" s="675">
        <f>+'Yeşil Defter'!K769</f>
        <v>0</v>
      </c>
      <c r="O786" s="675">
        <f>+'Yeşil Defter'!L769</f>
        <v>0</v>
      </c>
      <c r="P786" s="675">
        <f>+'Yeşil Defter'!M769</f>
        <v>0</v>
      </c>
      <c r="Q786" s="212"/>
      <c r="R786" s="605">
        <f t="shared" si="90"/>
        <v>0</v>
      </c>
      <c r="S786" s="225">
        <f t="shared" si="88"/>
        <v>0</v>
      </c>
      <c r="T786" s="237">
        <f t="shared" si="92"/>
        <v>0</v>
      </c>
    </row>
    <row r="787" spans="1:20" ht="30" hidden="1" customHeight="1" x14ac:dyDescent="0.3">
      <c r="A787" s="262">
        <v>7</v>
      </c>
      <c r="C787" s="244">
        <v>415</v>
      </c>
      <c r="D787" s="161" t="s">
        <v>1018</v>
      </c>
      <c r="E787" s="969" t="s">
        <v>1019</v>
      </c>
      <c r="F787" s="970"/>
      <c r="G787" s="971"/>
      <c r="H787" s="544" t="s">
        <v>247</v>
      </c>
      <c r="I787" s="212">
        <v>3621375</v>
      </c>
      <c r="J787" s="605"/>
      <c r="K787" s="212">
        <v>10</v>
      </c>
      <c r="L787" s="212">
        <f t="shared" si="89"/>
        <v>36213750</v>
      </c>
      <c r="M787" s="602"/>
      <c r="N787" s="675">
        <f>+'Yeşil Defter'!K770</f>
        <v>0</v>
      </c>
      <c r="O787" s="675">
        <f>+'Yeşil Defter'!L770</f>
        <v>0</v>
      </c>
      <c r="P787" s="675">
        <f>+'Yeşil Defter'!M770</f>
        <v>0</v>
      </c>
      <c r="Q787" s="212"/>
      <c r="R787" s="605">
        <f t="shared" si="90"/>
        <v>0</v>
      </c>
      <c r="S787" s="225">
        <f t="shared" si="88"/>
        <v>0</v>
      </c>
      <c r="T787" s="237">
        <f t="shared" si="92"/>
        <v>0</v>
      </c>
    </row>
    <row r="788" spans="1:20" ht="30" hidden="1" customHeight="1" x14ac:dyDescent="0.3">
      <c r="A788" s="262">
        <v>7</v>
      </c>
      <c r="C788" s="244"/>
      <c r="D788" s="161"/>
      <c r="E788" s="969"/>
      <c r="F788" s="970"/>
      <c r="G788" s="971"/>
      <c r="H788" s="161"/>
      <c r="I788" s="605"/>
      <c r="J788" s="605"/>
      <c r="K788" s="212"/>
      <c r="L788" s="341"/>
      <c r="M788" s="212"/>
      <c r="N788" s="605"/>
      <c r="O788" s="212"/>
      <c r="P788" s="341"/>
      <c r="Q788" s="212"/>
      <c r="R788" s="605"/>
      <c r="S788" s="225"/>
      <c r="T788" s="237"/>
    </row>
    <row r="789" spans="1:20" ht="30" hidden="1" customHeight="1" x14ac:dyDescent="0.3">
      <c r="A789" s="262">
        <v>7</v>
      </c>
      <c r="C789" s="244"/>
      <c r="D789" s="161"/>
      <c r="E789" s="969"/>
      <c r="F789" s="970"/>
      <c r="G789" s="971"/>
      <c r="H789" s="161"/>
      <c r="I789" s="605"/>
      <c r="J789" s="605"/>
      <c r="K789" s="212"/>
      <c r="L789" s="341"/>
      <c r="M789" s="212"/>
      <c r="N789" s="605"/>
      <c r="O789" s="212"/>
      <c r="P789" s="341"/>
      <c r="Q789" s="212"/>
      <c r="R789" s="605"/>
      <c r="S789" s="225"/>
      <c r="T789" s="237"/>
    </row>
    <row r="790" spans="1:20" ht="30" hidden="1" customHeight="1" x14ac:dyDescent="0.3">
      <c r="A790" s="262">
        <v>7</v>
      </c>
      <c r="C790" s="244"/>
      <c r="D790" s="161"/>
      <c r="E790" s="969"/>
      <c r="F790" s="970"/>
      <c r="G790" s="971"/>
      <c r="H790" s="161"/>
      <c r="I790" s="605"/>
      <c r="J790" s="605"/>
      <c r="K790" s="212"/>
      <c r="L790" s="341"/>
      <c r="M790" s="212"/>
      <c r="N790" s="605"/>
      <c r="O790" s="212"/>
      <c r="P790" s="341"/>
      <c r="Q790" s="212"/>
      <c r="R790" s="605"/>
      <c r="S790" s="225"/>
      <c r="T790" s="237"/>
    </row>
    <row r="791" spans="1:20" ht="30" hidden="1" customHeight="1" x14ac:dyDescent="0.3">
      <c r="A791" s="262">
        <v>7</v>
      </c>
      <c r="C791" s="244"/>
      <c r="D791" s="161"/>
      <c r="E791" s="969"/>
      <c r="F791" s="970"/>
      <c r="G791" s="971"/>
      <c r="H791" s="161"/>
      <c r="I791" s="605"/>
      <c r="J791" s="605"/>
      <c r="K791" s="212"/>
      <c r="L791" s="341"/>
      <c r="M791" s="212"/>
      <c r="N791" s="605"/>
      <c r="O791" s="212"/>
      <c r="P791" s="341"/>
      <c r="Q791" s="212"/>
      <c r="R791" s="605"/>
      <c r="S791" s="225"/>
      <c r="T791" s="237"/>
    </row>
    <row r="792" spans="1:20" ht="30" hidden="1" customHeight="1" x14ac:dyDescent="0.3">
      <c r="A792" s="262">
        <v>7</v>
      </c>
      <c r="C792" s="244"/>
      <c r="D792" s="161"/>
      <c r="E792" s="969"/>
      <c r="F792" s="970"/>
      <c r="G792" s="971"/>
      <c r="H792" s="161"/>
      <c r="I792" s="605"/>
      <c r="J792" s="605"/>
      <c r="K792" s="212"/>
      <c r="L792" s="341"/>
      <c r="M792" s="212"/>
      <c r="N792" s="605"/>
      <c r="O792" s="212"/>
      <c r="P792" s="341"/>
      <c r="Q792" s="212"/>
      <c r="R792" s="605"/>
      <c r="S792" s="225"/>
      <c r="T792" s="237"/>
    </row>
    <row r="793" spans="1:20" ht="30" hidden="1" customHeight="1" x14ac:dyDescent="0.3">
      <c r="A793" s="262">
        <v>7</v>
      </c>
      <c r="C793" s="244"/>
      <c r="D793" s="161"/>
      <c r="E793" s="969"/>
      <c r="F793" s="970"/>
      <c r="G793" s="971"/>
      <c r="H793" s="161"/>
      <c r="I793" s="605"/>
      <c r="J793" s="605"/>
      <c r="K793" s="212"/>
      <c r="L793" s="341"/>
      <c r="M793" s="212"/>
      <c r="N793" s="605"/>
      <c r="O793" s="212"/>
      <c r="P793" s="341"/>
      <c r="Q793" s="212"/>
      <c r="R793" s="605"/>
      <c r="S793" s="225"/>
      <c r="T793" s="237"/>
    </row>
    <row r="794" spans="1:20" ht="30" hidden="1" customHeight="1" x14ac:dyDescent="0.3">
      <c r="A794" s="262">
        <v>7</v>
      </c>
      <c r="C794" s="244"/>
      <c r="D794" s="161"/>
      <c r="E794" s="969"/>
      <c r="F794" s="970"/>
      <c r="G794" s="971"/>
      <c r="H794" s="161"/>
      <c r="I794" s="605"/>
      <c r="J794" s="605"/>
      <c r="K794" s="212"/>
      <c r="L794" s="341"/>
      <c r="M794" s="212"/>
      <c r="N794" s="605"/>
      <c r="O794" s="212"/>
      <c r="P794" s="341"/>
      <c r="Q794" s="212"/>
      <c r="R794" s="605"/>
      <c r="S794" s="225"/>
      <c r="T794" s="237"/>
    </row>
    <row r="795" spans="1:20" ht="30" hidden="1" customHeight="1" x14ac:dyDescent="0.3">
      <c r="A795" s="262">
        <v>7</v>
      </c>
      <c r="C795" s="244"/>
      <c r="D795" s="161"/>
      <c r="E795" s="969"/>
      <c r="F795" s="970"/>
      <c r="G795" s="971"/>
      <c r="H795" s="161"/>
      <c r="I795" s="605"/>
      <c r="J795" s="605"/>
      <c r="K795" s="212"/>
      <c r="L795" s="341"/>
      <c r="M795" s="212"/>
      <c r="N795" s="605"/>
      <c r="O795" s="212"/>
      <c r="P795" s="341"/>
      <c r="Q795" s="212"/>
      <c r="R795" s="605"/>
      <c r="S795" s="225"/>
      <c r="T795" s="237"/>
    </row>
    <row r="796" spans="1:20" ht="30" hidden="1" customHeight="1" x14ac:dyDescent="0.3">
      <c r="A796" s="262">
        <v>7</v>
      </c>
      <c r="C796" s="244"/>
      <c r="D796" s="161"/>
      <c r="E796" s="969"/>
      <c r="F796" s="970"/>
      <c r="G796" s="971"/>
      <c r="H796" s="161"/>
      <c r="I796" s="605"/>
      <c r="J796" s="605"/>
      <c r="K796" s="212"/>
      <c r="L796" s="341"/>
      <c r="M796" s="212"/>
      <c r="N796" s="605"/>
      <c r="O796" s="212"/>
      <c r="P796" s="341"/>
      <c r="Q796" s="212"/>
      <c r="R796" s="605"/>
      <c r="S796" s="225"/>
      <c r="T796" s="237"/>
    </row>
    <row r="797" spans="1:20" ht="30" hidden="1" customHeight="1" x14ac:dyDescent="0.3">
      <c r="A797" s="262">
        <v>7</v>
      </c>
      <c r="C797" s="244"/>
      <c r="D797" s="161"/>
      <c r="E797" s="969"/>
      <c r="F797" s="970"/>
      <c r="G797" s="971"/>
      <c r="H797" s="161"/>
      <c r="I797" s="605"/>
      <c r="J797" s="605"/>
      <c r="K797" s="212"/>
      <c r="L797" s="341"/>
      <c r="M797" s="212"/>
      <c r="N797" s="605"/>
      <c r="O797" s="212"/>
      <c r="P797" s="341"/>
      <c r="Q797" s="212"/>
      <c r="R797" s="605"/>
      <c r="S797" s="225"/>
      <c r="T797" s="237"/>
    </row>
    <row r="798" spans="1:20" ht="30" hidden="1" customHeight="1" x14ac:dyDescent="0.3">
      <c r="A798" s="262">
        <v>7</v>
      </c>
      <c r="C798" s="244"/>
      <c r="D798" s="161"/>
      <c r="E798" s="969"/>
      <c r="F798" s="970"/>
      <c r="G798" s="971"/>
      <c r="H798" s="161"/>
      <c r="I798" s="605"/>
      <c r="J798" s="605"/>
      <c r="K798" s="212"/>
      <c r="L798" s="341"/>
      <c r="M798" s="212"/>
      <c r="N798" s="605"/>
      <c r="O798" s="212"/>
      <c r="P798" s="341"/>
      <c r="Q798" s="212"/>
      <c r="R798" s="605"/>
      <c r="S798" s="225"/>
      <c r="T798" s="237"/>
    </row>
    <row r="799" spans="1:20" ht="30" hidden="1" customHeight="1" x14ac:dyDescent="0.3">
      <c r="A799" s="262">
        <v>7</v>
      </c>
      <c r="C799" s="244"/>
      <c r="D799" s="161"/>
      <c r="E799" s="969"/>
      <c r="F799" s="970"/>
      <c r="G799" s="971"/>
      <c r="H799" s="161"/>
      <c r="I799" s="605"/>
      <c r="J799" s="605"/>
      <c r="K799" s="212"/>
      <c r="L799" s="341"/>
      <c r="M799" s="212"/>
      <c r="N799" s="605"/>
      <c r="O799" s="212"/>
      <c r="P799" s="341"/>
      <c r="Q799" s="212"/>
      <c r="R799" s="605"/>
      <c r="S799" s="225"/>
      <c r="T799" s="237"/>
    </row>
    <row r="800" spans="1:20" ht="30" hidden="1" customHeight="1" x14ac:dyDescent="0.3">
      <c r="A800" s="262">
        <v>7</v>
      </c>
      <c r="C800" s="244"/>
      <c r="D800" s="161"/>
      <c r="E800" s="969"/>
      <c r="F800" s="970"/>
      <c r="G800" s="971"/>
      <c r="H800" s="658"/>
      <c r="I800" s="605"/>
      <c r="J800" s="605"/>
      <c r="K800" s="212"/>
      <c r="L800" s="341"/>
      <c r="M800" s="302"/>
      <c r="N800" s="605"/>
      <c r="O800" s="212"/>
      <c r="P800" s="341"/>
      <c r="Q800" s="302"/>
      <c r="R800" s="605"/>
      <c r="S800" s="225"/>
      <c r="T800" s="237"/>
    </row>
    <row r="801" spans="1:20" ht="40.049999999999997" hidden="1" customHeight="1" x14ac:dyDescent="0.3">
      <c r="A801" s="262" t="s">
        <v>1242</v>
      </c>
      <c r="C801" s="258"/>
      <c r="D801" s="258"/>
      <c r="E801" s="972" t="s">
        <v>33</v>
      </c>
      <c r="F801" s="972"/>
      <c r="G801" s="972"/>
      <c r="H801" s="973" t="s">
        <v>29</v>
      </c>
      <c r="I801" s="973"/>
      <c r="J801" s="973"/>
      <c r="K801" s="973"/>
      <c r="L801" s="973"/>
      <c r="M801" s="549"/>
      <c r="N801" s="973" t="s">
        <v>22</v>
      </c>
      <c r="O801" s="973"/>
      <c r="P801" s="973"/>
      <c r="Q801" s="973"/>
      <c r="R801" s="973"/>
      <c r="S801" s="973"/>
      <c r="T801" s="973"/>
    </row>
    <row r="802" spans="1:20" ht="19.95" hidden="1" customHeight="1" x14ac:dyDescent="0.3">
      <c r="A802" s="262" t="s">
        <v>1242</v>
      </c>
      <c r="D802" s="28"/>
      <c r="E802" s="974" t="s">
        <v>1214</v>
      </c>
      <c r="F802" s="974"/>
      <c r="G802" s="974"/>
      <c r="H802" s="975" t="s">
        <v>38</v>
      </c>
      <c r="I802" s="975"/>
      <c r="J802" s="975"/>
      <c r="K802" s="975"/>
      <c r="L802" s="975"/>
      <c r="M802" s="562"/>
      <c r="N802" s="975" t="s">
        <v>1437</v>
      </c>
      <c r="O802" s="975"/>
      <c r="P802" s="975"/>
      <c r="Q802" s="975"/>
      <c r="R802" s="975"/>
      <c r="S802" s="975"/>
      <c r="T802" s="975"/>
    </row>
    <row r="803" spans="1:20" ht="19.95" hidden="1" customHeight="1" x14ac:dyDescent="0.3">
      <c r="A803" s="262" t="s">
        <v>1242</v>
      </c>
      <c r="C803" s="228"/>
      <c r="D803" s="228"/>
      <c r="E803" s="561"/>
      <c r="F803" s="561"/>
      <c r="G803" s="561"/>
      <c r="H803" s="228"/>
      <c r="I803" s="260"/>
      <c r="J803" s="260"/>
      <c r="K803" s="260"/>
      <c r="L803" s="260"/>
      <c r="M803" s="260"/>
      <c r="N803" s="975"/>
      <c r="O803" s="975"/>
      <c r="P803" s="975"/>
      <c r="Q803" s="975"/>
      <c r="R803" s="975"/>
      <c r="S803" s="975"/>
      <c r="T803" s="975"/>
    </row>
    <row r="804" spans="1:20" ht="19.95" hidden="1" customHeight="1" x14ac:dyDescent="0.3">
      <c r="A804" s="262" t="s">
        <v>1242</v>
      </c>
      <c r="C804" s="228"/>
      <c r="D804" s="228"/>
      <c r="E804" s="561"/>
      <c r="F804" s="561"/>
      <c r="G804" s="561"/>
      <c r="H804" s="228"/>
      <c r="I804" s="260"/>
      <c r="J804" s="260"/>
      <c r="K804" s="260"/>
      <c r="L804" s="260"/>
      <c r="M804" s="260"/>
      <c r="N804" s="975"/>
      <c r="O804" s="975"/>
      <c r="P804" s="975"/>
      <c r="Q804" s="975"/>
      <c r="R804" s="975"/>
      <c r="S804" s="975"/>
      <c r="T804" s="975"/>
    </row>
    <row r="805" spans="1:20" ht="19.95" hidden="1" customHeight="1" x14ac:dyDescent="0.3">
      <c r="A805" s="262" t="s">
        <v>1242</v>
      </c>
      <c r="C805" s="228"/>
      <c r="D805" s="228"/>
      <c r="E805" s="561"/>
      <c r="F805" s="561"/>
      <c r="G805" s="561"/>
      <c r="H805" s="261"/>
      <c r="I805" s="261"/>
      <c r="J805" s="261"/>
      <c r="K805" s="261"/>
      <c r="L805" s="261"/>
      <c r="M805" s="261"/>
      <c r="N805" s="260"/>
      <c r="O805" s="260"/>
      <c r="P805" s="260"/>
      <c r="Q805" s="260"/>
      <c r="R805" s="260"/>
      <c r="S805" s="624"/>
      <c r="T805" s="260"/>
    </row>
    <row r="806" spans="1:20" ht="19.95" hidden="1" customHeight="1" x14ac:dyDescent="0.3">
      <c r="A806" s="262" t="s">
        <v>1242</v>
      </c>
      <c r="C806" s="228"/>
      <c r="D806" s="228"/>
      <c r="E806" s="561"/>
      <c r="F806" s="561"/>
      <c r="G806" s="561"/>
      <c r="H806" s="975" t="s">
        <v>32</v>
      </c>
      <c r="I806" s="975"/>
      <c r="J806" s="562"/>
      <c r="K806" s="975" t="s">
        <v>1407</v>
      </c>
      <c r="L806" s="975"/>
      <c r="M806" s="562"/>
      <c r="N806" s="968" t="s">
        <v>1244</v>
      </c>
      <c r="O806" s="968"/>
      <c r="P806" s="968"/>
      <c r="Q806" s="968"/>
      <c r="R806" s="968"/>
      <c r="S806" s="968"/>
      <c r="T806" s="968"/>
    </row>
    <row r="807" spans="1:20" ht="19.95" hidden="1" customHeight="1" x14ac:dyDescent="0.3">
      <c r="A807" s="262" t="s">
        <v>1242</v>
      </c>
      <c r="C807" s="228"/>
      <c r="D807" s="228"/>
      <c r="E807" s="561"/>
      <c r="F807" s="561"/>
      <c r="G807" s="561"/>
      <c r="H807" s="976" t="s">
        <v>94</v>
      </c>
      <c r="I807" s="976"/>
      <c r="J807" s="623"/>
      <c r="K807" s="976" t="s">
        <v>94</v>
      </c>
      <c r="L807" s="976"/>
      <c r="M807" s="623"/>
      <c r="N807" s="968" t="s">
        <v>1483</v>
      </c>
      <c r="O807" s="968"/>
      <c r="P807" s="968"/>
      <c r="Q807" s="968"/>
      <c r="R807" s="968"/>
      <c r="S807" s="968"/>
      <c r="T807" s="968"/>
    </row>
    <row r="808" spans="1:20" ht="19.95" hidden="1" customHeight="1" x14ac:dyDescent="0.3">
      <c r="A808" s="262" t="s">
        <v>1242</v>
      </c>
      <c r="C808" s="228"/>
      <c r="D808" s="228"/>
      <c r="E808" s="561"/>
      <c r="F808" s="561"/>
      <c r="G808" s="561"/>
      <c r="H808" s="976"/>
      <c r="I808" s="976"/>
      <c r="J808" s="623"/>
      <c r="K808" s="976"/>
      <c r="L808" s="976"/>
      <c r="M808" s="623"/>
      <c r="N808" s="968"/>
      <c r="O808" s="968"/>
      <c r="P808" s="968"/>
      <c r="Q808" s="968"/>
      <c r="R808" s="968"/>
      <c r="S808" s="968"/>
      <c r="T808" s="968"/>
    </row>
    <row r="809" spans="1:20" ht="19.95" hidden="1" customHeight="1" x14ac:dyDescent="0.3">
      <c r="A809" s="262" t="s">
        <v>1242</v>
      </c>
      <c r="C809" s="228"/>
      <c r="D809" s="228"/>
      <c r="E809" s="561"/>
      <c r="F809" s="561"/>
      <c r="G809" s="561"/>
      <c r="H809" s="228"/>
      <c r="I809" s="260"/>
      <c r="J809" s="260"/>
      <c r="K809" s="260"/>
      <c r="L809" s="260"/>
      <c r="M809" s="260"/>
      <c r="N809" s="260"/>
      <c r="O809" s="260"/>
      <c r="P809" s="260"/>
      <c r="Q809" s="260"/>
      <c r="R809" s="260"/>
      <c r="S809" s="624"/>
      <c r="T809" s="260"/>
    </row>
    <row r="810" spans="1:20" ht="19.95" hidden="1" customHeight="1" x14ac:dyDescent="0.3">
      <c r="A810" s="262" t="s">
        <v>1242</v>
      </c>
      <c r="C810" s="228"/>
      <c r="D810" s="228"/>
      <c r="E810" s="975" t="s">
        <v>1215</v>
      </c>
      <c r="F810" s="975"/>
      <c r="G810" s="975"/>
      <c r="H810" s="975" t="s">
        <v>1348</v>
      </c>
      <c r="I810" s="975"/>
      <c r="J810" s="975"/>
      <c r="K810" s="975"/>
      <c r="L810" s="975"/>
      <c r="M810" s="562"/>
      <c r="N810" s="977" t="s">
        <v>1219</v>
      </c>
      <c r="O810" s="968"/>
      <c r="P810" s="968"/>
      <c r="Q810" s="968"/>
      <c r="R810" s="968"/>
      <c r="S810" s="968"/>
      <c r="T810" s="968"/>
    </row>
    <row r="811" spans="1:20" ht="19.95" hidden="1" customHeight="1" x14ac:dyDescent="0.3">
      <c r="A811" s="262" t="s">
        <v>1290</v>
      </c>
      <c r="C811" s="228"/>
      <c r="D811" s="228"/>
      <c r="E811" s="975"/>
      <c r="F811" s="975"/>
      <c r="G811" s="975"/>
      <c r="H811" s="975"/>
      <c r="I811" s="975"/>
      <c r="J811" s="975"/>
      <c r="K811" s="975"/>
      <c r="L811" s="975"/>
      <c r="M811" s="562"/>
      <c r="N811" s="968"/>
      <c r="O811" s="968"/>
      <c r="P811" s="968"/>
      <c r="Q811" s="968"/>
      <c r="R811" s="968"/>
      <c r="S811" s="968"/>
      <c r="T811" s="968"/>
    </row>
    <row r="812" spans="1:20" ht="30" hidden="1" customHeight="1" x14ac:dyDescent="0.3">
      <c r="A812" s="262" t="s">
        <v>1240</v>
      </c>
      <c r="C812" s="625"/>
      <c r="D812" s="626" t="s">
        <v>1235</v>
      </c>
      <c r="E812" s="627"/>
      <c r="F812" s="627"/>
      <c r="G812" s="627"/>
      <c r="H812" s="627"/>
      <c r="I812" s="628"/>
      <c r="J812" s="628"/>
      <c r="K812" s="628"/>
      <c r="L812" s="644">
        <f>+SUMIFS(L:L,A:A,"8")</f>
        <v>547112411.12</v>
      </c>
      <c r="M812" s="629"/>
      <c r="N812" s="648"/>
      <c r="O812" s="628"/>
      <c r="P812" s="628"/>
      <c r="Q812" s="611"/>
      <c r="R812" s="651">
        <f>+SUMIFS(R:R,A:A,"8")</f>
        <v>0</v>
      </c>
      <c r="S812" s="630">
        <f>+SUMIFS(S:S,A:A,"8")</f>
        <v>0</v>
      </c>
      <c r="T812" s="631">
        <f>+SUMIFS(T:T,A:A,"8")</f>
        <v>0</v>
      </c>
    </row>
    <row r="813" spans="1:20" ht="30" hidden="1" customHeight="1" x14ac:dyDescent="0.3">
      <c r="A813" s="262">
        <v>8</v>
      </c>
      <c r="C813" s="244">
        <v>416</v>
      </c>
      <c r="D813" s="213" t="s">
        <v>1020</v>
      </c>
      <c r="E813" s="969" t="s">
        <v>1021</v>
      </c>
      <c r="F813" s="970"/>
      <c r="G813" s="971"/>
      <c r="H813" s="544" t="s">
        <v>286</v>
      </c>
      <c r="I813" s="212">
        <v>3750000</v>
      </c>
      <c r="J813" s="605"/>
      <c r="K813" s="212">
        <v>1</v>
      </c>
      <c r="L813" s="212">
        <f t="shared" ref="L813:L821" si="93">+ROUND(I813*K813,2)</f>
        <v>3750000</v>
      </c>
      <c r="M813" s="602"/>
      <c r="N813" s="675">
        <f>+'Yeşil Defter'!K802</f>
        <v>0</v>
      </c>
      <c r="O813" s="675">
        <f>+'Yeşil Defter'!L802</f>
        <v>0</v>
      </c>
      <c r="P813" s="675">
        <f>+'Yeşil Defter'!M802</f>
        <v>0</v>
      </c>
      <c r="Q813" s="212"/>
      <c r="R813" s="605">
        <f t="shared" ref="R813:R821" si="94">+ROUND(K813*N813,2)</f>
        <v>0</v>
      </c>
      <c r="S813" s="225">
        <f t="shared" ref="S813:S821" si="95">+T813-R813</f>
        <v>0</v>
      </c>
      <c r="T813" s="237">
        <f t="shared" ref="T813:T821" si="96">+ROUND(K813*P813,2)</f>
        <v>0</v>
      </c>
    </row>
    <row r="814" spans="1:20" ht="30" hidden="1" customHeight="1" x14ac:dyDescent="0.3">
      <c r="A814" s="262">
        <v>8</v>
      </c>
      <c r="C814" s="244">
        <v>417</v>
      </c>
      <c r="D814" s="213" t="s">
        <v>1022</v>
      </c>
      <c r="E814" s="969" t="s">
        <v>1023</v>
      </c>
      <c r="F814" s="970"/>
      <c r="G814" s="971"/>
      <c r="H814" s="544" t="s">
        <v>202</v>
      </c>
      <c r="I814" s="212">
        <v>7088</v>
      </c>
      <c r="J814" s="605"/>
      <c r="K814" s="212">
        <v>9555.85</v>
      </c>
      <c r="L814" s="212">
        <f t="shared" si="93"/>
        <v>67731864.799999997</v>
      </c>
      <c r="M814" s="602"/>
      <c r="N814" s="675">
        <f>+'Yeşil Defter'!K803</f>
        <v>0</v>
      </c>
      <c r="O814" s="675">
        <f>+'Yeşil Defter'!L803</f>
        <v>0</v>
      </c>
      <c r="P814" s="675">
        <f>+'Yeşil Defter'!M803</f>
        <v>0</v>
      </c>
      <c r="Q814" s="212"/>
      <c r="R814" s="605">
        <f t="shared" si="94"/>
        <v>0</v>
      </c>
      <c r="S814" s="225">
        <f t="shared" si="95"/>
        <v>0</v>
      </c>
      <c r="T814" s="237">
        <f t="shared" si="96"/>
        <v>0</v>
      </c>
    </row>
    <row r="815" spans="1:20" ht="30" hidden="1" customHeight="1" x14ac:dyDescent="0.3">
      <c r="A815" s="262">
        <v>8</v>
      </c>
      <c r="C815" s="244">
        <v>418</v>
      </c>
      <c r="D815" s="161" t="s">
        <v>1024</v>
      </c>
      <c r="E815" s="969" t="s">
        <v>1025</v>
      </c>
      <c r="F815" s="970"/>
      <c r="G815" s="971"/>
      <c r="H815" s="544" t="s">
        <v>202</v>
      </c>
      <c r="I815" s="212">
        <v>37178</v>
      </c>
      <c r="J815" s="605"/>
      <c r="K815" s="212">
        <v>11306.44</v>
      </c>
      <c r="L815" s="212">
        <f t="shared" si="93"/>
        <v>420350826.31999999</v>
      </c>
      <c r="M815" s="602"/>
      <c r="N815" s="675">
        <f>+'Yeşil Defter'!K804</f>
        <v>0</v>
      </c>
      <c r="O815" s="675">
        <f>+'Yeşil Defter'!L804</f>
        <v>0</v>
      </c>
      <c r="P815" s="675">
        <f>+'Yeşil Defter'!M804</f>
        <v>0</v>
      </c>
      <c r="Q815" s="212"/>
      <c r="R815" s="605">
        <f t="shared" si="94"/>
        <v>0</v>
      </c>
      <c r="S815" s="225">
        <f t="shared" si="95"/>
        <v>0</v>
      </c>
      <c r="T815" s="237">
        <f t="shared" si="96"/>
        <v>0</v>
      </c>
    </row>
    <row r="816" spans="1:20" ht="30" hidden="1" customHeight="1" x14ac:dyDescent="0.3">
      <c r="A816" s="262">
        <v>8</v>
      </c>
      <c r="C816" s="244">
        <v>419</v>
      </c>
      <c r="D816" s="161" t="s">
        <v>1026</v>
      </c>
      <c r="E816" s="969" t="s">
        <v>1027</v>
      </c>
      <c r="F816" s="970"/>
      <c r="G816" s="971"/>
      <c r="H816" s="544" t="s">
        <v>247</v>
      </c>
      <c r="I816" s="212">
        <v>4375000</v>
      </c>
      <c r="J816" s="605"/>
      <c r="K816" s="212">
        <v>4</v>
      </c>
      <c r="L816" s="212">
        <f t="shared" si="93"/>
        <v>17500000</v>
      </c>
      <c r="M816" s="602"/>
      <c r="N816" s="675">
        <f>+'Yeşil Defter'!K805</f>
        <v>0</v>
      </c>
      <c r="O816" s="675">
        <f>+'Yeşil Defter'!L805</f>
        <v>0</v>
      </c>
      <c r="P816" s="675">
        <f>+'Yeşil Defter'!M805</f>
        <v>0</v>
      </c>
      <c r="Q816" s="212"/>
      <c r="R816" s="605">
        <f t="shared" si="94"/>
        <v>0</v>
      </c>
      <c r="S816" s="225">
        <f t="shared" si="95"/>
        <v>0</v>
      </c>
      <c r="T816" s="237">
        <f t="shared" si="96"/>
        <v>0</v>
      </c>
    </row>
    <row r="817" spans="1:20" ht="30" hidden="1" customHeight="1" x14ac:dyDescent="0.3">
      <c r="A817" s="262">
        <v>8</v>
      </c>
      <c r="C817" s="244">
        <v>420</v>
      </c>
      <c r="D817" s="161" t="s">
        <v>1028</v>
      </c>
      <c r="E817" s="969" t="s">
        <v>1029</v>
      </c>
      <c r="F817" s="970"/>
      <c r="G817" s="971"/>
      <c r="H817" s="544" t="s">
        <v>247</v>
      </c>
      <c r="I817" s="212">
        <v>4687500</v>
      </c>
      <c r="J817" s="605"/>
      <c r="K817" s="212">
        <v>4</v>
      </c>
      <c r="L817" s="212">
        <f t="shared" si="93"/>
        <v>18750000</v>
      </c>
      <c r="M817" s="602"/>
      <c r="N817" s="675">
        <f>+'Yeşil Defter'!K806</f>
        <v>0</v>
      </c>
      <c r="O817" s="675">
        <f>+'Yeşil Defter'!L806</f>
        <v>0</v>
      </c>
      <c r="P817" s="675">
        <f>+'Yeşil Defter'!M806</f>
        <v>0</v>
      </c>
      <c r="Q817" s="212"/>
      <c r="R817" s="605">
        <f t="shared" si="94"/>
        <v>0</v>
      </c>
      <c r="S817" s="225">
        <f t="shared" si="95"/>
        <v>0</v>
      </c>
      <c r="T817" s="237">
        <f t="shared" si="96"/>
        <v>0</v>
      </c>
    </row>
    <row r="818" spans="1:20" ht="30" hidden="1" customHeight="1" x14ac:dyDescent="0.3">
      <c r="A818" s="262">
        <v>8</v>
      </c>
      <c r="C818" s="244">
        <v>421</v>
      </c>
      <c r="D818" s="213" t="s">
        <v>1030</v>
      </c>
      <c r="E818" s="969" t="s">
        <v>1031</v>
      </c>
      <c r="F818" s="970"/>
      <c r="G818" s="971"/>
      <c r="H818" s="544" t="s">
        <v>247</v>
      </c>
      <c r="I818" s="212">
        <v>6875000</v>
      </c>
      <c r="J818" s="605"/>
      <c r="K818" s="212">
        <v>2</v>
      </c>
      <c r="L818" s="212">
        <f t="shared" si="93"/>
        <v>13750000</v>
      </c>
      <c r="M818" s="602"/>
      <c r="N818" s="675">
        <f>+'Yeşil Defter'!K807</f>
        <v>0</v>
      </c>
      <c r="O818" s="675">
        <f>+'Yeşil Defter'!L807</f>
        <v>0</v>
      </c>
      <c r="P818" s="675">
        <f>+'Yeşil Defter'!M807</f>
        <v>0</v>
      </c>
      <c r="Q818" s="212"/>
      <c r="R818" s="605">
        <f t="shared" si="94"/>
        <v>0</v>
      </c>
      <c r="S818" s="225">
        <f t="shared" si="95"/>
        <v>0</v>
      </c>
      <c r="T818" s="237">
        <f t="shared" si="96"/>
        <v>0</v>
      </c>
    </row>
    <row r="819" spans="1:20" ht="30" hidden="1" customHeight="1" x14ac:dyDescent="0.3">
      <c r="A819" s="262">
        <v>8</v>
      </c>
      <c r="C819" s="244">
        <v>422</v>
      </c>
      <c r="D819" s="213" t="s">
        <v>1032</v>
      </c>
      <c r="E819" s="969" t="s">
        <v>1033</v>
      </c>
      <c r="F819" s="970"/>
      <c r="G819" s="971"/>
      <c r="H819" s="544" t="s">
        <v>247</v>
      </c>
      <c r="I819" s="212">
        <v>437500</v>
      </c>
      <c r="J819" s="605"/>
      <c r="K819" s="212">
        <v>2</v>
      </c>
      <c r="L819" s="212">
        <f t="shared" si="93"/>
        <v>875000</v>
      </c>
      <c r="M819" s="602"/>
      <c r="N819" s="675">
        <f>+'Yeşil Defter'!K808</f>
        <v>0</v>
      </c>
      <c r="O819" s="675">
        <f>+'Yeşil Defter'!L808</f>
        <v>0</v>
      </c>
      <c r="P819" s="675">
        <f>+'Yeşil Defter'!M808</f>
        <v>0</v>
      </c>
      <c r="Q819" s="212"/>
      <c r="R819" s="605">
        <f t="shared" si="94"/>
        <v>0</v>
      </c>
      <c r="S819" s="225">
        <f t="shared" si="95"/>
        <v>0</v>
      </c>
      <c r="T819" s="237">
        <f t="shared" si="96"/>
        <v>0</v>
      </c>
    </row>
    <row r="820" spans="1:20" ht="30" hidden="1" customHeight="1" x14ac:dyDescent="0.3">
      <c r="A820" s="262">
        <v>8</v>
      </c>
      <c r="C820" s="244">
        <v>423</v>
      </c>
      <c r="D820" s="213" t="s">
        <v>1034</v>
      </c>
      <c r="E820" s="969" t="s">
        <v>1035</v>
      </c>
      <c r="F820" s="970"/>
      <c r="G820" s="971"/>
      <c r="H820" s="544" t="s">
        <v>286</v>
      </c>
      <c r="I820" s="212">
        <v>3125000</v>
      </c>
      <c r="J820" s="605"/>
      <c r="K820" s="212">
        <v>1</v>
      </c>
      <c r="L820" s="212">
        <f t="shared" si="93"/>
        <v>3125000</v>
      </c>
      <c r="M820" s="602"/>
      <c r="N820" s="675">
        <f>+'Yeşil Defter'!K809</f>
        <v>0</v>
      </c>
      <c r="O820" s="675">
        <f>+'Yeşil Defter'!L809</f>
        <v>0</v>
      </c>
      <c r="P820" s="675">
        <f>+'Yeşil Defter'!M809</f>
        <v>0</v>
      </c>
      <c r="Q820" s="212"/>
      <c r="R820" s="605">
        <f t="shared" si="94"/>
        <v>0</v>
      </c>
      <c r="S820" s="225">
        <f t="shared" si="95"/>
        <v>0</v>
      </c>
      <c r="T820" s="237">
        <f t="shared" si="96"/>
        <v>0</v>
      </c>
    </row>
    <row r="821" spans="1:20" ht="30" hidden="1" customHeight="1" x14ac:dyDescent="0.3">
      <c r="A821" s="262">
        <v>8</v>
      </c>
      <c r="C821" s="244">
        <v>424</v>
      </c>
      <c r="D821" s="213" t="s">
        <v>1036</v>
      </c>
      <c r="E821" s="969" t="s">
        <v>1037</v>
      </c>
      <c r="F821" s="970"/>
      <c r="G821" s="971"/>
      <c r="H821" s="544" t="s">
        <v>225</v>
      </c>
      <c r="I821" s="212">
        <v>19688</v>
      </c>
      <c r="J821" s="605"/>
      <c r="K821" s="212">
        <v>65</v>
      </c>
      <c r="L821" s="212">
        <f t="shared" si="93"/>
        <v>1279720</v>
      </c>
      <c r="M821" s="602"/>
      <c r="N821" s="675">
        <f>+'Yeşil Defter'!K810</f>
        <v>0</v>
      </c>
      <c r="O821" s="675">
        <f>+'Yeşil Defter'!L810</f>
        <v>0</v>
      </c>
      <c r="P821" s="675">
        <f>+'Yeşil Defter'!M810</f>
        <v>0</v>
      </c>
      <c r="Q821" s="212"/>
      <c r="R821" s="605">
        <f t="shared" si="94"/>
        <v>0</v>
      </c>
      <c r="S821" s="225">
        <f t="shared" si="95"/>
        <v>0</v>
      </c>
      <c r="T821" s="237">
        <f t="shared" si="96"/>
        <v>0</v>
      </c>
    </row>
    <row r="822" spans="1:20" ht="30" hidden="1" customHeight="1" x14ac:dyDescent="0.3">
      <c r="A822" s="262">
        <v>8</v>
      </c>
      <c r="C822" s="244"/>
      <c r="D822" s="213"/>
      <c r="E822" s="969"/>
      <c r="F822" s="970"/>
      <c r="G822" s="971"/>
      <c r="H822" s="161"/>
      <c r="I822" s="605"/>
      <c r="J822" s="605"/>
      <c r="K822" s="212"/>
      <c r="L822" s="341"/>
      <c r="M822" s="212"/>
      <c r="N822" s="605"/>
      <c r="O822" s="212"/>
      <c r="P822" s="341"/>
      <c r="Q822" s="212"/>
      <c r="R822" s="605"/>
      <c r="S822" s="225"/>
      <c r="T822" s="237"/>
    </row>
    <row r="823" spans="1:20" ht="30" hidden="1" customHeight="1" x14ac:dyDescent="0.3">
      <c r="A823" s="262">
        <v>8</v>
      </c>
      <c r="C823" s="244"/>
      <c r="D823" s="213"/>
      <c r="E823" s="969"/>
      <c r="F823" s="970"/>
      <c r="G823" s="971"/>
      <c r="H823" s="161"/>
      <c r="I823" s="605"/>
      <c r="J823" s="605"/>
      <c r="K823" s="212"/>
      <c r="L823" s="341"/>
      <c r="M823" s="212"/>
      <c r="N823" s="605"/>
      <c r="O823" s="212"/>
      <c r="P823" s="341"/>
      <c r="Q823" s="212"/>
      <c r="R823" s="605"/>
      <c r="S823" s="225"/>
      <c r="T823" s="237"/>
    </row>
    <row r="824" spans="1:20" ht="30" hidden="1" customHeight="1" x14ac:dyDescent="0.3">
      <c r="A824" s="262">
        <v>8</v>
      </c>
      <c r="C824" s="244"/>
      <c r="D824" s="213"/>
      <c r="E824" s="969"/>
      <c r="F824" s="970"/>
      <c r="G824" s="971"/>
      <c r="H824" s="161"/>
      <c r="I824" s="605"/>
      <c r="J824" s="605"/>
      <c r="K824" s="212"/>
      <c r="L824" s="341"/>
      <c r="M824" s="212"/>
      <c r="N824" s="605"/>
      <c r="O824" s="212"/>
      <c r="P824" s="341"/>
      <c r="Q824" s="212"/>
      <c r="R824" s="605"/>
      <c r="S824" s="225"/>
      <c r="T824" s="237"/>
    </row>
    <row r="825" spans="1:20" ht="30" hidden="1" customHeight="1" x14ac:dyDescent="0.3">
      <c r="A825" s="262">
        <v>8</v>
      </c>
      <c r="C825" s="244"/>
      <c r="D825" s="213"/>
      <c r="E825" s="969"/>
      <c r="F825" s="970"/>
      <c r="G825" s="971"/>
      <c r="H825" s="161"/>
      <c r="I825" s="605"/>
      <c r="J825" s="605"/>
      <c r="K825" s="212"/>
      <c r="L825" s="341"/>
      <c r="M825" s="212"/>
      <c r="N825" s="605"/>
      <c r="O825" s="212"/>
      <c r="P825" s="341"/>
      <c r="Q825" s="212"/>
      <c r="R825" s="605"/>
      <c r="S825" s="225"/>
      <c r="T825" s="237"/>
    </row>
    <row r="826" spans="1:20" ht="30" hidden="1" customHeight="1" x14ac:dyDescent="0.3">
      <c r="A826" s="262">
        <v>8</v>
      </c>
      <c r="C826" s="244"/>
      <c r="D826" s="213"/>
      <c r="E826" s="969"/>
      <c r="F826" s="970"/>
      <c r="G826" s="971"/>
      <c r="H826" s="161"/>
      <c r="I826" s="605"/>
      <c r="J826" s="605"/>
      <c r="K826" s="212"/>
      <c r="L826" s="341"/>
      <c r="M826" s="212"/>
      <c r="N826" s="605"/>
      <c r="O826" s="212"/>
      <c r="P826" s="341"/>
      <c r="Q826" s="212"/>
      <c r="R826" s="605"/>
      <c r="S826" s="225"/>
      <c r="T826" s="237"/>
    </row>
    <row r="827" spans="1:20" ht="30" hidden="1" customHeight="1" x14ac:dyDescent="0.3">
      <c r="A827" s="262">
        <v>8</v>
      </c>
      <c r="C827" s="244"/>
      <c r="D827" s="213"/>
      <c r="E827" s="969"/>
      <c r="F827" s="970"/>
      <c r="G827" s="971"/>
      <c r="H827" s="161"/>
      <c r="I827" s="605"/>
      <c r="J827" s="605"/>
      <c r="K827" s="212"/>
      <c r="L827" s="341"/>
      <c r="M827" s="212"/>
      <c r="N827" s="605"/>
      <c r="O827" s="212"/>
      <c r="P827" s="341"/>
      <c r="Q827" s="212"/>
      <c r="R827" s="605"/>
      <c r="S827" s="225"/>
      <c r="T827" s="237"/>
    </row>
    <row r="828" spans="1:20" ht="30" hidden="1" customHeight="1" x14ac:dyDescent="0.3">
      <c r="A828" s="262">
        <v>8</v>
      </c>
      <c r="C828" s="244"/>
      <c r="D828" s="213"/>
      <c r="E828" s="969"/>
      <c r="F828" s="970"/>
      <c r="G828" s="971"/>
      <c r="H828" s="161"/>
      <c r="I828" s="605"/>
      <c r="J828" s="605"/>
      <c r="K828" s="212"/>
      <c r="L828" s="341"/>
      <c r="M828" s="212"/>
      <c r="N828" s="605"/>
      <c r="O828" s="212"/>
      <c r="P828" s="341"/>
      <c r="Q828" s="212"/>
      <c r="R828" s="605"/>
      <c r="S828" s="225"/>
      <c r="T828" s="237"/>
    </row>
    <row r="829" spans="1:20" ht="30" hidden="1" customHeight="1" x14ac:dyDescent="0.3">
      <c r="A829" s="262">
        <v>8</v>
      </c>
      <c r="C829" s="244"/>
      <c r="D829" s="213"/>
      <c r="E829" s="969"/>
      <c r="F829" s="970"/>
      <c r="G829" s="971"/>
      <c r="H829" s="161"/>
      <c r="I829" s="605"/>
      <c r="J829" s="605"/>
      <c r="K829" s="212"/>
      <c r="L829" s="341"/>
      <c r="M829" s="212"/>
      <c r="N829" s="605"/>
      <c r="O829" s="212"/>
      <c r="P829" s="341"/>
      <c r="Q829" s="212"/>
      <c r="R829" s="605"/>
      <c r="S829" s="225"/>
      <c r="T829" s="237"/>
    </row>
    <row r="830" spans="1:20" ht="30" hidden="1" customHeight="1" x14ac:dyDescent="0.3">
      <c r="A830" s="262">
        <v>8</v>
      </c>
      <c r="C830" s="244"/>
      <c r="D830" s="213"/>
      <c r="E830" s="969"/>
      <c r="F830" s="970"/>
      <c r="G830" s="971"/>
      <c r="H830" s="161"/>
      <c r="I830" s="605"/>
      <c r="J830" s="605"/>
      <c r="K830" s="212"/>
      <c r="L830" s="341"/>
      <c r="M830" s="212"/>
      <c r="N830" s="605"/>
      <c r="O830" s="212"/>
      <c r="P830" s="341"/>
      <c r="Q830" s="212"/>
      <c r="R830" s="605"/>
      <c r="S830" s="225"/>
      <c r="T830" s="237"/>
    </row>
    <row r="831" spans="1:20" ht="30" hidden="1" customHeight="1" x14ac:dyDescent="0.3">
      <c r="A831" s="262">
        <v>8</v>
      </c>
      <c r="C831" s="244"/>
      <c r="D831" s="213"/>
      <c r="E831" s="969"/>
      <c r="F831" s="970"/>
      <c r="G831" s="971"/>
      <c r="H831" s="161"/>
      <c r="I831" s="605"/>
      <c r="J831" s="605"/>
      <c r="K831" s="212"/>
      <c r="L831" s="341"/>
      <c r="M831" s="212"/>
      <c r="N831" s="605"/>
      <c r="O831" s="212"/>
      <c r="P831" s="341"/>
      <c r="Q831" s="212"/>
      <c r="R831" s="605"/>
      <c r="S831" s="225"/>
      <c r="T831" s="237"/>
    </row>
    <row r="832" spans="1:20" ht="30" hidden="1" customHeight="1" x14ac:dyDescent="0.3">
      <c r="A832" s="262">
        <v>8</v>
      </c>
      <c r="C832" s="244"/>
      <c r="D832" s="213"/>
      <c r="E832" s="969"/>
      <c r="F832" s="970"/>
      <c r="G832" s="971"/>
      <c r="H832" s="161"/>
      <c r="I832" s="605"/>
      <c r="J832" s="605"/>
      <c r="K832" s="212"/>
      <c r="L832" s="341"/>
      <c r="M832" s="212"/>
      <c r="N832" s="605"/>
      <c r="O832" s="212"/>
      <c r="P832" s="341"/>
      <c r="Q832" s="212"/>
      <c r="R832" s="605"/>
      <c r="S832" s="225"/>
      <c r="T832" s="237"/>
    </row>
    <row r="833" spans="1:20" ht="30" hidden="1" customHeight="1" x14ac:dyDescent="0.3">
      <c r="A833" s="262">
        <v>8</v>
      </c>
      <c r="C833" s="244"/>
      <c r="D833" s="213"/>
      <c r="E833" s="969"/>
      <c r="F833" s="970"/>
      <c r="G833" s="971"/>
      <c r="H833" s="161"/>
      <c r="I833" s="605"/>
      <c r="J833" s="605"/>
      <c r="K833" s="212"/>
      <c r="L833" s="341"/>
      <c r="M833" s="212"/>
      <c r="N833" s="605"/>
      <c r="O833" s="212"/>
      <c r="P833" s="341"/>
      <c r="Q833" s="212"/>
      <c r="R833" s="605"/>
      <c r="S833" s="225"/>
      <c r="T833" s="237"/>
    </row>
    <row r="834" spans="1:20" ht="30" hidden="1" customHeight="1" x14ac:dyDescent="0.3">
      <c r="A834" s="262">
        <v>8</v>
      </c>
      <c r="C834" s="244"/>
      <c r="D834" s="213"/>
      <c r="E834" s="969"/>
      <c r="F834" s="970"/>
      <c r="G834" s="971"/>
      <c r="H834" s="658"/>
      <c r="I834" s="605"/>
      <c r="J834" s="605"/>
      <c r="K834" s="212"/>
      <c r="L834" s="341"/>
      <c r="M834" s="302"/>
      <c r="N834" s="605"/>
      <c r="O834" s="212"/>
      <c r="P834" s="341"/>
      <c r="Q834" s="302"/>
      <c r="R834" s="605"/>
      <c r="S834" s="225"/>
      <c r="T834" s="237"/>
    </row>
    <row r="835" spans="1:20" ht="40.049999999999997" hidden="1" customHeight="1" x14ac:dyDescent="0.3">
      <c r="A835" s="262" t="s">
        <v>1242</v>
      </c>
      <c r="C835" s="258"/>
      <c r="D835" s="258"/>
      <c r="E835" s="972" t="s">
        <v>33</v>
      </c>
      <c r="F835" s="972"/>
      <c r="G835" s="972"/>
      <c r="H835" s="973" t="s">
        <v>29</v>
      </c>
      <c r="I835" s="973"/>
      <c r="J835" s="973"/>
      <c r="K835" s="973"/>
      <c r="L835" s="973"/>
      <c r="M835" s="549"/>
      <c r="N835" s="973" t="s">
        <v>22</v>
      </c>
      <c r="O835" s="973"/>
      <c r="P835" s="973"/>
      <c r="Q835" s="973"/>
      <c r="R835" s="973"/>
      <c r="S835" s="973"/>
      <c r="T835" s="973"/>
    </row>
    <row r="836" spans="1:20" ht="19.95" hidden="1" customHeight="1" x14ac:dyDescent="0.3">
      <c r="A836" s="262" t="s">
        <v>1242</v>
      </c>
      <c r="D836" s="28"/>
      <c r="E836" s="974" t="s">
        <v>1214</v>
      </c>
      <c r="F836" s="974"/>
      <c r="G836" s="974"/>
      <c r="H836" s="975" t="s">
        <v>38</v>
      </c>
      <c r="I836" s="975"/>
      <c r="J836" s="975"/>
      <c r="K836" s="975"/>
      <c r="L836" s="975"/>
      <c r="M836" s="562"/>
      <c r="N836" s="975" t="s">
        <v>1437</v>
      </c>
      <c r="O836" s="975"/>
      <c r="P836" s="975"/>
      <c r="Q836" s="975"/>
      <c r="R836" s="975"/>
      <c r="S836" s="975"/>
      <c r="T836" s="975"/>
    </row>
    <row r="837" spans="1:20" ht="19.95" hidden="1" customHeight="1" x14ac:dyDescent="0.3">
      <c r="A837" s="262" t="s">
        <v>1242</v>
      </c>
      <c r="C837" s="228"/>
      <c r="D837" s="228"/>
      <c r="E837" s="561"/>
      <c r="F837" s="561"/>
      <c r="G837" s="561"/>
      <c r="H837" s="228"/>
      <c r="I837" s="260"/>
      <c r="J837" s="260"/>
      <c r="K837" s="260"/>
      <c r="L837" s="260"/>
      <c r="M837" s="260"/>
      <c r="N837" s="975"/>
      <c r="O837" s="975"/>
      <c r="P837" s="975"/>
      <c r="Q837" s="975"/>
      <c r="R837" s="975"/>
      <c r="S837" s="975"/>
      <c r="T837" s="975"/>
    </row>
    <row r="838" spans="1:20" ht="19.95" hidden="1" customHeight="1" x14ac:dyDescent="0.3">
      <c r="A838" s="262" t="s">
        <v>1242</v>
      </c>
      <c r="C838" s="228"/>
      <c r="D838" s="228"/>
      <c r="E838" s="561"/>
      <c r="F838" s="561"/>
      <c r="G838" s="561"/>
      <c r="H838" s="228"/>
      <c r="I838" s="260"/>
      <c r="J838" s="260"/>
      <c r="K838" s="260"/>
      <c r="L838" s="260"/>
      <c r="M838" s="260"/>
      <c r="N838" s="975"/>
      <c r="O838" s="975"/>
      <c r="P838" s="975"/>
      <c r="Q838" s="975"/>
      <c r="R838" s="975"/>
      <c r="S838" s="975"/>
      <c r="T838" s="975"/>
    </row>
    <row r="839" spans="1:20" ht="19.95" hidden="1" customHeight="1" x14ac:dyDescent="0.3">
      <c r="A839" s="262" t="s">
        <v>1242</v>
      </c>
      <c r="C839" s="228"/>
      <c r="D839" s="228"/>
      <c r="E839" s="561"/>
      <c r="F839" s="561"/>
      <c r="G839" s="561"/>
      <c r="H839" s="261"/>
      <c r="I839" s="261"/>
      <c r="J839" s="261"/>
      <c r="K839" s="261"/>
      <c r="L839" s="261"/>
      <c r="M839" s="261"/>
      <c r="N839" s="260"/>
      <c r="O839" s="260"/>
      <c r="P839" s="260"/>
      <c r="Q839" s="260"/>
      <c r="R839" s="260"/>
      <c r="S839" s="624"/>
      <c r="T839" s="260"/>
    </row>
    <row r="840" spans="1:20" ht="19.95" hidden="1" customHeight="1" x14ac:dyDescent="0.3">
      <c r="A840" s="262" t="s">
        <v>1242</v>
      </c>
      <c r="C840" s="228"/>
      <c r="D840" s="228"/>
      <c r="E840" s="561"/>
      <c r="F840" s="561"/>
      <c r="G840" s="561"/>
      <c r="H840" s="975" t="s">
        <v>32</v>
      </c>
      <c r="I840" s="975"/>
      <c r="J840" s="562"/>
      <c r="K840" s="975" t="s">
        <v>1407</v>
      </c>
      <c r="L840" s="975"/>
      <c r="M840" s="562"/>
      <c r="N840" s="968" t="s">
        <v>55</v>
      </c>
      <c r="O840" s="968"/>
      <c r="P840" s="968"/>
      <c r="Q840" s="968"/>
      <c r="R840" s="968"/>
      <c r="S840" s="968"/>
      <c r="T840" s="968"/>
    </row>
    <row r="841" spans="1:20" ht="19.95" hidden="1" customHeight="1" x14ac:dyDescent="0.3">
      <c r="A841" s="262" t="s">
        <v>1242</v>
      </c>
      <c r="C841" s="228"/>
      <c r="D841" s="228"/>
      <c r="E841" s="561"/>
      <c r="F841" s="561"/>
      <c r="G841" s="561"/>
      <c r="H841" s="976" t="s">
        <v>94</v>
      </c>
      <c r="I841" s="976"/>
      <c r="J841" s="623"/>
      <c r="K841" s="976" t="s">
        <v>94</v>
      </c>
      <c r="L841" s="976"/>
      <c r="M841" s="623"/>
      <c r="N841" s="968" t="s">
        <v>1484</v>
      </c>
      <c r="O841" s="968"/>
      <c r="P841" s="968"/>
      <c r="Q841" s="968"/>
      <c r="R841" s="968"/>
      <c r="S841" s="968"/>
      <c r="T841" s="968"/>
    </row>
    <row r="842" spans="1:20" ht="19.95" hidden="1" customHeight="1" x14ac:dyDescent="0.3">
      <c r="A842" s="262" t="s">
        <v>1242</v>
      </c>
      <c r="C842" s="228"/>
      <c r="D842" s="228"/>
      <c r="E842" s="561"/>
      <c r="F842" s="561"/>
      <c r="G842" s="561"/>
      <c r="H842" s="976"/>
      <c r="I842" s="976"/>
      <c r="J842" s="623"/>
      <c r="K842" s="976"/>
      <c r="L842" s="976"/>
      <c r="M842" s="623"/>
      <c r="N842" s="968"/>
      <c r="O842" s="968"/>
      <c r="P842" s="968"/>
      <c r="Q842" s="968"/>
      <c r="R842" s="968"/>
      <c r="S842" s="968"/>
      <c r="T842" s="968"/>
    </row>
    <row r="843" spans="1:20" ht="19.95" hidden="1" customHeight="1" x14ac:dyDescent="0.3">
      <c r="A843" s="262" t="s">
        <v>1242</v>
      </c>
      <c r="C843" s="228"/>
      <c r="D843" s="228"/>
      <c r="E843" s="561"/>
      <c r="F843" s="561"/>
      <c r="G843" s="561"/>
      <c r="H843" s="228"/>
      <c r="I843" s="260"/>
      <c r="J843" s="260"/>
      <c r="K843" s="260"/>
      <c r="L843" s="260"/>
      <c r="M843" s="260"/>
      <c r="N843" s="260"/>
      <c r="O843" s="260"/>
      <c r="P843" s="260"/>
      <c r="Q843" s="260"/>
      <c r="R843" s="260"/>
      <c r="S843" s="624"/>
      <c r="T843" s="260"/>
    </row>
    <row r="844" spans="1:20" ht="19.95" hidden="1" customHeight="1" x14ac:dyDescent="0.3">
      <c r="A844" s="262" t="s">
        <v>1242</v>
      </c>
      <c r="C844" s="228"/>
      <c r="D844" s="228"/>
      <c r="E844" s="975" t="s">
        <v>1215</v>
      </c>
      <c r="F844" s="975"/>
      <c r="G844" s="975"/>
      <c r="H844" s="975" t="s">
        <v>1348</v>
      </c>
      <c r="I844" s="975"/>
      <c r="J844" s="975"/>
      <c r="K844" s="975"/>
      <c r="L844" s="975"/>
      <c r="M844" s="562"/>
      <c r="N844" s="977" t="s">
        <v>1243</v>
      </c>
      <c r="O844" s="968"/>
      <c r="P844" s="968"/>
      <c r="Q844" s="968"/>
      <c r="R844" s="968"/>
      <c r="S844" s="968"/>
      <c r="T844" s="968"/>
    </row>
    <row r="845" spans="1:20" ht="19.95" hidden="1" customHeight="1" x14ac:dyDescent="0.3">
      <c r="A845" s="262" t="s">
        <v>1290</v>
      </c>
      <c r="C845" s="228"/>
      <c r="D845" s="228"/>
      <c r="E845" s="975"/>
      <c r="F845" s="975"/>
      <c r="G845" s="975"/>
      <c r="H845" s="975"/>
      <c r="I845" s="975"/>
      <c r="J845" s="975"/>
      <c r="K845" s="975"/>
      <c r="L845" s="975"/>
      <c r="M845" s="562"/>
      <c r="N845" s="968"/>
      <c r="O845" s="968"/>
      <c r="P845" s="968"/>
      <c r="Q845" s="968"/>
      <c r="R845" s="968"/>
      <c r="S845" s="968"/>
      <c r="T845" s="968"/>
    </row>
    <row r="846" spans="1:20" ht="30" hidden="1" customHeight="1" x14ac:dyDescent="0.3">
      <c r="A846" s="262" t="s">
        <v>1240</v>
      </c>
      <c r="C846" s="625"/>
      <c r="D846" s="626" t="s">
        <v>1236</v>
      </c>
      <c r="E846" s="627"/>
      <c r="F846" s="627"/>
      <c r="G846" s="627"/>
      <c r="H846" s="627"/>
      <c r="I846" s="628"/>
      <c r="J846" s="628"/>
      <c r="K846" s="628"/>
      <c r="L846" s="644">
        <f>+SUMIFS(L:L,A:A,"9")</f>
        <v>221794750</v>
      </c>
      <c r="M846" s="629"/>
      <c r="N846" s="648"/>
      <c r="O846" s="628"/>
      <c r="P846" s="628"/>
      <c r="Q846" s="611"/>
      <c r="R846" s="651">
        <f>+SUMIFS(R:R,A:A,"9")</f>
        <v>0</v>
      </c>
      <c r="S846" s="630">
        <f>+SUMIFS(S:S,A:A,"9")</f>
        <v>0</v>
      </c>
      <c r="T846" s="631">
        <f>+SUMIFS(T:T,A:A,"9")</f>
        <v>0</v>
      </c>
    </row>
    <row r="847" spans="1:20" ht="30" hidden="1" customHeight="1" x14ac:dyDescent="0.3">
      <c r="A847" s="262">
        <v>9</v>
      </c>
      <c r="C847" s="244">
        <v>425</v>
      </c>
      <c r="D847" s="213" t="s">
        <v>1038</v>
      </c>
      <c r="E847" s="969" t="s">
        <v>1039</v>
      </c>
      <c r="F847" s="970"/>
      <c r="G847" s="971"/>
      <c r="H847" s="544" t="s">
        <v>286</v>
      </c>
      <c r="I847" s="212">
        <v>29785000</v>
      </c>
      <c r="J847" s="605"/>
      <c r="K847" s="212">
        <v>1</v>
      </c>
      <c r="L847" s="212">
        <f>+ROUND(I847*K847,2)</f>
        <v>29785000</v>
      </c>
      <c r="M847" s="602"/>
      <c r="N847" s="675">
        <f>+'Yeşil Defter'!K848</f>
        <v>0</v>
      </c>
      <c r="O847" s="675">
        <f>+'Yeşil Defter'!L848</f>
        <v>0</v>
      </c>
      <c r="P847" s="675">
        <f>+'Yeşil Defter'!M848</f>
        <v>0</v>
      </c>
      <c r="Q847" s="212"/>
      <c r="R847" s="605">
        <f>+ROUND(K847*N847,2)</f>
        <v>0</v>
      </c>
      <c r="S847" s="225">
        <f t="shared" ref="S847:S850" si="97">+T847-R847</f>
        <v>0</v>
      </c>
      <c r="T847" s="237">
        <f>+ROUND(K847*P847,2)</f>
        <v>0</v>
      </c>
    </row>
    <row r="848" spans="1:20" ht="30" hidden="1" customHeight="1" x14ac:dyDescent="0.3">
      <c r="A848" s="262">
        <v>9</v>
      </c>
      <c r="C848" s="244">
        <v>426</v>
      </c>
      <c r="D848" s="213" t="s">
        <v>1040</v>
      </c>
      <c r="E848" s="969" t="s">
        <v>1041</v>
      </c>
      <c r="F848" s="970"/>
      <c r="G848" s="971"/>
      <c r="H848" s="544" t="s">
        <v>286</v>
      </c>
      <c r="I848" s="212">
        <v>119140000</v>
      </c>
      <c r="J848" s="605"/>
      <c r="K848" s="212">
        <v>1</v>
      </c>
      <c r="L848" s="212">
        <f>+ROUND(I848*K848,2)</f>
        <v>119140000</v>
      </c>
      <c r="M848" s="602"/>
      <c r="N848" s="675">
        <f>+'Yeşil Defter'!K849</f>
        <v>0</v>
      </c>
      <c r="O848" s="675">
        <f>+'Yeşil Defter'!L849</f>
        <v>0</v>
      </c>
      <c r="P848" s="675">
        <f>+'Yeşil Defter'!M849</f>
        <v>0</v>
      </c>
      <c r="Q848" s="212"/>
      <c r="R848" s="605">
        <f>+ROUND(K848*N848,2)</f>
        <v>0</v>
      </c>
      <c r="S848" s="225">
        <f t="shared" si="97"/>
        <v>0</v>
      </c>
      <c r="T848" s="237">
        <f>+ROUND(K848*P848,2)</f>
        <v>0</v>
      </c>
    </row>
    <row r="849" spans="1:20" ht="30" hidden="1" customHeight="1" x14ac:dyDescent="0.3">
      <c r="A849" s="262">
        <v>9</v>
      </c>
      <c r="C849" s="244">
        <v>427</v>
      </c>
      <c r="D849" s="213" t="s">
        <v>1042</v>
      </c>
      <c r="E849" s="969" t="s">
        <v>1043</v>
      </c>
      <c r="F849" s="970"/>
      <c r="G849" s="971"/>
      <c r="H849" s="544" t="s">
        <v>286</v>
      </c>
      <c r="I849" s="212">
        <v>3869750</v>
      </c>
      <c r="J849" s="605"/>
      <c r="K849" s="212">
        <v>1</v>
      </c>
      <c r="L849" s="212">
        <f>+ROUND(I849*K849,2)</f>
        <v>3869750</v>
      </c>
      <c r="M849" s="602"/>
      <c r="N849" s="675">
        <f>+'Yeşil Defter'!K850</f>
        <v>0</v>
      </c>
      <c r="O849" s="675">
        <f>+'Yeşil Defter'!L850</f>
        <v>0</v>
      </c>
      <c r="P849" s="675">
        <f>+'Yeşil Defter'!M850</f>
        <v>0</v>
      </c>
      <c r="Q849" s="212"/>
      <c r="R849" s="605">
        <f>+ROUND(K849*N849,2)</f>
        <v>0</v>
      </c>
      <c r="S849" s="225">
        <f t="shared" si="97"/>
        <v>0</v>
      </c>
      <c r="T849" s="237">
        <f>+ROUND(K849*P849,2)</f>
        <v>0</v>
      </c>
    </row>
    <row r="850" spans="1:20" ht="30" hidden="1" customHeight="1" x14ac:dyDescent="0.3">
      <c r="A850" s="262">
        <v>9</v>
      </c>
      <c r="C850" s="244">
        <v>428</v>
      </c>
      <c r="D850" s="213" t="s">
        <v>1044</v>
      </c>
      <c r="E850" s="969" t="s">
        <v>1045</v>
      </c>
      <c r="F850" s="970"/>
      <c r="G850" s="971"/>
      <c r="H850" s="544" t="s">
        <v>286</v>
      </c>
      <c r="I850" s="212">
        <v>69000000</v>
      </c>
      <c r="J850" s="605"/>
      <c r="K850" s="212">
        <v>1</v>
      </c>
      <c r="L850" s="212">
        <f>+ROUND(I850*K850,2)</f>
        <v>69000000</v>
      </c>
      <c r="M850" s="602"/>
      <c r="N850" s="675">
        <f>+'Yeşil Defter'!K851</f>
        <v>0</v>
      </c>
      <c r="O850" s="675">
        <f>+'Yeşil Defter'!L851</f>
        <v>0</v>
      </c>
      <c r="P850" s="675">
        <f>+'Yeşil Defter'!M851</f>
        <v>0</v>
      </c>
      <c r="Q850" s="212"/>
      <c r="R850" s="605">
        <f>+ROUND(K850*N850,2)</f>
        <v>0</v>
      </c>
      <c r="S850" s="225">
        <f t="shared" si="97"/>
        <v>0</v>
      </c>
      <c r="T850" s="237">
        <f>+ROUND(K850*P850,2)</f>
        <v>0</v>
      </c>
    </row>
    <row r="851" spans="1:20" ht="30" hidden="1" customHeight="1" x14ac:dyDescent="0.3">
      <c r="A851" s="262">
        <v>9</v>
      </c>
      <c r="C851" s="244"/>
      <c r="D851" s="213"/>
      <c r="E851" s="969"/>
      <c r="F851" s="970"/>
      <c r="G851" s="971"/>
      <c r="H851" s="161"/>
      <c r="I851" s="605"/>
      <c r="J851" s="605"/>
      <c r="K851" s="212"/>
      <c r="L851" s="341"/>
      <c r="M851" s="212"/>
      <c r="N851" s="605"/>
      <c r="O851" s="212"/>
      <c r="P851" s="341"/>
      <c r="Q851" s="212"/>
      <c r="R851" s="605"/>
      <c r="S851" s="225"/>
      <c r="T851" s="237"/>
    </row>
    <row r="852" spans="1:20" ht="30" hidden="1" customHeight="1" x14ac:dyDescent="0.3">
      <c r="A852" s="262">
        <v>9</v>
      </c>
      <c r="C852" s="244"/>
      <c r="D852" s="213"/>
      <c r="E852" s="969"/>
      <c r="F852" s="970"/>
      <c r="G852" s="971"/>
      <c r="H852" s="161"/>
      <c r="I852" s="605"/>
      <c r="J852" s="605"/>
      <c r="K852" s="212"/>
      <c r="L852" s="341"/>
      <c r="M852" s="212"/>
      <c r="N852" s="605"/>
      <c r="O852" s="212"/>
      <c r="P852" s="341"/>
      <c r="Q852" s="212"/>
      <c r="R852" s="605"/>
      <c r="S852" s="225"/>
      <c r="T852" s="237"/>
    </row>
    <row r="853" spans="1:20" ht="30" hidden="1" customHeight="1" x14ac:dyDescent="0.3">
      <c r="A853" s="262">
        <v>9</v>
      </c>
      <c r="C853" s="244"/>
      <c r="D853" s="213"/>
      <c r="E853" s="969"/>
      <c r="F853" s="970"/>
      <c r="G853" s="971"/>
      <c r="H853" s="161"/>
      <c r="I853" s="605"/>
      <c r="J853" s="605"/>
      <c r="K853" s="212"/>
      <c r="L853" s="341"/>
      <c r="M853" s="212"/>
      <c r="N853" s="605"/>
      <c r="O853" s="212"/>
      <c r="P853" s="341"/>
      <c r="Q853" s="212"/>
      <c r="R853" s="605"/>
      <c r="S853" s="225"/>
      <c r="T853" s="237"/>
    </row>
    <row r="854" spans="1:20" ht="30" hidden="1" customHeight="1" x14ac:dyDescent="0.3">
      <c r="A854" s="262">
        <v>9</v>
      </c>
      <c r="C854" s="244"/>
      <c r="D854" s="213"/>
      <c r="E854" s="969"/>
      <c r="F854" s="970"/>
      <c r="G854" s="971"/>
      <c r="H854" s="161"/>
      <c r="I854" s="605"/>
      <c r="J854" s="605"/>
      <c r="K854" s="212"/>
      <c r="L854" s="341"/>
      <c r="M854" s="212"/>
      <c r="N854" s="605"/>
      <c r="O854" s="212"/>
      <c r="P854" s="341"/>
      <c r="Q854" s="212"/>
      <c r="R854" s="605"/>
      <c r="S854" s="225"/>
      <c r="T854" s="237"/>
    </row>
    <row r="855" spans="1:20" ht="30" hidden="1" customHeight="1" x14ac:dyDescent="0.3">
      <c r="A855" s="262">
        <v>9</v>
      </c>
      <c r="C855" s="244"/>
      <c r="D855" s="213"/>
      <c r="E855" s="969"/>
      <c r="F855" s="970"/>
      <c r="G855" s="971"/>
      <c r="H855" s="161"/>
      <c r="I855" s="605"/>
      <c r="J855" s="605"/>
      <c r="K855" s="212"/>
      <c r="L855" s="341"/>
      <c r="M855" s="212"/>
      <c r="N855" s="605"/>
      <c r="O855" s="212"/>
      <c r="P855" s="341"/>
      <c r="Q855" s="212"/>
      <c r="R855" s="605"/>
      <c r="S855" s="225"/>
      <c r="T855" s="237"/>
    </row>
    <row r="856" spans="1:20" ht="30" hidden="1" customHeight="1" x14ac:dyDescent="0.3">
      <c r="A856" s="262">
        <v>9</v>
      </c>
      <c r="C856" s="244"/>
      <c r="D856" s="213"/>
      <c r="E856" s="969"/>
      <c r="F856" s="970"/>
      <c r="G856" s="971"/>
      <c r="H856" s="161"/>
      <c r="I856" s="605"/>
      <c r="J856" s="605"/>
      <c r="K856" s="212"/>
      <c r="L856" s="341"/>
      <c r="M856" s="212"/>
      <c r="N856" s="605"/>
      <c r="O856" s="212"/>
      <c r="P856" s="341"/>
      <c r="Q856" s="212"/>
      <c r="R856" s="605"/>
      <c r="S856" s="225"/>
      <c r="T856" s="237"/>
    </row>
    <row r="857" spans="1:20" ht="30" hidden="1" customHeight="1" x14ac:dyDescent="0.3">
      <c r="A857" s="262">
        <v>9</v>
      </c>
      <c r="C857" s="244"/>
      <c r="D857" s="213"/>
      <c r="E857" s="969"/>
      <c r="F857" s="970"/>
      <c r="G857" s="971"/>
      <c r="H857" s="161"/>
      <c r="I857" s="605"/>
      <c r="J857" s="605"/>
      <c r="K857" s="212"/>
      <c r="L857" s="341"/>
      <c r="M857" s="212"/>
      <c r="N857" s="605"/>
      <c r="O857" s="212"/>
      <c r="P857" s="341"/>
      <c r="Q857" s="212"/>
      <c r="R857" s="605"/>
      <c r="S857" s="225"/>
      <c r="T857" s="237"/>
    </row>
    <row r="858" spans="1:20" ht="30" hidden="1" customHeight="1" x14ac:dyDescent="0.3">
      <c r="A858" s="262">
        <v>9</v>
      </c>
      <c r="C858" s="244"/>
      <c r="D858" s="213"/>
      <c r="E858" s="969"/>
      <c r="F858" s="970"/>
      <c r="G858" s="971"/>
      <c r="H858" s="161"/>
      <c r="I858" s="605"/>
      <c r="J858" s="605"/>
      <c r="K858" s="212"/>
      <c r="L858" s="341"/>
      <c r="M858" s="212"/>
      <c r="N858" s="605"/>
      <c r="O858" s="212"/>
      <c r="P858" s="341"/>
      <c r="Q858" s="212"/>
      <c r="R858" s="605"/>
      <c r="S858" s="225"/>
      <c r="T858" s="237"/>
    </row>
    <row r="859" spans="1:20" ht="30" hidden="1" customHeight="1" x14ac:dyDescent="0.3">
      <c r="A859" s="262">
        <v>9</v>
      </c>
      <c r="C859" s="244"/>
      <c r="D859" s="213"/>
      <c r="E859" s="969"/>
      <c r="F859" s="970"/>
      <c r="G859" s="971"/>
      <c r="H859" s="161"/>
      <c r="I859" s="605"/>
      <c r="J859" s="605"/>
      <c r="K859" s="212"/>
      <c r="L859" s="341"/>
      <c r="M859" s="212"/>
      <c r="N859" s="605"/>
      <c r="O859" s="212"/>
      <c r="P859" s="341"/>
      <c r="Q859" s="212"/>
      <c r="R859" s="605"/>
      <c r="S859" s="225"/>
      <c r="T859" s="237"/>
    </row>
    <row r="860" spans="1:20" ht="30" hidden="1" customHeight="1" x14ac:dyDescent="0.3">
      <c r="A860" s="262">
        <v>9</v>
      </c>
      <c r="C860" s="244"/>
      <c r="D860" s="213"/>
      <c r="E860" s="969"/>
      <c r="F860" s="970"/>
      <c r="G860" s="971"/>
      <c r="H860" s="161"/>
      <c r="I860" s="605"/>
      <c r="J860" s="605"/>
      <c r="K860" s="212"/>
      <c r="L860" s="341"/>
      <c r="M860" s="212"/>
      <c r="N860" s="605"/>
      <c r="O860" s="212"/>
      <c r="P860" s="341"/>
      <c r="Q860" s="212"/>
      <c r="R860" s="605"/>
      <c r="S860" s="225"/>
      <c r="T860" s="237"/>
    </row>
    <row r="861" spans="1:20" ht="30" hidden="1" customHeight="1" x14ac:dyDescent="0.3">
      <c r="A861" s="262">
        <v>9</v>
      </c>
      <c r="C861" s="244"/>
      <c r="D861" s="213"/>
      <c r="E861" s="969"/>
      <c r="F861" s="970"/>
      <c r="G861" s="971"/>
      <c r="H861" s="161"/>
      <c r="I861" s="605"/>
      <c r="J861" s="605"/>
      <c r="K861" s="212"/>
      <c r="L861" s="341"/>
      <c r="M861" s="212"/>
      <c r="N861" s="605"/>
      <c r="O861" s="212"/>
      <c r="P861" s="341"/>
      <c r="Q861" s="212"/>
      <c r="R861" s="605"/>
      <c r="S861" s="225"/>
      <c r="T861" s="237"/>
    </row>
    <row r="862" spans="1:20" ht="30" hidden="1" customHeight="1" x14ac:dyDescent="0.3">
      <c r="A862" s="262">
        <v>9</v>
      </c>
      <c r="C862" s="244"/>
      <c r="D862" s="213"/>
      <c r="E862" s="969"/>
      <c r="F862" s="970"/>
      <c r="G862" s="971"/>
      <c r="H862" s="161"/>
      <c r="I862" s="605"/>
      <c r="J862" s="605"/>
      <c r="K862" s="212"/>
      <c r="L862" s="341"/>
      <c r="M862" s="212"/>
      <c r="N862" s="605"/>
      <c r="O862" s="212"/>
      <c r="P862" s="341"/>
      <c r="Q862" s="212"/>
      <c r="R862" s="605"/>
      <c r="S862" s="225"/>
      <c r="T862" s="237"/>
    </row>
    <row r="863" spans="1:20" ht="30" hidden="1" customHeight="1" x14ac:dyDescent="0.3">
      <c r="A863" s="262">
        <v>9</v>
      </c>
      <c r="C863" s="244"/>
      <c r="D863" s="213"/>
      <c r="E863" s="969"/>
      <c r="F863" s="970"/>
      <c r="G863" s="971"/>
      <c r="H863" s="161"/>
      <c r="I863" s="605"/>
      <c r="J863" s="605"/>
      <c r="K863" s="212"/>
      <c r="L863" s="341"/>
      <c r="M863" s="212"/>
      <c r="N863" s="605"/>
      <c r="O863" s="212"/>
      <c r="P863" s="341"/>
      <c r="Q863" s="212"/>
      <c r="R863" s="605"/>
      <c r="S863" s="225"/>
      <c r="T863" s="237"/>
    </row>
    <row r="864" spans="1:20" ht="30" hidden="1" customHeight="1" x14ac:dyDescent="0.3">
      <c r="A864" s="262">
        <v>9</v>
      </c>
      <c r="C864" s="244"/>
      <c r="D864" s="213"/>
      <c r="E864" s="969"/>
      <c r="F864" s="970"/>
      <c r="G864" s="971"/>
      <c r="H864" s="161"/>
      <c r="I864" s="605"/>
      <c r="J864" s="605"/>
      <c r="K864" s="212"/>
      <c r="L864" s="341"/>
      <c r="M864" s="212"/>
      <c r="N864" s="605"/>
      <c r="O864" s="212"/>
      <c r="P864" s="341"/>
      <c r="Q864" s="212"/>
      <c r="R864" s="605"/>
      <c r="S864" s="225"/>
      <c r="T864" s="237"/>
    </row>
    <row r="865" spans="1:20" ht="30" hidden="1" customHeight="1" x14ac:dyDescent="0.3">
      <c r="A865" s="262">
        <v>9</v>
      </c>
      <c r="C865" s="244"/>
      <c r="D865" s="213"/>
      <c r="E865" s="969"/>
      <c r="F865" s="970"/>
      <c r="G865" s="971"/>
      <c r="H865" s="161"/>
      <c r="I865" s="605"/>
      <c r="J865" s="605"/>
      <c r="K865" s="212"/>
      <c r="L865" s="341"/>
      <c r="M865" s="212"/>
      <c r="N865" s="605"/>
      <c r="O865" s="212"/>
      <c r="P865" s="341"/>
      <c r="Q865" s="212"/>
      <c r="R865" s="605"/>
      <c r="S865" s="225"/>
      <c r="T865" s="237"/>
    </row>
    <row r="866" spans="1:20" ht="30" hidden="1" customHeight="1" x14ac:dyDescent="0.3">
      <c r="A866" s="262">
        <v>9</v>
      </c>
      <c r="C866" s="244"/>
      <c r="D866" s="213"/>
      <c r="E866" s="969"/>
      <c r="F866" s="970"/>
      <c r="G866" s="971"/>
      <c r="H866" s="161"/>
      <c r="I866" s="605"/>
      <c r="J866" s="605"/>
      <c r="K866" s="212"/>
      <c r="L866" s="341"/>
      <c r="M866" s="212"/>
      <c r="N866" s="605"/>
      <c r="O866" s="212"/>
      <c r="P866" s="341"/>
      <c r="Q866" s="212"/>
      <c r="R866" s="605"/>
      <c r="S866" s="225"/>
      <c r="T866" s="237"/>
    </row>
    <row r="867" spans="1:20" ht="30" hidden="1" customHeight="1" x14ac:dyDescent="0.3">
      <c r="A867" s="262">
        <v>9</v>
      </c>
      <c r="C867" s="244"/>
      <c r="D867" s="213"/>
      <c r="E867" s="969"/>
      <c r="F867" s="970"/>
      <c r="G867" s="971"/>
      <c r="H867" s="161"/>
      <c r="I867" s="605"/>
      <c r="J867" s="605"/>
      <c r="K867" s="212"/>
      <c r="L867" s="341"/>
      <c r="M867" s="212"/>
      <c r="N867" s="605"/>
      <c r="O867" s="212"/>
      <c r="P867" s="341"/>
      <c r="Q867" s="212"/>
      <c r="R867" s="605"/>
      <c r="S867" s="225"/>
      <c r="T867" s="237"/>
    </row>
    <row r="868" spans="1:20" ht="30" hidden="1" customHeight="1" x14ac:dyDescent="0.3">
      <c r="A868" s="262">
        <v>9</v>
      </c>
      <c r="C868" s="244"/>
      <c r="D868" s="213"/>
      <c r="E868" s="969"/>
      <c r="F868" s="970"/>
      <c r="G868" s="971"/>
      <c r="H868" s="658"/>
      <c r="I868" s="605"/>
      <c r="J868" s="605"/>
      <c r="K868" s="212"/>
      <c r="L868" s="341"/>
      <c r="M868" s="302"/>
      <c r="N868" s="605"/>
      <c r="O868" s="212"/>
      <c r="P868" s="341"/>
      <c r="Q868" s="302"/>
      <c r="R868" s="605"/>
      <c r="S868" s="225"/>
      <c r="T868" s="237"/>
    </row>
    <row r="869" spans="1:20" ht="40.049999999999997" hidden="1" customHeight="1" x14ac:dyDescent="0.3">
      <c r="A869" s="262" t="s">
        <v>1242</v>
      </c>
      <c r="C869" s="258"/>
      <c r="D869" s="258"/>
      <c r="E869" s="972" t="s">
        <v>33</v>
      </c>
      <c r="F869" s="972"/>
      <c r="G869" s="972"/>
      <c r="H869" s="973" t="s">
        <v>29</v>
      </c>
      <c r="I869" s="973"/>
      <c r="J869" s="973"/>
      <c r="K869" s="973"/>
      <c r="L869" s="973"/>
      <c r="M869" s="549"/>
      <c r="N869" s="973" t="s">
        <v>22</v>
      </c>
      <c r="O869" s="973"/>
      <c r="P869" s="973"/>
      <c r="Q869" s="973"/>
      <c r="R869" s="973"/>
      <c r="S869" s="973"/>
      <c r="T869" s="973"/>
    </row>
    <row r="870" spans="1:20" ht="19.95" hidden="1" customHeight="1" x14ac:dyDescent="0.3">
      <c r="A870" s="262" t="s">
        <v>1242</v>
      </c>
      <c r="D870" s="28"/>
      <c r="E870" s="974" t="s">
        <v>1214</v>
      </c>
      <c r="F870" s="974"/>
      <c r="G870" s="974"/>
      <c r="H870" s="975" t="s">
        <v>38</v>
      </c>
      <c r="I870" s="975"/>
      <c r="J870" s="975"/>
      <c r="K870" s="975"/>
      <c r="L870" s="975"/>
      <c r="M870" s="562"/>
      <c r="N870" s="975" t="s">
        <v>1437</v>
      </c>
      <c r="O870" s="975"/>
      <c r="P870" s="975"/>
      <c r="Q870" s="975"/>
      <c r="R870" s="975"/>
      <c r="S870" s="975"/>
      <c r="T870" s="975"/>
    </row>
    <row r="871" spans="1:20" ht="19.95" hidden="1" customHeight="1" x14ac:dyDescent="0.3">
      <c r="A871" s="262" t="s">
        <v>1242</v>
      </c>
      <c r="C871" s="228"/>
      <c r="D871" s="228"/>
      <c r="E871" s="561"/>
      <c r="F871" s="561"/>
      <c r="G871" s="561"/>
      <c r="H871" s="228"/>
      <c r="I871" s="260"/>
      <c r="J871" s="260"/>
      <c r="K871" s="260"/>
      <c r="L871" s="260"/>
      <c r="M871" s="260"/>
      <c r="N871" s="975"/>
      <c r="O871" s="975"/>
      <c r="P871" s="975"/>
      <c r="Q871" s="975"/>
      <c r="R871" s="975"/>
      <c r="S871" s="975"/>
      <c r="T871" s="975"/>
    </row>
    <row r="872" spans="1:20" ht="19.95" hidden="1" customHeight="1" x14ac:dyDescent="0.3">
      <c r="A872" s="262" t="s">
        <v>1242</v>
      </c>
      <c r="C872" s="228"/>
      <c r="D872" s="228"/>
      <c r="E872" s="561"/>
      <c r="F872" s="561"/>
      <c r="G872" s="561"/>
      <c r="H872" s="228"/>
      <c r="I872" s="260"/>
      <c r="J872" s="260"/>
      <c r="K872" s="260"/>
      <c r="L872" s="260"/>
      <c r="M872" s="260"/>
      <c r="N872" s="975"/>
      <c r="O872" s="975"/>
      <c r="P872" s="975"/>
      <c r="Q872" s="975"/>
      <c r="R872" s="975"/>
      <c r="S872" s="975"/>
      <c r="T872" s="975"/>
    </row>
    <row r="873" spans="1:20" ht="19.95" hidden="1" customHeight="1" x14ac:dyDescent="0.3">
      <c r="A873" s="262" t="s">
        <v>1242</v>
      </c>
      <c r="C873" s="228"/>
      <c r="D873" s="228"/>
      <c r="E873" s="561"/>
      <c r="F873" s="561"/>
      <c r="G873" s="561"/>
      <c r="H873" s="261"/>
      <c r="I873" s="261"/>
      <c r="J873" s="261"/>
      <c r="K873" s="261"/>
      <c r="L873" s="261"/>
      <c r="M873" s="261"/>
      <c r="N873" s="995" t="s">
        <v>1244</v>
      </c>
      <c r="O873" s="995"/>
      <c r="P873" s="995"/>
      <c r="Q873" s="550"/>
      <c r="R873" s="995" t="s">
        <v>55</v>
      </c>
      <c r="S873" s="995"/>
      <c r="T873" s="995"/>
    </row>
    <row r="874" spans="1:20" ht="19.95" hidden="1" customHeight="1" x14ac:dyDescent="0.3">
      <c r="A874" s="262" t="s">
        <v>1242</v>
      </c>
      <c r="C874" s="228"/>
      <c r="D874" s="228"/>
      <c r="E874" s="561"/>
      <c r="F874" s="561"/>
      <c r="G874" s="561"/>
      <c r="H874" s="261"/>
      <c r="I874" s="261"/>
      <c r="J874" s="261"/>
      <c r="K874" s="261"/>
      <c r="L874" s="261"/>
      <c r="M874" s="261"/>
      <c r="N874" s="995" t="s">
        <v>1483</v>
      </c>
      <c r="O874" s="995"/>
      <c r="P874" s="995"/>
      <c r="Q874" s="550"/>
      <c r="R874" s="995" t="s">
        <v>1484</v>
      </c>
      <c r="S874" s="995"/>
      <c r="T874" s="995"/>
    </row>
    <row r="875" spans="1:20" ht="19.95" hidden="1" customHeight="1" x14ac:dyDescent="0.3">
      <c r="A875" s="262" t="s">
        <v>1242</v>
      </c>
      <c r="C875" s="228"/>
      <c r="D875" s="228"/>
      <c r="E875" s="561"/>
      <c r="F875" s="561"/>
      <c r="G875" s="561"/>
      <c r="H875" s="975" t="s">
        <v>32</v>
      </c>
      <c r="I875" s="975"/>
      <c r="J875" s="562"/>
      <c r="K875" s="975" t="s">
        <v>1407</v>
      </c>
      <c r="L875" s="975"/>
      <c r="M875" s="562"/>
      <c r="N875" s="494"/>
      <c r="O875" s="494"/>
      <c r="P875" s="494"/>
      <c r="Q875" s="494"/>
      <c r="R875" s="494"/>
      <c r="S875" s="494"/>
      <c r="T875" s="494"/>
    </row>
    <row r="876" spans="1:20" ht="19.95" hidden="1" customHeight="1" x14ac:dyDescent="0.3">
      <c r="A876" s="262" t="s">
        <v>1242</v>
      </c>
      <c r="C876" s="228"/>
      <c r="D876" s="228"/>
      <c r="E876" s="561"/>
      <c r="F876" s="561"/>
      <c r="G876" s="561"/>
      <c r="H876" s="976" t="s">
        <v>94</v>
      </c>
      <c r="I876" s="976"/>
      <c r="J876" s="623"/>
      <c r="K876" s="976" t="s">
        <v>94</v>
      </c>
      <c r="L876" s="976"/>
      <c r="M876" s="623"/>
      <c r="N876" s="494"/>
      <c r="O876" s="494"/>
      <c r="P876" s="494"/>
      <c r="Q876" s="494"/>
      <c r="R876" s="494"/>
      <c r="S876" s="494"/>
      <c r="T876" s="494"/>
    </row>
    <row r="877" spans="1:20" ht="19.95" hidden="1" customHeight="1" x14ac:dyDescent="0.3">
      <c r="A877" s="262" t="s">
        <v>1242</v>
      </c>
      <c r="C877" s="228"/>
      <c r="D877" s="228"/>
      <c r="E877" s="561"/>
      <c r="F877" s="561"/>
      <c r="G877" s="561"/>
      <c r="H877" s="976"/>
      <c r="I877" s="976"/>
      <c r="J877" s="623"/>
      <c r="K877" s="976"/>
      <c r="L877" s="976"/>
      <c r="M877" s="623"/>
      <c r="N877" s="995" t="s">
        <v>28</v>
      </c>
      <c r="O877" s="995"/>
      <c r="P877" s="995"/>
      <c r="Q877" s="550"/>
      <c r="R877" s="995" t="s">
        <v>52</v>
      </c>
      <c r="S877" s="995"/>
      <c r="T877" s="995"/>
    </row>
    <row r="878" spans="1:20" ht="19.95" hidden="1" customHeight="1" x14ac:dyDescent="0.3">
      <c r="A878" s="262" t="s">
        <v>1242</v>
      </c>
      <c r="C878" s="228"/>
      <c r="D878" s="228"/>
      <c r="E878" s="561"/>
      <c r="F878" s="561"/>
      <c r="G878" s="561"/>
      <c r="H878" s="261"/>
      <c r="I878" s="261"/>
      <c r="J878" s="261"/>
      <c r="K878" s="261"/>
      <c r="L878" s="261"/>
      <c r="M878" s="261"/>
      <c r="N878" s="995" t="s">
        <v>1486</v>
      </c>
      <c r="O878" s="995"/>
      <c r="P878" s="995"/>
      <c r="Q878" s="550"/>
      <c r="R878" s="995" t="s">
        <v>1485</v>
      </c>
      <c r="S878" s="995"/>
      <c r="T878" s="995"/>
    </row>
    <row r="879" spans="1:20" ht="19.95" hidden="1" customHeight="1" x14ac:dyDescent="0.3">
      <c r="A879" s="262" t="s">
        <v>1242</v>
      </c>
      <c r="C879" s="228"/>
      <c r="D879" s="228"/>
      <c r="E879" s="561"/>
      <c r="F879" s="561"/>
      <c r="G879" s="561"/>
      <c r="H879" s="228"/>
      <c r="I879" s="260"/>
      <c r="J879" s="260"/>
      <c r="K879" s="260"/>
      <c r="L879" s="260"/>
      <c r="M879" s="260"/>
      <c r="N879" s="260"/>
      <c r="O879" s="260"/>
      <c r="P879" s="260"/>
      <c r="Q879" s="260"/>
      <c r="R879" s="260"/>
      <c r="S879" s="624"/>
      <c r="T879" s="260"/>
    </row>
    <row r="880" spans="1:20" ht="19.95" hidden="1" customHeight="1" x14ac:dyDescent="0.3">
      <c r="A880" s="262" t="s">
        <v>1242</v>
      </c>
      <c r="C880" s="228"/>
      <c r="D880" s="228"/>
      <c r="E880" s="561"/>
      <c r="F880" s="561"/>
      <c r="G880" s="561"/>
      <c r="H880" s="228"/>
      <c r="I880" s="260"/>
      <c r="J880" s="260"/>
      <c r="K880" s="260"/>
      <c r="L880" s="260"/>
      <c r="M880" s="260"/>
      <c r="N880" s="260"/>
      <c r="O880" s="260"/>
      <c r="P880" s="260"/>
      <c r="Q880" s="260"/>
      <c r="R880" s="260"/>
      <c r="S880" s="624"/>
      <c r="T880" s="260"/>
    </row>
    <row r="881" spans="1:20" ht="19.95" hidden="1" customHeight="1" x14ac:dyDescent="0.3">
      <c r="A881" s="262" t="s">
        <v>1242</v>
      </c>
      <c r="C881" s="228"/>
      <c r="D881" s="228"/>
      <c r="E881" s="975" t="s">
        <v>1215</v>
      </c>
      <c r="F881" s="975"/>
      <c r="G881" s="975"/>
      <c r="H881" s="975" t="s">
        <v>1348</v>
      </c>
      <c r="I881" s="975"/>
      <c r="J881" s="975"/>
      <c r="K881" s="975"/>
      <c r="L881" s="975"/>
      <c r="M881" s="562"/>
      <c r="N881" s="977" t="s">
        <v>1217</v>
      </c>
      <c r="O881" s="977"/>
      <c r="P881" s="977"/>
      <c r="Q881" s="548"/>
      <c r="R881" s="977" t="s">
        <v>1219</v>
      </c>
      <c r="S881" s="977"/>
      <c r="T881" s="977"/>
    </row>
    <row r="882" spans="1:20" ht="19.95" hidden="1" customHeight="1" x14ac:dyDescent="0.3">
      <c r="A882" s="262" t="s">
        <v>1290</v>
      </c>
      <c r="C882" s="228"/>
      <c r="D882" s="228"/>
      <c r="E882" s="975"/>
      <c r="F882" s="975"/>
      <c r="G882" s="975"/>
      <c r="H882" s="975"/>
      <c r="I882" s="975"/>
      <c r="J882" s="975"/>
      <c r="K882" s="975"/>
      <c r="L882" s="975"/>
      <c r="M882" s="562"/>
      <c r="N882" s="977"/>
      <c r="O882" s="977"/>
      <c r="P882" s="977"/>
      <c r="Q882" s="548"/>
      <c r="R882" s="977"/>
      <c r="S882" s="977"/>
      <c r="T882" s="977"/>
    </row>
    <row r="883" spans="1:20" ht="30" hidden="1" customHeight="1" x14ac:dyDescent="0.3">
      <c r="A883" s="262" t="s">
        <v>1240</v>
      </c>
      <c r="C883" s="625"/>
      <c r="D883" s="626" t="s">
        <v>1237</v>
      </c>
      <c r="E883" s="627"/>
      <c r="F883" s="627"/>
      <c r="G883" s="627"/>
      <c r="H883" s="627"/>
      <c r="I883" s="628"/>
      <c r="J883" s="628"/>
      <c r="K883" s="628"/>
      <c r="L883" s="644">
        <f>+SUMIFS(L:L,A:A,"10")</f>
        <v>785843796.85000002</v>
      </c>
      <c r="M883" s="629"/>
      <c r="N883" s="648"/>
      <c r="O883" s="628"/>
      <c r="P883" s="628"/>
      <c r="Q883" s="611"/>
      <c r="R883" s="651">
        <f>+SUMIFS(R:R,A:A,"10")</f>
        <v>0</v>
      </c>
      <c r="S883" s="630">
        <f>+SUMIFS(S:S,A:A,"10")</f>
        <v>0</v>
      </c>
      <c r="T883" s="631">
        <f>+SUMIFS(T:T,A:A,"10")</f>
        <v>0</v>
      </c>
    </row>
    <row r="884" spans="1:20" ht="30" hidden="1" customHeight="1" x14ac:dyDescent="0.3">
      <c r="A884" s="262">
        <v>10</v>
      </c>
      <c r="C884" s="244">
        <v>429</v>
      </c>
      <c r="D884" s="213" t="s">
        <v>1046</v>
      </c>
      <c r="E884" s="969" t="s">
        <v>1047</v>
      </c>
      <c r="F884" s="970"/>
      <c r="G884" s="971"/>
      <c r="H884" s="544" t="s">
        <v>286</v>
      </c>
      <c r="I884" s="212">
        <v>3920576</v>
      </c>
      <c r="J884" s="605"/>
      <c r="K884" s="212">
        <v>1</v>
      </c>
      <c r="L884" s="212">
        <f t="shared" ref="L884:L905" si="98">+ROUND(I884*K884,2)</f>
        <v>3920576</v>
      </c>
      <c r="M884" s="602"/>
      <c r="N884" s="675">
        <f>+'Yeşil Defter'!K900</f>
        <v>0</v>
      </c>
      <c r="O884" s="675">
        <f>+'Yeşil Defter'!L900</f>
        <v>0</v>
      </c>
      <c r="P884" s="675">
        <f>+'Yeşil Defter'!M900</f>
        <v>0</v>
      </c>
      <c r="Q884" s="212"/>
      <c r="R884" s="605">
        <f t="shared" ref="R884:R905" si="99">+ROUND(K884*N884,2)</f>
        <v>0</v>
      </c>
      <c r="S884" s="225">
        <f t="shared" ref="S884:S900" si="100">+T884-R884</f>
        <v>0</v>
      </c>
      <c r="T884" s="237">
        <f t="shared" ref="T884:T905" si="101">+ROUND(K884*P884,2)</f>
        <v>0</v>
      </c>
    </row>
    <row r="885" spans="1:20" ht="30" hidden="1" customHeight="1" x14ac:dyDescent="0.3">
      <c r="A885" s="262">
        <v>10</v>
      </c>
      <c r="C885" s="244">
        <v>430</v>
      </c>
      <c r="D885" s="161" t="s">
        <v>1048</v>
      </c>
      <c r="E885" s="969" t="s">
        <v>1049</v>
      </c>
      <c r="F885" s="970"/>
      <c r="G885" s="971"/>
      <c r="H885" s="544" t="s">
        <v>286</v>
      </c>
      <c r="I885" s="212">
        <v>17953221</v>
      </c>
      <c r="J885" s="605"/>
      <c r="K885" s="212">
        <v>1</v>
      </c>
      <c r="L885" s="212">
        <f t="shared" si="98"/>
        <v>17953221</v>
      </c>
      <c r="M885" s="602"/>
      <c r="N885" s="675">
        <f>+'Yeşil Defter'!K901</f>
        <v>0</v>
      </c>
      <c r="O885" s="675">
        <f>+'Yeşil Defter'!L901</f>
        <v>0</v>
      </c>
      <c r="P885" s="675">
        <f>+'Yeşil Defter'!M901</f>
        <v>0</v>
      </c>
      <c r="Q885" s="212"/>
      <c r="R885" s="605">
        <f t="shared" si="99"/>
        <v>0</v>
      </c>
      <c r="S885" s="225">
        <f t="shared" si="100"/>
        <v>0</v>
      </c>
      <c r="T885" s="237">
        <f t="shared" si="101"/>
        <v>0</v>
      </c>
    </row>
    <row r="886" spans="1:20" ht="30" hidden="1" customHeight="1" x14ac:dyDescent="0.3">
      <c r="A886" s="262">
        <v>10</v>
      </c>
      <c r="C886" s="244">
        <v>431</v>
      </c>
      <c r="D886" s="161" t="s">
        <v>1050</v>
      </c>
      <c r="E886" s="969" t="s">
        <v>1051</v>
      </c>
      <c r="F886" s="970"/>
      <c r="G886" s="971"/>
      <c r="H886" s="544" t="s">
        <v>286</v>
      </c>
      <c r="I886" s="212">
        <v>11111515</v>
      </c>
      <c r="J886" s="605"/>
      <c r="K886" s="212">
        <v>1</v>
      </c>
      <c r="L886" s="212">
        <f t="shared" si="98"/>
        <v>11111515</v>
      </c>
      <c r="M886" s="602"/>
      <c r="N886" s="675">
        <f>+'Yeşil Defter'!K902</f>
        <v>0</v>
      </c>
      <c r="O886" s="675">
        <f>+'Yeşil Defter'!L902</f>
        <v>0</v>
      </c>
      <c r="P886" s="675">
        <f>+'Yeşil Defter'!M902</f>
        <v>0</v>
      </c>
      <c r="Q886" s="212"/>
      <c r="R886" s="605">
        <f t="shared" si="99"/>
        <v>0</v>
      </c>
      <c r="S886" s="225">
        <f t="shared" si="100"/>
        <v>0</v>
      </c>
      <c r="T886" s="237">
        <f t="shared" si="101"/>
        <v>0</v>
      </c>
    </row>
    <row r="887" spans="1:20" ht="30" hidden="1" customHeight="1" x14ac:dyDescent="0.3">
      <c r="A887" s="262">
        <v>10</v>
      </c>
      <c r="C887" s="244">
        <v>432</v>
      </c>
      <c r="D887" s="161" t="s">
        <v>1052</v>
      </c>
      <c r="E887" s="969" t="s">
        <v>1053</v>
      </c>
      <c r="F887" s="970"/>
      <c r="G887" s="971"/>
      <c r="H887" s="544" t="s">
        <v>286</v>
      </c>
      <c r="I887" s="212">
        <v>19526276</v>
      </c>
      <c r="J887" s="605"/>
      <c r="K887" s="212">
        <v>1</v>
      </c>
      <c r="L887" s="212">
        <f t="shared" si="98"/>
        <v>19526276</v>
      </c>
      <c r="M887" s="602"/>
      <c r="N887" s="675">
        <f>+'Yeşil Defter'!K903</f>
        <v>0</v>
      </c>
      <c r="O887" s="675">
        <f>+'Yeşil Defter'!L903</f>
        <v>0</v>
      </c>
      <c r="P887" s="675">
        <f>+'Yeşil Defter'!M903</f>
        <v>0</v>
      </c>
      <c r="Q887" s="212"/>
      <c r="R887" s="605">
        <f t="shared" si="99"/>
        <v>0</v>
      </c>
      <c r="S887" s="225">
        <f t="shared" si="100"/>
        <v>0</v>
      </c>
      <c r="T887" s="237">
        <f t="shared" si="101"/>
        <v>0</v>
      </c>
    </row>
    <row r="888" spans="1:20" ht="30" hidden="1" customHeight="1" x14ac:dyDescent="0.3">
      <c r="A888" s="262">
        <v>10</v>
      </c>
      <c r="C888" s="244">
        <v>433</v>
      </c>
      <c r="D888" s="161" t="s">
        <v>1054</v>
      </c>
      <c r="E888" s="969" t="s">
        <v>1055</v>
      </c>
      <c r="F888" s="970"/>
      <c r="G888" s="971"/>
      <c r="H888" s="544" t="s">
        <v>286</v>
      </c>
      <c r="I888" s="212">
        <v>17245708</v>
      </c>
      <c r="J888" s="605"/>
      <c r="K888" s="212">
        <v>1</v>
      </c>
      <c r="L888" s="212">
        <f t="shared" si="98"/>
        <v>17245708</v>
      </c>
      <c r="M888" s="602"/>
      <c r="N888" s="675">
        <f>+'Yeşil Defter'!K904</f>
        <v>0</v>
      </c>
      <c r="O888" s="675">
        <f>+'Yeşil Defter'!L904</f>
        <v>0</v>
      </c>
      <c r="P888" s="675">
        <f>+'Yeşil Defter'!M904</f>
        <v>0</v>
      </c>
      <c r="Q888" s="212"/>
      <c r="R888" s="605">
        <f t="shared" si="99"/>
        <v>0</v>
      </c>
      <c r="S888" s="225">
        <f t="shared" si="100"/>
        <v>0</v>
      </c>
      <c r="T888" s="237">
        <f t="shared" si="101"/>
        <v>0</v>
      </c>
    </row>
    <row r="889" spans="1:20" ht="30" hidden="1" customHeight="1" x14ac:dyDescent="0.3">
      <c r="A889" s="262">
        <v>10</v>
      </c>
      <c r="C889" s="244">
        <v>434</v>
      </c>
      <c r="D889" s="161" t="s">
        <v>1056</v>
      </c>
      <c r="E889" s="969" t="s">
        <v>1057</v>
      </c>
      <c r="F889" s="970"/>
      <c r="G889" s="971"/>
      <c r="H889" s="544" t="s">
        <v>286</v>
      </c>
      <c r="I889" s="212">
        <v>17453800</v>
      </c>
      <c r="J889" s="605"/>
      <c r="K889" s="212">
        <v>1</v>
      </c>
      <c r="L889" s="212">
        <f t="shared" si="98"/>
        <v>17453800</v>
      </c>
      <c r="M889" s="602"/>
      <c r="N889" s="675">
        <f>+'Yeşil Defter'!K905</f>
        <v>0</v>
      </c>
      <c r="O889" s="675">
        <f>+'Yeşil Defter'!L905</f>
        <v>0</v>
      </c>
      <c r="P889" s="675">
        <f>+'Yeşil Defter'!M905</f>
        <v>0</v>
      </c>
      <c r="Q889" s="212"/>
      <c r="R889" s="605">
        <f t="shared" si="99"/>
        <v>0</v>
      </c>
      <c r="S889" s="225">
        <f t="shared" si="100"/>
        <v>0</v>
      </c>
      <c r="T889" s="237">
        <f t="shared" si="101"/>
        <v>0</v>
      </c>
    </row>
    <row r="890" spans="1:20" ht="30" hidden="1" customHeight="1" x14ac:dyDescent="0.3">
      <c r="A890" s="262">
        <v>10</v>
      </c>
      <c r="C890" s="244">
        <v>435</v>
      </c>
      <c r="D890" s="161" t="s">
        <v>1058</v>
      </c>
      <c r="E890" s="969" t="s">
        <v>1059</v>
      </c>
      <c r="F890" s="970"/>
      <c r="G890" s="971"/>
      <c r="H890" s="544" t="s">
        <v>286</v>
      </c>
      <c r="I890" s="212">
        <v>8928056</v>
      </c>
      <c r="J890" s="605"/>
      <c r="K890" s="212">
        <v>1</v>
      </c>
      <c r="L890" s="212">
        <f t="shared" si="98"/>
        <v>8928056</v>
      </c>
      <c r="M890" s="602"/>
      <c r="N890" s="675">
        <f>+'Yeşil Defter'!K906</f>
        <v>0</v>
      </c>
      <c r="O890" s="675">
        <f>+'Yeşil Defter'!L906</f>
        <v>0</v>
      </c>
      <c r="P890" s="675">
        <f>+'Yeşil Defter'!M906</f>
        <v>0</v>
      </c>
      <c r="Q890" s="212"/>
      <c r="R890" s="605">
        <f t="shared" si="99"/>
        <v>0</v>
      </c>
      <c r="S890" s="225">
        <f t="shared" si="100"/>
        <v>0</v>
      </c>
      <c r="T890" s="237">
        <f t="shared" si="101"/>
        <v>0</v>
      </c>
    </row>
    <row r="891" spans="1:20" ht="30" hidden="1" customHeight="1" x14ac:dyDescent="0.3">
      <c r="A891" s="262">
        <v>10</v>
      </c>
      <c r="C891" s="244">
        <v>436</v>
      </c>
      <c r="D891" s="161" t="s">
        <v>1060</v>
      </c>
      <c r="E891" s="969" t="s">
        <v>1061</v>
      </c>
      <c r="F891" s="970"/>
      <c r="G891" s="971"/>
      <c r="H891" s="544" t="s">
        <v>286</v>
      </c>
      <c r="I891" s="212">
        <v>6744596</v>
      </c>
      <c r="J891" s="605"/>
      <c r="K891" s="212">
        <v>1</v>
      </c>
      <c r="L891" s="212">
        <f t="shared" si="98"/>
        <v>6744596</v>
      </c>
      <c r="M891" s="602"/>
      <c r="N891" s="675">
        <f>+'Yeşil Defter'!K907</f>
        <v>0</v>
      </c>
      <c r="O891" s="675">
        <f>+'Yeşil Defter'!L907</f>
        <v>0</v>
      </c>
      <c r="P891" s="675">
        <f>+'Yeşil Defter'!M907</f>
        <v>0</v>
      </c>
      <c r="Q891" s="212"/>
      <c r="R891" s="605">
        <f t="shared" si="99"/>
        <v>0</v>
      </c>
      <c r="S891" s="225">
        <f t="shared" si="100"/>
        <v>0</v>
      </c>
      <c r="T891" s="237">
        <f t="shared" si="101"/>
        <v>0</v>
      </c>
    </row>
    <row r="892" spans="1:20" ht="30" hidden="1" customHeight="1" x14ac:dyDescent="0.3">
      <c r="A892" s="262">
        <v>10</v>
      </c>
      <c r="C892" s="244">
        <v>437</v>
      </c>
      <c r="D892" s="161" t="s">
        <v>1062</v>
      </c>
      <c r="E892" s="969" t="s">
        <v>1063</v>
      </c>
      <c r="F892" s="970"/>
      <c r="G892" s="971"/>
      <c r="H892" s="544" t="s">
        <v>286</v>
      </c>
      <c r="I892" s="212">
        <v>8969674</v>
      </c>
      <c r="J892" s="605"/>
      <c r="K892" s="212">
        <v>1</v>
      </c>
      <c r="L892" s="212">
        <f t="shared" si="98"/>
        <v>8969674</v>
      </c>
      <c r="M892" s="602"/>
      <c r="N892" s="675">
        <f>+'Yeşil Defter'!K908</f>
        <v>0</v>
      </c>
      <c r="O892" s="675">
        <f>+'Yeşil Defter'!L908</f>
        <v>0</v>
      </c>
      <c r="P892" s="675">
        <f>+'Yeşil Defter'!M908</f>
        <v>0</v>
      </c>
      <c r="Q892" s="212"/>
      <c r="R892" s="605">
        <f t="shared" si="99"/>
        <v>0</v>
      </c>
      <c r="S892" s="225">
        <f t="shared" si="100"/>
        <v>0</v>
      </c>
      <c r="T892" s="237">
        <f t="shared" si="101"/>
        <v>0</v>
      </c>
    </row>
    <row r="893" spans="1:20" ht="30" hidden="1" customHeight="1" x14ac:dyDescent="0.3">
      <c r="A893" s="262">
        <v>10</v>
      </c>
      <c r="C893" s="244">
        <v>438</v>
      </c>
      <c r="D893" s="161" t="s">
        <v>1064</v>
      </c>
      <c r="E893" s="969" t="s">
        <v>1065</v>
      </c>
      <c r="F893" s="970"/>
      <c r="G893" s="971"/>
      <c r="H893" s="544" t="s">
        <v>286</v>
      </c>
      <c r="I893" s="212">
        <v>8928056</v>
      </c>
      <c r="J893" s="605"/>
      <c r="K893" s="212">
        <v>1</v>
      </c>
      <c r="L893" s="212">
        <f t="shared" si="98"/>
        <v>8928056</v>
      </c>
      <c r="M893" s="602"/>
      <c r="N893" s="675">
        <f>+'Yeşil Defter'!K909</f>
        <v>0</v>
      </c>
      <c r="O893" s="675">
        <f>+'Yeşil Defter'!L909</f>
        <v>0</v>
      </c>
      <c r="P893" s="675">
        <f>+'Yeşil Defter'!M909</f>
        <v>0</v>
      </c>
      <c r="Q893" s="212"/>
      <c r="R893" s="605">
        <f t="shared" si="99"/>
        <v>0</v>
      </c>
      <c r="S893" s="225">
        <f t="shared" si="100"/>
        <v>0</v>
      </c>
      <c r="T893" s="237">
        <f t="shared" si="101"/>
        <v>0</v>
      </c>
    </row>
    <row r="894" spans="1:20" ht="30" hidden="1" customHeight="1" x14ac:dyDescent="0.3">
      <c r="A894" s="262">
        <v>10</v>
      </c>
      <c r="C894" s="244">
        <v>439</v>
      </c>
      <c r="D894" s="161" t="s">
        <v>1066</v>
      </c>
      <c r="E894" s="969" t="s">
        <v>1067</v>
      </c>
      <c r="F894" s="970"/>
      <c r="G894" s="971"/>
      <c r="H894" s="544" t="s">
        <v>286</v>
      </c>
      <c r="I894" s="212">
        <v>4464028</v>
      </c>
      <c r="J894" s="605"/>
      <c r="K894" s="212">
        <v>1</v>
      </c>
      <c r="L894" s="212">
        <f t="shared" si="98"/>
        <v>4464028</v>
      </c>
      <c r="M894" s="602"/>
      <c r="N894" s="675">
        <f>+'Yeşil Defter'!K910</f>
        <v>0</v>
      </c>
      <c r="O894" s="675">
        <f>+'Yeşil Defter'!L910</f>
        <v>0</v>
      </c>
      <c r="P894" s="675">
        <f>+'Yeşil Defter'!M910</f>
        <v>0</v>
      </c>
      <c r="Q894" s="212"/>
      <c r="R894" s="605">
        <f t="shared" si="99"/>
        <v>0</v>
      </c>
      <c r="S894" s="225">
        <f t="shared" si="100"/>
        <v>0</v>
      </c>
      <c r="T894" s="237">
        <f t="shared" si="101"/>
        <v>0</v>
      </c>
    </row>
    <row r="895" spans="1:20" ht="30" hidden="1" customHeight="1" x14ac:dyDescent="0.3">
      <c r="A895" s="262">
        <v>10</v>
      </c>
      <c r="C895" s="244">
        <v>440</v>
      </c>
      <c r="D895" s="161" t="s">
        <v>1068</v>
      </c>
      <c r="E895" s="969" t="s">
        <v>1069</v>
      </c>
      <c r="F895" s="970"/>
      <c r="G895" s="971"/>
      <c r="H895" s="544" t="s">
        <v>286</v>
      </c>
      <c r="I895" s="212">
        <v>4505646</v>
      </c>
      <c r="J895" s="605"/>
      <c r="K895" s="212">
        <v>1</v>
      </c>
      <c r="L895" s="212">
        <f t="shared" si="98"/>
        <v>4505646</v>
      </c>
      <c r="M895" s="602"/>
      <c r="N895" s="675">
        <f>+'Yeşil Defter'!K911</f>
        <v>0</v>
      </c>
      <c r="O895" s="675">
        <f>+'Yeşil Defter'!L911</f>
        <v>0</v>
      </c>
      <c r="P895" s="675">
        <f>+'Yeşil Defter'!M911</f>
        <v>0</v>
      </c>
      <c r="Q895" s="212"/>
      <c r="R895" s="605">
        <f t="shared" si="99"/>
        <v>0</v>
      </c>
      <c r="S895" s="225">
        <f t="shared" si="100"/>
        <v>0</v>
      </c>
      <c r="T895" s="237">
        <f t="shared" si="101"/>
        <v>0</v>
      </c>
    </row>
    <row r="896" spans="1:20" ht="30" hidden="1" customHeight="1" x14ac:dyDescent="0.3">
      <c r="A896" s="262">
        <v>10</v>
      </c>
      <c r="C896" s="244">
        <v>441</v>
      </c>
      <c r="D896" s="161" t="s">
        <v>1070</v>
      </c>
      <c r="E896" s="969" t="s">
        <v>1071</v>
      </c>
      <c r="F896" s="970"/>
      <c r="G896" s="971"/>
      <c r="H896" s="544" t="s">
        <v>286</v>
      </c>
      <c r="I896" s="212">
        <v>2280569</v>
      </c>
      <c r="J896" s="605"/>
      <c r="K896" s="212">
        <v>1</v>
      </c>
      <c r="L896" s="212">
        <f t="shared" si="98"/>
        <v>2280569</v>
      </c>
      <c r="M896" s="602"/>
      <c r="N896" s="675">
        <f>+'Yeşil Defter'!K912</f>
        <v>0</v>
      </c>
      <c r="O896" s="675">
        <f>+'Yeşil Defter'!L912</f>
        <v>0</v>
      </c>
      <c r="P896" s="675">
        <f>+'Yeşil Defter'!M912</f>
        <v>0</v>
      </c>
      <c r="Q896" s="212"/>
      <c r="R896" s="605">
        <f t="shared" si="99"/>
        <v>0</v>
      </c>
      <c r="S896" s="225">
        <f t="shared" si="100"/>
        <v>0</v>
      </c>
      <c r="T896" s="237">
        <f t="shared" si="101"/>
        <v>0</v>
      </c>
    </row>
    <row r="897" spans="1:20" ht="30" hidden="1" customHeight="1" x14ac:dyDescent="0.3">
      <c r="A897" s="262">
        <v>10</v>
      </c>
      <c r="C897" s="244">
        <v>442</v>
      </c>
      <c r="D897" s="161" t="s">
        <v>1072</v>
      </c>
      <c r="E897" s="969" t="s">
        <v>1073</v>
      </c>
      <c r="F897" s="970"/>
      <c r="G897" s="971"/>
      <c r="H897" s="544" t="s">
        <v>286</v>
      </c>
      <c r="I897" s="212">
        <v>20326677</v>
      </c>
      <c r="J897" s="605"/>
      <c r="K897" s="212">
        <v>1</v>
      </c>
      <c r="L897" s="212">
        <f t="shared" si="98"/>
        <v>20326677</v>
      </c>
      <c r="M897" s="602"/>
      <c r="N897" s="675">
        <f>+'Yeşil Defter'!K913</f>
        <v>0</v>
      </c>
      <c r="O897" s="675">
        <f>+'Yeşil Defter'!L913</f>
        <v>0</v>
      </c>
      <c r="P897" s="675">
        <f>+'Yeşil Defter'!M913</f>
        <v>0</v>
      </c>
      <c r="Q897" s="212"/>
      <c r="R897" s="605">
        <f t="shared" si="99"/>
        <v>0</v>
      </c>
      <c r="S897" s="225">
        <f t="shared" si="100"/>
        <v>0</v>
      </c>
      <c r="T897" s="237">
        <f t="shared" si="101"/>
        <v>0</v>
      </c>
    </row>
    <row r="898" spans="1:20" ht="30" hidden="1" customHeight="1" x14ac:dyDescent="0.3">
      <c r="A898" s="262">
        <v>10</v>
      </c>
      <c r="C898" s="244">
        <v>443</v>
      </c>
      <c r="D898" s="161" t="s">
        <v>1074</v>
      </c>
      <c r="E898" s="969" t="s">
        <v>1075</v>
      </c>
      <c r="F898" s="970"/>
      <c r="G898" s="971"/>
      <c r="H898" s="544" t="s">
        <v>286</v>
      </c>
      <c r="I898" s="212">
        <v>46314363</v>
      </c>
      <c r="J898" s="605"/>
      <c r="K898" s="212">
        <v>1</v>
      </c>
      <c r="L898" s="212">
        <f t="shared" si="98"/>
        <v>46314363</v>
      </c>
      <c r="M898" s="602"/>
      <c r="N898" s="675">
        <f>+'Yeşil Defter'!K914</f>
        <v>0</v>
      </c>
      <c r="O898" s="675">
        <f>+'Yeşil Defter'!L914</f>
        <v>0</v>
      </c>
      <c r="P898" s="675">
        <f>+'Yeşil Defter'!M914</f>
        <v>0</v>
      </c>
      <c r="Q898" s="212"/>
      <c r="R898" s="605">
        <f t="shared" si="99"/>
        <v>0</v>
      </c>
      <c r="S898" s="225">
        <f t="shared" si="100"/>
        <v>0</v>
      </c>
      <c r="T898" s="237">
        <f t="shared" si="101"/>
        <v>0</v>
      </c>
    </row>
    <row r="899" spans="1:20" ht="30" hidden="1" customHeight="1" x14ac:dyDescent="0.3">
      <c r="A899" s="262">
        <v>10</v>
      </c>
      <c r="C899" s="244">
        <v>444</v>
      </c>
      <c r="D899" s="161" t="s">
        <v>1076</v>
      </c>
      <c r="E899" s="969" t="s">
        <v>1077</v>
      </c>
      <c r="F899" s="970"/>
      <c r="G899" s="971"/>
      <c r="H899" s="544" t="s">
        <v>286</v>
      </c>
      <c r="I899" s="212">
        <v>46314363</v>
      </c>
      <c r="J899" s="605"/>
      <c r="K899" s="212">
        <v>1</v>
      </c>
      <c r="L899" s="212">
        <f t="shared" si="98"/>
        <v>46314363</v>
      </c>
      <c r="M899" s="602"/>
      <c r="N899" s="675">
        <f>+'Yeşil Defter'!K915</f>
        <v>0</v>
      </c>
      <c r="O899" s="675">
        <f>+'Yeşil Defter'!L915</f>
        <v>0</v>
      </c>
      <c r="P899" s="675">
        <f>+'Yeşil Defter'!M915</f>
        <v>0</v>
      </c>
      <c r="Q899" s="212"/>
      <c r="R899" s="605">
        <f t="shared" si="99"/>
        <v>0</v>
      </c>
      <c r="S899" s="225">
        <f t="shared" si="100"/>
        <v>0</v>
      </c>
      <c r="T899" s="237">
        <f t="shared" si="101"/>
        <v>0</v>
      </c>
    </row>
    <row r="900" spans="1:20" ht="30" hidden="1" customHeight="1" x14ac:dyDescent="0.3">
      <c r="A900" s="262">
        <v>10</v>
      </c>
      <c r="C900" s="244">
        <v>445</v>
      </c>
      <c r="D900" s="161" t="s">
        <v>1078</v>
      </c>
      <c r="E900" s="969" t="s">
        <v>1079</v>
      </c>
      <c r="F900" s="970"/>
      <c r="G900" s="971"/>
      <c r="H900" s="544" t="s">
        <v>286</v>
      </c>
      <c r="I900" s="212">
        <v>46314363</v>
      </c>
      <c r="J900" s="605"/>
      <c r="K900" s="212">
        <v>1</v>
      </c>
      <c r="L900" s="212">
        <f t="shared" si="98"/>
        <v>46314363</v>
      </c>
      <c r="M900" s="602"/>
      <c r="N900" s="675">
        <f>+'Yeşil Defter'!K916</f>
        <v>0</v>
      </c>
      <c r="O900" s="675">
        <f>+'Yeşil Defter'!L916</f>
        <v>0</v>
      </c>
      <c r="P900" s="675">
        <f>+'Yeşil Defter'!M916</f>
        <v>0</v>
      </c>
      <c r="Q900" s="212"/>
      <c r="R900" s="605">
        <f t="shared" si="99"/>
        <v>0</v>
      </c>
      <c r="S900" s="225">
        <f t="shared" si="100"/>
        <v>0</v>
      </c>
      <c r="T900" s="237">
        <f t="shared" si="101"/>
        <v>0</v>
      </c>
    </row>
    <row r="901" spans="1:20" ht="30" hidden="1" customHeight="1" x14ac:dyDescent="0.3">
      <c r="A901" s="262">
        <v>10</v>
      </c>
      <c r="C901" s="244">
        <v>446</v>
      </c>
      <c r="D901" s="161" t="s">
        <v>1080</v>
      </c>
      <c r="E901" s="969" t="s">
        <v>1081</v>
      </c>
      <c r="F901" s="970"/>
      <c r="G901" s="971"/>
      <c r="H901" s="544" t="s">
        <v>286</v>
      </c>
      <c r="I901" s="212">
        <v>46314363</v>
      </c>
      <c r="J901" s="605"/>
      <c r="K901" s="212">
        <v>1</v>
      </c>
      <c r="L901" s="212">
        <f t="shared" si="98"/>
        <v>46314363</v>
      </c>
      <c r="M901" s="602"/>
      <c r="N901" s="675">
        <f>+'Yeşil Defter'!K917</f>
        <v>0</v>
      </c>
      <c r="O901" s="675">
        <f>+'Yeşil Defter'!L917</f>
        <v>0</v>
      </c>
      <c r="P901" s="675">
        <f>+'Yeşil Defter'!M917</f>
        <v>0</v>
      </c>
      <c r="Q901" s="212"/>
      <c r="R901" s="605">
        <f t="shared" si="99"/>
        <v>0</v>
      </c>
      <c r="S901" s="225">
        <f t="shared" si="88"/>
        <v>0</v>
      </c>
      <c r="T901" s="237">
        <f t="shared" si="101"/>
        <v>0</v>
      </c>
    </row>
    <row r="902" spans="1:20" ht="30" hidden="1" customHeight="1" x14ac:dyDescent="0.3">
      <c r="A902" s="262">
        <v>10</v>
      </c>
      <c r="C902" s="244">
        <v>447</v>
      </c>
      <c r="D902" s="161" t="s">
        <v>1082</v>
      </c>
      <c r="E902" s="969" t="s">
        <v>1083</v>
      </c>
      <c r="F902" s="970"/>
      <c r="G902" s="971"/>
      <c r="H902" s="544" t="s">
        <v>286</v>
      </c>
      <c r="I902" s="212">
        <v>46314363</v>
      </c>
      <c r="J902" s="605"/>
      <c r="K902" s="212">
        <v>1</v>
      </c>
      <c r="L902" s="212">
        <f t="shared" si="98"/>
        <v>46314363</v>
      </c>
      <c r="M902" s="602"/>
      <c r="N902" s="675">
        <f>+'Yeşil Defter'!K918</f>
        <v>0</v>
      </c>
      <c r="O902" s="675">
        <f>+'Yeşil Defter'!L918</f>
        <v>0</v>
      </c>
      <c r="P902" s="675">
        <f>+'Yeşil Defter'!M918</f>
        <v>0</v>
      </c>
      <c r="Q902" s="212"/>
      <c r="R902" s="605">
        <f t="shared" si="99"/>
        <v>0</v>
      </c>
      <c r="S902" s="225">
        <f t="shared" si="88"/>
        <v>0</v>
      </c>
      <c r="T902" s="237">
        <f t="shared" si="101"/>
        <v>0</v>
      </c>
    </row>
    <row r="903" spans="1:20" ht="30" hidden="1" customHeight="1" x14ac:dyDescent="0.3">
      <c r="A903" s="262">
        <v>10</v>
      </c>
      <c r="C903" s="244">
        <v>448</v>
      </c>
      <c r="D903" s="161" t="s">
        <v>1084</v>
      </c>
      <c r="E903" s="969" t="s">
        <v>1085</v>
      </c>
      <c r="F903" s="970"/>
      <c r="G903" s="971"/>
      <c r="H903" s="544" t="s">
        <v>286</v>
      </c>
      <c r="I903" s="212">
        <v>46314363</v>
      </c>
      <c r="J903" s="605"/>
      <c r="K903" s="212">
        <v>1</v>
      </c>
      <c r="L903" s="212">
        <f t="shared" si="98"/>
        <v>46314363</v>
      </c>
      <c r="M903" s="602"/>
      <c r="N903" s="675">
        <f>+'Yeşil Defter'!K919</f>
        <v>0</v>
      </c>
      <c r="O903" s="675">
        <f>+'Yeşil Defter'!L919</f>
        <v>0</v>
      </c>
      <c r="P903" s="675">
        <f>+'Yeşil Defter'!M919</f>
        <v>0</v>
      </c>
      <c r="Q903" s="212"/>
      <c r="R903" s="605">
        <f t="shared" si="99"/>
        <v>0</v>
      </c>
      <c r="S903" s="225">
        <f t="shared" si="88"/>
        <v>0</v>
      </c>
      <c r="T903" s="237">
        <f t="shared" si="101"/>
        <v>0</v>
      </c>
    </row>
    <row r="904" spans="1:20" ht="30" hidden="1" customHeight="1" x14ac:dyDescent="0.3">
      <c r="A904" s="262">
        <v>10</v>
      </c>
      <c r="C904" s="244">
        <v>449</v>
      </c>
      <c r="D904" s="161" t="s">
        <v>1086</v>
      </c>
      <c r="E904" s="969" t="s">
        <v>1087</v>
      </c>
      <c r="F904" s="970"/>
      <c r="G904" s="971"/>
      <c r="H904" s="544" t="s">
        <v>286</v>
      </c>
      <c r="I904" s="212">
        <v>46314363</v>
      </c>
      <c r="J904" s="605"/>
      <c r="K904" s="212">
        <v>1</v>
      </c>
      <c r="L904" s="212">
        <f t="shared" si="98"/>
        <v>46314363</v>
      </c>
      <c r="M904" s="602"/>
      <c r="N904" s="675">
        <f>+'Yeşil Defter'!K920</f>
        <v>0</v>
      </c>
      <c r="O904" s="675">
        <f>+'Yeşil Defter'!L920</f>
        <v>0</v>
      </c>
      <c r="P904" s="675">
        <f>+'Yeşil Defter'!M920</f>
        <v>0</v>
      </c>
      <c r="Q904" s="212"/>
      <c r="R904" s="605">
        <f t="shared" si="99"/>
        <v>0</v>
      </c>
      <c r="S904" s="225">
        <f t="shared" si="88"/>
        <v>0</v>
      </c>
      <c r="T904" s="237">
        <f t="shared" si="101"/>
        <v>0</v>
      </c>
    </row>
    <row r="905" spans="1:20" ht="30" hidden="1" customHeight="1" x14ac:dyDescent="0.3">
      <c r="A905" s="262">
        <v>10</v>
      </c>
      <c r="C905" s="244">
        <v>450</v>
      </c>
      <c r="D905" s="161" t="s">
        <v>1088</v>
      </c>
      <c r="E905" s="969" t="s">
        <v>1089</v>
      </c>
      <c r="F905" s="970"/>
      <c r="G905" s="971"/>
      <c r="H905" s="544" t="s">
        <v>286</v>
      </c>
      <c r="I905" s="212">
        <v>19421929</v>
      </c>
      <c r="J905" s="605"/>
      <c r="K905" s="212">
        <v>1</v>
      </c>
      <c r="L905" s="212">
        <f t="shared" si="98"/>
        <v>19421929</v>
      </c>
      <c r="M905" s="602"/>
      <c r="N905" s="675">
        <f>+'Yeşil Defter'!K921</f>
        <v>0</v>
      </c>
      <c r="O905" s="675">
        <f>+'Yeşil Defter'!L921</f>
        <v>0</v>
      </c>
      <c r="P905" s="675">
        <f>+'Yeşil Defter'!M921</f>
        <v>0</v>
      </c>
      <c r="Q905" s="212"/>
      <c r="R905" s="605">
        <f t="shared" si="99"/>
        <v>0</v>
      </c>
      <c r="S905" s="225">
        <f t="shared" si="88"/>
        <v>0</v>
      </c>
      <c r="T905" s="237">
        <f t="shared" si="101"/>
        <v>0</v>
      </c>
    </row>
    <row r="906" spans="1:20" ht="40.049999999999997" hidden="1" customHeight="1" x14ac:dyDescent="0.3">
      <c r="A906" s="262" t="s">
        <v>1242</v>
      </c>
      <c r="C906" s="258"/>
      <c r="D906" s="258"/>
      <c r="E906" s="972" t="s">
        <v>33</v>
      </c>
      <c r="F906" s="972"/>
      <c r="G906" s="972"/>
      <c r="H906" s="973" t="s">
        <v>29</v>
      </c>
      <c r="I906" s="973"/>
      <c r="J906" s="973"/>
      <c r="K906" s="973"/>
      <c r="L906" s="973"/>
      <c r="M906" s="549"/>
      <c r="N906" s="973" t="s">
        <v>22</v>
      </c>
      <c r="O906" s="973"/>
      <c r="P906" s="973"/>
      <c r="Q906" s="973"/>
      <c r="R906" s="973"/>
      <c r="S906" s="973"/>
      <c r="T906" s="973"/>
    </row>
    <row r="907" spans="1:20" ht="19.95" hidden="1" customHeight="1" x14ac:dyDescent="0.3">
      <c r="A907" s="262" t="s">
        <v>1242</v>
      </c>
      <c r="D907" s="28"/>
      <c r="E907" s="974" t="s">
        <v>1214</v>
      </c>
      <c r="F907" s="974"/>
      <c r="G907" s="974"/>
      <c r="H907" s="975" t="s">
        <v>38</v>
      </c>
      <c r="I907" s="975"/>
      <c r="J907" s="975"/>
      <c r="K907" s="975"/>
      <c r="L907" s="975"/>
      <c r="M907" s="562"/>
      <c r="N907" s="975" t="s">
        <v>1437</v>
      </c>
      <c r="O907" s="975"/>
      <c r="P907" s="975"/>
      <c r="Q907" s="975"/>
      <c r="R907" s="975"/>
      <c r="S907" s="975"/>
      <c r="T907" s="975"/>
    </row>
    <row r="908" spans="1:20" ht="19.95" hidden="1" customHeight="1" x14ac:dyDescent="0.3">
      <c r="A908" s="262" t="s">
        <v>1242</v>
      </c>
      <c r="C908" s="228"/>
      <c r="D908" s="228"/>
      <c r="E908" s="561"/>
      <c r="F908" s="561"/>
      <c r="G908" s="561"/>
      <c r="H908" s="228"/>
      <c r="I908" s="260"/>
      <c r="J908" s="260"/>
      <c r="K908" s="260"/>
      <c r="L908" s="260"/>
      <c r="M908" s="260"/>
      <c r="N908" s="975"/>
      <c r="O908" s="975"/>
      <c r="P908" s="975"/>
      <c r="Q908" s="975"/>
      <c r="R908" s="975"/>
      <c r="S908" s="975"/>
      <c r="T908" s="975"/>
    </row>
    <row r="909" spans="1:20" ht="19.95" hidden="1" customHeight="1" x14ac:dyDescent="0.3">
      <c r="A909" s="262" t="s">
        <v>1242</v>
      </c>
      <c r="C909" s="228"/>
      <c r="D909" s="228"/>
      <c r="E909" s="561"/>
      <c r="F909" s="561"/>
      <c r="G909" s="561"/>
      <c r="H909" s="228"/>
      <c r="I909" s="260"/>
      <c r="J909" s="260"/>
      <c r="K909" s="260"/>
      <c r="L909" s="260"/>
      <c r="M909" s="260"/>
      <c r="N909" s="975"/>
      <c r="O909" s="975"/>
      <c r="P909" s="975"/>
      <c r="Q909" s="975"/>
      <c r="R909" s="975"/>
      <c r="S909" s="975"/>
      <c r="T909" s="975"/>
    </row>
    <row r="910" spans="1:20" ht="19.95" hidden="1" customHeight="1" x14ac:dyDescent="0.3">
      <c r="A910" s="262" t="s">
        <v>1242</v>
      </c>
      <c r="C910" s="228"/>
      <c r="D910" s="228"/>
      <c r="E910" s="561"/>
      <c r="F910" s="561"/>
      <c r="G910" s="561"/>
      <c r="H910" s="261"/>
      <c r="I910" s="261"/>
      <c r="J910" s="261"/>
      <c r="K910" s="261"/>
      <c r="L910" s="261"/>
      <c r="M910" s="261"/>
      <c r="N910" s="260"/>
      <c r="O910" s="260"/>
      <c r="P910" s="260"/>
      <c r="Q910" s="260"/>
      <c r="R910" s="260"/>
      <c r="S910" s="260"/>
      <c r="T910" s="260"/>
    </row>
    <row r="911" spans="1:20" ht="19.95" hidden="1" customHeight="1" x14ac:dyDescent="0.3">
      <c r="A911" s="262" t="s">
        <v>1242</v>
      </c>
      <c r="C911" s="228"/>
      <c r="D911" s="228"/>
      <c r="E911" s="561"/>
      <c r="F911" s="561"/>
      <c r="G911" s="561"/>
      <c r="H911" s="975" t="s">
        <v>32</v>
      </c>
      <c r="I911" s="975"/>
      <c r="J911" s="562"/>
      <c r="K911" s="975" t="s">
        <v>1407</v>
      </c>
      <c r="L911" s="975"/>
      <c r="M911" s="562"/>
      <c r="N911" s="968" t="s">
        <v>28</v>
      </c>
      <c r="O911" s="968"/>
      <c r="P911" s="968"/>
      <c r="Q911" s="968"/>
      <c r="R911" s="968"/>
      <c r="S911" s="968"/>
      <c r="T911" s="968"/>
    </row>
    <row r="912" spans="1:20" ht="19.95" hidden="1" customHeight="1" x14ac:dyDescent="0.3">
      <c r="A912" s="262" t="s">
        <v>1242</v>
      </c>
      <c r="C912" s="228"/>
      <c r="D912" s="228"/>
      <c r="E912" s="561"/>
      <c r="F912" s="561"/>
      <c r="G912" s="561"/>
      <c r="H912" s="976" t="s">
        <v>94</v>
      </c>
      <c r="I912" s="976"/>
      <c r="J912" s="623"/>
      <c r="K912" s="976" t="s">
        <v>94</v>
      </c>
      <c r="L912" s="976"/>
      <c r="M912" s="623"/>
      <c r="N912" s="968" t="s">
        <v>1486</v>
      </c>
      <c r="O912" s="968"/>
      <c r="P912" s="968"/>
      <c r="Q912" s="968"/>
      <c r="R912" s="968"/>
      <c r="S912" s="968"/>
      <c r="T912" s="968"/>
    </row>
    <row r="913" spans="1:20" ht="19.95" hidden="1" customHeight="1" x14ac:dyDescent="0.3">
      <c r="A913" s="262" t="s">
        <v>1242</v>
      </c>
      <c r="C913" s="228"/>
      <c r="D913" s="228"/>
      <c r="E913" s="561"/>
      <c r="F913" s="561"/>
      <c r="G913" s="561"/>
      <c r="H913" s="976"/>
      <c r="I913" s="976"/>
      <c r="J913" s="623"/>
      <c r="K913" s="976"/>
      <c r="L913" s="976"/>
      <c r="M913" s="623"/>
      <c r="N913" s="968"/>
      <c r="O913" s="968"/>
      <c r="P913" s="968"/>
      <c r="Q913" s="968"/>
      <c r="R913" s="968"/>
      <c r="S913" s="968"/>
      <c r="T913" s="968"/>
    </row>
    <row r="914" spans="1:20" ht="19.95" hidden="1" customHeight="1" x14ac:dyDescent="0.3">
      <c r="A914" s="262" t="s">
        <v>1242</v>
      </c>
      <c r="C914" s="228"/>
      <c r="D914" s="228"/>
      <c r="E914" s="561"/>
      <c r="F914" s="561"/>
      <c r="G914" s="561"/>
      <c r="H914" s="261"/>
      <c r="I914" s="261"/>
      <c r="J914" s="261"/>
      <c r="K914" s="261"/>
      <c r="L914" s="261"/>
      <c r="M914" s="261"/>
      <c r="N914" s="260"/>
      <c r="O914" s="260"/>
      <c r="P914" s="260"/>
      <c r="Q914" s="260"/>
      <c r="R914" s="260"/>
      <c r="S914" s="260"/>
      <c r="T914" s="260"/>
    </row>
    <row r="915" spans="1:20" ht="19.95" hidden="1" customHeight="1" x14ac:dyDescent="0.3">
      <c r="A915" s="262" t="s">
        <v>1242</v>
      </c>
      <c r="C915" s="228"/>
      <c r="D915" s="228"/>
      <c r="E915" s="975" t="s">
        <v>1215</v>
      </c>
      <c r="F915" s="975"/>
      <c r="G915" s="975"/>
      <c r="H915" s="975" t="s">
        <v>1348</v>
      </c>
      <c r="I915" s="975"/>
      <c r="J915" s="975"/>
      <c r="K915" s="975"/>
      <c r="L915" s="975"/>
      <c r="M915" s="562"/>
      <c r="N915" s="977" t="s">
        <v>1219</v>
      </c>
      <c r="O915" s="968"/>
      <c r="P915" s="968"/>
      <c r="Q915" s="968"/>
      <c r="R915" s="968"/>
      <c r="S915" s="968"/>
      <c r="T915" s="968"/>
    </row>
    <row r="916" spans="1:20" ht="19.95" hidden="1" customHeight="1" x14ac:dyDescent="0.3">
      <c r="A916" s="262" t="s">
        <v>1290</v>
      </c>
      <c r="C916" s="228"/>
      <c r="D916" s="228"/>
      <c r="E916" s="975"/>
      <c r="F916" s="975"/>
      <c r="G916" s="975"/>
      <c r="H916" s="975"/>
      <c r="I916" s="975"/>
      <c r="J916" s="975"/>
      <c r="K916" s="975"/>
      <c r="L916" s="975"/>
      <c r="M916" s="562"/>
      <c r="N916" s="968"/>
      <c r="O916" s="968"/>
      <c r="P916" s="968"/>
      <c r="Q916" s="968"/>
      <c r="R916" s="968"/>
      <c r="S916" s="968"/>
      <c r="T916" s="968"/>
    </row>
    <row r="917" spans="1:20" ht="30" hidden="1" customHeight="1" x14ac:dyDescent="0.3">
      <c r="A917" s="262">
        <v>10</v>
      </c>
      <c r="C917" s="255">
        <v>451</v>
      </c>
      <c r="D917" s="256" t="s">
        <v>1090</v>
      </c>
      <c r="E917" s="978" t="s">
        <v>1091</v>
      </c>
      <c r="F917" s="979"/>
      <c r="G917" s="980"/>
      <c r="H917" s="546" t="s">
        <v>286</v>
      </c>
      <c r="I917" s="257">
        <v>4578026</v>
      </c>
      <c r="J917" s="606"/>
      <c r="K917" s="257">
        <v>1</v>
      </c>
      <c r="L917" s="257">
        <f t="shared" ref="L917:L939" si="102">+ROUND(I917*K917,2)</f>
        <v>4578026</v>
      </c>
      <c r="M917" s="603"/>
      <c r="N917" s="675">
        <f>+'Yeşil Defter'!K922</f>
        <v>0</v>
      </c>
      <c r="O917" s="675">
        <f>+'Yeşil Defter'!L922</f>
        <v>0</v>
      </c>
      <c r="P917" s="675">
        <f>+'Yeşil Defter'!M922</f>
        <v>0</v>
      </c>
      <c r="Q917" s="257"/>
      <c r="R917" s="606">
        <f t="shared" ref="R917:R939" si="103">+ROUND(K917*N917,2)</f>
        <v>0</v>
      </c>
      <c r="S917" s="247">
        <f t="shared" ref="S917:S957" si="104">+T917-R917</f>
        <v>0</v>
      </c>
      <c r="T917" s="248">
        <f t="shared" ref="T917:T939" si="105">+ROUND(K917*P917,2)</f>
        <v>0</v>
      </c>
    </row>
    <row r="918" spans="1:20" ht="30" hidden="1" customHeight="1" x14ac:dyDescent="0.3">
      <c r="A918" s="262">
        <v>10</v>
      </c>
      <c r="C918" s="244">
        <v>452</v>
      </c>
      <c r="D918" s="161" t="s">
        <v>1092</v>
      </c>
      <c r="E918" s="969" t="s">
        <v>1093</v>
      </c>
      <c r="F918" s="970"/>
      <c r="G918" s="971"/>
      <c r="H918" s="544" t="s">
        <v>286</v>
      </c>
      <c r="I918" s="212">
        <v>2080921</v>
      </c>
      <c r="J918" s="605"/>
      <c r="K918" s="212">
        <v>1</v>
      </c>
      <c r="L918" s="212">
        <f t="shared" si="102"/>
        <v>2080921</v>
      </c>
      <c r="M918" s="602"/>
      <c r="N918" s="675">
        <f>+'Yeşil Defter'!K923</f>
        <v>0</v>
      </c>
      <c r="O918" s="675">
        <f>+'Yeşil Defter'!L923</f>
        <v>0</v>
      </c>
      <c r="P918" s="675">
        <f>+'Yeşil Defter'!M923</f>
        <v>0</v>
      </c>
      <c r="Q918" s="212"/>
      <c r="R918" s="605">
        <f t="shared" si="103"/>
        <v>0</v>
      </c>
      <c r="S918" s="225">
        <f t="shared" si="104"/>
        <v>0</v>
      </c>
      <c r="T918" s="237">
        <f t="shared" si="105"/>
        <v>0</v>
      </c>
    </row>
    <row r="919" spans="1:20" ht="30" hidden="1" customHeight="1" x14ac:dyDescent="0.3">
      <c r="A919" s="262">
        <v>10</v>
      </c>
      <c r="C919" s="244">
        <v>453</v>
      </c>
      <c r="D919" s="161" t="s">
        <v>1094</v>
      </c>
      <c r="E919" s="969" t="s">
        <v>1095</v>
      </c>
      <c r="F919" s="970"/>
      <c r="G919" s="971"/>
      <c r="H919" s="544" t="s">
        <v>286</v>
      </c>
      <c r="I919" s="212">
        <v>46314363</v>
      </c>
      <c r="J919" s="605"/>
      <c r="K919" s="212">
        <v>1</v>
      </c>
      <c r="L919" s="212">
        <f t="shared" si="102"/>
        <v>46314363</v>
      </c>
      <c r="M919" s="602"/>
      <c r="N919" s="675">
        <f>+'Yeşil Defter'!K924</f>
        <v>0</v>
      </c>
      <c r="O919" s="675">
        <f>+'Yeşil Defter'!L924</f>
        <v>0</v>
      </c>
      <c r="P919" s="675">
        <f>+'Yeşil Defter'!M924</f>
        <v>0</v>
      </c>
      <c r="Q919" s="212"/>
      <c r="R919" s="605">
        <f t="shared" si="103"/>
        <v>0</v>
      </c>
      <c r="S919" s="225">
        <f t="shared" si="104"/>
        <v>0</v>
      </c>
      <c r="T919" s="237">
        <f t="shared" si="105"/>
        <v>0</v>
      </c>
    </row>
    <row r="920" spans="1:20" ht="30" hidden="1" customHeight="1" x14ac:dyDescent="0.3">
      <c r="A920" s="262">
        <v>10</v>
      </c>
      <c r="C920" s="244">
        <v>454</v>
      </c>
      <c r="D920" s="161" t="s">
        <v>1096</v>
      </c>
      <c r="E920" s="969" t="s">
        <v>1097</v>
      </c>
      <c r="F920" s="970"/>
      <c r="G920" s="971"/>
      <c r="H920" s="544" t="s">
        <v>286</v>
      </c>
      <c r="I920" s="212">
        <v>19421929</v>
      </c>
      <c r="J920" s="605"/>
      <c r="K920" s="212">
        <v>1</v>
      </c>
      <c r="L920" s="212">
        <f t="shared" si="102"/>
        <v>19421929</v>
      </c>
      <c r="M920" s="602"/>
      <c r="N920" s="675">
        <f>+'Yeşil Defter'!K925</f>
        <v>0</v>
      </c>
      <c r="O920" s="675">
        <f>+'Yeşil Defter'!L925</f>
        <v>0</v>
      </c>
      <c r="P920" s="675">
        <f>+'Yeşil Defter'!M925</f>
        <v>0</v>
      </c>
      <c r="Q920" s="212"/>
      <c r="R920" s="605">
        <f t="shared" si="103"/>
        <v>0</v>
      </c>
      <c r="S920" s="225">
        <f t="shared" si="104"/>
        <v>0</v>
      </c>
      <c r="T920" s="237">
        <f t="shared" si="105"/>
        <v>0</v>
      </c>
    </row>
    <row r="921" spans="1:20" ht="30" hidden="1" customHeight="1" x14ac:dyDescent="0.3">
      <c r="A921" s="262">
        <v>10</v>
      </c>
      <c r="C921" s="244">
        <v>455</v>
      </c>
      <c r="D921" s="161" t="s">
        <v>1098</v>
      </c>
      <c r="E921" s="969" t="s">
        <v>1099</v>
      </c>
      <c r="F921" s="970"/>
      <c r="G921" s="971"/>
      <c r="H921" s="544" t="s">
        <v>286</v>
      </c>
      <c r="I921" s="212">
        <v>904748</v>
      </c>
      <c r="J921" s="605"/>
      <c r="K921" s="212">
        <v>1</v>
      </c>
      <c r="L921" s="212">
        <f t="shared" si="102"/>
        <v>904748</v>
      </c>
      <c r="M921" s="602"/>
      <c r="N921" s="675">
        <f>+'Yeşil Defter'!K926</f>
        <v>0</v>
      </c>
      <c r="O921" s="675">
        <f>+'Yeşil Defter'!L926</f>
        <v>0</v>
      </c>
      <c r="P921" s="675">
        <f>+'Yeşil Defter'!M926</f>
        <v>0</v>
      </c>
      <c r="Q921" s="212"/>
      <c r="R921" s="605">
        <f t="shared" si="103"/>
        <v>0</v>
      </c>
      <c r="S921" s="225">
        <f t="shared" si="104"/>
        <v>0</v>
      </c>
      <c r="T921" s="237">
        <f t="shared" si="105"/>
        <v>0</v>
      </c>
    </row>
    <row r="922" spans="1:20" ht="30" hidden="1" customHeight="1" x14ac:dyDescent="0.3">
      <c r="A922" s="262">
        <v>10</v>
      </c>
      <c r="C922" s="244">
        <v>456</v>
      </c>
      <c r="D922" s="161" t="s">
        <v>1100</v>
      </c>
      <c r="E922" s="969" t="s">
        <v>1101</v>
      </c>
      <c r="F922" s="970"/>
      <c r="G922" s="971"/>
      <c r="H922" s="544" t="s">
        <v>202</v>
      </c>
      <c r="I922" s="212">
        <v>5127</v>
      </c>
      <c r="J922" s="605"/>
      <c r="K922" s="212">
        <v>5390</v>
      </c>
      <c r="L922" s="212">
        <f t="shared" si="102"/>
        <v>27634530</v>
      </c>
      <c r="M922" s="602"/>
      <c r="N922" s="675">
        <f>+'Yeşil Defter'!K927</f>
        <v>0</v>
      </c>
      <c r="O922" s="675">
        <f>+'Yeşil Defter'!L927</f>
        <v>0</v>
      </c>
      <c r="P922" s="675">
        <f>+'Yeşil Defter'!M927</f>
        <v>0</v>
      </c>
      <c r="Q922" s="212"/>
      <c r="R922" s="605">
        <f t="shared" si="103"/>
        <v>0</v>
      </c>
      <c r="S922" s="225">
        <f t="shared" si="104"/>
        <v>0</v>
      </c>
      <c r="T922" s="237">
        <f t="shared" si="105"/>
        <v>0</v>
      </c>
    </row>
    <row r="923" spans="1:20" ht="30" hidden="1" customHeight="1" x14ac:dyDescent="0.3">
      <c r="A923" s="262">
        <v>10</v>
      </c>
      <c r="C923" s="244">
        <v>457</v>
      </c>
      <c r="D923" s="161" t="s">
        <v>1102</v>
      </c>
      <c r="E923" s="969" t="s">
        <v>1103</v>
      </c>
      <c r="F923" s="970"/>
      <c r="G923" s="971"/>
      <c r="H923" s="544" t="s">
        <v>202</v>
      </c>
      <c r="I923" s="212">
        <v>5127</v>
      </c>
      <c r="J923" s="605"/>
      <c r="K923" s="212">
        <v>4660</v>
      </c>
      <c r="L923" s="212">
        <f t="shared" si="102"/>
        <v>23891820</v>
      </c>
      <c r="M923" s="602"/>
      <c r="N923" s="675">
        <f>+'Yeşil Defter'!K928</f>
        <v>0</v>
      </c>
      <c r="O923" s="675">
        <f>+'Yeşil Defter'!L928</f>
        <v>0</v>
      </c>
      <c r="P923" s="675">
        <f>+'Yeşil Defter'!M928</f>
        <v>0</v>
      </c>
      <c r="Q923" s="212"/>
      <c r="R923" s="605">
        <f t="shared" si="103"/>
        <v>0</v>
      </c>
      <c r="S923" s="225">
        <f t="shared" si="104"/>
        <v>0</v>
      </c>
      <c r="T923" s="237">
        <f t="shared" si="105"/>
        <v>0</v>
      </c>
    </row>
    <row r="924" spans="1:20" ht="30" hidden="1" customHeight="1" x14ac:dyDescent="0.3">
      <c r="A924" s="262">
        <v>10</v>
      </c>
      <c r="C924" s="244">
        <v>458</v>
      </c>
      <c r="D924" s="161" t="s">
        <v>1104</v>
      </c>
      <c r="E924" s="969" t="s">
        <v>1105</v>
      </c>
      <c r="F924" s="970"/>
      <c r="G924" s="971"/>
      <c r="H924" s="544" t="s">
        <v>202</v>
      </c>
      <c r="I924" s="212">
        <v>5127</v>
      </c>
      <c r="J924" s="605"/>
      <c r="K924" s="212">
        <v>3210</v>
      </c>
      <c r="L924" s="212">
        <f t="shared" si="102"/>
        <v>16457670</v>
      </c>
      <c r="M924" s="602"/>
      <c r="N924" s="675">
        <f>+'Yeşil Defter'!K929</f>
        <v>0</v>
      </c>
      <c r="O924" s="675">
        <f>+'Yeşil Defter'!L929</f>
        <v>0</v>
      </c>
      <c r="P924" s="675">
        <f>+'Yeşil Defter'!M929</f>
        <v>0</v>
      </c>
      <c r="Q924" s="212"/>
      <c r="R924" s="605">
        <f t="shared" si="103"/>
        <v>0</v>
      </c>
      <c r="S924" s="225">
        <f t="shared" si="104"/>
        <v>0</v>
      </c>
      <c r="T924" s="237">
        <f t="shared" si="105"/>
        <v>0</v>
      </c>
    </row>
    <row r="925" spans="1:20" ht="30" hidden="1" customHeight="1" x14ac:dyDescent="0.3">
      <c r="A925" s="262">
        <v>10</v>
      </c>
      <c r="C925" s="244">
        <v>459</v>
      </c>
      <c r="D925" s="161" t="s">
        <v>1106</v>
      </c>
      <c r="E925" s="969" t="s">
        <v>1107</v>
      </c>
      <c r="F925" s="970"/>
      <c r="G925" s="971"/>
      <c r="H925" s="544" t="s">
        <v>202</v>
      </c>
      <c r="I925" s="212">
        <v>5127</v>
      </c>
      <c r="J925" s="605"/>
      <c r="K925" s="212">
        <v>2630</v>
      </c>
      <c r="L925" s="212">
        <f t="shared" si="102"/>
        <v>13484010</v>
      </c>
      <c r="M925" s="602"/>
      <c r="N925" s="675">
        <f>+'Yeşil Defter'!K930</f>
        <v>0</v>
      </c>
      <c r="O925" s="675">
        <f>+'Yeşil Defter'!L930</f>
        <v>0</v>
      </c>
      <c r="P925" s="675">
        <f>+'Yeşil Defter'!M930</f>
        <v>0</v>
      </c>
      <c r="Q925" s="212"/>
      <c r="R925" s="605">
        <f t="shared" si="103"/>
        <v>0</v>
      </c>
      <c r="S925" s="225">
        <f t="shared" si="104"/>
        <v>0</v>
      </c>
      <c r="T925" s="237">
        <f t="shared" si="105"/>
        <v>0</v>
      </c>
    </row>
    <row r="926" spans="1:20" ht="30" hidden="1" customHeight="1" x14ac:dyDescent="0.3">
      <c r="A926" s="262">
        <v>10</v>
      </c>
      <c r="C926" s="244">
        <v>460</v>
      </c>
      <c r="D926" s="161" t="s">
        <v>1108</v>
      </c>
      <c r="E926" s="969" t="s">
        <v>1109</v>
      </c>
      <c r="F926" s="970"/>
      <c r="G926" s="971"/>
      <c r="H926" s="544" t="s">
        <v>202</v>
      </c>
      <c r="I926" s="212">
        <v>5127</v>
      </c>
      <c r="J926" s="605"/>
      <c r="K926" s="212">
        <v>1730</v>
      </c>
      <c r="L926" s="212">
        <f t="shared" si="102"/>
        <v>8869710</v>
      </c>
      <c r="M926" s="602"/>
      <c r="N926" s="675">
        <f>+'Yeşil Defter'!K931</f>
        <v>0</v>
      </c>
      <c r="O926" s="675">
        <f>+'Yeşil Defter'!L931</f>
        <v>0</v>
      </c>
      <c r="P926" s="675">
        <f>+'Yeşil Defter'!M931</f>
        <v>0</v>
      </c>
      <c r="Q926" s="212"/>
      <c r="R926" s="605">
        <f t="shared" si="103"/>
        <v>0</v>
      </c>
      <c r="S926" s="225">
        <f t="shared" si="104"/>
        <v>0</v>
      </c>
      <c r="T926" s="237">
        <f t="shared" si="105"/>
        <v>0</v>
      </c>
    </row>
    <row r="927" spans="1:20" ht="30" hidden="1" customHeight="1" x14ac:dyDescent="0.3">
      <c r="A927" s="262">
        <v>10</v>
      </c>
      <c r="C927" s="244">
        <v>461</v>
      </c>
      <c r="D927" s="161" t="s">
        <v>1110</v>
      </c>
      <c r="E927" s="969" t="s">
        <v>1111</v>
      </c>
      <c r="F927" s="970"/>
      <c r="G927" s="971"/>
      <c r="H927" s="544" t="s">
        <v>202</v>
      </c>
      <c r="I927" s="212">
        <v>5127</v>
      </c>
      <c r="J927" s="605"/>
      <c r="K927" s="212">
        <v>3180</v>
      </c>
      <c r="L927" s="212">
        <f t="shared" si="102"/>
        <v>16303860</v>
      </c>
      <c r="M927" s="602"/>
      <c r="N927" s="675">
        <f>+'Yeşil Defter'!K932</f>
        <v>0</v>
      </c>
      <c r="O927" s="675">
        <f>+'Yeşil Defter'!L932</f>
        <v>0</v>
      </c>
      <c r="P927" s="675">
        <f>+'Yeşil Defter'!M932</f>
        <v>0</v>
      </c>
      <c r="Q927" s="212"/>
      <c r="R927" s="605">
        <f t="shared" si="103"/>
        <v>0</v>
      </c>
      <c r="S927" s="225">
        <f t="shared" si="104"/>
        <v>0</v>
      </c>
      <c r="T927" s="237">
        <f t="shared" si="105"/>
        <v>0</v>
      </c>
    </row>
    <row r="928" spans="1:20" ht="30" hidden="1" customHeight="1" x14ac:dyDescent="0.3">
      <c r="A928" s="262">
        <v>10</v>
      </c>
      <c r="C928" s="244">
        <v>462</v>
      </c>
      <c r="D928" s="161" t="s">
        <v>1112</v>
      </c>
      <c r="E928" s="969" t="s">
        <v>1113</v>
      </c>
      <c r="F928" s="970"/>
      <c r="G928" s="971"/>
      <c r="H928" s="544" t="s">
        <v>202</v>
      </c>
      <c r="I928" s="212">
        <v>5127</v>
      </c>
      <c r="J928" s="605"/>
      <c r="K928" s="212">
        <v>2695</v>
      </c>
      <c r="L928" s="212">
        <f t="shared" si="102"/>
        <v>13817265</v>
      </c>
      <c r="M928" s="602"/>
      <c r="N928" s="675">
        <f>+'Yeşil Defter'!K991</f>
        <v>0</v>
      </c>
      <c r="O928" s="675">
        <f>+'Yeşil Defter'!L991</f>
        <v>0</v>
      </c>
      <c r="P928" s="675">
        <f>+'Yeşil Defter'!M991</f>
        <v>0</v>
      </c>
      <c r="Q928" s="212"/>
      <c r="R928" s="605">
        <f t="shared" si="103"/>
        <v>0</v>
      </c>
      <c r="S928" s="225">
        <f t="shared" si="104"/>
        <v>0</v>
      </c>
      <c r="T928" s="237">
        <f t="shared" si="105"/>
        <v>0</v>
      </c>
    </row>
    <row r="929" spans="1:20" ht="30" hidden="1" customHeight="1" x14ac:dyDescent="0.3">
      <c r="A929" s="262">
        <v>10</v>
      </c>
      <c r="C929" s="244">
        <v>463</v>
      </c>
      <c r="D929" s="161" t="s">
        <v>1114</v>
      </c>
      <c r="E929" s="969" t="s">
        <v>1115</v>
      </c>
      <c r="F929" s="970"/>
      <c r="G929" s="971"/>
      <c r="H929" s="544" t="s">
        <v>202</v>
      </c>
      <c r="I929" s="212">
        <v>5127</v>
      </c>
      <c r="J929" s="605"/>
      <c r="K929" s="212">
        <v>520</v>
      </c>
      <c r="L929" s="212">
        <f t="shared" si="102"/>
        <v>2666040</v>
      </c>
      <c r="M929" s="602"/>
      <c r="N929" s="675">
        <f>+'Yeşil Defter'!K992</f>
        <v>0</v>
      </c>
      <c r="O929" s="675">
        <f>+'Yeşil Defter'!L992</f>
        <v>0</v>
      </c>
      <c r="P929" s="675">
        <f>+'Yeşil Defter'!M992</f>
        <v>0</v>
      </c>
      <c r="Q929" s="212"/>
      <c r="R929" s="605">
        <f t="shared" si="103"/>
        <v>0</v>
      </c>
      <c r="S929" s="225">
        <f t="shared" si="104"/>
        <v>0</v>
      </c>
      <c r="T929" s="237">
        <f t="shared" si="105"/>
        <v>0</v>
      </c>
    </row>
    <row r="930" spans="1:20" ht="30" hidden="1" customHeight="1" x14ac:dyDescent="0.3">
      <c r="A930" s="262">
        <v>10</v>
      </c>
      <c r="C930" s="244">
        <v>464</v>
      </c>
      <c r="D930" s="161" t="s">
        <v>1116</v>
      </c>
      <c r="E930" s="969" t="s">
        <v>1117</v>
      </c>
      <c r="F930" s="970"/>
      <c r="G930" s="971"/>
      <c r="H930" s="544" t="s">
        <v>202</v>
      </c>
      <c r="I930" s="212">
        <v>5127</v>
      </c>
      <c r="J930" s="605"/>
      <c r="K930" s="212">
        <v>3040</v>
      </c>
      <c r="L930" s="212">
        <f t="shared" si="102"/>
        <v>15586080</v>
      </c>
      <c r="M930" s="602"/>
      <c r="N930" s="675">
        <f>+'Yeşil Defter'!K993</f>
        <v>0</v>
      </c>
      <c r="O930" s="675">
        <f>+'Yeşil Defter'!L993</f>
        <v>0</v>
      </c>
      <c r="P930" s="675">
        <f>+'Yeşil Defter'!M993</f>
        <v>0</v>
      </c>
      <c r="Q930" s="212"/>
      <c r="R930" s="605">
        <f t="shared" si="103"/>
        <v>0</v>
      </c>
      <c r="S930" s="225">
        <f t="shared" si="104"/>
        <v>0</v>
      </c>
      <c r="T930" s="237">
        <f t="shared" si="105"/>
        <v>0</v>
      </c>
    </row>
    <row r="931" spans="1:20" ht="30" hidden="1" customHeight="1" x14ac:dyDescent="0.3">
      <c r="A931" s="262">
        <v>10</v>
      </c>
      <c r="C931" s="244">
        <v>465</v>
      </c>
      <c r="D931" s="161" t="s">
        <v>1118</v>
      </c>
      <c r="E931" s="969" t="s">
        <v>1119</v>
      </c>
      <c r="F931" s="970"/>
      <c r="G931" s="971"/>
      <c r="H931" s="544" t="s">
        <v>202</v>
      </c>
      <c r="I931" s="212">
        <v>5127</v>
      </c>
      <c r="J931" s="605"/>
      <c r="K931" s="212">
        <v>1780</v>
      </c>
      <c r="L931" s="212">
        <f t="shared" si="102"/>
        <v>9126060</v>
      </c>
      <c r="M931" s="602"/>
      <c r="N931" s="675">
        <f>+'Yeşil Defter'!K994</f>
        <v>0</v>
      </c>
      <c r="O931" s="675">
        <f>+'Yeşil Defter'!L994</f>
        <v>0</v>
      </c>
      <c r="P931" s="675">
        <f>+'Yeşil Defter'!M994</f>
        <v>0</v>
      </c>
      <c r="Q931" s="212"/>
      <c r="R931" s="605">
        <f t="shared" si="103"/>
        <v>0</v>
      </c>
      <c r="S931" s="225">
        <f t="shared" si="104"/>
        <v>0</v>
      </c>
      <c r="T931" s="237">
        <f t="shared" si="105"/>
        <v>0</v>
      </c>
    </row>
    <row r="932" spans="1:20" ht="30" hidden="1" customHeight="1" x14ac:dyDescent="0.3">
      <c r="A932" s="262">
        <v>10</v>
      </c>
      <c r="C932" s="244">
        <v>466</v>
      </c>
      <c r="D932" s="161" t="s">
        <v>1120</v>
      </c>
      <c r="E932" s="969" t="s">
        <v>1121</v>
      </c>
      <c r="F932" s="970"/>
      <c r="G932" s="971"/>
      <c r="H932" s="544" t="s">
        <v>286</v>
      </c>
      <c r="I932" s="212">
        <v>3124595</v>
      </c>
      <c r="J932" s="605"/>
      <c r="K932" s="212">
        <v>1</v>
      </c>
      <c r="L932" s="212">
        <f t="shared" si="102"/>
        <v>3124595</v>
      </c>
      <c r="M932" s="602"/>
      <c r="N932" s="675">
        <f>+'Yeşil Defter'!K995</f>
        <v>0</v>
      </c>
      <c r="O932" s="675">
        <f>+'Yeşil Defter'!L995</f>
        <v>0</v>
      </c>
      <c r="P932" s="675">
        <f>+'Yeşil Defter'!M995</f>
        <v>0</v>
      </c>
      <c r="Q932" s="212"/>
      <c r="R932" s="605">
        <f t="shared" si="103"/>
        <v>0</v>
      </c>
      <c r="S932" s="225">
        <f t="shared" si="104"/>
        <v>0</v>
      </c>
      <c r="T932" s="237">
        <f t="shared" si="105"/>
        <v>0</v>
      </c>
    </row>
    <row r="933" spans="1:20" ht="30" hidden="1" customHeight="1" x14ac:dyDescent="0.3">
      <c r="A933" s="262">
        <v>10</v>
      </c>
      <c r="C933" s="244">
        <v>467</v>
      </c>
      <c r="D933" s="161" t="s">
        <v>1122</v>
      </c>
      <c r="E933" s="969" t="s">
        <v>1123</v>
      </c>
      <c r="F933" s="970"/>
      <c r="G933" s="971"/>
      <c r="H933" s="544" t="s">
        <v>286</v>
      </c>
      <c r="I933" s="212">
        <v>3124595</v>
      </c>
      <c r="J933" s="605"/>
      <c r="K933" s="212">
        <v>1</v>
      </c>
      <c r="L933" s="212">
        <f t="shared" si="102"/>
        <v>3124595</v>
      </c>
      <c r="M933" s="602"/>
      <c r="N933" s="675">
        <f>+'Yeşil Defter'!K996</f>
        <v>0</v>
      </c>
      <c r="O933" s="675">
        <f>+'Yeşil Defter'!L996</f>
        <v>0</v>
      </c>
      <c r="P933" s="675">
        <f>+'Yeşil Defter'!M996</f>
        <v>0</v>
      </c>
      <c r="Q933" s="212"/>
      <c r="R933" s="605">
        <f t="shared" si="103"/>
        <v>0</v>
      </c>
      <c r="S933" s="225">
        <f t="shared" si="104"/>
        <v>0</v>
      </c>
      <c r="T933" s="237">
        <f t="shared" si="105"/>
        <v>0</v>
      </c>
    </row>
    <row r="934" spans="1:20" ht="30" hidden="1" customHeight="1" x14ac:dyDescent="0.3">
      <c r="A934" s="262">
        <v>10</v>
      </c>
      <c r="C934" s="244">
        <v>468</v>
      </c>
      <c r="D934" s="161" t="s">
        <v>1124</v>
      </c>
      <c r="E934" s="969" t="s">
        <v>1125</v>
      </c>
      <c r="F934" s="970"/>
      <c r="G934" s="971"/>
      <c r="H934" s="544" t="s">
        <v>286</v>
      </c>
      <c r="I934" s="212">
        <v>3124595</v>
      </c>
      <c r="J934" s="605"/>
      <c r="K934" s="212">
        <v>1</v>
      </c>
      <c r="L934" s="212">
        <f t="shared" si="102"/>
        <v>3124595</v>
      </c>
      <c r="M934" s="602"/>
      <c r="N934" s="675">
        <f>+'Yeşil Defter'!K997</f>
        <v>0</v>
      </c>
      <c r="O934" s="675">
        <f>+'Yeşil Defter'!L997</f>
        <v>0</v>
      </c>
      <c r="P934" s="675">
        <f>+'Yeşil Defter'!M997</f>
        <v>0</v>
      </c>
      <c r="Q934" s="212"/>
      <c r="R934" s="605">
        <f t="shared" si="103"/>
        <v>0</v>
      </c>
      <c r="S934" s="225">
        <f t="shared" si="104"/>
        <v>0</v>
      </c>
      <c r="T934" s="237">
        <f t="shared" si="105"/>
        <v>0</v>
      </c>
    </row>
    <row r="935" spans="1:20" ht="30" hidden="1" customHeight="1" x14ac:dyDescent="0.3">
      <c r="A935" s="262">
        <v>10</v>
      </c>
      <c r="C935" s="244">
        <v>469</v>
      </c>
      <c r="D935" s="161" t="s">
        <v>1126</v>
      </c>
      <c r="E935" s="969" t="s">
        <v>1127</v>
      </c>
      <c r="F935" s="970"/>
      <c r="G935" s="971"/>
      <c r="H935" s="544" t="s">
        <v>286</v>
      </c>
      <c r="I935" s="212">
        <v>3124595</v>
      </c>
      <c r="J935" s="605"/>
      <c r="K935" s="212">
        <v>1</v>
      </c>
      <c r="L935" s="212">
        <f t="shared" si="102"/>
        <v>3124595</v>
      </c>
      <c r="M935" s="602"/>
      <c r="N935" s="675">
        <f>+'Yeşil Defter'!K998</f>
        <v>0</v>
      </c>
      <c r="O935" s="675">
        <f>+'Yeşil Defter'!L998</f>
        <v>0</v>
      </c>
      <c r="P935" s="675">
        <f>+'Yeşil Defter'!M998</f>
        <v>0</v>
      </c>
      <c r="Q935" s="212"/>
      <c r="R935" s="605">
        <f t="shared" si="103"/>
        <v>0</v>
      </c>
      <c r="S935" s="225">
        <f t="shared" si="104"/>
        <v>0</v>
      </c>
      <c r="T935" s="237">
        <f t="shared" si="105"/>
        <v>0</v>
      </c>
    </row>
    <row r="936" spans="1:20" ht="30" hidden="1" customHeight="1" x14ac:dyDescent="0.3">
      <c r="A936" s="262">
        <v>10</v>
      </c>
      <c r="C936" s="244">
        <v>470</v>
      </c>
      <c r="D936" s="161" t="s">
        <v>1128</v>
      </c>
      <c r="E936" s="969" t="s">
        <v>1129</v>
      </c>
      <c r="F936" s="970"/>
      <c r="G936" s="971"/>
      <c r="H936" s="544" t="s">
        <v>286</v>
      </c>
      <c r="I936" s="212">
        <v>3124595</v>
      </c>
      <c r="J936" s="605"/>
      <c r="K936" s="212">
        <v>1</v>
      </c>
      <c r="L936" s="212">
        <f t="shared" si="102"/>
        <v>3124595</v>
      </c>
      <c r="M936" s="602"/>
      <c r="N936" s="675">
        <f>+'Yeşil Defter'!K999</f>
        <v>0</v>
      </c>
      <c r="O936" s="675">
        <f>+'Yeşil Defter'!L999</f>
        <v>0</v>
      </c>
      <c r="P936" s="675">
        <f>+'Yeşil Defter'!M999</f>
        <v>0</v>
      </c>
      <c r="Q936" s="212"/>
      <c r="R936" s="605">
        <f t="shared" si="103"/>
        <v>0</v>
      </c>
      <c r="S936" s="225">
        <f t="shared" si="104"/>
        <v>0</v>
      </c>
      <c r="T936" s="237">
        <f t="shared" si="105"/>
        <v>0</v>
      </c>
    </row>
    <row r="937" spans="1:20" ht="30" hidden="1" customHeight="1" x14ac:dyDescent="0.3">
      <c r="A937" s="262">
        <v>10</v>
      </c>
      <c r="C937" s="244">
        <v>471</v>
      </c>
      <c r="D937" s="161" t="s">
        <v>1130</v>
      </c>
      <c r="E937" s="969" t="s">
        <v>1131</v>
      </c>
      <c r="F937" s="970"/>
      <c r="G937" s="971"/>
      <c r="H937" s="544" t="s">
        <v>286</v>
      </c>
      <c r="I937" s="212">
        <v>3124595</v>
      </c>
      <c r="J937" s="605"/>
      <c r="K937" s="212">
        <v>1</v>
      </c>
      <c r="L937" s="212">
        <f t="shared" si="102"/>
        <v>3124595</v>
      </c>
      <c r="M937" s="602"/>
      <c r="N937" s="675">
        <f>+'Yeşil Defter'!K1000</f>
        <v>0</v>
      </c>
      <c r="O937" s="675">
        <f>+'Yeşil Defter'!L1000</f>
        <v>0</v>
      </c>
      <c r="P937" s="675">
        <f>+'Yeşil Defter'!M1000</f>
        <v>0</v>
      </c>
      <c r="Q937" s="212"/>
      <c r="R937" s="605">
        <f t="shared" si="103"/>
        <v>0</v>
      </c>
      <c r="S937" s="225">
        <f t="shared" si="104"/>
        <v>0</v>
      </c>
      <c r="T937" s="237">
        <f t="shared" si="105"/>
        <v>0</v>
      </c>
    </row>
    <row r="938" spans="1:20" ht="30" hidden="1" customHeight="1" x14ac:dyDescent="0.3">
      <c r="A938" s="262">
        <v>10</v>
      </c>
      <c r="C938" s="244">
        <v>472</v>
      </c>
      <c r="D938" s="161" t="s">
        <v>1132</v>
      </c>
      <c r="E938" s="969" t="s">
        <v>1133</v>
      </c>
      <c r="F938" s="970"/>
      <c r="G938" s="971"/>
      <c r="H938" s="544" t="s">
        <v>286</v>
      </c>
      <c r="I938" s="212">
        <v>3124595</v>
      </c>
      <c r="J938" s="605"/>
      <c r="K938" s="212">
        <v>1</v>
      </c>
      <c r="L938" s="212">
        <f t="shared" si="102"/>
        <v>3124595</v>
      </c>
      <c r="M938" s="602"/>
      <c r="N938" s="675">
        <f>+'Yeşil Defter'!K1001</f>
        <v>0</v>
      </c>
      <c r="O938" s="675">
        <f>+'Yeşil Defter'!L1001</f>
        <v>0</v>
      </c>
      <c r="P938" s="675">
        <f>+'Yeşil Defter'!M1001</f>
        <v>0</v>
      </c>
      <c r="Q938" s="212"/>
      <c r="R938" s="605">
        <f t="shared" si="103"/>
        <v>0</v>
      </c>
      <c r="S938" s="225">
        <f t="shared" si="104"/>
        <v>0</v>
      </c>
      <c r="T938" s="237">
        <f t="shared" si="105"/>
        <v>0</v>
      </c>
    </row>
    <row r="939" spans="1:20" ht="30" hidden="1" customHeight="1" x14ac:dyDescent="0.3">
      <c r="A939" s="262">
        <v>10</v>
      </c>
      <c r="C939" s="244">
        <v>473</v>
      </c>
      <c r="D939" s="161" t="s">
        <v>1134</v>
      </c>
      <c r="E939" s="969" t="s">
        <v>1135</v>
      </c>
      <c r="F939" s="970"/>
      <c r="G939" s="971"/>
      <c r="H939" s="544" t="s">
        <v>286</v>
      </c>
      <c r="I939" s="212">
        <v>3124595</v>
      </c>
      <c r="J939" s="605"/>
      <c r="K939" s="212">
        <v>1</v>
      </c>
      <c r="L939" s="212">
        <f t="shared" si="102"/>
        <v>3124595</v>
      </c>
      <c r="M939" s="602"/>
      <c r="N939" s="675">
        <f>+'Yeşil Defter'!K1002</f>
        <v>0</v>
      </c>
      <c r="O939" s="675">
        <f>+'Yeşil Defter'!L1002</f>
        <v>0</v>
      </c>
      <c r="P939" s="675">
        <f>+'Yeşil Defter'!M1002</f>
        <v>0</v>
      </c>
      <c r="Q939" s="212"/>
      <c r="R939" s="605">
        <f t="shared" si="103"/>
        <v>0</v>
      </c>
      <c r="S939" s="225">
        <f t="shared" si="104"/>
        <v>0</v>
      </c>
      <c r="T939" s="237">
        <f t="shared" si="105"/>
        <v>0</v>
      </c>
    </row>
    <row r="940" spans="1:20" ht="40.049999999999997" hidden="1" customHeight="1" x14ac:dyDescent="0.3">
      <c r="A940" s="262" t="s">
        <v>1242</v>
      </c>
      <c r="C940" s="258"/>
      <c r="D940" s="258"/>
      <c r="E940" s="972" t="s">
        <v>33</v>
      </c>
      <c r="F940" s="972"/>
      <c r="G940" s="972"/>
      <c r="H940" s="973" t="s">
        <v>29</v>
      </c>
      <c r="I940" s="973"/>
      <c r="J940" s="973"/>
      <c r="K940" s="973"/>
      <c r="L940" s="973"/>
      <c r="M940" s="549"/>
      <c r="N940" s="973" t="s">
        <v>22</v>
      </c>
      <c r="O940" s="973"/>
      <c r="P940" s="973"/>
      <c r="Q940" s="973"/>
      <c r="R940" s="973"/>
      <c r="S940" s="973"/>
      <c r="T940" s="973"/>
    </row>
    <row r="941" spans="1:20" ht="19.95" hidden="1" customHeight="1" x14ac:dyDescent="0.3">
      <c r="A941" s="262" t="s">
        <v>1242</v>
      </c>
      <c r="D941" s="28"/>
      <c r="E941" s="974" t="s">
        <v>1214</v>
      </c>
      <c r="F941" s="974"/>
      <c r="G941" s="974"/>
      <c r="H941" s="975" t="s">
        <v>38</v>
      </c>
      <c r="I941" s="975"/>
      <c r="J941" s="975"/>
      <c r="K941" s="975"/>
      <c r="L941" s="975"/>
      <c r="M941" s="562"/>
      <c r="N941" s="975" t="s">
        <v>1437</v>
      </c>
      <c r="O941" s="975"/>
      <c r="P941" s="975"/>
      <c r="Q941" s="975"/>
      <c r="R941" s="975"/>
      <c r="S941" s="975"/>
      <c r="T941" s="975"/>
    </row>
    <row r="942" spans="1:20" ht="19.95" hidden="1" customHeight="1" x14ac:dyDescent="0.3">
      <c r="A942" s="262" t="s">
        <v>1242</v>
      </c>
      <c r="C942" s="228"/>
      <c r="D942" s="228"/>
      <c r="E942" s="561"/>
      <c r="F942" s="561"/>
      <c r="G942" s="561"/>
      <c r="H942" s="228"/>
      <c r="I942" s="260"/>
      <c r="J942" s="260"/>
      <c r="K942" s="260"/>
      <c r="L942" s="260"/>
      <c r="M942" s="260"/>
      <c r="N942" s="975"/>
      <c r="O942" s="975"/>
      <c r="P942" s="975"/>
      <c r="Q942" s="975"/>
      <c r="R942" s="975"/>
      <c r="S942" s="975"/>
      <c r="T942" s="975"/>
    </row>
    <row r="943" spans="1:20" ht="19.95" hidden="1" customHeight="1" x14ac:dyDescent="0.3">
      <c r="A943" s="262" t="s">
        <v>1242</v>
      </c>
      <c r="C943" s="228"/>
      <c r="D943" s="228"/>
      <c r="E943" s="561"/>
      <c r="F943" s="561"/>
      <c r="G943" s="561"/>
      <c r="H943" s="228"/>
      <c r="I943" s="260"/>
      <c r="J943" s="260"/>
      <c r="K943" s="260"/>
      <c r="L943" s="260"/>
      <c r="M943" s="260"/>
      <c r="N943" s="975"/>
      <c r="O943" s="975"/>
      <c r="P943" s="975"/>
      <c r="Q943" s="975"/>
      <c r="R943" s="975"/>
      <c r="S943" s="975"/>
      <c r="T943" s="975"/>
    </row>
    <row r="944" spans="1:20" ht="19.95" hidden="1" customHeight="1" x14ac:dyDescent="0.3">
      <c r="A944" s="262" t="s">
        <v>1242</v>
      </c>
      <c r="C944" s="228"/>
      <c r="D944" s="228"/>
      <c r="E944" s="561"/>
      <c r="F944" s="561"/>
      <c r="G944" s="561"/>
      <c r="H944" s="261"/>
      <c r="I944" s="261"/>
      <c r="J944" s="261"/>
      <c r="K944" s="261"/>
      <c r="L944" s="261"/>
      <c r="M944" s="261"/>
      <c r="N944" s="260"/>
      <c r="O944" s="260"/>
      <c r="P944" s="260"/>
      <c r="Q944" s="260"/>
      <c r="R944" s="260"/>
      <c r="S944" s="260"/>
      <c r="T944" s="260"/>
    </row>
    <row r="945" spans="1:20" ht="19.95" hidden="1" customHeight="1" x14ac:dyDescent="0.3">
      <c r="A945" s="262" t="s">
        <v>1242</v>
      </c>
      <c r="C945" s="228"/>
      <c r="D945" s="228"/>
      <c r="E945" s="561"/>
      <c r="F945" s="561"/>
      <c r="G945" s="561"/>
      <c r="H945" s="975" t="s">
        <v>32</v>
      </c>
      <c r="I945" s="975"/>
      <c r="J945" s="562"/>
      <c r="K945" s="975" t="s">
        <v>1407</v>
      </c>
      <c r="L945" s="975"/>
      <c r="M945" s="562"/>
      <c r="N945" s="968" t="s">
        <v>28</v>
      </c>
      <c r="O945" s="968"/>
      <c r="P945" s="968"/>
      <c r="Q945" s="968"/>
      <c r="R945" s="968"/>
      <c r="S945" s="968"/>
      <c r="T945" s="968"/>
    </row>
    <row r="946" spans="1:20" ht="19.95" hidden="1" customHeight="1" x14ac:dyDescent="0.3">
      <c r="A946" s="262" t="s">
        <v>1242</v>
      </c>
      <c r="C946" s="228"/>
      <c r="D946" s="228"/>
      <c r="E946" s="561"/>
      <c r="F946" s="561"/>
      <c r="G946" s="561"/>
      <c r="H946" s="976" t="s">
        <v>94</v>
      </c>
      <c r="I946" s="976"/>
      <c r="J946" s="623"/>
      <c r="K946" s="976" t="s">
        <v>94</v>
      </c>
      <c r="L946" s="976"/>
      <c r="M946" s="623"/>
      <c r="N946" s="968" t="s">
        <v>1486</v>
      </c>
      <c r="O946" s="968"/>
      <c r="P946" s="968"/>
      <c r="Q946" s="968"/>
      <c r="R946" s="968"/>
      <c r="S946" s="968"/>
      <c r="T946" s="968"/>
    </row>
    <row r="947" spans="1:20" ht="19.95" hidden="1" customHeight="1" x14ac:dyDescent="0.3">
      <c r="A947" s="262" t="s">
        <v>1242</v>
      </c>
      <c r="C947" s="228"/>
      <c r="D947" s="228"/>
      <c r="E947" s="561"/>
      <c r="F947" s="561"/>
      <c r="G947" s="561"/>
      <c r="H947" s="976"/>
      <c r="I947" s="976"/>
      <c r="J947" s="623"/>
      <c r="K947" s="976"/>
      <c r="L947" s="976"/>
      <c r="M947" s="623"/>
      <c r="N947" s="968"/>
      <c r="O947" s="968"/>
      <c r="P947" s="968"/>
      <c r="Q947" s="968"/>
      <c r="R947" s="968"/>
      <c r="S947" s="968"/>
      <c r="T947" s="968"/>
    </row>
    <row r="948" spans="1:20" ht="19.95" hidden="1" customHeight="1" x14ac:dyDescent="0.3">
      <c r="A948" s="262" t="s">
        <v>1242</v>
      </c>
      <c r="C948" s="228"/>
      <c r="D948" s="228"/>
      <c r="E948" s="561"/>
      <c r="F948" s="561"/>
      <c r="G948" s="561"/>
      <c r="H948" s="261"/>
      <c r="I948" s="261"/>
      <c r="J948" s="261"/>
      <c r="K948" s="261"/>
      <c r="L948" s="261"/>
      <c r="M948" s="261"/>
      <c r="N948" s="260"/>
      <c r="O948" s="260"/>
      <c r="P948" s="260"/>
      <c r="Q948" s="260"/>
      <c r="R948" s="260"/>
      <c r="S948" s="260"/>
      <c r="T948" s="260"/>
    </row>
    <row r="949" spans="1:20" ht="19.95" hidden="1" customHeight="1" x14ac:dyDescent="0.3">
      <c r="A949" s="262" t="s">
        <v>1242</v>
      </c>
      <c r="C949" s="228"/>
      <c r="D949" s="228"/>
      <c r="E949" s="975" t="s">
        <v>1215</v>
      </c>
      <c r="F949" s="975"/>
      <c r="G949" s="975"/>
      <c r="H949" s="975" t="s">
        <v>1348</v>
      </c>
      <c r="I949" s="975"/>
      <c r="J949" s="975"/>
      <c r="K949" s="975"/>
      <c r="L949" s="975"/>
      <c r="M949" s="562"/>
      <c r="N949" s="977" t="s">
        <v>1219</v>
      </c>
      <c r="O949" s="968"/>
      <c r="P949" s="968"/>
      <c r="Q949" s="968"/>
      <c r="R949" s="968"/>
      <c r="S949" s="968"/>
      <c r="T949" s="968"/>
    </row>
    <row r="950" spans="1:20" ht="19.95" hidden="1" customHeight="1" x14ac:dyDescent="0.3">
      <c r="A950" s="262" t="s">
        <v>1290</v>
      </c>
      <c r="C950" s="228"/>
      <c r="D950" s="228"/>
      <c r="E950" s="975"/>
      <c r="F950" s="975"/>
      <c r="G950" s="975"/>
      <c r="H950" s="975"/>
      <c r="I950" s="975"/>
      <c r="J950" s="975"/>
      <c r="K950" s="975"/>
      <c r="L950" s="975"/>
      <c r="M950" s="562"/>
      <c r="N950" s="968"/>
      <c r="O950" s="968"/>
      <c r="P950" s="968"/>
      <c r="Q950" s="968"/>
      <c r="R950" s="968"/>
      <c r="S950" s="968"/>
      <c r="T950" s="968"/>
    </row>
    <row r="951" spans="1:20" ht="30" hidden="1" customHeight="1" x14ac:dyDescent="0.3">
      <c r="A951" s="262">
        <v>10</v>
      </c>
      <c r="C951" s="255">
        <v>474</v>
      </c>
      <c r="D951" s="256" t="s">
        <v>1136</v>
      </c>
      <c r="E951" s="978" t="s">
        <v>1137</v>
      </c>
      <c r="F951" s="979"/>
      <c r="G951" s="980"/>
      <c r="H951" s="546" t="s">
        <v>286</v>
      </c>
      <c r="I951" s="257">
        <v>3124595</v>
      </c>
      <c r="J951" s="606"/>
      <c r="K951" s="257">
        <v>1</v>
      </c>
      <c r="L951" s="257">
        <f t="shared" ref="L951:L957" si="106">+ROUND(I951*K951,2)</f>
        <v>3124595</v>
      </c>
      <c r="M951" s="603"/>
      <c r="N951" s="675">
        <f>+'Yeşil Defter'!K1003</f>
        <v>0</v>
      </c>
      <c r="O951" s="675">
        <f>+'Yeşil Defter'!L1003</f>
        <v>0</v>
      </c>
      <c r="P951" s="675">
        <f>+'Yeşil Defter'!M1003</f>
        <v>0</v>
      </c>
      <c r="Q951" s="257"/>
      <c r="R951" s="606">
        <f t="shared" ref="R951:R957" si="107">+ROUND(K951*N951,2)</f>
        <v>0</v>
      </c>
      <c r="S951" s="247">
        <f t="shared" si="104"/>
        <v>0</v>
      </c>
      <c r="T951" s="248">
        <f t="shared" ref="T951:T957" si="108">+ROUND(K951*P951,2)</f>
        <v>0</v>
      </c>
    </row>
    <row r="952" spans="1:20" ht="30" hidden="1" customHeight="1" x14ac:dyDescent="0.3">
      <c r="A952" s="262">
        <v>10</v>
      </c>
      <c r="C952" s="244">
        <v>475</v>
      </c>
      <c r="D952" s="161" t="s">
        <v>1138</v>
      </c>
      <c r="E952" s="969" t="s">
        <v>1139</v>
      </c>
      <c r="F952" s="970"/>
      <c r="G952" s="971"/>
      <c r="H952" s="544" t="s">
        <v>286</v>
      </c>
      <c r="I952" s="212">
        <v>3124595</v>
      </c>
      <c r="J952" s="605"/>
      <c r="K952" s="212">
        <v>1</v>
      </c>
      <c r="L952" s="212">
        <f t="shared" si="106"/>
        <v>3124595</v>
      </c>
      <c r="M952" s="602"/>
      <c r="N952" s="675">
        <f>+'Yeşil Defter'!K1004</f>
        <v>0</v>
      </c>
      <c r="O952" s="675">
        <f>+'Yeşil Defter'!L1004</f>
        <v>0</v>
      </c>
      <c r="P952" s="675">
        <f>+'Yeşil Defter'!M1004</f>
        <v>0</v>
      </c>
      <c r="Q952" s="212"/>
      <c r="R952" s="605">
        <f t="shared" si="107"/>
        <v>0</v>
      </c>
      <c r="S952" s="225">
        <f t="shared" si="104"/>
        <v>0</v>
      </c>
      <c r="T952" s="237">
        <f t="shared" si="108"/>
        <v>0</v>
      </c>
    </row>
    <row r="953" spans="1:20" ht="30" hidden="1" customHeight="1" x14ac:dyDescent="0.3">
      <c r="A953" s="262">
        <v>10</v>
      </c>
      <c r="C953" s="244">
        <v>476</v>
      </c>
      <c r="D953" s="161" t="s">
        <v>1140</v>
      </c>
      <c r="E953" s="969" t="s">
        <v>1141</v>
      </c>
      <c r="F953" s="970"/>
      <c r="G953" s="971"/>
      <c r="H953" s="544" t="s">
        <v>286</v>
      </c>
      <c r="I953" s="212">
        <v>3124595</v>
      </c>
      <c r="J953" s="605"/>
      <c r="K953" s="212">
        <v>1</v>
      </c>
      <c r="L953" s="212">
        <f t="shared" si="106"/>
        <v>3124595</v>
      </c>
      <c r="M953" s="602"/>
      <c r="N953" s="675">
        <f>+'Yeşil Defter'!K1005</f>
        <v>0</v>
      </c>
      <c r="O953" s="675">
        <f>+'Yeşil Defter'!L1005</f>
        <v>0</v>
      </c>
      <c r="P953" s="675">
        <f>+'Yeşil Defter'!M1005</f>
        <v>0</v>
      </c>
      <c r="Q953" s="212"/>
      <c r="R953" s="605">
        <f t="shared" si="107"/>
        <v>0</v>
      </c>
      <c r="S953" s="225">
        <f t="shared" si="104"/>
        <v>0</v>
      </c>
      <c r="T953" s="237">
        <f t="shared" si="108"/>
        <v>0</v>
      </c>
    </row>
    <row r="954" spans="1:20" ht="30" hidden="1" customHeight="1" x14ac:dyDescent="0.3">
      <c r="A954" s="262">
        <v>10</v>
      </c>
      <c r="C954" s="244">
        <v>477</v>
      </c>
      <c r="D954" s="161" t="s">
        <v>1142</v>
      </c>
      <c r="E954" s="969" t="s">
        <v>1143</v>
      </c>
      <c r="F954" s="970"/>
      <c r="G954" s="971"/>
      <c r="H954" s="544" t="s">
        <v>286</v>
      </c>
      <c r="I954" s="212">
        <v>3124595</v>
      </c>
      <c r="J954" s="605"/>
      <c r="K954" s="212">
        <v>1</v>
      </c>
      <c r="L954" s="212">
        <f t="shared" si="106"/>
        <v>3124595</v>
      </c>
      <c r="M954" s="602"/>
      <c r="N954" s="675">
        <f>+'Yeşil Defter'!K1006</f>
        <v>0</v>
      </c>
      <c r="O954" s="675">
        <f>+'Yeşil Defter'!L1006</f>
        <v>0</v>
      </c>
      <c r="P954" s="675">
        <f>+'Yeşil Defter'!M1006</f>
        <v>0</v>
      </c>
      <c r="Q954" s="212"/>
      <c r="R954" s="605">
        <f t="shared" si="107"/>
        <v>0</v>
      </c>
      <c r="S954" s="225">
        <f t="shared" si="104"/>
        <v>0</v>
      </c>
      <c r="T954" s="237">
        <f t="shared" si="108"/>
        <v>0</v>
      </c>
    </row>
    <row r="955" spans="1:20" ht="30" hidden="1" customHeight="1" x14ac:dyDescent="0.3">
      <c r="A955" s="262">
        <v>10</v>
      </c>
      <c r="C955" s="244">
        <v>478</v>
      </c>
      <c r="D955" s="161" t="s">
        <v>1144</v>
      </c>
      <c r="E955" s="969" t="s">
        <v>1145</v>
      </c>
      <c r="F955" s="970"/>
      <c r="G955" s="971"/>
      <c r="H955" s="544" t="s">
        <v>286</v>
      </c>
      <c r="I955" s="212">
        <v>3124595</v>
      </c>
      <c r="J955" s="605"/>
      <c r="K955" s="212">
        <v>1</v>
      </c>
      <c r="L955" s="212">
        <f t="shared" si="106"/>
        <v>3124595</v>
      </c>
      <c r="M955" s="602"/>
      <c r="N955" s="675">
        <f>+'Yeşil Defter'!K1007</f>
        <v>0</v>
      </c>
      <c r="O955" s="675">
        <f>+'Yeşil Defter'!L1007</f>
        <v>0</v>
      </c>
      <c r="P955" s="675">
        <f>+'Yeşil Defter'!M1007</f>
        <v>0</v>
      </c>
      <c r="Q955" s="212"/>
      <c r="R955" s="605">
        <f t="shared" si="107"/>
        <v>0</v>
      </c>
      <c r="S955" s="225">
        <f t="shared" si="104"/>
        <v>0</v>
      </c>
      <c r="T955" s="237">
        <f t="shared" si="108"/>
        <v>0</v>
      </c>
    </row>
    <row r="956" spans="1:20" ht="30" hidden="1" customHeight="1" x14ac:dyDescent="0.3">
      <c r="A956" s="262">
        <v>10</v>
      </c>
      <c r="C956" s="244">
        <v>479</v>
      </c>
      <c r="D956" s="161" t="s">
        <v>1146</v>
      </c>
      <c r="E956" s="969" t="s">
        <v>1147</v>
      </c>
      <c r="F956" s="970"/>
      <c r="G956" s="971"/>
      <c r="H956" s="544" t="s">
        <v>286</v>
      </c>
      <c r="I956" s="212">
        <v>3124595</v>
      </c>
      <c r="J956" s="605"/>
      <c r="K956" s="212">
        <v>1</v>
      </c>
      <c r="L956" s="212">
        <f t="shared" si="106"/>
        <v>3124595</v>
      </c>
      <c r="M956" s="602"/>
      <c r="N956" s="675">
        <f>+'Yeşil Defter'!K1008</f>
        <v>0</v>
      </c>
      <c r="O956" s="675">
        <f>+'Yeşil Defter'!L1008</f>
        <v>0</v>
      </c>
      <c r="P956" s="675">
        <f>+'Yeşil Defter'!M1008</f>
        <v>0</v>
      </c>
      <c r="Q956" s="212"/>
      <c r="R956" s="605">
        <f t="shared" si="107"/>
        <v>0</v>
      </c>
      <c r="S956" s="225">
        <f t="shared" si="104"/>
        <v>0</v>
      </c>
      <c r="T956" s="237">
        <f t="shared" si="108"/>
        <v>0</v>
      </c>
    </row>
    <row r="957" spans="1:20" ht="30" hidden="1" customHeight="1" x14ac:dyDescent="0.3">
      <c r="A957" s="262">
        <v>10</v>
      </c>
      <c r="C957" s="244">
        <v>480</v>
      </c>
      <c r="D957" s="161" t="s">
        <v>1148</v>
      </c>
      <c r="E957" s="969" t="s">
        <v>1152</v>
      </c>
      <c r="F957" s="970"/>
      <c r="G957" s="971"/>
      <c r="H957" s="544" t="s">
        <v>286</v>
      </c>
      <c r="I957" s="212">
        <v>24981566.850000001</v>
      </c>
      <c r="J957" s="605"/>
      <c r="K957" s="212">
        <v>1</v>
      </c>
      <c r="L957" s="212">
        <f t="shared" si="106"/>
        <v>24981566.850000001</v>
      </c>
      <c r="M957" s="602"/>
      <c r="N957" s="675">
        <f>+'Yeşil Defter'!K1009</f>
        <v>0</v>
      </c>
      <c r="O957" s="675">
        <f>+'Yeşil Defter'!L1009</f>
        <v>0</v>
      </c>
      <c r="P957" s="675">
        <f>+'Yeşil Defter'!M1009</f>
        <v>0</v>
      </c>
      <c r="Q957" s="212"/>
      <c r="R957" s="605">
        <f t="shared" si="107"/>
        <v>0</v>
      </c>
      <c r="S957" s="225">
        <f t="shared" si="104"/>
        <v>0</v>
      </c>
      <c r="T957" s="237">
        <f t="shared" si="108"/>
        <v>0</v>
      </c>
    </row>
    <row r="958" spans="1:20" ht="30" hidden="1" customHeight="1" x14ac:dyDescent="0.3">
      <c r="A958" s="262">
        <v>10</v>
      </c>
      <c r="C958" s="244"/>
      <c r="D958" s="161"/>
      <c r="E958" s="969"/>
      <c r="F958" s="970"/>
      <c r="G958" s="971"/>
      <c r="H958" s="161"/>
      <c r="I958" s="605"/>
      <c r="J958" s="605"/>
      <c r="K958" s="212"/>
      <c r="L958" s="341"/>
      <c r="M958" s="212"/>
      <c r="N958" s="605"/>
      <c r="O958" s="212"/>
      <c r="P958" s="341"/>
      <c r="Q958" s="212"/>
      <c r="R958" s="605"/>
      <c r="S958" s="225"/>
      <c r="T958" s="237"/>
    </row>
    <row r="959" spans="1:20" ht="30" hidden="1" customHeight="1" x14ac:dyDescent="0.3">
      <c r="A959" s="262">
        <v>10</v>
      </c>
      <c r="C959" s="244"/>
      <c r="D959" s="161"/>
      <c r="E959" s="969"/>
      <c r="F959" s="970"/>
      <c r="G959" s="971"/>
      <c r="H959" s="161"/>
      <c r="I959" s="605"/>
      <c r="J959" s="605"/>
      <c r="K959" s="212"/>
      <c r="L959" s="341"/>
      <c r="M959" s="212"/>
      <c r="N959" s="605"/>
      <c r="O959" s="212"/>
      <c r="P959" s="341"/>
      <c r="Q959" s="212"/>
      <c r="R959" s="605"/>
      <c r="S959" s="225"/>
      <c r="T959" s="237"/>
    </row>
    <row r="960" spans="1:20" ht="30" hidden="1" customHeight="1" x14ac:dyDescent="0.3">
      <c r="A960" s="262">
        <v>10</v>
      </c>
      <c r="C960" s="244"/>
      <c r="D960" s="161"/>
      <c r="E960" s="969"/>
      <c r="F960" s="970"/>
      <c r="G960" s="971"/>
      <c r="H960" s="161"/>
      <c r="I960" s="605"/>
      <c r="J960" s="605"/>
      <c r="K960" s="212"/>
      <c r="L960" s="341"/>
      <c r="M960" s="212"/>
      <c r="N960" s="605"/>
      <c r="O960" s="212"/>
      <c r="P960" s="341"/>
      <c r="Q960" s="212"/>
      <c r="R960" s="605"/>
      <c r="S960" s="225"/>
      <c r="T960" s="237"/>
    </row>
    <row r="961" spans="1:20" ht="30" hidden="1" customHeight="1" x14ac:dyDescent="0.3">
      <c r="A961" s="262">
        <v>10</v>
      </c>
      <c r="C961" s="244"/>
      <c r="D961" s="161"/>
      <c r="E961" s="969"/>
      <c r="F961" s="970"/>
      <c r="G961" s="971"/>
      <c r="H961" s="161"/>
      <c r="I961" s="605"/>
      <c r="J961" s="605"/>
      <c r="K961" s="212"/>
      <c r="L961" s="341"/>
      <c r="M961" s="212"/>
      <c r="N961" s="605"/>
      <c r="O961" s="212"/>
      <c r="P961" s="341"/>
      <c r="Q961" s="212"/>
      <c r="R961" s="605"/>
      <c r="S961" s="225"/>
      <c r="T961" s="237"/>
    </row>
    <row r="962" spans="1:20" ht="30" hidden="1" customHeight="1" x14ac:dyDescent="0.3">
      <c r="A962" s="262">
        <v>10</v>
      </c>
      <c r="C962" s="244"/>
      <c r="D962" s="161"/>
      <c r="E962" s="969"/>
      <c r="F962" s="970"/>
      <c r="G962" s="971"/>
      <c r="H962" s="161"/>
      <c r="I962" s="605"/>
      <c r="J962" s="605"/>
      <c r="K962" s="212"/>
      <c r="L962" s="341"/>
      <c r="M962" s="212"/>
      <c r="N962" s="605"/>
      <c r="O962" s="212"/>
      <c r="P962" s="341"/>
      <c r="Q962" s="212"/>
      <c r="R962" s="605"/>
      <c r="S962" s="225"/>
      <c r="T962" s="237"/>
    </row>
    <row r="963" spans="1:20" ht="30" hidden="1" customHeight="1" x14ac:dyDescent="0.3">
      <c r="A963" s="262">
        <v>10</v>
      </c>
      <c r="C963" s="244"/>
      <c r="D963" s="161"/>
      <c r="E963" s="969"/>
      <c r="F963" s="970"/>
      <c r="G963" s="971"/>
      <c r="H963" s="161"/>
      <c r="I963" s="605"/>
      <c r="J963" s="605"/>
      <c r="K963" s="212"/>
      <c r="L963" s="341"/>
      <c r="M963" s="212"/>
      <c r="N963" s="605"/>
      <c r="O963" s="212"/>
      <c r="P963" s="341"/>
      <c r="Q963" s="212"/>
      <c r="R963" s="605"/>
      <c r="S963" s="225"/>
      <c r="T963" s="237"/>
    </row>
    <row r="964" spans="1:20" ht="30" hidden="1" customHeight="1" x14ac:dyDescent="0.3">
      <c r="A964" s="262">
        <v>10</v>
      </c>
      <c r="C964" s="244"/>
      <c r="D964" s="161"/>
      <c r="E964" s="969"/>
      <c r="F964" s="970"/>
      <c r="G964" s="971"/>
      <c r="H964" s="161"/>
      <c r="I964" s="605"/>
      <c r="J964" s="605"/>
      <c r="K964" s="212"/>
      <c r="L964" s="341"/>
      <c r="M964" s="212"/>
      <c r="N964" s="605"/>
      <c r="O964" s="212"/>
      <c r="P964" s="341"/>
      <c r="Q964" s="212"/>
      <c r="R964" s="605"/>
      <c r="S964" s="225"/>
      <c r="T964" s="237"/>
    </row>
    <row r="965" spans="1:20" ht="30" hidden="1" customHeight="1" x14ac:dyDescent="0.3">
      <c r="A965" s="262">
        <v>10</v>
      </c>
      <c r="C965" s="244"/>
      <c r="D965" s="161"/>
      <c r="E965" s="969"/>
      <c r="F965" s="970"/>
      <c r="G965" s="971"/>
      <c r="H965" s="161"/>
      <c r="I965" s="605"/>
      <c r="J965" s="605"/>
      <c r="K965" s="212"/>
      <c r="L965" s="341"/>
      <c r="M965" s="212"/>
      <c r="N965" s="605"/>
      <c r="O965" s="212"/>
      <c r="P965" s="341"/>
      <c r="Q965" s="212"/>
      <c r="R965" s="605"/>
      <c r="S965" s="225"/>
      <c r="T965" s="237"/>
    </row>
    <row r="966" spans="1:20" ht="30" hidden="1" customHeight="1" x14ac:dyDescent="0.3">
      <c r="A966" s="262">
        <v>10</v>
      </c>
      <c r="C966" s="244"/>
      <c r="D966" s="161"/>
      <c r="E966" s="969"/>
      <c r="F966" s="970"/>
      <c r="G966" s="971"/>
      <c r="H966" s="161"/>
      <c r="I966" s="605"/>
      <c r="J966" s="605"/>
      <c r="K966" s="212"/>
      <c r="L966" s="341"/>
      <c r="M966" s="212"/>
      <c r="N966" s="605"/>
      <c r="O966" s="212"/>
      <c r="P966" s="341"/>
      <c r="Q966" s="212"/>
      <c r="R966" s="605"/>
      <c r="S966" s="225"/>
      <c r="T966" s="237"/>
    </row>
    <row r="967" spans="1:20" ht="30" hidden="1" customHeight="1" x14ac:dyDescent="0.3">
      <c r="A967" s="262">
        <v>10</v>
      </c>
      <c r="C967" s="244"/>
      <c r="D967" s="161"/>
      <c r="E967" s="969"/>
      <c r="F967" s="970"/>
      <c r="G967" s="971"/>
      <c r="H967" s="161"/>
      <c r="I967" s="605"/>
      <c r="J967" s="605"/>
      <c r="K967" s="212"/>
      <c r="L967" s="341"/>
      <c r="M967" s="212"/>
      <c r="N967" s="605"/>
      <c r="O967" s="212"/>
      <c r="P967" s="341"/>
      <c r="Q967" s="212"/>
      <c r="R967" s="605"/>
      <c r="S967" s="225"/>
      <c r="T967" s="237"/>
    </row>
    <row r="968" spans="1:20" ht="30" hidden="1" customHeight="1" x14ac:dyDescent="0.3">
      <c r="A968" s="262">
        <v>10</v>
      </c>
      <c r="C968" s="244"/>
      <c r="D968" s="161"/>
      <c r="E968" s="969"/>
      <c r="F968" s="970"/>
      <c r="G968" s="971"/>
      <c r="H968" s="161"/>
      <c r="I968" s="605"/>
      <c r="J968" s="605"/>
      <c r="K968" s="212"/>
      <c r="L968" s="341"/>
      <c r="M968" s="212"/>
      <c r="N968" s="605"/>
      <c r="O968" s="212"/>
      <c r="P968" s="341"/>
      <c r="Q968" s="212"/>
      <c r="R968" s="605"/>
      <c r="S968" s="225"/>
      <c r="T968" s="237"/>
    </row>
    <row r="969" spans="1:20" ht="30" hidden="1" customHeight="1" x14ac:dyDescent="0.3">
      <c r="A969" s="262">
        <v>10</v>
      </c>
      <c r="C969" s="244"/>
      <c r="D969" s="161"/>
      <c r="E969" s="969"/>
      <c r="F969" s="970"/>
      <c r="G969" s="971"/>
      <c r="H969" s="161"/>
      <c r="I969" s="605"/>
      <c r="J969" s="605"/>
      <c r="K969" s="212"/>
      <c r="L969" s="341"/>
      <c r="M969" s="212"/>
      <c r="N969" s="605"/>
      <c r="O969" s="212"/>
      <c r="P969" s="341"/>
      <c r="Q969" s="212"/>
      <c r="R969" s="605"/>
      <c r="S969" s="225"/>
      <c r="T969" s="237"/>
    </row>
    <row r="970" spans="1:20" ht="30" hidden="1" customHeight="1" x14ac:dyDescent="0.3">
      <c r="A970" s="262">
        <v>10</v>
      </c>
      <c r="C970" s="244"/>
      <c r="D970" s="161"/>
      <c r="E970" s="969"/>
      <c r="F970" s="970"/>
      <c r="G970" s="971"/>
      <c r="H970" s="161"/>
      <c r="I970" s="605"/>
      <c r="J970" s="605"/>
      <c r="K970" s="212"/>
      <c r="L970" s="341"/>
      <c r="M970" s="212"/>
      <c r="N970" s="605"/>
      <c r="O970" s="212"/>
      <c r="P970" s="341"/>
      <c r="Q970" s="212"/>
      <c r="R970" s="605"/>
      <c r="S970" s="225"/>
      <c r="T970" s="237"/>
    </row>
    <row r="971" spans="1:20" ht="30" hidden="1" customHeight="1" x14ac:dyDescent="0.3">
      <c r="A971" s="262">
        <v>10</v>
      </c>
      <c r="C971" s="244"/>
      <c r="D971" s="161"/>
      <c r="E971" s="969"/>
      <c r="F971" s="970"/>
      <c r="G971" s="971"/>
      <c r="H971" s="161"/>
      <c r="I971" s="605"/>
      <c r="J971" s="605"/>
      <c r="K971" s="212"/>
      <c r="L971" s="341"/>
      <c r="M971" s="212"/>
      <c r="N971" s="605"/>
      <c r="O971" s="212"/>
      <c r="P971" s="341"/>
      <c r="Q971" s="212"/>
      <c r="R971" s="605"/>
      <c r="S971" s="225"/>
      <c r="T971" s="237"/>
    </row>
    <row r="972" spans="1:20" ht="30" hidden="1" customHeight="1" x14ac:dyDescent="0.3">
      <c r="A972" s="262">
        <v>10</v>
      </c>
      <c r="C972" s="244"/>
      <c r="D972" s="161"/>
      <c r="E972" s="969"/>
      <c r="F972" s="970"/>
      <c r="G972" s="971"/>
      <c r="H972" s="161"/>
      <c r="I972" s="605"/>
      <c r="J972" s="605"/>
      <c r="K972" s="212"/>
      <c r="L972" s="341"/>
      <c r="M972" s="212"/>
      <c r="N972" s="605"/>
      <c r="O972" s="212"/>
      <c r="P972" s="341"/>
      <c r="Q972" s="212"/>
      <c r="R972" s="605"/>
      <c r="S972" s="225"/>
      <c r="T972" s="237"/>
    </row>
    <row r="973" spans="1:20" ht="30" hidden="1" customHeight="1" x14ac:dyDescent="0.3">
      <c r="A973" s="262">
        <v>10</v>
      </c>
      <c r="C973" s="244"/>
      <c r="D973" s="161"/>
      <c r="E973" s="969"/>
      <c r="F973" s="970"/>
      <c r="G973" s="971"/>
      <c r="H973" s="658"/>
      <c r="I973" s="605"/>
      <c r="J973" s="605"/>
      <c r="K973" s="212"/>
      <c r="L973" s="341"/>
      <c r="M973" s="302"/>
      <c r="N973" s="605"/>
      <c r="O973" s="212"/>
      <c r="P973" s="341"/>
      <c r="Q973" s="302"/>
      <c r="R973" s="605"/>
      <c r="S973" s="225"/>
      <c r="T973" s="237"/>
    </row>
    <row r="974" spans="1:20" ht="40.049999999999997" hidden="1" customHeight="1" x14ac:dyDescent="0.3">
      <c r="A974" s="262" t="s">
        <v>1242</v>
      </c>
      <c r="C974" s="258"/>
      <c r="D974" s="258"/>
      <c r="E974" s="972" t="s">
        <v>33</v>
      </c>
      <c r="F974" s="972"/>
      <c r="G974" s="972"/>
      <c r="H974" s="973" t="s">
        <v>29</v>
      </c>
      <c r="I974" s="973"/>
      <c r="J974" s="973"/>
      <c r="K974" s="973"/>
      <c r="L974" s="973"/>
      <c r="M974" s="549"/>
      <c r="N974" s="973" t="s">
        <v>22</v>
      </c>
      <c r="O974" s="973"/>
      <c r="P974" s="973"/>
      <c r="Q974" s="973"/>
      <c r="R974" s="973"/>
      <c r="S974" s="973"/>
      <c r="T974" s="973"/>
    </row>
    <row r="975" spans="1:20" ht="19.95" hidden="1" customHeight="1" x14ac:dyDescent="0.3">
      <c r="A975" s="262" t="s">
        <v>1242</v>
      </c>
      <c r="D975" s="28"/>
      <c r="E975" s="974" t="s">
        <v>1214</v>
      </c>
      <c r="F975" s="974"/>
      <c r="G975" s="974"/>
      <c r="H975" s="975" t="s">
        <v>38</v>
      </c>
      <c r="I975" s="975"/>
      <c r="J975" s="975"/>
      <c r="K975" s="975"/>
      <c r="L975" s="975"/>
      <c r="M975" s="562"/>
      <c r="N975" s="975" t="s">
        <v>1437</v>
      </c>
      <c r="O975" s="975"/>
      <c r="P975" s="975"/>
      <c r="Q975" s="975"/>
      <c r="R975" s="975"/>
      <c r="S975" s="975"/>
      <c r="T975" s="975"/>
    </row>
    <row r="976" spans="1:20" ht="19.95" hidden="1" customHeight="1" x14ac:dyDescent="0.3">
      <c r="A976" s="262" t="s">
        <v>1242</v>
      </c>
      <c r="C976" s="228"/>
      <c r="D976" s="228"/>
      <c r="E976" s="561"/>
      <c r="F976" s="561"/>
      <c r="G976" s="561"/>
      <c r="H976" s="228"/>
      <c r="I976" s="260"/>
      <c r="J976" s="260"/>
      <c r="K976" s="260"/>
      <c r="L976" s="260"/>
      <c r="M976" s="260"/>
      <c r="N976" s="975"/>
      <c r="O976" s="975"/>
      <c r="P976" s="975"/>
      <c r="Q976" s="975"/>
      <c r="R976" s="975"/>
      <c r="S976" s="975"/>
      <c r="T976" s="975"/>
    </row>
    <row r="977" spans="1:20" ht="19.95" hidden="1" customHeight="1" x14ac:dyDescent="0.3">
      <c r="A977" s="262" t="s">
        <v>1242</v>
      </c>
      <c r="C977" s="228"/>
      <c r="D977" s="228"/>
      <c r="E977" s="561"/>
      <c r="F977" s="561"/>
      <c r="G977" s="561"/>
      <c r="H977" s="228"/>
      <c r="I977" s="260"/>
      <c r="J977" s="260"/>
      <c r="K977" s="260"/>
      <c r="L977" s="260"/>
      <c r="M977" s="260"/>
      <c r="N977" s="975"/>
      <c r="O977" s="975"/>
      <c r="P977" s="975"/>
      <c r="Q977" s="975"/>
      <c r="R977" s="975"/>
      <c r="S977" s="975"/>
      <c r="T977" s="975"/>
    </row>
    <row r="978" spans="1:20" ht="19.95" hidden="1" customHeight="1" x14ac:dyDescent="0.3">
      <c r="A978" s="262" t="s">
        <v>1242</v>
      </c>
      <c r="C978" s="228"/>
      <c r="D978" s="228"/>
      <c r="E978" s="561"/>
      <c r="F978" s="561"/>
      <c r="G978" s="561"/>
      <c r="H978" s="261"/>
      <c r="I978" s="261"/>
      <c r="J978" s="261"/>
      <c r="K978" s="261"/>
      <c r="L978" s="261"/>
      <c r="M978" s="261"/>
      <c r="N978" s="260"/>
      <c r="O978" s="260"/>
      <c r="P978" s="260"/>
      <c r="Q978" s="260"/>
      <c r="R978" s="260"/>
      <c r="S978" s="260"/>
      <c r="T978" s="260"/>
    </row>
    <row r="979" spans="1:20" ht="19.95" hidden="1" customHeight="1" x14ac:dyDescent="0.3">
      <c r="A979" s="262" t="s">
        <v>1242</v>
      </c>
      <c r="C979" s="228"/>
      <c r="D979" s="228"/>
      <c r="E979" s="561"/>
      <c r="F979" s="561"/>
      <c r="G979" s="561"/>
      <c r="H979" s="975" t="s">
        <v>32</v>
      </c>
      <c r="I979" s="975"/>
      <c r="J979" s="562"/>
      <c r="K979" s="975" t="s">
        <v>1407</v>
      </c>
      <c r="L979" s="975"/>
      <c r="M979" s="562"/>
      <c r="N979" s="968" t="s">
        <v>28</v>
      </c>
      <c r="O979" s="968"/>
      <c r="P979" s="968"/>
      <c r="Q979" s="260"/>
      <c r="R979" s="968" t="s">
        <v>1244</v>
      </c>
      <c r="S979" s="968"/>
      <c r="T979" s="968"/>
    </row>
    <row r="980" spans="1:20" ht="19.95" hidden="1" customHeight="1" x14ac:dyDescent="0.3">
      <c r="A980" s="262" t="s">
        <v>1242</v>
      </c>
      <c r="C980" s="228"/>
      <c r="D980" s="228"/>
      <c r="E980" s="561"/>
      <c r="F980" s="561"/>
      <c r="G980" s="561"/>
      <c r="H980" s="976" t="s">
        <v>94</v>
      </c>
      <c r="I980" s="976"/>
      <c r="J980" s="623"/>
      <c r="K980" s="976" t="s">
        <v>94</v>
      </c>
      <c r="L980" s="976"/>
      <c r="M980" s="623"/>
      <c r="N980" s="968" t="s">
        <v>1486</v>
      </c>
      <c r="O980" s="968"/>
      <c r="P980" s="968"/>
      <c r="Q980" s="260"/>
      <c r="R980" s="968" t="s">
        <v>1483</v>
      </c>
      <c r="S980" s="968"/>
      <c r="T980" s="968"/>
    </row>
    <row r="981" spans="1:20" ht="19.95" hidden="1" customHeight="1" x14ac:dyDescent="0.3">
      <c r="A981" s="262" t="s">
        <v>1242</v>
      </c>
      <c r="C981" s="228"/>
      <c r="D981" s="228"/>
      <c r="E981" s="561"/>
      <c r="F981" s="561"/>
      <c r="G981" s="561"/>
      <c r="H981" s="976"/>
      <c r="I981" s="976"/>
      <c r="J981" s="623"/>
      <c r="K981" s="976"/>
      <c r="L981" s="976"/>
      <c r="M981" s="623"/>
      <c r="N981" s="968"/>
      <c r="O981" s="968"/>
      <c r="P981" s="968"/>
      <c r="Q981" s="260"/>
      <c r="R981" s="968"/>
      <c r="S981" s="968"/>
      <c r="T981" s="968"/>
    </row>
    <row r="982" spans="1:20" ht="19.95" hidden="1" customHeight="1" x14ac:dyDescent="0.3">
      <c r="A982" s="262" t="s">
        <v>1242</v>
      </c>
      <c r="C982" s="228"/>
      <c r="D982" s="228"/>
      <c r="E982" s="561"/>
      <c r="F982" s="561"/>
      <c r="G982" s="561"/>
      <c r="H982" s="228"/>
      <c r="I982" s="260"/>
      <c r="J982" s="260"/>
      <c r="K982" s="260"/>
      <c r="L982" s="260"/>
      <c r="M982" s="260"/>
      <c r="N982" s="260"/>
      <c r="O982" s="260"/>
      <c r="P982" s="260"/>
      <c r="Q982" s="260"/>
      <c r="R982" s="260"/>
      <c r="S982" s="624"/>
      <c r="T982" s="260"/>
    </row>
    <row r="983" spans="1:20" ht="19.95" hidden="1" customHeight="1" x14ac:dyDescent="0.3">
      <c r="A983" s="262" t="s">
        <v>1242</v>
      </c>
      <c r="C983" s="228"/>
      <c r="D983" s="228"/>
      <c r="E983" s="975" t="s">
        <v>1215</v>
      </c>
      <c r="F983" s="975"/>
      <c r="G983" s="975"/>
      <c r="H983" s="975" t="s">
        <v>1348</v>
      </c>
      <c r="I983" s="975"/>
      <c r="J983" s="975"/>
      <c r="K983" s="975"/>
      <c r="L983" s="975"/>
      <c r="M983" s="562"/>
      <c r="N983" s="977" t="s">
        <v>1219</v>
      </c>
      <c r="O983" s="968"/>
      <c r="P983" s="968"/>
      <c r="Q983" s="968"/>
      <c r="R983" s="968"/>
      <c r="S983" s="968"/>
      <c r="T983" s="968"/>
    </row>
    <row r="984" spans="1:20" ht="19.95" hidden="1" customHeight="1" x14ac:dyDescent="0.3">
      <c r="A984" s="262" t="s">
        <v>1290</v>
      </c>
      <c r="C984" s="228"/>
      <c r="D984" s="228"/>
      <c r="E984" s="975"/>
      <c r="F984" s="975"/>
      <c r="G984" s="975"/>
      <c r="H984" s="975"/>
      <c r="I984" s="975"/>
      <c r="J984" s="975"/>
      <c r="K984" s="975"/>
      <c r="L984" s="975"/>
      <c r="M984" s="562"/>
      <c r="N984" s="968"/>
      <c r="O984" s="968"/>
      <c r="P984" s="968"/>
      <c r="Q984" s="968"/>
      <c r="R984" s="968"/>
      <c r="S984" s="968"/>
      <c r="T984" s="968"/>
    </row>
    <row r="985" spans="1:20" ht="30" hidden="1" customHeight="1" x14ac:dyDescent="0.3">
      <c r="A985" s="262" t="s">
        <v>1240</v>
      </c>
      <c r="C985" s="625"/>
      <c r="D985" s="626" t="s">
        <v>1238</v>
      </c>
      <c r="E985" s="627"/>
      <c r="F985" s="627"/>
      <c r="G985" s="627"/>
      <c r="H985" s="627"/>
      <c r="I985" s="628"/>
      <c r="J985" s="628"/>
      <c r="K985" s="628"/>
      <c r="L985" s="644">
        <f>+SUMIFS(L:L,A:A,"11")</f>
        <v>75000000</v>
      </c>
      <c r="M985" s="629"/>
      <c r="N985" s="648"/>
      <c r="O985" s="628"/>
      <c r="P985" s="628"/>
      <c r="Q985" s="611"/>
      <c r="R985" s="651">
        <f>+SUMIFS(R:R,A:A,"11")</f>
        <v>0</v>
      </c>
      <c r="S985" s="630">
        <f>+SUMIFS(S:S,A:A,"11")</f>
        <v>0</v>
      </c>
      <c r="T985" s="631">
        <f>+SUMIFS(T:T,A:A,"11")</f>
        <v>0</v>
      </c>
    </row>
    <row r="986" spans="1:20" ht="30" hidden="1" customHeight="1" x14ac:dyDescent="0.3">
      <c r="A986" s="262">
        <v>11</v>
      </c>
      <c r="C986" s="244">
        <v>481</v>
      </c>
      <c r="D986" s="213" t="s">
        <v>1149</v>
      </c>
      <c r="E986" s="969" t="s">
        <v>138</v>
      </c>
      <c r="F986" s="970"/>
      <c r="G986" s="971"/>
      <c r="H986" s="544" t="s">
        <v>247</v>
      </c>
      <c r="I986" s="212">
        <v>75000000</v>
      </c>
      <c r="J986" s="605"/>
      <c r="K986" s="212">
        <v>1</v>
      </c>
      <c r="L986" s="212">
        <f>+ROUND(I986*K986,2)</f>
        <v>75000000</v>
      </c>
      <c r="M986" s="602"/>
      <c r="N986" s="675">
        <f>+'Yeşil Defter'!K1085</f>
        <v>0</v>
      </c>
      <c r="O986" s="675">
        <f>+'Yeşil Defter'!L1085</f>
        <v>0</v>
      </c>
      <c r="P986" s="675">
        <f>+'Yeşil Defter'!M1085</f>
        <v>0</v>
      </c>
      <c r="Q986" s="212"/>
      <c r="R986" s="605">
        <f>+ROUND(K986*N986,2)</f>
        <v>0</v>
      </c>
      <c r="S986" s="225">
        <f t="shared" ref="S986" si="109">+T986-R986</f>
        <v>0</v>
      </c>
      <c r="T986" s="237">
        <f>+ROUND(K986*P986,2)</f>
        <v>0</v>
      </c>
    </row>
    <row r="987" spans="1:20" ht="30" hidden="1" customHeight="1" x14ac:dyDescent="0.3">
      <c r="A987" s="262" t="s">
        <v>1240</v>
      </c>
      <c r="C987" s="241"/>
      <c r="D987" s="263" t="s">
        <v>1239</v>
      </c>
      <c r="E987" s="217"/>
      <c r="F987" s="217"/>
      <c r="G987" s="217"/>
      <c r="H987" s="217"/>
      <c r="I987" s="231"/>
      <c r="J987" s="231"/>
      <c r="K987" s="231"/>
      <c r="L987" s="641">
        <f>+SUMIFS(L:L,A:A,"12")</f>
        <v>75000000</v>
      </c>
      <c r="M987" s="599"/>
      <c r="N987" s="645"/>
      <c r="O987" s="231"/>
      <c r="P987" s="231"/>
      <c r="Q987" s="208"/>
      <c r="R987" s="652">
        <f>+SUMIFS(R:R,A:A,"12")</f>
        <v>0</v>
      </c>
      <c r="S987" s="251">
        <f>+SUMIFS(S:S,A:A,"12")</f>
        <v>0</v>
      </c>
      <c r="T987" s="252">
        <f>+SUMIFS(T:T,A:A,"12")</f>
        <v>0</v>
      </c>
    </row>
    <row r="988" spans="1:20" ht="30" hidden="1" customHeight="1" x14ac:dyDescent="0.3">
      <c r="A988" s="262">
        <v>12</v>
      </c>
      <c r="C988" s="243">
        <v>482</v>
      </c>
      <c r="D988" s="210" t="s">
        <v>1150</v>
      </c>
      <c r="E988" s="992" t="s">
        <v>1151</v>
      </c>
      <c r="F988" s="993"/>
      <c r="G988" s="994"/>
      <c r="H988" s="604" t="s">
        <v>247</v>
      </c>
      <c r="I988" s="211">
        <v>75000000</v>
      </c>
      <c r="J988" s="607"/>
      <c r="K988" s="211">
        <v>1</v>
      </c>
      <c r="L988" s="211">
        <f>+ROUND(I988*K988,2)</f>
        <v>75000000</v>
      </c>
      <c r="M988" s="601"/>
      <c r="N988" s="675">
        <f>+'Yeşil Defter'!K1087</f>
        <v>0</v>
      </c>
      <c r="O988" s="675">
        <f>+'Yeşil Defter'!L1087</f>
        <v>0</v>
      </c>
      <c r="P988" s="675">
        <f>+'Yeşil Defter'!M1087</f>
        <v>0</v>
      </c>
      <c r="Q988" s="211"/>
      <c r="R988" s="607">
        <f>+ROUND(K988*N988,2)</f>
        <v>0</v>
      </c>
      <c r="S988" s="224">
        <f t="shared" ref="S988" si="110">+T988-R988</f>
        <v>0</v>
      </c>
      <c r="T988" s="236">
        <f>+ROUND(K988*P988,2)</f>
        <v>0</v>
      </c>
    </row>
    <row r="989" spans="1:20" ht="30" hidden="1" customHeight="1" x14ac:dyDescent="0.3">
      <c r="A989" s="262">
        <v>12</v>
      </c>
      <c r="C989" s="244"/>
      <c r="D989" s="161"/>
      <c r="E989" s="969"/>
      <c r="F989" s="970"/>
      <c r="G989" s="971"/>
      <c r="H989" s="161"/>
      <c r="I989" s="605"/>
      <c r="J989" s="605"/>
      <c r="K989" s="212"/>
      <c r="L989" s="341"/>
      <c r="M989" s="212"/>
      <c r="N989" s="605"/>
      <c r="O989" s="212"/>
      <c r="P989" s="341"/>
      <c r="Q989" s="212"/>
      <c r="R989" s="605"/>
      <c r="S989" s="225"/>
      <c r="T989" s="237"/>
    </row>
    <row r="990" spans="1:20" ht="30" hidden="1" customHeight="1" x14ac:dyDescent="0.3">
      <c r="A990" s="262">
        <v>12</v>
      </c>
      <c r="C990" s="244"/>
      <c r="D990" s="161"/>
      <c r="E990" s="969"/>
      <c r="F990" s="970"/>
      <c r="G990" s="971"/>
      <c r="H990" s="161"/>
      <c r="I990" s="605"/>
      <c r="J990" s="605"/>
      <c r="K990" s="212"/>
      <c r="L990" s="341"/>
      <c r="M990" s="212"/>
      <c r="N990" s="605"/>
      <c r="O990" s="212"/>
      <c r="P990" s="341"/>
      <c r="Q990" s="212"/>
      <c r="R990" s="605"/>
      <c r="S990" s="225"/>
      <c r="T990" s="237"/>
    </row>
    <row r="991" spans="1:20" ht="30" hidden="1" customHeight="1" x14ac:dyDescent="0.3">
      <c r="A991" s="262">
        <v>12</v>
      </c>
      <c r="C991" s="244"/>
      <c r="D991" s="161"/>
      <c r="E991" s="969"/>
      <c r="F991" s="970"/>
      <c r="G991" s="971"/>
      <c r="H991" s="161"/>
      <c r="I991" s="605"/>
      <c r="J991" s="605"/>
      <c r="K991" s="212"/>
      <c r="L991" s="341"/>
      <c r="M991" s="212"/>
      <c r="N991" s="605"/>
      <c r="O991" s="212"/>
      <c r="P991" s="341"/>
      <c r="Q991" s="212"/>
      <c r="R991" s="605"/>
      <c r="S991" s="225"/>
      <c r="T991" s="237"/>
    </row>
    <row r="992" spans="1:20" ht="30" hidden="1" customHeight="1" x14ac:dyDescent="0.3">
      <c r="A992" s="262">
        <v>12</v>
      </c>
      <c r="C992" s="244"/>
      <c r="D992" s="161"/>
      <c r="E992" s="969"/>
      <c r="F992" s="970"/>
      <c r="G992" s="971"/>
      <c r="H992" s="161"/>
      <c r="I992" s="605"/>
      <c r="J992" s="605"/>
      <c r="K992" s="212"/>
      <c r="L992" s="341"/>
      <c r="M992" s="212"/>
      <c r="N992" s="605"/>
      <c r="O992" s="212"/>
      <c r="P992" s="341"/>
      <c r="Q992" s="212"/>
      <c r="R992" s="605"/>
      <c r="S992" s="225"/>
      <c r="T992" s="237"/>
    </row>
    <row r="993" spans="1:20" ht="30" hidden="1" customHeight="1" x14ac:dyDescent="0.3">
      <c r="A993" s="262">
        <v>12</v>
      </c>
      <c r="C993" s="244"/>
      <c r="D993" s="161"/>
      <c r="E993" s="969"/>
      <c r="F993" s="970"/>
      <c r="G993" s="971"/>
      <c r="H993" s="161"/>
      <c r="I993" s="605"/>
      <c r="J993" s="605"/>
      <c r="K993" s="212"/>
      <c r="L993" s="341"/>
      <c r="M993" s="212"/>
      <c r="N993" s="605"/>
      <c r="O993" s="212"/>
      <c r="P993" s="341"/>
      <c r="Q993" s="212"/>
      <c r="R993" s="605"/>
      <c r="S993" s="225"/>
      <c r="T993" s="237"/>
    </row>
    <row r="994" spans="1:20" ht="30" hidden="1" customHeight="1" x14ac:dyDescent="0.3">
      <c r="A994" s="262">
        <v>12</v>
      </c>
      <c r="C994" s="244"/>
      <c r="D994" s="161"/>
      <c r="E994" s="969"/>
      <c r="F994" s="970"/>
      <c r="G994" s="971"/>
      <c r="H994" s="161"/>
      <c r="I994" s="605"/>
      <c r="J994" s="605"/>
      <c r="K994" s="212"/>
      <c r="L994" s="341"/>
      <c r="M994" s="212"/>
      <c r="N994" s="605"/>
      <c r="O994" s="212"/>
      <c r="P994" s="341"/>
      <c r="Q994" s="212"/>
      <c r="R994" s="605"/>
      <c r="S994" s="225"/>
      <c r="T994" s="237"/>
    </row>
    <row r="995" spans="1:20" ht="30" hidden="1" customHeight="1" x14ac:dyDescent="0.3">
      <c r="A995" s="262">
        <v>12</v>
      </c>
      <c r="C995" s="244"/>
      <c r="D995" s="161"/>
      <c r="E995" s="969"/>
      <c r="F995" s="970"/>
      <c r="G995" s="971"/>
      <c r="H995" s="161"/>
      <c r="I995" s="605"/>
      <c r="J995" s="605"/>
      <c r="K995" s="212"/>
      <c r="L995" s="341"/>
      <c r="M995" s="212"/>
      <c r="N995" s="605"/>
      <c r="O995" s="212"/>
      <c r="P995" s="341"/>
      <c r="Q995" s="212"/>
      <c r="R995" s="605"/>
      <c r="S995" s="225"/>
      <c r="T995" s="237"/>
    </row>
    <row r="996" spans="1:20" ht="30" hidden="1" customHeight="1" x14ac:dyDescent="0.3">
      <c r="A996" s="262">
        <v>12</v>
      </c>
      <c r="C996" s="244"/>
      <c r="D996" s="161"/>
      <c r="E996" s="969"/>
      <c r="F996" s="970"/>
      <c r="G996" s="971"/>
      <c r="H996" s="161"/>
      <c r="I996" s="605"/>
      <c r="J996" s="605"/>
      <c r="K996" s="212"/>
      <c r="L996" s="341"/>
      <c r="M996" s="212"/>
      <c r="N996" s="605"/>
      <c r="O996" s="212"/>
      <c r="P996" s="341"/>
      <c r="Q996" s="212"/>
      <c r="R996" s="605"/>
      <c r="S996" s="225"/>
      <c r="T996" s="237"/>
    </row>
    <row r="997" spans="1:20" ht="30" hidden="1" customHeight="1" x14ac:dyDescent="0.3">
      <c r="A997" s="262">
        <v>12</v>
      </c>
      <c r="C997" s="244"/>
      <c r="D997" s="161"/>
      <c r="E997" s="969"/>
      <c r="F997" s="970"/>
      <c r="G997" s="971"/>
      <c r="H997" s="161"/>
      <c r="I997" s="605"/>
      <c r="J997" s="605"/>
      <c r="K997" s="212"/>
      <c r="L997" s="341"/>
      <c r="M997" s="212"/>
      <c r="N997" s="605"/>
      <c r="O997" s="212"/>
      <c r="P997" s="341"/>
      <c r="Q997" s="212"/>
      <c r="R997" s="605"/>
      <c r="S997" s="225"/>
      <c r="T997" s="237"/>
    </row>
    <row r="998" spans="1:20" ht="30" hidden="1" customHeight="1" x14ac:dyDescent="0.3">
      <c r="A998" s="262">
        <v>12</v>
      </c>
      <c r="C998" s="244"/>
      <c r="D998" s="161"/>
      <c r="E998" s="969"/>
      <c r="F998" s="970"/>
      <c r="G998" s="971"/>
      <c r="H998" s="161"/>
      <c r="I998" s="605"/>
      <c r="J998" s="605"/>
      <c r="K998" s="212"/>
      <c r="L998" s="341"/>
      <c r="M998" s="212"/>
      <c r="N998" s="605"/>
      <c r="O998" s="212"/>
      <c r="P998" s="341"/>
      <c r="Q998" s="212"/>
      <c r="R998" s="605"/>
      <c r="S998" s="225"/>
      <c r="T998" s="237"/>
    </row>
    <row r="999" spans="1:20" ht="30" hidden="1" customHeight="1" x14ac:dyDescent="0.3">
      <c r="A999" s="262">
        <v>12</v>
      </c>
      <c r="C999" s="244"/>
      <c r="D999" s="161"/>
      <c r="E999" s="969"/>
      <c r="F999" s="970"/>
      <c r="G999" s="971"/>
      <c r="H999" s="161"/>
      <c r="I999" s="605"/>
      <c r="J999" s="605"/>
      <c r="K999" s="212"/>
      <c r="L999" s="341"/>
      <c r="M999" s="212"/>
      <c r="N999" s="605"/>
      <c r="O999" s="212"/>
      <c r="P999" s="341"/>
      <c r="Q999" s="212"/>
      <c r="R999" s="605"/>
      <c r="S999" s="225"/>
      <c r="T999" s="237"/>
    </row>
    <row r="1000" spans="1:20" ht="30" hidden="1" customHeight="1" x14ac:dyDescent="0.3">
      <c r="A1000" s="262">
        <v>12</v>
      </c>
      <c r="C1000" s="244"/>
      <c r="D1000" s="161"/>
      <c r="E1000" s="969"/>
      <c r="F1000" s="970"/>
      <c r="G1000" s="971"/>
      <c r="H1000" s="161"/>
      <c r="I1000" s="605"/>
      <c r="J1000" s="605"/>
      <c r="K1000" s="212"/>
      <c r="L1000" s="341"/>
      <c r="M1000" s="212"/>
      <c r="N1000" s="605"/>
      <c r="O1000" s="212"/>
      <c r="P1000" s="341"/>
      <c r="Q1000" s="212"/>
      <c r="R1000" s="605"/>
      <c r="S1000" s="225"/>
      <c r="T1000" s="237"/>
    </row>
    <row r="1001" spans="1:20" ht="30" hidden="1" customHeight="1" x14ac:dyDescent="0.3">
      <c r="A1001" s="262">
        <v>12</v>
      </c>
      <c r="C1001" s="244"/>
      <c r="D1001" s="161"/>
      <c r="E1001" s="969"/>
      <c r="F1001" s="970"/>
      <c r="G1001" s="971"/>
      <c r="H1001" s="161"/>
      <c r="I1001" s="605"/>
      <c r="J1001" s="605"/>
      <c r="K1001" s="212"/>
      <c r="L1001" s="341"/>
      <c r="M1001" s="212"/>
      <c r="N1001" s="605"/>
      <c r="O1001" s="212"/>
      <c r="P1001" s="341"/>
      <c r="Q1001" s="212"/>
      <c r="R1001" s="605"/>
      <c r="S1001" s="225"/>
      <c r="T1001" s="237"/>
    </row>
    <row r="1002" spans="1:20" ht="30" hidden="1" customHeight="1" x14ac:dyDescent="0.3">
      <c r="A1002" s="262">
        <v>12</v>
      </c>
      <c r="C1002" s="244"/>
      <c r="D1002" s="161"/>
      <c r="E1002" s="969"/>
      <c r="F1002" s="970"/>
      <c r="G1002" s="971"/>
      <c r="H1002" s="161"/>
      <c r="I1002" s="605"/>
      <c r="J1002" s="605"/>
      <c r="K1002" s="212"/>
      <c r="L1002" s="341"/>
      <c r="M1002" s="212"/>
      <c r="N1002" s="605"/>
      <c r="O1002" s="212"/>
      <c r="P1002" s="341"/>
      <c r="Q1002" s="212"/>
      <c r="R1002" s="605"/>
      <c r="S1002" s="225"/>
      <c r="T1002" s="237"/>
    </row>
    <row r="1003" spans="1:20" ht="30" hidden="1" customHeight="1" x14ac:dyDescent="0.3">
      <c r="A1003" s="262">
        <v>12</v>
      </c>
      <c r="C1003" s="244"/>
      <c r="D1003" s="161"/>
      <c r="E1003" s="969"/>
      <c r="F1003" s="970"/>
      <c r="G1003" s="971"/>
      <c r="H1003" s="161"/>
      <c r="I1003" s="605"/>
      <c r="J1003" s="605"/>
      <c r="K1003" s="212"/>
      <c r="L1003" s="341"/>
      <c r="M1003" s="212"/>
      <c r="N1003" s="605"/>
      <c r="O1003" s="212"/>
      <c r="P1003" s="341"/>
      <c r="Q1003" s="212"/>
      <c r="R1003" s="605"/>
      <c r="S1003" s="225"/>
      <c r="T1003" s="237"/>
    </row>
    <row r="1004" spans="1:20" ht="30" hidden="1" customHeight="1" x14ac:dyDescent="0.3">
      <c r="A1004" s="262">
        <v>12</v>
      </c>
      <c r="C1004" s="244"/>
      <c r="D1004" s="161"/>
      <c r="E1004" s="969"/>
      <c r="F1004" s="970"/>
      <c r="G1004" s="971"/>
      <c r="H1004" s="161"/>
      <c r="I1004" s="605"/>
      <c r="J1004" s="605"/>
      <c r="K1004" s="212"/>
      <c r="L1004" s="341"/>
      <c r="M1004" s="212"/>
      <c r="N1004" s="605"/>
      <c r="O1004" s="212"/>
      <c r="P1004" s="341"/>
      <c r="Q1004" s="212"/>
      <c r="R1004" s="605"/>
      <c r="S1004" s="225"/>
      <c r="T1004" s="237"/>
    </row>
    <row r="1005" spans="1:20" ht="30" hidden="1" customHeight="1" x14ac:dyDescent="0.3">
      <c r="A1005" s="262">
        <v>12</v>
      </c>
      <c r="C1005" s="244"/>
      <c r="D1005" s="161"/>
      <c r="E1005" s="969"/>
      <c r="F1005" s="970"/>
      <c r="G1005" s="971"/>
      <c r="H1005" s="161"/>
      <c r="I1005" s="605"/>
      <c r="J1005" s="605"/>
      <c r="K1005" s="212"/>
      <c r="L1005" s="341"/>
      <c r="M1005" s="212"/>
      <c r="N1005" s="605"/>
      <c r="O1005" s="212"/>
      <c r="P1005" s="341"/>
      <c r="Q1005" s="212"/>
      <c r="R1005" s="605"/>
      <c r="S1005" s="225"/>
      <c r="T1005" s="237"/>
    </row>
    <row r="1006" spans="1:20" ht="30" hidden="1" customHeight="1" x14ac:dyDescent="0.3">
      <c r="A1006" s="262">
        <v>12</v>
      </c>
      <c r="C1006" s="244"/>
      <c r="D1006" s="161"/>
      <c r="E1006" s="969"/>
      <c r="F1006" s="970"/>
      <c r="G1006" s="971"/>
      <c r="H1006" s="161"/>
      <c r="I1006" s="605"/>
      <c r="J1006" s="605"/>
      <c r="K1006" s="212"/>
      <c r="L1006" s="341"/>
      <c r="M1006" s="212"/>
      <c r="N1006" s="605"/>
      <c r="O1006" s="212"/>
      <c r="P1006" s="341"/>
      <c r="Q1006" s="212"/>
      <c r="R1006" s="605"/>
      <c r="S1006" s="225"/>
      <c r="T1006" s="237"/>
    </row>
    <row r="1007" spans="1:20" ht="30" hidden="1" customHeight="1" thickBot="1" x14ac:dyDescent="0.35">
      <c r="A1007" s="262">
        <v>12</v>
      </c>
      <c r="C1007" s="245"/>
      <c r="D1007" s="246"/>
      <c r="E1007" s="996"/>
      <c r="F1007" s="997"/>
      <c r="G1007" s="998"/>
      <c r="H1007" s="659"/>
      <c r="I1007" s="608"/>
      <c r="J1007" s="608"/>
      <c r="K1007" s="240"/>
      <c r="L1007" s="597"/>
      <c r="M1007" s="240"/>
      <c r="N1007" s="608"/>
      <c r="O1007" s="240"/>
      <c r="P1007" s="597"/>
      <c r="Q1007" s="240"/>
      <c r="R1007" s="608"/>
      <c r="S1007" s="238"/>
      <c r="T1007" s="239"/>
    </row>
    <row r="1008" spans="1:20" ht="40.049999999999997" hidden="1" customHeight="1" x14ac:dyDescent="0.3">
      <c r="A1008" s="262" t="s">
        <v>1242</v>
      </c>
      <c r="C1008" s="258"/>
      <c r="D1008" s="258"/>
      <c r="E1008" s="972" t="s">
        <v>33</v>
      </c>
      <c r="F1008" s="972"/>
      <c r="G1008" s="972"/>
      <c r="H1008" s="973" t="s">
        <v>29</v>
      </c>
      <c r="I1008" s="973"/>
      <c r="J1008" s="973"/>
      <c r="K1008" s="973"/>
      <c r="L1008" s="973"/>
      <c r="M1008" s="549"/>
      <c r="N1008" s="973" t="s">
        <v>22</v>
      </c>
      <c r="O1008" s="973"/>
      <c r="P1008" s="973"/>
      <c r="Q1008" s="973"/>
      <c r="R1008" s="973"/>
      <c r="S1008" s="973"/>
      <c r="T1008" s="973"/>
    </row>
    <row r="1009" spans="1:20" ht="19.95" hidden="1" customHeight="1" x14ac:dyDescent="0.3">
      <c r="A1009" s="262" t="s">
        <v>1242</v>
      </c>
      <c r="D1009" s="28"/>
      <c r="E1009" s="974" t="s">
        <v>1214</v>
      </c>
      <c r="F1009" s="974"/>
      <c r="G1009" s="974"/>
      <c r="H1009" s="975" t="s">
        <v>38</v>
      </c>
      <c r="I1009" s="975"/>
      <c r="J1009" s="975"/>
      <c r="K1009" s="975"/>
      <c r="L1009" s="975"/>
      <c r="M1009" s="562"/>
      <c r="N1009" s="975" t="s">
        <v>1437</v>
      </c>
      <c r="O1009" s="975"/>
      <c r="P1009" s="975"/>
      <c r="Q1009" s="975"/>
      <c r="R1009" s="975"/>
      <c r="S1009" s="975"/>
      <c r="T1009" s="975"/>
    </row>
    <row r="1010" spans="1:20" ht="19.95" hidden="1" customHeight="1" x14ac:dyDescent="0.3">
      <c r="A1010" s="262" t="s">
        <v>1242</v>
      </c>
      <c r="C1010" s="228"/>
      <c r="D1010" s="228"/>
      <c r="E1010" s="561"/>
      <c r="F1010" s="561"/>
      <c r="G1010" s="561"/>
      <c r="H1010" s="228"/>
      <c r="I1010" s="260"/>
      <c r="J1010" s="260"/>
      <c r="K1010" s="260"/>
      <c r="L1010" s="260"/>
      <c r="M1010" s="260"/>
      <c r="N1010" s="975"/>
      <c r="O1010" s="975"/>
      <c r="P1010" s="975"/>
      <c r="Q1010" s="975"/>
      <c r="R1010" s="975"/>
      <c r="S1010" s="975"/>
      <c r="T1010" s="975"/>
    </row>
    <row r="1011" spans="1:20" ht="19.95" hidden="1" customHeight="1" x14ac:dyDescent="0.3">
      <c r="A1011" s="262" t="s">
        <v>1242</v>
      </c>
      <c r="C1011" s="228"/>
      <c r="D1011" s="228"/>
      <c r="E1011" s="561"/>
      <c r="F1011" s="561"/>
      <c r="G1011" s="561"/>
      <c r="H1011" s="228"/>
      <c r="I1011" s="260"/>
      <c r="J1011" s="260"/>
      <c r="K1011" s="260"/>
      <c r="L1011" s="260"/>
      <c r="M1011" s="260"/>
      <c r="N1011" s="975"/>
      <c r="O1011" s="975"/>
      <c r="P1011" s="975"/>
      <c r="Q1011" s="975"/>
      <c r="R1011" s="975"/>
      <c r="S1011" s="975"/>
      <c r="T1011" s="975"/>
    </row>
    <row r="1012" spans="1:20" ht="19.95" hidden="1" customHeight="1" x14ac:dyDescent="0.3">
      <c r="A1012" s="262" t="s">
        <v>1242</v>
      </c>
      <c r="C1012" s="228"/>
      <c r="D1012" s="228"/>
      <c r="E1012" s="561"/>
      <c r="F1012" s="561"/>
      <c r="G1012" s="561"/>
      <c r="H1012" s="261"/>
      <c r="I1012" s="261"/>
      <c r="J1012" s="261"/>
      <c r="K1012" s="261"/>
      <c r="L1012" s="261"/>
      <c r="M1012" s="261"/>
      <c r="N1012" s="968" t="s">
        <v>54</v>
      </c>
      <c r="O1012" s="968"/>
      <c r="P1012" s="968" t="s">
        <v>27</v>
      </c>
      <c r="Q1012" s="968"/>
      <c r="R1012" s="968"/>
      <c r="S1012" s="968" t="s">
        <v>55</v>
      </c>
      <c r="T1012" s="968"/>
    </row>
    <row r="1013" spans="1:20" ht="19.95" hidden="1" customHeight="1" x14ac:dyDescent="0.3">
      <c r="A1013" s="262" t="s">
        <v>1242</v>
      </c>
      <c r="C1013" s="228"/>
      <c r="D1013" s="228"/>
      <c r="E1013" s="561"/>
      <c r="F1013" s="561"/>
      <c r="G1013" s="561"/>
      <c r="H1013" s="261"/>
      <c r="I1013" s="261"/>
      <c r="J1013" s="261"/>
      <c r="K1013" s="261"/>
      <c r="L1013" s="261"/>
      <c r="M1013" s="261"/>
      <c r="N1013" s="968" t="s">
        <v>1484</v>
      </c>
      <c r="O1013" s="968"/>
      <c r="P1013" s="968" t="s">
        <v>1484</v>
      </c>
      <c r="Q1013" s="968"/>
      <c r="R1013" s="968"/>
      <c r="S1013" s="968" t="s">
        <v>1484</v>
      </c>
      <c r="T1013" s="968"/>
    </row>
    <row r="1014" spans="1:20" ht="19.95" hidden="1" customHeight="1" x14ac:dyDescent="0.3">
      <c r="A1014" s="262" t="s">
        <v>1242</v>
      </c>
      <c r="C1014" s="228"/>
      <c r="D1014" s="228"/>
      <c r="E1014" s="561"/>
      <c r="F1014" s="561"/>
      <c r="G1014" s="561"/>
      <c r="H1014" s="975" t="s">
        <v>32</v>
      </c>
      <c r="I1014" s="975"/>
      <c r="J1014" s="562"/>
      <c r="K1014" s="975" t="s">
        <v>1407</v>
      </c>
      <c r="L1014" s="975"/>
      <c r="M1014" s="562"/>
      <c r="N1014" s="260"/>
      <c r="O1014" s="260"/>
      <c r="P1014" s="260"/>
      <c r="Q1014" s="260"/>
      <c r="R1014" s="260"/>
      <c r="S1014" s="260"/>
      <c r="T1014" s="260"/>
    </row>
    <row r="1015" spans="1:20" ht="19.95" hidden="1" customHeight="1" x14ac:dyDescent="0.3">
      <c r="A1015" s="262" t="s">
        <v>1242</v>
      </c>
      <c r="C1015" s="228"/>
      <c r="D1015" s="228"/>
      <c r="E1015" s="561"/>
      <c r="F1015" s="561"/>
      <c r="G1015" s="561"/>
      <c r="H1015" s="976" t="s">
        <v>94</v>
      </c>
      <c r="I1015" s="976"/>
      <c r="J1015" s="623"/>
      <c r="K1015" s="976" t="s">
        <v>94</v>
      </c>
      <c r="L1015" s="976"/>
      <c r="M1015" s="623"/>
      <c r="N1015" s="260"/>
      <c r="O1015" s="260"/>
      <c r="P1015" s="260"/>
      <c r="Q1015" s="260"/>
      <c r="R1015" s="260"/>
      <c r="S1015" s="260"/>
      <c r="T1015" s="260"/>
    </row>
    <row r="1016" spans="1:20" ht="19.95" hidden="1" customHeight="1" x14ac:dyDescent="0.3">
      <c r="A1016" s="262" t="s">
        <v>1242</v>
      </c>
      <c r="C1016" s="228"/>
      <c r="D1016" s="228"/>
      <c r="E1016" s="561"/>
      <c r="F1016" s="561"/>
      <c r="G1016" s="561"/>
      <c r="H1016" s="976"/>
      <c r="I1016" s="976"/>
      <c r="J1016" s="623"/>
      <c r="K1016" s="976"/>
      <c r="L1016" s="976"/>
      <c r="M1016" s="623"/>
      <c r="N1016" s="968" t="s">
        <v>28</v>
      </c>
      <c r="O1016" s="968"/>
      <c r="P1016" s="968" t="s">
        <v>52</v>
      </c>
      <c r="Q1016" s="968"/>
      <c r="R1016" s="968"/>
      <c r="S1016" s="968" t="s">
        <v>1244</v>
      </c>
      <c r="T1016" s="968"/>
    </row>
    <row r="1017" spans="1:20" ht="19.95" hidden="1" customHeight="1" x14ac:dyDescent="0.3">
      <c r="A1017" s="262" t="s">
        <v>1242</v>
      </c>
      <c r="C1017" s="228"/>
      <c r="D1017" s="228"/>
      <c r="E1017" s="561"/>
      <c r="F1017" s="561"/>
      <c r="G1017" s="561"/>
      <c r="H1017" s="261"/>
      <c r="I1017" s="261"/>
      <c r="J1017" s="261"/>
      <c r="K1017" s="261"/>
      <c r="L1017" s="261"/>
      <c r="M1017" s="261"/>
      <c r="N1017" s="968" t="s">
        <v>1486</v>
      </c>
      <c r="O1017" s="968"/>
      <c r="P1017" s="968" t="s">
        <v>1485</v>
      </c>
      <c r="Q1017" s="968"/>
      <c r="R1017" s="968"/>
      <c r="S1017" s="968" t="s">
        <v>1483</v>
      </c>
      <c r="T1017" s="968"/>
    </row>
    <row r="1018" spans="1:20" ht="19.95" hidden="1" customHeight="1" x14ac:dyDescent="0.3">
      <c r="A1018" s="262" t="s">
        <v>1242</v>
      </c>
      <c r="C1018" s="228"/>
      <c r="D1018" s="228"/>
      <c r="E1018" s="561"/>
      <c r="F1018" s="561"/>
      <c r="G1018" s="561"/>
      <c r="H1018" s="228"/>
      <c r="I1018" s="260"/>
      <c r="J1018" s="260"/>
      <c r="K1018" s="260"/>
      <c r="L1018" s="260"/>
      <c r="M1018" s="260"/>
      <c r="N1018" s="260"/>
      <c r="O1018" s="260"/>
      <c r="P1018" s="260"/>
      <c r="Q1018" s="260"/>
      <c r="R1018" s="260"/>
      <c r="S1018" s="624"/>
      <c r="T1018" s="260"/>
    </row>
    <row r="1019" spans="1:20" ht="19.95" hidden="1" customHeight="1" x14ac:dyDescent="0.3">
      <c r="A1019" s="262" t="s">
        <v>1242</v>
      </c>
      <c r="C1019" s="228"/>
      <c r="D1019" s="228"/>
      <c r="E1019" s="561"/>
      <c r="F1019" s="561"/>
      <c r="G1019" s="561"/>
      <c r="H1019" s="228"/>
      <c r="I1019" s="260"/>
      <c r="J1019" s="260"/>
      <c r="K1019" s="260"/>
      <c r="L1019" s="260"/>
      <c r="M1019" s="260"/>
      <c r="N1019" s="260"/>
      <c r="O1019" s="260"/>
      <c r="P1019" s="260"/>
      <c r="Q1019" s="260"/>
      <c r="R1019" s="260"/>
      <c r="S1019" s="624"/>
      <c r="T1019" s="260"/>
    </row>
    <row r="1020" spans="1:20" ht="19.95" hidden="1" customHeight="1" x14ac:dyDescent="0.3">
      <c r="A1020" s="262" t="s">
        <v>1242</v>
      </c>
      <c r="C1020" s="228"/>
      <c r="D1020" s="228"/>
      <c r="E1020" s="975" t="s">
        <v>1215</v>
      </c>
      <c r="F1020" s="975"/>
      <c r="G1020" s="975"/>
      <c r="H1020" s="975" t="s">
        <v>1348</v>
      </c>
      <c r="I1020" s="975"/>
      <c r="J1020" s="975"/>
      <c r="K1020" s="975"/>
      <c r="L1020" s="975"/>
      <c r="M1020" s="562"/>
      <c r="N1020" s="977" t="s">
        <v>1217</v>
      </c>
      <c r="O1020" s="977"/>
      <c r="P1020" s="977"/>
      <c r="Q1020" s="548"/>
      <c r="R1020" s="977" t="s">
        <v>1219</v>
      </c>
      <c r="S1020" s="977"/>
      <c r="T1020" s="977"/>
    </row>
    <row r="1021" spans="1:20" ht="19.95" hidden="1" customHeight="1" x14ac:dyDescent="0.3">
      <c r="A1021" s="262" t="s">
        <v>1290</v>
      </c>
      <c r="C1021" s="228"/>
      <c r="D1021" s="228"/>
      <c r="E1021" s="975"/>
      <c r="F1021" s="975"/>
      <c r="G1021" s="975"/>
      <c r="H1021" s="975"/>
      <c r="I1021" s="975"/>
      <c r="J1021" s="975"/>
      <c r="K1021" s="975"/>
      <c r="L1021" s="975"/>
      <c r="M1021" s="562"/>
      <c r="N1021" s="977"/>
      <c r="O1021" s="977"/>
      <c r="P1021" s="977"/>
      <c r="Q1021" s="548"/>
      <c r="R1021" s="977"/>
      <c r="S1021" s="977"/>
      <c r="T1021" s="977"/>
    </row>
    <row r="1022" spans="1:20" ht="15" customHeight="1" x14ac:dyDescent="0.3">
      <c r="I1022" s="11"/>
      <c r="L1022" s="11"/>
      <c r="N1022" s="11"/>
      <c r="O1022" s="11"/>
      <c r="P1022" s="11"/>
      <c r="Q1022" s="11"/>
    </row>
    <row r="1023" spans="1:20" ht="15" customHeight="1" x14ac:dyDescent="0.3">
      <c r="I1023" s="11"/>
      <c r="L1023" s="11"/>
      <c r="N1023" s="11"/>
      <c r="O1023" s="11"/>
      <c r="P1023" s="11"/>
      <c r="Q1023" s="11"/>
    </row>
    <row r="1024" spans="1:20" ht="15" customHeight="1" x14ac:dyDescent="0.3">
      <c r="I1024" s="11"/>
      <c r="L1024" s="11"/>
      <c r="N1024" s="11"/>
      <c r="O1024" s="11"/>
      <c r="P1024" s="11"/>
      <c r="Q1024" s="11"/>
    </row>
    <row r="1025" spans="9:17" ht="15" customHeight="1" x14ac:dyDescent="0.3">
      <c r="I1025" s="11"/>
      <c r="L1025" s="11"/>
      <c r="N1025" s="11"/>
      <c r="O1025" s="11"/>
      <c r="P1025" s="11"/>
      <c r="Q1025" s="11"/>
    </row>
    <row r="1026" spans="9:17" ht="15" customHeight="1" x14ac:dyDescent="0.3">
      <c r="I1026" s="11"/>
      <c r="L1026" s="11"/>
      <c r="N1026" s="11"/>
      <c r="O1026" s="11"/>
      <c r="P1026" s="11"/>
      <c r="Q1026" s="11"/>
    </row>
    <row r="1027" spans="9:17" ht="15" customHeight="1" x14ac:dyDescent="0.3">
      <c r="I1027" s="11"/>
      <c r="L1027" s="11"/>
      <c r="N1027" s="11"/>
      <c r="O1027" s="11"/>
      <c r="P1027" s="11"/>
      <c r="Q1027" s="11"/>
    </row>
    <row r="1028" spans="9:17" ht="15" customHeight="1" x14ac:dyDescent="0.3">
      <c r="I1028" s="11"/>
      <c r="L1028" s="11"/>
      <c r="N1028" s="11"/>
      <c r="O1028" s="11"/>
      <c r="P1028" s="11"/>
      <c r="Q1028" s="11"/>
    </row>
    <row r="1029" spans="9:17" ht="15" customHeight="1" x14ac:dyDescent="0.3">
      <c r="I1029" s="11"/>
      <c r="L1029" s="11"/>
      <c r="N1029" s="11"/>
      <c r="O1029" s="11"/>
      <c r="P1029" s="11"/>
      <c r="Q1029" s="11"/>
    </row>
    <row r="1030" spans="9:17" ht="15" customHeight="1" x14ac:dyDescent="0.3">
      <c r="I1030" s="11"/>
      <c r="L1030" s="11"/>
      <c r="N1030" s="11"/>
      <c r="O1030" s="11"/>
      <c r="P1030" s="11"/>
      <c r="Q1030" s="11"/>
    </row>
    <row r="1031" spans="9:17" ht="15" customHeight="1" x14ac:dyDescent="0.3">
      <c r="I1031" s="11"/>
      <c r="L1031" s="11"/>
      <c r="N1031" s="11"/>
      <c r="O1031" s="11"/>
      <c r="P1031" s="11"/>
      <c r="Q1031" s="11"/>
    </row>
    <row r="1032" spans="9:17" ht="15" customHeight="1" x14ac:dyDescent="0.3">
      <c r="I1032" s="11"/>
      <c r="L1032" s="11"/>
      <c r="N1032" s="11"/>
      <c r="O1032" s="11"/>
      <c r="P1032" s="11"/>
      <c r="Q1032" s="11"/>
    </row>
    <row r="1033" spans="9:17" ht="15" customHeight="1" x14ac:dyDescent="0.3">
      <c r="I1033" s="11"/>
      <c r="L1033" s="11"/>
      <c r="N1033" s="11"/>
      <c r="O1033" s="11"/>
      <c r="P1033" s="11"/>
      <c r="Q1033" s="11"/>
    </row>
    <row r="1034" spans="9:17" ht="15" customHeight="1" x14ac:dyDescent="0.3">
      <c r="I1034" s="11"/>
      <c r="L1034" s="11"/>
      <c r="N1034" s="11"/>
      <c r="O1034" s="11"/>
      <c r="P1034" s="11"/>
      <c r="Q1034" s="11"/>
    </row>
    <row r="1035" spans="9:17" ht="15" customHeight="1" x14ac:dyDescent="0.3">
      <c r="I1035" s="11"/>
      <c r="L1035" s="11"/>
      <c r="N1035" s="11"/>
      <c r="O1035" s="11"/>
      <c r="P1035" s="11"/>
      <c r="Q1035" s="11"/>
    </row>
    <row r="1036" spans="9:17" ht="15" customHeight="1" x14ac:dyDescent="0.3">
      <c r="I1036" s="11"/>
      <c r="L1036" s="11"/>
      <c r="N1036" s="11"/>
      <c r="O1036" s="11"/>
      <c r="P1036" s="11"/>
      <c r="Q1036" s="11"/>
    </row>
    <row r="1037" spans="9:17" ht="15" customHeight="1" x14ac:dyDescent="0.3">
      <c r="I1037" s="11"/>
      <c r="L1037" s="11"/>
      <c r="N1037" s="11"/>
      <c r="O1037" s="11"/>
      <c r="P1037" s="11"/>
      <c r="Q1037" s="11"/>
    </row>
    <row r="1038" spans="9:17" ht="15" customHeight="1" x14ac:dyDescent="0.3">
      <c r="I1038" s="11"/>
      <c r="L1038" s="11"/>
      <c r="N1038" s="11"/>
      <c r="O1038" s="11"/>
      <c r="P1038" s="11"/>
      <c r="Q1038" s="11"/>
    </row>
    <row r="1039" spans="9:17" ht="15" customHeight="1" x14ac:dyDescent="0.3">
      <c r="I1039" s="11"/>
      <c r="L1039" s="11"/>
      <c r="N1039" s="11"/>
      <c r="O1039" s="11"/>
      <c r="P1039" s="11"/>
      <c r="Q1039" s="11"/>
    </row>
    <row r="1040" spans="9:17" ht="15" customHeight="1" x14ac:dyDescent="0.3">
      <c r="I1040" s="11"/>
      <c r="L1040" s="11"/>
      <c r="N1040" s="11"/>
      <c r="O1040" s="11"/>
      <c r="P1040" s="11"/>
      <c r="Q1040" s="11"/>
    </row>
    <row r="1041" spans="9:17" ht="15" customHeight="1" x14ac:dyDescent="0.3">
      <c r="I1041" s="11"/>
      <c r="L1041" s="11"/>
      <c r="N1041" s="11"/>
      <c r="O1041" s="11"/>
      <c r="P1041" s="11"/>
      <c r="Q1041" s="11"/>
    </row>
    <row r="1042" spans="9:17" ht="15" customHeight="1" x14ac:dyDescent="0.3">
      <c r="I1042" s="11"/>
      <c r="L1042" s="11"/>
      <c r="N1042" s="11"/>
      <c r="O1042" s="11"/>
      <c r="P1042" s="11"/>
      <c r="Q1042" s="11"/>
    </row>
    <row r="1043" spans="9:17" ht="15" customHeight="1" x14ac:dyDescent="0.3">
      <c r="I1043" s="11"/>
      <c r="L1043" s="11"/>
      <c r="N1043" s="11"/>
      <c r="O1043" s="11"/>
      <c r="P1043" s="11"/>
      <c r="Q1043" s="11"/>
    </row>
    <row r="1044" spans="9:17" ht="15" customHeight="1" x14ac:dyDescent="0.3">
      <c r="I1044" s="11"/>
      <c r="L1044" s="11"/>
      <c r="N1044" s="11"/>
      <c r="O1044" s="11"/>
      <c r="P1044" s="11"/>
      <c r="Q1044" s="11"/>
    </row>
    <row r="1045" spans="9:17" ht="15" customHeight="1" x14ac:dyDescent="0.3">
      <c r="I1045" s="11"/>
      <c r="L1045" s="11"/>
      <c r="N1045" s="11"/>
      <c r="O1045" s="11"/>
      <c r="P1045" s="11"/>
      <c r="Q1045" s="11"/>
    </row>
    <row r="1046" spans="9:17" ht="15" customHeight="1" x14ac:dyDescent="0.3">
      <c r="I1046" s="11"/>
      <c r="L1046" s="11"/>
      <c r="N1046" s="11"/>
      <c r="O1046" s="11"/>
      <c r="P1046" s="11"/>
      <c r="Q1046" s="11"/>
    </row>
    <row r="1047" spans="9:17" ht="15" customHeight="1" x14ac:dyDescent="0.3">
      <c r="I1047" s="11"/>
      <c r="L1047" s="11"/>
      <c r="N1047" s="11"/>
      <c r="O1047" s="11"/>
      <c r="P1047" s="11"/>
      <c r="Q1047" s="11"/>
    </row>
    <row r="1048" spans="9:17" ht="15" customHeight="1" x14ac:dyDescent="0.3">
      <c r="I1048" s="11"/>
      <c r="L1048" s="11"/>
      <c r="N1048" s="11"/>
      <c r="O1048" s="11"/>
      <c r="P1048" s="11"/>
      <c r="Q1048" s="11"/>
    </row>
    <row r="1049" spans="9:17" ht="15" customHeight="1" x14ac:dyDescent="0.3">
      <c r="I1049" s="11"/>
      <c r="L1049" s="11"/>
      <c r="N1049" s="11"/>
      <c r="O1049" s="11"/>
      <c r="P1049" s="11"/>
      <c r="Q1049" s="11"/>
    </row>
    <row r="1050" spans="9:17" ht="15" customHeight="1" x14ac:dyDescent="0.3">
      <c r="I1050" s="11"/>
      <c r="L1050" s="11"/>
      <c r="N1050" s="11"/>
      <c r="O1050" s="11"/>
      <c r="P1050" s="11"/>
      <c r="Q1050" s="11"/>
    </row>
    <row r="1051" spans="9:17" ht="15" customHeight="1" x14ac:dyDescent="0.3">
      <c r="I1051" s="11"/>
      <c r="L1051" s="11"/>
      <c r="N1051" s="11"/>
      <c r="O1051" s="11"/>
      <c r="P1051" s="11"/>
      <c r="Q1051" s="11"/>
    </row>
    <row r="1052" spans="9:17" ht="15" customHeight="1" x14ac:dyDescent="0.3">
      <c r="I1052" s="11"/>
      <c r="L1052" s="11"/>
      <c r="N1052" s="11"/>
      <c r="O1052" s="11"/>
      <c r="P1052" s="11"/>
      <c r="Q1052" s="11"/>
    </row>
    <row r="1053" spans="9:17" ht="15" customHeight="1" x14ac:dyDescent="0.3">
      <c r="I1053" s="11"/>
      <c r="L1053" s="11"/>
      <c r="N1053" s="11"/>
      <c r="O1053" s="11"/>
      <c r="P1053" s="11"/>
      <c r="Q1053" s="11"/>
    </row>
    <row r="1054" spans="9:17" ht="15" customHeight="1" x14ac:dyDescent="0.3">
      <c r="I1054" s="11"/>
      <c r="L1054" s="11"/>
      <c r="N1054" s="11"/>
      <c r="O1054" s="11"/>
      <c r="P1054" s="11"/>
      <c r="Q1054" s="11"/>
    </row>
    <row r="1055" spans="9:17" ht="15" customHeight="1" x14ac:dyDescent="0.3">
      <c r="I1055" s="11"/>
      <c r="L1055" s="11"/>
      <c r="N1055" s="11"/>
      <c r="O1055" s="11"/>
      <c r="P1055" s="11"/>
      <c r="Q1055" s="11"/>
    </row>
    <row r="1056" spans="9:17" ht="15" customHeight="1" x14ac:dyDescent="0.3">
      <c r="I1056" s="11"/>
      <c r="L1056" s="11"/>
      <c r="N1056" s="11"/>
      <c r="O1056" s="11"/>
      <c r="P1056" s="11"/>
      <c r="Q1056" s="11"/>
    </row>
    <row r="1057" spans="9:17" ht="15" customHeight="1" x14ac:dyDescent="0.3">
      <c r="I1057" s="11"/>
      <c r="L1057" s="11"/>
      <c r="N1057" s="11"/>
      <c r="O1057" s="11"/>
      <c r="P1057" s="11"/>
      <c r="Q1057" s="11"/>
    </row>
    <row r="1058" spans="9:17" ht="15" customHeight="1" x14ac:dyDescent="0.3">
      <c r="I1058" s="11"/>
      <c r="L1058" s="11"/>
      <c r="N1058" s="11"/>
      <c r="O1058" s="11"/>
      <c r="P1058" s="11"/>
      <c r="Q1058" s="11"/>
    </row>
    <row r="1059" spans="9:17" ht="15" customHeight="1" x14ac:dyDescent="0.3">
      <c r="I1059" s="11"/>
      <c r="L1059" s="11"/>
      <c r="N1059" s="11"/>
      <c r="O1059" s="11"/>
      <c r="P1059" s="11"/>
      <c r="Q1059" s="11"/>
    </row>
    <row r="1060" spans="9:17" ht="15" customHeight="1" x14ac:dyDescent="0.3">
      <c r="I1060" s="11"/>
      <c r="L1060" s="11"/>
      <c r="N1060" s="11"/>
      <c r="O1060" s="11"/>
      <c r="P1060" s="11"/>
      <c r="Q1060" s="11"/>
    </row>
    <row r="1061" spans="9:17" ht="15" customHeight="1" x14ac:dyDescent="0.3">
      <c r="I1061" s="11"/>
      <c r="L1061" s="11"/>
      <c r="N1061" s="11"/>
      <c r="O1061" s="11"/>
      <c r="P1061" s="11"/>
      <c r="Q1061" s="11"/>
    </row>
    <row r="1062" spans="9:17" ht="15" customHeight="1" x14ac:dyDescent="0.3">
      <c r="I1062" s="11"/>
      <c r="L1062" s="11"/>
      <c r="N1062" s="11"/>
      <c r="O1062" s="11"/>
      <c r="P1062" s="11"/>
      <c r="Q1062" s="11"/>
    </row>
    <row r="1063" spans="9:17" ht="15" customHeight="1" x14ac:dyDescent="0.3">
      <c r="I1063" s="11"/>
      <c r="L1063" s="11"/>
      <c r="N1063" s="11"/>
      <c r="O1063" s="11"/>
      <c r="P1063" s="11"/>
      <c r="Q1063" s="11"/>
    </row>
    <row r="1064" spans="9:17" ht="15" customHeight="1" x14ac:dyDescent="0.3">
      <c r="I1064" s="11"/>
      <c r="L1064" s="11"/>
      <c r="N1064" s="11"/>
      <c r="O1064" s="11"/>
      <c r="P1064" s="11"/>
      <c r="Q1064" s="11"/>
    </row>
    <row r="1065" spans="9:17" ht="15" customHeight="1" x14ac:dyDescent="0.3">
      <c r="I1065" s="11"/>
      <c r="L1065" s="11"/>
      <c r="N1065" s="11"/>
      <c r="O1065" s="11"/>
      <c r="P1065" s="11"/>
      <c r="Q1065" s="11"/>
    </row>
    <row r="1066" spans="9:17" ht="15" customHeight="1" x14ac:dyDescent="0.3">
      <c r="I1066" s="11"/>
      <c r="L1066" s="11"/>
      <c r="N1066" s="11"/>
      <c r="O1066" s="11"/>
      <c r="P1066" s="11"/>
      <c r="Q1066" s="11"/>
    </row>
    <row r="1067" spans="9:17" ht="15" customHeight="1" x14ac:dyDescent="0.3">
      <c r="I1067" s="11"/>
      <c r="L1067" s="11"/>
      <c r="N1067" s="11"/>
      <c r="O1067" s="11"/>
      <c r="P1067" s="11"/>
      <c r="Q1067" s="11"/>
    </row>
    <row r="1068" spans="9:17" ht="15" customHeight="1" x14ac:dyDescent="0.3">
      <c r="I1068" s="11"/>
      <c r="L1068" s="11"/>
      <c r="N1068" s="11"/>
      <c r="O1068" s="11"/>
      <c r="P1068" s="11"/>
      <c r="Q1068" s="11"/>
    </row>
    <row r="1069" spans="9:17" ht="15" customHeight="1" x14ac:dyDescent="0.3">
      <c r="I1069" s="11"/>
      <c r="L1069" s="11"/>
      <c r="N1069" s="11"/>
      <c r="O1069" s="11"/>
      <c r="P1069" s="11"/>
      <c r="Q1069" s="11"/>
    </row>
    <row r="1070" spans="9:17" ht="15" customHeight="1" x14ac:dyDescent="0.3">
      <c r="I1070" s="11"/>
      <c r="L1070" s="11"/>
      <c r="N1070" s="11"/>
      <c r="O1070" s="11"/>
      <c r="P1070" s="11"/>
      <c r="Q1070" s="11"/>
    </row>
    <row r="1071" spans="9:17" ht="15" customHeight="1" x14ac:dyDescent="0.3">
      <c r="I1071" s="11"/>
      <c r="L1071" s="11"/>
      <c r="N1071" s="11"/>
      <c r="O1071" s="11"/>
      <c r="P1071" s="11"/>
      <c r="Q1071" s="11"/>
    </row>
    <row r="1072" spans="9:17" ht="15" customHeight="1" x14ac:dyDescent="0.3">
      <c r="I1072" s="11"/>
      <c r="L1072" s="11"/>
      <c r="N1072" s="11"/>
      <c r="O1072" s="11"/>
      <c r="P1072" s="11"/>
      <c r="Q1072" s="11"/>
    </row>
    <row r="1073" spans="9:17" ht="15" customHeight="1" x14ac:dyDescent="0.3">
      <c r="I1073" s="11"/>
      <c r="L1073" s="11"/>
      <c r="N1073" s="11"/>
      <c r="O1073" s="11"/>
      <c r="P1073" s="11"/>
      <c r="Q1073" s="11"/>
    </row>
    <row r="1074" spans="9:17" ht="15" customHeight="1" x14ac:dyDescent="0.3">
      <c r="I1074" s="11"/>
      <c r="L1074" s="11"/>
      <c r="N1074" s="11"/>
      <c r="O1074" s="11"/>
      <c r="P1074" s="11"/>
      <c r="Q1074" s="11"/>
    </row>
    <row r="1075" spans="9:17" ht="15" customHeight="1" x14ac:dyDescent="0.3">
      <c r="I1075" s="11"/>
      <c r="L1075" s="11"/>
      <c r="N1075" s="11"/>
      <c r="O1075" s="11"/>
      <c r="P1075" s="11"/>
      <c r="Q1075" s="11"/>
    </row>
    <row r="1076" spans="9:17" ht="15" customHeight="1" x14ac:dyDescent="0.3">
      <c r="I1076" s="11"/>
      <c r="L1076" s="11"/>
      <c r="N1076" s="11"/>
      <c r="O1076" s="11"/>
      <c r="P1076" s="11"/>
      <c r="Q1076" s="11"/>
    </row>
    <row r="1077" spans="9:17" ht="15" customHeight="1" x14ac:dyDescent="0.3">
      <c r="I1077" s="11"/>
      <c r="L1077" s="11"/>
      <c r="N1077" s="11"/>
      <c r="O1077" s="11"/>
      <c r="P1077" s="11"/>
      <c r="Q1077" s="11"/>
    </row>
    <row r="1078" spans="9:17" ht="15" customHeight="1" x14ac:dyDescent="0.3">
      <c r="I1078" s="11"/>
      <c r="L1078" s="11"/>
      <c r="N1078" s="11"/>
      <c r="O1078" s="11"/>
      <c r="P1078" s="11"/>
      <c r="Q1078" s="11"/>
    </row>
    <row r="1079" spans="9:17" ht="15" customHeight="1" x14ac:dyDescent="0.3">
      <c r="I1079" s="11"/>
      <c r="L1079" s="11"/>
      <c r="N1079" s="11"/>
      <c r="O1079" s="11"/>
      <c r="P1079" s="11"/>
      <c r="Q1079" s="11"/>
    </row>
    <row r="1080" spans="9:17" ht="15" customHeight="1" x14ac:dyDescent="0.3">
      <c r="I1080" s="11"/>
      <c r="L1080" s="11"/>
      <c r="N1080" s="11"/>
      <c r="O1080" s="11"/>
      <c r="P1080" s="11"/>
      <c r="Q1080" s="11"/>
    </row>
    <row r="1081" spans="9:17" ht="15" customHeight="1" x14ac:dyDescent="0.3">
      <c r="I1081" s="11"/>
      <c r="L1081" s="11"/>
      <c r="N1081" s="11"/>
      <c r="O1081" s="11"/>
      <c r="P1081" s="11"/>
      <c r="Q1081" s="11"/>
    </row>
    <row r="1082" spans="9:17" ht="15" customHeight="1" x14ac:dyDescent="0.3">
      <c r="I1082" s="11"/>
      <c r="L1082" s="11"/>
      <c r="N1082" s="11"/>
      <c r="O1082" s="11"/>
      <c r="P1082" s="11"/>
      <c r="Q1082" s="11"/>
    </row>
    <row r="1083" spans="9:17" ht="15" customHeight="1" x14ac:dyDescent="0.3">
      <c r="I1083" s="11"/>
      <c r="L1083" s="11"/>
      <c r="N1083" s="11"/>
      <c r="O1083" s="11"/>
      <c r="P1083" s="11"/>
      <c r="Q1083" s="11"/>
    </row>
    <row r="1084" spans="9:17" ht="15" customHeight="1" x14ac:dyDescent="0.3">
      <c r="I1084" s="11"/>
      <c r="L1084" s="11"/>
      <c r="N1084" s="11"/>
      <c r="O1084" s="11"/>
      <c r="P1084" s="11"/>
      <c r="Q1084" s="11"/>
    </row>
    <row r="1085" spans="9:17" ht="15" customHeight="1" x14ac:dyDescent="0.3">
      <c r="I1085" s="11"/>
      <c r="L1085" s="11"/>
      <c r="N1085" s="11"/>
      <c r="O1085" s="11"/>
      <c r="P1085" s="11"/>
      <c r="Q1085" s="11"/>
    </row>
    <row r="1086" spans="9:17" ht="15" customHeight="1" x14ac:dyDescent="0.3">
      <c r="I1086" s="11"/>
      <c r="L1086" s="11"/>
      <c r="N1086" s="11"/>
      <c r="O1086" s="11"/>
      <c r="P1086" s="11"/>
      <c r="Q1086" s="11"/>
    </row>
    <row r="1087" spans="9:17" ht="15" customHeight="1" x14ac:dyDescent="0.3">
      <c r="I1087" s="11"/>
      <c r="L1087" s="11"/>
      <c r="N1087" s="11"/>
      <c r="O1087" s="11"/>
      <c r="P1087" s="11"/>
      <c r="Q1087" s="11"/>
    </row>
    <row r="1088" spans="9:17" ht="15" customHeight="1" x14ac:dyDescent="0.3">
      <c r="I1088" s="11"/>
      <c r="L1088" s="11"/>
      <c r="N1088" s="11"/>
      <c r="O1088" s="11"/>
      <c r="P1088" s="11"/>
      <c r="Q1088" s="11"/>
    </row>
    <row r="1089" spans="9:17" ht="15" customHeight="1" x14ac:dyDescent="0.3">
      <c r="I1089" s="11"/>
      <c r="L1089" s="11"/>
      <c r="N1089" s="11"/>
      <c r="O1089" s="11"/>
      <c r="P1089" s="11"/>
      <c r="Q1089" s="11"/>
    </row>
    <row r="1090" spans="9:17" ht="15" customHeight="1" x14ac:dyDescent="0.3">
      <c r="I1090" s="11"/>
      <c r="L1090" s="11"/>
      <c r="N1090" s="11"/>
      <c r="O1090" s="11"/>
      <c r="P1090" s="11"/>
      <c r="Q1090" s="11"/>
    </row>
    <row r="1091" spans="9:17" ht="15" customHeight="1" x14ac:dyDescent="0.3">
      <c r="I1091" s="11"/>
      <c r="L1091" s="11"/>
      <c r="N1091" s="11"/>
      <c r="O1091" s="11"/>
      <c r="P1091" s="11"/>
      <c r="Q1091" s="11"/>
    </row>
    <row r="1092" spans="9:17" ht="15" customHeight="1" x14ac:dyDescent="0.3">
      <c r="I1092" s="11"/>
      <c r="L1092" s="11"/>
      <c r="N1092" s="11"/>
      <c r="O1092" s="11"/>
      <c r="P1092" s="11"/>
      <c r="Q1092" s="11"/>
    </row>
    <row r="1093" spans="9:17" ht="15" customHeight="1" x14ac:dyDescent="0.3">
      <c r="I1093" s="11"/>
      <c r="L1093" s="11"/>
      <c r="N1093" s="11"/>
      <c r="O1093" s="11"/>
      <c r="P1093" s="11"/>
      <c r="Q1093" s="11"/>
    </row>
    <row r="1094" spans="9:17" ht="15" customHeight="1" x14ac:dyDescent="0.3">
      <c r="I1094" s="11"/>
      <c r="L1094" s="11"/>
      <c r="N1094" s="11"/>
      <c r="O1094" s="11"/>
      <c r="P1094" s="11"/>
      <c r="Q1094" s="11"/>
    </row>
    <row r="1095" spans="9:17" ht="15" customHeight="1" x14ac:dyDescent="0.3">
      <c r="I1095" s="11"/>
      <c r="L1095" s="11"/>
      <c r="N1095" s="11"/>
      <c r="O1095" s="11"/>
      <c r="P1095" s="11"/>
      <c r="Q1095" s="11"/>
    </row>
    <row r="1096" spans="9:17" ht="15" customHeight="1" x14ac:dyDescent="0.3">
      <c r="I1096" s="11"/>
      <c r="L1096" s="11"/>
      <c r="N1096" s="11"/>
      <c r="O1096" s="11"/>
      <c r="P1096" s="11"/>
      <c r="Q1096" s="11"/>
    </row>
    <row r="1097" spans="9:17" ht="15" customHeight="1" x14ac:dyDescent="0.3">
      <c r="I1097" s="11"/>
      <c r="L1097" s="11"/>
      <c r="N1097" s="11"/>
      <c r="O1097" s="11"/>
      <c r="P1097" s="11"/>
      <c r="Q1097" s="11"/>
    </row>
    <row r="1098" spans="9:17" ht="15" customHeight="1" x14ac:dyDescent="0.3">
      <c r="I1098" s="11"/>
      <c r="L1098" s="11"/>
      <c r="N1098" s="11"/>
      <c r="O1098" s="11"/>
      <c r="P1098" s="11"/>
      <c r="Q1098" s="11"/>
    </row>
    <row r="1099" spans="9:17" ht="15" customHeight="1" x14ac:dyDescent="0.3">
      <c r="I1099" s="11"/>
      <c r="L1099" s="11"/>
      <c r="N1099" s="11"/>
      <c r="O1099" s="11"/>
      <c r="P1099" s="11"/>
      <c r="Q1099" s="11"/>
    </row>
    <row r="1100" spans="9:17" ht="15" customHeight="1" x14ac:dyDescent="0.3">
      <c r="I1100" s="11"/>
      <c r="L1100" s="11"/>
      <c r="N1100" s="11"/>
      <c r="O1100" s="11"/>
      <c r="P1100" s="11"/>
      <c r="Q1100" s="11"/>
    </row>
    <row r="1101" spans="9:17" ht="15" customHeight="1" x14ac:dyDescent="0.3">
      <c r="I1101" s="11"/>
      <c r="L1101" s="11"/>
      <c r="N1101" s="11"/>
      <c r="O1101" s="11"/>
      <c r="P1101" s="11"/>
      <c r="Q1101" s="11"/>
    </row>
    <row r="1102" spans="9:17" ht="15" customHeight="1" x14ac:dyDescent="0.3">
      <c r="I1102" s="11"/>
      <c r="L1102" s="11"/>
      <c r="N1102" s="11"/>
      <c r="O1102" s="11"/>
      <c r="P1102" s="11"/>
      <c r="Q1102" s="11"/>
    </row>
    <row r="1103" spans="9:17" ht="15" customHeight="1" x14ac:dyDescent="0.3">
      <c r="I1103" s="11"/>
      <c r="L1103" s="11"/>
      <c r="N1103" s="11"/>
      <c r="O1103" s="11"/>
      <c r="P1103" s="11"/>
      <c r="Q1103" s="11"/>
    </row>
    <row r="1104" spans="9:17" ht="15" customHeight="1" x14ac:dyDescent="0.3">
      <c r="I1104" s="11"/>
      <c r="L1104" s="11"/>
      <c r="N1104" s="11"/>
      <c r="O1104" s="11"/>
      <c r="P1104" s="11"/>
      <c r="Q1104" s="11"/>
    </row>
    <row r="1105" spans="9:17" ht="15" customHeight="1" x14ac:dyDescent="0.3">
      <c r="I1105" s="11"/>
      <c r="L1105" s="11"/>
      <c r="N1105" s="11"/>
      <c r="O1105" s="11"/>
      <c r="P1105" s="11"/>
      <c r="Q1105" s="11"/>
    </row>
    <row r="1106" spans="9:17" ht="15" customHeight="1" x14ac:dyDescent="0.3">
      <c r="I1106" s="11"/>
      <c r="L1106" s="11"/>
      <c r="N1106" s="11"/>
      <c r="O1106" s="11"/>
      <c r="P1106" s="11"/>
      <c r="Q1106" s="11"/>
    </row>
    <row r="1107" spans="9:17" ht="15" customHeight="1" x14ac:dyDescent="0.3">
      <c r="I1107" s="11"/>
      <c r="L1107" s="11"/>
      <c r="N1107" s="11"/>
      <c r="O1107" s="11"/>
      <c r="P1107" s="11"/>
      <c r="Q1107" s="11"/>
    </row>
    <row r="1108" spans="9:17" ht="15" customHeight="1" x14ac:dyDescent="0.3">
      <c r="I1108" s="11"/>
      <c r="L1108" s="11"/>
      <c r="N1108" s="11"/>
      <c r="O1108" s="11"/>
      <c r="P1108" s="11"/>
      <c r="Q1108" s="11"/>
    </row>
    <row r="1109" spans="9:17" ht="15" customHeight="1" x14ac:dyDescent="0.3">
      <c r="I1109" s="11"/>
      <c r="L1109" s="11"/>
      <c r="N1109" s="11"/>
      <c r="O1109" s="11"/>
      <c r="P1109" s="11"/>
      <c r="Q1109" s="11"/>
    </row>
    <row r="1110" spans="9:17" ht="15" customHeight="1" x14ac:dyDescent="0.3">
      <c r="I1110" s="11"/>
      <c r="L1110" s="11"/>
      <c r="N1110" s="11"/>
      <c r="O1110" s="11"/>
      <c r="P1110" s="11"/>
      <c r="Q1110" s="11"/>
    </row>
    <row r="1111" spans="9:17" ht="15" customHeight="1" x14ac:dyDescent="0.3">
      <c r="I1111" s="11"/>
      <c r="L1111" s="11"/>
      <c r="N1111" s="11"/>
      <c r="O1111" s="11"/>
      <c r="P1111" s="11"/>
      <c r="Q1111" s="11"/>
    </row>
    <row r="1112" spans="9:17" ht="15" customHeight="1" x14ac:dyDescent="0.3">
      <c r="I1112" s="11"/>
      <c r="L1112" s="11"/>
      <c r="N1112" s="11"/>
      <c r="O1112" s="11"/>
      <c r="P1112" s="11"/>
      <c r="Q1112" s="11"/>
    </row>
    <row r="1113" spans="9:17" ht="15" customHeight="1" x14ac:dyDescent="0.3">
      <c r="I1113" s="11"/>
      <c r="L1113" s="11"/>
      <c r="N1113" s="11"/>
      <c r="O1113" s="11"/>
      <c r="P1113" s="11"/>
      <c r="Q1113" s="11"/>
    </row>
    <row r="1114" spans="9:17" ht="15" customHeight="1" x14ac:dyDescent="0.3">
      <c r="I1114" s="11"/>
      <c r="L1114" s="11"/>
      <c r="N1114" s="11"/>
      <c r="O1114" s="11"/>
      <c r="P1114" s="11"/>
      <c r="Q1114" s="11"/>
    </row>
    <row r="1115" spans="9:17" ht="15" customHeight="1" x14ac:dyDescent="0.3">
      <c r="I1115" s="11"/>
      <c r="L1115" s="11"/>
      <c r="N1115" s="11"/>
      <c r="O1115" s="11"/>
      <c r="P1115" s="11"/>
      <c r="Q1115" s="11"/>
    </row>
    <row r="1116" spans="9:17" ht="15" customHeight="1" x14ac:dyDescent="0.3">
      <c r="I1116" s="11"/>
      <c r="L1116" s="11"/>
      <c r="N1116" s="11"/>
      <c r="O1116" s="11"/>
      <c r="P1116" s="11"/>
      <c r="Q1116" s="11"/>
    </row>
    <row r="1117" spans="9:17" ht="15" customHeight="1" x14ac:dyDescent="0.3">
      <c r="I1117" s="11"/>
      <c r="L1117" s="11"/>
      <c r="N1117" s="11"/>
      <c r="O1117" s="11"/>
      <c r="P1117" s="11"/>
      <c r="Q1117" s="11"/>
    </row>
    <row r="1118" spans="9:17" ht="15" customHeight="1" x14ac:dyDescent="0.3">
      <c r="I1118" s="11"/>
      <c r="L1118" s="11"/>
      <c r="N1118" s="11"/>
      <c r="O1118" s="11"/>
      <c r="P1118" s="11"/>
      <c r="Q1118" s="11"/>
    </row>
    <row r="1119" spans="9:17" ht="15" customHeight="1" x14ac:dyDescent="0.3">
      <c r="I1119" s="11"/>
      <c r="L1119" s="11"/>
      <c r="N1119" s="11"/>
      <c r="O1119" s="11"/>
      <c r="P1119" s="11"/>
      <c r="Q1119" s="11"/>
    </row>
    <row r="1120" spans="9:17" ht="15" customHeight="1" x14ac:dyDescent="0.3">
      <c r="I1120" s="11"/>
      <c r="L1120" s="11"/>
      <c r="N1120" s="11"/>
      <c r="O1120" s="11"/>
      <c r="P1120" s="11"/>
      <c r="Q1120" s="11"/>
    </row>
    <row r="1121" spans="9:17" ht="15" customHeight="1" x14ac:dyDescent="0.3">
      <c r="I1121" s="11"/>
      <c r="L1121" s="11"/>
      <c r="N1121" s="11"/>
      <c r="O1121" s="11"/>
      <c r="P1121" s="11"/>
      <c r="Q1121" s="11"/>
    </row>
  </sheetData>
  <autoFilter ref="N1:N1121" xr:uid="{73603584-4FAD-4DB7-B932-3276AB62821D}"/>
  <mergeCells count="1195">
    <mergeCell ref="S1016:T1016"/>
    <mergeCell ref="N1017:O1017"/>
    <mergeCell ref="P1017:R1017"/>
    <mergeCell ref="S1017:T1017"/>
    <mergeCell ref="E1020:G1021"/>
    <mergeCell ref="H1020:L1021"/>
    <mergeCell ref="N1020:P1021"/>
    <mergeCell ref="R1020:T1021"/>
    <mergeCell ref="H1014:I1014"/>
    <mergeCell ref="K1014:L1014"/>
    <mergeCell ref="H1015:I1016"/>
    <mergeCell ref="K1015:L1016"/>
    <mergeCell ref="N1016:O1016"/>
    <mergeCell ref="P1016:R1016"/>
    <mergeCell ref="N1012:O1012"/>
    <mergeCell ref="P1012:R1012"/>
    <mergeCell ref="S1012:T1012"/>
    <mergeCell ref="N1013:O1013"/>
    <mergeCell ref="P1013:R1013"/>
    <mergeCell ref="S1013:T1013"/>
    <mergeCell ref="E1008:G1008"/>
    <mergeCell ref="H1008:L1008"/>
    <mergeCell ref="N1008:T1008"/>
    <mergeCell ref="E1009:G1009"/>
    <mergeCell ref="H1009:L1009"/>
    <mergeCell ref="N1009:T1011"/>
    <mergeCell ref="E1002:G1002"/>
    <mergeCell ref="E1003:G1003"/>
    <mergeCell ref="E1004:G1004"/>
    <mergeCell ref="E1005:G1005"/>
    <mergeCell ref="E1006:G1006"/>
    <mergeCell ref="E1007:G1007"/>
    <mergeCell ref="E996:G996"/>
    <mergeCell ref="E997:G997"/>
    <mergeCell ref="E998:G998"/>
    <mergeCell ref="E999:G999"/>
    <mergeCell ref="E1000:G1000"/>
    <mergeCell ref="E1001:G1001"/>
    <mergeCell ref="E990:G990"/>
    <mergeCell ref="E991:G991"/>
    <mergeCell ref="E992:G992"/>
    <mergeCell ref="E993:G993"/>
    <mergeCell ref="E994:G994"/>
    <mergeCell ref="E995:G995"/>
    <mergeCell ref="E983:G984"/>
    <mergeCell ref="H983:L984"/>
    <mergeCell ref="N983:T984"/>
    <mergeCell ref="E986:G986"/>
    <mergeCell ref="E988:G988"/>
    <mergeCell ref="E989:G989"/>
    <mergeCell ref="H979:I979"/>
    <mergeCell ref="K979:L979"/>
    <mergeCell ref="N979:P979"/>
    <mergeCell ref="R979:T979"/>
    <mergeCell ref="H980:I981"/>
    <mergeCell ref="K980:L981"/>
    <mergeCell ref="N980:P980"/>
    <mergeCell ref="R980:T980"/>
    <mergeCell ref="N981:P981"/>
    <mergeCell ref="R981:T981"/>
    <mergeCell ref="E972:G972"/>
    <mergeCell ref="E973:G973"/>
    <mergeCell ref="E974:G974"/>
    <mergeCell ref="H974:L974"/>
    <mergeCell ref="N974:T974"/>
    <mergeCell ref="E975:G975"/>
    <mergeCell ref="H975:L975"/>
    <mergeCell ref="N975:T977"/>
    <mergeCell ref="E966:G966"/>
    <mergeCell ref="E967:G967"/>
    <mergeCell ref="E968:G968"/>
    <mergeCell ref="E969:G969"/>
    <mergeCell ref="E970:G970"/>
    <mergeCell ref="E971:G971"/>
    <mergeCell ref="E960:G960"/>
    <mergeCell ref="E961:G961"/>
    <mergeCell ref="E962:G962"/>
    <mergeCell ref="E963:G963"/>
    <mergeCell ref="E964:G964"/>
    <mergeCell ref="E965:G965"/>
    <mergeCell ref="E954:G954"/>
    <mergeCell ref="E955:G955"/>
    <mergeCell ref="E956:G956"/>
    <mergeCell ref="E957:G957"/>
    <mergeCell ref="E958:G958"/>
    <mergeCell ref="E959:G959"/>
    <mergeCell ref="E949:G950"/>
    <mergeCell ref="H949:L950"/>
    <mergeCell ref="N949:T950"/>
    <mergeCell ref="E951:G951"/>
    <mergeCell ref="E952:G952"/>
    <mergeCell ref="E953:G953"/>
    <mergeCell ref="H945:I945"/>
    <mergeCell ref="K945:L945"/>
    <mergeCell ref="N945:T945"/>
    <mergeCell ref="H946:I947"/>
    <mergeCell ref="K946:L947"/>
    <mergeCell ref="N946:T946"/>
    <mergeCell ref="N947:T947"/>
    <mergeCell ref="E938:G938"/>
    <mergeCell ref="E939:G939"/>
    <mergeCell ref="E940:G940"/>
    <mergeCell ref="H940:L940"/>
    <mergeCell ref="N940:T940"/>
    <mergeCell ref="E941:G941"/>
    <mergeCell ref="H941:L941"/>
    <mergeCell ref="N941:T943"/>
    <mergeCell ref="E932:G932"/>
    <mergeCell ref="E933:G933"/>
    <mergeCell ref="E934:G934"/>
    <mergeCell ref="E935:G935"/>
    <mergeCell ref="E936:G936"/>
    <mergeCell ref="E937:G937"/>
    <mergeCell ref="E926:G926"/>
    <mergeCell ref="E927:G927"/>
    <mergeCell ref="E928:G928"/>
    <mergeCell ref="E929:G929"/>
    <mergeCell ref="E930:G930"/>
    <mergeCell ref="E931:G931"/>
    <mergeCell ref="E920:G920"/>
    <mergeCell ref="E921:G921"/>
    <mergeCell ref="E922:G922"/>
    <mergeCell ref="E923:G923"/>
    <mergeCell ref="E924:G924"/>
    <mergeCell ref="E925:G925"/>
    <mergeCell ref="E915:G916"/>
    <mergeCell ref="H915:L916"/>
    <mergeCell ref="N915:T916"/>
    <mergeCell ref="E917:G917"/>
    <mergeCell ref="E918:G918"/>
    <mergeCell ref="E919:G919"/>
    <mergeCell ref="H911:I911"/>
    <mergeCell ref="K911:L911"/>
    <mergeCell ref="N911:T911"/>
    <mergeCell ref="H912:I913"/>
    <mergeCell ref="K912:L913"/>
    <mergeCell ref="N912:T912"/>
    <mergeCell ref="N913:T913"/>
    <mergeCell ref="E904:G904"/>
    <mergeCell ref="E905:G905"/>
    <mergeCell ref="E906:G906"/>
    <mergeCell ref="H906:L906"/>
    <mergeCell ref="N906:T906"/>
    <mergeCell ref="E907:G907"/>
    <mergeCell ref="H907:L907"/>
    <mergeCell ref="N907:T909"/>
    <mergeCell ref="E898:G898"/>
    <mergeCell ref="E899:G899"/>
    <mergeCell ref="E900:G900"/>
    <mergeCell ref="E901:G901"/>
    <mergeCell ref="E902:G902"/>
    <mergeCell ref="E903:G903"/>
    <mergeCell ref="E892:G892"/>
    <mergeCell ref="E893:G893"/>
    <mergeCell ref="E894:G894"/>
    <mergeCell ref="E895:G895"/>
    <mergeCell ref="E896:G896"/>
    <mergeCell ref="E897:G897"/>
    <mergeCell ref="E886:G886"/>
    <mergeCell ref="E887:G887"/>
    <mergeCell ref="E888:G888"/>
    <mergeCell ref="E889:G889"/>
    <mergeCell ref="E890:G890"/>
    <mergeCell ref="E891:G891"/>
    <mergeCell ref="E881:G882"/>
    <mergeCell ref="H881:L882"/>
    <mergeCell ref="N881:P882"/>
    <mergeCell ref="R881:T882"/>
    <mergeCell ref="E884:G884"/>
    <mergeCell ref="E885:G885"/>
    <mergeCell ref="H876:I877"/>
    <mergeCell ref="K876:L877"/>
    <mergeCell ref="N877:P877"/>
    <mergeCell ref="R877:T877"/>
    <mergeCell ref="N878:P878"/>
    <mergeCell ref="R878:T878"/>
    <mergeCell ref="N873:P873"/>
    <mergeCell ref="R873:T873"/>
    <mergeCell ref="N874:P874"/>
    <mergeCell ref="R874:T874"/>
    <mergeCell ref="H875:I875"/>
    <mergeCell ref="K875:L875"/>
    <mergeCell ref="E868:G868"/>
    <mergeCell ref="E869:G869"/>
    <mergeCell ref="H869:L869"/>
    <mergeCell ref="N869:T869"/>
    <mergeCell ref="E870:G870"/>
    <mergeCell ref="H870:L870"/>
    <mergeCell ref="N870:T872"/>
    <mergeCell ref="E862:G862"/>
    <mergeCell ref="E863:G863"/>
    <mergeCell ref="E864:G864"/>
    <mergeCell ref="E865:G865"/>
    <mergeCell ref="E866:G866"/>
    <mergeCell ref="E867:G867"/>
    <mergeCell ref="E856:G856"/>
    <mergeCell ref="E857:G857"/>
    <mergeCell ref="E858:G858"/>
    <mergeCell ref="E859:G859"/>
    <mergeCell ref="E860:G860"/>
    <mergeCell ref="E861:G861"/>
    <mergeCell ref="E850:G850"/>
    <mergeCell ref="E851:G851"/>
    <mergeCell ref="E852:G852"/>
    <mergeCell ref="E853:G853"/>
    <mergeCell ref="E854:G854"/>
    <mergeCell ref="E855:G855"/>
    <mergeCell ref="E844:G845"/>
    <mergeCell ref="H844:L845"/>
    <mergeCell ref="N844:T845"/>
    <mergeCell ref="E847:G847"/>
    <mergeCell ref="E848:G848"/>
    <mergeCell ref="E849:G849"/>
    <mergeCell ref="H840:I840"/>
    <mergeCell ref="K840:L840"/>
    <mergeCell ref="N840:T840"/>
    <mergeCell ref="H841:I842"/>
    <mergeCell ref="K841:L842"/>
    <mergeCell ref="N841:T841"/>
    <mergeCell ref="N842:T842"/>
    <mergeCell ref="E834:G834"/>
    <mergeCell ref="E835:G835"/>
    <mergeCell ref="H835:L835"/>
    <mergeCell ref="N835:T835"/>
    <mergeCell ref="E836:G836"/>
    <mergeCell ref="H836:L836"/>
    <mergeCell ref="N836:T838"/>
    <mergeCell ref="E828:G828"/>
    <mergeCell ref="E829:G829"/>
    <mergeCell ref="E830:G830"/>
    <mergeCell ref="E831:G831"/>
    <mergeCell ref="E832:G832"/>
    <mergeCell ref="E833:G833"/>
    <mergeCell ref="E822:G822"/>
    <mergeCell ref="E823:G823"/>
    <mergeCell ref="E824:G824"/>
    <mergeCell ref="E825:G825"/>
    <mergeCell ref="E826:G826"/>
    <mergeCell ref="E827:G827"/>
    <mergeCell ref="E816:G816"/>
    <mergeCell ref="E817:G817"/>
    <mergeCell ref="E818:G818"/>
    <mergeCell ref="E819:G819"/>
    <mergeCell ref="E820:G820"/>
    <mergeCell ref="E821:G821"/>
    <mergeCell ref="E810:G811"/>
    <mergeCell ref="H810:L811"/>
    <mergeCell ref="N810:T811"/>
    <mergeCell ref="E813:G813"/>
    <mergeCell ref="E814:G814"/>
    <mergeCell ref="E815:G815"/>
    <mergeCell ref="H806:I806"/>
    <mergeCell ref="K806:L806"/>
    <mergeCell ref="N806:T806"/>
    <mergeCell ref="H807:I808"/>
    <mergeCell ref="K807:L808"/>
    <mergeCell ref="N807:T807"/>
    <mergeCell ref="N808:T808"/>
    <mergeCell ref="E800:G800"/>
    <mergeCell ref="E801:G801"/>
    <mergeCell ref="H801:L801"/>
    <mergeCell ref="N801:T801"/>
    <mergeCell ref="E802:G802"/>
    <mergeCell ref="H802:L802"/>
    <mergeCell ref="N802:T804"/>
    <mergeCell ref="E794:G794"/>
    <mergeCell ref="E795:G795"/>
    <mergeCell ref="E796:G796"/>
    <mergeCell ref="E797:G797"/>
    <mergeCell ref="E798:G798"/>
    <mergeCell ref="E799:G799"/>
    <mergeCell ref="E788:G788"/>
    <mergeCell ref="E789:G789"/>
    <mergeCell ref="E790:G790"/>
    <mergeCell ref="E791:G791"/>
    <mergeCell ref="E792:G792"/>
    <mergeCell ref="E793:G793"/>
    <mergeCell ref="E782:G782"/>
    <mergeCell ref="E783:G783"/>
    <mergeCell ref="E784:G784"/>
    <mergeCell ref="E785:G785"/>
    <mergeCell ref="E786:G786"/>
    <mergeCell ref="E787:G787"/>
    <mergeCell ref="E776:G777"/>
    <mergeCell ref="H776:L777"/>
    <mergeCell ref="N776:T777"/>
    <mergeCell ref="E779:G779"/>
    <mergeCell ref="E780:G780"/>
    <mergeCell ref="E781:G781"/>
    <mergeCell ref="H772:I772"/>
    <mergeCell ref="K772:L772"/>
    <mergeCell ref="N772:T772"/>
    <mergeCell ref="H773:I774"/>
    <mergeCell ref="K773:L774"/>
    <mergeCell ref="N773:T773"/>
    <mergeCell ref="N774:T774"/>
    <mergeCell ref="E765:G765"/>
    <mergeCell ref="E766:G766"/>
    <mergeCell ref="E767:G767"/>
    <mergeCell ref="H767:L767"/>
    <mergeCell ref="N767:T767"/>
    <mergeCell ref="E768:G768"/>
    <mergeCell ref="H768:L768"/>
    <mergeCell ref="N768:T770"/>
    <mergeCell ref="E759:G759"/>
    <mergeCell ref="E760:G760"/>
    <mergeCell ref="E761:G761"/>
    <mergeCell ref="E762:G762"/>
    <mergeCell ref="E763:G763"/>
    <mergeCell ref="E764:G764"/>
    <mergeCell ref="E753:G753"/>
    <mergeCell ref="E754:G754"/>
    <mergeCell ref="E755:G755"/>
    <mergeCell ref="E756:G756"/>
    <mergeCell ref="E757:G757"/>
    <mergeCell ref="E758:G758"/>
    <mergeCell ref="E747:G747"/>
    <mergeCell ref="E748:G748"/>
    <mergeCell ref="E749:G749"/>
    <mergeCell ref="E750:G750"/>
    <mergeCell ref="E751:G751"/>
    <mergeCell ref="E752:G752"/>
    <mergeCell ref="E742:G743"/>
    <mergeCell ref="H742:L743"/>
    <mergeCell ref="N742:T743"/>
    <mergeCell ref="E744:G744"/>
    <mergeCell ref="E745:G745"/>
    <mergeCell ref="E746:G746"/>
    <mergeCell ref="H738:I738"/>
    <mergeCell ref="K738:L738"/>
    <mergeCell ref="N738:P738"/>
    <mergeCell ref="R738:T738"/>
    <mergeCell ref="H739:I740"/>
    <mergeCell ref="K739:L740"/>
    <mergeCell ref="N739:P739"/>
    <mergeCell ref="R739:T739"/>
    <mergeCell ref="N740:P740"/>
    <mergeCell ref="R740:T740"/>
    <mergeCell ref="E732:G732"/>
    <mergeCell ref="E733:G733"/>
    <mergeCell ref="H733:L733"/>
    <mergeCell ref="N733:T733"/>
    <mergeCell ref="E734:G734"/>
    <mergeCell ref="H734:L734"/>
    <mergeCell ref="N734:T736"/>
    <mergeCell ref="E726:G726"/>
    <mergeCell ref="E727:G727"/>
    <mergeCell ref="E728:G728"/>
    <mergeCell ref="E729:G729"/>
    <mergeCell ref="E730:G730"/>
    <mergeCell ref="E731:G731"/>
    <mergeCell ref="E720:G720"/>
    <mergeCell ref="E721:G721"/>
    <mergeCell ref="E722:G722"/>
    <mergeCell ref="E723:G723"/>
    <mergeCell ref="E724:G724"/>
    <mergeCell ref="E725:G725"/>
    <mergeCell ref="E714:G714"/>
    <mergeCell ref="E715:G715"/>
    <mergeCell ref="E716:G716"/>
    <mergeCell ref="E717:G717"/>
    <mergeCell ref="E718:G718"/>
    <mergeCell ref="E719:G719"/>
    <mergeCell ref="E708:G709"/>
    <mergeCell ref="H708:L709"/>
    <mergeCell ref="N708:T709"/>
    <mergeCell ref="E711:G711"/>
    <mergeCell ref="E712:G712"/>
    <mergeCell ref="E713:G713"/>
    <mergeCell ref="H704:I704"/>
    <mergeCell ref="K704:L704"/>
    <mergeCell ref="N704:T704"/>
    <mergeCell ref="H705:I706"/>
    <mergeCell ref="K705:L706"/>
    <mergeCell ref="N705:T705"/>
    <mergeCell ref="N706:T706"/>
    <mergeCell ref="E698:G698"/>
    <mergeCell ref="E699:G699"/>
    <mergeCell ref="H699:L699"/>
    <mergeCell ref="N699:T699"/>
    <mergeCell ref="E700:G700"/>
    <mergeCell ref="H700:L700"/>
    <mergeCell ref="N700:T702"/>
    <mergeCell ref="E692:G692"/>
    <mergeCell ref="E693:G693"/>
    <mergeCell ref="E694:G694"/>
    <mergeCell ref="E695:G695"/>
    <mergeCell ref="E696:G696"/>
    <mergeCell ref="E697:G697"/>
    <mergeCell ref="E686:G686"/>
    <mergeCell ref="E687:G687"/>
    <mergeCell ref="E688:G688"/>
    <mergeCell ref="E689:G689"/>
    <mergeCell ref="E690:G690"/>
    <mergeCell ref="E691:G691"/>
    <mergeCell ref="E680:G680"/>
    <mergeCell ref="E681:G681"/>
    <mergeCell ref="E682:G682"/>
    <mergeCell ref="E683:G683"/>
    <mergeCell ref="E684:G684"/>
    <mergeCell ref="E685:G685"/>
    <mergeCell ref="E674:G675"/>
    <mergeCell ref="H674:L675"/>
    <mergeCell ref="N674:T675"/>
    <mergeCell ref="E677:G677"/>
    <mergeCell ref="E678:G678"/>
    <mergeCell ref="E679:G679"/>
    <mergeCell ref="H670:I670"/>
    <mergeCell ref="K670:L670"/>
    <mergeCell ref="N670:P670"/>
    <mergeCell ref="R670:T670"/>
    <mergeCell ref="H671:I672"/>
    <mergeCell ref="K671:L672"/>
    <mergeCell ref="N671:P671"/>
    <mergeCell ref="R671:T671"/>
    <mergeCell ref="N672:P672"/>
    <mergeCell ref="R672:T672"/>
    <mergeCell ref="E663:G663"/>
    <mergeCell ref="E664:G664"/>
    <mergeCell ref="E665:G665"/>
    <mergeCell ref="H665:L665"/>
    <mergeCell ref="N665:T665"/>
    <mergeCell ref="E666:G666"/>
    <mergeCell ref="H666:L666"/>
    <mergeCell ref="N666:T668"/>
    <mergeCell ref="E657:G657"/>
    <mergeCell ref="E658:G658"/>
    <mergeCell ref="E659:G659"/>
    <mergeCell ref="E660:G660"/>
    <mergeCell ref="E661:G661"/>
    <mergeCell ref="E662:G662"/>
    <mergeCell ref="E651:G651"/>
    <mergeCell ref="E652:G652"/>
    <mergeCell ref="E653:G653"/>
    <mergeCell ref="E654:G654"/>
    <mergeCell ref="E655:G655"/>
    <mergeCell ref="E656:G656"/>
    <mergeCell ref="E645:G645"/>
    <mergeCell ref="E646:G646"/>
    <mergeCell ref="E647:G647"/>
    <mergeCell ref="E648:G648"/>
    <mergeCell ref="E649:G649"/>
    <mergeCell ref="E650:G650"/>
    <mergeCell ref="E640:G641"/>
    <mergeCell ref="H640:L641"/>
    <mergeCell ref="N640:T641"/>
    <mergeCell ref="E642:G642"/>
    <mergeCell ref="E643:G643"/>
    <mergeCell ref="E644:G644"/>
    <mergeCell ref="H636:I636"/>
    <mergeCell ref="K636:L636"/>
    <mergeCell ref="N636:T636"/>
    <mergeCell ref="H637:I638"/>
    <mergeCell ref="K637:L638"/>
    <mergeCell ref="N637:T637"/>
    <mergeCell ref="N638:T638"/>
    <mergeCell ref="E629:G629"/>
    <mergeCell ref="E630:G630"/>
    <mergeCell ref="E631:G631"/>
    <mergeCell ref="H631:L631"/>
    <mergeCell ref="N631:T631"/>
    <mergeCell ref="E632:G632"/>
    <mergeCell ref="H632:L632"/>
    <mergeCell ref="N632:T634"/>
    <mergeCell ref="E623:G623"/>
    <mergeCell ref="E624:G624"/>
    <mergeCell ref="E625:G625"/>
    <mergeCell ref="E626:G626"/>
    <mergeCell ref="E627:G627"/>
    <mergeCell ref="E628:G628"/>
    <mergeCell ref="E617:G617"/>
    <mergeCell ref="E618:G618"/>
    <mergeCell ref="E619:G619"/>
    <mergeCell ref="E620:G620"/>
    <mergeCell ref="E621:G621"/>
    <mergeCell ref="E622:G622"/>
    <mergeCell ref="E611:G611"/>
    <mergeCell ref="E612:G612"/>
    <mergeCell ref="E613:G613"/>
    <mergeCell ref="E614:G614"/>
    <mergeCell ref="E615:G615"/>
    <mergeCell ref="E616:G616"/>
    <mergeCell ref="E606:G607"/>
    <mergeCell ref="H606:L607"/>
    <mergeCell ref="N606:T607"/>
    <mergeCell ref="E608:G608"/>
    <mergeCell ref="E609:G609"/>
    <mergeCell ref="E610:G610"/>
    <mergeCell ref="H602:I602"/>
    <mergeCell ref="K602:L602"/>
    <mergeCell ref="N602:T602"/>
    <mergeCell ref="H603:I604"/>
    <mergeCell ref="K603:L604"/>
    <mergeCell ref="N603:T603"/>
    <mergeCell ref="N604:T604"/>
    <mergeCell ref="E595:G595"/>
    <mergeCell ref="E596:G596"/>
    <mergeCell ref="E597:G597"/>
    <mergeCell ref="H597:L597"/>
    <mergeCell ref="N597:T597"/>
    <mergeCell ref="E598:G598"/>
    <mergeCell ref="H598:L598"/>
    <mergeCell ref="N598:T600"/>
    <mergeCell ref="E589:G589"/>
    <mergeCell ref="E590:G590"/>
    <mergeCell ref="E591:G591"/>
    <mergeCell ref="E592:G592"/>
    <mergeCell ref="E593:G593"/>
    <mergeCell ref="E594:G594"/>
    <mergeCell ref="E583:G583"/>
    <mergeCell ref="E584:G584"/>
    <mergeCell ref="E585:G585"/>
    <mergeCell ref="E586:G586"/>
    <mergeCell ref="E587:G587"/>
    <mergeCell ref="E588:G588"/>
    <mergeCell ref="E577:G577"/>
    <mergeCell ref="E578:G578"/>
    <mergeCell ref="E579:G579"/>
    <mergeCell ref="E580:G580"/>
    <mergeCell ref="E581:G581"/>
    <mergeCell ref="E582:G582"/>
    <mergeCell ref="E572:G573"/>
    <mergeCell ref="H572:L573"/>
    <mergeCell ref="N572:T573"/>
    <mergeCell ref="E574:G574"/>
    <mergeCell ref="E575:G575"/>
    <mergeCell ref="E576:G576"/>
    <mergeCell ref="H568:I568"/>
    <mergeCell ref="K568:L568"/>
    <mergeCell ref="N568:P568"/>
    <mergeCell ref="R568:T568"/>
    <mergeCell ref="H569:I570"/>
    <mergeCell ref="K569:L570"/>
    <mergeCell ref="N569:P569"/>
    <mergeCell ref="R569:T569"/>
    <mergeCell ref="N570:P570"/>
    <mergeCell ref="R570:T570"/>
    <mergeCell ref="E562:G562"/>
    <mergeCell ref="E563:G563"/>
    <mergeCell ref="H563:L563"/>
    <mergeCell ref="N563:T563"/>
    <mergeCell ref="E564:G564"/>
    <mergeCell ref="H564:L564"/>
    <mergeCell ref="N564:T566"/>
    <mergeCell ref="E556:G556"/>
    <mergeCell ref="E557:G557"/>
    <mergeCell ref="E558:G558"/>
    <mergeCell ref="E559:G559"/>
    <mergeCell ref="E560:G560"/>
    <mergeCell ref="E561:G561"/>
    <mergeCell ref="E550:G550"/>
    <mergeCell ref="E551:G551"/>
    <mergeCell ref="E552:G552"/>
    <mergeCell ref="E553:G553"/>
    <mergeCell ref="E554:G554"/>
    <mergeCell ref="E555:G555"/>
    <mergeCell ref="E544:G544"/>
    <mergeCell ref="E545:G545"/>
    <mergeCell ref="E546:G546"/>
    <mergeCell ref="E547:G547"/>
    <mergeCell ref="E548:G548"/>
    <mergeCell ref="E549:G549"/>
    <mergeCell ref="E538:G539"/>
    <mergeCell ref="H538:L539"/>
    <mergeCell ref="N538:T539"/>
    <mergeCell ref="E541:G541"/>
    <mergeCell ref="E542:G542"/>
    <mergeCell ref="E543:G543"/>
    <mergeCell ref="H534:I534"/>
    <mergeCell ref="K534:L534"/>
    <mergeCell ref="N534:T534"/>
    <mergeCell ref="H535:I536"/>
    <mergeCell ref="K535:L536"/>
    <mergeCell ref="N535:T535"/>
    <mergeCell ref="N536:T536"/>
    <mergeCell ref="E528:G528"/>
    <mergeCell ref="E529:G529"/>
    <mergeCell ref="H529:L529"/>
    <mergeCell ref="N529:T529"/>
    <mergeCell ref="E530:G530"/>
    <mergeCell ref="H530:L530"/>
    <mergeCell ref="N530:T532"/>
    <mergeCell ref="E522:G522"/>
    <mergeCell ref="E523:G523"/>
    <mergeCell ref="E524:G524"/>
    <mergeCell ref="E525:G525"/>
    <mergeCell ref="E526:G526"/>
    <mergeCell ref="E527:G527"/>
    <mergeCell ref="E516:G516"/>
    <mergeCell ref="E517:G517"/>
    <mergeCell ref="E518:G518"/>
    <mergeCell ref="E519:G519"/>
    <mergeCell ref="E520:G520"/>
    <mergeCell ref="E521:G521"/>
    <mergeCell ref="E510:G510"/>
    <mergeCell ref="E511:G511"/>
    <mergeCell ref="E512:G512"/>
    <mergeCell ref="E513:G513"/>
    <mergeCell ref="E514:G514"/>
    <mergeCell ref="E515:G515"/>
    <mergeCell ref="E504:G505"/>
    <mergeCell ref="H504:L505"/>
    <mergeCell ref="N504:T505"/>
    <mergeCell ref="E507:G507"/>
    <mergeCell ref="E508:G508"/>
    <mergeCell ref="E509:G509"/>
    <mergeCell ref="H500:I500"/>
    <mergeCell ref="K500:L500"/>
    <mergeCell ref="N500:T500"/>
    <mergeCell ref="H501:I502"/>
    <mergeCell ref="K501:L502"/>
    <mergeCell ref="N501:T501"/>
    <mergeCell ref="N502:T502"/>
    <mergeCell ref="E493:G493"/>
    <mergeCell ref="E494:G494"/>
    <mergeCell ref="E495:G495"/>
    <mergeCell ref="H495:L495"/>
    <mergeCell ref="N495:T495"/>
    <mergeCell ref="E496:G496"/>
    <mergeCell ref="H496:L496"/>
    <mergeCell ref="N496:T498"/>
    <mergeCell ref="E487:G487"/>
    <mergeCell ref="E488:G488"/>
    <mergeCell ref="E489:G489"/>
    <mergeCell ref="E490:G490"/>
    <mergeCell ref="E491:G491"/>
    <mergeCell ref="E492:G492"/>
    <mergeCell ref="E481:G481"/>
    <mergeCell ref="E482:G482"/>
    <mergeCell ref="E483:G483"/>
    <mergeCell ref="E484:G484"/>
    <mergeCell ref="E485:G485"/>
    <mergeCell ref="E486:G486"/>
    <mergeCell ref="E475:G475"/>
    <mergeCell ref="E476:G476"/>
    <mergeCell ref="E477:G477"/>
    <mergeCell ref="E478:G478"/>
    <mergeCell ref="E479:G479"/>
    <mergeCell ref="E480:G480"/>
    <mergeCell ref="E470:G471"/>
    <mergeCell ref="H470:L471"/>
    <mergeCell ref="N470:T471"/>
    <mergeCell ref="E472:G472"/>
    <mergeCell ref="E473:G473"/>
    <mergeCell ref="E474:G474"/>
    <mergeCell ref="H466:I466"/>
    <mergeCell ref="K466:L466"/>
    <mergeCell ref="N466:T466"/>
    <mergeCell ref="H467:I468"/>
    <mergeCell ref="K467:L468"/>
    <mergeCell ref="N467:T467"/>
    <mergeCell ref="N468:T468"/>
    <mergeCell ref="E459:G459"/>
    <mergeCell ref="E460:G460"/>
    <mergeCell ref="E461:G461"/>
    <mergeCell ref="H461:L461"/>
    <mergeCell ref="N461:T461"/>
    <mergeCell ref="E462:G462"/>
    <mergeCell ref="H462:L462"/>
    <mergeCell ref="N462:T464"/>
    <mergeCell ref="E453:G453"/>
    <mergeCell ref="E454:G454"/>
    <mergeCell ref="E455:G455"/>
    <mergeCell ref="E456:G456"/>
    <mergeCell ref="E457:G457"/>
    <mergeCell ref="E458:G458"/>
    <mergeCell ref="E447:G447"/>
    <mergeCell ref="E448:G448"/>
    <mergeCell ref="E449:G449"/>
    <mergeCell ref="E450:G450"/>
    <mergeCell ref="E451:G451"/>
    <mergeCell ref="E452:G452"/>
    <mergeCell ref="E441:G441"/>
    <mergeCell ref="E442:G442"/>
    <mergeCell ref="E443:G443"/>
    <mergeCell ref="E444:G444"/>
    <mergeCell ref="E445:G445"/>
    <mergeCell ref="E446:G446"/>
    <mergeCell ref="E436:G437"/>
    <mergeCell ref="H436:L437"/>
    <mergeCell ref="N436:T437"/>
    <mergeCell ref="E438:G438"/>
    <mergeCell ref="E439:G439"/>
    <mergeCell ref="E440:G440"/>
    <mergeCell ref="H432:I432"/>
    <mergeCell ref="K432:L432"/>
    <mergeCell ref="N432:T432"/>
    <mergeCell ref="H433:I434"/>
    <mergeCell ref="K433:L434"/>
    <mergeCell ref="N433:T433"/>
    <mergeCell ref="N434:T434"/>
    <mergeCell ref="E425:G425"/>
    <mergeCell ref="E426:G426"/>
    <mergeCell ref="E427:G427"/>
    <mergeCell ref="H427:L427"/>
    <mergeCell ref="N427:T427"/>
    <mergeCell ref="E428:G428"/>
    <mergeCell ref="H428:L428"/>
    <mergeCell ref="N428:T430"/>
    <mergeCell ref="E419:G419"/>
    <mergeCell ref="E420:G420"/>
    <mergeCell ref="E421:G421"/>
    <mergeCell ref="E422:G422"/>
    <mergeCell ref="E423:G423"/>
    <mergeCell ref="E424:G424"/>
    <mergeCell ref="E413:G413"/>
    <mergeCell ref="E414:G414"/>
    <mergeCell ref="E415:G415"/>
    <mergeCell ref="E416:G416"/>
    <mergeCell ref="E417:G417"/>
    <mergeCell ref="E418:G418"/>
    <mergeCell ref="E407:G407"/>
    <mergeCell ref="E408:G408"/>
    <mergeCell ref="E409:G409"/>
    <mergeCell ref="E410:G410"/>
    <mergeCell ref="E411:G411"/>
    <mergeCell ref="E412:G412"/>
    <mergeCell ref="E402:G403"/>
    <mergeCell ref="H402:L403"/>
    <mergeCell ref="N402:T403"/>
    <mergeCell ref="E404:G404"/>
    <mergeCell ref="E405:G405"/>
    <mergeCell ref="E406:G406"/>
    <mergeCell ref="H398:I398"/>
    <mergeCell ref="K398:L398"/>
    <mergeCell ref="N398:T398"/>
    <mergeCell ref="H399:I400"/>
    <mergeCell ref="K399:L400"/>
    <mergeCell ref="N399:T399"/>
    <mergeCell ref="N400:T400"/>
    <mergeCell ref="E392:G392"/>
    <mergeCell ref="E393:G393"/>
    <mergeCell ref="H393:L393"/>
    <mergeCell ref="N393:T393"/>
    <mergeCell ref="E394:G394"/>
    <mergeCell ref="H394:L394"/>
    <mergeCell ref="N394:T396"/>
    <mergeCell ref="E386:G386"/>
    <mergeCell ref="E387:G387"/>
    <mergeCell ref="E388:G388"/>
    <mergeCell ref="E389:G389"/>
    <mergeCell ref="E390:G390"/>
    <mergeCell ref="E391:G391"/>
    <mergeCell ref="E380:G380"/>
    <mergeCell ref="E381:G381"/>
    <mergeCell ref="E382:G382"/>
    <mergeCell ref="E383:G383"/>
    <mergeCell ref="E384:G384"/>
    <mergeCell ref="E385:G385"/>
    <mergeCell ref="E374:G374"/>
    <mergeCell ref="E375:G375"/>
    <mergeCell ref="E376:G376"/>
    <mergeCell ref="E377:G377"/>
    <mergeCell ref="E378:G378"/>
    <mergeCell ref="E379:G379"/>
    <mergeCell ref="E368:G369"/>
    <mergeCell ref="H368:L369"/>
    <mergeCell ref="N368:T369"/>
    <mergeCell ref="E371:G371"/>
    <mergeCell ref="E372:G372"/>
    <mergeCell ref="E373:G373"/>
    <mergeCell ref="H364:I364"/>
    <mergeCell ref="K364:L364"/>
    <mergeCell ref="N364:P364"/>
    <mergeCell ref="R364:T364"/>
    <mergeCell ref="H365:I366"/>
    <mergeCell ref="K365:L366"/>
    <mergeCell ref="N365:P365"/>
    <mergeCell ref="R365:T365"/>
    <mergeCell ref="N366:P366"/>
    <mergeCell ref="R366:T366"/>
    <mergeCell ref="E357:G357"/>
    <mergeCell ref="E358:G358"/>
    <mergeCell ref="E359:G359"/>
    <mergeCell ref="H359:L359"/>
    <mergeCell ref="N359:T359"/>
    <mergeCell ref="E360:G360"/>
    <mergeCell ref="H360:L360"/>
    <mergeCell ref="N360:T362"/>
    <mergeCell ref="E351:G351"/>
    <mergeCell ref="E352:G352"/>
    <mergeCell ref="E353:G353"/>
    <mergeCell ref="E354:G354"/>
    <mergeCell ref="E355:G355"/>
    <mergeCell ref="E356:G356"/>
    <mergeCell ref="E345:G345"/>
    <mergeCell ref="E346:G346"/>
    <mergeCell ref="E347:G347"/>
    <mergeCell ref="E348:G348"/>
    <mergeCell ref="E349:G349"/>
    <mergeCell ref="E350:G350"/>
    <mergeCell ref="E339:G339"/>
    <mergeCell ref="E340:G340"/>
    <mergeCell ref="E341:G341"/>
    <mergeCell ref="E342:G342"/>
    <mergeCell ref="E343:G343"/>
    <mergeCell ref="E344:G344"/>
    <mergeCell ref="E334:G335"/>
    <mergeCell ref="H334:L335"/>
    <mergeCell ref="N334:T335"/>
    <mergeCell ref="E336:G336"/>
    <mergeCell ref="E337:G337"/>
    <mergeCell ref="E338:G338"/>
    <mergeCell ref="H330:I330"/>
    <mergeCell ref="K330:L330"/>
    <mergeCell ref="N330:P330"/>
    <mergeCell ref="R330:T330"/>
    <mergeCell ref="H331:I332"/>
    <mergeCell ref="K331:L332"/>
    <mergeCell ref="N331:P331"/>
    <mergeCell ref="R331:T331"/>
    <mergeCell ref="N332:P332"/>
    <mergeCell ref="R332:T332"/>
    <mergeCell ref="E323:G323"/>
    <mergeCell ref="E324:G324"/>
    <mergeCell ref="E325:G325"/>
    <mergeCell ref="H325:L325"/>
    <mergeCell ref="N325:T325"/>
    <mergeCell ref="E326:G326"/>
    <mergeCell ref="H326:L326"/>
    <mergeCell ref="N326:T328"/>
    <mergeCell ref="E317:G317"/>
    <mergeCell ref="E318:G318"/>
    <mergeCell ref="E319:G319"/>
    <mergeCell ref="E320:G320"/>
    <mergeCell ref="E321:G321"/>
    <mergeCell ref="E322:G322"/>
    <mergeCell ref="E311:G311"/>
    <mergeCell ref="E312:G312"/>
    <mergeCell ref="E313:G313"/>
    <mergeCell ref="E314:G314"/>
    <mergeCell ref="E315:G315"/>
    <mergeCell ref="E316:G316"/>
    <mergeCell ref="E305:G305"/>
    <mergeCell ref="E306:G306"/>
    <mergeCell ref="E307:G307"/>
    <mergeCell ref="E308:G308"/>
    <mergeCell ref="E309:G309"/>
    <mergeCell ref="E310:G310"/>
    <mergeCell ref="E300:G301"/>
    <mergeCell ref="H300:L301"/>
    <mergeCell ref="N300:T301"/>
    <mergeCell ref="E302:G302"/>
    <mergeCell ref="E303:G303"/>
    <mergeCell ref="E304:G304"/>
    <mergeCell ref="H296:I296"/>
    <mergeCell ref="K296:L296"/>
    <mergeCell ref="N296:P296"/>
    <mergeCell ref="R296:T296"/>
    <mergeCell ref="H297:I298"/>
    <mergeCell ref="K297:L298"/>
    <mergeCell ref="N297:P297"/>
    <mergeCell ref="R297:T297"/>
    <mergeCell ref="N298:P298"/>
    <mergeCell ref="R298:T298"/>
    <mergeCell ref="E289:G289"/>
    <mergeCell ref="E290:G290"/>
    <mergeCell ref="E291:G291"/>
    <mergeCell ref="H291:L291"/>
    <mergeCell ref="N291:T291"/>
    <mergeCell ref="E292:G292"/>
    <mergeCell ref="H292:L292"/>
    <mergeCell ref="N292:T294"/>
    <mergeCell ref="E283:G283"/>
    <mergeCell ref="E284:G284"/>
    <mergeCell ref="E285:G285"/>
    <mergeCell ref="E286:G286"/>
    <mergeCell ref="E287:G287"/>
    <mergeCell ref="E288:G288"/>
    <mergeCell ref="E277:G277"/>
    <mergeCell ref="E278:G278"/>
    <mergeCell ref="E279:G279"/>
    <mergeCell ref="E280:G280"/>
    <mergeCell ref="E281:G281"/>
    <mergeCell ref="E282:G282"/>
    <mergeCell ref="E271:G271"/>
    <mergeCell ref="E272:G272"/>
    <mergeCell ref="E273:G273"/>
    <mergeCell ref="E274:G274"/>
    <mergeCell ref="E275:G275"/>
    <mergeCell ref="E276:G276"/>
    <mergeCell ref="E266:G267"/>
    <mergeCell ref="H266:L267"/>
    <mergeCell ref="N266:T267"/>
    <mergeCell ref="E268:G268"/>
    <mergeCell ref="E269:G269"/>
    <mergeCell ref="E270:G270"/>
    <mergeCell ref="H262:I262"/>
    <mergeCell ref="K262:L262"/>
    <mergeCell ref="N262:P262"/>
    <mergeCell ref="R262:T262"/>
    <mergeCell ref="H263:I264"/>
    <mergeCell ref="K263:L264"/>
    <mergeCell ref="N263:P263"/>
    <mergeCell ref="R263:T263"/>
    <mergeCell ref="N264:P264"/>
    <mergeCell ref="R264:T264"/>
    <mergeCell ref="E255:G255"/>
    <mergeCell ref="E256:G256"/>
    <mergeCell ref="E257:G257"/>
    <mergeCell ref="H257:L257"/>
    <mergeCell ref="N257:T257"/>
    <mergeCell ref="E258:G258"/>
    <mergeCell ref="H258:L258"/>
    <mergeCell ref="N258:T260"/>
    <mergeCell ref="E249:G249"/>
    <mergeCell ref="E250:G250"/>
    <mergeCell ref="E251:G251"/>
    <mergeCell ref="E252:G252"/>
    <mergeCell ref="E253:G253"/>
    <mergeCell ref="E254:G254"/>
    <mergeCell ref="E243:G243"/>
    <mergeCell ref="E244:G244"/>
    <mergeCell ref="E245:G245"/>
    <mergeCell ref="E246:G246"/>
    <mergeCell ref="E247:G247"/>
    <mergeCell ref="E248:G248"/>
    <mergeCell ref="E237:G237"/>
    <mergeCell ref="E238:G238"/>
    <mergeCell ref="E239:G239"/>
    <mergeCell ref="E240:G240"/>
    <mergeCell ref="E241:G241"/>
    <mergeCell ref="E242:G242"/>
    <mergeCell ref="E232:G233"/>
    <mergeCell ref="H232:L233"/>
    <mergeCell ref="N232:T233"/>
    <mergeCell ref="E234:G234"/>
    <mergeCell ref="E235:G235"/>
    <mergeCell ref="E236:G236"/>
    <mergeCell ref="H228:I228"/>
    <mergeCell ref="K228:L228"/>
    <mergeCell ref="N228:P228"/>
    <mergeCell ref="R228:T228"/>
    <mergeCell ref="H229:I230"/>
    <mergeCell ref="K229:L230"/>
    <mergeCell ref="N229:P229"/>
    <mergeCell ref="R229:T229"/>
    <mergeCell ref="N230:P230"/>
    <mergeCell ref="R230:T230"/>
    <mergeCell ref="E222:G222"/>
    <mergeCell ref="E223:G223"/>
    <mergeCell ref="H223:L223"/>
    <mergeCell ref="N223:T223"/>
    <mergeCell ref="E224:G224"/>
    <mergeCell ref="H224:L224"/>
    <mergeCell ref="N224:T226"/>
    <mergeCell ref="E216:G216"/>
    <mergeCell ref="E217:G217"/>
    <mergeCell ref="E218:G218"/>
    <mergeCell ref="E219:G219"/>
    <mergeCell ref="E220:G220"/>
    <mergeCell ref="E221:G221"/>
    <mergeCell ref="E210:G210"/>
    <mergeCell ref="E211:G211"/>
    <mergeCell ref="E212:G212"/>
    <mergeCell ref="E213:G213"/>
    <mergeCell ref="E214:G214"/>
    <mergeCell ref="E215:G215"/>
    <mergeCell ref="E204:G204"/>
    <mergeCell ref="E205:G205"/>
    <mergeCell ref="E206:G206"/>
    <mergeCell ref="E207:G207"/>
    <mergeCell ref="E208:G208"/>
    <mergeCell ref="E209:G209"/>
    <mergeCell ref="E198:G199"/>
    <mergeCell ref="H198:L199"/>
    <mergeCell ref="N198:T199"/>
    <mergeCell ref="E201:G201"/>
    <mergeCell ref="E202:G202"/>
    <mergeCell ref="E203:G203"/>
    <mergeCell ref="H194:I194"/>
    <mergeCell ref="K194:L194"/>
    <mergeCell ref="H195:I196"/>
    <mergeCell ref="K195:L196"/>
    <mergeCell ref="N196:P196"/>
    <mergeCell ref="R196:T196"/>
    <mergeCell ref="E171:G171"/>
    <mergeCell ref="E189:G189"/>
    <mergeCell ref="H189:L189"/>
    <mergeCell ref="N189:T189"/>
    <mergeCell ref="E190:G190"/>
    <mergeCell ref="H190:L190"/>
    <mergeCell ref="N190:T192"/>
    <mergeCell ref="N194:T194"/>
    <mergeCell ref="N195:T195"/>
    <mergeCell ref="N200:T200"/>
    <mergeCell ref="E165:G165"/>
    <mergeCell ref="E166:G166"/>
    <mergeCell ref="E167:G167"/>
    <mergeCell ref="E168:G168"/>
    <mergeCell ref="E169:G169"/>
    <mergeCell ref="E170:G170"/>
    <mergeCell ref="E159:G159"/>
    <mergeCell ref="E160:G160"/>
    <mergeCell ref="E161:G161"/>
    <mergeCell ref="E162:G162"/>
    <mergeCell ref="E163:G163"/>
    <mergeCell ref="E164:G164"/>
    <mergeCell ref="E152:G152"/>
    <mergeCell ref="E153:G153"/>
    <mergeCell ref="E154:G154"/>
    <mergeCell ref="E155:G155"/>
    <mergeCell ref="E156:G156"/>
    <mergeCell ref="E157:G157"/>
    <mergeCell ref="E147:G148"/>
    <mergeCell ref="H147:L148"/>
    <mergeCell ref="N147:T148"/>
    <mergeCell ref="E149:G149"/>
    <mergeCell ref="E150:G150"/>
    <mergeCell ref="E151:G151"/>
    <mergeCell ref="H144:I145"/>
    <mergeCell ref="K144:L145"/>
    <mergeCell ref="N144:P144"/>
    <mergeCell ref="R144:T144"/>
    <mergeCell ref="N145:P145"/>
    <mergeCell ref="R145:T145"/>
    <mergeCell ref="N138:T138"/>
    <mergeCell ref="E139:G139"/>
    <mergeCell ref="H139:L139"/>
    <mergeCell ref="N139:T141"/>
    <mergeCell ref="H143:I143"/>
    <mergeCell ref="K143:L143"/>
    <mergeCell ref="N143:P143"/>
    <mergeCell ref="R143:T143"/>
    <mergeCell ref="E134:G134"/>
    <mergeCell ref="E135:G135"/>
    <mergeCell ref="E136:G136"/>
    <mergeCell ref="E137:G137"/>
    <mergeCell ref="E138:G138"/>
    <mergeCell ref="H138:L138"/>
    <mergeCell ref="E128:G128"/>
    <mergeCell ref="E129:G129"/>
    <mergeCell ref="E130:G130"/>
    <mergeCell ref="E131:G131"/>
    <mergeCell ref="E132:G132"/>
    <mergeCell ref="E133:G133"/>
    <mergeCell ref="E122:G122"/>
    <mergeCell ref="E123:G123"/>
    <mergeCell ref="E124:G124"/>
    <mergeCell ref="E125:G125"/>
    <mergeCell ref="E126:G126"/>
    <mergeCell ref="E127:G127"/>
    <mergeCell ref="E116:G116"/>
    <mergeCell ref="E117:G117"/>
    <mergeCell ref="E118:G118"/>
    <mergeCell ref="E119:G119"/>
    <mergeCell ref="E120:G120"/>
    <mergeCell ref="E121:G121"/>
    <mergeCell ref="N111:O111"/>
    <mergeCell ref="P111:R111"/>
    <mergeCell ref="S111:T111"/>
    <mergeCell ref="E113:G114"/>
    <mergeCell ref="H113:L114"/>
    <mergeCell ref="N113:T114"/>
    <mergeCell ref="H109:I109"/>
    <mergeCell ref="K109:L109"/>
    <mergeCell ref="N109:O109"/>
    <mergeCell ref="P109:R109"/>
    <mergeCell ref="S109:T109"/>
    <mergeCell ref="H110:I111"/>
    <mergeCell ref="K110:L111"/>
    <mergeCell ref="N110:O110"/>
    <mergeCell ref="P110:R110"/>
    <mergeCell ref="S110:T110"/>
    <mergeCell ref="E102:G102"/>
    <mergeCell ref="E103:G103"/>
    <mergeCell ref="E104:G104"/>
    <mergeCell ref="H104:L104"/>
    <mergeCell ref="N104:T104"/>
    <mergeCell ref="E105:G105"/>
    <mergeCell ref="H105:L105"/>
    <mergeCell ref="N105:T107"/>
    <mergeCell ref="E96:G96"/>
    <mergeCell ref="E97:G97"/>
    <mergeCell ref="E98:G98"/>
    <mergeCell ref="E99:G99"/>
    <mergeCell ref="E100:G100"/>
    <mergeCell ref="E101:G101"/>
    <mergeCell ref="E90:G90"/>
    <mergeCell ref="E91:G91"/>
    <mergeCell ref="E92:G92"/>
    <mergeCell ref="E93:G93"/>
    <mergeCell ref="E94:G94"/>
    <mergeCell ref="E95:G95"/>
    <mergeCell ref="E84:G84"/>
    <mergeCell ref="E85:G85"/>
    <mergeCell ref="E86:G86"/>
    <mergeCell ref="E87:G87"/>
    <mergeCell ref="E88:G88"/>
    <mergeCell ref="E89:G89"/>
    <mergeCell ref="E79:G80"/>
    <mergeCell ref="H79:L80"/>
    <mergeCell ref="N79:T80"/>
    <mergeCell ref="E81:G81"/>
    <mergeCell ref="E82:G82"/>
    <mergeCell ref="E83:G83"/>
    <mergeCell ref="H76:I77"/>
    <mergeCell ref="K76:L77"/>
    <mergeCell ref="N76:O76"/>
    <mergeCell ref="P76:R76"/>
    <mergeCell ref="S76:T76"/>
    <mergeCell ref="N77:O77"/>
    <mergeCell ref="P77:R77"/>
    <mergeCell ref="S77:T77"/>
    <mergeCell ref="H70:L70"/>
    <mergeCell ref="N70:T70"/>
    <mergeCell ref="E71:G71"/>
    <mergeCell ref="H71:L71"/>
    <mergeCell ref="N71:T73"/>
    <mergeCell ref="H75:I75"/>
    <mergeCell ref="K75:L75"/>
    <mergeCell ref="N75:O75"/>
    <mergeCell ref="P75:R75"/>
    <mergeCell ref="S75:T75"/>
    <mergeCell ref="E65:G65"/>
    <mergeCell ref="E66:G66"/>
    <mergeCell ref="E67:G67"/>
    <mergeCell ref="E68:G68"/>
    <mergeCell ref="E69:G69"/>
    <mergeCell ref="E70:G70"/>
    <mergeCell ref="E59:G59"/>
    <mergeCell ref="E60:G60"/>
    <mergeCell ref="E61:G61"/>
    <mergeCell ref="E62:G62"/>
    <mergeCell ref="E63:G63"/>
    <mergeCell ref="E64:G64"/>
    <mergeCell ref="E53:G53"/>
    <mergeCell ref="E54:G54"/>
    <mergeCell ref="E55:G55"/>
    <mergeCell ref="E56:G56"/>
    <mergeCell ref="E57:G57"/>
    <mergeCell ref="E58:G58"/>
    <mergeCell ref="E47:G47"/>
    <mergeCell ref="E48:G48"/>
    <mergeCell ref="E49:G49"/>
    <mergeCell ref="E50:G50"/>
    <mergeCell ref="E51:G51"/>
    <mergeCell ref="E52:G52"/>
    <mergeCell ref="N43:O43"/>
    <mergeCell ref="P43:R43"/>
    <mergeCell ref="S43:T43"/>
    <mergeCell ref="E45:G46"/>
    <mergeCell ref="H45:L46"/>
    <mergeCell ref="N45:T46"/>
    <mergeCell ref="K41:L41"/>
    <mergeCell ref="N41:O41"/>
    <mergeCell ref="P41:R41"/>
    <mergeCell ref="S41:T41"/>
    <mergeCell ref="H42:I43"/>
    <mergeCell ref="K42:L43"/>
    <mergeCell ref="N42:O42"/>
    <mergeCell ref="P42:R42"/>
    <mergeCell ref="S42:T42"/>
    <mergeCell ref="E34:G34"/>
    <mergeCell ref="E35:G35"/>
    <mergeCell ref="E36:G36"/>
    <mergeCell ref="H36:L36"/>
    <mergeCell ref="N36:T36"/>
    <mergeCell ref="E37:G37"/>
    <mergeCell ref="H37:L37"/>
    <mergeCell ref="N37:T39"/>
    <mergeCell ref="E30:G30"/>
    <mergeCell ref="E31:G31"/>
    <mergeCell ref="E32:G32"/>
    <mergeCell ref="E33:G33"/>
    <mergeCell ref="E22:G22"/>
    <mergeCell ref="E23:G23"/>
    <mergeCell ref="E24:G24"/>
    <mergeCell ref="E25:G25"/>
    <mergeCell ref="E26:G26"/>
    <mergeCell ref="E27:G27"/>
    <mergeCell ref="E16:G16"/>
    <mergeCell ref="E17:G17"/>
    <mergeCell ref="E18:G18"/>
    <mergeCell ref="E19:G19"/>
    <mergeCell ref="E20:G20"/>
    <mergeCell ref="E21:G21"/>
    <mergeCell ref="H41:I41"/>
    <mergeCell ref="K9:L9"/>
    <mergeCell ref="N9:P9"/>
    <mergeCell ref="R9:T9"/>
    <mergeCell ref="E11:G11"/>
    <mergeCell ref="M13:M15"/>
    <mergeCell ref="N13:P13"/>
    <mergeCell ref="Q13:Q15"/>
    <mergeCell ref="N14:P14"/>
    <mergeCell ref="N15:P15"/>
    <mergeCell ref="C2:T2"/>
    <mergeCell ref="C3:T3"/>
    <mergeCell ref="C4:T4"/>
    <mergeCell ref="C5:T5"/>
    <mergeCell ref="C6:T6"/>
    <mergeCell ref="C7:T7"/>
    <mergeCell ref="E28:G28"/>
    <mergeCell ref="E29:G29"/>
  </mergeCells>
  <printOptions horizontalCentered="1"/>
  <pageMargins left="0.19685039370078741" right="0.19685039370078741" top="0.39370078740157483" bottom="0.19685039370078741" header="0.31496062992125984" footer="0.11811023622047245"/>
  <pageSetup paperSize="9" scale="32" orientation="landscape" r:id="rId1"/>
  <headerFooter>
    <oddHeader>&amp;L&amp;"Aptos"&amp;10&amp;K008000 Herkese Açık (Public)&amp;1#_x000D_</oddHeader>
    <oddFooter>&amp;L_x000D_&amp;1#&amp;"Aptos"&amp;10&amp;K008000 Herkese Açık (Public)&amp;CYapılan İşler İcmali Sayfa &amp;P / &amp;N</oddFooter>
  </headerFooter>
  <rowBreaks count="28" manualBreakCount="28">
    <brk id="46" min="1" max="19" man="1"/>
    <brk id="80" min="1" max="19" man="1"/>
    <brk id="114" max="16383" man="1"/>
    <brk id="148" max="16383" man="1"/>
    <brk id="199" max="16383" man="1"/>
    <brk id="233" max="16383" man="1"/>
    <brk id="267" max="16383" man="1"/>
    <brk id="301" max="16383" man="1"/>
    <brk id="335" max="16383" man="1"/>
    <brk id="369" max="16383" man="1"/>
    <brk id="403" max="16383" man="1"/>
    <brk id="437" max="16383" man="1"/>
    <brk id="471" max="16383" man="1"/>
    <brk id="505" max="16383" man="1"/>
    <brk id="539" max="16383" man="1"/>
    <brk id="573" max="16383" man="1"/>
    <brk id="607" max="16383" man="1"/>
    <brk id="641" max="16383" man="1"/>
    <brk id="675" max="16383" man="1"/>
    <brk id="709" max="16383" man="1"/>
    <brk id="743" max="16383" man="1"/>
    <brk id="777" max="16383" man="1"/>
    <brk id="811" max="16383" man="1"/>
    <brk id="845" max="16383" man="1"/>
    <brk id="882" max="16383" man="1"/>
    <brk id="916" max="16383" man="1"/>
    <brk id="950" max="16383" man="1"/>
    <brk id="98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4149-AA36-45B5-90EA-8F01442C0AF6}">
  <sheetPr codeName="Sayfa33">
    <pageSetUpPr fitToPage="1"/>
  </sheetPr>
  <dimension ref="A1:W1115"/>
  <sheetViews>
    <sheetView view="pageBreakPreview" topLeftCell="A7" zoomScale="60" zoomScaleNormal="100" workbookViewId="0">
      <selection activeCell="N15" sqref="N15:P15"/>
    </sheetView>
  </sheetViews>
  <sheetFormatPr defaultRowHeight="15" customHeight="1" x14ac:dyDescent="0.3"/>
  <cols>
    <col min="1" max="2" width="8.88671875" style="11"/>
    <col min="3" max="3" width="10.6640625" style="28" customWidth="1"/>
    <col min="4" max="4" width="8.88671875" style="11"/>
    <col min="5" max="7" width="25.77734375" style="11" customWidth="1"/>
    <col min="8" max="8" width="10.109375" style="11" bestFit="1" customWidth="1"/>
    <col min="9" max="9" width="20.77734375" style="24" customWidth="1"/>
    <col min="10" max="10" width="1.77734375" style="11" customWidth="1"/>
    <col min="11" max="11" width="16.88671875" style="11" customWidth="1"/>
    <col min="12" max="12" width="19.44140625" style="26" customWidth="1"/>
    <col min="13" max="13" width="1.77734375" style="11" customWidth="1"/>
    <col min="14" max="14" width="20.77734375" style="676" customWidth="1"/>
    <col min="15" max="16" width="20.77734375" style="516" customWidth="1"/>
    <col min="17" max="17" width="1.77734375" style="609" customWidth="1"/>
    <col min="18" max="20" width="20.77734375" style="11" customWidth="1"/>
    <col min="21" max="21" width="8.88671875" style="11"/>
    <col min="22" max="22" width="15" bestFit="1" customWidth="1"/>
    <col min="24" max="16384" width="8.88671875" style="11"/>
  </cols>
  <sheetData>
    <row r="1" spans="1:23" ht="15" customHeight="1" x14ac:dyDescent="0.3">
      <c r="I1" s="11"/>
      <c r="L1" s="11"/>
      <c r="N1" s="516"/>
      <c r="Q1" s="11"/>
    </row>
    <row r="2" spans="1:23" s="222" customFormat="1" ht="15" customHeight="1" x14ac:dyDescent="0.3">
      <c r="C2" s="982" t="s">
        <v>118</v>
      </c>
      <c r="D2" s="982"/>
      <c r="E2" s="982"/>
      <c r="F2" s="982"/>
      <c r="G2" s="982"/>
      <c r="H2" s="982"/>
      <c r="I2" s="982"/>
      <c r="J2" s="982"/>
      <c r="K2" s="982"/>
      <c r="L2" s="982"/>
      <c r="M2" s="982"/>
      <c r="N2" s="982"/>
      <c r="O2" s="982"/>
      <c r="P2" s="982"/>
      <c r="Q2" s="982"/>
      <c r="R2" s="982"/>
      <c r="S2" s="982"/>
      <c r="T2" s="982"/>
      <c r="V2"/>
      <c r="W2"/>
    </row>
    <row r="3" spans="1:23" s="222" customFormat="1" ht="15" customHeight="1" x14ac:dyDescent="0.3">
      <c r="C3" s="982" t="s">
        <v>1161</v>
      </c>
      <c r="D3" s="982"/>
      <c r="E3" s="982"/>
      <c r="F3" s="982"/>
      <c r="G3" s="982"/>
      <c r="H3" s="982"/>
      <c r="I3" s="982"/>
      <c r="J3" s="982"/>
      <c r="K3" s="982"/>
      <c r="L3" s="982"/>
      <c r="M3" s="982"/>
      <c r="N3" s="982"/>
      <c r="O3" s="982"/>
      <c r="P3" s="982"/>
      <c r="Q3" s="982"/>
      <c r="R3" s="982"/>
      <c r="S3" s="982"/>
      <c r="T3" s="982"/>
      <c r="V3"/>
      <c r="W3"/>
    </row>
    <row r="4" spans="1:23" s="222" customFormat="1" ht="15" customHeight="1" x14ac:dyDescent="0.3">
      <c r="C4" s="983" t="s">
        <v>1434</v>
      </c>
      <c r="D4" s="983"/>
      <c r="E4" s="983"/>
      <c r="F4" s="983"/>
      <c r="G4" s="983"/>
      <c r="H4" s="983"/>
      <c r="I4" s="983"/>
      <c r="J4" s="983"/>
      <c r="K4" s="983"/>
      <c r="L4" s="983"/>
      <c r="M4" s="983"/>
      <c r="N4" s="983"/>
      <c r="O4" s="983"/>
      <c r="P4" s="983"/>
      <c r="Q4" s="983"/>
      <c r="R4" s="983"/>
      <c r="S4" s="983"/>
      <c r="T4" s="983"/>
      <c r="V4"/>
      <c r="W4"/>
    </row>
    <row r="5" spans="1:23" s="222" customFormat="1" ht="15" customHeight="1" x14ac:dyDescent="0.3">
      <c r="C5" s="983" t="s">
        <v>1435</v>
      </c>
      <c r="D5" s="983"/>
      <c r="E5" s="983"/>
      <c r="F5" s="983"/>
      <c r="G5" s="983"/>
      <c r="H5" s="983"/>
      <c r="I5" s="983"/>
      <c r="J5" s="983"/>
      <c r="K5" s="983"/>
      <c r="L5" s="983"/>
      <c r="M5" s="983"/>
      <c r="N5" s="983"/>
      <c r="O5" s="983"/>
      <c r="P5" s="983"/>
      <c r="Q5" s="983"/>
      <c r="R5" s="983"/>
      <c r="S5" s="983"/>
      <c r="T5" s="983"/>
      <c r="V5"/>
      <c r="W5"/>
    </row>
    <row r="6" spans="1:23" s="222" customFormat="1" ht="15" customHeight="1" x14ac:dyDescent="0.3">
      <c r="C6" s="983" t="s">
        <v>37</v>
      </c>
      <c r="D6" s="983"/>
      <c r="E6" s="983"/>
      <c r="F6" s="983"/>
      <c r="G6" s="983"/>
      <c r="H6" s="983"/>
      <c r="I6" s="983"/>
      <c r="J6" s="983"/>
      <c r="K6" s="983"/>
      <c r="L6" s="983"/>
      <c r="M6" s="983"/>
      <c r="N6" s="983"/>
      <c r="O6" s="983"/>
      <c r="P6" s="983"/>
      <c r="Q6" s="983"/>
      <c r="R6" s="983"/>
      <c r="S6" s="983"/>
      <c r="T6" s="983"/>
      <c r="V6"/>
      <c r="W6"/>
    </row>
    <row r="7" spans="1:23" s="222" customFormat="1" ht="15" customHeight="1" thickBot="1" x14ac:dyDescent="0.35">
      <c r="C7" s="984" t="s">
        <v>1475</v>
      </c>
      <c r="D7" s="984"/>
      <c r="E7" s="984"/>
      <c r="F7" s="984"/>
      <c r="G7" s="984"/>
      <c r="H7" s="984"/>
      <c r="I7" s="984"/>
      <c r="J7" s="984"/>
      <c r="K7" s="984"/>
      <c r="L7" s="984"/>
      <c r="M7" s="984"/>
      <c r="N7" s="984"/>
      <c r="O7" s="984"/>
      <c r="P7" s="984"/>
      <c r="Q7" s="984"/>
      <c r="R7" s="984"/>
      <c r="S7" s="984"/>
      <c r="T7" s="984"/>
      <c r="V7"/>
      <c r="W7"/>
    </row>
    <row r="8" spans="1:23" ht="15" customHeight="1" x14ac:dyDescent="0.3">
      <c r="C8" s="25"/>
      <c r="I8" s="11"/>
      <c r="L8" s="11"/>
      <c r="N8" s="11"/>
      <c r="O8" s="11"/>
      <c r="P8" s="11"/>
      <c r="Q8" s="11"/>
      <c r="T8" s="32"/>
    </row>
    <row r="9" spans="1:23" ht="15" customHeight="1" x14ac:dyDescent="0.3">
      <c r="C9" s="413" t="str">
        <f>"Hakediş No: "&amp;Veri!C21&amp;"   Hakediş Tarihi:  "&amp;TEXT(Veri!C22,"gg.aa.yyyy")</f>
        <v>Hakediş No: 6   Hakediş Tarihi:  30.04.2026</v>
      </c>
      <c r="D9" s="413"/>
      <c r="E9" s="111"/>
      <c r="F9" s="598"/>
      <c r="G9" s="111"/>
      <c r="H9" s="104"/>
      <c r="I9" s="29"/>
      <c r="J9" s="29"/>
      <c r="K9" s="985" t="s">
        <v>1453</v>
      </c>
      <c r="L9" s="987"/>
      <c r="M9" s="432"/>
      <c r="N9" s="985" t="s">
        <v>1222</v>
      </c>
      <c r="O9" s="986"/>
      <c r="P9" s="987"/>
      <c r="Q9" s="432"/>
      <c r="R9" s="985" t="s">
        <v>1452</v>
      </c>
      <c r="S9" s="986"/>
      <c r="T9" s="987"/>
    </row>
    <row r="10" spans="1:23" ht="15" customHeight="1" x14ac:dyDescent="0.3">
      <c r="C10" s="413"/>
      <c r="D10" s="413"/>
      <c r="E10" s="111"/>
      <c r="F10" s="598"/>
      <c r="G10" s="111"/>
      <c r="H10" s="104"/>
      <c r="I10" s="29"/>
      <c r="J10" s="29"/>
      <c r="K10" s="432"/>
      <c r="L10" s="432"/>
      <c r="M10" s="432"/>
      <c r="N10" s="432"/>
      <c r="O10" s="432"/>
      <c r="P10" s="432"/>
      <c r="Q10" s="432"/>
      <c r="R10" s="432"/>
      <c r="S10" s="432"/>
      <c r="T10" s="432"/>
    </row>
    <row r="11" spans="1:23" ht="34.950000000000003" customHeight="1" x14ac:dyDescent="0.3">
      <c r="C11" s="135" t="s">
        <v>1156</v>
      </c>
      <c r="D11" s="135" t="s">
        <v>1157</v>
      </c>
      <c r="E11" s="991" t="s">
        <v>1155</v>
      </c>
      <c r="F11" s="991"/>
      <c r="G11" s="991"/>
      <c r="H11" s="135" t="s">
        <v>1154</v>
      </c>
      <c r="I11" s="465" t="s">
        <v>1450</v>
      </c>
      <c r="J11" s="560"/>
      <c r="K11" s="465" t="s">
        <v>1449</v>
      </c>
      <c r="L11" s="465" t="s">
        <v>1451</v>
      </c>
      <c r="M11" s="560"/>
      <c r="N11" s="465" t="s">
        <v>1476</v>
      </c>
      <c r="O11" s="465" t="s">
        <v>1477</v>
      </c>
      <c r="P11" s="465" t="s">
        <v>1478</v>
      </c>
      <c r="Q11" s="560"/>
      <c r="R11" s="465" t="s">
        <v>1476</v>
      </c>
      <c r="S11" s="465" t="s">
        <v>1477</v>
      </c>
      <c r="T11" s="465" t="s">
        <v>1478</v>
      </c>
    </row>
    <row r="12" spans="1:23" ht="15" customHeight="1" x14ac:dyDescent="0.3">
      <c r="C12" s="413"/>
      <c r="D12" s="413"/>
      <c r="E12" s="111"/>
      <c r="F12" s="598"/>
      <c r="G12" s="111"/>
      <c r="H12" s="104"/>
      <c r="I12" s="29"/>
      <c r="J12" s="29"/>
      <c r="K12" s="432"/>
      <c r="L12" s="432"/>
      <c r="M12" s="432"/>
      <c r="N12" s="432"/>
      <c r="O12" s="432"/>
      <c r="P12" s="432"/>
      <c r="Q12" s="432"/>
      <c r="R12" s="432"/>
      <c r="S12" s="432"/>
      <c r="T12" s="432"/>
    </row>
    <row r="13" spans="1:23" ht="34.950000000000003" customHeight="1" x14ac:dyDescent="0.3">
      <c r="A13" s="23" t="s">
        <v>1241</v>
      </c>
      <c r="C13" s="640" t="s">
        <v>1228</v>
      </c>
      <c r="D13" s="166"/>
      <c r="E13" s="166"/>
      <c r="F13" s="166"/>
      <c r="G13" s="166"/>
      <c r="H13" s="166"/>
      <c r="I13" s="166"/>
      <c r="J13" s="166"/>
      <c r="K13" s="166"/>
      <c r="L13" s="610">
        <f>+SUMIFS(L:L,A:A,"B")</f>
        <v>21982860999.999996</v>
      </c>
      <c r="M13" s="1005"/>
      <c r="N13" s="999"/>
      <c r="O13" s="1000"/>
      <c r="P13" s="1001"/>
      <c r="Q13" s="1005"/>
      <c r="R13" s="656" t="e">
        <f>+SUMIFS(R:R,A:A,"B")</f>
        <v>#REF!</v>
      </c>
      <c r="S13" s="610" t="e">
        <f>+SUMIFS(S:S,A:A,"B")</f>
        <v>#REF!</v>
      </c>
      <c r="T13" s="610" t="e">
        <f>+SUMIFS(T:T,A:A,"B")</f>
        <v>#REF!</v>
      </c>
    </row>
    <row r="14" spans="1:23" ht="34.950000000000003" customHeight="1" x14ac:dyDescent="0.3">
      <c r="A14" s="262" t="s">
        <v>1240</v>
      </c>
      <c r="C14" s="241"/>
      <c r="D14" s="232" t="s">
        <v>1223</v>
      </c>
      <c r="E14" s="217"/>
      <c r="F14" s="217"/>
      <c r="G14" s="217"/>
      <c r="H14" s="217"/>
      <c r="I14" s="231"/>
      <c r="J14" s="231"/>
      <c r="K14" s="231"/>
      <c r="L14" s="644">
        <f>+SUMIFS(L:L,A:A,"1")</f>
        <v>14142505792.030001</v>
      </c>
      <c r="M14" s="1006"/>
      <c r="N14" s="1002"/>
      <c r="O14" s="1002"/>
      <c r="P14" s="1002"/>
      <c r="Q14" s="1006"/>
      <c r="R14" s="630" t="e">
        <f>+SUMIFS(R:R,A:A,"1")</f>
        <v>#REF!</v>
      </c>
      <c r="S14" s="251" t="e">
        <f>+SUMIFS(S:S,A:A,"1")</f>
        <v>#REF!</v>
      </c>
      <c r="T14" s="251" t="e">
        <f>+SUMIFS(T:T,A:A,"1")</f>
        <v>#REF!</v>
      </c>
    </row>
    <row r="15" spans="1:23" ht="30" hidden="1" customHeight="1" x14ac:dyDescent="0.3">
      <c r="A15" s="262">
        <v>1</v>
      </c>
      <c r="C15" s="242"/>
      <c r="D15" s="233" t="s">
        <v>1224</v>
      </c>
      <c r="E15" s="234"/>
      <c r="F15" s="234"/>
      <c r="G15" s="234"/>
      <c r="H15" s="234"/>
      <c r="I15" s="235"/>
      <c r="J15" s="235"/>
      <c r="K15" s="235"/>
      <c r="L15" s="642">
        <f>+SUMIFS(L:L,A:A,"1.A")</f>
        <v>4405699645.8199997</v>
      </c>
      <c r="M15" s="1007"/>
      <c r="N15" s="1003"/>
      <c r="O15" s="1004"/>
      <c r="P15" s="1004"/>
      <c r="Q15" s="1007"/>
      <c r="R15" s="249" t="e">
        <f>+SUMIFS(R:R,A:A,"1.A")</f>
        <v>#REF!</v>
      </c>
      <c r="S15" s="249" t="e">
        <f>+SUMIFS(S:S,A:A,"1.A")</f>
        <v>#REF!</v>
      </c>
      <c r="T15" s="249" t="e">
        <f>+SUMIFS(T:T,A:A,"1.A")</f>
        <v>#REF!</v>
      </c>
    </row>
    <row r="16" spans="1:23" ht="30" hidden="1" customHeight="1" x14ac:dyDescent="0.3">
      <c r="A16" s="262" t="s">
        <v>151</v>
      </c>
      <c r="C16" s="243">
        <v>1</v>
      </c>
      <c r="D16" s="210" t="s">
        <v>223</v>
      </c>
      <c r="E16" s="992" t="s">
        <v>224</v>
      </c>
      <c r="F16" s="993"/>
      <c r="G16" s="994"/>
      <c r="H16" s="604" t="s">
        <v>225</v>
      </c>
      <c r="I16" s="212">
        <v>500</v>
      </c>
      <c r="J16" s="605"/>
      <c r="K16" s="212">
        <v>4600</v>
      </c>
      <c r="L16" s="211">
        <f t="shared" ref="L16:L35" si="0">+ROUND(I16*K16,2)</f>
        <v>2300000</v>
      </c>
      <c r="M16" s="211"/>
      <c r="N16" s="675" t="e">
        <f>+#REF!</f>
        <v>#REF!</v>
      </c>
      <c r="O16" s="675" t="e">
        <f>+#REF!</f>
        <v>#REF!</v>
      </c>
      <c r="P16" s="675" t="e">
        <f>+N16+O16</f>
        <v>#REF!</v>
      </c>
      <c r="Q16" s="211"/>
      <c r="R16" s="607" t="e">
        <f>+ROUND(I16*N16,2)</f>
        <v>#REF!</v>
      </c>
      <c r="S16" s="607" t="e">
        <f>+ROUND(I16*O16,2)</f>
        <v>#REF!</v>
      </c>
      <c r="T16" s="236" t="e">
        <f>+ROUND(I16*P16,2)</f>
        <v>#REF!</v>
      </c>
    </row>
    <row r="17" spans="1:20" ht="30" hidden="1" customHeight="1" x14ac:dyDescent="0.3">
      <c r="A17" s="262" t="s">
        <v>151</v>
      </c>
      <c r="C17" s="244">
        <v>2</v>
      </c>
      <c r="D17" s="161" t="s">
        <v>226</v>
      </c>
      <c r="E17" s="969" t="s">
        <v>227</v>
      </c>
      <c r="F17" s="970"/>
      <c r="G17" s="971"/>
      <c r="H17" s="544" t="s">
        <v>228</v>
      </c>
      <c r="I17" s="212">
        <v>4063</v>
      </c>
      <c r="J17" s="605"/>
      <c r="K17" s="212">
        <v>528.66</v>
      </c>
      <c r="L17" s="212">
        <f t="shared" si="0"/>
        <v>2147945.58</v>
      </c>
      <c r="M17" s="602"/>
      <c r="N17" s="675" t="e">
        <f>+#REF!</f>
        <v>#REF!</v>
      </c>
      <c r="O17" s="675" t="e">
        <f>+#REF!</f>
        <v>#REF!</v>
      </c>
      <c r="P17" s="675" t="e">
        <f t="shared" ref="P17:P35" si="1">+N17+O17</f>
        <v>#REF!</v>
      </c>
      <c r="Q17" s="212"/>
      <c r="R17" s="605" t="e">
        <f t="shared" ref="R17:R35" si="2">+ROUND(I17*N17,2)</f>
        <v>#REF!</v>
      </c>
      <c r="S17" s="225" t="e">
        <f t="shared" ref="S17:S35" si="3">+ROUND(I17*O17,2)</f>
        <v>#REF!</v>
      </c>
      <c r="T17" s="237" t="e">
        <f t="shared" ref="T17:T35" si="4">+ROUND(I17*P17,2)</f>
        <v>#REF!</v>
      </c>
    </row>
    <row r="18" spans="1:20" ht="30" hidden="1" customHeight="1" x14ac:dyDescent="0.3">
      <c r="A18" s="262" t="s">
        <v>151</v>
      </c>
      <c r="C18" s="244">
        <v>3</v>
      </c>
      <c r="D18" s="161" t="s">
        <v>229</v>
      </c>
      <c r="E18" s="969" t="s">
        <v>230</v>
      </c>
      <c r="F18" s="970"/>
      <c r="G18" s="971"/>
      <c r="H18" s="544" t="s">
        <v>228</v>
      </c>
      <c r="I18" s="212">
        <v>2000</v>
      </c>
      <c r="J18" s="605"/>
      <c r="K18" s="212">
        <v>550.69000000000005</v>
      </c>
      <c r="L18" s="212">
        <f t="shared" si="0"/>
        <v>1101380</v>
      </c>
      <c r="M18" s="602"/>
      <c r="N18" s="675" t="e">
        <f>+#REF!</f>
        <v>#REF!</v>
      </c>
      <c r="O18" s="675" t="e">
        <f>+#REF!</f>
        <v>#REF!</v>
      </c>
      <c r="P18" s="675" t="e">
        <f t="shared" si="1"/>
        <v>#REF!</v>
      </c>
      <c r="Q18" s="212"/>
      <c r="R18" s="605" t="e">
        <f t="shared" si="2"/>
        <v>#REF!</v>
      </c>
      <c r="S18" s="225" t="e">
        <f t="shared" si="3"/>
        <v>#REF!</v>
      </c>
      <c r="T18" s="237" t="e">
        <f t="shared" si="4"/>
        <v>#REF!</v>
      </c>
    </row>
    <row r="19" spans="1:20" ht="30" hidden="1" customHeight="1" x14ac:dyDescent="0.3">
      <c r="A19" s="262" t="s">
        <v>151</v>
      </c>
      <c r="C19" s="244">
        <v>4</v>
      </c>
      <c r="D19" s="161" t="s">
        <v>231</v>
      </c>
      <c r="E19" s="969" t="s">
        <v>232</v>
      </c>
      <c r="F19" s="970"/>
      <c r="G19" s="971"/>
      <c r="H19" s="544" t="s">
        <v>228</v>
      </c>
      <c r="I19" s="212">
        <v>10500</v>
      </c>
      <c r="J19" s="605"/>
      <c r="K19" s="212">
        <v>440.55</v>
      </c>
      <c r="L19" s="212">
        <f t="shared" si="0"/>
        <v>4625775</v>
      </c>
      <c r="M19" s="602"/>
      <c r="N19" s="675" t="e">
        <f>+#REF!</f>
        <v>#REF!</v>
      </c>
      <c r="O19" s="675" t="e">
        <f>+#REF!</f>
        <v>#REF!</v>
      </c>
      <c r="P19" s="675" t="e">
        <f t="shared" si="1"/>
        <v>#REF!</v>
      </c>
      <c r="Q19" s="212"/>
      <c r="R19" s="605" t="e">
        <f t="shared" si="2"/>
        <v>#REF!</v>
      </c>
      <c r="S19" s="225" t="e">
        <f t="shared" si="3"/>
        <v>#REF!</v>
      </c>
      <c r="T19" s="237" t="e">
        <f t="shared" si="4"/>
        <v>#REF!</v>
      </c>
    </row>
    <row r="20" spans="1:20" ht="30" hidden="1" customHeight="1" x14ac:dyDescent="0.3">
      <c r="A20" s="262" t="s">
        <v>151</v>
      </c>
      <c r="C20" s="244">
        <v>5</v>
      </c>
      <c r="D20" s="213" t="s">
        <v>233</v>
      </c>
      <c r="E20" s="969" t="s">
        <v>234</v>
      </c>
      <c r="F20" s="970"/>
      <c r="G20" s="971"/>
      <c r="H20" s="544" t="s">
        <v>228</v>
      </c>
      <c r="I20" s="212">
        <v>1485</v>
      </c>
      <c r="J20" s="605"/>
      <c r="K20" s="212">
        <v>175497.85</v>
      </c>
      <c r="L20" s="212">
        <f t="shared" si="0"/>
        <v>260614307.25</v>
      </c>
      <c r="M20" s="602"/>
      <c r="N20" s="675" t="e">
        <f>+#REF!</f>
        <v>#REF!</v>
      </c>
      <c r="O20" s="675" t="e">
        <f>+#REF!</f>
        <v>#REF!</v>
      </c>
      <c r="P20" s="675" t="e">
        <f t="shared" si="1"/>
        <v>#REF!</v>
      </c>
      <c r="Q20" s="212"/>
      <c r="R20" s="605" t="e">
        <f t="shared" si="2"/>
        <v>#REF!</v>
      </c>
      <c r="S20" s="225" t="e">
        <f t="shared" si="3"/>
        <v>#REF!</v>
      </c>
      <c r="T20" s="237" t="e">
        <f t="shared" si="4"/>
        <v>#REF!</v>
      </c>
    </row>
    <row r="21" spans="1:20" ht="30" hidden="1" customHeight="1" x14ac:dyDescent="0.3">
      <c r="A21" s="262" t="s">
        <v>151</v>
      </c>
      <c r="C21" s="244">
        <v>6</v>
      </c>
      <c r="D21" s="161" t="s">
        <v>235</v>
      </c>
      <c r="E21" s="969" t="s">
        <v>236</v>
      </c>
      <c r="F21" s="970"/>
      <c r="G21" s="971"/>
      <c r="H21" s="544" t="s">
        <v>228</v>
      </c>
      <c r="I21" s="212">
        <v>300</v>
      </c>
      <c r="J21" s="605"/>
      <c r="K21" s="212">
        <v>26184.71</v>
      </c>
      <c r="L21" s="212">
        <f t="shared" si="0"/>
        <v>7855413</v>
      </c>
      <c r="M21" s="602"/>
      <c r="N21" s="675" t="e">
        <f>+#REF!</f>
        <v>#REF!</v>
      </c>
      <c r="O21" s="675" t="e">
        <f>+#REF!</f>
        <v>#REF!</v>
      </c>
      <c r="P21" s="675" t="e">
        <f t="shared" si="1"/>
        <v>#REF!</v>
      </c>
      <c r="Q21" s="212"/>
      <c r="R21" s="605" t="e">
        <f t="shared" si="2"/>
        <v>#REF!</v>
      </c>
      <c r="S21" s="225" t="e">
        <f t="shared" si="3"/>
        <v>#REF!</v>
      </c>
      <c r="T21" s="237" t="e">
        <f t="shared" si="4"/>
        <v>#REF!</v>
      </c>
    </row>
    <row r="22" spans="1:20" ht="30" hidden="1" customHeight="1" x14ac:dyDescent="0.3">
      <c r="A22" s="262" t="s">
        <v>151</v>
      </c>
      <c r="C22" s="244">
        <v>7</v>
      </c>
      <c r="D22" s="161" t="s">
        <v>237</v>
      </c>
      <c r="E22" s="969" t="s">
        <v>238</v>
      </c>
      <c r="F22" s="970"/>
      <c r="G22" s="971"/>
      <c r="H22" s="544" t="s">
        <v>228</v>
      </c>
      <c r="I22" s="212">
        <v>1500</v>
      </c>
      <c r="J22" s="605"/>
      <c r="K22" s="212">
        <v>27657.96</v>
      </c>
      <c r="L22" s="212">
        <f t="shared" si="0"/>
        <v>41486940</v>
      </c>
      <c r="M22" s="602"/>
      <c r="N22" s="675" t="e">
        <f>+#REF!</f>
        <v>#REF!</v>
      </c>
      <c r="O22" s="675" t="e">
        <f>+#REF!</f>
        <v>#REF!</v>
      </c>
      <c r="P22" s="675" t="e">
        <f t="shared" si="1"/>
        <v>#REF!</v>
      </c>
      <c r="Q22" s="212"/>
      <c r="R22" s="605" t="e">
        <f t="shared" si="2"/>
        <v>#REF!</v>
      </c>
      <c r="S22" s="225" t="e">
        <f t="shared" si="3"/>
        <v>#REF!</v>
      </c>
      <c r="T22" s="237" t="e">
        <f t="shared" si="4"/>
        <v>#REF!</v>
      </c>
    </row>
    <row r="23" spans="1:20" ht="30" hidden="1" customHeight="1" x14ac:dyDescent="0.3">
      <c r="A23" s="262" t="s">
        <v>151</v>
      </c>
      <c r="C23" s="244">
        <v>8</v>
      </c>
      <c r="D23" s="213" t="s">
        <v>239</v>
      </c>
      <c r="E23" s="969" t="s">
        <v>240</v>
      </c>
      <c r="F23" s="970"/>
      <c r="G23" s="971"/>
      <c r="H23" s="544" t="s">
        <v>228</v>
      </c>
      <c r="I23" s="212">
        <v>17500</v>
      </c>
      <c r="J23" s="605"/>
      <c r="K23" s="212">
        <v>1734</v>
      </c>
      <c r="L23" s="212">
        <f t="shared" si="0"/>
        <v>30345000</v>
      </c>
      <c r="M23" s="602"/>
      <c r="N23" s="675" t="e">
        <f>+#REF!</f>
        <v>#REF!</v>
      </c>
      <c r="O23" s="675" t="e">
        <f>+#REF!</f>
        <v>#REF!</v>
      </c>
      <c r="P23" s="675" t="e">
        <f t="shared" si="1"/>
        <v>#REF!</v>
      </c>
      <c r="Q23" s="212"/>
      <c r="R23" s="605" t="e">
        <f t="shared" si="2"/>
        <v>#REF!</v>
      </c>
      <c r="S23" s="225" t="e">
        <f t="shared" si="3"/>
        <v>#REF!</v>
      </c>
      <c r="T23" s="237" t="e">
        <f t="shared" si="4"/>
        <v>#REF!</v>
      </c>
    </row>
    <row r="24" spans="1:20" ht="30" hidden="1" customHeight="1" x14ac:dyDescent="0.3">
      <c r="A24" s="262" t="s">
        <v>151</v>
      </c>
      <c r="C24" s="244">
        <v>9</v>
      </c>
      <c r="D24" s="161" t="s">
        <v>241</v>
      </c>
      <c r="E24" s="969" t="s">
        <v>242</v>
      </c>
      <c r="F24" s="970"/>
      <c r="G24" s="971"/>
      <c r="H24" s="544" t="s">
        <v>202</v>
      </c>
      <c r="I24" s="212">
        <v>1050</v>
      </c>
      <c r="J24" s="605"/>
      <c r="K24" s="212">
        <v>1884</v>
      </c>
      <c r="L24" s="212">
        <f t="shared" si="0"/>
        <v>1978200</v>
      </c>
      <c r="M24" s="602"/>
      <c r="N24" s="675" t="e">
        <f>+#REF!</f>
        <v>#REF!</v>
      </c>
      <c r="O24" s="675" t="e">
        <f>+#REF!</f>
        <v>#REF!</v>
      </c>
      <c r="P24" s="675" t="e">
        <f t="shared" si="1"/>
        <v>#REF!</v>
      </c>
      <c r="Q24" s="212"/>
      <c r="R24" s="605" t="e">
        <f t="shared" si="2"/>
        <v>#REF!</v>
      </c>
      <c r="S24" s="225" t="e">
        <f t="shared" si="3"/>
        <v>#REF!</v>
      </c>
      <c r="T24" s="237" t="e">
        <f t="shared" si="4"/>
        <v>#REF!</v>
      </c>
    </row>
    <row r="25" spans="1:20" ht="30" hidden="1" customHeight="1" x14ac:dyDescent="0.3">
      <c r="A25" s="262" t="s">
        <v>151</v>
      </c>
      <c r="C25" s="244">
        <v>10</v>
      </c>
      <c r="D25" s="161" t="s">
        <v>243</v>
      </c>
      <c r="E25" s="969" t="s">
        <v>244</v>
      </c>
      <c r="F25" s="970"/>
      <c r="G25" s="971"/>
      <c r="H25" s="544" t="s">
        <v>202</v>
      </c>
      <c r="I25" s="212">
        <v>1200</v>
      </c>
      <c r="J25" s="605"/>
      <c r="K25" s="212">
        <v>960</v>
      </c>
      <c r="L25" s="212">
        <f t="shared" si="0"/>
        <v>1152000</v>
      </c>
      <c r="M25" s="602"/>
      <c r="N25" s="675" t="e">
        <f>+#REF!</f>
        <v>#REF!</v>
      </c>
      <c r="O25" s="675" t="e">
        <f>+#REF!</f>
        <v>#REF!</v>
      </c>
      <c r="P25" s="675" t="e">
        <f t="shared" si="1"/>
        <v>#REF!</v>
      </c>
      <c r="Q25" s="212"/>
      <c r="R25" s="605" t="e">
        <f t="shared" si="2"/>
        <v>#REF!</v>
      </c>
      <c r="S25" s="225" t="e">
        <f t="shared" si="3"/>
        <v>#REF!</v>
      </c>
      <c r="T25" s="237" t="e">
        <f t="shared" si="4"/>
        <v>#REF!</v>
      </c>
    </row>
    <row r="26" spans="1:20" ht="30" hidden="1" customHeight="1" x14ac:dyDescent="0.3">
      <c r="A26" s="262" t="s">
        <v>151</v>
      </c>
      <c r="C26" s="244">
        <v>11</v>
      </c>
      <c r="D26" s="161" t="s">
        <v>245</v>
      </c>
      <c r="E26" s="969" t="s">
        <v>246</v>
      </c>
      <c r="F26" s="970"/>
      <c r="G26" s="971"/>
      <c r="H26" s="544" t="s">
        <v>247</v>
      </c>
      <c r="I26" s="212">
        <v>2475</v>
      </c>
      <c r="J26" s="605"/>
      <c r="K26" s="212">
        <v>530</v>
      </c>
      <c r="L26" s="212">
        <f t="shared" si="0"/>
        <v>1311750</v>
      </c>
      <c r="M26" s="602"/>
      <c r="N26" s="675" t="e">
        <f>+#REF!</f>
        <v>#REF!</v>
      </c>
      <c r="O26" s="675" t="e">
        <f>+#REF!</f>
        <v>#REF!</v>
      </c>
      <c r="P26" s="675" t="e">
        <f t="shared" si="1"/>
        <v>#REF!</v>
      </c>
      <c r="Q26" s="212"/>
      <c r="R26" s="605" t="e">
        <f t="shared" si="2"/>
        <v>#REF!</v>
      </c>
      <c r="S26" s="225" t="e">
        <f t="shared" si="3"/>
        <v>#REF!</v>
      </c>
      <c r="T26" s="237" t="e">
        <f t="shared" si="4"/>
        <v>#REF!</v>
      </c>
    </row>
    <row r="27" spans="1:20" ht="30" hidden="1" customHeight="1" x14ac:dyDescent="0.3">
      <c r="A27" s="262" t="s">
        <v>151</v>
      </c>
      <c r="C27" s="244">
        <v>12</v>
      </c>
      <c r="D27" s="161" t="s">
        <v>248</v>
      </c>
      <c r="E27" s="969" t="s">
        <v>249</v>
      </c>
      <c r="F27" s="970"/>
      <c r="G27" s="971"/>
      <c r="H27" s="544" t="s">
        <v>247</v>
      </c>
      <c r="I27" s="212">
        <v>3900</v>
      </c>
      <c r="J27" s="605"/>
      <c r="K27" s="212">
        <v>408</v>
      </c>
      <c r="L27" s="212">
        <f t="shared" si="0"/>
        <v>1591200</v>
      </c>
      <c r="M27" s="602"/>
      <c r="N27" s="675" t="e">
        <f>+#REF!</f>
        <v>#REF!</v>
      </c>
      <c r="O27" s="675" t="e">
        <f>+#REF!</f>
        <v>#REF!</v>
      </c>
      <c r="P27" s="675" t="e">
        <f t="shared" si="1"/>
        <v>#REF!</v>
      </c>
      <c r="Q27" s="212"/>
      <c r="R27" s="605" t="e">
        <f t="shared" si="2"/>
        <v>#REF!</v>
      </c>
      <c r="S27" s="225" t="e">
        <f t="shared" si="3"/>
        <v>#REF!</v>
      </c>
      <c r="T27" s="237" t="e">
        <f t="shared" si="4"/>
        <v>#REF!</v>
      </c>
    </row>
    <row r="28" spans="1:20" ht="30" hidden="1" customHeight="1" x14ac:dyDescent="0.3">
      <c r="A28" s="262" t="s">
        <v>151</v>
      </c>
      <c r="C28" s="244">
        <v>13</v>
      </c>
      <c r="D28" s="161" t="s">
        <v>250</v>
      </c>
      <c r="E28" s="969" t="s">
        <v>251</v>
      </c>
      <c r="F28" s="970"/>
      <c r="G28" s="971"/>
      <c r="H28" s="544" t="s">
        <v>247</v>
      </c>
      <c r="I28" s="212">
        <v>4125</v>
      </c>
      <c r="J28" s="605"/>
      <c r="K28" s="212">
        <v>396</v>
      </c>
      <c r="L28" s="212">
        <f t="shared" si="0"/>
        <v>1633500</v>
      </c>
      <c r="M28" s="602"/>
      <c r="N28" s="675" t="e">
        <f>+#REF!</f>
        <v>#REF!</v>
      </c>
      <c r="O28" s="675" t="e">
        <f>+#REF!</f>
        <v>#REF!</v>
      </c>
      <c r="P28" s="675" t="e">
        <f t="shared" si="1"/>
        <v>#REF!</v>
      </c>
      <c r="Q28" s="212"/>
      <c r="R28" s="605" t="e">
        <f t="shared" si="2"/>
        <v>#REF!</v>
      </c>
      <c r="S28" s="225" t="e">
        <f t="shared" si="3"/>
        <v>#REF!</v>
      </c>
      <c r="T28" s="237" t="e">
        <f t="shared" si="4"/>
        <v>#REF!</v>
      </c>
    </row>
    <row r="29" spans="1:20" ht="30" hidden="1" customHeight="1" x14ac:dyDescent="0.3">
      <c r="A29" s="262" t="s">
        <v>151</v>
      </c>
      <c r="C29" s="244">
        <v>14</v>
      </c>
      <c r="D29" s="161" t="s">
        <v>252</v>
      </c>
      <c r="E29" s="969" t="s">
        <v>253</v>
      </c>
      <c r="F29" s="970"/>
      <c r="G29" s="971"/>
      <c r="H29" s="544" t="s">
        <v>247</v>
      </c>
      <c r="I29" s="212">
        <v>5850</v>
      </c>
      <c r="J29" s="605"/>
      <c r="K29" s="212">
        <v>396</v>
      </c>
      <c r="L29" s="212">
        <f t="shared" si="0"/>
        <v>2316600</v>
      </c>
      <c r="M29" s="602"/>
      <c r="N29" s="675" t="e">
        <f>+#REF!</f>
        <v>#REF!</v>
      </c>
      <c r="O29" s="675" t="e">
        <f>+#REF!</f>
        <v>#REF!</v>
      </c>
      <c r="P29" s="675" t="e">
        <f t="shared" si="1"/>
        <v>#REF!</v>
      </c>
      <c r="Q29" s="212"/>
      <c r="R29" s="605" t="e">
        <f t="shared" si="2"/>
        <v>#REF!</v>
      </c>
      <c r="S29" s="225" t="e">
        <f t="shared" si="3"/>
        <v>#REF!</v>
      </c>
      <c r="T29" s="237" t="e">
        <f t="shared" si="4"/>
        <v>#REF!</v>
      </c>
    </row>
    <row r="30" spans="1:20" ht="30" hidden="1" customHeight="1" x14ac:dyDescent="0.3">
      <c r="A30" s="262" t="s">
        <v>151</v>
      </c>
      <c r="C30" s="244">
        <v>15</v>
      </c>
      <c r="D30" s="213" t="s">
        <v>254</v>
      </c>
      <c r="E30" s="969" t="s">
        <v>255</v>
      </c>
      <c r="F30" s="970"/>
      <c r="G30" s="971"/>
      <c r="H30" s="544" t="s">
        <v>225</v>
      </c>
      <c r="I30" s="212">
        <v>3140</v>
      </c>
      <c r="J30" s="605"/>
      <c r="K30" s="212">
        <v>138744.07</v>
      </c>
      <c r="L30" s="212">
        <f t="shared" si="0"/>
        <v>435656379.80000001</v>
      </c>
      <c r="M30" s="602"/>
      <c r="N30" s="675" t="e">
        <f>+#REF!</f>
        <v>#REF!</v>
      </c>
      <c r="O30" s="675" t="e">
        <f>+#REF!</f>
        <v>#REF!</v>
      </c>
      <c r="P30" s="675" t="e">
        <f t="shared" si="1"/>
        <v>#REF!</v>
      </c>
      <c r="Q30" s="212"/>
      <c r="R30" s="605" t="e">
        <f t="shared" si="2"/>
        <v>#REF!</v>
      </c>
      <c r="S30" s="225" t="e">
        <f t="shared" si="3"/>
        <v>#REF!</v>
      </c>
      <c r="T30" s="237" t="e">
        <f t="shared" si="4"/>
        <v>#REF!</v>
      </c>
    </row>
    <row r="31" spans="1:20" ht="30" hidden="1" customHeight="1" x14ac:dyDescent="0.3">
      <c r="A31" s="262" t="s">
        <v>151</v>
      </c>
      <c r="C31" s="244">
        <v>16</v>
      </c>
      <c r="D31" s="161" t="s">
        <v>256</v>
      </c>
      <c r="E31" s="969" t="s">
        <v>257</v>
      </c>
      <c r="F31" s="970"/>
      <c r="G31" s="971"/>
      <c r="H31" s="544" t="s">
        <v>228</v>
      </c>
      <c r="I31" s="212">
        <v>3504</v>
      </c>
      <c r="J31" s="605"/>
      <c r="K31" s="212">
        <v>43459.98</v>
      </c>
      <c r="L31" s="212">
        <f t="shared" si="0"/>
        <v>152283769.91999999</v>
      </c>
      <c r="M31" s="602"/>
      <c r="N31" s="675" t="e">
        <f>+#REF!</f>
        <v>#REF!</v>
      </c>
      <c r="O31" s="675" t="e">
        <f>+#REF!</f>
        <v>#REF!</v>
      </c>
      <c r="P31" s="675" t="e">
        <f t="shared" si="1"/>
        <v>#REF!</v>
      </c>
      <c r="Q31" s="212"/>
      <c r="R31" s="605" t="e">
        <f t="shared" si="2"/>
        <v>#REF!</v>
      </c>
      <c r="S31" s="225" t="e">
        <f t="shared" si="3"/>
        <v>#REF!</v>
      </c>
      <c r="T31" s="237" t="e">
        <f t="shared" si="4"/>
        <v>#REF!</v>
      </c>
    </row>
    <row r="32" spans="1:20" ht="30" hidden="1" customHeight="1" x14ac:dyDescent="0.3">
      <c r="A32" s="262" t="s">
        <v>151</v>
      </c>
      <c r="C32" s="244">
        <v>17</v>
      </c>
      <c r="D32" s="161" t="s">
        <v>258</v>
      </c>
      <c r="E32" s="969" t="s">
        <v>259</v>
      </c>
      <c r="F32" s="970"/>
      <c r="G32" s="971"/>
      <c r="H32" s="544" t="s">
        <v>228</v>
      </c>
      <c r="I32" s="212">
        <v>6114</v>
      </c>
      <c r="J32" s="605"/>
      <c r="K32" s="212">
        <v>115476.85</v>
      </c>
      <c r="L32" s="212">
        <f t="shared" si="0"/>
        <v>706025460.89999998</v>
      </c>
      <c r="M32" s="602"/>
      <c r="N32" s="675" t="e">
        <f>+#REF!</f>
        <v>#REF!</v>
      </c>
      <c r="O32" s="675" t="e">
        <f>+#REF!</f>
        <v>#REF!</v>
      </c>
      <c r="P32" s="675" t="e">
        <f t="shared" si="1"/>
        <v>#REF!</v>
      </c>
      <c r="Q32" s="212"/>
      <c r="R32" s="605" t="e">
        <f t="shared" si="2"/>
        <v>#REF!</v>
      </c>
      <c r="S32" s="225" t="e">
        <f t="shared" si="3"/>
        <v>#REF!</v>
      </c>
      <c r="T32" s="237" t="e">
        <f t="shared" si="4"/>
        <v>#REF!</v>
      </c>
    </row>
    <row r="33" spans="1:20" ht="30" hidden="1" customHeight="1" x14ac:dyDescent="0.3">
      <c r="A33" s="262" t="s">
        <v>151</v>
      </c>
      <c r="C33" s="244">
        <v>18</v>
      </c>
      <c r="D33" s="161" t="s">
        <v>260</v>
      </c>
      <c r="E33" s="969" t="s">
        <v>261</v>
      </c>
      <c r="F33" s="970"/>
      <c r="G33" s="971"/>
      <c r="H33" s="544" t="s">
        <v>262</v>
      </c>
      <c r="I33" s="212">
        <v>75316</v>
      </c>
      <c r="J33" s="605"/>
      <c r="K33" s="212">
        <v>20487.48</v>
      </c>
      <c r="L33" s="212">
        <f t="shared" si="0"/>
        <v>1543035043.6800001</v>
      </c>
      <c r="M33" s="602"/>
      <c r="N33" s="675" t="e">
        <f>+#REF!</f>
        <v>#REF!</v>
      </c>
      <c r="O33" s="675" t="e">
        <f>+#REF!</f>
        <v>#REF!</v>
      </c>
      <c r="P33" s="675" t="e">
        <f t="shared" si="1"/>
        <v>#REF!</v>
      </c>
      <c r="Q33" s="212"/>
      <c r="R33" s="605" t="e">
        <f t="shared" si="2"/>
        <v>#REF!</v>
      </c>
      <c r="S33" s="225" t="e">
        <f t="shared" si="3"/>
        <v>#REF!</v>
      </c>
      <c r="T33" s="237" t="e">
        <f t="shared" si="4"/>
        <v>#REF!</v>
      </c>
    </row>
    <row r="34" spans="1:20" ht="30" hidden="1" customHeight="1" x14ac:dyDescent="0.3">
      <c r="A34" s="262" t="s">
        <v>151</v>
      </c>
      <c r="C34" s="244">
        <v>19</v>
      </c>
      <c r="D34" s="161" t="s">
        <v>263</v>
      </c>
      <c r="E34" s="969" t="s">
        <v>264</v>
      </c>
      <c r="F34" s="970"/>
      <c r="G34" s="971"/>
      <c r="H34" s="544" t="s">
        <v>262</v>
      </c>
      <c r="I34" s="212">
        <v>87125</v>
      </c>
      <c r="J34" s="605"/>
      <c r="K34" s="212">
        <v>67.77</v>
      </c>
      <c r="L34" s="212">
        <f t="shared" si="0"/>
        <v>5904461.25</v>
      </c>
      <c r="M34" s="602"/>
      <c r="N34" s="675" t="e">
        <f>+#REF!</f>
        <v>#REF!</v>
      </c>
      <c r="O34" s="675" t="e">
        <f>+#REF!</f>
        <v>#REF!</v>
      </c>
      <c r="P34" s="675" t="e">
        <f t="shared" si="1"/>
        <v>#REF!</v>
      </c>
      <c r="Q34" s="212"/>
      <c r="R34" s="605" t="e">
        <f t="shared" si="2"/>
        <v>#REF!</v>
      </c>
      <c r="S34" s="225" t="e">
        <f t="shared" si="3"/>
        <v>#REF!</v>
      </c>
      <c r="T34" s="237" t="e">
        <f t="shared" si="4"/>
        <v>#REF!</v>
      </c>
    </row>
    <row r="35" spans="1:20" ht="30" hidden="1" customHeight="1" x14ac:dyDescent="0.3">
      <c r="A35" s="262" t="s">
        <v>151</v>
      </c>
      <c r="C35" s="253">
        <v>20</v>
      </c>
      <c r="D35" s="218" t="s">
        <v>265</v>
      </c>
      <c r="E35" s="988" t="s">
        <v>266</v>
      </c>
      <c r="F35" s="989"/>
      <c r="G35" s="990"/>
      <c r="H35" s="545" t="s">
        <v>225</v>
      </c>
      <c r="I35" s="212">
        <v>5196</v>
      </c>
      <c r="J35" s="605"/>
      <c r="K35" s="212">
        <v>42149.53</v>
      </c>
      <c r="L35" s="220">
        <f t="shared" si="0"/>
        <v>219008957.88</v>
      </c>
      <c r="M35" s="424"/>
      <c r="N35" s="675" t="e">
        <f>+#REF!</f>
        <v>#REF!</v>
      </c>
      <c r="O35" s="675" t="e">
        <f>+#REF!</f>
        <v>#REF!</v>
      </c>
      <c r="P35" s="675" t="e">
        <f t="shared" si="1"/>
        <v>#REF!</v>
      </c>
      <c r="Q35" s="220"/>
      <c r="R35" s="605" t="e">
        <f t="shared" si="2"/>
        <v>#REF!</v>
      </c>
      <c r="S35" s="254" t="e">
        <f t="shared" si="3"/>
        <v>#REF!</v>
      </c>
      <c r="T35" s="237" t="e">
        <f t="shared" si="4"/>
        <v>#REF!</v>
      </c>
    </row>
    <row r="36" spans="1:20" ht="40.049999999999997" hidden="1" customHeight="1" x14ac:dyDescent="0.3">
      <c r="A36" s="262" t="s">
        <v>1242</v>
      </c>
      <c r="C36" s="258"/>
      <c r="D36" s="258"/>
      <c r="E36" s="972" t="s">
        <v>33</v>
      </c>
      <c r="F36" s="972"/>
      <c r="G36" s="972"/>
      <c r="H36" s="973" t="s">
        <v>29</v>
      </c>
      <c r="I36" s="973"/>
      <c r="J36" s="973"/>
      <c r="K36" s="973"/>
      <c r="L36" s="973"/>
      <c r="M36" s="549"/>
      <c r="N36" s="973" t="s">
        <v>22</v>
      </c>
      <c r="O36" s="973"/>
      <c r="P36" s="973"/>
      <c r="Q36" s="973"/>
      <c r="R36" s="973"/>
      <c r="S36" s="973"/>
      <c r="T36" s="973"/>
    </row>
    <row r="37" spans="1:20" ht="19.95" hidden="1" customHeight="1" x14ac:dyDescent="0.3">
      <c r="A37" s="262" t="s">
        <v>1242</v>
      </c>
      <c r="D37" s="28"/>
      <c r="E37" s="974" t="s">
        <v>1214</v>
      </c>
      <c r="F37" s="974"/>
      <c r="G37" s="974"/>
      <c r="H37" s="975" t="s">
        <v>38</v>
      </c>
      <c r="I37" s="975"/>
      <c r="J37" s="975"/>
      <c r="K37" s="975"/>
      <c r="L37" s="975"/>
      <c r="M37" s="562"/>
      <c r="N37" s="975" t="s">
        <v>1437</v>
      </c>
      <c r="O37" s="975"/>
      <c r="P37" s="975"/>
      <c r="Q37" s="975"/>
      <c r="R37" s="975"/>
      <c r="S37" s="975"/>
      <c r="T37" s="975"/>
    </row>
    <row r="38" spans="1:20" ht="19.95" hidden="1" customHeight="1" x14ac:dyDescent="0.3">
      <c r="A38" s="262" t="s">
        <v>1242</v>
      </c>
      <c r="C38" s="228"/>
      <c r="D38" s="228"/>
      <c r="E38" s="561"/>
      <c r="F38" s="561"/>
      <c r="G38" s="561"/>
      <c r="H38" s="228"/>
      <c r="I38" s="260"/>
      <c r="J38" s="260"/>
      <c r="K38" s="260"/>
      <c r="L38" s="260"/>
      <c r="M38" s="260"/>
      <c r="N38" s="975"/>
      <c r="O38" s="975"/>
      <c r="P38" s="975"/>
      <c r="Q38" s="975"/>
      <c r="R38" s="975"/>
      <c r="S38" s="975"/>
      <c r="T38" s="975"/>
    </row>
    <row r="39" spans="1:20" ht="19.95" hidden="1" customHeight="1" x14ac:dyDescent="0.3">
      <c r="A39" s="262" t="s">
        <v>1242</v>
      </c>
      <c r="C39" s="228"/>
      <c r="D39" s="228"/>
      <c r="E39" s="561"/>
      <c r="F39" s="561"/>
      <c r="G39" s="561"/>
      <c r="H39" s="228"/>
      <c r="I39" s="260"/>
      <c r="J39" s="260"/>
      <c r="K39" s="260"/>
      <c r="L39" s="260"/>
      <c r="M39" s="260"/>
      <c r="N39" s="975"/>
      <c r="O39" s="975"/>
      <c r="P39" s="975"/>
      <c r="Q39" s="975"/>
      <c r="R39" s="975"/>
      <c r="S39" s="975"/>
      <c r="T39" s="975"/>
    </row>
    <row r="40" spans="1:20" ht="19.95" hidden="1" customHeight="1" x14ac:dyDescent="0.3">
      <c r="A40" s="262" t="s">
        <v>1242</v>
      </c>
      <c r="C40" s="228"/>
      <c r="D40" s="228"/>
      <c r="E40" s="561"/>
      <c r="F40" s="561"/>
      <c r="G40" s="561"/>
      <c r="H40" s="228"/>
      <c r="I40" s="260"/>
      <c r="J40" s="260"/>
      <c r="K40" s="260"/>
      <c r="L40" s="260"/>
      <c r="M40" s="260"/>
      <c r="N40" s="260"/>
      <c r="O40" s="260"/>
      <c r="P40" s="260"/>
      <c r="Q40" s="260"/>
      <c r="R40" s="260"/>
      <c r="S40" s="624"/>
      <c r="T40" s="260"/>
    </row>
    <row r="41" spans="1:20" ht="19.95" hidden="1" customHeight="1" x14ac:dyDescent="0.3">
      <c r="A41" s="262" t="s">
        <v>1242</v>
      </c>
      <c r="C41" s="228"/>
      <c r="D41" s="228"/>
      <c r="E41" s="561"/>
      <c r="F41" s="561"/>
      <c r="G41" s="561"/>
      <c r="H41" s="975" t="s">
        <v>32</v>
      </c>
      <c r="I41" s="975"/>
      <c r="J41" s="562"/>
      <c r="K41" s="975" t="s">
        <v>1407</v>
      </c>
      <c r="L41" s="975"/>
      <c r="M41" s="562"/>
      <c r="N41" s="968" t="s">
        <v>54</v>
      </c>
      <c r="O41" s="968"/>
      <c r="P41" s="968" t="s">
        <v>1218</v>
      </c>
      <c r="Q41" s="968"/>
      <c r="R41" s="968"/>
      <c r="S41" s="981" t="s">
        <v>55</v>
      </c>
      <c r="T41" s="981"/>
    </row>
    <row r="42" spans="1:20" ht="19.95" hidden="1" customHeight="1" x14ac:dyDescent="0.3">
      <c r="A42" s="262" t="s">
        <v>1242</v>
      </c>
      <c r="C42" s="228"/>
      <c r="D42" s="228"/>
      <c r="E42" s="561"/>
      <c r="F42" s="561"/>
      <c r="G42" s="561"/>
      <c r="H42" s="976" t="s">
        <v>94</v>
      </c>
      <c r="I42" s="976"/>
      <c r="J42" s="623"/>
      <c r="K42" s="976" t="s">
        <v>94</v>
      </c>
      <c r="L42" s="976"/>
      <c r="M42" s="623"/>
      <c r="N42" s="968" t="s">
        <v>1484</v>
      </c>
      <c r="O42" s="968"/>
      <c r="P42" s="968" t="s">
        <v>1471</v>
      </c>
      <c r="Q42" s="968"/>
      <c r="R42" s="968"/>
      <c r="S42" s="968" t="s">
        <v>1484</v>
      </c>
      <c r="T42" s="968"/>
    </row>
    <row r="43" spans="1:20" ht="19.95" hidden="1" customHeight="1" x14ac:dyDescent="0.3">
      <c r="A43" s="262" t="s">
        <v>1242</v>
      </c>
      <c r="C43" s="228"/>
      <c r="D43" s="228"/>
      <c r="E43" s="561"/>
      <c r="F43" s="561"/>
      <c r="G43" s="561"/>
      <c r="H43" s="976"/>
      <c r="I43" s="976"/>
      <c r="J43" s="623"/>
      <c r="K43" s="976"/>
      <c r="L43" s="976"/>
      <c r="M43" s="623"/>
      <c r="N43" s="968"/>
      <c r="O43" s="968"/>
      <c r="P43" s="968"/>
      <c r="Q43" s="968"/>
      <c r="R43" s="968"/>
      <c r="S43" s="981"/>
      <c r="T43" s="981"/>
    </row>
    <row r="44" spans="1:20" ht="19.95" hidden="1" customHeight="1" x14ac:dyDescent="0.3">
      <c r="A44" s="262" t="s">
        <v>1242</v>
      </c>
      <c r="C44" s="228"/>
      <c r="D44" s="228"/>
      <c r="E44" s="561"/>
      <c r="F44" s="561"/>
      <c r="G44" s="561"/>
      <c r="H44" s="228"/>
      <c r="I44" s="260"/>
      <c r="J44" s="260"/>
      <c r="K44" s="260"/>
      <c r="L44" s="260"/>
      <c r="M44" s="260"/>
      <c r="N44" s="260"/>
      <c r="O44" s="260"/>
      <c r="P44" s="260"/>
      <c r="Q44" s="260"/>
      <c r="R44" s="260"/>
      <c r="S44" s="624"/>
      <c r="T44" s="260"/>
    </row>
    <row r="45" spans="1:20" ht="19.95" hidden="1" customHeight="1" x14ac:dyDescent="0.3">
      <c r="A45" s="262" t="s">
        <v>1242</v>
      </c>
      <c r="C45" s="228"/>
      <c r="D45" s="228"/>
      <c r="E45" s="975" t="s">
        <v>1215</v>
      </c>
      <c r="F45" s="975"/>
      <c r="G45" s="975"/>
      <c r="H45" s="975" t="s">
        <v>1348</v>
      </c>
      <c r="I45" s="975"/>
      <c r="J45" s="975"/>
      <c r="K45" s="975"/>
      <c r="L45" s="975"/>
      <c r="M45" s="562"/>
      <c r="N45" s="977" t="s">
        <v>1217</v>
      </c>
      <c r="O45" s="968"/>
      <c r="P45" s="968"/>
      <c r="Q45" s="968"/>
      <c r="R45" s="968"/>
      <c r="S45" s="968"/>
      <c r="T45" s="968"/>
    </row>
    <row r="46" spans="1:20" ht="19.95" hidden="1" customHeight="1" x14ac:dyDescent="0.3">
      <c r="A46" s="262" t="s">
        <v>1290</v>
      </c>
      <c r="C46" s="228"/>
      <c r="D46" s="228"/>
      <c r="E46" s="975"/>
      <c r="F46" s="975"/>
      <c r="G46" s="975"/>
      <c r="H46" s="975"/>
      <c r="I46" s="975"/>
      <c r="J46" s="975"/>
      <c r="K46" s="975"/>
      <c r="L46" s="975"/>
      <c r="M46" s="562"/>
      <c r="N46" s="968"/>
      <c r="O46" s="968"/>
      <c r="P46" s="968"/>
      <c r="Q46" s="968"/>
      <c r="R46" s="968"/>
      <c r="S46" s="968"/>
      <c r="T46" s="968"/>
    </row>
    <row r="47" spans="1:20" ht="30" hidden="1" customHeight="1" x14ac:dyDescent="0.3">
      <c r="A47" s="262" t="s">
        <v>151</v>
      </c>
      <c r="C47" s="255">
        <v>21</v>
      </c>
      <c r="D47" s="256" t="s">
        <v>267</v>
      </c>
      <c r="E47" s="978" t="s">
        <v>268</v>
      </c>
      <c r="F47" s="979"/>
      <c r="G47" s="980"/>
      <c r="H47" s="546" t="s">
        <v>225</v>
      </c>
      <c r="I47" s="257">
        <v>1535</v>
      </c>
      <c r="J47" s="606"/>
      <c r="K47" s="257">
        <v>12946.85</v>
      </c>
      <c r="L47" s="257">
        <f t="shared" ref="L47:L69" si="5">+ROUND(I47*K47,2)</f>
        <v>19873414.75</v>
      </c>
      <c r="M47" s="603"/>
      <c r="N47" s="675" t="e">
        <f>+#REF!</f>
        <v>#REF!</v>
      </c>
      <c r="O47" s="675" t="e">
        <f>+#REF!</f>
        <v>#REF!</v>
      </c>
      <c r="P47" s="675" t="e">
        <f t="shared" ref="P47:P69" si="6">+N47+O47</f>
        <v>#REF!</v>
      </c>
      <c r="Q47" s="220"/>
      <c r="R47" s="605" t="e">
        <f t="shared" ref="R47:R69" si="7">+ROUND(I47*N47,2)</f>
        <v>#REF!</v>
      </c>
      <c r="S47" s="254" t="e">
        <f t="shared" ref="S47:S69" si="8">+ROUND(I47*O47,2)</f>
        <v>#REF!</v>
      </c>
      <c r="T47" s="237" t="e">
        <f t="shared" ref="T47:T69" si="9">+ROUND(I47*P47,2)</f>
        <v>#REF!</v>
      </c>
    </row>
    <row r="48" spans="1:20" ht="30" hidden="1" customHeight="1" x14ac:dyDescent="0.3">
      <c r="A48" s="262" t="s">
        <v>151</v>
      </c>
      <c r="C48" s="244">
        <v>22</v>
      </c>
      <c r="D48" s="161" t="s">
        <v>269</v>
      </c>
      <c r="E48" s="969" t="s">
        <v>270</v>
      </c>
      <c r="F48" s="970"/>
      <c r="G48" s="971"/>
      <c r="H48" s="544" t="s">
        <v>225</v>
      </c>
      <c r="I48" s="257">
        <v>1462</v>
      </c>
      <c r="J48" s="606"/>
      <c r="K48" s="257">
        <v>12871.85</v>
      </c>
      <c r="L48" s="212">
        <f t="shared" si="5"/>
        <v>18818644.699999999</v>
      </c>
      <c r="M48" s="602"/>
      <c r="N48" s="675" t="e">
        <f>+#REF!</f>
        <v>#REF!</v>
      </c>
      <c r="O48" s="675" t="e">
        <f>+#REF!</f>
        <v>#REF!</v>
      </c>
      <c r="P48" s="675" t="e">
        <f t="shared" si="6"/>
        <v>#REF!</v>
      </c>
      <c r="Q48" s="220"/>
      <c r="R48" s="605" t="e">
        <f t="shared" si="7"/>
        <v>#REF!</v>
      </c>
      <c r="S48" s="254" t="e">
        <f t="shared" si="8"/>
        <v>#REF!</v>
      </c>
      <c r="T48" s="237" t="e">
        <f t="shared" si="9"/>
        <v>#REF!</v>
      </c>
    </row>
    <row r="49" spans="1:22" ht="30" hidden="1" customHeight="1" x14ac:dyDescent="0.3">
      <c r="A49" s="262" t="s">
        <v>151</v>
      </c>
      <c r="C49" s="244">
        <v>23</v>
      </c>
      <c r="D49" s="213" t="s">
        <v>271</v>
      </c>
      <c r="E49" s="969" t="s">
        <v>272</v>
      </c>
      <c r="F49" s="970"/>
      <c r="G49" s="971"/>
      <c r="H49" s="544" t="s">
        <v>202</v>
      </c>
      <c r="I49" s="257">
        <v>2094</v>
      </c>
      <c r="J49" s="606"/>
      <c r="K49" s="257">
        <v>14706.45</v>
      </c>
      <c r="L49" s="212">
        <f t="shared" si="5"/>
        <v>30795306.300000001</v>
      </c>
      <c r="M49" s="602"/>
      <c r="N49" s="675" t="e">
        <f>+#REF!</f>
        <v>#REF!</v>
      </c>
      <c r="O49" s="675" t="e">
        <f>+#REF!</f>
        <v>#REF!</v>
      </c>
      <c r="P49" s="675" t="e">
        <f t="shared" si="6"/>
        <v>#REF!</v>
      </c>
      <c r="Q49" s="220"/>
      <c r="R49" s="605" t="e">
        <f t="shared" si="7"/>
        <v>#REF!</v>
      </c>
      <c r="S49" s="254" t="e">
        <f t="shared" si="8"/>
        <v>#REF!</v>
      </c>
      <c r="T49" s="237" t="e">
        <f t="shared" si="9"/>
        <v>#REF!</v>
      </c>
    </row>
    <row r="50" spans="1:22" ht="30" hidden="1" customHeight="1" x14ac:dyDescent="0.3">
      <c r="A50" s="262" t="s">
        <v>151</v>
      </c>
      <c r="C50" s="244">
        <v>24</v>
      </c>
      <c r="D50" s="161" t="s">
        <v>273</v>
      </c>
      <c r="E50" s="969" t="s">
        <v>274</v>
      </c>
      <c r="F50" s="970"/>
      <c r="G50" s="971"/>
      <c r="H50" s="544" t="s">
        <v>225</v>
      </c>
      <c r="I50" s="257">
        <v>37481</v>
      </c>
      <c r="J50" s="606"/>
      <c r="K50" s="257">
        <v>3073.23</v>
      </c>
      <c r="L50" s="212">
        <f t="shared" si="5"/>
        <v>115187733.63</v>
      </c>
      <c r="M50" s="602"/>
      <c r="N50" s="675" t="e">
        <f>+#REF!</f>
        <v>#REF!</v>
      </c>
      <c r="O50" s="675" t="e">
        <f>+#REF!</f>
        <v>#REF!</v>
      </c>
      <c r="P50" s="675" t="e">
        <f t="shared" si="6"/>
        <v>#REF!</v>
      </c>
      <c r="Q50" s="220"/>
      <c r="R50" s="605" t="e">
        <f t="shared" si="7"/>
        <v>#REF!</v>
      </c>
      <c r="S50" s="254" t="e">
        <f t="shared" si="8"/>
        <v>#REF!</v>
      </c>
      <c r="T50" s="237" t="e">
        <f t="shared" si="9"/>
        <v>#REF!</v>
      </c>
    </row>
    <row r="51" spans="1:22" ht="30" hidden="1" customHeight="1" x14ac:dyDescent="0.3">
      <c r="A51" s="262" t="s">
        <v>151</v>
      </c>
      <c r="C51" s="244">
        <v>25</v>
      </c>
      <c r="D51" s="161" t="s">
        <v>275</v>
      </c>
      <c r="E51" s="969" t="s">
        <v>276</v>
      </c>
      <c r="F51" s="970"/>
      <c r="G51" s="971"/>
      <c r="H51" s="544" t="s">
        <v>225</v>
      </c>
      <c r="I51" s="257">
        <v>43633</v>
      </c>
      <c r="J51" s="606"/>
      <c r="K51" s="257">
        <v>2679.52</v>
      </c>
      <c r="L51" s="212">
        <f t="shared" si="5"/>
        <v>116915496.16</v>
      </c>
      <c r="M51" s="602"/>
      <c r="N51" s="675" t="e">
        <f>+#REF!</f>
        <v>#REF!</v>
      </c>
      <c r="O51" s="675" t="e">
        <f>+#REF!</f>
        <v>#REF!</v>
      </c>
      <c r="P51" s="675" t="e">
        <f t="shared" si="6"/>
        <v>#REF!</v>
      </c>
      <c r="Q51" s="220"/>
      <c r="R51" s="605" t="e">
        <f t="shared" si="7"/>
        <v>#REF!</v>
      </c>
      <c r="S51" s="254" t="e">
        <f t="shared" si="8"/>
        <v>#REF!</v>
      </c>
      <c r="T51" s="237" t="e">
        <f t="shared" si="9"/>
        <v>#REF!</v>
      </c>
    </row>
    <row r="52" spans="1:22" ht="30" hidden="1" customHeight="1" x14ac:dyDescent="0.3">
      <c r="A52" s="262" t="s">
        <v>151</v>
      </c>
      <c r="C52" s="244">
        <v>26</v>
      </c>
      <c r="D52" s="161" t="s">
        <v>277</v>
      </c>
      <c r="E52" s="969" t="s">
        <v>278</v>
      </c>
      <c r="F52" s="970"/>
      <c r="G52" s="971"/>
      <c r="H52" s="544" t="s">
        <v>225</v>
      </c>
      <c r="I52" s="257">
        <v>23682</v>
      </c>
      <c r="J52" s="606"/>
      <c r="K52" s="257">
        <v>4321.2299999999996</v>
      </c>
      <c r="L52" s="212">
        <f t="shared" si="5"/>
        <v>102335368.86</v>
      </c>
      <c r="M52" s="602"/>
      <c r="N52" s="675" t="e">
        <f>+#REF!</f>
        <v>#REF!</v>
      </c>
      <c r="O52" s="675" t="e">
        <f>+#REF!</f>
        <v>#REF!</v>
      </c>
      <c r="P52" s="675" t="e">
        <f t="shared" si="6"/>
        <v>#REF!</v>
      </c>
      <c r="Q52" s="220"/>
      <c r="R52" s="605" t="e">
        <f t="shared" si="7"/>
        <v>#REF!</v>
      </c>
      <c r="S52" s="254" t="e">
        <f t="shared" si="8"/>
        <v>#REF!</v>
      </c>
      <c r="T52" s="237" t="e">
        <f t="shared" si="9"/>
        <v>#REF!</v>
      </c>
    </row>
    <row r="53" spans="1:22" ht="30" hidden="1" customHeight="1" x14ac:dyDescent="0.3">
      <c r="A53" s="262" t="s">
        <v>151</v>
      </c>
      <c r="C53" s="244">
        <v>27</v>
      </c>
      <c r="D53" s="161" t="s">
        <v>279</v>
      </c>
      <c r="E53" s="969" t="s">
        <v>280</v>
      </c>
      <c r="F53" s="970"/>
      <c r="G53" s="971"/>
      <c r="H53" s="544" t="s">
        <v>225</v>
      </c>
      <c r="I53" s="257">
        <v>26351</v>
      </c>
      <c r="J53" s="606"/>
      <c r="K53" s="257">
        <v>8103.7</v>
      </c>
      <c r="L53" s="212">
        <f t="shared" si="5"/>
        <v>213540598.69999999</v>
      </c>
      <c r="M53" s="602"/>
      <c r="N53" s="675" t="e">
        <f>+#REF!</f>
        <v>#REF!</v>
      </c>
      <c r="O53" s="675" t="e">
        <f>+#REF!</f>
        <v>#REF!</v>
      </c>
      <c r="P53" s="675" t="e">
        <f t="shared" si="6"/>
        <v>#REF!</v>
      </c>
      <c r="Q53" s="220"/>
      <c r="R53" s="605" t="e">
        <f t="shared" si="7"/>
        <v>#REF!</v>
      </c>
      <c r="S53" s="254" t="e">
        <f t="shared" si="8"/>
        <v>#REF!</v>
      </c>
      <c r="T53" s="237" t="e">
        <f t="shared" si="9"/>
        <v>#REF!</v>
      </c>
    </row>
    <row r="54" spans="1:22" ht="30" hidden="1" customHeight="1" x14ac:dyDescent="0.3">
      <c r="A54" s="262" t="s">
        <v>151</v>
      </c>
      <c r="C54" s="244">
        <v>28</v>
      </c>
      <c r="D54" s="161" t="s">
        <v>281</v>
      </c>
      <c r="E54" s="969" t="s">
        <v>282</v>
      </c>
      <c r="F54" s="970"/>
      <c r="G54" s="971"/>
      <c r="H54" s="544" t="s">
        <v>225</v>
      </c>
      <c r="I54" s="257">
        <v>36167</v>
      </c>
      <c r="J54" s="606"/>
      <c r="K54" s="257">
        <v>3944.25</v>
      </c>
      <c r="L54" s="212">
        <f t="shared" si="5"/>
        <v>142651689.75</v>
      </c>
      <c r="M54" s="602"/>
      <c r="N54" s="675" t="e">
        <f>+#REF!</f>
        <v>#REF!</v>
      </c>
      <c r="O54" s="675" t="e">
        <f>+#REF!</f>
        <v>#REF!</v>
      </c>
      <c r="P54" s="675" t="e">
        <f t="shared" si="6"/>
        <v>#REF!</v>
      </c>
      <c r="Q54" s="220"/>
      <c r="R54" s="605" t="e">
        <f t="shared" si="7"/>
        <v>#REF!</v>
      </c>
      <c r="S54" s="254" t="e">
        <f t="shared" si="8"/>
        <v>#REF!</v>
      </c>
      <c r="T54" s="237" t="e">
        <f t="shared" si="9"/>
        <v>#REF!</v>
      </c>
    </row>
    <row r="55" spans="1:22" ht="30" hidden="1" customHeight="1" x14ac:dyDescent="0.3">
      <c r="A55" s="262" t="s">
        <v>151</v>
      </c>
      <c r="C55" s="244">
        <v>29</v>
      </c>
      <c r="D55" s="161" t="s">
        <v>283</v>
      </c>
      <c r="E55" s="969" t="s">
        <v>1162</v>
      </c>
      <c r="F55" s="970"/>
      <c r="G55" s="971"/>
      <c r="H55" s="544" t="s">
        <v>225</v>
      </c>
      <c r="I55" s="257">
        <v>36167</v>
      </c>
      <c r="J55" s="606"/>
      <c r="K55" s="257">
        <v>920.13</v>
      </c>
      <c r="L55" s="212">
        <f t="shared" si="5"/>
        <v>33278341.710000001</v>
      </c>
      <c r="M55" s="602"/>
      <c r="N55" s="675" t="e">
        <f>+#REF!</f>
        <v>#REF!</v>
      </c>
      <c r="O55" s="675" t="e">
        <f>+#REF!</f>
        <v>#REF!</v>
      </c>
      <c r="P55" s="675" t="e">
        <f t="shared" si="6"/>
        <v>#REF!</v>
      </c>
      <c r="Q55" s="220"/>
      <c r="R55" s="605" t="e">
        <f t="shared" si="7"/>
        <v>#REF!</v>
      </c>
      <c r="S55" s="254" t="e">
        <f t="shared" si="8"/>
        <v>#REF!</v>
      </c>
      <c r="T55" s="237" t="e">
        <f t="shared" si="9"/>
        <v>#REF!</v>
      </c>
    </row>
    <row r="56" spans="1:22" ht="30" hidden="1" customHeight="1" x14ac:dyDescent="0.3">
      <c r="A56" s="262" t="s">
        <v>151</v>
      </c>
      <c r="C56" s="244">
        <v>30</v>
      </c>
      <c r="D56" s="161" t="s">
        <v>284</v>
      </c>
      <c r="E56" s="969" t="s">
        <v>285</v>
      </c>
      <c r="F56" s="970"/>
      <c r="G56" s="971"/>
      <c r="H56" s="544" t="s">
        <v>286</v>
      </c>
      <c r="I56" s="257">
        <v>1125000</v>
      </c>
      <c r="J56" s="606"/>
      <c r="K56" s="257">
        <v>1</v>
      </c>
      <c r="L56" s="212">
        <f t="shared" si="5"/>
        <v>1125000</v>
      </c>
      <c r="M56" s="602"/>
      <c r="N56" s="675" t="e">
        <f>+#REF!</f>
        <v>#REF!</v>
      </c>
      <c r="O56" s="675" t="e">
        <f>+#REF!</f>
        <v>#REF!</v>
      </c>
      <c r="P56" s="675" t="e">
        <f t="shared" si="6"/>
        <v>#REF!</v>
      </c>
      <c r="Q56" s="220"/>
      <c r="R56" s="605" t="e">
        <f t="shared" si="7"/>
        <v>#REF!</v>
      </c>
      <c r="S56" s="254" t="e">
        <f t="shared" si="8"/>
        <v>#REF!</v>
      </c>
      <c r="T56" s="237" t="e">
        <f t="shared" si="9"/>
        <v>#REF!</v>
      </c>
    </row>
    <row r="57" spans="1:22" ht="30" hidden="1" customHeight="1" x14ac:dyDescent="0.3">
      <c r="A57" s="262" t="s">
        <v>151</v>
      </c>
      <c r="C57" s="244">
        <v>31</v>
      </c>
      <c r="D57" s="161" t="s">
        <v>287</v>
      </c>
      <c r="E57" s="969" t="s">
        <v>288</v>
      </c>
      <c r="F57" s="970"/>
      <c r="G57" s="971"/>
      <c r="H57" s="544" t="s">
        <v>286</v>
      </c>
      <c r="I57" s="257">
        <v>1125000</v>
      </c>
      <c r="J57" s="606"/>
      <c r="K57" s="257">
        <v>1</v>
      </c>
      <c r="L57" s="212">
        <f t="shared" si="5"/>
        <v>1125000</v>
      </c>
      <c r="M57" s="602"/>
      <c r="N57" s="675" t="e">
        <f>+#REF!</f>
        <v>#REF!</v>
      </c>
      <c r="O57" s="675" t="e">
        <f>+#REF!</f>
        <v>#REF!</v>
      </c>
      <c r="P57" s="675" t="e">
        <f t="shared" si="6"/>
        <v>#REF!</v>
      </c>
      <c r="Q57" s="220"/>
      <c r="R57" s="605" t="e">
        <f t="shared" si="7"/>
        <v>#REF!</v>
      </c>
      <c r="S57" s="254" t="e">
        <f t="shared" si="8"/>
        <v>#REF!</v>
      </c>
      <c r="T57" s="237" t="e">
        <f t="shared" si="9"/>
        <v>#REF!</v>
      </c>
    </row>
    <row r="58" spans="1:22" ht="30" hidden="1" customHeight="1" x14ac:dyDescent="0.3">
      <c r="A58" s="262" t="s">
        <v>151</v>
      </c>
      <c r="C58" s="244">
        <v>32</v>
      </c>
      <c r="D58" s="161" t="s">
        <v>289</v>
      </c>
      <c r="E58" s="969" t="s">
        <v>290</v>
      </c>
      <c r="F58" s="970"/>
      <c r="G58" s="971"/>
      <c r="H58" s="544" t="s">
        <v>286</v>
      </c>
      <c r="I58" s="257">
        <v>3000000</v>
      </c>
      <c r="J58" s="606"/>
      <c r="K58" s="257">
        <v>1</v>
      </c>
      <c r="L58" s="212">
        <f t="shared" si="5"/>
        <v>3000000</v>
      </c>
      <c r="M58" s="602"/>
      <c r="N58" s="675" t="e">
        <f>+#REF!</f>
        <v>#REF!</v>
      </c>
      <c r="O58" s="675" t="e">
        <f>+#REF!</f>
        <v>#REF!</v>
      </c>
      <c r="P58" s="675" t="e">
        <f t="shared" si="6"/>
        <v>#REF!</v>
      </c>
      <c r="Q58" s="220"/>
      <c r="R58" s="605" t="e">
        <f t="shared" si="7"/>
        <v>#REF!</v>
      </c>
      <c r="S58" s="254" t="e">
        <f t="shared" si="8"/>
        <v>#REF!</v>
      </c>
      <c r="T58" s="237" t="e">
        <f t="shared" si="9"/>
        <v>#REF!</v>
      </c>
    </row>
    <row r="59" spans="1:22" ht="30" hidden="1" customHeight="1" x14ac:dyDescent="0.3">
      <c r="A59" s="262" t="s">
        <v>151</v>
      </c>
      <c r="C59" s="244">
        <v>33</v>
      </c>
      <c r="D59" s="161" t="s">
        <v>291</v>
      </c>
      <c r="E59" s="969" t="s">
        <v>292</v>
      </c>
      <c r="F59" s="970"/>
      <c r="G59" s="971"/>
      <c r="H59" s="544" t="s">
        <v>286</v>
      </c>
      <c r="I59" s="257">
        <v>2250000</v>
      </c>
      <c r="J59" s="606"/>
      <c r="K59" s="257">
        <v>1</v>
      </c>
      <c r="L59" s="212">
        <f t="shared" si="5"/>
        <v>2250000</v>
      </c>
      <c r="M59" s="602"/>
      <c r="N59" s="675" t="e">
        <f>+#REF!</f>
        <v>#REF!</v>
      </c>
      <c r="O59" s="675" t="e">
        <f>+#REF!</f>
        <v>#REF!</v>
      </c>
      <c r="P59" s="675" t="e">
        <f t="shared" si="6"/>
        <v>#REF!</v>
      </c>
      <c r="Q59" s="220"/>
      <c r="R59" s="605" t="e">
        <f t="shared" si="7"/>
        <v>#REF!</v>
      </c>
      <c r="S59" s="254" t="e">
        <f t="shared" si="8"/>
        <v>#REF!</v>
      </c>
      <c r="T59" s="237" t="e">
        <f t="shared" si="9"/>
        <v>#REF!</v>
      </c>
    </row>
    <row r="60" spans="1:22" ht="30" hidden="1" customHeight="1" x14ac:dyDescent="0.3">
      <c r="A60" s="262" t="s">
        <v>151</v>
      </c>
      <c r="C60" s="244">
        <v>34</v>
      </c>
      <c r="D60" s="161" t="s">
        <v>293</v>
      </c>
      <c r="E60" s="969" t="s">
        <v>294</v>
      </c>
      <c r="F60" s="970"/>
      <c r="G60" s="971"/>
      <c r="H60" s="544" t="s">
        <v>225</v>
      </c>
      <c r="I60" s="257">
        <v>2400</v>
      </c>
      <c r="J60" s="606"/>
      <c r="K60" s="257">
        <v>5500</v>
      </c>
      <c r="L60" s="212">
        <f t="shared" si="5"/>
        <v>13200000</v>
      </c>
      <c r="M60" s="602"/>
      <c r="N60" s="675" t="e">
        <f>+#REF!</f>
        <v>#REF!</v>
      </c>
      <c r="O60" s="675" t="e">
        <f>+#REF!</f>
        <v>#REF!</v>
      </c>
      <c r="P60" s="675" t="e">
        <f t="shared" si="6"/>
        <v>#REF!</v>
      </c>
      <c r="Q60" s="220"/>
      <c r="R60" s="605" t="e">
        <f t="shared" si="7"/>
        <v>#REF!</v>
      </c>
      <c r="S60" s="254" t="e">
        <f t="shared" si="8"/>
        <v>#REF!</v>
      </c>
      <c r="T60" s="237" t="e">
        <f t="shared" si="9"/>
        <v>#REF!</v>
      </c>
    </row>
    <row r="61" spans="1:22" ht="30" hidden="1" customHeight="1" x14ac:dyDescent="0.3">
      <c r="A61" s="262" t="s">
        <v>151</v>
      </c>
      <c r="C61" s="244">
        <v>35</v>
      </c>
      <c r="D61" s="161" t="s">
        <v>295</v>
      </c>
      <c r="E61" s="969" t="s">
        <v>296</v>
      </c>
      <c r="F61" s="970"/>
      <c r="G61" s="971"/>
      <c r="H61" s="544" t="s">
        <v>225</v>
      </c>
      <c r="I61" s="257">
        <v>2400</v>
      </c>
      <c r="J61" s="606"/>
      <c r="K61" s="257">
        <v>6500</v>
      </c>
      <c r="L61" s="212">
        <f t="shared" si="5"/>
        <v>15600000</v>
      </c>
      <c r="M61" s="602"/>
      <c r="N61" s="675" t="e">
        <f>+#REF!</f>
        <v>#REF!</v>
      </c>
      <c r="O61" s="675" t="e">
        <f>+#REF!</f>
        <v>#REF!</v>
      </c>
      <c r="P61" s="675" t="e">
        <f t="shared" si="6"/>
        <v>#REF!</v>
      </c>
      <c r="Q61" s="220"/>
      <c r="R61" s="605" t="e">
        <f t="shared" si="7"/>
        <v>#REF!</v>
      </c>
      <c r="S61" s="254" t="e">
        <f t="shared" si="8"/>
        <v>#REF!</v>
      </c>
      <c r="T61" s="237" t="e">
        <f t="shared" si="9"/>
        <v>#REF!</v>
      </c>
    </row>
    <row r="62" spans="1:22" ht="30" hidden="1" customHeight="1" x14ac:dyDescent="0.3">
      <c r="A62" s="262" t="s">
        <v>151</v>
      </c>
      <c r="C62" s="244">
        <v>36</v>
      </c>
      <c r="D62" s="161" t="s">
        <v>297</v>
      </c>
      <c r="E62" s="969" t="s">
        <v>298</v>
      </c>
      <c r="F62" s="970"/>
      <c r="G62" s="971"/>
      <c r="H62" s="544" t="s">
        <v>225</v>
      </c>
      <c r="I62" s="257">
        <v>2400</v>
      </c>
      <c r="J62" s="606"/>
      <c r="K62" s="257">
        <v>8000</v>
      </c>
      <c r="L62" s="212">
        <f t="shared" si="5"/>
        <v>19200000</v>
      </c>
      <c r="M62" s="602"/>
      <c r="N62" s="675" t="e">
        <f>+#REF!</f>
        <v>#REF!</v>
      </c>
      <c r="O62" s="675" t="e">
        <f>+#REF!</f>
        <v>#REF!</v>
      </c>
      <c r="P62" s="675" t="e">
        <f t="shared" si="6"/>
        <v>#REF!</v>
      </c>
      <c r="Q62" s="220"/>
      <c r="R62" s="605" t="e">
        <f t="shared" si="7"/>
        <v>#REF!</v>
      </c>
      <c r="S62" s="254" t="e">
        <f t="shared" si="8"/>
        <v>#REF!</v>
      </c>
      <c r="T62" s="237" t="e">
        <f t="shared" si="9"/>
        <v>#REF!</v>
      </c>
    </row>
    <row r="63" spans="1:22" ht="30" hidden="1" customHeight="1" x14ac:dyDescent="0.3">
      <c r="A63" s="262" t="s">
        <v>151</v>
      </c>
      <c r="C63" s="244">
        <v>37</v>
      </c>
      <c r="D63" s="161" t="s">
        <v>299</v>
      </c>
      <c r="E63" s="969" t="s">
        <v>300</v>
      </c>
      <c r="F63" s="970"/>
      <c r="G63" s="971"/>
      <c r="H63" s="544" t="s">
        <v>225</v>
      </c>
      <c r="I63" s="257">
        <v>2400</v>
      </c>
      <c r="J63" s="606"/>
      <c r="K63" s="257">
        <v>20500</v>
      </c>
      <c r="L63" s="212">
        <f t="shared" si="5"/>
        <v>49200000</v>
      </c>
      <c r="M63" s="602"/>
      <c r="N63" s="675" t="e">
        <f>+#REF!</f>
        <v>#REF!</v>
      </c>
      <c r="O63" s="675" t="e">
        <f>+#REF!</f>
        <v>#REF!</v>
      </c>
      <c r="P63" s="675" t="e">
        <f t="shared" si="6"/>
        <v>#REF!</v>
      </c>
      <c r="Q63" s="220"/>
      <c r="R63" s="605" t="e">
        <f t="shared" si="7"/>
        <v>#REF!</v>
      </c>
      <c r="S63" s="254" t="e">
        <f t="shared" si="8"/>
        <v>#REF!</v>
      </c>
      <c r="T63" s="237" t="e">
        <f t="shared" si="9"/>
        <v>#REF!</v>
      </c>
    </row>
    <row r="64" spans="1:22" ht="30" hidden="1" customHeight="1" x14ac:dyDescent="0.3">
      <c r="A64" s="262" t="s">
        <v>151</v>
      </c>
      <c r="C64" s="244">
        <v>38</v>
      </c>
      <c r="D64" s="161" t="s">
        <v>301</v>
      </c>
      <c r="E64" s="969" t="s">
        <v>302</v>
      </c>
      <c r="F64" s="970"/>
      <c r="G64" s="971"/>
      <c r="H64" s="544" t="s">
        <v>286</v>
      </c>
      <c r="I64" s="257">
        <v>6167886</v>
      </c>
      <c r="J64" s="606"/>
      <c r="K64" s="257">
        <v>1</v>
      </c>
      <c r="L64" s="212">
        <f t="shared" si="5"/>
        <v>6167886</v>
      </c>
      <c r="M64" s="602"/>
      <c r="N64" s="675">
        <v>0</v>
      </c>
      <c r="O64" s="675">
        <v>0</v>
      </c>
      <c r="P64" s="675">
        <f t="shared" si="6"/>
        <v>0</v>
      </c>
      <c r="Q64" s="220"/>
      <c r="R64" s="605">
        <f t="shared" si="7"/>
        <v>0</v>
      </c>
      <c r="S64" s="254">
        <f t="shared" si="8"/>
        <v>0</v>
      </c>
      <c r="T64" s="237">
        <f t="shared" si="9"/>
        <v>0</v>
      </c>
      <c r="V64" s="327"/>
    </row>
    <row r="65" spans="1:22" ht="30" hidden="1" customHeight="1" x14ac:dyDescent="0.3">
      <c r="A65" s="262" t="s">
        <v>151</v>
      </c>
      <c r="C65" s="244">
        <v>39</v>
      </c>
      <c r="D65" s="161" t="s">
        <v>303</v>
      </c>
      <c r="E65" s="969" t="s">
        <v>304</v>
      </c>
      <c r="F65" s="970"/>
      <c r="G65" s="971"/>
      <c r="H65" s="544" t="s">
        <v>286</v>
      </c>
      <c r="I65" s="257">
        <v>6167886</v>
      </c>
      <c r="J65" s="606"/>
      <c r="K65" s="257">
        <v>1</v>
      </c>
      <c r="L65" s="212">
        <f t="shared" si="5"/>
        <v>6167886</v>
      </c>
      <c r="M65" s="602"/>
      <c r="N65" s="675" t="e">
        <f>+#REF!</f>
        <v>#REF!</v>
      </c>
      <c r="O65" s="675" t="e">
        <f>+#REF!</f>
        <v>#REF!</v>
      </c>
      <c r="P65" s="675" t="e">
        <f t="shared" si="6"/>
        <v>#REF!</v>
      </c>
      <c r="Q65" s="220"/>
      <c r="R65" s="605" t="e">
        <f t="shared" si="7"/>
        <v>#REF!</v>
      </c>
      <c r="S65" s="254" t="e">
        <f t="shared" si="8"/>
        <v>#REF!</v>
      </c>
      <c r="T65" s="237" t="e">
        <f t="shared" si="9"/>
        <v>#REF!</v>
      </c>
    </row>
    <row r="66" spans="1:22" ht="30" hidden="1" customHeight="1" x14ac:dyDescent="0.3">
      <c r="A66" s="262" t="s">
        <v>151</v>
      </c>
      <c r="C66" s="244">
        <v>40</v>
      </c>
      <c r="D66" s="161" t="s">
        <v>305</v>
      </c>
      <c r="E66" s="969" t="s">
        <v>306</v>
      </c>
      <c r="F66" s="970"/>
      <c r="G66" s="971"/>
      <c r="H66" s="544" t="s">
        <v>286</v>
      </c>
      <c r="I66" s="257">
        <v>14017922</v>
      </c>
      <c r="J66" s="606"/>
      <c r="K66" s="257">
        <v>1</v>
      </c>
      <c r="L66" s="212">
        <f t="shared" si="5"/>
        <v>14017922</v>
      </c>
      <c r="M66" s="602"/>
      <c r="N66" s="675" t="e">
        <f>+#REF!</f>
        <v>#REF!</v>
      </c>
      <c r="O66" s="675" t="e">
        <f>+#REF!</f>
        <v>#REF!</v>
      </c>
      <c r="P66" s="675" t="e">
        <f t="shared" si="6"/>
        <v>#REF!</v>
      </c>
      <c r="Q66" s="220"/>
      <c r="R66" s="605" t="e">
        <f t="shared" si="7"/>
        <v>#REF!</v>
      </c>
      <c r="S66" s="254" t="e">
        <f t="shared" si="8"/>
        <v>#REF!</v>
      </c>
      <c r="T66" s="237" t="e">
        <f t="shared" si="9"/>
        <v>#REF!</v>
      </c>
    </row>
    <row r="67" spans="1:22" ht="30" hidden="1" customHeight="1" x14ac:dyDescent="0.3">
      <c r="A67" s="262" t="s">
        <v>151</v>
      </c>
      <c r="C67" s="244">
        <v>41</v>
      </c>
      <c r="D67" s="161" t="s">
        <v>307</v>
      </c>
      <c r="E67" s="969" t="s">
        <v>308</v>
      </c>
      <c r="F67" s="970"/>
      <c r="G67" s="971"/>
      <c r="H67" s="544" t="s">
        <v>286</v>
      </c>
      <c r="I67" s="257">
        <v>14017922</v>
      </c>
      <c r="J67" s="606"/>
      <c r="K67" s="257">
        <v>1</v>
      </c>
      <c r="L67" s="212">
        <f t="shared" si="5"/>
        <v>14017922</v>
      </c>
      <c r="M67" s="602"/>
      <c r="N67" s="675" t="e">
        <f>+#REF!</f>
        <v>#REF!</v>
      </c>
      <c r="O67" s="675" t="e">
        <f>+#REF!</f>
        <v>#REF!</v>
      </c>
      <c r="P67" s="675" t="e">
        <f t="shared" si="6"/>
        <v>#REF!</v>
      </c>
      <c r="Q67" s="220"/>
      <c r="R67" s="605" t="e">
        <f t="shared" si="7"/>
        <v>#REF!</v>
      </c>
      <c r="S67" s="254" t="e">
        <f t="shared" si="8"/>
        <v>#REF!</v>
      </c>
      <c r="T67" s="237" t="e">
        <f t="shared" si="9"/>
        <v>#REF!</v>
      </c>
      <c r="V67" s="325"/>
    </row>
    <row r="68" spans="1:22" ht="30" hidden="1" customHeight="1" x14ac:dyDescent="0.3">
      <c r="A68" s="262" t="s">
        <v>151</v>
      </c>
      <c r="C68" s="244">
        <v>42</v>
      </c>
      <c r="D68" s="161" t="s">
        <v>309</v>
      </c>
      <c r="E68" s="969" t="s">
        <v>310</v>
      </c>
      <c r="F68" s="970"/>
      <c r="G68" s="971"/>
      <c r="H68" s="544" t="s">
        <v>286</v>
      </c>
      <c r="I68" s="257">
        <v>6167886</v>
      </c>
      <c r="J68" s="606"/>
      <c r="K68" s="257">
        <v>1</v>
      </c>
      <c r="L68" s="212">
        <f t="shared" si="5"/>
        <v>6167886</v>
      </c>
      <c r="M68" s="602"/>
      <c r="N68" s="675" t="e">
        <f>+#REF!</f>
        <v>#REF!</v>
      </c>
      <c r="O68" s="675" t="e">
        <f>+#REF!</f>
        <v>#REF!</v>
      </c>
      <c r="P68" s="675" t="e">
        <f t="shared" si="6"/>
        <v>#REF!</v>
      </c>
      <c r="Q68" s="220"/>
      <c r="R68" s="605" t="e">
        <f t="shared" si="7"/>
        <v>#REF!</v>
      </c>
      <c r="S68" s="254" t="e">
        <f t="shared" si="8"/>
        <v>#REF!</v>
      </c>
      <c r="T68" s="237" t="e">
        <f t="shared" si="9"/>
        <v>#REF!</v>
      </c>
    </row>
    <row r="69" spans="1:22" ht="30" hidden="1" customHeight="1" x14ac:dyDescent="0.3">
      <c r="A69" s="262" t="s">
        <v>151</v>
      </c>
      <c r="C69" s="244">
        <v>43</v>
      </c>
      <c r="D69" s="161" t="s">
        <v>311</v>
      </c>
      <c r="E69" s="969" t="s">
        <v>312</v>
      </c>
      <c r="F69" s="970"/>
      <c r="G69" s="971"/>
      <c r="H69" s="544" t="s">
        <v>286</v>
      </c>
      <c r="I69" s="257">
        <v>15419714</v>
      </c>
      <c r="J69" s="606"/>
      <c r="K69" s="257">
        <v>1</v>
      </c>
      <c r="L69" s="212">
        <f t="shared" si="5"/>
        <v>15419714</v>
      </c>
      <c r="M69" s="602"/>
      <c r="N69" s="675" t="e">
        <f>+#REF!</f>
        <v>#REF!</v>
      </c>
      <c r="O69" s="675" t="e">
        <f>+#REF!</f>
        <v>#REF!</v>
      </c>
      <c r="P69" s="675" t="e">
        <f t="shared" si="6"/>
        <v>#REF!</v>
      </c>
      <c r="Q69" s="220"/>
      <c r="R69" s="605" t="e">
        <f t="shared" si="7"/>
        <v>#REF!</v>
      </c>
      <c r="S69" s="254" t="e">
        <f t="shared" si="8"/>
        <v>#REF!</v>
      </c>
      <c r="T69" s="237" t="e">
        <f t="shared" si="9"/>
        <v>#REF!</v>
      </c>
    </row>
    <row r="70" spans="1:22" ht="40.049999999999997" hidden="1" customHeight="1" x14ac:dyDescent="0.3">
      <c r="A70" s="262" t="s">
        <v>1242</v>
      </c>
      <c r="C70" s="258"/>
      <c r="D70" s="258"/>
      <c r="E70" s="972" t="s">
        <v>33</v>
      </c>
      <c r="F70" s="972"/>
      <c r="G70" s="972"/>
      <c r="H70" s="973" t="s">
        <v>29</v>
      </c>
      <c r="I70" s="973"/>
      <c r="J70" s="973"/>
      <c r="K70" s="973"/>
      <c r="L70" s="973"/>
      <c r="M70" s="549"/>
      <c r="N70" s="973" t="s">
        <v>22</v>
      </c>
      <c r="O70" s="973"/>
      <c r="P70" s="973"/>
      <c r="Q70" s="973"/>
      <c r="R70" s="973"/>
      <c r="S70" s="973"/>
      <c r="T70" s="973"/>
    </row>
    <row r="71" spans="1:22" ht="19.95" hidden="1" customHeight="1" x14ac:dyDescent="0.3">
      <c r="A71" s="262" t="s">
        <v>1242</v>
      </c>
      <c r="D71" s="28"/>
      <c r="E71" s="974" t="s">
        <v>1214</v>
      </c>
      <c r="F71" s="974"/>
      <c r="G71" s="974"/>
      <c r="H71" s="975" t="s">
        <v>38</v>
      </c>
      <c r="I71" s="975"/>
      <c r="J71" s="975"/>
      <c r="K71" s="975"/>
      <c r="L71" s="975"/>
      <c r="M71" s="562"/>
      <c r="N71" s="975" t="s">
        <v>1437</v>
      </c>
      <c r="O71" s="975"/>
      <c r="P71" s="975"/>
      <c r="Q71" s="975"/>
      <c r="R71" s="975"/>
      <c r="S71" s="975"/>
      <c r="T71" s="975"/>
    </row>
    <row r="72" spans="1:22" ht="19.95" hidden="1" customHeight="1" x14ac:dyDescent="0.3">
      <c r="A72" s="262" t="s">
        <v>1242</v>
      </c>
      <c r="C72" s="228"/>
      <c r="D72" s="228"/>
      <c r="E72" s="561"/>
      <c r="F72" s="561"/>
      <c r="G72" s="561"/>
      <c r="H72" s="228"/>
      <c r="I72" s="260"/>
      <c r="J72" s="260"/>
      <c r="K72" s="260"/>
      <c r="L72" s="260"/>
      <c r="M72" s="260"/>
      <c r="N72" s="975"/>
      <c r="O72" s="975"/>
      <c r="P72" s="975"/>
      <c r="Q72" s="975"/>
      <c r="R72" s="975"/>
      <c r="S72" s="975"/>
      <c r="T72" s="975"/>
    </row>
    <row r="73" spans="1:22" ht="19.95" hidden="1" customHeight="1" x14ac:dyDescent="0.3">
      <c r="A73" s="262" t="s">
        <v>1242</v>
      </c>
      <c r="C73" s="228"/>
      <c r="D73" s="228"/>
      <c r="E73" s="561"/>
      <c r="F73" s="561"/>
      <c r="G73" s="561"/>
      <c r="H73" s="228"/>
      <c r="I73" s="260"/>
      <c r="J73" s="260"/>
      <c r="K73" s="260"/>
      <c r="L73" s="260"/>
      <c r="M73" s="260"/>
      <c r="N73" s="975"/>
      <c r="O73" s="975"/>
      <c r="P73" s="975"/>
      <c r="Q73" s="975"/>
      <c r="R73" s="975"/>
      <c r="S73" s="975"/>
      <c r="T73" s="975"/>
    </row>
    <row r="74" spans="1:22" ht="19.95" hidden="1" customHeight="1" x14ac:dyDescent="0.3">
      <c r="A74" s="262" t="s">
        <v>1242</v>
      </c>
      <c r="C74" s="228"/>
      <c r="D74" s="228"/>
      <c r="E74" s="561"/>
      <c r="F74" s="561"/>
      <c r="G74" s="561"/>
      <c r="H74" s="228"/>
      <c r="I74" s="260"/>
      <c r="J74" s="260"/>
      <c r="K74" s="260"/>
      <c r="L74" s="260"/>
      <c r="M74" s="260"/>
      <c r="N74" s="260"/>
      <c r="O74" s="260"/>
      <c r="P74" s="260"/>
      <c r="Q74" s="260"/>
      <c r="R74" s="260"/>
      <c r="S74" s="624"/>
      <c r="T74" s="260"/>
    </row>
    <row r="75" spans="1:22" ht="19.95" hidden="1" customHeight="1" x14ac:dyDescent="0.3">
      <c r="A75" s="262" t="s">
        <v>1242</v>
      </c>
      <c r="C75" s="228"/>
      <c r="D75" s="228"/>
      <c r="E75" s="561"/>
      <c r="F75" s="561"/>
      <c r="G75" s="561"/>
      <c r="H75" s="975" t="s">
        <v>32</v>
      </c>
      <c r="I75" s="975"/>
      <c r="J75" s="562"/>
      <c r="K75" s="975" t="s">
        <v>1407</v>
      </c>
      <c r="L75" s="975"/>
      <c r="M75" s="562"/>
      <c r="N75" s="968" t="s">
        <v>54</v>
      </c>
      <c r="O75" s="968"/>
      <c r="P75" s="968" t="s">
        <v>1218</v>
      </c>
      <c r="Q75" s="968"/>
      <c r="R75" s="968"/>
      <c r="S75" s="981" t="s">
        <v>55</v>
      </c>
      <c r="T75" s="981"/>
    </row>
    <row r="76" spans="1:22" ht="19.95" hidden="1" customHeight="1" x14ac:dyDescent="0.3">
      <c r="A76" s="262" t="s">
        <v>1242</v>
      </c>
      <c r="C76" s="228"/>
      <c r="D76" s="228"/>
      <c r="E76" s="561"/>
      <c r="F76" s="561"/>
      <c r="G76" s="561"/>
      <c r="H76" s="976" t="s">
        <v>94</v>
      </c>
      <c r="I76" s="976"/>
      <c r="J76" s="623"/>
      <c r="K76" s="976" t="s">
        <v>94</v>
      </c>
      <c r="L76" s="976"/>
      <c r="M76" s="623"/>
      <c r="N76" s="968" t="s">
        <v>1484</v>
      </c>
      <c r="O76" s="968"/>
      <c r="P76" s="968" t="s">
        <v>1471</v>
      </c>
      <c r="Q76" s="968"/>
      <c r="R76" s="968"/>
      <c r="S76" s="968" t="s">
        <v>1484</v>
      </c>
      <c r="T76" s="968"/>
    </row>
    <row r="77" spans="1:22" ht="19.95" hidden="1" customHeight="1" x14ac:dyDescent="0.3">
      <c r="A77" s="262" t="s">
        <v>1242</v>
      </c>
      <c r="C77" s="228"/>
      <c r="D77" s="228"/>
      <c r="E77" s="561"/>
      <c r="F77" s="561"/>
      <c r="G77" s="561"/>
      <c r="H77" s="976"/>
      <c r="I77" s="976"/>
      <c r="J77" s="623"/>
      <c r="K77" s="976"/>
      <c r="L77" s="976"/>
      <c r="M77" s="623"/>
      <c r="N77" s="968"/>
      <c r="O77" s="968"/>
      <c r="P77" s="968"/>
      <c r="Q77" s="968"/>
      <c r="R77" s="968"/>
      <c r="S77" s="981"/>
      <c r="T77" s="981"/>
    </row>
    <row r="78" spans="1:22" ht="19.95" hidden="1" customHeight="1" x14ac:dyDescent="0.3">
      <c r="A78" s="262" t="s">
        <v>1242</v>
      </c>
      <c r="C78" s="228"/>
      <c r="D78" s="228"/>
      <c r="E78" s="561"/>
      <c r="F78" s="561"/>
      <c r="G78" s="561"/>
      <c r="H78" s="228"/>
      <c r="I78" s="260"/>
      <c r="J78" s="260"/>
      <c r="K78" s="260"/>
      <c r="L78" s="260"/>
      <c r="M78" s="260"/>
      <c r="N78" s="260"/>
      <c r="O78" s="260"/>
      <c r="P78" s="260"/>
      <c r="Q78" s="260"/>
      <c r="R78" s="260"/>
      <c r="S78" s="624"/>
      <c r="T78" s="260"/>
    </row>
    <row r="79" spans="1:22" ht="19.95" hidden="1" customHeight="1" x14ac:dyDescent="0.3">
      <c r="A79" s="262" t="s">
        <v>1242</v>
      </c>
      <c r="C79" s="228"/>
      <c r="D79" s="228"/>
      <c r="E79" s="975" t="s">
        <v>1215</v>
      </c>
      <c r="F79" s="975"/>
      <c r="G79" s="975"/>
      <c r="H79" s="975" t="s">
        <v>1348</v>
      </c>
      <c r="I79" s="975"/>
      <c r="J79" s="975"/>
      <c r="K79" s="975"/>
      <c r="L79" s="975"/>
      <c r="M79" s="562"/>
      <c r="N79" s="977" t="s">
        <v>1217</v>
      </c>
      <c r="O79" s="968"/>
      <c r="P79" s="968"/>
      <c r="Q79" s="968"/>
      <c r="R79" s="968"/>
      <c r="S79" s="968"/>
      <c r="T79" s="968"/>
    </row>
    <row r="80" spans="1:22" ht="19.95" hidden="1" customHeight="1" x14ac:dyDescent="0.3">
      <c r="A80" s="262" t="s">
        <v>1290</v>
      </c>
      <c r="C80" s="228"/>
      <c r="D80" s="228"/>
      <c r="E80" s="975"/>
      <c r="F80" s="975"/>
      <c r="G80" s="975"/>
      <c r="H80" s="975"/>
      <c r="I80" s="975"/>
      <c r="J80" s="975"/>
      <c r="K80" s="975"/>
      <c r="L80" s="975"/>
      <c r="M80" s="562"/>
      <c r="N80" s="968"/>
      <c r="O80" s="968"/>
      <c r="P80" s="968"/>
      <c r="Q80" s="968"/>
      <c r="R80" s="968"/>
      <c r="S80" s="968"/>
      <c r="T80" s="968"/>
    </row>
    <row r="81" spans="1:20" ht="30" hidden="1" customHeight="1" x14ac:dyDescent="0.3">
      <c r="A81" s="262" t="s">
        <v>151</v>
      </c>
      <c r="C81" s="255">
        <v>44</v>
      </c>
      <c r="D81" s="256" t="s">
        <v>313</v>
      </c>
      <c r="E81" s="978" t="s">
        <v>314</v>
      </c>
      <c r="F81" s="979"/>
      <c r="G81" s="980"/>
      <c r="H81" s="546" t="s">
        <v>286</v>
      </c>
      <c r="I81" s="257">
        <v>4205377</v>
      </c>
      <c r="J81" s="606"/>
      <c r="K81" s="257">
        <v>1</v>
      </c>
      <c r="L81" s="257">
        <f>+ROUND(I81*K81,2)</f>
        <v>4205377</v>
      </c>
      <c r="M81" s="602"/>
      <c r="N81" s="675" t="e">
        <f>+#REF!</f>
        <v>#REF!</v>
      </c>
      <c r="O81" s="675" t="e">
        <f>+#REF!</f>
        <v>#REF!</v>
      </c>
      <c r="P81" s="675" t="e">
        <f t="shared" ref="P81:P85" si="10">+N81+O81</f>
        <v>#REF!</v>
      </c>
      <c r="Q81" s="220"/>
      <c r="R81" s="605" t="e">
        <f t="shared" ref="R81:R85" si="11">+ROUND(I81*N81,2)</f>
        <v>#REF!</v>
      </c>
      <c r="S81" s="254" t="e">
        <f t="shared" ref="S81:S85" si="12">+ROUND(I81*O81,2)</f>
        <v>#REF!</v>
      </c>
      <c r="T81" s="237" t="e">
        <f t="shared" ref="T81:T85" si="13">+ROUND(I81*P81,2)</f>
        <v>#REF!</v>
      </c>
    </row>
    <row r="82" spans="1:20" ht="30" hidden="1" customHeight="1" x14ac:dyDescent="0.3">
      <c r="A82" s="262" t="s">
        <v>151</v>
      </c>
      <c r="C82" s="244">
        <v>45</v>
      </c>
      <c r="D82" s="161" t="s">
        <v>315</v>
      </c>
      <c r="E82" s="969" t="s">
        <v>316</v>
      </c>
      <c r="F82" s="970"/>
      <c r="G82" s="971"/>
      <c r="H82" s="544" t="s">
        <v>286</v>
      </c>
      <c r="I82" s="212">
        <v>4205377</v>
      </c>
      <c r="J82" s="605"/>
      <c r="K82" s="212">
        <v>1</v>
      </c>
      <c r="L82" s="212">
        <f>+ROUND(I82*K82,2)</f>
        <v>4205377</v>
      </c>
      <c r="M82" s="602"/>
      <c r="N82" s="675" t="e">
        <f>+#REF!</f>
        <v>#REF!</v>
      </c>
      <c r="O82" s="675" t="e">
        <f>+#REF!</f>
        <v>#REF!</v>
      </c>
      <c r="P82" s="675" t="e">
        <f t="shared" si="10"/>
        <v>#REF!</v>
      </c>
      <c r="Q82" s="220"/>
      <c r="R82" s="605" t="e">
        <f t="shared" si="11"/>
        <v>#REF!</v>
      </c>
      <c r="S82" s="254" t="e">
        <f t="shared" si="12"/>
        <v>#REF!</v>
      </c>
      <c r="T82" s="237" t="e">
        <f t="shared" si="13"/>
        <v>#REF!</v>
      </c>
    </row>
    <row r="83" spans="1:20" ht="30" hidden="1" customHeight="1" x14ac:dyDescent="0.3">
      <c r="A83" s="262" t="s">
        <v>151</v>
      </c>
      <c r="C83" s="244">
        <v>46</v>
      </c>
      <c r="D83" s="161" t="s">
        <v>317</v>
      </c>
      <c r="E83" s="969" t="s">
        <v>318</v>
      </c>
      <c r="F83" s="970"/>
      <c r="G83" s="971"/>
      <c r="H83" s="544" t="s">
        <v>286</v>
      </c>
      <c r="I83" s="212">
        <v>5326810</v>
      </c>
      <c r="J83" s="605"/>
      <c r="K83" s="212">
        <v>1</v>
      </c>
      <c r="L83" s="212">
        <f>+ROUND(I83*K83,2)</f>
        <v>5326810</v>
      </c>
      <c r="M83" s="602"/>
      <c r="N83" s="675" t="e">
        <f>+#REF!</f>
        <v>#REF!</v>
      </c>
      <c r="O83" s="675" t="e">
        <f>+#REF!</f>
        <v>#REF!</v>
      </c>
      <c r="P83" s="675" t="e">
        <f t="shared" si="10"/>
        <v>#REF!</v>
      </c>
      <c r="Q83" s="220"/>
      <c r="R83" s="605" t="e">
        <f t="shared" si="11"/>
        <v>#REF!</v>
      </c>
      <c r="S83" s="254" t="e">
        <f t="shared" si="12"/>
        <v>#REF!</v>
      </c>
      <c r="T83" s="237" t="e">
        <f t="shared" si="13"/>
        <v>#REF!</v>
      </c>
    </row>
    <row r="84" spans="1:20" ht="30" hidden="1" customHeight="1" x14ac:dyDescent="0.3">
      <c r="A84" s="262" t="s">
        <v>151</v>
      </c>
      <c r="C84" s="244">
        <v>47</v>
      </c>
      <c r="D84" s="161" t="s">
        <v>319</v>
      </c>
      <c r="E84" s="969" t="s">
        <v>320</v>
      </c>
      <c r="F84" s="970"/>
      <c r="G84" s="971"/>
      <c r="H84" s="544" t="s">
        <v>286</v>
      </c>
      <c r="I84" s="212">
        <v>5326810</v>
      </c>
      <c r="J84" s="605"/>
      <c r="K84" s="212">
        <v>1</v>
      </c>
      <c r="L84" s="212">
        <f>+ROUND(I84*K84,2)</f>
        <v>5326810</v>
      </c>
      <c r="M84" s="602"/>
      <c r="N84" s="675" t="e">
        <f>+#REF!</f>
        <v>#REF!</v>
      </c>
      <c r="O84" s="675" t="e">
        <f>+#REF!</f>
        <v>#REF!</v>
      </c>
      <c r="P84" s="675" t="e">
        <f t="shared" si="10"/>
        <v>#REF!</v>
      </c>
      <c r="Q84" s="220"/>
      <c r="R84" s="605" t="e">
        <f t="shared" si="11"/>
        <v>#REF!</v>
      </c>
      <c r="S84" s="254" t="e">
        <f t="shared" si="12"/>
        <v>#REF!</v>
      </c>
      <c r="T84" s="237" t="e">
        <f t="shared" si="13"/>
        <v>#REF!</v>
      </c>
    </row>
    <row r="85" spans="1:20" ht="30" hidden="1" customHeight="1" x14ac:dyDescent="0.3">
      <c r="A85" s="262" t="s">
        <v>151</v>
      </c>
      <c r="C85" s="244">
        <v>48</v>
      </c>
      <c r="D85" s="161" t="s">
        <v>321</v>
      </c>
      <c r="E85" s="969" t="s">
        <v>322</v>
      </c>
      <c r="F85" s="970"/>
      <c r="G85" s="971"/>
      <c r="H85" s="544" t="s">
        <v>286</v>
      </c>
      <c r="I85" s="212">
        <v>4205377</v>
      </c>
      <c r="J85" s="605"/>
      <c r="K85" s="212">
        <v>1</v>
      </c>
      <c r="L85" s="341">
        <f>+ROUND(I85*K85,2)</f>
        <v>4205377</v>
      </c>
      <c r="M85" s="212"/>
      <c r="N85" s="675" t="e">
        <f>+#REF!</f>
        <v>#REF!</v>
      </c>
      <c r="O85" s="675" t="e">
        <f>+#REF!</f>
        <v>#REF!</v>
      </c>
      <c r="P85" s="675" t="e">
        <f t="shared" si="10"/>
        <v>#REF!</v>
      </c>
      <c r="Q85" s="220"/>
      <c r="R85" s="605" t="e">
        <f t="shared" si="11"/>
        <v>#REF!</v>
      </c>
      <c r="S85" s="254" t="e">
        <f t="shared" si="12"/>
        <v>#REF!</v>
      </c>
      <c r="T85" s="237" t="e">
        <f t="shared" si="13"/>
        <v>#REF!</v>
      </c>
    </row>
    <row r="86" spans="1:20" ht="30" hidden="1" customHeight="1" x14ac:dyDescent="0.3">
      <c r="A86" s="262" t="s">
        <v>151</v>
      </c>
      <c r="C86" s="244"/>
      <c r="D86" s="161"/>
      <c r="E86" s="969"/>
      <c r="F86" s="970"/>
      <c r="G86" s="971"/>
      <c r="H86" s="161"/>
      <c r="I86" s="605"/>
      <c r="J86" s="605"/>
      <c r="K86" s="212"/>
      <c r="L86" s="341"/>
      <c r="M86" s="212"/>
      <c r="N86" s="605"/>
      <c r="O86" s="212"/>
      <c r="P86" s="341"/>
      <c r="Q86" s="212"/>
      <c r="R86" s="605"/>
      <c r="S86" s="225"/>
      <c r="T86" s="237"/>
    </row>
    <row r="87" spans="1:20" ht="30" hidden="1" customHeight="1" x14ac:dyDescent="0.3">
      <c r="A87" s="262" t="s">
        <v>151</v>
      </c>
      <c r="C87" s="244"/>
      <c r="D87" s="161"/>
      <c r="E87" s="969"/>
      <c r="F87" s="970"/>
      <c r="G87" s="971"/>
      <c r="H87" s="161"/>
      <c r="I87" s="605"/>
      <c r="J87" s="605"/>
      <c r="K87" s="212"/>
      <c r="L87" s="341"/>
      <c r="M87" s="212"/>
      <c r="N87" s="605"/>
      <c r="O87" s="212"/>
      <c r="P87" s="341"/>
      <c r="Q87" s="212"/>
      <c r="R87" s="605"/>
      <c r="S87" s="225"/>
      <c r="T87" s="237"/>
    </row>
    <row r="88" spans="1:20" ht="30" hidden="1" customHeight="1" x14ac:dyDescent="0.3">
      <c r="A88" s="262" t="s">
        <v>151</v>
      </c>
      <c r="C88" s="244"/>
      <c r="D88" s="161"/>
      <c r="E88" s="969"/>
      <c r="F88" s="970"/>
      <c r="G88" s="971"/>
      <c r="H88" s="161"/>
      <c r="I88" s="605"/>
      <c r="J88" s="605"/>
      <c r="K88" s="212"/>
      <c r="L88" s="341"/>
      <c r="M88" s="212"/>
      <c r="N88" s="605"/>
      <c r="O88" s="212"/>
      <c r="P88" s="341"/>
      <c r="Q88" s="212"/>
      <c r="R88" s="605"/>
      <c r="S88" s="225"/>
      <c r="T88" s="237"/>
    </row>
    <row r="89" spans="1:20" ht="30" hidden="1" customHeight="1" x14ac:dyDescent="0.3">
      <c r="A89" s="262" t="s">
        <v>151</v>
      </c>
      <c r="C89" s="244"/>
      <c r="D89" s="161"/>
      <c r="E89" s="969"/>
      <c r="F89" s="970"/>
      <c r="G89" s="971"/>
      <c r="H89" s="161"/>
      <c r="I89" s="605"/>
      <c r="J89" s="605"/>
      <c r="K89" s="212"/>
      <c r="L89" s="341"/>
      <c r="M89" s="212"/>
      <c r="N89" s="605"/>
      <c r="O89" s="212"/>
      <c r="P89" s="341"/>
      <c r="Q89" s="212"/>
      <c r="R89" s="605"/>
      <c r="S89" s="225"/>
      <c r="T89" s="237"/>
    </row>
    <row r="90" spans="1:20" ht="30" hidden="1" customHeight="1" x14ac:dyDescent="0.3">
      <c r="A90" s="262" t="s">
        <v>151</v>
      </c>
      <c r="C90" s="244"/>
      <c r="D90" s="213"/>
      <c r="E90" s="969"/>
      <c r="F90" s="970"/>
      <c r="G90" s="971"/>
      <c r="H90" s="161"/>
      <c r="I90" s="605"/>
      <c r="J90" s="605"/>
      <c r="K90" s="212"/>
      <c r="L90" s="341"/>
      <c r="M90" s="212"/>
      <c r="N90" s="605"/>
      <c r="O90" s="212"/>
      <c r="P90" s="341"/>
      <c r="Q90" s="212"/>
      <c r="R90" s="605"/>
      <c r="S90" s="225"/>
      <c r="T90" s="237"/>
    </row>
    <row r="91" spans="1:20" ht="30" hidden="1" customHeight="1" x14ac:dyDescent="0.3">
      <c r="A91" s="262" t="s">
        <v>151</v>
      </c>
      <c r="C91" s="244"/>
      <c r="D91" s="161"/>
      <c r="E91" s="969"/>
      <c r="F91" s="970"/>
      <c r="G91" s="971"/>
      <c r="H91" s="161"/>
      <c r="I91" s="605"/>
      <c r="J91" s="605"/>
      <c r="K91" s="212"/>
      <c r="L91" s="341"/>
      <c r="M91" s="212"/>
      <c r="N91" s="605"/>
      <c r="O91" s="212"/>
      <c r="P91" s="341"/>
      <c r="Q91" s="212"/>
      <c r="R91" s="605"/>
      <c r="S91" s="225"/>
      <c r="T91" s="237"/>
    </row>
    <row r="92" spans="1:20" ht="30" hidden="1" customHeight="1" x14ac:dyDescent="0.3">
      <c r="A92" s="262" t="s">
        <v>151</v>
      </c>
      <c r="C92" s="244"/>
      <c r="D92" s="161"/>
      <c r="E92" s="969"/>
      <c r="F92" s="970"/>
      <c r="G92" s="971"/>
      <c r="H92" s="161"/>
      <c r="I92" s="605"/>
      <c r="J92" s="605"/>
      <c r="K92" s="212"/>
      <c r="L92" s="341"/>
      <c r="M92" s="212"/>
      <c r="N92" s="605"/>
      <c r="O92" s="212"/>
      <c r="P92" s="341"/>
      <c r="Q92" s="212"/>
      <c r="R92" s="605"/>
      <c r="S92" s="225"/>
      <c r="T92" s="237"/>
    </row>
    <row r="93" spans="1:20" ht="30" hidden="1" customHeight="1" x14ac:dyDescent="0.3">
      <c r="A93" s="262" t="s">
        <v>151</v>
      </c>
      <c r="C93" s="244"/>
      <c r="D93" s="161"/>
      <c r="E93" s="969"/>
      <c r="F93" s="970"/>
      <c r="G93" s="971"/>
      <c r="H93" s="161"/>
      <c r="I93" s="605"/>
      <c r="J93" s="605"/>
      <c r="K93" s="212"/>
      <c r="L93" s="341"/>
      <c r="M93" s="212"/>
      <c r="N93" s="605"/>
      <c r="O93" s="212"/>
      <c r="P93" s="341"/>
      <c r="Q93" s="212"/>
      <c r="R93" s="605"/>
      <c r="S93" s="225"/>
      <c r="T93" s="237"/>
    </row>
    <row r="94" spans="1:20" ht="30" hidden="1" customHeight="1" x14ac:dyDescent="0.3">
      <c r="A94" s="262" t="s">
        <v>151</v>
      </c>
      <c r="C94" s="244"/>
      <c r="D94" s="161"/>
      <c r="E94" s="969"/>
      <c r="F94" s="970"/>
      <c r="G94" s="971"/>
      <c r="H94" s="161"/>
      <c r="I94" s="605"/>
      <c r="J94" s="605"/>
      <c r="K94" s="212"/>
      <c r="L94" s="341"/>
      <c r="M94" s="212"/>
      <c r="N94" s="605"/>
      <c r="O94" s="212"/>
      <c r="P94" s="341"/>
      <c r="Q94" s="212"/>
      <c r="R94" s="605"/>
      <c r="S94" s="225"/>
      <c r="T94" s="237"/>
    </row>
    <row r="95" spans="1:20" ht="30" hidden="1" customHeight="1" x14ac:dyDescent="0.3">
      <c r="A95" s="262" t="s">
        <v>151</v>
      </c>
      <c r="C95" s="244"/>
      <c r="D95" s="161"/>
      <c r="E95" s="969"/>
      <c r="F95" s="970"/>
      <c r="G95" s="971"/>
      <c r="H95" s="161"/>
      <c r="I95" s="605"/>
      <c r="J95" s="605"/>
      <c r="K95" s="212"/>
      <c r="L95" s="341"/>
      <c r="M95" s="212"/>
      <c r="N95" s="605"/>
      <c r="O95" s="212"/>
      <c r="P95" s="341"/>
      <c r="Q95" s="212"/>
      <c r="R95" s="605"/>
      <c r="S95" s="225"/>
      <c r="T95" s="237"/>
    </row>
    <row r="96" spans="1:20" ht="30" hidden="1" customHeight="1" x14ac:dyDescent="0.3">
      <c r="A96" s="262" t="s">
        <v>151</v>
      </c>
      <c r="C96" s="244"/>
      <c r="D96" s="161"/>
      <c r="E96" s="969"/>
      <c r="F96" s="970"/>
      <c r="G96" s="971"/>
      <c r="H96" s="161"/>
      <c r="I96" s="605"/>
      <c r="J96" s="605"/>
      <c r="K96" s="212"/>
      <c r="L96" s="341"/>
      <c r="M96" s="212"/>
      <c r="N96" s="605"/>
      <c r="O96" s="212"/>
      <c r="P96" s="341"/>
      <c r="Q96" s="212"/>
      <c r="R96" s="605"/>
      <c r="S96" s="225"/>
      <c r="T96" s="237"/>
    </row>
    <row r="97" spans="1:20" ht="30" hidden="1" customHeight="1" x14ac:dyDescent="0.3">
      <c r="A97" s="262" t="s">
        <v>151</v>
      </c>
      <c r="C97" s="244"/>
      <c r="D97" s="161"/>
      <c r="E97" s="969"/>
      <c r="F97" s="970"/>
      <c r="G97" s="971"/>
      <c r="H97" s="161"/>
      <c r="I97" s="605"/>
      <c r="J97" s="605"/>
      <c r="K97" s="212"/>
      <c r="L97" s="341"/>
      <c r="M97" s="212"/>
      <c r="N97" s="605"/>
      <c r="O97" s="212"/>
      <c r="P97" s="341"/>
      <c r="Q97" s="212"/>
      <c r="R97" s="605"/>
      <c r="S97" s="225"/>
      <c r="T97" s="237"/>
    </row>
    <row r="98" spans="1:20" ht="30" hidden="1" customHeight="1" x14ac:dyDescent="0.3">
      <c r="A98" s="262" t="s">
        <v>151</v>
      </c>
      <c r="C98" s="244"/>
      <c r="D98" s="161"/>
      <c r="E98" s="969"/>
      <c r="F98" s="970"/>
      <c r="G98" s="971"/>
      <c r="H98" s="161"/>
      <c r="I98" s="605"/>
      <c r="J98" s="605"/>
      <c r="K98" s="212"/>
      <c r="L98" s="341"/>
      <c r="M98" s="212"/>
      <c r="N98" s="605"/>
      <c r="O98" s="212"/>
      <c r="P98" s="341"/>
      <c r="Q98" s="212"/>
      <c r="R98" s="605"/>
      <c r="S98" s="225"/>
      <c r="T98" s="237"/>
    </row>
    <row r="99" spans="1:20" ht="30" hidden="1" customHeight="1" x14ac:dyDescent="0.3">
      <c r="A99" s="262" t="s">
        <v>151</v>
      </c>
      <c r="C99" s="244"/>
      <c r="D99" s="161"/>
      <c r="E99" s="969"/>
      <c r="F99" s="970"/>
      <c r="G99" s="971"/>
      <c r="H99" s="161"/>
      <c r="I99" s="605"/>
      <c r="J99" s="605"/>
      <c r="K99" s="212"/>
      <c r="L99" s="341"/>
      <c r="M99" s="212"/>
      <c r="N99" s="605"/>
      <c r="O99" s="212"/>
      <c r="P99" s="341"/>
      <c r="Q99" s="212"/>
      <c r="R99" s="605"/>
      <c r="S99" s="225"/>
      <c r="T99" s="237"/>
    </row>
    <row r="100" spans="1:20" ht="30" hidden="1" customHeight="1" x14ac:dyDescent="0.3">
      <c r="A100" s="262" t="s">
        <v>151</v>
      </c>
      <c r="C100" s="244"/>
      <c r="D100" s="213"/>
      <c r="E100" s="969"/>
      <c r="F100" s="970"/>
      <c r="G100" s="971"/>
      <c r="H100" s="161"/>
      <c r="I100" s="605"/>
      <c r="J100" s="605"/>
      <c r="K100" s="212"/>
      <c r="L100" s="341"/>
      <c r="M100" s="212"/>
      <c r="N100" s="605"/>
      <c r="O100" s="212"/>
      <c r="P100" s="341"/>
      <c r="Q100" s="212"/>
      <c r="R100" s="605"/>
      <c r="S100" s="225"/>
      <c r="T100" s="237"/>
    </row>
    <row r="101" spans="1:20" ht="30" hidden="1" customHeight="1" x14ac:dyDescent="0.3">
      <c r="A101" s="262" t="s">
        <v>151</v>
      </c>
      <c r="C101" s="244"/>
      <c r="D101" s="213"/>
      <c r="E101" s="969"/>
      <c r="F101" s="970"/>
      <c r="G101" s="971"/>
      <c r="H101" s="161"/>
      <c r="I101" s="605"/>
      <c r="J101" s="605"/>
      <c r="K101" s="212"/>
      <c r="L101" s="341"/>
      <c r="M101" s="212"/>
      <c r="N101" s="605"/>
      <c r="O101" s="212"/>
      <c r="P101" s="341"/>
      <c r="Q101" s="212"/>
      <c r="R101" s="605"/>
      <c r="S101" s="225"/>
      <c r="T101" s="237"/>
    </row>
    <row r="102" spans="1:20" ht="30" hidden="1" customHeight="1" x14ac:dyDescent="0.3">
      <c r="A102" s="262" t="s">
        <v>151</v>
      </c>
      <c r="C102" s="244"/>
      <c r="D102" s="161"/>
      <c r="E102" s="969"/>
      <c r="F102" s="970"/>
      <c r="G102" s="971"/>
      <c r="H102" s="161"/>
      <c r="I102" s="605"/>
      <c r="J102" s="605"/>
      <c r="K102" s="212"/>
      <c r="L102" s="341"/>
      <c r="M102" s="212"/>
      <c r="N102" s="605"/>
      <c r="O102" s="212"/>
      <c r="P102" s="341"/>
      <c r="Q102" s="212"/>
      <c r="R102" s="605"/>
      <c r="S102" s="225"/>
      <c r="T102" s="237"/>
    </row>
    <row r="103" spans="1:20" ht="30" hidden="1" customHeight="1" x14ac:dyDescent="0.3">
      <c r="A103" s="262" t="s">
        <v>151</v>
      </c>
      <c r="C103" s="244"/>
      <c r="D103" s="161"/>
      <c r="E103" s="969"/>
      <c r="F103" s="970"/>
      <c r="G103" s="971"/>
      <c r="H103" s="658"/>
      <c r="I103" s="605"/>
      <c r="J103" s="605"/>
      <c r="K103" s="212"/>
      <c r="L103" s="341"/>
      <c r="M103" s="302"/>
      <c r="N103" s="605"/>
      <c r="O103" s="212"/>
      <c r="P103" s="341"/>
      <c r="Q103" s="302"/>
      <c r="R103" s="605"/>
      <c r="S103" s="225"/>
      <c r="T103" s="237"/>
    </row>
    <row r="104" spans="1:20" ht="40.049999999999997" hidden="1" customHeight="1" x14ac:dyDescent="0.3">
      <c r="A104" s="262" t="s">
        <v>1242</v>
      </c>
      <c r="C104" s="258"/>
      <c r="D104" s="258"/>
      <c r="E104" s="972" t="s">
        <v>33</v>
      </c>
      <c r="F104" s="972"/>
      <c r="G104" s="972"/>
      <c r="H104" s="973" t="s">
        <v>29</v>
      </c>
      <c r="I104" s="973"/>
      <c r="J104" s="973"/>
      <c r="K104" s="973"/>
      <c r="L104" s="973"/>
      <c r="M104" s="549"/>
      <c r="N104" s="973" t="s">
        <v>22</v>
      </c>
      <c r="O104" s="973"/>
      <c r="P104" s="973"/>
      <c r="Q104" s="973"/>
      <c r="R104" s="973"/>
      <c r="S104" s="973"/>
      <c r="T104" s="973"/>
    </row>
    <row r="105" spans="1:20" ht="19.95" hidden="1" customHeight="1" x14ac:dyDescent="0.3">
      <c r="A105" s="262" t="s">
        <v>1242</v>
      </c>
      <c r="D105" s="28"/>
      <c r="E105" s="974" t="s">
        <v>1214</v>
      </c>
      <c r="F105" s="974"/>
      <c r="G105" s="974"/>
      <c r="H105" s="975" t="s">
        <v>38</v>
      </c>
      <c r="I105" s="975"/>
      <c r="J105" s="975"/>
      <c r="K105" s="975"/>
      <c r="L105" s="975"/>
      <c r="M105" s="562"/>
      <c r="N105" s="975" t="s">
        <v>1437</v>
      </c>
      <c r="O105" s="975"/>
      <c r="P105" s="975"/>
      <c r="Q105" s="975"/>
      <c r="R105" s="975"/>
      <c r="S105" s="975"/>
      <c r="T105" s="975"/>
    </row>
    <row r="106" spans="1:20" ht="19.95" hidden="1" customHeight="1" x14ac:dyDescent="0.3">
      <c r="A106" s="262" t="s">
        <v>1242</v>
      </c>
      <c r="C106" s="228"/>
      <c r="D106" s="228"/>
      <c r="E106" s="561"/>
      <c r="F106" s="561"/>
      <c r="G106" s="561"/>
      <c r="H106" s="228"/>
      <c r="I106" s="260"/>
      <c r="J106" s="260"/>
      <c r="K106" s="260"/>
      <c r="L106" s="260"/>
      <c r="M106" s="260"/>
      <c r="N106" s="975"/>
      <c r="O106" s="975"/>
      <c r="P106" s="975"/>
      <c r="Q106" s="975"/>
      <c r="R106" s="975"/>
      <c r="S106" s="975"/>
      <c r="T106" s="975"/>
    </row>
    <row r="107" spans="1:20" ht="19.95" hidden="1" customHeight="1" x14ac:dyDescent="0.3">
      <c r="A107" s="262" t="s">
        <v>1242</v>
      </c>
      <c r="C107" s="228"/>
      <c r="D107" s="228"/>
      <c r="E107" s="561"/>
      <c r="F107" s="561"/>
      <c r="G107" s="561"/>
      <c r="H107" s="228"/>
      <c r="I107" s="260"/>
      <c r="J107" s="260"/>
      <c r="K107" s="260"/>
      <c r="L107" s="260"/>
      <c r="M107" s="260"/>
      <c r="N107" s="975"/>
      <c r="O107" s="975"/>
      <c r="P107" s="975"/>
      <c r="Q107" s="975"/>
      <c r="R107" s="975"/>
      <c r="S107" s="975"/>
      <c r="T107" s="975"/>
    </row>
    <row r="108" spans="1:20" ht="19.95" hidden="1" customHeight="1" x14ac:dyDescent="0.3">
      <c r="A108" s="262" t="s">
        <v>1242</v>
      </c>
      <c r="C108" s="228"/>
      <c r="D108" s="228"/>
      <c r="E108" s="561"/>
      <c r="F108" s="561"/>
      <c r="G108" s="561"/>
      <c r="H108" s="228"/>
      <c r="I108" s="260"/>
      <c r="J108" s="260"/>
      <c r="K108" s="260"/>
      <c r="L108" s="260"/>
      <c r="M108" s="260"/>
      <c r="N108" s="260"/>
      <c r="O108" s="260"/>
      <c r="P108" s="260"/>
      <c r="Q108" s="260"/>
      <c r="R108" s="260"/>
      <c r="S108" s="624"/>
      <c r="T108" s="260"/>
    </row>
    <row r="109" spans="1:20" ht="19.95" hidden="1" customHeight="1" x14ac:dyDescent="0.3">
      <c r="A109" s="262" t="s">
        <v>1242</v>
      </c>
      <c r="C109" s="228"/>
      <c r="D109" s="228"/>
      <c r="E109" s="561"/>
      <c r="F109" s="561"/>
      <c r="G109" s="561"/>
      <c r="H109" s="975" t="s">
        <v>32</v>
      </c>
      <c r="I109" s="975"/>
      <c r="J109" s="562"/>
      <c r="K109" s="975" t="s">
        <v>1407</v>
      </c>
      <c r="L109" s="975"/>
      <c r="M109" s="562"/>
      <c r="N109" s="968" t="s">
        <v>54</v>
      </c>
      <c r="O109" s="968"/>
      <c r="P109" s="968" t="s">
        <v>1218</v>
      </c>
      <c r="Q109" s="968"/>
      <c r="R109" s="968"/>
      <c r="S109" s="981" t="s">
        <v>55</v>
      </c>
      <c r="T109" s="981"/>
    </row>
    <row r="110" spans="1:20" ht="19.95" hidden="1" customHeight="1" x14ac:dyDescent="0.3">
      <c r="A110" s="262" t="s">
        <v>1242</v>
      </c>
      <c r="C110" s="228"/>
      <c r="D110" s="228"/>
      <c r="E110" s="561"/>
      <c r="F110" s="561"/>
      <c r="G110" s="561"/>
      <c r="H110" s="976" t="s">
        <v>94</v>
      </c>
      <c r="I110" s="976"/>
      <c r="J110" s="623"/>
      <c r="K110" s="976" t="s">
        <v>94</v>
      </c>
      <c r="L110" s="976"/>
      <c r="M110" s="623"/>
      <c r="N110" s="968" t="s">
        <v>1484</v>
      </c>
      <c r="O110" s="968"/>
      <c r="P110" s="968" t="s">
        <v>1471</v>
      </c>
      <c r="Q110" s="968"/>
      <c r="R110" s="968"/>
      <c r="S110" s="968" t="s">
        <v>1484</v>
      </c>
      <c r="T110" s="968"/>
    </row>
    <row r="111" spans="1:20" ht="19.95" hidden="1" customHeight="1" x14ac:dyDescent="0.3">
      <c r="A111" s="262" t="s">
        <v>1242</v>
      </c>
      <c r="C111" s="228"/>
      <c r="D111" s="228"/>
      <c r="E111" s="561"/>
      <c r="F111" s="561"/>
      <c r="G111" s="561"/>
      <c r="H111" s="976"/>
      <c r="I111" s="976"/>
      <c r="J111" s="623"/>
      <c r="K111" s="976"/>
      <c r="L111" s="976"/>
      <c r="M111" s="623"/>
      <c r="N111" s="968"/>
      <c r="O111" s="968"/>
      <c r="P111" s="968"/>
      <c r="Q111" s="968"/>
      <c r="R111" s="968"/>
      <c r="S111" s="981"/>
      <c r="T111" s="981"/>
    </row>
    <row r="112" spans="1:20" ht="19.95" hidden="1" customHeight="1" x14ac:dyDescent="0.3">
      <c r="A112" s="262" t="s">
        <v>1242</v>
      </c>
      <c r="C112" s="228"/>
      <c r="D112" s="228"/>
      <c r="E112" s="561"/>
      <c r="F112" s="561"/>
      <c r="G112" s="561"/>
      <c r="H112" s="228"/>
      <c r="I112" s="260"/>
      <c r="J112" s="260"/>
      <c r="K112" s="260"/>
      <c r="L112" s="260"/>
      <c r="M112" s="260"/>
      <c r="N112" s="260"/>
      <c r="O112" s="260"/>
      <c r="P112" s="260"/>
      <c r="Q112" s="260"/>
      <c r="R112" s="260"/>
      <c r="S112" s="624"/>
      <c r="T112" s="260"/>
    </row>
    <row r="113" spans="1:20" ht="19.95" hidden="1" customHeight="1" x14ac:dyDescent="0.3">
      <c r="A113" s="262" t="s">
        <v>1242</v>
      </c>
      <c r="C113" s="228"/>
      <c r="D113" s="228"/>
      <c r="E113" s="975" t="s">
        <v>1215</v>
      </c>
      <c r="F113" s="975"/>
      <c r="G113" s="975"/>
      <c r="H113" s="975" t="s">
        <v>1348</v>
      </c>
      <c r="I113" s="975"/>
      <c r="J113" s="975"/>
      <c r="K113" s="975"/>
      <c r="L113" s="975"/>
      <c r="M113" s="562"/>
      <c r="N113" s="977" t="s">
        <v>1217</v>
      </c>
      <c r="O113" s="968"/>
      <c r="P113" s="968"/>
      <c r="Q113" s="968"/>
      <c r="R113" s="968"/>
      <c r="S113" s="968"/>
      <c r="T113" s="968"/>
    </row>
    <row r="114" spans="1:20" ht="19.95" hidden="1" customHeight="1" x14ac:dyDescent="0.3">
      <c r="A114" s="262" t="s">
        <v>1290</v>
      </c>
      <c r="C114" s="228"/>
      <c r="D114" s="228"/>
      <c r="E114" s="975"/>
      <c r="F114" s="975"/>
      <c r="G114" s="975"/>
      <c r="H114" s="975"/>
      <c r="I114" s="975"/>
      <c r="J114" s="975"/>
      <c r="K114" s="975"/>
      <c r="L114" s="975"/>
      <c r="M114" s="562"/>
      <c r="N114" s="968"/>
      <c r="O114" s="968"/>
      <c r="P114" s="968"/>
      <c r="Q114" s="968"/>
      <c r="R114" s="968"/>
      <c r="S114" s="968"/>
      <c r="T114" s="968"/>
    </row>
    <row r="115" spans="1:20" ht="34.950000000000003" customHeight="1" x14ac:dyDescent="0.3">
      <c r="A115" s="262">
        <v>1</v>
      </c>
      <c r="C115" s="633"/>
      <c r="D115" s="634" t="s">
        <v>1225</v>
      </c>
      <c r="E115" s="635"/>
      <c r="F115" s="635"/>
      <c r="G115" s="635"/>
      <c r="H115" s="635"/>
      <c r="I115" s="636"/>
      <c r="J115" s="636"/>
      <c r="K115" s="636"/>
      <c r="L115" s="643">
        <f>+SUMIFS(L:L,A:A,"1.B")</f>
        <v>8608381485.9000015</v>
      </c>
      <c r="M115" s="637"/>
      <c r="N115" s="647"/>
      <c r="O115" s="636"/>
      <c r="P115" s="636"/>
      <c r="Q115" s="654"/>
      <c r="R115" s="649" t="e">
        <f>+SUMIFS(R:R,A:A,"1.B")</f>
        <v>#REF!</v>
      </c>
      <c r="S115" s="638" t="e">
        <f>+SUMIFS(S:S,A:A,"1.B")</f>
        <v>#REF!</v>
      </c>
      <c r="T115" s="639" t="e">
        <f>+SUMIFS(T:T,A:A,"1.B")</f>
        <v>#REF!</v>
      </c>
    </row>
    <row r="116" spans="1:20" ht="34.950000000000003" customHeight="1" x14ac:dyDescent="0.3">
      <c r="A116" s="262" t="s">
        <v>152</v>
      </c>
      <c r="C116" s="244">
        <v>49</v>
      </c>
      <c r="D116" s="213" t="s">
        <v>323</v>
      </c>
      <c r="E116" s="969" t="s">
        <v>324</v>
      </c>
      <c r="F116" s="970"/>
      <c r="G116" s="971"/>
      <c r="H116" s="544" t="s">
        <v>228</v>
      </c>
      <c r="I116" s="212">
        <v>5075</v>
      </c>
      <c r="J116" s="605"/>
      <c r="K116" s="212">
        <v>186392.65</v>
      </c>
      <c r="L116" s="212">
        <f t="shared" ref="L116:L137" si="14">+ROUND(I116*K116,2)</f>
        <v>945942698.75</v>
      </c>
      <c r="M116" s="602"/>
      <c r="N116" s="675" t="e">
        <f>+#REF!</f>
        <v>#REF!</v>
      </c>
      <c r="O116" s="675" t="e">
        <f>+#REF!</f>
        <v>#REF!</v>
      </c>
      <c r="P116" s="675" t="e">
        <f t="shared" ref="P116:P137" si="15">+N116+O116</f>
        <v>#REF!</v>
      </c>
      <c r="Q116" s="220"/>
      <c r="R116" s="605" t="e">
        <f t="shared" ref="R116:R137" si="16">+ROUND(I116*N116,2)</f>
        <v>#REF!</v>
      </c>
      <c r="S116" s="254" t="e">
        <f t="shared" ref="S116:S137" si="17">+ROUND(I116*O116,2)</f>
        <v>#REF!</v>
      </c>
      <c r="T116" s="237" t="e">
        <f t="shared" ref="T116:T137" si="18">+ROUND(I116*P116,2)</f>
        <v>#REF!</v>
      </c>
    </row>
    <row r="117" spans="1:20" ht="30" hidden="1" customHeight="1" x14ac:dyDescent="0.3">
      <c r="A117" s="262" t="s">
        <v>152</v>
      </c>
      <c r="C117" s="244">
        <v>50</v>
      </c>
      <c r="D117" s="161" t="s">
        <v>325</v>
      </c>
      <c r="E117" s="969" t="s">
        <v>326</v>
      </c>
      <c r="F117" s="970"/>
      <c r="G117" s="971"/>
      <c r="H117" s="544" t="s">
        <v>228</v>
      </c>
      <c r="I117" s="212">
        <v>600</v>
      </c>
      <c r="J117" s="605"/>
      <c r="K117" s="212">
        <v>910</v>
      </c>
      <c r="L117" s="212">
        <f t="shared" si="14"/>
        <v>546000</v>
      </c>
      <c r="M117" s="602"/>
      <c r="N117" s="675" t="e">
        <f>+#REF!</f>
        <v>#REF!</v>
      </c>
      <c r="O117" s="675" t="e">
        <f>+#REF!</f>
        <v>#REF!</v>
      </c>
      <c r="P117" s="675" t="e">
        <f t="shared" si="15"/>
        <v>#REF!</v>
      </c>
      <c r="Q117" s="220"/>
      <c r="R117" s="605" t="e">
        <f t="shared" si="16"/>
        <v>#REF!</v>
      </c>
      <c r="S117" s="254" t="e">
        <f t="shared" si="17"/>
        <v>#REF!</v>
      </c>
      <c r="T117" s="237" t="e">
        <f t="shared" si="18"/>
        <v>#REF!</v>
      </c>
    </row>
    <row r="118" spans="1:20" ht="30" hidden="1" customHeight="1" x14ac:dyDescent="0.3">
      <c r="A118" s="262" t="s">
        <v>152</v>
      </c>
      <c r="C118" s="244">
        <v>51</v>
      </c>
      <c r="D118" s="161" t="s">
        <v>327</v>
      </c>
      <c r="E118" s="969" t="s">
        <v>238</v>
      </c>
      <c r="F118" s="970"/>
      <c r="G118" s="971"/>
      <c r="H118" s="544" t="s">
        <v>228</v>
      </c>
      <c r="I118" s="212">
        <v>1500</v>
      </c>
      <c r="J118" s="605"/>
      <c r="K118" s="212">
        <v>1785</v>
      </c>
      <c r="L118" s="212">
        <f t="shared" si="14"/>
        <v>2677500</v>
      </c>
      <c r="M118" s="602"/>
      <c r="N118" s="675" t="e">
        <f>+#REF!</f>
        <v>#REF!</v>
      </c>
      <c r="O118" s="675" t="e">
        <f>+#REF!</f>
        <v>#REF!</v>
      </c>
      <c r="P118" s="675" t="e">
        <f t="shared" si="15"/>
        <v>#REF!</v>
      </c>
      <c r="Q118" s="220"/>
      <c r="R118" s="605" t="e">
        <f t="shared" si="16"/>
        <v>#REF!</v>
      </c>
      <c r="S118" s="254" t="e">
        <f t="shared" si="17"/>
        <v>#REF!</v>
      </c>
      <c r="T118" s="237" t="e">
        <f t="shared" si="18"/>
        <v>#REF!</v>
      </c>
    </row>
    <row r="119" spans="1:20" ht="34.950000000000003" customHeight="1" x14ac:dyDescent="0.3">
      <c r="A119" s="262" t="s">
        <v>152</v>
      </c>
      <c r="C119" s="244">
        <v>52</v>
      </c>
      <c r="D119" s="213" t="s">
        <v>328</v>
      </c>
      <c r="E119" s="969" t="s">
        <v>329</v>
      </c>
      <c r="F119" s="970"/>
      <c r="G119" s="971"/>
      <c r="H119" s="544" t="s">
        <v>228</v>
      </c>
      <c r="I119" s="212">
        <v>15334</v>
      </c>
      <c r="J119" s="605"/>
      <c r="K119" s="212">
        <v>38798.589999999997</v>
      </c>
      <c r="L119" s="212">
        <f t="shared" si="14"/>
        <v>594937579.05999994</v>
      </c>
      <c r="M119" s="602"/>
      <c r="N119" s="675" t="e">
        <f>+#REF!</f>
        <v>#REF!</v>
      </c>
      <c r="O119" s="675" t="e">
        <f>+#REF!</f>
        <v>#REF!</v>
      </c>
      <c r="P119" s="675" t="e">
        <f t="shared" si="15"/>
        <v>#REF!</v>
      </c>
      <c r="Q119" s="220"/>
      <c r="R119" s="605" t="e">
        <f t="shared" si="16"/>
        <v>#REF!</v>
      </c>
      <c r="S119" s="254" t="e">
        <f t="shared" si="17"/>
        <v>#REF!</v>
      </c>
      <c r="T119" s="237" t="e">
        <f t="shared" si="18"/>
        <v>#REF!</v>
      </c>
    </row>
    <row r="120" spans="1:20" ht="30" hidden="1" customHeight="1" x14ac:dyDescent="0.3">
      <c r="A120" s="262" t="s">
        <v>152</v>
      </c>
      <c r="C120" s="244">
        <v>53</v>
      </c>
      <c r="D120" s="161" t="s">
        <v>330</v>
      </c>
      <c r="E120" s="969" t="s">
        <v>331</v>
      </c>
      <c r="F120" s="970"/>
      <c r="G120" s="971"/>
      <c r="H120" s="544" t="s">
        <v>202</v>
      </c>
      <c r="I120" s="212">
        <v>248</v>
      </c>
      <c r="J120" s="605"/>
      <c r="K120" s="212">
        <v>19569.89</v>
      </c>
      <c r="L120" s="212">
        <f t="shared" si="14"/>
        <v>4853332.72</v>
      </c>
      <c r="M120" s="602"/>
      <c r="N120" s="675" t="e">
        <f>+#REF!</f>
        <v>#REF!</v>
      </c>
      <c r="O120" s="675" t="e">
        <f>+#REF!</f>
        <v>#REF!</v>
      </c>
      <c r="P120" s="675" t="e">
        <f t="shared" si="15"/>
        <v>#REF!</v>
      </c>
      <c r="Q120" s="220"/>
      <c r="R120" s="605" t="e">
        <f t="shared" si="16"/>
        <v>#REF!</v>
      </c>
      <c r="S120" s="254" t="e">
        <f t="shared" si="17"/>
        <v>#REF!</v>
      </c>
      <c r="T120" s="237" t="e">
        <f t="shared" si="18"/>
        <v>#REF!</v>
      </c>
    </row>
    <row r="121" spans="1:20" ht="30" hidden="1" customHeight="1" x14ac:dyDescent="0.3">
      <c r="A121" s="262" t="s">
        <v>152</v>
      </c>
      <c r="C121" s="244">
        <v>54</v>
      </c>
      <c r="D121" s="161" t="s">
        <v>332</v>
      </c>
      <c r="E121" s="969" t="s">
        <v>333</v>
      </c>
      <c r="F121" s="970"/>
      <c r="G121" s="971"/>
      <c r="H121" s="544" t="s">
        <v>202</v>
      </c>
      <c r="I121" s="212">
        <v>371</v>
      </c>
      <c r="J121" s="605"/>
      <c r="K121" s="212">
        <v>10655.78</v>
      </c>
      <c r="L121" s="212">
        <f t="shared" si="14"/>
        <v>3953294.38</v>
      </c>
      <c r="M121" s="602"/>
      <c r="N121" s="675" t="e">
        <f>+#REF!</f>
        <v>#REF!</v>
      </c>
      <c r="O121" s="675" t="e">
        <f>+#REF!</f>
        <v>#REF!</v>
      </c>
      <c r="P121" s="675" t="e">
        <f t="shared" si="15"/>
        <v>#REF!</v>
      </c>
      <c r="Q121" s="220"/>
      <c r="R121" s="605" t="e">
        <f t="shared" si="16"/>
        <v>#REF!</v>
      </c>
      <c r="S121" s="254" t="e">
        <f t="shared" si="17"/>
        <v>#REF!</v>
      </c>
      <c r="T121" s="237" t="e">
        <f t="shared" si="18"/>
        <v>#REF!</v>
      </c>
    </row>
    <row r="122" spans="1:20" ht="30" hidden="1" customHeight="1" x14ac:dyDescent="0.3">
      <c r="A122" s="262" t="s">
        <v>152</v>
      </c>
      <c r="C122" s="244">
        <v>55</v>
      </c>
      <c r="D122" s="161" t="s">
        <v>334</v>
      </c>
      <c r="E122" s="969" t="s">
        <v>246</v>
      </c>
      <c r="F122" s="970"/>
      <c r="G122" s="971"/>
      <c r="H122" s="544" t="s">
        <v>247</v>
      </c>
      <c r="I122" s="212">
        <v>2250</v>
      </c>
      <c r="J122" s="605"/>
      <c r="K122" s="212">
        <v>800</v>
      </c>
      <c r="L122" s="212">
        <f t="shared" si="14"/>
        <v>1800000</v>
      </c>
      <c r="M122" s="602"/>
      <c r="N122" s="675" t="e">
        <f>+#REF!</f>
        <v>#REF!</v>
      </c>
      <c r="O122" s="675" t="e">
        <f>+#REF!</f>
        <v>#REF!</v>
      </c>
      <c r="P122" s="675" t="e">
        <f t="shared" si="15"/>
        <v>#REF!</v>
      </c>
      <c r="Q122" s="220"/>
      <c r="R122" s="605" t="e">
        <f t="shared" si="16"/>
        <v>#REF!</v>
      </c>
      <c r="S122" s="254" t="e">
        <f t="shared" si="17"/>
        <v>#REF!</v>
      </c>
      <c r="T122" s="237" t="e">
        <f t="shared" si="18"/>
        <v>#REF!</v>
      </c>
    </row>
    <row r="123" spans="1:20" ht="34.950000000000003" customHeight="1" x14ac:dyDescent="0.3">
      <c r="A123" s="262" t="s">
        <v>152</v>
      </c>
      <c r="C123" s="244">
        <v>56</v>
      </c>
      <c r="D123" s="161" t="s">
        <v>335</v>
      </c>
      <c r="E123" s="969" t="s">
        <v>249</v>
      </c>
      <c r="F123" s="970"/>
      <c r="G123" s="971"/>
      <c r="H123" s="544" t="s">
        <v>247</v>
      </c>
      <c r="I123" s="212">
        <v>8000</v>
      </c>
      <c r="J123" s="605"/>
      <c r="K123" s="212">
        <v>2466.42</v>
      </c>
      <c r="L123" s="212">
        <f t="shared" si="14"/>
        <v>19731360</v>
      </c>
      <c r="M123" s="602"/>
      <c r="N123" s="675" t="e">
        <f>+#REF!</f>
        <v>#REF!</v>
      </c>
      <c r="O123" s="675" t="e">
        <f>+#REF!</f>
        <v>#REF!</v>
      </c>
      <c r="P123" s="675" t="e">
        <f t="shared" si="15"/>
        <v>#REF!</v>
      </c>
      <c r="Q123" s="220"/>
      <c r="R123" s="605" t="e">
        <f t="shared" si="16"/>
        <v>#REF!</v>
      </c>
      <c r="S123" s="254" t="e">
        <f t="shared" si="17"/>
        <v>#REF!</v>
      </c>
      <c r="T123" s="237" t="e">
        <f t="shared" si="18"/>
        <v>#REF!</v>
      </c>
    </row>
    <row r="124" spans="1:20" ht="30" hidden="1" customHeight="1" x14ac:dyDescent="0.3">
      <c r="A124" s="262" t="s">
        <v>152</v>
      </c>
      <c r="C124" s="244">
        <v>57</v>
      </c>
      <c r="D124" s="161" t="s">
        <v>336</v>
      </c>
      <c r="E124" s="969" t="s">
        <v>251</v>
      </c>
      <c r="F124" s="970"/>
      <c r="G124" s="971"/>
      <c r="H124" s="544" t="s">
        <v>247</v>
      </c>
      <c r="I124" s="212">
        <v>8288</v>
      </c>
      <c r="J124" s="605"/>
      <c r="K124" s="212">
        <v>2401.3000000000002</v>
      </c>
      <c r="L124" s="212">
        <f t="shared" si="14"/>
        <v>19901974.399999999</v>
      </c>
      <c r="M124" s="602"/>
      <c r="N124" s="675" t="e">
        <f>+#REF!</f>
        <v>#REF!</v>
      </c>
      <c r="O124" s="675" t="e">
        <f>+#REF!</f>
        <v>#REF!</v>
      </c>
      <c r="P124" s="675" t="e">
        <f t="shared" si="15"/>
        <v>#REF!</v>
      </c>
      <c r="Q124" s="220"/>
      <c r="R124" s="605" t="e">
        <f t="shared" si="16"/>
        <v>#REF!</v>
      </c>
      <c r="S124" s="254" t="e">
        <f t="shared" si="17"/>
        <v>#REF!</v>
      </c>
      <c r="T124" s="237" t="e">
        <f t="shared" si="18"/>
        <v>#REF!</v>
      </c>
    </row>
    <row r="125" spans="1:20" ht="30" hidden="1" customHeight="1" x14ac:dyDescent="0.3">
      <c r="A125" s="262" t="s">
        <v>152</v>
      </c>
      <c r="C125" s="244">
        <v>58</v>
      </c>
      <c r="D125" s="161" t="s">
        <v>337</v>
      </c>
      <c r="E125" s="969" t="s">
        <v>253</v>
      </c>
      <c r="F125" s="970"/>
      <c r="G125" s="971"/>
      <c r="H125" s="544" t="s">
        <v>247</v>
      </c>
      <c r="I125" s="212">
        <v>12000</v>
      </c>
      <c r="J125" s="605"/>
      <c r="K125" s="212">
        <v>2970</v>
      </c>
      <c r="L125" s="212">
        <f t="shared" si="14"/>
        <v>35640000</v>
      </c>
      <c r="M125" s="602"/>
      <c r="N125" s="675" t="e">
        <f>+#REF!</f>
        <v>#REF!</v>
      </c>
      <c r="O125" s="675" t="e">
        <f>+#REF!</f>
        <v>#REF!</v>
      </c>
      <c r="P125" s="675" t="e">
        <f t="shared" si="15"/>
        <v>#REF!</v>
      </c>
      <c r="Q125" s="220"/>
      <c r="R125" s="605" t="e">
        <f t="shared" si="16"/>
        <v>#REF!</v>
      </c>
      <c r="S125" s="254" t="e">
        <f t="shared" si="17"/>
        <v>#REF!</v>
      </c>
      <c r="T125" s="237" t="e">
        <f t="shared" si="18"/>
        <v>#REF!</v>
      </c>
    </row>
    <row r="126" spans="1:20" ht="34.950000000000003" customHeight="1" x14ac:dyDescent="0.3">
      <c r="A126" s="262" t="s">
        <v>152</v>
      </c>
      <c r="C126" s="244">
        <v>59</v>
      </c>
      <c r="D126" s="161" t="s">
        <v>338</v>
      </c>
      <c r="E126" s="969" t="s">
        <v>339</v>
      </c>
      <c r="F126" s="970"/>
      <c r="G126" s="971"/>
      <c r="H126" s="544" t="s">
        <v>247</v>
      </c>
      <c r="I126" s="212">
        <v>28000</v>
      </c>
      <c r="J126" s="605"/>
      <c r="K126" s="212">
        <v>7008.23</v>
      </c>
      <c r="L126" s="212">
        <f t="shared" si="14"/>
        <v>196230440</v>
      </c>
      <c r="M126" s="602"/>
      <c r="N126" s="675" t="e">
        <f>+#REF!</f>
        <v>#REF!</v>
      </c>
      <c r="O126" s="675" t="e">
        <f>+#REF!</f>
        <v>#REF!</v>
      </c>
      <c r="P126" s="675" t="e">
        <f t="shared" si="15"/>
        <v>#REF!</v>
      </c>
      <c r="Q126" s="220"/>
      <c r="R126" s="605" t="e">
        <f t="shared" si="16"/>
        <v>#REF!</v>
      </c>
      <c r="S126" s="254" t="e">
        <f t="shared" si="17"/>
        <v>#REF!</v>
      </c>
      <c r="T126" s="237" t="e">
        <f t="shared" si="18"/>
        <v>#REF!</v>
      </c>
    </row>
    <row r="127" spans="1:20" ht="34.950000000000003" customHeight="1" x14ac:dyDescent="0.3">
      <c r="A127" s="262" t="s">
        <v>152</v>
      </c>
      <c r="C127" s="244">
        <v>60</v>
      </c>
      <c r="D127" s="161" t="s">
        <v>340</v>
      </c>
      <c r="E127" s="969" t="s">
        <v>242</v>
      </c>
      <c r="F127" s="970"/>
      <c r="G127" s="971"/>
      <c r="H127" s="544" t="s">
        <v>202</v>
      </c>
      <c r="I127" s="212">
        <v>375</v>
      </c>
      <c r="J127" s="605"/>
      <c r="K127" s="212">
        <v>156606.89000000001</v>
      </c>
      <c r="L127" s="212">
        <f t="shared" si="14"/>
        <v>58727583.75</v>
      </c>
      <c r="M127" s="602"/>
      <c r="N127" s="675" t="e">
        <f>+#REF!</f>
        <v>#REF!</v>
      </c>
      <c r="O127" s="675" t="e">
        <f>+#REF!</f>
        <v>#REF!</v>
      </c>
      <c r="P127" s="675" t="e">
        <f t="shared" si="15"/>
        <v>#REF!</v>
      </c>
      <c r="Q127" s="220"/>
      <c r="R127" s="605" t="e">
        <f t="shared" si="16"/>
        <v>#REF!</v>
      </c>
      <c r="S127" s="254" t="e">
        <f t="shared" si="17"/>
        <v>#REF!</v>
      </c>
      <c r="T127" s="237" t="e">
        <f t="shared" si="18"/>
        <v>#REF!</v>
      </c>
    </row>
    <row r="128" spans="1:20" ht="30" hidden="1" customHeight="1" x14ac:dyDescent="0.3">
      <c r="A128" s="262" t="s">
        <v>152</v>
      </c>
      <c r="C128" s="244">
        <v>61</v>
      </c>
      <c r="D128" s="161" t="s">
        <v>341</v>
      </c>
      <c r="E128" s="969" t="s">
        <v>244</v>
      </c>
      <c r="F128" s="970"/>
      <c r="G128" s="971"/>
      <c r="H128" s="544" t="s">
        <v>202</v>
      </c>
      <c r="I128" s="212">
        <v>388</v>
      </c>
      <c r="J128" s="605"/>
      <c r="K128" s="212">
        <v>145635</v>
      </c>
      <c r="L128" s="212">
        <f t="shared" si="14"/>
        <v>56506380</v>
      </c>
      <c r="M128" s="602"/>
      <c r="N128" s="675" t="e">
        <f>+#REF!</f>
        <v>#REF!</v>
      </c>
      <c r="O128" s="675" t="e">
        <f>+#REF!</f>
        <v>#REF!</v>
      </c>
      <c r="P128" s="675" t="e">
        <f t="shared" si="15"/>
        <v>#REF!</v>
      </c>
      <c r="Q128" s="220"/>
      <c r="R128" s="605" t="e">
        <f t="shared" si="16"/>
        <v>#REF!</v>
      </c>
      <c r="S128" s="254" t="e">
        <f t="shared" si="17"/>
        <v>#REF!</v>
      </c>
      <c r="T128" s="237" t="e">
        <f t="shared" si="18"/>
        <v>#REF!</v>
      </c>
    </row>
    <row r="129" spans="1:21" ht="34.950000000000003" customHeight="1" x14ac:dyDescent="0.3">
      <c r="A129" s="262" t="s">
        <v>152</v>
      </c>
      <c r="C129" s="244">
        <v>62</v>
      </c>
      <c r="D129" s="213" t="s">
        <v>342</v>
      </c>
      <c r="E129" s="969" t="s">
        <v>343</v>
      </c>
      <c r="F129" s="970"/>
      <c r="G129" s="971"/>
      <c r="H129" s="544" t="s">
        <v>262</v>
      </c>
      <c r="I129" s="212">
        <v>102000</v>
      </c>
      <c r="J129" s="605"/>
      <c r="K129" s="212">
        <v>8410</v>
      </c>
      <c r="L129" s="212">
        <f t="shared" si="14"/>
        <v>857820000</v>
      </c>
      <c r="M129" s="602"/>
      <c r="N129" s="675" t="e">
        <f>+#REF!</f>
        <v>#REF!</v>
      </c>
      <c r="O129" s="675" t="e">
        <f>+#REF!</f>
        <v>#REF!</v>
      </c>
      <c r="P129" s="675" t="e">
        <f t="shared" si="15"/>
        <v>#REF!</v>
      </c>
      <c r="Q129" s="220"/>
      <c r="R129" s="605" t="e">
        <f t="shared" si="16"/>
        <v>#REF!</v>
      </c>
      <c r="S129" s="254" t="e">
        <f t="shared" si="17"/>
        <v>#REF!</v>
      </c>
      <c r="T129" s="237" t="e">
        <f t="shared" si="18"/>
        <v>#REF!</v>
      </c>
    </row>
    <row r="130" spans="1:21" ht="34.950000000000003" customHeight="1" x14ac:dyDescent="0.3">
      <c r="A130" s="262" t="s">
        <v>152</v>
      </c>
      <c r="C130" s="244">
        <v>63</v>
      </c>
      <c r="D130" s="213" t="s">
        <v>344</v>
      </c>
      <c r="E130" s="969" t="s">
        <v>345</v>
      </c>
      <c r="F130" s="970"/>
      <c r="G130" s="971"/>
      <c r="H130" s="544" t="s">
        <v>202</v>
      </c>
      <c r="I130" s="212">
        <v>3400</v>
      </c>
      <c r="J130" s="605"/>
      <c r="K130" s="212">
        <v>360205.7</v>
      </c>
      <c r="L130" s="212">
        <f t="shared" si="14"/>
        <v>1224699380</v>
      </c>
      <c r="M130" s="602"/>
      <c r="N130" s="675" t="e">
        <f>+#REF!</f>
        <v>#REF!</v>
      </c>
      <c r="O130" s="675" t="e">
        <f>+#REF!</f>
        <v>#REF!</v>
      </c>
      <c r="P130" s="675" t="e">
        <f t="shared" si="15"/>
        <v>#REF!</v>
      </c>
      <c r="Q130" s="220"/>
      <c r="R130" s="605" t="e">
        <f t="shared" si="16"/>
        <v>#REF!</v>
      </c>
      <c r="S130" s="254" t="e">
        <f t="shared" si="17"/>
        <v>#REF!</v>
      </c>
      <c r="T130" s="237" t="e">
        <f t="shared" si="18"/>
        <v>#REF!</v>
      </c>
    </row>
    <row r="131" spans="1:21" ht="30" hidden="1" customHeight="1" x14ac:dyDescent="0.3">
      <c r="A131" s="262" t="s">
        <v>152</v>
      </c>
      <c r="C131" s="244">
        <v>64</v>
      </c>
      <c r="D131" s="161" t="s">
        <v>346</v>
      </c>
      <c r="E131" s="969" t="s">
        <v>347</v>
      </c>
      <c r="F131" s="970"/>
      <c r="G131" s="971"/>
      <c r="H131" s="544" t="s">
        <v>225</v>
      </c>
      <c r="I131" s="212">
        <v>510</v>
      </c>
      <c r="J131" s="605"/>
      <c r="K131" s="212">
        <v>78502.509999999995</v>
      </c>
      <c r="L131" s="212">
        <f t="shared" si="14"/>
        <v>40036280.100000001</v>
      </c>
      <c r="M131" s="602"/>
      <c r="N131" s="675" t="e">
        <f>+#REF!</f>
        <v>#REF!</v>
      </c>
      <c r="O131" s="675" t="e">
        <f>+#REF!</f>
        <v>#REF!</v>
      </c>
      <c r="P131" s="675" t="e">
        <f t="shared" si="15"/>
        <v>#REF!</v>
      </c>
      <c r="Q131" s="220"/>
      <c r="R131" s="605" t="e">
        <f t="shared" si="16"/>
        <v>#REF!</v>
      </c>
      <c r="S131" s="254" t="e">
        <f t="shared" si="17"/>
        <v>#REF!</v>
      </c>
      <c r="T131" s="237" t="e">
        <f t="shared" si="18"/>
        <v>#REF!</v>
      </c>
    </row>
    <row r="132" spans="1:21" ht="30" hidden="1" customHeight="1" x14ac:dyDescent="0.3">
      <c r="A132" s="262" t="s">
        <v>152</v>
      </c>
      <c r="C132" s="244">
        <v>65</v>
      </c>
      <c r="D132" s="161" t="s">
        <v>348</v>
      </c>
      <c r="E132" s="969" t="s">
        <v>349</v>
      </c>
      <c r="F132" s="970"/>
      <c r="G132" s="971"/>
      <c r="H132" s="544" t="s">
        <v>225</v>
      </c>
      <c r="I132" s="212">
        <v>1200</v>
      </c>
      <c r="J132" s="605"/>
      <c r="K132" s="212">
        <v>67207.820000000007</v>
      </c>
      <c r="L132" s="212">
        <f t="shared" si="14"/>
        <v>80649384</v>
      </c>
      <c r="M132" s="602"/>
      <c r="N132" s="675" t="e">
        <f>+#REF!</f>
        <v>#REF!</v>
      </c>
      <c r="O132" s="675" t="e">
        <f>+#REF!</f>
        <v>#REF!</v>
      </c>
      <c r="P132" s="675" t="e">
        <f t="shared" si="15"/>
        <v>#REF!</v>
      </c>
      <c r="Q132" s="220"/>
      <c r="R132" s="605" t="e">
        <f t="shared" si="16"/>
        <v>#REF!</v>
      </c>
      <c r="S132" s="254" t="e">
        <f t="shared" si="17"/>
        <v>#REF!</v>
      </c>
      <c r="T132" s="237" t="e">
        <f t="shared" si="18"/>
        <v>#REF!</v>
      </c>
    </row>
    <row r="133" spans="1:21" ht="30" hidden="1" customHeight="1" x14ac:dyDescent="0.3">
      <c r="A133" s="262" t="s">
        <v>152</v>
      </c>
      <c r="C133" s="244">
        <v>66</v>
      </c>
      <c r="D133" s="213" t="s">
        <v>350</v>
      </c>
      <c r="E133" s="969" t="s">
        <v>351</v>
      </c>
      <c r="F133" s="970"/>
      <c r="G133" s="971"/>
      <c r="H133" s="544" t="s">
        <v>202</v>
      </c>
      <c r="I133" s="212">
        <v>2160</v>
      </c>
      <c r="J133" s="605"/>
      <c r="K133" s="212">
        <v>11190.19</v>
      </c>
      <c r="L133" s="212">
        <f t="shared" si="14"/>
        <v>24170810.399999999</v>
      </c>
      <c r="M133" s="602"/>
      <c r="N133" s="675" t="e">
        <f>+#REF!</f>
        <v>#REF!</v>
      </c>
      <c r="O133" s="675" t="e">
        <f>+#REF!</f>
        <v>#REF!</v>
      </c>
      <c r="P133" s="675" t="e">
        <f t="shared" si="15"/>
        <v>#REF!</v>
      </c>
      <c r="Q133" s="220"/>
      <c r="R133" s="605" t="e">
        <f t="shared" si="16"/>
        <v>#REF!</v>
      </c>
      <c r="S133" s="254" t="e">
        <f t="shared" si="17"/>
        <v>#REF!</v>
      </c>
      <c r="T133" s="237" t="e">
        <f t="shared" si="18"/>
        <v>#REF!</v>
      </c>
    </row>
    <row r="134" spans="1:21" ht="30" hidden="1" customHeight="1" x14ac:dyDescent="0.3">
      <c r="A134" s="262" t="s">
        <v>152</v>
      </c>
      <c r="C134" s="244">
        <v>67</v>
      </c>
      <c r="D134" s="161" t="s">
        <v>352</v>
      </c>
      <c r="E134" s="969" t="s">
        <v>353</v>
      </c>
      <c r="F134" s="970"/>
      <c r="G134" s="971"/>
      <c r="H134" s="544" t="s">
        <v>225</v>
      </c>
      <c r="I134" s="212">
        <v>4150</v>
      </c>
      <c r="J134" s="605"/>
      <c r="K134" s="212">
        <v>24185.25</v>
      </c>
      <c r="L134" s="212">
        <f t="shared" si="14"/>
        <v>100368787.5</v>
      </c>
      <c r="M134" s="602"/>
      <c r="N134" s="675" t="e">
        <f>+#REF!</f>
        <v>#REF!</v>
      </c>
      <c r="O134" s="675" t="e">
        <f>+#REF!</f>
        <v>#REF!</v>
      </c>
      <c r="P134" s="675" t="e">
        <f t="shared" si="15"/>
        <v>#REF!</v>
      </c>
      <c r="Q134" s="220"/>
      <c r="R134" s="605" t="e">
        <f t="shared" si="16"/>
        <v>#REF!</v>
      </c>
      <c r="S134" s="254" t="e">
        <f t="shared" si="17"/>
        <v>#REF!</v>
      </c>
      <c r="T134" s="237" t="e">
        <f t="shared" si="18"/>
        <v>#REF!</v>
      </c>
    </row>
    <row r="135" spans="1:21" ht="30" hidden="1" customHeight="1" x14ac:dyDescent="0.3">
      <c r="A135" s="262" t="s">
        <v>152</v>
      </c>
      <c r="C135" s="244">
        <v>68</v>
      </c>
      <c r="D135" s="161" t="s">
        <v>354</v>
      </c>
      <c r="E135" s="969" t="s">
        <v>355</v>
      </c>
      <c r="F135" s="970"/>
      <c r="G135" s="971"/>
      <c r="H135" s="544" t="s">
        <v>225</v>
      </c>
      <c r="I135" s="212">
        <v>1500</v>
      </c>
      <c r="J135" s="605"/>
      <c r="K135" s="212">
        <v>59207.42</v>
      </c>
      <c r="L135" s="212">
        <f t="shared" si="14"/>
        <v>88811130</v>
      </c>
      <c r="M135" s="602"/>
      <c r="N135" s="675" t="e">
        <f>+#REF!</f>
        <v>#REF!</v>
      </c>
      <c r="O135" s="675" t="e">
        <f>+#REF!</f>
        <v>#REF!</v>
      </c>
      <c r="P135" s="675" t="e">
        <f t="shared" si="15"/>
        <v>#REF!</v>
      </c>
      <c r="Q135" s="220"/>
      <c r="R135" s="605" t="e">
        <f t="shared" si="16"/>
        <v>#REF!</v>
      </c>
      <c r="S135" s="254" t="e">
        <f t="shared" si="17"/>
        <v>#REF!</v>
      </c>
      <c r="T135" s="237" t="e">
        <f t="shared" si="18"/>
        <v>#REF!</v>
      </c>
    </row>
    <row r="136" spans="1:21" ht="30" hidden="1" customHeight="1" x14ac:dyDescent="0.3">
      <c r="A136" s="262" t="s">
        <v>152</v>
      </c>
      <c r="C136" s="244">
        <v>69</v>
      </c>
      <c r="D136" s="161" t="s">
        <v>356</v>
      </c>
      <c r="E136" s="969" t="s">
        <v>357</v>
      </c>
      <c r="F136" s="970"/>
      <c r="G136" s="971"/>
      <c r="H136" s="544" t="s">
        <v>225</v>
      </c>
      <c r="I136" s="212">
        <v>500</v>
      </c>
      <c r="J136" s="605"/>
      <c r="K136" s="212">
        <v>36357.33</v>
      </c>
      <c r="L136" s="212">
        <f t="shared" si="14"/>
        <v>18178665</v>
      </c>
      <c r="M136" s="602"/>
      <c r="N136" s="675" t="e">
        <f>+#REF!</f>
        <v>#REF!</v>
      </c>
      <c r="O136" s="675" t="e">
        <f>+#REF!</f>
        <v>#REF!</v>
      </c>
      <c r="P136" s="675" t="e">
        <f t="shared" si="15"/>
        <v>#REF!</v>
      </c>
      <c r="Q136" s="220"/>
      <c r="R136" s="605" t="e">
        <f t="shared" si="16"/>
        <v>#REF!</v>
      </c>
      <c r="S136" s="254" t="e">
        <f t="shared" si="17"/>
        <v>#REF!</v>
      </c>
      <c r="T136" s="237" t="e">
        <f t="shared" si="18"/>
        <v>#REF!</v>
      </c>
    </row>
    <row r="137" spans="1:21" ht="30" hidden="1" customHeight="1" x14ac:dyDescent="0.3">
      <c r="A137" s="262" t="s">
        <v>152</v>
      </c>
      <c r="C137" s="244">
        <v>70</v>
      </c>
      <c r="D137" s="161" t="s">
        <v>358</v>
      </c>
      <c r="E137" s="969" t="s">
        <v>359</v>
      </c>
      <c r="F137" s="970"/>
      <c r="G137" s="971"/>
      <c r="H137" s="544" t="s">
        <v>228</v>
      </c>
      <c r="I137" s="212">
        <v>6030</v>
      </c>
      <c r="J137" s="605"/>
      <c r="K137" s="212">
        <v>3898.42</v>
      </c>
      <c r="L137" s="212">
        <f t="shared" si="14"/>
        <v>23507472.600000001</v>
      </c>
      <c r="M137" s="602"/>
      <c r="N137" s="675" t="e">
        <f>+#REF!</f>
        <v>#REF!</v>
      </c>
      <c r="O137" s="675" t="e">
        <f>+#REF!</f>
        <v>#REF!</v>
      </c>
      <c r="P137" s="675" t="e">
        <f t="shared" si="15"/>
        <v>#REF!</v>
      </c>
      <c r="Q137" s="220"/>
      <c r="R137" s="605" t="e">
        <f t="shared" si="16"/>
        <v>#REF!</v>
      </c>
      <c r="S137" s="254" t="e">
        <f t="shared" si="17"/>
        <v>#REF!</v>
      </c>
      <c r="T137" s="237" t="e">
        <f t="shared" si="18"/>
        <v>#REF!</v>
      </c>
    </row>
    <row r="138" spans="1:21" ht="40.049999999999997" hidden="1" customHeight="1" x14ac:dyDescent="0.3">
      <c r="A138" s="262" t="s">
        <v>1242</v>
      </c>
      <c r="C138" s="258"/>
      <c r="D138" s="258"/>
      <c r="E138" s="972" t="s">
        <v>33</v>
      </c>
      <c r="F138" s="972"/>
      <c r="G138" s="972"/>
      <c r="H138" s="973" t="s">
        <v>29</v>
      </c>
      <c r="I138" s="973"/>
      <c r="J138" s="973"/>
      <c r="K138" s="973"/>
      <c r="L138" s="973"/>
      <c r="M138" s="549"/>
      <c r="N138" s="973" t="s">
        <v>22</v>
      </c>
      <c r="O138" s="973"/>
      <c r="P138" s="973"/>
      <c r="Q138" s="973"/>
      <c r="R138" s="973"/>
      <c r="S138" s="973"/>
      <c r="T138" s="973"/>
    </row>
    <row r="139" spans="1:21" ht="19.95" hidden="1" customHeight="1" x14ac:dyDescent="0.3">
      <c r="A139" s="262" t="s">
        <v>1242</v>
      </c>
      <c r="D139" s="28"/>
      <c r="E139" s="974" t="s">
        <v>1214</v>
      </c>
      <c r="F139" s="974"/>
      <c r="G139" s="974"/>
      <c r="H139" s="975" t="s">
        <v>38</v>
      </c>
      <c r="I139" s="975"/>
      <c r="J139" s="975"/>
      <c r="K139" s="975"/>
      <c r="L139" s="975"/>
      <c r="M139" s="562"/>
      <c r="N139" s="975" t="s">
        <v>1437</v>
      </c>
      <c r="O139" s="975"/>
      <c r="P139" s="975"/>
      <c r="Q139" s="975"/>
      <c r="R139" s="975"/>
      <c r="S139" s="975"/>
      <c r="T139" s="975"/>
    </row>
    <row r="140" spans="1:21" ht="19.95" hidden="1" customHeight="1" x14ac:dyDescent="0.3">
      <c r="A140" s="262" t="s">
        <v>1242</v>
      </c>
      <c r="C140" s="228"/>
      <c r="D140" s="228"/>
      <c r="E140" s="561"/>
      <c r="F140" s="561"/>
      <c r="G140" s="561"/>
      <c r="H140" s="228"/>
      <c r="I140" s="260"/>
      <c r="J140" s="260"/>
      <c r="K140" s="260"/>
      <c r="L140" s="260"/>
      <c r="M140" s="260"/>
      <c r="N140" s="975"/>
      <c r="O140" s="975"/>
      <c r="P140" s="975"/>
      <c r="Q140" s="975"/>
      <c r="R140" s="975"/>
      <c r="S140" s="975"/>
      <c r="T140" s="975"/>
    </row>
    <row r="141" spans="1:21" ht="19.95" hidden="1" customHeight="1" x14ac:dyDescent="0.3">
      <c r="A141" s="262" t="s">
        <v>1242</v>
      </c>
      <c r="C141" s="228"/>
      <c r="D141" s="228"/>
      <c r="E141" s="561"/>
      <c r="F141" s="561"/>
      <c r="G141" s="561"/>
      <c r="H141" s="228"/>
      <c r="I141" s="260"/>
      <c r="J141" s="260"/>
      <c r="K141" s="260"/>
      <c r="L141" s="260"/>
      <c r="M141" s="260"/>
      <c r="N141" s="975"/>
      <c r="O141" s="975"/>
      <c r="P141" s="975"/>
      <c r="Q141" s="975"/>
      <c r="R141" s="975"/>
      <c r="S141" s="975"/>
      <c r="T141" s="975"/>
    </row>
    <row r="142" spans="1:21" ht="19.95" hidden="1" customHeight="1" x14ac:dyDescent="0.3">
      <c r="A142" s="262" t="s">
        <v>1242</v>
      </c>
      <c r="C142" s="228"/>
      <c r="D142" s="228"/>
      <c r="E142" s="561"/>
      <c r="F142" s="561"/>
      <c r="G142" s="561"/>
      <c r="H142" s="228"/>
      <c r="I142" s="260"/>
      <c r="J142" s="260"/>
      <c r="K142" s="260"/>
      <c r="L142" s="260"/>
      <c r="M142" s="260"/>
      <c r="N142" s="260"/>
      <c r="O142" s="260"/>
      <c r="P142" s="260"/>
      <c r="Q142" s="260"/>
      <c r="R142" s="260"/>
      <c r="S142" s="624"/>
      <c r="T142" s="260"/>
    </row>
    <row r="143" spans="1:21" ht="19.95" hidden="1" customHeight="1" x14ac:dyDescent="0.3">
      <c r="A143" s="262" t="s">
        <v>1242</v>
      </c>
      <c r="C143" s="228"/>
      <c r="D143" s="228"/>
      <c r="E143" s="561"/>
      <c r="F143" s="561"/>
      <c r="G143" s="561"/>
      <c r="H143" s="975" t="s">
        <v>32</v>
      </c>
      <c r="I143" s="975"/>
      <c r="J143" s="562"/>
      <c r="K143" s="975" t="s">
        <v>1407</v>
      </c>
      <c r="L143" s="975"/>
      <c r="M143" s="562"/>
      <c r="N143" s="968" t="s">
        <v>54</v>
      </c>
      <c r="O143" s="968"/>
      <c r="P143" s="968"/>
      <c r="Q143" s="260"/>
      <c r="R143" s="968" t="s">
        <v>1455</v>
      </c>
      <c r="S143" s="968"/>
      <c r="T143" s="968"/>
      <c r="U143" s="260"/>
    </row>
    <row r="144" spans="1:21" ht="19.95" hidden="1" customHeight="1" x14ac:dyDescent="0.3">
      <c r="A144" s="262" t="s">
        <v>1242</v>
      </c>
      <c r="C144" s="228"/>
      <c r="D144" s="228"/>
      <c r="E144" s="561"/>
      <c r="F144" s="561"/>
      <c r="G144" s="561"/>
      <c r="H144" s="976" t="s">
        <v>94</v>
      </c>
      <c r="I144" s="976"/>
      <c r="J144" s="623"/>
      <c r="K144" s="976" t="s">
        <v>94</v>
      </c>
      <c r="L144" s="976"/>
      <c r="M144" s="623"/>
      <c r="N144" s="968" t="s">
        <v>1484</v>
      </c>
      <c r="O144" s="968"/>
      <c r="P144" s="968"/>
      <c r="Q144" s="260"/>
      <c r="R144" s="968" t="s">
        <v>1473</v>
      </c>
      <c r="S144" s="968"/>
      <c r="T144" s="968"/>
      <c r="U144" s="260"/>
    </row>
    <row r="145" spans="1:21" ht="19.95" hidden="1" customHeight="1" x14ac:dyDescent="0.3">
      <c r="A145" s="262" t="s">
        <v>1242</v>
      </c>
      <c r="C145" s="228"/>
      <c r="D145" s="228"/>
      <c r="E145" s="561"/>
      <c r="F145" s="561"/>
      <c r="G145" s="561"/>
      <c r="H145" s="976"/>
      <c r="I145" s="976"/>
      <c r="J145" s="623"/>
      <c r="K145" s="976"/>
      <c r="L145" s="976"/>
      <c r="M145" s="623"/>
      <c r="N145" s="968"/>
      <c r="O145" s="968"/>
      <c r="P145" s="968"/>
      <c r="Q145" s="260"/>
      <c r="R145" s="968"/>
      <c r="S145" s="968"/>
      <c r="T145" s="968"/>
      <c r="U145" s="260"/>
    </row>
    <row r="146" spans="1:21" ht="19.95" hidden="1" customHeight="1" x14ac:dyDescent="0.3">
      <c r="A146" s="262" t="s">
        <v>1242</v>
      </c>
      <c r="C146" s="228"/>
      <c r="D146" s="228"/>
      <c r="E146" s="561"/>
      <c r="F146" s="561"/>
      <c r="G146" s="561"/>
      <c r="H146" s="228"/>
      <c r="I146" s="260"/>
      <c r="J146" s="260"/>
      <c r="K146" s="260"/>
      <c r="L146" s="260"/>
      <c r="M146" s="260"/>
      <c r="N146" s="260"/>
      <c r="O146" s="260"/>
      <c r="P146" s="260"/>
      <c r="Q146" s="260"/>
      <c r="R146" s="260"/>
      <c r="S146" s="624"/>
      <c r="T146" s="260"/>
    </row>
    <row r="147" spans="1:21" ht="19.95" hidden="1" customHeight="1" x14ac:dyDescent="0.3">
      <c r="A147" s="262" t="s">
        <v>1242</v>
      </c>
      <c r="C147" s="228"/>
      <c r="D147" s="228"/>
      <c r="E147" s="975" t="s">
        <v>1215</v>
      </c>
      <c r="F147" s="975"/>
      <c r="G147" s="975"/>
      <c r="H147" s="975" t="s">
        <v>1348</v>
      </c>
      <c r="I147" s="975"/>
      <c r="J147" s="975"/>
      <c r="K147" s="975"/>
      <c r="L147" s="975"/>
      <c r="M147" s="562"/>
      <c r="N147" s="977" t="s">
        <v>1217</v>
      </c>
      <c r="O147" s="968"/>
      <c r="P147" s="968"/>
      <c r="Q147" s="968"/>
      <c r="R147" s="968"/>
      <c r="S147" s="968"/>
      <c r="T147" s="968"/>
    </row>
    <row r="148" spans="1:21" ht="19.95" hidden="1" customHeight="1" x14ac:dyDescent="0.3">
      <c r="A148" s="262" t="s">
        <v>1290</v>
      </c>
      <c r="C148" s="228"/>
      <c r="D148" s="228"/>
      <c r="E148" s="975"/>
      <c r="F148" s="975"/>
      <c r="G148" s="975"/>
      <c r="H148" s="975"/>
      <c r="I148" s="975"/>
      <c r="J148" s="975"/>
      <c r="K148" s="975"/>
      <c r="L148" s="975"/>
      <c r="M148" s="562"/>
      <c r="N148" s="968"/>
      <c r="O148" s="968"/>
      <c r="P148" s="968"/>
      <c r="Q148" s="968"/>
      <c r="R148" s="968"/>
      <c r="S148" s="968"/>
      <c r="T148" s="968"/>
    </row>
    <row r="149" spans="1:21" ht="30" hidden="1" customHeight="1" x14ac:dyDescent="0.3">
      <c r="A149" s="262" t="s">
        <v>152</v>
      </c>
      <c r="C149" s="255">
        <v>71</v>
      </c>
      <c r="D149" s="256" t="s">
        <v>360</v>
      </c>
      <c r="E149" s="978" t="s">
        <v>361</v>
      </c>
      <c r="F149" s="979"/>
      <c r="G149" s="980"/>
      <c r="H149" s="546" t="s">
        <v>228</v>
      </c>
      <c r="I149" s="257">
        <v>10355</v>
      </c>
      <c r="J149" s="606"/>
      <c r="K149" s="257">
        <v>14995.14</v>
      </c>
      <c r="L149" s="257">
        <f t="shared" ref="L149:L157" si="19">+ROUND(I149*K149,2)</f>
        <v>155274674.69999999</v>
      </c>
      <c r="M149" s="603"/>
      <c r="N149" s="675" t="e">
        <f>+#REF!</f>
        <v>#REF!</v>
      </c>
      <c r="O149" s="675" t="e">
        <f>+#REF!</f>
        <v>#REF!</v>
      </c>
      <c r="P149" s="675" t="e">
        <f t="shared" ref="P149:P157" si="20">+N149+O149</f>
        <v>#REF!</v>
      </c>
      <c r="Q149" s="220"/>
      <c r="R149" s="605" t="e">
        <f t="shared" ref="R149:R157" si="21">+ROUND(I149*N149,2)</f>
        <v>#REF!</v>
      </c>
      <c r="S149" s="254" t="e">
        <f t="shared" ref="S149:S157" si="22">+ROUND(I149*O149,2)</f>
        <v>#REF!</v>
      </c>
      <c r="T149" s="237" t="e">
        <f t="shared" ref="T149:T157" si="23">+ROUND(I149*P149,2)</f>
        <v>#REF!</v>
      </c>
    </row>
    <row r="150" spans="1:21" ht="30" hidden="1" customHeight="1" x14ac:dyDescent="0.3">
      <c r="A150" s="262" t="s">
        <v>152</v>
      </c>
      <c r="C150" s="244">
        <v>72</v>
      </c>
      <c r="D150" s="161" t="s">
        <v>362</v>
      </c>
      <c r="E150" s="969" t="s">
        <v>363</v>
      </c>
      <c r="F150" s="970"/>
      <c r="G150" s="971"/>
      <c r="H150" s="544" t="s">
        <v>228</v>
      </c>
      <c r="I150" s="212">
        <v>10355</v>
      </c>
      <c r="J150" s="605"/>
      <c r="K150" s="212">
        <v>29458.35</v>
      </c>
      <c r="L150" s="212">
        <f t="shared" si="19"/>
        <v>305041214.25</v>
      </c>
      <c r="M150" s="602"/>
      <c r="N150" s="675" t="e">
        <f>+#REF!</f>
        <v>#REF!</v>
      </c>
      <c r="O150" s="675" t="e">
        <f>+#REF!</f>
        <v>#REF!</v>
      </c>
      <c r="P150" s="675" t="e">
        <f t="shared" si="20"/>
        <v>#REF!</v>
      </c>
      <c r="Q150" s="220"/>
      <c r="R150" s="605" t="e">
        <f t="shared" si="21"/>
        <v>#REF!</v>
      </c>
      <c r="S150" s="254" t="e">
        <f t="shared" si="22"/>
        <v>#REF!</v>
      </c>
      <c r="T150" s="237" t="e">
        <f t="shared" si="23"/>
        <v>#REF!</v>
      </c>
    </row>
    <row r="151" spans="1:21" ht="30" hidden="1" customHeight="1" x14ac:dyDescent="0.3">
      <c r="A151" s="262" t="s">
        <v>152</v>
      </c>
      <c r="C151" s="244">
        <v>73</v>
      </c>
      <c r="D151" s="161" t="s">
        <v>364</v>
      </c>
      <c r="E151" s="969" t="s">
        <v>365</v>
      </c>
      <c r="F151" s="970"/>
      <c r="G151" s="971"/>
      <c r="H151" s="544" t="s">
        <v>228</v>
      </c>
      <c r="I151" s="212">
        <v>10355</v>
      </c>
      <c r="J151" s="605"/>
      <c r="K151" s="212">
        <v>3917.38</v>
      </c>
      <c r="L151" s="212">
        <f t="shared" si="19"/>
        <v>40564469.899999999</v>
      </c>
      <c r="M151" s="602"/>
      <c r="N151" s="675" t="e">
        <f>+#REF!</f>
        <v>#REF!</v>
      </c>
      <c r="O151" s="675" t="e">
        <f>+#REF!</f>
        <v>#REF!</v>
      </c>
      <c r="P151" s="675" t="e">
        <f t="shared" si="20"/>
        <v>#REF!</v>
      </c>
      <c r="Q151" s="220"/>
      <c r="R151" s="605" t="e">
        <f t="shared" si="21"/>
        <v>#REF!</v>
      </c>
      <c r="S151" s="254" t="e">
        <f t="shared" si="22"/>
        <v>#REF!</v>
      </c>
      <c r="T151" s="237" t="e">
        <f t="shared" si="23"/>
        <v>#REF!</v>
      </c>
    </row>
    <row r="152" spans="1:21" ht="34.950000000000003" customHeight="1" x14ac:dyDescent="0.3">
      <c r="A152" s="262" t="s">
        <v>152</v>
      </c>
      <c r="C152" s="244">
        <v>74</v>
      </c>
      <c r="D152" s="161" t="s">
        <v>366</v>
      </c>
      <c r="E152" s="969" t="s">
        <v>367</v>
      </c>
      <c r="F152" s="970"/>
      <c r="G152" s="971"/>
      <c r="H152" s="544" t="s">
        <v>262</v>
      </c>
      <c r="I152" s="212">
        <v>46250</v>
      </c>
      <c r="J152" s="605"/>
      <c r="K152" s="212">
        <v>62.29</v>
      </c>
      <c r="L152" s="212">
        <f t="shared" si="19"/>
        <v>2880912.5</v>
      </c>
      <c r="M152" s="602"/>
      <c r="N152" s="675" t="e">
        <f>+#REF!</f>
        <v>#REF!</v>
      </c>
      <c r="O152" s="675" t="e">
        <f>+#REF!</f>
        <v>#REF!</v>
      </c>
      <c r="P152" s="675" t="e">
        <f t="shared" si="20"/>
        <v>#REF!</v>
      </c>
      <c r="Q152" s="220"/>
      <c r="R152" s="605" t="e">
        <f t="shared" si="21"/>
        <v>#REF!</v>
      </c>
      <c r="S152" s="254" t="e">
        <f t="shared" si="22"/>
        <v>#REF!</v>
      </c>
      <c r="T152" s="237" t="e">
        <f t="shared" si="23"/>
        <v>#REF!</v>
      </c>
    </row>
    <row r="153" spans="1:21" ht="34.950000000000003" customHeight="1" x14ac:dyDescent="0.3">
      <c r="A153" s="262" t="s">
        <v>152</v>
      </c>
      <c r="C153" s="244">
        <v>75</v>
      </c>
      <c r="D153" s="161" t="s">
        <v>368</v>
      </c>
      <c r="E153" s="969" t="s">
        <v>369</v>
      </c>
      <c r="F153" s="970"/>
      <c r="G153" s="971"/>
      <c r="H153" s="544" t="s">
        <v>262</v>
      </c>
      <c r="I153" s="212">
        <v>92500</v>
      </c>
      <c r="J153" s="605"/>
      <c r="K153" s="212">
        <v>4367.51</v>
      </c>
      <c r="L153" s="212">
        <f t="shared" si="19"/>
        <v>403994675</v>
      </c>
      <c r="M153" s="602"/>
      <c r="N153" s="675" t="e">
        <f>+#REF!</f>
        <v>#REF!</v>
      </c>
      <c r="O153" s="675" t="e">
        <f>+#REF!</f>
        <v>#REF!</v>
      </c>
      <c r="P153" s="675" t="e">
        <f t="shared" si="20"/>
        <v>#REF!</v>
      </c>
      <c r="Q153" s="220"/>
      <c r="R153" s="605" t="e">
        <f t="shared" si="21"/>
        <v>#REF!</v>
      </c>
      <c r="S153" s="254" t="e">
        <f t="shared" si="22"/>
        <v>#REF!</v>
      </c>
      <c r="T153" s="237" t="e">
        <f t="shared" si="23"/>
        <v>#REF!</v>
      </c>
    </row>
    <row r="154" spans="1:21" ht="34.950000000000003" customHeight="1" x14ac:dyDescent="0.3">
      <c r="A154" s="262" t="s">
        <v>152</v>
      </c>
      <c r="C154" s="244">
        <v>76</v>
      </c>
      <c r="D154" s="161" t="s">
        <v>370</v>
      </c>
      <c r="E154" s="969" t="s">
        <v>371</v>
      </c>
      <c r="F154" s="970"/>
      <c r="G154" s="971"/>
      <c r="H154" s="544" t="s">
        <v>262</v>
      </c>
      <c r="I154" s="212">
        <v>97333</v>
      </c>
      <c r="J154" s="605"/>
      <c r="K154" s="212">
        <v>2581.33</v>
      </c>
      <c r="L154" s="212">
        <f t="shared" si="19"/>
        <v>251248592.88999999</v>
      </c>
      <c r="M154" s="602"/>
      <c r="N154" s="675" t="e">
        <f>+#REF!</f>
        <v>#REF!</v>
      </c>
      <c r="O154" s="675" t="e">
        <f>+#REF!</f>
        <v>#REF!</v>
      </c>
      <c r="P154" s="675" t="e">
        <f t="shared" si="20"/>
        <v>#REF!</v>
      </c>
      <c r="Q154" s="220"/>
      <c r="R154" s="605" t="e">
        <f t="shared" si="21"/>
        <v>#REF!</v>
      </c>
      <c r="S154" s="254" t="e">
        <f t="shared" si="22"/>
        <v>#REF!</v>
      </c>
      <c r="T154" s="237" t="e">
        <f t="shared" si="23"/>
        <v>#REF!</v>
      </c>
    </row>
    <row r="155" spans="1:21" ht="30" hidden="1" customHeight="1" x14ac:dyDescent="0.3">
      <c r="A155" s="262" t="s">
        <v>152</v>
      </c>
      <c r="C155" s="244">
        <v>77</v>
      </c>
      <c r="D155" s="161" t="s">
        <v>372</v>
      </c>
      <c r="E155" s="969" t="s">
        <v>373</v>
      </c>
      <c r="F155" s="970"/>
      <c r="G155" s="971"/>
      <c r="H155" s="544" t="s">
        <v>374</v>
      </c>
      <c r="I155" s="212">
        <v>150</v>
      </c>
      <c r="J155" s="605"/>
      <c r="K155" s="212">
        <v>3500</v>
      </c>
      <c r="L155" s="212">
        <f t="shared" si="19"/>
        <v>525000</v>
      </c>
      <c r="M155" s="602"/>
      <c r="N155" s="675" t="e">
        <f>+#REF!</f>
        <v>#REF!</v>
      </c>
      <c r="O155" s="675" t="e">
        <f>+#REF!</f>
        <v>#REF!</v>
      </c>
      <c r="P155" s="675" t="e">
        <f t="shared" si="20"/>
        <v>#REF!</v>
      </c>
      <c r="Q155" s="220"/>
      <c r="R155" s="605" t="e">
        <f t="shared" si="21"/>
        <v>#REF!</v>
      </c>
      <c r="S155" s="254" t="e">
        <f t="shared" si="22"/>
        <v>#REF!</v>
      </c>
      <c r="T155" s="237" t="e">
        <f t="shared" si="23"/>
        <v>#REF!</v>
      </c>
    </row>
    <row r="156" spans="1:21" ht="30" hidden="1" customHeight="1" x14ac:dyDescent="0.3">
      <c r="A156" s="262" t="s">
        <v>152</v>
      </c>
      <c r="C156" s="244">
        <v>78</v>
      </c>
      <c r="D156" s="161" t="s">
        <v>375</v>
      </c>
      <c r="E156" s="969" t="s">
        <v>376</v>
      </c>
      <c r="F156" s="970"/>
      <c r="G156" s="971"/>
      <c r="H156" s="544" t="s">
        <v>374</v>
      </c>
      <c r="I156" s="212">
        <v>180</v>
      </c>
      <c r="J156" s="605"/>
      <c r="K156" s="212">
        <v>4500</v>
      </c>
      <c r="L156" s="212">
        <f t="shared" si="19"/>
        <v>810000</v>
      </c>
      <c r="M156" s="602"/>
      <c r="N156" s="675" t="e">
        <f>+#REF!</f>
        <v>#REF!</v>
      </c>
      <c r="O156" s="675" t="e">
        <f>+#REF!</f>
        <v>#REF!</v>
      </c>
      <c r="P156" s="675" t="e">
        <f t="shared" si="20"/>
        <v>#REF!</v>
      </c>
      <c r="Q156" s="220"/>
      <c r="R156" s="605" t="e">
        <f t="shared" si="21"/>
        <v>#REF!</v>
      </c>
      <c r="S156" s="254" t="e">
        <f t="shared" si="22"/>
        <v>#REF!</v>
      </c>
      <c r="T156" s="237" t="e">
        <f t="shared" si="23"/>
        <v>#REF!</v>
      </c>
    </row>
    <row r="157" spans="1:21" ht="30" hidden="1" customHeight="1" x14ac:dyDescent="0.3">
      <c r="A157" s="262" t="s">
        <v>152</v>
      </c>
      <c r="C157" s="244">
        <v>79</v>
      </c>
      <c r="D157" s="213" t="s">
        <v>377</v>
      </c>
      <c r="E157" s="969" t="s">
        <v>378</v>
      </c>
      <c r="F157" s="970"/>
      <c r="G157" s="971"/>
      <c r="H157" s="544" t="s">
        <v>202</v>
      </c>
      <c r="I157" s="212">
        <v>340200</v>
      </c>
      <c r="J157" s="605"/>
      <c r="K157" s="212">
        <v>8960.4699999999993</v>
      </c>
      <c r="L157" s="212">
        <f t="shared" si="19"/>
        <v>3048351894</v>
      </c>
      <c r="M157" s="602"/>
      <c r="N157" s="675" t="e">
        <f>+#REF!</f>
        <v>#REF!</v>
      </c>
      <c r="O157" s="675" t="e">
        <f>+#REF!</f>
        <v>#REF!</v>
      </c>
      <c r="P157" s="675" t="e">
        <f t="shared" si="20"/>
        <v>#REF!</v>
      </c>
      <c r="Q157" s="220"/>
      <c r="R157" s="605" t="e">
        <f t="shared" si="21"/>
        <v>#REF!</v>
      </c>
      <c r="S157" s="254" t="e">
        <f t="shared" si="22"/>
        <v>#REF!</v>
      </c>
      <c r="T157" s="237" t="e">
        <f t="shared" si="23"/>
        <v>#REF!</v>
      </c>
    </row>
    <row r="158" spans="1:21" ht="30" hidden="1" customHeight="1" x14ac:dyDescent="0.3">
      <c r="A158" s="262">
        <v>1</v>
      </c>
      <c r="C158" s="242"/>
      <c r="D158" s="233" t="s">
        <v>1226</v>
      </c>
      <c r="E158" s="234"/>
      <c r="F158" s="234"/>
      <c r="G158" s="234"/>
      <c r="H158" s="234"/>
      <c r="I158" s="235"/>
      <c r="J158" s="235"/>
      <c r="K158" s="235"/>
      <c r="L158" s="642">
        <f>+SUMIFS(L:L,A:A,"1.C")</f>
        <v>160312500</v>
      </c>
      <c r="M158" s="600"/>
      <c r="N158" s="646"/>
      <c r="O158" s="235"/>
      <c r="P158" s="235"/>
      <c r="Q158" s="655"/>
      <c r="R158" s="650" t="e">
        <f>+SUMIFS(R:R,A:A,"1.C")</f>
        <v>#REF!</v>
      </c>
      <c r="S158" s="249" t="e">
        <f>+SUMIFS(S:S,A:A,"1.C")</f>
        <v>#REF!</v>
      </c>
      <c r="T158" s="250" t="e">
        <f>+SUMIFS(T:T,A:A,"1.C")</f>
        <v>#REF!</v>
      </c>
    </row>
    <row r="159" spans="1:21" ht="30" hidden="1" customHeight="1" x14ac:dyDescent="0.3">
      <c r="A159" s="262" t="s">
        <v>153</v>
      </c>
      <c r="C159" s="244">
        <v>80</v>
      </c>
      <c r="D159" s="213" t="s">
        <v>379</v>
      </c>
      <c r="E159" s="969" t="s">
        <v>380</v>
      </c>
      <c r="F159" s="970"/>
      <c r="G159" s="971"/>
      <c r="H159" s="544" t="s">
        <v>202</v>
      </c>
      <c r="I159" s="212">
        <v>3750</v>
      </c>
      <c r="J159" s="605"/>
      <c r="K159" s="212">
        <v>2750</v>
      </c>
      <c r="L159" s="212">
        <f>+ROUND(I159*K159,2)</f>
        <v>10312500</v>
      </c>
      <c r="M159" s="602"/>
      <c r="N159" s="675" t="e">
        <f>+#REF!</f>
        <v>#REF!</v>
      </c>
      <c r="O159" s="675" t="e">
        <f>+#REF!</f>
        <v>#REF!</v>
      </c>
      <c r="P159" s="675" t="e">
        <f t="shared" ref="P159:P161" si="24">+N159+O159</f>
        <v>#REF!</v>
      </c>
      <c r="Q159" s="220"/>
      <c r="R159" s="605" t="e">
        <f t="shared" ref="R159:R161" si="25">+ROUND(I159*N159,2)</f>
        <v>#REF!</v>
      </c>
      <c r="S159" s="254" t="e">
        <f t="shared" ref="S159:S161" si="26">+ROUND(I159*O159,2)</f>
        <v>#REF!</v>
      </c>
      <c r="T159" s="237" t="e">
        <f t="shared" ref="T159:T161" si="27">+ROUND(I159*P159,2)</f>
        <v>#REF!</v>
      </c>
    </row>
    <row r="160" spans="1:21" ht="30" hidden="1" customHeight="1" x14ac:dyDescent="0.3">
      <c r="A160" s="262" t="s">
        <v>153</v>
      </c>
      <c r="C160" s="244">
        <v>81</v>
      </c>
      <c r="D160" s="213" t="s">
        <v>381</v>
      </c>
      <c r="E160" s="969" t="s">
        <v>382</v>
      </c>
      <c r="F160" s="970"/>
      <c r="G160" s="971"/>
      <c r="H160" s="544" t="s">
        <v>286</v>
      </c>
      <c r="I160" s="212">
        <v>108000000</v>
      </c>
      <c r="J160" s="605"/>
      <c r="K160" s="212">
        <v>1</v>
      </c>
      <c r="L160" s="212">
        <f>+ROUND(I160*K160,2)</f>
        <v>108000000</v>
      </c>
      <c r="M160" s="602"/>
      <c r="N160" s="675" t="e">
        <f>+#REF!</f>
        <v>#REF!</v>
      </c>
      <c r="O160" s="675" t="e">
        <f>+#REF!</f>
        <v>#REF!</v>
      </c>
      <c r="P160" s="675" t="e">
        <f t="shared" si="24"/>
        <v>#REF!</v>
      </c>
      <c r="Q160" s="220"/>
      <c r="R160" s="605" t="e">
        <f t="shared" si="25"/>
        <v>#REF!</v>
      </c>
      <c r="S160" s="254" t="e">
        <f t="shared" si="26"/>
        <v>#REF!</v>
      </c>
      <c r="T160" s="237" t="e">
        <f t="shared" si="27"/>
        <v>#REF!</v>
      </c>
    </row>
    <row r="161" spans="1:22" ht="30" hidden="1" customHeight="1" x14ac:dyDescent="0.3">
      <c r="A161" s="262" t="s">
        <v>153</v>
      </c>
      <c r="C161" s="244">
        <v>82</v>
      </c>
      <c r="D161" s="213" t="s">
        <v>383</v>
      </c>
      <c r="E161" s="969" t="s">
        <v>384</v>
      </c>
      <c r="F161" s="970"/>
      <c r="G161" s="971"/>
      <c r="H161" s="544" t="s">
        <v>286</v>
      </c>
      <c r="I161" s="212">
        <v>42000000</v>
      </c>
      <c r="J161" s="605"/>
      <c r="K161" s="212">
        <v>1</v>
      </c>
      <c r="L161" s="212">
        <f>+ROUND(I161*K161,2)</f>
        <v>42000000</v>
      </c>
      <c r="M161" s="602"/>
      <c r="N161" s="675" t="e">
        <f>+#REF!</f>
        <v>#REF!</v>
      </c>
      <c r="O161" s="675" t="e">
        <f>+#REF!</f>
        <v>#REF!</v>
      </c>
      <c r="P161" s="675" t="e">
        <f t="shared" si="24"/>
        <v>#REF!</v>
      </c>
      <c r="Q161" s="220"/>
      <c r="R161" s="605" t="e">
        <f t="shared" si="25"/>
        <v>#REF!</v>
      </c>
      <c r="S161" s="254" t="e">
        <f t="shared" si="26"/>
        <v>#REF!</v>
      </c>
      <c r="T161" s="237" t="e">
        <f t="shared" si="27"/>
        <v>#REF!</v>
      </c>
      <c r="V161" s="325"/>
    </row>
    <row r="162" spans="1:22" ht="30" hidden="1" customHeight="1" x14ac:dyDescent="0.3">
      <c r="A162" s="262" t="s">
        <v>153</v>
      </c>
      <c r="C162" s="244"/>
      <c r="D162" s="213"/>
      <c r="E162" s="969"/>
      <c r="F162" s="970"/>
      <c r="G162" s="971"/>
      <c r="H162" s="161"/>
      <c r="I162" s="605"/>
      <c r="J162" s="605"/>
      <c r="K162" s="212"/>
      <c r="L162" s="341"/>
      <c r="M162" s="212"/>
      <c r="N162" s="657"/>
      <c r="O162" s="212"/>
      <c r="P162" s="341"/>
      <c r="Q162" s="212"/>
      <c r="R162" s="605"/>
      <c r="S162" s="225"/>
      <c r="T162" s="237"/>
      <c r="V162" s="325"/>
    </row>
    <row r="163" spans="1:22" ht="30" hidden="1" customHeight="1" x14ac:dyDescent="0.3">
      <c r="A163" s="262" t="s">
        <v>153</v>
      </c>
      <c r="C163" s="244"/>
      <c r="D163" s="213"/>
      <c r="E163" s="969"/>
      <c r="F163" s="970"/>
      <c r="G163" s="971"/>
      <c r="H163" s="161"/>
      <c r="I163" s="605"/>
      <c r="J163" s="605"/>
      <c r="K163" s="212"/>
      <c r="L163" s="341"/>
      <c r="M163" s="212"/>
      <c r="N163" s="605"/>
      <c r="O163" s="212"/>
      <c r="P163" s="341"/>
      <c r="Q163" s="212"/>
      <c r="R163" s="605"/>
      <c r="S163" s="225"/>
      <c r="T163" s="237"/>
    </row>
    <row r="164" spans="1:22" ht="30" hidden="1" customHeight="1" x14ac:dyDescent="0.3">
      <c r="A164" s="262" t="s">
        <v>153</v>
      </c>
      <c r="C164" s="244"/>
      <c r="D164" s="213"/>
      <c r="E164" s="969"/>
      <c r="F164" s="970"/>
      <c r="G164" s="971"/>
      <c r="H164" s="161"/>
      <c r="I164" s="605"/>
      <c r="J164" s="605"/>
      <c r="K164" s="212"/>
      <c r="L164" s="341"/>
      <c r="M164" s="212"/>
      <c r="N164" s="605"/>
      <c r="O164" s="212"/>
      <c r="P164" s="341"/>
      <c r="Q164" s="212"/>
      <c r="R164" s="605"/>
      <c r="S164" s="225"/>
      <c r="T164" s="237"/>
    </row>
    <row r="165" spans="1:22" ht="30" hidden="1" customHeight="1" x14ac:dyDescent="0.3">
      <c r="A165" s="262" t="s">
        <v>153</v>
      </c>
      <c r="C165" s="244"/>
      <c r="D165" s="213"/>
      <c r="E165" s="969"/>
      <c r="F165" s="970"/>
      <c r="G165" s="971"/>
      <c r="H165" s="161"/>
      <c r="I165" s="605"/>
      <c r="J165" s="605"/>
      <c r="K165" s="212"/>
      <c r="L165" s="341"/>
      <c r="M165" s="212"/>
      <c r="N165" s="605"/>
      <c r="O165" s="212"/>
      <c r="P165" s="341"/>
      <c r="Q165" s="212"/>
      <c r="R165" s="605"/>
      <c r="S165" s="225"/>
      <c r="T165" s="237"/>
    </row>
    <row r="166" spans="1:22" ht="30" hidden="1" customHeight="1" x14ac:dyDescent="0.3">
      <c r="A166" s="262" t="s">
        <v>153</v>
      </c>
      <c r="C166" s="244"/>
      <c r="D166" s="161"/>
      <c r="E166" s="969"/>
      <c r="F166" s="970"/>
      <c r="G166" s="971"/>
      <c r="H166" s="161"/>
      <c r="I166" s="605"/>
      <c r="J166" s="605"/>
      <c r="K166" s="212"/>
      <c r="L166" s="341"/>
      <c r="M166" s="212"/>
      <c r="N166" s="605"/>
      <c r="O166" s="212"/>
      <c r="P166" s="341"/>
      <c r="Q166" s="212"/>
      <c r="R166" s="605"/>
      <c r="S166" s="225"/>
      <c r="T166" s="237"/>
    </row>
    <row r="167" spans="1:22" ht="30" hidden="1" customHeight="1" x14ac:dyDescent="0.3">
      <c r="A167" s="262" t="s">
        <v>153</v>
      </c>
      <c r="C167" s="244"/>
      <c r="D167" s="161"/>
      <c r="E167" s="969"/>
      <c r="F167" s="970"/>
      <c r="G167" s="971"/>
      <c r="H167" s="161"/>
      <c r="I167" s="605"/>
      <c r="J167" s="605"/>
      <c r="K167" s="212"/>
      <c r="L167" s="341"/>
      <c r="M167" s="212"/>
      <c r="N167" s="605"/>
      <c r="O167" s="212"/>
      <c r="P167" s="341"/>
      <c r="Q167" s="212"/>
      <c r="R167" s="605"/>
      <c r="S167" s="225"/>
      <c r="T167" s="237"/>
    </row>
    <row r="168" spans="1:22" ht="30" hidden="1" customHeight="1" x14ac:dyDescent="0.3">
      <c r="A168" s="262" t="s">
        <v>153</v>
      </c>
      <c r="C168" s="244"/>
      <c r="D168" s="161"/>
      <c r="E168" s="969"/>
      <c r="F168" s="970"/>
      <c r="G168" s="971"/>
      <c r="H168" s="161"/>
      <c r="I168" s="605"/>
      <c r="J168" s="605"/>
      <c r="K168" s="212"/>
      <c r="L168" s="341"/>
      <c r="M168" s="212"/>
      <c r="N168" s="605"/>
      <c r="O168" s="212"/>
      <c r="P168" s="341"/>
      <c r="Q168" s="212"/>
      <c r="R168" s="605"/>
      <c r="S168" s="225"/>
      <c r="T168" s="237"/>
    </row>
    <row r="169" spans="1:22" ht="30" hidden="1" customHeight="1" x14ac:dyDescent="0.3">
      <c r="A169" s="262" t="s">
        <v>153</v>
      </c>
      <c r="C169" s="244"/>
      <c r="D169" s="161"/>
      <c r="E169" s="969"/>
      <c r="F169" s="970"/>
      <c r="G169" s="971"/>
      <c r="H169" s="161"/>
      <c r="I169" s="605"/>
      <c r="J169" s="605"/>
      <c r="K169" s="212"/>
      <c r="L169" s="341"/>
      <c r="M169" s="212"/>
      <c r="N169" s="605"/>
      <c r="O169" s="212"/>
      <c r="P169" s="341"/>
      <c r="Q169" s="212"/>
      <c r="R169" s="605"/>
      <c r="S169" s="225"/>
      <c r="T169" s="237"/>
    </row>
    <row r="170" spans="1:22" ht="30" hidden="1" customHeight="1" x14ac:dyDescent="0.3">
      <c r="A170" s="262" t="s">
        <v>153</v>
      </c>
      <c r="C170" s="244"/>
      <c r="D170" s="161"/>
      <c r="E170" s="969"/>
      <c r="F170" s="970"/>
      <c r="G170" s="971"/>
      <c r="H170" s="161"/>
      <c r="I170" s="605"/>
      <c r="J170" s="605"/>
      <c r="K170" s="212"/>
      <c r="L170" s="341"/>
      <c r="M170" s="212"/>
      <c r="N170" s="605"/>
      <c r="O170" s="212"/>
      <c r="P170" s="341"/>
      <c r="Q170" s="212"/>
      <c r="R170" s="605"/>
      <c r="S170" s="225"/>
      <c r="T170" s="237"/>
    </row>
    <row r="171" spans="1:22" ht="30" hidden="1" customHeight="1" x14ac:dyDescent="0.3">
      <c r="A171" s="262" t="s">
        <v>153</v>
      </c>
      <c r="C171" s="244"/>
      <c r="D171" s="161"/>
      <c r="E171" s="969"/>
      <c r="F171" s="970"/>
      <c r="G171" s="971"/>
      <c r="H171" s="658"/>
      <c r="I171" s="605"/>
      <c r="J171" s="605"/>
      <c r="K171" s="212"/>
      <c r="L171" s="341"/>
      <c r="M171" s="302"/>
      <c r="N171" s="605"/>
      <c r="O171" s="212"/>
      <c r="P171" s="341"/>
      <c r="Q171" s="302"/>
      <c r="R171" s="605"/>
      <c r="S171" s="225"/>
      <c r="T171" s="237"/>
    </row>
    <row r="172" spans="1:22" ht="30" customHeight="1" x14ac:dyDescent="0.3">
      <c r="A172" s="262"/>
      <c r="D172" s="28"/>
      <c r="E172" s="666"/>
      <c r="F172" s="666"/>
      <c r="G172" s="666"/>
      <c r="H172" s="28"/>
      <c r="I172" s="214"/>
      <c r="J172" s="214"/>
      <c r="K172" s="214"/>
      <c r="L172" s="214"/>
      <c r="M172" s="214"/>
      <c r="N172" s="214"/>
      <c r="O172" s="214"/>
      <c r="P172" s="214"/>
      <c r="Q172" s="214"/>
      <c r="R172" s="214"/>
      <c r="S172" s="307"/>
      <c r="T172" s="214"/>
    </row>
    <row r="173" spans="1:22" ht="30" customHeight="1" x14ac:dyDescent="0.3">
      <c r="A173" s="262"/>
      <c r="D173" s="28"/>
      <c r="E173" s="666"/>
      <c r="F173" s="666"/>
      <c r="G173" s="666"/>
      <c r="H173" s="28"/>
      <c r="I173" s="214"/>
      <c r="J173" s="214"/>
      <c r="K173" s="214"/>
      <c r="L173" s="214"/>
      <c r="M173" s="214"/>
      <c r="N173" s="214"/>
      <c r="O173" s="214"/>
      <c r="P173" s="214"/>
      <c r="Q173" s="214"/>
      <c r="R173" s="214"/>
      <c r="S173" s="307"/>
      <c r="T173" s="214"/>
    </row>
    <row r="174" spans="1:22" ht="30" customHeight="1" x14ac:dyDescent="0.3">
      <c r="A174" s="262"/>
      <c r="D174" s="28"/>
      <c r="E174" s="666"/>
      <c r="F174" s="666"/>
      <c r="G174" s="666"/>
      <c r="H174" s="28"/>
      <c r="I174" s="214"/>
      <c r="J174" s="214"/>
      <c r="K174" s="214"/>
      <c r="L174" s="214"/>
      <c r="M174" s="214"/>
      <c r="N174" s="214"/>
      <c r="O174" s="214"/>
      <c r="P174" s="214"/>
      <c r="Q174" s="214"/>
      <c r="R174" s="214"/>
      <c r="S174" s="307"/>
      <c r="T174" s="214"/>
    </row>
    <row r="175" spans="1:22" ht="30" customHeight="1" x14ac:dyDescent="0.3">
      <c r="A175" s="262"/>
      <c r="D175" s="28"/>
      <c r="E175" s="666"/>
      <c r="F175" s="666"/>
      <c r="G175" s="666"/>
      <c r="H175" s="28"/>
      <c r="I175" s="214"/>
      <c r="J175" s="214"/>
      <c r="K175" s="214"/>
      <c r="L175" s="214"/>
      <c r="M175" s="214"/>
      <c r="N175" s="214"/>
      <c r="O175" s="214"/>
      <c r="P175" s="214"/>
      <c r="Q175" s="214"/>
      <c r="R175" s="214"/>
      <c r="S175" s="307"/>
      <c r="T175" s="214"/>
    </row>
    <row r="176" spans="1:22" ht="30" customHeight="1" x14ac:dyDescent="0.3">
      <c r="A176" s="262"/>
      <c r="D176" s="28"/>
      <c r="E176" s="666"/>
      <c r="F176" s="666"/>
      <c r="G176" s="666"/>
      <c r="H176" s="28"/>
      <c r="I176" s="214"/>
      <c r="J176" s="214"/>
      <c r="K176" s="214"/>
      <c r="L176" s="214"/>
      <c r="M176" s="214"/>
      <c r="N176" s="214"/>
      <c r="O176" s="214"/>
      <c r="P176" s="214"/>
      <c r="Q176" s="214"/>
      <c r="R176" s="214"/>
      <c r="S176" s="307"/>
      <c r="T176" s="214"/>
    </row>
    <row r="177" spans="1:21" ht="30" customHeight="1" x14ac:dyDescent="0.3">
      <c r="A177" s="262"/>
      <c r="D177" s="28"/>
      <c r="E177" s="666"/>
      <c r="F177" s="666"/>
      <c r="G177" s="666"/>
      <c r="H177" s="28"/>
      <c r="I177" s="214"/>
      <c r="J177" s="214"/>
      <c r="K177" s="214"/>
      <c r="L177" s="214"/>
      <c r="M177" s="214"/>
      <c r="N177" s="214"/>
      <c r="O177" s="214"/>
      <c r="P177" s="214"/>
      <c r="Q177" s="214"/>
      <c r="R177" s="214"/>
      <c r="S177" s="307"/>
      <c r="T177" s="214"/>
    </row>
    <row r="178" spans="1:21" ht="30" customHeight="1" x14ac:dyDescent="0.3">
      <c r="A178" s="262"/>
      <c r="D178" s="28"/>
      <c r="E178" s="666"/>
      <c r="F178" s="666"/>
      <c r="G178" s="666"/>
      <c r="H178" s="28"/>
      <c r="I178" s="214"/>
      <c r="J178" s="214"/>
      <c r="K178" s="214"/>
      <c r="L178" s="214"/>
      <c r="M178" s="214"/>
      <c r="N178" s="214"/>
      <c r="O178" s="214"/>
      <c r="P178" s="214"/>
      <c r="Q178" s="214"/>
      <c r="R178" s="214"/>
      <c r="S178" s="307"/>
      <c r="T178" s="214"/>
    </row>
    <row r="179" spans="1:21" ht="30" customHeight="1" x14ac:dyDescent="0.3">
      <c r="A179" s="262"/>
      <c r="D179" s="28"/>
      <c r="E179" s="666"/>
      <c r="F179" s="666"/>
      <c r="G179" s="666"/>
      <c r="H179" s="28"/>
      <c r="I179" s="214"/>
      <c r="J179" s="214"/>
      <c r="K179" s="214"/>
      <c r="L179" s="214"/>
      <c r="M179" s="214"/>
      <c r="N179" s="214"/>
      <c r="O179" s="214"/>
      <c r="P179" s="214"/>
      <c r="Q179" s="214"/>
      <c r="R179" s="214"/>
      <c r="S179" s="307"/>
      <c r="T179" s="214"/>
    </row>
    <row r="180" spans="1:21" ht="30" customHeight="1" x14ac:dyDescent="0.3">
      <c r="A180" s="262"/>
      <c r="D180" s="28"/>
      <c r="E180" s="666"/>
      <c r="F180" s="666"/>
      <c r="G180" s="666"/>
      <c r="H180" s="28"/>
      <c r="I180" s="214"/>
      <c r="J180" s="214"/>
      <c r="K180" s="214"/>
      <c r="L180" s="214"/>
      <c r="M180" s="214"/>
      <c r="N180" s="214"/>
      <c r="O180" s="214"/>
      <c r="P180" s="214"/>
      <c r="Q180" s="214"/>
      <c r="R180" s="214"/>
      <c r="S180" s="307"/>
      <c r="T180" s="214"/>
    </row>
    <row r="181" spans="1:21" ht="40.049999999999997" customHeight="1" x14ac:dyDescent="0.3">
      <c r="A181" s="262" t="s">
        <v>1242</v>
      </c>
      <c r="C181" s="228"/>
      <c r="D181" s="228"/>
      <c r="E181" s="1409" t="s">
        <v>33</v>
      </c>
      <c r="F181" s="1409"/>
      <c r="G181" s="1409"/>
      <c r="H181" s="1410" t="s">
        <v>29</v>
      </c>
      <c r="I181" s="1410"/>
      <c r="J181" s="1410"/>
      <c r="K181" s="1410"/>
      <c r="L181" s="1410"/>
      <c r="M181" s="728"/>
      <c r="N181" s="1410" t="s">
        <v>22</v>
      </c>
      <c r="O181" s="1410"/>
      <c r="P181" s="1410"/>
      <c r="Q181" s="1410"/>
      <c r="R181" s="1410"/>
      <c r="S181" s="1410"/>
      <c r="T181" s="1410"/>
    </row>
    <row r="182" spans="1:21" ht="19.95" customHeight="1" x14ac:dyDescent="0.3">
      <c r="A182" s="262" t="s">
        <v>1242</v>
      </c>
      <c r="D182" s="28"/>
      <c r="E182" s="974" t="s">
        <v>1214</v>
      </c>
      <c r="F182" s="974"/>
      <c r="G182" s="974"/>
      <c r="H182" s="975" t="s">
        <v>38</v>
      </c>
      <c r="I182" s="975"/>
      <c r="J182" s="975"/>
      <c r="K182" s="975"/>
      <c r="L182" s="975"/>
      <c r="M182" s="562"/>
      <c r="N182" s="975" t="s">
        <v>1437</v>
      </c>
      <c r="O182" s="975"/>
      <c r="P182" s="975"/>
      <c r="Q182" s="975"/>
      <c r="R182" s="975"/>
      <c r="S182" s="975"/>
      <c r="T182" s="975"/>
    </row>
    <row r="183" spans="1:21" ht="19.95" customHeight="1" x14ac:dyDescent="0.3">
      <c r="A183" s="262" t="s">
        <v>1242</v>
      </c>
      <c r="C183" s="228"/>
      <c r="D183" s="228"/>
      <c r="E183" s="561"/>
      <c r="F183" s="561"/>
      <c r="G183" s="561"/>
      <c r="H183" s="228"/>
      <c r="I183" s="260"/>
      <c r="J183" s="260"/>
      <c r="K183" s="260"/>
      <c r="L183" s="260"/>
      <c r="M183" s="260"/>
      <c r="N183" s="975"/>
      <c r="O183" s="975"/>
      <c r="P183" s="975"/>
      <c r="Q183" s="975"/>
      <c r="R183" s="975"/>
      <c r="S183" s="975"/>
      <c r="T183" s="975"/>
    </row>
    <row r="184" spans="1:21" customFormat="1" ht="19.95" customHeight="1" x14ac:dyDescent="0.3">
      <c r="A184" s="262" t="s">
        <v>1242</v>
      </c>
      <c r="B184" s="11"/>
      <c r="C184" s="228"/>
      <c r="D184" s="228"/>
      <c r="E184" s="561"/>
      <c r="F184" s="561"/>
      <c r="G184" s="561"/>
      <c r="H184" s="228"/>
      <c r="I184" s="260"/>
      <c r="J184" s="260"/>
      <c r="K184" s="260"/>
      <c r="L184" s="260"/>
      <c r="M184" s="260"/>
      <c r="N184" s="975"/>
      <c r="O184" s="975"/>
      <c r="P184" s="975"/>
      <c r="Q184" s="975"/>
      <c r="R184" s="975"/>
      <c r="S184" s="975"/>
      <c r="T184" s="975"/>
      <c r="U184" s="11"/>
    </row>
    <row r="185" spans="1:21" customFormat="1" ht="19.95" customHeight="1" x14ac:dyDescent="0.3">
      <c r="A185" s="262"/>
      <c r="B185" s="11"/>
      <c r="C185" s="228"/>
      <c r="D185" s="228"/>
      <c r="E185" s="561"/>
      <c r="F185" s="561"/>
      <c r="G185" s="561"/>
      <c r="H185" s="228"/>
      <c r="I185" s="260"/>
      <c r="J185" s="260"/>
      <c r="K185" s="260"/>
      <c r="L185" s="260"/>
      <c r="M185" s="260"/>
      <c r="N185" s="562"/>
      <c r="O185" s="562"/>
      <c r="P185" s="562"/>
      <c r="Q185" s="562"/>
      <c r="R185" s="562"/>
      <c r="S185" s="562"/>
      <c r="T185" s="562"/>
      <c r="U185" s="11"/>
    </row>
    <row r="186" spans="1:21" customFormat="1" ht="19.95" customHeight="1" x14ac:dyDescent="0.3">
      <c r="A186" s="262"/>
      <c r="B186" s="11"/>
      <c r="C186" s="228"/>
      <c r="D186" s="228"/>
      <c r="E186" s="561"/>
      <c r="F186" s="561"/>
      <c r="G186" s="561"/>
      <c r="H186" s="228"/>
      <c r="I186" s="260"/>
      <c r="J186" s="260"/>
      <c r="K186" s="260"/>
      <c r="L186" s="260"/>
      <c r="M186" s="260"/>
      <c r="N186" s="968"/>
      <c r="O186" s="968"/>
      <c r="P186" s="968"/>
      <c r="Q186" s="968"/>
      <c r="R186" s="968"/>
      <c r="S186" s="968"/>
      <c r="T186" s="968"/>
      <c r="U186" s="11"/>
    </row>
    <row r="187" spans="1:21" customFormat="1" ht="19.95" customHeight="1" x14ac:dyDescent="0.3">
      <c r="A187" s="262" t="s">
        <v>1242</v>
      </c>
      <c r="B187" s="11"/>
      <c r="C187" s="228"/>
      <c r="D187" s="228"/>
      <c r="E187" s="561"/>
      <c r="F187" s="561"/>
      <c r="G187" s="561"/>
      <c r="H187" s="228"/>
      <c r="I187" s="260"/>
      <c r="J187" s="260"/>
      <c r="K187" s="260"/>
      <c r="L187" s="260"/>
      <c r="M187" s="260"/>
      <c r="N187" s="968" t="s">
        <v>54</v>
      </c>
      <c r="O187" s="968"/>
      <c r="P187" s="968"/>
      <c r="Q187" s="968"/>
      <c r="R187" s="968"/>
      <c r="S187" s="968"/>
      <c r="T187" s="968"/>
      <c r="U187" s="11"/>
    </row>
    <row r="188" spans="1:21" ht="19.95" customHeight="1" x14ac:dyDescent="0.3">
      <c r="A188" s="262" t="s">
        <v>1242</v>
      </c>
      <c r="C188" s="228"/>
      <c r="D188" s="228"/>
      <c r="E188" s="561"/>
      <c r="F188" s="561"/>
      <c r="G188" s="561"/>
      <c r="H188" s="975" t="s">
        <v>32</v>
      </c>
      <c r="I188" s="975"/>
      <c r="J188" s="562"/>
      <c r="K188" s="975" t="s">
        <v>1407</v>
      </c>
      <c r="L188" s="975"/>
      <c r="M188" s="562"/>
      <c r="N188" s="968"/>
      <c r="O188" s="968"/>
      <c r="P188" s="968"/>
      <c r="Q188" s="968"/>
      <c r="R188" s="968"/>
      <c r="S188" s="968"/>
      <c r="T188" s="968"/>
    </row>
    <row r="189" spans="1:21" ht="19.95" customHeight="1" x14ac:dyDescent="0.3">
      <c r="A189" s="262" t="s">
        <v>1242</v>
      </c>
      <c r="C189" s="228"/>
      <c r="D189" s="228"/>
      <c r="E189" s="561"/>
      <c r="F189" s="561"/>
      <c r="G189" s="561"/>
      <c r="H189" s="976" t="s">
        <v>94</v>
      </c>
      <c r="I189" s="976"/>
      <c r="J189" s="623"/>
      <c r="K189" s="976" t="s">
        <v>94</v>
      </c>
      <c r="L189" s="976"/>
      <c r="M189" s="623"/>
      <c r="N189" s="968" t="s">
        <v>1484</v>
      </c>
      <c r="O189" s="968"/>
      <c r="P189" s="968"/>
      <c r="Q189" s="968"/>
      <c r="R189" s="968"/>
      <c r="S189" s="968"/>
      <c r="T189" s="968"/>
    </row>
    <row r="190" spans="1:21" ht="19.95" customHeight="1" x14ac:dyDescent="0.3">
      <c r="A190" s="262" t="s">
        <v>1242</v>
      </c>
      <c r="C190" s="228"/>
      <c r="D190" s="228"/>
      <c r="E190" s="561"/>
      <c r="F190" s="561"/>
      <c r="G190" s="561"/>
      <c r="H190" s="976"/>
      <c r="I190" s="976"/>
      <c r="J190" s="623"/>
      <c r="K190" s="976"/>
      <c r="L190" s="976"/>
      <c r="M190" s="623"/>
      <c r="N190" s="968"/>
      <c r="O190" s="968"/>
      <c r="P190" s="968"/>
      <c r="Q190" s="260"/>
      <c r="R190" s="968"/>
      <c r="S190" s="968"/>
      <c r="T190" s="968"/>
    </row>
    <row r="191" spans="1:21" ht="19.95" customHeight="1" x14ac:dyDescent="0.3">
      <c r="A191" s="262" t="s">
        <v>1242</v>
      </c>
      <c r="C191" s="228"/>
      <c r="D191" s="228"/>
      <c r="E191" s="561"/>
      <c r="F191" s="561"/>
      <c r="G191" s="561"/>
      <c r="H191" s="228"/>
      <c r="I191" s="260"/>
      <c r="J191" s="260"/>
      <c r="K191" s="260"/>
      <c r="L191" s="260"/>
      <c r="M191" s="260"/>
      <c r="N191" s="260"/>
      <c r="O191" s="260"/>
      <c r="P191" s="260"/>
      <c r="Q191" s="260"/>
      <c r="R191" s="260"/>
      <c r="S191" s="624"/>
      <c r="T191" s="260"/>
    </row>
    <row r="192" spans="1:21" ht="19.95" customHeight="1" x14ac:dyDescent="0.3">
      <c r="A192" s="262" t="s">
        <v>1242</v>
      </c>
      <c r="C192" s="228"/>
      <c r="D192" s="228"/>
      <c r="E192" s="975" t="s">
        <v>1215</v>
      </c>
      <c r="F192" s="975"/>
      <c r="G192" s="975"/>
      <c r="H192" s="975" t="s">
        <v>1348</v>
      </c>
      <c r="I192" s="975"/>
      <c r="J192" s="975"/>
      <c r="K192" s="975"/>
      <c r="L192" s="975"/>
      <c r="M192" s="562"/>
      <c r="N192" s="977" t="s">
        <v>1217</v>
      </c>
      <c r="O192" s="968"/>
      <c r="P192" s="968"/>
      <c r="Q192" s="968"/>
      <c r="R192" s="968"/>
      <c r="S192" s="968"/>
      <c r="T192" s="968"/>
    </row>
    <row r="193" spans="1:20" ht="19.95" customHeight="1" x14ac:dyDescent="0.3">
      <c r="A193" s="262" t="s">
        <v>1290</v>
      </c>
      <c r="C193" s="228"/>
      <c r="D193" s="228"/>
      <c r="E193" s="975"/>
      <c r="F193" s="975"/>
      <c r="G193" s="975"/>
      <c r="H193" s="975"/>
      <c r="I193" s="975"/>
      <c r="J193" s="975"/>
      <c r="K193" s="975"/>
      <c r="L193" s="975"/>
      <c r="M193" s="562"/>
      <c r="N193" s="968"/>
      <c r="O193" s="968"/>
      <c r="P193" s="968"/>
      <c r="Q193" s="968"/>
      <c r="R193" s="968"/>
      <c r="S193" s="968"/>
      <c r="T193" s="968"/>
    </row>
    <row r="194" spans="1:20" ht="30" hidden="1" customHeight="1" x14ac:dyDescent="0.3">
      <c r="A194" s="262">
        <v>1</v>
      </c>
      <c r="C194" s="633"/>
      <c r="D194" s="634" t="s">
        <v>1227</v>
      </c>
      <c r="E194" s="635"/>
      <c r="F194" s="635"/>
      <c r="G194" s="635"/>
      <c r="H194" s="635"/>
      <c r="I194" s="636"/>
      <c r="J194" s="636"/>
      <c r="K194" s="636"/>
      <c r="L194" s="643">
        <f>+SUMIFS(L:L,A:A,"1.D")</f>
        <v>968112160.30999994</v>
      </c>
      <c r="M194" s="637"/>
      <c r="N194" s="647"/>
      <c r="O194" s="636"/>
      <c r="P194" s="636"/>
      <c r="Q194" s="654"/>
      <c r="R194" s="649">
        <f>+SUMIFS(R:R,A:A,"1.D")</f>
        <v>0</v>
      </c>
      <c r="S194" s="638">
        <f>+SUMIFS(S:S,A:A,"1.D")</f>
        <v>0</v>
      </c>
      <c r="T194" s="639">
        <f>+SUMIFS(T:T,A:A,"1.D")</f>
        <v>0</v>
      </c>
    </row>
    <row r="195" spans="1:20" ht="30" hidden="1" customHeight="1" x14ac:dyDescent="0.3">
      <c r="A195" s="262" t="s">
        <v>154</v>
      </c>
      <c r="C195" s="244">
        <v>83</v>
      </c>
      <c r="D195" s="213" t="s">
        <v>385</v>
      </c>
      <c r="E195" s="969" t="s">
        <v>386</v>
      </c>
      <c r="F195" s="970"/>
      <c r="G195" s="971"/>
      <c r="H195" s="544" t="s">
        <v>225</v>
      </c>
      <c r="I195" s="212">
        <v>1040</v>
      </c>
      <c r="J195" s="605"/>
      <c r="K195" s="212">
        <v>3033.68</v>
      </c>
      <c r="L195" s="212">
        <f t="shared" ref="L195:L216" si="28">+ROUND(I195*K195,2)</f>
        <v>3155027.2</v>
      </c>
      <c r="M195" s="602"/>
      <c r="N195" s="675">
        <f>+'Yeşil Defter'!K205</f>
        <v>0</v>
      </c>
      <c r="O195" s="675">
        <f>+'Yeşil Defter'!L205</f>
        <v>0</v>
      </c>
      <c r="P195" s="675">
        <f>+'Yeşil Defter'!M205</f>
        <v>0</v>
      </c>
      <c r="Q195" s="257"/>
      <c r="R195" s="606">
        <f t="shared" ref="R195:R216" si="29">+ROUND(K195*N195,2)</f>
        <v>0</v>
      </c>
      <c r="S195" s="247">
        <f t="shared" ref="S195:S264" si="30">+T195-R195</f>
        <v>0</v>
      </c>
      <c r="T195" s="248">
        <f t="shared" ref="T195:T216" si="31">+ROUND(K195*P195,2)</f>
        <v>0</v>
      </c>
    </row>
    <row r="196" spans="1:20" ht="30" hidden="1" customHeight="1" x14ac:dyDescent="0.3">
      <c r="A196" s="262" t="s">
        <v>154</v>
      </c>
      <c r="C196" s="244">
        <v>84</v>
      </c>
      <c r="D196" s="213" t="s">
        <v>387</v>
      </c>
      <c r="E196" s="969" t="s">
        <v>388</v>
      </c>
      <c r="F196" s="970"/>
      <c r="G196" s="971"/>
      <c r="H196" s="544" t="s">
        <v>225</v>
      </c>
      <c r="I196" s="212">
        <v>988</v>
      </c>
      <c r="J196" s="605"/>
      <c r="K196" s="212">
        <v>23957.52</v>
      </c>
      <c r="L196" s="212">
        <f t="shared" si="28"/>
        <v>23670029.760000002</v>
      </c>
      <c r="M196" s="602"/>
      <c r="N196" s="675">
        <f>+'Yeşil Defter'!K206</f>
        <v>0</v>
      </c>
      <c r="O196" s="675">
        <f>+'Yeşil Defter'!L206</f>
        <v>0</v>
      </c>
      <c r="P196" s="675">
        <f>+'Yeşil Defter'!M206</f>
        <v>0</v>
      </c>
      <c r="Q196" s="212"/>
      <c r="R196" s="605">
        <f t="shared" si="29"/>
        <v>0</v>
      </c>
      <c r="S196" s="225">
        <f t="shared" si="30"/>
        <v>0</v>
      </c>
      <c r="T196" s="237">
        <f t="shared" si="31"/>
        <v>0</v>
      </c>
    </row>
    <row r="197" spans="1:20" ht="30" hidden="1" customHeight="1" x14ac:dyDescent="0.3">
      <c r="A197" s="262" t="s">
        <v>154</v>
      </c>
      <c r="C197" s="244">
        <v>85</v>
      </c>
      <c r="D197" s="213" t="s">
        <v>389</v>
      </c>
      <c r="E197" s="969" t="s">
        <v>390</v>
      </c>
      <c r="F197" s="970"/>
      <c r="G197" s="971"/>
      <c r="H197" s="544" t="s">
        <v>228</v>
      </c>
      <c r="I197" s="212">
        <v>4072</v>
      </c>
      <c r="J197" s="605"/>
      <c r="K197" s="212">
        <v>958.3</v>
      </c>
      <c r="L197" s="212">
        <f t="shared" si="28"/>
        <v>3902197.6</v>
      </c>
      <c r="M197" s="602"/>
      <c r="N197" s="675">
        <f>+'Yeşil Defter'!K207</f>
        <v>0</v>
      </c>
      <c r="O197" s="675">
        <f>+'Yeşil Defter'!L207</f>
        <v>0</v>
      </c>
      <c r="P197" s="675">
        <f>+'Yeşil Defter'!M207</f>
        <v>0</v>
      </c>
      <c r="Q197" s="212"/>
      <c r="R197" s="605">
        <f t="shared" si="29"/>
        <v>0</v>
      </c>
      <c r="S197" s="225">
        <f t="shared" si="30"/>
        <v>0</v>
      </c>
      <c r="T197" s="237">
        <f t="shared" si="31"/>
        <v>0</v>
      </c>
    </row>
    <row r="198" spans="1:20" ht="30" hidden="1" customHeight="1" x14ac:dyDescent="0.3">
      <c r="A198" s="262" t="s">
        <v>154</v>
      </c>
      <c r="C198" s="244">
        <v>86</v>
      </c>
      <c r="D198" s="161" t="s">
        <v>391</v>
      </c>
      <c r="E198" s="969" t="s">
        <v>392</v>
      </c>
      <c r="F198" s="970"/>
      <c r="G198" s="971"/>
      <c r="H198" s="544" t="s">
        <v>225</v>
      </c>
      <c r="I198" s="212">
        <v>1849</v>
      </c>
      <c r="J198" s="605"/>
      <c r="K198" s="212">
        <v>23920.44</v>
      </c>
      <c r="L198" s="212">
        <f t="shared" si="28"/>
        <v>44228893.560000002</v>
      </c>
      <c r="M198" s="602"/>
      <c r="N198" s="675">
        <f>+'Yeşil Defter'!K208</f>
        <v>0</v>
      </c>
      <c r="O198" s="675">
        <f>+'Yeşil Defter'!L208</f>
        <v>0</v>
      </c>
      <c r="P198" s="675">
        <f>+'Yeşil Defter'!M208</f>
        <v>0</v>
      </c>
      <c r="Q198" s="212"/>
      <c r="R198" s="605">
        <f t="shared" si="29"/>
        <v>0</v>
      </c>
      <c r="S198" s="225">
        <f t="shared" si="30"/>
        <v>0</v>
      </c>
      <c r="T198" s="237">
        <f t="shared" si="31"/>
        <v>0</v>
      </c>
    </row>
    <row r="199" spans="1:20" ht="30" hidden="1" customHeight="1" x14ac:dyDescent="0.3">
      <c r="A199" s="262" t="s">
        <v>154</v>
      </c>
      <c r="C199" s="244">
        <v>87</v>
      </c>
      <c r="D199" s="161" t="s">
        <v>393</v>
      </c>
      <c r="E199" s="969" t="s">
        <v>394</v>
      </c>
      <c r="F199" s="970"/>
      <c r="G199" s="971"/>
      <c r="H199" s="544" t="s">
        <v>225</v>
      </c>
      <c r="I199" s="212">
        <v>1849</v>
      </c>
      <c r="J199" s="605"/>
      <c r="K199" s="212">
        <v>3058.14</v>
      </c>
      <c r="L199" s="212">
        <f t="shared" si="28"/>
        <v>5654500.8600000003</v>
      </c>
      <c r="M199" s="602"/>
      <c r="N199" s="675">
        <f>+'Yeşil Defter'!K209</f>
        <v>0</v>
      </c>
      <c r="O199" s="675">
        <f>+'Yeşil Defter'!L209</f>
        <v>0</v>
      </c>
      <c r="P199" s="675">
        <f>+'Yeşil Defter'!M209</f>
        <v>0</v>
      </c>
      <c r="Q199" s="212"/>
      <c r="R199" s="605">
        <f t="shared" si="29"/>
        <v>0</v>
      </c>
      <c r="S199" s="225">
        <f t="shared" si="30"/>
        <v>0</v>
      </c>
      <c r="T199" s="237">
        <f t="shared" si="31"/>
        <v>0</v>
      </c>
    </row>
    <row r="200" spans="1:20" ht="30" hidden="1" customHeight="1" x14ac:dyDescent="0.3">
      <c r="A200" s="262" t="s">
        <v>154</v>
      </c>
      <c r="C200" s="244">
        <v>88</v>
      </c>
      <c r="D200" s="161" t="s">
        <v>395</v>
      </c>
      <c r="E200" s="969" t="s">
        <v>396</v>
      </c>
      <c r="F200" s="970"/>
      <c r="G200" s="971"/>
      <c r="H200" s="544" t="s">
        <v>225</v>
      </c>
      <c r="I200" s="212">
        <v>1849</v>
      </c>
      <c r="J200" s="605"/>
      <c r="K200" s="212">
        <v>3419.9</v>
      </c>
      <c r="L200" s="212">
        <f t="shared" si="28"/>
        <v>6323395.0999999996</v>
      </c>
      <c r="M200" s="602"/>
      <c r="N200" s="675">
        <f>+'Yeşil Defter'!K210</f>
        <v>0</v>
      </c>
      <c r="O200" s="675">
        <f>+'Yeşil Defter'!L210</f>
        <v>0</v>
      </c>
      <c r="P200" s="675">
        <f>+'Yeşil Defter'!M210</f>
        <v>0</v>
      </c>
      <c r="Q200" s="212"/>
      <c r="R200" s="605">
        <f t="shared" si="29"/>
        <v>0</v>
      </c>
      <c r="S200" s="225">
        <f t="shared" si="30"/>
        <v>0</v>
      </c>
      <c r="T200" s="237">
        <f t="shared" si="31"/>
        <v>0</v>
      </c>
    </row>
    <row r="201" spans="1:20" ht="30" hidden="1" customHeight="1" x14ac:dyDescent="0.3">
      <c r="A201" s="262" t="s">
        <v>154</v>
      </c>
      <c r="C201" s="244">
        <v>89</v>
      </c>
      <c r="D201" s="161" t="s">
        <v>397</v>
      </c>
      <c r="E201" s="969" t="s">
        <v>398</v>
      </c>
      <c r="F201" s="970"/>
      <c r="G201" s="971"/>
      <c r="H201" s="544" t="s">
        <v>225</v>
      </c>
      <c r="I201" s="212">
        <v>3999</v>
      </c>
      <c r="J201" s="605"/>
      <c r="K201" s="212">
        <v>880.44</v>
      </c>
      <c r="L201" s="212">
        <f t="shared" si="28"/>
        <v>3520879.56</v>
      </c>
      <c r="M201" s="602"/>
      <c r="N201" s="675">
        <f>+'Yeşil Defter'!K211</f>
        <v>0</v>
      </c>
      <c r="O201" s="675">
        <f>+'Yeşil Defter'!L211</f>
        <v>0</v>
      </c>
      <c r="P201" s="675">
        <f>+'Yeşil Defter'!M211</f>
        <v>0</v>
      </c>
      <c r="Q201" s="212"/>
      <c r="R201" s="605">
        <f t="shared" si="29"/>
        <v>0</v>
      </c>
      <c r="S201" s="225">
        <f t="shared" si="30"/>
        <v>0</v>
      </c>
      <c r="T201" s="237">
        <f t="shared" si="31"/>
        <v>0</v>
      </c>
    </row>
    <row r="202" spans="1:20" ht="30" hidden="1" customHeight="1" x14ac:dyDescent="0.3">
      <c r="A202" s="262" t="s">
        <v>154</v>
      </c>
      <c r="C202" s="244">
        <v>90</v>
      </c>
      <c r="D202" s="161" t="s">
        <v>399</v>
      </c>
      <c r="E202" s="969" t="s">
        <v>400</v>
      </c>
      <c r="F202" s="970"/>
      <c r="G202" s="971"/>
      <c r="H202" s="544" t="s">
        <v>225</v>
      </c>
      <c r="I202" s="212">
        <v>3999</v>
      </c>
      <c r="J202" s="605"/>
      <c r="K202" s="212">
        <v>1076.47</v>
      </c>
      <c r="L202" s="212">
        <f t="shared" si="28"/>
        <v>4304803.53</v>
      </c>
      <c r="M202" s="602"/>
      <c r="N202" s="675">
        <f>+'Yeşil Defter'!K212</f>
        <v>0</v>
      </c>
      <c r="O202" s="675">
        <f>+'Yeşil Defter'!L212</f>
        <v>0</v>
      </c>
      <c r="P202" s="675">
        <f>+'Yeşil Defter'!M212</f>
        <v>0</v>
      </c>
      <c r="Q202" s="212"/>
      <c r="R202" s="605">
        <f t="shared" si="29"/>
        <v>0</v>
      </c>
      <c r="S202" s="225">
        <f t="shared" si="30"/>
        <v>0</v>
      </c>
      <c r="T202" s="237">
        <f t="shared" si="31"/>
        <v>0</v>
      </c>
    </row>
    <row r="203" spans="1:20" ht="30" hidden="1" customHeight="1" x14ac:dyDescent="0.3">
      <c r="A203" s="262" t="s">
        <v>154</v>
      </c>
      <c r="C203" s="244">
        <v>91</v>
      </c>
      <c r="D203" s="161" t="s">
        <v>401</v>
      </c>
      <c r="E203" s="969" t="s">
        <v>402</v>
      </c>
      <c r="F203" s="970"/>
      <c r="G203" s="971"/>
      <c r="H203" s="544" t="s">
        <v>225</v>
      </c>
      <c r="I203" s="212">
        <v>3999</v>
      </c>
      <c r="J203" s="605"/>
      <c r="K203" s="212">
        <v>291.58</v>
      </c>
      <c r="L203" s="212">
        <f t="shared" si="28"/>
        <v>1166028.42</v>
      </c>
      <c r="M203" s="602"/>
      <c r="N203" s="675">
        <f>+'Yeşil Defter'!K213</f>
        <v>0</v>
      </c>
      <c r="O203" s="675">
        <f>+'Yeşil Defter'!L213</f>
        <v>0</v>
      </c>
      <c r="P203" s="675">
        <f>+'Yeşil Defter'!M213</f>
        <v>0</v>
      </c>
      <c r="Q203" s="212"/>
      <c r="R203" s="605">
        <f t="shared" si="29"/>
        <v>0</v>
      </c>
      <c r="S203" s="225">
        <f t="shared" si="30"/>
        <v>0</v>
      </c>
      <c r="T203" s="237">
        <f t="shared" si="31"/>
        <v>0</v>
      </c>
    </row>
    <row r="204" spans="1:20" ht="30" hidden="1" customHeight="1" x14ac:dyDescent="0.3">
      <c r="A204" s="262" t="s">
        <v>154</v>
      </c>
      <c r="C204" s="244">
        <v>92</v>
      </c>
      <c r="D204" s="161" t="s">
        <v>403</v>
      </c>
      <c r="E204" s="969" t="s">
        <v>404</v>
      </c>
      <c r="F204" s="970"/>
      <c r="G204" s="971"/>
      <c r="H204" s="544" t="s">
        <v>225</v>
      </c>
      <c r="I204" s="212">
        <v>3999</v>
      </c>
      <c r="J204" s="605"/>
      <c r="K204" s="212">
        <v>619.36</v>
      </c>
      <c r="L204" s="212">
        <f t="shared" si="28"/>
        <v>2476820.64</v>
      </c>
      <c r="M204" s="602"/>
      <c r="N204" s="675">
        <f>+'Yeşil Defter'!K214</f>
        <v>0</v>
      </c>
      <c r="O204" s="675">
        <f>+'Yeşil Defter'!L214</f>
        <v>0</v>
      </c>
      <c r="P204" s="675">
        <f>+'Yeşil Defter'!M214</f>
        <v>0</v>
      </c>
      <c r="Q204" s="212"/>
      <c r="R204" s="605">
        <f t="shared" si="29"/>
        <v>0</v>
      </c>
      <c r="S204" s="225">
        <f t="shared" si="30"/>
        <v>0</v>
      </c>
      <c r="T204" s="237">
        <f t="shared" si="31"/>
        <v>0</v>
      </c>
    </row>
    <row r="205" spans="1:20" ht="30" hidden="1" customHeight="1" x14ac:dyDescent="0.3">
      <c r="A205" s="262" t="s">
        <v>154</v>
      </c>
      <c r="C205" s="244">
        <v>93</v>
      </c>
      <c r="D205" s="161" t="s">
        <v>405</v>
      </c>
      <c r="E205" s="969" t="s">
        <v>406</v>
      </c>
      <c r="F205" s="970"/>
      <c r="G205" s="971"/>
      <c r="H205" s="544" t="s">
        <v>225</v>
      </c>
      <c r="I205" s="212">
        <v>3924</v>
      </c>
      <c r="J205" s="605"/>
      <c r="K205" s="212">
        <v>493.2</v>
      </c>
      <c r="L205" s="212">
        <f t="shared" si="28"/>
        <v>1935316.8</v>
      </c>
      <c r="M205" s="602"/>
      <c r="N205" s="675">
        <f>+'Yeşil Defter'!K215</f>
        <v>0</v>
      </c>
      <c r="O205" s="675">
        <f>+'Yeşil Defter'!L215</f>
        <v>0</v>
      </c>
      <c r="P205" s="675">
        <f>+'Yeşil Defter'!M215</f>
        <v>0</v>
      </c>
      <c r="Q205" s="212"/>
      <c r="R205" s="605">
        <f t="shared" si="29"/>
        <v>0</v>
      </c>
      <c r="S205" s="225">
        <f t="shared" si="30"/>
        <v>0</v>
      </c>
      <c r="T205" s="237">
        <f t="shared" si="31"/>
        <v>0</v>
      </c>
    </row>
    <row r="206" spans="1:20" ht="30" hidden="1" customHeight="1" x14ac:dyDescent="0.3">
      <c r="A206" s="262" t="s">
        <v>154</v>
      </c>
      <c r="C206" s="244">
        <v>94</v>
      </c>
      <c r="D206" s="161" t="s">
        <v>407</v>
      </c>
      <c r="E206" s="969" t="s">
        <v>408</v>
      </c>
      <c r="F206" s="970"/>
      <c r="G206" s="971"/>
      <c r="H206" s="544" t="s">
        <v>225</v>
      </c>
      <c r="I206" s="212">
        <v>4295</v>
      </c>
      <c r="J206" s="605"/>
      <c r="K206" s="212">
        <v>493.2</v>
      </c>
      <c r="L206" s="212">
        <f t="shared" si="28"/>
        <v>2118294</v>
      </c>
      <c r="M206" s="602"/>
      <c r="N206" s="675">
        <f>+'Yeşil Defter'!K216</f>
        <v>0</v>
      </c>
      <c r="O206" s="675">
        <f>+'Yeşil Defter'!L216</f>
        <v>0</v>
      </c>
      <c r="P206" s="675">
        <f>+'Yeşil Defter'!M216</f>
        <v>0</v>
      </c>
      <c r="Q206" s="212"/>
      <c r="R206" s="605">
        <f t="shared" si="29"/>
        <v>0</v>
      </c>
      <c r="S206" s="225">
        <f t="shared" si="30"/>
        <v>0</v>
      </c>
      <c r="T206" s="237">
        <f t="shared" si="31"/>
        <v>0</v>
      </c>
    </row>
    <row r="207" spans="1:20" ht="30" hidden="1" customHeight="1" x14ac:dyDescent="0.3">
      <c r="A207" s="262" t="s">
        <v>154</v>
      </c>
      <c r="C207" s="244">
        <v>95</v>
      </c>
      <c r="D207" s="161" t="s">
        <v>409</v>
      </c>
      <c r="E207" s="969" t="s">
        <v>410</v>
      </c>
      <c r="F207" s="970"/>
      <c r="G207" s="971"/>
      <c r="H207" s="544" t="s">
        <v>225</v>
      </c>
      <c r="I207" s="212">
        <v>4295</v>
      </c>
      <c r="J207" s="605"/>
      <c r="K207" s="212">
        <v>493.2</v>
      </c>
      <c r="L207" s="212">
        <f t="shared" si="28"/>
        <v>2118294</v>
      </c>
      <c r="M207" s="602"/>
      <c r="N207" s="675">
        <f>+'Yeşil Defter'!K217</f>
        <v>0</v>
      </c>
      <c r="O207" s="675">
        <f>+'Yeşil Defter'!L217</f>
        <v>0</v>
      </c>
      <c r="P207" s="675">
        <f>+'Yeşil Defter'!M217</f>
        <v>0</v>
      </c>
      <c r="Q207" s="212"/>
      <c r="R207" s="605">
        <f t="shared" si="29"/>
        <v>0</v>
      </c>
      <c r="S207" s="225">
        <f t="shared" si="30"/>
        <v>0</v>
      </c>
      <c r="T207" s="237">
        <f t="shared" si="31"/>
        <v>0</v>
      </c>
    </row>
    <row r="208" spans="1:20" ht="30" hidden="1" customHeight="1" x14ac:dyDescent="0.3">
      <c r="A208" s="262" t="s">
        <v>154</v>
      </c>
      <c r="C208" s="244">
        <v>96</v>
      </c>
      <c r="D208" s="161" t="s">
        <v>411</v>
      </c>
      <c r="E208" s="969" t="s">
        <v>412</v>
      </c>
      <c r="F208" s="970"/>
      <c r="G208" s="971"/>
      <c r="H208" s="544" t="s">
        <v>225</v>
      </c>
      <c r="I208" s="212">
        <v>3924</v>
      </c>
      <c r="J208" s="605"/>
      <c r="K208" s="212">
        <v>1892.35</v>
      </c>
      <c r="L208" s="212">
        <f t="shared" si="28"/>
        <v>7425581.4000000004</v>
      </c>
      <c r="M208" s="602"/>
      <c r="N208" s="675">
        <f>+'Yeşil Defter'!K218</f>
        <v>0</v>
      </c>
      <c r="O208" s="675">
        <f>+'Yeşil Defter'!L218</f>
        <v>0</v>
      </c>
      <c r="P208" s="675">
        <f>+'Yeşil Defter'!M218</f>
        <v>0</v>
      </c>
      <c r="Q208" s="212"/>
      <c r="R208" s="605">
        <f t="shared" si="29"/>
        <v>0</v>
      </c>
      <c r="S208" s="225">
        <f t="shared" si="30"/>
        <v>0</v>
      </c>
      <c r="T208" s="237">
        <f t="shared" si="31"/>
        <v>0</v>
      </c>
    </row>
    <row r="209" spans="1:20" ht="30" hidden="1" customHeight="1" x14ac:dyDescent="0.3">
      <c r="A209" s="262" t="s">
        <v>154</v>
      </c>
      <c r="C209" s="244">
        <v>97</v>
      </c>
      <c r="D209" s="161" t="s">
        <v>413</v>
      </c>
      <c r="E209" s="969" t="s">
        <v>414</v>
      </c>
      <c r="F209" s="970"/>
      <c r="G209" s="971"/>
      <c r="H209" s="544" t="s">
        <v>225</v>
      </c>
      <c r="I209" s="212">
        <v>4295</v>
      </c>
      <c r="J209" s="605"/>
      <c r="K209" s="212">
        <v>1892.35</v>
      </c>
      <c r="L209" s="212">
        <f t="shared" si="28"/>
        <v>8127643.25</v>
      </c>
      <c r="M209" s="602"/>
      <c r="N209" s="675">
        <f>+'Yeşil Defter'!K219</f>
        <v>0</v>
      </c>
      <c r="O209" s="675">
        <f>+'Yeşil Defter'!L219</f>
        <v>0</v>
      </c>
      <c r="P209" s="675">
        <f>+'Yeşil Defter'!M219</f>
        <v>0</v>
      </c>
      <c r="Q209" s="212"/>
      <c r="R209" s="605">
        <f t="shared" si="29"/>
        <v>0</v>
      </c>
      <c r="S209" s="225">
        <f t="shared" si="30"/>
        <v>0</v>
      </c>
      <c r="T209" s="237">
        <f t="shared" si="31"/>
        <v>0</v>
      </c>
    </row>
    <row r="210" spans="1:20" ht="30" hidden="1" customHeight="1" x14ac:dyDescent="0.3">
      <c r="A210" s="262" t="s">
        <v>154</v>
      </c>
      <c r="C210" s="244">
        <v>98</v>
      </c>
      <c r="D210" s="161" t="s">
        <v>415</v>
      </c>
      <c r="E210" s="969" t="s">
        <v>416</v>
      </c>
      <c r="F210" s="970"/>
      <c r="G210" s="971"/>
      <c r="H210" s="544" t="s">
        <v>225</v>
      </c>
      <c r="I210" s="212">
        <v>4295</v>
      </c>
      <c r="J210" s="605"/>
      <c r="K210" s="212">
        <v>1892.35</v>
      </c>
      <c r="L210" s="212">
        <f t="shared" si="28"/>
        <v>8127643.25</v>
      </c>
      <c r="M210" s="602"/>
      <c r="N210" s="675">
        <f>+'Yeşil Defter'!K220</f>
        <v>0</v>
      </c>
      <c r="O210" s="675">
        <f>+'Yeşil Defter'!L220</f>
        <v>0</v>
      </c>
      <c r="P210" s="675">
        <f>+'Yeşil Defter'!M220</f>
        <v>0</v>
      </c>
      <c r="Q210" s="212"/>
      <c r="R210" s="605">
        <f t="shared" si="29"/>
        <v>0</v>
      </c>
      <c r="S210" s="225">
        <f t="shared" si="30"/>
        <v>0</v>
      </c>
      <c r="T210" s="237">
        <f t="shared" si="31"/>
        <v>0</v>
      </c>
    </row>
    <row r="211" spans="1:20" ht="30" hidden="1" customHeight="1" x14ac:dyDescent="0.3">
      <c r="A211" s="262" t="s">
        <v>154</v>
      </c>
      <c r="C211" s="244">
        <v>99</v>
      </c>
      <c r="D211" s="213" t="s">
        <v>417</v>
      </c>
      <c r="E211" s="969" t="s">
        <v>418</v>
      </c>
      <c r="F211" s="970"/>
      <c r="G211" s="971"/>
      <c r="H211" s="544" t="s">
        <v>225</v>
      </c>
      <c r="I211" s="212">
        <v>3952</v>
      </c>
      <c r="J211" s="605"/>
      <c r="K211" s="212">
        <v>528.38</v>
      </c>
      <c r="L211" s="212">
        <f t="shared" si="28"/>
        <v>2088157.76</v>
      </c>
      <c r="M211" s="602"/>
      <c r="N211" s="675">
        <f>+'Yeşil Defter'!K221</f>
        <v>0</v>
      </c>
      <c r="O211" s="675">
        <f>+'Yeşil Defter'!L221</f>
        <v>0</v>
      </c>
      <c r="P211" s="675">
        <f>+'Yeşil Defter'!M221</f>
        <v>0</v>
      </c>
      <c r="Q211" s="212"/>
      <c r="R211" s="605">
        <f t="shared" si="29"/>
        <v>0</v>
      </c>
      <c r="S211" s="225">
        <f t="shared" si="30"/>
        <v>0</v>
      </c>
      <c r="T211" s="237">
        <f t="shared" si="31"/>
        <v>0</v>
      </c>
    </row>
    <row r="212" spans="1:20" ht="30" hidden="1" customHeight="1" x14ac:dyDescent="0.3">
      <c r="A212" s="262" t="s">
        <v>154</v>
      </c>
      <c r="C212" s="244">
        <v>100</v>
      </c>
      <c r="D212" s="213" t="s">
        <v>419</v>
      </c>
      <c r="E212" s="969" t="s">
        <v>420</v>
      </c>
      <c r="F212" s="970"/>
      <c r="G212" s="971"/>
      <c r="H212" s="544" t="s">
        <v>225</v>
      </c>
      <c r="I212" s="212">
        <v>5743</v>
      </c>
      <c r="J212" s="605"/>
      <c r="K212" s="212">
        <v>2117.79</v>
      </c>
      <c r="L212" s="212">
        <f t="shared" si="28"/>
        <v>12162467.970000001</v>
      </c>
      <c r="M212" s="602"/>
      <c r="N212" s="675">
        <f>+'Yeşil Defter'!K222</f>
        <v>0</v>
      </c>
      <c r="O212" s="675">
        <f>+'Yeşil Defter'!L222</f>
        <v>0</v>
      </c>
      <c r="P212" s="675">
        <f>+'Yeşil Defter'!M222</f>
        <v>0</v>
      </c>
      <c r="Q212" s="212"/>
      <c r="R212" s="605">
        <f t="shared" si="29"/>
        <v>0</v>
      </c>
      <c r="S212" s="225">
        <f t="shared" si="30"/>
        <v>0</v>
      </c>
      <c r="T212" s="237">
        <f t="shared" si="31"/>
        <v>0</v>
      </c>
    </row>
    <row r="213" spans="1:20" ht="30" hidden="1" customHeight="1" x14ac:dyDescent="0.3">
      <c r="A213" s="262" t="s">
        <v>154</v>
      </c>
      <c r="C213" s="244">
        <v>101</v>
      </c>
      <c r="D213" s="213" t="s">
        <v>421</v>
      </c>
      <c r="E213" s="969" t="s">
        <v>422</v>
      </c>
      <c r="F213" s="970"/>
      <c r="G213" s="971"/>
      <c r="H213" s="544" t="s">
        <v>225</v>
      </c>
      <c r="I213" s="212">
        <v>910</v>
      </c>
      <c r="J213" s="605"/>
      <c r="K213" s="212">
        <v>14111.21</v>
      </c>
      <c r="L213" s="212">
        <f t="shared" si="28"/>
        <v>12841201.1</v>
      </c>
      <c r="M213" s="602"/>
      <c r="N213" s="675">
        <f>+'Yeşil Defter'!K223</f>
        <v>0</v>
      </c>
      <c r="O213" s="675">
        <f>+'Yeşil Defter'!L223</f>
        <v>0</v>
      </c>
      <c r="P213" s="675">
        <f>+'Yeşil Defter'!M223</f>
        <v>0</v>
      </c>
      <c r="Q213" s="212"/>
      <c r="R213" s="605">
        <f t="shared" si="29"/>
        <v>0</v>
      </c>
      <c r="S213" s="225">
        <f t="shared" si="30"/>
        <v>0</v>
      </c>
      <c r="T213" s="237">
        <f t="shared" si="31"/>
        <v>0</v>
      </c>
    </row>
    <row r="214" spans="1:20" ht="30" hidden="1" customHeight="1" x14ac:dyDescent="0.3">
      <c r="A214" s="262" t="s">
        <v>154</v>
      </c>
      <c r="C214" s="244">
        <v>102</v>
      </c>
      <c r="D214" s="213" t="s">
        <v>423</v>
      </c>
      <c r="E214" s="969" t="s">
        <v>424</v>
      </c>
      <c r="F214" s="970"/>
      <c r="G214" s="971"/>
      <c r="H214" s="544" t="s">
        <v>202</v>
      </c>
      <c r="I214" s="212">
        <v>1625</v>
      </c>
      <c r="J214" s="605"/>
      <c r="K214" s="212">
        <v>250</v>
      </c>
      <c r="L214" s="212">
        <f t="shared" si="28"/>
        <v>406250</v>
      </c>
      <c r="M214" s="602"/>
      <c r="N214" s="675">
        <f>+'Yeşil Defter'!K224</f>
        <v>0</v>
      </c>
      <c r="O214" s="675">
        <f>+'Yeşil Defter'!L224</f>
        <v>0</v>
      </c>
      <c r="P214" s="675">
        <f>+'Yeşil Defter'!M224</f>
        <v>0</v>
      </c>
      <c r="Q214" s="212"/>
      <c r="R214" s="605">
        <f t="shared" si="29"/>
        <v>0</v>
      </c>
      <c r="S214" s="225">
        <f t="shared" si="30"/>
        <v>0</v>
      </c>
      <c r="T214" s="237">
        <f t="shared" si="31"/>
        <v>0</v>
      </c>
    </row>
    <row r="215" spans="1:20" ht="30" hidden="1" customHeight="1" x14ac:dyDescent="0.3">
      <c r="A215" s="262" t="s">
        <v>154</v>
      </c>
      <c r="C215" s="244">
        <v>103</v>
      </c>
      <c r="D215" s="213" t="s">
        <v>425</v>
      </c>
      <c r="E215" s="969" t="s">
        <v>426</v>
      </c>
      <c r="F215" s="970"/>
      <c r="G215" s="971"/>
      <c r="H215" s="544" t="s">
        <v>225</v>
      </c>
      <c r="I215" s="212">
        <v>1121</v>
      </c>
      <c r="J215" s="605"/>
      <c r="K215" s="212">
        <v>482.96</v>
      </c>
      <c r="L215" s="212">
        <f t="shared" si="28"/>
        <v>541398.16</v>
      </c>
      <c r="M215" s="602"/>
      <c r="N215" s="675">
        <f>+'Yeşil Defter'!K225</f>
        <v>0</v>
      </c>
      <c r="O215" s="675">
        <f>+'Yeşil Defter'!L225</f>
        <v>0</v>
      </c>
      <c r="P215" s="675">
        <f>+'Yeşil Defter'!M225</f>
        <v>0</v>
      </c>
      <c r="Q215" s="212"/>
      <c r="R215" s="605">
        <f t="shared" si="29"/>
        <v>0</v>
      </c>
      <c r="S215" s="225">
        <f t="shared" si="30"/>
        <v>0</v>
      </c>
      <c r="T215" s="237">
        <f t="shared" si="31"/>
        <v>0</v>
      </c>
    </row>
    <row r="216" spans="1:20" ht="30" hidden="1" customHeight="1" x14ac:dyDescent="0.3">
      <c r="A216" s="262" t="s">
        <v>154</v>
      </c>
      <c r="C216" s="244">
        <v>104</v>
      </c>
      <c r="D216" s="213" t="s">
        <v>427</v>
      </c>
      <c r="E216" s="969" t="s">
        <v>428</v>
      </c>
      <c r="F216" s="970"/>
      <c r="G216" s="971"/>
      <c r="H216" s="544" t="s">
        <v>202</v>
      </c>
      <c r="I216" s="212">
        <v>2600</v>
      </c>
      <c r="J216" s="605"/>
      <c r="K216" s="212">
        <v>3805.85</v>
      </c>
      <c r="L216" s="212">
        <f t="shared" si="28"/>
        <v>9895210</v>
      </c>
      <c r="M216" s="602"/>
      <c r="N216" s="675">
        <f>+'Yeşil Defter'!K226</f>
        <v>0</v>
      </c>
      <c r="O216" s="675">
        <f>+'Yeşil Defter'!L226</f>
        <v>0</v>
      </c>
      <c r="P216" s="675">
        <f>+'Yeşil Defter'!M226</f>
        <v>0</v>
      </c>
      <c r="Q216" s="212"/>
      <c r="R216" s="605">
        <f t="shared" si="29"/>
        <v>0</v>
      </c>
      <c r="S216" s="225">
        <f t="shared" si="30"/>
        <v>0</v>
      </c>
      <c r="T216" s="237">
        <f t="shared" si="31"/>
        <v>0</v>
      </c>
    </row>
    <row r="217" spans="1:20" ht="40.049999999999997" hidden="1" customHeight="1" x14ac:dyDescent="0.3">
      <c r="A217" s="262" t="s">
        <v>1242</v>
      </c>
      <c r="C217" s="258"/>
      <c r="D217" s="258"/>
      <c r="E217" s="972" t="s">
        <v>33</v>
      </c>
      <c r="F217" s="972"/>
      <c r="G217" s="972"/>
      <c r="H217" s="973" t="s">
        <v>29</v>
      </c>
      <c r="I217" s="973"/>
      <c r="J217" s="973"/>
      <c r="K217" s="973"/>
      <c r="L217" s="973"/>
      <c r="M217" s="549"/>
      <c r="N217" s="973" t="s">
        <v>22</v>
      </c>
      <c r="O217" s="973"/>
      <c r="P217" s="973"/>
      <c r="Q217" s="973"/>
      <c r="R217" s="973"/>
      <c r="S217" s="973"/>
      <c r="T217" s="973"/>
    </row>
    <row r="218" spans="1:20" ht="19.95" hidden="1" customHeight="1" x14ac:dyDescent="0.3">
      <c r="A218" s="262" t="s">
        <v>1242</v>
      </c>
      <c r="D218" s="28"/>
      <c r="E218" s="974" t="s">
        <v>1214</v>
      </c>
      <c r="F218" s="974"/>
      <c r="G218" s="974"/>
      <c r="H218" s="975" t="s">
        <v>38</v>
      </c>
      <c r="I218" s="975"/>
      <c r="J218" s="975"/>
      <c r="K218" s="975"/>
      <c r="L218" s="975"/>
      <c r="M218" s="562"/>
      <c r="N218" s="975" t="s">
        <v>1437</v>
      </c>
      <c r="O218" s="975"/>
      <c r="P218" s="975"/>
      <c r="Q218" s="975"/>
      <c r="R218" s="975"/>
      <c r="S218" s="975"/>
      <c r="T218" s="975"/>
    </row>
    <row r="219" spans="1:20" ht="19.95" hidden="1" customHeight="1" x14ac:dyDescent="0.3">
      <c r="A219" s="262" t="s">
        <v>1242</v>
      </c>
      <c r="C219" s="228"/>
      <c r="D219" s="228"/>
      <c r="E219" s="561"/>
      <c r="F219" s="561"/>
      <c r="G219" s="561"/>
      <c r="H219" s="228"/>
      <c r="I219" s="260"/>
      <c r="J219" s="260"/>
      <c r="K219" s="260"/>
      <c r="L219" s="260"/>
      <c r="M219" s="260"/>
      <c r="N219" s="975"/>
      <c r="O219" s="975"/>
      <c r="P219" s="975"/>
      <c r="Q219" s="975"/>
      <c r="R219" s="975"/>
      <c r="S219" s="975"/>
      <c r="T219" s="975"/>
    </row>
    <row r="220" spans="1:20" ht="19.95" hidden="1" customHeight="1" x14ac:dyDescent="0.3">
      <c r="A220" s="262" t="s">
        <v>1242</v>
      </c>
      <c r="C220" s="228"/>
      <c r="D220" s="228"/>
      <c r="E220" s="561"/>
      <c r="F220" s="561"/>
      <c r="G220" s="561"/>
      <c r="H220" s="228"/>
      <c r="I220" s="260"/>
      <c r="J220" s="260"/>
      <c r="K220" s="260"/>
      <c r="L220" s="260"/>
      <c r="M220" s="260"/>
      <c r="N220" s="975"/>
      <c r="O220" s="975"/>
      <c r="P220" s="975"/>
      <c r="Q220" s="975"/>
      <c r="R220" s="975"/>
      <c r="S220" s="975"/>
      <c r="T220" s="975"/>
    </row>
    <row r="221" spans="1:20" ht="19.95" hidden="1" customHeight="1" x14ac:dyDescent="0.3">
      <c r="A221" s="262" t="s">
        <v>1242</v>
      </c>
      <c r="C221" s="228"/>
      <c r="D221" s="228"/>
      <c r="E221" s="561"/>
      <c r="F221" s="561"/>
      <c r="G221" s="561"/>
      <c r="H221" s="228"/>
      <c r="I221" s="260"/>
      <c r="J221" s="260"/>
      <c r="K221" s="260"/>
      <c r="L221" s="260"/>
      <c r="M221" s="260"/>
      <c r="N221" s="260"/>
      <c r="O221" s="260"/>
      <c r="P221" s="260"/>
      <c r="Q221" s="260"/>
      <c r="R221" s="260"/>
      <c r="S221" s="624"/>
      <c r="T221" s="260"/>
    </row>
    <row r="222" spans="1:20" ht="19.95" hidden="1" customHeight="1" x14ac:dyDescent="0.3">
      <c r="A222" s="262" t="s">
        <v>1242</v>
      </c>
      <c r="C222" s="228"/>
      <c r="D222" s="228"/>
      <c r="E222" s="561"/>
      <c r="F222" s="561"/>
      <c r="G222" s="561"/>
      <c r="H222" s="975" t="s">
        <v>32</v>
      </c>
      <c r="I222" s="975"/>
      <c r="J222" s="562"/>
      <c r="K222" s="975" t="s">
        <v>1407</v>
      </c>
      <c r="L222" s="975"/>
      <c r="M222" s="562"/>
      <c r="N222" s="968" t="s">
        <v>58</v>
      </c>
      <c r="O222" s="968"/>
      <c r="P222" s="968"/>
      <c r="Q222" s="547"/>
      <c r="R222" s="968" t="s">
        <v>57</v>
      </c>
      <c r="S222" s="968"/>
      <c r="T222" s="968"/>
    </row>
    <row r="223" spans="1:20" ht="19.95" hidden="1" customHeight="1" x14ac:dyDescent="0.3">
      <c r="A223" s="262" t="s">
        <v>1242</v>
      </c>
      <c r="C223" s="228"/>
      <c r="D223" s="228"/>
      <c r="E223" s="561"/>
      <c r="F223" s="561"/>
      <c r="G223" s="561"/>
      <c r="H223" s="976" t="s">
        <v>94</v>
      </c>
      <c r="I223" s="976"/>
      <c r="J223" s="623"/>
      <c r="K223" s="976" t="s">
        <v>94</v>
      </c>
      <c r="L223" s="976"/>
      <c r="M223" s="623"/>
      <c r="N223" s="968" t="s">
        <v>1472</v>
      </c>
      <c r="O223" s="968"/>
      <c r="P223" s="968"/>
      <c r="Q223" s="547"/>
      <c r="R223" s="968" t="s">
        <v>1472</v>
      </c>
      <c r="S223" s="968"/>
      <c r="T223" s="968"/>
    </row>
    <row r="224" spans="1:20" ht="19.95" hidden="1" customHeight="1" x14ac:dyDescent="0.3">
      <c r="A224" s="262" t="s">
        <v>1242</v>
      </c>
      <c r="C224" s="228"/>
      <c r="D224" s="228"/>
      <c r="E224" s="561"/>
      <c r="F224" s="561"/>
      <c r="G224" s="561"/>
      <c r="H224" s="976"/>
      <c r="I224" s="976"/>
      <c r="J224" s="623"/>
      <c r="K224" s="976"/>
      <c r="L224" s="976"/>
      <c r="M224" s="623"/>
      <c r="N224" s="968"/>
      <c r="O224" s="968"/>
      <c r="P224" s="968"/>
      <c r="Q224" s="260"/>
      <c r="R224" s="968"/>
      <c r="S224" s="968"/>
      <c r="T224" s="968"/>
    </row>
    <row r="225" spans="1:20" ht="19.95" hidden="1" customHeight="1" x14ac:dyDescent="0.3">
      <c r="A225" s="262" t="s">
        <v>1242</v>
      </c>
      <c r="C225" s="228"/>
      <c r="D225" s="228"/>
      <c r="E225" s="561"/>
      <c r="F225" s="561"/>
      <c r="G225" s="561"/>
      <c r="H225" s="228"/>
      <c r="I225" s="260"/>
      <c r="J225" s="260"/>
      <c r="K225" s="260"/>
      <c r="L225" s="260"/>
      <c r="M225" s="260"/>
      <c r="N225" s="260"/>
      <c r="O225" s="260"/>
      <c r="P225" s="260"/>
      <c r="Q225" s="260"/>
      <c r="R225" s="260"/>
      <c r="S225" s="624"/>
      <c r="T225" s="260"/>
    </row>
    <row r="226" spans="1:20" ht="19.95" hidden="1" customHeight="1" x14ac:dyDescent="0.3">
      <c r="A226" s="262" t="s">
        <v>1242</v>
      </c>
      <c r="C226" s="228"/>
      <c r="D226" s="228"/>
      <c r="E226" s="975" t="s">
        <v>1215</v>
      </c>
      <c r="F226" s="975"/>
      <c r="G226" s="975"/>
      <c r="H226" s="975" t="s">
        <v>1348</v>
      </c>
      <c r="I226" s="975"/>
      <c r="J226" s="975"/>
      <c r="K226" s="975"/>
      <c r="L226" s="975"/>
      <c r="M226" s="562"/>
      <c r="N226" s="977" t="s">
        <v>1217</v>
      </c>
      <c r="O226" s="968"/>
      <c r="P226" s="968"/>
      <c r="Q226" s="968"/>
      <c r="R226" s="968"/>
      <c r="S226" s="968"/>
      <c r="T226" s="968"/>
    </row>
    <row r="227" spans="1:20" ht="19.95" hidden="1" customHeight="1" x14ac:dyDescent="0.3">
      <c r="A227" s="262" t="s">
        <v>1290</v>
      </c>
      <c r="C227" s="228"/>
      <c r="D227" s="228"/>
      <c r="E227" s="975"/>
      <c r="F227" s="975"/>
      <c r="G227" s="975"/>
      <c r="H227" s="975"/>
      <c r="I227" s="975"/>
      <c r="J227" s="975"/>
      <c r="K227" s="975"/>
      <c r="L227" s="975"/>
      <c r="M227" s="562"/>
      <c r="N227" s="968"/>
      <c r="O227" s="968"/>
      <c r="P227" s="968"/>
      <c r="Q227" s="968"/>
      <c r="R227" s="968"/>
      <c r="S227" s="968"/>
      <c r="T227" s="968"/>
    </row>
    <row r="228" spans="1:20" ht="30" hidden="1" customHeight="1" x14ac:dyDescent="0.3">
      <c r="A228" s="262" t="s">
        <v>154</v>
      </c>
      <c r="C228" s="255">
        <v>105</v>
      </c>
      <c r="D228" s="256" t="s">
        <v>429</v>
      </c>
      <c r="E228" s="978" t="s">
        <v>430</v>
      </c>
      <c r="F228" s="979"/>
      <c r="G228" s="980"/>
      <c r="H228" s="546" t="s">
        <v>202</v>
      </c>
      <c r="I228" s="257">
        <v>2275</v>
      </c>
      <c r="J228" s="606"/>
      <c r="K228" s="257">
        <v>1252.8800000000001</v>
      </c>
      <c r="L228" s="257">
        <f t="shared" ref="L228:L250" si="32">+ROUND(I228*K228,2)</f>
        <v>2850302</v>
      </c>
      <c r="M228" s="603"/>
      <c r="N228" s="675">
        <f>+'Yeşil Defter'!K227</f>
        <v>0</v>
      </c>
      <c r="O228" s="675">
        <f>+'Yeşil Defter'!L227</f>
        <v>0</v>
      </c>
      <c r="P228" s="675">
        <f>+'Yeşil Defter'!M227</f>
        <v>0</v>
      </c>
      <c r="Q228" s="257"/>
      <c r="R228" s="606">
        <f t="shared" ref="R228:R250" si="33">+ROUND(K228*N228,2)</f>
        <v>0</v>
      </c>
      <c r="S228" s="247">
        <f t="shared" si="30"/>
        <v>0</v>
      </c>
      <c r="T228" s="248">
        <f t="shared" ref="T228:T250" si="34">+ROUND(K228*P228,2)</f>
        <v>0</v>
      </c>
    </row>
    <row r="229" spans="1:20" ht="30" hidden="1" customHeight="1" x14ac:dyDescent="0.3">
      <c r="A229" s="262" t="s">
        <v>154</v>
      </c>
      <c r="C229" s="244">
        <v>106</v>
      </c>
      <c r="D229" s="161" t="s">
        <v>431</v>
      </c>
      <c r="E229" s="969" t="s">
        <v>432</v>
      </c>
      <c r="F229" s="970"/>
      <c r="G229" s="971"/>
      <c r="H229" s="544" t="s">
        <v>202</v>
      </c>
      <c r="I229" s="212">
        <v>2275</v>
      </c>
      <c r="J229" s="605"/>
      <c r="K229" s="212">
        <v>605.75</v>
      </c>
      <c r="L229" s="212">
        <f t="shared" si="32"/>
        <v>1378081.25</v>
      </c>
      <c r="M229" s="602"/>
      <c r="N229" s="675">
        <f>+'Yeşil Defter'!K228</f>
        <v>0</v>
      </c>
      <c r="O229" s="675">
        <f>+'Yeşil Defter'!L228</f>
        <v>0</v>
      </c>
      <c r="P229" s="675">
        <f>+'Yeşil Defter'!M228</f>
        <v>0</v>
      </c>
      <c r="Q229" s="212"/>
      <c r="R229" s="605">
        <f t="shared" si="33"/>
        <v>0</v>
      </c>
      <c r="S229" s="225">
        <f t="shared" si="30"/>
        <v>0</v>
      </c>
      <c r="T229" s="237">
        <f t="shared" si="34"/>
        <v>0</v>
      </c>
    </row>
    <row r="230" spans="1:20" ht="30" hidden="1" customHeight="1" x14ac:dyDescent="0.3">
      <c r="A230" s="262" t="s">
        <v>154</v>
      </c>
      <c r="C230" s="244">
        <v>107</v>
      </c>
      <c r="D230" s="161" t="s">
        <v>433</v>
      </c>
      <c r="E230" s="969" t="s">
        <v>434</v>
      </c>
      <c r="F230" s="970"/>
      <c r="G230" s="971"/>
      <c r="H230" s="544" t="s">
        <v>202</v>
      </c>
      <c r="I230" s="212">
        <v>2925</v>
      </c>
      <c r="J230" s="605"/>
      <c r="K230" s="212">
        <v>605.75</v>
      </c>
      <c r="L230" s="212">
        <f t="shared" si="32"/>
        <v>1771818.75</v>
      </c>
      <c r="M230" s="602"/>
      <c r="N230" s="675">
        <f>+'Yeşil Defter'!K229</f>
        <v>0</v>
      </c>
      <c r="O230" s="675">
        <f>+'Yeşil Defter'!L229</f>
        <v>0</v>
      </c>
      <c r="P230" s="675">
        <f>+'Yeşil Defter'!M229</f>
        <v>0</v>
      </c>
      <c r="Q230" s="212"/>
      <c r="R230" s="605">
        <f t="shared" si="33"/>
        <v>0</v>
      </c>
      <c r="S230" s="225">
        <f t="shared" si="30"/>
        <v>0</v>
      </c>
      <c r="T230" s="237">
        <f t="shared" si="34"/>
        <v>0</v>
      </c>
    </row>
    <row r="231" spans="1:20" ht="30" hidden="1" customHeight="1" x14ac:dyDescent="0.3">
      <c r="A231" s="262" t="s">
        <v>154</v>
      </c>
      <c r="C231" s="244">
        <v>108</v>
      </c>
      <c r="D231" s="161" t="s">
        <v>435</v>
      </c>
      <c r="E231" s="969" t="s">
        <v>436</v>
      </c>
      <c r="F231" s="970"/>
      <c r="G231" s="971"/>
      <c r="H231" s="544" t="s">
        <v>225</v>
      </c>
      <c r="I231" s="212">
        <v>1560</v>
      </c>
      <c r="J231" s="605"/>
      <c r="K231" s="212">
        <v>560.04</v>
      </c>
      <c r="L231" s="212">
        <f t="shared" si="32"/>
        <v>873662.4</v>
      </c>
      <c r="M231" s="602"/>
      <c r="N231" s="675">
        <f>+'Yeşil Defter'!K230</f>
        <v>0</v>
      </c>
      <c r="O231" s="675">
        <f>+'Yeşil Defter'!L230</f>
        <v>0</v>
      </c>
      <c r="P231" s="675">
        <f>+'Yeşil Defter'!M230</f>
        <v>0</v>
      </c>
      <c r="Q231" s="212"/>
      <c r="R231" s="605">
        <f t="shared" si="33"/>
        <v>0</v>
      </c>
      <c r="S231" s="225">
        <f t="shared" si="30"/>
        <v>0</v>
      </c>
      <c r="T231" s="237">
        <f t="shared" si="34"/>
        <v>0</v>
      </c>
    </row>
    <row r="232" spans="1:20" ht="30" hidden="1" customHeight="1" x14ac:dyDescent="0.3">
      <c r="A232" s="262" t="s">
        <v>154</v>
      </c>
      <c r="C232" s="244">
        <v>109</v>
      </c>
      <c r="D232" s="161" t="s">
        <v>437</v>
      </c>
      <c r="E232" s="969" t="s">
        <v>438</v>
      </c>
      <c r="F232" s="970"/>
      <c r="G232" s="971"/>
      <c r="H232" s="544" t="s">
        <v>225</v>
      </c>
      <c r="I232" s="212">
        <v>2600</v>
      </c>
      <c r="J232" s="605"/>
      <c r="K232" s="212">
        <v>20987.8</v>
      </c>
      <c r="L232" s="212">
        <f t="shared" si="32"/>
        <v>54568280</v>
      </c>
      <c r="M232" s="602"/>
      <c r="N232" s="675">
        <f>+'Yeşil Defter'!K231</f>
        <v>0</v>
      </c>
      <c r="O232" s="675">
        <f>+'Yeşil Defter'!L231</f>
        <v>0</v>
      </c>
      <c r="P232" s="675">
        <f>+'Yeşil Defter'!M231</f>
        <v>0</v>
      </c>
      <c r="Q232" s="212"/>
      <c r="R232" s="605">
        <f t="shared" si="33"/>
        <v>0</v>
      </c>
      <c r="S232" s="225">
        <f t="shared" si="30"/>
        <v>0</v>
      </c>
      <c r="T232" s="237">
        <f t="shared" si="34"/>
        <v>0</v>
      </c>
    </row>
    <row r="233" spans="1:20" ht="30" hidden="1" customHeight="1" x14ac:dyDescent="0.3">
      <c r="A233" s="262" t="s">
        <v>154</v>
      </c>
      <c r="C233" s="244">
        <v>110</v>
      </c>
      <c r="D233" s="213" t="s">
        <v>439</v>
      </c>
      <c r="E233" s="969" t="s">
        <v>440</v>
      </c>
      <c r="F233" s="970"/>
      <c r="G233" s="971"/>
      <c r="H233" s="544" t="s">
        <v>225</v>
      </c>
      <c r="I233" s="212">
        <v>1300</v>
      </c>
      <c r="J233" s="605"/>
      <c r="K233" s="212">
        <v>17353.38</v>
      </c>
      <c r="L233" s="212">
        <f t="shared" si="32"/>
        <v>22559394</v>
      </c>
      <c r="M233" s="602"/>
      <c r="N233" s="675">
        <f>+'Yeşil Defter'!K232</f>
        <v>0</v>
      </c>
      <c r="O233" s="675">
        <f>+'Yeşil Defter'!L232</f>
        <v>0</v>
      </c>
      <c r="P233" s="675">
        <f>+'Yeşil Defter'!M232</f>
        <v>0</v>
      </c>
      <c r="Q233" s="212"/>
      <c r="R233" s="605">
        <f t="shared" si="33"/>
        <v>0</v>
      </c>
      <c r="S233" s="225">
        <f t="shared" si="30"/>
        <v>0</v>
      </c>
      <c r="T233" s="237">
        <f t="shared" si="34"/>
        <v>0</v>
      </c>
    </row>
    <row r="234" spans="1:20" ht="30" hidden="1" customHeight="1" x14ac:dyDescent="0.3">
      <c r="A234" s="262" t="s">
        <v>154</v>
      </c>
      <c r="C234" s="244">
        <v>111</v>
      </c>
      <c r="D234" s="161" t="s">
        <v>441</v>
      </c>
      <c r="E234" s="969" t="s">
        <v>442</v>
      </c>
      <c r="F234" s="970"/>
      <c r="G234" s="971"/>
      <c r="H234" s="544" t="s">
        <v>202</v>
      </c>
      <c r="I234" s="212">
        <v>1235</v>
      </c>
      <c r="J234" s="605"/>
      <c r="K234" s="212">
        <v>4497.83</v>
      </c>
      <c r="L234" s="212">
        <f t="shared" si="32"/>
        <v>5554820.0499999998</v>
      </c>
      <c r="M234" s="602"/>
      <c r="N234" s="675">
        <f>+'Yeşil Defter'!K233</f>
        <v>0</v>
      </c>
      <c r="O234" s="675">
        <f>+'Yeşil Defter'!L233</f>
        <v>0</v>
      </c>
      <c r="P234" s="675">
        <f>+'Yeşil Defter'!M233</f>
        <v>0</v>
      </c>
      <c r="Q234" s="212"/>
      <c r="R234" s="605">
        <f t="shared" si="33"/>
        <v>0</v>
      </c>
      <c r="S234" s="225">
        <f t="shared" si="30"/>
        <v>0</v>
      </c>
      <c r="T234" s="237">
        <f t="shared" si="34"/>
        <v>0</v>
      </c>
    </row>
    <row r="235" spans="1:20" ht="30" hidden="1" customHeight="1" x14ac:dyDescent="0.3">
      <c r="A235" s="262" t="s">
        <v>154</v>
      </c>
      <c r="C235" s="244">
        <v>112</v>
      </c>
      <c r="D235" s="161" t="s">
        <v>443</v>
      </c>
      <c r="E235" s="969" t="s">
        <v>444</v>
      </c>
      <c r="F235" s="970"/>
      <c r="G235" s="971"/>
      <c r="H235" s="544" t="s">
        <v>202</v>
      </c>
      <c r="I235" s="212">
        <v>1235</v>
      </c>
      <c r="J235" s="605"/>
      <c r="K235" s="212">
        <v>2909.43</v>
      </c>
      <c r="L235" s="212">
        <f t="shared" si="32"/>
        <v>3593146.05</v>
      </c>
      <c r="M235" s="602"/>
      <c r="N235" s="675">
        <f>+'Yeşil Defter'!K234</f>
        <v>0</v>
      </c>
      <c r="O235" s="675">
        <f>+'Yeşil Defter'!L234</f>
        <v>0</v>
      </c>
      <c r="P235" s="675">
        <f>+'Yeşil Defter'!M234</f>
        <v>0</v>
      </c>
      <c r="Q235" s="212"/>
      <c r="R235" s="605">
        <f t="shared" si="33"/>
        <v>0</v>
      </c>
      <c r="S235" s="225">
        <f t="shared" si="30"/>
        <v>0</v>
      </c>
      <c r="T235" s="237">
        <f t="shared" si="34"/>
        <v>0</v>
      </c>
    </row>
    <row r="236" spans="1:20" ht="30" hidden="1" customHeight="1" x14ac:dyDescent="0.3">
      <c r="A236" s="262" t="s">
        <v>154</v>
      </c>
      <c r="C236" s="244">
        <v>113</v>
      </c>
      <c r="D236" s="213" t="s">
        <v>445</v>
      </c>
      <c r="E236" s="969" t="s">
        <v>446</v>
      </c>
      <c r="F236" s="970"/>
      <c r="G236" s="971"/>
      <c r="H236" s="544" t="s">
        <v>225</v>
      </c>
      <c r="I236" s="212">
        <v>4680</v>
      </c>
      <c r="J236" s="605"/>
      <c r="K236" s="212">
        <v>1158.7</v>
      </c>
      <c r="L236" s="212">
        <f t="shared" si="32"/>
        <v>5422716</v>
      </c>
      <c r="M236" s="602"/>
      <c r="N236" s="675">
        <f>+'Yeşil Defter'!K235</f>
        <v>0</v>
      </c>
      <c r="O236" s="675">
        <f>+'Yeşil Defter'!L235</f>
        <v>0</v>
      </c>
      <c r="P236" s="675">
        <f>+'Yeşil Defter'!M235</f>
        <v>0</v>
      </c>
      <c r="Q236" s="212"/>
      <c r="R236" s="605">
        <f t="shared" si="33"/>
        <v>0</v>
      </c>
      <c r="S236" s="225">
        <f t="shared" si="30"/>
        <v>0</v>
      </c>
      <c r="T236" s="237">
        <f t="shared" si="34"/>
        <v>0</v>
      </c>
    </row>
    <row r="237" spans="1:20" ht="30" hidden="1" customHeight="1" x14ac:dyDescent="0.3">
      <c r="A237" s="262" t="s">
        <v>154</v>
      </c>
      <c r="C237" s="244">
        <v>114</v>
      </c>
      <c r="D237" s="161" t="s">
        <v>447</v>
      </c>
      <c r="E237" s="969" t="s">
        <v>448</v>
      </c>
      <c r="F237" s="970"/>
      <c r="G237" s="971"/>
      <c r="H237" s="544" t="s">
        <v>225</v>
      </c>
      <c r="I237" s="212">
        <v>6175</v>
      </c>
      <c r="J237" s="605"/>
      <c r="K237" s="212">
        <v>13116.45</v>
      </c>
      <c r="L237" s="212">
        <f t="shared" si="32"/>
        <v>80994078.75</v>
      </c>
      <c r="M237" s="602"/>
      <c r="N237" s="675">
        <f>+'Yeşil Defter'!K236</f>
        <v>0</v>
      </c>
      <c r="O237" s="675">
        <f>+'Yeşil Defter'!L236</f>
        <v>0</v>
      </c>
      <c r="P237" s="675">
        <f>+'Yeşil Defter'!M236</f>
        <v>0</v>
      </c>
      <c r="Q237" s="212"/>
      <c r="R237" s="605">
        <f t="shared" si="33"/>
        <v>0</v>
      </c>
      <c r="S237" s="225">
        <f t="shared" si="30"/>
        <v>0</v>
      </c>
      <c r="T237" s="237">
        <f t="shared" si="34"/>
        <v>0</v>
      </c>
    </row>
    <row r="238" spans="1:20" ht="30" hidden="1" customHeight="1" x14ac:dyDescent="0.3">
      <c r="A238" s="262" t="s">
        <v>154</v>
      </c>
      <c r="C238" s="244">
        <v>115</v>
      </c>
      <c r="D238" s="161" t="s">
        <v>449</v>
      </c>
      <c r="E238" s="969" t="s">
        <v>450</v>
      </c>
      <c r="F238" s="970"/>
      <c r="G238" s="971"/>
      <c r="H238" s="544" t="s">
        <v>225</v>
      </c>
      <c r="I238" s="212">
        <v>6175</v>
      </c>
      <c r="J238" s="605"/>
      <c r="K238" s="212">
        <v>2140.9299999999998</v>
      </c>
      <c r="L238" s="212">
        <f t="shared" si="32"/>
        <v>13220242.75</v>
      </c>
      <c r="M238" s="602"/>
      <c r="N238" s="675">
        <f>+'Yeşil Defter'!K249</f>
        <v>0</v>
      </c>
      <c r="O238" s="675">
        <f>+'Yeşil Defter'!L249</f>
        <v>0</v>
      </c>
      <c r="P238" s="675">
        <f>+'Yeşil Defter'!M249</f>
        <v>0</v>
      </c>
      <c r="Q238" s="212"/>
      <c r="R238" s="605">
        <f t="shared" si="33"/>
        <v>0</v>
      </c>
      <c r="S238" s="225">
        <f t="shared" si="30"/>
        <v>0</v>
      </c>
      <c r="T238" s="237">
        <f t="shared" si="34"/>
        <v>0</v>
      </c>
    </row>
    <row r="239" spans="1:20" ht="30" hidden="1" customHeight="1" x14ac:dyDescent="0.3">
      <c r="A239" s="262" t="s">
        <v>154</v>
      </c>
      <c r="C239" s="244">
        <v>116</v>
      </c>
      <c r="D239" s="161" t="s">
        <v>451</v>
      </c>
      <c r="E239" s="969" t="s">
        <v>452</v>
      </c>
      <c r="F239" s="970"/>
      <c r="G239" s="971"/>
      <c r="H239" s="544" t="s">
        <v>225</v>
      </c>
      <c r="I239" s="212">
        <v>6175</v>
      </c>
      <c r="J239" s="605"/>
      <c r="K239" s="212">
        <v>2465.06</v>
      </c>
      <c r="L239" s="212">
        <f t="shared" si="32"/>
        <v>15221745.5</v>
      </c>
      <c r="M239" s="602"/>
      <c r="N239" s="675">
        <f>+'Yeşil Defter'!K250</f>
        <v>0</v>
      </c>
      <c r="O239" s="675">
        <f>+'Yeşil Defter'!L250</f>
        <v>0</v>
      </c>
      <c r="P239" s="675">
        <f>+'Yeşil Defter'!M250</f>
        <v>0</v>
      </c>
      <c r="Q239" s="212"/>
      <c r="R239" s="605">
        <f t="shared" si="33"/>
        <v>0</v>
      </c>
      <c r="S239" s="225">
        <f t="shared" si="30"/>
        <v>0</v>
      </c>
      <c r="T239" s="237">
        <f t="shared" si="34"/>
        <v>0</v>
      </c>
    </row>
    <row r="240" spans="1:20" ht="30" hidden="1" customHeight="1" x14ac:dyDescent="0.3">
      <c r="A240" s="262" t="s">
        <v>154</v>
      </c>
      <c r="C240" s="244">
        <v>117</v>
      </c>
      <c r="D240" s="161" t="s">
        <v>453</v>
      </c>
      <c r="E240" s="969" t="s">
        <v>454</v>
      </c>
      <c r="F240" s="970"/>
      <c r="G240" s="971"/>
      <c r="H240" s="544" t="s">
        <v>225</v>
      </c>
      <c r="I240" s="212">
        <v>3900</v>
      </c>
      <c r="J240" s="605"/>
      <c r="K240" s="212">
        <v>609.66</v>
      </c>
      <c r="L240" s="212">
        <f t="shared" si="32"/>
        <v>2377674</v>
      </c>
      <c r="M240" s="602"/>
      <c r="N240" s="675">
        <f>+'Yeşil Defter'!K251</f>
        <v>0</v>
      </c>
      <c r="O240" s="675">
        <f>+'Yeşil Defter'!L251</f>
        <v>0</v>
      </c>
      <c r="P240" s="675">
        <f>+'Yeşil Defter'!M251</f>
        <v>0</v>
      </c>
      <c r="Q240" s="212"/>
      <c r="R240" s="605">
        <f t="shared" si="33"/>
        <v>0</v>
      </c>
      <c r="S240" s="225">
        <f t="shared" si="30"/>
        <v>0</v>
      </c>
      <c r="T240" s="237">
        <f t="shared" si="34"/>
        <v>0</v>
      </c>
    </row>
    <row r="241" spans="1:20" ht="30" hidden="1" customHeight="1" x14ac:dyDescent="0.3">
      <c r="A241" s="262" t="s">
        <v>154</v>
      </c>
      <c r="C241" s="244">
        <v>118</v>
      </c>
      <c r="D241" s="161" t="s">
        <v>455</v>
      </c>
      <c r="E241" s="969" t="s">
        <v>456</v>
      </c>
      <c r="F241" s="970"/>
      <c r="G241" s="971"/>
      <c r="H241" s="544" t="s">
        <v>225</v>
      </c>
      <c r="I241" s="212">
        <v>8775</v>
      </c>
      <c r="J241" s="605"/>
      <c r="K241" s="212">
        <v>547.5</v>
      </c>
      <c r="L241" s="212">
        <f t="shared" si="32"/>
        <v>4804312.5</v>
      </c>
      <c r="M241" s="602"/>
      <c r="N241" s="675">
        <f>+'Yeşil Defter'!K252</f>
        <v>0</v>
      </c>
      <c r="O241" s="675">
        <f>+'Yeşil Defter'!L252</f>
        <v>0</v>
      </c>
      <c r="P241" s="675">
        <f>+'Yeşil Defter'!M252</f>
        <v>0</v>
      </c>
      <c r="Q241" s="212"/>
      <c r="R241" s="605">
        <f t="shared" si="33"/>
        <v>0</v>
      </c>
      <c r="S241" s="225">
        <f t="shared" si="30"/>
        <v>0</v>
      </c>
      <c r="T241" s="237">
        <f t="shared" si="34"/>
        <v>0</v>
      </c>
    </row>
    <row r="242" spans="1:20" ht="30" hidden="1" customHeight="1" x14ac:dyDescent="0.3">
      <c r="A242" s="262" t="s">
        <v>154</v>
      </c>
      <c r="C242" s="244">
        <v>119</v>
      </c>
      <c r="D242" s="161" t="s">
        <v>457</v>
      </c>
      <c r="E242" s="969" t="s">
        <v>458</v>
      </c>
      <c r="F242" s="970"/>
      <c r="G242" s="971"/>
      <c r="H242" s="544" t="s">
        <v>225</v>
      </c>
      <c r="I242" s="212">
        <v>8775</v>
      </c>
      <c r="J242" s="605"/>
      <c r="K242" s="212">
        <v>547.5</v>
      </c>
      <c r="L242" s="212">
        <f t="shared" si="32"/>
        <v>4804312.5</v>
      </c>
      <c r="M242" s="602"/>
      <c r="N242" s="675">
        <f>+'Yeşil Defter'!K253</f>
        <v>0</v>
      </c>
      <c r="O242" s="675">
        <f>+'Yeşil Defter'!L253</f>
        <v>0</v>
      </c>
      <c r="P242" s="675">
        <f>+'Yeşil Defter'!M253</f>
        <v>0</v>
      </c>
      <c r="Q242" s="212"/>
      <c r="R242" s="605">
        <f t="shared" si="33"/>
        <v>0</v>
      </c>
      <c r="S242" s="225">
        <f t="shared" si="30"/>
        <v>0</v>
      </c>
      <c r="T242" s="237">
        <f t="shared" si="34"/>
        <v>0</v>
      </c>
    </row>
    <row r="243" spans="1:20" ht="30" hidden="1" customHeight="1" x14ac:dyDescent="0.3">
      <c r="A243" s="262" t="s">
        <v>154</v>
      </c>
      <c r="C243" s="244">
        <v>120</v>
      </c>
      <c r="D243" s="161" t="s">
        <v>459</v>
      </c>
      <c r="E243" s="969" t="s">
        <v>460</v>
      </c>
      <c r="F243" s="970"/>
      <c r="G243" s="971"/>
      <c r="H243" s="544" t="s">
        <v>225</v>
      </c>
      <c r="I243" s="212">
        <v>8775</v>
      </c>
      <c r="J243" s="605"/>
      <c r="K243" s="212">
        <v>2991.9</v>
      </c>
      <c r="L243" s="212">
        <f t="shared" si="32"/>
        <v>26253922.5</v>
      </c>
      <c r="M243" s="602"/>
      <c r="N243" s="675">
        <f>+'Yeşil Defter'!K254</f>
        <v>0</v>
      </c>
      <c r="O243" s="675">
        <f>+'Yeşil Defter'!L254</f>
        <v>0</v>
      </c>
      <c r="P243" s="675">
        <f>+'Yeşil Defter'!M254</f>
        <v>0</v>
      </c>
      <c r="Q243" s="212"/>
      <c r="R243" s="605">
        <f t="shared" si="33"/>
        <v>0</v>
      </c>
      <c r="S243" s="225">
        <f t="shared" si="30"/>
        <v>0</v>
      </c>
      <c r="T243" s="237">
        <f t="shared" si="34"/>
        <v>0</v>
      </c>
    </row>
    <row r="244" spans="1:20" ht="30" hidden="1" customHeight="1" x14ac:dyDescent="0.3">
      <c r="A244" s="262" t="s">
        <v>154</v>
      </c>
      <c r="C244" s="244">
        <v>121</v>
      </c>
      <c r="D244" s="161" t="s">
        <v>461</v>
      </c>
      <c r="E244" s="969" t="s">
        <v>462</v>
      </c>
      <c r="F244" s="970"/>
      <c r="G244" s="971"/>
      <c r="H244" s="544" t="s">
        <v>225</v>
      </c>
      <c r="I244" s="212">
        <v>4185</v>
      </c>
      <c r="J244" s="605"/>
      <c r="K244" s="212">
        <v>800</v>
      </c>
      <c r="L244" s="212">
        <f t="shared" si="32"/>
        <v>3348000</v>
      </c>
      <c r="M244" s="602"/>
      <c r="N244" s="675">
        <f>+'Yeşil Defter'!K255</f>
        <v>0</v>
      </c>
      <c r="O244" s="675">
        <f>+'Yeşil Defter'!L255</f>
        <v>0</v>
      </c>
      <c r="P244" s="675">
        <f>+'Yeşil Defter'!M255</f>
        <v>0</v>
      </c>
      <c r="Q244" s="212"/>
      <c r="R244" s="605">
        <f t="shared" si="33"/>
        <v>0</v>
      </c>
      <c r="S244" s="225">
        <f t="shared" si="30"/>
        <v>0</v>
      </c>
      <c r="T244" s="237">
        <f t="shared" si="34"/>
        <v>0</v>
      </c>
    </row>
    <row r="245" spans="1:20" ht="30" hidden="1" customHeight="1" x14ac:dyDescent="0.3">
      <c r="A245" s="262" t="s">
        <v>154</v>
      </c>
      <c r="C245" s="244">
        <v>122</v>
      </c>
      <c r="D245" s="161" t="s">
        <v>463</v>
      </c>
      <c r="E245" s="969" t="s">
        <v>464</v>
      </c>
      <c r="F245" s="970"/>
      <c r="G245" s="971"/>
      <c r="H245" s="544" t="s">
        <v>225</v>
      </c>
      <c r="I245" s="212">
        <v>4425</v>
      </c>
      <c r="J245" s="605"/>
      <c r="K245" s="212">
        <v>800</v>
      </c>
      <c r="L245" s="212">
        <f t="shared" si="32"/>
        <v>3540000</v>
      </c>
      <c r="M245" s="602"/>
      <c r="N245" s="675">
        <f>+'Yeşil Defter'!K256</f>
        <v>0</v>
      </c>
      <c r="O245" s="675">
        <f>+'Yeşil Defter'!L256</f>
        <v>0</v>
      </c>
      <c r="P245" s="675">
        <f>+'Yeşil Defter'!M256</f>
        <v>0</v>
      </c>
      <c r="Q245" s="212"/>
      <c r="R245" s="605">
        <f t="shared" si="33"/>
        <v>0</v>
      </c>
      <c r="S245" s="225">
        <f t="shared" si="30"/>
        <v>0</v>
      </c>
      <c r="T245" s="237">
        <f t="shared" si="34"/>
        <v>0</v>
      </c>
    </row>
    <row r="246" spans="1:20" ht="30" hidden="1" customHeight="1" x14ac:dyDescent="0.3">
      <c r="A246" s="262" t="s">
        <v>154</v>
      </c>
      <c r="C246" s="244">
        <v>123</v>
      </c>
      <c r="D246" s="161" t="s">
        <v>465</v>
      </c>
      <c r="E246" s="969" t="s">
        <v>466</v>
      </c>
      <c r="F246" s="970"/>
      <c r="G246" s="971"/>
      <c r="H246" s="544" t="s">
        <v>225</v>
      </c>
      <c r="I246" s="212">
        <v>4425</v>
      </c>
      <c r="J246" s="605"/>
      <c r="K246" s="212">
        <v>800</v>
      </c>
      <c r="L246" s="212">
        <f t="shared" si="32"/>
        <v>3540000</v>
      </c>
      <c r="M246" s="602"/>
      <c r="N246" s="675">
        <f>+'Yeşil Defter'!K257</f>
        <v>0</v>
      </c>
      <c r="O246" s="675">
        <f>+'Yeşil Defter'!L257</f>
        <v>0</v>
      </c>
      <c r="P246" s="675">
        <f>+'Yeşil Defter'!M257</f>
        <v>0</v>
      </c>
      <c r="Q246" s="212"/>
      <c r="R246" s="605">
        <f t="shared" si="33"/>
        <v>0</v>
      </c>
      <c r="S246" s="225">
        <f t="shared" si="30"/>
        <v>0</v>
      </c>
      <c r="T246" s="237">
        <f t="shared" si="34"/>
        <v>0</v>
      </c>
    </row>
    <row r="247" spans="1:20" ht="30" hidden="1" customHeight="1" x14ac:dyDescent="0.3">
      <c r="A247" s="262" t="s">
        <v>154</v>
      </c>
      <c r="C247" s="244">
        <v>124</v>
      </c>
      <c r="D247" s="161" t="s">
        <v>467</v>
      </c>
      <c r="E247" s="969" t="s">
        <v>468</v>
      </c>
      <c r="F247" s="970"/>
      <c r="G247" s="971"/>
      <c r="H247" s="544" t="s">
        <v>225</v>
      </c>
      <c r="I247" s="212">
        <v>8215</v>
      </c>
      <c r="J247" s="605"/>
      <c r="K247" s="212">
        <v>2640</v>
      </c>
      <c r="L247" s="212">
        <f t="shared" si="32"/>
        <v>21687600</v>
      </c>
      <c r="M247" s="602"/>
      <c r="N247" s="675">
        <f>+'Yeşil Defter'!K258</f>
        <v>0</v>
      </c>
      <c r="O247" s="675">
        <f>+'Yeşil Defter'!L258</f>
        <v>0</v>
      </c>
      <c r="P247" s="675">
        <f>+'Yeşil Defter'!M258</f>
        <v>0</v>
      </c>
      <c r="Q247" s="212"/>
      <c r="R247" s="605">
        <f t="shared" si="33"/>
        <v>0</v>
      </c>
      <c r="S247" s="225">
        <f t="shared" si="30"/>
        <v>0</v>
      </c>
      <c r="T247" s="237">
        <f t="shared" si="34"/>
        <v>0</v>
      </c>
    </row>
    <row r="248" spans="1:20" ht="30" hidden="1" customHeight="1" x14ac:dyDescent="0.3">
      <c r="A248" s="262" t="s">
        <v>154</v>
      </c>
      <c r="C248" s="244">
        <v>125</v>
      </c>
      <c r="D248" s="161" t="s">
        <v>469</v>
      </c>
      <c r="E248" s="969" t="s">
        <v>470</v>
      </c>
      <c r="F248" s="970"/>
      <c r="G248" s="971"/>
      <c r="H248" s="544" t="s">
        <v>225</v>
      </c>
      <c r="I248" s="212">
        <v>8599</v>
      </c>
      <c r="J248" s="605"/>
      <c r="K248" s="212">
        <v>2640</v>
      </c>
      <c r="L248" s="212">
        <f t="shared" si="32"/>
        <v>22701360</v>
      </c>
      <c r="M248" s="602"/>
      <c r="N248" s="675">
        <f>+'Yeşil Defter'!K259</f>
        <v>0</v>
      </c>
      <c r="O248" s="675">
        <f>+'Yeşil Defter'!L259</f>
        <v>0</v>
      </c>
      <c r="P248" s="675">
        <f>+'Yeşil Defter'!M259</f>
        <v>0</v>
      </c>
      <c r="Q248" s="212"/>
      <c r="R248" s="605">
        <f t="shared" si="33"/>
        <v>0</v>
      </c>
      <c r="S248" s="225">
        <f t="shared" si="30"/>
        <v>0</v>
      </c>
      <c r="T248" s="237">
        <f t="shared" si="34"/>
        <v>0</v>
      </c>
    </row>
    <row r="249" spans="1:20" ht="30" hidden="1" customHeight="1" x14ac:dyDescent="0.3">
      <c r="A249" s="262" t="s">
        <v>154</v>
      </c>
      <c r="C249" s="244">
        <v>126</v>
      </c>
      <c r="D249" s="161" t="s">
        <v>471</v>
      </c>
      <c r="E249" s="969" t="s">
        <v>472</v>
      </c>
      <c r="F249" s="970"/>
      <c r="G249" s="971"/>
      <c r="H249" s="544" t="s">
        <v>225</v>
      </c>
      <c r="I249" s="212">
        <v>8599</v>
      </c>
      <c r="J249" s="605"/>
      <c r="K249" s="212">
        <v>2640</v>
      </c>
      <c r="L249" s="212">
        <f t="shared" si="32"/>
        <v>22701360</v>
      </c>
      <c r="M249" s="602"/>
      <c r="N249" s="675">
        <f>+'Yeşil Defter'!K260</f>
        <v>0</v>
      </c>
      <c r="O249" s="675">
        <f>+'Yeşil Defter'!L260</f>
        <v>0</v>
      </c>
      <c r="P249" s="675">
        <f>+'Yeşil Defter'!M260</f>
        <v>0</v>
      </c>
      <c r="Q249" s="212"/>
      <c r="R249" s="605">
        <f t="shared" si="33"/>
        <v>0</v>
      </c>
      <c r="S249" s="225">
        <f t="shared" si="30"/>
        <v>0</v>
      </c>
      <c r="T249" s="237">
        <f t="shared" si="34"/>
        <v>0</v>
      </c>
    </row>
    <row r="250" spans="1:20" ht="30" hidden="1" customHeight="1" x14ac:dyDescent="0.3">
      <c r="A250" s="262" t="s">
        <v>154</v>
      </c>
      <c r="C250" s="244">
        <v>127</v>
      </c>
      <c r="D250" s="213" t="s">
        <v>473</v>
      </c>
      <c r="E250" s="969" t="s">
        <v>474</v>
      </c>
      <c r="F250" s="970"/>
      <c r="G250" s="971"/>
      <c r="H250" s="544" t="s">
        <v>225</v>
      </c>
      <c r="I250" s="212">
        <v>2311</v>
      </c>
      <c r="J250" s="605"/>
      <c r="K250" s="212">
        <v>607.15</v>
      </c>
      <c r="L250" s="212">
        <f t="shared" si="32"/>
        <v>1403123.65</v>
      </c>
      <c r="M250" s="602"/>
      <c r="N250" s="675">
        <f>+'Yeşil Defter'!K261</f>
        <v>0</v>
      </c>
      <c r="O250" s="675">
        <f>+'Yeşil Defter'!L261</f>
        <v>0</v>
      </c>
      <c r="P250" s="675">
        <f>+'Yeşil Defter'!M261</f>
        <v>0</v>
      </c>
      <c r="Q250" s="212"/>
      <c r="R250" s="605">
        <f t="shared" si="33"/>
        <v>0</v>
      </c>
      <c r="S250" s="225">
        <f t="shared" si="30"/>
        <v>0</v>
      </c>
      <c r="T250" s="237">
        <f t="shared" si="34"/>
        <v>0</v>
      </c>
    </row>
    <row r="251" spans="1:20" ht="40.049999999999997" hidden="1" customHeight="1" x14ac:dyDescent="0.3">
      <c r="A251" s="262" t="s">
        <v>1242</v>
      </c>
      <c r="C251" s="258"/>
      <c r="D251" s="258"/>
      <c r="E251" s="972" t="s">
        <v>33</v>
      </c>
      <c r="F251" s="972"/>
      <c r="G251" s="972"/>
      <c r="H251" s="973" t="s">
        <v>29</v>
      </c>
      <c r="I251" s="973"/>
      <c r="J251" s="973"/>
      <c r="K251" s="973"/>
      <c r="L251" s="973"/>
      <c r="M251" s="549"/>
      <c r="N251" s="973" t="s">
        <v>22</v>
      </c>
      <c r="O251" s="973"/>
      <c r="P251" s="973"/>
      <c r="Q251" s="973"/>
      <c r="R251" s="973"/>
      <c r="S251" s="973"/>
      <c r="T251" s="973"/>
    </row>
    <row r="252" spans="1:20" ht="19.95" hidden="1" customHeight="1" x14ac:dyDescent="0.3">
      <c r="A252" s="262" t="s">
        <v>1242</v>
      </c>
      <c r="D252" s="28"/>
      <c r="E252" s="974" t="s">
        <v>1214</v>
      </c>
      <c r="F252" s="974"/>
      <c r="G252" s="974"/>
      <c r="H252" s="975" t="s">
        <v>38</v>
      </c>
      <c r="I252" s="975"/>
      <c r="J252" s="975"/>
      <c r="K252" s="975"/>
      <c r="L252" s="975"/>
      <c r="M252" s="562"/>
      <c r="N252" s="975" t="s">
        <v>1437</v>
      </c>
      <c r="O252" s="975"/>
      <c r="P252" s="975"/>
      <c r="Q252" s="975"/>
      <c r="R252" s="975"/>
      <c r="S252" s="975"/>
      <c r="T252" s="975"/>
    </row>
    <row r="253" spans="1:20" ht="19.95" hidden="1" customHeight="1" x14ac:dyDescent="0.3">
      <c r="A253" s="262" t="s">
        <v>1242</v>
      </c>
      <c r="C253" s="228"/>
      <c r="D253" s="228"/>
      <c r="E253" s="561"/>
      <c r="F253" s="561"/>
      <c r="G253" s="561"/>
      <c r="H253" s="228"/>
      <c r="I253" s="260"/>
      <c r="J253" s="260"/>
      <c r="K253" s="260"/>
      <c r="L253" s="260"/>
      <c r="M253" s="260"/>
      <c r="N253" s="975"/>
      <c r="O253" s="975"/>
      <c r="P253" s="975"/>
      <c r="Q253" s="975"/>
      <c r="R253" s="975"/>
      <c r="S253" s="975"/>
      <c r="T253" s="975"/>
    </row>
    <row r="254" spans="1:20" ht="19.95" hidden="1" customHeight="1" x14ac:dyDescent="0.3">
      <c r="A254" s="262" t="s">
        <v>1242</v>
      </c>
      <c r="C254" s="228"/>
      <c r="D254" s="228"/>
      <c r="E254" s="561"/>
      <c r="F254" s="561"/>
      <c r="G254" s="561"/>
      <c r="H254" s="228"/>
      <c r="I254" s="260"/>
      <c r="J254" s="260"/>
      <c r="K254" s="260"/>
      <c r="L254" s="260"/>
      <c r="M254" s="260"/>
      <c r="N254" s="975"/>
      <c r="O254" s="975"/>
      <c r="P254" s="975"/>
      <c r="Q254" s="975"/>
      <c r="R254" s="975"/>
      <c r="S254" s="975"/>
      <c r="T254" s="975"/>
    </row>
    <row r="255" spans="1:20" ht="19.95" hidden="1" customHeight="1" x14ac:dyDescent="0.3">
      <c r="A255" s="262" t="s">
        <v>1242</v>
      </c>
      <c r="C255" s="228"/>
      <c r="D255" s="228"/>
      <c r="E255" s="561"/>
      <c r="F255" s="561"/>
      <c r="G255" s="561"/>
      <c r="H255" s="228"/>
      <c r="I255" s="260"/>
      <c r="J255" s="260"/>
      <c r="K255" s="260"/>
      <c r="L255" s="260"/>
      <c r="M255" s="260"/>
      <c r="N255" s="260"/>
      <c r="O255" s="260"/>
      <c r="P255" s="260"/>
      <c r="Q255" s="260"/>
      <c r="R255" s="260"/>
      <c r="S255" s="624"/>
      <c r="T255" s="260"/>
    </row>
    <row r="256" spans="1:20" ht="19.95" hidden="1" customHeight="1" x14ac:dyDescent="0.3">
      <c r="A256" s="262" t="s">
        <v>1242</v>
      </c>
      <c r="C256" s="228"/>
      <c r="D256" s="228"/>
      <c r="E256" s="561"/>
      <c r="F256" s="561"/>
      <c r="G256" s="561"/>
      <c r="H256" s="975" t="s">
        <v>32</v>
      </c>
      <c r="I256" s="975"/>
      <c r="J256" s="562"/>
      <c r="K256" s="975" t="s">
        <v>1407</v>
      </c>
      <c r="L256" s="975"/>
      <c r="M256" s="562"/>
      <c r="N256" s="968" t="s">
        <v>58</v>
      </c>
      <c r="O256" s="968"/>
      <c r="P256" s="968"/>
      <c r="Q256" s="547"/>
      <c r="R256" s="968" t="s">
        <v>57</v>
      </c>
      <c r="S256" s="968"/>
      <c r="T256" s="968"/>
    </row>
    <row r="257" spans="1:20" ht="19.95" hidden="1" customHeight="1" x14ac:dyDescent="0.3">
      <c r="A257" s="262" t="s">
        <v>1242</v>
      </c>
      <c r="C257" s="228"/>
      <c r="D257" s="228"/>
      <c r="E257" s="561"/>
      <c r="F257" s="561"/>
      <c r="G257" s="561"/>
      <c r="H257" s="976" t="s">
        <v>94</v>
      </c>
      <c r="I257" s="976"/>
      <c r="J257" s="623"/>
      <c r="K257" s="976" t="s">
        <v>94</v>
      </c>
      <c r="L257" s="976"/>
      <c r="M257" s="623"/>
      <c r="N257" s="968" t="s">
        <v>1472</v>
      </c>
      <c r="O257" s="968"/>
      <c r="P257" s="968"/>
      <c r="Q257" s="547"/>
      <c r="R257" s="968" t="s">
        <v>1472</v>
      </c>
      <c r="S257" s="968"/>
      <c r="T257" s="968"/>
    </row>
    <row r="258" spans="1:20" ht="19.95" hidden="1" customHeight="1" x14ac:dyDescent="0.3">
      <c r="A258" s="262" t="s">
        <v>1242</v>
      </c>
      <c r="C258" s="228"/>
      <c r="D258" s="228"/>
      <c r="E258" s="561"/>
      <c r="F258" s="561"/>
      <c r="G258" s="561"/>
      <c r="H258" s="976"/>
      <c r="I258" s="976"/>
      <c r="J258" s="623"/>
      <c r="K258" s="976"/>
      <c r="L258" s="976"/>
      <c r="M258" s="623"/>
      <c r="N258" s="968"/>
      <c r="O258" s="968"/>
      <c r="P258" s="968"/>
      <c r="Q258" s="260"/>
      <c r="R258" s="968"/>
      <c r="S258" s="968"/>
      <c r="T258" s="968"/>
    </row>
    <row r="259" spans="1:20" ht="19.95" hidden="1" customHeight="1" x14ac:dyDescent="0.3">
      <c r="A259" s="262" t="s">
        <v>1242</v>
      </c>
      <c r="C259" s="228"/>
      <c r="D259" s="228"/>
      <c r="E259" s="561"/>
      <c r="F259" s="561"/>
      <c r="G259" s="561"/>
      <c r="H259" s="228"/>
      <c r="I259" s="260"/>
      <c r="J259" s="260"/>
      <c r="K259" s="260"/>
      <c r="L259" s="260"/>
      <c r="M259" s="260"/>
      <c r="N259" s="260"/>
      <c r="O259" s="260"/>
      <c r="P259" s="260"/>
      <c r="Q259" s="260"/>
      <c r="R259" s="260"/>
      <c r="S259" s="624"/>
      <c r="T259" s="260"/>
    </row>
    <row r="260" spans="1:20" ht="19.95" hidden="1" customHeight="1" x14ac:dyDescent="0.3">
      <c r="A260" s="262" t="s">
        <v>1242</v>
      </c>
      <c r="C260" s="228"/>
      <c r="D260" s="228"/>
      <c r="E260" s="975" t="s">
        <v>1215</v>
      </c>
      <c r="F260" s="975"/>
      <c r="G260" s="975"/>
      <c r="H260" s="975" t="s">
        <v>1348</v>
      </c>
      <c r="I260" s="975"/>
      <c r="J260" s="975"/>
      <c r="K260" s="975"/>
      <c r="L260" s="975"/>
      <c r="M260" s="562"/>
      <c r="N260" s="977" t="s">
        <v>1217</v>
      </c>
      <c r="O260" s="968"/>
      <c r="P260" s="968"/>
      <c r="Q260" s="968"/>
      <c r="R260" s="968"/>
      <c r="S260" s="968"/>
      <c r="T260" s="968"/>
    </row>
    <row r="261" spans="1:20" ht="19.95" hidden="1" customHeight="1" x14ac:dyDescent="0.3">
      <c r="A261" s="262" t="s">
        <v>1290</v>
      </c>
      <c r="C261" s="228"/>
      <c r="D261" s="228"/>
      <c r="E261" s="975"/>
      <c r="F261" s="975"/>
      <c r="G261" s="975"/>
      <c r="H261" s="975"/>
      <c r="I261" s="975"/>
      <c r="J261" s="975"/>
      <c r="K261" s="975"/>
      <c r="L261" s="975"/>
      <c r="M261" s="562"/>
      <c r="N261" s="968"/>
      <c r="O261" s="968"/>
      <c r="P261" s="968"/>
      <c r="Q261" s="968"/>
      <c r="R261" s="968"/>
      <c r="S261" s="968"/>
      <c r="T261" s="968"/>
    </row>
    <row r="262" spans="1:20" ht="30" hidden="1" customHeight="1" x14ac:dyDescent="0.3">
      <c r="A262" s="262" t="s">
        <v>154</v>
      </c>
      <c r="C262" s="255">
        <v>128</v>
      </c>
      <c r="D262" s="632" t="s">
        <v>475</v>
      </c>
      <c r="E262" s="978" t="s">
        <v>476</v>
      </c>
      <c r="F262" s="979"/>
      <c r="G262" s="980"/>
      <c r="H262" s="546" t="s">
        <v>225</v>
      </c>
      <c r="I262" s="257">
        <v>2311</v>
      </c>
      <c r="J262" s="606"/>
      <c r="K262" s="257">
        <v>240.25</v>
      </c>
      <c r="L262" s="257">
        <f t="shared" ref="L262:L284" si="35">+ROUND(I262*K262,2)</f>
        <v>555217.75</v>
      </c>
      <c r="M262" s="603"/>
      <c r="N262" s="675">
        <f>+'Yeşil Defter'!K262</f>
        <v>0</v>
      </c>
      <c r="O262" s="675">
        <f>+'Yeşil Defter'!L262</f>
        <v>0</v>
      </c>
      <c r="P262" s="675">
        <f>+'Yeşil Defter'!M262</f>
        <v>0</v>
      </c>
      <c r="Q262" s="257"/>
      <c r="R262" s="606">
        <f t="shared" ref="R262:R284" si="36">+ROUND(K262*N262,2)</f>
        <v>0</v>
      </c>
      <c r="S262" s="247">
        <f t="shared" si="30"/>
        <v>0</v>
      </c>
      <c r="T262" s="248">
        <f t="shared" ref="T262:T284" si="37">+ROUND(K262*P262,2)</f>
        <v>0</v>
      </c>
    </row>
    <row r="263" spans="1:20" ht="30" hidden="1" customHeight="1" x14ac:dyDescent="0.3">
      <c r="A263" s="262" t="s">
        <v>154</v>
      </c>
      <c r="C263" s="244">
        <v>129</v>
      </c>
      <c r="D263" s="161" t="s">
        <v>477</v>
      </c>
      <c r="E263" s="969" t="s">
        <v>478</v>
      </c>
      <c r="F263" s="970"/>
      <c r="G263" s="971"/>
      <c r="H263" s="544" t="s">
        <v>225</v>
      </c>
      <c r="I263" s="212">
        <v>3120</v>
      </c>
      <c r="J263" s="605"/>
      <c r="K263" s="212">
        <v>476</v>
      </c>
      <c r="L263" s="212">
        <f t="shared" si="35"/>
        <v>1485120</v>
      </c>
      <c r="M263" s="602"/>
      <c r="N263" s="675">
        <f>+'Yeşil Defter'!K263</f>
        <v>0</v>
      </c>
      <c r="O263" s="675">
        <f>+'Yeşil Defter'!L263</f>
        <v>0</v>
      </c>
      <c r="P263" s="675">
        <f>+'Yeşil Defter'!M263</f>
        <v>0</v>
      </c>
      <c r="Q263" s="212"/>
      <c r="R263" s="605">
        <f t="shared" si="36"/>
        <v>0</v>
      </c>
      <c r="S263" s="225">
        <f t="shared" si="30"/>
        <v>0</v>
      </c>
      <c r="T263" s="237">
        <f t="shared" si="37"/>
        <v>0</v>
      </c>
    </row>
    <row r="264" spans="1:20" ht="30" hidden="1" customHeight="1" x14ac:dyDescent="0.3">
      <c r="A264" s="262" t="s">
        <v>154</v>
      </c>
      <c r="C264" s="244">
        <v>130</v>
      </c>
      <c r="D264" s="161" t="s">
        <v>479</v>
      </c>
      <c r="E264" s="969" t="s">
        <v>480</v>
      </c>
      <c r="F264" s="970"/>
      <c r="G264" s="971"/>
      <c r="H264" s="544" t="s">
        <v>225</v>
      </c>
      <c r="I264" s="212">
        <v>3640</v>
      </c>
      <c r="J264" s="605"/>
      <c r="K264" s="212">
        <v>26.5</v>
      </c>
      <c r="L264" s="212">
        <f t="shared" si="35"/>
        <v>96460</v>
      </c>
      <c r="M264" s="602"/>
      <c r="N264" s="675">
        <f>+'Yeşil Defter'!K264</f>
        <v>0</v>
      </c>
      <c r="O264" s="675">
        <f>+'Yeşil Defter'!L264</f>
        <v>0</v>
      </c>
      <c r="P264" s="675">
        <f>+'Yeşil Defter'!M264</f>
        <v>0</v>
      </c>
      <c r="Q264" s="212"/>
      <c r="R264" s="605">
        <f t="shared" si="36"/>
        <v>0</v>
      </c>
      <c r="S264" s="225">
        <f t="shared" si="30"/>
        <v>0</v>
      </c>
      <c r="T264" s="237">
        <f t="shared" si="37"/>
        <v>0</v>
      </c>
    </row>
    <row r="265" spans="1:20" ht="30" hidden="1" customHeight="1" x14ac:dyDescent="0.3">
      <c r="A265" s="262" t="s">
        <v>154</v>
      </c>
      <c r="C265" s="244">
        <v>131</v>
      </c>
      <c r="D265" s="161" t="s">
        <v>481</v>
      </c>
      <c r="E265" s="969" t="s">
        <v>482</v>
      </c>
      <c r="F265" s="970"/>
      <c r="G265" s="971"/>
      <c r="H265" s="544" t="s">
        <v>225</v>
      </c>
      <c r="I265" s="212">
        <v>2746</v>
      </c>
      <c r="J265" s="605"/>
      <c r="K265" s="212">
        <v>173.36</v>
      </c>
      <c r="L265" s="212">
        <f t="shared" si="35"/>
        <v>476046.56</v>
      </c>
      <c r="M265" s="602"/>
      <c r="N265" s="675">
        <f>+'Yeşil Defter'!K265</f>
        <v>0</v>
      </c>
      <c r="O265" s="675">
        <f>+'Yeşil Defter'!L265</f>
        <v>0</v>
      </c>
      <c r="P265" s="675">
        <f>+'Yeşil Defter'!M265</f>
        <v>0</v>
      </c>
      <c r="Q265" s="212"/>
      <c r="R265" s="605">
        <f t="shared" si="36"/>
        <v>0</v>
      </c>
      <c r="S265" s="225">
        <f t="shared" ref="S265:S340" si="38">+T265-R265</f>
        <v>0</v>
      </c>
      <c r="T265" s="237">
        <f t="shared" si="37"/>
        <v>0</v>
      </c>
    </row>
    <row r="266" spans="1:20" ht="30" hidden="1" customHeight="1" x14ac:dyDescent="0.3">
      <c r="A266" s="262" t="s">
        <v>154</v>
      </c>
      <c r="C266" s="244">
        <v>132</v>
      </c>
      <c r="D266" s="161" t="s">
        <v>483</v>
      </c>
      <c r="E266" s="969" t="s">
        <v>484</v>
      </c>
      <c r="F266" s="970"/>
      <c r="G266" s="971"/>
      <c r="H266" s="544" t="s">
        <v>225</v>
      </c>
      <c r="I266" s="212">
        <v>3081</v>
      </c>
      <c r="J266" s="605"/>
      <c r="K266" s="212">
        <v>28308.66</v>
      </c>
      <c r="L266" s="212">
        <f t="shared" si="35"/>
        <v>87218981.459999993</v>
      </c>
      <c r="M266" s="602"/>
      <c r="N266" s="675">
        <f>+'Yeşil Defter'!K266</f>
        <v>0</v>
      </c>
      <c r="O266" s="675">
        <f>+'Yeşil Defter'!L266</f>
        <v>0</v>
      </c>
      <c r="P266" s="675">
        <f>+'Yeşil Defter'!M266</f>
        <v>0</v>
      </c>
      <c r="Q266" s="212"/>
      <c r="R266" s="605">
        <f t="shared" si="36"/>
        <v>0</v>
      </c>
      <c r="S266" s="225">
        <f t="shared" si="38"/>
        <v>0</v>
      </c>
      <c r="T266" s="237">
        <f t="shared" si="37"/>
        <v>0</v>
      </c>
    </row>
    <row r="267" spans="1:20" ht="30" hidden="1" customHeight="1" x14ac:dyDescent="0.3">
      <c r="A267" s="262" t="s">
        <v>154</v>
      </c>
      <c r="C267" s="244">
        <v>133</v>
      </c>
      <c r="D267" s="213" t="s">
        <v>485</v>
      </c>
      <c r="E267" s="969" t="s">
        <v>486</v>
      </c>
      <c r="F267" s="970"/>
      <c r="G267" s="971"/>
      <c r="H267" s="544" t="s">
        <v>225</v>
      </c>
      <c r="I267" s="212">
        <v>936</v>
      </c>
      <c r="J267" s="605"/>
      <c r="K267" s="212">
        <v>87933.56</v>
      </c>
      <c r="L267" s="212">
        <f t="shared" si="35"/>
        <v>82305812.159999996</v>
      </c>
      <c r="M267" s="602"/>
      <c r="N267" s="675">
        <f>+'Yeşil Defter'!K267</f>
        <v>0</v>
      </c>
      <c r="O267" s="675">
        <f>+'Yeşil Defter'!L267</f>
        <v>0</v>
      </c>
      <c r="P267" s="675">
        <f>+'Yeşil Defter'!M267</f>
        <v>0</v>
      </c>
      <c r="Q267" s="212"/>
      <c r="R267" s="605">
        <f t="shared" si="36"/>
        <v>0</v>
      </c>
      <c r="S267" s="225">
        <f t="shared" si="38"/>
        <v>0</v>
      </c>
      <c r="T267" s="237">
        <f t="shared" si="37"/>
        <v>0</v>
      </c>
    </row>
    <row r="268" spans="1:20" ht="30" hidden="1" customHeight="1" x14ac:dyDescent="0.3">
      <c r="A268" s="262" t="s">
        <v>154</v>
      </c>
      <c r="C268" s="244">
        <v>134</v>
      </c>
      <c r="D268" s="213" t="s">
        <v>487</v>
      </c>
      <c r="E268" s="969" t="s">
        <v>488</v>
      </c>
      <c r="F268" s="970"/>
      <c r="G268" s="971"/>
      <c r="H268" s="544" t="s">
        <v>225</v>
      </c>
      <c r="I268" s="212">
        <v>1014</v>
      </c>
      <c r="J268" s="605"/>
      <c r="K268" s="212">
        <v>400</v>
      </c>
      <c r="L268" s="212">
        <f t="shared" si="35"/>
        <v>405600</v>
      </c>
      <c r="M268" s="602"/>
      <c r="N268" s="675">
        <f>+'Yeşil Defter'!K268</f>
        <v>0</v>
      </c>
      <c r="O268" s="675">
        <f>+'Yeşil Defter'!L268</f>
        <v>0</v>
      </c>
      <c r="P268" s="675">
        <f>+'Yeşil Defter'!M268</f>
        <v>0</v>
      </c>
      <c r="Q268" s="212"/>
      <c r="R268" s="605">
        <f t="shared" si="36"/>
        <v>0</v>
      </c>
      <c r="S268" s="225">
        <f t="shared" si="38"/>
        <v>0</v>
      </c>
      <c r="T268" s="237">
        <f t="shared" si="37"/>
        <v>0</v>
      </c>
    </row>
    <row r="269" spans="1:20" ht="30" hidden="1" customHeight="1" x14ac:dyDescent="0.3">
      <c r="A269" s="262" t="s">
        <v>154</v>
      </c>
      <c r="C269" s="244">
        <v>135</v>
      </c>
      <c r="D269" s="213" t="s">
        <v>489</v>
      </c>
      <c r="E269" s="969" t="s">
        <v>490</v>
      </c>
      <c r="F269" s="970"/>
      <c r="G269" s="971"/>
      <c r="H269" s="544" t="s">
        <v>225</v>
      </c>
      <c r="I269" s="212">
        <v>286</v>
      </c>
      <c r="J269" s="605"/>
      <c r="K269" s="212">
        <v>94845.71</v>
      </c>
      <c r="L269" s="212">
        <f t="shared" si="35"/>
        <v>27125873.059999999</v>
      </c>
      <c r="M269" s="602"/>
      <c r="N269" s="675">
        <f>+'Yeşil Defter'!K269</f>
        <v>0</v>
      </c>
      <c r="O269" s="675">
        <f>+'Yeşil Defter'!L269</f>
        <v>0</v>
      </c>
      <c r="P269" s="675">
        <f>+'Yeşil Defter'!M269</f>
        <v>0</v>
      </c>
      <c r="Q269" s="212"/>
      <c r="R269" s="605">
        <f t="shared" si="36"/>
        <v>0</v>
      </c>
      <c r="S269" s="225">
        <f t="shared" si="38"/>
        <v>0</v>
      </c>
      <c r="T269" s="237">
        <f t="shared" si="37"/>
        <v>0</v>
      </c>
    </row>
    <row r="270" spans="1:20" ht="30" hidden="1" customHeight="1" x14ac:dyDescent="0.3">
      <c r="A270" s="262" t="s">
        <v>154</v>
      </c>
      <c r="C270" s="244">
        <v>136</v>
      </c>
      <c r="D270" s="213" t="s">
        <v>491</v>
      </c>
      <c r="E270" s="969" t="s">
        <v>492</v>
      </c>
      <c r="F270" s="970"/>
      <c r="G270" s="971"/>
      <c r="H270" s="544" t="s">
        <v>225</v>
      </c>
      <c r="I270" s="212">
        <v>11050</v>
      </c>
      <c r="J270" s="605"/>
      <c r="K270" s="212">
        <v>2234.29</v>
      </c>
      <c r="L270" s="212">
        <f t="shared" si="35"/>
        <v>24688904.5</v>
      </c>
      <c r="M270" s="602"/>
      <c r="N270" s="675">
        <f>+'Yeşil Defter'!K270</f>
        <v>0</v>
      </c>
      <c r="O270" s="675">
        <f>+'Yeşil Defter'!L270</f>
        <v>0</v>
      </c>
      <c r="P270" s="675">
        <f>+'Yeşil Defter'!M270</f>
        <v>0</v>
      </c>
      <c r="Q270" s="212"/>
      <c r="R270" s="605">
        <f t="shared" si="36"/>
        <v>0</v>
      </c>
      <c r="S270" s="225">
        <f t="shared" si="38"/>
        <v>0</v>
      </c>
      <c r="T270" s="237">
        <f t="shared" si="37"/>
        <v>0</v>
      </c>
    </row>
    <row r="271" spans="1:20" ht="30" hidden="1" customHeight="1" x14ac:dyDescent="0.3">
      <c r="A271" s="262" t="s">
        <v>154</v>
      </c>
      <c r="C271" s="244">
        <v>137</v>
      </c>
      <c r="D271" s="213" t="s">
        <v>493</v>
      </c>
      <c r="E271" s="969" t="s">
        <v>494</v>
      </c>
      <c r="F271" s="970"/>
      <c r="G271" s="971"/>
      <c r="H271" s="544" t="s">
        <v>202</v>
      </c>
      <c r="I271" s="212">
        <v>9750</v>
      </c>
      <c r="J271" s="605"/>
      <c r="K271" s="212">
        <v>7567.18</v>
      </c>
      <c r="L271" s="212">
        <f t="shared" si="35"/>
        <v>73780005</v>
      </c>
      <c r="M271" s="602"/>
      <c r="N271" s="675">
        <f>+'Yeşil Defter'!K271</f>
        <v>0</v>
      </c>
      <c r="O271" s="675">
        <f>+'Yeşil Defter'!L271</f>
        <v>0</v>
      </c>
      <c r="P271" s="675">
        <f>+'Yeşil Defter'!M271</f>
        <v>0</v>
      </c>
      <c r="Q271" s="212"/>
      <c r="R271" s="605">
        <f t="shared" si="36"/>
        <v>0</v>
      </c>
      <c r="S271" s="225">
        <f t="shared" si="38"/>
        <v>0</v>
      </c>
      <c r="T271" s="237">
        <f t="shared" si="37"/>
        <v>0</v>
      </c>
    </row>
    <row r="272" spans="1:20" ht="30" hidden="1" customHeight="1" x14ac:dyDescent="0.3">
      <c r="A272" s="262" t="s">
        <v>154</v>
      </c>
      <c r="C272" s="244">
        <v>138</v>
      </c>
      <c r="D272" s="213" t="s">
        <v>495</v>
      </c>
      <c r="E272" s="969" t="s">
        <v>496</v>
      </c>
      <c r="F272" s="970"/>
      <c r="G272" s="971"/>
      <c r="H272" s="544" t="s">
        <v>202</v>
      </c>
      <c r="I272" s="212">
        <v>10400</v>
      </c>
      <c r="J272" s="605"/>
      <c r="K272" s="212">
        <v>1532.04</v>
      </c>
      <c r="L272" s="212">
        <f t="shared" si="35"/>
        <v>15933216</v>
      </c>
      <c r="M272" s="602"/>
      <c r="N272" s="675">
        <f>+'Yeşil Defter'!K272</f>
        <v>0</v>
      </c>
      <c r="O272" s="675">
        <f>+'Yeşil Defter'!L272</f>
        <v>0</v>
      </c>
      <c r="P272" s="675">
        <f>+'Yeşil Defter'!M272</f>
        <v>0</v>
      </c>
      <c r="Q272" s="212"/>
      <c r="R272" s="605">
        <f t="shared" si="36"/>
        <v>0</v>
      </c>
      <c r="S272" s="225">
        <f t="shared" si="38"/>
        <v>0</v>
      </c>
      <c r="T272" s="237">
        <f t="shared" si="37"/>
        <v>0</v>
      </c>
    </row>
    <row r="273" spans="1:20" ht="30" hidden="1" customHeight="1" x14ac:dyDescent="0.3">
      <c r="A273" s="262" t="s">
        <v>154</v>
      </c>
      <c r="C273" s="244">
        <v>139</v>
      </c>
      <c r="D273" s="213" t="s">
        <v>497</v>
      </c>
      <c r="E273" s="969" t="s">
        <v>498</v>
      </c>
      <c r="F273" s="970"/>
      <c r="G273" s="971"/>
      <c r="H273" s="544" t="s">
        <v>202</v>
      </c>
      <c r="I273" s="212">
        <v>7150</v>
      </c>
      <c r="J273" s="605"/>
      <c r="K273" s="212">
        <v>9871.18</v>
      </c>
      <c r="L273" s="212">
        <f t="shared" si="35"/>
        <v>70578937</v>
      </c>
      <c r="M273" s="602"/>
      <c r="N273" s="675">
        <f>+'Yeşil Defter'!K273</f>
        <v>0</v>
      </c>
      <c r="O273" s="675">
        <f>+'Yeşil Defter'!L273</f>
        <v>0</v>
      </c>
      <c r="P273" s="675">
        <f>+'Yeşil Defter'!M273</f>
        <v>0</v>
      </c>
      <c r="Q273" s="212"/>
      <c r="R273" s="605">
        <f t="shared" si="36"/>
        <v>0</v>
      </c>
      <c r="S273" s="225">
        <f t="shared" si="38"/>
        <v>0</v>
      </c>
      <c r="T273" s="237">
        <f t="shared" si="37"/>
        <v>0</v>
      </c>
    </row>
    <row r="274" spans="1:20" ht="30" hidden="1" customHeight="1" x14ac:dyDescent="0.3">
      <c r="A274" s="262" t="s">
        <v>154</v>
      </c>
      <c r="C274" s="244">
        <v>140</v>
      </c>
      <c r="D274" s="213" t="s">
        <v>499</v>
      </c>
      <c r="E274" s="969" t="s">
        <v>500</v>
      </c>
      <c r="F274" s="970"/>
      <c r="G274" s="971"/>
      <c r="H274" s="544" t="s">
        <v>225</v>
      </c>
      <c r="I274" s="212">
        <v>17550</v>
      </c>
      <c r="J274" s="605"/>
      <c r="K274" s="212">
        <v>120</v>
      </c>
      <c r="L274" s="212">
        <f t="shared" si="35"/>
        <v>2106000</v>
      </c>
      <c r="M274" s="602"/>
      <c r="N274" s="675">
        <f>+'Yeşil Defter'!K274</f>
        <v>0</v>
      </c>
      <c r="O274" s="675">
        <f>+'Yeşil Defter'!L274</f>
        <v>0</v>
      </c>
      <c r="P274" s="675">
        <f>+'Yeşil Defter'!M274</f>
        <v>0</v>
      </c>
      <c r="Q274" s="212"/>
      <c r="R274" s="605">
        <f t="shared" si="36"/>
        <v>0</v>
      </c>
      <c r="S274" s="225">
        <f t="shared" si="38"/>
        <v>0</v>
      </c>
      <c r="T274" s="237">
        <f t="shared" si="37"/>
        <v>0</v>
      </c>
    </row>
    <row r="275" spans="1:20" ht="30" hidden="1" customHeight="1" x14ac:dyDescent="0.3">
      <c r="A275" s="262" t="s">
        <v>154</v>
      </c>
      <c r="C275" s="244">
        <v>141</v>
      </c>
      <c r="D275" s="213" t="s">
        <v>501</v>
      </c>
      <c r="E275" s="969" t="s">
        <v>502</v>
      </c>
      <c r="F275" s="970"/>
      <c r="G275" s="971"/>
      <c r="H275" s="544" t="s">
        <v>202</v>
      </c>
      <c r="I275" s="212">
        <v>7800</v>
      </c>
      <c r="J275" s="605"/>
      <c r="K275" s="212">
        <v>463.6</v>
      </c>
      <c r="L275" s="212">
        <f t="shared" si="35"/>
        <v>3616080</v>
      </c>
      <c r="M275" s="602"/>
      <c r="N275" s="675">
        <f>+'Yeşil Defter'!K275</f>
        <v>0</v>
      </c>
      <c r="O275" s="675">
        <f>+'Yeşil Defter'!L275</f>
        <v>0</v>
      </c>
      <c r="P275" s="675">
        <f>+'Yeşil Defter'!M275</f>
        <v>0</v>
      </c>
      <c r="Q275" s="212"/>
      <c r="R275" s="605">
        <f t="shared" si="36"/>
        <v>0</v>
      </c>
      <c r="S275" s="225">
        <f t="shared" si="38"/>
        <v>0</v>
      </c>
      <c r="T275" s="237">
        <f t="shared" si="37"/>
        <v>0</v>
      </c>
    </row>
    <row r="276" spans="1:20" ht="30" hidden="1" customHeight="1" x14ac:dyDescent="0.3">
      <c r="A276" s="262" t="s">
        <v>154</v>
      </c>
      <c r="C276" s="244">
        <v>142</v>
      </c>
      <c r="D276" s="213" t="s">
        <v>503</v>
      </c>
      <c r="E276" s="969" t="s">
        <v>504</v>
      </c>
      <c r="F276" s="970"/>
      <c r="G276" s="971"/>
      <c r="H276" s="544" t="s">
        <v>247</v>
      </c>
      <c r="I276" s="212">
        <v>13000</v>
      </c>
      <c r="J276" s="605"/>
      <c r="K276" s="212">
        <v>262</v>
      </c>
      <c r="L276" s="212">
        <f t="shared" si="35"/>
        <v>3406000</v>
      </c>
      <c r="M276" s="602"/>
      <c r="N276" s="675">
        <f>+'Yeşil Defter'!K276</f>
        <v>0</v>
      </c>
      <c r="O276" s="675">
        <f>+'Yeşil Defter'!L276</f>
        <v>0</v>
      </c>
      <c r="P276" s="675">
        <f>+'Yeşil Defter'!M276</f>
        <v>0</v>
      </c>
      <c r="Q276" s="212"/>
      <c r="R276" s="605">
        <f t="shared" si="36"/>
        <v>0</v>
      </c>
      <c r="S276" s="225">
        <f t="shared" si="38"/>
        <v>0</v>
      </c>
      <c r="T276" s="237">
        <f t="shared" si="37"/>
        <v>0</v>
      </c>
    </row>
    <row r="277" spans="1:20" ht="30" hidden="1" customHeight="1" x14ac:dyDescent="0.3">
      <c r="A277" s="262" t="s">
        <v>154</v>
      </c>
      <c r="C277" s="244">
        <v>143</v>
      </c>
      <c r="D277" s="161" t="s">
        <v>505</v>
      </c>
      <c r="E277" s="969" t="s">
        <v>506</v>
      </c>
      <c r="F277" s="970"/>
      <c r="G277" s="971"/>
      <c r="H277" s="544" t="s">
        <v>247</v>
      </c>
      <c r="I277" s="212">
        <v>5525</v>
      </c>
      <c r="J277" s="605"/>
      <c r="K277" s="212">
        <v>191</v>
      </c>
      <c r="L277" s="212">
        <f t="shared" si="35"/>
        <v>1055275</v>
      </c>
      <c r="M277" s="602"/>
      <c r="N277" s="675">
        <f>+'Yeşil Defter'!K277</f>
        <v>0</v>
      </c>
      <c r="O277" s="675">
        <f>+'Yeşil Defter'!L277</f>
        <v>0</v>
      </c>
      <c r="P277" s="675">
        <f>+'Yeşil Defter'!M277</f>
        <v>0</v>
      </c>
      <c r="Q277" s="212"/>
      <c r="R277" s="605">
        <f t="shared" si="36"/>
        <v>0</v>
      </c>
      <c r="S277" s="225">
        <f t="shared" si="38"/>
        <v>0</v>
      </c>
      <c r="T277" s="237">
        <f t="shared" si="37"/>
        <v>0</v>
      </c>
    </row>
    <row r="278" spans="1:20" ht="30" hidden="1" customHeight="1" x14ac:dyDescent="0.3">
      <c r="A278" s="262" t="s">
        <v>154</v>
      </c>
      <c r="C278" s="244">
        <v>144</v>
      </c>
      <c r="D278" s="161" t="s">
        <v>507</v>
      </c>
      <c r="E278" s="969" t="s">
        <v>508</v>
      </c>
      <c r="F278" s="970"/>
      <c r="G278" s="971"/>
      <c r="H278" s="544" t="s">
        <v>247</v>
      </c>
      <c r="I278" s="212">
        <v>9490</v>
      </c>
      <c r="J278" s="605"/>
      <c r="K278" s="212">
        <v>76</v>
      </c>
      <c r="L278" s="212">
        <f t="shared" si="35"/>
        <v>721240</v>
      </c>
      <c r="M278" s="602"/>
      <c r="N278" s="675">
        <f>+'Yeşil Defter'!K278</f>
        <v>0</v>
      </c>
      <c r="O278" s="675">
        <f>+'Yeşil Defter'!L278</f>
        <v>0</v>
      </c>
      <c r="P278" s="675">
        <f>+'Yeşil Defter'!M278</f>
        <v>0</v>
      </c>
      <c r="Q278" s="212"/>
      <c r="R278" s="605">
        <f t="shared" si="36"/>
        <v>0</v>
      </c>
      <c r="S278" s="225">
        <f t="shared" si="38"/>
        <v>0</v>
      </c>
      <c r="T278" s="237">
        <f t="shared" si="37"/>
        <v>0</v>
      </c>
    </row>
    <row r="279" spans="1:20" ht="30" hidden="1" customHeight="1" x14ac:dyDescent="0.3">
      <c r="A279" s="262" t="s">
        <v>154</v>
      </c>
      <c r="C279" s="244">
        <v>145</v>
      </c>
      <c r="D279" s="161" t="s">
        <v>509</v>
      </c>
      <c r="E279" s="969" t="s">
        <v>510</v>
      </c>
      <c r="F279" s="970"/>
      <c r="G279" s="971"/>
      <c r="H279" s="544" t="s">
        <v>247</v>
      </c>
      <c r="I279" s="212">
        <v>40950</v>
      </c>
      <c r="J279" s="605"/>
      <c r="K279" s="212">
        <v>46</v>
      </c>
      <c r="L279" s="212">
        <f t="shared" si="35"/>
        <v>1883700</v>
      </c>
      <c r="M279" s="602"/>
      <c r="N279" s="675">
        <f>+'Yeşil Defter'!K279</f>
        <v>0</v>
      </c>
      <c r="O279" s="675">
        <f>+'Yeşil Defter'!L279</f>
        <v>0</v>
      </c>
      <c r="P279" s="675">
        <f>+'Yeşil Defter'!M279</f>
        <v>0</v>
      </c>
      <c r="Q279" s="212"/>
      <c r="R279" s="605">
        <f t="shared" si="36"/>
        <v>0</v>
      </c>
      <c r="S279" s="225">
        <f t="shared" si="38"/>
        <v>0</v>
      </c>
      <c r="T279" s="237">
        <f t="shared" si="37"/>
        <v>0</v>
      </c>
    </row>
    <row r="280" spans="1:20" ht="30" hidden="1" customHeight="1" x14ac:dyDescent="0.3">
      <c r="A280" s="262" t="s">
        <v>154</v>
      </c>
      <c r="C280" s="244">
        <v>146</v>
      </c>
      <c r="D280" s="161" t="s">
        <v>511</v>
      </c>
      <c r="E280" s="969" t="s">
        <v>512</v>
      </c>
      <c r="F280" s="970"/>
      <c r="G280" s="971"/>
      <c r="H280" s="544" t="s">
        <v>247</v>
      </c>
      <c r="I280" s="212">
        <v>32500</v>
      </c>
      <c r="J280" s="605"/>
      <c r="K280" s="212">
        <v>61</v>
      </c>
      <c r="L280" s="212">
        <f t="shared" si="35"/>
        <v>1982500</v>
      </c>
      <c r="M280" s="602"/>
      <c r="N280" s="675">
        <f>+'Yeşil Defter'!K280</f>
        <v>0</v>
      </c>
      <c r="O280" s="675">
        <f>+'Yeşil Defter'!L280</f>
        <v>0</v>
      </c>
      <c r="P280" s="675">
        <f>+'Yeşil Defter'!M280</f>
        <v>0</v>
      </c>
      <c r="Q280" s="212"/>
      <c r="R280" s="605">
        <f t="shared" si="36"/>
        <v>0</v>
      </c>
      <c r="S280" s="225">
        <f t="shared" si="38"/>
        <v>0</v>
      </c>
      <c r="T280" s="237">
        <f t="shared" si="37"/>
        <v>0</v>
      </c>
    </row>
    <row r="281" spans="1:20" ht="30" hidden="1" customHeight="1" x14ac:dyDescent="0.3">
      <c r="A281" s="262" t="s">
        <v>154</v>
      </c>
      <c r="C281" s="244">
        <v>147</v>
      </c>
      <c r="D281" s="161" t="s">
        <v>513</v>
      </c>
      <c r="E281" s="969" t="s">
        <v>514</v>
      </c>
      <c r="F281" s="970"/>
      <c r="G281" s="971"/>
      <c r="H281" s="544" t="s">
        <v>247</v>
      </c>
      <c r="I281" s="212">
        <v>5590</v>
      </c>
      <c r="J281" s="605"/>
      <c r="K281" s="212">
        <v>90</v>
      </c>
      <c r="L281" s="212">
        <f t="shared" si="35"/>
        <v>503100</v>
      </c>
      <c r="M281" s="602"/>
      <c r="N281" s="675">
        <f>+'Yeşil Defter'!K281</f>
        <v>0</v>
      </c>
      <c r="O281" s="675">
        <f>+'Yeşil Defter'!L281</f>
        <v>0</v>
      </c>
      <c r="P281" s="675">
        <f>+'Yeşil Defter'!M281</f>
        <v>0</v>
      </c>
      <c r="Q281" s="212"/>
      <c r="R281" s="605">
        <f t="shared" si="36"/>
        <v>0</v>
      </c>
      <c r="S281" s="225">
        <f t="shared" si="38"/>
        <v>0</v>
      </c>
      <c r="T281" s="237">
        <f t="shared" si="37"/>
        <v>0</v>
      </c>
    </row>
    <row r="282" spans="1:20" ht="30" hidden="1" customHeight="1" x14ac:dyDescent="0.3">
      <c r="A282" s="262" t="s">
        <v>154</v>
      </c>
      <c r="C282" s="244">
        <v>148</v>
      </c>
      <c r="D282" s="161" t="s">
        <v>515</v>
      </c>
      <c r="E282" s="969" t="s">
        <v>516</v>
      </c>
      <c r="F282" s="970"/>
      <c r="G282" s="971"/>
      <c r="H282" s="544" t="s">
        <v>247</v>
      </c>
      <c r="I282" s="212">
        <v>2860</v>
      </c>
      <c r="J282" s="605"/>
      <c r="K282" s="212">
        <v>52</v>
      </c>
      <c r="L282" s="212">
        <f t="shared" si="35"/>
        <v>148720</v>
      </c>
      <c r="M282" s="602"/>
      <c r="N282" s="675">
        <f>+'Yeşil Defter'!K295</f>
        <v>0</v>
      </c>
      <c r="O282" s="675">
        <f>+'Yeşil Defter'!L295</f>
        <v>0</v>
      </c>
      <c r="P282" s="675">
        <f>+'Yeşil Defter'!M295</f>
        <v>0</v>
      </c>
      <c r="Q282" s="212"/>
      <c r="R282" s="605">
        <f t="shared" si="36"/>
        <v>0</v>
      </c>
      <c r="S282" s="225">
        <f t="shared" si="38"/>
        <v>0</v>
      </c>
      <c r="T282" s="237">
        <f t="shared" si="37"/>
        <v>0</v>
      </c>
    </row>
    <row r="283" spans="1:20" ht="30" hidden="1" customHeight="1" x14ac:dyDescent="0.3">
      <c r="A283" s="262" t="s">
        <v>154</v>
      </c>
      <c r="C283" s="244">
        <v>149</v>
      </c>
      <c r="D283" s="161" t="s">
        <v>517</v>
      </c>
      <c r="E283" s="969" t="s">
        <v>518</v>
      </c>
      <c r="F283" s="970"/>
      <c r="G283" s="971"/>
      <c r="H283" s="544" t="s">
        <v>247</v>
      </c>
      <c r="I283" s="212">
        <v>5460</v>
      </c>
      <c r="J283" s="605"/>
      <c r="K283" s="212">
        <v>512</v>
      </c>
      <c r="L283" s="212">
        <f t="shared" si="35"/>
        <v>2795520</v>
      </c>
      <c r="M283" s="602"/>
      <c r="N283" s="675">
        <f>+'Yeşil Defter'!K296</f>
        <v>0</v>
      </c>
      <c r="O283" s="675">
        <f>+'Yeşil Defter'!L296</f>
        <v>0</v>
      </c>
      <c r="P283" s="675">
        <f>+'Yeşil Defter'!M296</f>
        <v>0</v>
      </c>
      <c r="Q283" s="212"/>
      <c r="R283" s="605">
        <f t="shared" si="36"/>
        <v>0</v>
      </c>
      <c r="S283" s="225">
        <f t="shared" si="38"/>
        <v>0</v>
      </c>
      <c r="T283" s="237">
        <f t="shared" si="37"/>
        <v>0</v>
      </c>
    </row>
    <row r="284" spans="1:20" ht="30" hidden="1" customHeight="1" x14ac:dyDescent="0.3">
      <c r="A284" s="262" t="s">
        <v>154</v>
      </c>
      <c r="C284" s="244">
        <v>150</v>
      </c>
      <c r="D284" s="161" t="s">
        <v>519</v>
      </c>
      <c r="E284" s="969" t="s">
        <v>520</v>
      </c>
      <c r="F284" s="970"/>
      <c r="G284" s="971"/>
      <c r="H284" s="544" t="s">
        <v>247</v>
      </c>
      <c r="I284" s="212">
        <v>5460</v>
      </c>
      <c r="J284" s="605"/>
      <c r="K284" s="212">
        <v>90</v>
      </c>
      <c r="L284" s="212">
        <f t="shared" si="35"/>
        <v>491400</v>
      </c>
      <c r="M284" s="602"/>
      <c r="N284" s="675">
        <f>+'Yeşil Defter'!K297</f>
        <v>0</v>
      </c>
      <c r="O284" s="675">
        <f>+'Yeşil Defter'!L297</f>
        <v>0</v>
      </c>
      <c r="P284" s="675">
        <f>+'Yeşil Defter'!M297</f>
        <v>0</v>
      </c>
      <c r="Q284" s="212"/>
      <c r="R284" s="605">
        <f t="shared" si="36"/>
        <v>0</v>
      </c>
      <c r="S284" s="225">
        <f t="shared" si="38"/>
        <v>0</v>
      </c>
      <c r="T284" s="237">
        <f t="shared" si="37"/>
        <v>0</v>
      </c>
    </row>
    <row r="285" spans="1:20" ht="40.049999999999997" hidden="1" customHeight="1" x14ac:dyDescent="0.3">
      <c r="A285" s="262" t="s">
        <v>1242</v>
      </c>
      <c r="C285" s="258"/>
      <c r="D285" s="258"/>
      <c r="E285" s="972" t="s">
        <v>33</v>
      </c>
      <c r="F285" s="972"/>
      <c r="G285" s="972"/>
      <c r="H285" s="973" t="s">
        <v>29</v>
      </c>
      <c r="I285" s="973"/>
      <c r="J285" s="973"/>
      <c r="K285" s="973"/>
      <c r="L285" s="973"/>
      <c r="M285" s="549"/>
      <c r="N285" s="973" t="s">
        <v>22</v>
      </c>
      <c r="O285" s="973"/>
      <c r="P285" s="973"/>
      <c r="Q285" s="973"/>
      <c r="R285" s="973"/>
      <c r="S285" s="973"/>
      <c r="T285" s="973"/>
    </row>
    <row r="286" spans="1:20" ht="19.95" hidden="1" customHeight="1" x14ac:dyDescent="0.3">
      <c r="A286" s="262" t="s">
        <v>1242</v>
      </c>
      <c r="D286" s="28"/>
      <c r="E286" s="974" t="s">
        <v>1214</v>
      </c>
      <c r="F286" s="974"/>
      <c r="G286" s="974"/>
      <c r="H286" s="975" t="s">
        <v>38</v>
      </c>
      <c r="I286" s="975"/>
      <c r="J286" s="975"/>
      <c r="K286" s="975"/>
      <c r="L286" s="975"/>
      <c r="M286" s="562"/>
      <c r="N286" s="975" t="s">
        <v>1437</v>
      </c>
      <c r="O286" s="975"/>
      <c r="P286" s="975"/>
      <c r="Q286" s="975"/>
      <c r="R286" s="975"/>
      <c r="S286" s="975"/>
      <c r="T286" s="975"/>
    </row>
    <row r="287" spans="1:20" ht="19.95" hidden="1" customHeight="1" x14ac:dyDescent="0.3">
      <c r="A287" s="262" t="s">
        <v>1242</v>
      </c>
      <c r="C287" s="228"/>
      <c r="D287" s="228"/>
      <c r="E287" s="561"/>
      <c r="F287" s="561"/>
      <c r="G287" s="561"/>
      <c r="H287" s="228"/>
      <c r="I287" s="260"/>
      <c r="J287" s="260"/>
      <c r="K287" s="260"/>
      <c r="L287" s="260"/>
      <c r="M287" s="260"/>
      <c r="N287" s="975"/>
      <c r="O287" s="975"/>
      <c r="P287" s="975"/>
      <c r="Q287" s="975"/>
      <c r="R287" s="975"/>
      <c r="S287" s="975"/>
      <c r="T287" s="975"/>
    </row>
    <row r="288" spans="1:20" ht="19.95" hidden="1" customHeight="1" x14ac:dyDescent="0.3">
      <c r="A288" s="262" t="s">
        <v>1242</v>
      </c>
      <c r="C288" s="228"/>
      <c r="D288" s="228"/>
      <c r="E288" s="561"/>
      <c r="F288" s="561"/>
      <c r="G288" s="561"/>
      <c r="H288" s="228"/>
      <c r="I288" s="260"/>
      <c r="J288" s="260"/>
      <c r="K288" s="260"/>
      <c r="L288" s="260"/>
      <c r="M288" s="260"/>
      <c r="N288" s="975"/>
      <c r="O288" s="975"/>
      <c r="P288" s="975"/>
      <c r="Q288" s="975"/>
      <c r="R288" s="975"/>
      <c r="S288" s="975"/>
      <c r="T288" s="975"/>
    </row>
    <row r="289" spans="1:20" ht="19.95" hidden="1" customHeight="1" x14ac:dyDescent="0.3">
      <c r="A289" s="262" t="s">
        <v>1242</v>
      </c>
      <c r="C289" s="228"/>
      <c r="D289" s="228"/>
      <c r="E289" s="561"/>
      <c r="F289" s="561"/>
      <c r="G289" s="561"/>
      <c r="H289" s="228"/>
      <c r="I289" s="260"/>
      <c r="J289" s="260"/>
      <c r="K289" s="260"/>
      <c r="L289" s="260"/>
      <c r="M289" s="260"/>
      <c r="N289" s="260"/>
      <c r="O289" s="260"/>
      <c r="P289" s="260"/>
      <c r="Q289" s="260"/>
      <c r="R289" s="260"/>
      <c r="S289" s="624"/>
      <c r="T289" s="260"/>
    </row>
    <row r="290" spans="1:20" ht="19.95" hidden="1" customHeight="1" x14ac:dyDescent="0.3">
      <c r="A290" s="262" t="s">
        <v>1242</v>
      </c>
      <c r="C290" s="228"/>
      <c r="D290" s="228"/>
      <c r="E290" s="561"/>
      <c r="F290" s="561"/>
      <c r="G290" s="561"/>
      <c r="H290" s="975" t="s">
        <v>32</v>
      </c>
      <c r="I290" s="975"/>
      <c r="J290" s="562"/>
      <c r="K290" s="975" t="s">
        <v>1407</v>
      </c>
      <c r="L290" s="975"/>
      <c r="M290" s="562"/>
      <c r="N290" s="968" t="s">
        <v>58</v>
      </c>
      <c r="O290" s="968"/>
      <c r="P290" s="968"/>
      <c r="Q290" s="547"/>
      <c r="R290" s="968" t="s">
        <v>57</v>
      </c>
      <c r="S290" s="968"/>
      <c r="T290" s="968"/>
    </row>
    <row r="291" spans="1:20" ht="19.95" hidden="1" customHeight="1" x14ac:dyDescent="0.3">
      <c r="A291" s="262" t="s">
        <v>1242</v>
      </c>
      <c r="C291" s="228"/>
      <c r="D291" s="228"/>
      <c r="E291" s="561"/>
      <c r="F291" s="561"/>
      <c r="G291" s="561"/>
      <c r="H291" s="976" t="s">
        <v>94</v>
      </c>
      <c r="I291" s="976"/>
      <c r="J291" s="623"/>
      <c r="K291" s="976" t="s">
        <v>94</v>
      </c>
      <c r="L291" s="976"/>
      <c r="M291" s="623"/>
      <c r="N291" s="968" t="s">
        <v>1472</v>
      </c>
      <c r="O291" s="968"/>
      <c r="P291" s="968"/>
      <c r="Q291" s="547"/>
      <c r="R291" s="968" t="s">
        <v>1472</v>
      </c>
      <c r="S291" s="968"/>
      <c r="T291" s="968"/>
    </row>
    <row r="292" spans="1:20" ht="19.95" hidden="1" customHeight="1" x14ac:dyDescent="0.3">
      <c r="A292" s="262" t="s">
        <v>1242</v>
      </c>
      <c r="C292" s="228"/>
      <c r="D292" s="228"/>
      <c r="E292" s="561"/>
      <c r="F292" s="561"/>
      <c r="G292" s="561"/>
      <c r="H292" s="976"/>
      <c r="I292" s="976"/>
      <c r="J292" s="623"/>
      <c r="K292" s="976"/>
      <c r="L292" s="976"/>
      <c r="M292" s="623"/>
      <c r="N292" s="968"/>
      <c r="O292" s="968"/>
      <c r="P292" s="968"/>
      <c r="Q292" s="260"/>
      <c r="R292" s="968"/>
      <c r="S292" s="968"/>
      <c r="T292" s="968"/>
    </row>
    <row r="293" spans="1:20" ht="19.95" hidden="1" customHeight="1" x14ac:dyDescent="0.3">
      <c r="A293" s="262" t="s">
        <v>1242</v>
      </c>
      <c r="C293" s="228"/>
      <c r="D293" s="228"/>
      <c r="E293" s="561"/>
      <c r="F293" s="561"/>
      <c r="G293" s="561"/>
      <c r="H293" s="228"/>
      <c r="I293" s="260"/>
      <c r="J293" s="260"/>
      <c r="K293" s="260"/>
      <c r="L293" s="260"/>
      <c r="M293" s="260"/>
      <c r="N293" s="260"/>
      <c r="O293" s="260"/>
      <c r="P293" s="260"/>
      <c r="Q293" s="260"/>
      <c r="R293" s="260"/>
      <c r="S293" s="624"/>
      <c r="T293" s="260"/>
    </row>
    <row r="294" spans="1:20" ht="19.95" hidden="1" customHeight="1" x14ac:dyDescent="0.3">
      <c r="A294" s="262" t="s">
        <v>1242</v>
      </c>
      <c r="C294" s="228"/>
      <c r="D294" s="228"/>
      <c r="E294" s="975" t="s">
        <v>1215</v>
      </c>
      <c r="F294" s="975"/>
      <c r="G294" s="975"/>
      <c r="H294" s="975" t="s">
        <v>1348</v>
      </c>
      <c r="I294" s="975"/>
      <c r="J294" s="975"/>
      <c r="K294" s="975"/>
      <c r="L294" s="975"/>
      <c r="M294" s="562"/>
      <c r="N294" s="977" t="s">
        <v>1217</v>
      </c>
      <c r="O294" s="968"/>
      <c r="P294" s="968"/>
      <c r="Q294" s="968"/>
      <c r="R294" s="968"/>
      <c r="S294" s="968"/>
      <c r="T294" s="968"/>
    </row>
    <row r="295" spans="1:20" ht="19.95" hidden="1" customHeight="1" x14ac:dyDescent="0.3">
      <c r="A295" s="262" t="s">
        <v>1290</v>
      </c>
      <c r="C295" s="228"/>
      <c r="D295" s="228"/>
      <c r="E295" s="975"/>
      <c r="F295" s="975"/>
      <c r="G295" s="975"/>
      <c r="H295" s="975"/>
      <c r="I295" s="975"/>
      <c r="J295" s="975"/>
      <c r="K295" s="975"/>
      <c r="L295" s="975"/>
      <c r="M295" s="562"/>
      <c r="N295" s="968"/>
      <c r="O295" s="968"/>
      <c r="P295" s="968"/>
      <c r="Q295" s="968"/>
      <c r="R295" s="968"/>
      <c r="S295" s="968"/>
      <c r="T295" s="968"/>
    </row>
    <row r="296" spans="1:20" ht="30" hidden="1" customHeight="1" x14ac:dyDescent="0.3">
      <c r="A296" s="262" t="s">
        <v>154</v>
      </c>
      <c r="C296" s="255">
        <v>151</v>
      </c>
      <c r="D296" s="256" t="s">
        <v>521</v>
      </c>
      <c r="E296" s="978" t="s">
        <v>522</v>
      </c>
      <c r="F296" s="979"/>
      <c r="G296" s="980"/>
      <c r="H296" s="546" t="s">
        <v>247</v>
      </c>
      <c r="I296" s="257">
        <v>46800</v>
      </c>
      <c r="J296" s="606"/>
      <c r="K296" s="257">
        <v>8</v>
      </c>
      <c r="L296" s="257">
        <f t="shared" ref="L296:L318" si="39">+ROUND(I296*K296,2)</f>
        <v>374400</v>
      </c>
      <c r="M296" s="603"/>
      <c r="N296" s="675">
        <f>+'Yeşil Defter'!K298</f>
        <v>0</v>
      </c>
      <c r="O296" s="675">
        <f>+'Yeşil Defter'!L298</f>
        <v>0</v>
      </c>
      <c r="P296" s="675">
        <f>+'Yeşil Defter'!M298</f>
        <v>0</v>
      </c>
      <c r="Q296" s="257"/>
      <c r="R296" s="606">
        <f t="shared" ref="R296:R318" si="40">+ROUND(K296*N296,2)</f>
        <v>0</v>
      </c>
      <c r="S296" s="247">
        <f t="shared" si="38"/>
        <v>0</v>
      </c>
      <c r="T296" s="248">
        <f t="shared" ref="T296:T318" si="41">+ROUND(K296*P296,2)</f>
        <v>0</v>
      </c>
    </row>
    <row r="297" spans="1:20" ht="30" hidden="1" customHeight="1" x14ac:dyDescent="0.3">
      <c r="A297" s="262" t="s">
        <v>154</v>
      </c>
      <c r="C297" s="244">
        <v>152</v>
      </c>
      <c r="D297" s="161" t="s">
        <v>523</v>
      </c>
      <c r="E297" s="969" t="s">
        <v>524</v>
      </c>
      <c r="F297" s="970"/>
      <c r="G297" s="971"/>
      <c r="H297" s="544" t="s">
        <v>247</v>
      </c>
      <c r="I297" s="212">
        <v>42900</v>
      </c>
      <c r="J297" s="605"/>
      <c r="K297" s="212">
        <v>8</v>
      </c>
      <c r="L297" s="212">
        <f t="shared" si="39"/>
        <v>343200</v>
      </c>
      <c r="M297" s="602"/>
      <c r="N297" s="675">
        <f>+'Yeşil Defter'!K299</f>
        <v>0</v>
      </c>
      <c r="O297" s="675">
        <f>+'Yeşil Defter'!L299</f>
        <v>0</v>
      </c>
      <c r="P297" s="675">
        <f>+'Yeşil Defter'!M299</f>
        <v>0</v>
      </c>
      <c r="Q297" s="212"/>
      <c r="R297" s="605">
        <f t="shared" si="40"/>
        <v>0</v>
      </c>
      <c r="S297" s="225">
        <f t="shared" si="38"/>
        <v>0</v>
      </c>
      <c r="T297" s="237">
        <f t="shared" si="41"/>
        <v>0</v>
      </c>
    </row>
    <row r="298" spans="1:20" ht="30" hidden="1" customHeight="1" x14ac:dyDescent="0.3">
      <c r="A298" s="262" t="s">
        <v>154</v>
      </c>
      <c r="C298" s="244">
        <v>153</v>
      </c>
      <c r="D298" s="161" t="s">
        <v>525</v>
      </c>
      <c r="E298" s="969" t="s">
        <v>526</v>
      </c>
      <c r="F298" s="970"/>
      <c r="G298" s="971"/>
      <c r="H298" s="544" t="s">
        <v>247</v>
      </c>
      <c r="I298" s="212">
        <v>36400</v>
      </c>
      <c r="J298" s="605"/>
      <c r="K298" s="212">
        <v>3</v>
      </c>
      <c r="L298" s="212">
        <f t="shared" si="39"/>
        <v>109200</v>
      </c>
      <c r="M298" s="602"/>
      <c r="N298" s="675">
        <f>+'Yeşil Defter'!K300</f>
        <v>0</v>
      </c>
      <c r="O298" s="675">
        <f>+'Yeşil Defter'!L300</f>
        <v>0</v>
      </c>
      <c r="P298" s="675">
        <f>+'Yeşil Defter'!M300</f>
        <v>0</v>
      </c>
      <c r="Q298" s="212"/>
      <c r="R298" s="605">
        <f t="shared" si="40"/>
        <v>0</v>
      </c>
      <c r="S298" s="225">
        <f t="shared" si="38"/>
        <v>0</v>
      </c>
      <c r="T298" s="237">
        <f t="shared" si="41"/>
        <v>0</v>
      </c>
    </row>
    <row r="299" spans="1:20" ht="30" hidden="1" customHeight="1" x14ac:dyDescent="0.3">
      <c r="A299" s="262" t="s">
        <v>154</v>
      </c>
      <c r="C299" s="244">
        <v>154</v>
      </c>
      <c r="D299" s="161" t="s">
        <v>527</v>
      </c>
      <c r="E299" s="969" t="s">
        <v>528</v>
      </c>
      <c r="F299" s="970"/>
      <c r="G299" s="971"/>
      <c r="H299" s="544" t="s">
        <v>247</v>
      </c>
      <c r="I299" s="212">
        <v>31200</v>
      </c>
      <c r="J299" s="605"/>
      <c r="K299" s="212">
        <v>5</v>
      </c>
      <c r="L299" s="212">
        <f t="shared" si="39"/>
        <v>156000</v>
      </c>
      <c r="M299" s="602"/>
      <c r="N299" s="675">
        <f>+'Yeşil Defter'!K301</f>
        <v>0</v>
      </c>
      <c r="O299" s="675">
        <f>+'Yeşil Defter'!L301</f>
        <v>0</v>
      </c>
      <c r="P299" s="675">
        <f>+'Yeşil Defter'!M301</f>
        <v>0</v>
      </c>
      <c r="Q299" s="212"/>
      <c r="R299" s="605">
        <f t="shared" si="40"/>
        <v>0</v>
      </c>
      <c r="S299" s="225">
        <f t="shared" si="38"/>
        <v>0</v>
      </c>
      <c r="T299" s="237">
        <f t="shared" si="41"/>
        <v>0</v>
      </c>
    </row>
    <row r="300" spans="1:20" ht="30" hidden="1" customHeight="1" x14ac:dyDescent="0.3">
      <c r="A300" s="262" t="s">
        <v>154</v>
      </c>
      <c r="C300" s="244">
        <v>155</v>
      </c>
      <c r="D300" s="161" t="s">
        <v>529</v>
      </c>
      <c r="E300" s="969" t="s">
        <v>530</v>
      </c>
      <c r="F300" s="970"/>
      <c r="G300" s="971"/>
      <c r="H300" s="544" t="s">
        <v>247</v>
      </c>
      <c r="I300" s="212">
        <v>35100</v>
      </c>
      <c r="J300" s="605"/>
      <c r="K300" s="212">
        <v>3</v>
      </c>
      <c r="L300" s="212">
        <f t="shared" si="39"/>
        <v>105300</v>
      </c>
      <c r="M300" s="602"/>
      <c r="N300" s="675">
        <f>+'Yeşil Defter'!K302</f>
        <v>0</v>
      </c>
      <c r="O300" s="675">
        <f>+'Yeşil Defter'!L302</f>
        <v>0</v>
      </c>
      <c r="P300" s="675">
        <f>+'Yeşil Defter'!M302</f>
        <v>0</v>
      </c>
      <c r="Q300" s="212"/>
      <c r="R300" s="605">
        <f t="shared" si="40"/>
        <v>0</v>
      </c>
      <c r="S300" s="225">
        <f t="shared" si="38"/>
        <v>0</v>
      </c>
      <c r="T300" s="237">
        <f t="shared" si="41"/>
        <v>0</v>
      </c>
    </row>
    <row r="301" spans="1:20" ht="30" hidden="1" customHeight="1" x14ac:dyDescent="0.3">
      <c r="A301" s="262" t="s">
        <v>154</v>
      </c>
      <c r="C301" s="244">
        <v>156</v>
      </c>
      <c r="D301" s="161" t="s">
        <v>531</v>
      </c>
      <c r="E301" s="969" t="s">
        <v>532</v>
      </c>
      <c r="F301" s="970"/>
      <c r="G301" s="971"/>
      <c r="H301" s="544" t="s">
        <v>247</v>
      </c>
      <c r="I301" s="212">
        <v>31200</v>
      </c>
      <c r="J301" s="605"/>
      <c r="K301" s="212">
        <v>50</v>
      </c>
      <c r="L301" s="212">
        <f t="shared" si="39"/>
        <v>1560000</v>
      </c>
      <c r="M301" s="602"/>
      <c r="N301" s="675">
        <f>+'Yeşil Defter'!K303</f>
        <v>0</v>
      </c>
      <c r="O301" s="675">
        <f>+'Yeşil Defter'!L303</f>
        <v>0</v>
      </c>
      <c r="P301" s="675">
        <f>+'Yeşil Defter'!M303</f>
        <v>0</v>
      </c>
      <c r="Q301" s="212"/>
      <c r="R301" s="605">
        <f t="shared" si="40"/>
        <v>0</v>
      </c>
      <c r="S301" s="225">
        <f t="shared" si="38"/>
        <v>0</v>
      </c>
      <c r="T301" s="237">
        <f t="shared" si="41"/>
        <v>0</v>
      </c>
    </row>
    <row r="302" spans="1:20" ht="30" hidden="1" customHeight="1" x14ac:dyDescent="0.3">
      <c r="A302" s="262" t="s">
        <v>154</v>
      </c>
      <c r="C302" s="244">
        <v>157</v>
      </c>
      <c r="D302" s="161" t="s">
        <v>533</v>
      </c>
      <c r="E302" s="969" t="s">
        <v>534</v>
      </c>
      <c r="F302" s="970"/>
      <c r="G302" s="971"/>
      <c r="H302" s="544" t="s">
        <v>247</v>
      </c>
      <c r="I302" s="212">
        <v>27300</v>
      </c>
      <c r="J302" s="605"/>
      <c r="K302" s="212">
        <v>2</v>
      </c>
      <c r="L302" s="212">
        <f t="shared" si="39"/>
        <v>54600</v>
      </c>
      <c r="M302" s="602"/>
      <c r="N302" s="675">
        <f>+'Yeşil Defter'!K304</f>
        <v>0</v>
      </c>
      <c r="O302" s="675">
        <f>+'Yeşil Defter'!L304</f>
        <v>0</v>
      </c>
      <c r="P302" s="675">
        <f>+'Yeşil Defter'!M304</f>
        <v>0</v>
      </c>
      <c r="Q302" s="212"/>
      <c r="R302" s="605">
        <f t="shared" si="40"/>
        <v>0</v>
      </c>
      <c r="S302" s="225">
        <f t="shared" si="38"/>
        <v>0</v>
      </c>
      <c r="T302" s="237">
        <f t="shared" si="41"/>
        <v>0</v>
      </c>
    </row>
    <row r="303" spans="1:20" ht="30" hidden="1" customHeight="1" x14ac:dyDescent="0.3">
      <c r="A303" s="262" t="s">
        <v>154</v>
      </c>
      <c r="C303" s="244">
        <v>158</v>
      </c>
      <c r="D303" s="161" t="s">
        <v>535</v>
      </c>
      <c r="E303" s="969" t="s">
        <v>536</v>
      </c>
      <c r="F303" s="970"/>
      <c r="G303" s="971"/>
      <c r="H303" s="544" t="s">
        <v>247</v>
      </c>
      <c r="I303" s="212">
        <v>24700</v>
      </c>
      <c r="J303" s="605"/>
      <c r="K303" s="212">
        <v>154</v>
      </c>
      <c r="L303" s="212">
        <f t="shared" si="39"/>
        <v>3803800</v>
      </c>
      <c r="M303" s="602"/>
      <c r="N303" s="675">
        <f>+'Yeşil Defter'!K305</f>
        <v>0</v>
      </c>
      <c r="O303" s="675">
        <f>+'Yeşil Defter'!L305</f>
        <v>0</v>
      </c>
      <c r="P303" s="675">
        <f>+'Yeşil Defter'!M305</f>
        <v>0</v>
      </c>
      <c r="Q303" s="212"/>
      <c r="R303" s="605">
        <f t="shared" si="40"/>
        <v>0</v>
      </c>
      <c r="S303" s="225">
        <f t="shared" si="38"/>
        <v>0</v>
      </c>
      <c r="T303" s="237">
        <f t="shared" si="41"/>
        <v>0</v>
      </c>
    </row>
    <row r="304" spans="1:20" ht="30" hidden="1" customHeight="1" x14ac:dyDescent="0.3">
      <c r="A304" s="262" t="s">
        <v>154</v>
      </c>
      <c r="C304" s="244">
        <v>159</v>
      </c>
      <c r="D304" s="161" t="s">
        <v>537</v>
      </c>
      <c r="E304" s="969" t="s">
        <v>538</v>
      </c>
      <c r="F304" s="970"/>
      <c r="G304" s="971"/>
      <c r="H304" s="544" t="s">
        <v>247</v>
      </c>
      <c r="I304" s="212">
        <v>13000</v>
      </c>
      <c r="J304" s="605"/>
      <c r="K304" s="212">
        <v>6</v>
      </c>
      <c r="L304" s="212">
        <f t="shared" si="39"/>
        <v>78000</v>
      </c>
      <c r="M304" s="602"/>
      <c r="N304" s="675">
        <f>+'Yeşil Defter'!K306</f>
        <v>0</v>
      </c>
      <c r="O304" s="675">
        <f>+'Yeşil Defter'!L306</f>
        <v>0</v>
      </c>
      <c r="P304" s="675">
        <f>+'Yeşil Defter'!M306</f>
        <v>0</v>
      </c>
      <c r="Q304" s="212"/>
      <c r="R304" s="605">
        <f t="shared" si="40"/>
        <v>0</v>
      </c>
      <c r="S304" s="225">
        <f t="shared" si="38"/>
        <v>0</v>
      </c>
      <c r="T304" s="237">
        <f t="shared" si="41"/>
        <v>0</v>
      </c>
    </row>
    <row r="305" spans="1:20" ht="30" hidden="1" customHeight="1" x14ac:dyDescent="0.3">
      <c r="A305" s="262" t="s">
        <v>154</v>
      </c>
      <c r="C305" s="244">
        <v>160</v>
      </c>
      <c r="D305" s="161" t="s">
        <v>539</v>
      </c>
      <c r="E305" s="969" t="s">
        <v>540</v>
      </c>
      <c r="F305" s="970"/>
      <c r="G305" s="971"/>
      <c r="H305" s="544" t="s">
        <v>247</v>
      </c>
      <c r="I305" s="212">
        <v>11700</v>
      </c>
      <c r="J305" s="605"/>
      <c r="K305" s="212">
        <v>134</v>
      </c>
      <c r="L305" s="212">
        <f t="shared" si="39"/>
        <v>1567800</v>
      </c>
      <c r="M305" s="602"/>
      <c r="N305" s="675">
        <f>+'Yeşil Defter'!K307</f>
        <v>0</v>
      </c>
      <c r="O305" s="675">
        <f>+'Yeşil Defter'!L307</f>
        <v>0</v>
      </c>
      <c r="P305" s="675">
        <f>+'Yeşil Defter'!M307</f>
        <v>0</v>
      </c>
      <c r="Q305" s="212"/>
      <c r="R305" s="605">
        <f t="shared" si="40"/>
        <v>0</v>
      </c>
      <c r="S305" s="225">
        <f t="shared" si="38"/>
        <v>0</v>
      </c>
      <c r="T305" s="237">
        <f t="shared" si="41"/>
        <v>0</v>
      </c>
    </row>
    <row r="306" spans="1:20" ht="30" hidden="1" customHeight="1" x14ac:dyDescent="0.3">
      <c r="A306" s="262" t="s">
        <v>154</v>
      </c>
      <c r="C306" s="244">
        <v>161</v>
      </c>
      <c r="D306" s="161" t="s">
        <v>541</v>
      </c>
      <c r="E306" s="969" t="s">
        <v>542</v>
      </c>
      <c r="F306" s="970"/>
      <c r="G306" s="971"/>
      <c r="H306" s="544" t="s">
        <v>247</v>
      </c>
      <c r="I306" s="212">
        <v>11700</v>
      </c>
      <c r="J306" s="605"/>
      <c r="K306" s="212">
        <v>13</v>
      </c>
      <c r="L306" s="212">
        <f t="shared" si="39"/>
        <v>152100</v>
      </c>
      <c r="M306" s="602"/>
      <c r="N306" s="675">
        <f>+'Yeşil Defter'!K308</f>
        <v>0</v>
      </c>
      <c r="O306" s="675">
        <f>+'Yeşil Defter'!L308</f>
        <v>0</v>
      </c>
      <c r="P306" s="675">
        <f>+'Yeşil Defter'!M308</f>
        <v>0</v>
      </c>
      <c r="Q306" s="212"/>
      <c r="R306" s="605">
        <f t="shared" si="40"/>
        <v>0</v>
      </c>
      <c r="S306" s="225">
        <f t="shared" si="38"/>
        <v>0</v>
      </c>
      <c r="T306" s="237">
        <f t="shared" si="41"/>
        <v>0</v>
      </c>
    </row>
    <row r="307" spans="1:20" ht="30" hidden="1" customHeight="1" x14ac:dyDescent="0.3">
      <c r="A307" s="262" t="s">
        <v>154</v>
      </c>
      <c r="C307" s="244">
        <v>162</v>
      </c>
      <c r="D307" s="161" t="s">
        <v>543</v>
      </c>
      <c r="E307" s="969" t="s">
        <v>544</v>
      </c>
      <c r="F307" s="970"/>
      <c r="G307" s="971"/>
      <c r="H307" s="544" t="s">
        <v>247</v>
      </c>
      <c r="I307" s="212">
        <v>28600</v>
      </c>
      <c r="J307" s="605"/>
      <c r="K307" s="212">
        <v>28</v>
      </c>
      <c r="L307" s="212">
        <f t="shared" si="39"/>
        <v>800800</v>
      </c>
      <c r="M307" s="602"/>
      <c r="N307" s="675">
        <f>+'Yeşil Defter'!K309</f>
        <v>0</v>
      </c>
      <c r="O307" s="675">
        <f>+'Yeşil Defter'!L309</f>
        <v>0</v>
      </c>
      <c r="P307" s="675">
        <f>+'Yeşil Defter'!M309</f>
        <v>0</v>
      </c>
      <c r="Q307" s="212"/>
      <c r="R307" s="605">
        <f t="shared" si="40"/>
        <v>0</v>
      </c>
      <c r="S307" s="225">
        <f t="shared" si="38"/>
        <v>0</v>
      </c>
      <c r="T307" s="237">
        <f t="shared" si="41"/>
        <v>0</v>
      </c>
    </row>
    <row r="308" spans="1:20" ht="30" hidden="1" customHeight="1" x14ac:dyDescent="0.3">
      <c r="A308" s="262" t="s">
        <v>154</v>
      </c>
      <c r="C308" s="244">
        <v>163</v>
      </c>
      <c r="D308" s="161" t="s">
        <v>545</v>
      </c>
      <c r="E308" s="969" t="s">
        <v>546</v>
      </c>
      <c r="F308" s="970"/>
      <c r="G308" s="971"/>
      <c r="H308" s="544" t="s">
        <v>247</v>
      </c>
      <c r="I308" s="212">
        <v>13000</v>
      </c>
      <c r="J308" s="605"/>
      <c r="K308" s="212">
        <v>34</v>
      </c>
      <c r="L308" s="212">
        <f t="shared" si="39"/>
        <v>442000</v>
      </c>
      <c r="M308" s="602"/>
      <c r="N308" s="675">
        <f>+'Yeşil Defter'!K310</f>
        <v>0</v>
      </c>
      <c r="O308" s="675">
        <f>+'Yeşil Defter'!L310</f>
        <v>0</v>
      </c>
      <c r="P308" s="675">
        <f>+'Yeşil Defter'!M310</f>
        <v>0</v>
      </c>
      <c r="Q308" s="212"/>
      <c r="R308" s="605">
        <f t="shared" si="40"/>
        <v>0</v>
      </c>
      <c r="S308" s="225">
        <f t="shared" si="38"/>
        <v>0</v>
      </c>
      <c r="T308" s="237">
        <f t="shared" si="41"/>
        <v>0</v>
      </c>
    </row>
    <row r="309" spans="1:20" ht="30" hidden="1" customHeight="1" x14ac:dyDescent="0.3">
      <c r="A309" s="262" t="s">
        <v>154</v>
      </c>
      <c r="C309" s="244">
        <v>164</v>
      </c>
      <c r="D309" s="213" t="s">
        <v>547</v>
      </c>
      <c r="E309" s="969" t="s">
        <v>548</v>
      </c>
      <c r="F309" s="970"/>
      <c r="G309" s="971"/>
      <c r="H309" s="544" t="s">
        <v>374</v>
      </c>
      <c r="I309" s="212">
        <v>1235</v>
      </c>
      <c r="J309" s="605"/>
      <c r="K309" s="212">
        <v>120</v>
      </c>
      <c r="L309" s="212">
        <f t="shared" si="39"/>
        <v>148200</v>
      </c>
      <c r="M309" s="602"/>
      <c r="N309" s="675">
        <f>+'Yeşil Defter'!K311</f>
        <v>0</v>
      </c>
      <c r="O309" s="675">
        <f>+'Yeşil Defter'!L311</f>
        <v>0</v>
      </c>
      <c r="P309" s="675">
        <f>+'Yeşil Defter'!M311</f>
        <v>0</v>
      </c>
      <c r="Q309" s="212"/>
      <c r="R309" s="605">
        <f t="shared" si="40"/>
        <v>0</v>
      </c>
      <c r="S309" s="225">
        <f t="shared" si="38"/>
        <v>0</v>
      </c>
      <c r="T309" s="237">
        <f t="shared" si="41"/>
        <v>0</v>
      </c>
    </row>
    <row r="310" spans="1:20" ht="30" hidden="1" customHeight="1" x14ac:dyDescent="0.3">
      <c r="A310" s="262" t="s">
        <v>154</v>
      </c>
      <c r="C310" s="244">
        <v>165</v>
      </c>
      <c r="D310" s="213" t="s">
        <v>549</v>
      </c>
      <c r="E310" s="969" t="s">
        <v>550</v>
      </c>
      <c r="F310" s="970"/>
      <c r="G310" s="971"/>
      <c r="H310" s="544" t="s">
        <v>225</v>
      </c>
      <c r="I310" s="212">
        <v>5850</v>
      </c>
      <c r="J310" s="605"/>
      <c r="K310" s="212">
        <v>29.3</v>
      </c>
      <c r="L310" s="212">
        <f t="shared" si="39"/>
        <v>171405</v>
      </c>
      <c r="M310" s="602"/>
      <c r="N310" s="675">
        <f>+'Yeşil Defter'!K312</f>
        <v>0</v>
      </c>
      <c r="O310" s="675">
        <f>+'Yeşil Defter'!L312</f>
        <v>0</v>
      </c>
      <c r="P310" s="675">
        <f>+'Yeşil Defter'!M312</f>
        <v>0</v>
      </c>
      <c r="Q310" s="212"/>
      <c r="R310" s="605">
        <f t="shared" si="40"/>
        <v>0</v>
      </c>
      <c r="S310" s="225">
        <f t="shared" si="38"/>
        <v>0</v>
      </c>
      <c r="T310" s="237">
        <f t="shared" si="41"/>
        <v>0</v>
      </c>
    </row>
    <row r="311" spans="1:20" ht="30" hidden="1" customHeight="1" x14ac:dyDescent="0.3">
      <c r="A311" s="262" t="s">
        <v>154</v>
      </c>
      <c r="C311" s="244">
        <v>166</v>
      </c>
      <c r="D311" s="213" t="s">
        <v>551</v>
      </c>
      <c r="E311" s="969" t="s">
        <v>552</v>
      </c>
      <c r="F311" s="970"/>
      <c r="G311" s="971"/>
      <c r="H311" s="544" t="s">
        <v>202</v>
      </c>
      <c r="I311" s="212">
        <v>975</v>
      </c>
      <c r="J311" s="605"/>
      <c r="K311" s="212">
        <v>703.32</v>
      </c>
      <c r="L311" s="212">
        <f t="shared" si="39"/>
        <v>685737</v>
      </c>
      <c r="M311" s="602"/>
      <c r="N311" s="675">
        <f>+'Yeşil Defter'!K313</f>
        <v>0</v>
      </c>
      <c r="O311" s="675">
        <f>+'Yeşil Defter'!L313</f>
        <v>0</v>
      </c>
      <c r="P311" s="675">
        <f>+'Yeşil Defter'!M313</f>
        <v>0</v>
      </c>
      <c r="Q311" s="212"/>
      <c r="R311" s="605">
        <f t="shared" si="40"/>
        <v>0</v>
      </c>
      <c r="S311" s="225">
        <f t="shared" si="38"/>
        <v>0</v>
      </c>
      <c r="T311" s="237">
        <f t="shared" si="41"/>
        <v>0</v>
      </c>
    </row>
    <row r="312" spans="1:20" ht="30" hidden="1" customHeight="1" x14ac:dyDescent="0.3">
      <c r="A312" s="262" t="s">
        <v>154</v>
      </c>
      <c r="C312" s="244">
        <v>167</v>
      </c>
      <c r="D312" s="213" t="s">
        <v>553</v>
      </c>
      <c r="E312" s="969" t="s">
        <v>554</v>
      </c>
      <c r="F312" s="970"/>
      <c r="G312" s="971"/>
      <c r="H312" s="544" t="s">
        <v>202</v>
      </c>
      <c r="I312" s="212">
        <v>8450</v>
      </c>
      <c r="J312" s="605"/>
      <c r="K312" s="212">
        <v>41.15</v>
      </c>
      <c r="L312" s="212">
        <f t="shared" si="39"/>
        <v>347717.5</v>
      </c>
      <c r="M312" s="602"/>
      <c r="N312" s="675">
        <f>+'Yeşil Defter'!K314</f>
        <v>0</v>
      </c>
      <c r="O312" s="675">
        <f>+'Yeşil Defter'!L314</f>
        <v>0</v>
      </c>
      <c r="P312" s="675">
        <f>+'Yeşil Defter'!M314</f>
        <v>0</v>
      </c>
      <c r="Q312" s="212"/>
      <c r="R312" s="605">
        <f t="shared" si="40"/>
        <v>0</v>
      </c>
      <c r="S312" s="225">
        <f t="shared" si="38"/>
        <v>0</v>
      </c>
      <c r="T312" s="237">
        <f t="shared" si="41"/>
        <v>0</v>
      </c>
    </row>
    <row r="313" spans="1:20" ht="30" hidden="1" customHeight="1" x14ac:dyDescent="0.3">
      <c r="A313" s="262" t="s">
        <v>154</v>
      </c>
      <c r="C313" s="244">
        <v>168</v>
      </c>
      <c r="D313" s="213" t="s">
        <v>555</v>
      </c>
      <c r="E313" s="969" t="s">
        <v>556</v>
      </c>
      <c r="F313" s="970"/>
      <c r="G313" s="971"/>
      <c r="H313" s="544" t="s">
        <v>247</v>
      </c>
      <c r="I313" s="212">
        <v>5850</v>
      </c>
      <c r="J313" s="605"/>
      <c r="K313" s="212">
        <v>980</v>
      </c>
      <c r="L313" s="212">
        <f t="shared" si="39"/>
        <v>5733000</v>
      </c>
      <c r="M313" s="602"/>
      <c r="N313" s="675">
        <f>+'Yeşil Defter'!K315</f>
        <v>0</v>
      </c>
      <c r="O313" s="675">
        <f>+'Yeşil Defter'!L315</f>
        <v>0</v>
      </c>
      <c r="P313" s="675">
        <f>+'Yeşil Defter'!M315</f>
        <v>0</v>
      </c>
      <c r="Q313" s="212"/>
      <c r="R313" s="605">
        <f t="shared" si="40"/>
        <v>0</v>
      </c>
      <c r="S313" s="225">
        <f t="shared" si="38"/>
        <v>0</v>
      </c>
      <c r="T313" s="237">
        <f t="shared" si="41"/>
        <v>0</v>
      </c>
    </row>
    <row r="314" spans="1:20" ht="30" hidden="1" customHeight="1" x14ac:dyDescent="0.3">
      <c r="A314" s="262" t="s">
        <v>154</v>
      </c>
      <c r="C314" s="244">
        <v>169</v>
      </c>
      <c r="D314" s="213" t="s">
        <v>557</v>
      </c>
      <c r="E314" s="969" t="s">
        <v>558</v>
      </c>
      <c r="F314" s="970"/>
      <c r="G314" s="971"/>
      <c r="H314" s="544" t="s">
        <v>225</v>
      </c>
      <c r="I314" s="212">
        <v>9750</v>
      </c>
      <c r="J314" s="605"/>
      <c r="K314" s="212">
        <v>162.5</v>
      </c>
      <c r="L314" s="212">
        <f t="shared" si="39"/>
        <v>1584375</v>
      </c>
      <c r="M314" s="602"/>
      <c r="N314" s="675">
        <f>+'Yeşil Defter'!K316</f>
        <v>0</v>
      </c>
      <c r="O314" s="675">
        <f>+'Yeşil Defter'!L316</f>
        <v>0</v>
      </c>
      <c r="P314" s="675">
        <f>+'Yeşil Defter'!M316</f>
        <v>0</v>
      </c>
      <c r="Q314" s="212"/>
      <c r="R314" s="605">
        <f t="shared" si="40"/>
        <v>0</v>
      </c>
      <c r="S314" s="225">
        <f t="shared" si="38"/>
        <v>0</v>
      </c>
      <c r="T314" s="237">
        <f t="shared" si="41"/>
        <v>0</v>
      </c>
    </row>
    <row r="315" spans="1:20" ht="30" hidden="1" customHeight="1" x14ac:dyDescent="0.3">
      <c r="A315" s="262" t="s">
        <v>154</v>
      </c>
      <c r="C315" s="244">
        <v>170</v>
      </c>
      <c r="D315" s="213" t="s">
        <v>559</v>
      </c>
      <c r="E315" s="969" t="s">
        <v>560</v>
      </c>
      <c r="F315" s="970"/>
      <c r="G315" s="971"/>
      <c r="H315" s="544" t="s">
        <v>225</v>
      </c>
      <c r="I315" s="212">
        <v>9750</v>
      </c>
      <c r="J315" s="605"/>
      <c r="K315" s="212">
        <v>16.25</v>
      </c>
      <c r="L315" s="212">
        <f t="shared" si="39"/>
        <v>158437.5</v>
      </c>
      <c r="M315" s="602"/>
      <c r="N315" s="675">
        <f>+'Yeşil Defter'!K317</f>
        <v>0</v>
      </c>
      <c r="O315" s="675">
        <f>+'Yeşil Defter'!L317</f>
        <v>0</v>
      </c>
      <c r="P315" s="675">
        <f>+'Yeşil Defter'!M317</f>
        <v>0</v>
      </c>
      <c r="Q315" s="212"/>
      <c r="R315" s="605">
        <f t="shared" si="40"/>
        <v>0</v>
      </c>
      <c r="S315" s="225">
        <f t="shared" si="38"/>
        <v>0</v>
      </c>
      <c r="T315" s="237">
        <f t="shared" si="41"/>
        <v>0</v>
      </c>
    </row>
    <row r="316" spans="1:20" ht="30" hidden="1" customHeight="1" x14ac:dyDescent="0.3">
      <c r="A316" s="262" t="s">
        <v>154</v>
      </c>
      <c r="C316" s="244">
        <v>171</v>
      </c>
      <c r="D316" s="213" t="s">
        <v>561</v>
      </c>
      <c r="E316" s="969" t="s">
        <v>562</v>
      </c>
      <c r="F316" s="970"/>
      <c r="G316" s="971"/>
      <c r="H316" s="544" t="s">
        <v>247</v>
      </c>
      <c r="I316" s="212">
        <v>7800</v>
      </c>
      <c r="J316" s="605"/>
      <c r="K316" s="212">
        <v>80</v>
      </c>
      <c r="L316" s="212">
        <f t="shared" si="39"/>
        <v>624000</v>
      </c>
      <c r="M316" s="602"/>
      <c r="N316" s="675">
        <f>+'Yeşil Defter'!K318</f>
        <v>0</v>
      </c>
      <c r="O316" s="675">
        <f>+'Yeşil Defter'!L318</f>
        <v>0</v>
      </c>
      <c r="P316" s="675">
        <f>+'Yeşil Defter'!M318</f>
        <v>0</v>
      </c>
      <c r="Q316" s="212"/>
      <c r="R316" s="605">
        <f t="shared" si="40"/>
        <v>0</v>
      </c>
      <c r="S316" s="225">
        <f t="shared" si="38"/>
        <v>0</v>
      </c>
      <c r="T316" s="237">
        <f t="shared" si="41"/>
        <v>0</v>
      </c>
    </row>
    <row r="317" spans="1:20" ht="30" hidden="1" customHeight="1" x14ac:dyDescent="0.3">
      <c r="A317" s="262" t="s">
        <v>154</v>
      </c>
      <c r="C317" s="244">
        <v>172</v>
      </c>
      <c r="D317" s="213" t="s">
        <v>563</v>
      </c>
      <c r="E317" s="969" t="s">
        <v>564</v>
      </c>
      <c r="F317" s="970"/>
      <c r="G317" s="971"/>
      <c r="H317" s="544" t="s">
        <v>225</v>
      </c>
      <c r="I317" s="212">
        <v>26000</v>
      </c>
      <c r="J317" s="605"/>
      <c r="K317" s="212">
        <v>80</v>
      </c>
      <c r="L317" s="212">
        <f t="shared" si="39"/>
        <v>2080000</v>
      </c>
      <c r="M317" s="602"/>
      <c r="N317" s="675">
        <f>+'Yeşil Defter'!K319</f>
        <v>0</v>
      </c>
      <c r="O317" s="675">
        <f>+'Yeşil Defter'!L319</f>
        <v>0</v>
      </c>
      <c r="P317" s="675">
        <f>+'Yeşil Defter'!M319</f>
        <v>0</v>
      </c>
      <c r="Q317" s="212"/>
      <c r="R317" s="605">
        <f t="shared" si="40"/>
        <v>0</v>
      </c>
      <c r="S317" s="225">
        <f t="shared" si="38"/>
        <v>0</v>
      </c>
      <c r="T317" s="237">
        <f t="shared" si="41"/>
        <v>0</v>
      </c>
    </row>
    <row r="318" spans="1:20" ht="30" hidden="1" customHeight="1" x14ac:dyDescent="0.3">
      <c r="A318" s="262" t="s">
        <v>154</v>
      </c>
      <c r="C318" s="244">
        <v>173</v>
      </c>
      <c r="D318" s="213" t="s">
        <v>565</v>
      </c>
      <c r="E318" s="969" t="s">
        <v>566</v>
      </c>
      <c r="F318" s="970"/>
      <c r="G318" s="971"/>
      <c r="H318" s="544" t="s">
        <v>225</v>
      </c>
      <c r="I318" s="212">
        <v>26000</v>
      </c>
      <c r="J318" s="605"/>
      <c r="K318" s="212">
        <v>64.42</v>
      </c>
      <c r="L318" s="212">
        <f t="shared" si="39"/>
        <v>1674920</v>
      </c>
      <c r="M318" s="602"/>
      <c r="N318" s="675">
        <f>+'Yeşil Defter'!K320</f>
        <v>0</v>
      </c>
      <c r="O318" s="675">
        <f>+'Yeşil Defter'!L320</f>
        <v>0</v>
      </c>
      <c r="P318" s="675">
        <f>+'Yeşil Defter'!M320</f>
        <v>0</v>
      </c>
      <c r="Q318" s="212"/>
      <c r="R318" s="605">
        <f t="shared" si="40"/>
        <v>0</v>
      </c>
      <c r="S318" s="225">
        <f t="shared" si="38"/>
        <v>0</v>
      </c>
      <c r="T318" s="237">
        <f t="shared" si="41"/>
        <v>0</v>
      </c>
    </row>
    <row r="319" spans="1:20" ht="40.049999999999997" hidden="1" customHeight="1" x14ac:dyDescent="0.3">
      <c r="A319" s="262" t="s">
        <v>1242</v>
      </c>
      <c r="C319" s="258"/>
      <c r="D319" s="258"/>
      <c r="E319" s="972" t="s">
        <v>33</v>
      </c>
      <c r="F319" s="972"/>
      <c r="G319" s="972"/>
      <c r="H319" s="973" t="s">
        <v>29</v>
      </c>
      <c r="I319" s="973"/>
      <c r="J319" s="973"/>
      <c r="K319" s="973"/>
      <c r="L319" s="973"/>
      <c r="M319" s="549"/>
      <c r="N319" s="973" t="s">
        <v>22</v>
      </c>
      <c r="O319" s="973"/>
      <c r="P319" s="973"/>
      <c r="Q319" s="973"/>
      <c r="R319" s="973"/>
      <c r="S319" s="973"/>
      <c r="T319" s="973"/>
    </row>
    <row r="320" spans="1:20" ht="19.95" hidden="1" customHeight="1" x14ac:dyDescent="0.3">
      <c r="A320" s="262" t="s">
        <v>1242</v>
      </c>
      <c r="D320" s="28"/>
      <c r="E320" s="974" t="s">
        <v>1214</v>
      </c>
      <c r="F320" s="974"/>
      <c r="G320" s="974"/>
      <c r="H320" s="975" t="s">
        <v>38</v>
      </c>
      <c r="I320" s="975"/>
      <c r="J320" s="975"/>
      <c r="K320" s="975"/>
      <c r="L320" s="975"/>
      <c r="M320" s="562"/>
      <c r="N320" s="975" t="s">
        <v>1437</v>
      </c>
      <c r="O320" s="975"/>
      <c r="P320" s="975"/>
      <c r="Q320" s="975"/>
      <c r="R320" s="975"/>
      <c r="S320" s="975"/>
      <c r="T320" s="975"/>
    </row>
    <row r="321" spans="1:20" ht="19.95" hidden="1" customHeight="1" x14ac:dyDescent="0.3">
      <c r="A321" s="262" t="s">
        <v>1242</v>
      </c>
      <c r="C321" s="228"/>
      <c r="D321" s="228"/>
      <c r="E321" s="561"/>
      <c r="F321" s="561"/>
      <c r="G321" s="561"/>
      <c r="H321" s="228"/>
      <c r="I321" s="260"/>
      <c r="J321" s="260"/>
      <c r="K321" s="260"/>
      <c r="L321" s="260"/>
      <c r="M321" s="260"/>
      <c r="N321" s="975"/>
      <c r="O321" s="975"/>
      <c r="P321" s="975"/>
      <c r="Q321" s="975"/>
      <c r="R321" s="975"/>
      <c r="S321" s="975"/>
      <c r="T321" s="975"/>
    </row>
    <row r="322" spans="1:20" ht="19.95" hidden="1" customHeight="1" x14ac:dyDescent="0.3">
      <c r="A322" s="262" t="s">
        <v>1242</v>
      </c>
      <c r="C322" s="228"/>
      <c r="D322" s="228"/>
      <c r="E322" s="561"/>
      <c r="F322" s="561"/>
      <c r="G322" s="561"/>
      <c r="H322" s="228"/>
      <c r="I322" s="260"/>
      <c r="J322" s="260"/>
      <c r="K322" s="260"/>
      <c r="L322" s="260"/>
      <c r="M322" s="260"/>
      <c r="N322" s="975"/>
      <c r="O322" s="975"/>
      <c r="P322" s="975"/>
      <c r="Q322" s="975"/>
      <c r="R322" s="975"/>
      <c r="S322" s="975"/>
      <c r="T322" s="975"/>
    </row>
    <row r="323" spans="1:20" ht="19.95" hidden="1" customHeight="1" x14ac:dyDescent="0.3">
      <c r="A323" s="262" t="s">
        <v>1242</v>
      </c>
      <c r="C323" s="228"/>
      <c r="D323" s="228"/>
      <c r="E323" s="561"/>
      <c r="F323" s="561"/>
      <c r="G323" s="561"/>
      <c r="H323" s="228"/>
      <c r="I323" s="260"/>
      <c r="J323" s="260"/>
      <c r="K323" s="260"/>
      <c r="L323" s="260"/>
      <c r="M323" s="260"/>
      <c r="N323" s="260"/>
      <c r="O323" s="260"/>
      <c r="P323" s="260"/>
      <c r="Q323" s="260"/>
      <c r="R323" s="260"/>
      <c r="S323" s="624"/>
      <c r="T323" s="260"/>
    </row>
    <row r="324" spans="1:20" ht="19.95" hidden="1" customHeight="1" x14ac:dyDescent="0.3">
      <c r="A324" s="262" t="s">
        <v>1242</v>
      </c>
      <c r="C324" s="228"/>
      <c r="D324" s="228"/>
      <c r="E324" s="561"/>
      <c r="F324" s="561"/>
      <c r="G324" s="561"/>
      <c r="H324" s="975" t="s">
        <v>32</v>
      </c>
      <c r="I324" s="975"/>
      <c r="J324" s="562"/>
      <c r="K324" s="975" t="s">
        <v>1407</v>
      </c>
      <c r="L324" s="975"/>
      <c r="M324" s="562"/>
      <c r="N324" s="968" t="s">
        <v>58</v>
      </c>
      <c r="O324" s="968"/>
      <c r="P324" s="968"/>
      <c r="Q324" s="547"/>
      <c r="R324" s="968" t="s">
        <v>57</v>
      </c>
      <c r="S324" s="968"/>
      <c r="T324" s="968"/>
    </row>
    <row r="325" spans="1:20" ht="19.95" hidden="1" customHeight="1" x14ac:dyDescent="0.3">
      <c r="A325" s="262" t="s">
        <v>1242</v>
      </c>
      <c r="C325" s="228"/>
      <c r="D325" s="228"/>
      <c r="E325" s="561"/>
      <c r="F325" s="561"/>
      <c r="G325" s="561"/>
      <c r="H325" s="976" t="s">
        <v>94</v>
      </c>
      <c r="I325" s="976"/>
      <c r="J325" s="623"/>
      <c r="K325" s="976" t="s">
        <v>94</v>
      </c>
      <c r="L325" s="976"/>
      <c r="M325" s="623"/>
      <c r="N325" s="968" t="s">
        <v>1472</v>
      </c>
      <c r="O325" s="968"/>
      <c r="P325" s="968"/>
      <c r="Q325" s="547"/>
      <c r="R325" s="968" t="s">
        <v>1472</v>
      </c>
      <c r="S325" s="968"/>
      <c r="T325" s="968"/>
    </row>
    <row r="326" spans="1:20" ht="19.95" hidden="1" customHeight="1" x14ac:dyDescent="0.3">
      <c r="A326" s="262" t="s">
        <v>1242</v>
      </c>
      <c r="C326" s="228"/>
      <c r="D326" s="228"/>
      <c r="E326" s="561"/>
      <c r="F326" s="561"/>
      <c r="G326" s="561"/>
      <c r="H326" s="976"/>
      <c r="I326" s="976"/>
      <c r="J326" s="623"/>
      <c r="K326" s="976"/>
      <c r="L326" s="976"/>
      <c r="M326" s="623"/>
      <c r="N326" s="968"/>
      <c r="O326" s="968"/>
      <c r="P326" s="968"/>
      <c r="Q326" s="260"/>
      <c r="R326" s="968"/>
      <c r="S326" s="968"/>
      <c r="T326" s="968"/>
    </row>
    <row r="327" spans="1:20" ht="19.95" hidden="1" customHeight="1" x14ac:dyDescent="0.3">
      <c r="A327" s="262" t="s">
        <v>1242</v>
      </c>
      <c r="C327" s="228"/>
      <c r="D327" s="228"/>
      <c r="E327" s="561"/>
      <c r="F327" s="561"/>
      <c r="G327" s="561"/>
      <c r="H327" s="228"/>
      <c r="I327" s="260"/>
      <c r="J327" s="260"/>
      <c r="K327" s="260"/>
      <c r="L327" s="260"/>
      <c r="M327" s="260"/>
      <c r="N327" s="260"/>
      <c r="O327" s="260"/>
      <c r="P327" s="260"/>
      <c r="Q327" s="260"/>
      <c r="R327" s="260"/>
      <c r="S327" s="624"/>
      <c r="T327" s="260"/>
    </row>
    <row r="328" spans="1:20" ht="19.95" hidden="1" customHeight="1" x14ac:dyDescent="0.3">
      <c r="A328" s="262" t="s">
        <v>1242</v>
      </c>
      <c r="C328" s="228"/>
      <c r="D328" s="228"/>
      <c r="E328" s="975" t="s">
        <v>1215</v>
      </c>
      <c r="F328" s="975"/>
      <c r="G328" s="975"/>
      <c r="H328" s="975" t="s">
        <v>1348</v>
      </c>
      <c r="I328" s="975"/>
      <c r="J328" s="975"/>
      <c r="K328" s="975"/>
      <c r="L328" s="975"/>
      <c r="M328" s="562"/>
      <c r="N328" s="977" t="s">
        <v>1217</v>
      </c>
      <c r="O328" s="968"/>
      <c r="P328" s="968"/>
      <c r="Q328" s="968"/>
      <c r="R328" s="968"/>
      <c r="S328" s="968"/>
      <c r="T328" s="968"/>
    </row>
    <row r="329" spans="1:20" ht="19.95" hidden="1" customHeight="1" x14ac:dyDescent="0.3">
      <c r="A329" s="262" t="s">
        <v>1290</v>
      </c>
      <c r="C329" s="228"/>
      <c r="D329" s="228"/>
      <c r="E329" s="975"/>
      <c r="F329" s="975"/>
      <c r="G329" s="975"/>
      <c r="H329" s="975"/>
      <c r="I329" s="975"/>
      <c r="J329" s="975"/>
      <c r="K329" s="975"/>
      <c r="L329" s="975"/>
      <c r="M329" s="562"/>
      <c r="N329" s="968"/>
      <c r="O329" s="968"/>
      <c r="P329" s="968"/>
      <c r="Q329" s="968"/>
      <c r="R329" s="968"/>
      <c r="S329" s="968"/>
      <c r="T329" s="968"/>
    </row>
    <row r="330" spans="1:20" ht="30" hidden="1" customHeight="1" x14ac:dyDescent="0.3">
      <c r="A330" s="262" t="s">
        <v>154</v>
      </c>
      <c r="C330" s="255">
        <v>174</v>
      </c>
      <c r="D330" s="256" t="s">
        <v>567</v>
      </c>
      <c r="E330" s="978" t="s">
        <v>568</v>
      </c>
      <c r="F330" s="979"/>
      <c r="G330" s="980"/>
      <c r="H330" s="546" t="s">
        <v>225</v>
      </c>
      <c r="I330" s="257">
        <v>26000</v>
      </c>
      <c r="J330" s="606"/>
      <c r="K330" s="257">
        <v>465</v>
      </c>
      <c r="L330" s="257">
        <f t="shared" ref="L330:L340" si="42">+ROUND(I330*K330,2)</f>
        <v>12090000</v>
      </c>
      <c r="M330" s="603"/>
      <c r="N330" s="675">
        <f>+'Yeşil Defter'!K321</f>
        <v>0</v>
      </c>
      <c r="O330" s="675">
        <f>+'Yeşil Defter'!L321</f>
        <v>0</v>
      </c>
      <c r="P330" s="675">
        <f>+'Yeşil Defter'!M321</f>
        <v>0</v>
      </c>
      <c r="Q330" s="257"/>
      <c r="R330" s="606">
        <f t="shared" ref="R330:R340" si="43">+ROUND(K330*N330,2)</f>
        <v>0</v>
      </c>
      <c r="S330" s="247">
        <f t="shared" si="38"/>
        <v>0</v>
      </c>
      <c r="T330" s="248">
        <f t="shared" ref="T330:T340" si="44">+ROUND(K330*P330,2)</f>
        <v>0</v>
      </c>
    </row>
    <row r="331" spans="1:20" ht="30" hidden="1" customHeight="1" x14ac:dyDescent="0.3">
      <c r="A331" s="262" t="s">
        <v>154</v>
      </c>
      <c r="C331" s="244">
        <v>175</v>
      </c>
      <c r="D331" s="161" t="s">
        <v>569</v>
      </c>
      <c r="E331" s="969" t="s">
        <v>570</v>
      </c>
      <c r="F331" s="970"/>
      <c r="G331" s="971"/>
      <c r="H331" s="544" t="s">
        <v>225</v>
      </c>
      <c r="I331" s="212">
        <v>32500</v>
      </c>
      <c r="J331" s="605"/>
      <c r="K331" s="212">
        <v>33</v>
      </c>
      <c r="L331" s="212">
        <f t="shared" si="42"/>
        <v>1072500</v>
      </c>
      <c r="M331" s="602"/>
      <c r="N331" s="675">
        <f>+'Yeşil Defter'!K322</f>
        <v>0</v>
      </c>
      <c r="O331" s="675">
        <f>+'Yeşil Defter'!L322</f>
        <v>0</v>
      </c>
      <c r="P331" s="675">
        <f>+'Yeşil Defter'!M322</f>
        <v>0</v>
      </c>
      <c r="Q331" s="212"/>
      <c r="R331" s="605">
        <f t="shared" si="43"/>
        <v>0</v>
      </c>
      <c r="S331" s="225">
        <f t="shared" si="38"/>
        <v>0</v>
      </c>
      <c r="T331" s="237">
        <f t="shared" si="44"/>
        <v>0</v>
      </c>
    </row>
    <row r="332" spans="1:20" ht="30" hidden="1" customHeight="1" x14ac:dyDescent="0.3">
      <c r="A332" s="262" t="s">
        <v>154</v>
      </c>
      <c r="C332" s="244">
        <v>176</v>
      </c>
      <c r="D332" s="213" t="s">
        <v>571</v>
      </c>
      <c r="E332" s="969" t="s">
        <v>572</v>
      </c>
      <c r="F332" s="970"/>
      <c r="G332" s="971"/>
      <c r="H332" s="544" t="s">
        <v>247</v>
      </c>
      <c r="I332" s="212">
        <v>32500</v>
      </c>
      <c r="J332" s="605"/>
      <c r="K332" s="212">
        <v>4</v>
      </c>
      <c r="L332" s="212">
        <f t="shared" si="42"/>
        <v>130000</v>
      </c>
      <c r="M332" s="602"/>
      <c r="N332" s="675">
        <f>+'Yeşil Defter'!K323</f>
        <v>0</v>
      </c>
      <c r="O332" s="675">
        <f>+'Yeşil Defter'!L323</f>
        <v>0</v>
      </c>
      <c r="P332" s="675">
        <f>+'Yeşil Defter'!M323</f>
        <v>0</v>
      </c>
      <c r="Q332" s="212"/>
      <c r="R332" s="605">
        <f t="shared" si="43"/>
        <v>0</v>
      </c>
      <c r="S332" s="225">
        <f t="shared" si="38"/>
        <v>0</v>
      </c>
      <c r="T332" s="237">
        <f t="shared" si="44"/>
        <v>0</v>
      </c>
    </row>
    <row r="333" spans="1:20" ht="30" hidden="1" customHeight="1" x14ac:dyDescent="0.3">
      <c r="A333" s="262" t="s">
        <v>154</v>
      </c>
      <c r="C333" s="244">
        <v>177</v>
      </c>
      <c r="D333" s="213" t="s">
        <v>573</v>
      </c>
      <c r="E333" s="969" t="s">
        <v>574</v>
      </c>
      <c r="F333" s="970"/>
      <c r="G333" s="971"/>
      <c r="H333" s="544" t="s">
        <v>225</v>
      </c>
      <c r="I333" s="212">
        <v>21645</v>
      </c>
      <c r="J333" s="605"/>
      <c r="K333" s="212">
        <v>114.4</v>
      </c>
      <c r="L333" s="212">
        <f t="shared" si="42"/>
        <v>2476188</v>
      </c>
      <c r="M333" s="602"/>
      <c r="N333" s="675">
        <f>+'Yeşil Defter'!K324</f>
        <v>0</v>
      </c>
      <c r="O333" s="675">
        <f>+'Yeşil Defter'!L324</f>
        <v>0</v>
      </c>
      <c r="P333" s="675">
        <f>+'Yeşil Defter'!M324</f>
        <v>0</v>
      </c>
      <c r="Q333" s="212"/>
      <c r="R333" s="605">
        <f t="shared" si="43"/>
        <v>0</v>
      </c>
      <c r="S333" s="225">
        <f t="shared" si="38"/>
        <v>0</v>
      </c>
      <c r="T333" s="237">
        <f t="shared" si="44"/>
        <v>0</v>
      </c>
    </row>
    <row r="334" spans="1:20" ht="30" hidden="1" customHeight="1" x14ac:dyDescent="0.3">
      <c r="A334" s="262" t="s">
        <v>154</v>
      </c>
      <c r="C334" s="244">
        <v>178</v>
      </c>
      <c r="D334" s="213" t="s">
        <v>575</v>
      </c>
      <c r="E334" s="969" t="s">
        <v>576</v>
      </c>
      <c r="F334" s="970"/>
      <c r="G334" s="971"/>
      <c r="H334" s="544" t="s">
        <v>202</v>
      </c>
      <c r="I334" s="212">
        <v>5850</v>
      </c>
      <c r="J334" s="605"/>
      <c r="K334" s="212">
        <v>754</v>
      </c>
      <c r="L334" s="212">
        <f t="shared" si="42"/>
        <v>4410900</v>
      </c>
      <c r="M334" s="602"/>
      <c r="N334" s="675">
        <f>+'Yeşil Defter'!K325</f>
        <v>0</v>
      </c>
      <c r="O334" s="675">
        <f>+'Yeşil Defter'!L325</f>
        <v>0</v>
      </c>
      <c r="P334" s="675">
        <f>+'Yeşil Defter'!M325</f>
        <v>0</v>
      </c>
      <c r="Q334" s="212"/>
      <c r="R334" s="605">
        <f t="shared" si="43"/>
        <v>0</v>
      </c>
      <c r="S334" s="225">
        <f t="shared" si="38"/>
        <v>0</v>
      </c>
      <c r="T334" s="237">
        <f t="shared" si="44"/>
        <v>0</v>
      </c>
    </row>
    <row r="335" spans="1:20" ht="30" hidden="1" customHeight="1" x14ac:dyDescent="0.3">
      <c r="A335" s="262" t="s">
        <v>154</v>
      </c>
      <c r="C335" s="244">
        <v>179</v>
      </c>
      <c r="D335" s="213" t="s">
        <v>577</v>
      </c>
      <c r="E335" s="969" t="s">
        <v>578</v>
      </c>
      <c r="F335" s="970"/>
      <c r="G335" s="971"/>
      <c r="H335" s="544" t="s">
        <v>374</v>
      </c>
      <c r="I335" s="212">
        <v>260</v>
      </c>
      <c r="J335" s="605"/>
      <c r="K335" s="212">
        <v>10500</v>
      </c>
      <c r="L335" s="212">
        <f t="shared" si="42"/>
        <v>2730000</v>
      </c>
      <c r="M335" s="602"/>
      <c r="N335" s="675">
        <f>+'Yeşil Defter'!K326</f>
        <v>0</v>
      </c>
      <c r="O335" s="675">
        <f>+'Yeşil Defter'!L326</f>
        <v>0</v>
      </c>
      <c r="P335" s="675">
        <f>+'Yeşil Defter'!M326</f>
        <v>0</v>
      </c>
      <c r="Q335" s="212"/>
      <c r="R335" s="605">
        <f t="shared" si="43"/>
        <v>0</v>
      </c>
      <c r="S335" s="225">
        <f t="shared" si="38"/>
        <v>0</v>
      </c>
      <c r="T335" s="237">
        <f t="shared" si="44"/>
        <v>0</v>
      </c>
    </row>
    <row r="336" spans="1:20" ht="30" hidden="1" customHeight="1" x14ac:dyDescent="0.3">
      <c r="A336" s="262" t="s">
        <v>154</v>
      </c>
      <c r="C336" s="244">
        <v>180</v>
      </c>
      <c r="D336" s="213" t="s">
        <v>579</v>
      </c>
      <c r="E336" s="969" t="s">
        <v>580</v>
      </c>
      <c r="F336" s="970"/>
      <c r="G336" s="971"/>
      <c r="H336" s="544" t="s">
        <v>374</v>
      </c>
      <c r="I336" s="212">
        <v>156</v>
      </c>
      <c r="J336" s="605"/>
      <c r="K336" s="212">
        <v>122584</v>
      </c>
      <c r="L336" s="212">
        <f t="shared" si="42"/>
        <v>19123104</v>
      </c>
      <c r="M336" s="602"/>
      <c r="N336" s="675">
        <f>+'Yeşil Defter'!K327</f>
        <v>0</v>
      </c>
      <c r="O336" s="675">
        <f>+'Yeşil Defter'!L327</f>
        <v>0</v>
      </c>
      <c r="P336" s="675">
        <f>+'Yeşil Defter'!M327</f>
        <v>0</v>
      </c>
      <c r="Q336" s="212"/>
      <c r="R336" s="605">
        <f t="shared" si="43"/>
        <v>0</v>
      </c>
      <c r="S336" s="225">
        <f t="shared" si="38"/>
        <v>0</v>
      </c>
      <c r="T336" s="237">
        <f t="shared" si="44"/>
        <v>0</v>
      </c>
    </row>
    <row r="337" spans="1:20" ht="30" hidden="1" customHeight="1" x14ac:dyDescent="0.3">
      <c r="A337" s="262" t="s">
        <v>154</v>
      </c>
      <c r="C337" s="244">
        <v>181</v>
      </c>
      <c r="D337" s="213" t="s">
        <v>581</v>
      </c>
      <c r="E337" s="969" t="s">
        <v>582</v>
      </c>
      <c r="F337" s="970"/>
      <c r="G337" s="971"/>
      <c r="H337" s="544" t="s">
        <v>225</v>
      </c>
      <c r="I337" s="212">
        <v>585</v>
      </c>
      <c r="J337" s="605"/>
      <c r="K337" s="212">
        <v>8531.25</v>
      </c>
      <c r="L337" s="212">
        <f t="shared" si="42"/>
        <v>4990781.25</v>
      </c>
      <c r="M337" s="602"/>
      <c r="N337" s="675">
        <f>+'Yeşil Defter'!K328</f>
        <v>0</v>
      </c>
      <c r="O337" s="675">
        <f>+'Yeşil Defter'!L328</f>
        <v>0</v>
      </c>
      <c r="P337" s="675">
        <f>+'Yeşil Defter'!M328</f>
        <v>0</v>
      </c>
      <c r="Q337" s="212"/>
      <c r="R337" s="605">
        <f t="shared" si="43"/>
        <v>0</v>
      </c>
      <c r="S337" s="225">
        <f t="shared" si="38"/>
        <v>0</v>
      </c>
      <c r="T337" s="237">
        <f t="shared" si="44"/>
        <v>0</v>
      </c>
    </row>
    <row r="338" spans="1:20" ht="30" hidden="1" customHeight="1" x14ac:dyDescent="0.3">
      <c r="A338" s="262" t="s">
        <v>154</v>
      </c>
      <c r="C338" s="244">
        <v>182</v>
      </c>
      <c r="D338" s="213" t="s">
        <v>583</v>
      </c>
      <c r="E338" s="969" t="s">
        <v>584</v>
      </c>
      <c r="F338" s="970"/>
      <c r="G338" s="971"/>
      <c r="H338" s="544" t="s">
        <v>247</v>
      </c>
      <c r="I338" s="212">
        <v>156000</v>
      </c>
      <c r="J338" s="605"/>
      <c r="K338" s="212">
        <v>4</v>
      </c>
      <c r="L338" s="212">
        <f t="shared" si="42"/>
        <v>624000</v>
      </c>
      <c r="M338" s="602"/>
      <c r="N338" s="675">
        <f>+'Yeşil Defter'!K341</f>
        <v>0</v>
      </c>
      <c r="O338" s="675">
        <f>+'Yeşil Defter'!L341</f>
        <v>0</v>
      </c>
      <c r="P338" s="675">
        <f>+'Yeşil Defter'!M341</f>
        <v>0</v>
      </c>
      <c r="Q338" s="212"/>
      <c r="R338" s="605">
        <f t="shared" si="43"/>
        <v>0</v>
      </c>
      <c r="S338" s="225">
        <f t="shared" si="38"/>
        <v>0</v>
      </c>
      <c r="T338" s="237">
        <f t="shared" si="44"/>
        <v>0</v>
      </c>
    </row>
    <row r="339" spans="1:20" ht="30" hidden="1" customHeight="1" x14ac:dyDescent="0.3">
      <c r="A339" s="262" t="s">
        <v>154</v>
      </c>
      <c r="C339" s="244">
        <v>183</v>
      </c>
      <c r="D339" s="213" t="s">
        <v>585</v>
      </c>
      <c r="E339" s="969" t="s">
        <v>586</v>
      </c>
      <c r="F339" s="970"/>
      <c r="G339" s="971"/>
      <c r="H339" s="544" t="s">
        <v>247</v>
      </c>
      <c r="I339" s="212">
        <v>227500</v>
      </c>
      <c r="J339" s="605"/>
      <c r="K339" s="212">
        <v>8</v>
      </c>
      <c r="L339" s="212">
        <f t="shared" si="42"/>
        <v>1820000</v>
      </c>
      <c r="M339" s="602"/>
      <c r="N339" s="675">
        <f>+'Yeşil Defter'!K342</f>
        <v>0</v>
      </c>
      <c r="O339" s="675">
        <f>+'Yeşil Defter'!L342</f>
        <v>0</v>
      </c>
      <c r="P339" s="675">
        <f>+'Yeşil Defter'!M342</f>
        <v>0</v>
      </c>
      <c r="Q339" s="212"/>
      <c r="R339" s="605">
        <f t="shared" si="43"/>
        <v>0</v>
      </c>
      <c r="S339" s="225">
        <f t="shared" si="38"/>
        <v>0</v>
      </c>
      <c r="T339" s="237">
        <f t="shared" si="44"/>
        <v>0</v>
      </c>
    </row>
    <row r="340" spans="1:20" ht="30" hidden="1" customHeight="1" x14ac:dyDescent="0.3">
      <c r="A340" s="262" t="s">
        <v>154</v>
      </c>
      <c r="C340" s="244">
        <v>184</v>
      </c>
      <c r="D340" s="213" t="s">
        <v>587</v>
      </c>
      <c r="E340" s="969" t="s">
        <v>588</v>
      </c>
      <c r="F340" s="970"/>
      <c r="G340" s="971"/>
      <c r="H340" s="544" t="s">
        <v>247</v>
      </c>
      <c r="I340" s="212">
        <v>292500</v>
      </c>
      <c r="J340" s="605"/>
      <c r="K340" s="212">
        <v>4</v>
      </c>
      <c r="L340" s="341">
        <f t="shared" si="42"/>
        <v>1170000</v>
      </c>
      <c r="M340" s="212"/>
      <c r="N340" s="675">
        <f>+'Yeşil Defter'!K343</f>
        <v>0</v>
      </c>
      <c r="O340" s="675">
        <f>+'Yeşil Defter'!L343</f>
        <v>0</v>
      </c>
      <c r="P340" s="675">
        <f>+'Yeşil Defter'!M343</f>
        <v>0</v>
      </c>
      <c r="Q340" s="212"/>
      <c r="R340" s="605">
        <f t="shared" si="43"/>
        <v>0</v>
      </c>
      <c r="S340" s="225">
        <f t="shared" si="38"/>
        <v>0</v>
      </c>
      <c r="T340" s="237">
        <f t="shared" si="44"/>
        <v>0</v>
      </c>
    </row>
    <row r="341" spans="1:20" ht="30" hidden="1" customHeight="1" x14ac:dyDescent="0.3">
      <c r="A341" s="262" t="s">
        <v>154</v>
      </c>
      <c r="C341" s="244"/>
      <c r="D341" s="213"/>
      <c r="E341" s="969"/>
      <c r="F341" s="970"/>
      <c r="G341" s="971"/>
      <c r="H341" s="161"/>
      <c r="I341" s="605"/>
      <c r="J341" s="605"/>
      <c r="K341" s="212"/>
      <c r="L341" s="341"/>
      <c r="M341" s="212"/>
      <c r="N341" s="605"/>
      <c r="O341" s="212"/>
      <c r="P341" s="341"/>
      <c r="Q341" s="212"/>
      <c r="R341" s="605"/>
      <c r="S341" s="225"/>
      <c r="T341" s="237"/>
    </row>
    <row r="342" spans="1:20" ht="30" hidden="1" customHeight="1" x14ac:dyDescent="0.3">
      <c r="A342" s="262" t="s">
        <v>154</v>
      </c>
      <c r="C342" s="244"/>
      <c r="D342" s="213"/>
      <c r="E342" s="969"/>
      <c r="F342" s="970"/>
      <c r="G342" s="971"/>
      <c r="H342" s="161"/>
      <c r="I342" s="605"/>
      <c r="J342" s="605"/>
      <c r="K342" s="212"/>
      <c r="L342" s="341"/>
      <c r="M342" s="212"/>
      <c r="N342" s="605"/>
      <c r="O342" s="212"/>
      <c r="P342" s="341"/>
      <c r="Q342" s="212"/>
      <c r="R342" s="605"/>
      <c r="S342" s="225"/>
      <c r="T342" s="237"/>
    </row>
    <row r="343" spans="1:20" ht="30" hidden="1" customHeight="1" x14ac:dyDescent="0.3">
      <c r="A343" s="262" t="s">
        <v>154</v>
      </c>
      <c r="C343" s="244"/>
      <c r="D343" s="213"/>
      <c r="E343" s="969"/>
      <c r="F343" s="970"/>
      <c r="G343" s="971"/>
      <c r="H343" s="161"/>
      <c r="I343" s="605"/>
      <c r="J343" s="605"/>
      <c r="K343" s="212"/>
      <c r="L343" s="341"/>
      <c r="M343" s="212"/>
      <c r="N343" s="605"/>
      <c r="O343" s="212"/>
      <c r="P343" s="341"/>
      <c r="Q343" s="212"/>
      <c r="R343" s="605"/>
      <c r="S343" s="225"/>
      <c r="T343" s="237"/>
    </row>
    <row r="344" spans="1:20" ht="30" hidden="1" customHeight="1" x14ac:dyDescent="0.3">
      <c r="A344" s="262" t="s">
        <v>154</v>
      </c>
      <c r="C344" s="244"/>
      <c r="D344" s="213"/>
      <c r="E344" s="969"/>
      <c r="F344" s="970"/>
      <c r="G344" s="971"/>
      <c r="H344" s="161"/>
      <c r="I344" s="605"/>
      <c r="J344" s="605"/>
      <c r="K344" s="212"/>
      <c r="L344" s="341"/>
      <c r="M344" s="212"/>
      <c r="N344" s="605"/>
      <c r="O344" s="212"/>
      <c r="P344" s="341"/>
      <c r="Q344" s="212"/>
      <c r="R344" s="605"/>
      <c r="S344" s="225"/>
      <c r="T344" s="237"/>
    </row>
    <row r="345" spans="1:20" ht="30" hidden="1" customHeight="1" x14ac:dyDescent="0.3">
      <c r="A345" s="262" t="s">
        <v>154</v>
      </c>
      <c r="C345" s="244"/>
      <c r="D345" s="213"/>
      <c r="E345" s="969"/>
      <c r="F345" s="970"/>
      <c r="G345" s="971"/>
      <c r="H345" s="161"/>
      <c r="I345" s="605"/>
      <c r="J345" s="605"/>
      <c r="K345" s="212"/>
      <c r="L345" s="341"/>
      <c r="M345" s="212"/>
      <c r="N345" s="605"/>
      <c r="O345" s="212"/>
      <c r="P345" s="341"/>
      <c r="Q345" s="212"/>
      <c r="R345" s="605"/>
      <c r="S345" s="225"/>
      <c r="T345" s="237"/>
    </row>
    <row r="346" spans="1:20" ht="30" hidden="1" customHeight="1" x14ac:dyDescent="0.3">
      <c r="A346" s="262" t="s">
        <v>154</v>
      </c>
      <c r="C346" s="244"/>
      <c r="D346" s="213"/>
      <c r="E346" s="969"/>
      <c r="F346" s="970"/>
      <c r="G346" s="971"/>
      <c r="H346" s="161"/>
      <c r="I346" s="605"/>
      <c r="J346" s="605"/>
      <c r="K346" s="212"/>
      <c r="L346" s="341"/>
      <c r="M346" s="212"/>
      <c r="N346" s="605"/>
      <c r="O346" s="212"/>
      <c r="P346" s="341"/>
      <c r="Q346" s="212"/>
      <c r="R346" s="605"/>
      <c r="S346" s="225"/>
      <c r="T346" s="237"/>
    </row>
    <row r="347" spans="1:20" ht="30" hidden="1" customHeight="1" x14ac:dyDescent="0.3">
      <c r="A347" s="262" t="s">
        <v>154</v>
      </c>
      <c r="C347" s="244"/>
      <c r="D347" s="213"/>
      <c r="E347" s="969"/>
      <c r="F347" s="970"/>
      <c r="G347" s="971"/>
      <c r="H347" s="161"/>
      <c r="I347" s="605"/>
      <c r="J347" s="605"/>
      <c r="K347" s="212"/>
      <c r="L347" s="341"/>
      <c r="M347" s="212"/>
      <c r="N347" s="605"/>
      <c r="O347" s="212"/>
      <c r="P347" s="341"/>
      <c r="Q347" s="212"/>
      <c r="R347" s="605"/>
      <c r="S347" s="225"/>
      <c r="T347" s="237"/>
    </row>
    <row r="348" spans="1:20" ht="30" hidden="1" customHeight="1" x14ac:dyDescent="0.3">
      <c r="A348" s="262" t="s">
        <v>154</v>
      </c>
      <c r="C348" s="244"/>
      <c r="D348" s="213"/>
      <c r="E348" s="969"/>
      <c r="F348" s="970"/>
      <c r="G348" s="971"/>
      <c r="H348" s="161"/>
      <c r="I348" s="605"/>
      <c r="J348" s="605"/>
      <c r="K348" s="212"/>
      <c r="L348" s="341"/>
      <c r="M348" s="212"/>
      <c r="N348" s="605"/>
      <c r="O348" s="212"/>
      <c r="P348" s="341"/>
      <c r="Q348" s="212"/>
      <c r="R348" s="605"/>
      <c r="S348" s="225"/>
      <c r="T348" s="237"/>
    </row>
    <row r="349" spans="1:20" ht="30" hidden="1" customHeight="1" x14ac:dyDescent="0.3">
      <c r="A349" s="262" t="s">
        <v>154</v>
      </c>
      <c r="C349" s="244"/>
      <c r="D349" s="213"/>
      <c r="E349" s="969"/>
      <c r="F349" s="970"/>
      <c r="G349" s="971"/>
      <c r="H349" s="161"/>
      <c r="I349" s="605"/>
      <c r="J349" s="605"/>
      <c r="K349" s="212"/>
      <c r="L349" s="341"/>
      <c r="M349" s="212"/>
      <c r="N349" s="605"/>
      <c r="O349" s="212"/>
      <c r="P349" s="341"/>
      <c r="Q349" s="212"/>
      <c r="R349" s="605"/>
      <c r="S349" s="225"/>
      <c r="T349" s="237"/>
    </row>
    <row r="350" spans="1:20" ht="30" hidden="1" customHeight="1" x14ac:dyDescent="0.3">
      <c r="A350" s="262" t="s">
        <v>154</v>
      </c>
      <c r="C350" s="244"/>
      <c r="D350" s="213"/>
      <c r="E350" s="969"/>
      <c r="F350" s="970"/>
      <c r="G350" s="971"/>
      <c r="H350" s="161"/>
      <c r="I350" s="605"/>
      <c r="J350" s="605"/>
      <c r="K350" s="212"/>
      <c r="L350" s="341"/>
      <c r="M350" s="212"/>
      <c r="N350" s="605"/>
      <c r="O350" s="212"/>
      <c r="P350" s="341"/>
      <c r="Q350" s="212"/>
      <c r="R350" s="605"/>
      <c r="S350" s="225"/>
      <c r="T350" s="237"/>
    </row>
    <row r="351" spans="1:20" ht="30" hidden="1" customHeight="1" x14ac:dyDescent="0.3">
      <c r="A351" s="262" t="s">
        <v>154</v>
      </c>
      <c r="C351" s="244"/>
      <c r="D351" s="213"/>
      <c r="E351" s="969"/>
      <c r="F351" s="970"/>
      <c r="G351" s="971"/>
      <c r="H351" s="161"/>
      <c r="I351" s="605"/>
      <c r="J351" s="605"/>
      <c r="K351" s="212"/>
      <c r="L351" s="341"/>
      <c r="M351" s="212"/>
      <c r="N351" s="605"/>
      <c r="O351" s="212"/>
      <c r="P351" s="341"/>
      <c r="Q351" s="212"/>
      <c r="R351" s="605"/>
      <c r="S351" s="225"/>
      <c r="T351" s="237"/>
    </row>
    <row r="352" spans="1:20" ht="30" hidden="1" customHeight="1" x14ac:dyDescent="0.3">
      <c r="A352" s="262" t="s">
        <v>154</v>
      </c>
      <c r="C352" s="244"/>
      <c r="D352" s="213"/>
      <c r="E352" s="969"/>
      <c r="F352" s="970"/>
      <c r="G352" s="971"/>
      <c r="H352" s="658"/>
      <c r="I352" s="605"/>
      <c r="J352" s="605"/>
      <c r="K352" s="212"/>
      <c r="L352" s="341"/>
      <c r="M352" s="302"/>
      <c r="N352" s="605"/>
      <c r="O352" s="212"/>
      <c r="P352" s="341"/>
      <c r="Q352" s="302"/>
      <c r="R352" s="605"/>
      <c r="S352" s="225"/>
      <c r="T352" s="237"/>
    </row>
    <row r="353" spans="1:20" ht="40.049999999999997" hidden="1" customHeight="1" x14ac:dyDescent="0.3">
      <c r="A353" s="262" t="s">
        <v>1242</v>
      </c>
      <c r="C353" s="258"/>
      <c r="D353" s="258"/>
      <c r="E353" s="972" t="s">
        <v>33</v>
      </c>
      <c r="F353" s="972"/>
      <c r="G353" s="972"/>
      <c r="H353" s="973" t="s">
        <v>29</v>
      </c>
      <c r="I353" s="973"/>
      <c r="J353" s="973"/>
      <c r="K353" s="973"/>
      <c r="L353" s="973"/>
      <c r="M353" s="549"/>
      <c r="N353" s="973" t="s">
        <v>22</v>
      </c>
      <c r="O353" s="973"/>
      <c r="P353" s="973"/>
      <c r="Q353" s="973"/>
      <c r="R353" s="973"/>
      <c r="S353" s="973"/>
      <c r="T353" s="973"/>
    </row>
    <row r="354" spans="1:20" ht="19.95" hidden="1" customHeight="1" x14ac:dyDescent="0.3">
      <c r="A354" s="262" t="s">
        <v>1242</v>
      </c>
      <c r="D354" s="28"/>
      <c r="E354" s="974" t="s">
        <v>1214</v>
      </c>
      <c r="F354" s="974"/>
      <c r="G354" s="974"/>
      <c r="H354" s="975" t="s">
        <v>38</v>
      </c>
      <c r="I354" s="975"/>
      <c r="J354" s="975"/>
      <c r="K354" s="975"/>
      <c r="L354" s="975"/>
      <c r="M354" s="562"/>
      <c r="N354" s="975" t="s">
        <v>1437</v>
      </c>
      <c r="O354" s="975"/>
      <c r="P354" s="975"/>
      <c r="Q354" s="975"/>
      <c r="R354" s="975"/>
      <c r="S354" s="975"/>
      <c r="T354" s="975"/>
    </row>
    <row r="355" spans="1:20" ht="19.95" hidden="1" customHeight="1" x14ac:dyDescent="0.3">
      <c r="A355" s="262" t="s">
        <v>1242</v>
      </c>
      <c r="C355" s="228"/>
      <c r="D355" s="228"/>
      <c r="E355" s="561"/>
      <c r="F355" s="561"/>
      <c r="G355" s="561"/>
      <c r="H355" s="228"/>
      <c r="I355" s="260"/>
      <c r="J355" s="260"/>
      <c r="K355" s="260"/>
      <c r="L355" s="260"/>
      <c r="M355" s="260"/>
      <c r="N355" s="975"/>
      <c r="O355" s="975"/>
      <c r="P355" s="975"/>
      <c r="Q355" s="975"/>
      <c r="R355" s="975"/>
      <c r="S355" s="975"/>
      <c r="T355" s="975"/>
    </row>
    <row r="356" spans="1:20" ht="19.95" hidden="1" customHeight="1" x14ac:dyDescent="0.3">
      <c r="A356" s="262" t="s">
        <v>1242</v>
      </c>
      <c r="C356" s="228"/>
      <c r="D356" s="228"/>
      <c r="E356" s="561"/>
      <c r="F356" s="561"/>
      <c r="G356" s="561"/>
      <c r="H356" s="228"/>
      <c r="I356" s="260"/>
      <c r="J356" s="260"/>
      <c r="K356" s="260"/>
      <c r="L356" s="260"/>
      <c r="M356" s="260"/>
      <c r="N356" s="975"/>
      <c r="O356" s="975"/>
      <c r="P356" s="975"/>
      <c r="Q356" s="975"/>
      <c r="R356" s="975"/>
      <c r="S356" s="975"/>
      <c r="T356" s="975"/>
    </row>
    <row r="357" spans="1:20" ht="19.95" hidden="1" customHeight="1" x14ac:dyDescent="0.3">
      <c r="A357" s="262" t="s">
        <v>1242</v>
      </c>
      <c r="C357" s="228"/>
      <c r="D357" s="228"/>
      <c r="E357" s="561"/>
      <c r="F357" s="561"/>
      <c r="G357" s="561"/>
      <c r="H357" s="228"/>
      <c r="I357" s="260"/>
      <c r="J357" s="260"/>
      <c r="K357" s="260"/>
      <c r="L357" s="260"/>
      <c r="M357" s="260"/>
      <c r="N357" s="260"/>
      <c r="O357" s="260"/>
      <c r="P357" s="260"/>
      <c r="Q357" s="260"/>
      <c r="R357" s="260"/>
      <c r="S357" s="624"/>
      <c r="T357" s="260"/>
    </row>
    <row r="358" spans="1:20" ht="19.95" hidden="1" customHeight="1" x14ac:dyDescent="0.3">
      <c r="A358" s="262" t="s">
        <v>1242</v>
      </c>
      <c r="C358" s="228"/>
      <c r="D358" s="228"/>
      <c r="E358" s="561"/>
      <c r="F358" s="561"/>
      <c r="G358" s="561"/>
      <c r="H358" s="975" t="s">
        <v>32</v>
      </c>
      <c r="I358" s="975"/>
      <c r="J358" s="562"/>
      <c r="K358" s="975" t="s">
        <v>1407</v>
      </c>
      <c r="L358" s="975"/>
      <c r="M358" s="562"/>
      <c r="N358" s="968" t="s">
        <v>58</v>
      </c>
      <c r="O358" s="968"/>
      <c r="P358" s="968"/>
      <c r="Q358" s="547"/>
      <c r="R358" s="968" t="s">
        <v>57</v>
      </c>
      <c r="S358" s="968"/>
      <c r="T358" s="968"/>
    </row>
    <row r="359" spans="1:20" ht="19.95" hidden="1" customHeight="1" x14ac:dyDescent="0.3">
      <c r="A359" s="262" t="s">
        <v>1242</v>
      </c>
      <c r="C359" s="228"/>
      <c r="D359" s="228"/>
      <c r="E359" s="561"/>
      <c r="F359" s="561"/>
      <c r="G359" s="561"/>
      <c r="H359" s="976" t="s">
        <v>94</v>
      </c>
      <c r="I359" s="976"/>
      <c r="J359" s="623"/>
      <c r="K359" s="976" t="s">
        <v>94</v>
      </c>
      <c r="L359" s="976"/>
      <c r="M359" s="623"/>
      <c r="N359" s="968" t="s">
        <v>1472</v>
      </c>
      <c r="O359" s="968"/>
      <c r="P359" s="968"/>
      <c r="Q359" s="547"/>
      <c r="R359" s="968" t="s">
        <v>1472</v>
      </c>
      <c r="S359" s="968"/>
      <c r="T359" s="968"/>
    </row>
    <row r="360" spans="1:20" ht="19.95" hidden="1" customHeight="1" x14ac:dyDescent="0.3">
      <c r="A360" s="262" t="s">
        <v>1242</v>
      </c>
      <c r="C360" s="228"/>
      <c r="D360" s="228"/>
      <c r="E360" s="561"/>
      <c r="F360" s="561"/>
      <c r="G360" s="561"/>
      <c r="H360" s="976"/>
      <c r="I360" s="976"/>
      <c r="J360" s="623"/>
      <c r="K360" s="976"/>
      <c r="L360" s="976"/>
      <c r="M360" s="623"/>
      <c r="N360" s="968"/>
      <c r="O360" s="968"/>
      <c r="P360" s="968"/>
      <c r="Q360" s="260"/>
      <c r="R360" s="968"/>
      <c r="S360" s="968"/>
      <c r="T360" s="968"/>
    </row>
    <row r="361" spans="1:20" ht="19.95" hidden="1" customHeight="1" x14ac:dyDescent="0.3">
      <c r="A361" s="262" t="s">
        <v>1242</v>
      </c>
      <c r="C361" s="228"/>
      <c r="D361" s="228"/>
      <c r="E361" s="561"/>
      <c r="F361" s="561"/>
      <c r="G361" s="561"/>
      <c r="H361" s="228"/>
      <c r="I361" s="260"/>
      <c r="J361" s="260"/>
      <c r="K361" s="260"/>
      <c r="L361" s="260"/>
      <c r="M361" s="260"/>
      <c r="N361" s="260"/>
      <c r="O361" s="260"/>
      <c r="P361" s="260"/>
      <c r="Q361" s="260"/>
      <c r="R361" s="260"/>
      <c r="S361" s="624"/>
      <c r="T361" s="260"/>
    </row>
    <row r="362" spans="1:20" ht="19.95" hidden="1" customHeight="1" x14ac:dyDescent="0.3">
      <c r="A362" s="262" t="s">
        <v>1242</v>
      </c>
      <c r="C362" s="228"/>
      <c r="D362" s="228"/>
      <c r="E362" s="975" t="s">
        <v>1215</v>
      </c>
      <c r="F362" s="975"/>
      <c r="G362" s="975"/>
      <c r="H362" s="975" t="s">
        <v>1348</v>
      </c>
      <c r="I362" s="975"/>
      <c r="J362" s="975"/>
      <c r="K362" s="975"/>
      <c r="L362" s="975"/>
      <c r="M362" s="562"/>
      <c r="N362" s="977" t="s">
        <v>1217</v>
      </c>
      <c r="O362" s="968"/>
      <c r="P362" s="968"/>
      <c r="Q362" s="968"/>
      <c r="R362" s="968"/>
      <c r="S362" s="968"/>
      <c r="T362" s="968"/>
    </row>
    <row r="363" spans="1:20" ht="19.95" hidden="1" customHeight="1" x14ac:dyDescent="0.3">
      <c r="A363" s="262" t="s">
        <v>1290</v>
      </c>
      <c r="C363" s="228"/>
      <c r="D363" s="228"/>
      <c r="E363" s="975"/>
      <c r="F363" s="975"/>
      <c r="G363" s="975"/>
      <c r="H363" s="975"/>
      <c r="I363" s="975"/>
      <c r="J363" s="975"/>
      <c r="K363" s="975"/>
      <c r="L363" s="975"/>
      <c r="M363" s="562"/>
      <c r="N363" s="968"/>
      <c r="O363" s="968"/>
      <c r="P363" s="968"/>
      <c r="Q363" s="968"/>
      <c r="R363" s="968"/>
      <c r="S363" s="968"/>
      <c r="T363" s="968"/>
    </row>
    <row r="364" spans="1:20" ht="30" hidden="1" customHeight="1" x14ac:dyDescent="0.3">
      <c r="A364" s="262" t="s">
        <v>1240</v>
      </c>
      <c r="C364" s="625"/>
      <c r="D364" s="626" t="s">
        <v>1229</v>
      </c>
      <c r="E364" s="627"/>
      <c r="F364" s="627"/>
      <c r="G364" s="627"/>
      <c r="H364" s="627"/>
      <c r="I364" s="628"/>
      <c r="J364" s="628"/>
      <c r="K364" s="628"/>
      <c r="L364" s="644">
        <f>+SUMIFS(L:L,A:A,"2")</f>
        <v>1424774746</v>
      </c>
      <c r="M364" s="629"/>
      <c r="N364" s="648"/>
      <c r="O364" s="628"/>
      <c r="P364" s="628"/>
      <c r="Q364" s="611"/>
      <c r="R364" s="651">
        <f>+SUMIFS(R:R,A:A,"2")</f>
        <v>0</v>
      </c>
      <c r="S364" s="630">
        <f>+SUMIFS(S:S,A:A,"2")</f>
        <v>0</v>
      </c>
      <c r="T364" s="631">
        <f>+SUMIFS(T:T,A:A,"2")</f>
        <v>0</v>
      </c>
    </row>
    <row r="365" spans="1:20" ht="30" hidden="1" customHeight="1" x14ac:dyDescent="0.3">
      <c r="A365" s="262">
        <v>2</v>
      </c>
      <c r="C365" s="244">
        <v>185</v>
      </c>
      <c r="D365" s="213" t="s">
        <v>589</v>
      </c>
      <c r="E365" s="969" t="s">
        <v>590</v>
      </c>
      <c r="F365" s="970"/>
      <c r="G365" s="971"/>
      <c r="H365" s="544" t="s">
        <v>286</v>
      </c>
      <c r="I365" s="212">
        <v>11275750</v>
      </c>
      <c r="J365" s="605"/>
      <c r="K365" s="212">
        <v>1</v>
      </c>
      <c r="L365" s="212">
        <f t="shared" ref="L365:L386" si="45">+ROUND(I365*K365,2)</f>
        <v>11275750</v>
      </c>
      <c r="M365" s="602"/>
      <c r="N365" s="675">
        <f>+'Yeşil Defter'!K388</f>
        <v>0</v>
      </c>
      <c r="O365" s="675">
        <f>+'Yeşil Defter'!L388</f>
        <v>0</v>
      </c>
      <c r="P365" s="675">
        <f>+'Yeşil Defter'!M388</f>
        <v>0</v>
      </c>
      <c r="Q365" s="212"/>
      <c r="R365" s="605">
        <f t="shared" ref="R365:R386" si="46">+ROUND(K365*N365,2)</f>
        <v>0</v>
      </c>
      <c r="S365" s="225">
        <f t="shared" ref="S365:S420" si="47">+T365-R365</f>
        <v>0</v>
      </c>
      <c r="T365" s="237">
        <f t="shared" ref="T365:T386" si="48">+ROUND(K365*P365,2)</f>
        <v>0</v>
      </c>
    </row>
    <row r="366" spans="1:20" ht="30" hidden="1" customHeight="1" x14ac:dyDescent="0.3">
      <c r="A366" s="262">
        <v>2</v>
      </c>
      <c r="C366" s="244">
        <v>186</v>
      </c>
      <c r="D366" s="161" t="s">
        <v>591</v>
      </c>
      <c r="E366" s="969" t="s">
        <v>592</v>
      </c>
      <c r="F366" s="970"/>
      <c r="G366" s="971"/>
      <c r="H366" s="544" t="s">
        <v>286</v>
      </c>
      <c r="I366" s="212">
        <v>22517035</v>
      </c>
      <c r="J366" s="605"/>
      <c r="K366" s="212">
        <v>1</v>
      </c>
      <c r="L366" s="212">
        <f t="shared" si="45"/>
        <v>22517035</v>
      </c>
      <c r="M366" s="602"/>
      <c r="N366" s="675">
        <f>+'Yeşil Defter'!K389</f>
        <v>0</v>
      </c>
      <c r="O366" s="675">
        <f>+'Yeşil Defter'!L389</f>
        <v>0</v>
      </c>
      <c r="P366" s="675">
        <f>+'Yeşil Defter'!M389</f>
        <v>0</v>
      </c>
      <c r="Q366" s="212"/>
      <c r="R366" s="605">
        <f t="shared" si="46"/>
        <v>0</v>
      </c>
      <c r="S366" s="225">
        <f t="shared" si="47"/>
        <v>0</v>
      </c>
      <c r="T366" s="237">
        <f t="shared" si="48"/>
        <v>0</v>
      </c>
    </row>
    <row r="367" spans="1:20" ht="30" hidden="1" customHeight="1" x14ac:dyDescent="0.3">
      <c r="A367" s="262">
        <v>2</v>
      </c>
      <c r="C367" s="244">
        <v>187</v>
      </c>
      <c r="D367" s="161" t="s">
        <v>593</v>
      </c>
      <c r="E367" s="969" t="s">
        <v>594</v>
      </c>
      <c r="F367" s="970"/>
      <c r="G367" s="971"/>
      <c r="H367" s="544" t="s">
        <v>286</v>
      </c>
      <c r="I367" s="212">
        <v>15921572</v>
      </c>
      <c r="J367" s="605"/>
      <c r="K367" s="212">
        <v>1</v>
      </c>
      <c r="L367" s="212">
        <f t="shared" si="45"/>
        <v>15921572</v>
      </c>
      <c r="M367" s="602"/>
      <c r="N367" s="675">
        <f>+'Yeşil Defter'!K390</f>
        <v>0</v>
      </c>
      <c r="O367" s="675">
        <f>+'Yeşil Defter'!L390</f>
        <v>0</v>
      </c>
      <c r="P367" s="675">
        <f>+'Yeşil Defter'!M390</f>
        <v>0</v>
      </c>
      <c r="Q367" s="212"/>
      <c r="R367" s="605">
        <f t="shared" si="46"/>
        <v>0</v>
      </c>
      <c r="S367" s="225">
        <f t="shared" si="47"/>
        <v>0</v>
      </c>
      <c r="T367" s="237">
        <f t="shared" si="48"/>
        <v>0</v>
      </c>
    </row>
    <row r="368" spans="1:20" ht="30" hidden="1" customHeight="1" x14ac:dyDescent="0.3">
      <c r="A368" s="262">
        <v>2</v>
      </c>
      <c r="C368" s="244">
        <v>188</v>
      </c>
      <c r="D368" s="161" t="s">
        <v>595</v>
      </c>
      <c r="E368" s="969" t="s">
        <v>596</v>
      </c>
      <c r="F368" s="970"/>
      <c r="G368" s="971"/>
      <c r="H368" s="544" t="s">
        <v>286</v>
      </c>
      <c r="I368" s="212">
        <v>15921572</v>
      </c>
      <c r="J368" s="605"/>
      <c r="K368" s="212">
        <v>1</v>
      </c>
      <c r="L368" s="212">
        <f t="shared" si="45"/>
        <v>15921572</v>
      </c>
      <c r="M368" s="602"/>
      <c r="N368" s="675">
        <f>+'Yeşil Defter'!K391</f>
        <v>0</v>
      </c>
      <c r="O368" s="675">
        <f>+'Yeşil Defter'!L391</f>
        <v>0</v>
      </c>
      <c r="P368" s="675">
        <f>+'Yeşil Defter'!M391</f>
        <v>0</v>
      </c>
      <c r="Q368" s="212"/>
      <c r="R368" s="605">
        <f t="shared" si="46"/>
        <v>0</v>
      </c>
      <c r="S368" s="225">
        <f t="shared" si="47"/>
        <v>0</v>
      </c>
      <c r="T368" s="237">
        <f t="shared" si="48"/>
        <v>0</v>
      </c>
    </row>
    <row r="369" spans="1:20" ht="30" hidden="1" customHeight="1" x14ac:dyDescent="0.3">
      <c r="A369" s="262">
        <v>2</v>
      </c>
      <c r="C369" s="244">
        <v>189</v>
      </c>
      <c r="D369" s="161" t="s">
        <v>597</v>
      </c>
      <c r="E369" s="969" t="s">
        <v>598</v>
      </c>
      <c r="F369" s="970"/>
      <c r="G369" s="971"/>
      <c r="H369" s="544" t="s">
        <v>286</v>
      </c>
      <c r="I369" s="212">
        <v>15921572</v>
      </c>
      <c r="J369" s="605"/>
      <c r="K369" s="212">
        <v>1</v>
      </c>
      <c r="L369" s="212">
        <f t="shared" si="45"/>
        <v>15921572</v>
      </c>
      <c r="M369" s="602"/>
      <c r="N369" s="675">
        <f>+'Yeşil Defter'!K392</f>
        <v>0</v>
      </c>
      <c r="O369" s="675">
        <f>+'Yeşil Defter'!L392</f>
        <v>0</v>
      </c>
      <c r="P369" s="675">
        <f>+'Yeşil Defter'!M392</f>
        <v>0</v>
      </c>
      <c r="Q369" s="212"/>
      <c r="R369" s="605">
        <f t="shared" si="46"/>
        <v>0</v>
      </c>
      <c r="S369" s="225">
        <f t="shared" si="47"/>
        <v>0</v>
      </c>
      <c r="T369" s="237">
        <f t="shared" si="48"/>
        <v>0</v>
      </c>
    </row>
    <row r="370" spans="1:20" ht="30" hidden="1" customHeight="1" x14ac:dyDescent="0.3">
      <c r="A370" s="262">
        <v>2</v>
      </c>
      <c r="C370" s="244">
        <v>190</v>
      </c>
      <c r="D370" s="161" t="s">
        <v>599</v>
      </c>
      <c r="E370" s="969" t="s">
        <v>600</v>
      </c>
      <c r="F370" s="970"/>
      <c r="G370" s="971"/>
      <c r="H370" s="544" t="s">
        <v>286</v>
      </c>
      <c r="I370" s="212">
        <v>25772110</v>
      </c>
      <c r="J370" s="605"/>
      <c r="K370" s="212">
        <v>1</v>
      </c>
      <c r="L370" s="212">
        <f t="shared" si="45"/>
        <v>25772110</v>
      </c>
      <c r="M370" s="602"/>
      <c r="N370" s="675">
        <f>+'Yeşil Defter'!K393</f>
        <v>0</v>
      </c>
      <c r="O370" s="675">
        <f>+'Yeşil Defter'!L393</f>
        <v>0</v>
      </c>
      <c r="P370" s="675">
        <f>+'Yeşil Defter'!M393</f>
        <v>0</v>
      </c>
      <c r="Q370" s="212"/>
      <c r="R370" s="605">
        <f t="shared" si="46"/>
        <v>0</v>
      </c>
      <c r="S370" s="225">
        <f t="shared" si="47"/>
        <v>0</v>
      </c>
      <c r="T370" s="237">
        <f t="shared" si="48"/>
        <v>0</v>
      </c>
    </row>
    <row r="371" spans="1:20" ht="30" hidden="1" customHeight="1" x14ac:dyDescent="0.3">
      <c r="A371" s="262">
        <v>2</v>
      </c>
      <c r="C371" s="244">
        <v>191</v>
      </c>
      <c r="D371" s="161" t="s">
        <v>601</v>
      </c>
      <c r="E371" s="969" t="s">
        <v>602</v>
      </c>
      <c r="F371" s="970"/>
      <c r="G371" s="971"/>
      <c r="H371" s="544" t="s">
        <v>286</v>
      </c>
      <c r="I371" s="212">
        <v>8305760</v>
      </c>
      <c r="J371" s="605"/>
      <c r="K371" s="212">
        <v>1</v>
      </c>
      <c r="L371" s="212">
        <f t="shared" si="45"/>
        <v>8305760</v>
      </c>
      <c r="M371" s="602"/>
      <c r="N371" s="675">
        <f>+'Yeşil Defter'!K394</f>
        <v>0</v>
      </c>
      <c r="O371" s="675">
        <f>+'Yeşil Defter'!L394</f>
        <v>0</v>
      </c>
      <c r="P371" s="675">
        <f>+'Yeşil Defter'!M394</f>
        <v>0</v>
      </c>
      <c r="Q371" s="212"/>
      <c r="R371" s="605">
        <f t="shared" si="46"/>
        <v>0</v>
      </c>
      <c r="S371" s="225">
        <f t="shared" si="47"/>
        <v>0</v>
      </c>
      <c r="T371" s="237">
        <f t="shared" si="48"/>
        <v>0</v>
      </c>
    </row>
    <row r="372" spans="1:20" ht="30" hidden="1" customHeight="1" x14ac:dyDescent="0.3">
      <c r="A372" s="262">
        <v>2</v>
      </c>
      <c r="C372" s="244">
        <v>192</v>
      </c>
      <c r="D372" s="161" t="s">
        <v>603</v>
      </c>
      <c r="E372" s="969" t="s">
        <v>604</v>
      </c>
      <c r="F372" s="970"/>
      <c r="G372" s="971"/>
      <c r="H372" s="544" t="s">
        <v>286</v>
      </c>
      <c r="I372" s="212">
        <v>8305760</v>
      </c>
      <c r="J372" s="605"/>
      <c r="K372" s="212">
        <v>1</v>
      </c>
      <c r="L372" s="212">
        <f t="shared" si="45"/>
        <v>8305760</v>
      </c>
      <c r="M372" s="602"/>
      <c r="N372" s="675">
        <f>+'Yeşil Defter'!K395</f>
        <v>0</v>
      </c>
      <c r="O372" s="675">
        <f>+'Yeşil Defter'!L395</f>
        <v>0</v>
      </c>
      <c r="P372" s="675">
        <f>+'Yeşil Defter'!M395</f>
        <v>0</v>
      </c>
      <c r="Q372" s="212"/>
      <c r="R372" s="605">
        <f t="shared" si="46"/>
        <v>0</v>
      </c>
      <c r="S372" s="225">
        <f t="shared" si="47"/>
        <v>0</v>
      </c>
      <c r="T372" s="237">
        <f t="shared" si="48"/>
        <v>0</v>
      </c>
    </row>
    <row r="373" spans="1:20" ht="30" hidden="1" customHeight="1" x14ac:dyDescent="0.3">
      <c r="A373" s="262">
        <v>2</v>
      </c>
      <c r="C373" s="244">
        <v>193</v>
      </c>
      <c r="D373" s="161" t="s">
        <v>605</v>
      </c>
      <c r="E373" s="969" t="s">
        <v>606</v>
      </c>
      <c r="F373" s="970"/>
      <c r="G373" s="971"/>
      <c r="H373" s="544" t="s">
        <v>286</v>
      </c>
      <c r="I373" s="212">
        <v>8305760</v>
      </c>
      <c r="J373" s="605"/>
      <c r="K373" s="212">
        <v>1</v>
      </c>
      <c r="L373" s="212">
        <f t="shared" si="45"/>
        <v>8305760</v>
      </c>
      <c r="M373" s="602"/>
      <c r="N373" s="675">
        <f>+'Yeşil Defter'!K396</f>
        <v>0</v>
      </c>
      <c r="O373" s="675">
        <f>+'Yeşil Defter'!L396</f>
        <v>0</v>
      </c>
      <c r="P373" s="675">
        <f>+'Yeşil Defter'!M396</f>
        <v>0</v>
      </c>
      <c r="Q373" s="212"/>
      <c r="R373" s="605">
        <f t="shared" si="46"/>
        <v>0</v>
      </c>
      <c r="S373" s="225">
        <f t="shared" si="47"/>
        <v>0</v>
      </c>
      <c r="T373" s="237">
        <f t="shared" si="48"/>
        <v>0</v>
      </c>
    </row>
    <row r="374" spans="1:20" ht="30" hidden="1" customHeight="1" x14ac:dyDescent="0.3">
      <c r="A374" s="262">
        <v>2</v>
      </c>
      <c r="C374" s="244">
        <v>194</v>
      </c>
      <c r="D374" s="161" t="s">
        <v>607</v>
      </c>
      <c r="E374" s="969" t="s">
        <v>608</v>
      </c>
      <c r="F374" s="970"/>
      <c r="G374" s="971"/>
      <c r="H374" s="544" t="s">
        <v>286</v>
      </c>
      <c r="I374" s="212">
        <v>8305760</v>
      </c>
      <c r="J374" s="605"/>
      <c r="K374" s="212">
        <v>1</v>
      </c>
      <c r="L374" s="212">
        <f t="shared" si="45"/>
        <v>8305760</v>
      </c>
      <c r="M374" s="602"/>
      <c r="N374" s="675">
        <f>+'Yeşil Defter'!K397</f>
        <v>0</v>
      </c>
      <c r="O374" s="675">
        <f>+'Yeşil Defter'!L397</f>
        <v>0</v>
      </c>
      <c r="P374" s="675">
        <f>+'Yeşil Defter'!M397</f>
        <v>0</v>
      </c>
      <c r="Q374" s="212"/>
      <c r="R374" s="605">
        <f t="shared" si="46"/>
        <v>0</v>
      </c>
      <c r="S374" s="225">
        <f t="shared" si="47"/>
        <v>0</v>
      </c>
      <c r="T374" s="237">
        <f t="shared" si="48"/>
        <v>0</v>
      </c>
    </row>
    <row r="375" spans="1:20" ht="30" hidden="1" customHeight="1" x14ac:dyDescent="0.3">
      <c r="A375" s="262">
        <v>2</v>
      </c>
      <c r="C375" s="244">
        <v>195</v>
      </c>
      <c r="D375" s="161" t="s">
        <v>609</v>
      </c>
      <c r="E375" s="969" t="s">
        <v>610</v>
      </c>
      <c r="F375" s="970"/>
      <c r="G375" s="971"/>
      <c r="H375" s="544" t="s">
        <v>286</v>
      </c>
      <c r="I375" s="212">
        <v>8305760</v>
      </c>
      <c r="J375" s="605"/>
      <c r="K375" s="212">
        <v>1</v>
      </c>
      <c r="L375" s="212">
        <f t="shared" si="45"/>
        <v>8305760</v>
      </c>
      <c r="M375" s="602"/>
      <c r="N375" s="675">
        <f>+'Yeşil Defter'!K398</f>
        <v>0</v>
      </c>
      <c r="O375" s="675">
        <f>+'Yeşil Defter'!L398</f>
        <v>0</v>
      </c>
      <c r="P375" s="675">
        <f>+'Yeşil Defter'!M398</f>
        <v>0</v>
      </c>
      <c r="Q375" s="212"/>
      <c r="R375" s="605">
        <f t="shared" si="46"/>
        <v>0</v>
      </c>
      <c r="S375" s="225">
        <f t="shared" si="47"/>
        <v>0</v>
      </c>
      <c r="T375" s="237">
        <f t="shared" si="48"/>
        <v>0</v>
      </c>
    </row>
    <row r="376" spans="1:20" ht="30" hidden="1" customHeight="1" x14ac:dyDescent="0.3">
      <c r="A376" s="262">
        <v>2</v>
      </c>
      <c r="C376" s="244">
        <v>196</v>
      </c>
      <c r="D376" s="161" t="s">
        <v>611</v>
      </c>
      <c r="E376" s="969" t="s">
        <v>612</v>
      </c>
      <c r="F376" s="970"/>
      <c r="G376" s="971"/>
      <c r="H376" s="544" t="s">
        <v>286</v>
      </c>
      <c r="I376" s="212">
        <v>12296950</v>
      </c>
      <c r="J376" s="605"/>
      <c r="K376" s="212">
        <v>1</v>
      </c>
      <c r="L376" s="212">
        <f t="shared" si="45"/>
        <v>12296950</v>
      </c>
      <c r="M376" s="602"/>
      <c r="N376" s="675">
        <f>+'Yeşil Defter'!K399</f>
        <v>0</v>
      </c>
      <c r="O376" s="675">
        <f>+'Yeşil Defter'!L399</f>
        <v>0</v>
      </c>
      <c r="P376" s="675">
        <f>+'Yeşil Defter'!M399</f>
        <v>0</v>
      </c>
      <c r="Q376" s="212"/>
      <c r="R376" s="605">
        <f t="shared" si="46"/>
        <v>0</v>
      </c>
      <c r="S376" s="225">
        <f t="shared" si="47"/>
        <v>0</v>
      </c>
      <c r="T376" s="237">
        <f t="shared" si="48"/>
        <v>0</v>
      </c>
    </row>
    <row r="377" spans="1:20" ht="30" hidden="1" customHeight="1" x14ac:dyDescent="0.3">
      <c r="A377" s="262">
        <v>2</v>
      </c>
      <c r="C377" s="244">
        <v>197</v>
      </c>
      <c r="D377" s="161" t="s">
        <v>613</v>
      </c>
      <c r="E377" s="969" t="s">
        <v>614</v>
      </c>
      <c r="F377" s="970"/>
      <c r="G377" s="971"/>
      <c r="H377" s="544" t="s">
        <v>286</v>
      </c>
      <c r="I377" s="212">
        <v>12296950</v>
      </c>
      <c r="J377" s="605"/>
      <c r="K377" s="212">
        <v>1</v>
      </c>
      <c r="L377" s="212">
        <f t="shared" si="45"/>
        <v>12296950</v>
      </c>
      <c r="M377" s="602"/>
      <c r="N377" s="675">
        <f>+'Yeşil Defter'!K400</f>
        <v>0</v>
      </c>
      <c r="O377" s="675">
        <f>+'Yeşil Defter'!L400</f>
        <v>0</v>
      </c>
      <c r="P377" s="675">
        <f>+'Yeşil Defter'!M400</f>
        <v>0</v>
      </c>
      <c r="Q377" s="212"/>
      <c r="R377" s="605">
        <f t="shared" si="46"/>
        <v>0</v>
      </c>
      <c r="S377" s="225">
        <f t="shared" si="47"/>
        <v>0</v>
      </c>
      <c r="T377" s="237">
        <f t="shared" si="48"/>
        <v>0</v>
      </c>
    </row>
    <row r="378" spans="1:20" ht="30" hidden="1" customHeight="1" x14ac:dyDescent="0.3">
      <c r="A378" s="262">
        <v>2</v>
      </c>
      <c r="C378" s="244">
        <v>198</v>
      </c>
      <c r="D378" s="161" t="s">
        <v>615</v>
      </c>
      <c r="E378" s="969" t="s">
        <v>616</v>
      </c>
      <c r="F378" s="970"/>
      <c r="G378" s="971"/>
      <c r="H378" s="544" t="s">
        <v>286</v>
      </c>
      <c r="I378" s="212">
        <v>12296950</v>
      </c>
      <c r="J378" s="605"/>
      <c r="K378" s="212">
        <v>1</v>
      </c>
      <c r="L378" s="212">
        <f t="shared" si="45"/>
        <v>12296950</v>
      </c>
      <c r="M378" s="602"/>
      <c r="N378" s="675">
        <f>+'Yeşil Defter'!K401</f>
        <v>0</v>
      </c>
      <c r="O378" s="675">
        <f>+'Yeşil Defter'!L401</f>
        <v>0</v>
      </c>
      <c r="P378" s="675">
        <f>+'Yeşil Defter'!M401</f>
        <v>0</v>
      </c>
      <c r="Q378" s="212"/>
      <c r="R378" s="605">
        <f t="shared" si="46"/>
        <v>0</v>
      </c>
      <c r="S378" s="225">
        <f t="shared" si="47"/>
        <v>0</v>
      </c>
      <c r="T378" s="237">
        <f t="shared" si="48"/>
        <v>0</v>
      </c>
    </row>
    <row r="379" spans="1:20" ht="30" hidden="1" customHeight="1" x14ac:dyDescent="0.3">
      <c r="A379" s="262">
        <v>2</v>
      </c>
      <c r="C379" s="244">
        <v>199</v>
      </c>
      <c r="D379" s="161" t="s">
        <v>617</v>
      </c>
      <c r="E379" s="969" t="s">
        <v>618</v>
      </c>
      <c r="F379" s="970"/>
      <c r="G379" s="971"/>
      <c r="H379" s="544" t="s">
        <v>286</v>
      </c>
      <c r="I379" s="212">
        <v>12296950</v>
      </c>
      <c r="J379" s="605"/>
      <c r="K379" s="212">
        <v>1</v>
      </c>
      <c r="L379" s="212">
        <f t="shared" si="45"/>
        <v>12296950</v>
      </c>
      <c r="M379" s="602"/>
      <c r="N379" s="675">
        <f>+'Yeşil Defter'!K402</f>
        <v>0</v>
      </c>
      <c r="O379" s="675">
        <f>+'Yeşil Defter'!L402</f>
        <v>0</v>
      </c>
      <c r="P379" s="675">
        <f>+'Yeşil Defter'!M402</f>
        <v>0</v>
      </c>
      <c r="Q379" s="212"/>
      <c r="R379" s="605">
        <f t="shared" si="46"/>
        <v>0</v>
      </c>
      <c r="S379" s="225">
        <f t="shared" si="47"/>
        <v>0</v>
      </c>
      <c r="T379" s="237">
        <f t="shared" si="48"/>
        <v>0</v>
      </c>
    </row>
    <row r="380" spans="1:20" ht="30" hidden="1" customHeight="1" x14ac:dyDescent="0.3">
      <c r="A380" s="262">
        <v>2</v>
      </c>
      <c r="C380" s="244">
        <v>200</v>
      </c>
      <c r="D380" s="161" t="s">
        <v>619</v>
      </c>
      <c r="E380" s="969" t="s">
        <v>620</v>
      </c>
      <c r="F380" s="970"/>
      <c r="G380" s="971"/>
      <c r="H380" s="544" t="s">
        <v>286</v>
      </c>
      <c r="I380" s="212">
        <v>12296950</v>
      </c>
      <c r="J380" s="605"/>
      <c r="K380" s="212">
        <v>1</v>
      </c>
      <c r="L380" s="212">
        <f t="shared" si="45"/>
        <v>12296950</v>
      </c>
      <c r="M380" s="602"/>
      <c r="N380" s="675">
        <f>+'Yeşil Defter'!K403</f>
        <v>0</v>
      </c>
      <c r="O380" s="675">
        <f>+'Yeşil Defter'!L403</f>
        <v>0</v>
      </c>
      <c r="P380" s="675">
        <f>+'Yeşil Defter'!M403</f>
        <v>0</v>
      </c>
      <c r="Q380" s="212"/>
      <c r="R380" s="605">
        <f t="shared" si="46"/>
        <v>0</v>
      </c>
      <c r="S380" s="225">
        <f t="shared" si="47"/>
        <v>0</v>
      </c>
      <c r="T380" s="237">
        <f t="shared" si="48"/>
        <v>0</v>
      </c>
    </row>
    <row r="381" spans="1:20" ht="30" hidden="1" customHeight="1" x14ac:dyDescent="0.3">
      <c r="A381" s="262">
        <v>2</v>
      </c>
      <c r="C381" s="244">
        <v>201</v>
      </c>
      <c r="D381" s="161" t="s">
        <v>621</v>
      </c>
      <c r="E381" s="969" t="s">
        <v>622</v>
      </c>
      <c r="F381" s="970"/>
      <c r="G381" s="971"/>
      <c r="H381" s="544" t="s">
        <v>286</v>
      </c>
      <c r="I381" s="212">
        <v>10347418</v>
      </c>
      <c r="J381" s="605"/>
      <c r="K381" s="212">
        <v>1</v>
      </c>
      <c r="L381" s="212">
        <f t="shared" si="45"/>
        <v>10347418</v>
      </c>
      <c r="M381" s="602"/>
      <c r="N381" s="675">
        <f>+'Yeşil Defter'!K404</f>
        <v>0</v>
      </c>
      <c r="O381" s="675">
        <f>+'Yeşil Defter'!L404</f>
        <v>0</v>
      </c>
      <c r="P381" s="675">
        <f>+'Yeşil Defter'!M404</f>
        <v>0</v>
      </c>
      <c r="Q381" s="212"/>
      <c r="R381" s="605">
        <f t="shared" si="46"/>
        <v>0</v>
      </c>
      <c r="S381" s="225">
        <f t="shared" si="47"/>
        <v>0</v>
      </c>
      <c r="T381" s="237">
        <f t="shared" si="48"/>
        <v>0</v>
      </c>
    </row>
    <row r="382" spans="1:20" ht="30" hidden="1" customHeight="1" x14ac:dyDescent="0.3">
      <c r="A382" s="262">
        <v>2</v>
      </c>
      <c r="C382" s="244">
        <v>202</v>
      </c>
      <c r="D382" s="161" t="s">
        <v>623</v>
      </c>
      <c r="E382" s="969" t="s">
        <v>624</v>
      </c>
      <c r="F382" s="970"/>
      <c r="G382" s="971"/>
      <c r="H382" s="544" t="s">
        <v>286</v>
      </c>
      <c r="I382" s="212">
        <v>11316761</v>
      </c>
      <c r="J382" s="605"/>
      <c r="K382" s="212">
        <v>1</v>
      </c>
      <c r="L382" s="212">
        <f t="shared" si="45"/>
        <v>11316761</v>
      </c>
      <c r="M382" s="602"/>
      <c r="N382" s="675">
        <f>+'Yeşil Defter'!K405</f>
        <v>0</v>
      </c>
      <c r="O382" s="675">
        <f>+'Yeşil Defter'!L405</f>
        <v>0</v>
      </c>
      <c r="P382" s="675">
        <f>+'Yeşil Defter'!M405</f>
        <v>0</v>
      </c>
      <c r="Q382" s="212"/>
      <c r="R382" s="605">
        <f t="shared" si="46"/>
        <v>0</v>
      </c>
      <c r="S382" s="225">
        <f t="shared" si="47"/>
        <v>0</v>
      </c>
      <c r="T382" s="237">
        <f t="shared" si="48"/>
        <v>0</v>
      </c>
    </row>
    <row r="383" spans="1:20" ht="30" hidden="1" customHeight="1" x14ac:dyDescent="0.3">
      <c r="A383" s="262">
        <v>2</v>
      </c>
      <c r="C383" s="244">
        <v>203</v>
      </c>
      <c r="D383" s="161" t="s">
        <v>625</v>
      </c>
      <c r="E383" s="969" t="s">
        <v>626</v>
      </c>
      <c r="F383" s="970"/>
      <c r="G383" s="971"/>
      <c r="H383" s="544" t="s">
        <v>286</v>
      </c>
      <c r="I383" s="212">
        <v>12286105</v>
      </c>
      <c r="J383" s="605"/>
      <c r="K383" s="212">
        <v>1</v>
      </c>
      <c r="L383" s="212">
        <f t="shared" si="45"/>
        <v>12286105</v>
      </c>
      <c r="M383" s="602"/>
      <c r="N383" s="675">
        <f>+'Yeşil Defter'!K406</f>
        <v>0</v>
      </c>
      <c r="O383" s="675">
        <f>+'Yeşil Defter'!L406</f>
        <v>0</v>
      </c>
      <c r="P383" s="675">
        <f>+'Yeşil Defter'!M406</f>
        <v>0</v>
      </c>
      <c r="Q383" s="212"/>
      <c r="R383" s="605">
        <f t="shared" si="46"/>
        <v>0</v>
      </c>
      <c r="S383" s="225">
        <f t="shared" si="47"/>
        <v>0</v>
      </c>
      <c r="T383" s="237">
        <f t="shared" si="48"/>
        <v>0</v>
      </c>
    </row>
    <row r="384" spans="1:20" ht="30" hidden="1" customHeight="1" x14ac:dyDescent="0.3">
      <c r="A384" s="262">
        <v>2</v>
      </c>
      <c r="C384" s="244">
        <v>204</v>
      </c>
      <c r="D384" s="161" t="s">
        <v>627</v>
      </c>
      <c r="E384" s="969" t="s">
        <v>628</v>
      </c>
      <c r="F384" s="970"/>
      <c r="G384" s="971"/>
      <c r="H384" s="544" t="s">
        <v>286</v>
      </c>
      <c r="I384" s="212">
        <v>11962990</v>
      </c>
      <c r="J384" s="605"/>
      <c r="K384" s="212">
        <v>1</v>
      </c>
      <c r="L384" s="212">
        <f t="shared" si="45"/>
        <v>11962990</v>
      </c>
      <c r="M384" s="602"/>
      <c r="N384" s="675">
        <f>+'Yeşil Defter'!K407</f>
        <v>0</v>
      </c>
      <c r="O384" s="675">
        <f>+'Yeşil Defter'!L407</f>
        <v>0</v>
      </c>
      <c r="P384" s="675">
        <f>+'Yeşil Defter'!M407</f>
        <v>0</v>
      </c>
      <c r="Q384" s="212"/>
      <c r="R384" s="605">
        <f t="shared" si="46"/>
        <v>0</v>
      </c>
      <c r="S384" s="225">
        <f t="shared" si="47"/>
        <v>0</v>
      </c>
      <c r="T384" s="237">
        <f t="shared" si="48"/>
        <v>0</v>
      </c>
    </row>
    <row r="385" spans="1:20" ht="30" hidden="1" customHeight="1" x14ac:dyDescent="0.3">
      <c r="A385" s="262">
        <v>2</v>
      </c>
      <c r="C385" s="244">
        <v>205</v>
      </c>
      <c r="D385" s="161" t="s">
        <v>629</v>
      </c>
      <c r="E385" s="969" t="s">
        <v>630</v>
      </c>
      <c r="F385" s="970"/>
      <c r="G385" s="971"/>
      <c r="H385" s="544" t="s">
        <v>286</v>
      </c>
      <c r="I385" s="212">
        <v>12286105</v>
      </c>
      <c r="J385" s="605"/>
      <c r="K385" s="212">
        <v>1</v>
      </c>
      <c r="L385" s="212">
        <f t="shared" si="45"/>
        <v>12286105</v>
      </c>
      <c r="M385" s="602"/>
      <c r="N385" s="675">
        <f>+'Yeşil Defter'!K408</f>
        <v>0</v>
      </c>
      <c r="O385" s="675">
        <f>+'Yeşil Defter'!L408</f>
        <v>0</v>
      </c>
      <c r="P385" s="675">
        <f>+'Yeşil Defter'!M408</f>
        <v>0</v>
      </c>
      <c r="Q385" s="212"/>
      <c r="R385" s="605">
        <f t="shared" si="46"/>
        <v>0</v>
      </c>
      <c r="S385" s="225">
        <f t="shared" si="47"/>
        <v>0</v>
      </c>
      <c r="T385" s="237">
        <f t="shared" si="48"/>
        <v>0</v>
      </c>
    </row>
    <row r="386" spans="1:20" ht="30" hidden="1" customHeight="1" x14ac:dyDescent="0.3">
      <c r="A386" s="262">
        <v>2</v>
      </c>
      <c r="C386" s="244">
        <v>206</v>
      </c>
      <c r="D386" s="161" t="s">
        <v>631</v>
      </c>
      <c r="E386" s="969" t="s">
        <v>632</v>
      </c>
      <c r="F386" s="970"/>
      <c r="G386" s="971"/>
      <c r="H386" s="544" t="s">
        <v>286</v>
      </c>
      <c r="I386" s="212">
        <v>28101296</v>
      </c>
      <c r="J386" s="605"/>
      <c r="K386" s="212">
        <v>1</v>
      </c>
      <c r="L386" s="212">
        <f t="shared" si="45"/>
        <v>28101296</v>
      </c>
      <c r="M386" s="602"/>
      <c r="N386" s="675">
        <f>+'Yeşil Defter'!K409</f>
        <v>0</v>
      </c>
      <c r="O386" s="675">
        <f>+'Yeşil Defter'!L409</f>
        <v>0</v>
      </c>
      <c r="P386" s="675">
        <f>+'Yeşil Defter'!M409</f>
        <v>0</v>
      </c>
      <c r="Q386" s="212"/>
      <c r="R386" s="605">
        <f t="shared" si="46"/>
        <v>0</v>
      </c>
      <c r="S386" s="225">
        <f t="shared" si="47"/>
        <v>0</v>
      </c>
      <c r="T386" s="237">
        <f t="shared" si="48"/>
        <v>0</v>
      </c>
    </row>
    <row r="387" spans="1:20" ht="40.049999999999997" hidden="1" customHeight="1" x14ac:dyDescent="0.3">
      <c r="A387" s="262" t="s">
        <v>1242</v>
      </c>
      <c r="C387" s="258"/>
      <c r="D387" s="258"/>
      <c r="E387" s="972" t="s">
        <v>33</v>
      </c>
      <c r="F387" s="972"/>
      <c r="G387" s="972"/>
      <c r="H387" s="973" t="s">
        <v>29</v>
      </c>
      <c r="I387" s="973"/>
      <c r="J387" s="973"/>
      <c r="K387" s="973"/>
      <c r="L387" s="973"/>
      <c r="M387" s="549"/>
      <c r="N387" s="973" t="s">
        <v>22</v>
      </c>
      <c r="O387" s="973"/>
      <c r="P387" s="973"/>
      <c r="Q387" s="973"/>
      <c r="R387" s="973"/>
      <c r="S387" s="973"/>
      <c r="T387" s="973"/>
    </row>
    <row r="388" spans="1:20" ht="19.95" hidden="1" customHeight="1" x14ac:dyDescent="0.3">
      <c r="A388" s="262" t="s">
        <v>1242</v>
      </c>
      <c r="D388" s="28"/>
      <c r="E388" s="974" t="s">
        <v>1214</v>
      </c>
      <c r="F388" s="974"/>
      <c r="G388" s="974"/>
      <c r="H388" s="975" t="s">
        <v>38</v>
      </c>
      <c r="I388" s="975"/>
      <c r="J388" s="975"/>
      <c r="K388" s="975"/>
      <c r="L388" s="975"/>
      <c r="M388" s="562"/>
      <c r="N388" s="975" t="s">
        <v>1437</v>
      </c>
      <c r="O388" s="975"/>
      <c r="P388" s="975"/>
      <c r="Q388" s="975"/>
      <c r="R388" s="975"/>
      <c r="S388" s="975"/>
      <c r="T388" s="975"/>
    </row>
    <row r="389" spans="1:20" ht="19.95" hidden="1" customHeight="1" x14ac:dyDescent="0.3">
      <c r="A389" s="262" t="s">
        <v>1242</v>
      </c>
      <c r="C389" s="228"/>
      <c r="D389" s="228"/>
      <c r="E389" s="561"/>
      <c r="F389" s="561"/>
      <c r="G389" s="561"/>
      <c r="H389" s="228"/>
      <c r="I389" s="260"/>
      <c r="J389" s="260"/>
      <c r="K389" s="260"/>
      <c r="L389" s="260"/>
      <c r="M389" s="260"/>
      <c r="N389" s="975"/>
      <c r="O389" s="975"/>
      <c r="P389" s="975"/>
      <c r="Q389" s="975"/>
      <c r="R389" s="975"/>
      <c r="S389" s="975"/>
      <c r="T389" s="975"/>
    </row>
    <row r="390" spans="1:20" ht="19.95" hidden="1" customHeight="1" x14ac:dyDescent="0.3">
      <c r="A390" s="262" t="s">
        <v>1242</v>
      </c>
      <c r="C390" s="228"/>
      <c r="D390" s="228"/>
      <c r="E390" s="561"/>
      <c r="F390" s="561"/>
      <c r="G390" s="561"/>
      <c r="H390" s="228"/>
      <c r="I390" s="260"/>
      <c r="J390" s="260"/>
      <c r="K390" s="260"/>
      <c r="L390" s="260"/>
      <c r="M390" s="260"/>
      <c r="N390" s="975"/>
      <c r="O390" s="975"/>
      <c r="P390" s="975"/>
      <c r="Q390" s="975"/>
      <c r="R390" s="975"/>
      <c r="S390" s="975"/>
      <c r="T390" s="975"/>
    </row>
    <row r="391" spans="1:20" ht="19.95" hidden="1" customHeight="1" x14ac:dyDescent="0.3">
      <c r="A391" s="262" t="s">
        <v>1242</v>
      </c>
      <c r="C391" s="228"/>
      <c r="D391" s="228"/>
      <c r="E391" s="561"/>
      <c r="F391" s="561"/>
      <c r="G391" s="561"/>
      <c r="H391" s="261"/>
      <c r="I391" s="261"/>
      <c r="J391" s="261"/>
      <c r="K391" s="261"/>
      <c r="L391" s="261"/>
      <c r="M391" s="261"/>
      <c r="N391" s="260"/>
      <c r="O391" s="260"/>
      <c r="P391" s="260"/>
      <c r="Q391" s="260"/>
      <c r="R391" s="260"/>
      <c r="S391" s="624"/>
      <c r="T391" s="260"/>
    </row>
    <row r="392" spans="1:20" ht="19.95" hidden="1" customHeight="1" x14ac:dyDescent="0.3">
      <c r="A392" s="262" t="s">
        <v>1242</v>
      </c>
      <c r="C392" s="228"/>
      <c r="D392" s="228"/>
      <c r="E392" s="561"/>
      <c r="F392" s="561"/>
      <c r="G392" s="561"/>
      <c r="H392" s="975" t="s">
        <v>32</v>
      </c>
      <c r="I392" s="975"/>
      <c r="J392" s="562"/>
      <c r="K392" s="975" t="s">
        <v>1407</v>
      </c>
      <c r="L392" s="975"/>
      <c r="M392" s="562"/>
      <c r="N392" s="968" t="s">
        <v>28</v>
      </c>
      <c r="O392" s="968"/>
      <c r="P392" s="968"/>
      <c r="Q392" s="968"/>
      <c r="R392" s="968"/>
      <c r="S392" s="968"/>
      <c r="T392" s="968"/>
    </row>
    <row r="393" spans="1:20" ht="19.95" hidden="1" customHeight="1" x14ac:dyDescent="0.3">
      <c r="A393" s="262" t="s">
        <v>1242</v>
      </c>
      <c r="C393" s="228"/>
      <c r="D393" s="228"/>
      <c r="E393" s="561"/>
      <c r="F393" s="561"/>
      <c r="G393" s="561"/>
      <c r="H393" s="976" t="s">
        <v>94</v>
      </c>
      <c r="I393" s="976"/>
      <c r="J393" s="623"/>
      <c r="K393" s="976" t="s">
        <v>94</v>
      </c>
      <c r="L393" s="976"/>
      <c r="M393" s="623"/>
      <c r="N393" s="968" t="s">
        <v>1486</v>
      </c>
      <c r="O393" s="968"/>
      <c r="P393" s="968"/>
      <c r="Q393" s="968"/>
      <c r="R393" s="968"/>
      <c r="S393" s="968"/>
      <c r="T393" s="968"/>
    </row>
    <row r="394" spans="1:20" ht="19.95" hidden="1" customHeight="1" x14ac:dyDescent="0.3">
      <c r="A394" s="262" t="s">
        <v>1242</v>
      </c>
      <c r="C394" s="228"/>
      <c r="D394" s="228"/>
      <c r="E394" s="561"/>
      <c r="F394" s="561"/>
      <c r="G394" s="561"/>
      <c r="H394" s="976"/>
      <c r="I394" s="976"/>
      <c r="J394" s="623"/>
      <c r="K394" s="976"/>
      <c r="L394" s="976"/>
      <c r="M394" s="623"/>
      <c r="N394" s="968"/>
      <c r="O394" s="968"/>
      <c r="P394" s="968"/>
      <c r="Q394" s="968"/>
      <c r="R394" s="968"/>
      <c r="S394" s="968"/>
      <c r="T394" s="968"/>
    </row>
    <row r="395" spans="1:20" ht="19.95" hidden="1" customHeight="1" x14ac:dyDescent="0.3">
      <c r="A395" s="262" t="s">
        <v>1242</v>
      </c>
      <c r="C395" s="228"/>
      <c r="D395" s="228"/>
      <c r="E395" s="561"/>
      <c r="F395" s="561"/>
      <c r="G395" s="561"/>
      <c r="H395" s="261"/>
      <c r="I395" s="261"/>
      <c r="J395" s="261"/>
      <c r="K395" s="261"/>
      <c r="L395" s="261"/>
      <c r="M395" s="261"/>
      <c r="N395" s="260"/>
      <c r="O395" s="260"/>
      <c r="P395" s="260"/>
      <c r="Q395" s="260"/>
      <c r="R395" s="260"/>
      <c r="S395" s="624"/>
      <c r="T395" s="260"/>
    </row>
    <row r="396" spans="1:20" ht="19.95" hidden="1" customHeight="1" x14ac:dyDescent="0.3">
      <c r="A396" s="262" t="s">
        <v>1242</v>
      </c>
      <c r="C396" s="228"/>
      <c r="D396" s="228"/>
      <c r="E396" s="975" t="s">
        <v>1215</v>
      </c>
      <c r="F396" s="975"/>
      <c r="G396" s="975"/>
      <c r="H396" s="975" t="s">
        <v>1348</v>
      </c>
      <c r="I396" s="975"/>
      <c r="J396" s="975"/>
      <c r="K396" s="975"/>
      <c r="L396" s="975"/>
      <c r="M396" s="562"/>
      <c r="N396" s="977" t="s">
        <v>1219</v>
      </c>
      <c r="O396" s="968"/>
      <c r="P396" s="968"/>
      <c r="Q396" s="968"/>
      <c r="R396" s="968"/>
      <c r="S396" s="968"/>
      <c r="T396" s="968"/>
    </row>
    <row r="397" spans="1:20" ht="19.95" hidden="1" customHeight="1" x14ac:dyDescent="0.3">
      <c r="A397" s="262" t="s">
        <v>1290</v>
      </c>
      <c r="C397" s="228"/>
      <c r="D397" s="228"/>
      <c r="E397" s="975"/>
      <c r="F397" s="975"/>
      <c r="G397" s="975"/>
      <c r="H397" s="975"/>
      <c r="I397" s="975"/>
      <c r="J397" s="975"/>
      <c r="K397" s="975"/>
      <c r="L397" s="975"/>
      <c r="M397" s="562"/>
      <c r="N397" s="968"/>
      <c r="O397" s="968"/>
      <c r="P397" s="968"/>
      <c r="Q397" s="968"/>
      <c r="R397" s="968"/>
      <c r="S397" s="968"/>
      <c r="T397" s="968"/>
    </row>
    <row r="398" spans="1:20" ht="30" hidden="1" customHeight="1" x14ac:dyDescent="0.3">
      <c r="A398" s="262">
        <v>2</v>
      </c>
      <c r="C398" s="255">
        <v>207</v>
      </c>
      <c r="D398" s="256" t="s">
        <v>633</v>
      </c>
      <c r="E398" s="978" t="s">
        <v>634</v>
      </c>
      <c r="F398" s="979"/>
      <c r="G398" s="980"/>
      <c r="H398" s="546" t="s">
        <v>286</v>
      </c>
      <c r="I398" s="257">
        <v>1415706</v>
      </c>
      <c r="J398" s="606"/>
      <c r="K398" s="257">
        <v>1</v>
      </c>
      <c r="L398" s="257">
        <f t="shared" ref="L398:L420" si="49">+ROUND(I398*K398,2)</f>
        <v>1415706</v>
      </c>
      <c r="M398" s="603"/>
      <c r="N398" s="675">
        <f>+'Yeşil Defter'!K410</f>
        <v>0</v>
      </c>
      <c r="O398" s="675">
        <f>+'Yeşil Defter'!L410</f>
        <v>0</v>
      </c>
      <c r="P398" s="675">
        <f>+'Yeşil Defter'!M410</f>
        <v>0</v>
      </c>
      <c r="Q398" s="257"/>
      <c r="R398" s="606">
        <f t="shared" ref="R398:R420" si="50">+ROUND(K398*N398,2)</f>
        <v>0</v>
      </c>
      <c r="S398" s="247">
        <f t="shared" si="47"/>
        <v>0</v>
      </c>
      <c r="T398" s="248">
        <f t="shared" ref="T398:T420" si="51">+ROUND(K398*P398,2)</f>
        <v>0</v>
      </c>
    </row>
    <row r="399" spans="1:20" ht="30" hidden="1" customHeight="1" x14ac:dyDescent="0.3">
      <c r="A399" s="262">
        <v>2</v>
      </c>
      <c r="C399" s="244">
        <v>208</v>
      </c>
      <c r="D399" s="161" t="s">
        <v>635</v>
      </c>
      <c r="E399" s="969" t="s">
        <v>636</v>
      </c>
      <c r="F399" s="970"/>
      <c r="G399" s="971"/>
      <c r="H399" s="544" t="s">
        <v>286</v>
      </c>
      <c r="I399" s="212">
        <v>1415706</v>
      </c>
      <c r="J399" s="605"/>
      <c r="K399" s="212">
        <v>1</v>
      </c>
      <c r="L399" s="212">
        <f t="shared" si="49"/>
        <v>1415706</v>
      </c>
      <c r="M399" s="602"/>
      <c r="N399" s="675">
        <f>+'Yeşil Defter'!K411</f>
        <v>0</v>
      </c>
      <c r="O399" s="675">
        <f>+'Yeşil Defter'!L411</f>
        <v>0</v>
      </c>
      <c r="P399" s="675">
        <f>+'Yeşil Defter'!M411</f>
        <v>0</v>
      </c>
      <c r="Q399" s="212"/>
      <c r="R399" s="605">
        <f t="shared" si="50"/>
        <v>0</v>
      </c>
      <c r="S399" s="225">
        <f t="shared" si="47"/>
        <v>0</v>
      </c>
      <c r="T399" s="237">
        <f t="shared" si="51"/>
        <v>0</v>
      </c>
    </row>
    <row r="400" spans="1:20" ht="30" hidden="1" customHeight="1" x14ac:dyDescent="0.3">
      <c r="A400" s="262">
        <v>2</v>
      </c>
      <c r="C400" s="244">
        <v>209</v>
      </c>
      <c r="D400" s="161" t="s">
        <v>637</v>
      </c>
      <c r="E400" s="969" t="s">
        <v>638</v>
      </c>
      <c r="F400" s="970"/>
      <c r="G400" s="971"/>
      <c r="H400" s="544" t="s">
        <v>286</v>
      </c>
      <c r="I400" s="212">
        <v>1415706</v>
      </c>
      <c r="J400" s="605"/>
      <c r="K400" s="212">
        <v>1</v>
      </c>
      <c r="L400" s="212">
        <f t="shared" si="49"/>
        <v>1415706</v>
      </c>
      <c r="M400" s="602"/>
      <c r="N400" s="675">
        <f>+'Yeşil Defter'!K412</f>
        <v>0</v>
      </c>
      <c r="O400" s="675">
        <f>+'Yeşil Defter'!L412</f>
        <v>0</v>
      </c>
      <c r="P400" s="675">
        <f>+'Yeşil Defter'!M412</f>
        <v>0</v>
      </c>
      <c r="Q400" s="212"/>
      <c r="R400" s="605">
        <f t="shared" si="50"/>
        <v>0</v>
      </c>
      <c r="S400" s="225">
        <f t="shared" si="47"/>
        <v>0</v>
      </c>
      <c r="T400" s="237">
        <f t="shared" si="51"/>
        <v>0</v>
      </c>
    </row>
    <row r="401" spans="1:20" ht="30" hidden="1" customHeight="1" x14ac:dyDescent="0.3">
      <c r="A401" s="262">
        <v>2</v>
      </c>
      <c r="C401" s="244">
        <v>210</v>
      </c>
      <c r="D401" s="161" t="s">
        <v>639</v>
      </c>
      <c r="E401" s="969" t="s">
        <v>640</v>
      </c>
      <c r="F401" s="970"/>
      <c r="G401" s="971"/>
      <c r="H401" s="544" t="s">
        <v>286</v>
      </c>
      <c r="I401" s="212">
        <v>1415706</v>
      </c>
      <c r="J401" s="605"/>
      <c r="K401" s="212">
        <v>1</v>
      </c>
      <c r="L401" s="212">
        <f t="shared" si="49"/>
        <v>1415706</v>
      </c>
      <c r="M401" s="602"/>
      <c r="N401" s="675">
        <f>+'Yeşil Defter'!K413</f>
        <v>0</v>
      </c>
      <c r="O401" s="675">
        <f>+'Yeşil Defter'!L413</f>
        <v>0</v>
      </c>
      <c r="P401" s="675">
        <f>+'Yeşil Defter'!M413</f>
        <v>0</v>
      </c>
      <c r="Q401" s="212"/>
      <c r="R401" s="605">
        <f t="shared" si="50"/>
        <v>0</v>
      </c>
      <c r="S401" s="225">
        <f t="shared" si="47"/>
        <v>0</v>
      </c>
      <c r="T401" s="237">
        <f t="shared" si="51"/>
        <v>0</v>
      </c>
    </row>
    <row r="402" spans="1:20" ht="30" hidden="1" customHeight="1" x14ac:dyDescent="0.3">
      <c r="A402" s="262">
        <v>2</v>
      </c>
      <c r="C402" s="244">
        <v>211</v>
      </c>
      <c r="D402" s="161" t="s">
        <v>641</v>
      </c>
      <c r="E402" s="969" t="s">
        <v>642</v>
      </c>
      <c r="F402" s="970"/>
      <c r="G402" s="971"/>
      <c r="H402" s="544" t="s">
        <v>286</v>
      </c>
      <c r="I402" s="212">
        <v>1415706</v>
      </c>
      <c r="J402" s="605"/>
      <c r="K402" s="212">
        <v>1</v>
      </c>
      <c r="L402" s="212">
        <f t="shared" si="49"/>
        <v>1415706</v>
      </c>
      <c r="M402" s="602"/>
      <c r="N402" s="675">
        <f>+'Yeşil Defter'!K414</f>
        <v>0</v>
      </c>
      <c r="O402" s="675">
        <f>+'Yeşil Defter'!L414</f>
        <v>0</v>
      </c>
      <c r="P402" s="675">
        <f>+'Yeşil Defter'!M414</f>
        <v>0</v>
      </c>
      <c r="Q402" s="212"/>
      <c r="R402" s="605">
        <f t="shared" si="50"/>
        <v>0</v>
      </c>
      <c r="S402" s="225">
        <f t="shared" si="47"/>
        <v>0</v>
      </c>
      <c r="T402" s="237">
        <f t="shared" si="51"/>
        <v>0</v>
      </c>
    </row>
    <row r="403" spans="1:20" ht="30" hidden="1" customHeight="1" x14ac:dyDescent="0.3">
      <c r="A403" s="262">
        <v>2</v>
      </c>
      <c r="C403" s="244">
        <v>212</v>
      </c>
      <c r="D403" s="161" t="s">
        <v>643</v>
      </c>
      <c r="E403" s="969" t="s">
        <v>644</v>
      </c>
      <c r="F403" s="970"/>
      <c r="G403" s="971"/>
      <c r="H403" s="544" t="s">
        <v>286</v>
      </c>
      <c r="I403" s="212">
        <v>17873116</v>
      </c>
      <c r="J403" s="605"/>
      <c r="K403" s="212">
        <v>1</v>
      </c>
      <c r="L403" s="212">
        <f t="shared" si="49"/>
        <v>17873116</v>
      </c>
      <c r="M403" s="602"/>
      <c r="N403" s="675">
        <f>+'Yeşil Defter'!K415</f>
        <v>0</v>
      </c>
      <c r="O403" s="675">
        <f>+'Yeşil Defter'!L415</f>
        <v>0</v>
      </c>
      <c r="P403" s="675">
        <f>+'Yeşil Defter'!M415</f>
        <v>0</v>
      </c>
      <c r="Q403" s="212"/>
      <c r="R403" s="605">
        <f t="shared" si="50"/>
        <v>0</v>
      </c>
      <c r="S403" s="225">
        <f t="shared" si="47"/>
        <v>0</v>
      </c>
      <c r="T403" s="237">
        <f t="shared" si="51"/>
        <v>0</v>
      </c>
    </row>
    <row r="404" spans="1:20" ht="30" hidden="1" customHeight="1" x14ac:dyDescent="0.3">
      <c r="A404" s="262">
        <v>2</v>
      </c>
      <c r="C404" s="244">
        <v>213</v>
      </c>
      <c r="D404" s="161" t="s">
        <v>645</v>
      </c>
      <c r="E404" s="969" t="s">
        <v>646</v>
      </c>
      <c r="F404" s="970"/>
      <c r="G404" s="971"/>
      <c r="H404" s="544" t="s">
        <v>286</v>
      </c>
      <c r="I404" s="212">
        <v>21676260</v>
      </c>
      <c r="J404" s="605"/>
      <c r="K404" s="212">
        <v>1</v>
      </c>
      <c r="L404" s="212">
        <f t="shared" si="49"/>
        <v>21676260</v>
      </c>
      <c r="M404" s="602"/>
      <c r="N404" s="675">
        <f>+'Yeşil Defter'!K416</f>
        <v>0</v>
      </c>
      <c r="O404" s="675">
        <f>+'Yeşil Defter'!L416</f>
        <v>0</v>
      </c>
      <c r="P404" s="675">
        <f>+'Yeşil Defter'!M416</f>
        <v>0</v>
      </c>
      <c r="Q404" s="212"/>
      <c r="R404" s="605">
        <f t="shared" si="50"/>
        <v>0</v>
      </c>
      <c r="S404" s="225">
        <f t="shared" si="47"/>
        <v>0</v>
      </c>
      <c r="T404" s="237">
        <f t="shared" si="51"/>
        <v>0</v>
      </c>
    </row>
    <row r="405" spans="1:20" ht="30" hidden="1" customHeight="1" x14ac:dyDescent="0.3">
      <c r="A405" s="262">
        <v>2</v>
      </c>
      <c r="C405" s="244">
        <v>214</v>
      </c>
      <c r="D405" s="161" t="s">
        <v>647</v>
      </c>
      <c r="E405" s="969" t="s">
        <v>648</v>
      </c>
      <c r="F405" s="970"/>
      <c r="G405" s="971"/>
      <c r="H405" s="544" t="s">
        <v>286</v>
      </c>
      <c r="I405" s="212">
        <v>19075108</v>
      </c>
      <c r="J405" s="605"/>
      <c r="K405" s="212">
        <v>1</v>
      </c>
      <c r="L405" s="212">
        <f t="shared" si="49"/>
        <v>19075108</v>
      </c>
      <c r="M405" s="602"/>
      <c r="N405" s="675">
        <f>+'Yeşil Defter'!K417</f>
        <v>0</v>
      </c>
      <c r="O405" s="675">
        <f>+'Yeşil Defter'!L417</f>
        <v>0</v>
      </c>
      <c r="P405" s="675">
        <f>+'Yeşil Defter'!M417</f>
        <v>0</v>
      </c>
      <c r="Q405" s="212"/>
      <c r="R405" s="605">
        <f t="shared" si="50"/>
        <v>0</v>
      </c>
      <c r="S405" s="225">
        <f t="shared" si="47"/>
        <v>0</v>
      </c>
      <c r="T405" s="237">
        <f t="shared" si="51"/>
        <v>0</v>
      </c>
    </row>
    <row r="406" spans="1:20" ht="30" hidden="1" customHeight="1" x14ac:dyDescent="0.3">
      <c r="A406" s="262">
        <v>2</v>
      </c>
      <c r="C406" s="244">
        <v>215</v>
      </c>
      <c r="D406" s="161" t="s">
        <v>649</v>
      </c>
      <c r="E406" s="969" t="s">
        <v>650</v>
      </c>
      <c r="F406" s="970"/>
      <c r="G406" s="971"/>
      <c r="H406" s="544" t="s">
        <v>286</v>
      </c>
      <c r="I406" s="212">
        <v>19075108</v>
      </c>
      <c r="J406" s="605"/>
      <c r="K406" s="212">
        <v>1</v>
      </c>
      <c r="L406" s="212">
        <f t="shared" si="49"/>
        <v>19075108</v>
      </c>
      <c r="M406" s="602"/>
      <c r="N406" s="675">
        <f>+'Yeşil Defter'!K418</f>
        <v>0</v>
      </c>
      <c r="O406" s="675">
        <f>+'Yeşil Defter'!L418</f>
        <v>0</v>
      </c>
      <c r="P406" s="675">
        <f>+'Yeşil Defter'!M418</f>
        <v>0</v>
      </c>
      <c r="Q406" s="212"/>
      <c r="R406" s="605">
        <f t="shared" si="50"/>
        <v>0</v>
      </c>
      <c r="S406" s="225">
        <f t="shared" si="47"/>
        <v>0</v>
      </c>
      <c r="T406" s="237">
        <f t="shared" si="51"/>
        <v>0</v>
      </c>
    </row>
    <row r="407" spans="1:20" ht="30" hidden="1" customHeight="1" x14ac:dyDescent="0.3">
      <c r="A407" s="262">
        <v>2</v>
      </c>
      <c r="C407" s="244">
        <v>216</v>
      </c>
      <c r="D407" s="161" t="s">
        <v>651</v>
      </c>
      <c r="E407" s="969" t="s">
        <v>652</v>
      </c>
      <c r="F407" s="970"/>
      <c r="G407" s="971"/>
      <c r="H407" s="544" t="s">
        <v>286</v>
      </c>
      <c r="I407" s="212">
        <v>19075108</v>
      </c>
      <c r="J407" s="605"/>
      <c r="K407" s="212">
        <v>1</v>
      </c>
      <c r="L407" s="212">
        <f t="shared" si="49"/>
        <v>19075108</v>
      </c>
      <c r="M407" s="602"/>
      <c r="N407" s="675">
        <f>+'Yeşil Defter'!K419</f>
        <v>0</v>
      </c>
      <c r="O407" s="675">
        <f>+'Yeşil Defter'!L419</f>
        <v>0</v>
      </c>
      <c r="P407" s="675">
        <f>+'Yeşil Defter'!M419</f>
        <v>0</v>
      </c>
      <c r="Q407" s="212"/>
      <c r="R407" s="605">
        <f t="shared" si="50"/>
        <v>0</v>
      </c>
      <c r="S407" s="225">
        <f t="shared" si="47"/>
        <v>0</v>
      </c>
      <c r="T407" s="237">
        <f t="shared" si="51"/>
        <v>0</v>
      </c>
    </row>
    <row r="408" spans="1:20" ht="30" hidden="1" customHeight="1" x14ac:dyDescent="0.3">
      <c r="A408" s="262">
        <v>2</v>
      </c>
      <c r="C408" s="244">
        <v>217</v>
      </c>
      <c r="D408" s="161" t="s">
        <v>653</v>
      </c>
      <c r="E408" s="969" t="s">
        <v>654</v>
      </c>
      <c r="F408" s="970"/>
      <c r="G408" s="971"/>
      <c r="H408" s="544" t="s">
        <v>286</v>
      </c>
      <c r="I408" s="212">
        <v>23121344</v>
      </c>
      <c r="J408" s="605"/>
      <c r="K408" s="212">
        <v>1</v>
      </c>
      <c r="L408" s="212">
        <f t="shared" si="49"/>
        <v>23121344</v>
      </c>
      <c r="M408" s="602"/>
      <c r="N408" s="675">
        <f>+'Yeşil Defter'!K420</f>
        <v>0</v>
      </c>
      <c r="O408" s="675">
        <f>+'Yeşil Defter'!L420</f>
        <v>0</v>
      </c>
      <c r="P408" s="675">
        <f>+'Yeşil Defter'!M420</f>
        <v>0</v>
      </c>
      <c r="Q408" s="212"/>
      <c r="R408" s="605">
        <f t="shared" si="50"/>
        <v>0</v>
      </c>
      <c r="S408" s="225">
        <f t="shared" si="47"/>
        <v>0</v>
      </c>
      <c r="T408" s="237">
        <f t="shared" si="51"/>
        <v>0</v>
      </c>
    </row>
    <row r="409" spans="1:20" ht="30" hidden="1" customHeight="1" x14ac:dyDescent="0.3">
      <c r="A409" s="262">
        <v>2</v>
      </c>
      <c r="C409" s="244">
        <v>218</v>
      </c>
      <c r="D409" s="161" t="s">
        <v>655</v>
      </c>
      <c r="E409" s="969" t="s">
        <v>656</v>
      </c>
      <c r="F409" s="970"/>
      <c r="G409" s="971"/>
      <c r="H409" s="544" t="s">
        <v>286</v>
      </c>
      <c r="I409" s="212">
        <v>43080843</v>
      </c>
      <c r="J409" s="605"/>
      <c r="K409" s="212">
        <v>1</v>
      </c>
      <c r="L409" s="212">
        <f t="shared" si="49"/>
        <v>43080843</v>
      </c>
      <c r="M409" s="602"/>
      <c r="N409" s="675">
        <f>+'Yeşil Defter'!K433</f>
        <v>0</v>
      </c>
      <c r="O409" s="675">
        <f>+'Yeşil Defter'!L433</f>
        <v>0</v>
      </c>
      <c r="P409" s="675">
        <f>+'Yeşil Defter'!M433</f>
        <v>0</v>
      </c>
      <c r="Q409" s="212"/>
      <c r="R409" s="605">
        <f t="shared" si="50"/>
        <v>0</v>
      </c>
      <c r="S409" s="225">
        <f t="shared" si="47"/>
        <v>0</v>
      </c>
      <c r="T409" s="237">
        <f t="shared" si="51"/>
        <v>0</v>
      </c>
    </row>
    <row r="410" spans="1:20" ht="30" hidden="1" customHeight="1" x14ac:dyDescent="0.3">
      <c r="A410" s="262">
        <v>2</v>
      </c>
      <c r="C410" s="244">
        <v>219</v>
      </c>
      <c r="D410" s="161" t="s">
        <v>657</v>
      </c>
      <c r="E410" s="969" t="s">
        <v>658</v>
      </c>
      <c r="F410" s="970"/>
      <c r="G410" s="971"/>
      <c r="H410" s="544" t="s">
        <v>286</v>
      </c>
      <c r="I410" s="212">
        <v>2427741</v>
      </c>
      <c r="J410" s="605"/>
      <c r="K410" s="212">
        <v>1</v>
      </c>
      <c r="L410" s="212">
        <f t="shared" si="49"/>
        <v>2427741</v>
      </c>
      <c r="M410" s="602"/>
      <c r="N410" s="675">
        <f>+'Yeşil Defter'!K434</f>
        <v>0</v>
      </c>
      <c r="O410" s="675">
        <f>+'Yeşil Defter'!L434</f>
        <v>0</v>
      </c>
      <c r="P410" s="675">
        <f>+'Yeşil Defter'!M434</f>
        <v>0</v>
      </c>
      <c r="Q410" s="212"/>
      <c r="R410" s="605">
        <f t="shared" si="50"/>
        <v>0</v>
      </c>
      <c r="S410" s="225">
        <f t="shared" si="47"/>
        <v>0</v>
      </c>
      <c r="T410" s="237">
        <f t="shared" si="51"/>
        <v>0</v>
      </c>
    </row>
    <row r="411" spans="1:20" ht="30" hidden="1" customHeight="1" x14ac:dyDescent="0.3">
      <c r="A411" s="262">
        <v>2</v>
      </c>
      <c r="C411" s="244">
        <v>220</v>
      </c>
      <c r="D411" s="161" t="s">
        <v>659</v>
      </c>
      <c r="E411" s="969" t="s">
        <v>660</v>
      </c>
      <c r="F411" s="970"/>
      <c r="G411" s="971"/>
      <c r="H411" s="544" t="s">
        <v>286</v>
      </c>
      <c r="I411" s="212">
        <v>2554908</v>
      </c>
      <c r="J411" s="605"/>
      <c r="K411" s="212">
        <v>1</v>
      </c>
      <c r="L411" s="212">
        <f t="shared" si="49"/>
        <v>2554908</v>
      </c>
      <c r="M411" s="602"/>
      <c r="N411" s="675">
        <f>+'Yeşil Defter'!K435</f>
        <v>0</v>
      </c>
      <c r="O411" s="675">
        <f>+'Yeşil Defter'!L435</f>
        <v>0</v>
      </c>
      <c r="P411" s="675">
        <f>+'Yeşil Defter'!M435</f>
        <v>0</v>
      </c>
      <c r="Q411" s="212"/>
      <c r="R411" s="605">
        <f t="shared" si="50"/>
        <v>0</v>
      </c>
      <c r="S411" s="225">
        <f t="shared" si="47"/>
        <v>0</v>
      </c>
      <c r="T411" s="237">
        <f t="shared" si="51"/>
        <v>0</v>
      </c>
    </row>
    <row r="412" spans="1:20" ht="30" hidden="1" customHeight="1" x14ac:dyDescent="0.3">
      <c r="A412" s="262">
        <v>2</v>
      </c>
      <c r="C412" s="244">
        <v>221</v>
      </c>
      <c r="D412" s="161" t="s">
        <v>661</v>
      </c>
      <c r="E412" s="969" t="s">
        <v>662</v>
      </c>
      <c r="F412" s="970"/>
      <c r="G412" s="971"/>
      <c r="H412" s="544" t="s">
        <v>286</v>
      </c>
      <c r="I412" s="212">
        <v>2630053</v>
      </c>
      <c r="J412" s="605"/>
      <c r="K412" s="212">
        <v>1</v>
      </c>
      <c r="L412" s="212">
        <f t="shared" si="49"/>
        <v>2630053</v>
      </c>
      <c r="M412" s="602"/>
      <c r="N412" s="675">
        <f>+'Yeşil Defter'!K436</f>
        <v>0</v>
      </c>
      <c r="O412" s="675">
        <f>+'Yeşil Defter'!L436</f>
        <v>0</v>
      </c>
      <c r="P412" s="675">
        <f>+'Yeşil Defter'!M436</f>
        <v>0</v>
      </c>
      <c r="Q412" s="212"/>
      <c r="R412" s="605">
        <f t="shared" si="50"/>
        <v>0</v>
      </c>
      <c r="S412" s="225">
        <f t="shared" si="47"/>
        <v>0</v>
      </c>
      <c r="T412" s="237">
        <f t="shared" si="51"/>
        <v>0</v>
      </c>
    </row>
    <row r="413" spans="1:20" ht="30" hidden="1" customHeight="1" x14ac:dyDescent="0.3">
      <c r="A413" s="262">
        <v>2</v>
      </c>
      <c r="C413" s="244">
        <v>222</v>
      </c>
      <c r="D413" s="161" t="s">
        <v>663</v>
      </c>
      <c r="E413" s="969" t="s">
        <v>664</v>
      </c>
      <c r="F413" s="970"/>
      <c r="G413" s="971"/>
      <c r="H413" s="544" t="s">
        <v>286</v>
      </c>
      <c r="I413" s="212">
        <v>2745660</v>
      </c>
      <c r="J413" s="605"/>
      <c r="K413" s="212">
        <v>1</v>
      </c>
      <c r="L413" s="212">
        <f t="shared" si="49"/>
        <v>2745660</v>
      </c>
      <c r="M413" s="602"/>
      <c r="N413" s="675">
        <f>+'Yeşil Defter'!K437</f>
        <v>0</v>
      </c>
      <c r="O413" s="675">
        <f>+'Yeşil Defter'!L437</f>
        <v>0</v>
      </c>
      <c r="P413" s="675">
        <f>+'Yeşil Defter'!M437</f>
        <v>0</v>
      </c>
      <c r="Q413" s="212"/>
      <c r="R413" s="605">
        <f t="shared" si="50"/>
        <v>0</v>
      </c>
      <c r="S413" s="225">
        <f t="shared" si="47"/>
        <v>0</v>
      </c>
      <c r="T413" s="237">
        <f t="shared" si="51"/>
        <v>0</v>
      </c>
    </row>
    <row r="414" spans="1:20" ht="30" hidden="1" customHeight="1" x14ac:dyDescent="0.3">
      <c r="A414" s="262">
        <v>2</v>
      </c>
      <c r="C414" s="244">
        <v>223</v>
      </c>
      <c r="D414" s="161" t="s">
        <v>665</v>
      </c>
      <c r="E414" s="969" t="s">
        <v>666</v>
      </c>
      <c r="F414" s="970"/>
      <c r="G414" s="971"/>
      <c r="H414" s="544" t="s">
        <v>286</v>
      </c>
      <c r="I414" s="212">
        <v>2861266</v>
      </c>
      <c r="J414" s="605"/>
      <c r="K414" s="212">
        <v>1</v>
      </c>
      <c r="L414" s="212">
        <f t="shared" si="49"/>
        <v>2861266</v>
      </c>
      <c r="M414" s="602"/>
      <c r="N414" s="675">
        <f>+'Yeşil Defter'!K438</f>
        <v>0</v>
      </c>
      <c r="O414" s="675">
        <f>+'Yeşil Defter'!L438</f>
        <v>0</v>
      </c>
      <c r="P414" s="675">
        <f>+'Yeşil Defter'!M438</f>
        <v>0</v>
      </c>
      <c r="Q414" s="212"/>
      <c r="R414" s="605">
        <f t="shared" si="50"/>
        <v>0</v>
      </c>
      <c r="S414" s="225">
        <f t="shared" si="47"/>
        <v>0</v>
      </c>
      <c r="T414" s="237">
        <f t="shared" si="51"/>
        <v>0</v>
      </c>
    </row>
    <row r="415" spans="1:20" ht="30" hidden="1" customHeight="1" x14ac:dyDescent="0.3">
      <c r="A415" s="262">
        <v>2</v>
      </c>
      <c r="C415" s="244">
        <v>224</v>
      </c>
      <c r="D415" s="161" t="s">
        <v>667</v>
      </c>
      <c r="E415" s="969" t="s">
        <v>668</v>
      </c>
      <c r="F415" s="970"/>
      <c r="G415" s="971"/>
      <c r="H415" s="544" t="s">
        <v>286</v>
      </c>
      <c r="I415" s="212">
        <v>6098559</v>
      </c>
      <c r="J415" s="605"/>
      <c r="K415" s="212">
        <v>1</v>
      </c>
      <c r="L415" s="212">
        <f t="shared" si="49"/>
        <v>6098559</v>
      </c>
      <c r="M415" s="602"/>
      <c r="N415" s="675">
        <f>+'Yeşil Defter'!K439</f>
        <v>0</v>
      </c>
      <c r="O415" s="675">
        <f>+'Yeşil Defter'!L439</f>
        <v>0</v>
      </c>
      <c r="P415" s="675">
        <f>+'Yeşil Defter'!M439</f>
        <v>0</v>
      </c>
      <c r="Q415" s="212"/>
      <c r="R415" s="605">
        <f t="shared" si="50"/>
        <v>0</v>
      </c>
      <c r="S415" s="225">
        <f t="shared" si="47"/>
        <v>0</v>
      </c>
      <c r="T415" s="237">
        <f t="shared" si="51"/>
        <v>0</v>
      </c>
    </row>
    <row r="416" spans="1:20" ht="30" hidden="1" customHeight="1" x14ac:dyDescent="0.3">
      <c r="A416" s="262">
        <v>2</v>
      </c>
      <c r="C416" s="244">
        <v>225</v>
      </c>
      <c r="D416" s="161" t="s">
        <v>669</v>
      </c>
      <c r="E416" s="969" t="s">
        <v>670</v>
      </c>
      <c r="F416" s="970"/>
      <c r="G416" s="971"/>
      <c r="H416" s="544" t="s">
        <v>286</v>
      </c>
      <c r="I416" s="212">
        <v>6098559</v>
      </c>
      <c r="J416" s="605"/>
      <c r="K416" s="212">
        <v>1</v>
      </c>
      <c r="L416" s="212">
        <f t="shared" si="49"/>
        <v>6098559</v>
      </c>
      <c r="M416" s="602"/>
      <c r="N416" s="675">
        <f>+'Yeşil Defter'!K440</f>
        <v>0</v>
      </c>
      <c r="O416" s="675">
        <f>+'Yeşil Defter'!L440</f>
        <v>0</v>
      </c>
      <c r="P416" s="675">
        <f>+'Yeşil Defter'!M440</f>
        <v>0</v>
      </c>
      <c r="Q416" s="212"/>
      <c r="R416" s="605">
        <f t="shared" si="50"/>
        <v>0</v>
      </c>
      <c r="S416" s="225">
        <f t="shared" si="47"/>
        <v>0</v>
      </c>
      <c r="T416" s="237">
        <f t="shared" si="51"/>
        <v>0</v>
      </c>
    </row>
    <row r="417" spans="1:20" ht="30" hidden="1" customHeight="1" x14ac:dyDescent="0.3">
      <c r="A417" s="262">
        <v>2</v>
      </c>
      <c r="C417" s="244">
        <v>226</v>
      </c>
      <c r="D417" s="161" t="s">
        <v>671</v>
      </c>
      <c r="E417" s="969" t="s">
        <v>672</v>
      </c>
      <c r="F417" s="970"/>
      <c r="G417" s="971"/>
      <c r="H417" s="544" t="s">
        <v>286</v>
      </c>
      <c r="I417" s="212">
        <v>6098559</v>
      </c>
      <c r="J417" s="605"/>
      <c r="K417" s="212">
        <v>1</v>
      </c>
      <c r="L417" s="212">
        <f t="shared" si="49"/>
        <v>6098559</v>
      </c>
      <c r="M417" s="602"/>
      <c r="N417" s="675">
        <f>+'Yeşil Defter'!K441</f>
        <v>0</v>
      </c>
      <c r="O417" s="675">
        <f>+'Yeşil Defter'!L441</f>
        <v>0</v>
      </c>
      <c r="P417" s="675">
        <f>+'Yeşil Defter'!M441</f>
        <v>0</v>
      </c>
      <c r="Q417" s="212"/>
      <c r="R417" s="605">
        <f t="shared" si="50"/>
        <v>0</v>
      </c>
      <c r="S417" s="225">
        <f t="shared" si="47"/>
        <v>0</v>
      </c>
      <c r="T417" s="237">
        <f t="shared" si="51"/>
        <v>0</v>
      </c>
    </row>
    <row r="418" spans="1:20" ht="30" hidden="1" customHeight="1" x14ac:dyDescent="0.3">
      <c r="A418" s="262">
        <v>2</v>
      </c>
      <c r="C418" s="244">
        <v>227</v>
      </c>
      <c r="D418" s="161" t="s">
        <v>673</v>
      </c>
      <c r="E418" s="969" t="s">
        <v>674</v>
      </c>
      <c r="F418" s="970"/>
      <c r="G418" s="971"/>
      <c r="H418" s="544" t="s">
        <v>286</v>
      </c>
      <c r="I418" s="212">
        <v>6098559</v>
      </c>
      <c r="J418" s="605"/>
      <c r="K418" s="212">
        <v>1</v>
      </c>
      <c r="L418" s="212">
        <f t="shared" si="49"/>
        <v>6098559</v>
      </c>
      <c r="M418" s="602"/>
      <c r="N418" s="675">
        <f>+'Yeşil Defter'!K442</f>
        <v>0</v>
      </c>
      <c r="O418" s="675">
        <f>+'Yeşil Defter'!L442</f>
        <v>0</v>
      </c>
      <c r="P418" s="675">
        <f>+'Yeşil Defter'!M442</f>
        <v>0</v>
      </c>
      <c r="Q418" s="212"/>
      <c r="R418" s="605">
        <f t="shared" si="50"/>
        <v>0</v>
      </c>
      <c r="S418" s="225">
        <f t="shared" si="47"/>
        <v>0</v>
      </c>
      <c r="T418" s="237">
        <f t="shared" si="51"/>
        <v>0</v>
      </c>
    </row>
    <row r="419" spans="1:20" ht="30" hidden="1" customHeight="1" x14ac:dyDescent="0.3">
      <c r="A419" s="262">
        <v>2</v>
      </c>
      <c r="C419" s="244">
        <v>228</v>
      </c>
      <c r="D419" s="161" t="s">
        <v>675</v>
      </c>
      <c r="E419" s="969" t="s">
        <v>676</v>
      </c>
      <c r="F419" s="970"/>
      <c r="G419" s="971"/>
      <c r="H419" s="544" t="s">
        <v>286</v>
      </c>
      <c r="I419" s="212">
        <v>6098559</v>
      </c>
      <c r="J419" s="605"/>
      <c r="K419" s="212">
        <v>1</v>
      </c>
      <c r="L419" s="212">
        <f t="shared" si="49"/>
        <v>6098559</v>
      </c>
      <c r="M419" s="602"/>
      <c r="N419" s="675">
        <f>+'Yeşil Defter'!K443</f>
        <v>0</v>
      </c>
      <c r="O419" s="675">
        <f>+'Yeşil Defter'!L443</f>
        <v>0</v>
      </c>
      <c r="P419" s="675">
        <f>+'Yeşil Defter'!M443</f>
        <v>0</v>
      </c>
      <c r="Q419" s="212"/>
      <c r="R419" s="605">
        <f t="shared" si="50"/>
        <v>0</v>
      </c>
      <c r="S419" s="225">
        <f t="shared" si="47"/>
        <v>0</v>
      </c>
      <c r="T419" s="237">
        <f t="shared" si="51"/>
        <v>0</v>
      </c>
    </row>
    <row r="420" spans="1:20" ht="30" hidden="1" customHeight="1" x14ac:dyDescent="0.3">
      <c r="A420" s="262">
        <v>2</v>
      </c>
      <c r="C420" s="244">
        <v>229</v>
      </c>
      <c r="D420" s="161" t="s">
        <v>677</v>
      </c>
      <c r="E420" s="969" t="s">
        <v>678</v>
      </c>
      <c r="F420" s="970"/>
      <c r="G420" s="971"/>
      <c r="H420" s="544" t="s">
        <v>286</v>
      </c>
      <c r="I420" s="212">
        <v>2604464</v>
      </c>
      <c r="J420" s="605"/>
      <c r="K420" s="212">
        <v>1</v>
      </c>
      <c r="L420" s="212">
        <f t="shared" si="49"/>
        <v>2604464</v>
      </c>
      <c r="M420" s="602"/>
      <c r="N420" s="675">
        <f>+'Yeşil Defter'!K444</f>
        <v>0</v>
      </c>
      <c r="O420" s="675">
        <f>+'Yeşil Defter'!L444</f>
        <v>0</v>
      </c>
      <c r="P420" s="675">
        <f>+'Yeşil Defter'!M444</f>
        <v>0</v>
      </c>
      <c r="Q420" s="212"/>
      <c r="R420" s="605">
        <f t="shared" si="50"/>
        <v>0</v>
      </c>
      <c r="S420" s="225">
        <f t="shared" si="47"/>
        <v>0</v>
      </c>
      <c r="T420" s="237">
        <f t="shared" si="51"/>
        <v>0</v>
      </c>
    </row>
    <row r="421" spans="1:20" ht="40.049999999999997" hidden="1" customHeight="1" x14ac:dyDescent="0.3">
      <c r="A421" s="262" t="s">
        <v>1242</v>
      </c>
      <c r="C421" s="258"/>
      <c r="D421" s="258"/>
      <c r="E421" s="972" t="s">
        <v>33</v>
      </c>
      <c r="F421" s="972"/>
      <c r="G421" s="972"/>
      <c r="H421" s="973" t="s">
        <v>29</v>
      </c>
      <c r="I421" s="973"/>
      <c r="J421" s="973"/>
      <c r="K421" s="973"/>
      <c r="L421" s="973"/>
      <c r="M421" s="549"/>
      <c r="N421" s="973" t="s">
        <v>22</v>
      </c>
      <c r="O421" s="973"/>
      <c r="P421" s="973"/>
      <c r="Q421" s="973"/>
      <c r="R421" s="973"/>
      <c r="S421" s="973"/>
      <c r="T421" s="973"/>
    </row>
    <row r="422" spans="1:20" ht="19.95" hidden="1" customHeight="1" x14ac:dyDescent="0.3">
      <c r="A422" s="262" t="s">
        <v>1242</v>
      </c>
      <c r="D422" s="28"/>
      <c r="E422" s="974" t="s">
        <v>1214</v>
      </c>
      <c r="F422" s="974"/>
      <c r="G422" s="974"/>
      <c r="H422" s="975" t="s">
        <v>38</v>
      </c>
      <c r="I422" s="975"/>
      <c r="J422" s="975"/>
      <c r="K422" s="975"/>
      <c r="L422" s="975"/>
      <c r="M422" s="562"/>
      <c r="N422" s="975" t="s">
        <v>1437</v>
      </c>
      <c r="O422" s="975"/>
      <c r="P422" s="975"/>
      <c r="Q422" s="975"/>
      <c r="R422" s="975"/>
      <c r="S422" s="975"/>
      <c r="T422" s="975"/>
    </row>
    <row r="423" spans="1:20" ht="19.95" hidden="1" customHeight="1" x14ac:dyDescent="0.3">
      <c r="A423" s="262" t="s">
        <v>1242</v>
      </c>
      <c r="C423" s="228"/>
      <c r="D423" s="228"/>
      <c r="E423" s="561"/>
      <c r="F423" s="561"/>
      <c r="G423" s="561"/>
      <c r="H423" s="228"/>
      <c r="I423" s="260"/>
      <c r="J423" s="260"/>
      <c r="K423" s="260"/>
      <c r="L423" s="260"/>
      <c r="M423" s="260"/>
      <c r="N423" s="975"/>
      <c r="O423" s="975"/>
      <c r="P423" s="975"/>
      <c r="Q423" s="975"/>
      <c r="R423" s="975"/>
      <c r="S423" s="975"/>
      <c r="T423" s="975"/>
    </row>
    <row r="424" spans="1:20" ht="19.95" hidden="1" customHeight="1" x14ac:dyDescent="0.3">
      <c r="A424" s="262" t="s">
        <v>1242</v>
      </c>
      <c r="C424" s="228"/>
      <c r="D424" s="228"/>
      <c r="E424" s="561"/>
      <c r="F424" s="561"/>
      <c r="G424" s="561"/>
      <c r="H424" s="228"/>
      <c r="I424" s="260"/>
      <c r="J424" s="260"/>
      <c r="K424" s="260"/>
      <c r="L424" s="260"/>
      <c r="M424" s="260"/>
      <c r="N424" s="975"/>
      <c r="O424" s="975"/>
      <c r="P424" s="975"/>
      <c r="Q424" s="975"/>
      <c r="R424" s="975"/>
      <c r="S424" s="975"/>
      <c r="T424" s="975"/>
    </row>
    <row r="425" spans="1:20" ht="19.95" hidden="1" customHeight="1" x14ac:dyDescent="0.3">
      <c r="A425" s="262" t="s">
        <v>1242</v>
      </c>
      <c r="C425" s="228"/>
      <c r="D425" s="228"/>
      <c r="E425" s="561"/>
      <c r="F425" s="561"/>
      <c r="G425" s="561"/>
      <c r="H425" s="261"/>
      <c r="I425" s="261"/>
      <c r="J425" s="261"/>
      <c r="K425" s="261"/>
      <c r="L425" s="261"/>
      <c r="M425" s="261"/>
      <c r="N425" s="260"/>
      <c r="O425" s="260"/>
      <c r="P425" s="260"/>
      <c r="Q425" s="260"/>
      <c r="R425" s="260"/>
      <c r="S425" s="260"/>
      <c r="T425" s="260"/>
    </row>
    <row r="426" spans="1:20" ht="19.95" hidden="1" customHeight="1" x14ac:dyDescent="0.3">
      <c r="A426" s="262" t="s">
        <v>1242</v>
      </c>
      <c r="C426" s="228"/>
      <c r="D426" s="228"/>
      <c r="E426" s="561"/>
      <c r="F426" s="561"/>
      <c r="G426" s="561"/>
      <c r="H426" s="975" t="s">
        <v>32</v>
      </c>
      <c r="I426" s="975"/>
      <c r="J426" s="562"/>
      <c r="K426" s="975" t="s">
        <v>1407</v>
      </c>
      <c r="L426" s="975"/>
      <c r="M426" s="562"/>
      <c r="N426" s="968" t="s">
        <v>28</v>
      </c>
      <c r="O426" s="968"/>
      <c r="P426" s="968"/>
      <c r="Q426" s="968"/>
      <c r="R426" s="968"/>
      <c r="S426" s="968"/>
      <c r="T426" s="968"/>
    </row>
    <row r="427" spans="1:20" ht="19.95" hidden="1" customHeight="1" x14ac:dyDescent="0.3">
      <c r="A427" s="262" t="s">
        <v>1242</v>
      </c>
      <c r="C427" s="228"/>
      <c r="D427" s="228"/>
      <c r="E427" s="561"/>
      <c r="F427" s="561"/>
      <c r="G427" s="561"/>
      <c r="H427" s="976" t="s">
        <v>94</v>
      </c>
      <c r="I427" s="976"/>
      <c r="J427" s="623"/>
      <c r="K427" s="976" t="s">
        <v>94</v>
      </c>
      <c r="L427" s="976"/>
      <c r="M427" s="623"/>
      <c r="N427" s="968" t="s">
        <v>1486</v>
      </c>
      <c r="O427" s="968"/>
      <c r="P427" s="968"/>
      <c r="Q427" s="968"/>
      <c r="R427" s="968"/>
      <c r="S427" s="968"/>
      <c r="T427" s="968"/>
    </row>
    <row r="428" spans="1:20" ht="19.95" hidden="1" customHeight="1" x14ac:dyDescent="0.3">
      <c r="A428" s="262" t="s">
        <v>1242</v>
      </c>
      <c r="C428" s="228"/>
      <c r="D428" s="228"/>
      <c r="E428" s="561"/>
      <c r="F428" s="561"/>
      <c r="G428" s="561"/>
      <c r="H428" s="976"/>
      <c r="I428" s="976"/>
      <c r="J428" s="623"/>
      <c r="K428" s="976"/>
      <c r="L428" s="976"/>
      <c r="M428" s="623"/>
      <c r="N428" s="968"/>
      <c r="O428" s="968"/>
      <c r="P428" s="968"/>
      <c r="Q428" s="968"/>
      <c r="R428" s="968"/>
      <c r="S428" s="968"/>
      <c r="T428" s="968"/>
    </row>
    <row r="429" spans="1:20" ht="19.95" hidden="1" customHeight="1" x14ac:dyDescent="0.3">
      <c r="A429" s="262" t="s">
        <v>1242</v>
      </c>
      <c r="C429" s="228"/>
      <c r="D429" s="228"/>
      <c r="E429" s="561"/>
      <c r="F429" s="561"/>
      <c r="G429" s="561"/>
      <c r="H429" s="261"/>
      <c r="I429" s="261"/>
      <c r="J429" s="261"/>
      <c r="K429" s="261"/>
      <c r="L429" s="261"/>
      <c r="M429" s="261"/>
      <c r="N429" s="260"/>
      <c r="O429" s="260"/>
      <c r="P429" s="260"/>
      <c r="Q429" s="260"/>
      <c r="R429" s="260"/>
      <c r="S429" s="624"/>
      <c r="T429" s="260"/>
    </row>
    <row r="430" spans="1:20" ht="19.95" hidden="1" customHeight="1" x14ac:dyDescent="0.3">
      <c r="A430" s="262" t="s">
        <v>1242</v>
      </c>
      <c r="C430" s="228"/>
      <c r="D430" s="228"/>
      <c r="E430" s="975" t="s">
        <v>1215</v>
      </c>
      <c r="F430" s="975"/>
      <c r="G430" s="975"/>
      <c r="H430" s="975" t="s">
        <v>1348</v>
      </c>
      <c r="I430" s="975"/>
      <c r="J430" s="975"/>
      <c r="K430" s="975"/>
      <c r="L430" s="975"/>
      <c r="M430" s="562"/>
      <c r="N430" s="977" t="s">
        <v>1219</v>
      </c>
      <c r="O430" s="968"/>
      <c r="P430" s="968"/>
      <c r="Q430" s="968"/>
      <c r="R430" s="968"/>
      <c r="S430" s="968"/>
      <c r="T430" s="968"/>
    </row>
    <row r="431" spans="1:20" ht="19.95" hidden="1" customHeight="1" x14ac:dyDescent="0.3">
      <c r="A431" s="262" t="s">
        <v>1290</v>
      </c>
      <c r="C431" s="228"/>
      <c r="D431" s="228"/>
      <c r="E431" s="975"/>
      <c r="F431" s="975"/>
      <c r="G431" s="975"/>
      <c r="H431" s="975"/>
      <c r="I431" s="975"/>
      <c r="J431" s="975"/>
      <c r="K431" s="975"/>
      <c r="L431" s="975"/>
      <c r="M431" s="562"/>
      <c r="N431" s="968"/>
      <c r="O431" s="968"/>
      <c r="P431" s="968"/>
      <c r="Q431" s="968"/>
      <c r="R431" s="968"/>
      <c r="S431" s="968"/>
      <c r="T431" s="968"/>
    </row>
    <row r="432" spans="1:20" ht="30" hidden="1" customHeight="1" x14ac:dyDescent="0.3">
      <c r="A432" s="262">
        <v>2</v>
      </c>
      <c r="C432" s="255">
        <v>230</v>
      </c>
      <c r="D432" s="256" t="s">
        <v>679</v>
      </c>
      <c r="E432" s="978" t="s">
        <v>680</v>
      </c>
      <c r="F432" s="979"/>
      <c r="G432" s="980"/>
      <c r="H432" s="546" t="s">
        <v>286</v>
      </c>
      <c r="I432" s="257">
        <v>2604464</v>
      </c>
      <c r="J432" s="606"/>
      <c r="K432" s="257">
        <v>1</v>
      </c>
      <c r="L432" s="257">
        <f t="shared" ref="L432:L454" si="52">+ROUND(I432*K432,2)</f>
        <v>2604464</v>
      </c>
      <c r="M432" s="603"/>
      <c r="N432" s="675">
        <f>+'Yeşil Defter'!K445</f>
        <v>0</v>
      </c>
      <c r="O432" s="675">
        <f>+'Yeşil Defter'!L445</f>
        <v>0</v>
      </c>
      <c r="P432" s="675">
        <f>+'Yeşil Defter'!M445</f>
        <v>0</v>
      </c>
      <c r="Q432" s="257"/>
      <c r="R432" s="606">
        <f t="shared" ref="R432:R454" si="53">+ROUND(K432*N432,2)</f>
        <v>0</v>
      </c>
      <c r="S432" s="247">
        <f t="shared" ref="S432:S473" si="54">+T432-R432</f>
        <v>0</v>
      </c>
      <c r="T432" s="248">
        <f t="shared" ref="T432:T454" si="55">+ROUND(K432*P432,2)</f>
        <v>0</v>
      </c>
    </row>
    <row r="433" spans="1:20" ht="30" hidden="1" customHeight="1" x14ac:dyDescent="0.3">
      <c r="A433" s="262">
        <v>2</v>
      </c>
      <c r="C433" s="244">
        <v>231</v>
      </c>
      <c r="D433" s="161" t="s">
        <v>681</v>
      </c>
      <c r="E433" s="969" t="s">
        <v>682</v>
      </c>
      <c r="F433" s="970"/>
      <c r="G433" s="971"/>
      <c r="H433" s="544" t="s">
        <v>286</v>
      </c>
      <c r="I433" s="212">
        <v>2604464</v>
      </c>
      <c r="J433" s="605"/>
      <c r="K433" s="212">
        <v>1</v>
      </c>
      <c r="L433" s="212">
        <f t="shared" si="52"/>
        <v>2604464</v>
      </c>
      <c r="M433" s="602"/>
      <c r="N433" s="675">
        <f>+'Yeşil Defter'!K446</f>
        <v>0</v>
      </c>
      <c r="O433" s="675">
        <f>+'Yeşil Defter'!L446</f>
        <v>0</v>
      </c>
      <c r="P433" s="675">
        <f>+'Yeşil Defter'!M446</f>
        <v>0</v>
      </c>
      <c r="Q433" s="212"/>
      <c r="R433" s="605">
        <f t="shared" si="53"/>
        <v>0</v>
      </c>
      <c r="S433" s="225">
        <f t="shared" si="54"/>
        <v>0</v>
      </c>
      <c r="T433" s="237">
        <f t="shared" si="55"/>
        <v>0</v>
      </c>
    </row>
    <row r="434" spans="1:20" ht="30" hidden="1" customHeight="1" x14ac:dyDescent="0.3">
      <c r="A434" s="262">
        <v>2</v>
      </c>
      <c r="C434" s="244">
        <v>232</v>
      </c>
      <c r="D434" s="161" t="s">
        <v>683</v>
      </c>
      <c r="E434" s="969" t="s">
        <v>684</v>
      </c>
      <c r="F434" s="970"/>
      <c r="G434" s="971"/>
      <c r="H434" s="544" t="s">
        <v>286</v>
      </c>
      <c r="I434" s="212">
        <v>2604464</v>
      </c>
      <c r="J434" s="605"/>
      <c r="K434" s="212">
        <v>1</v>
      </c>
      <c r="L434" s="212">
        <f t="shared" si="52"/>
        <v>2604464</v>
      </c>
      <c r="M434" s="602"/>
      <c r="N434" s="675">
        <f>+'Yeşil Defter'!K447</f>
        <v>0</v>
      </c>
      <c r="O434" s="675">
        <f>+'Yeşil Defter'!L447</f>
        <v>0</v>
      </c>
      <c r="P434" s="675">
        <f>+'Yeşil Defter'!M447</f>
        <v>0</v>
      </c>
      <c r="Q434" s="212"/>
      <c r="R434" s="605">
        <f t="shared" si="53"/>
        <v>0</v>
      </c>
      <c r="S434" s="225">
        <f t="shared" si="54"/>
        <v>0</v>
      </c>
      <c r="T434" s="237">
        <f t="shared" si="55"/>
        <v>0</v>
      </c>
    </row>
    <row r="435" spans="1:20" ht="30" hidden="1" customHeight="1" x14ac:dyDescent="0.3">
      <c r="A435" s="262">
        <v>2</v>
      </c>
      <c r="C435" s="244">
        <v>233</v>
      </c>
      <c r="D435" s="161" t="s">
        <v>685</v>
      </c>
      <c r="E435" s="969" t="s">
        <v>686</v>
      </c>
      <c r="F435" s="970"/>
      <c r="G435" s="971"/>
      <c r="H435" s="544" t="s">
        <v>286</v>
      </c>
      <c r="I435" s="212">
        <v>2604464</v>
      </c>
      <c r="J435" s="605"/>
      <c r="K435" s="212">
        <v>1</v>
      </c>
      <c r="L435" s="212">
        <f t="shared" si="52"/>
        <v>2604464</v>
      </c>
      <c r="M435" s="602"/>
      <c r="N435" s="675">
        <f>+'Yeşil Defter'!K448</f>
        <v>0</v>
      </c>
      <c r="O435" s="675">
        <f>+'Yeşil Defter'!L448</f>
        <v>0</v>
      </c>
      <c r="P435" s="675">
        <f>+'Yeşil Defter'!M448</f>
        <v>0</v>
      </c>
      <c r="Q435" s="212"/>
      <c r="R435" s="605">
        <f t="shared" si="53"/>
        <v>0</v>
      </c>
      <c r="S435" s="225">
        <f t="shared" si="54"/>
        <v>0</v>
      </c>
      <c r="T435" s="237">
        <f t="shared" si="55"/>
        <v>0</v>
      </c>
    </row>
    <row r="436" spans="1:20" ht="30" hidden="1" customHeight="1" x14ac:dyDescent="0.3">
      <c r="A436" s="262">
        <v>2</v>
      </c>
      <c r="C436" s="244">
        <v>234</v>
      </c>
      <c r="D436" s="161" t="s">
        <v>687</v>
      </c>
      <c r="E436" s="969" t="s">
        <v>688</v>
      </c>
      <c r="F436" s="970"/>
      <c r="G436" s="971"/>
      <c r="H436" s="544" t="s">
        <v>286</v>
      </c>
      <c r="I436" s="212">
        <v>30210926</v>
      </c>
      <c r="J436" s="605"/>
      <c r="K436" s="212">
        <v>1</v>
      </c>
      <c r="L436" s="212">
        <f t="shared" si="52"/>
        <v>30210926</v>
      </c>
      <c r="M436" s="602"/>
      <c r="N436" s="675">
        <f>+'Yeşil Defter'!K449</f>
        <v>0</v>
      </c>
      <c r="O436" s="675">
        <f>+'Yeşil Defter'!L449</f>
        <v>0</v>
      </c>
      <c r="P436" s="675">
        <f>+'Yeşil Defter'!M449</f>
        <v>0</v>
      </c>
      <c r="Q436" s="212"/>
      <c r="R436" s="605">
        <f t="shared" si="53"/>
        <v>0</v>
      </c>
      <c r="S436" s="225">
        <f t="shared" si="54"/>
        <v>0</v>
      </c>
      <c r="T436" s="237">
        <f t="shared" si="55"/>
        <v>0</v>
      </c>
    </row>
    <row r="437" spans="1:20" ht="30" hidden="1" customHeight="1" x14ac:dyDescent="0.3">
      <c r="A437" s="262">
        <v>2</v>
      </c>
      <c r="C437" s="244">
        <v>235</v>
      </c>
      <c r="D437" s="161" t="s">
        <v>689</v>
      </c>
      <c r="E437" s="969" t="s">
        <v>690</v>
      </c>
      <c r="F437" s="970"/>
      <c r="G437" s="971"/>
      <c r="H437" s="544" t="s">
        <v>286</v>
      </c>
      <c r="I437" s="212">
        <v>26408621</v>
      </c>
      <c r="J437" s="605"/>
      <c r="K437" s="212">
        <v>1</v>
      </c>
      <c r="L437" s="212">
        <f t="shared" si="52"/>
        <v>26408621</v>
      </c>
      <c r="M437" s="602"/>
      <c r="N437" s="675">
        <f>+'Yeşil Defter'!K450</f>
        <v>0</v>
      </c>
      <c r="O437" s="675">
        <f>+'Yeşil Defter'!L450</f>
        <v>0</v>
      </c>
      <c r="P437" s="675">
        <f>+'Yeşil Defter'!M450</f>
        <v>0</v>
      </c>
      <c r="Q437" s="212"/>
      <c r="R437" s="605">
        <f t="shared" si="53"/>
        <v>0</v>
      </c>
      <c r="S437" s="225">
        <f t="shared" si="54"/>
        <v>0</v>
      </c>
      <c r="T437" s="237">
        <f t="shared" si="55"/>
        <v>0</v>
      </c>
    </row>
    <row r="438" spans="1:20" ht="30" hidden="1" customHeight="1" x14ac:dyDescent="0.3">
      <c r="A438" s="262">
        <v>2</v>
      </c>
      <c r="C438" s="244">
        <v>236</v>
      </c>
      <c r="D438" s="161" t="s">
        <v>691</v>
      </c>
      <c r="E438" s="969" t="s">
        <v>692</v>
      </c>
      <c r="F438" s="970"/>
      <c r="G438" s="971"/>
      <c r="H438" s="544" t="s">
        <v>286</v>
      </c>
      <c r="I438" s="212">
        <v>28071623</v>
      </c>
      <c r="J438" s="605"/>
      <c r="K438" s="212">
        <v>1</v>
      </c>
      <c r="L438" s="212">
        <f t="shared" si="52"/>
        <v>28071623</v>
      </c>
      <c r="M438" s="602"/>
      <c r="N438" s="675">
        <f>+'Yeşil Defter'!K451</f>
        <v>0</v>
      </c>
      <c r="O438" s="675">
        <f>+'Yeşil Defter'!L451</f>
        <v>0</v>
      </c>
      <c r="P438" s="675">
        <f>+'Yeşil Defter'!M451</f>
        <v>0</v>
      </c>
      <c r="Q438" s="212"/>
      <c r="R438" s="605">
        <f t="shared" si="53"/>
        <v>0</v>
      </c>
      <c r="S438" s="225">
        <f t="shared" si="54"/>
        <v>0</v>
      </c>
      <c r="T438" s="237">
        <f t="shared" si="55"/>
        <v>0</v>
      </c>
    </row>
    <row r="439" spans="1:20" ht="30" hidden="1" customHeight="1" x14ac:dyDescent="0.3">
      <c r="A439" s="262">
        <v>2</v>
      </c>
      <c r="C439" s="244">
        <v>237</v>
      </c>
      <c r="D439" s="161" t="s">
        <v>693</v>
      </c>
      <c r="E439" s="969" t="s">
        <v>694</v>
      </c>
      <c r="F439" s="970"/>
      <c r="G439" s="971"/>
      <c r="H439" s="544" t="s">
        <v>286</v>
      </c>
      <c r="I439" s="212">
        <v>28062953</v>
      </c>
      <c r="J439" s="605"/>
      <c r="K439" s="212">
        <v>1</v>
      </c>
      <c r="L439" s="212">
        <f t="shared" si="52"/>
        <v>28062953</v>
      </c>
      <c r="M439" s="602"/>
      <c r="N439" s="675">
        <f>+'Yeşil Defter'!K452</f>
        <v>0</v>
      </c>
      <c r="O439" s="675">
        <f>+'Yeşil Defter'!L452</f>
        <v>0</v>
      </c>
      <c r="P439" s="675">
        <f>+'Yeşil Defter'!M452</f>
        <v>0</v>
      </c>
      <c r="Q439" s="212"/>
      <c r="R439" s="605">
        <f t="shared" si="53"/>
        <v>0</v>
      </c>
      <c r="S439" s="225">
        <f t="shared" si="54"/>
        <v>0</v>
      </c>
      <c r="T439" s="237">
        <f t="shared" si="55"/>
        <v>0</v>
      </c>
    </row>
    <row r="440" spans="1:20" ht="30" hidden="1" customHeight="1" x14ac:dyDescent="0.3">
      <c r="A440" s="262">
        <v>2</v>
      </c>
      <c r="C440" s="244">
        <v>238</v>
      </c>
      <c r="D440" s="161" t="s">
        <v>695</v>
      </c>
      <c r="E440" s="969" t="s">
        <v>696</v>
      </c>
      <c r="F440" s="970"/>
      <c r="G440" s="971"/>
      <c r="H440" s="544" t="s">
        <v>286</v>
      </c>
      <c r="I440" s="212">
        <v>33286064</v>
      </c>
      <c r="J440" s="605"/>
      <c r="K440" s="212">
        <v>1</v>
      </c>
      <c r="L440" s="212">
        <f t="shared" si="52"/>
        <v>33286064</v>
      </c>
      <c r="M440" s="602"/>
      <c r="N440" s="675">
        <f>+'Yeşil Defter'!K453</f>
        <v>0</v>
      </c>
      <c r="O440" s="675">
        <f>+'Yeşil Defter'!L453</f>
        <v>0</v>
      </c>
      <c r="P440" s="675">
        <f>+'Yeşil Defter'!M453</f>
        <v>0</v>
      </c>
      <c r="Q440" s="212"/>
      <c r="R440" s="605">
        <f t="shared" si="53"/>
        <v>0</v>
      </c>
      <c r="S440" s="225">
        <f t="shared" si="54"/>
        <v>0</v>
      </c>
      <c r="T440" s="237">
        <f t="shared" si="55"/>
        <v>0</v>
      </c>
    </row>
    <row r="441" spans="1:20" ht="30" hidden="1" customHeight="1" x14ac:dyDescent="0.3">
      <c r="A441" s="262">
        <v>2</v>
      </c>
      <c r="C441" s="244">
        <v>239</v>
      </c>
      <c r="D441" s="161" t="s">
        <v>697</v>
      </c>
      <c r="E441" s="969" t="s">
        <v>698</v>
      </c>
      <c r="F441" s="970"/>
      <c r="G441" s="971"/>
      <c r="H441" s="544" t="s">
        <v>286</v>
      </c>
      <c r="I441" s="212">
        <v>56812609</v>
      </c>
      <c r="J441" s="605"/>
      <c r="K441" s="212">
        <v>1</v>
      </c>
      <c r="L441" s="212">
        <f t="shared" si="52"/>
        <v>56812609</v>
      </c>
      <c r="M441" s="602"/>
      <c r="N441" s="675">
        <f>+'Yeşil Defter'!K454</f>
        <v>0</v>
      </c>
      <c r="O441" s="675">
        <f>+'Yeşil Defter'!L454</f>
        <v>0</v>
      </c>
      <c r="P441" s="675">
        <f>+'Yeşil Defter'!M454</f>
        <v>0</v>
      </c>
      <c r="Q441" s="212"/>
      <c r="R441" s="605">
        <f t="shared" si="53"/>
        <v>0</v>
      </c>
      <c r="S441" s="225">
        <f t="shared" si="54"/>
        <v>0</v>
      </c>
      <c r="T441" s="237">
        <f t="shared" si="55"/>
        <v>0</v>
      </c>
    </row>
    <row r="442" spans="1:20" ht="30" hidden="1" customHeight="1" x14ac:dyDescent="0.3">
      <c r="A442" s="262">
        <v>2</v>
      </c>
      <c r="C442" s="244">
        <v>240</v>
      </c>
      <c r="D442" s="161" t="s">
        <v>699</v>
      </c>
      <c r="E442" s="969" t="s">
        <v>700</v>
      </c>
      <c r="F442" s="970"/>
      <c r="G442" s="971"/>
      <c r="H442" s="544" t="s">
        <v>286</v>
      </c>
      <c r="I442" s="212">
        <v>22283195</v>
      </c>
      <c r="J442" s="605"/>
      <c r="K442" s="212">
        <v>1</v>
      </c>
      <c r="L442" s="212">
        <f t="shared" si="52"/>
        <v>22283195</v>
      </c>
      <c r="M442" s="602"/>
      <c r="N442" s="675">
        <f>+'Yeşil Defter'!K455</f>
        <v>0</v>
      </c>
      <c r="O442" s="675">
        <f>+'Yeşil Defter'!L455</f>
        <v>0</v>
      </c>
      <c r="P442" s="675">
        <f>+'Yeşil Defter'!M455</f>
        <v>0</v>
      </c>
      <c r="Q442" s="212"/>
      <c r="R442" s="605">
        <f t="shared" si="53"/>
        <v>0</v>
      </c>
      <c r="S442" s="225">
        <f t="shared" si="54"/>
        <v>0</v>
      </c>
      <c r="T442" s="237">
        <f t="shared" si="55"/>
        <v>0</v>
      </c>
    </row>
    <row r="443" spans="1:20" ht="30" hidden="1" customHeight="1" x14ac:dyDescent="0.3">
      <c r="A443" s="262">
        <v>2</v>
      </c>
      <c r="C443" s="244">
        <v>241</v>
      </c>
      <c r="D443" s="161" t="s">
        <v>701</v>
      </c>
      <c r="E443" s="969" t="s">
        <v>702</v>
      </c>
      <c r="F443" s="970"/>
      <c r="G443" s="971"/>
      <c r="H443" s="544" t="s">
        <v>286</v>
      </c>
      <c r="I443" s="212">
        <v>19971061</v>
      </c>
      <c r="J443" s="605"/>
      <c r="K443" s="212">
        <v>1</v>
      </c>
      <c r="L443" s="212">
        <f t="shared" si="52"/>
        <v>19971061</v>
      </c>
      <c r="M443" s="602"/>
      <c r="N443" s="675">
        <f>+'Yeşil Defter'!K456</f>
        <v>0</v>
      </c>
      <c r="O443" s="675">
        <f>+'Yeşil Defter'!L456</f>
        <v>0</v>
      </c>
      <c r="P443" s="675">
        <f>+'Yeşil Defter'!M456</f>
        <v>0</v>
      </c>
      <c r="Q443" s="212"/>
      <c r="R443" s="605">
        <f t="shared" si="53"/>
        <v>0</v>
      </c>
      <c r="S443" s="225">
        <f t="shared" si="54"/>
        <v>0</v>
      </c>
      <c r="T443" s="237">
        <f t="shared" si="55"/>
        <v>0</v>
      </c>
    </row>
    <row r="444" spans="1:20" ht="30" hidden="1" customHeight="1" x14ac:dyDescent="0.3">
      <c r="A444" s="262">
        <v>2</v>
      </c>
      <c r="C444" s="244">
        <v>242</v>
      </c>
      <c r="D444" s="161" t="s">
        <v>703</v>
      </c>
      <c r="E444" s="969" t="s">
        <v>704</v>
      </c>
      <c r="F444" s="970"/>
      <c r="G444" s="971"/>
      <c r="H444" s="544" t="s">
        <v>286</v>
      </c>
      <c r="I444" s="212">
        <v>19971061</v>
      </c>
      <c r="J444" s="605"/>
      <c r="K444" s="212">
        <v>1</v>
      </c>
      <c r="L444" s="212">
        <f t="shared" si="52"/>
        <v>19971061</v>
      </c>
      <c r="M444" s="602"/>
      <c r="N444" s="675">
        <f>+'Yeşil Defter'!K457</f>
        <v>0</v>
      </c>
      <c r="O444" s="675">
        <f>+'Yeşil Defter'!L457</f>
        <v>0</v>
      </c>
      <c r="P444" s="675">
        <f>+'Yeşil Defter'!M457</f>
        <v>0</v>
      </c>
      <c r="Q444" s="212"/>
      <c r="R444" s="605">
        <f t="shared" si="53"/>
        <v>0</v>
      </c>
      <c r="S444" s="225">
        <f t="shared" si="54"/>
        <v>0</v>
      </c>
      <c r="T444" s="237">
        <f t="shared" si="55"/>
        <v>0</v>
      </c>
    </row>
    <row r="445" spans="1:20" ht="30" hidden="1" customHeight="1" x14ac:dyDescent="0.3">
      <c r="A445" s="262">
        <v>2</v>
      </c>
      <c r="C445" s="244">
        <v>243</v>
      </c>
      <c r="D445" s="161" t="s">
        <v>705</v>
      </c>
      <c r="E445" s="969" t="s">
        <v>706</v>
      </c>
      <c r="F445" s="970"/>
      <c r="G445" s="971"/>
      <c r="H445" s="544" t="s">
        <v>286</v>
      </c>
      <c r="I445" s="212">
        <v>19971061</v>
      </c>
      <c r="J445" s="605"/>
      <c r="K445" s="212">
        <v>1</v>
      </c>
      <c r="L445" s="212">
        <f t="shared" si="52"/>
        <v>19971061</v>
      </c>
      <c r="M445" s="602"/>
      <c r="N445" s="675">
        <f>+'Yeşil Defter'!K458</f>
        <v>0</v>
      </c>
      <c r="O445" s="675">
        <f>+'Yeşil Defter'!L458</f>
        <v>0</v>
      </c>
      <c r="P445" s="675">
        <f>+'Yeşil Defter'!M458</f>
        <v>0</v>
      </c>
      <c r="Q445" s="212"/>
      <c r="R445" s="605">
        <f t="shared" si="53"/>
        <v>0</v>
      </c>
      <c r="S445" s="225">
        <f t="shared" si="54"/>
        <v>0</v>
      </c>
      <c r="T445" s="237">
        <f t="shared" si="55"/>
        <v>0</v>
      </c>
    </row>
    <row r="446" spans="1:20" ht="30" hidden="1" customHeight="1" x14ac:dyDescent="0.3">
      <c r="A446" s="262">
        <v>2</v>
      </c>
      <c r="C446" s="244">
        <v>244</v>
      </c>
      <c r="D446" s="161" t="s">
        <v>707</v>
      </c>
      <c r="E446" s="969" t="s">
        <v>708</v>
      </c>
      <c r="F446" s="970"/>
      <c r="G446" s="971"/>
      <c r="H446" s="544" t="s">
        <v>286</v>
      </c>
      <c r="I446" s="212">
        <v>23439262</v>
      </c>
      <c r="J446" s="605"/>
      <c r="K446" s="212">
        <v>1</v>
      </c>
      <c r="L446" s="212">
        <f t="shared" si="52"/>
        <v>23439262</v>
      </c>
      <c r="M446" s="602"/>
      <c r="N446" s="675">
        <f>+'Yeşil Defter'!K459</f>
        <v>0</v>
      </c>
      <c r="O446" s="675">
        <f>+'Yeşil Defter'!L459</f>
        <v>0</v>
      </c>
      <c r="P446" s="675">
        <f>+'Yeşil Defter'!M459</f>
        <v>0</v>
      </c>
      <c r="Q446" s="212"/>
      <c r="R446" s="605">
        <f t="shared" si="53"/>
        <v>0</v>
      </c>
      <c r="S446" s="225">
        <f t="shared" si="54"/>
        <v>0</v>
      </c>
      <c r="T446" s="237">
        <f t="shared" si="55"/>
        <v>0</v>
      </c>
    </row>
    <row r="447" spans="1:20" ht="30" hidden="1" customHeight="1" x14ac:dyDescent="0.3">
      <c r="A447" s="262">
        <v>2</v>
      </c>
      <c r="C447" s="244">
        <v>245</v>
      </c>
      <c r="D447" s="161" t="s">
        <v>709</v>
      </c>
      <c r="E447" s="969" t="s">
        <v>710</v>
      </c>
      <c r="F447" s="970"/>
      <c r="G447" s="971"/>
      <c r="H447" s="544" t="s">
        <v>286</v>
      </c>
      <c r="I447" s="212">
        <v>48019562</v>
      </c>
      <c r="J447" s="605"/>
      <c r="K447" s="212">
        <v>1</v>
      </c>
      <c r="L447" s="212">
        <f t="shared" si="52"/>
        <v>48019562</v>
      </c>
      <c r="M447" s="602"/>
      <c r="N447" s="675">
        <f>+'Yeşil Defter'!K460</f>
        <v>0</v>
      </c>
      <c r="O447" s="675">
        <f>+'Yeşil Defter'!L460</f>
        <v>0</v>
      </c>
      <c r="P447" s="675">
        <f>+'Yeşil Defter'!M460</f>
        <v>0</v>
      </c>
      <c r="Q447" s="212"/>
      <c r="R447" s="605">
        <f t="shared" si="53"/>
        <v>0</v>
      </c>
      <c r="S447" s="225">
        <f t="shared" si="54"/>
        <v>0</v>
      </c>
      <c r="T447" s="237">
        <f t="shared" si="55"/>
        <v>0</v>
      </c>
    </row>
    <row r="448" spans="1:20" ht="30" hidden="1" customHeight="1" x14ac:dyDescent="0.3">
      <c r="A448" s="262">
        <v>2</v>
      </c>
      <c r="C448" s="244">
        <v>246</v>
      </c>
      <c r="D448" s="161" t="s">
        <v>711</v>
      </c>
      <c r="E448" s="969" t="s">
        <v>712</v>
      </c>
      <c r="F448" s="970"/>
      <c r="G448" s="971"/>
      <c r="H448" s="544" t="s">
        <v>286</v>
      </c>
      <c r="I448" s="212">
        <v>33525948</v>
      </c>
      <c r="J448" s="605"/>
      <c r="K448" s="212">
        <v>1</v>
      </c>
      <c r="L448" s="212">
        <f t="shared" si="52"/>
        <v>33525948</v>
      </c>
      <c r="M448" s="602"/>
      <c r="N448" s="675">
        <f>+'Yeşil Defter'!K461</f>
        <v>0</v>
      </c>
      <c r="O448" s="675">
        <f>+'Yeşil Defter'!L461</f>
        <v>0</v>
      </c>
      <c r="P448" s="675">
        <f>+'Yeşil Defter'!M461</f>
        <v>0</v>
      </c>
      <c r="Q448" s="212"/>
      <c r="R448" s="605">
        <f t="shared" si="53"/>
        <v>0</v>
      </c>
      <c r="S448" s="225">
        <f t="shared" si="54"/>
        <v>0</v>
      </c>
      <c r="T448" s="237">
        <f t="shared" si="55"/>
        <v>0</v>
      </c>
    </row>
    <row r="449" spans="1:20" ht="30" hidden="1" customHeight="1" x14ac:dyDescent="0.3">
      <c r="A449" s="262">
        <v>2</v>
      </c>
      <c r="C449" s="244">
        <v>247</v>
      </c>
      <c r="D449" s="161" t="s">
        <v>713</v>
      </c>
      <c r="E449" s="969" t="s">
        <v>714</v>
      </c>
      <c r="F449" s="970"/>
      <c r="G449" s="971"/>
      <c r="H449" s="544" t="s">
        <v>286</v>
      </c>
      <c r="I449" s="212">
        <v>33525948</v>
      </c>
      <c r="J449" s="605"/>
      <c r="K449" s="212">
        <v>1</v>
      </c>
      <c r="L449" s="212">
        <f t="shared" si="52"/>
        <v>33525948</v>
      </c>
      <c r="M449" s="602"/>
      <c r="N449" s="675">
        <f>+'Yeşil Defter'!K462</f>
        <v>0</v>
      </c>
      <c r="O449" s="675">
        <f>+'Yeşil Defter'!L462</f>
        <v>0</v>
      </c>
      <c r="P449" s="675">
        <f>+'Yeşil Defter'!M462</f>
        <v>0</v>
      </c>
      <c r="Q449" s="212"/>
      <c r="R449" s="605">
        <f t="shared" si="53"/>
        <v>0</v>
      </c>
      <c r="S449" s="225">
        <f t="shared" si="54"/>
        <v>0</v>
      </c>
      <c r="T449" s="237">
        <f t="shared" si="55"/>
        <v>0</v>
      </c>
    </row>
    <row r="450" spans="1:20" ht="30" hidden="1" customHeight="1" x14ac:dyDescent="0.3">
      <c r="A450" s="262">
        <v>2</v>
      </c>
      <c r="C450" s="244">
        <v>248</v>
      </c>
      <c r="D450" s="161" t="s">
        <v>715</v>
      </c>
      <c r="E450" s="969" t="s">
        <v>716</v>
      </c>
      <c r="F450" s="970"/>
      <c r="G450" s="971"/>
      <c r="H450" s="544" t="s">
        <v>286</v>
      </c>
      <c r="I450" s="212">
        <v>33525948</v>
      </c>
      <c r="J450" s="605"/>
      <c r="K450" s="212">
        <v>1</v>
      </c>
      <c r="L450" s="212">
        <f t="shared" si="52"/>
        <v>33525948</v>
      </c>
      <c r="M450" s="602"/>
      <c r="N450" s="675">
        <f>+'Yeşil Defter'!K463</f>
        <v>0</v>
      </c>
      <c r="O450" s="675">
        <f>+'Yeşil Defter'!L463</f>
        <v>0</v>
      </c>
      <c r="P450" s="675">
        <f>+'Yeşil Defter'!M463</f>
        <v>0</v>
      </c>
      <c r="Q450" s="212"/>
      <c r="R450" s="605">
        <f t="shared" si="53"/>
        <v>0</v>
      </c>
      <c r="S450" s="225">
        <f t="shared" si="54"/>
        <v>0</v>
      </c>
      <c r="T450" s="237">
        <f t="shared" si="55"/>
        <v>0</v>
      </c>
    </row>
    <row r="451" spans="1:20" ht="30" hidden="1" customHeight="1" x14ac:dyDescent="0.3">
      <c r="A451" s="262">
        <v>2</v>
      </c>
      <c r="C451" s="244">
        <v>249</v>
      </c>
      <c r="D451" s="161" t="s">
        <v>717</v>
      </c>
      <c r="E451" s="969" t="s">
        <v>718</v>
      </c>
      <c r="F451" s="970"/>
      <c r="G451" s="971"/>
      <c r="H451" s="544" t="s">
        <v>286</v>
      </c>
      <c r="I451" s="212">
        <v>33525948</v>
      </c>
      <c r="J451" s="605"/>
      <c r="K451" s="212">
        <v>1</v>
      </c>
      <c r="L451" s="212">
        <f t="shared" si="52"/>
        <v>33525948</v>
      </c>
      <c r="M451" s="602"/>
      <c r="N451" s="675">
        <f>+'Yeşil Defter'!K464</f>
        <v>0</v>
      </c>
      <c r="O451" s="675">
        <f>+'Yeşil Defter'!L464</f>
        <v>0</v>
      </c>
      <c r="P451" s="675">
        <f>+'Yeşil Defter'!M464</f>
        <v>0</v>
      </c>
      <c r="Q451" s="212"/>
      <c r="R451" s="605">
        <f t="shared" si="53"/>
        <v>0</v>
      </c>
      <c r="S451" s="225">
        <f t="shared" si="54"/>
        <v>0</v>
      </c>
      <c r="T451" s="237">
        <f t="shared" si="55"/>
        <v>0</v>
      </c>
    </row>
    <row r="452" spans="1:20" ht="30" hidden="1" customHeight="1" x14ac:dyDescent="0.3">
      <c r="A452" s="262">
        <v>2</v>
      </c>
      <c r="C452" s="244">
        <v>250</v>
      </c>
      <c r="D452" s="161" t="s">
        <v>719</v>
      </c>
      <c r="E452" s="969" t="s">
        <v>720</v>
      </c>
      <c r="F452" s="970"/>
      <c r="G452" s="971"/>
      <c r="H452" s="544" t="s">
        <v>286</v>
      </c>
      <c r="I452" s="212">
        <v>47398754</v>
      </c>
      <c r="J452" s="605"/>
      <c r="K452" s="212">
        <v>1</v>
      </c>
      <c r="L452" s="212">
        <f t="shared" si="52"/>
        <v>47398754</v>
      </c>
      <c r="M452" s="602"/>
      <c r="N452" s="675">
        <f>+'Yeşil Defter'!K465</f>
        <v>0</v>
      </c>
      <c r="O452" s="675">
        <f>+'Yeşil Defter'!L465</f>
        <v>0</v>
      </c>
      <c r="P452" s="675">
        <f>+'Yeşil Defter'!M465</f>
        <v>0</v>
      </c>
      <c r="Q452" s="212"/>
      <c r="R452" s="605">
        <f t="shared" si="53"/>
        <v>0</v>
      </c>
      <c r="S452" s="225">
        <f t="shared" si="54"/>
        <v>0</v>
      </c>
      <c r="T452" s="237">
        <f t="shared" si="55"/>
        <v>0</v>
      </c>
    </row>
    <row r="453" spans="1:20" ht="30" hidden="1" customHeight="1" x14ac:dyDescent="0.3">
      <c r="A453" s="262">
        <v>2</v>
      </c>
      <c r="C453" s="244">
        <v>251</v>
      </c>
      <c r="D453" s="161" t="s">
        <v>721</v>
      </c>
      <c r="E453" s="969" t="s">
        <v>722</v>
      </c>
      <c r="F453" s="970"/>
      <c r="G453" s="971"/>
      <c r="H453" s="544" t="s">
        <v>286</v>
      </c>
      <c r="I453" s="212">
        <v>15780317</v>
      </c>
      <c r="J453" s="605"/>
      <c r="K453" s="212">
        <v>1</v>
      </c>
      <c r="L453" s="212">
        <f t="shared" si="52"/>
        <v>15780317</v>
      </c>
      <c r="M453" s="602"/>
      <c r="N453" s="675">
        <f>+'Yeşil Defter'!K466</f>
        <v>0</v>
      </c>
      <c r="O453" s="675">
        <f>+'Yeşil Defter'!L466</f>
        <v>0</v>
      </c>
      <c r="P453" s="675">
        <f>+'Yeşil Defter'!M466</f>
        <v>0</v>
      </c>
      <c r="Q453" s="212"/>
      <c r="R453" s="605">
        <f t="shared" si="53"/>
        <v>0</v>
      </c>
      <c r="S453" s="225">
        <f t="shared" si="54"/>
        <v>0</v>
      </c>
      <c r="T453" s="237">
        <f t="shared" si="55"/>
        <v>0</v>
      </c>
    </row>
    <row r="454" spans="1:20" ht="30" hidden="1" customHeight="1" x14ac:dyDescent="0.3">
      <c r="A454" s="262">
        <v>2</v>
      </c>
      <c r="C454" s="244">
        <v>252</v>
      </c>
      <c r="D454" s="161" t="s">
        <v>723</v>
      </c>
      <c r="E454" s="969" t="s">
        <v>724</v>
      </c>
      <c r="F454" s="970"/>
      <c r="G454" s="971"/>
      <c r="H454" s="544" t="s">
        <v>286</v>
      </c>
      <c r="I454" s="212">
        <v>15780317</v>
      </c>
      <c r="J454" s="605"/>
      <c r="K454" s="212">
        <v>1</v>
      </c>
      <c r="L454" s="212">
        <f t="shared" si="52"/>
        <v>15780317</v>
      </c>
      <c r="M454" s="602"/>
      <c r="N454" s="675">
        <f>+'Yeşil Defter'!K479</f>
        <v>0</v>
      </c>
      <c r="O454" s="675">
        <f>+'Yeşil Defter'!L479</f>
        <v>0</v>
      </c>
      <c r="P454" s="675">
        <f>+'Yeşil Defter'!M479</f>
        <v>0</v>
      </c>
      <c r="Q454" s="212"/>
      <c r="R454" s="605">
        <f t="shared" si="53"/>
        <v>0</v>
      </c>
      <c r="S454" s="225">
        <f t="shared" si="54"/>
        <v>0</v>
      </c>
      <c r="T454" s="237">
        <f t="shared" si="55"/>
        <v>0</v>
      </c>
    </row>
    <row r="455" spans="1:20" ht="40.049999999999997" hidden="1" customHeight="1" x14ac:dyDescent="0.3">
      <c r="A455" s="262" t="s">
        <v>1242</v>
      </c>
      <c r="C455" s="258"/>
      <c r="D455" s="258"/>
      <c r="E455" s="972" t="s">
        <v>33</v>
      </c>
      <c r="F455" s="972"/>
      <c r="G455" s="972"/>
      <c r="H455" s="973" t="s">
        <v>29</v>
      </c>
      <c r="I455" s="973"/>
      <c r="J455" s="973"/>
      <c r="K455" s="973"/>
      <c r="L455" s="973"/>
      <c r="M455" s="549"/>
      <c r="N455" s="973" t="s">
        <v>22</v>
      </c>
      <c r="O455" s="973"/>
      <c r="P455" s="973"/>
      <c r="Q455" s="973"/>
      <c r="R455" s="973"/>
      <c r="S455" s="973"/>
      <c r="T455" s="973"/>
    </row>
    <row r="456" spans="1:20" ht="19.95" hidden="1" customHeight="1" x14ac:dyDescent="0.3">
      <c r="A456" s="262" t="s">
        <v>1242</v>
      </c>
      <c r="D456" s="28"/>
      <c r="E456" s="974" t="s">
        <v>1214</v>
      </c>
      <c r="F456" s="974"/>
      <c r="G456" s="974"/>
      <c r="H456" s="975" t="s">
        <v>38</v>
      </c>
      <c r="I456" s="975"/>
      <c r="J456" s="975"/>
      <c r="K456" s="975"/>
      <c r="L456" s="975"/>
      <c r="M456" s="562"/>
      <c r="N456" s="975" t="s">
        <v>1437</v>
      </c>
      <c r="O456" s="975"/>
      <c r="P456" s="975"/>
      <c r="Q456" s="975"/>
      <c r="R456" s="975"/>
      <c r="S456" s="975"/>
      <c r="T456" s="975"/>
    </row>
    <row r="457" spans="1:20" ht="19.95" hidden="1" customHeight="1" x14ac:dyDescent="0.3">
      <c r="A457" s="262" t="s">
        <v>1242</v>
      </c>
      <c r="C457" s="228"/>
      <c r="D457" s="228"/>
      <c r="E457" s="561"/>
      <c r="F457" s="561"/>
      <c r="G457" s="561"/>
      <c r="H457" s="228"/>
      <c r="I457" s="260"/>
      <c r="J457" s="260"/>
      <c r="K457" s="260"/>
      <c r="L457" s="260"/>
      <c r="M457" s="260"/>
      <c r="N457" s="975"/>
      <c r="O457" s="975"/>
      <c r="P457" s="975"/>
      <c r="Q457" s="975"/>
      <c r="R457" s="975"/>
      <c r="S457" s="975"/>
      <c r="T457" s="975"/>
    </row>
    <row r="458" spans="1:20" ht="19.95" hidden="1" customHeight="1" x14ac:dyDescent="0.3">
      <c r="A458" s="262" t="s">
        <v>1242</v>
      </c>
      <c r="C458" s="228"/>
      <c r="D458" s="228"/>
      <c r="E458" s="561"/>
      <c r="F458" s="561"/>
      <c r="G458" s="561"/>
      <c r="H458" s="228"/>
      <c r="I458" s="260"/>
      <c r="J458" s="260"/>
      <c r="K458" s="260"/>
      <c r="L458" s="260"/>
      <c r="M458" s="260"/>
      <c r="N458" s="975"/>
      <c r="O458" s="975"/>
      <c r="P458" s="975"/>
      <c r="Q458" s="975"/>
      <c r="R458" s="975"/>
      <c r="S458" s="975"/>
      <c r="T458" s="975"/>
    </row>
    <row r="459" spans="1:20" ht="19.95" hidden="1" customHeight="1" x14ac:dyDescent="0.3">
      <c r="A459" s="262" t="s">
        <v>1242</v>
      </c>
      <c r="C459" s="228"/>
      <c r="D459" s="228"/>
      <c r="E459" s="561"/>
      <c r="F459" s="561"/>
      <c r="G459" s="561"/>
      <c r="H459" s="261"/>
      <c r="I459" s="261"/>
      <c r="J459" s="261"/>
      <c r="K459" s="261"/>
      <c r="L459" s="261"/>
      <c r="M459" s="261"/>
      <c r="N459" s="260"/>
      <c r="O459" s="260"/>
      <c r="P459" s="260"/>
      <c r="Q459" s="260"/>
      <c r="R459" s="260"/>
      <c r="S459" s="260"/>
      <c r="T459" s="260"/>
    </row>
    <row r="460" spans="1:20" ht="19.95" hidden="1" customHeight="1" x14ac:dyDescent="0.3">
      <c r="A460" s="262" t="s">
        <v>1242</v>
      </c>
      <c r="C460" s="228"/>
      <c r="D460" s="228"/>
      <c r="E460" s="561"/>
      <c r="F460" s="561"/>
      <c r="G460" s="561"/>
      <c r="H460" s="975" t="s">
        <v>32</v>
      </c>
      <c r="I460" s="975"/>
      <c r="J460" s="562"/>
      <c r="K460" s="975" t="s">
        <v>1407</v>
      </c>
      <c r="L460" s="975"/>
      <c r="M460" s="562"/>
      <c r="N460" s="968" t="s">
        <v>28</v>
      </c>
      <c r="O460" s="968"/>
      <c r="P460" s="968"/>
      <c r="Q460" s="968"/>
      <c r="R460" s="968"/>
      <c r="S460" s="968"/>
      <c r="T460" s="968"/>
    </row>
    <row r="461" spans="1:20" ht="19.95" hidden="1" customHeight="1" x14ac:dyDescent="0.3">
      <c r="A461" s="262" t="s">
        <v>1242</v>
      </c>
      <c r="C461" s="228"/>
      <c r="D461" s="228"/>
      <c r="E461" s="561"/>
      <c r="F461" s="561"/>
      <c r="G461" s="561"/>
      <c r="H461" s="976" t="s">
        <v>94</v>
      </c>
      <c r="I461" s="976"/>
      <c r="J461" s="623"/>
      <c r="K461" s="976" t="s">
        <v>94</v>
      </c>
      <c r="L461" s="976"/>
      <c r="M461" s="623"/>
      <c r="N461" s="968" t="s">
        <v>1486</v>
      </c>
      <c r="O461" s="968"/>
      <c r="P461" s="968"/>
      <c r="Q461" s="968"/>
      <c r="R461" s="968"/>
      <c r="S461" s="968"/>
      <c r="T461" s="968"/>
    </row>
    <row r="462" spans="1:20" ht="19.95" hidden="1" customHeight="1" x14ac:dyDescent="0.3">
      <c r="A462" s="262" t="s">
        <v>1242</v>
      </c>
      <c r="C462" s="228"/>
      <c r="D462" s="228"/>
      <c r="E462" s="561"/>
      <c r="F462" s="561"/>
      <c r="G462" s="561"/>
      <c r="H462" s="976"/>
      <c r="I462" s="976"/>
      <c r="J462" s="623"/>
      <c r="K462" s="976"/>
      <c r="L462" s="976"/>
      <c r="M462" s="623"/>
      <c r="N462" s="968"/>
      <c r="O462" s="968"/>
      <c r="P462" s="968"/>
      <c r="Q462" s="968"/>
      <c r="R462" s="968"/>
      <c r="S462" s="968"/>
      <c r="T462" s="968"/>
    </row>
    <row r="463" spans="1:20" ht="19.95" hidden="1" customHeight="1" x14ac:dyDescent="0.3">
      <c r="A463" s="262" t="s">
        <v>1242</v>
      </c>
      <c r="C463" s="228"/>
      <c r="D463" s="228"/>
      <c r="E463" s="561"/>
      <c r="F463" s="561"/>
      <c r="G463" s="561"/>
      <c r="H463" s="228"/>
      <c r="I463" s="260"/>
      <c r="J463" s="260"/>
      <c r="K463" s="260"/>
      <c r="L463" s="260"/>
      <c r="M463" s="260"/>
      <c r="N463" s="260"/>
      <c r="O463" s="260"/>
      <c r="P463" s="260"/>
      <c r="Q463" s="260"/>
      <c r="R463" s="260"/>
      <c r="S463" s="624"/>
      <c r="T463" s="260"/>
    </row>
    <row r="464" spans="1:20" ht="19.95" hidden="1" customHeight="1" x14ac:dyDescent="0.3">
      <c r="A464" s="262" t="s">
        <v>1242</v>
      </c>
      <c r="C464" s="228"/>
      <c r="D464" s="228"/>
      <c r="E464" s="975" t="s">
        <v>1215</v>
      </c>
      <c r="F464" s="975"/>
      <c r="G464" s="975"/>
      <c r="H464" s="975" t="s">
        <v>1348</v>
      </c>
      <c r="I464" s="975"/>
      <c r="J464" s="975"/>
      <c r="K464" s="975"/>
      <c r="L464" s="975"/>
      <c r="M464" s="562"/>
      <c r="N464" s="977" t="s">
        <v>1219</v>
      </c>
      <c r="O464" s="968"/>
      <c r="P464" s="968"/>
      <c r="Q464" s="968"/>
      <c r="R464" s="968"/>
      <c r="S464" s="968"/>
      <c r="T464" s="968"/>
    </row>
    <row r="465" spans="1:20" ht="19.95" hidden="1" customHeight="1" x14ac:dyDescent="0.3">
      <c r="A465" s="262" t="s">
        <v>1290</v>
      </c>
      <c r="C465" s="228"/>
      <c r="D465" s="228"/>
      <c r="E465" s="975"/>
      <c r="F465" s="975"/>
      <c r="G465" s="975"/>
      <c r="H465" s="975"/>
      <c r="I465" s="975"/>
      <c r="J465" s="975"/>
      <c r="K465" s="975"/>
      <c r="L465" s="975"/>
      <c r="M465" s="562"/>
      <c r="N465" s="968"/>
      <c r="O465" s="968"/>
      <c r="P465" s="968"/>
      <c r="Q465" s="968"/>
      <c r="R465" s="968"/>
      <c r="S465" s="968"/>
      <c r="T465" s="968"/>
    </row>
    <row r="466" spans="1:20" ht="30" hidden="1" customHeight="1" x14ac:dyDescent="0.3">
      <c r="A466" s="262">
        <v>2</v>
      </c>
      <c r="C466" s="255">
        <v>253</v>
      </c>
      <c r="D466" s="256" t="s">
        <v>725</v>
      </c>
      <c r="E466" s="978" t="s">
        <v>726</v>
      </c>
      <c r="F466" s="979"/>
      <c r="G466" s="980"/>
      <c r="H466" s="546" t="s">
        <v>286</v>
      </c>
      <c r="I466" s="257">
        <v>15780317</v>
      </c>
      <c r="J466" s="606"/>
      <c r="K466" s="257">
        <v>1</v>
      </c>
      <c r="L466" s="257">
        <f t="shared" ref="L466:L473" si="56">+ROUND(I466*K466,2)</f>
        <v>15780317</v>
      </c>
      <c r="M466" s="603"/>
      <c r="N466" s="675">
        <f>+'Yeşil Defter'!K479</f>
        <v>0</v>
      </c>
      <c r="O466" s="675">
        <f>+'Yeşil Defter'!L479</f>
        <v>0</v>
      </c>
      <c r="P466" s="675">
        <f>+'Yeşil Defter'!M479</f>
        <v>0</v>
      </c>
      <c r="Q466" s="257"/>
      <c r="R466" s="606">
        <f t="shared" ref="R466:R473" si="57">+ROUND(K466*N466,2)</f>
        <v>0</v>
      </c>
      <c r="S466" s="247">
        <f t="shared" si="54"/>
        <v>0</v>
      </c>
      <c r="T466" s="248">
        <f t="shared" ref="T466:T473" si="58">+ROUND(K466*P466,2)</f>
        <v>0</v>
      </c>
    </row>
    <row r="467" spans="1:20" ht="30" hidden="1" customHeight="1" x14ac:dyDescent="0.3">
      <c r="A467" s="262">
        <v>2</v>
      </c>
      <c r="C467" s="244">
        <v>254</v>
      </c>
      <c r="D467" s="161" t="s">
        <v>727</v>
      </c>
      <c r="E467" s="969" t="s">
        <v>728</v>
      </c>
      <c r="F467" s="970"/>
      <c r="G467" s="971"/>
      <c r="H467" s="544" t="s">
        <v>286</v>
      </c>
      <c r="I467" s="212">
        <v>15780317</v>
      </c>
      <c r="J467" s="605"/>
      <c r="K467" s="212">
        <v>1</v>
      </c>
      <c r="L467" s="212">
        <f t="shared" si="56"/>
        <v>15780317</v>
      </c>
      <c r="M467" s="602"/>
      <c r="N467" s="675">
        <f>+'Yeşil Defter'!K480</f>
        <v>0</v>
      </c>
      <c r="O467" s="675">
        <f>+'Yeşil Defter'!L480</f>
        <v>0</v>
      </c>
      <c r="P467" s="675">
        <f>+'Yeşil Defter'!M480</f>
        <v>0</v>
      </c>
      <c r="Q467" s="212"/>
      <c r="R467" s="605">
        <f t="shared" si="57"/>
        <v>0</v>
      </c>
      <c r="S467" s="225">
        <f t="shared" si="54"/>
        <v>0</v>
      </c>
      <c r="T467" s="237">
        <f t="shared" si="58"/>
        <v>0</v>
      </c>
    </row>
    <row r="468" spans="1:20" ht="30" hidden="1" customHeight="1" x14ac:dyDescent="0.3">
      <c r="A468" s="262">
        <v>2</v>
      </c>
      <c r="C468" s="244">
        <v>255</v>
      </c>
      <c r="D468" s="161" t="s">
        <v>729</v>
      </c>
      <c r="E468" s="969" t="s">
        <v>730</v>
      </c>
      <c r="F468" s="970"/>
      <c r="G468" s="971"/>
      <c r="H468" s="544" t="s">
        <v>286</v>
      </c>
      <c r="I468" s="212">
        <v>25144461</v>
      </c>
      <c r="J468" s="605"/>
      <c r="K468" s="212">
        <v>1</v>
      </c>
      <c r="L468" s="212">
        <f t="shared" si="56"/>
        <v>25144461</v>
      </c>
      <c r="M468" s="602"/>
      <c r="N468" s="675">
        <f>+'Yeşil Defter'!K481</f>
        <v>0</v>
      </c>
      <c r="O468" s="675">
        <f>+'Yeşil Defter'!L481</f>
        <v>0</v>
      </c>
      <c r="P468" s="675">
        <f>+'Yeşil Defter'!M481</f>
        <v>0</v>
      </c>
      <c r="Q468" s="212"/>
      <c r="R468" s="605">
        <f t="shared" si="57"/>
        <v>0</v>
      </c>
      <c r="S468" s="225">
        <f t="shared" si="54"/>
        <v>0</v>
      </c>
      <c r="T468" s="237">
        <f t="shared" si="58"/>
        <v>0</v>
      </c>
    </row>
    <row r="469" spans="1:20" ht="30" hidden="1" customHeight="1" x14ac:dyDescent="0.3">
      <c r="A469" s="262">
        <v>2</v>
      </c>
      <c r="C469" s="244">
        <v>256</v>
      </c>
      <c r="D469" s="161" t="s">
        <v>731</v>
      </c>
      <c r="E469" s="969" t="s">
        <v>732</v>
      </c>
      <c r="F469" s="970"/>
      <c r="G469" s="971"/>
      <c r="H469" s="544" t="s">
        <v>286</v>
      </c>
      <c r="I469" s="212">
        <v>38641545</v>
      </c>
      <c r="J469" s="605"/>
      <c r="K469" s="212">
        <v>1</v>
      </c>
      <c r="L469" s="212">
        <f t="shared" si="56"/>
        <v>38641545</v>
      </c>
      <c r="M469" s="602"/>
      <c r="N469" s="675">
        <f>+'Yeşil Defter'!K482</f>
        <v>0</v>
      </c>
      <c r="O469" s="675">
        <f>+'Yeşil Defter'!L482</f>
        <v>0</v>
      </c>
      <c r="P469" s="675">
        <f>+'Yeşil Defter'!M482</f>
        <v>0</v>
      </c>
      <c r="Q469" s="212"/>
      <c r="R469" s="605">
        <f t="shared" si="57"/>
        <v>0</v>
      </c>
      <c r="S469" s="225">
        <f t="shared" si="54"/>
        <v>0</v>
      </c>
      <c r="T469" s="237">
        <f t="shared" si="58"/>
        <v>0</v>
      </c>
    </row>
    <row r="470" spans="1:20" ht="30" hidden="1" customHeight="1" x14ac:dyDescent="0.3">
      <c r="A470" s="262">
        <v>2</v>
      </c>
      <c r="C470" s="244">
        <v>257</v>
      </c>
      <c r="D470" s="161" t="s">
        <v>733</v>
      </c>
      <c r="E470" s="969" t="s">
        <v>734</v>
      </c>
      <c r="F470" s="970"/>
      <c r="G470" s="971"/>
      <c r="H470" s="544" t="s">
        <v>286</v>
      </c>
      <c r="I470" s="212">
        <v>90828122</v>
      </c>
      <c r="J470" s="605"/>
      <c r="K470" s="212">
        <v>1</v>
      </c>
      <c r="L470" s="212">
        <f t="shared" si="56"/>
        <v>90828122</v>
      </c>
      <c r="M470" s="602"/>
      <c r="N470" s="675">
        <f>+'Yeşil Defter'!K483</f>
        <v>0</v>
      </c>
      <c r="O470" s="675">
        <f>+'Yeşil Defter'!L483</f>
        <v>0</v>
      </c>
      <c r="P470" s="675">
        <f>+'Yeşil Defter'!M483</f>
        <v>0</v>
      </c>
      <c r="Q470" s="212"/>
      <c r="R470" s="605">
        <f t="shared" si="57"/>
        <v>0</v>
      </c>
      <c r="S470" s="225">
        <f t="shared" si="54"/>
        <v>0</v>
      </c>
      <c r="T470" s="237">
        <f t="shared" si="58"/>
        <v>0</v>
      </c>
    </row>
    <row r="471" spans="1:20" ht="30" hidden="1" customHeight="1" x14ac:dyDescent="0.3">
      <c r="A471" s="262">
        <v>2</v>
      </c>
      <c r="C471" s="244">
        <v>258</v>
      </c>
      <c r="D471" s="161" t="s">
        <v>735</v>
      </c>
      <c r="E471" s="969" t="s">
        <v>736</v>
      </c>
      <c r="F471" s="970"/>
      <c r="G471" s="971"/>
      <c r="H471" s="544" t="s">
        <v>202</v>
      </c>
      <c r="I471" s="212">
        <v>11835</v>
      </c>
      <c r="J471" s="605"/>
      <c r="K471" s="212">
        <v>2500</v>
      </c>
      <c r="L471" s="212">
        <f t="shared" si="56"/>
        <v>29587500</v>
      </c>
      <c r="M471" s="602"/>
      <c r="N471" s="675">
        <f>+'Yeşil Defter'!K484</f>
        <v>0</v>
      </c>
      <c r="O471" s="675">
        <f>+'Yeşil Defter'!L484</f>
        <v>0</v>
      </c>
      <c r="P471" s="675">
        <f>+'Yeşil Defter'!M484</f>
        <v>0</v>
      </c>
      <c r="Q471" s="212"/>
      <c r="R471" s="605">
        <f t="shared" si="57"/>
        <v>0</v>
      </c>
      <c r="S471" s="225">
        <f t="shared" si="54"/>
        <v>0</v>
      </c>
      <c r="T471" s="237">
        <f t="shared" si="58"/>
        <v>0</v>
      </c>
    </row>
    <row r="472" spans="1:20" ht="30" hidden="1" customHeight="1" x14ac:dyDescent="0.3">
      <c r="A472" s="262">
        <v>2</v>
      </c>
      <c r="C472" s="244">
        <v>259</v>
      </c>
      <c r="D472" s="161" t="s">
        <v>737</v>
      </c>
      <c r="E472" s="969" t="s">
        <v>738</v>
      </c>
      <c r="F472" s="970"/>
      <c r="G472" s="971"/>
      <c r="H472" s="544" t="s">
        <v>202</v>
      </c>
      <c r="I472" s="212">
        <v>6676</v>
      </c>
      <c r="J472" s="605"/>
      <c r="K472" s="212">
        <v>14000</v>
      </c>
      <c r="L472" s="212">
        <f t="shared" si="56"/>
        <v>93464000</v>
      </c>
      <c r="M472" s="602"/>
      <c r="N472" s="675">
        <f>+'Yeşil Defter'!K485</f>
        <v>0</v>
      </c>
      <c r="O472" s="675">
        <f>+'Yeşil Defter'!L485</f>
        <v>0</v>
      </c>
      <c r="P472" s="675">
        <f>+'Yeşil Defter'!M485</f>
        <v>0</v>
      </c>
      <c r="Q472" s="212"/>
      <c r="R472" s="605">
        <f t="shared" si="57"/>
        <v>0</v>
      </c>
      <c r="S472" s="225">
        <f t="shared" si="54"/>
        <v>0</v>
      </c>
      <c r="T472" s="237">
        <f t="shared" si="58"/>
        <v>0</v>
      </c>
    </row>
    <row r="473" spans="1:20" ht="30" hidden="1" customHeight="1" x14ac:dyDescent="0.3">
      <c r="A473" s="262">
        <v>2</v>
      </c>
      <c r="C473" s="244">
        <v>260</v>
      </c>
      <c r="D473" s="161" t="s">
        <v>739</v>
      </c>
      <c r="E473" s="969" t="s">
        <v>740</v>
      </c>
      <c r="F473" s="970"/>
      <c r="G473" s="971"/>
      <c r="H473" s="544" t="s">
        <v>286</v>
      </c>
      <c r="I473" s="212">
        <v>22543310</v>
      </c>
      <c r="J473" s="605"/>
      <c r="K473" s="212">
        <v>1</v>
      </c>
      <c r="L473" s="341">
        <f t="shared" si="56"/>
        <v>22543310</v>
      </c>
      <c r="M473" s="212"/>
      <c r="N473" s="675">
        <f>+'Yeşil Defter'!K486</f>
        <v>0</v>
      </c>
      <c r="O473" s="675">
        <f>+'Yeşil Defter'!L486</f>
        <v>0</v>
      </c>
      <c r="P473" s="675">
        <f>+'Yeşil Defter'!M486</f>
        <v>0</v>
      </c>
      <c r="Q473" s="212"/>
      <c r="R473" s="605">
        <f t="shared" si="57"/>
        <v>0</v>
      </c>
      <c r="S473" s="225">
        <f t="shared" si="54"/>
        <v>0</v>
      </c>
      <c r="T473" s="237">
        <f t="shared" si="58"/>
        <v>0</v>
      </c>
    </row>
    <row r="474" spans="1:20" ht="30" hidden="1" customHeight="1" x14ac:dyDescent="0.3">
      <c r="A474" s="262">
        <v>2</v>
      </c>
      <c r="C474" s="244"/>
      <c r="D474" s="161"/>
      <c r="E474" s="969"/>
      <c r="F474" s="970"/>
      <c r="G474" s="971"/>
      <c r="H474" s="161"/>
      <c r="I474" s="605"/>
      <c r="J474" s="605"/>
      <c r="K474" s="212"/>
      <c r="L474" s="341"/>
      <c r="M474" s="212"/>
      <c r="N474" s="605"/>
      <c r="O474" s="212"/>
      <c r="P474" s="341"/>
      <c r="Q474" s="212"/>
      <c r="R474" s="605"/>
      <c r="S474" s="225"/>
      <c r="T474" s="237"/>
    </row>
    <row r="475" spans="1:20" ht="30" hidden="1" customHeight="1" x14ac:dyDescent="0.3">
      <c r="A475" s="262">
        <v>2</v>
      </c>
      <c r="C475" s="244"/>
      <c r="D475" s="161"/>
      <c r="E475" s="969"/>
      <c r="F475" s="970"/>
      <c r="G475" s="971"/>
      <c r="H475" s="161"/>
      <c r="I475" s="605"/>
      <c r="J475" s="605"/>
      <c r="K475" s="212"/>
      <c r="L475" s="341"/>
      <c r="M475" s="212"/>
      <c r="N475" s="605"/>
      <c r="O475" s="212"/>
      <c r="P475" s="341"/>
      <c r="Q475" s="212"/>
      <c r="R475" s="605"/>
      <c r="S475" s="225"/>
      <c r="T475" s="237"/>
    </row>
    <row r="476" spans="1:20" ht="30" hidden="1" customHeight="1" x14ac:dyDescent="0.3">
      <c r="A476" s="262">
        <v>2</v>
      </c>
      <c r="C476" s="244"/>
      <c r="D476" s="161"/>
      <c r="E476" s="969"/>
      <c r="F476" s="970"/>
      <c r="G476" s="971"/>
      <c r="H476" s="161"/>
      <c r="I476" s="605"/>
      <c r="J476" s="605"/>
      <c r="K476" s="212"/>
      <c r="L476" s="341"/>
      <c r="M476" s="212"/>
      <c r="N476" s="605"/>
      <c r="O476" s="212"/>
      <c r="P476" s="341"/>
      <c r="Q476" s="212"/>
      <c r="R476" s="605"/>
      <c r="S476" s="225"/>
      <c r="T476" s="237"/>
    </row>
    <row r="477" spans="1:20" ht="30" hidden="1" customHeight="1" x14ac:dyDescent="0.3">
      <c r="A477" s="262">
        <v>2</v>
      </c>
      <c r="C477" s="244"/>
      <c r="D477" s="161"/>
      <c r="E477" s="969"/>
      <c r="F477" s="970"/>
      <c r="G477" s="971"/>
      <c r="H477" s="161"/>
      <c r="I477" s="605"/>
      <c r="J477" s="605"/>
      <c r="K477" s="212"/>
      <c r="L477" s="341"/>
      <c r="M477" s="212"/>
      <c r="N477" s="605"/>
      <c r="O477" s="212"/>
      <c r="P477" s="341"/>
      <c r="Q477" s="212"/>
      <c r="R477" s="605"/>
      <c r="S477" s="225"/>
      <c r="T477" s="237"/>
    </row>
    <row r="478" spans="1:20" ht="30" hidden="1" customHeight="1" x14ac:dyDescent="0.3">
      <c r="A478" s="262">
        <v>2</v>
      </c>
      <c r="C478" s="244"/>
      <c r="D478" s="161"/>
      <c r="E478" s="969"/>
      <c r="F478" s="970"/>
      <c r="G478" s="971"/>
      <c r="H478" s="161"/>
      <c r="I478" s="605"/>
      <c r="J478" s="605"/>
      <c r="K478" s="212"/>
      <c r="L478" s="341"/>
      <c r="M478" s="212"/>
      <c r="N478" s="605"/>
      <c r="O478" s="212"/>
      <c r="P478" s="341"/>
      <c r="Q478" s="212"/>
      <c r="R478" s="605"/>
      <c r="S478" s="225"/>
      <c r="T478" s="237"/>
    </row>
    <row r="479" spans="1:20" ht="30" hidden="1" customHeight="1" x14ac:dyDescent="0.3">
      <c r="A479" s="262">
        <v>2</v>
      </c>
      <c r="C479" s="244"/>
      <c r="D479" s="161"/>
      <c r="E479" s="969"/>
      <c r="F479" s="970"/>
      <c r="G479" s="971"/>
      <c r="H479" s="161"/>
      <c r="I479" s="605"/>
      <c r="J479" s="605"/>
      <c r="K479" s="212"/>
      <c r="L479" s="341"/>
      <c r="M479" s="212"/>
      <c r="N479" s="605"/>
      <c r="O479" s="212"/>
      <c r="P479" s="341"/>
      <c r="Q479" s="212"/>
      <c r="R479" s="605"/>
      <c r="S479" s="225"/>
      <c r="T479" s="237"/>
    </row>
    <row r="480" spans="1:20" ht="30" hidden="1" customHeight="1" x14ac:dyDescent="0.3">
      <c r="A480" s="262">
        <v>2</v>
      </c>
      <c r="C480" s="244"/>
      <c r="D480" s="161"/>
      <c r="E480" s="969"/>
      <c r="F480" s="970"/>
      <c r="G480" s="971"/>
      <c r="H480" s="161"/>
      <c r="I480" s="605"/>
      <c r="J480" s="605"/>
      <c r="K480" s="212"/>
      <c r="L480" s="341"/>
      <c r="M480" s="212"/>
      <c r="N480" s="605"/>
      <c r="O480" s="212"/>
      <c r="P480" s="341"/>
      <c r="Q480" s="212"/>
      <c r="R480" s="605"/>
      <c r="S480" s="225"/>
      <c r="T480" s="237"/>
    </row>
    <row r="481" spans="1:20" ht="30" hidden="1" customHeight="1" x14ac:dyDescent="0.3">
      <c r="A481" s="262">
        <v>2</v>
      </c>
      <c r="C481" s="244"/>
      <c r="D481" s="161"/>
      <c r="E481" s="969"/>
      <c r="F481" s="970"/>
      <c r="G481" s="971"/>
      <c r="H481" s="161"/>
      <c r="I481" s="605"/>
      <c r="J481" s="605"/>
      <c r="K481" s="212"/>
      <c r="L481" s="341"/>
      <c r="M481" s="212"/>
      <c r="N481" s="605"/>
      <c r="O481" s="212"/>
      <c r="P481" s="341"/>
      <c r="Q481" s="212"/>
      <c r="R481" s="605"/>
      <c r="S481" s="225"/>
      <c r="T481" s="237"/>
    </row>
    <row r="482" spans="1:20" ht="30" hidden="1" customHeight="1" x14ac:dyDescent="0.3">
      <c r="A482" s="262">
        <v>2</v>
      </c>
      <c r="C482" s="244"/>
      <c r="D482" s="161"/>
      <c r="E482" s="969"/>
      <c r="F482" s="970"/>
      <c r="G482" s="971"/>
      <c r="H482" s="161"/>
      <c r="I482" s="605"/>
      <c r="J482" s="605"/>
      <c r="K482" s="212"/>
      <c r="L482" s="341"/>
      <c r="M482" s="212"/>
      <c r="N482" s="605"/>
      <c r="O482" s="212"/>
      <c r="P482" s="341"/>
      <c r="Q482" s="212"/>
      <c r="R482" s="605"/>
      <c r="S482" s="225"/>
      <c r="T482" s="237"/>
    </row>
    <row r="483" spans="1:20" ht="30" hidden="1" customHeight="1" x14ac:dyDescent="0.3">
      <c r="A483" s="262">
        <v>2</v>
      </c>
      <c r="C483" s="244"/>
      <c r="D483" s="161"/>
      <c r="E483" s="969"/>
      <c r="F483" s="970"/>
      <c r="G483" s="971"/>
      <c r="H483" s="161"/>
      <c r="I483" s="605"/>
      <c r="J483" s="605"/>
      <c r="K483" s="212"/>
      <c r="L483" s="341"/>
      <c r="M483" s="212"/>
      <c r="N483" s="605"/>
      <c r="O483" s="212"/>
      <c r="P483" s="341"/>
      <c r="Q483" s="212"/>
      <c r="R483" s="605"/>
      <c r="S483" s="225"/>
      <c r="T483" s="237"/>
    </row>
    <row r="484" spans="1:20" ht="30" hidden="1" customHeight="1" x14ac:dyDescent="0.3">
      <c r="A484" s="262">
        <v>2</v>
      </c>
      <c r="C484" s="244"/>
      <c r="D484" s="161"/>
      <c r="E484" s="969"/>
      <c r="F484" s="970"/>
      <c r="G484" s="971"/>
      <c r="H484" s="161"/>
      <c r="I484" s="605"/>
      <c r="J484" s="605"/>
      <c r="K484" s="212"/>
      <c r="L484" s="341"/>
      <c r="M484" s="212"/>
      <c r="N484" s="605"/>
      <c r="O484" s="212"/>
      <c r="P484" s="341"/>
      <c r="Q484" s="212"/>
      <c r="R484" s="605"/>
      <c r="S484" s="225"/>
      <c r="T484" s="237"/>
    </row>
    <row r="485" spans="1:20" ht="30" hidden="1" customHeight="1" x14ac:dyDescent="0.3">
      <c r="A485" s="262">
        <v>2</v>
      </c>
      <c r="C485" s="244"/>
      <c r="D485" s="161"/>
      <c r="E485" s="969"/>
      <c r="F485" s="970"/>
      <c r="G485" s="971"/>
      <c r="H485" s="161"/>
      <c r="I485" s="605"/>
      <c r="J485" s="605"/>
      <c r="K485" s="212"/>
      <c r="L485" s="341"/>
      <c r="M485" s="212"/>
      <c r="N485" s="605"/>
      <c r="O485" s="212"/>
      <c r="P485" s="341"/>
      <c r="Q485" s="212"/>
      <c r="R485" s="605"/>
      <c r="S485" s="225"/>
      <c r="T485" s="237"/>
    </row>
    <row r="486" spans="1:20" ht="30" hidden="1" customHeight="1" x14ac:dyDescent="0.3">
      <c r="A486" s="262">
        <v>2</v>
      </c>
      <c r="C486" s="244"/>
      <c r="D486" s="161"/>
      <c r="E486" s="969"/>
      <c r="F486" s="970"/>
      <c r="G486" s="971"/>
      <c r="H486" s="161"/>
      <c r="I486" s="605"/>
      <c r="J486" s="605"/>
      <c r="K486" s="212"/>
      <c r="L486" s="341"/>
      <c r="M486" s="212"/>
      <c r="N486" s="605"/>
      <c r="O486" s="212"/>
      <c r="P486" s="341"/>
      <c r="Q486" s="212"/>
      <c r="R486" s="605"/>
      <c r="S486" s="225"/>
      <c r="T486" s="237"/>
    </row>
    <row r="487" spans="1:20" ht="30" hidden="1" customHeight="1" x14ac:dyDescent="0.3">
      <c r="A487" s="262">
        <v>2</v>
      </c>
      <c r="C487" s="244"/>
      <c r="D487" s="161"/>
      <c r="E487" s="969"/>
      <c r="F487" s="970"/>
      <c r="G487" s="971"/>
      <c r="H487" s="161"/>
      <c r="I487" s="605"/>
      <c r="J487" s="605"/>
      <c r="K487" s="212"/>
      <c r="L487" s="341"/>
      <c r="M487" s="212"/>
      <c r="N487" s="605"/>
      <c r="O487" s="212"/>
      <c r="P487" s="341"/>
      <c r="Q487" s="212"/>
      <c r="R487" s="605"/>
      <c r="S487" s="225"/>
      <c r="T487" s="237"/>
    </row>
    <row r="488" spans="1:20" ht="30" hidden="1" customHeight="1" x14ac:dyDescent="0.3">
      <c r="A488" s="262">
        <v>2</v>
      </c>
      <c r="C488" s="244"/>
      <c r="D488" s="161"/>
      <c r="E488" s="969"/>
      <c r="F488" s="970"/>
      <c r="G488" s="971"/>
      <c r="H488" s="658"/>
      <c r="I488" s="605"/>
      <c r="J488" s="605"/>
      <c r="K488" s="212"/>
      <c r="L488" s="341"/>
      <c r="M488" s="302"/>
      <c r="N488" s="605"/>
      <c r="O488" s="212"/>
      <c r="P488" s="341"/>
      <c r="Q488" s="302"/>
      <c r="R488" s="605"/>
      <c r="S488" s="225"/>
      <c r="T488" s="237"/>
    </row>
    <row r="489" spans="1:20" ht="40.049999999999997" hidden="1" customHeight="1" x14ac:dyDescent="0.3">
      <c r="A489" s="262" t="s">
        <v>1242</v>
      </c>
      <c r="C489" s="258"/>
      <c r="D489" s="258"/>
      <c r="E489" s="972" t="s">
        <v>33</v>
      </c>
      <c r="F489" s="972"/>
      <c r="G489" s="972"/>
      <c r="H489" s="973" t="s">
        <v>29</v>
      </c>
      <c r="I489" s="973"/>
      <c r="J489" s="973"/>
      <c r="K489" s="973"/>
      <c r="L489" s="973"/>
      <c r="M489" s="549"/>
      <c r="N489" s="973" t="s">
        <v>22</v>
      </c>
      <c r="O489" s="973"/>
      <c r="P489" s="973"/>
      <c r="Q489" s="973"/>
      <c r="R489" s="973"/>
      <c r="S489" s="973"/>
      <c r="T489" s="973"/>
    </row>
    <row r="490" spans="1:20" ht="19.95" hidden="1" customHeight="1" x14ac:dyDescent="0.3">
      <c r="A490" s="262" t="s">
        <v>1242</v>
      </c>
      <c r="D490" s="28"/>
      <c r="E490" s="974" t="s">
        <v>1214</v>
      </c>
      <c r="F490" s="974"/>
      <c r="G490" s="974"/>
      <c r="H490" s="975" t="s">
        <v>38</v>
      </c>
      <c r="I490" s="975"/>
      <c r="J490" s="975"/>
      <c r="K490" s="975"/>
      <c r="L490" s="975"/>
      <c r="M490" s="562"/>
      <c r="N490" s="975" t="s">
        <v>1437</v>
      </c>
      <c r="O490" s="975"/>
      <c r="P490" s="975"/>
      <c r="Q490" s="975"/>
      <c r="R490" s="975"/>
      <c r="S490" s="975"/>
      <c r="T490" s="975"/>
    </row>
    <row r="491" spans="1:20" ht="19.95" hidden="1" customHeight="1" x14ac:dyDescent="0.3">
      <c r="A491" s="262" t="s">
        <v>1242</v>
      </c>
      <c r="C491" s="228"/>
      <c r="D491" s="228"/>
      <c r="E491" s="561"/>
      <c r="F491" s="561"/>
      <c r="G491" s="561"/>
      <c r="H491" s="228"/>
      <c r="I491" s="260"/>
      <c r="J491" s="260"/>
      <c r="K491" s="260"/>
      <c r="L491" s="260"/>
      <c r="M491" s="260"/>
      <c r="N491" s="975"/>
      <c r="O491" s="975"/>
      <c r="P491" s="975"/>
      <c r="Q491" s="975"/>
      <c r="R491" s="975"/>
      <c r="S491" s="975"/>
      <c r="T491" s="975"/>
    </row>
    <row r="492" spans="1:20" ht="19.95" hidden="1" customHeight="1" x14ac:dyDescent="0.3">
      <c r="A492" s="262" t="s">
        <v>1242</v>
      </c>
      <c r="C492" s="228"/>
      <c r="D492" s="228"/>
      <c r="E492" s="561"/>
      <c r="F492" s="561"/>
      <c r="G492" s="561"/>
      <c r="H492" s="228"/>
      <c r="I492" s="260"/>
      <c r="J492" s="260"/>
      <c r="K492" s="260"/>
      <c r="L492" s="260"/>
      <c r="M492" s="260"/>
      <c r="N492" s="975"/>
      <c r="O492" s="975"/>
      <c r="P492" s="975"/>
      <c r="Q492" s="975"/>
      <c r="R492" s="975"/>
      <c r="S492" s="975"/>
      <c r="T492" s="975"/>
    </row>
    <row r="493" spans="1:20" ht="19.95" hidden="1" customHeight="1" x14ac:dyDescent="0.3">
      <c r="A493" s="262" t="s">
        <v>1242</v>
      </c>
      <c r="C493" s="228"/>
      <c r="D493" s="228"/>
      <c r="E493" s="561"/>
      <c r="F493" s="561"/>
      <c r="G493" s="561"/>
      <c r="H493" s="261"/>
      <c r="I493" s="261"/>
      <c r="J493" s="261"/>
      <c r="K493" s="261"/>
      <c r="L493" s="261"/>
      <c r="M493" s="261"/>
      <c r="N493" s="260"/>
      <c r="O493" s="260"/>
      <c r="P493" s="260"/>
      <c r="Q493" s="260"/>
      <c r="R493" s="260"/>
      <c r="S493" s="260"/>
      <c r="T493" s="260"/>
    </row>
    <row r="494" spans="1:20" ht="19.95" hidden="1" customHeight="1" x14ac:dyDescent="0.3">
      <c r="A494" s="262" t="s">
        <v>1242</v>
      </c>
      <c r="C494" s="228"/>
      <c r="D494" s="228"/>
      <c r="E494" s="561"/>
      <c r="F494" s="561"/>
      <c r="G494" s="561"/>
      <c r="H494" s="975" t="s">
        <v>32</v>
      </c>
      <c r="I494" s="975"/>
      <c r="J494" s="562"/>
      <c r="K494" s="975" t="s">
        <v>1407</v>
      </c>
      <c r="L494" s="975"/>
      <c r="M494" s="562"/>
      <c r="N494" s="968" t="s">
        <v>28</v>
      </c>
      <c r="O494" s="968"/>
      <c r="P494" s="968"/>
      <c r="Q494" s="968"/>
      <c r="R494" s="968"/>
      <c r="S494" s="968"/>
      <c r="T494" s="968"/>
    </row>
    <row r="495" spans="1:20" ht="19.95" hidden="1" customHeight="1" x14ac:dyDescent="0.3">
      <c r="A495" s="262" t="s">
        <v>1242</v>
      </c>
      <c r="C495" s="228"/>
      <c r="D495" s="228"/>
      <c r="E495" s="561"/>
      <c r="F495" s="561"/>
      <c r="G495" s="561"/>
      <c r="H495" s="976" t="s">
        <v>94</v>
      </c>
      <c r="I495" s="976"/>
      <c r="J495" s="623"/>
      <c r="K495" s="976" t="s">
        <v>94</v>
      </c>
      <c r="L495" s="976"/>
      <c r="M495" s="623"/>
      <c r="N495" s="968" t="s">
        <v>1486</v>
      </c>
      <c r="O495" s="968"/>
      <c r="P495" s="968"/>
      <c r="Q495" s="968"/>
      <c r="R495" s="968"/>
      <c r="S495" s="968"/>
      <c r="T495" s="968"/>
    </row>
    <row r="496" spans="1:20" ht="19.95" hidden="1" customHeight="1" x14ac:dyDescent="0.3">
      <c r="A496" s="262" t="s">
        <v>1242</v>
      </c>
      <c r="C496" s="228"/>
      <c r="D496" s="228"/>
      <c r="E496" s="561"/>
      <c r="F496" s="561"/>
      <c r="G496" s="561"/>
      <c r="H496" s="976"/>
      <c r="I496" s="976"/>
      <c r="J496" s="623"/>
      <c r="K496" s="976"/>
      <c r="L496" s="976"/>
      <c r="M496" s="623"/>
      <c r="N496" s="968"/>
      <c r="O496" s="968"/>
      <c r="P496" s="968"/>
      <c r="Q496" s="968"/>
      <c r="R496" s="968"/>
      <c r="S496" s="968"/>
      <c r="T496" s="968"/>
    </row>
    <row r="497" spans="1:20" ht="19.95" hidden="1" customHeight="1" x14ac:dyDescent="0.3">
      <c r="A497" s="262" t="s">
        <v>1242</v>
      </c>
      <c r="C497" s="228"/>
      <c r="D497" s="228"/>
      <c r="E497" s="561"/>
      <c r="F497" s="561"/>
      <c r="G497" s="561"/>
      <c r="H497" s="228"/>
      <c r="I497" s="260"/>
      <c r="J497" s="260"/>
      <c r="K497" s="260"/>
      <c r="L497" s="260"/>
      <c r="M497" s="260"/>
      <c r="N497" s="260"/>
      <c r="O497" s="260"/>
      <c r="P497" s="260"/>
      <c r="Q497" s="260"/>
      <c r="R497" s="260"/>
      <c r="S497" s="624"/>
      <c r="T497" s="260"/>
    </row>
    <row r="498" spans="1:20" ht="19.95" hidden="1" customHeight="1" x14ac:dyDescent="0.3">
      <c r="A498" s="262" t="s">
        <v>1242</v>
      </c>
      <c r="C498" s="228"/>
      <c r="D498" s="228"/>
      <c r="E498" s="975" t="s">
        <v>1215</v>
      </c>
      <c r="F498" s="975"/>
      <c r="G498" s="975"/>
      <c r="H498" s="975" t="s">
        <v>1348</v>
      </c>
      <c r="I498" s="975"/>
      <c r="J498" s="975"/>
      <c r="K498" s="975"/>
      <c r="L498" s="975"/>
      <c r="M498" s="562"/>
      <c r="N498" s="977" t="s">
        <v>1219</v>
      </c>
      <c r="O498" s="968"/>
      <c r="P498" s="968"/>
      <c r="Q498" s="968"/>
      <c r="R498" s="968"/>
      <c r="S498" s="968"/>
      <c r="T498" s="968"/>
    </row>
    <row r="499" spans="1:20" ht="19.95" hidden="1" customHeight="1" x14ac:dyDescent="0.3">
      <c r="A499" s="262" t="s">
        <v>1290</v>
      </c>
      <c r="C499" s="228"/>
      <c r="D499" s="228"/>
      <c r="E499" s="975"/>
      <c r="F499" s="975"/>
      <c r="G499" s="975"/>
      <c r="H499" s="975"/>
      <c r="I499" s="975"/>
      <c r="J499" s="975"/>
      <c r="K499" s="975"/>
      <c r="L499" s="975"/>
      <c r="M499" s="562"/>
      <c r="N499" s="968"/>
      <c r="O499" s="968"/>
      <c r="P499" s="968"/>
      <c r="Q499" s="968"/>
      <c r="R499" s="968"/>
      <c r="S499" s="968"/>
      <c r="T499" s="968"/>
    </row>
    <row r="500" spans="1:20" ht="30" hidden="1" customHeight="1" x14ac:dyDescent="0.3">
      <c r="A500" s="262" t="s">
        <v>1240</v>
      </c>
      <c r="C500" s="625"/>
      <c r="D500" s="626" t="s">
        <v>1230</v>
      </c>
      <c r="E500" s="627"/>
      <c r="F500" s="627"/>
      <c r="G500" s="627"/>
      <c r="H500" s="627"/>
      <c r="I500" s="628"/>
      <c r="J500" s="628"/>
      <c r="K500" s="628"/>
      <c r="L500" s="644">
        <f>+SUMIFS(L:L,A:A,"3")</f>
        <v>3338487540</v>
      </c>
      <c r="M500" s="629"/>
      <c r="N500" s="648"/>
      <c r="O500" s="628"/>
      <c r="P500" s="628"/>
      <c r="Q500" s="611"/>
      <c r="R500" s="651">
        <f>+SUMIFS(R:R,A:A,"3")</f>
        <v>0</v>
      </c>
      <c r="S500" s="630">
        <f>+SUMIFS(S:S,A:A,"3")</f>
        <v>0</v>
      </c>
      <c r="T500" s="631">
        <f>+SUMIFS(T:T,A:A,"3")</f>
        <v>0</v>
      </c>
    </row>
    <row r="501" spans="1:20" ht="30" hidden="1" customHeight="1" x14ac:dyDescent="0.3">
      <c r="A501" s="262">
        <v>3</v>
      </c>
      <c r="C501" s="244">
        <v>261</v>
      </c>
      <c r="D501" s="213" t="s">
        <v>741</v>
      </c>
      <c r="E501" s="969" t="s">
        <v>742</v>
      </c>
      <c r="F501" s="970"/>
      <c r="G501" s="971"/>
      <c r="H501" s="544" t="s">
        <v>743</v>
      </c>
      <c r="I501" s="212">
        <v>283693978</v>
      </c>
      <c r="J501" s="605"/>
      <c r="K501" s="212">
        <v>1</v>
      </c>
      <c r="L501" s="212">
        <f t="shared" ref="L501:L509" si="59">+ROUND(I501*K501,2)</f>
        <v>283693978</v>
      </c>
      <c r="M501" s="602"/>
      <c r="N501" s="675">
        <f>+'Yeşil Defter'!K489</f>
        <v>0</v>
      </c>
      <c r="O501" s="675">
        <f>+'Yeşil Defter'!L489</f>
        <v>0</v>
      </c>
      <c r="P501" s="675">
        <f>+'Yeşil Defter'!M489</f>
        <v>0</v>
      </c>
      <c r="Q501" s="212"/>
      <c r="R501" s="605">
        <f t="shared" ref="R501:R509" si="60">+ROUND(K501*N501,2)</f>
        <v>0</v>
      </c>
      <c r="S501" s="225">
        <f t="shared" ref="S501:S509" si="61">+T501-R501</f>
        <v>0</v>
      </c>
      <c r="T501" s="237">
        <f t="shared" ref="T501:T509" si="62">+ROUND(K501*P501,2)</f>
        <v>0</v>
      </c>
    </row>
    <row r="502" spans="1:20" ht="30" hidden="1" customHeight="1" x14ac:dyDescent="0.3">
      <c r="A502" s="262">
        <v>3</v>
      </c>
      <c r="C502" s="244">
        <v>262</v>
      </c>
      <c r="D502" s="213" t="s">
        <v>744</v>
      </c>
      <c r="E502" s="969" t="s">
        <v>745</v>
      </c>
      <c r="F502" s="970"/>
      <c r="G502" s="971"/>
      <c r="H502" s="544" t="s">
        <v>286</v>
      </c>
      <c r="I502" s="212">
        <v>143604252</v>
      </c>
      <c r="J502" s="605"/>
      <c r="K502" s="212">
        <v>1</v>
      </c>
      <c r="L502" s="212">
        <f t="shared" si="59"/>
        <v>143604252</v>
      </c>
      <c r="M502" s="602"/>
      <c r="N502" s="675">
        <f>+'Yeşil Defter'!K490</f>
        <v>0</v>
      </c>
      <c r="O502" s="675">
        <f>+'Yeşil Defter'!L490</f>
        <v>0</v>
      </c>
      <c r="P502" s="675">
        <f>+'Yeşil Defter'!M490</f>
        <v>0</v>
      </c>
      <c r="Q502" s="212"/>
      <c r="R502" s="605">
        <f t="shared" si="60"/>
        <v>0</v>
      </c>
      <c r="S502" s="225">
        <f t="shared" si="61"/>
        <v>0</v>
      </c>
      <c r="T502" s="237">
        <f t="shared" si="62"/>
        <v>0</v>
      </c>
    </row>
    <row r="503" spans="1:20" ht="30" hidden="1" customHeight="1" x14ac:dyDescent="0.3">
      <c r="A503" s="262">
        <v>3</v>
      </c>
      <c r="C503" s="244">
        <v>263</v>
      </c>
      <c r="D503" s="213" t="s">
        <v>746</v>
      </c>
      <c r="E503" s="969" t="s">
        <v>747</v>
      </c>
      <c r="F503" s="970"/>
      <c r="G503" s="971"/>
      <c r="H503" s="544" t="s">
        <v>286</v>
      </c>
      <c r="I503" s="212">
        <v>95736168</v>
      </c>
      <c r="J503" s="605"/>
      <c r="K503" s="212">
        <v>1</v>
      </c>
      <c r="L503" s="212">
        <f t="shared" si="59"/>
        <v>95736168</v>
      </c>
      <c r="M503" s="602"/>
      <c r="N503" s="675">
        <f>+'Yeşil Defter'!K491</f>
        <v>0</v>
      </c>
      <c r="O503" s="675">
        <f>+'Yeşil Defter'!L491</f>
        <v>0</v>
      </c>
      <c r="P503" s="675">
        <f>+'Yeşil Defter'!M491</f>
        <v>0</v>
      </c>
      <c r="Q503" s="212"/>
      <c r="R503" s="605">
        <f t="shared" si="60"/>
        <v>0</v>
      </c>
      <c r="S503" s="225">
        <f t="shared" si="61"/>
        <v>0</v>
      </c>
      <c r="T503" s="237">
        <f t="shared" si="62"/>
        <v>0</v>
      </c>
    </row>
    <row r="504" spans="1:20" ht="30" hidden="1" customHeight="1" x14ac:dyDescent="0.3">
      <c r="A504" s="262">
        <v>3</v>
      </c>
      <c r="C504" s="244">
        <v>264</v>
      </c>
      <c r="D504" s="161" t="s">
        <v>748</v>
      </c>
      <c r="E504" s="969" t="s">
        <v>749</v>
      </c>
      <c r="F504" s="970"/>
      <c r="G504" s="971"/>
      <c r="H504" s="544" t="s">
        <v>286</v>
      </c>
      <c r="I504" s="212">
        <v>1668787435</v>
      </c>
      <c r="J504" s="605"/>
      <c r="K504" s="212">
        <v>1</v>
      </c>
      <c r="L504" s="212">
        <f t="shared" si="59"/>
        <v>1668787435</v>
      </c>
      <c r="M504" s="602"/>
      <c r="N504" s="675">
        <f>+'Yeşil Defter'!K492</f>
        <v>0</v>
      </c>
      <c r="O504" s="675">
        <f>+'Yeşil Defter'!L492</f>
        <v>0</v>
      </c>
      <c r="P504" s="675">
        <f>+'Yeşil Defter'!M492</f>
        <v>0</v>
      </c>
      <c r="Q504" s="212"/>
      <c r="R504" s="605">
        <f t="shared" si="60"/>
        <v>0</v>
      </c>
      <c r="S504" s="225">
        <f t="shared" si="61"/>
        <v>0</v>
      </c>
      <c r="T504" s="237">
        <f t="shared" si="62"/>
        <v>0</v>
      </c>
    </row>
    <row r="505" spans="1:20" ht="30" hidden="1" customHeight="1" x14ac:dyDescent="0.3">
      <c r="A505" s="262">
        <v>3</v>
      </c>
      <c r="C505" s="244">
        <v>265</v>
      </c>
      <c r="D505" s="161" t="s">
        <v>750</v>
      </c>
      <c r="E505" s="969" t="s">
        <v>751</v>
      </c>
      <c r="F505" s="970"/>
      <c r="G505" s="971"/>
      <c r="H505" s="544" t="s">
        <v>286</v>
      </c>
      <c r="I505" s="212">
        <v>450401959</v>
      </c>
      <c r="J505" s="605"/>
      <c r="K505" s="212">
        <v>1</v>
      </c>
      <c r="L505" s="212">
        <f t="shared" si="59"/>
        <v>450401959</v>
      </c>
      <c r="M505" s="602"/>
      <c r="N505" s="675">
        <f>+'Yeşil Defter'!K493</f>
        <v>0</v>
      </c>
      <c r="O505" s="675">
        <f>+'Yeşil Defter'!L493</f>
        <v>0</v>
      </c>
      <c r="P505" s="675">
        <f>+'Yeşil Defter'!M493</f>
        <v>0</v>
      </c>
      <c r="Q505" s="212"/>
      <c r="R505" s="605">
        <f t="shared" si="60"/>
        <v>0</v>
      </c>
      <c r="S505" s="225">
        <f t="shared" si="61"/>
        <v>0</v>
      </c>
      <c r="T505" s="237">
        <f t="shared" si="62"/>
        <v>0</v>
      </c>
    </row>
    <row r="506" spans="1:20" ht="30" hidden="1" customHeight="1" x14ac:dyDescent="0.3">
      <c r="A506" s="262">
        <v>3</v>
      </c>
      <c r="C506" s="244">
        <v>266</v>
      </c>
      <c r="D506" s="161" t="s">
        <v>752</v>
      </c>
      <c r="E506" s="969" t="s">
        <v>753</v>
      </c>
      <c r="F506" s="970"/>
      <c r="G506" s="971"/>
      <c r="H506" s="544" t="s">
        <v>247</v>
      </c>
      <c r="I506" s="212">
        <v>99900</v>
      </c>
      <c r="J506" s="605"/>
      <c r="K506" s="212">
        <v>29</v>
      </c>
      <c r="L506" s="212">
        <f t="shared" si="59"/>
        <v>2897100</v>
      </c>
      <c r="M506" s="602"/>
      <c r="N506" s="675">
        <f>+'Yeşil Defter'!K494</f>
        <v>0</v>
      </c>
      <c r="O506" s="675">
        <f>+'Yeşil Defter'!L494</f>
        <v>0</v>
      </c>
      <c r="P506" s="675">
        <f>+'Yeşil Defter'!M494</f>
        <v>0</v>
      </c>
      <c r="Q506" s="212"/>
      <c r="R506" s="605">
        <f t="shared" si="60"/>
        <v>0</v>
      </c>
      <c r="S506" s="225">
        <f t="shared" si="61"/>
        <v>0</v>
      </c>
      <c r="T506" s="237">
        <f t="shared" si="62"/>
        <v>0</v>
      </c>
    </row>
    <row r="507" spans="1:20" ht="30" hidden="1" customHeight="1" x14ac:dyDescent="0.3">
      <c r="A507" s="262">
        <v>3</v>
      </c>
      <c r="C507" s="244">
        <v>267</v>
      </c>
      <c r="D507" s="161" t="s">
        <v>754</v>
      </c>
      <c r="E507" s="969" t="s">
        <v>755</v>
      </c>
      <c r="F507" s="970"/>
      <c r="G507" s="971"/>
      <c r="H507" s="544" t="s">
        <v>247</v>
      </c>
      <c r="I507" s="212">
        <v>111000</v>
      </c>
      <c r="J507" s="605"/>
      <c r="K507" s="212">
        <v>29</v>
      </c>
      <c r="L507" s="212">
        <f t="shared" si="59"/>
        <v>3219000</v>
      </c>
      <c r="M507" s="602"/>
      <c r="N507" s="675">
        <f>+'Yeşil Defter'!K495</f>
        <v>0</v>
      </c>
      <c r="O507" s="675">
        <f>+'Yeşil Defter'!L495</f>
        <v>0</v>
      </c>
      <c r="P507" s="675">
        <f>+'Yeşil Defter'!M495</f>
        <v>0</v>
      </c>
      <c r="Q507" s="212"/>
      <c r="R507" s="605">
        <f t="shared" si="60"/>
        <v>0</v>
      </c>
      <c r="S507" s="225">
        <f t="shared" si="61"/>
        <v>0</v>
      </c>
      <c r="T507" s="237">
        <f t="shared" si="62"/>
        <v>0</v>
      </c>
    </row>
    <row r="508" spans="1:20" ht="30" hidden="1" customHeight="1" x14ac:dyDescent="0.3">
      <c r="A508" s="262">
        <v>3</v>
      </c>
      <c r="C508" s="244">
        <v>268</v>
      </c>
      <c r="D508" s="161" t="s">
        <v>756</v>
      </c>
      <c r="E508" s="969" t="s">
        <v>757</v>
      </c>
      <c r="F508" s="970"/>
      <c r="G508" s="971"/>
      <c r="H508" s="544" t="s">
        <v>247</v>
      </c>
      <c r="I508" s="212">
        <v>3496500</v>
      </c>
      <c r="J508" s="605"/>
      <c r="K508" s="212">
        <v>13</v>
      </c>
      <c r="L508" s="212">
        <f t="shared" si="59"/>
        <v>45454500</v>
      </c>
      <c r="M508" s="602"/>
      <c r="N508" s="675">
        <f>+'Yeşil Defter'!K496</f>
        <v>0</v>
      </c>
      <c r="O508" s="675">
        <f>+'Yeşil Defter'!L496</f>
        <v>0</v>
      </c>
      <c r="P508" s="675">
        <f>+'Yeşil Defter'!M496</f>
        <v>0</v>
      </c>
      <c r="Q508" s="212"/>
      <c r="R508" s="605">
        <f t="shared" si="60"/>
        <v>0</v>
      </c>
      <c r="S508" s="225">
        <f t="shared" si="61"/>
        <v>0</v>
      </c>
      <c r="T508" s="237">
        <f t="shared" si="62"/>
        <v>0</v>
      </c>
    </row>
    <row r="509" spans="1:20" ht="30" hidden="1" customHeight="1" x14ac:dyDescent="0.3">
      <c r="A509" s="262">
        <v>3</v>
      </c>
      <c r="C509" s="244">
        <v>269</v>
      </c>
      <c r="D509" s="213" t="s">
        <v>758</v>
      </c>
      <c r="E509" s="969" t="s">
        <v>759</v>
      </c>
      <c r="F509" s="970"/>
      <c r="G509" s="971"/>
      <c r="H509" s="544" t="s">
        <v>286</v>
      </c>
      <c r="I509" s="212">
        <v>14652117</v>
      </c>
      <c r="J509" s="605"/>
      <c r="K509" s="212">
        <v>44</v>
      </c>
      <c r="L509" s="212">
        <f t="shared" si="59"/>
        <v>644693148</v>
      </c>
      <c r="M509" s="602"/>
      <c r="N509" s="675">
        <f>+'Yeşil Defter'!K497</f>
        <v>0</v>
      </c>
      <c r="O509" s="675">
        <f>+'Yeşil Defter'!L497</f>
        <v>0</v>
      </c>
      <c r="P509" s="675">
        <f>+'Yeşil Defter'!M497</f>
        <v>0</v>
      </c>
      <c r="Q509" s="212"/>
      <c r="R509" s="605">
        <f t="shared" si="60"/>
        <v>0</v>
      </c>
      <c r="S509" s="225">
        <f t="shared" si="61"/>
        <v>0</v>
      </c>
      <c r="T509" s="237">
        <f t="shared" si="62"/>
        <v>0</v>
      </c>
    </row>
    <row r="510" spans="1:20" ht="30" hidden="1" customHeight="1" x14ac:dyDescent="0.3">
      <c r="A510" s="262">
        <v>3</v>
      </c>
      <c r="C510" s="244"/>
      <c r="D510" s="213"/>
      <c r="E510" s="969"/>
      <c r="F510" s="970"/>
      <c r="G510" s="971"/>
      <c r="H510" s="161"/>
      <c r="I510" s="605"/>
      <c r="J510" s="605"/>
      <c r="K510" s="212"/>
      <c r="L510" s="341"/>
      <c r="M510" s="212"/>
      <c r="N510" s="605"/>
      <c r="O510" s="212"/>
      <c r="P510" s="341"/>
      <c r="Q510" s="212"/>
      <c r="R510" s="605"/>
      <c r="S510" s="225"/>
      <c r="T510" s="237"/>
    </row>
    <row r="511" spans="1:20" ht="30" hidden="1" customHeight="1" x14ac:dyDescent="0.3">
      <c r="A511" s="262">
        <v>3</v>
      </c>
      <c r="C511" s="244"/>
      <c r="D511" s="213"/>
      <c r="E511" s="969"/>
      <c r="F511" s="970"/>
      <c r="G511" s="971"/>
      <c r="H511" s="161"/>
      <c r="I511" s="605"/>
      <c r="J511" s="605"/>
      <c r="K511" s="212"/>
      <c r="L511" s="341"/>
      <c r="M511" s="212"/>
      <c r="N511" s="605"/>
      <c r="O511" s="212"/>
      <c r="P511" s="341"/>
      <c r="Q511" s="212"/>
      <c r="R511" s="605"/>
      <c r="S511" s="225"/>
      <c r="T511" s="237"/>
    </row>
    <row r="512" spans="1:20" ht="30" hidden="1" customHeight="1" x14ac:dyDescent="0.3">
      <c r="A512" s="262">
        <v>3</v>
      </c>
      <c r="C512" s="244"/>
      <c r="D512" s="213"/>
      <c r="E512" s="969"/>
      <c r="F512" s="970"/>
      <c r="G512" s="971"/>
      <c r="H512" s="161"/>
      <c r="I512" s="605"/>
      <c r="J512" s="605"/>
      <c r="K512" s="212"/>
      <c r="L512" s="341"/>
      <c r="M512" s="212"/>
      <c r="N512" s="605"/>
      <c r="O512" s="212"/>
      <c r="P512" s="341"/>
      <c r="Q512" s="212"/>
      <c r="R512" s="605"/>
      <c r="S512" s="225"/>
      <c r="T512" s="237"/>
    </row>
    <row r="513" spans="1:20" ht="30" hidden="1" customHeight="1" x14ac:dyDescent="0.3">
      <c r="A513" s="262">
        <v>3</v>
      </c>
      <c r="C513" s="244"/>
      <c r="D513" s="213"/>
      <c r="E513" s="969"/>
      <c r="F513" s="970"/>
      <c r="G513" s="971"/>
      <c r="H513" s="161"/>
      <c r="I513" s="605"/>
      <c r="J513" s="605"/>
      <c r="K513" s="212"/>
      <c r="L513" s="341"/>
      <c r="M513" s="212"/>
      <c r="N513" s="605"/>
      <c r="O513" s="212"/>
      <c r="P513" s="341"/>
      <c r="Q513" s="212"/>
      <c r="R513" s="605"/>
      <c r="S513" s="225"/>
      <c r="T513" s="237"/>
    </row>
    <row r="514" spans="1:20" ht="30" hidden="1" customHeight="1" x14ac:dyDescent="0.3">
      <c r="A514" s="262">
        <v>3</v>
      </c>
      <c r="C514" s="244"/>
      <c r="D514" s="213"/>
      <c r="E514" s="969"/>
      <c r="F514" s="970"/>
      <c r="G514" s="971"/>
      <c r="H514" s="161"/>
      <c r="I514" s="605"/>
      <c r="J514" s="605"/>
      <c r="K514" s="212"/>
      <c r="L514" s="341"/>
      <c r="M514" s="212"/>
      <c r="N514" s="605"/>
      <c r="O514" s="212"/>
      <c r="P514" s="341"/>
      <c r="Q514" s="212"/>
      <c r="R514" s="605"/>
      <c r="S514" s="225"/>
      <c r="T514" s="237"/>
    </row>
    <row r="515" spans="1:20" ht="30" hidden="1" customHeight="1" x14ac:dyDescent="0.3">
      <c r="A515" s="262">
        <v>3</v>
      </c>
      <c r="C515" s="244"/>
      <c r="D515" s="213"/>
      <c r="E515" s="969"/>
      <c r="F515" s="970"/>
      <c r="G515" s="971"/>
      <c r="H515" s="161"/>
      <c r="I515" s="605"/>
      <c r="J515" s="605"/>
      <c r="K515" s="212"/>
      <c r="L515" s="341"/>
      <c r="M515" s="212"/>
      <c r="N515" s="605"/>
      <c r="O515" s="212"/>
      <c r="P515" s="341"/>
      <c r="Q515" s="212"/>
      <c r="R515" s="605"/>
      <c r="S515" s="225"/>
      <c r="T515" s="237"/>
    </row>
    <row r="516" spans="1:20" ht="30" hidden="1" customHeight="1" x14ac:dyDescent="0.3">
      <c r="A516" s="262">
        <v>3</v>
      </c>
      <c r="C516" s="244"/>
      <c r="D516" s="213"/>
      <c r="E516" s="969"/>
      <c r="F516" s="970"/>
      <c r="G516" s="971"/>
      <c r="H516" s="161"/>
      <c r="I516" s="605"/>
      <c r="J516" s="605"/>
      <c r="K516" s="212"/>
      <c r="L516" s="341"/>
      <c r="M516" s="212"/>
      <c r="N516" s="605"/>
      <c r="O516" s="212"/>
      <c r="P516" s="341"/>
      <c r="Q516" s="212"/>
      <c r="R516" s="605"/>
      <c r="S516" s="225"/>
      <c r="T516" s="237"/>
    </row>
    <row r="517" spans="1:20" ht="30" hidden="1" customHeight="1" x14ac:dyDescent="0.3">
      <c r="A517" s="262">
        <v>3</v>
      </c>
      <c r="C517" s="244"/>
      <c r="D517" s="213"/>
      <c r="E517" s="969"/>
      <c r="F517" s="970"/>
      <c r="G517" s="971"/>
      <c r="H517" s="161"/>
      <c r="I517" s="605"/>
      <c r="J517" s="605"/>
      <c r="K517" s="212"/>
      <c r="L517" s="341"/>
      <c r="M517" s="212"/>
      <c r="N517" s="605"/>
      <c r="O517" s="212"/>
      <c r="P517" s="341"/>
      <c r="Q517" s="212"/>
      <c r="R517" s="605"/>
      <c r="S517" s="225"/>
      <c r="T517" s="237"/>
    </row>
    <row r="518" spans="1:20" ht="30" hidden="1" customHeight="1" x14ac:dyDescent="0.3">
      <c r="A518" s="262">
        <v>3</v>
      </c>
      <c r="C518" s="244"/>
      <c r="D518" s="213"/>
      <c r="E518" s="969"/>
      <c r="F518" s="970"/>
      <c r="G518" s="971"/>
      <c r="H518" s="161"/>
      <c r="I518" s="605"/>
      <c r="J518" s="605"/>
      <c r="K518" s="212"/>
      <c r="L518" s="341"/>
      <c r="M518" s="212"/>
      <c r="N518" s="605"/>
      <c r="O518" s="212"/>
      <c r="P518" s="341"/>
      <c r="Q518" s="212"/>
      <c r="R518" s="605"/>
      <c r="S518" s="225"/>
      <c r="T518" s="237"/>
    </row>
    <row r="519" spans="1:20" ht="30" hidden="1" customHeight="1" x14ac:dyDescent="0.3">
      <c r="A519" s="262">
        <v>3</v>
      </c>
      <c r="C519" s="244"/>
      <c r="D519" s="213"/>
      <c r="E519" s="969"/>
      <c r="F519" s="970"/>
      <c r="G519" s="971"/>
      <c r="H519" s="161"/>
      <c r="I519" s="605"/>
      <c r="J519" s="605"/>
      <c r="K519" s="212"/>
      <c r="L519" s="341"/>
      <c r="M519" s="212"/>
      <c r="N519" s="605"/>
      <c r="O519" s="212"/>
      <c r="P519" s="341"/>
      <c r="Q519" s="212"/>
      <c r="R519" s="605"/>
      <c r="S519" s="225"/>
      <c r="T519" s="237"/>
    </row>
    <row r="520" spans="1:20" ht="30" hidden="1" customHeight="1" x14ac:dyDescent="0.3">
      <c r="A520" s="262">
        <v>3</v>
      </c>
      <c r="C520" s="244"/>
      <c r="D520" s="213"/>
      <c r="E520" s="969"/>
      <c r="F520" s="970"/>
      <c r="G520" s="971"/>
      <c r="H520" s="161"/>
      <c r="I520" s="605"/>
      <c r="J520" s="605"/>
      <c r="K520" s="212"/>
      <c r="L520" s="341"/>
      <c r="M520" s="212"/>
      <c r="N520" s="605"/>
      <c r="O520" s="212"/>
      <c r="P520" s="341"/>
      <c r="Q520" s="212"/>
      <c r="R520" s="605"/>
      <c r="S520" s="225"/>
      <c r="T520" s="237"/>
    </row>
    <row r="521" spans="1:20" ht="30" hidden="1" customHeight="1" x14ac:dyDescent="0.3">
      <c r="A521" s="262">
        <v>3</v>
      </c>
      <c r="C521" s="244"/>
      <c r="D521" s="213"/>
      <c r="E521" s="969"/>
      <c r="F521" s="970"/>
      <c r="G521" s="971"/>
      <c r="H521" s="161"/>
      <c r="I521" s="605"/>
      <c r="J521" s="605"/>
      <c r="K521" s="212"/>
      <c r="L521" s="341"/>
      <c r="M521" s="212"/>
      <c r="N521" s="605"/>
      <c r="O521" s="212"/>
      <c r="P521" s="341"/>
      <c r="Q521" s="212"/>
      <c r="R521" s="605"/>
      <c r="S521" s="225"/>
      <c r="T521" s="237"/>
    </row>
    <row r="522" spans="1:20" ht="30" hidden="1" customHeight="1" x14ac:dyDescent="0.3">
      <c r="A522" s="262">
        <v>3</v>
      </c>
      <c r="C522" s="244"/>
      <c r="D522" s="213"/>
      <c r="E522" s="969"/>
      <c r="F522" s="970"/>
      <c r="G522" s="971"/>
      <c r="H522" s="658"/>
      <c r="I522" s="605"/>
      <c r="J522" s="605"/>
      <c r="K522" s="212"/>
      <c r="L522" s="341"/>
      <c r="M522" s="302"/>
      <c r="N522" s="605"/>
      <c r="O522" s="212"/>
      <c r="P522" s="341"/>
      <c r="Q522" s="302"/>
      <c r="R522" s="605"/>
      <c r="S522" s="225"/>
      <c r="T522" s="237"/>
    </row>
    <row r="523" spans="1:20" ht="40.049999999999997" hidden="1" customHeight="1" x14ac:dyDescent="0.3">
      <c r="A523" s="262" t="s">
        <v>1242</v>
      </c>
      <c r="C523" s="258"/>
      <c r="D523" s="258"/>
      <c r="E523" s="972" t="s">
        <v>33</v>
      </c>
      <c r="F523" s="972"/>
      <c r="G523" s="972"/>
      <c r="H523" s="973" t="s">
        <v>29</v>
      </c>
      <c r="I523" s="973"/>
      <c r="J523" s="973"/>
      <c r="K523" s="973"/>
      <c r="L523" s="973"/>
      <c r="M523" s="549"/>
      <c r="N523" s="973" t="s">
        <v>22</v>
      </c>
      <c r="O523" s="973"/>
      <c r="P523" s="973"/>
      <c r="Q523" s="973"/>
      <c r="R523" s="973"/>
      <c r="S523" s="973"/>
      <c r="T523" s="973"/>
    </row>
    <row r="524" spans="1:20" ht="19.95" hidden="1" customHeight="1" x14ac:dyDescent="0.3">
      <c r="A524" s="262" t="s">
        <v>1242</v>
      </c>
      <c r="D524" s="28"/>
      <c r="E524" s="974" t="s">
        <v>1214</v>
      </c>
      <c r="F524" s="974"/>
      <c r="G524" s="974"/>
      <c r="H524" s="975" t="s">
        <v>38</v>
      </c>
      <c r="I524" s="975"/>
      <c r="J524" s="975"/>
      <c r="K524" s="975"/>
      <c r="L524" s="975"/>
      <c r="M524" s="562"/>
      <c r="N524" s="975" t="s">
        <v>1437</v>
      </c>
      <c r="O524" s="975"/>
      <c r="P524" s="975"/>
      <c r="Q524" s="975"/>
      <c r="R524" s="975"/>
      <c r="S524" s="975"/>
      <c r="T524" s="975"/>
    </row>
    <row r="525" spans="1:20" ht="19.95" hidden="1" customHeight="1" x14ac:dyDescent="0.3">
      <c r="A525" s="262" t="s">
        <v>1242</v>
      </c>
      <c r="C525" s="228"/>
      <c r="D525" s="228"/>
      <c r="E525" s="561"/>
      <c r="F525" s="561"/>
      <c r="G525" s="561"/>
      <c r="H525" s="228"/>
      <c r="I525" s="260"/>
      <c r="J525" s="260"/>
      <c r="K525" s="260"/>
      <c r="L525" s="260"/>
      <c r="M525" s="260"/>
      <c r="N525" s="975"/>
      <c r="O525" s="975"/>
      <c r="P525" s="975"/>
      <c r="Q525" s="975"/>
      <c r="R525" s="975"/>
      <c r="S525" s="975"/>
      <c r="T525" s="975"/>
    </row>
    <row r="526" spans="1:20" ht="19.95" hidden="1" customHeight="1" x14ac:dyDescent="0.3">
      <c r="A526" s="262" t="s">
        <v>1242</v>
      </c>
      <c r="C526" s="228"/>
      <c r="D526" s="228"/>
      <c r="E526" s="561"/>
      <c r="F526" s="561"/>
      <c r="G526" s="561"/>
      <c r="H526" s="228"/>
      <c r="I526" s="260"/>
      <c r="J526" s="260"/>
      <c r="K526" s="260"/>
      <c r="L526" s="260"/>
      <c r="M526" s="260"/>
      <c r="N526" s="975"/>
      <c r="O526" s="975"/>
      <c r="P526" s="975"/>
      <c r="Q526" s="975"/>
      <c r="R526" s="975"/>
      <c r="S526" s="975"/>
      <c r="T526" s="975"/>
    </row>
    <row r="527" spans="1:20" ht="19.95" hidden="1" customHeight="1" x14ac:dyDescent="0.3">
      <c r="A527" s="262" t="s">
        <v>1242</v>
      </c>
      <c r="C527" s="228"/>
      <c r="D527" s="228"/>
      <c r="E527" s="561"/>
      <c r="F527" s="561"/>
      <c r="G527" s="561"/>
      <c r="H527" s="261"/>
      <c r="I527" s="261"/>
      <c r="J527" s="261"/>
      <c r="K527" s="261"/>
      <c r="L527" s="261"/>
      <c r="M527" s="261"/>
      <c r="N527" s="260"/>
      <c r="O527" s="260"/>
      <c r="P527" s="260"/>
      <c r="Q527" s="260"/>
      <c r="R527" s="260"/>
      <c r="S527" s="260"/>
      <c r="T527" s="260"/>
    </row>
    <row r="528" spans="1:20" ht="19.95" hidden="1" customHeight="1" x14ac:dyDescent="0.3">
      <c r="A528" s="262" t="s">
        <v>1242</v>
      </c>
      <c r="C528" s="228"/>
      <c r="D528" s="228"/>
      <c r="E528" s="561"/>
      <c r="F528" s="561"/>
      <c r="G528" s="561"/>
      <c r="H528" s="975" t="s">
        <v>32</v>
      </c>
      <c r="I528" s="975"/>
      <c r="J528" s="562"/>
      <c r="K528" s="975" t="s">
        <v>1407</v>
      </c>
      <c r="L528" s="975"/>
      <c r="M528" s="562"/>
      <c r="N528" s="968" t="s">
        <v>28</v>
      </c>
      <c r="O528" s="968"/>
      <c r="P528" s="968"/>
      <c r="Q528" s="968"/>
      <c r="R528" s="968"/>
      <c r="S528" s="968"/>
      <c r="T528" s="968"/>
    </row>
    <row r="529" spans="1:20" ht="19.95" hidden="1" customHeight="1" x14ac:dyDescent="0.3">
      <c r="A529" s="262" t="s">
        <v>1242</v>
      </c>
      <c r="C529" s="228"/>
      <c r="D529" s="228"/>
      <c r="E529" s="561"/>
      <c r="F529" s="561"/>
      <c r="G529" s="561"/>
      <c r="H529" s="976" t="s">
        <v>94</v>
      </c>
      <c r="I529" s="976"/>
      <c r="J529" s="623"/>
      <c r="K529" s="976" t="s">
        <v>94</v>
      </c>
      <c r="L529" s="976"/>
      <c r="M529" s="623"/>
      <c r="N529" s="968" t="s">
        <v>1486</v>
      </c>
      <c r="O529" s="968"/>
      <c r="P529" s="968"/>
      <c r="Q529" s="968"/>
      <c r="R529" s="968"/>
      <c r="S529" s="968"/>
      <c r="T529" s="968"/>
    </row>
    <row r="530" spans="1:20" ht="19.95" hidden="1" customHeight="1" x14ac:dyDescent="0.3">
      <c r="A530" s="262" t="s">
        <v>1242</v>
      </c>
      <c r="C530" s="228"/>
      <c r="D530" s="228"/>
      <c r="E530" s="561"/>
      <c r="F530" s="561"/>
      <c r="G530" s="561"/>
      <c r="H530" s="976"/>
      <c r="I530" s="976"/>
      <c r="J530" s="623"/>
      <c r="K530" s="976"/>
      <c r="L530" s="976"/>
      <c r="M530" s="623"/>
      <c r="N530" s="968"/>
      <c r="O530" s="968"/>
      <c r="P530" s="968"/>
      <c r="Q530" s="968"/>
      <c r="R530" s="968"/>
      <c r="S530" s="968"/>
      <c r="T530" s="968"/>
    </row>
    <row r="531" spans="1:20" ht="19.95" hidden="1" customHeight="1" x14ac:dyDescent="0.3">
      <c r="A531" s="262" t="s">
        <v>1242</v>
      </c>
      <c r="C531" s="228"/>
      <c r="D531" s="228"/>
      <c r="E531" s="561"/>
      <c r="F531" s="561"/>
      <c r="G531" s="561"/>
      <c r="H531" s="228"/>
      <c r="I531" s="260"/>
      <c r="J531" s="260"/>
      <c r="K531" s="260"/>
      <c r="L531" s="260"/>
      <c r="M531" s="260"/>
      <c r="N531" s="260"/>
      <c r="O531" s="260"/>
      <c r="P531" s="260"/>
      <c r="Q531" s="260"/>
      <c r="R531" s="260"/>
      <c r="S531" s="624"/>
      <c r="T531" s="260"/>
    </row>
    <row r="532" spans="1:20" ht="19.95" hidden="1" customHeight="1" x14ac:dyDescent="0.3">
      <c r="A532" s="262" t="s">
        <v>1242</v>
      </c>
      <c r="C532" s="228"/>
      <c r="D532" s="228"/>
      <c r="E532" s="975" t="s">
        <v>1215</v>
      </c>
      <c r="F532" s="975"/>
      <c r="G532" s="975"/>
      <c r="H532" s="975" t="s">
        <v>1348</v>
      </c>
      <c r="I532" s="975"/>
      <c r="J532" s="975"/>
      <c r="K532" s="975"/>
      <c r="L532" s="975"/>
      <c r="M532" s="562"/>
      <c r="N532" s="977" t="s">
        <v>1219</v>
      </c>
      <c r="O532" s="968"/>
      <c r="P532" s="968"/>
      <c r="Q532" s="968"/>
      <c r="R532" s="968"/>
      <c r="S532" s="968"/>
      <c r="T532" s="968"/>
    </row>
    <row r="533" spans="1:20" ht="19.95" hidden="1" customHeight="1" x14ac:dyDescent="0.3">
      <c r="A533" s="262" t="s">
        <v>1290</v>
      </c>
      <c r="C533" s="228"/>
      <c r="D533" s="228"/>
      <c r="E533" s="975"/>
      <c r="F533" s="975"/>
      <c r="G533" s="975"/>
      <c r="H533" s="975"/>
      <c r="I533" s="975"/>
      <c r="J533" s="975"/>
      <c r="K533" s="975"/>
      <c r="L533" s="975"/>
      <c r="M533" s="562"/>
      <c r="N533" s="968"/>
      <c r="O533" s="968"/>
      <c r="P533" s="968"/>
      <c r="Q533" s="968"/>
      <c r="R533" s="968"/>
      <c r="S533" s="968"/>
      <c r="T533" s="968"/>
    </row>
    <row r="534" spans="1:20" ht="30" hidden="1" customHeight="1" x14ac:dyDescent="0.3">
      <c r="A534" s="262" t="s">
        <v>1240</v>
      </c>
      <c r="C534" s="625"/>
      <c r="D534" s="626" t="s">
        <v>1231</v>
      </c>
      <c r="E534" s="627"/>
      <c r="F534" s="627"/>
      <c r="G534" s="627"/>
      <c r="H534" s="627"/>
      <c r="I534" s="628"/>
      <c r="J534" s="628"/>
      <c r="K534" s="628"/>
      <c r="L534" s="644">
        <f>+SUMIFS(L:L,A:A,"4")</f>
        <v>419129552</v>
      </c>
      <c r="M534" s="629"/>
      <c r="N534" s="648"/>
      <c r="O534" s="628"/>
      <c r="P534" s="628"/>
      <c r="Q534" s="611"/>
      <c r="R534" s="651">
        <f>+SUMIFS(R:R,A:A,"4")</f>
        <v>0</v>
      </c>
      <c r="S534" s="630">
        <f>+SUMIFS(S:S,A:A,"4")</f>
        <v>0</v>
      </c>
      <c r="T534" s="631">
        <f>+SUMIFS(T:T,A:A,"4")</f>
        <v>0</v>
      </c>
    </row>
    <row r="535" spans="1:20" ht="30" hidden="1" customHeight="1" x14ac:dyDescent="0.3">
      <c r="A535" s="262">
        <v>4</v>
      </c>
      <c r="C535" s="244">
        <v>270</v>
      </c>
      <c r="D535" s="161" t="s">
        <v>760</v>
      </c>
      <c r="E535" s="969" t="s">
        <v>761</v>
      </c>
      <c r="F535" s="970"/>
      <c r="G535" s="971"/>
      <c r="H535" s="544" t="s">
        <v>286</v>
      </c>
      <c r="I535" s="212">
        <v>3871125</v>
      </c>
      <c r="J535" s="605"/>
      <c r="K535" s="212">
        <v>1</v>
      </c>
      <c r="L535" s="212">
        <f t="shared" ref="L535:L556" si="63">+ROUND(I535*K535,2)</f>
        <v>3871125</v>
      </c>
      <c r="M535" s="602"/>
      <c r="N535" s="675">
        <f>+'Yeşil Defter'!K526</f>
        <v>0</v>
      </c>
      <c r="O535" s="675">
        <f>+'Yeşil Defter'!L526</f>
        <v>0</v>
      </c>
      <c r="P535" s="675">
        <f>+'Yeşil Defter'!M526</f>
        <v>0</v>
      </c>
      <c r="Q535" s="212"/>
      <c r="R535" s="605">
        <f t="shared" ref="R535:R556" si="64">+ROUND(K535*N535,2)</f>
        <v>0</v>
      </c>
      <c r="S535" s="225">
        <f t="shared" ref="S535:S590" si="65">+T535-R535</f>
        <v>0</v>
      </c>
      <c r="T535" s="237">
        <f t="shared" ref="T535:T556" si="66">+ROUND(K535*P535,2)</f>
        <v>0</v>
      </c>
    </row>
    <row r="536" spans="1:20" ht="30" hidden="1" customHeight="1" x14ac:dyDescent="0.3">
      <c r="A536" s="262">
        <v>4</v>
      </c>
      <c r="C536" s="244">
        <v>271</v>
      </c>
      <c r="D536" s="161" t="s">
        <v>762</v>
      </c>
      <c r="E536" s="969" t="s">
        <v>763</v>
      </c>
      <c r="F536" s="970"/>
      <c r="G536" s="971"/>
      <c r="H536" s="544" t="s">
        <v>286</v>
      </c>
      <c r="I536" s="212">
        <v>2150625</v>
      </c>
      <c r="J536" s="605"/>
      <c r="K536" s="212">
        <v>1</v>
      </c>
      <c r="L536" s="212">
        <f t="shared" si="63"/>
        <v>2150625</v>
      </c>
      <c r="M536" s="602"/>
      <c r="N536" s="675">
        <f>+'Yeşil Defter'!K527</f>
        <v>0</v>
      </c>
      <c r="O536" s="675">
        <f>+'Yeşil Defter'!L527</f>
        <v>0</v>
      </c>
      <c r="P536" s="675">
        <f>+'Yeşil Defter'!M527</f>
        <v>0</v>
      </c>
      <c r="Q536" s="212"/>
      <c r="R536" s="605">
        <f t="shared" si="64"/>
        <v>0</v>
      </c>
      <c r="S536" s="225">
        <f t="shared" si="65"/>
        <v>0</v>
      </c>
      <c r="T536" s="237">
        <f t="shared" si="66"/>
        <v>0</v>
      </c>
    </row>
    <row r="537" spans="1:20" ht="30" hidden="1" customHeight="1" x14ac:dyDescent="0.3">
      <c r="A537" s="262">
        <v>4</v>
      </c>
      <c r="C537" s="244">
        <v>272</v>
      </c>
      <c r="D537" s="161" t="s">
        <v>764</v>
      </c>
      <c r="E537" s="969" t="s">
        <v>765</v>
      </c>
      <c r="F537" s="970"/>
      <c r="G537" s="971"/>
      <c r="H537" s="544" t="s">
        <v>286</v>
      </c>
      <c r="I537" s="212">
        <v>2368000</v>
      </c>
      <c r="J537" s="605"/>
      <c r="K537" s="212">
        <v>1</v>
      </c>
      <c r="L537" s="212">
        <f t="shared" si="63"/>
        <v>2368000</v>
      </c>
      <c r="M537" s="602"/>
      <c r="N537" s="675">
        <f>+'Yeşil Defter'!K528</f>
        <v>0</v>
      </c>
      <c r="O537" s="675">
        <f>+'Yeşil Defter'!L528</f>
        <v>0</v>
      </c>
      <c r="P537" s="675">
        <f>+'Yeşil Defter'!M528</f>
        <v>0</v>
      </c>
      <c r="Q537" s="212"/>
      <c r="R537" s="605">
        <f t="shared" si="64"/>
        <v>0</v>
      </c>
      <c r="S537" s="225">
        <f t="shared" si="65"/>
        <v>0</v>
      </c>
      <c r="T537" s="237">
        <f t="shared" si="66"/>
        <v>0</v>
      </c>
    </row>
    <row r="538" spans="1:20" ht="30" hidden="1" customHeight="1" x14ac:dyDescent="0.3">
      <c r="A538" s="262">
        <v>4</v>
      </c>
      <c r="C538" s="244">
        <v>273</v>
      </c>
      <c r="D538" s="161" t="s">
        <v>766</v>
      </c>
      <c r="E538" s="969" t="s">
        <v>767</v>
      </c>
      <c r="F538" s="970"/>
      <c r="G538" s="971"/>
      <c r="H538" s="544" t="s">
        <v>286</v>
      </c>
      <c r="I538" s="212">
        <v>2890625</v>
      </c>
      <c r="J538" s="605"/>
      <c r="K538" s="212">
        <v>1</v>
      </c>
      <c r="L538" s="212">
        <f t="shared" si="63"/>
        <v>2890625</v>
      </c>
      <c r="M538" s="602"/>
      <c r="N538" s="675">
        <f>+'Yeşil Defter'!K529</f>
        <v>0</v>
      </c>
      <c r="O538" s="675">
        <f>+'Yeşil Defter'!L529</f>
        <v>0</v>
      </c>
      <c r="P538" s="675">
        <f>+'Yeşil Defter'!M529</f>
        <v>0</v>
      </c>
      <c r="Q538" s="212"/>
      <c r="R538" s="605">
        <f t="shared" si="64"/>
        <v>0</v>
      </c>
      <c r="S538" s="225">
        <f t="shared" si="65"/>
        <v>0</v>
      </c>
      <c r="T538" s="237">
        <f t="shared" si="66"/>
        <v>0</v>
      </c>
    </row>
    <row r="539" spans="1:20" ht="30" hidden="1" customHeight="1" x14ac:dyDescent="0.3">
      <c r="A539" s="262">
        <v>4</v>
      </c>
      <c r="C539" s="244">
        <v>274</v>
      </c>
      <c r="D539" s="161" t="s">
        <v>768</v>
      </c>
      <c r="E539" s="969" t="s">
        <v>769</v>
      </c>
      <c r="F539" s="970"/>
      <c r="G539" s="971"/>
      <c r="H539" s="544" t="s">
        <v>286</v>
      </c>
      <c r="I539" s="212">
        <v>1077625</v>
      </c>
      <c r="J539" s="605"/>
      <c r="K539" s="212">
        <v>1</v>
      </c>
      <c r="L539" s="212">
        <f t="shared" si="63"/>
        <v>1077625</v>
      </c>
      <c r="M539" s="602"/>
      <c r="N539" s="675">
        <f>+'Yeşil Defter'!K530</f>
        <v>0</v>
      </c>
      <c r="O539" s="675">
        <f>+'Yeşil Defter'!L530</f>
        <v>0</v>
      </c>
      <c r="P539" s="675">
        <f>+'Yeşil Defter'!M530</f>
        <v>0</v>
      </c>
      <c r="Q539" s="212"/>
      <c r="R539" s="605">
        <f t="shared" si="64"/>
        <v>0</v>
      </c>
      <c r="S539" s="225">
        <f t="shared" si="65"/>
        <v>0</v>
      </c>
      <c r="T539" s="237">
        <f t="shared" si="66"/>
        <v>0</v>
      </c>
    </row>
    <row r="540" spans="1:20" ht="30" hidden="1" customHeight="1" x14ac:dyDescent="0.3">
      <c r="A540" s="262">
        <v>4</v>
      </c>
      <c r="C540" s="244">
        <v>275</v>
      </c>
      <c r="D540" s="161" t="s">
        <v>770</v>
      </c>
      <c r="E540" s="969" t="s">
        <v>771</v>
      </c>
      <c r="F540" s="970"/>
      <c r="G540" s="971"/>
      <c r="H540" s="544" t="s">
        <v>286</v>
      </c>
      <c r="I540" s="212">
        <v>1077625</v>
      </c>
      <c r="J540" s="605"/>
      <c r="K540" s="212">
        <v>1</v>
      </c>
      <c r="L540" s="212">
        <f t="shared" si="63"/>
        <v>1077625</v>
      </c>
      <c r="M540" s="602"/>
      <c r="N540" s="675">
        <f>+'Yeşil Defter'!K531</f>
        <v>0</v>
      </c>
      <c r="O540" s="675">
        <f>+'Yeşil Defter'!L531</f>
        <v>0</v>
      </c>
      <c r="P540" s="675">
        <f>+'Yeşil Defter'!M531</f>
        <v>0</v>
      </c>
      <c r="Q540" s="212"/>
      <c r="R540" s="605">
        <f t="shared" si="64"/>
        <v>0</v>
      </c>
      <c r="S540" s="225">
        <f t="shared" si="65"/>
        <v>0</v>
      </c>
      <c r="T540" s="237">
        <f t="shared" si="66"/>
        <v>0</v>
      </c>
    </row>
    <row r="541" spans="1:20" ht="30" hidden="1" customHeight="1" x14ac:dyDescent="0.3">
      <c r="A541" s="262">
        <v>4</v>
      </c>
      <c r="C541" s="244">
        <v>276</v>
      </c>
      <c r="D541" s="161" t="s">
        <v>772</v>
      </c>
      <c r="E541" s="969" t="s">
        <v>773</v>
      </c>
      <c r="F541" s="970"/>
      <c r="G541" s="971"/>
      <c r="H541" s="544" t="s">
        <v>286</v>
      </c>
      <c r="I541" s="212">
        <v>434750</v>
      </c>
      <c r="J541" s="605"/>
      <c r="K541" s="212">
        <v>1</v>
      </c>
      <c r="L541" s="212">
        <f t="shared" si="63"/>
        <v>434750</v>
      </c>
      <c r="M541" s="602"/>
      <c r="N541" s="675">
        <f>+'Yeşil Defter'!K532</f>
        <v>0</v>
      </c>
      <c r="O541" s="675">
        <f>+'Yeşil Defter'!L532</f>
        <v>0</v>
      </c>
      <c r="P541" s="675">
        <f>+'Yeşil Defter'!M532</f>
        <v>0</v>
      </c>
      <c r="Q541" s="212"/>
      <c r="R541" s="605">
        <f t="shared" si="64"/>
        <v>0</v>
      </c>
      <c r="S541" s="225">
        <f t="shared" si="65"/>
        <v>0</v>
      </c>
      <c r="T541" s="237">
        <f t="shared" si="66"/>
        <v>0</v>
      </c>
    </row>
    <row r="542" spans="1:20" ht="30" hidden="1" customHeight="1" x14ac:dyDescent="0.3">
      <c r="A542" s="262">
        <v>4</v>
      </c>
      <c r="C542" s="244">
        <v>277</v>
      </c>
      <c r="D542" s="161" t="s">
        <v>774</v>
      </c>
      <c r="E542" s="969" t="s">
        <v>775</v>
      </c>
      <c r="F542" s="970"/>
      <c r="G542" s="971"/>
      <c r="H542" s="544" t="s">
        <v>286</v>
      </c>
      <c r="I542" s="212">
        <v>1077625</v>
      </c>
      <c r="J542" s="605"/>
      <c r="K542" s="212">
        <v>1</v>
      </c>
      <c r="L542" s="212">
        <f t="shared" si="63"/>
        <v>1077625</v>
      </c>
      <c r="M542" s="602"/>
      <c r="N542" s="675">
        <f>+'Yeşil Defter'!K533</f>
        <v>0</v>
      </c>
      <c r="O542" s="675">
        <f>+'Yeşil Defter'!L533</f>
        <v>0</v>
      </c>
      <c r="P542" s="675">
        <f>+'Yeşil Defter'!M533</f>
        <v>0</v>
      </c>
      <c r="Q542" s="212"/>
      <c r="R542" s="605">
        <f t="shared" si="64"/>
        <v>0</v>
      </c>
      <c r="S542" s="225">
        <f t="shared" si="65"/>
        <v>0</v>
      </c>
      <c r="T542" s="237">
        <f t="shared" si="66"/>
        <v>0</v>
      </c>
    </row>
    <row r="543" spans="1:20" ht="30" hidden="1" customHeight="1" x14ac:dyDescent="0.3">
      <c r="A543" s="262">
        <v>4</v>
      </c>
      <c r="C543" s="244">
        <v>278</v>
      </c>
      <c r="D543" s="161" t="s">
        <v>776</v>
      </c>
      <c r="E543" s="969" t="s">
        <v>777</v>
      </c>
      <c r="F543" s="970"/>
      <c r="G543" s="971"/>
      <c r="H543" s="544" t="s">
        <v>286</v>
      </c>
      <c r="I543" s="212">
        <v>864875</v>
      </c>
      <c r="J543" s="605"/>
      <c r="K543" s="212">
        <v>1</v>
      </c>
      <c r="L543" s="212">
        <f t="shared" si="63"/>
        <v>864875</v>
      </c>
      <c r="M543" s="602"/>
      <c r="N543" s="675">
        <f>+'Yeşil Defter'!K534</f>
        <v>0</v>
      </c>
      <c r="O543" s="675">
        <f>+'Yeşil Defter'!L534</f>
        <v>0</v>
      </c>
      <c r="P543" s="675">
        <f>+'Yeşil Defter'!M534</f>
        <v>0</v>
      </c>
      <c r="Q543" s="212"/>
      <c r="R543" s="605">
        <f t="shared" si="64"/>
        <v>0</v>
      </c>
      <c r="S543" s="225">
        <f t="shared" si="65"/>
        <v>0</v>
      </c>
      <c r="T543" s="237">
        <f t="shared" si="66"/>
        <v>0</v>
      </c>
    </row>
    <row r="544" spans="1:20" ht="30" hidden="1" customHeight="1" x14ac:dyDescent="0.3">
      <c r="A544" s="262">
        <v>4</v>
      </c>
      <c r="C544" s="244">
        <v>279</v>
      </c>
      <c r="D544" s="161" t="s">
        <v>778</v>
      </c>
      <c r="E544" s="969" t="s">
        <v>779</v>
      </c>
      <c r="F544" s="970"/>
      <c r="G544" s="971"/>
      <c r="H544" s="544" t="s">
        <v>286</v>
      </c>
      <c r="I544" s="212">
        <v>864875</v>
      </c>
      <c r="J544" s="605"/>
      <c r="K544" s="212">
        <v>1</v>
      </c>
      <c r="L544" s="212">
        <f t="shared" si="63"/>
        <v>864875</v>
      </c>
      <c r="M544" s="602"/>
      <c r="N544" s="675">
        <f>+'Yeşil Defter'!K535</f>
        <v>0</v>
      </c>
      <c r="O544" s="675">
        <f>+'Yeşil Defter'!L535</f>
        <v>0</v>
      </c>
      <c r="P544" s="675">
        <f>+'Yeşil Defter'!M535</f>
        <v>0</v>
      </c>
      <c r="Q544" s="212"/>
      <c r="R544" s="605">
        <f t="shared" si="64"/>
        <v>0</v>
      </c>
      <c r="S544" s="225">
        <f t="shared" si="65"/>
        <v>0</v>
      </c>
      <c r="T544" s="237">
        <f t="shared" si="66"/>
        <v>0</v>
      </c>
    </row>
    <row r="545" spans="1:20" ht="30" hidden="1" customHeight="1" x14ac:dyDescent="0.3">
      <c r="A545" s="262">
        <v>4</v>
      </c>
      <c r="C545" s="244">
        <v>280</v>
      </c>
      <c r="D545" s="161" t="s">
        <v>780</v>
      </c>
      <c r="E545" s="969" t="s">
        <v>781</v>
      </c>
      <c r="F545" s="970"/>
      <c r="G545" s="971"/>
      <c r="H545" s="544" t="s">
        <v>286</v>
      </c>
      <c r="I545" s="212">
        <v>11119432</v>
      </c>
      <c r="J545" s="605"/>
      <c r="K545" s="212">
        <v>1</v>
      </c>
      <c r="L545" s="212">
        <f t="shared" si="63"/>
        <v>11119432</v>
      </c>
      <c r="M545" s="602"/>
      <c r="N545" s="675">
        <f>+'Yeşil Defter'!K536</f>
        <v>0</v>
      </c>
      <c r="O545" s="675">
        <f>+'Yeşil Defter'!L536</f>
        <v>0</v>
      </c>
      <c r="P545" s="675">
        <f>+'Yeşil Defter'!M536</f>
        <v>0</v>
      </c>
      <c r="Q545" s="212"/>
      <c r="R545" s="605">
        <f t="shared" si="64"/>
        <v>0</v>
      </c>
      <c r="S545" s="225">
        <f t="shared" si="65"/>
        <v>0</v>
      </c>
      <c r="T545" s="237">
        <f t="shared" si="66"/>
        <v>0</v>
      </c>
    </row>
    <row r="546" spans="1:20" ht="30" hidden="1" customHeight="1" x14ac:dyDescent="0.3">
      <c r="A546" s="262">
        <v>4</v>
      </c>
      <c r="C546" s="244">
        <v>281</v>
      </c>
      <c r="D546" s="161" t="s">
        <v>782</v>
      </c>
      <c r="E546" s="969" t="s">
        <v>783</v>
      </c>
      <c r="F546" s="970"/>
      <c r="G546" s="971"/>
      <c r="H546" s="544" t="s">
        <v>286</v>
      </c>
      <c r="I546" s="212">
        <v>12141908</v>
      </c>
      <c r="J546" s="605"/>
      <c r="K546" s="212">
        <v>1</v>
      </c>
      <c r="L546" s="212">
        <f t="shared" si="63"/>
        <v>12141908</v>
      </c>
      <c r="M546" s="602"/>
      <c r="N546" s="675">
        <f>+'Yeşil Defter'!K537</f>
        <v>0</v>
      </c>
      <c r="O546" s="675">
        <f>+'Yeşil Defter'!L537</f>
        <v>0</v>
      </c>
      <c r="P546" s="675">
        <f>+'Yeşil Defter'!M537</f>
        <v>0</v>
      </c>
      <c r="Q546" s="212"/>
      <c r="R546" s="605">
        <f t="shared" si="64"/>
        <v>0</v>
      </c>
      <c r="S546" s="225">
        <f t="shared" si="65"/>
        <v>0</v>
      </c>
      <c r="T546" s="237">
        <f t="shared" si="66"/>
        <v>0</v>
      </c>
    </row>
    <row r="547" spans="1:20" ht="30" hidden="1" customHeight="1" x14ac:dyDescent="0.3">
      <c r="A547" s="262">
        <v>4</v>
      </c>
      <c r="C547" s="244">
        <v>282</v>
      </c>
      <c r="D547" s="161" t="s">
        <v>784</v>
      </c>
      <c r="E547" s="969" t="s">
        <v>785</v>
      </c>
      <c r="F547" s="970"/>
      <c r="G547" s="971"/>
      <c r="H547" s="544" t="s">
        <v>286</v>
      </c>
      <c r="I547" s="212">
        <v>12780956</v>
      </c>
      <c r="J547" s="605"/>
      <c r="K547" s="212">
        <v>1</v>
      </c>
      <c r="L547" s="212">
        <f t="shared" si="63"/>
        <v>12780956</v>
      </c>
      <c r="M547" s="602"/>
      <c r="N547" s="675">
        <f>+'Yeşil Defter'!K538</f>
        <v>0</v>
      </c>
      <c r="O547" s="675">
        <f>+'Yeşil Defter'!L538</f>
        <v>0</v>
      </c>
      <c r="P547" s="675">
        <f>+'Yeşil Defter'!M538</f>
        <v>0</v>
      </c>
      <c r="Q547" s="212"/>
      <c r="R547" s="605">
        <f t="shared" si="64"/>
        <v>0</v>
      </c>
      <c r="S547" s="225">
        <f t="shared" si="65"/>
        <v>0</v>
      </c>
      <c r="T547" s="237">
        <f t="shared" si="66"/>
        <v>0</v>
      </c>
    </row>
    <row r="548" spans="1:20" ht="30" hidden="1" customHeight="1" x14ac:dyDescent="0.3">
      <c r="A548" s="262">
        <v>4</v>
      </c>
      <c r="C548" s="244">
        <v>283</v>
      </c>
      <c r="D548" s="161" t="s">
        <v>786</v>
      </c>
      <c r="E548" s="969" t="s">
        <v>787</v>
      </c>
      <c r="F548" s="970"/>
      <c r="G548" s="971"/>
      <c r="H548" s="544" t="s">
        <v>286</v>
      </c>
      <c r="I548" s="212">
        <v>11502861</v>
      </c>
      <c r="J548" s="605"/>
      <c r="K548" s="212">
        <v>1</v>
      </c>
      <c r="L548" s="212">
        <f t="shared" si="63"/>
        <v>11502861</v>
      </c>
      <c r="M548" s="602"/>
      <c r="N548" s="675">
        <f>+'Yeşil Defter'!K539</f>
        <v>0</v>
      </c>
      <c r="O548" s="675">
        <f>+'Yeşil Defter'!L539</f>
        <v>0</v>
      </c>
      <c r="P548" s="675">
        <f>+'Yeşil Defter'!M539</f>
        <v>0</v>
      </c>
      <c r="Q548" s="212"/>
      <c r="R548" s="605">
        <f t="shared" si="64"/>
        <v>0</v>
      </c>
      <c r="S548" s="225">
        <f t="shared" si="65"/>
        <v>0</v>
      </c>
      <c r="T548" s="237">
        <f t="shared" si="66"/>
        <v>0</v>
      </c>
    </row>
    <row r="549" spans="1:20" ht="30" hidden="1" customHeight="1" x14ac:dyDescent="0.3">
      <c r="A549" s="262">
        <v>4</v>
      </c>
      <c r="C549" s="244">
        <v>284</v>
      </c>
      <c r="D549" s="161" t="s">
        <v>788</v>
      </c>
      <c r="E549" s="969" t="s">
        <v>789</v>
      </c>
      <c r="F549" s="970"/>
      <c r="G549" s="971"/>
      <c r="H549" s="544" t="s">
        <v>286</v>
      </c>
      <c r="I549" s="212">
        <v>12141908</v>
      </c>
      <c r="J549" s="605"/>
      <c r="K549" s="212">
        <v>1</v>
      </c>
      <c r="L549" s="212">
        <f t="shared" si="63"/>
        <v>12141908</v>
      </c>
      <c r="M549" s="602"/>
      <c r="N549" s="675">
        <f>+'Yeşil Defter'!K540</f>
        <v>0</v>
      </c>
      <c r="O549" s="675">
        <f>+'Yeşil Defter'!L540</f>
        <v>0</v>
      </c>
      <c r="P549" s="675">
        <f>+'Yeşil Defter'!M540</f>
        <v>0</v>
      </c>
      <c r="Q549" s="212"/>
      <c r="R549" s="605">
        <f t="shared" si="64"/>
        <v>0</v>
      </c>
      <c r="S549" s="225">
        <f t="shared" si="65"/>
        <v>0</v>
      </c>
      <c r="T549" s="237">
        <f t="shared" si="66"/>
        <v>0</v>
      </c>
    </row>
    <row r="550" spans="1:20" ht="30" hidden="1" customHeight="1" x14ac:dyDescent="0.3">
      <c r="A550" s="262">
        <v>4</v>
      </c>
      <c r="C550" s="244">
        <v>285</v>
      </c>
      <c r="D550" s="161" t="s">
        <v>790</v>
      </c>
      <c r="E550" s="969" t="s">
        <v>791</v>
      </c>
      <c r="F550" s="970"/>
      <c r="G550" s="971"/>
      <c r="H550" s="544" t="s">
        <v>286</v>
      </c>
      <c r="I550" s="212">
        <v>1254994</v>
      </c>
      <c r="J550" s="605"/>
      <c r="K550" s="212">
        <v>1</v>
      </c>
      <c r="L550" s="212">
        <f t="shared" si="63"/>
        <v>1254994</v>
      </c>
      <c r="M550" s="602"/>
      <c r="N550" s="675">
        <f>+'Yeşil Defter'!K541</f>
        <v>0</v>
      </c>
      <c r="O550" s="675">
        <f>+'Yeşil Defter'!L541</f>
        <v>0</v>
      </c>
      <c r="P550" s="675">
        <f>+'Yeşil Defter'!M541</f>
        <v>0</v>
      </c>
      <c r="Q550" s="212"/>
      <c r="R550" s="605">
        <f t="shared" si="64"/>
        <v>0</v>
      </c>
      <c r="S550" s="225">
        <f t="shared" si="65"/>
        <v>0</v>
      </c>
      <c r="T550" s="237">
        <f t="shared" si="66"/>
        <v>0</v>
      </c>
    </row>
    <row r="551" spans="1:20" ht="30" hidden="1" customHeight="1" x14ac:dyDescent="0.3">
      <c r="A551" s="262">
        <v>4</v>
      </c>
      <c r="C551" s="244">
        <v>286</v>
      </c>
      <c r="D551" s="161" t="s">
        <v>792</v>
      </c>
      <c r="E551" s="969" t="s">
        <v>793</v>
      </c>
      <c r="F551" s="970"/>
      <c r="G551" s="971"/>
      <c r="H551" s="544" t="s">
        <v>286</v>
      </c>
      <c r="I551" s="212">
        <v>15222263</v>
      </c>
      <c r="J551" s="605"/>
      <c r="K551" s="212">
        <v>1</v>
      </c>
      <c r="L551" s="212">
        <f t="shared" si="63"/>
        <v>15222263</v>
      </c>
      <c r="M551" s="602"/>
      <c r="N551" s="675">
        <f>+'Yeşil Defter'!K542</f>
        <v>0</v>
      </c>
      <c r="O551" s="675">
        <f>+'Yeşil Defter'!L542</f>
        <v>0</v>
      </c>
      <c r="P551" s="675">
        <f>+'Yeşil Defter'!M542</f>
        <v>0</v>
      </c>
      <c r="Q551" s="212"/>
      <c r="R551" s="605">
        <f t="shared" si="64"/>
        <v>0</v>
      </c>
      <c r="S551" s="225">
        <f t="shared" si="65"/>
        <v>0</v>
      </c>
      <c r="T551" s="237">
        <f t="shared" si="66"/>
        <v>0</v>
      </c>
    </row>
    <row r="552" spans="1:20" ht="30" hidden="1" customHeight="1" x14ac:dyDescent="0.3">
      <c r="A552" s="262">
        <v>4</v>
      </c>
      <c r="C552" s="244">
        <v>287</v>
      </c>
      <c r="D552" s="161" t="s">
        <v>794</v>
      </c>
      <c r="E552" s="969" t="s">
        <v>1163</v>
      </c>
      <c r="F552" s="970"/>
      <c r="G552" s="971"/>
      <c r="H552" s="544" t="s">
        <v>286</v>
      </c>
      <c r="I552" s="212">
        <v>3008331</v>
      </c>
      <c r="J552" s="605"/>
      <c r="K552" s="212">
        <v>1</v>
      </c>
      <c r="L552" s="212">
        <f t="shared" si="63"/>
        <v>3008331</v>
      </c>
      <c r="M552" s="602"/>
      <c r="N552" s="675">
        <f>+'Yeşil Defter'!K543</f>
        <v>0</v>
      </c>
      <c r="O552" s="675">
        <f>+'Yeşil Defter'!L543</f>
        <v>0</v>
      </c>
      <c r="P552" s="675">
        <f>+'Yeşil Defter'!M543</f>
        <v>0</v>
      </c>
      <c r="Q552" s="212"/>
      <c r="R552" s="605">
        <f t="shared" si="64"/>
        <v>0</v>
      </c>
      <c r="S552" s="225">
        <f t="shared" si="65"/>
        <v>0</v>
      </c>
      <c r="T552" s="237">
        <f t="shared" si="66"/>
        <v>0</v>
      </c>
    </row>
    <row r="553" spans="1:20" ht="30" hidden="1" customHeight="1" x14ac:dyDescent="0.3">
      <c r="A553" s="262">
        <v>4</v>
      </c>
      <c r="C553" s="244">
        <v>288</v>
      </c>
      <c r="D553" s="161" t="s">
        <v>795</v>
      </c>
      <c r="E553" s="969" t="s">
        <v>1171</v>
      </c>
      <c r="F553" s="970"/>
      <c r="G553" s="971"/>
      <c r="H553" s="544" t="s">
        <v>286</v>
      </c>
      <c r="I553" s="212">
        <v>3008331</v>
      </c>
      <c r="J553" s="605"/>
      <c r="K553" s="212">
        <v>1</v>
      </c>
      <c r="L553" s="212">
        <f t="shared" si="63"/>
        <v>3008331</v>
      </c>
      <c r="M553" s="602"/>
      <c r="N553" s="675">
        <f>+'Yeşil Defter'!K544</f>
        <v>0</v>
      </c>
      <c r="O553" s="675">
        <f>+'Yeşil Defter'!L544</f>
        <v>0</v>
      </c>
      <c r="P553" s="675">
        <f>+'Yeşil Defter'!M544</f>
        <v>0</v>
      </c>
      <c r="Q553" s="212"/>
      <c r="R553" s="605">
        <f t="shared" si="64"/>
        <v>0</v>
      </c>
      <c r="S553" s="225">
        <f t="shared" si="65"/>
        <v>0</v>
      </c>
      <c r="T553" s="237">
        <f t="shared" si="66"/>
        <v>0</v>
      </c>
    </row>
    <row r="554" spans="1:20" ht="30" hidden="1" customHeight="1" x14ac:dyDescent="0.3">
      <c r="A554" s="262">
        <v>4</v>
      </c>
      <c r="C554" s="244">
        <v>289</v>
      </c>
      <c r="D554" s="161" t="s">
        <v>796</v>
      </c>
      <c r="E554" s="969" t="s">
        <v>1179</v>
      </c>
      <c r="F554" s="970"/>
      <c r="G554" s="971"/>
      <c r="H554" s="544" t="s">
        <v>286</v>
      </c>
      <c r="I554" s="212">
        <v>3008331</v>
      </c>
      <c r="J554" s="605"/>
      <c r="K554" s="212">
        <v>1</v>
      </c>
      <c r="L554" s="212">
        <f t="shared" si="63"/>
        <v>3008331</v>
      </c>
      <c r="M554" s="602"/>
      <c r="N554" s="675">
        <f>+'Yeşil Defter'!K545</f>
        <v>0</v>
      </c>
      <c r="O554" s="675">
        <f>+'Yeşil Defter'!L545</f>
        <v>0</v>
      </c>
      <c r="P554" s="675">
        <f>+'Yeşil Defter'!M545</f>
        <v>0</v>
      </c>
      <c r="Q554" s="212"/>
      <c r="R554" s="605">
        <f t="shared" si="64"/>
        <v>0</v>
      </c>
      <c r="S554" s="225">
        <f t="shared" si="65"/>
        <v>0</v>
      </c>
      <c r="T554" s="237">
        <f t="shared" si="66"/>
        <v>0</v>
      </c>
    </row>
    <row r="555" spans="1:20" ht="30" hidden="1" customHeight="1" x14ac:dyDescent="0.3">
      <c r="A555" s="262">
        <v>4</v>
      </c>
      <c r="C555" s="244">
        <v>290</v>
      </c>
      <c r="D555" s="161" t="s">
        <v>797</v>
      </c>
      <c r="E555" s="969" t="s">
        <v>1187</v>
      </c>
      <c r="F555" s="970"/>
      <c r="G555" s="971"/>
      <c r="H555" s="544" t="s">
        <v>286</v>
      </c>
      <c r="I555" s="212">
        <v>3008331</v>
      </c>
      <c r="J555" s="605"/>
      <c r="K555" s="212">
        <v>1</v>
      </c>
      <c r="L555" s="212">
        <f t="shared" si="63"/>
        <v>3008331</v>
      </c>
      <c r="M555" s="602"/>
      <c r="N555" s="675">
        <f>+'Yeşil Defter'!K546</f>
        <v>0</v>
      </c>
      <c r="O555" s="675">
        <f>+'Yeşil Defter'!L546</f>
        <v>0</v>
      </c>
      <c r="P555" s="675">
        <f>+'Yeşil Defter'!M546</f>
        <v>0</v>
      </c>
      <c r="Q555" s="212"/>
      <c r="R555" s="605">
        <f t="shared" si="64"/>
        <v>0</v>
      </c>
      <c r="S555" s="225">
        <f t="shared" si="65"/>
        <v>0</v>
      </c>
      <c r="T555" s="237">
        <f t="shared" si="66"/>
        <v>0</v>
      </c>
    </row>
    <row r="556" spans="1:20" ht="30" hidden="1" customHeight="1" x14ac:dyDescent="0.3">
      <c r="A556" s="262">
        <v>4</v>
      </c>
      <c r="C556" s="244">
        <v>291</v>
      </c>
      <c r="D556" s="161" t="s">
        <v>798</v>
      </c>
      <c r="E556" s="969" t="s">
        <v>799</v>
      </c>
      <c r="F556" s="970"/>
      <c r="G556" s="971"/>
      <c r="H556" s="544" t="s">
        <v>286</v>
      </c>
      <c r="I556" s="212">
        <v>3008331</v>
      </c>
      <c r="J556" s="605"/>
      <c r="K556" s="212">
        <v>1</v>
      </c>
      <c r="L556" s="212">
        <f t="shared" si="63"/>
        <v>3008331</v>
      </c>
      <c r="M556" s="602"/>
      <c r="N556" s="675">
        <f>+'Yeşil Defter'!K547</f>
        <v>0</v>
      </c>
      <c r="O556" s="675">
        <f>+'Yeşil Defter'!L547</f>
        <v>0</v>
      </c>
      <c r="P556" s="675">
        <f>+'Yeşil Defter'!M547</f>
        <v>0</v>
      </c>
      <c r="Q556" s="212"/>
      <c r="R556" s="605">
        <f t="shared" si="64"/>
        <v>0</v>
      </c>
      <c r="S556" s="225">
        <f t="shared" si="65"/>
        <v>0</v>
      </c>
      <c r="T556" s="237">
        <f t="shared" si="66"/>
        <v>0</v>
      </c>
    </row>
    <row r="557" spans="1:20" ht="40.049999999999997" hidden="1" customHeight="1" x14ac:dyDescent="0.3">
      <c r="A557" s="262" t="s">
        <v>1242</v>
      </c>
      <c r="C557" s="258"/>
      <c r="D557" s="258"/>
      <c r="E557" s="972" t="s">
        <v>33</v>
      </c>
      <c r="F557" s="972"/>
      <c r="G557" s="972"/>
      <c r="H557" s="973" t="s">
        <v>29</v>
      </c>
      <c r="I557" s="973"/>
      <c r="J557" s="973"/>
      <c r="K557" s="973"/>
      <c r="L557" s="973"/>
      <c r="M557" s="549"/>
      <c r="N557" s="973" t="s">
        <v>22</v>
      </c>
      <c r="O557" s="973"/>
      <c r="P557" s="973"/>
      <c r="Q557" s="973"/>
      <c r="R557" s="973"/>
      <c r="S557" s="973"/>
      <c r="T557" s="973"/>
    </row>
    <row r="558" spans="1:20" ht="19.95" hidden="1" customHeight="1" x14ac:dyDescent="0.3">
      <c r="A558" s="262" t="s">
        <v>1242</v>
      </c>
      <c r="D558" s="28"/>
      <c r="E558" s="974" t="s">
        <v>1214</v>
      </c>
      <c r="F558" s="974"/>
      <c r="G558" s="974"/>
      <c r="H558" s="975" t="s">
        <v>38</v>
      </c>
      <c r="I558" s="975"/>
      <c r="J558" s="975"/>
      <c r="K558" s="975"/>
      <c r="L558" s="975"/>
      <c r="M558" s="562"/>
      <c r="N558" s="975" t="s">
        <v>1437</v>
      </c>
      <c r="O558" s="975"/>
      <c r="P558" s="975"/>
      <c r="Q558" s="975"/>
      <c r="R558" s="975"/>
      <c r="S558" s="975"/>
      <c r="T558" s="975"/>
    </row>
    <row r="559" spans="1:20" ht="19.95" hidden="1" customHeight="1" x14ac:dyDescent="0.3">
      <c r="A559" s="262" t="s">
        <v>1242</v>
      </c>
      <c r="C559" s="228"/>
      <c r="D559" s="228"/>
      <c r="E559" s="561"/>
      <c r="F559" s="561"/>
      <c r="G559" s="561"/>
      <c r="H559" s="228"/>
      <c r="I559" s="260"/>
      <c r="J559" s="260"/>
      <c r="K559" s="260"/>
      <c r="L559" s="260"/>
      <c r="M559" s="260"/>
      <c r="N559" s="975"/>
      <c r="O559" s="975"/>
      <c r="P559" s="975"/>
      <c r="Q559" s="975"/>
      <c r="R559" s="975"/>
      <c r="S559" s="975"/>
      <c r="T559" s="975"/>
    </row>
    <row r="560" spans="1:20" ht="19.95" hidden="1" customHeight="1" x14ac:dyDescent="0.3">
      <c r="A560" s="262" t="s">
        <v>1242</v>
      </c>
      <c r="C560" s="228"/>
      <c r="D560" s="228"/>
      <c r="E560" s="561"/>
      <c r="F560" s="561"/>
      <c r="G560" s="561"/>
      <c r="H560" s="228"/>
      <c r="I560" s="260"/>
      <c r="J560" s="260"/>
      <c r="K560" s="260"/>
      <c r="L560" s="260"/>
      <c r="M560" s="260"/>
      <c r="N560" s="975"/>
      <c r="O560" s="975"/>
      <c r="P560" s="975"/>
      <c r="Q560" s="975"/>
      <c r="R560" s="975"/>
      <c r="S560" s="975"/>
      <c r="T560" s="975"/>
    </row>
    <row r="561" spans="1:20" ht="19.95" hidden="1" customHeight="1" x14ac:dyDescent="0.3">
      <c r="A561" s="262" t="s">
        <v>1242</v>
      </c>
      <c r="C561" s="228"/>
      <c r="D561" s="228"/>
      <c r="E561" s="561"/>
      <c r="F561" s="561"/>
      <c r="G561" s="561"/>
      <c r="H561" s="261"/>
      <c r="I561" s="261"/>
      <c r="J561" s="261"/>
      <c r="K561" s="261"/>
      <c r="L561" s="261"/>
      <c r="M561" s="261"/>
      <c r="N561" s="260"/>
      <c r="O561" s="260"/>
      <c r="P561" s="260"/>
      <c r="Q561" s="260"/>
      <c r="R561" s="260"/>
      <c r="S561" s="260"/>
      <c r="T561" s="260"/>
    </row>
    <row r="562" spans="1:20" ht="19.95" hidden="1" customHeight="1" x14ac:dyDescent="0.3">
      <c r="A562" s="262" t="s">
        <v>1242</v>
      </c>
      <c r="C562" s="228"/>
      <c r="D562" s="228"/>
      <c r="E562" s="561"/>
      <c r="F562" s="561"/>
      <c r="G562" s="561"/>
      <c r="H562" s="975" t="s">
        <v>32</v>
      </c>
      <c r="I562" s="975"/>
      <c r="J562" s="562"/>
      <c r="K562" s="975" t="s">
        <v>1407</v>
      </c>
      <c r="L562" s="975"/>
      <c r="M562" s="562"/>
      <c r="N562" s="968" t="s">
        <v>52</v>
      </c>
      <c r="O562" s="968"/>
      <c r="P562" s="968"/>
      <c r="Q562" s="260"/>
      <c r="R562" s="968" t="s">
        <v>28</v>
      </c>
      <c r="S562" s="968"/>
      <c r="T562" s="968"/>
    </row>
    <row r="563" spans="1:20" ht="19.95" hidden="1" customHeight="1" x14ac:dyDescent="0.3">
      <c r="A563" s="262" t="s">
        <v>1242</v>
      </c>
      <c r="C563" s="228"/>
      <c r="D563" s="228"/>
      <c r="E563" s="561"/>
      <c r="F563" s="561"/>
      <c r="G563" s="561"/>
      <c r="H563" s="976" t="s">
        <v>94</v>
      </c>
      <c r="I563" s="976"/>
      <c r="J563" s="623"/>
      <c r="K563" s="976" t="s">
        <v>94</v>
      </c>
      <c r="L563" s="976"/>
      <c r="M563" s="623"/>
      <c r="N563" s="968" t="s">
        <v>1485</v>
      </c>
      <c r="O563" s="968"/>
      <c r="P563" s="968"/>
      <c r="Q563" s="260"/>
      <c r="R563" s="968" t="s">
        <v>1486</v>
      </c>
      <c r="S563" s="968"/>
      <c r="T563" s="968"/>
    </row>
    <row r="564" spans="1:20" ht="19.95" hidden="1" customHeight="1" x14ac:dyDescent="0.3">
      <c r="A564" s="262" t="s">
        <v>1242</v>
      </c>
      <c r="C564" s="228"/>
      <c r="D564" s="228"/>
      <c r="E564" s="561"/>
      <c r="F564" s="561"/>
      <c r="G564" s="561"/>
      <c r="H564" s="976"/>
      <c r="I564" s="976"/>
      <c r="J564" s="623"/>
      <c r="K564" s="976"/>
      <c r="L564" s="976"/>
      <c r="M564" s="623"/>
      <c r="N564" s="968"/>
      <c r="O564" s="968"/>
      <c r="P564" s="968"/>
      <c r="Q564" s="260"/>
      <c r="R564" s="968"/>
      <c r="S564" s="968"/>
      <c r="T564" s="968"/>
    </row>
    <row r="565" spans="1:20" ht="19.95" hidden="1" customHeight="1" x14ac:dyDescent="0.3">
      <c r="A565" s="262" t="s">
        <v>1242</v>
      </c>
      <c r="C565" s="228"/>
      <c r="D565" s="228"/>
      <c r="E565" s="561"/>
      <c r="F565" s="561"/>
      <c r="G565" s="561"/>
      <c r="H565" s="228"/>
      <c r="I565" s="260"/>
      <c r="J565" s="260"/>
      <c r="K565" s="260"/>
      <c r="L565" s="260"/>
      <c r="M565" s="260"/>
      <c r="N565" s="260"/>
      <c r="O565" s="260"/>
      <c r="P565" s="260"/>
      <c r="Q565" s="260"/>
      <c r="R565" s="260"/>
      <c r="S565" s="260"/>
      <c r="T565" s="260"/>
    </row>
    <row r="566" spans="1:20" ht="19.95" hidden="1" customHeight="1" x14ac:dyDescent="0.3">
      <c r="A566" s="262" t="s">
        <v>1242</v>
      </c>
      <c r="C566" s="228"/>
      <c r="D566" s="228"/>
      <c r="E566" s="975" t="s">
        <v>1215</v>
      </c>
      <c r="F566" s="975"/>
      <c r="G566" s="975"/>
      <c r="H566" s="975" t="s">
        <v>1348</v>
      </c>
      <c r="I566" s="975"/>
      <c r="J566" s="975"/>
      <c r="K566" s="975"/>
      <c r="L566" s="975"/>
      <c r="M566" s="562"/>
      <c r="N566" s="977" t="s">
        <v>1219</v>
      </c>
      <c r="O566" s="968"/>
      <c r="P566" s="968"/>
      <c r="Q566" s="968"/>
      <c r="R566" s="968"/>
      <c r="S566" s="968"/>
      <c r="T566" s="968"/>
    </row>
    <row r="567" spans="1:20" ht="19.95" hidden="1" customHeight="1" x14ac:dyDescent="0.3">
      <c r="A567" s="262" t="s">
        <v>1290</v>
      </c>
      <c r="C567" s="228"/>
      <c r="D567" s="228"/>
      <c r="E567" s="975"/>
      <c r="F567" s="975"/>
      <c r="G567" s="975"/>
      <c r="H567" s="975"/>
      <c r="I567" s="975"/>
      <c r="J567" s="975"/>
      <c r="K567" s="975"/>
      <c r="L567" s="975"/>
      <c r="M567" s="562"/>
      <c r="N567" s="968"/>
      <c r="O567" s="968"/>
      <c r="P567" s="968"/>
      <c r="Q567" s="968"/>
      <c r="R567" s="968"/>
      <c r="S567" s="968"/>
      <c r="T567" s="968"/>
    </row>
    <row r="568" spans="1:20" ht="30" hidden="1" customHeight="1" x14ac:dyDescent="0.3">
      <c r="A568" s="262">
        <v>4</v>
      </c>
      <c r="C568" s="255">
        <v>292</v>
      </c>
      <c r="D568" s="256" t="s">
        <v>800</v>
      </c>
      <c r="E568" s="978" t="s">
        <v>801</v>
      </c>
      <c r="F568" s="979"/>
      <c r="G568" s="980"/>
      <c r="H568" s="546" t="s">
        <v>286</v>
      </c>
      <c r="I568" s="257">
        <v>9226875</v>
      </c>
      <c r="J568" s="606"/>
      <c r="K568" s="257">
        <v>1</v>
      </c>
      <c r="L568" s="257">
        <f t="shared" ref="L568:L590" si="67">+ROUND(I568*K568,2)</f>
        <v>9226875</v>
      </c>
      <c r="M568" s="603"/>
      <c r="N568" s="675">
        <f>+'Yeşil Defter'!K548</f>
        <v>0</v>
      </c>
      <c r="O568" s="675">
        <f>+'Yeşil Defter'!L548</f>
        <v>0</v>
      </c>
      <c r="P568" s="675">
        <f>+'Yeşil Defter'!M548</f>
        <v>0</v>
      </c>
      <c r="Q568" s="257"/>
      <c r="R568" s="606">
        <f t="shared" ref="R568:R590" si="68">+ROUND(K568*N568,2)</f>
        <v>0</v>
      </c>
      <c r="S568" s="247">
        <f t="shared" si="65"/>
        <v>0</v>
      </c>
      <c r="T568" s="248">
        <f t="shared" ref="T568:T590" si="69">+ROUND(K568*P568,2)</f>
        <v>0</v>
      </c>
    </row>
    <row r="569" spans="1:20" ht="30" hidden="1" customHeight="1" x14ac:dyDescent="0.3">
      <c r="A569" s="262">
        <v>4</v>
      </c>
      <c r="C569" s="244">
        <v>293</v>
      </c>
      <c r="D569" s="161" t="s">
        <v>802</v>
      </c>
      <c r="E569" s="969" t="s">
        <v>1164</v>
      </c>
      <c r="F569" s="970"/>
      <c r="G569" s="971"/>
      <c r="H569" s="544" t="s">
        <v>286</v>
      </c>
      <c r="I569" s="212">
        <v>2510820</v>
      </c>
      <c r="J569" s="605"/>
      <c r="K569" s="212">
        <v>1</v>
      </c>
      <c r="L569" s="212">
        <f t="shared" si="67"/>
        <v>2510820</v>
      </c>
      <c r="M569" s="602"/>
      <c r="N569" s="675">
        <f>+'Yeşil Defter'!K549</f>
        <v>0</v>
      </c>
      <c r="O569" s="675">
        <f>+'Yeşil Defter'!L549</f>
        <v>0</v>
      </c>
      <c r="P569" s="675">
        <f>+'Yeşil Defter'!M549</f>
        <v>0</v>
      </c>
      <c r="Q569" s="212"/>
      <c r="R569" s="605">
        <f t="shared" si="68"/>
        <v>0</v>
      </c>
      <c r="S569" s="225">
        <f t="shared" si="65"/>
        <v>0</v>
      </c>
      <c r="T569" s="237">
        <f t="shared" si="69"/>
        <v>0</v>
      </c>
    </row>
    <row r="570" spans="1:20" ht="30" hidden="1" customHeight="1" x14ac:dyDescent="0.3">
      <c r="A570" s="262">
        <v>4</v>
      </c>
      <c r="C570" s="244">
        <v>294</v>
      </c>
      <c r="D570" s="161" t="s">
        <v>803</v>
      </c>
      <c r="E570" s="969" t="s">
        <v>1172</v>
      </c>
      <c r="F570" s="970"/>
      <c r="G570" s="971"/>
      <c r="H570" s="544" t="s">
        <v>286</v>
      </c>
      <c r="I570" s="212">
        <v>2741700</v>
      </c>
      <c r="J570" s="605"/>
      <c r="K570" s="212">
        <v>1</v>
      </c>
      <c r="L570" s="212">
        <f t="shared" si="67"/>
        <v>2741700</v>
      </c>
      <c r="M570" s="602"/>
      <c r="N570" s="675">
        <f>+'Yeşil Defter'!K550</f>
        <v>0</v>
      </c>
      <c r="O570" s="675">
        <f>+'Yeşil Defter'!L550</f>
        <v>0</v>
      </c>
      <c r="P570" s="675">
        <f>+'Yeşil Defter'!M550</f>
        <v>0</v>
      </c>
      <c r="Q570" s="212"/>
      <c r="R570" s="605">
        <f t="shared" si="68"/>
        <v>0</v>
      </c>
      <c r="S570" s="225">
        <f t="shared" si="65"/>
        <v>0</v>
      </c>
      <c r="T570" s="237">
        <f t="shared" si="69"/>
        <v>0</v>
      </c>
    </row>
    <row r="571" spans="1:20" ht="30" hidden="1" customHeight="1" x14ac:dyDescent="0.3">
      <c r="A571" s="262">
        <v>4</v>
      </c>
      <c r="C571" s="244">
        <v>295</v>
      </c>
      <c r="D571" s="161" t="s">
        <v>804</v>
      </c>
      <c r="E571" s="969" t="s">
        <v>1180</v>
      </c>
      <c r="F571" s="970"/>
      <c r="G571" s="971"/>
      <c r="H571" s="544" t="s">
        <v>286</v>
      </c>
      <c r="I571" s="212">
        <v>2886000</v>
      </c>
      <c r="J571" s="605"/>
      <c r="K571" s="212">
        <v>1</v>
      </c>
      <c r="L571" s="212">
        <f t="shared" si="67"/>
        <v>2886000</v>
      </c>
      <c r="M571" s="602"/>
      <c r="N571" s="675">
        <f>+'Yeşil Defter'!K551</f>
        <v>0</v>
      </c>
      <c r="O571" s="675">
        <f>+'Yeşil Defter'!L551</f>
        <v>0</v>
      </c>
      <c r="P571" s="675">
        <f>+'Yeşil Defter'!M551</f>
        <v>0</v>
      </c>
      <c r="Q571" s="212"/>
      <c r="R571" s="605">
        <f t="shared" si="68"/>
        <v>0</v>
      </c>
      <c r="S571" s="225">
        <f t="shared" si="65"/>
        <v>0</v>
      </c>
      <c r="T571" s="237">
        <f t="shared" si="69"/>
        <v>0</v>
      </c>
    </row>
    <row r="572" spans="1:20" ht="30" hidden="1" customHeight="1" x14ac:dyDescent="0.3">
      <c r="A572" s="262">
        <v>4</v>
      </c>
      <c r="C572" s="244">
        <v>296</v>
      </c>
      <c r="D572" s="161" t="s">
        <v>805</v>
      </c>
      <c r="E572" s="969" t="s">
        <v>1188</v>
      </c>
      <c r="F572" s="970"/>
      <c r="G572" s="971"/>
      <c r="H572" s="544" t="s">
        <v>286</v>
      </c>
      <c r="I572" s="212">
        <v>2597400</v>
      </c>
      <c r="J572" s="605"/>
      <c r="K572" s="212">
        <v>1</v>
      </c>
      <c r="L572" s="212">
        <f t="shared" si="67"/>
        <v>2597400</v>
      </c>
      <c r="M572" s="602"/>
      <c r="N572" s="675">
        <f>+'Yeşil Defter'!K552</f>
        <v>0</v>
      </c>
      <c r="O572" s="675">
        <f>+'Yeşil Defter'!L552</f>
        <v>0</v>
      </c>
      <c r="P572" s="675">
        <f>+'Yeşil Defter'!M552</f>
        <v>0</v>
      </c>
      <c r="Q572" s="212"/>
      <c r="R572" s="605">
        <f t="shared" si="68"/>
        <v>0</v>
      </c>
      <c r="S572" s="225">
        <f t="shared" si="65"/>
        <v>0</v>
      </c>
      <c r="T572" s="237">
        <f t="shared" si="69"/>
        <v>0</v>
      </c>
    </row>
    <row r="573" spans="1:20" ht="30" hidden="1" customHeight="1" x14ac:dyDescent="0.3">
      <c r="A573" s="262">
        <v>4</v>
      </c>
      <c r="C573" s="244">
        <v>297</v>
      </c>
      <c r="D573" s="161" t="s">
        <v>806</v>
      </c>
      <c r="E573" s="969" t="s">
        <v>807</v>
      </c>
      <c r="F573" s="970"/>
      <c r="G573" s="971"/>
      <c r="H573" s="544" t="s">
        <v>286</v>
      </c>
      <c r="I573" s="212">
        <v>2741700</v>
      </c>
      <c r="J573" s="605"/>
      <c r="K573" s="212">
        <v>1</v>
      </c>
      <c r="L573" s="212">
        <f t="shared" si="67"/>
        <v>2741700</v>
      </c>
      <c r="M573" s="602"/>
      <c r="N573" s="675">
        <f>+'Yeşil Defter'!K553</f>
        <v>0</v>
      </c>
      <c r="O573" s="675">
        <f>+'Yeşil Defter'!L553</f>
        <v>0</v>
      </c>
      <c r="P573" s="675">
        <f>+'Yeşil Defter'!M553</f>
        <v>0</v>
      </c>
      <c r="Q573" s="212"/>
      <c r="R573" s="605">
        <f t="shared" si="68"/>
        <v>0</v>
      </c>
      <c r="S573" s="225">
        <f t="shared" si="65"/>
        <v>0</v>
      </c>
      <c r="T573" s="237">
        <f t="shared" si="69"/>
        <v>0</v>
      </c>
    </row>
    <row r="574" spans="1:20" ht="30" hidden="1" customHeight="1" x14ac:dyDescent="0.3">
      <c r="A574" s="262">
        <v>4</v>
      </c>
      <c r="C574" s="244">
        <v>298</v>
      </c>
      <c r="D574" s="161" t="s">
        <v>808</v>
      </c>
      <c r="E574" s="969" t="s">
        <v>809</v>
      </c>
      <c r="F574" s="970"/>
      <c r="G574" s="971"/>
      <c r="H574" s="544" t="s">
        <v>286</v>
      </c>
      <c r="I574" s="212">
        <v>5295625</v>
      </c>
      <c r="J574" s="605"/>
      <c r="K574" s="212">
        <v>1</v>
      </c>
      <c r="L574" s="212">
        <f t="shared" si="67"/>
        <v>5295625</v>
      </c>
      <c r="M574" s="602"/>
      <c r="N574" s="675">
        <f>+'Yeşil Defter'!K554</f>
        <v>0</v>
      </c>
      <c r="O574" s="675">
        <f>+'Yeşil Defter'!L554</f>
        <v>0</v>
      </c>
      <c r="P574" s="675">
        <f>+'Yeşil Defter'!M554</f>
        <v>0</v>
      </c>
      <c r="Q574" s="212"/>
      <c r="R574" s="605">
        <f t="shared" si="68"/>
        <v>0</v>
      </c>
      <c r="S574" s="225">
        <f t="shared" si="65"/>
        <v>0</v>
      </c>
      <c r="T574" s="237">
        <f t="shared" si="69"/>
        <v>0</v>
      </c>
    </row>
    <row r="575" spans="1:20" ht="30" hidden="1" customHeight="1" x14ac:dyDescent="0.3">
      <c r="A575" s="262">
        <v>4</v>
      </c>
      <c r="C575" s="244">
        <v>299</v>
      </c>
      <c r="D575" s="161" t="s">
        <v>810</v>
      </c>
      <c r="E575" s="969" t="s">
        <v>811</v>
      </c>
      <c r="F575" s="970"/>
      <c r="G575" s="971"/>
      <c r="H575" s="544" t="s">
        <v>286</v>
      </c>
      <c r="I575" s="212">
        <v>4551786</v>
      </c>
      <c r="J575" s="605"/>
      <c r="K575" s="212">
        <v>1</v>
      </c>
      <c r="L575" s="212">
        <f t="shared" si="67"/>
        <v>4551786</v>
      </c>
      <c r="M575" s="602"/>
      <c r="N575" s="675">
        <f>+'Yeşil Defter'!K555</f>
        <v>0</v>
      </c>
      <c r="O575" s="675">
        <f>+'Yeşil Defter'!L555</f>
        <v>0</v>
      </c>
      <c r="P575" s="675">
        <f>+'Yeşil Defter'!M555</f>
        <v>0</v>
      </c>
      <c r="Q575" s="212"/>
      <c r="R575" s="605">
        <f t="shared" si="68"/>
        <v>0</v>
      </c>
      <c r="S575" s="225">
        <f t="shared" si="65"/>
        <v>0</v>
      </c>
      <c r="T575" s="237">
        <f t="shared" si="69"/>
        <v>0</v>
      </c>
    </row>
    <row r="576" spans="1:20" ht="30" hidden="1" customHeight="1" x14ac:dyDescent="0.3">
      <c r="A576" s="262">
        <v>4</v>
      </c>
      <c r="C576" s="244">
        <v>300</v>
      </c>
      <c r="D576" s="161" t="s">
        <v>812</v>
      </c>
      <c r="E576" s="969" t="s">
        <v>1165</v>
      </c>
      <c r="F576" s="970"/>
      <c r="G576" s="971"/>
      <c r="H576" s="544" t="s">
        <v>286</v>
      </c>
      <c r="I576" s="212">
        <v>6679425</v>
      </c>
      <c r="J576" s="605"/>
      <c r="K576" s="212">
        <v>1</v>
      </c>
      <c r="L576" s="212">
        <f t="shared" si="67"/>
        <v>6679425</v>
      </c>
      <c r="M576" s="602"/>
      <c r="N576" s="675">
        <f>+'Yeşil Defter'!K556</f>
        <v>0</v>
      </c>
      <c r="O576" s="675">
        <f>+'Yeşil Defter'!L556</f>
        <v>0</v>
      </c>
      <c r="P576" s="675">
        <f>+'Yeşil Defter'!M556</f>
        <v>0</v>
      </c>
      <c r="Q576" s="212"/>
      <c r="R576" s="605">
        <f t="shared" si="68"/>
        <v>0</v>
      </c>
      <c r="S576" s="225">
        <f t="shared" si="65"/>
        <v>0</v>
      </c>
      <c r="T576" s="237">
        <f t="shared" si="69"/>
        <v>0</v>
      </c>
    </row>
    <row r="577" spans="1:20" ht="30" hidden="1" customHeight="1" x14ac:dyDescent="0.3">
      <c r="A577" s="262">
        <v>4</v>
      </c>
      <c r="C577" s="244">
        <v>301</v>
      </c>
      <c r="D577" s="161" t="s">
        <v>813</v>
      </c>
      <c r="E577" s="969" t="s">
        <v>1173</v>
      </c>
      <c r="F577" s="970"/>
      <c r="G577" s="971"/>
      <c r="H577" s="544" t="s">
        <v>286</v>
      </c>
      <c r="I577" s="212">
        <v>7293625</v>
      </c>
      <c r="J577" s="605"/>
      <c r="K577" s="212">
        <v>1</v>
      </c>
      <c r="L577" s="212">
        <f t="shared" si="67"/>
        <v>7293625</v>
      </c>
      <c r="M577" s="602"/>
      <c r="N577" s="675">
        <f>+'Yeşil Defter'!K557</f>
        <v>0</v>
      </c>
      <c r="O577" s="675">
        <f>+'Yeşil Defter'!L557</f>
        <v>0</v>
      </c>
      <c r="P577" s="675">
        <f>+'Yeşil Defter'!M557</f>
        <v>0</v>
      </c>
      <c r="Q577" s="212"/>
      <c r="R577" s="605">
        <f t="shared" si="68"/>
        <v>0</v>
      </c>
      <c r="S577" s="225">
        <f t="shared" si="65"/>
        <v>0</v>
      </c>
      <c r="T577" s="237">
        <f t="shared" si="69"/>
        <v>0</v>
      </c>
    </row>
    <row r="578" spans="1:20" ht="30" hidden="1" customHeight="1" x14ac:dyDescent="0.3">
      <c r="A578" s="262">
        <v>4</v>
      </c>
      <c r="C578" s="244">
        <v>302</v>
      </c>
      <c r="D578" s="161" t="s">
        <v>814</v>
      </c>
      <c r="E578" s="969" t="s">
        <v>1181</v>
      </c>
      <c r="F578" s="970"/>
      <c r="G578" s="971"/>
      <c r="H578" s="544" t="s">
        <v>286</v>
      </c>
      <c r="I578" s="212">
        <v>7677500</v>
      </c>
      <c r="J578" s="605"/>
      <c r="K578" s="212">
        <v>1</v>
      </c>
      <c r="L578" s="212">
        <f t="shared" si="67"/>
        <v>7677500</v>
      </c>
      <c r="M578" s="602"/>
      <c r="N578" s="675">
        <f>+'Yeşil Defter'!K558</f>
        <v>0</v>
      </c>
      <c r="O578" s="675">
        <f>+'Yeşil Defter'!L558</f>
        <v>0</v>
      </c>
      <c r="P578" s="675">
        <f>+'Yeşil Defter'!M558</f>
        <v>0</v>
      </c>
      <c r="Q578" s="212"/>
      <c r="R578" s="605">
        <f t="shared" si="68"/>
        <v>0</v>
      </c>
      <c r="S578" s="225">
        <f t="shared" si="65"/>
        <v>0</v>
      </c>
      <c r="T578" s="237">
        <f t="shared" si="69"/>
        <v>0</v>
      </c>
    </row>
    <row r="579" spans="1:20" ht="30" hidden="1" customHeight="1" x14ac:dyDescent="0.3">
      <c r="A579" s="262">
        <v>4</v>
      </c>
      <c r="C579" s="244">
        <v>303</v>
      </c>
      <c r="D579" s="161" t="s">
        <v>815</v>
      </c>
      <c r="E579" s="969" t="s">
        <v>1189</v>
      </c>
      <c r="F579" s="970"/>
      <c r="G579" s="971"/>
      <c r="H579" s="544" t="s">
        <v>286</v>
      </c>
      <c r="I579" s="212">
        <v>6909750</v>
      </c>
      <c r="J579" s="605"/>
      <c r="K579" s="212">
        <v>1</v>
      </c>
      <c r="L579" s="212">
        <f t="shared" si="67"/>
        <v>6909750</v>
      </c>
      <c r="M579" s="602"/>
      <c r="N579" s="675">
        <f>+'Yeşil Defter'!K571</f>
        <v>0</v>
      </c>
      <c r="O579" s="675">
        <f>+'Yeşil Defter'!L571</f>
        <v>0</v>
      </c>
      <c r="P579" s="675">
        <f>+'Yeşil Defter'!M571</f>
        <v>0</v>
      </c>
      <c r="Q579" s="212"/>
      <c r="R579" s="605">
        <f t="shared" si="68"/>
        <v>0</v>
      </c>
      <c r="S579" s="225">
        <f t="shared" si="65"/>
        <v>0</v>
      </c>
      <c r="T579" s="237">
        <f t="shared" si="69"/>
        <v>0</v>
      </c>
    </row>
    <row r="580" spans="1:20" ht="30" hidden="1" customHeight="1" x14ac:dyDescent="0.3">
      <c r="A580" s="262">
        <v>4</v>
      </c>
      <c r="C580" s="244">
        <v>304</v>
      </c>
      <c r="D580" s="161" t="s">
        <v>816</v>
      </c>
      <c r="E580" s="969" t="s">
        <v>817</v>
      </c>
      <c r="F580" s="970"/>
      <c r="G580" s="971"/>
      <c r="H580" s="544" t="s">
        <v>286</v>
      </c>
      <c r="I580" s="212">
        <v>7293625</v>
      </c>
      <c r="J580" s="605"/>
      <c r="K580" s="212">
        <v>1</v>
      </c>
      <c r="L580" s="212">
        <f t="shared" si="67"/>
        <v>7293625</v>
      </c>
      <c r="M580" s="602"/>
      <c r="N580" s="675">
        <f>+'Yeşil Defter'!K572</f>
        <v>0</v>
      </c>
      <c r="O580" s="675">
        <f>+'Yeşil Defter'!L572</f>
        <v>0</v>
      </c>
      <c r="P580" s="675">
        <f>+'Yeşil Defter'!M572</f>
        <v>0</v>
      </c>
      <c r="Q580" s="212"/>
      <c r="R580" s="605">
        <f t="shared" si="68"/>
        <v>0</v>
      </c>
      <c r="S580" s="225">
        <f t="shared" si="65"/>
        <v>0</v>
      </c>
      <c r="T580" s="237">
        <f t="shared" si="69"/>
        <v>0</v>
      </c>
    </row>
    <row r="581" spans="1:20" ht="30" hidden="1" customHeight="1" x14ac:dyDescent="0.3">
      <c r="A581" s="262">
        <v>4</v>
      </c>
      <c r="C581" s="244">
        <v>305</v>
      </c>
      <c r="D581" s="161" t="s">
        <v>818</v>
      </c>
      <c r="E581" s="969" t="s">
        <v>819</v>
      </c>
      <c r="F581" s="970"/>
      <c r="G581" s="971"/>
      <c r="H581" s="544" t="s">
        <v>286</v>
      </c>
      <c r="I581" s="212">
        <v>38724553</v>
      </c>
      <c r="J581" s="605"/>
      <c r="K581" s="212">
        <v>1</v>
      </c>
      <c r="L581" s="212">
        <f t="shared" si="67"/>
        <v>38724553</v>
      </c>
      <c r="M581" s="602"/>
      <c r="N581" s="675">
        <f>+'Yeşil Defter'!K573</f>
        <v>0</v>
      </c>
      <c r="O581" s="675">
        <f>+'Yeşil Defter'!L573</f>
        <v>0</v>
      </c>
      <c r="P581" s="675">
        <f>+'Yeşil Defter'!M573</f>
        <v>0</v>
      </c>
      <c r="Q581" s="212"/>
      <c r="R581" s="605">
        <f t="shared" si="68"/>
        <v>0</v>
      </c>
      <c r="S581" s="225">
        <f t="shared" si="65"/>
        <v>0</v>
      </c>
      <c r="T581" s="237">
        <f t="shared" si="69"/>
        <v>0</v>
      </c>
    </row>
    <row r="582" spans="1:20" ht="30" hidden="1" customHeight="1" x14ac:dyDescent="0.3">
      <c r="A582" s="262">
        <v>4</v>
      </c>
      <c r="C582" s="244">
        <v>306</v>
      </c>
      <c r="D582" s="161" t="s">
        <v>820</v>
      </c>
      <c r="E582" s="969" t="s">
        <v>821</v>
      </c>
      <c r="F582" s="970"/>
      <c r="G582" s="971"/>
      <c r="H582" s="544" t="s">
        <v>286</v>
      </c>
      <c r="I582" s="212">
        <v>4556411</v>
      </c>
      <c r="J582" s="605"/>
      <c r="K582" s="212">
        <v>1</v>
      </c>
      <c r="L582" s="212">
        <f t="shared" si="67"/>
        <v>4556411</v>
      </c>
      <c r="M582" s="602"/>
      <c r="N582" s="675">
        <f>+'Yeşil Defter'!K574</f>
        <v>0</v>
      </c>
      <c r="O582" s="675">
        <f>+'Yeşil Defter'!L574</f>
        <v>0</v>
      </c>
      <c r="P582" s="675">
        <f>+'Yeşil Defter'!M574</f>
        <v>0</v>
      </c>
      <c r="Q582" s="212"/>
      <c r="R582" s="605">
        <f t="shared" si="68"/>
        <v>0</v>
      </c>
      <c r="S582" s="225">
        <f t="shared" si="65"/>
        <v>0</v>
      </c>
      <c r="T582" s="237">
        <f t="shared" si="69"/>
        <v>0</v>
      </c>
    </row>
    <row r="583" spans="1:20" ht="30" hidden="1" customHeight="1" x14ac:dyDescent="0.3">
      <c r="A583" s="262">
        <v>4</v>
      </c>
      <c r="C583" s="244">
        <v>307</v>
      </c>
      <c r="D583" s="161" t="s">
        <v>822</v>
      </c>
      <c r="E583" s="969" t="s">
        <v>1166</v>
      </c>
      <c r="F583" s="970"/>
      <c r="G583" s="971"/>
      <c r="H583" s="544" t="s">
        <v>286</v>
      </c>
      <c r="I583" s="212">
        <v>3358141</v>
      </c>
      <c r="J583" s="605"/>
      <c r="K583" s="212">
        <v>1</v>
      </c>
      <c r="L583" s="212">
        <f t="shared" si="67"/>
        <v>3358141</v>
      </c>
      <c r="M583" s="602"/>
      <c r="N583" s="675">
        <f>+'Yeşil Defter'!K575</f>
        <v>0</v>
      </c>
      <c r="O583" s="675">
        <f>+'Yeşil Defter'!L575</f>
        <v>0</v>
      </c>
      <c r="P583" s="675">
        <f>+'Yeşil Defter'!M575</f>
        <v>0</v>
      </c>
      <c r="Q583" s="212"/>
      <c r="R583" s="605">
        <f t="shared" si="68"/>
        <v>0</v>
      </c>
      <c r="S583" s="225">
        <f t="shared" si="65"/>
        <v>0</v>
      </c>
      <c r="T583" s="237">
        <f t="shared" si="69"/>
        <v>0</v>
      </c>
    </row>
    <row r="584" spans="1:20" ht="30" hidden="1" customHeight="1" x14ac:dyDescent="0.3">
      <c r="A584" s="262">
        <v>4</v>
      </c>
      <c r="C584" s="244">
        <v>308</v>
      </c>
      <c r="D584" s="161" t="s">
        <v>823</v>
      </c>
      <c r="E584" s="969" t="s">
        <v>1174</v>
      </c>
      <c r="F584" s="970"/>
      <c r="G584" s="971"/>
      <c r="H584" s="544" t="s">
        <v>286</v>
      </c>
      <c r="I584" s="212">
        <v>3666936</v>
      </c>
      <c r="J584" s="605"/>
      <c r="K584" s="212">
        <v>1</v>
      </c>
      <c r="L584" s="212">
        <f t="shared" si="67"/>
        <v>3666936</v>
      </c>
      <c r="M584" s="602"/>
      <c r="N584" s="675">
        <f>+'Yeşil Defter'!K576</f>
        <v>0</v>
      </c>
      <c r="O584" s="675">
        <f>+'Yeşil Defter'!L576</f>
        <v>0</v>
      </c>
      <c r="P584" s="675">
        <f>+'Yeşil Defter'!M576</f>
        <v>0</v>
      </c>
      <c r="Q584" s="212"/>
      <c r="R584" s="605">
        <f t="shared" si="68"/>
        <v>0</v>
      </c>
      <c r="S584" s="225">
        <f t="shared" si="65"/>
        <v>0</v>
      </c>
      <c r="T584" s="237">
        <f t="shared" si="69"/>
        <v>0</v>
      </c>
    </row>
    <row r="585" spans="1:20" ht="30" hidden="1" customHeight="1" x14ac:dyDescent="0.3">
      <c r="A585" s="262">
        <v>4</v>
      </c>
      <c r="C585" s="244">
        <v>309</v>
      </c>
      <c r="D585" s="161" t="s">
        <v>824</v>
      </c>
      <c r="E585" s="969" t="s">
        <v>1182</v>
      </c>
      <c r="F585" s="970"/>
      <c r="G585" s="971"/>
      <c r="H585" s="544" t="s">
        <v>286</v>
      </c>
      <c r="I585" s="212">
        <v>3859933</v>
      </c>
      <c r="J585" s="605"/>
      <c r="K585" s="212">
        <v>1</v>
      </c>
      <c r="L585" s="212">
        <f t="shared" si="67"/>
        <v>3859933</v>
      </c>
      <c r="M585" s="602"/>
      <c r="N585" s="675">
        <f>+'Yeşil Defter'!K577</f>
        <v>0</v>
      </c>
      <c r="O585" s="675">
        <f>+'Yeşil Defter'!L577</f>
        <v>0</v>
      </c>
      <c r="P585" s="675">
        <f>+'Yeşil Defter'!M577</f>
        <v>0</v>
      </c>
      <c r="Q585" s="212"/>
      <c r="R585" s="605">
        <f t="shared" si="68"/>
        <v>0</v>
      </c>
      <c r="S585" s="225">
        <f t="shared" si="65"/>
        <v>0</v>
      </c>
      <c r="T585" s="237">
        <f t="shared" si="69"/>
        <v>0</v>
      </c>
    </row>
    <row r="586" spans="1:20" ht="30" hidden="1" customHeight="1" x14ac:dyDescent="0.3">
      <c r="A586" s="262">
        <v>4</v>
      </c>
      <c r="C586" s="244">
        <v>310</v>
      </c>
      <c r="D586" s="161" t="s">
        <v>825</v>
      </c>
      <c r="E586" s="969" t="s">
        <v>1190</v>
      </c>
      <c r="F586" s="970"/>
      <c r="G586" s="971"/>
      <c r="H586" s="544" t="s">
        <v>286</v>
      </c>
      <c r="I586" s="212">
        <v>3473939</v>
      </c>
      <c r="J586" s="605"/>
      <c r="K586" s="212">
        <v>1</v>
      </c>
      <c r="L586" s="212">
        <f t="shared" si="67"/>
        <v>3473939</v>
      </c>
      <c r="M586" s="602"/>
      <c r="N586" s="675">
        <f>+'Yeşil Defter'!K578</f>
        <v>0</v>
      </c>
      <c r="O586" s="675">
        <f>+'Yeşil Defter'!L578</f>
        <v>0</v>
      </c>
      <c r="P586" s="675">
        <f>+'Yeşil Defter'!M578</f>
        <v>0</v>
      </c>
      <c r="Q586" s="212"/>
      <c r="R586" s="605">
        <f t="shared" si="68"/>
        <v>0</v>
      </c>
      <c r="S586" s="225">
        <f t="shared" si="65"/>
        <v>0</v>
      </c>
      <c r="T586" s="237">
        <f t="shared" si="69"/>
        <v>0</v>
      </c>
    </row>
    <row r="587" spans="1:20" ht="30" hidden="1" customHeight="1" x14ac:dyDescent="0.3">
      <c r="A587" s="262">
        <v>4</v>
      </c>
      <c r="C587" s="244">
        <v>311</v>
      </c>
      <c r="D587" s="161" t="s">
        <v>826</v>
      </c>
      <c r="E587" s="969" t="s">
        <v>827</v>
      </c>
      <c r="F587" s="970"/>
      <c r="G587" s="971"/>
      <c r="H587" s="544" t="s">
        <v>286</v>
      </c>
      <c r="I587" s="212">
        <v>3666936</v>
      </c>
      <c r="J587" s="605"/>
      <c r="K587" s="212">
        <v>1</v>
      </c>
      <c r="L587" s="212">
        <f t="shared" si="67"/>
        <v>3666936</v>
      </c>
      <c r="M587" s="602"/>
      <c r="N587" s="675">
        <f>+'Yeşil Defter'!K579</f>
        <v>0</v>
      </c>
      <c r="O587" s="675">
        <f>+'Yeşil Defter'!L579</f>
        <v>0</v>
      </c>
      <c r="P587" s="675">
        <f>+'Yeşil Defter'!M579</f>
        <v>0</v>
      </c>
      <c r="Q587" s="212"/>
      <c r="R587" s="605">
        <f t="shared" si="68"/>
        <v>0</v>
      </c>
      <c r="S587" s="225">
        <f t="shared" si="65"/>
        <v>0</v>
      </c>
      <c r="T587" s="237">
        <f t="shared" si="69"/>
        <v>0</v>
      </c>
    </row>
    <row r="588" spans="1:20" ht="30" hidden="1" customHeight="1" x14ac:dyDescent="0.3">
      <c r="A588" s="262">
        <v>4</v>
      </c>
      <c r="C588" s="244">
        <v>312</v>
      </c>
      <c r="D588" s="161" t="s">
        <v>828</v>
      </c>
      <c r="E588" s="969" t="s">
        <v>829</v>
      </c>
      <c r="F588" s="970"/>
      <c r="G588" s="971"/>
      <c r="H588" s="544" t="s">
        <v>286</v>
      </c>
      <c r="I588" s="212">
        <v>2070501</v>
      </c>
      <c r="J588" s="605"/>
      <c r="K588" s="212">
        <v>1</v>
      </c>
      <c r="L588" s="212">
        <f t="shared" si="67"/>
        <v>2070501</v>
      </c>
      <c r="M588" s="602"/>
      <c r="N588" s="675">
        <f>+'Yeşil Defter'!K580</f>
        <v>0</v>
      </c>
      <c r="O588" s="675">
        <f>+'Yeşil Defter'!L580</f>
        <v>0</v>
      </c>
      <c r="P588" s="675">
        <f>+'Yeşil Defter'!M580</f>
        <v>0</v>
      </c>
      <c r="Q588" s="212"/>
      <c r="R588" s="605">
        <f t="shared" si="68"/>
        <v>0</v>
      </c>
      <c r="S588" s="225">
        <f t="shared" si="65"/>
        <v>0</v>
      </c>
      <c r="T588" s="237">
        <f t="shared" si="69"/>
        <v>0</v>
      </c>
    </row>
    <row r="589" spans="1:20" ht="30" hidden="1" customHeight="1" x14ac:dyDescent="0.3">
      <c r="A589" s="262">
        <v>4</v>
      </c>
      <c r="C589" s="244">
        <v>313</v>
      </c>
      <c r="D589" s="161" t="s">
        <v>830</v>
      </c>
      <c r="E589" s="969" t="s">
        <v>1167</v>
      </c>
      <c r="F589" s="970"/>
      <c r="G589" s="971"/>
      <c r="H589" s="544" t="s">
        <v>286</v>
      </c>
      <c r="I589" s="212">
        <v>5740604</v>
      </c>
      <c r="J589" s="605"/>
      <c r="K589" s="212">
        <v>1</v>
      </c>
      <c r="L589" s="212">
        <f t="shared" si="67"/>
        <v>5740604</v>
      </c>
      <c r="M589" s="602"/>
      <c r="N589" s="675">
        <f>+'Yeşil Defter'!K581</f>
        <v>0</v>
      </c>
      <c r="O589" s="675">
        <f>+'Yeşil Defter'!L581</f>
        <v>0</v>
      </c>
      <c r="P589" s="675">
        <f>+'Yeşil Defter'!M581</f>
        <v>0</v>
      </c>
      <c r="Q589" s="212"/>
      <c r="R589" s="605">
        <f t="shared" si="68"/>
        <v>0</v>
      </c>
      <c r="S589" s="225">
        <f t="shared" si="65"/>
        <v>0</v>
      </c>
      <c r="T589" s="237">
        <f t="shared" si="69"/>
        <v>0</v>
      </c>
    </row>
    <row r="590" spans="1:20" ht="30" hidden="1" customHeight="1" x14ac:dyDescent="0.3">
      <c r="A590" s="262">
        <v>4</v>
      </c>
      <c r="C590" s="244">
        <v>314</v>
      </c>
      <c r="D590" s="161" t="s">
        <v>831</v>
      </c>
      <c r="E590" s="969" t="s">
        <v>1175</v>
      </c>
      <c r="F590" s="970"/>
      <c r="G590" s="971"/>
      <c r="H590" s="544" t="s">
        <v>286</v>
      </c>
      <c r="I590" s="212">
        <v>6268475</v>
      </c>
      <c r="J590" s="605"/>
      <c r="K590" s="212">
        <v>1</v>
      </c>
      <c r="L590" s="212">
        <f t="shared" si="67"/>
        <v>6268475</v>
      </c>
      <c r="M590" s="602"/>
      <c r="N590" s="675">
        <f>+'Yeşil Defter'!K582</f>
        <v>0</v>
      </c>
      <c r="O590" s="675">
        <f>+'Yeşil Defter'!L582</f>
        <v>0</v>
      </c>
      <c r="P590" s="675">
        <f>+'Yeşil Defter'!M582</f>
        <v>0</v>
      </c>
      <c r="Q590" s="212"/>
      <c r="R590" s="605">
        <f t="shared" si="68"/>
        <v>0</v>
      </c>
      <c r="S590" s="225">
        <f t="shared" si="65"/>
        <v>0</v>
      </c>
      <c r="T590" s="237">
        <f t="shared" si="69"/>
        <v>0</v>
      </c>
    </row>
    <row r="591" spans="1:20" ht="40.049999999999997" hidden="1" customHeight="1" x14ac:dyDescent="0.3">
      <c r="A591" s="262" t="s">
        <v>1242</v>
      </c>
      <c r="C591" s="258"/>
      <c r="D591" s="258"/>
      <c r="E591" s="972" t="s">
        <v>33</v>
      </c>
      <c r="F591" s="972"/>
      <c r="G591" s="972"/>
      <c r="H591" s="973" t="s">
        <v>29</v>
      </c>
      <c r="I591" s="973"/>
      <c r="J591" s="973"/>
      <c r="K591" s="973"/>
      <c r="L591" s="973"/>
      <c r="M591" s="549"/>
      <c r="N591" s="973" t="s">
        <v>22</v>
      </c>
      <c r="O591" s="973"/>
      <c r="P591" s="973"/>
      <c r="Q591" s="973"/>
      <c r="R591" s="973"/>
      <c r="S591" s="973"/>
      <c r="T591" s="973"/>
    </row>
    <row r="592" spans="1:20" ht="19.95" hidden="1" customHeight="1" x14ac:dyDescent="0.3">
      <c r="A592" s="262" t="s">
        <v>1242</v>
      </c>
      <c r="D592" s="28"/>
      <c r="E592" s="974" t="s">
        <v>1214</v>
      </c>
      <c r="F592" s="974"/>
      <c r="G592" s="974"/>
      <c r="H592" s="975" t="s">
        <v>38</v>
      </c>
      <c r="I592" s="975"/>
      <c r="J592" s="975"/>
      <c r="K592" s="975"/>
      <c r="L592" s="975"/>
      <c r="M592" s="562"/>
      <c r="N592" s="975" t="s">
        <v>1437</v>
      </c>
      <c r="O592" s="975"/>
      <c r="P592" s="975"/>
      <c r="Q592" s="975"/>
      <c r="R592" s="975"/>
      <c r="S592" s="975"/>
      <c r="T592" s="975"/>
    </row>
    <row r="593" spans="1:20" ht="19.95" hidden="1" customHeight="1" x14ac:dyDescent="0.3">
      <c r="A593" s="262" t="s">
        <v>1242</v>
      </c>
      <c r="C593" s="228"/>
      <c r="D593" s="228"/>
      <c r="E593" s="561"/>
      <c r="F593" s="561"/>
      <c r="G593" s="561"/>
      <c r="H593" s="228"/>
      <c r="I593" s="260"/>
      <c r="J593" s="260"/>
      <c r="K593" s="260"/>
      <c r="L593" s="260"/>
      <c r="M593" s="260"/>
      <c r="N593" s="975"/>
      <c r="O593" s="975"/>
      <c r="P593" s="975"/>
      <c r="Q593" s="975"/>
      <c r="R593" s="975"/>
      <c r="S593" s="975"/>
      <c r="T593" s="975"/>
    </row>
    <row r="594" spans="1:20" ht="19.95" hidden="1" customHeight="1" x14ac:dyDescent="0.3">
      <c r="A594" s="262" t="s">
        <v>1242</v>
      </c>
      <c r="C594" s="228"/>
      <c r="D594" s="228"/>
      <c r="E594" s="561"/>
      <c r="F594" s="561"/>
      <c r="G594" s="561"/>
      <c r="H594" s="228"/>
      <c r="I594" s="260"/>
      <c r="J594" s="260"/>
      <c r="K594" s="260"/>
      <c r="L594" s="260"/>
      <c r="M594" s="260"/>
      <c r="N594" s="975"/>
      <c r="O594" s="975"/>
      <c r="P594" s="975"/>
      <c r="Q594" s="975"/>
      <c r="R594" s="975"/>
      <c r="S594" s="975"/>
      <c r="T594" s="975"/>
    </row>
    <row r="595" spans="1:20" ht="19.95" hidden="1" customHeight="1" x14ac:dyDescent="0.3">
      <c r="A595" s="262" t="s">
        <v>1242</v>
      </c>
      <c r="C595" s="228"/>
      <c r="D595" s="228"/>
      <c r="E595" s="561"/>
      <c r="F595" s="561"/>
      <c r="G595" s="561"/>
      <c r="H595" s="261"/>
      <c r="I595" s="261"/>
      <c r="J595" s="261"/>
      <c r="K595" s="261"/>
      <c r="L595" s="261"/>
      <c r="M595" s="261"/>
      <c r="N595" s="260"/>
      <c r="O595" s="260"/>
      <c r="P595" s="260"/>
      <c r="Q595" s="260"/>
      <c r="R595" s="260"/>
      <c r="S595" s="260"/>
      <c r="T595" s="260"/>
    </row>
    <row r="596" spans="1:20" ht="19.95" hidden="1" customHeight="1" x14ac:dyDescent="0.3">
      <c r="A596" s="262" t="s">
        <v>1242</v>
      </c>
      <c r="C596" s="228"/>
      <c r="D596" s="228"/>
      <c r="E596" s="561"/>
      <c r="F596" s="561"/>
      <c r="G596" s="561"/>
      <c r="H596" s="975" t="s">
        <v>32</v>
      </c>
      <c r="I596" s="975"/>
      <c r="J596" s="562"/>
      <c r="K596" s="975" t="s">
        <v>1407</v>
      </c>
      <c r="L596" s="975"/>
      <c r="M596" s="562"/>
      <c r="N596" s="968" t="s">
        <v>52</v>
      </c>
      <c r="O596" s="968"/>
      <c r="P596" s="968"/>
      <c r="Q596" s="968"/>
      <c r="R596" s="968"/>
      <c r="S596" s="968"/>
      <c r="T596" s="968"/>
    </row>
    <row r="597" spans="1:20" ht="19.95" hidden="1" customHeight="1" x14ac:dyDescent="0.3">
      <c r="A597" s="262" t="s">
        <v>1242</v>
      </c>
      <c r="C597" s="228"/>
      <c r="D597" s="228"/>
      <c r="E597" s="561"/>
      <c r="F597" s="561"/>
      <c r="G597" s="561"/>
      <c r="H597" s="976" t="s">
        <v>94</v>
      </c>
      <c r="I597" s="976"/>
      <c r="J597" s="623"/>
      <c r="K597" s="976" t="s">
        <v>94</v>
      </c>
      <c r="L597" s="976"/>
      <c r="M597" s="623"/>
      <c r="N597" s="968" t="s">
        <v>1485</v>
      </c>
      <c r="O597" s="968"/>
      <c r="P597" s="968"/>
      <c r="Q597" s="968"/>
      <c r="R597" s="968"/>
      <c r="S597" s="968"/>
      <c r="T597" s="968"/>
    </row>
    <row r="598" spans="1:20" ht="19.95" hidden="1" customHeight="1" x14ac:dyDescent="0.3">
      <c r="A598" s="262" t="s">
        <v>1242</v>
      </c>
      <c r="C598" s="228"/>
      <c r="D598" s="228"/>
      <c r="E598" s="561"/>
      <c r="F598" s="561"/>
      <c r="G598" s="561"/>
      <c r="H598" s="976"/>
      <c r="I598" s="976"/>
      <c r="J598" s="623"/>
      <c r="K598" s="976"/>
      <c r="L598" s="976"/>
      <c r="M598" s="623"/>
      <c r="N598" s="968"/>
      <c r="O598" s="968"/>
      <c r="P598" s="968"/>
      <c r="Q598" s="968"/>
      <c r="R598" s="968"/>
      <c r="S598" s="968"/>
      <c r="T598" s="968"/>
    </row>
    <row r="599" spans="1:20" ht="19.95" hidden="1" customHeight="1" x14ac:dyDescent="0.3">
      <c r="A599" s="262" t="s">
        <v>1242</v>
      </c>
      <c r="C599" s="228"/>
      <c r="D599" s="228"/>
      <c r="E599" s="561"/>
      <c r="F599" s="561"/>
      <c r="G599" s="561"/>
      <c r="H599" s="228"/>
      <c r="I599" s="260"/>
      <c r="J599" s="260"/>
      <c r="K599" s="260"/>
      <c r="L599" s="260"/>
      <c r="M599" s="260"/>
      <c r="N599" s="260"/>
      <c r="O599" s="260"/>
      <c r="P599" s="260"/>
      <c r="Q599" s="260"/>
      <c r="R599" s="260"/>
      <c r="S599" s="624"/>
      <c r="T599" s="260"/>
    </row>
    <row r="600" spans="1:20" ht="19.95" hidden="1" customHeight="1" x14ac:dyDescent="0.3">
      <c r="A600" s="262" t="s">
        <v>1242</v>
      </c>
      <c r="C600" s="228"/>
      <c r="D600" s="228"/>
      <c r="E600" s="975" t="s">
        <v>1215</v>
      </c>
      <c r="F600" s="975"/>
      <c r="G600" s="975"/>
      <c r="H600" s="975" t="s">
        <v>1348</v>
      </c>
      <c r="I600" s="975"/>
      <c r="J600" s="975"/>
      <c r="K600" s="975"/>
      <c r="L600" s="975"/>
      <c r="M600" s="562"/>
      <c r="N600" s="977" t="s">
        <v>1219</v>
      </c>
      <c r="O600" s="968"/>
      <c r="P600" s="968"/>
      <c r="Q600" s="968"/>
      <c r="R600" s="968"/>
      <c r="S600" s="968"/>
      <c r="T600" s="968"/>
    </row>
    <row r="601" spans="1:20" ht="19.95" hidden="1" customHeight="1" x14ac:dyDescent="0.3">
      <c r="A601" s="262" t="s">
        <v>1290</v>
      </c>
      <c r="C601" s="228"/>
      <c r="D601" s="228"/>
      <c r="E601" s="975"/>
      <c r="F601" s="975"/>
      <c r="G601" s="975"/>
      <c r="H601" s="975"/>
      <c r="I601" s="975"/>
      <c r="J601" s="975"/>
      <c r="K601" s="975"/>
      <c r="L601" s="975"/>
      <c r="M601" s="562"/>
      <c r="N601" s="968"/>
      <c r="O601" s="968"/>
      <c r="P601" s="968"/>
      <c r="Q601" s="968"/>
      <c r="R601" s="968"/>
      <c r="S601" s="968"/>
      <c r="T601" s="968"/>
    </row>
    <row r="602" spans="1:20" ht="30" hidden="1" customHeight="1" x14ac:dyDescent="0.3">
      <c r="A602" s="262">
        <v>4</v>
      </c>
      <c r="C602" s="255">
        <v>315</v>
      </c>
      <c r="D602" s="256" t="s">
        <v>832</v>
      </c>
      <c r="E602" s="978" t="s">
        <v>1183</v>
      </c>
      <c r="F602" s="979"/>
      <c r="G602" s="980"/>
      <c r="H602" s="546" t="s">
        <v>286</v>
      </c>
      <c r="I602" s="257">
        <v>6598395</v>
      </c>
      <c r="J602" s="606"/>
      <c r="K602" s="257">
        <v>1</v>
      </c>
      <c r="L602" s="257">
        <f t="shared" ref="L602:L624" si="70">+ROUND(I602*K602,2)</f>
        <v>6598395</v>
      </c>
      <c r="M602" s="603"/>
      <c r="N602" s="675">
        <f>+'Yeşil Defter'!K583</f>
        <v>0</v>
      </c>
      <c r="O602" s="675">
        <f>+'Yeşil Defter'!L583</f>
        <v>0</v>
      </c>
      <c r="P602" s="675">
        <f>+'Yeşil Defter'!M583</f>
        <v>0</v>
      </c>
      <c r="Q602" s="257"/>
      <c r="R602" s="606">
        <f t="shared" ref="R602:R624" si="71">+ROUND(K602*N602,2)</f>
        <v>0</v>
      </c>
      <c r="S602" s="247">
        <f t="shared" ref="S602:S739" si="72">+T602-R602</f>
        <v>0</v>
      </c>
      <c r="T602" s="248">
        <f t="shared" ref="T602:T624" si="73">+ROUND(K602*P602,2)</f>
        <v>0</v>
      </c>
    </row>
    <row r="603" spans="1:20" ht="30" hidden="1" customHeight="1" x14ac:dyDescent="0.3">
      <c r="A603" s="262">
        <v>4</v>
      </c>
      <c r="C603" s="244">
        <v>316</v>
      </c>
      <c r="D603" s="161" t="s">
        <v>833</v>
      </c>
      <c r="E603" s="969" t="s">
        <v>1191</v>
      </c>
      <c r="F603" s="970"/>
      <c r="G603" s="971"/>
      <c r="H603" s="544" t="s">
        <v>286</v>
      </c>
      <c r="I603" s="212">
        <v>5938556</v>
      </c>
      <c r="J603" s="605"/>
      <c r="K603" s="212">
        <v>1</v>
      </c>
      <c r="L603" s="212">
        <f t="shared" si="70"/>
        <v>5938556</v>
      </c>
      <c r="M603" s="602"/>
      <c r="N603" s="675">
        <f>+'Yeşil Defter'!K584</f>
        <v>0</v>
      </c>
      <c r="O603" s="675">
        <f>+'Yeşil Defter'!L584</f>
        <v>0</v>
      </c>
      <c r="P603" s="675">
        <f>+'Yeşil Defter'!M584</f>
        <v>0</v>
      </c>
      <c r="Q603" s="212"/>
      <c r="R603" s="605">
        <f t="shared" si="71"/>
        <v>0</v>
      </c>
      <c r="S603" s="225">
        <f t="shared" si="72"/>
        <v>0</v>
      </c>
      <c r="T603" s="237">
        <f t="shared" si="73"/>
        <v>0</v>
      </c>
    </row>
    <row r="604" spans="1:20" ht="30" hidden="1" customHeight="1" x14ac:dyDescent="0.3">
      <c r="A604" s="262">
        <v>4</v>
      </c>
      <c r="C604" s="244">
        <v>317</v>
      </c>
      <c r="D604" s="161" t="s">
        <v>834</v>
      </c>
      <c r="E604" s="969" t="s">
        <v>835</v>
      </c>
      <c r="F604" s="970"/>
      <c r="G604" s="971"/>
      <c r="H604" s="544" t="s">
        <v>286</v>
      </c>
      <c r="I604" s="212">
        <v>6268475</v>
      </c>
      <c r="J604" s="605"/>
      <c r="K604" s="212">
        <v>1</v>
      </c>
      <c r="L604" s="212">
        <f t="shared" si="70"/>
        <v>6268475</v>
      </c>
      <c r="M604" s="602"/>
      <c r="N604" s="675">
        <f>+'Yeşil Defter'!K585</f>
        <v>0</v>
      </c>
      <c r="O604" s="675">
        <f>+'Yeşil Defter'!L585</f>
        <v>0</v>
      </c>
      <c r="P604" s="675">
        <f>+'Yeşil Defter'!M585</f>
        <v>0</v>
      </c>
      <c r="Q604" s="212"/>
      <c r="R604" s="605">
        <f t="shared" si="71"/>
        <v>0</v>
      </c>
      <c r="S604" s="225">
        <f t="shared" si="72"/>
        <v>0</v>
      </c>
      <c r="T604" s="237">
        <f t="shared" si="73"/>
        <v>0</v>
      </c>
    </row>
    <row r="605" spans="1:20" ht="30" hidden="1" customHeight="1" x14ac:dyDescent="0.3">
      <c r="A605" s="262">
        <v>4</v>
      </c>
      <c r="C605" s="244">
        <v>318</v>
      </c>
      <c r="D605" s="161" t="s">
        <v>836</v>
      </c>
      <c r="E605" s="969" t="s">
        <v>837</v>
      </c>
      <c r="F605" s="970"/>
      <c r="G605" s="971"/>
      <c r="H605" s="544" t="s">
        <v>286</v>
      </c>
      <c r="I605" s="212">
        <v>21648954</v>
      </c>
      <c r="J605" s="605"/>
      <c r="K605" s="212">
        <v>1</v>
      </c>
      <c r="L605" s="212">
        <f t="shared" si="70"/>
        <v>21648954</v>
      </c>
      <c r="M605" s="602"/>
      <c r="N605" s="675">
        <f>+'Yeşil Defter'!K586</f>
        <v>0</v>
      </c>
      <c r="O605" s="675">
        <f>+'Yeşil Defter'!L586</f>
        <v>0</v>
      </c>
      <c r="P605" s="675">
        <f>+'Yeşil Defter'!M586</f>
        <v>0</v>
      </c>
      <c r="Q605" s="212"/>
      <c r="R605" s="605">
        <f t="shared" si="71"/>
        <v>0</v>
      </c>
      <c r="S605" s="225">
        <f t="shared" si="72"/>
        <v>0</v>
      </c>
      <c r="T605" s="237">
        <f t="shared" si="73"/>
        <v>0</v>
      </c>
    </row>
    <row r="606" spans="1:20" ht="30" hidden="1" customHeight="1" x14ac:dyDescent="0.3">
      <c r="A606" s="262">
        <v>4</v>
      </c>
      <c r="C606" s="244">
        <v>319</v>
      </c>
      <c r="D606" s="161" t="s">
        <v>838</v>
      </c>
      <c r="E606" s="969" t="s">
        <v>1168</v>
      </c>
      <c r="F606" s="970"/>
      <c r="G606" s="971"/>
      <c r="H606" s="544" t="s">
        <v>286</v>
      </c>
      <c r="I606" s="212">
        <v>518000</v>
      </c>
      <c r="J606" s="605"/>
      <c r="K606" s="212">
        <v>1</v>
      </c>
      <c r="L606" s="212">
        <f t="shared" si="70"/>
        <v>518000</v>
      </c>
      <c r="M606" s="602"/>
      <c r="N606" s="675">
        <f>+'Yeşil Defter'!K587</f>
        <v>0</v>
      </c>
      <c r="O606" s="675">
        <f>+'Yeşil Defter'!L587</f>
        <v>0</v>
      </c>
      <c r="P606" s="675">
        <f>+'Yeşil Defter'!M587</f>
        <v>0</v>
      </c>
      <c r="Q606" s="212"/>
      <c r="R606" s="605">
        <f t="shared" si="71"/>
        <v>0</v>
      </c>
      <c r="S606" s="225">
        <f t="shared" si="72"/>
        <v>0</v>
      </c>
      <c r="T606" s="237">
        <f t="shared" si="73"/>
        <v>0</v>
      </c>
    </row>
    <row r="607" spans="1:20" ht="30" hidden="1" customHeight="1" x14ac:dyDescent="0.3">
      <c r="A607" s="262">
        <v>4</v>
      </c>
      <c r="C607" s="244">
        <v>320</v>
      </c>
      <c r="D607" s="161" t="s">
        <v>839</v>
      </c>
      <c r="E607" s="969" t="s">
        <v>1176</v>
      </c>
      <c r="F607" s="970"/>
      <c r="G607" s="971"/>
      <c r="H607" s="544" t="s">
        <v>286</v>
      </c>
      <c r="I607" s="212">
        <v>518000</v>
      </c>
      <c r="J607" s="605"/>
      <c r="K607" s="212">
        <v>1</v>
      </c>
      <c r="L607" s="212">
        <f t="shared" si="70"/>
        <v>518000</v>
      </c>
      <c r="M607" s="602"/>
      <c r="N607" s="675">
        <f>+'Yeşil Defter'!K588</f>
        <v>0</v>
      </c>
      <c r="O607" s="675">
        <f>+'Yeşil Defter'!L588</f>
        <v>0</v>
      </c>
      <c r="P607" s="675">
        <f>+'Yeşil Defter'!M588</f>
        <v>0</v>
      </c>
      <c r="Q607" s="212"/>
      <c r="R607" s="605">
        <f t="shared" si="71"/>
        <v>0</v>
      </c>
      <c r="S607" s="225">
        <f t="shared" si="72"/>
        <v>0</v>
      </c>
      <c r="T607" s="237">
        <f t="shared" si="73"/>
        <v>0</v>
      </c>
    </row>
    <row r="608" spans="1:20" ht="30" hidden="1" customHeight="1" x14ac:dyDescent="0.3">
      <c r="A608" s="262">
        <v>4</v>
      </c>
      <c r="C608" s="244">
        <v>321</v>
      </c>
      <c r="D608" s="161" t="s">
        <v>840</v>
      </c>
      <c r="E608" s="969" t="s">
        <v>1184</v>
      </c>
      <c r="F608" s="970"/>
      <c r="G608" s="971"/>
      <c r="H608" s="544" t="s">
        <v>286</v>
      </c>
      <c r="I608" s="212">
        <v>518000</v>
      </c>
      <c r="J608" s="605"/>
      <c r="K608" s="212">
        <v>1</v>
      </c>
      <c r="L608" s="212">
        <f t="shared" si="70"/>
        <v>518000</v>
      </c>
      <c r="M608" s="602"/>
      <c r="N608" s="675">
        <f>+'Yeşil Defter'!K589</f>
        <v>0</v>
      </c>
      <c r="O608" s="675">
        <f>+'Yeşil Defter'!L589</f>
        <v>0</v>
      </c>
      <c r="P608" s="675">
        <f>+'Yeşil Defter'!M589</f>
        <v>0</v>
      </c>
      <c r="Q608" s="212"/>
      <c r="R608" s="605">
        <f t="shared" si="71"/>
        <v>0</v>
      </c>
      <c r="S608" s="225">
        <f t="shared" si="72"/>
        <v>0</v>
      </c>
      <c r="T608" s="237">
        <f t="shared" si="73"/>
        <v>0</v>
      </c>
    </row>
    <row r="609" spans="1:20" ht="30" hidden="1" customHeight="1" x14ac:dyDescent="0.3">
      <c r="A609" s="262">
        <v>4</v>
      </c>
      <c r="C609" s="244">
        <v>322</v>
      </c>
      <c r="D609" s="161" t="s">
        <v>841</v>
      </c>
      <c r="E609" s="969" t="s">
        <v>1192</v>
      </c>
      <c r="F609" s="970"/>
      <c r="G609" s="971"/>
      <c r="H609" s="544" t="s">
        <v>286</v>
      </c>
      <c r="I609" s="212">
        <v>518000</v>
      </c>
      <c r="J609" s="605"/>
      <c r="K609" s="212">
        <v>1</v>
      </c>
      <c r="L609" s="212">
        <f t="shared" si="70"/>
        <v>518000</v>
      </c>
      <c r="M609" s="602"/>
      <c r="N609" s="675">
        <f>+'Yeşil Defter'!K590</f>
        <v>0</v>
      </c>
      <c r="O609" s="675">
        <f>+'Yeşil Defter'!L590</f>
        <v>0</v>
      </c>
      <c r="P609" s="675">
        <f>+'Yeşil Defter'!M590</f>
        <v>0</v>
      </c>
      <c r="Q609" s="212"/>
      <c r="R609" s="605">
        <f t="shared" si="71"/>
        <v>0</v>
      </c>
      <c r="S609" s="225">
        <f t="shared" si="72"/>
        <v>0</v>
      </c>
      <c r="T609" s="237">
        <f t="shared" si="73"/>
        <v>0</v>
      </c>
    </row>
    <row r="610" spans="1:20" ht="30" hidden="1" customHeight="1" x14ac:dyDescent="0.3">
      <c r="A610" s="262">
        <v>4</v>
      </c>
      <c r="C610" s="244">
        <v>323</v>
      </c>
      <c r="D610" s="161" t="s">
        <v>842</v>
      </c>
      <c r="E610" s="969" t="s">
        <v>843</v>
      </c>
      <c r="F610" s="970"/>
      <c r="G610" s="971"/>
      <c r="H610" s="544" t="s">
        <v>286</v>
      </c>
      <c r="I610" s="212">
        <v>518000</v>
      </c>
      <c r="J610" s="605"/>
      <c r="K610" s="212">
        <v>1</v>
      </c>
      <c r="L610" s="212">
        <f t="shared" si="70"/>
        <v>518000</v>
      </c>
      <c r="M610" s="602"/>
      <c r="N610" s="675">
        <f>+'Yeşil Defter'!K591</f>
        <v>0</v>
      </c>
      <c r="O610" s="675">
        <f>+'Yeşil Defter'!L591</f>
        <v>0</v>
      </c>
      <c r="P610" s="675">
        <f>+'Yeşil Defter'!M591</f>
        <v>0</v>
      </c>
      <c r="Q610" s="212"/>
      <c r="R610" s="605">
        <f t="shared" si="71"/>
        <v>0</v>
      </c>
      <c r="S610" s="225">
        <f t="shared" si="72"/>
        <v>0</v>
      </c>
      <c r="T610" s="237">
        <f t="shared" si="73"/>
        <v>0</v>
      </c>
    </row>
    <row r="611" spans="1:20" ht="30" hidden="1" customHeight="1" x14ac:dyDescent="0.3">
      <c r="A611" s="262">
        <v>4</v>
      </c>
      <c r="C611" s="244">
        <v>324</v>
      </c>
      <c r="D611" s="161" t="s">
        <v>844</v>
      </c>
      <c r="E611" s="969" t="s">
        <v>845</v>
      </c>
      <c r="F611" s="970"/>
      <c r="G611" s="971"/>
      <c r="H611" s="544" t="s">
        <v>286</v>
      </c>
      <c r="I611" s="212">
        <v>971250</v>
      </c>
      <c r="J611" s="605"/>
      <c r="K611" s="212">
        <v>1</v>
      </c>
      <c r="L611" s="212">
        <f t="shared" si="70"/>
        <v>971250</v>
      </c>
      <c r="M611" s="602"/>
      <c r="N611" s="675">
        <f>+'Yeşil Defter'!K592</f>
        <v>0</v>
      </c>
      <c r="O611" s="675">
        <f>+'Yeşil Defter'!L592</f>
        <v>0</v>
      </c>
      <c r="P611" s="675">
        <f>+'Yeşil Defter'!M592</f>
        <v>0</v>
      </c>
      <c r="Q611" s="212"/>
      <c r="R611" s="605">
        <f t="shared" si="71"/>
        <v>0</v>
      </c>
      <c r="S611" s="225">
        <f t="shared" si="72"/>
        <v>0</v>
      </c>
      <c r="T611" s="237">
        <f t="shared" si="73"/>
        <v>0</v>
      </c>
    </row>
    <row r="612" spans="1:20" ht="30" hidden="1" customHeight="1" x14ac:dyDescent="0.3">
      <c r="A612" s="262">
        <v>4</v>
      </c>
      <c r="C612" s="244">
        <v>325</v>
      </c>
      <c r="D612" s="161" t="s">
        <v>846</v>
      </c>
      <c r="E612" s="969" t="s">
        <v>1169</v>
      </c>
      <c r="F612" s="970"/>
      <c r="G612" s="971"/>
      <c r="H612" s="544" t="s">
        <v>286</v>
      </c>
      <c r="I612" s="212">
        <v>3586388</v>
      </c>
      <c r="J612" s="605"/>
      <c r="K612" s="212">
        <v>1</v>
      </c>
      <c r="L612" s="212">
        <f t="shared" si="70"/>
        <v>3586388</v>
      </c>
      <c r="M612" s="602"/>
      <c r="N612" s="675">
        <f>+'Yeşil Defter'!K593</f>
        <v>0</v>
      </c>
      <c r="O612" s="675">
        <f>+'Yeşil Defter'!L593</f>
        <v>0</v>
      </c>
      <c r="P612" s="675">
        <f>+'Yeşil Defter'!M593</f>
        <v>0</v>
      </c>
      <c r="Q612" s="212"/>
      <c r="R612" s="605">
        <f t="shared" si="71"/>
        <v>0</v>
      </c>
      <c r="S612" s="225">
        <f t="shared" si="72"/>
        <v>0</v>
      </c>
      <c r="T612" s="237">
        <f t="shared" si="73"/>
        <v>0</v>
      </c>
    </row>
    <row r="613" spans="1:20" ht="30" hidden="1" customHeight="1" x14ac:dyDescent="0.3">
      <c r="A613" s="262">
        <v>4</v>
      </c>
      <c r="C613" s="244">
        <v>326</v>
      </c>
      <c r="D613" s="161" t="s">
        <v>847</v>
      </c>
      <c r="E613" s="969" t="s">
        <v>1177</v>
      </c>
      <c r="F613" s="970"/>
      <c r="G613" s="971"/>
      <c r="H613" s="544" t="s">
        <v>286</v>
      </c>
      <c r="I613" s="212">
        <v>3916171</v>
      </c>
      <c r="J613" s="605"/>
      <c r="K613" s="212">
        <v>1</v>
      </c>
      <c r="L613" s="212">
        <f t="shared" si="70"/>
        <v>3916171</v>
      </c>
      <c r="M613" s="602"/>
      <c r="N613" s="675">
        <f>+'Yeşil Defter'!K594</f>
        <v>0</v>
      </c>
      <c r="O613" s="675">
        <f>+'Yeşil Defter'!L594</f>
        <v>0</v>
      </c>
      <c r="P613" s="675">
        <f>+'Yeşil Defter'!M594</f>
        <v>0</v>
      </c>
      <c r="Q613" s="212"/>
      <c r="R613" s="605">
        <f t="shared" si="71"/>
        <v>0</v>
      </c>
      <c r="S613" s="225">
        <f t="shared" si="72"/>
        <v>0</v>
      </c>
      <c r="T613" s="237">
        <f t="shared" si="73"/>
        <v>0</v>
      </c>
    </row>
    <row r="614" spans="1:20" ht="30" hidden="1" customHeight="1" x14ac:dyDescent="0.3">
      <c r="A614" s="262">
        <v>4</v>
      </c>
      <c r="C614" s="244">
        <v>327</v>
      </c>
      <c r="D614" s="161" t="s">
        <v>848</v>
      </c>
      <c r="E614" s="969" t="s">
        <v>1185</v>
      </c>
      <c r="F614" s="970"/>
      <c r="G614" s="971"/>
      <c r="H614" s="544" t="s">
        <v>286</v>
      </c>
      <c r="I614" s="212">
        <v>4122285</v>
      </c>
      <c r="J614" s="605"/>
      <c r="K614" s="212">
        <v>1</v>
      </c>
      <c r="L614" s="212">
        <f t="shared" si="70"/>
        <v>4122285</v>
      </c>
      <c r="M614" s="602"/>
      <c r="N614" s="675">
        <f>+'Yeşil Defter'!K595</f>
        <v>0</v>
      </c>
      <c r="O614" s="675">
        <f>+'Yeşil Defter'!L595</f>
        <v>0</v>
      </c>
      <c r="P614" s="675">
        <f>+'Yeşil Defter'!M595</f>
        <v>0</v>
      </c>
      <c r="Q614" s="212"/>
      <c r="R614" s="605">
        <f t="shared" si="71"/>
        <v>0</v>
      </c>
      <c r="S614" s="225">
        <f t="shared" si="72"/>
        <v>0</v>
      </c>
      <c r="T614" s="237">
        <f t="shared" si="73"/>
        <v>0</v>
      </c>
    </row>
    <row r="615" spans="1:20" ht="30" hidden="1" customHeight="1" x14ac:dyDescent="0.3">
      <c r="A615" s="262">
        <v>4</v>
      </c>
      <c r="C615" s="244">
        <v>328</v>
      </c>
      <c r="D615" s="161" t="s">
        <v>849</v>
      </c>
      <c r="E615" s="969" t="s">
        <v>1193</v>
      </c>
      <c r="F615" s="970"/>
      <c r="G615" s="971"/>
      <c r="H615" s="544" t="s">
        <v>286</v>
      </c>
      <c r="I615" s="212">
        <v>3710056</v>
      </c>
      <c r="J615" s="605"/>
      <c r="K615" s="212">
        <v>1</v>
      </c>
      <c r="L615" s="212">
        <f t="shared" si="70"/>
        <v>3710056</v>
      </c>
      <c r="M615" s="602"/>
      <c r="N615" s="675">
        <f>+'Yeşil Defter'!K596</f>
        <v>0</v>
      </c>
      <c r="O615" s="675">
        <f>+'Yeşil Defter'!L596</f>
        <v>0</v>
      </c>
      <c r="P615" s="675">
        <f>+'Yeşil Defter'!M596</f>
        <v>0</v>
      </c>
      <c r="Q615" s="212"/>
      <c r="R615" s="605">
        <f t="shared" si="71"/>
        <v>0</v>
      </c>
      <c r="S615" s="225">
        <f t="shared" si="72"/>
        <v>0</v>
      </c>
      <c r="T615" s="237">
        <f t="shared" si="73"/>
        <v>0</v>
      </c>
    </row>
    <row r="616" spans="1:20" ht="30" hidden="1" customHeight="1" x14ac:dyDescent="0.3">
      <c r="A616" s="262">
        <v>4</v>
      </c>
      <c r="C616" s="244">
        <v>329</v>
      </c>
      <c r="D616" s="161" t="s">
        <v>850</v>
      </c>
      <c r="E616" s="969" t="s">
        <v>851</v>
      </c>
      <c r="F616" s="970"/>
      <c r="G616" s="971"/>
      <c r="H616" s="544" t="s">
        <v>286</v>
      </c>
      <c r="I616" s="212">
        <v>3916171</v>
      </c>
      <c r="J616" s="605"/>
      <c r="K616" s="212">
        <v>1</v>
      </c>
      <c r="L616" s="212">
        <f t="shared" si="70"/>
        <v>3916171</v>
      </c>
      <c r="M616" s="602"/>
      <c r="N616" s="675">
        <f>+'Yeşil Defter'!K597</f>
        <v>0</v>
      </c>
      <c r="O616" s="675">
        <f>+'Yeşil Defter'!L597</f>
        <v>0</v>
      </c>
      <c r="P616" s="675">
        <f>+'Yeşil Defter'!M597</f>
        <v>0</v>
      </c>
      <c r="Q616" s="212"/>
      <c r="R616" s="605">
        <f t="shared" si="71"/>
        <v>0</v>
      </c>
      <c r="S616" s="225">
        <f t="shared" si="72"/>
        <v>0</v>
      </c>
      <c r="T616" s="237">
        <f t="shared" si="73"/>
        <v>0</v>
      </c>
    </row>
    <row r="617" spans="1:20" ht="30" hidden="1" customHeight="1" x14ac:dyDescent="0.3">
      <c r="A617" s="262">
        <v>4</v>
      </c>
      <c r="C617" s="244">
        <v>330</v>
      </c>
      <c r="D617" s="161" t="s">
        <v>852</v>
      </c>
      <c r="E617" s="969" t="s">
        <v>853</v>
      </c>
      <c r="F617" s="970"/>
      <c r="G617" s="971"/>
      <c r="H617" s="544" t="s">
        <v>286</v>
      </c>
      <c r="I617" s="212">
        <v>1860887</v>
      </c>
      <c r="J617" s="605"/>
      <c r="K617" s="212">
        <v>1</v>
      </c>
      <c r="L617" s="212">
        <f t="shared" si="70"/>
        <v>1860887</v>
      </c>
      <c r="M617" s="602"/>
      <c r="N617" s="675">
        <f>+'Yeşil Defter'!K598</f>
        <v>0</v>
      </c>
      <c r="O617" s="675">
        <f>+'Yeşil Defter'!L598</f>
        <v>0</v>
      </c>
      <c r="P617" s="675">
        <f>+'Yeşil Defter'!M598</f>
        <v>0</v>
      </c>
      <c r="Q617" s="212"/>
      <c r="R617" s="605">
        <f t="shared" si="71"/>
        <v>0</v>
      </c>
      <c r="S617" s="225">
        <f t="shared" si="72"/>
        <v>0</v>
      </c>
      <c r="T617" s="237">
        <f t="shared" si="73"/>
        <v>0</v>
      </c>
    </row>
    <row r="618" spans="1:20" ht="30" hidden="1" customHeight="1" x14ac:dyDescent="0.3">
      <c r="A618" s="262">
        <v>4</v>
      </c>
      <c r="C618" s="244">
        <v>331</v>
      </c>
      <c r="D618" s="161" t="s">
        <v>854</v>
      </c>
      <c r="E618" s="969" t="s">
        <v>1170</v>
      </c>
      <c r="F618" s="970"/>
      <c r="G618" s="971"/>
      <c r="H618" s="544" t="s">
        <v>286</v>
      </c>
      <c r="I618" s="212">
        <v>929625</v>
      </c>
      <c r="J618" s="605"/>
      <c r="K618" s="212">
        <v>1</v>
      </c>
      <c r="L618" s="212">
        <f t="shared" si="70"/>
        <v>929625</v>
      </c>
      <c r="M618" s="602"/>
      <c r="N618" s="675">
        <f>+'Yeşil Defter'!K599</f>
        <v>0</v>
      </c>
      <c r="O618" s="675">
        <f>+'Yeşil Defter'!L599</f>
        <v>0</v>
      </c>
      <c r="P618" s="675">
        <f>+'Yeşil Defter'!M599</f>
        <v>0</v>
      </c>
      <c r="Q618" s="212"/>
      <c r="R618" s="605">
        <f t="shared" si="71"/>
        <v>0</v>
      </c>
      <c r="S618" s="225">
        <f t="shared" si="72"/>
        <v>0</v>
      </c>
      <c r="T618" s="237">
        <f t="shared" si="73"/>
        <v>0</v>
      </c>
    </row>
    <row r="619" spans="1:20" ht="30" hidden="1" customHeight="1" x14ac:dyDescent="0.3">
      <c r="A619" s="262">
        <v>4</v>
      </c>
      <c r="C619" s="244">
        <v>332</v>
      </c>
      <c r="D619" s="161" t="s">
        <v>855</v>
      </c>
      <c r="E619" s="969" t="s">
        <v>1178</v>
      </c>
      <c r="F619" s="970"/>
      <c r="G619" s="971"/>
      <c r="H619" s="544" t="s">
        <v>286</v>
      </c>
      <c r="I619" s="212">
        <v>929625</v>
      </c>
      <c r="J619" s="605"/>
      <c r="K619" s="212">
        <v>1</v>
      </c>
      <c r="L619" s="212">
        <f t="shared" si="70"/>
        <v>929625</v>
      </c>
      <c r="M619" s="602"/>
      <c r="N619" s="675">
        <f>+'Yeşil Defter'!K600</f>
        <v>0</v>
      </c>
      <c r="O619" s="675">
        <f>+'Yeşil Defter'!L600</f>
        <v>0</v>
      </c>
      <c r="P619" s="675">
        <f>+'Yeşil Defter'!M600</f>
        <v>0</v>
      </c>
      <c r="Q619" s="212"/>
      <c r="R619" s="605">
        <f t="shared" si="71"/>
        <v>0</v>
      </c>
      <c r="S619" s="225">
        <f t="shared" si="72"/>
        <v>0</v>
      </c>
      <c r="T619" s="237">
        <f t="shared" si="73"/>
        <v>0</v>
      </c>
    </row>
    <row r="620" spans="1:20" ht="30" hidden="1" customHeight="1" x14ac:dyDescent="0.3">
      <c r="A620" s="262">
        <v>4</v>
      </c>
      <c r="C620" s="244">
        <v>333</v>
      </c>
      <c r="D620" s="161" t="s">
        <v>856</v>
      </c>
      <c r="E620" s="969" t="s">
        <v>1186</v>
      </c>
      <c r="F620" s="970"/>
      <c r="G620" s="971"/>
      <c r="H620" s="544" t="s">
        <v>286</v>
      </c>
      <c r="I620" s="212">
        <v>929625</v>
      </c>
      <c r="J620" s="605"/>
      <c r="K620" s="212">
        <v>1</v>
      </c>
      <c r="L620" s="212">
        <f t="shared" si="70"/>
        <v>929625</v>
      </c>
      <c r="M620" s="602"/>
      <c r="N620" s="675">
        <f>+'Yeşil Defter'!K601</f>
        <v>0</v>
      </c>
      <c r="O620" s="675">
        <f>+'Yeşil Defter'!L601</f>
        <v>0</v>
      </c>
      <c r="P620" s="675">
        <f>+'Yeşil Defter'!M601</f>
        <v>0</v>
      </c>
      <c r="Q620" s="212"/>
      <c r="R620" s="605">
        <f t="shared" si="71"/>
        <v>0</v>
      </c>
      <c r="S620" s="225">
        <f t="shared" si="72"/>
        <v>0</v>
      </c>
      <c r="T620" s="237">
        <f t="shared" si="73"/>
        <v>0</v>
      </c>
    </row>
    <row r="621" spans="1:20" ht="30" hidden="1" customHeight="1" x14ac:dyDescent="0.3">
      <c r="A621" s="262">
        <v>4</v>
      </c>
      <c r="C621" s="244">
        <v>334</v>
      </c>
      <c r="D621" s="161" t="s">
        <v>857</v>
      </c>
      <c r="E621" s="969" t="s">
        <v>1194</v>
      </c>
      <c r="F621" s="970"/>
      <c r="G621" s="971"/>
      <c r="H621" s="544" t="s">
        <v>286</v>
      </c>
      <c r="I621" s="212">
        <v>929625</v>
      </c>
      <c r="J621" s="605"/>
      <c r="K621" s="212">
        <v>1</v>
      </c>
      <c r="L621" s="212">
        <f t="shared" si="70"/>
        <v>929625</v>
      </c>
      <c r="M621" s="602"/>
      <c r="N621" s="675">
        <f>+'Yeşil Defter'!K602</f>
        <v>0</v>
      </c>
      <c r="O621" s="675">
        <f>+'Yeşil Defter'!L602</f>
        <v>0</v>
      </c>
      <c r="P621" s="675">
        <f>+'Yeşil Defter'!M602</f>
        <v>0</v>
      </c>
      <c r="Q621" s="212"/>
      <c r="R621" s="605">
        <f t="shared" si="71"/>
        <v>0</v>
      </c>
      <c r="S621" s="225">
        <f t="shared" si="72"/>
        <v>0</v>
      </c>
      <c r="T621" s="237">
        <f t="shared" si="73"/>
        <v>0</v>
      </c>
    </row>
    <row r="622" spans="1:20" ht="30" hidden="1" customHeight="1" x14ac:dyDescent="0.3">
      <c r="A622" s="262">
        <v>4</v>
      </c>
      <c r="C622" s="244">
        <v>335</v>
      </c>
      <c r="D622" s="161" t="s">
        <v>858</v>
      </c>
      <c r="E622" s="969" t="s">
        <v>859</v>
      </c>
      <c r="F622" s="970"/>
      <c r="G622" s="971"/>
      <c r="H622" s="544" t="s">
        <v>286</v>
      </c>
      <c r="I622" s="212">
        <v>929625</v>
      </c>
      <c r="J622" s="605"/>
      <c r="K622" s="212">
        <v>1</v>
      </c>
      <c r="L622" s="212">
        <f t="shared" si="70"/>
        <v>929625</v>
      </c>
      <c r="M622" s="602"/>
      <c r="N622" s="675">
        <f>+'Yeşil Defter'!K603</f>
        <v>0</v>
      </c>
      <c r="O622" s="675">
        <f>+'Yeşil Defter'!L603</f>
        <v>0</v>
      </c>
      <c r="P622" s="675">
        <f>+'Yeşil Defter'!M603</f>
        <v>0</v>
      </c>
      <c r="Q622" s="212"/>
      <c r="R622" s="605">
        <f t="shared" si="71"/>
        <v>0</v>
      </c>
      <c r="S622" s="225">
        <f t="shared" si="72"/>
        <v>0</v>
      </c>
      <c r="T622" s="237">
        <f t="shared" si="73"/>
        <v>0</v>
      </c>
    </row>
    <row r="623" spans="1:20" ht="30" hidden="1" customHeight="1" x14ac:dyDescent="0.3">
      <c r="A623" s="262">
        <v>4</v>
      </c>
      <c r="C623" s="244">
        <v>336</v>
      </c>
      <c r="D623" s="161" t="s">
        <v>860</v>
      </c>
      <c r="E623" s="969" t="s">
        <v>861</v>
      </c>
      <c r="F623" s="970"/>
      <c r="G623" s="971"/>
      <c r="H623" s="544" t="s">
        <v>286</v>
      </c>
      <c r="I623" s="212">
        <v>1859250</v>
      </c>
      <c r="J623" s="605"/>
      <c r="K623" s="212">
        <v>1</v>
      </c>
      <c r="L623" s="212">
        <f t="shared" si="70"/>
        <v>1859250</v>
      </c>
      <c r="M623" s="602"/>
      <c r="N623" s="675">
        <f>+'Yeşil Defter'!K604</f>
        <v>0</v>
      </c>
      <c r="O623" s="675">
        <f>+'Yeşil Defter'!L604</f>
        <v>0</v>
      </c>
      <c r="P623" s="675">
        <f>+'Yeşil Defter'!M604</f>
        <v>0</v>
      </c>
      <c r="Q623" s="212"/>
      <c r="R623" s="605">
        <f t="shared" si="71"/>
        <v>0</v>
      </c>
      <c r="S623" s="225">
        <f t="shared" si="72"/>
        <v>0</v>
      </c>
      <c r="T623" s="237">
        <f t="shared" si="73"/>
        <v>0</v>
      </c>
    </row>
    <row r="624" spans="1:20" ht="30" hidden="1" customHeight="1" x14ac:dyDescent="0.3">
      <c r="A624" s="262">
        <v>4</v>
      </c>
      <c r="C624" s="244">
        <v>337</v>
      </c>
      <c r="D624" s="161" t="s">
        <v>862</v>
      </c>
      <c r="E624" s="969" t="s">
        <v>863</v>
      </c>
      <c r="F624" s="970"/>
      <c r="G624" s="971"/>
      <c r="H624" s="544" t="s">
        <v>247</v>
      </c>
      <c r="I624" s="212">
        <v>132000</v>
      </c>
      <c r="J624" s="605"/>
      <c r="K624" s="212">
        <v>64</v>
      </c>
      <c r="L624" s="212">
        <f t="shared" si="70"/>
        <v>8448000</v>
      </c>
      <c r="M624" s="602"/>
      <c r="N624" s="675">
        <f>+'Yeşil Defter'!K605</f>
        <v>0</v>
      </c>
      <c r="O624" s="675">
        <f>+'Yeşil Defter'!L605</f>
        <v>0</v>
      </c>
      <c r="P624" s="675">
        <f>+'Yeşil Defter'!M605</f>
        <v>0</v>
      </c>
      <c r="Q624" s="212"/>
      <c r="R624" s="605">
        <f t="shared" si="71"/>
        <v>0</v>
      </c>
      <c r="S624" s="225">
        <f t="shared" si="72"/>
        <v>0</v>
      </c>
      <c r="T624" s="237">
        <f t="shared" si="73"/>
        <v>0</v>
      </c>
    </row>
    <row r="625" spans="1:20" ht="40.049999999999997" hidden="1" customHeight="1" x14ac:dyDescent="0.3">
      <c r="A625" s="262" t="s">
        <v>1242</v>
      </c>
      <c r="C625" s="258"/>
      <c r="D625" s="258"/>
      <c r="E625" s="972" t="s">
        <v>33</v>
      </c>
      <c r="F625" s="972"/>
      <c r="G625" s="972"/>
      <c r="H625" s="973" t="s">
        <v>29</v>
      </c>
      <c r="I625" s="973"/>
      <c r="J625" s="973"/>
      <c r="K625" s="973"/>
      <c r="L625" s="973"/>
      <c r="M625" s="549"/>
      <c r="N625" s="973" t="s">
        <v>22</v>
      </c>
      <c r="O625" s="973"/>
      <c r="P625" s="973"/>
      <c r="Q625" s="973"/>
      <c r="R625" s="973"/>
      <c r="S625" s="973"/>
      <c r="T625" s="973"/>
    </row>
    <row r="626" spans="1:20" ht="19.95" hidden="1" customHeight="1" x14ac:dyDescent="0.3">
      <c r="A626" s="262" t="s">
        <v>1242</v>
      </c>
      <c r="D626" s="28"/>
      <c r="E626" s="974" t="s">
        <v>1214</v>
      </c>
      <c r="F626" s="974"/>
      <c r="G626" s="974"/>
      <c r="H626" s="975" t="s">
        <v>38</v>
      </c>
      <c r="I626" s="975"/>
      <c r="J626" s="975"/>
      <c r="K626" s="975"/>
      <c r="L626" s="975"/>
      <c r="M626" s="562"/>
      <c r="N626" s="975" t="s">
        <v>1437</v>
      </c>
      <c r="O626" s="975"/>
      <c r="P626" s="975"/>
      <c r="Q626" s="975"/>
      <c r="R626" s="975"/>
      <c r="S626" s="975"/>
      <c r="T626" s="975"/>
    </row>
    <row r="627" spans="1:20" ht="19.95" hidden="1" customHeight="1" x14ac:dyDescent="0.3">
      <c r="A627" s="262" t="s">
        <v>1242</v>
      </c>
      <c r="C627" s="228"/>
      <c r="D627" s="228"/>
      <c r="E627" s="561"/>
      <c r="F627" s="561"/>
      <c r="G627" s="561"/>
      <c r="H627" s="228"/>
      <c r="I627" s="260"/>
      <c r="J627" s="260"/>
      <c r="K627" s="260"/>
      <c r="L627" s="260"/>
      <c r="M627" s="260"/>
      <c r="N627" s="975"/>
      <c r="O627" s="975"/>
      <c r="P627" s="975"/>
      <c r="Q627" s="975"/>
      <c r="R627" s="975"/>
      <c r="S627" s="975"/>
      <c r="T627" s="975"/>
    </row>
    <row r="628" spans="1:20" ht="19.95" hidden="1" customHeight="1" x14ac:dyDescent="0.3">
      <c r="A628" s="262" t="s">
        <v>1242</v>
      </c>
      <c r="C628" s="228"/>
      <c r="D628" s="228"/>
      <c r="E628" s="561"/>
      <c r="F628" s="561"/>
      <c r="G628" s="561"/>
      <c r="H628" s="228"/>
      <c r="I628" s="260"/>
      <c r="J628" s="260"/>
      <c r="K628" s="260"/>
      <c r="L628" s="260"/>
      <c r="M628" s="260"/>
      <c r="N628" s="975"/>
      <c r="O628" s="975"/>
      <c r="P628" s="975"/>
      <c r="Q628" s="975"/>
      <c r="R628" s="975"/>
      <c r="S628" s="975"/>
      <c r="T628" s="975"/>
    </row>
    <row r="629" spans="1:20" ht="19.95" hidden="1" customHeight="1" x14ac:dyDescent="0.3">
      <c r="A629" s="262" t="s">
        <v>1242</v>
      </c>
      <c r="C629" s="228"/>
      <c r="D629" s="228"/>
      <c r="E629" s="561"/>
      <c r="F629" s="561"/>
      <c r="G629" s="561"/>
      <c r="H629" s="261"/>
      <c r="I629" s="261"/>
      <c r="J629" s="261"/>
      <c r="K629" s="261"/>
      <c r="L629" s="261"/>
      <c r="M629" s="261"/>
      <c r="N629" s="260"/>
      <c r="O629" s="260"/>
      <c r="P629" s="260"/>
      <c r="Q629" s="260"/>
      <c r="R629" s="260"/>
      <c r="S629" s="260"/>
      <c r="T629" s="260"/>
    </row>
    <row r="630" spans="1:20" ht="19.95" hidden="1" customHeight="1" x14ac:dyDescent="0.3">
      <c r="A630" s="262" t="s">
        <v>1242</v>
      </c>
      <c r="C630" s="228"/>
      <c r="D630" s="228"/>
      <c r="E630" s="561"/>
      <c r="F630" s="561"/>
      <c r="G630" s="561"/>
      <c r="H630" s="975" t="s">
        <v>32</v>
      </c>
      <c r="I630" s="975"/>
      <c r="J630" s="562"/>
      <c r="K630" s="975" t="s">
        <v>1407</v>
      </c>
      <c r="L630" s="975"/>
      <c r="M630" s="562"/>
      <c r="N630" s="968" t="s">
        <v>52</v>
      </c>
      <c r="O630" s="968"/>
      <c r="P630" s="968"/>
      <c r="Q630" s="968"/>
      <c r="R630" s="968"/>
      <c r="S630" s="968"/>
      <c r="T630" s="968"/>
    </row>
    <row r="631" spans="1:20" ht="19.95" hidden="1" customHeight="1" x14ac:dyDescent="0.3">
      <c r="A631" s="262" t="s">
        <v>1242</v>
      </c>
      <c r="C631" s="228"/>
      <c r="D631" s="228"/>
      <c r="E631" s="561"/>
      <c r="F631" s="561"/>
      <c r="G631" s="561"/>
      <c r="H631" s="976" t="s">
        <v>94</v>
      </c>
      <c r="I631" s="976"/>
      <c r="J631" s="623"/>
      <c r="K631" s="976" t="s">
        <v>94</v>
      </c>
      <c r="L631" s="976"/>
      <c r="M631" s="623"/>
      <c r="N631" s="968" t="s">
        <v>1485</v>
      </c>
      <c r="O631" s="968"/>
      <c r="P631" s="968"/>
      <c r="Q631" s="968"/>
      <c r="R631" s="968"/>
      <c r="S631" s="968"/>
      <c r="T631" s="968"/>
    </row>
    <row r="632" spans="1:20" ht="19.95" hidden="1" customHeight="1" x14ac:dyDescent="0.3">
      <c r="A632" s="262" t="s">
        <v>1242</v>
      </c>
      <c r="C632" s="228"/>
      <c r="D632" s="228"/>
      <c r="E632" s="561"/>
      <c r="F632" s="561"/>
      <c r="G632" s="561"/>
      <c r="H632" s="976"/>
      <c r="I632" s="976"/>
      <c r="J632" s="623"/>
      <c r="K632" s="976"/>
      <c r="L632" s="976"/>
      <c r="M632" s="623"/>
      <c r="N632" s="968"/>
      <c r="O632" s="968"/>
      <c r="P632" s="968"/>
      <c r="Q632" s="968"/>
      <c r="R632" s="968"/>
      <c r="S632" s="968"/>
      <c r="T632" s="968"/>
    </row>
    <row r="633" spans="1:20" ht="19.95" hidden="1" customHeight="1" x14ac:dyDescent="0.3">
      <c r="A633" s="262" t="s">
        <v>1242</v>
      </c>
      <c r="C633" s="228"/>
      <c r="D633" s="228"/>
      <c r="E633" s="561"/>
      <c r="F633" s="561"/>
      <c r="G633" s="561"/>
      <c r="H633" s="228"/>
      <c r="I633" s="260"/>
      <c r="J633" s="260"/>
      <c r="K633" s="260"/>
      <c r="L633" s="260"/>
      <c r="M633" s="260"/>
      <c r="N633" s="260"/>
      <c r="O633" s="260"/>
      <c r="P633" s="260"/>
      <c r="Q633" s="260"/>
      <c r="R633" s="260"/>
      <c r="S633" s="624"/>
      <c r="T633" s="260"/>
    </row>
    <row r="634" spans="1:20" ht="19.95" hidden="1" customHeight="1" x14ac:dyDescent="0.3">
      <c r="A634" s="262" t="s">
        <v>1242</v>
      </c>
      <c r="C634" s="228"/>
      <c r="D634" s="228"/>
      <c r="E634" s="975" t="s">
        <v>1215</v>
      </c>
      <c r="F634" s="975"/>
      <c r="G634" s="975"/>
      <c r="H634" s="975" t="s">
        <v>1348</v>
      </c>
      <c r="I634" s="975"/>
      <c r="J634" s="975"/>
      <c r="K634" s="975"/>
      <c r="L634" s="975"/>
      <c r="M634" s="562"/>
      <c r="N634" s="977" t="s">
        <v>1219</v>
      </c>
      <c r="O634" s="968"/>
      <c r="P634" s="968"/>
      <c r="Q634" s="968"/>
      <c r="R634" s="968"/>
      <c r="S634" s="968"/>
      <c r="T634" s="968"/>
    </row>
    <row r="635" spans="1:20" ht="19.95" hidden="1" customHeight="1" x14ac:dyDescent="0.3">
      <c r="A635" s="262" t="s">
        <v>1290</v>
      </c>
      <c r="C635" s="228"/>
      <c r="D635" s="228"/>
      <c r="E635" s="975"/>
      <c r="F635" s="975"/>
      <c r="G635" s="975"/>
      <c r="H635" s="975"/>
      <c r="I635" s="975"/>
      <c r="J635" s="975"/>
      <c r="K635" s="975"/>
      <c r="L635" s="975"/>
      <c r="M635" s="562"/>
      <c r="N635" s="968"/>
      <c r="O635" s="968"/>
      <c r="P635" s="968"/>
      <c r="Q635" s="968"/>
      <c r="R635" s="968"/>
      <c r="S635" s="968"/>
      <c r="T635" s="968"/>
    </row>
    <row r="636" spans="1:20" ht="30" hidden="1" customHeight="1" x14ac:dyDescent="0.3">
      <c r="A636" s="262">
        <v>4</v>
      </c>
      <c r="C636" s="255">
        <v>338</v>
      </c>
      <c r="D636" s="256" t="s">
        <v>864</v>
      </c>
      <c r="E636" s="978" t="s">
        <v>865</v>
      </c>
      <c r="F636" s="979"/>
      <c r="G636" s="980"/>
      <c r="H636" s="546" t="s">
        <v>247</v>
      </c>
      <c r="I636" s="257">
        <v>165000</v>
      </c>
      <c r="J636" s="606"/>
      <c r="K636" s="257">
        <v>10</v>
      </c>
      <c r="L636" s="257">
        <f t="shared" ref="L636:L647" si="74">+ROUND(I636*K636,2)</f>
        <v>1650000</v>
      </c>
      <c r="M636" s="603"/>
      <c r="N636" s="675">
        <f>+'Yeşil Defter'!K617</f>
        <v>0</v>
      </c>
      <c r="O636" s="675">
        <f>+'Yeşil Defter'!L617</f>
        <v>0</v>
      </c>
      <c r="P636" s="675">
        <f>+'Yeşil Defter'!M617</f>
        <v>0</v>
      </c>
      <c r="Q636" s="257"/>
      <c r="R636" s="606">
        <f t="shared" ref="R636:R647" si="75">+ROUND(K636*N636,2)</f>
        <v>0</v>
      </c>
      <c r="S636" s="247">
        <f t="shared" si="72"/>
        <v>0</v>
      </c>
      <c r="T636" s="248">
        <f t="shared" ref="T636:T647" si="76">+ROUND(K636*P636,2)</f>
        <v>0</v>
      </c>
    </row>
    <row r="637" spans="1:20" ht="30" hidden="1" customHeight="1" x14ac:dyDescent="0.3">
      <c r="A637" s="262">
        <v>4</v>
      </c>
      <c r="C637" s="244">
        <v>339</v>
      </c>
      <c r="D637" s="161" t="s">
        <v>866</v>
      </c>
      <c r="E637" s="969" t="s">
        <v>867</v>
      </c>
      <c r="F637" s="970"/>
      <c r="G637" s="971"/>
      <c r="H637" s="544" t="s">
        <v>286</v>
      </c>
      <c r="I637" s="212">
        <v>22000000</v>
      </c>
      <c r="J637" s="605"/>
      <c r="K637" s="212">
        <v>1</v>
      </c>
      <c r="L637" s="212">
        <f t="shared" si="74"/>
        <v>22000000</v>
      </c>
      <c r="M637" s="602"/>
      <c r="N637" s="675">
        <f>+'Yeşil Defter'!K618</f>
        <v>0</v>
      </c>
      <c r="O637" s="675">
        <f>+'Yeşil Defter'!L618</f>
        <v>0</v>
      </c>
      <c r="P637" s="675">
        <f>+'Yeşil Defter'!M618</f>
        <v>0</v>
      </c>
      <c r="Q637" s="212"/>
      <c r="R637" s="605">
        <f t="shared" si="75"/>
        <v>0</v>
      </c>
      <c r="S637" s="225">
        <f t="shared" si="72"/>
        <v>0</v>
      </c>
      <c r="T637" s="237">
        <f t="shared" si="76"/>
        <v>0</v>
      </c>
    </row>
    <row r="638" spans="1:20" ht="30" hidden="1" customHeight="1" x14ac:dyDescent="0.3">
      <c r="A638" s="262">
        <v>4</v>
      </c>
      <c r="C638" s="244">
        <v>340</v>
      </c>
      <c r="D638" s="213" t="s">
        <v>868</v>
      </c>
      <c r="E638" s="969" t="s">
        <v>869</v>
      </c>
      <c r="F638" s="970"/>
      <c r="G638" s="971"/>
      <c r="H638" s="544" t="s">
        <v>286</v>
      </c>
      <c r="I638" s="212">
        <v>20070000</v>
      </c>
      <c r="J638" s="605"/>
      <c r="K638" s="212">
        <v>1</v>
      </c>
      <c r="L638" s="212">
        <f t="shared" si="74"/>
        <v>20070000</v>
      </c>
      <c r="M638" s="602"/>
      <c r="N638" s="675">
        <f>+'Yeşil Defter'!K619</f>
        <v>0</v>
      </c>
      <c r="O638" s="675">
        <f>+'Yeşil Defter'!L619</f>
        <v>0</v>
      </c>
      <c r="P638" s="675">
        <f>+'Yeşil Defter'!M619</f>
        <v>0</v>
      </c>
      <c r="Q638" s="212"/>
      <c r="R638" s="605">
        <f t="shared" si="75"/>
        <v>0</v>
      </c>
      <c r="S638" s="225">
        <f t="shared" si="72"/>
        <v>0</v>
      </c>
      <c r="T638" s="237">
        <f t="shared" si="76"/>
        <v>0</v>
      </c>
    </row>
    <row r="639" spans="1:20" ht="30" hidden="1" customHeight="1" x14ac:dyDescent="0.3">
      <c r="A639" s="262">
        <v>4</v>
      </c>
      <c r="C639" s="244">
        <v>341</v>
      </c>
      <c r="D639" s="213" t="s">
        <v>870</v>
      </c>
      <c r="E639" s="969" t="s">
        <v>871</v>
      </c>
      <c r="F639" s="970"/>
      <c r="G639" s="971"/>
      <c r="H639" s="544" t="s">
        <v>286</v>
      </c>
      <c r="I639" s="212">
        <v>8989594</v>
      </c>
      <c r="J639" s="605"/>
      <c r="K639" s="212">
        <v>1</v>
      </c>
      <c r="L639" s="212">
        <f t="shared" si="74"/>
        <v>8989594</v>
      </c>
      <c r="M639" s="602"/>
      <c r="N639" s="675">
        <f>+'Yeşil Defter'!K620</f>
        <v>0</v>
      </c>
      <c r="O639" s="675">
        <f>+'Yeşil Defter'!L620</f>
        <v>0</v>
      </c>
      <c r="P639" s="675">
        <f>+'Yeşil Defter'!M620</f>
        <v>0</v>
      </c>
      <c r="Q639" s="212"/>
      <c r="R639" s="605">
        <f t="shared" si="75"/>
        <v>0</v>
      </c>
      <c r="S639" s="225">
        <f t="shared" si="72"/>
        <v>0</v>
      </c>
      <c r="T639" s="237">
        <f t="shared" si="76"/>
        <v>0</v>
      </c>
    </row>
    <row r="640" spans="1:20" ht="30" hidden="1" customHeight="1" x14ac:dyDescent="0.3">
      <c r="A640" s="262">
        <v>4</v>
      </c>
      <c r="C640" s="244">
        <v>342</v>
      </c>
      <c r="D640" s="213" t="s">
        <v>872</v>
      </c>
      <c r="E640" s="969" t="s">
        <v>873</v>
      </c>
      <c r="F640" s="970"/>
      <c r="G640" s="971"/>
      <c r="H640" s="544" t="s">
        <v>286</v>
      </c>
      <c r="I640" s="212">
        <v>3641429</v>
      </c>
      <c r="J640" s="605"/>
      <c r="K640" s="212">
        <v>1</v>
      </c>
      <c r="L640" s="212">
        <f t="shared" si="74"/>
        <v>3641429</v>
      </c>
      <c r="M640" s="602"/>
      <c r="N640" s="675">
        <f>+'Yeşil Defter'!K621</f>
        <v>0</v>
      </c>
      <c r="O640" s="675">
        <f>+'Yeşil Defter'!L621</f>
        <v>0</v>
      </c>
      <c r="P640" s="675">
        <f>+'Yeşil Defter'!M621</f>
        <v>0</v>
      </c>
      <c r="Q640" s="212"/>
      <c r="R640" s="605">
        <f t="shared" si="75"/>
        <v>0</v>
      </c>
      <c r="S640" s="225">
        <f t="shared" si="72"/>
        <v>0</v>
      </c>
      <c r="T640" s="237">
        <f t="shared" si="76"/>
        <v>0</v>
      </c>
    </row>
    <row r="641" spans="1:20" ht="30" hidden="1" customHeight="1" x14ac:dyDescent="0.3">
      <c r="A641" s="262">
        <v>4</v>
      </c>
      <c r="C641" s="244">
        <v>343</v>
      </c>
      <c r="D641" s="213" t="s">
        <v>874</v>
      </c>
      <c r="E641" s="969" t="s">
        <v>875</v>
      </c>
      <c r="F641" s="970"/>
      <c r="G641" s="971"/>
      <c r="H641" s="544" t="s">
        <v>286</v>
      </c>
      <c r="I641" s="212">
        <v>6993000</v>
      </c>
      <c r="J641" s="605"/>
      <c r="K641" s="212">
        <v>1</v>
      </c>
      <c r="L641" s="212">
        <f t="shared" si="74"/>
        <v>6993000</v>
      </c>
      <c r="M641" s="602"/>
      <c r="N641" s="675">
        <f>+'Yeşil Defter'!K622</f>
        <v>0</v>
      </c>
      <c r="O641" s="675">
        <f>+'Yeşil Defter'!L622</f>
        <v>0</v>
      </c>
      <c r="P641" s="675">
        <f>+'Yeşil Defter'!M622</f>
        <v>0</v>
      </c>
      <c r="Q641" s="212"/>
      <c r="R641" s="605">
        <f t="shared" si="75"/>
        <v>0</v>
      </c>
      <c r="S641" s="225">
        <f t="shared" si="72"/>
        <v>0</v>
      </c>
      <c r="T641" s="237">
        <f t="shared" si="76"/>
        <v>0</v>
      </c>
    </row>
    <row r="642" spans="1:20" ht="30" hidden="1" customHeight="1" x14ac:dyDescent="0.3">
      <c r="A642" s="262">
        <v>4</v>
      </c>
      <c r="C642" s="244">
        <v>344</v>
      </c>
      <c r="D642" s="213" t="s">
        <v>876</v>
      </c>
      <c r="E642" s="969" t="s">
        <v>877</v>
      </c>
      <c r="F642" s="970"/>
      <c r="G642" s="971"/>
      <c r="H642" s="544" t="s">
        <v>286</v>
      </c>
      <c r="I642" s="212">
        <v>1656379</v>
      </c>
      <c r="J642" s="605"/>
      <c r="K642" s="212">
        <v>1</v>
      </c>
      <c r="L642" s="212">
        <f t="shared" si="74"/>
        <v>1656379</v>
      </c>
      <c r="M642" s="602"/>
      <c r="N642" s="675">
        <f>+'Yeşil Defter'!K623</f>
        <v>0</v>
      </c>
      <c r="O642" s="675">
        <f>+'Yeşil Defter'!L623</f>
        <v>0</v>
      </c>
      <c r="P642" s="675">
        <f>+'Yeşil Defter'!M623</f>
        <v>0</v>
      </c>
      <c r="Q642" s="212"/>
      <c r="R642" s="605">
        <f t="shared" si="75"/>
        <v>0</v>
      </c>
      <c r="S642" s="225">
        <f t="shared" si="72"/>
        <v>0</v>
      </c>
      <c r="T642" s="237">
        <f t="shared" si="76"/>
        <v>0</v>
      </c>
    </row>
    <row r="643" spans="1:20" ht="30" hidden="1" customHeight="1" x14ac:dyDescent="0.3">
      <c r="A643" s="262">
        <v>4</v>
      </c>
      <c r="C643" s="244">
        <v>345</v>
      </c>
      <c r="D643" s="213" t="s">
        <v>878</v>
      </c>
      <c r="E643" s="969" t="s">
        <v>879</v>
      </c>
      <c r="F643" s="970"/>
      <c r="G643" s="971"/>
      <c r="H643" s="544" t="s">
        <v>286</v>
      </c>
      <c r="I643" s="212">
        <v>10963100</v>
      </c>
      <c r="J643" s="605"/>
      <c r="K643" s="212">
        <v>1</v>
      </c>
      <c r="L643" s="212">
        <f t="shared" si="74"/>
        <v>10963100</v>
      </c>
      <c r="M643" s="602"/>
      <c r="N643" s="675">
        <f>+'Yeşil Defter'!K624</f>
        <v>0</v>
      </c>
      <c r="O643" s="675">
        <f>+'Yeşil Defter'!L624</f>
        <v>0</v>
      </c>
      <c r="P643" s="675">
        <f>+'Yeşil Defter'!M624</f>
        <v>0</v>
      </c>
      <c r="Q643" s="212"/>
      <c r="R643" s="605">
        <f t="shared" si="75"/>
        <v>0</v>
      </c>
      <c r="S643" s="225">
        <f t="shared" si="72"/>
        <v>0</v>
      </c>
      <c r="T643" s="237">
        <f t="shared" si="76"/>
        <v>0</v>
      </c>
    </row>
    <row r="644" spans="1:20" ht="30" hidden="1" customHeight="1" x14ac:dyDescent="0.3">
      <c r="A644" s="262">
        <v>4</v>
      </c>
      <c r="C644" s="244">
        <v>346</v>
      </c>
      <c r="D644" s="213" t="s">
        <v>880</v>
      </c>
      <c r="E644" s="969" t="s">
        <v>881</v>
      </c>
      <c r="F644" s="970"/>
      <c r="G644" s="971"/>
      <c r="H644" s="544" t="s">
        <v>286</v>
      </c>
      <c r="I644" s="212">
        <v>377400</v>
      </c>
      <c r="J644" s="605"/>
      <c r="K644" s="212">
        <v>1</v>
      </c>
      <c r="L644" s="212">
        <f t="shared" si="74"/>
        <v>377400</v>
      </c>
      <c r="M644" s="602"/>
      <c r="N644" s="675">
        <f>+'Yeşil Defter'!K625</f>
        <v>0</v>
      </c>
      <c r="O644" s="675">
        <f>+'Yeşil Defter'!L625</f>
        <v>0</v>
      </c>
      <c r="P644" s="675">
        <f>+'Yeşil Defter'!M625</f>
        <v>0</v>
      </c>
      <c r="Q644" s="212"/>
      <c r="R644" s="605">
        <f t="shared" si="75"/>
        <v>0</v>
      </c>
      <c r="S644" s="225">
        <f t="shared" si="72"/>
        <v>0</v>
      </c>
      <c r="T644" s="237">
        <f t="shared" si="76"/>
        <v>0</v>
      </c>
    </row>
    <row r="645" spans="1:20" ht="30" hidden="1" customHeight="1" x14ac:dyDescent="0.3">
      <c r="A645" s="262">
        <v>4</v>
      </c>
      <c r="C645" s="244">
        <v>347</v>
      </c>
      <c r="D645" s="213" t="s">
        <v>882</v>
      </c>
      <c r="E645" s="969" t="s">
        <v>883</v>
      </c>
      <c r="F645" s="970"/>
      <c r="G645" s="971"/>
      <c r="H645" s="544" t="s">
        <v>286</v>
      </c>
      <c r="I645" s="212">
        <v>521700</v>
      </c>
      <c r="J645" s="605"/>
      <c r="K645" s="212">
        <v>1</v>
      </c>
      <c r="L645" s="212">
        <f t="shared" si="74"/>
        <v>521700</v>
      </c>
      <c r="M645" s="602"/>
      <c r="N645" s="675">
        <f>+'Yeşil Defter'!K626</f>
        <v>0</v>
      </c>
      <c r="O645" s="675">
        <f>+'Yeşil Defter'!L626</f>
        <v>0</v>
      </c>
      <c r="P645" s="675">
        <f>+'Yeşil Defter'!M626</f>
        <v>0</v>
      </c>
      <c r="Q645" s="212"/>
      <c r="R645" s="605">
        <f t="shared" si="75"/>
        <v>0</v>
      </c>
      <c r="S645" s="225">
        <f t="shared" si="72"/>
        <v>0</v>
      </c>
      <c r="T645" s="237">
        <f t="shared" si="76"/>
        <v>0</v>
      </c>
    </row>
    <row r="646" spans="1:20" ht="30" hidden="1" customHeight="1" x14ac:dyDescent="0.3">
      <c r="A646" s="262">
        <v>4</v>
      </c>
      <c r="C646" s="244">
        <v>348</v>
      </c>
      <c r="D646" s="213" t="s">
        <v>884</v>
      </c>
      <c r="E646" s="969" t="s">
        <v>885</v>
      </c>
      <c r="F646" s="970"/>
      <c r="G646" s="971"/>
      <c r="H646" s="544" t="s">
        <v>286</v>
      </c>
      <c r="I646" s="212">
        <v>9020600</v>
      </c>
      <c r="J646" s="605"/>
      <c r="K646" s="212">
        <v>1</v>
      </c>
      <c r="L646" s="212">
        <f t="shared" si="74"/>
        <v>9020600</v>
      </c>
      <c r="M646" s="602"/>
      <c r="N646" s="675">
        <f>+'Yeşil Defter'!K627</f>
        <v>0</v>
      </c>
      <c r="O646" s="675">
        <f>+'Yeşil Defter'!L627</f>
        <v>0</v>
      </c>
      <c r="P646" s="675">
        <f>+'Yeşil Defter'!M627</f>
        <v>0</v>
      </c>
      <c r="Q646" s="212"/>
      <c r="R646" s="605">
        <f t="shared" si="75"/>
        <v>0</v>
      </c>
      <c r="S646" s="225">
        <f t="shared" si="72"/>
        <v>0</v>
      </c>
      <c r="T646" s="237">
        <f t="shared" si="76"/>
        <v>0</v>
      </c>
    </row>
    <row r="647" spans="1:20" ht="30" hidden="1" customHeight="1" x14ac:dyDescent="0.3">
      <c r="A647" s="262">
        <v>4</v>
      </c>
      <c r="C647" s="244">
        <v>349</v>
      </c>
      <c r="D647" s="213" t="s">
        <v>886</v>
      </c>
      <c r="E647" s="969" t="s">
        <v>887</v>
      </c>
      <c r="F647" s="970"/>
      <c r="G647" s="971"/>
      <c r="H647" s="544" t="s">
        <v>286</v>
      </c>
      <c r="I647" s="212">
        <v>1487400</v>
      </c>
      <c r="J647" s="605"/>
      <c r="K647" s="212">
        <v>1</v>
      </c>
      <c r="L647" s="212">
        <f t="shared" si="74"/>
        <v>1487400</v>
      </c>
      <c r="M647" s="602"/>
      <c r="N647" s="675">
        <f>+'Yeşil Defter'!K628</f>
        <v>0</v>
      </c>
      <c r="O647" s="675">
        <f>+'Yeşil Defter'!L628</f>
        <v>0</v>
      </c>
      <c r="P647" s="675">
        <f>+'Yeşil Defter'!M628</f>
        <v>0</v>
      </c>
      <c r="Q647" s="212"/>
      <c r="R647" s="605">
        <f t="shared" si="75"/>
        <v>0</v>
      </c>
      <c r="S647" s="225">
        <f t="shared" si="72"/>
        <v>0</v>
      </c>
      <c r="T647" s="237">
        <f t="shared" si="76"/>
        <v>0</v>
      </c>
    </row>
    <row r="648" spans="1:20" ht="30" hidden="1" customHeight="1" x14ac:dyDescent="0.3">
      <c r="A648" s="262">
        <v>4</v>
      </c>
      <c r="C648" s="244"/>
      <c r="D648" s="213"/>
      <c r="E648" s="969"/>
      <c r="F648" s="970"/>
      <c r="G648" s="971"/>
      <c r="H648" s="161"/>
      <c r="I648" s="605"/>
      <c r="J648" s="605"/>
      <c r="K648" s="212"/>
      <c r="L648" s="341"/>
      <c r="M648" s="212"/>
      <c r="N648" s="605"/>
      <c r="O648" s="212"/>
      <c r="P648" s="341"/>
      <c r="Q648" s="212"/>
      <c r="R648" s="605"/>
      <c r="S648" s="225"/>
      <c r="T648" s="237"/>
    </row>
    <row r="649" spans="1:20" ht="30" hidden="1" customHeight="1" x14ac:dyDescent="0.3">
      <c r="A649" s="262">
        <v>4</v>
      </c>
      <c r="C649" s="244"/>
      <c r="D649" s="213"/>
      <c r="E649" s="969"/>
      <c r="F649" s="970"/>
      <c r="G649" s="971"/>
      <c r="H649" s="161"/>
      <c r="I649" s="605"/>
      <c r="J649" s="605"/>
      <c r="K649" s="212"/>
      <c r="L649" s="341"/>
      <c r="M649" s="212"/>
      <c r="N649" s="605"/>
      <c r="O649" s="212"/>
      <c r="P649" s="341"/>
      <c r="Q649" s="212"/>
      <c r="R649" s="605"/>
      <c r="S649" s="225"/>
      <c r="T649" s="237"/>
    </row>
    <row r="650" spans="1:20" ht="30" hidden="1" customHeight="1" x14ac:dyDescent="0.3">
      <c r="A650" s="262">
        <v>4</v>
      </c>
      <c r="C650" s="244"/>
      <c r="D650" s="213"/>
      <c r="E650" s="969"/>
      <c r="F650" s="970"/>
      <c r="G650" s="971"/>
      <c r="H650" s="161"/>
      <c r="I650" s="605"/>
      <c r="J650" s="605"/>
      <c r="K650" s="212"/>
      <c r="L650" s="341"/>
      <c r="M650" s="212"/>
      <c r="N650" s="605"/>
      <c r="O650" s="212"/>
      <c r="P650" s="341"/>
      <c r="Q650" s="212"/>
      <c r="R650" s="605"/>
      <c r="S650" s="225"/>
      <c r="T650" s="237"/>
    </row>
    <row r="651" spans="1:20" ht="30" hidden="1" customHeight="1" x14ac:dyDescent="0.3">
      <c r="A651" s="262">
        <v>4</v>
      </c>
      <c r="C651" s="244"/>
      <c r="D651" s="213"/>
      <c r="E651" s="969"/>
      <c r="F651" s="970"/>
      <c r="G651" s="971"/>
      <c r="H651" s="161"/>
      <c r="I651" s="605"/>
      <c r="J651" s="605"/>
      <c r="K651" s="212"/>
      <c r="L651" s="341"/>
      <c r="M651" s="212"/>
      <c r="N651" s="605"/>
      <c r="O651" s="212"/>
      <c r="P651" s="341"/>
      <c r="Q651" s="212"/>
      <c r="R651" s="605"/>
      <c r="S651" s="225"/>
      <c r="T651" s="237"/>
    </row>
    <row r="652" spans="1:20" ht="30" hidden="1" customHeight="1" x14ac:dyDescent="0.3">
      <c r="A652" s="262">
        <v>4</v>
      </c>
      <c r="C652" s="244"/>
      <c r="D652" s="213"/>
      <c r="E652" s="969"/>
      <c r="F652" s="970"/>
      <c r="G652" s="971"/>
      <c r="H652" s="161"/>
      <c r="I652" s="605"/>
      <c r="J652" s="605"/>
      <c r="K652" s="212"/>
      <c r="L652" s="341"/>
      <c r="M652" s="212"/>
      <c r="N652" s="605"/>
      <c r="O652" s="212"/>
      <c r="P652" s="341"/>
      <c r="Q652" s="212"/>
      <c r="R652" s="605"/>
      <c r="S652" s="225"/>
      <c r="T652" s="237"/>
    </row>
    <row r="653" spans="1:20" ht="30" hidden="1" customHeight="1" x14ac:dyDescent="0.3">
      <c r="A653" s="262">
        <v>4</v>
      </c>
      <c r="C653" s="244"/>
      <c r="D653" s="213"/>
      <c r="E653" s="969"/>
      <c r="F653" s="970"/>
      <c r="G653" s="971"/>
      <c r="H653" s="161"/>
      <c r="I653" s="605"/>
      <c r="J653" s="605"/>
      <c r="K653" s="212"/>
      <c r="L653" s="341"/>
      <c r="M653" s="212"/>
      <c r="N653" s="605"/>
      <c r="O653" s="212"/>
      <c r="P653" s="341"/>
      <c r="Q653" s="212"/>
      <c r="R653" s="605"/>
      <c r="S653" s="225"/>
      <c r="T653" s="237"/>
    </row>
    <row r="654" spans="1:20" ht="30" hidden="1" customHeight="1" x14ac:dyDescent="0.3">
      <c r="A654" s="262">
        <v>4</v>
      </c>
      <c r="C654" s="244"/>
      <c r="D654" s="213"/>
      <c r="E654" s="969"/>
      <c r="F654" s="970"/>
      <c r="G654" s="971"/>
      <c r="H654" s="161"/>
      <c r="I654" s="605"/>
      <c r="J654" s="605"/>
      <c r="K654" s="212"/>
      <c r="L654" s="341"/>
      <c r="M654" s="212"/>
      <c r="N654" s="605"/>
      <c r="O654" s="212"/>
      <c r="P654" s="341"/>
      <c r="Q654" s="212"/>
      <c r="R654" s="605"/>
      <c r="S654" s="225"/>
      <c r="T654" s="237"/>
    </row>
    <row r="655" spans="1:20" ht="30" hidden="1" customHeight="1" x14ac:dyDescent="0.3">
      <c r="A655" s="262">
        <v>4</v>
      </c>
      <c r="C655" s="244"/>
      <c r="D655" s="213"/>
      <c r="E655" s="969"/>
      <c r="F655" s="970"/>
      <c r="G655" s="971"/>
      <c r="H655" s="161"/>
      <c r="I655" s="605"/>
      <c r="J655" s="605"/>
      <c r="K655" s="212"/>
      <c r="L655" s="341"/>
      <c r="M655" s="212"/>
      <c r="N655" s="605"/>
      <c r="O655" s="212"/>
      <c r="P655" s="341"/>
      <c r="Q655" s="212"/>
      <c r="R655" s="605"/>
      <c r="S655" s="225"/>
      <c r="T655" s="237"/>
    </row>
    <row r="656" spans="1:20" ht="30" hidden="1" customHeight="1" x14ac:dyDescent="0.3">
      <c r="A656" s="262">
        <v>4</v>
      </c>
      <c r="C656" s="244"/>
      <c r="D656" s="213"/>
      <c r="E656" s="969"/>
      <c r="F656" s="970"/>
      <c r="G656" s="971"/>
      <c r="H656" s="161"/>
      <c r="I656" s="605"/>
      <c r="J656" s="605"/>
      <c r="K656" s="212"/>
      <c r="L656" s="341"/>
      <c r="M656" s="212"/>
      <c r="N656" s="605"/>
      <c r="O656" s="212"/>
      <c r="P656" s="341"/>
      <c r="Q656" s="212"/>
      <c r="R656" s="605"/>
      <c r="S656" s="225"/>
      <c r="T656" s="237"/>
    </row>
    <row r="657" spans="1:20" ht="30" hidden="1" customHeight="1" x14ac:dyDescent="0.3">
      <c r="A657" s="262">
        <v>4</v>
      </c>
      <c r="C657" s="244"/>
      <c r="D657" s="213"/>
      <c r="E657" s="969"/>
      <c r="F657" s="970"/>
      <c r="G657" s="971"/>
      <c r="H657" s="161"/>
      <c r="I657" s="605"/>
      <c r="J657" s="605"/>
      <c r="K657" s="212"/>
      <c r="L657" s="341"/>
      <c r="M657" s="212"/>
      <c r="N657" s="605"/>
      <c r="O657" s="212"/>
      <c r="P657" s="341"/>
      <c r="Q657" s="212"/>
      <c r="R657" s="605"/>
      <c r="S657" s="225"/>
      <c r="T657" s="237"/>
    </row>
    <row r="658" spans="1:20" ht="30" hidden="1" customHeight="1" x14ac:dyDescent="0.3">
      <c r="A658" s="262">
        <v>4</v>
      </c>
      <c r="C658" s="244"/>
      <c r="D658" s="213"/>
      <c r="E658" s="969"/>
      <c r="F658" s="970"/>
      <c r="G658" s="971"/>
      <c r="H658" s="658"/>
      <c r="I658" s="605"/>
      <c r="J658" s="605"/>
      <c r="K658" s="212"/>
      <c r="L658" s="341"/>
      <c r="M658" s="302"/>
      <c r="N658" s="605"/>
      <c r="O658" s="212"/>
      <c r="P658" s="341"/>
      <c r="Q658" s="302"/>
      <c r="R658" s="605"/>
      <c r="S658" s="225"/>
      <c r="T658" s="237"/>
    </row>
    <row r="659" spans="1:20" ht="40.049999999999997" hidden="1" customHeight="1" x14ac:dyDescent="0.3">
      <c r="A659" s="262" t="s">
        <v>1242</v>
      </c>
      <c r="C659" s="258"/>
      <c r="D659" s="258"/>
      <c r="E659" s="972" t="s">
        <v>33</v>
      </c>
      <c r="F659" s="972"/>
      <c r="G659" s="972"/>
      <c r="H659" s="973" t="s">
        <v>29</v>
      </c>
      <c r="I659" s="973"/>
      <c r="J659" s="973"/>
      <c r="K659" s="973"/>
      <c r="L659" s="973"/>
      <c r="M659" s="549"/>
      <c r="N659" s="973" t="s">
        <v>22</v>
      </c>
      <c r="O659" s="973"/>
      <c r="P659" s="973"/>
      <c r="Q659" s="973"/>
      <c r="R659" s="973"/>
      <c r="S659" s="973"/>
      <c r="T659" s="973"/>
    </row>
    <row r="660" spans="1:20" ht="19.95" hidden="1" customHeight="1" x14ac:dyDescent="0.3">
      <c r="A660" s="262" t="s">
        <v>1242</v>
      </c>
      <c r="D660" s="28"/>
      <c r="E660" s="974" t="s">
        <v>1214</v>
      </c>
      <c r="F660" s="974"/>
      <c r="G660" s="974"/>
      <c r="H660" s="975" t="s">
        <v>38</v>
      </c>
      <c r="I660" s="975"/>
      <c r="J660" s="975"/>
      <c r="K660" s="975"/>
      <c r="L660" s="975"/>
      <c r="M660" s="562"/>
      <c r="N660" s="975" t="s">
        <v>1437</v>
      </c>
      <c r="O660" s="975"/>
      <c r="P660" s="975"/>
      <c r="Q660" s="975"/>
      <c r="R660" s="975"/>
      <c r="S660" s="975"/>
      <c r="T660" s="975"/>
    </row>
    <row r="661" spans="1:20" ht="19.95" hidden="1" customHeight="1" x14ac:dyDescent="0.3">
      <c r="A661" s="262" t="s">
        <v>1242</v>
      </c>
      <c r="C661" s="228"/>
      <c r="D661" s="228"/>
      <c r="E661" s="561"/>
      <c r="F661" s="561"/>
      <c r="G661" s="561"/>
      <c r="H661" s="228"/>
      <c r="I661" s="260"/>
      <c r="J661" s="260"/>
      <c r="K661" s="260"/>
      <c r="L661" s="260"/>
      <c r="M661" s="260"/>
      <c r="N661" s="975"/>
      <c r="O661" s="975"/>
      <c r="P661" s="975"/>
      <c r="Q661" s="975"/>
      <c r="R661" s="975"/>
      <c r="S661" s="975"/>
      <c r="T661" s="975"/>
    </row>
    <row r="662" spans="1:20" ht="19.95" hidden="1" customHeight="1" x14ac:dyDescent="0.3">
      <c r="A662" s="262" t="s">
        <v>1242</v>
      </c>
      <c r="C662" s="228"/>
      <c r="D662" s="228"/>
      <c r="E662" s="561"/>
      <c r="F662" s="561"/>
      <c r="G662" s="561"/>
      <c r="H662" s="228"/>
      <c r="I662" s="260"/>
      <c r="J662" s="260"/>
      <c r="K662" s="260"/>
      <c r="L662" s="260"/>
      <c r="M662" s="260"/>
      <c r="N662" s="975"/>
      <c r="O662" s="975"/>
      <c r="P662" s="975"/>
      <c r="Q662" s="975"/>
      <c r="R662" s="975"/>
      <c r="S662" s="975"/>
      <c r="T662" s="975"/>
    </row>
    <row r="663" spans="1:20" ht="19.95" hidden="1" customHeight="1" x14ac:dyDescent="0.3">
      <c r="A663" s="262" t="s">
        <v>1242</v>
      </c>
      <c r="C663" s="228"/>
      <c r="D663" s="228"/>
      <c r="E663" s="561"/>
      <c r="F663" s="561"/>
      <c r="G663" s="561"/>
      <c r="H663" s="261"/>
      <c r="I663" s="261"/>
      <c r="J663" s="261"/>
      <c r="K663" s="261"/>
      <c r="L663" s="261"/>
      <c r="M663" s="261"/>
      <c r="N663" s="260"/>
      <c r="O663" s="260"/>
      <c r="P663" s="260"/>
      <c r="Q663" s="260"/>
      <c r="R663" s="260"/>
      <c r="S663" s="260"/>
      <c r="T663" s="260"/>
    </row>
    <row r="664" spans="1:20" ht="19.95" hidden="1" customHeight="1" x14ac:dyDescent="0.3">
      <c r="A664" s="262" t="s">
        <v>1242</v>
      </c>
      <c r="C664" s="228"/>
      <c r="D664" s="228"/>
      <c r="E664" s="561"/>
      <c r="F664" s="561"/>
      <c r="G664" s="561"/>
      <c r="H664" s="975" t="s">
        <v>32</v>
      </c>
      <c r="I664" s="975"/>
      <c r="J664" s="562"/>
      <c r="K664" s="975" t="s">
        <v>1407</v>
      </c>
      <c r="L664" s="975"/>
      <c r="M664" s="562"/>
      <c r="N664" s="968" t="s">
        <v>52</v>
      </c>
      <c r="O664" s="968"/>
      <c r="P664" s="968"/>
      <c r="Q664" s="260"/>
      <c r="R664" s="968" t="s">
        <v>28</v>
      </c>
      <c r="S664" s="968"/>
      <c r="T664" s="968"/>
    </row>
    <row r="665" spans="1:20" ht="19.95" hidden="1" customHeight="1" x14ac:dyDescent="0.3">
      <c r="A665" s="262" t="s">
        <v>1242</v>
      </c>
      <c r="C665" s="228"/>
      <c r="D665" s="228"/>
      <c r="E665" s="561"/>
      <c r="F665" s="561"/>
      <c r="G665" s="561"/>
      <c r="H665" s="976" t="s">
        <v>94</v>
      </c>
      <c r="I665" s="976"/>
      <c r="J665" s="623"/>
      <c r="K665" s="976" t="s">
        <v>94</v>
      </c>
      <c r="L665" s="976"/>
      <c r="M665" s="623"/>
      <c r="N665" s="968" t="s">
        <v>1485</v>
      </c>
      <c r="O665" s="968"/>
      <c r="P665" s="968"/>
      <c r="Q665" s="260"/>
      <c r="R665" s="968" t="s">
        <v>1486</v>
      </c>
      <c r="S665" s="968"/>
      <c r="T665" s="968"/>
    </row>
    <row r="666" spans="1:20" ht="19.95" hidden="1" customHeight="1" x14ac:dyDescent="0.3">
      <c r="A666" s="262" t="s">
        <v>1242</v>
      </c>
      <c r="C666" s="228"/>
      <c r="D666" s="228"/>
      <c r="E666" s="561"/>
      <c r="F666" s="561"/>
      <c r="G666" s="561"/>
      <c r="H666" s="976"/>
      <c r="I666" s="976"/>
      <c r="J666" s="623"/>
      <c r="K666" s="976"/>
      <c r="L666" s="976"/>
      <c r="M666" s="623"/>
      <c r="N666" s="968"/>
      <c r="O666" s="968"/>
      <c r="P666" s="968"/>
      <c r="Q666" s="260"/>
      <c r="R666" s="968"/>
      <c r="S666" s="968"/>
      <c r="T666" s="968"/>
    </row>
    <row r="667" spans="1:20" ht="19.95" hidden="1" customHeight="1" x14ac:dyDescent="0.3">
      <c r="A667" s="262" t="s">
        <v>1242</v>
      </c>
      <c r="C667" s="228"/>
      <c r="D667" s="228"/>
      <c r="E667" s="561"/>
      <c r="F667" s="561"/>
      <c r="G667" s="561"/>
      <c r="H667" s="228"/>
      <c r="I667" s="260"/>
      <c r="J667" s="260"/>
      <c r="K667" s="260"/>
      <c r="L667" s="260"/>
      <c r="M667" s="260"/>
      <c r="N667" s="260"/>
      <c r="O667" s="260"/>
      <c r="P667" s="260"/>
      <c r="Q667" s="260"/>
      <c r="R667" s="260"/>
      <c r="S667" s="624"/>
      <c r="T667" s="260"/>
    </row>
    <row r="668" spans="1:20" ht="19.95" hidden="1" customHeight="1" x14ac:dyDescent="0.3">
      <c r="A668" s="262" t="s">
        <v>1242</v>
      </c>
      <c r="C668" s="228"/>
      <c r="D668" s="228"/>
      <c r="E668" s="975" t="s">
        <v>1215</v>
      </c>
      <c r="F668" s="975"/>
      <c r="G668" s="975"/>
      <c r="H668" s="975" t="s">
        <v>1348</v>
      </c>
      <c r="I668" s="975"/>
      <c r="J668" s="975"/>
      <c r="K668" s="975"/>
      <c r="L668" s="975"/>
      <c r="M668" s="562"/>
      <c r="N668" s="977" t="s">
        <v>1219</v>
      </c>
      <c r="O668" s="968"/>
      <c r="P668" s="968"/>
      <c r="Q668" s="968"/>
      <c r="R668" s="968"/>
      <c r="S668" s="968"/>
      <c r="T668" s="968"/>
    </row>
    <row r="669" spans="1:20" ht="19.95" hidden="1" customHeight="1" x14ac:dyDescent="0.3">
      <c r="A669" s="262" t="s">
        <v>1290</v>
      </c>
      <c r="C669" s="228"/>
      <c r="D669" s="228"/>
      <c r="E669" s="975"/>
      <c r="F669" s="975"/>
      <c r="G669" s="975"/>
      <c r="H669" s="975"/>
      <c r="I669" s="975"/>
      <c r="J669" s="975"/>
      <c r="K669" s="975"/>
      <c r="L669" s="975"/>
      <c r="M669" s="562"/>
      <c r="N669" s="968"/>
      <c r="O669" s="968"/>
      <c r="P669" s="968"/>
      <c r="Q669" s="968"/>
      <c r="R669" s="968"/>
      <c r="S669" s="968"/>
      <c r="T669" s="968"/>
    </row>
    <row r="670" spans="1:20" ht="30" hidden="1" customHeight="1" x14ac:dyDescent="0.3">
      <c r="A670" s="262" t="s">
        <v>1240</v>
      </c>
      <c r="C670" s="625"/>
      <c r="D670" s="626" t="s">
        <v>1232</v>
      </c>
      <c r="E670" s="627"/>
      <c r="F670" s="627"/>
      <c r="G670" s="627"/>
      <c r="H670" s="627"/>
      <c r="I670" s="628"/>
      <c r="J670" s="628"/>
      <c r="K670" s="628"/>
      <c r="L670" s="644">
        <f>+SUMIFS(L:L,A:A,"5")</f>
        <v>274307568</v>
      </c>
      <c r="M670" s="629"/>
      <c r="N670" s="648"/>
      <c r="O670" s="628"/>
      <c r="P670" s="628"/>
      <c r="Q670" s="611"/>
      <c r="R670" s="651">
        <f>+SUMIFS(R:R,A:A,"5")</f>
        <v>0</v>
      </c>
      <c r="S670" s="630">
        <f>+SUMIFS(S:S,A:A,"5")</f>
        <v>0</v>
      </c>
      <c r="T670" s="631">
        <f>+SUMIFS(T:T,A:A,"5")</f>
        <v>0</v>
      </c>
    </row>
    <row r="671" spans="1:20" ht="30" hidden="1" customHeight="1" x14ac:dyDescent="0.3">
      <c r="A671" s="262">
        <v>5</v>
      </c>
      <c r="C671" s="244">
        <v>350</v>
      </c>
      <c r="D671" s="161" t="s">
        <v>888</v>
      </c>
      <c r="E671" s="969" t="s">
        <v>889</v>
      </c>
      <c r="F671" s="970"/>
      <c r="G671" s="971"/>
      <c r="H671" s="544" t="s">
        <v>286</v>
      </c>
      <c r="I671" s="212">
        <v>5075000</v>
      </c>
      <c r="J671" s="605"/>
      <c r="K671" s="212">
        <v>1</v>
      </c>
      <c r="L671" s="212">
        <f t="shared" ref="L671:L688" si="77">+ROUND(I671*K671,2)</f>
        <v>5075000</v>
      </c>
      <c r="M671" s="602"/>
      <c r="N671" s="675">
        <f>+'Yeşil Defter'!K664</f>
        <v>0</v>
      </c>
      <c r="O671" s="675">
        <f>+'Yeşil Defter'!L664</f>
        <v>0</v>
      </c>
      <c r="P671" s="675">
        <f>+'Yeşil Defter'!M664</f>
        <v>0</v>
      </c>
      <c r="Q671" s="212"/>
      <c r="R671" s="605">
        <f t="shared" ref="R671:R688" si="78">+ROUND(K671*N671,2)</f>
        <v>0</v>
      </c>
      <c r="S671" s="225">
        <f t="shared" ref="S671:S680" si="79">+T671-R671</f>
        <v>0</v>
      </c>
      <c r="T671" s="237">
        <f t="shared" ref="T671:T688" si="80">+ROUND(K671*P671,2)</f>
        <v>0</v>
      </c>
    </row>
    <row r="672" spans="1:20" ht="30" hidden="1" customHeight="1" x14ac:dyDescent="0.3">
      <c r="A672" s="262">
        <v>5</v>
      </c>
      <c r="C672" s="244">
        <v>351</v>
      </c>
      <c r="D672" s="161" t="s">
        <v>890</v>
      </c>
      <c r="E672" s="969" t="s">
        <v>891</v>
      </c>
      <c r="F672" s="970"/>
      <c r="G672" s="971"/>
      <c r="H672" s="544" t="s">
        <v>286</v>
      </c>
      <c r="I672" s="212">
        <v>2081250</v>
      </c>
      <c r="J672" s="605"/>
      <c r="K672" s="212">
        <v>1</v>
      </c>
      <c r="L672" s="212">
        <f t="shared" si="77"/>
        <v>2081250</v>
      </c>
      <c r="M672" s="602"/>
      <c r="N672" s="675">
        <f>+'Yeşil Defter'!K665</f>
        <v>0</v>
      </c>
      <c r="O672" s="675">
        <f>+'Yeşil Defter'!L665</f>
        <v>0</v>
      </c>
      <c r="P672" s="675">
        <f>+'Yeşil Defter'!M665</f>
        <v>0</v>
      </c>
      <c r="Q672" s="212"/>
      <c r="R672" s="605">
        <f t="shared" si="78"/>
        <v>0</v>
      </c>
      <c r="S672" s="225">
        <f t="shared" si="79"/>
        <v>0</v>
      </c>
      <c r="T672" s="237">
        <f t="shared" si="80"/>
        <v>0</v>
      </c>
    </row>
    <row r="673" spans="1:20" ht="30" hidden="1" customHeight="1" x14ac:dyDescent="0.3">
      <c r="A673" s="262">
        <v>5</v>
      </c>
      <c r="C673" s="244">
        <v>352</v>
      </c>
      <c r="D673" s="161" t="s">
        <v>892</v>
      </c>
      <c r="E673" s="969" t="s">
        <v>893</v>
      </c>
      <c r="F673" s="970"/>
      <c r="G673" s="971"/>
      <c r="H673" s="544" t="s">
        <v>286</v>
      </c>
      <c r="I673" s="212">
        <v>2081250</v>
      </c>
      <c r="J673" s="605"/>
      <c r="K673" s="212">
        <v>1</v>
      </c>
      <c r="L673" s="212">
        <f t="shared" si="77"/>
        <v>2081250</v>
      </c>
      <c r="M673" s="602"/>
      <c r="N673" s="675">
        <f>+'Yeşil Defter'!K666</f>
        <v>0</v>
      </c>
      <c r="O673" s="675">
        <f>+'Yeşil Defter'!L666</f>
        <v>0</v>
      </c>
      <c r="P673" s="675">
        <f>+'Yeşil Defter'!M666</f>
        <v>0</v>
      </c>
      <c r="Q673" s="212"/>
      <c r="R673" s="605">
        <f t="shared" si="78"/>
        <v>0</v>
      </c>
      <c r="S673" s="225">
        <f t="shared" si="79"/>
        <v>0</v>
      </c>
      <c r="T673" s="237">
        <f t="shared" si="80"/>
        <v>0</v>
      </c>
    </row>
    <row r="674" spans="1:20" ht="30" hidden="1" customHeight="1" x14ac:dyDescent="0.3">
      <c r="A674" s="262">
        <v>5</v>
      </c>
      <c r="C674" s="244">
        <v>353</v>
      </c>
      <c r="D674" s="161" t="s">
        <v>894</v>
      </c>
      <c r="E674" s="969" t="s">
        <v>895</v>
      </c>
      <c r="F674" s="970"/>
      <c r="G674" s="971"/>
      <c r="H674" s="544" t="s">
        <v>286</v>
      </c>
      <c r="I674" s="212">
        <v>17280388</v>
      </c>
      <c r="J674" s="605"/>
      <c r="K674" s="212">
        <v>1</v>
      </c>
      <c r="L674" s="212">
        <f t="shared" si="77"/>
        <v>17280388</v>
      </c>
      <c r="M674" s="602"/>
      <c r="N674" s="675">
        <f>+'Yeşil Defter'!K667</f>
        <v>0</v>
      </c>
      <c r="O674" s="675">
        <f>+'Yeşil Defter'!L667</f>
        <v>0</v>
      </c>
      <c r="P674" s="675">
        <f>+'Yeşil Defter'!M667</f>
        <v>0</v>
      </c>
      <c r="Q674" s="212"/>
      <c r="R674" s="605">
        <f t="shared" si="78"/>
        <v>0</v>
      </c>
      <c r="S674" s="225">
        <f t="shared" si="79"/>
        <v>0</v>
      </c>
      <c r="T674" s="237">
        <f t="shared" si="80"/>
        <v>0</v>
      </c>
    </row>
    <row r="675" spans="1:20" ht="30" hidden="1" customHeight="1" x14ac:dyDescent="0.3">
      <c r="A675" s="262">
        <v>5</v>
      </c>
      <c r="C675" s="244">
        <v>354</v>
      </c>
      <c r="D675" s="161" t="s">
        <v>896</v>
      </c>
      <c r="E675" s="969" t="s">
        <v>897</v>
      </c>
      <c r="F675" s="970"/>
      <c r="G675" s="971"/>
      <c r="H675" s="544" t="s">
        <v>286</v>
      </c>
      <c r="I675" s="212">
        <v>17280388</v>
      </c>
      <c r="J675" s="605"/>
      <c r="K675" s="212">
        <v>1</v>
      </c>
      <c r="L675" s="212">
        <f t="shared" si="77"/>
        <v>17280388</v>
      </c>
      <c r="M675" s="602"/>
      <c r="N675" s="675">
        <f>+'Yeşil Defter'!K668</f>
        <v>0</v>
      </c>
      <c r="O675" s="675">
        <f>+'Yeşil Defter'!L668</f>
        <v>0</v>
      </c>
      <c r="P675" s="675">
        <f>+'Yeşil Defter'!M668</f>
        <v>0</v>
      </c>
      <c r="Q675" s="212"/>
      <c r="R675" s="605">
        <f t="shared" si="78"/>
        <v>0</v>
      </c>
      <c r="S675" s="225">
        <f t="shared" si="79"/>
        <v>0</v>
      </c>
      <c r="T675" s="237">
        <f t="shared" si="80"/>
        <v>0</v>
      </c>
    </row>
    <row r="676" spans="1:20" ht="30" hidden="1" customHeight="1" x14ac:dyDescent="0.3">
      <c r="A676" s="262">
        <v>5</v>
      </c>
      <c r="C676" s="244">
        <v>355</v>
      </c>
      <c r="D676" s="161" t="s">
        <v>898</v>
      </c>
      <c r="E676" s="969" t="s">
        <v>899</v>
      </c>
      <c r="F676" s="970"/>
      <c r="G676" s="971"/>
      <c r="H676" s="544" t="s">
        <v>286</v>
      </c>
      <c r="I676" s="212">
        <v>17280388</v>
      </c>
      <c r="J676" s="605"/>
      <c r="K676" s="212">
        <v>1</v>
      </c>
      <c r="L676" s="212">
        <f t="shared" si="77"/>
        <v>17280388</v>
      </c>
      <c r="M676" s="602"/>
      <c r="N676" s="675">
        <f>+'Yeşil Defter'!K669</f>
        <v>0</v>
      </c>
      <c r="O676" s="675">
        <f>+'Yeşil Defter'!L669</f>
        <v>0</v>
      </c>
      <c r="P676" s="675">
        <f>+'Yeşil Defter'!M669</f>
        <v>0</v>
      </c>
      <c r="Q676" s="212"/>
      <c r="R676" s="605">
        <f t="shared" si="78"/>
        <v>0</v>
      </c>
      <c r="S676" s="225">
        <f t="shared" si="79"/>
        <v>0</v>
      </c>
      <c r="T676" s="237">
        <f t="shared" si="80"/>
        <v>0</v>
      </c>
    </row>
    <row r="677" spans="1:20" ht="30" hidden="1" customHeight="1" x14ac:dyDescent="0.3">
      <c r="A677" s="262">
        <v>5</v>
      </c>
      <c r="C677" s="244">
        <v>356</v>
      </c>
      <c r="D677" s="161" t="s">
        <v>900</v>
      </c>
      <c r="E677" s="969" t="s">
        <v>901</v>
      </c>
      <c r="F677" s="970"/>
      <c r="G677" s="971"/>
      <c r="H677" s="544" t="s">
        <v>286</v>
      </c>
      <c r="I677" s="212">
        <v>17280388</v>
      </c>
      <c r="J677" s="605"/>
      <c r="K677" s="212">
        <v>1</v>
      </c>
      <c r="L677" s="212">
        <f t="shared" si="77"/>
        <v>17280388</v>
      </c>
      <c r="M677" s="602"/>
      <c r="N677" s="675">
        <f>+'Yeşil Defter'!K670</f>
        <v>0</v>
      </c>
      <c r="O677" s="675">
        <f>+'Yeşil Defter'!L670</f>
        <v>0</v>
      </c>
      <c r="P677" s="675">
        <f>+'Yeşil Defter'!M670</f>
        <v>0</v>
      </c>
      <c r="Q677" s="212"/>
      <c r="R677" s="605">
        <f t="shared" si="78"/>
        <v>0</v>
      </c>
      <c r="S677" s="225">
        <f t="shared" si="79"/>
        <v>0</v>
      </c>
      <c r="T677" s="237">
        <f t="shared" si="80"/>
        <v>0</v>
      </c>
    </row>
    <row r="678" spans="1:20" ht="30" hidden="1" customHeight="1" x14ac:dyDescent="0.3">
      <c r="A678" s="262">
        <v>5</v>
      </c>
      <c r="C678" s="244">
        <v>357</v>
      </c>
      <c r="D678" s="161" t="s">
        <v>902</v>
      </c>
      <c r="E678" s="969" t="s">
        <v>903</v>
      </c>
      <c r="F678" s="970"/>
      <c r="G678" s="971"/>
      <c r="H678" s="544" t="s">
        <v>286</v>
      </c>
      <c r="I678" s="212">
        <v>17280388</v>
      </c>
      <c r="J678" s="605"/>
      <c r="K678" s="212">
        <v>1</v>
      </c>
      <c r="L678" s="212">
        <f t="shared" si="77"/>
        <v>17280388</v>
      </c>
      <c r="M678" s="602"/>
      <c r="N678" s="675">
        <f>+'Yeşil Defter'!K671</f>
        <v>0</v>
      </c>
      <c r="O678" s="675">
        <f>+'Yeşil Defter'!L671</f>
        <v>0</v>
      </c>
      <c r="P678" s="675">
        <f>+'Yeşil Defter'!M671</f>
        <v>0</v>
      </c>
      <c r="Q678" s="212"/>
      <c r="R678" s="605">
        <f t="shared" si="78"/>
        <v>0</v>
      </c>
      <c r="S678" s="225">
        <f t="shared" si="79"/>
        <v>0</v>
      </c>
      <c r="T678" s="237">
        <f t="shared" si="80"/>
        <v>0</v>
      </c>
    </row>
    <row r="679" spans="1:20" ht="30" hidden="1" customHeight="1" x14ac:dyDescent="0.3">
      <c r="A679" s="262">
        <v>5</v>
      </c>
      <c r="C679" s="244">
        <v>358</v>
      </c>
      <c r="D679" s="161" t="s">
        <v>904</v>
      </c>
      <c r="E679" s="969" t="s">
        <v>905</v>
      </c>
      <c r="F679" s="970"/>
      <c r="G679" s="971"/>
      <c r="H679" s="544" t="s">
        <v>286</v>
      </c>
      <c r="I679" s="212">
        <v>30092779</v>
      </c>
      <c r="J679" s="605"/>
      <c r="K679" s="212">
        <v>1</v>
      </c>
      <c r="L679" s="212">
        <f t="shared" si="77"/>
        <v>30092779</v>
      </c>
      <c r="M679" s="602"/>
      <c r="N679" s="675">
        <f>+'Yeşil Defter'!K672</f>
        <v>0</v>
      </c>
      <c r="O679" s="675">
        <f>+'Yeşil Defter'!L672</f>
        <v>0</v>
      </c>
      <c r="P679" s="675">
        <f>+'Yeşil Defter'!M672</f>
        <v>0</v>
      </c>
      <c r="Q679" s="212"/>
      <c r="R679" s="605">
        <f t="shared" si="78"/>
        <v>0</v>
      </c>
      <c r="S679" s="225">
        <f t="shared" si="79"/>
        <v>0</v>
      </c>
      <c r="T679" s="237">
        <f t="shared" si="80"/>
        <v>0</v>
      </c>
    </row>
    <row r="680" spans="1:20" ht="30" hidden="1" customHeight="1" x14ac:dyDescent="0.3">
      <c r="A680" s="262">
        <v>5</v>
      </c>
      <c r="C680" s="244">
        <v>359</v>
      </c>
      <c r="D680" s="161" t="s">
        <v>906</v>
      </c>
      <c r="E680" s="969" t="s">
        <v>907</v>
      </c>
      <c r="F680" s="970"/>
      <c r="G680" s="971"/>
      <c r="H680" s="544" t="s">
        <v>286</v>
      </c>
      <c r="I680" s="212">
        <v>32859931</v>
      </c>
      <c r="J680" s="605"/>
      <c r="K680" s="212">
        <v>1</v>
      </c>
      <c r="L680" s="212">
        <f t="shared" si="77"/>
        <v>32859931</v>
      </c>
      <c r="M680" s="602"/>
      <c r="N680" s="675">
        <f>+'Yeşil Defter'!K673</f>
        <v>0</v>
      </c>
      <c r="O680" s="675">
        <f>+'Yeşil Defter'!L673</f>
        <v>0</v>
      </c>
      <c r="P680" s="675">
        <f>+'Yeşil Defter'!M673</f>
        <v>0</v>
      </c>
      <c r="Q680" s="212"/>
      <c r="R680" s="605">
        <f t="shared" si="78"/>
        <v>0</v>
      </c>
      <c r="S680" s="225">
        <f t="shared" si="79"/>
        <v>0</v>
      </c>
      <c r="T680" s="237">
        <f t="shared" si="80"/>
        <v>0</v>
      </c>
    </row>
    <row r="681" spans="1:20" ht="30" hidden="1" customHeight="1" x14ac:dyDescent="0.3">
      <c r="A681" s="262">
        <v>5</v>
      </c>
      <c r="C681" s="244">
        <v>360</v>
      </c>
      <c r="D681" s="161" t="s">
        <v>908</v>
      </c>
      <c r="E681" s="969" t="s">
        <v>909</v>
      </c>
      <c r="F681" s="970"/>
      <c r="G681" s="971"/>
      <c r="H681" s="544" t="s">
        <v>286</v>
      </c>
      <c r="I681" s="212">
        <v>34589401</v>
      </c>
      <c r="J681" s="605"/>
      <c r="K681" s="212">
        <v>1</v>
      </c>
      <c r="L681" s="212">
        <f t="shared" si="77"/>
        <v>34589401</v>
      </c>
      <c r="M681" s="602"/>
      <c r="N681" s="675">
        <f>+'Yeşil Defter'!K674</f>
        <v>0</v>
      </c>
      <c r="O681" s="675">
        <f>+'Yeşil Defter'!L674</f>
        <v>0</v>
      </c>
      <c r="P681" s="675">
        <f>+'Yeşil Defter'!M674</f>
        <v>0</v>
      </c>
      <c r="Q681" s="212"/>
      <c r="R681" s="605">
        <f t="shared" si="78"/>
        <v>0</v>
      </c>
      <c r="S681" s="225">
        <f t="shared" si="72"/>
        <v>0</v>
      </c>
      <c r="T681" s="237">
        <f t="shared" si="80"/>
        <v>0</v>
      </c>
    </row>
    <row r="682" spans="1:20" ht="30" hidden="1" customHeight="1" x14ac:dyDescent="0.3">
      <c r="A682" s="262">
        <v>5</v>
      </c>
      <c r="C682" s="244">
        <v>361</v>
      </c>
      <c r="D682" s="161" t="s">
        <v>910</v>
      </c>
      <c r="E682" s="969" t="s">
        <v>911</v>
      </c>
      <c r="F682" s="970"/>
      <c r="G682" s="971"/>
      <c r="H682" s="544" t="s">
        <v>286</v>
      </c>
      <c r="I682" s="212">
        <v>31130461</v>
      </c>
      <c r="J682" s="605"/>
      <c r="K682" s="212">
        <v>1</v>
      </c>
      <c r="L682" s="212">
        <f t="shared" si="77"/>
        <v>31130461</v>
      </c>
      <c r="M682" s="602"/>
      <c r="N682" s="675">
        <f>+'Yeşil Defter'!K675</f>
        <v>0</v>
      </c>
      <c r="O682" s="675">
        <f>+'Yeşil Defter'!L675</f>
        <v>0</v>
      </c>
      <c r="P682" s="675">
        <f>+'Yeşil Defter'!M675</f>
        <v>0</v>
      </c>
      <c r="Q682" s="212"/>
      <c r="R682" s="605">
        <f t="shared" si="78"/>
        <v>0</v>
      </c>
      <c r="S682" s="225">
        <f t="shared" si="72"/>
        <v>0</v>
      </c>
      <c r="T682" s="237">
        <f t="shared" si="80"/>
        <v>0</v>
      </c>
    </row>
    <row r="683" spans="1:20" ht="30" hidden="1" customHeight="1" x14ac:dyDescent="0.3">
      <c r="A683" s="262">
        <v>5</v>
      </c>
      <c r="C683" s="244">
        <v>362</v>
      </c>
      <c r="D683" s="161" t="s">
        <v>912</v>
      </c>
      <c r="E683" s="969" t="s">
        <v>913</v>
      </c>
      <c r="F683" s="970"/>
      <c r="G683" s="971"/>
      <c r="H683" s="544" t="s">
        <v>286</v>
      </c>
      <c r="I683" s="212">
        <v>32859931</v>
      </c>
      <c r="J683" s="605"/>
      <c r="K683" s="212">
        <v>1</v>
      </c>
      <c r="L683" s="212">
        <f t="shared" si="77"/>
        <v>32859931</v>
      </c>
      <c r="M683" s="602"/>
      <c r="N683" s="675">
        <f>+'Yeşil Defter'!K676</f>
        <v>0</v>
      </c>
      <c r="O683" s="675">
        <f>+'Yeşil Defter'!L676</f>
        <v>0</v>
      </c>
      <c r="P683" s="675">
        <f>+'Yeşil Defter'!M676</f>
        <v>0</v>
      </c>
      <c r="Q683" s="212"/>
      <c r="R683" s="605">
        <f t="shared" si="78"/>
        <v>0</v>
      </c>
      <c r="S683" s="225">
        <f t="shared" si="72"/>
        <v>0</v>
      </c>
      <c r="T683" s="237">
        <f t="shared" si="80"/>
        <v>0</v>
      </c>
    </row>
    <row r="684" spans="1:20" ht="30" hidden="1" customHeight="1" x14ac:dyDescent="0.3">
      <c r="A684" s="262">
        <v>5</v>
      </c>
      <c r="C684" s="244">
        <v>363</v>
      </c>
      <c r="D684" s="161" t="s">
        <v>914</v>
      </c>
      <c r="E684" s="969" t="s">
        <v>915</v>
      </c>
      <c r="F684" s="970"/>
      <c r="G684" s="971"/>
      <c r="H684" s="544" t="s">
        <v>286</v>
      </c>
      <c r="I684" s="212">
        <v>3427125</v>
      </c>
      <c r="J684" s="605"/>
      <c r="K684" s="212">
        <v>1</v>
      </c>
      <c r="L684" s="212">
        <f t="shared" si="77"/>
        <v>3427125</v>
      </c>
      <c r="M684" s="602"/>
      <c r="N684" s="675">
        <f>+'Yeşil Defter'!K677</f>
        <v>0</v>
      </c>
      <c r="O684" s="675">
        <f>+'Yeşil Defter'!L677</f>
        <v>0</v>
      </c>
      <c r="P684" s="675">
        <f>+'Yeşil Defter'!M677</f>
        <v>0</v>
      </c>
      <c r="Q684" s="212"/>
      <c r="R684" s="605">
        <f t="shared" si="78"/>
        <v>0</v>
      </c>
      <c r="S684" s="225">
        <f t="shared" si="72"/>
        <v>0</v>
      </c>
      <c r="T684" s="237">
        <f t="shared" si="80"/>
        <v>0</v>
      </c>
    </row>
    <row r="685" spans="1:20" ht="30" hidden="1" customHeight="1" x14ac:dyDescent="0.3">
      <c r="A685" s="262">
        <v>5</v>
      </c>
      <c r="C685" s="244">
        <v>364</v>
      </c>
      <c r="D685" s="161" t="s">
        <v>916</v>
      </c>
      <c r="E685" s="969" t="s">
        <v>917</v>
      </c>
      <c r="F685" s="970"/>
      <c r="G685" s="971"/>
      <c r="H685" s="544" t="s">
        <v>286</v>
      </c>
      <c r="I685" s="212">
        <v>3427125</v>
      </c>
      <c r="J685" s="605"/>
      <c r="K685" s="212">
        <v>1</v>
      </c>
      <c r="L685" s="212">
        <f t="shared" si="77"/>
        <v>3427125</v>
      </c>
      <c r="M685" s="602"/>
      <c r="N685" s="675">
        <f>+'Yeşil Defter'!K678</f>
        <v>0</v>
      </c>
      <c r="O685" s="675">
        <f>+'Yeşil Defter'!L678</f>
        <v>0</v>
      </c>
      <c r="P685" s="675">
        <f>+'Yeşil Defter'!M678</f>
        <v>0</v>
      </c>
      <c r="Q685" s="212"/>
      <c r="R685" s="605">
        <f t="shared" si="78"/>
        <v>0</v>
      </c>
      <c r="S685" s="225">
        <f t="shared" si="72"/>
        <v>0</v>
      </c>
      <c r="T685" s="237">
        <f t="shared" si="80"/>
        <v>0</v>
      </c>
    </row>
    <row r="686" spans="1:20" ht="30" hidden="1" customHeight="1" x14ac:dyDescent="0.3">
      <c r="A686" s="262">
        <v>5</v>
      </c>
      <c r="C686" s="244">
        <v>365</v>
      </c>
      <c r="D686" s="161" t="s">
        <v>918</v>
      </c>
      <c r="E686" s="969" t="s">
        <v>919</v>
      </c>
      <c r="F686" s="970"/>
      <c r="G686" s="971"/>
      <c r="H686" s="544" t="s">
        <v>286</v>
      </c>
      <c r="I686" s="212">
        <v>3427125</v>
      </c>
      <c r="J686" s="605"/>
      <c r="K686" s="212">
        <v>1</v>
      </c>
      <c r="L686" s="212">
        <f t="shared" si="77"/>
        <v>3427125</v>
      </c>
      <c r="M686" s="602"/>
      <c r="N686" s="675">
        <f>+'Yeşil Defter'!K679</f>
        <v>0</v>
      </c>
      <c r="O686" s="675">
        <f>+'Yeşil Defter'!L679</f>
        <v>0</v>
      </c>
      <c r="P686" s="675">
        <f>+'Yeşil Defter'!M679</f>
        <v>0</v>
      </c>
      <c r="Q686" s="212"/>
      <c r="R686" s="605">
        <f t="shared" si="78"/>
        <v>0</v>
      </c>
      <c r="S686" s="225">
        <f t="shared" si="72"/>
        <v>0</v>
      </c>
      <c r="T686" s="237">
        <f t="shared" si="80"/>
        <v>0</v>
      </c>
    </row>
    <row r="687" spans="1:20" ht="30" hidden="1" customHeight="1" x14ac:dyDescent="0.3">
      <c r="A687" s="262">
        <v>5</v>
      </c>
      <c r="C687" s="244">
        <v>366</v>
      </c>
      <c r="D687" s="161" t="s">
        <v>920</v>
      </c>
      <c r="E687" s="969" t="s">
        <v>921</v>
      </c>
      <c r="F687" s="970"/>
      <c r="G687" s="971"/>
      <c r="H687" s="544" t="s">
        <v>286</v>
      </c>
      <c r="I687" s="212">
        <v>3427125</v>
      </c>
      <c r="J687" s="605"/>
      <c r="K687" s="212">
        <v>1</v>
      </c>
      <c r="L687" s="212">
        <f t="shared" si="77"/>
        <v>3427125</v>
      </c>
      <c r="M687" s="602"/>
      <c r="N687" s="675">
        <f>+'Yeşil Defter'!K680</f>
        <v>0</v>
      </c>
      <c r="O687" s="675">
        <f>+'Yeşil Defter'!L680</f>
        <v>0</v>
      </c>
      <c r="P687" s="675">
        <f>+'Yeşil Defter'!M680</f>
        <v>0</v>
      </c>
      <c r="Q687" s="212"/>
      <c r="R687" s="605">
        <f t="shared" si="78"/>
        <v>0</v>
      </c>
      <c r="S687" s="225">
        <f t="shared" si="72"/>
        <v>0</v>
      </c>
      <c r="T687" s="237">
        <f t="shared" si="80"/>
        <v>0</v>
      </c>
    </row>
    <row r="688" spans="1:20" ht="30" hidden="1" customHeight="1" x14ac:dyDescent="0.3">
      <c r="A688" s="262">
        <v>5</v>
      </c>
      <c r="C688" s="244">
        <v>367</v>
      </c>
      <c r="D688" s="161" t="s">
        <v>922</v>
      </c>
      <c r="E688" s="969" t="s">
        <v>923</v>
      </c>
      <c r="F688" s="970"/>
      <c r="G688" s="971"/>
      <c r="H688" s="544" t="s">
        <v>286</v>
      </c>
      <c r="I688" s="212">
        <v>3427125</v>
      </c>
      <c r="J688" s="605"/>
      <c r="K688" s="212">
        <v>1</v>
      </c>
      <c r="L688" s="341">
        <f t="shared" si="77"/>
        <v>3427125</v>
      </c>
      <c r="M688" s="212"/>
      <c r="N688" s="675">
        <f>+'Yeşil Defter'!K681</f>
        <v>0</v>
      </c>
      <c r="O688" s="675">
        <f>+'Yeşil Defter'!L681</f>
        <v>0</v>
      </c>
      <c r="P688" s="675">
        <f>+'Yeşil Defter'!M681</f>
        <v>0</v>
      </c>
      <c r="Q688" s="212"/>
      <c r="R688" s="605">
        <f t="shared" si="78"/>
        <v>0</v>
      </c>
      <c r="S688" s="225">
        <f t="shared" si="72"/>
        <v>0</v>
      </c>
      <c r="T688" s="237">
        <f t="shared" si="80"/>
        <v>0</v>
      </c>
    </row>
    <row r="689" spans="1:20" ht="30" hidden="1" customHeight="1" x14ac:dyDescent="0.3">
      <c r="A689" s="262">
        <v>5</v>
      </c>
      <c r="C689" s="244"/>
      <c r="D689" s="161"/>
      <c r="E689" s="969"/>
      <c r="F689" s="970"/>
      <c r="G689" s="971"/>
      <c r="H689" s="161"/>
      <c r="I689" s="605"/>
      <c r="J689" s="605"/>
      <c r="K689" s="212"/>
      <c r="L689" s="341"/>
      <c r="M689" s="212"/>
      <c r="N689" s="605"/>
      <c r="O689" s="212"/>
      <c r="P689" s="341"/>
      <c r="Q689" s="212"/>
      <c r="R689" s="605"/>
      <c r="S689" s="225"/>
      <c r="T689" s="237"/>
    </row>
    <row r="690" spans="1:20" ht="30" hidden="1" customHeight="1" x14ac:dyDescent="0.3">
      <c r="A690" s="262">
        <v>5</v>
      </c>
      <c r="C690" s="244"/>
      <c r="D690" s="161"/>
      <c r="E690" s="969"/>
      <c r="F690" s="970"/>
      <c r="G690" s="971"/>
      <c r="H690" s="161"/>
      <c r="I690" s="605"/>
      <c r="J690" s="605"/>
      <c r="K690" s="212"/>
      <c r="L690" s="341"/>
      <c r="M690" s="212"/>
      <c r="N690" s="605"/>
      <c r="O690" s="212"/>
      <c r="P690" s="341"/>
      <c r="Q690" s="212"/>
      <c r="R690" s="605"/>
      <c r="S690" s="225"/>
      <c r="T690" s="237"/>
    </row>
    <row r="691" spans="1:20" ht="30" hidden="1" customHeight="1" x14ac:dyDescent="0.3">
      <c r="A691" s="262">
        <v>5</v>
      </c>
      <c r="C691" s="244"/>
      <c r="D691" s="161"/>
      <c r="E691" s="969"/>
      <c r="F691" s="970"/>
      <c r="G691" s="971"/>
      <c r="H691" s="161"/>
      <c r="I691" s="605"/>
      <c r="J691" s="605"/>
      <c r="K691" s="212"/>
      <c r="L691" s="341"/>
      <c r="M691" s="212"/>
      <c r="N691" s="605"/>
      <c r="O691" s="212"/>
      <c r="P691" s="341"/>
      <c r="Q691" s="212"/>
      <c r="R691" s="605"/>
      <c r="S691" s="225"/>
      <c r="T691" s="237"/>
    </row>
    <row r="692" spans="1:20" ht="30" hidden="1" customHeight="1" x14ac:dyDescent="0.3">
      <c r="A692" s="262">
        <v>5</v>
      </c>
      <c r="C692" s="244"/>
      <c r="D692" s="161"/>
      <c r="E692" s="969"/>
      <c r="F692" s="970"/>
      <c r="G692" s="971"/>
      <c r="H692" s="658"/>
      <c r="I692" s="605"/>
      <c r="J692" s="605"/>
      <c r="K692" s="212"/>
      <c r="L692" s="341"/>
      <c r="M692" s="302"/>
      <c r="N692" s="605"/>
      <c r="O692" s="212"/>
      <c r="P692" s="341"/>
      <c r="Q692" s="302"/>
      <c r="R692" s="605"/>
      <c r="S692" s="225"/>
      <c r="T692" s="237"/>
    </row>
    <row r="693" spans="1:20" ht="40.049999999999997" hidden="1" customHeight="1" x14ac:dyDescent="0.3">
      <c r="A693" s="262" t="s">
        <v>1242</v>
      </c>
      <c r="C693" s="258"/>
      <c r="D693" s="258"/>
      <c r="E693" s="972" t="s">
        <v>33</v>
      </c>
      <c r="F693" s="972"/>
      <c r="G693" s="972"/>
      <c r="H693" s="973" t="s">
        <v>29</v>
      </c>
      <c r="I693" s="973"/>
      <c r="J693" s="973"/>
      <c r="K693" s="973"/>
      <c r="L693" s="973"/>
      <c r="M693" s="549"/>
      <c r="N693" s="973" t="s">
        <v>22</v>
      </c>
      <c r="O693" s="973"/>
      <c r="P693" s="973"/>
      <c r="Q693" s="973"/>
      <c r="R693" s="973"/>
      <c r="S693" s="973"/>
      <c r="T693" s="973"/>
    </row>
    <row r="694" spans="1:20" ht="19.95" hidden="1" customHeight="1" x14ac:dyDescent="0.3">
      <c r="A694" s="262" t="s">
        <v>1242</v>
      </c>
      <c r="D694" s="28"/>
      <c r="E694" s="974" t="s">
        <v>1214</v>
      </c>
      <c r="F694" s="974"/>
      <c r="G694" s="974"/>
      <c r="H694" s="975" t="s">
        <v>38</v>
      </c>
      <c r="I694" s="975"/>
      <c r="J694" s="975"/>
      <c r="K694" s="975"/>
      <c r="L694" s="975"/>
      <c r="M694" s="562"/>
      <c r="N694" s="975" t="s">
        <v>1437</v>
      </c>
      <c r="O694" s="975"/>
      <c r="P694" s="975"/>
      <c r="Q694" s="975"/>
      <c r="R694" s="975"/>
      <c r="S694" s="975"/>
      <c r="T694" s="975"/>
    </row>
    <row r="695" spans="1:20" ht="19.95" hidden="1" customHeight="1" x14ac:dyDescent="0.3">
      <c r="A695" s="262" t="s">
        <v>1242</v>
      </c>
      <c r="C695" s="228"/>
      <c r="D695" s="228"/>
      <c r="E695" s="561"/>
      <c r="F695" s="561"/>
      <c r="G695" s="561"/>
      <c r="H695" s="228"/>
      <c r="I695" s="260"/>
      <c r="J695" s="260"/>
      <c r="K695" s="260"/>
      <c r="L695" s="260"/>
      <c r="M695" s="260"/>
      <c r="N695" s="975"/>
      <c r="O695" s="975"/>
      <c r="P695" s="975"/>
      <c r="Q695" s="975"/>
      <c r="R695" s="975"/>
      <c r="S695" s="975"/>
      <c r="T695" s="975"/>
    </row>
    <row r="696" spans="1:20" ht="19.95" hidden="1" customHeight="1" x14ac:dyDescent="0.3">
      <c r="A696" s="262" t="s">
        <v>1242</v>
      </c>
      <c r="C696" s="228"/>
      <c r="D696" s="228"/>
      <c r="E696" s="561"/>
      <c r="F696" s="561"/>
      <c r="G696" s="561"/>
      <c r="H696" s="228"/>
      <c r="I696" s="260"/>
      <c r="J696" s="260"/>
      <c r="K696" s="260"/>
      <c r="L696" s="260"/>
      <c r="M696" s="260"/>
      <c r="N696" s="975"/>
      <c r="O696" s="975"/>
      <c r="P696" s="975"/>
      <c r="Q696" s="975"/>
      <c r="R696" s="975"/>
      <c r="S696" s="975"/>
      <c r="T696" s="975"/>
    </row>
    <row r="697" spans="1:20" ht="19.95" hidden="1" customHeight="1" x14ac:dyDescent="0.3">
      <c r="A697" s="262" t="s">
        <v>1242</v>
      </c>
      <c r="C697" s="228"/>
      <c r="D697" s="228"/>
      <c r="E697" s="561"/>
      <c r="F697" s="561"/>
      <c r="G697" s="561"/>
      <c r="H697" s="261"/>
      <c r="I697" s="261"/>
      <c r="J697" s="261"/>
      <c r="K697" s="261"/>
      <c r="L697" s="261"/>
      <c r="M697" s="261"/>
      <c r="N697" s="260"/>
      <c r="O697" s="260"/>
      <c r="P697" s="260"/>
      <c r="Q697" s="260"/>
      <c r="R697" s="260"/>
      <c r="S697" s="260"/>
      <c r="T697" s="260"/>
    </row>
    <row r="698" spans="1:20" ht="19.95" hidden="1" customHeight="1" x14ac:dyDescent="0.3">
      <c r="A698" s="262" t="s">
        <v>1242</v>
      </c>
      <c r="C698" s="228"/>
      <c r="D698" s="228"/>
      <c r="E698" s="561"/>
      <c r="F698" s="561"/>
      <c r="G698" s="561"/>
      <c r="H698" s="975" t="s">
        <v>32</v>
      </c>
      <c r="I698" s="975"/>
      <c r="J698" s="562"/>
      <c r="K698" s="975" t="s">
        <v>1407</v>
      </c>
      <c r="L698" s="975"/>
      <c r="M698" s="562"/>
      <c r="N698" s="968" t="s">
        <v>1244</v>
      </c>
      <c r="O698" s="968"/>
      <c r="P698" s="968"/>
      <c r="Q698" s="968"/>
      <c r="R698" s="968"/>
      <c r="S698" s="968"/>
      <c r="T698" s="968"/>
    </row>
    <row r="699" spans="1:20" ht="19.95" hidden="1" customHeight="1" x14ac:dyDescent="0.3">
      <c r="A699" s="262" t="s">
        <v>1242</v>
      </c>
      <c r="C699" s="228"/>
      <c r="D699" s="228"/>
      <c r="E699" s="561"/>
      <c r="F699" s="561"/>
      <c r="G699" s="561"/>
      <c r="H699" s="976" t="s">
        <v>94</v>
      </c>
      <c r="I699" s="976"/>
      <c r="J699" s="623"/>
      <c r="K699" s="976" t="s">
        <v>94</v>
      </c>
      <c r="L699" s="976"/>
      <c r="M699" s="623"/>
      <c r="N699" s="968" t="s">
        <v>1483</v>
      </c>
      <c r="O699" s="968"/>
      <c r="P699" s="968"/>
      <c r="Q699" s="968"/>
      <c r="R699" s="968"/>
      <c r="S699" s="968"/>
      <c r="T699" s="968"/>
    </row>
    <row r="700" spans="1:20" ht="19.95" hidden="1" customHeight="1" x14ac:dyDescent="0.3">
      <c r="A700" s="262" t="s">
        <v>1242</v>
      </c>
      <c r="C700" s="228"/>
      <c r="D700" s="228"/>
      <c r="E700" s="561"/>
      <c r="F700" s="561"/>
      <c r="G700" s="561"/>
      <c r="H700" s="976"/>
      <c r="I700" s="976"/>
      <c r="J700" s="623"/>
      <c r="K700" s="976"/>
      <c r="L700" s="976"/>
      <c r="M700" s="623"/>
      <c r="N700" s="968"/>
      <c r="O700" s="968"/>
      <c r="P700" s="968"/>
      <c r="Q700" s="968"/>
      <c r="R700" s="968"/>
      <c r="S700" s="968"/>
      <c r="T700" s="968"/>
    </row>
    <row r="701" spans="1:20" ht="19.95" hidden="1" customHeight="1" x14ac:dyDescent="0.3">
      <c r="A701" s="262" t="s">
        <v>1242</v>
      </c>
      <c r="C701" s="228"/>
      <c r="D701" s="228"/>
      <c r="E701" s="561"/>
      <c r="F701" s="561"/>
      <c r="G701" s="561"/>
      <c r="H701" s="228"/>
      <c r="I701" s="260"/>
      <c r="J701" s="260"/>
      <c r="K701" s="260"/>
      <c r="L701" s="260"/>
      <c r="M701" s="260"/>
      <c r="N701" s="260"/>
      <c r="O701" s="260"/>
      <c r="P701" s="260"/>
      <c r="Q701" s="260"/>
      <c r="R701" s="260"/>
      <c r="S701" s="624"/>
      <c r="T701" s="260"/>
    </row>
    <row r="702" spans="1:20" ht="19.95" hidden="1" customHeight="1" x14ac:dyDescent="0.3">
      <c r="A702" s="262" t="s">
        <v>1242</v>
      </c>
      <c r="C702" s="228"/>
      <c r="D702" s="228"/>
      <c r="E702" s="975" t="s">
        <v>1215</v>
      </c>
      <c r="F702" s="975"/>
      <c r="G702" s="975"/>
      <c r="H702" s="975" t="s">
        <v>1348</v>
      </c>
      <c r="I702" s="975"/>
      <c r="J702" s="975"/>
      <c r="K702" s="975"/>
      <c r="L702" s="975"/>
      <c r="M702" s="562"/>
      <c r="N702" s="977" t="s">
        <v>1219</v>
      </c>
      <c r="O702" s="968"/>
      <c r="P702" s="968"/>
      <c r="Q702" s="968"/>
      <c r="R702" s="968"/>
      <c r="S702" s="968"/>
      <c r="T702" s="968"/>
    </row>
    <row r="703" spans="1:20" ht="19.95" hidden="1" customHeight="1" x14ac:dyDescent="0.3">
      <c r="A703" s="262" t="s">
        <v>1290</v>
      </c>
      <c r="C703" s="228"/>
      <c r="D703" s="228"/>
      <c r="E703" s="975"/>
      <c r="F703" s="975"/>
      <c r="G703" s="975"/>
      <c r="H703" s="975"/>
      <c r="I703" s="975"/>
      <c r="J703" s="975"/>
      <c r="K703" s="975"/>
      <c r="L703" s="975"/>
      <c r="M703" s="562"/>
      <c r="N703" s="968"/>
      <c r="O703" s="968"/>
      <c r="P703" s="968"/>
      <c r="Q703" s="968"/>
      <c r="R703" s="968"/>
      <c r="S703" s="968"/>
      <c r="T703" s="968"/>
    </row>
    <row r="704" spans="1:20" ht="30" hidden="1" customHeight="1" x14ac:dyDescent="0.3">
      <c r="A704" s="262" t="s">
        <v>1240</v>
      </c>
      <c r="C704" s="625"/>
      <c r="D704" s="626" t="s">
        <v>1233</v>
      </c>
      <c r="E704" s="627"/>
      <c r="F704" s="627"/>
      <c r="G704" s="627"/>
      <c r="H704" s="627"/>
      <c r="I704" s="628"/>
      <c r="J704" s="628"/>
      <c r="K704" s="628"/>
      <c r="L704" s="644">
        <f>+SUMIFS(L:L,A:A,"6")</f>
        <v>360484829</v>
      </c>
      <c r="M704" s="629"/>
      <c r="N704" s="648"/>
      <c r="O704" s="628"/>
      <c r="P704" s="628"/>
      <c r="Q704" s="611"/>
      <c r="R704" s="651">
        <f>+SUMIFS(R:R,A:A,"6")</f>
        <v>0</v>
      </c>
      <c r="S704" s="630">
        <f>+SUMIFS(S:S,A:A,"6")</f>
        <v>0</v>
      </c>
      <c r="T704" s="631">
        <f>+SUMIFS(T:T,A:A,"6")</f>
        <v>0</v>
      </c>
    </row>
    <row r="705" spans="1:20" ht="30" hidden="1" customHeight="1" x14ac:dyDescent="0.3">
      <c r="A705" s="262">
        <v>6</v>
      </c>
      <c r="C705" s="244">
        <v>368</v>
      </c>
      <c r="D705" s="161" t="s">
        <v>924</v>
      </c>
      <c r="E705" s="969" t="s">
        <v>925</v>
      </c>
      <c r="F705" s="970"/>
      <c r="G705" s="971"/>
      <c r="H705" s="544" t="s">
        <v>286</v>
      </c>
      <c r="I705" s="212">
        <v>2747944</v>
      </c>
      <c r="J705" s="605"/>
      <c r="K705" s="212">
        <v>1</v>
      </c>
      <c r="L705" s="212">
        <f t="shared" ref="L705:L726" si="81">+ROUND(I705*K705,2)</f>
        <v>2747944</v>
      </c>
      <c r="M705" s="602"/>
      <c r="N705" s="675">
        <f>+'Yeşil Defter'!K710</f>
        <v>0</v>
      </c>
      <c r="O705" s="675">
        <f>+'Yeşil Defter'!L710</f>
        <v>0</v>
      </c>
      <c r="P705" s="675">
        <f>+'Yeşil Defter'!M710</f>
        <v>0</v>
      </c>
      <c r="Q705" s="212"/>
      <c r="R705" s="605">
        <f t="shared" ref="R705:R726" si="82">+ROUND(K705*N705,2)</f>
        <v>0</v>
      </c>
      <c r="S705" s="225">
        <f t="shared" ref="S705:S707" si="83">+T705-R705</f>
        <v>0</v>
      </c>
      <c r="T705" s="237">
        <f t="shared" ref="T705:T726" si="84">+ROUND(K705*P705,2)</f>
        <v>0</v>
      </c>
    </row>
    <row r="706" spans="1:20" ht="30" hidden="1" customHeight="1" x14ac:dyDescent="0.3">
      <c r="A706" s="262">
        <v>6</v>
      </c>
      <c r="C706" s="244">
        <v>369</v>
      </c>
      <c r="D706" s="161" t="s">
        <v>926</v>
      </c>
      <c r="E706" s="969" t="s">
        <v>927</v>
      </c>
      <c r="F706" s="970"/>
      <c r="G706" s="971"/>
      <c r="H706" s="544" t="s">
        <v>286</v>
      </c>
      <c r="I706" s="212">
        <v>2747944</v>
      </c>
      <c r="J706" s="605"/>
      <c r="K706" s="212">
        <v>1</v>
      </c>
      <c r="L706" s="212">
        <f t="shared" si="81"/>
        <v>2747944</v>
      </c>
      <c r="M706" s="602"/>
      <c r="N706" s="675">
        <f>+'Yeşil Defter'!K711</f>
        <v>0</v>
      </c>
      <c r="O706" s="675">
        <f>+'Yeşil Defter'!L711</f>
        <v>0</v>
      </c>
      <c r="P706" s="675">
        <f>+'Yeşil Defter'!M711</f>
        <v>0</v>
      </c>
      <c r="Q706" s="212"/>
      <c r="R706" s="605">
        <f t="shared" si="82"/>
        <v>0</v>
      </c>
      <c r="S706" s="225">
        <f t="shared" si="83"/>
        <v>0</v>
      </c>
      <c r="T706" s="237">
        <f t="shared" si="84"/>
        <v>0</v>
      </c>
    </row>
    <row r="707" spans="1:20" ht="30" hidden="1" customHeight="1" x14ac:dyDescent="0.3">
      <c r="A707" s="262">
        <v>6</v>
      </c>
      <c r="C707" s="244">
        <v>370</v>
      </c>
      <c r="D707" s="161" t="s">
        <v>928</v>
      </c>
      <c r="E707" s="969" t="s">
        <v>929</v>
      </c>
      <c r="F707" s="970"/>
      <c r="G707" s="971"/>
      <c r="H707" s="544" t="s">
        <v>286</v>
      </c>
      <c r="I707" s="212">
        <v>2747944</v>
      </c>
      <c r="J707" s="605"/>
      <c r="K707" s="212">
        <v>1</v>
      </c>
      <c r="L707" s="212">
        <f t="shared" si="81"/>
        <v>2747944</v>
      </c>
      <c r="M707" s="602"/>
      <c r="N707" s="675">
        <f>+'Yeşil Defter'!K712</f>
        <v>0</v>
      </c>
      <c r="O707" s="675">
        <f>+'Yeşil Defter'!L712</f>
        <v>0</v>
      </c>
      <c r="P707" s="675">
        <f>+'Yeşil Defter'!M712</f>
        <v>0</v>
      </c>
      <c r="Q707" s="212"/>
      <c r="R707" s="605">
        <f t="shared" si="82"/>
        <v>0</v>
      </c>
      <c r="S707" s="225">
        <f t="shared" si="83"/>
        <v>0</v>
      </c>
      <c r="T707" s="237">
        <f t="shared" si="84"/>
        <v>0</v>
      </c>
    </row>
    <row r="708" spans="1:20" ht="30" hidden="1" customHeight="1" x14ac:dyDescent="0.3">
      <c r="A708" s="262">
        <v>6</v>
      </c>
      <c r="C708" s="244">
        <v>371</v>
      </c>
      <c r="D708" s="161" t="s">
        <v>930</v>
      </c>
      <c r="E708" s="969" t="s">
        <v>931</v>
      </c>
      <c r="F708" s="970"/>
      <c r="G708" s="971"/>
      <c r="H708" s="544" t="s">
        <v>286</v>
      </c>
      <c r="I708" s="212">
        <v>2747944</v>
      </c>
      <c r="J708" s="605"/>
      <c r="K708" s="212">
        <v>1</v>
      </c>
      <c r="L708" s="212">
        <f t="shared" si="81"/>
        <v>2747944</v>
      </c>
      <c r="M708" s="602"/>
      <c r="N708" s="675">
        <f>+'Yeşil Defter'!K713</f>
        <v>0</v>
      </c>
      <c r="O708" s="675">
        <f>+'Yeşil Defter'!L713</f>
        <v>0</v>
      </c>
      <c r="P708" s="675">
        <f>+'Yeşil Defter'!M713</f>
        <v>0</v>
      </c>
      <c r="Q708" s="212"/>
      <c r="R708" s="605">
        <f t="shared" si="82"/>
        <v>0</v>
      </c>
      <c r="S708" s="225">
        <f t="shared" si="72"/>
        <v>0</v>
      </c>
      <c r="T708" s="237">
        <f t="shared" si="84"/>
        <v>0</v>
      </c>
    </row>
    <row r="709" spans="1:20" ht="30" hidden="1" customHeight="1" x14ac:dyDescent="0.3">
      <c r="A709" s="262">
        <v>6</v>
      </c>
      <c r="C709" s="244">
        <v>372</v>
      </c>
      <c r="D709" s="161" t="s">
        <v>932</v>
      </c>
      <c r="E709" s="969" t="s">
        <v>933</v>
      </c>
      <c r="F709" s="970"/>
      <c r="G709" s="971"/>
      <c r="H709" s="544" t="s">
        <v>286</v>
      </c>
      <c r="I709" s="212">
        <v>2747944</v>
      </c>
      <c r="J709" s="605"/>
      <c r="K709" s="212">
        <v>1</v>
      </c>
      <c r="L709" s="212">
        <f t="shared" si="81"/>
        <v>2747944</v>
      </c>
      <c r="M709" s="602"/>
      <c r="N709" s="675">
        <f>+'Yeşil Defter'!K714</f>
        <v>0</v>
      </c>
      <c r="O709" s="675">
        <f>+'Yeşil Defter'!L714</f>
        <v>0</v>
      </c>
      <c r="P709" s="675">
        <f>+'Yeşil Defter'!M714</f>
        <v>0</v>
      </c>
      <c r="Q709" s="212"/>
      <c r="R709" s="605">
        <f t="shared" si="82"/>
        <v>0</v>
      </c>
      <c r="S709" s="225">
        <f t="shared" si="72"/>
        <v>0</v>
      </c>
      <c r="T709" s="237">
        <f t="shared" si="84"/>
        <v>0</v>
      </c>
    </row>
    <row r="710" spans="1:20" ht="30" hidden="1" customHeight="1" x14ac:dyDescent="0.3">
      <c r="A710" s="262">
        <v>6</v>
      </c>
      <c r="C710" s="244">
        <v>373</v>
      </c>
      <c r="D710" s="161" t="s">
        <v>934</v>
      </c>
      <c r="E710" s="969" t="s">
        <v>935</v>
      </c>
      <c r="F710" s="970"/>
      <c r="G710" s="971"/>
      <c r="H710" s="544" t="s">
        <v>286</v>
      </c>
      <c r="I710" s="212">
        <v>2747944</v>
      </c>
      <c r="J710" s="605"/>
      <c r="K710" s="212">
        <v>1</v>
      </c>
      <c r="L710" s="212">
        <f t="shared" si="81"/>
        <v>2747944</v>
      </c>
      <c r="M710" s="602"/>
      <c r="N710" s="675">
        <f>+'Yeşil Defter'!K715</f>
        <v>0</v>
      </c>
      <c r="O710" s="675">
        <f>+'Yeşil Defter'!L715</f>
        <v>0</v>
      </c>
      <c r="P710" s="675">
        <f>+'Yeşil Defter'!M715</f>
        <v>0</v>
      </c>
      <c r="Q710" s="212"/>
      <c r="R710" s="605">
        <f t="shared" si="82"/>
        <v>0</v>
      </c>
      <c r="S710" s="225">
        <f t="shared" si="72"/>
        <v>0</v>
      </c>
      <c r="T710" s="237">
        <f t="shared" si="84"/>
        <v>0</v>
      </c>
    </row>
    <row r="711" spans="1:20" ht="30" hidden="1" customHeight="1" x14ac:dyDescent="0.3">
      <c r="A711" s="262">
        <v>6</v>
      </c>
      <c r="C711" s="244">
        <v>374</v>
      </c>
      <c r="D711" s="161" t="s">
        <v>936</v>
      </c>
      <c r="E711" s="969" t="s">
        <v>937</v>
      </c>
      <c r="F711" s="970"/>
      <c r="G711" s="971"/>
      <c r="H711" s="544" t="s">
        <v>286</v>
      </c>
      <c r="I711" s="212">
        <v>5779751</v>
      </c>
      <c r="J711" s="605"/>
      <c r="K711" s="212">
        <v>1</v>
      </c>
      <c r="L711" s="212">
        <f t="shared" si="81"/>
        <v>5779751</v>
      </c>
      <c r="M711" s="602"/>
      <c r="N711" s="675">
        <f>+'Yeşil Defter'!K716</f>
        <v>0</v>
      </c>
      <c r="O711" s="675">
        <f>+'Yeşil Defter'!L716</f>
        <v>0</v>
      </c>
      <c r="P711" s="675">
        <f>+'Yeşil Defter'!M716</f>
        <v>0</v>
      </c>
      <c r="Q711" s="212"/>
      <c r="R711" s="605">
        <f t="shared" si="82"/>
        <v>0</v>
      </c>
      <c r="S711" s="225">
        <f t="shared" si="72"/>
        <v>0</v>
      </c>
      <c r="T711" s="237">
        <f t="shared" si="84"/>
        <v>0</v>
      </c>
    </row>
    <row r="712" spans="1:20" ht="30" hidden="1" customHeight="1" x14ac:dyDescent="0.3">
      <c r="A712" s="262">
        <v>6</v>
      </c>
      <c r="C712" s="244">
        <v>375</v>
      </c>
      <c r="D712" s="161" t="s">
        <v>938</v>
      </c>
      <c r="E712" s="969" t="s">
        <v>939</v>
      </c>
      <c r="F712" s="970"/>
      <c r="G712" s="971"/>
      <c r="H712" s="544" t="s">
        <v>286</v>
      </c>
      <c r="I712" s="212">
        <v>6311222</v>
      </c>
      <c r="J712" s="605"/>
      <c r="K712" s="212">
        <v>1</v>
      </c>
      <c r="L712" s="212">
        <f t="shared" si="81"/>
        <v>6311222</v>
      </c>
      <c r="M712" s="602"/>
      <c r="N712" s="675">
        <f>+'Yeşil Defter'!K717</f>
        <v>0</v>
      </c>
      <c r="O712" s="675">
        <f>+'Yeşil Defter'!L717</f>
        <v>0</v>
      </c>
      <c r="P712" s="675">
        <f>+'Yeşil Defter'!M717</f>
        <v>0</v>
      </c>
      <c r="Q712" s="212"/>
      <c r="R712" s="605">
        <f t="shared" si="82"/>
        <v>0</v>
      </c>
      <c r="S712" s="225">
        <f t="shared" si="72"/>
        <v>0</v>
      </c>
      <c r="T712" s="237">
        <f t="shared" si="84"/>
        <v>0</v>
      </c>
    </row>
    <row r="713" spans="1:20" ht="30" hidden="1" customHeight="1" x14ac:dyDescent="0.3">
      <c r="A713" s="262">
        <v>6</v>
      </c>
      <c r="C713" s="244">
        <v>376</v>
      </c>
      <c r="D713" s="161" t="s">
        <v>940</v>
      </c>
      <c r="E713" s="969" t="s">
        <v>941</v>
      </c>
      <c r="F713" s="970"/>
      <c r="G713" s="971"/>
      <c r="H713" s="544" t="s">
        <v>286</v>
      </c>
      <c r="I713" s="212">
        <v>6643392</v>
      </c>
      <c r="J713" s="605"/>
      <c r="K713" s="212">
        <v>1</v>
      </c>
      <c r="L713" s="212">
        <f t="shared" si="81"/>
        <v>6643392</v>
      </c>
      <c r="M713" s="602"/>
      <c r="N713" s="675">
        <f>+'Yeşil Defter'!K718</f>
        <v>0</v>
      </c>
      <c r="O713" s="675">
        <f>+'Yeşil Defter'!L718</f>
        <v>0</v>
      </c>
      <c r="P713" s="675">
        <f>+'Yeşil Defter'!M718</f>
        <v>0</v>
      </c>
      <c r="Q713" s="212"/>
      <c r="R713" s="605">
        <f t="shared" si="82"/>
        <v>0</v>
      </c>
      <c r="S713" s="225">
        <f t="shared" si="72"/>
        <v>0</v>
      </c>
      <c r="T713" s="237">
        <f t="shared" si="84"/>
        <v>0</v>
      </c>
    </row>
    <row r="714" spans="1:20" ht="30" hidden="1" customHeight="1" x14ac:dyDescent="0.3">
      <c r="A714" s="262">
        <v>6</v>
      </c>
      <c r="C714" s="244">
        <v>377</v>
      </c>
      <c r="D714" s="161" t="s">
        <v>942</v>
      </c>
      <c r="E714" s="969" t="s">
        <v>943</v>
      </c>
      <c r="F714" s="970"/>
      <c r="G714" s="971"/>
      <c r="H714" s="544" t="s">
        <v>286</v>
      </c>
      <c r="I714" s="212">
        <v>5979052</v>
      </c>
      <c r="J714" s="605"/>
      <c r="K714" s="212">
        <v>1</v>
      </c>
      <c r="L714" s="212">
        <f t="shared" si="81"/>
        <v>5979052</v>
      </c>
      <c r="M714" s="602"/>
      <c r="N714" s="675">
        <f>+'Yeşil Defter'!K719</f>
        <v>0</v>
      </c>
      <c r="O714" s="675">
        <f>+'Yeşil Defter'!L719</f>
        <v>0</v>
      </c>
      <c r="P714" s="675">
        <f>+'Yeşil Defter'!M719</f>
        <v>0</v>
      </c>
      <c r="Q714" s="212"/>
      <c r="R714" s="605">
        <f t="shared" si="82"/>
        <v>0</v>
      </c>
      <c r="S714" s="225">
        <f t="shared" si="72"/>
        <v>0</v>
      </c>
      <c r="T714" s="237">
        <f t="shared" si="84"/>
        <v>0</v>
      </c>
    </row>
    <row r="715" spans="1:20" ht="30" hidden="1" customHeight="1" x14ac:dyDescent="0.3">
      <c r="A715" s="262">
        <v>6</v>
      </c>
      <c r="C715" s="244">
        <v>378</v>
      </c>
      <c r="D715" s="161" t="s">
        <v>944</v>
      </c>
      <c r="E715" s="969" t="s">
        <v>945</v>
      </c>
      <c r="F715" s="970"/>
      <c r="G715" s="971"/>
      <c r="H715" s="544" t="s">
        <v>286</v>
      </c>
      <c r="I715" s="212">
        <v>6311222</v>
      </c>
      <c r="J715" s="605"/>
      <c r="K715" s="212">
        <v>1</v>
      </c>
      <c r="L715" s="212">
        <f t="shared" si="81"/>
        <v>6311222</v>
      </c>
      <c r="M715" s="602"/>
      <c r="N715" s="675">
        <f>+'Yeşil Defter'!K720</f>
        <v>0</v>
      </c>
      <c r="O715" s="675">
        <f>+'Yeşil Defter'!L720</f>
        <v>0</v>
      </c>
      <c r="P715" s="675">
        <f>+'Yeşil Defter'!M720</f>
        <v>0</v>
      </c>
      <c r="Q715" s="212"/>
      <c r="R715" s="605">
        <f t="shared" si="82"/>
        <v>0</v>
      </c>
      <c r="S715" s="225">
        <f t="shared" si="72"/>
        <v>0</v>
      </c>
      <c r="T715" s="237">
        <f t="shared" si="84"/>
        <v>0</v>
      </c>
    </row>
    <row r="716" spans="1:20" ht="30" hidden="1" customHeight="1" x14ac:dyDescent="0.3">
      <c r="A716" s="262">
        <v>6</v>
      </c>
      <c r="C716" s="244">
        <v>379</v>
      </c>
      <c r="D716" s="161" t="s">
        <v>946</v>
      </c>
      <c r="E716" s="969" t="s">
        <v>947</v>
      </c>
      <c r="F716" s="970"/>
      <c r="G716" s="971"/>
      <c r="H716" s="544" t="s">
        <v>286</v>
      </c>
      <c r="I716" s="212">
        <v>1769063</v>
      </c>
      <c r="J716" s="605"/>
      <c r="K716" s="212">
        <v>1</v>
      </c>
      <c r="L716" s="212">
        <f t="shared" si="81"/>
        <v>1769063</v>
      </c>
      <c r="M716" s="602"/>
      <c r="N716" s="675">
        <f>+'Yeşil Defter'!K721</f>
        <v>0</v>
      </c>
      <c r="O716" s="675">
        <f>+'Yeşil Defter'!L721</f>
        <v>0</v>
      </c>
      <c r="P716" s="675">
        <f>+'Yeşil Defter'!M721</f>
        <v>0</v>
      </c>
      <c r="Q716" s="212"/>
      <c r="R716" s="605">
        <f t="shared" si="82"/>
        <v>0</v>
      </c>
      <c r="S716" s="225">
        <f t="shared" si="72"/>
        <v>0</v>
      </c>
      <c r="T716" s="237">
        <f t="shared" si="84"/>
        <v>0</v>
      </c>
    </row>
    <row r="717" spans="1:20" ht="30" hidden="1" customHeight="1" x14ac:dyDescent="0.3">
      <c r="A717" s="262">
        <v>6</v>
      </c>
      <c r="C717" s="244">
        <v>380</v>
      </c>
      <c r="D717" s="161" t="s">
        <v>948</v>
      </c>
      <c r="E717" s="969" t="s">
        <v>949</v>
      </c>
      <c r="F717" s="970"/>
      <c r="G717" s="971"/>
      <c r="H717" s="544" t="s">
        <v>286</v>
      </c>
      <c r="I717" s="212">
        <v>23957287</v>
      </c>
      <c r="J717" s="605"/>
      <c r="K717" s="212">
        <v>1</v>
      </c>
      <c r="L717" s="212">
        <f t="shared" si="81"/>
        <v>23957287</v>
      </c>
      <c r="M717" s="602"/>
      <c r="N717" s="675">
        <f>+'Yeşil Defter'!K722</f>
        <v>0</v>
      </c>
      <c r="O717" s="675">
        <f>+'Yeşil Defter'!L722</f>
        <v>0</v>
      </c>
      <c r="P717" s="675">
        <f>+'Yeşil Defter'!M722</f>
        <v>0</v>
      </c>
      <c r="Q717" s="212"/>
      <c r="R717" s="605">
        <f t="shared" si="82"/>
        <v>0</v>
      </c>
      <c r="S717" s="225">
        <f t="shared" si="72"/>
        <v>0</v>
      </c>
      <c r="T717" s="237">
        <f t="shared" si="84"/>
        <v>0</v>
      </c>
    </row>
    <row r="718" spans="1:20" ht="30" hidden="1" customHeight="1" x14ac:dyDescent="0.3">
      <c r="A718" s="262">
        <v>6</v>
      </c>
      <c r="C718" s="244">
        <v>381</v>
      </c>
      <c r="D718" s="161" t="s">
        <v>950</v>
      </c>
      <c r="E718" s="969" t="s">
        <v>951</v>
      </c>
      <c r="F718" s="970"/>
      <c r="G718" s="971"/>
      <c r="H718" s="544" t="s">
        <v>286</v>
      </c>
      <c r="I718" s="212">
        <v>26160256</v>
      </c>
      <c r="J718" s="605"/>
      <c r="K718" s="212">
        <v>1</v>
      </c>
      <c r="L718" s="212">
        <f t="shared" si="81"/>
        <v>26160256</v>
      </c>
      <c r="M718" s="602"/>
      <c r="N718" s="675">
        <f>+'Yeşil Defter'!K723</f>
        <v>0</v>
      </c>
      <c r="O718" s="675">
        <f>+'Yeşil Defter'!L723</f>
        <v>0</v>
      </c>
      <c r="P718" s="675">
        <f>+'Yeşil Defter'!M723</f>
        <v>0</v>
      </c>
      <c r="Q718" s="212"/>
      <c r="R718" s="605">
        <f t="shared" si="82"/>
        <v>0</v>
      </c>
      <c r="S718" s="225">
        <f t="shared" si="72"/>
        <v>0</v>
      </c>
      <c r="T718" s="237">
        <f t="shared" si="84"/>
        <v>0</v>
      </c>
    </row>
    <row r="719" spans="1:20" ht="30" hidden="1" customHeight="1" x14ac:dyDescent="0.3">
      <c r="A719" s="262">
        <v>6</v>
      </c>
      <c r="C719" s="244">
        <v>382</v>
      </c>
      <c r="D719" s="161" t="s">
        <v>952</v>
      </c>
      <c r="E719" s="969" t="s">
        <v>953</v>
      </c>
      <c r="F719" s="970"/>
      <c r="G719" s="971"/>
      <c r="H719" s="544" t="s">
        <v>286</v>
      </c>
      <c r="I719" s="212">
        <v>27537111</v>
      </c>
      <c r="J719" s="605"/>
      <c r="K719" s="212">
        <v>1</v>
      </c>
      <c r="L719" s="212">
        <f t="shared" si="81"/>
        <v>27537111</v>
      </c>
      <c r="M719" s="602"/>
      <c r="N719" s="675">
        <f>+'Yeşil Defter'!K724</f>
        <v>0</v>
      </c>
      <c r="O719" s="675">
        <f>+'Yeşil Defter'!L724</f>
        <v>0</v>
      </c>
      <c r="P719" s="675">
        <f>+'Yeşil Defter'!M724</f>
        <v>0</v>
      </c>
      <c r="Q719" s="212"/>
      <c r="R719" s="605">
        <f t="shared" si="82"/>
        <v>0</v>
      </c>
      <c r="S719" s="225">
        <f t="shared" si="72"/>
        <v>0</v>
      </c>
      <c r="T719" s="237">
        <f t="shared" si="84"/>
        <v>0</v>
      </c>
    </row>
    <row r="720" spans="1:20" ht="30" hidden="1" customHeight="1" x14ac:dyDescent="0.3">
      <c r="A720" s="262">
        <v>6</v>
      </c>
      <c r="C720" s="244">
        <v>383</v>
      </c>
      <c r="D720" s="161" t="s">
        <v>954</v>
      </c>
      <c r="E720" s="969" t="s">
        <v>955</v>
      </c>
      <c r="F720" s="970"/>
      <c r="G720" s="971"/>
      <c r="H720" s="544" t="s">
        <v>286</v>
      </c>
      <c r="I720" s="212">
        <v>24783400</v>
      </c>
      <c r="J720" s="605"/>
      <c r="K720" s="212">
        <v>1</v>
      </c>
      <c r="L720" s="212">
        <f t="shared" si="81"/>
        <v>24783400</v>
      </c>
      <c r="M720" s="602"/>
      <c r="N720" s="675">
        <f>+'Yeşil Defter'!K725</f>
        <v>0</v>
      </c>
      <c r="O720" s="675">
        <f>+'Yeşil Defter'!L725</f>
        <v>0</v>
      </c>
      <c r="P720" s="675">
        <f>+'Yeşil Defter'!M725</f>
        <v>0</v>
      </c>
      <c r="Q720" s="212"/>
      <c r="R720" s="605">
        <f t="shared" si="82"/>
        <v>0</v>
      </c>
      <c r="S720" s="225">
        <f t="shared" si="72"/>
        <v>0</v>
      </c>
      <c r="T720" s="237">
        <f t="shared" si="84"/>
        <v>0</v>
      </c>
    </row>
    <row r="721" spans="1:20" ht="30" hidden="1" customHeight="1" x14ac:dyDescent="0.3">
      <c r="A721" s="262">
        <v>6</v>
      </c>
      <c r="C721" s="244">
        <v>384</v>
      </c>
      <c r="D721" s="161" t="s">
        <v>956</v>
      </c>
      <c r="E721" s="969" t="s">
        <v>957</v>
      </c>
      <c r="F721" s="970"/>
      <c r="G721" s="971"/>
      <c r="H721" s="544" t="s">
        <v>286</v>
      </c>
      <c r="I721" s="212">
        <v>26160256</v>
      </c>
      <c r="J721" s="605"/>
      <c r="K721" s="212">
        <v>1</v>
      </c>
      <c r="L721" s="212">
        <f t="shared" si="81"/>
        <v>26160256</v>
      </c>
      <c r="M721" s="602"/>
      <c r="N721" s="675">
        <f>+'Yeşil Defter'!K726</f>
        <v>0</v>
      </c>
      <c r="O721" s="675">
        <f>+'Yeşil Defter'!L726</f>
        <v>0</v>
      </c>
      <c r="P721" s="675">
        <f>+'Yeşil Defter'!M726</f>
        <v>0</v>
      </c>
      <c r="Q721" s="212"/>
      <c r="R721" s="605">
        <f t="shared" si="82"/>
        <v>0</v>
      </c>
      <c r="S721" s="225">
        <f t="shared" si="72"/>
        <v>0</v>
      </c>
      <c r="T721" s="237">
        <f t="shared" si="84"/>
        <v>0</v>
      </c>
    </row>
    <row r="722" spans="1:20" ht="30" hidden="1" customHeight="1" x14ac:dyDescent="0.3">
      <c r="A722" s="262">
        <v>6</v>
      </c>
      <c r="C722" s="244">
        <v>385</v>
      </c>
      <c r="D722" s="161" t="s">
        <v>958</v>
      </c>
      <c r="E722" s="969" t="s">
        <v>959</v>
      </c>
      <c r="F722" s="970"/>
      <c r="G722" s="971"/>
      <c r="H722" s="544" t="s">
        <v>286</v>
      </c>
      <c r="I722" s="212">
        <v>61312053</v>
      </c>
      <c r="J722" s="605"/>
      <c r="K722" s="212">
        <v>1</v>
      </c>
      <c r="L722" s="212">
        <f t="shared" si="81"/>
        <v>61312053</v>
      </c>
      <c r="M722" s="602"/>
      <c r="N722" s="675">
        <f>+'Yeşil Defter'!K727</f>
        <v>0</v>
      </c>
      <c r="O722" s="675">
        <f>+'Yeşil Defter'!L727</f>
        <v>0</v>
      </c>
      <c r="P722" s="675">
        <f>+'Yeşil Defter'!M727</f>
        <v>0</v>
      </c>
      <c r="Q722" s="212"/>
      <c r="R722" s="605">
        <f t="shared" si="82"/>
        <v>0</v>
      </c>
      <c r="S722" s="225">
        <f t="shared" si="72"/>
        <v>0</v>
      </c>
      <c r="T722" s="237">
        <f t="shared" si="84"/>
        <v>0</v>
      </c>
    </row>
    <row r="723" spans="1:20" ht="30" hidden="1" customHeight="1" x14ac:dyDescent="0.3">
      <c r="A723" s="262">
        <v>6</v>
      </c>
      <c r="C723" s="244">
        <v>386</v>
      </c>
      <c r="D723" s="161" t="s">
        <v>960</v>
      </c>
      <c r="E723" s="969" t="s">
        <v>961</v>
      </c>
      <c r="F723" s="970"/>
      <c r="G723" s="971"/>
      <c r="H723" s="544" t="s">
        <v>286</v>
      </c>
      <c r="I723" s="212">
        <v>7050905</v>
      </c>
      <c r="J723" s="605"/>
      <c r="K723" s="212">
        <v>1</v>
      </c>
      <c r="L723" s="212">
        <f t="shared" si="81"/>
        <v>7050905</v>
      </c>
      <c r="M723" s="602"/>
      <c r="N723" s="675">
        <f>+'Yeşil Defter'!K728</f>
        <v>0</v>
      </c>
      <c r="O723" s="675">
        <f>+'Yeşil Defter'!L728</f>
        <v>0</v>
      </c>
      <c r="P723" s="675">
        <f>+'Yeşil Defter'!M728</f>
        <v>0</v>
      </c>
      <c r="Q723" s="212"/>
      <c r="R723" s="605">
        <f t="shared" si="82"/>
        <v>0</v>
      </c>
      <c r="S723" s="225">
        <f t="shared" si="72"/>
        <v>0</v>
      </c>
      <c r="T723" s="237">
        <f t="shared" si="84"/>
        <v>0</v>
      </c>
    </row>
    <row r="724" spans="1:20" ht="30" hidden="1" customHeight="1" x14ac:dyDescent="0.3">
      <c r="A724" s="262">
        <v>6</v>
      </c>
      <c r="C724" s="244">
        <v>387</v>
      </c>
      <c r="D724" s="161" t="s">
        <v>962</v>
      </c>
      <c r="E724" s="969" t="s">
        <v>963</v>
      </c>
      <c r="F724" s="970"/>
      <c r="G724" s="971"/>
      <c r="H724" s="544" t="s">
        <v>286</v>
      </c>
      <c r="I724" s="212">
        <v>7050905</v>
      </c>
      <c r="J724" s="605"/>
      <c r="K724" s="212">
        <v>1</v>
      </c>
      <c r="L724" s="212">
        <f t="shared" si="81"/>
        <v>7050905</v>
      </c>
      <c r="M724" s="602"/>
      <c r="N724" s="675">
        <f>+'Yeşil Defter'!K729</f>
        <v>0</v>
      </c>
      <c r="O724" s="675">
        <f>+'Yeşil Defter'!L729</f>
        <v>0</v>
      </c>
      <c r="P724" s="675">
        <f>+'Yeşil Defter'!M729</f>
        <v>0</v>
      </c>
      <c r="Q724" s="212"/>
      <c r="R724" s="605">
        <f t="shared" si="82"/>
        <v>0</v>
      </c>
      <c r="S724" s="225">
        <f t="shared" si="72"/>
        <v>0</v>
      </c>
      <c r="T724" s="237">
        <f t="shared" si="84"/>
        <v>0</v>
      </c>
    </row>
    <row r="725" spans="1:20" ht="30" hidden="1" customHeight="1" x14ac:dyDescent="0.3">
      <c r="A725" s="262">
        <v>6</v>
      </c>
      <c r="C725" s="244">
        <v>388</v>
      </c>
      <c r="D725" s="161" t="s">
        <v>964</v>
      </c>
      <c r="E725" s="969" t="s">
        <v>965</v>
      </c>
      <c r="F725" s="970"/>
      <c r="G725" s="971"/>
      <c r="H725" s="544" t="s">
        <v>286</v>
      </c>
      <c r="I725" s="212">
        <v>7050905</v>
      </c>
      <c r="J725" s="605"/>
      <c r="K725" s="212">
        <v>1</v>
      </c>
      <c r="L725" s="212">
        <f t="shared" si="81"/>
        <v>7050905</v>
      </c>
      <c r="M725" s="602"/>
      <c r="N725" s="675">
        <f>+'Yeşil Defter'!K730</f>
        <v>0</v>
      </c>
      <c r="O725" s="675">
        <f>+'Yeşil Defter'!L730</f>
        <v>0</v>
      </c>
      <c r="P725" s="675">
        <f>+'Yeşil Defter'!M730</f>
        <v>0</v>
      </c>
      <c r="Q725" s="212"/>
      <c r="R725" s="605">
        <f t="shared" si="82"/>
        <v>0</v>
      </c>
      <c r="S725" s="225">
        <f t="shared" si="72"/>
        <v>0</v>
      </c>
      <c r="T725" s="237">
        <f t="shared" si="84"/>
        <v>0</v>
      </c>
    </row>
    <row r="726" spans="1:20" ht="30" hidden="1" customHeight="1" x14ac:dyDescent="0.3">
      <c r="A726" s="262">
        <v>6</v>
      </c>
      <c r="C726" s="244">
        <v>389</v>
      </c>
      <c r="D726" s="161" t="s">
        <v>966</v>
      </c>
      <c r="E726" s="969" t="s">
        <v>967</v>
      </c>
      <c r="F726" s="970"/>
      <c r="G726" s="971"/>
      <c r="H726" s="544" t="s">
        <v>286</v>
      </c>
      <c r="I726" s="212">
        <v>7050905</v>
      </c>
      <c r="J726" s="605"/>
      <c r="K726" s="212">
        <v>1</v>
      </c>
      <c r="L726" s="212">
        <f t="shared" si="81"/>
        <v>7050905</v>
      </c>
      <c r="M726" s="602"/>
      <c r="N726" s="675">
        <f>+'Yeşil Defter'!K731</f>
        <v>0</v>
      </c>
      <c r="O726" s="675">
        <f>+'Yeşil Defter'!L731</f>
        <v>0</v>
      </c>
      <c r="P726" s="675">
        <f>+'Yeşil Defter'!M731</f>
        <v>0</v>
      </c>
      <c r="Q726" s="212"/>
      <c r="R726" s="605">
        <f t="shared" si="82"/>
        <v>0</v>
      </c>
      <c r="S726" s="225">
        <f t="shared" si="72"/>
        <v>0</v>
      </c>
      <c r="T726" s="237">
        <f t="shared" si="84"/>
        <v>0</v>
      </c>
    </row>
    <row r="727" spans="1:20" ht="40.049999999999997" hidden="1" customHeight="1" x14ac:dyDescent="0.3">
      <c r="A727" s="262" t="s">
        <v>1242</v>
      </c>
      <c r="C727" s="258"/>
      <c r="D727" s="258"/>
      <c r="E727" s="972" t="s">
        <v>33</v>
      </c>
      <c r="F727" s="972"/>
      <c r="G727" s="972"/>
      <c r="H727" s="973" t="s">
        <v>29</v>
      </c>
      <c r="I727" s="973"/>
      <c r="J727" s="973"/>
      <c r="K727" s="973"/>
      <c r="L727" s="973"/>
      <c r="M727" s="549"/>
      <c r="N727" s="973" t="s">
        <v>22</v>
      </c>
      <c r="O727" s="973"/>
      <c r="P727" s="973"/>
      <c r="Q727" s="973"/>
      <c r="R727" s="973"/>
      <c r="S727" s="973"/>
      <c r="T727" s="973"/>
    </row>
    <row r="728" spans="1:20" ht="19.95" hidden="1" customHeight="1" x14ac:dyDescent="0.3">
      <c r="A728" s="262" t="s">
        <v>1242</v>
      </c>
      <c r="D728" s="28"/>
      <c r="E728" s="974" t="s">
        <v>1214</v>
      </c>
      <c r="F728" s="974"/>
      <c r="G728" s="974"/>
      <c r="H728" s="975" t="s">
        <v>38</v>
      </c>
      <c r="I728" s="975"/>
      <c r="J728" s="975"/>
      <c r="K728" s="975"/>
      <c r="L728" s="975"/>
      <c r="M728" s="562"/>
      <c r="N728" s="975" t="s">
        <v>1437</v>
      </c>
      <c r="O728" s="975"/>
      <c r="P728" s="975"/>
      <c r="Q728" s="975"/>
      <c r="R728" s="975"/>
      <c r="S728" s="975"/>
      <c r="T728" s="975"/>
    </row>
    <row r="729" spans="1:20" ht="19.95" hidden="1" customHeight="1" x14ac:dyDescent="0.3">
      <c r="A729" s="262" t="s">
        <v>1242</v>
      </c>
      <c r="C729" s="228"/>
      <c r="D729" s="228"/>
      <c r="E729" s="561"/>
      <c r="F729" s="561"/>
      <c r="G729" s="561"/>
      <c r="H729" s="228"/>
      <c r="I729" s="260"/>
      <c r="J729" s="260"/>
      <c r="K729" s="260"/>
      <c r="L729" s="260"/>
      <c r="M729" s="260"/>
      <c r="N729" s="975"/>
      <c r="O729" s="975"/>
      <c r="P729" s="975"/>
      <c r="Q729" s="975"/>
      <c r="R729" s="975"/>
      <c r="S729" s="975"/>
      <c r="T729" s="975"/>
    </row>
    <row r="730" spans="1:20" ht="19.95" hidden="1" customHeight="1" x14ac:dyDescent="0.3">
      <c r="A730" s="262" t="s">
        <v>1242</v>
      </c>
      <c r="C730" s="228"/>
      <c r="D730" s="228"/>
      <c r="E730" s="561"/>
      <c r="F730" s="561"/>
      <c r="G730" s="561"/>
      <c r="H730" s="228"/>
      <c r="I730" s="260"/>
      <c r="J730" s="260"/>
      <c r="K730" s="260"/>
      <c r="L730" s="260"/>
      <c r="M730" s="260"/>
      <c r="N730" s="975"/>
      <c r="O730" s="975"/>
      <c r="P730" s="975"/>
      <c r="Q730" s="975"/>
      <c r="R730" s="975"/>
      <c r="S730" s="975"/>
      <c r="T730" s="975"/>
    </row>
    <row r="731" spans="1:20" ht="19.95" hidden="1" customHeight="1" x14ac:dyDescent="0.3">
      <c r="A731" s="262" t="s">
        <v>1242</v>
      </c>
      <c r="C731" s="228"/>
      <c r="D731" s="228"/>
      <c r="E731" s="561"/>
      <c r="F731" s="561"/>
      <c r="G731" s="561"/>
      <c r="H731" s="261"/>
      <c r="I731" s="261"/>
      <c r="J731" s="261"/>
      <c r="K731" s="261"/>
      <c r="L731" s="261"/>
      <c r="M731" s="261"/>
      <c r="N731" s="260"/>
      <c r="O731" s="260"/>
      <c r="P731" s="260"/>
      <c r="Q731" s="260"/>
      <c r="R731" s="260"/>
      <c r="S731" s="260"/>
      <c r="T731" s="260"/>
    </row>
    <row r="732" spans="1:20" ht="19.95" hidden="1" customHeight="1" x14ac:dyDescent="0.3">
      <c r="A732" s="262" t="s">
        <v>1242</v>
      </c>
      <c r="C732" s="228"/>
      <c r="D732" s="228"/>
      <c r="E732" s="561"/>
      <c r="F732" s="561"/>
      <c r="G732" s="561"/>
      <c r="H732" s="975" t="s">
        <v>32</v>
      </c>
      <c r="I732" s="975"/>
      <c r="J732" s="562"/>
      <c r="K732" s="975" t="s">
        <v>1407</v>
      </c>
      <c r="L732" s="975"/>
      <c r="M732" s="562"/>
      <c r="N732" s="968" t="s">
        <v>1244</v>
      </c>
      <c r="O732" s="968"/>
      <c r="P732" s="968"/>
      <c r="Q732" s="260"/>
      <c r="R732" s="968" t="s">
        <v>52</v>
      </c>
      <c r="S732" s="968"/>
      <c r="T732" s="968"/>
    </row>
    <row r="733" spans="1:20" ht="19.95" hidden="1" customHeight="1" x14ac:dyDescent="0.3">
      <c r="A733" s="262" t="s">
        <v>1242</v>
      </c>
      <c r="C733" s="228"/>
      <c r="D733" s="228"/>
      <c r="E733" s="561"/>
      <c r="F733" s="561"/>
      <c r="G733" s="561"/>
      <c r="H733" s="976" t="s">
        <v>94</v>
      </c>
      <c r="I733" s="976"/>
      <c r="J733" s="623"/>
      <c r="K733" s="976" t="s">
        <v>94</v>
      </c>
      <c r="L733" s="976"/>
      <c r="M733" s="623"/>
      <c r="N733" s="968" t="s">
        <v>1483</v>
      </c>
      <c r="O733" s="968"/>
      <c r="P733" s="968"/>
      <c r="Q733" s="260"/>
      <c r="R733" s="968" t="s">
        <v>1485</v>
      </c>
      <c r="S733" s="968"/>
      <c r="T733" s="968"/>
    </row>
    <row r="734" spans="1:20" ht="19.95" hidden="1" customHeight="1" x14ac:dyDescent="0.3">
      <c r="A734" s="262" t="s">
        <v>1242</v>
      </c>
      <c r="C734" s="228"/>
      <c r="D734" s="228"/>
      <c r="E734" s="561"/>
      <c r="F734" s="561"/>
      <c r="G734" s="561"/>
      <c r="H734" s="976"/>
      <c r="I734" s="976"/>
      <c r="J734" s="623"/>
      <c r="K734" s="976"/>
      <c r="L734" s="976"/>
      <c r="M734" s="623"/>
      <c r="N734" s="968"/>
      <c r="O734" s="968"/>
      <c r="P734" s="968"/>
      <c r="Q734" s="260"/>
      <c r="R734" s="968"/>
      <c r="S734" s="968"/>
      <c r="T734" s="968"/>
    </row>
    <row r="735" spans="1:20" ht="19.95" hidden="1" customHeight="1" x14ac:dyDescent="0.3">
      <c r="A735" s="262" t="s">
        <v>1242</v>
      </c>
      <c r="C735" s="228"/>
      <c r="D735" s="228"/>
      <c r="E735" s="561"/>
      <c r="F735" s="561"/>
      <c r="G735" s="561"/>
      <c r="H735" s="228"/>
      <c r="I735" s="260"/>
      <c r="J735" s="260"/>
      <c r="K735" s="260"/>
      <c r="L735" s="260"/>
      <c r="M735" s="260"/>
      <c r="N735" s="260"/>
      <c r="O735" s="260"/>
      <c r="P735" s="260"/>
      <c r="Q735" s="260"/>
      <c r="R735" s="260"/>
      <c r="S735" s="624"/>
      <c r="T735" s="260"/>
    </row>
    <row r="736" spans="1:20" ht="19.95" hidden="1" customHeight="1" x14ac:dyDescent="0.3">
      <c r="A736" s="262" t="s">
        <v>1242</v>
      </c>
      <c r="C736" s="228"/>
      <c r="D736" s="228"/>
      <c r="E736" s="975" t="s">
        <v>1215</v>
      </c>
      <c r="F736" s="975"/>
      <c r="G736" s="975"/>
      <c r="H736" s="975" t="s">
        <v>1348</v>
      </c>
      <c r="I736" s="975"/>
      <c r="J736" s="975"/>
      <c r="K736" s="975"/>
      <c r="L736" s="975"/>
      <c r="M736" s="562"/>
      <c r="N736" s="977" t="s">
        <v>1219</v>
      </c>
      <c r="O736" s="968"/>
      <c r="P736" s="968"/>
      <c r="Q736" s="968"/>
      <c r="R736" s="968"/>
      <c r="S736" s="968"/>
      <c r="T736" s="968"/>
    </row>
    <row r="737" spans="1:20" ht="19.95" hidden="1" customHeight="1" x14ac:dyDescent="0.3">
      <c r="A737" s="262" t="s">
        <v>1290</v>
      </c>
      <c r="C737" s="228"/>
      <c r="D737" s="228"/>
      <c r="E737" s="975"/>
      <c r="F737" s="975"/>
      <c r="G737" s="975"/>
      <c r="H737" s="975"/>
      <c r="I737" s="975"/>
      <c r="J737" s="975"/>
      <c r="K737" s="975"/>
      <c r="L737" s="975"/>
      <c r="M737" s="562"/>
      <c r="N737" s="968"/>
      <c r="O737" s="968"/>
      <c r="P737" s="968"/>
      <c r="Q737" s="968"/>
      <c r="R737" s="968"/>
      <c r="S737" s="968"/>
      <c r="T737" s="968"/>
    </row>
    <row r="738" spans="1:20" ht="30" hidden="1" customHeight="1" x14ac:dyDescent="0.3">
      <c r="A738" s="262">
        <v>6</v>
      </c>
      <c r="C738" s="255">
        <v>390</v>
      </c>
      <c r="D738" s="256" t="s">
        <v>968</v>
      </c>
      <c r="E738" s="978" t="s">
        <v>969</v>
      </c>
      <c r="F738" s="979"/>
      <c r="G738" s="980"/>
      <c r="H738" s="546" t="s">
        <v>286</v>
      </c>
      <c r="I738" s="257">
        <v>7050905</v>
      </c>
      <c r="J738" s="606"/>
      <c r="K738" s="257">
        <v>1</v>
      </c>
      <c r="L738" s="257">
        <f t="shared" ref="L738:L754" si="85">+ROUND(I738*K738,2)</f>
        <v>7050905</v>
      </c>
      <c r="M738" s="603"/>
      <c r="N738" s="675">
        <f>+'Yeşil Defter'!K732</f>
        <v>0</v>
      </c>
      <c r="O738" s="675">
        <f>+'Yeşil Defter'!L732</f>
        <v>0</v>
      </c>
      <c r="P738" s="675">
        <f>+'Yeşil Defter'!M732</f>
        <v>0</v>
      </c>
      <c r="Q738" s="257"/>
      <c r="R738" s="606">
        <f t="shared" ref="R738:R754" si="86">+ROUND(K738*N738,2)</f>
        <v>0</v>
      </c>
      <c r="S738" s="247">
        <f t="shared" si="72"/>
        <v>0</v>
      </c>
      <c r="T738" s="248">
        <f t="shared" ref="T738:T754" si="87">+ROUND(K738*P738,2)</f>
        <v>0</v>
      </c>
    </row>
    <row r="739" spans="1:20" ht="30" hidden="1" customHeight="1" x14ac:dyDescent="0.3">
      <c r="A739" s="262">
        <v>6</v>
      </c>
      <c r="C739" s="244">
        <v>391</v>
      </c>
      <c r="D739" s="161" t="s">
        <v>970</v>
      </c>
      <c r="E739" s="969" t="s">
        <v>971</v>
      </c>
      <c r="F739" s="970"/>
      <c r="G739" s="971"/>
      <c r="H739" s="544" t="s">
        <v>286</v>
      </c>
      <c r="I739" s="212">
        <v>3644778</v>
      </c>
      <c r="J739" s="605"/>
      <c r="K739" s="212">
        <v>1</v>
      </c>
      <c r="L739" s="212">
        <f t="shared" si="85"/>
        <v>3644778</v>
      </c>
      <c r="M739" s="602"/>
      <c r="N739" s="675">
        <f>+'Yeşil Defter'!K733</f>
        <v>0</v>
      </c>
      <c r="O739" s="675">
        <f>+'Yeşil Defter'!L733</f>
        <v>0</v>
      </c>
      <c r="P739" s="675">
        <f>+'Yeşil Defter'!M733</f>
        <v>0</v>
      </c>
      <c r="Q739" s="212"/>
      <c r="R739" s="605">
        <f t="shared" si="86"/>
        <v>0</v>
      </c>
      <c r="S739" s="225">
        <f t="shared" si="72"/>
        <v>0</v>
      </c>
      <c r="T739" s="237">
        <f t="shared" si="87"/>
        <v>0</v>
      </c>
    </row>
    <row r="740" spans="1:20" ht="30" hidden="1" customHeight="1" x14ac:dyDescent="0.3">
      <c r="A740" s="262">
        <v>6</v>
      </c>
      <c r="C740" s="244">
        <v>392</v>
      </c>
      <c r="D740" s="161" t="s">
        <v>972</v>
      </c>
      <c r="E740" s="969" t="s">
        <v>973</v>
      </c>
      <c r="F740" s="970"/>
      <c r="G740" s="971"/>
      <c r="H740" s="544" t="s">
        <v>286</v>
      </c>
      <c r="I740" s="212">
        <v>3644778</v>
      </c>
      <c r="J740" s="605"/>
      <c r="K740" s="212">
        <v>1</v>
      </c>
      <c r="L740" s="212">
        <f t="shared" si="85"/>
        <v>3644778</v>
      </c>
      <c r="M740" s="602"/>
      <c r="N740" s="675">
        <f>+'Yeşil Defter'!K734</f>
        <v>0</v>
      </c>
      <c r="O740" s="675">
        <f>+'Yeşil Defter'!L734</f>
        <v>0</v>
      </c>
      <c r="P740" s="675">
        <f>+'Yeşil Defter'!M734</f>
        <v>0</v>
      </c>
      <c r="Q740" s="212"/>
      <c r="R740" s="605">
        <f t="shared" si="86"/>
        <v>0</v>
      </c>
      <c r="S740" s="225">
        <f t="shared" ref="S740:S899" si="88">+T740-R740</f>
        <v>0</v>
      </c>
      <c r="T740" s="237">
        <f t="shared" si="87"/>
        <v>0</v>
      </c>
    </row>
    <row r="741" spans="1:20" ht="30" hidden="1" customHeight="1" x14ac:dyDescent="0.3">
      <c r="A741" s="262">
        <v>6</v>
      </c>
      <c r="C741" s="244">
        <v>393</v>
      </c>
      <c r="D741" s="161" t="s">
        <v>974</v>
      </c>
      <c r="E741" s="969" t="s">
        <v>975</v>
      </c>
      <c r="F741" s="970"/>
      <c r="G741" s="971"/>
      <c r="H741" s="544" t="s">
        <v>286</v>
      </c>
      <c r="I741" s="212">
        <v>3644778</v>
      </c>
      <c r="J741" s="605"/>
      <c r="K741" s="212">
        <v>1</v>
      </c>
      <c r="L741" s="212">
        <f t="shared" si="85"/>
        <v>3644778</v>
      </c>
      <c r="M741" s="602"/>
      <c r="N741" s="675">
        <f>+'Yeşil Defter'!K735</f>
        <v>0</v>
      </c>
      <c r="O741" s="675">
        <f>+'Yeşil Defter'!L735</f>
        <v>0</v>
      </c>
      <c r="P741" s="675">
        <f>+'Yeşil Defter'!M735</f>
        <v>0</v>
      </c>
      <c r="Q741" s="212"/>
      <c r="R741" s="605">
        <f t="shared" si="86"/>
        <v>0</v>
      </c>
      <c r="S741" s="225">
        <f t="shared" si="88"/>
        <v>0</v>
      </c>
      <c r="T741" s="237">
        <f t="shared" si="87"/>
        <v>0</v>
      </c>
    </row>
    <row r="742" spans="1:20" ht="30" hidden="1" customHeight="1" x14ac:dyDescent="0.3">
      <c r="A742" s="262">
        <v>6</v>
      </c>
      <c r="C742" s="244">
        <v>394</v>
      </c>
      <c r="D742" s="161" t="s">
        <v>976</v>
      </c>
      <c r="E742" s="969" t="s">
        <v>977</v>
      </c>
      <c r="F742" s="970"/>
      <c r="G742" s="971"/>
      <c r="H742" s="544" t="s">
        <v>286</v>
      </c>
      <c r="I742" s="212">
        <v>3644778</v>
      </c>
      <c r="J742" s="605"/>
      <c r="K742" s="212">
        <v>1</v>
      </c>
      <c r="L742" s="212">
        <f t="shared" si="85"/>
        <v>3644778</v>
      </c>
      <c r="M742" s="602"/>
      <c r="N742" s="675">
        <f>+'Yeşil Defter'!K736</f>
        <v>0</v>
      </c>
      <c r="O742" s="675">
        <f>+'Yeşil Defter'!L736</f>
        <v>0</v>
      </c>
      <c r="P742" s="675">
        <f>+'Yeşil Defter'!M736</f>
        <v>0</v>
      </c>
      <c r="Q742" s="212"/>
      <c r="R742" s="605">
        <f t="shared" si="86"/>
        <v>0</v>
      </c>
      <c r="S742" s="225">
        <f t="shared" si="88"/>
        <v>0</v>
      </c>
      <c r="T742" s="237">
        <f t="shared" si="87"/>
        <v>0</v>
      </c>
    </row>
    <row r="743" spans="1:20" ht="30" hidden="1" customHeight="1" x14ac:dyDescent="0.3">
      <c r="A743" s="262">
        <v>6</v>
      </c>
      <c r="C743" s="244">
        <v>395</v>
      </c>
      <c r="D743" s="161" t="s">
        <v>978</v>
      </c>
      <c r="E743" s="969" t="s">
        <v>979</v>
      </c>
      <c r="F743" s="970"/>
      <c r="G743" s="971"/>
      <c r="H743" s="544" t="s">
        <v>286</v>
      </c>
      <c r="I743" s="212">
        <v>3644778</v>
      </c>
      <c r="J743" s="605"/>
      <c r="K743" s="212">
        <v>1</v>
      </c>
      <c r="L743" s="212">
        <f t="shared" si="85"/>
        <v>3644778</v>
      </c>
      <c r="M743" s="602"/>
      <c r="N743" s="675">
        <f>+'Yeşil Defter'!K737</f>
        <v>0</v>
      </c>
      <c r="O743" s="675">
        <f>+'Yeşil Defter'!L737</f>
        <v>0</v>
      </c>
      <c r="P743" s="675">
        <f>+'Yeşil Defter'!M737</f>
        <v>0</v>
      </c>
      <c r="Q743" s="212"/>
      <c r="R743" s="605">
        <f t="shared" si="86"/>
        <v>0</v>
      </c>
      <c r="S743" s="225">
        <f t="shared" si="88"/>
        <v>0</v>
      </c>
      <c r="T743" s="237">
        <f t="shared" si="87"/>
        <v>0</v>
      </c>
    </row>
    <row r="744" spans="1:20" ht="30" hidden="1" customHeight="1" x14ac:dyDescent="0.3">
      <c r="A744" s="262">
        <v>6</v>
      </c>
      <c r="C744" s="244">
        <v>396</v>
      </c>
      <c r="D744" s="161" t="s">
        <v>980</v>
      </c>
      <c r="E744" s="969" t="s">
        <v>981</v>
      </c>
      <c r="F744" s="970"/>
      <c r="G744" s="971"/>
      <c r="H744" s="544" t="s">
        <v>286</v>
      </c>
      <c r="I744" s="212">
        <v>1341518</v>
      </c>
      <c r="J744" s="605"/>
      <c r="K744" s="212">
        <v>1</v>
      </c>
      <c r="L744" s="212">
        <f t="shared" si="85"/>
        <v>1341518</v>
      </c>
      <c r="M744" s="602"/>
      <c r="N744" s="675">
        <f>+'Yeşil Defter'!K738</f>
        <v>0</v>
      </c>
      <c r="O744" s="675">
        <f>+'Yeşil Defter'!L738</f>
        <v>0</v>
      </c>
      <c r="P744" s="675">
        <f>+'Yeşil Defter'!M738</f>
        <v>0</v>
      </c>
      <c r="Q744" s="212"/>
      <c r="R744" s="605">
        <f t="shared" si="86"/>
        <v>0</v>
      </c>
      <c r="S744" s="225">
        <f t="shared" si="88"/>
        <v>0</v>
      </c>
      <c r="T744" s="237">
        <f t="shared" si="87"/>
        <v>0</v>
      </c>
    </row>
    <row r="745" spans="1:20" ht="30" hidden="1" customHeight="1" x14ac:dyDescent="0.3">
      <c r="A745" s="262">
        <v>6</v>
      </c>
      <c r="C745" s="244">
        <v>397</v>
      </c>
      <c r="D745" s="161" t="s">
        <v>982</v>
      </c>
      <c r="E745" s="969" t="s">
        <v>983</v>
      </c>
      <c r="F745" s="970"/>
      <c r="G745" s="971"/>
      <c r="H745" s="544" t="s">
        <v>286</v>
      </c>
      <c r="I745" s="212">
        <v>1464876</v>
      </c>
      <c r="J745" s="605"/>
      <c r="K745" s="212">
        <v>1</v>
      </c>
      <c r="L745" s="212">
        <f t="shared" si="85"/>
        <v>1464876</v>
      </c>
      <c r="M745" s="602"/>
      <c r="N745" s="675">
        <f>+'Yeşil Defter'!K739</f>
        <v>0</v>
      </c>
      <c r="O745" s="675">
        <f>+'Yeşil Defter'!L739</f>
        <v>0</v>
      </c>
      <c r="P745" s="675">
        <f>+'Yeşil Defter'!M739</f>
        <v>0</v>
      </c>
      <c r="Q745" s="212"/>
      <c r="R745" s="605">
        <f t="shared" si="86"/>
        <v>0</v>
      </c>
      <c r="S745" s="225">
        <f t="shared" si="88"/>
        <v>0</v>
      </c>
      <c r="T745" s="237">
        <f t="shared" si="87"/>
        <v>0</v>
      </c>
    </row>
    <row r="746" spans="1:20" ht="30" hidden="1" customHeight="1" x14ac:dyDescent="0.3">
      <c r="A746" s="262">
        <v>6</v>
      </c>
      <c r="C746" s="244">
        <v>398</v>
      </c>
      <c r="D746" s="161" t="s">
        <v>984</v>
      </c>
      <c r="E746" s="969" t="s">
        <v>985</v>
      </c>
      <c r="F746" s="970"/>
      <c r="G746" s="971"/>
      <c r="H746" s="544" t="s">
        <v>286</v>
      </c>
      <c r="I746" s="212">
        <v>1541975</v>
      </c>
      <c r="J746" s="605"/>
      <c r="K746" s="212">
        <v>1</v>
      </c>
      <c r="L746" s="212">
        <f t="shared" si="85"/>
        <v>1541975</v>
      </c>
      <c r="M746" s="602"/>
      <c r="N746" s="675">
        <f>+'Yeşil Defter'!K740</f>
        <v>0</v>
      </c>
      <c r="O746" s="675">
        <f>+'Yeşil Defter'!L740</f>
        <v>0</v>
      </c>
      <c r="P746" s="675">
        <f>+'Yeşil Defter'!M740</f>
        <v>0</v>
      </c>
      <c r="Q746" s="212"/>
      <c r="R746" s="605">
        <f t="shared" si="86"/>
        <v>0</v>
      </c>
      <c r="S746" s="225">
        <f t="shared" si="88"/>
        <v>0</v>
      </c>
      <c r="T746" s="237">
        <f t="shared" si="87"/>
        <v>0</v>
      </c>
    </row>
    <row r="747" spans="1:20" ht="30" hidden="1" customHeight="1" x14ac:dyDescent="0.3">
      <c r="A747" s="262">
        <v>6</v>
      </c>
      <c r="C747" s="244">
        <v>399</v>
      </c>
      <c r="D747" s="161" t="s">
        <v>986</v>
      </c>
      <c r="E747" s="969" t="s">
        <v>987</v>
      </c>
      <c r="F747" s="970"/>
      <c r="G747" s="971"/>
      <c r="H747" s="544" t="s">
        <v>286</v>
      </c>
      <c r="I747" s="212">
        <v>1387778</v>
      </c>
      <c r="J747" s="605"/>
      <c r="K747" s="212">
        <v>1</v>
      </c>
      <c r="L747" s="212">
        <f t="shared" si="85"/>
        <v>1387778</v>
      </c>
      <c r="M747" s="602"/>
      <c r="N747" s="675">
        <f>+'Yeşil Defter'!K741</f>
        <v>0</v>
      </c>
      <c r="O747" s="675">
        <f>+'Yeşil Defter'!L741</f>
        <v>0</v>
      </c>
      <c r="P747" s="675">
        <f>+'Yeşil Defter'!M741</f>
        <v>0</v>
      </c>
      <c r="Q747" s="212"/>
      <c r="R747" s="605">
        <f t="shared" si="86"/>
        <v>0</v>
      </c>
      <c r="S747" s="225">
        <f t="shared" si="88"/>
        <v>0</v>
      </c>
      <c r="T747" s="237">
        <f t="shared" si="87"/>
        <v>0</v>
      </c>
    </row>
    <row r="748" spans="1:20" ht="30" hidden="1" customHeight="1" x14ac:dyDescent="0.3">
      <c r="A748" s="262">
        <v>6</v>
      </c>
      <c r="C748" s="244">
        <v>400</v>
      </c>
      <c r="D748" s="161" t="s">
        <v>988</v>
      </c>
      <c r="E748" s="969" t="s">
        <v>989</v>
      </c>
      <c r="F748" s="970"/>
      <c r="G748" s="971"/>
      <c r="H748" s="544" t="s">
        <v>286</v>
      </c>
      <c r="I748" s="212">
        <v>1464876</v>
      </c>
      <c r="J748" s="605"/>
      <c r="K748" s="212">
        <v>1</v>
      </c>
      <c r="L748" s="212">
        <f t="shared" si="85"/>
        <v>1464876</v>
      </c>
      <c r="M748" s="602"/>
      <c r="N748" s="675">
        <f>+'Yeşil Defter'!K742</f>
        <v>0</v>
      </c>
      <c r="O748" s="675">
        <f>+'Yeşil Defter'!L742</f>
        <v>0</v>
      </c>
      <c r="P748" s="675">
        <f>+'Yeşil Defter'!M742</f>
        <v>0</v>
      </c>
      <c r="Q748" s="212"/>
      <c r="R748" s="605">
        <f t="shared" si="86"/>
        <v>0</v>
      </c>
      <c r="S748" s="225">
        <f t="shared" si="88"/>
        <v>0</v>
      </c>
      <c r="T748" s="237">
        <f t="shared" si="87"/>
        <v>0</v>
      </c>
    </row>
    <row r="749" spans="1:20" ht="30" hidden="1" customHeight="1" x14ac:dyDescent="0.3">
      <c r="A749" s="262">
        <v>6</v>
      </c>
      <c r="C749" s="244">
        <v>401</v>
      </c>
      <c r="D749" s="161" t="s">
        <v>990</v>
      </c>
      <c r="E749" s="969" t="s">
        <v>991</v>
      </c>
      <c r="F749" s="970"/>
      <c r="G749" s="971"/>
      <c r="H749" s="544" t="s">
        <v>286</v>
      </c>
      <c r="I749" s="212">
        <v>9231212</v>
      </c>
      <c r="J749" s="605"/>
      <c r="K749" s="212">
        <v>1</v>
      </c>
      <c r="L749" s="212">
        <f t="shared" si="85"/>
        <v>9231212</v>
      </c>
      <c r="M749" s="602"/>
      <c r="N749" s="675">
        <f>+'Yeşil Defter'!K743</f>
        <v>0</v>
      </c>
      <c r="O749" s="675">
        <f>+'Yeşil Defter'!L743</f>
        <v>0</v>
      </c>
      <c r="P749" s="675">
        <f>+'Yeşil Defter'!M743</f>
        <v>0</v>
      </c>
      <c r="Q749" s="212"/>
      <c r="R749" s="605">
        <f t="shared" si="86"/>
        <v>0</v>
      </c>
      <c r="S749" s="225">
        <f t="shared" si="88"/>
        <v>0</v>
      </c>
      <c r="T749" s="237">
        <f t="shared" si="87"/>
        <v>0</v>
      </c>
    </row>
    <row r="750" spans="1:20" ht="30" hidden="1" customHeight="1" x14ac:dyDescent="0.3">
      <c r="A750" s="262">
        <v>6</v>
      </c>
      <c r="C750" s="244">
        <v>402</v>
      </c>
      <c r="D750" s="161" t="s">
        <v>992</v>
      </c>
      <c r="E750" s="969" t="s">
        <v>993</v>
      </c>
      <c r="F750" s="970"/>
      <c r="G750" s="971"/>
      <c r="H750" s="544" t="s">
        <v>286</v>
      </c>
      <c r="I750" s="212">
        <v>11006961</v>
      </c>
      <c r="J750" s="605"/>
      <c r="K750" s="212">
        <v>1</v>
      </c>
      <c r="L750" s="212">
        <f t="shared" si="85"/>
        <v>11006961</v>
      </c>
      <c r="M750" s="602"/>
      <c r="N750" s="675">
        <f>+'Yeşil Defter'!K756</f>
        <v>0</v>
      </c>
      <c r="O750" s="675">
        <f>+'Yeşil Defter'!L756</f>
        <v>0</v>
      </c>
      <c r="P750" s="675">
        <f>+'Yeşil Defter'!M756</f>
        <v>0</v>
      </c>
      <c r="Q750" s="212"/>
      <c r="R750" s="605">
        <f t="shared" si="86"/>
        <v>0</v>
      </c>
      <c r="S750" s="225">
        <f t="shared" si="88"/>
        <v>0</v>
      </c>
      <c r="T750" s="237">
        <f t="shared" si="87"/>
        <v>0</v>
      </c>
    </row>
    <row r="751" spans="1:20" ht="30" hidden="1" customHeight="1" x14ac:dyDescent="0.3">
      <c r="A751" s="262">
        <v>6</v>
      </c>
      <c r="C751" s="244">
        <v>403</v>
      </c>
      <c r="D751" s="161" t="s">
        <v>994</v>
      </c>
      <c r="E751" s="969" t="s">
        <v>995</v>
      </c>
      <c r="F751" s="970"/>
      <c r="G751" s="971"/>
      <c r="H751" s="544" t="s">
        <v>286</v>
      </c>
      <c r="I751" s="212">
        <v>12196079</v>
      </c>
      <c r="J751" s="605"/>
      <c r="K751" s="212">
        <v>1</v>
      </c>
      <c r="L751" s="212">
        <f t="shared" si="85"/>
        <v>12196079</v>
      </c>
      <c r="M751" s="602"/>
      <c r="N751" s="675">
        <f>+'Yeşil Defter'!K757</f>
        <v>0</v>
      </c>
      <c r="O751" s="675">
        <f>+'Yeşil Defter'!L757</f>
        <v>0</v>
      </c>
      <c r="P751" s="675">
        <f>+'Yeşil Defter'!M757</f>
        <v>0</v>
      </c>
      <c r="Q751" s="212"/>
      <c r="R751" s="605">
        <f t="shared" si="86"/>
        <v>0</v>
      </c>
      <c r="S751" s="225">
        <f t="shared" si="88"/>
        <v>0</v>
      </c>
      <c r="T751" s="237">
        <f t="shared" si="87"/>
        <v>0</v>
      </c>
    </row>
    <row r="752" spans="1:20" ht="30" hidden="1" customHeight="1" x14ac:dyDescent="0.3">
      <c r="A752" s="262">
        <v>6</v>
      </c>
      <c r="C752" s="244">
        <v>404</v>
      </c>
      <c r="D752" s="161" t="s">
        <v>996</v>
      </c>
      <c r="E752" s="969" t="s">
        <v>997</v>
      </c>
      <c r="F752" s="970"/>
      <c r="G752" s="971"/>
      <c r="H752" s="544" t="s">
        <v>286</v>
      </c>
      <c r="I752" s="212">
        <v>9878824</v>
      </c>
      <c r="J752" s="605"/>
      <c r="K752" s="212">
        <v>1</v>
      </c>
      <c r="L752" s="212">
        <f t="shared" si="85"/>
        <v>9878824</v>
      </c>
      <c r="M752" s="602"/>
      <c r="N752" s="675">
        <f>+'Yeşil Defter'!K758</f>
        <v>0</v>
      </c>
      <c r="O752" s="675">
        <f>+'Yeşil Defter'!L758</f>
        <v>0</v>
      </c>
      <c r="P752" s="675">
        <f>+'Yeşil Defter'!M758</f>
        <v>0</v>
      </c>
      <c r="Q752" s="212"/>
      <c r="R752" s="605">
        <f t="shared" si="86"/>
        <v>0</v>
      </c>
      <c r="S752" s="225">
        <f t="shared" si="88"/>
        <v>0</v>
      </c>
      <c r="T752" s="237">
        <f t="shared" si="87"/>
        <v>0</v>
      </c>
    </row>
    <row r="753" spans="1:20" ht="30" hidden="1" customHeight="1" x14ac:dyDescent="0.3">
      <c r="A753" s="262">
        <v>6</v>
      </c>
      <c r="C753" s="244">
        <v>405</v>
      </c>
      <c r="D753" s="161" t="s">
        <v>998</v>
      </c>
      <c r="E753" s="969" t="s">
        <v>999</v>
      </c>
      <c r="F753" s="970"/>
      <c r="G753" s="971"/>
      <c r="H753" s="544" t="s">
        <v>286</v>
      </c>
      <c r="I753" s="212">
        <v>11006961</v>
      </c>
      <c r="J753" s="605"/>
      <c r="K753" s="212">
        <v>1</v>
      </c>
      <c r="L753" s="212">
        <f t="shared" si="85"/>
        <v>11006961</v>
      </c>
      <c r="M753" s="602"/>
      <c r="N753" s="675">
        <f>+'Yeşil Defter'!K759</f>
        <v>0</v>
      </c>
      <c r="O753" s="675">
        <f>+'Yeşil Defter'!L759</f>
        <v>0</v>
      </c>
      <c r="P753" s="675">
        <f>+'Yeşil Defter'!M759</f>
        <v>0</v>
      </c>
      <c r="Q753" s="212"/>
      <c r="R753" s="605">
        <f t="shared" si="86"/>
        <v>0</v>
      </c>
      <c r="S753" s="225">
        <f t="shared" si="88"/>
        <v>0</v>
      </c>
      <c r="T753" s="237">
        <f t="shared" si="87"/>
        <v>0</v>
      </c>
    </row>
    <row r="754" spans="1:20" ht="30" hidden="1" customHeight="1" x14ac:dyDescent="0.3">
      <c r="A754" s="262">
        <v>6</v>
      </c>
      <c r="C754" s="244">
        <v>406</v>
      </c>
      <c r="D754" s="161" t="s">
        <v>1000</v>
      </c>
      <c r="E754" s="969" t="s">
        <v>1001</v>
      </c>
      <c r="F754" s="970"/>
      <c r="G754" s="971"/>
      <c r="H754" s="544" t="s">
        <v>286</v>
      </c>
      <c r="I754" s="212">
        <v>7293625</v>
      </c>
      <c r="J754" s="605"/>
      <c r="K754" s="212">
        <v>1</v>
      </c>
      <c r="L754" s="212">
        <f t="shared" si="85"/>
        <v>7293625</v>
      </c>
      <c r="M754" s="602"/>
      <c r="N754" s="675">
        <f>+'Yeşil Defter'!K760</f>
        <v>0</v>
      </c>
      <c r="O754" s="675">
        <f>+'Yeşil Defter'!L760</f>
        <v>0</v>
      </c>
      <c r="P754" s="675">
        <f>+'Yeşil Defter'!M760</f>
        <v>0</v>
      </c>
      <c r="Q754" s="212"/>
      <c r="R754" s="605">
        <f t="shared" si="86"/>
        <v>0</v>
      </c>
      <c r="S754" s="225">
        <f t="shared" si="88"/>
        <v>0</v>
      </c>
      <c r="T754" s="237">
        <f t="shared" si="87"/>
        <v>0</v>
      </c>
    </row>
    <row r="755" spans="1:20" ht="30" hidden="1" customHeight="1" x14ac:dyDescent="0.3">
      <c r="A755" s="262">
        <v>6</v>
      </c>
      <c r="C755" s="244"/>
      <c r="D755" s="161"/>
      <c r="E755" s="969"/>
      <c r="F755" s="970"/>
      <c r="G755" s="971"/>
      <c r="H755" s="161"/>
      <c r="I755" s="605"/>
      <c r="J755" s="605"/>
      <c r="K755" s="212"/>
      <c r="L755" s="341"/>
      <c r="M755" s="212"/>
      <c r="N755" s="605"/>
      <c r="O755" s="212"/>
      <c r="P755" s="341"/>
      <c r="Q755" s="212"/>
      <c r="R755" s="605"/>
      <c r="S755" s="225"/>
      <c r="T755" s="237"/>
    </row>
    <row r="756" spans="1:20" ht="30" hidden="1" customHeight="1" x14ac:dyDescent="0.3">
      <c r="A756" s="262">
        <v>6</v>
      </c>
      <c r="C756" s="244"/>
      <c r="D756" s="161"/>
      <c r="E756" s="969"/>
      <c r="F756" s="970"/>
      <c r="G756" s="971"/>
      <c r="H756" s="161"/>
      <c r="I756" s="605"/>
      <c r="J756" s="605"/>
      <c r="K756" s="212"/>
      <c r="L756" s="341"/>
      <c r="M756" s="212"/>
      <c r="N756" s="605"/>
      <c r="O756" s="212"/>
      <c r="P756" s="341"/>
      <c r="Q756" s="212"/>
      <c r="R756" s="605"/>
      <c r="S756" s="225"/>
      <c r="T756" s="237"/>
    </row>
    <row r="757" spans="1:20" ht="30" hidden="1" customHeight="1" x14ac:dyDescent="0.3">
      <c r="A757" s="262">
        <v>6</v>
      </c>
      <c r="C757" s="244"/>
      <c r="D757" s="161"/>
      <c r="E757" s="969"/>
      <c r="F757" s="970"/>
      <c r="G757" s="971"/>
      <c r="H757" s="161"/>
      <c r="I757" s="605"/>
      <c r="J757" s="605"/>
      <c r="K757" s="212"/>
      <c r="L757" s="341"/>
      <c r="M757" s="212"/>
      <c r="N757" s="605"/>
      <c r="O757" s="212"/>
      <c r="P757" s="341"/>
      <c r="Q757" s="212"/>
      <c r="R757" s="605"/>
      <c r="S757" s="225"/>
      <c r="T757" s="237"/>
    </row>
    <row r="758" spans="1:20" ht="30" hidden="1" customHeight="1" x14ac:dyDescent="0.3">
      <c r="A758" s="262">
        <v>6</v>
      </c>
      <c r="C758" s="244"/>
      <c r="D758" s="161"/>
      <c r="E758" s="969"/>
      <c r="F758" s="970"/>
      <c r="G758" s="971"/>
      <c r="H758" s="161"/>
      <c r="I758" s="605"/>
      <c r="J758" s="605"/>
      <c r="K758" s="212"/>
      <c r="L758" s="341"/>
      <c r="M758" s="212"/>
      <c r="N758" s="605"/>
      <c r="O758" s="212"/>
      <c r="P758" s="341"/>
      <c r="Q758" s="212"/>
      <c r="R758" s="605"/>
      <c r="S758" s="225"/>
      <c r="T758" s="237"/>
    </row>
    <row r="759" spans="1:20" ht="30" hidden="1" customHeight="1" x14ac:dyDescent="0.3">
      <c r="A759" s="262">
        <v>6</v>
      </c>
      <c r="C759" s="244"/>
      <c r="D759" s="161"/>
      <c r="E759" s="969"/>
      <c r="F759" s="970"/>
      <c r="G759" s="971"/>
      <c r="H759" s="161"/>
      <c r="I759" s="605"/>
      <c r="J759" s="605"/>
      <c r="K759" s="212"/>
      <c r="L759" s="341"/>
      <c r="M759" s="212"/>
      <c r="N759" s="605"/>
      <c r="O759" s="212"/>
      <c r="P759" s="341"/>
      <c r="Q759" s="212"/>
      <c r="R759" s="605"/>
      <c r="S759" s="225"/>
      <c r="T759" s="237"/>
    </row>
    <row r="760" spans="1:20" ht="30" hidden="1" customHeight="1" x14ac:dyDescent="0.3">
      <c r="A760" s="262">
        <v>6</v>
      </c>
      <c r="C760" s="244"/>
      <c r="D760" s="161"/>
      <c r="E760" s="969"/>
      <c r="F760" s="970"/>
      <c r="G760" s="971"/>
      <c r="H760" s="658"/>
      <c r="I760" s="605"/>
      <c r="J760" s="605"/>
      <c r="K760" s="212"/>
      <c r="L760" s="341"/>
      <c r="M760" s="302"/>
      <c r="N760" s="605"/>
      <c r="O760" s="212"/>
      <c r="P760" s="341"/>
      <c r="Q760" s="302"/>
      <c r="R760" s="605"/>
      <c r="S760" s="225"/>
      <c r="T760" s="237"/>
    </row>
    <row r="761" spans="1:20" ht="40.049999999999997" hidden="1" customHeight="1" x14ac:dyDescent="0.3">
      <c r="A761" s="262" t="s">
        <v>1242</v>
      </c>
      <c r="C761" s="258"/>
      <c r="D761" s="258"/>
      <c r="E761" s="972" t="s">
        <v>33</v>
      </c>
      <c r="F761" s="972"/>
      <c r="G761" s="972"/>
      <c r="H761" s="973" t="s">
        <v>29</v>
      </c>
      <c r="I761" s="973"/>
      <c r="J761" s="973"/>
      <c r="K761" s="973"/>
      <c r="L761" s="973"/>
      <c r="M761" s="549"/>
      <c r="N761" s="973" t="s">
        <v>22</v>
      </c>
      <c r="O761" s="973"/>
      <c r="P761" s="973"/>
      <c r="Q761" s="973"/>
      <c r="R761" s="973"/>
      <c r="S761" s="973"/>
      <c r="T761" s="973"/>
    </row>
    <row r="762" spans="1:20" ht="19.95" hidden="1" customHeight="1" x14ac:dyDescent="0.3">
      <c r="A762" s="262" t="s">
        <v>1242</v>
      </c>
      <c r="D762" s="28"/>
      <c r="E762" s="974" t="s">
        <v>1214</v>
      </c>
      <c r="F762" s="974"/>
      <c r="G762" s="974"/>
      <c r="H762" s="975" t="s">
        <v>38</v>
      </c>
      <c r="I762" s="975"/>
      <c r="J762" s="975"/>
      <c r="K762" s="975"/>
      <c r="L762" s="975"/>
      <c r="M762" s="562"/>
      <c r="N762" s="975" t="s">
        <v>1437</v>
      </c>
      <c r="O762" s="975"/>
      <c r="P762" s="975"/>
      <c r="Q762" s="975"/>
      <c r="R762" s="975"/>
      <c r="S762" s="975"/>
      <c r="T762" s="975"/>
    </row>
    <row r="763" spans="1:20" ht="19.95" hidden="1" customHeight="1" x14ac:dyDescent="0.3">
      <c r="A763" s="262" t="s">
        <v>1242</v>
      </c>
      <c r="C763" s="228"/>
      <c r="D763" s="228"/>
      <c r="E763" s="561"/>
      <c r="F763" s="561"/>
      <c r="G763" s="561"/>
      <c r="H763" s="228"/>
      <c r="I763" s="260"/>
      <c r="J763" s="260"/>
      <c r="K763" s="260"/>
      <c r="L763" s="260"/>
      <c r="M763" s="260"/>
      <c r="N763" s="975"/>
      <c r="O763" s="975"/>
      <c r="P763" s="975"/>
      <c r="Q763" s="975"/>
      <c r="R763" s="975"/>
      <c r="S763" s="975"/>
      <c r="T763" s="975"/>
    </row>
    <row r="764" spans="1:20" ht="19.95" hidden="1" customHeight="1" x14ac:dyDescent="0.3">
      <c r="A764" s="262" t="s">
        <v>1242</v>
      </c>
      <c r="C764" s="228"/>
      <c r="D764" s="228"/>
      <c r="E764" s="561"/>
      <c r="F764" s="561"/>
      <c r="G764" s="561"/>
      <c r="H764" s="228"/>
      <c r="I764" s="260"/>
      <c r="J764" s="260"/>
      <c r="K764" s="260"/>
      <c r="L764" s="260"/>
      <c r="M764" s="260"/>
      <c r="N764" s="975"/>
      <c r="O764" s="975"/>
      <c r="P764" s="975"/>
      <c r="Q764" s="975"/>
      <c r="R764" s="975"/>
      <c r="S764" s="975"/>
      <c r="T764" s="975"/>
    </row>
    <row r="765" spans="1:20" ht="19.95" hidden="1" customHeight="1" x14ac:dyDescent="0.3">
      <c r="A765" s="262" t="s">
        <v>1242</v>
      </c>
      <c r="C765" s="228"/>
      <c r="D765" s="228"/>
      <c r="E765" s="561"/>
      <c r="F765" s="561"/>
      <c r="G765" s="561"/>
      <c r="H765" s="261"/>
      <c r="I765" s="261"/>
      <c r="J765" s="261"/>
      <c r="K765" s="261"/>
      <c r="L765" s="261"/>
      <c r="M765" s="261"/>
      <c r="N765" s="260"/>
      <c r="O765" s="260"/>
      <c r="P765" s="260"/>
      <c r="Q765" s="260"/>
      <c r="R765" s="260"/>
      <c r="S765" s="260"/>
      <c r="T765" s="260"/>
    </row>
    <row r="766" spans="1:20" ht="19.95" hidden="1" customHeight="1" x14ac:dyDescent="0.3">
      <c r="A766" s="262" t="s">
        <v>1242</v>
      </c>
      <c r="C766" s="228"/>
      <c r="D766" s="228"/>
      <c r="E766" s="561"/>
      <c r="F766" s="561"/>
      <c r="G766" s="561"/>
      <c r="H766" s="975" t="s">
        <v>32</v>
      </c>
      <c r="I766" s="975"/>
      <c r="J766" s="562"/>
      <c r="K766" s="975" t="s">
        <v>1407</v>
      </c>
      <c r="L766" s="975"/>
      <c r="M766" s="562"/>
      <c r="N766" s="968" t="s">
        <v>1244</v>
      </c>
      <c r="O766" s="968"/>
      <c r="P766" s="968"/>
      <c r="Q766" s="968"/>
      <c r="R766" s="968"/>
      <c r="S766" s="968"/>
      <c r="T766" s="968"/>
    </row>
    <row r="767" spans="1:20" ht="19.95" hidden="1" customHeight="1" x14ac:dyDescent="0.3">
      <c r="A767" s="262" t="s">
        <v>1242</v>
      </c>
      <c r="C767" s="228"/>
      <c r="D767" s="228"/>
      <c r="E767" s="561"/>
      <c r="F767" s="561"/>
      <c r="G767" s="561"/>
      <c r="H767" s="976" t="s">
        <v>94</v>
      </c>
      <c r="I767" s="976"/>
      <c r="J767" s="623"/>
      <c r="K767" s="976" t="s">
        <v>94</v>
      </c>
      <c r="L767" s="976"/>
      <c r="M767" s="623"/>
      <c r="N767" s="968" t="s">
        <v>1483</v>
      </c>
      <c r="O767" s="968"/>
      <c r="P767" s="968"/>
      <c r="Q767" s="968"/>
      <c r="R767" s="968"/>
      <c r="S767" s="968"/>
      <c r="T767" s="968"/>
    </row>
    <row r="768" spans="1:20" ht="19.95" hidden="1" customHeight="1" x14ac:dyDescent="0.3">
      <c r="A768" s="262" t="s">
        <v>1242</v>
      </c>
      <c r="C768" s="228"/>
      <c r="D768" s="228"/>
      <c r="E768" s="561"/>
      <c r="F768" s="561"/>
      <c r="G768" s="561"/>
      <c r="H768" s="976"/>
      <c r="I768" s="976"/>
      <c r="J768" s="623"/>
      <c r="K768" s="976"/>
      <c r="L768" s="976"/>
      <c r="M768" s="623"/>
      <c r="N768" s="968"/>
      <c r="O768" s="968"/>
      <c r="P768" s="968"/>
      <c r="Q768" s="968"/>
      <c r="R768" s="968"/>
      <c r="S768" s="968"/>
      <c r="T768" s="968"/>
    </row>
    <row r="769" spans="1:20" ht="19.95" hidden="1" customHeight="1" x14ac:dyDescent="0.3">
      <c r="A769" s="262" t="s">
        <v>1242</v>
      </c>
      <c r="C769" s="228"/>
      <c r="D769" s="228"/>
      <c r="E769" s="561"/>
      <c r="F769" s="561"/>
      <c r="G769" s="561"/>
      <c r="H769" s="228"/>
      <c r="I769" s="260"/>
      <c r="J769" s="260"/>
      <c r="K769" s="260"/>
      <c r="L769" s="260"/>
      <c r="M769" s="260"/>
      <c r="N769" s="260"/>
      <c r="O769" s="260"/>
      <c r="P769" s="260"/>
      <c r="Q769" s="260"/>
      <c r="R769" s="260"/>
      <c r="S769" s="624"/>
      <c r="T769" s="260"/>
    </row>
    <row r="770" spans="1:20" ht="19.95" hidden="1" customHeight="1" x14ac:dyDescent="0.3">
      <c r="A770" s="262" t="s">
        <v>1242</v>
      </c>
      <c r="C770" s="228"/>
      <c r="D770" s="228"/>
      <c r="E770" s="975" t="s">
        <v>1215</v>
      </c>
      <c r="F770" s="975"/>
      <c r="G770" s="975"/>
      <c r="H770" s="975" t="s">
        <v>1348</v>
      </c>
      <c r="I770" s="975"/>
      <c r="J770" s="975"/>
      <c r="K770" s="975"/>
      <c r="L770" s="975"/>
      <c r="M770" s="562"/>
      <c r="N770" s="977" t="s">
        <v>1219</v>
      </c>
      <c r="O770" s="968"/>
      <c r="P770" s="968"/>
      <c r="Q770" s="968"/>
      <c r="R770" s="968"/>
      <c r="S770" s="968"/>
      <c r="T770" s="968"/>
    </row>
    <row r="771" spans="1:20" ht="19.95" hidden="1" customHeight="1" x14ac:dyDescent="0.3">
      <c r="A771" s="262" t="s">
        <v>1290</v>
      </c>
      <c r="C771" s="228"/>
      <c r="D771" s="228"/>
      <c r="E771" s="975"/>
      <c r="F771" s="975"/>
      <c r="G771" s="975"/>
      <c r="H771" s="975"/>
      <c r="I771" s="975"/>
      <c r="J771" s="975"/>
      <c r="K771" s="975"/>
      <c r="L771" s="975"/>
      <c r="M771" s="562"/>
      <c r="N771" s="968"/>
      <c r="O771" s="968"/>
      <c r="P771" s="968"/>
      <c r="Q771" s="968"/>
      <c r="R771" s="968"/>
      <c r="S771" s="968"/>
      <c r="T771" s="968"/>
    </row>
    <row r="772" spans="1:20" ht="30" hidden="1" customHeight="1" x14ac:dyDescent="0.3">
      <c r="A772" s="262" t="s">
        <v>1240</v>
      </c>
      <c r="C772" s="625"/>
      <c r="D772" s="626" t="s">
        <v>1234</v>
      </c>
      <c r="E772" s="627"/>
      <c r="F772" s="627"/>
      <c r="G772" s="627"/>
      <c r="H772" s="627"/>
      <c r="I772" s="628"/>
      <c r="J772" s="628"/>
      <c r="K772" s="628"/>
      <c r="L772" s="644">
        <f>+SUMIFS(L:L,A:A,"7")</f>
        <v>318420015</v>
      </c>
      <c r="M772" s="629"/>
      <c r="N772" s="648"/>
      <c r="O772" s="628"/>
      <c r="P772" s="628"/>
      <c r="Q772" s="611"/>
      <c r="R772" s="651">
        <f>+SUMIFS(R:R,A:A,"7")</f>
        <v>0</v>
      </c>
      <c r="S772" s="630">
        <f>+SUMIFS(S:S,A:A,"7")</f>
        <v>0</v>
      </c>
      <c r="T772" s="631">
        <f>+SUMIFS(T:T,A:A,"7")</f>
        <v>0</v>
      </c>
    </row>
    <row r="773" spans="1:20" ht="30" hidden="1" customHeight="1" x14ac:dyDescent="0.3">
      <c r="A773" s="262">
        <v>7</v>
      </c>
      <c r="C773" s="244">
        <v>407</v>
      </c>
      <c r="D773" s="213" t="s">
        <v>1002</v>
      </c>
      <c r="E773" s="969" t="s">
        <v>1003</v>
      </c>
      <c r="F773" s="970"/>
      <c r="G773" s="971"/>
      <c r="H773" s="544" t="s">
        <v>286</v>
      </c>
      <c r="I773" s="212">
        <v>3750000</v>
      </c>
      <c r="J773" s="605"/>
      <c r="K773" s="212">
        <v>1</v>
      </c>
      <c r="L773" s="212">
        <f t="shared" ref="L773:L781" si="89">+ROUND(I773*K773,2)</f>
        <v>3750000</v>
      </c>
      <c r="M773" s="602"/>
      <c r="N773" s="675">
        <f>+'Yeşil Defter'!K762</f>
        <v>0</v>
      </c>
      <c r="O773" s="675">
        <f>+'Yeşil Defter'!L762</f>
        <v>0</v>
      </c>
      <c r="P773" s="675">
        <f>+'Yeşil Defter'!M762</f>
        <v>0</v>
      </c>
      <c r="Q773" s="212"/>
      <c r="R773" s="605">
        <f t="shared" ref="R773:R781" si="90">+ROUND(K773*N773,2)</f>
        <v>0</v>
      </c>
      <c r="S773" s="225">
        <f t="shared" ref="S773:S777" si="91">+T773-R773</f>
        <v>0</v>
      </c>
      <c r="T773" s="237">
        <f t="shared" ref="T773:T781" si="92">+ROUND(K773*P773,2)</f>
        <v>0</v>
      </c>
    </row>
    <row r="774" spans="1:20" ht="30" hidden="1" customHeight="1" x14ac:dyDescent="0.3">
      <c r="A774" s="262">
        <v>7</v>
      </c>
      <c r="C774" s="244">
        <v>408</v>
      </c>
      <c r="D774" s="161" t="s">
        <v>1004</v>
      </c>
      <c r="E774" s="969" t="s">
        <v>1005</v>
      </c>
      <c r="F774" s="970"/>
      <c r="G774" s="971"/>
      <c r="H774" s="544" t="s">
        <v>247</v>
      </c>
      <c r="I774" s="212">
        <v>5273388</v>
      </c>
      <c r="J774" s="605"/>
      <c r="K774" s="212">
        <v>30</v>
      </c>
      <c r="L774" s="212">
        <f t="shared" si="89"/>
        <v>158201640</v>
      </c>
      <c r="M774" s="602"/>
      <c r="N774" s="675">
        <f>+'Yeşil Defter'!K763</f>
        <v>0</v>
      </c>
      <c r="O774" s="675">
        <f>+'Yeşil Defter'!L763</f>
        <v>0</v>
      </c>
      <c r="P774" s="675">
        <f>+'Yeşil Defter'!M763</f>
        <v>0</v>
      </c>
      <c r="Q774" s="212"/>
      <c r="R774" s="605">
        <f t="shared" si="90"/>
        <v>0</v>
      </c>
      <c r="S774" s="225">
        <f t="shared" si="91"/>
        <v>0</v>
      </c>
      <c r="T774" s="237">
        <f t="shared" si="92"/>
        <v>0</v>
      </c>
    </row>
    <row r="775" spans="1:20" ht="30" hidden="1" customHeight="1" x14ac:dyDescent="0.3">
      <c r="A775" s="262">
        <v>7</v>
      </c>
      <c r="C775" s="244">
        <v>409</v>
      </c>
      <c r="D775" s="161" t="s">
        <v>1006</v>
      </c>
      <c r="E775" s="969" t="s">
        <v>1007</v>
      </c>
      <c r="F775" s="970"/>
      <c r="G775" s="971"/>
      <c r="H775" s="544" t="s">
        <v>247</v>
      </c>
      <c r="I775" s="212">
        <v>5494500</v>
      </c>
      <c r="J775" s="605"/>
      <c r="K775" s="212">
        <v>2</v>
      </c>
      <c r="L775" s="212">
        <f t="shared" si="89"/>
        <v>10989000</v>
      </c>
      <c r="M775" s="602"/>
      <c r="N775" s="675">
        <f>+'Yeşil Defter'!K764</f>
        <v>0</v>
      </c>
      <c r="O775" s="675">
        <f>+'Yeşil Defter'!L764</f>
        <v>0</v>
      </c>
      <c r="P775" s="675">
        <f>+'Yeşil Defter'!M764</f>
        <v>0</v>
      </c>
      <c r="Q775" s="212"/>
      <c r="R775" s="605">
        <f t="shared" si="90"/>
        <v>0</v>
      </c>
      <c r="S775" s="225">
        <f t="shared" si="91"/>
        <v>0</v>
      </c>
      <c r="T775" s="237">
        <f t="shared" si="92"/>
        <v>0</v>
      </c>
    </row>
    <row r="776" spans="1:20" ht="30" hidden="1" customHeight="1" x14ac:dyDescent="0.3">
      <c r="A776" s="262">
        <v>7</v>
      </c>
      <c r="C776" s="244">
        <v>410</v>
      </c>
      <c r="D776" s="161" t="s">
        <v>1008</v>
      </c>
      <c r="E776" s="969" t="s">
        <v>1009</v>
      </c>
      <c r="F776" s="970"/>
      <c r="G776" s="971"/>
      <c r="H776" s="544" t="s">
        <v>247</v>
      </c>
      <c r="I776" s="212">
        <v>6160500</v>
      </c>
      <c r="J776" s="605"/>
      <c r="K776" s="212">
        <v>2</v>
      </c>
      <c r="L776" s="212">
        <f t="shared" si="89"/>
        <v>12321000</v>
      </c>
      <c r="M776" s="602"/>
      <c r="N776" s="675">
        <f>+'Yeşil Defter'!K765</f>
        <v>0</v>
      </c>
      <c r="O776" s="675">
        <f>+'Yeşil Defter'!L765</f>
        <v>0</v>
      </c>
      <c r="P776" s="675">
        <f>+'Yeşil Defter'!M765</f>
        <v>0</v>
      </c>
      <c r="Q776" s="212"/>
      <c r="R776" s="605">
        <f t="shared" si="90"/>
        <v>0</v>
      </c>
      <c r="S776" s="225">
        <f t="shared" si="91"/>
        <v>0</v>
      </c>
      <c r="T776" s="237">
        <f t="shared" si="92"/>
        <v>0</v>
      </c>
    </row>
    <row r="777" spans="1:20" ht="30" hidden="1" customHeight="1" x14ac:dyDescent="0.3">
      <c r="A777" s="262">
        <v>7</v>
      </c>
      <c r="C777" s="244">
        <v>411</v>
      </c>
      <c r="D777" s="161" t="s">
        <v>1010</v>
      </c>
      <c r="E777" s="969" t="s">
        <v>1011</v>
      </c>
      <c r="F777" s="970"/>
      <c r="G777" s="971"/>
      <c r="H777" s="544" t="s">
        <v>247</v>
      </c>
      <c r="I777" s="212">
        <v>2705625</v>
      </c>
      <c r="J777" s="605"/>
      <c r="K777" s="212">
        <v>5</v>
      </c>
      <c r="L777" s="212">
        <f t="shared" si="89"/>
        <v>13528125</v>
      </c>
      <c r="M777" s="602"/>
      <c r="N777" s="675">
        <f>+'Yeşil Defter'!K766</f>
        <v>0</v>
      </c>
      <c r="O777" s="675">
        <f>+'Yeşil Defter'!L766</f>
        <v>0</v>
      </c>
      <c r="P777" s="675">
        <f>+'Yeşil Defter'!M766</f>
        <v>0</v>
      </c>
      <c r="Q777" s="212"/>
      <c r="R777" s="605">
        <f t="shared" si="90"/>
        <v>0</v>
      </c>
      <c r="S777" s="225">
        <f t="shared" si="91"/>
        <v>0</v>
      </c>
      <c r="T777" s="237">
        <f t="shared" si="92"/>
        <v>0</v>
      </c>
    </row>
    <row r="778" spans="1:20" ht="30" hidden="1" customHeight="1" x14ac:dyDescent="0.3">
      <c r="A778" s="262">
        <v>7</v>
      </c>
      <c r="C778" s="244">
        <v>412</v>
      </c>
      <c r="D778" s="161" t="s">
        <v>1012</v>
      </c>
      <c r="E778" s="969" t="s">
        <v>1013</v>
      </c>
      <c r="F778" s="970"/>
      <c r="G778" s="971"/>
      <c r="H778" s="544" t="s">
        <v>247</v>
      </c>
      <c r="I778" s="212">
        <v>3371625</v>
      </c>
      <c r="J778" s="605"/>
      <c r="K778" s="212">
        <v>4</v>
      </c>
      <c r="L778" s="212">
        <f t="shared" si="89"/>
        <v>13486500</v>
      </c>
      <c r="M778" s="602"/>
      <c r="N778" s="675">
        <f>+'Yeşil Defter'!K767</f>
        <v>0</v>
      </c>
      <c r="O778" s="675">
        <f>+'Yeşil Defter'!L767</f>
        <v>0</v>
      </c>
      <c r="P778" s="675">
        <f>+'Yeşil Defter'!M767</f>
        <v>0</v>
      </c>
      <c r="Q778" s="212"/>
      <c r="R778" s="605">
        <f t="shared" si="90"/>
        <v>0</v>
      </c>
      <c r="S778" s="225">
        <f t="shared" si="88"/>
        <v>0</v>
      </c>
      <c r="T778" s="237">
        <f t="shared" si="92"/>
        <v>0</v>
      </c>
    </row>
    <row r="779" spans="1:20" ht="30" hidden="1" customHeight="1" x14ac:dyDescent="0.3">
      <c r="A779" s="262">
        <v>7</v>
      </c>
      <c r="C779" s="244">
        <v>413</v>
      </c>
      <c r="D779" s="161" t="s">
        <v>1014</v>
      </c>
      <c r="E779" s="969" t="s">
        <v>1015</v>
      </c>
      <c r="F779" s="970"/>
      <c r="G779" s="971"/>
      <c r="H779" s="544" t="s">
        <v>247</v>
      </c>
      <c r="I779" s="212">
        <v>3454875</v>
      </c>
      <c r="J779" s="605"/>
      <c r="K779" s="212">
        <v>10</v>
      </c>
      <c r="L779" s="212">
        <f t="shared" si="89"/>
        <v>34548750</v>
      </c>
      <c r="M779" s="602"/>
      <c r="N779" s="675">
        <f>+'Yeşil Defter'!K768</f>
        <v>0</v>
      </c>
      <c r="O779" s="675">
        <f>+'Yeşil Defter'!L768</f>
        <v>0</v>
      </c>
      <c r="P779" s="675">
        <f>+'Yeşil Defter'!M768</f>
        <v>0</v>
      </c>
      <c r="Q779" s="212"/>
      <c r="R779" s="605">
        <f t="shared" si="90"/>
        <v>0</v>
      </c>
      <c r="S779" s="225">
        <f t="shared" si="88"/>
        <v>0</v>
      </c>
      <c r="T779" s="237">
        <f t="shared" si="92"/>
        <v>0</v>
      </c>
    </row>
    <row r="780" spans="1:20" ht="30" hidden="1" customHeight="1" x14ac:dyDescent="0.3">
      <c r="A780" s="262">
        <v>7</v>
      </c>
      <c r="C780" s="244">
        <v>414</v>
      </c>
      <c r="D780" s="161" t="s">
        <v>1016</v>
      </c>
      <c r="E780" s="969" t="s">
        <v>1017</v>
      </c>
      <c r="F780" s="970"/>
      <c r="G780" s="971"/>
      <c r="H780" s="544" t="s">
        <v>247</v>
      </c>
      <c r="I780" s="212">
        <v>3538125</v>
      </c>
      <c r="J780" s="605"/>
      <c r="K780" s="212">
        <v>10</v>
      </c>
      <c r="L780" s="212">
        <f t="shared" si="89"/>
        <v>35381250</v>
      </c>
      <c r="M780" s="602"/>
      <c r="N780" s="675">
        <f>+'Yeşil Defter'!K769</f>
        <v>0</v>
      </c>
      <c r="O780" s="675">
        <f>+'Yeşil Defter'!L769</f>
        <v>0</v>
      </c>
      <c r="P780" s="675">
        <f>+'Yeşil Defter'!M769</f>
        <v>0</v>
      </c>
      <c r="Q780" s="212"/>
      <c r="R780" s="605">
        <f t="shared" si="90"/>
        <v>0</v>
      </c>
      <c r="S780" s="225">
        <f t="shared" si="88"/>
        <v>0</v>
      </c>
      <c r="T780" s="237">
        <f t="shared" si="92"/>
        <v>0</v>
      </c>
    </row>
    <row r="781" spans="1:20" ht="30" hidden="1" customHeight="1" x14ac:dyDescent="0.3">
      <c r="A781" s="262">
        <v>7</v>
      </c>
      <c r="C781" s="244">
        <v>415</v>
      </c>
      <c r="D781" s="161" t="s">
        <v>1018</v>
      </c>
      <c r="E781" s="969" t="s">
        <v>1019</v>
      </c>
      <c r="F781" s="970"/>
      <c r="G781" s="971"/>
      <c r="H781" s="544" t="s">
        <v>247</v>
      </c>
      <c r="I781" s="212">
        <v>3621375</v>
      </c>
      <c r="J781" s="605"/>
      <c r="K781" s="212">
        <v>10</v>
      </c>
      <c r="L781" s="212">
        <f t="shared" si="89"/>
        <v>36213750</v>
      </c>
      <c r="M781" s="602"/>
      <c r="N781" s="675">
        <f>+'Yeşil Defter'!K770</f>
        <v>0</v>
      </c>
      <c r="O781" s="675">
        <f>+'Yeşil Defter'!L770</f>
        <v>0</v>
      </c>
      <c r="P781" s="675">
        <f>+'Yeşil Defter'!M770</f>
        <v>0</v>
      </c>
      <c r="Q781" s="212"/>
      <c r="R781" s="605">
        <f t="shared" si="90"/>
        <v>0</v>
      </c>
      <c r="S781" s="225">
        <f t="shared" si="88"/>
        <v>0</v>
      </c>
      <c r="T781" s="237">
        <f t="shared" si="92"/>
        <v>0</v>
      </c>
    </row>
    <row r="782" spans="1:20" ht="30" hidden="1" customHeight="1" x14ac:dyDescent="0.3">
      <c r="A782" s="262">
        <v>7</v>
      </c>
      <c r="C782" s="244"/>
      <c r="D782" s="161"/>
      <c r="E782" s="969"/>
      <c r="F782" s="970"/>
      <c r="G782" s="971"/>
      <c r="H782" s="161"/>
      <c r="I782" s="605"/>
      <c r="J782" s="605"/>
      <c r="K782" s="212"/>
      <c r="L782" s="341"/>
      <c r="M782" s="212"/>
      <c r="N782" s="605"/>
      <c r="O782" s="212"/>
      <c r="P782" s="341"/>
      <c r="Q782" s="212"/>
      <c r="R782" s="605"/>
      <c r="S782" s="225"/>
      <c r="T782" s="237"/>
    </row>
    <row r="783" spans="1:20" ht="30" hidden="1" customHeight="1" x14ac:dyDescent="0.3">
      <c r="A783" s="262">
        <v>7</v>
      </c>
      <c r="C783" s="244"/>
      <c r="D783" s="161"/>
      <c r="E783" s="969"/>
      <c r="F783" s="970"/>
      <c r="G783" s="971"/>
      <c r="H783" s="161"/>
      <c r="I783" s="605"/>
      <c r="J783" s="605"/>
      <c r="K783" s="212"/>
      <c r="L783" s="341"/>
      <c r="M783" s="212"/>
      <c r="N783" s="605"/>
      <c r="O783" s="212"/>
      <c r="P783" s="341"/>
      <c r="Q783" s="212"/>
      <c r="R783" s="605"/>
      <c r="S783" s="225"/>
      <c r="T783" s="237"/>
    </row>
    <row r="784" spans="1:20" ht="30" hidden="1" customHeight="1" x14ac:dyDescent="0.3">
      <c r="A784" s="262">
        <v>7</v>
      </c>
      <c r="C784" s="244"/>
      <c r="D784" s="161"/>
      <c r="E784" s="969"/>
      <c r="F784" s="970"/>
      <c r="G784" s="971"/>
      <c r="H784" s="161"/>
      <c r="I784" s="605"/>
      <c r="J784" s="605"/>
      <c r="K784" s="212"/>
      <c r="L784" s="341"/>
      <c r="M784" s="212"/>
      <c r="N784" s="605"/>
      <c r="O784" s="212"/>
      <c r="P784" s="341"/>
      <c r="Q784" s="212"/>
      <c r="R784" s="605"/>
      <c r="S784" s="225"/>
      <c r="T784" s="237"/>
    </row>
    <row r="785" spans="1:20" ht="30" hidden="1" customHeight="1" x14ac:dyDescent="0.3">
      <c r="A785" s="262">
        <v>7</v>
      </c>
      <c r="C785" s="244"/>
      <c r="D785" s="161"/>
      <c r="E785" s="969"/>
      <c r="F785" s="970"/>
      <c r="G785" s="971"/>
      <c r="H785" s="161"/>
      <c r="I785" s="605"/>
      <c r="J785" s="605"/>
      <c r="K785" s="212"/>
      <c r="L785" s="341"/>
      <c r="M785" s="212"/>
      <c r="N785" s="605"/>
      <c r="O785" s="212"/>
      <c r="P785" s="341"/>
      <c r="Q785" s="212"/>
      <c r="R785" s="605"/>
      <c r="S785" s="225"/>
      <c r="T785" s="237"/>
    </row>
    <row r="786" spans="1:20" ht="30" hidden="1" customHeight="1" x14ac:dyDescent="0.3">
      <c r="A786" s="262">
        <v>7</v>
      </c>
      <c r="C786" s="244"/>
      <c r="D786" s="161"/>
      <c r="E786" s="969"/>
      <c r="F786" s="970"/>
      <c r="G786" s="971"/>
      <c r="H786" s="161"/>
      <c r="I786" s="605"/>
      <c r="J786" s="605"/>
      <c r="K786" s="212"/>
      <c r="L786" s="341"/>
      <c r="M786" s="212"/>
      <c r="N786" s="605"/>
      <c r="O786" s="212"/>
      <c r="P786" s="341"/>
      <c r="Q786" s="212"/>
      <c r="R786" s="605"/>
      <c r="S786" s="225"/>
      <c r="T786" s="237"/>
    </row>
    <row r="787" spans="1:20" ht="30" hidden="1" customHeight="1" x14ac:dyDescent="0.3">
      <c r="A787" s="262">
        <v>7</v>
      </c>
      <c r="C787" s="244"/>
      <c r="D787" s="161"/>
      <c r="E787" s="969"/>
      <c r="F787" s="970"/>
      <c r="G787" s="971"/>
      <c r="H787" s="161"/>
      <c r="I787" s="605"/>
      <c r="J787" s="605"/>
      <c r="K787" s="212"/>
      <c r="L787" s="341"/>
      <c r="M787" s="212"/>
      <c r="N787" s="605"/>
      <c r="O787" s="212"/>
      <c r="P787" s="341"/>
      <c r="Q787" s="212"/>
      <c r="R787" s="605"/>
      <c r="S787" s="225"/>
      <c r="T787" s="237"/>
    </row>
    <row r="788" spans="1:20" ht="30" hidden="1" customHeight="1" x14ac:dyDescent="0.3">
      <c r="A788" s="262">
        <v>7</v>
      </c>
      <c r="C788" s="244"/>
      <c r="D788" s="161"/>
      <c r="E788" s="969"/>
      <c r="F788" s="970"/>
      <c r="G788" s="971"/>
      <c r="H788" s="161"/>
      <c r="I788" s="605"/>
      <c r="J788" s="605"/>
      <c r="K788" s="212"/>
      <c r="L788" s="341"/>
      <c r="M788" s="212"/>
      <c r="N788" s="605"/>
      <c r="O788" s="212"/>
      <c r="P788" s="341"/>
      <c r="Q788" s="212"/>
      <c r="R788" s="605"/>
      <c r="S788" s="225"/>
      <c r="T788" s="237"/>
    </row>
    <row r="789" spans="1:20" ht="30" hidden="1" customHeight="1" x14ac:dyDescent="0.3">
      <c r="A789" s="262">
        <v>7</v>
      </c>
      <c r="C789" s="244"/>
      <c r="D789" s="161"/>
      <c r="E789" s="969"/>
      <c r="F789" s="970"/>
      <c r="G789" s="971"/>
      <c r="H789" s="161"/>
      <c r="I789" s="605"/>
      <c r="J789" s="605"/>
      <c r="K789" s="212"/>
      <c r="L789" s="341"/>
      <c r="M789" s="212"/>
      <c r="N789" s="605"/>
      <c r="O789" s="212"/>
      <c r="P789" s="341"/>
      <c r="Q789" s="212"/>
      <c r="R789" s="605"/>
      <c r="S789" s="225"/>
      <c r="T789" s="237"/>
    </row>
    <row r="790" spans="1:20" ht="30" hidden="1" customHeight="1" x14ac:dyDescent="0.3">
      <c r="A790" s="262">
        <v>7</v>
      </c>
      <c r="C790" s="244"/>
      <c r="D790" s="161"/>
      <c r="E790" s="969"/>
      <c r="F790" s="970"/>
      <c r="G790" s="971"/>
      <c r="H790" s="161"/>
      <c r="I790" s="605"/>
      <c r="J790" s="605"/>
      <c r="K790" s="212"/>
      <c r="L790" s="341"/>
      <c r="M790" s="212"/>
      <c r="N790" s="605"/>
      <c r="O790" s="212"/>
      <c r="P790" s="341"/>
      <c r="Q790" s="212"/>
      <c r="R790" s="605"/>
      <c r="S790" s="225"/>
      <c r="T790" s="237"/>
    </row>
    <row r="791" spans="1:20" ht="30" hidden="1" customHeight="1" x14ac:dyDescent="0.3">
      <c r="A791" s="262">
        <v>7</v>
      </c>
      <c r="C791" s="244"/>
      <c r="D791" s="161"/>
      <c r="E791" s="969"/>
      <c r="F791" s="970"/>
      <c r="G791" s="971"/>
      <c r="H791" s="161"/>
      <c r="I791" s="605"/>
      <c r="J791" s="605"/>
      <c r="K791" s="212"/>
      <c r="L791" s="341"/>
      <c r="M791" s="212"/>
      <c r="N791" s="605"/>
      <c r="O791" s="212"/>
      <c r="P791" s="341"/>
      <c r="Q791" s="212"/>
      <c r="R791" s="605"/>
      <c r="S791" s="225"/>
      <c r="T791" s="237"/>
    </row>
    <row r="792" spans="1:20" ht="30" hidden="1" customHeight="1" x14ac:dyDescent="0.3">
      <c r="A792" s="262">
        <v>7</v>
      </c>
      <c r="C792" s="244"/>
      <c r="D792" s="161"/>
      <c r="E792" s="969"/>
      <c r="F792" s="970"/>
      <c r="G792" s="971"/>
      <c r="H792" s="161"/>
      <c r="I792" s="605"/>
      <c r="J792" s="605"/>
      <c r="K792" s="212"/>
      <c r="L792" s="341"/>
      <c r="M792" s="212"/>
      <c r="N792" s="605"/>
      <c r="O792" s="212"/>
      <c r="P792" s="341"/>
      <c r="Q792" s="212"/>
      <c r="R792" s="605"/>
      <c r="S792" s="225"/>
      <c r="T792" s="237"/>
    </row>
    <row r="793" spans="1:20" ht="30" hidden="1" customHeight="1" x14ac:dyDescent="0.3">
      <c r="A793" s="262">
        <v>7</v>
      </c>
      <c r="C793" s="244"/>
      <c r="D793" s="161"/>
      <c r="E793" s="969"/>
      <c r="F793" s="970"/>
      <c r="G793" s="971"/>
      <c r="H793" s="161"/>
      <c r="I793" s="605"/>
      <c r="J793" s="605"/>
      <c r="K793" s="212"/>
      <c r="L793" s="341"/>
      <c r="M793" s="212"/>
      <c r="N793" s="605"/>
      <c r="O793" s="212"/>
      <c r="P793" s="341"/>
      <c r="Q793" s="212"/>
      <c r="R793" s="605"/>
      <c r="S793" s="225"/>
      <c r="T793" s="237"/>
    </row>
    <row r="794" spans="1:20" ht="30" hidden="1" customHeight="1" x14ac:dyDescent="0.3">
      <c r="A794" s="262">
        <v>7</v>
      </c>
      <c r="C794" s="244"/>
      <c r="D794" s="161"/>
      <c r="E794" s="969"/>
      <c r="F794" s="970"/>
      <c r="G794" s="971"/>
      <c r="H794" s="658"/>
      <c r="I794" s="605"/>
      <c r="J794" s="605"/>
      <c r="K794" s="212"/>
      <c r="L794" s="341"/>
      <c r="M794" s="302"/>
      <c r="N794" s="605"/>
      <c r="O794" s="212"/>
      <c r="P794" s="341"/>
      <c r="Q794" s="302"/>
      <c r="R794" s="605"/>
      <c r="S794" s="225"/>
      <c r="T794" s="237"/>
    </row>
    <row r="795" spans="1:20" ht="40.049999999999997" hidden="1" customHeight="1" x14ac:dyDescent="0.3">
      <c r="A795" s="262" t="s">
        <v>1242</v>
      </c>
      <c r="C795" s="258"/>
      <c r="D795" s="258"/>
      <c r="E795" s="972" t="s">
        <v>33</v>
      </c>
      <c r="F795" s="972"/>
      <c r="G795" s="972"/>
      <c r="H795" s="973" t="s">
        <v>29</v>
      </c>
      <c r="I795" s="973"/>
      <c r="J795" s="973"/>
      <c r="K795" s="973"/>
      <c r="L795" s="973"/>
      <c r="M795" s="549"/>
      <c r="N795" s="973" t="s">
        <v>22</v>
      </c>
      <c r="O795" s="973"/>
      <c r="P795" s="973"/>
      <c r="Q795" s="973"/>
      <c r="R795" s="973"/>
      <c r="S795" s="973"/>
      <c r="T795" s="973"/>
    </row>
    <row r="796" spans="1:20" ht="19.95" hidden="1" customHeight="1" x14ac:dyDescent="0.3">
      <c r="A796" s="262" t="s">
        <v>1242</v>
      </c>
      <c r="D796" s="28"/>
      <c r="E796" s="974" t="s">
        <v>1214</v>
      </c>
      <c r="F796" s="974"/>
      <c r="G796" s="974"/>
      <c r="H796" s="975" t="s">
        <v>38</v>
      </c>
      <c r="I796" s="975"/>
      <c r="J796" s="975"/>
      <c r="K796" s="975"/>
      <c r="L796" s="975"/>
      <c r="M796" s="562"/>
      <c r="N796" s="975" t="s">
        <v>1437</v>
      </c>
      <c r="O796" s="975"/>
      <c r="P796" s="975"/>
      <c r="Q796" s="975"/>
      <c r="R796" s="975"/>
      <c r="S796" s="975"/>
      <c r="T796" s="975"/>
    </row>
    <row r="797" spans="1:20" ht="19.95" hidden="1" customHeight="1" x14ac:dyDescent="0.3">
      <c r="A797" s="262" t="s">
        <v>1242</v>
      </c>
      <c r="C797" s="228"/>
      <c r="D797" s="228"/>
      <c r="E797" s="561"/>
      <c r="F797" s="561"/>
      <c r="G797" s="561"/>
      <c r="H797" s="228"/>
      <c r="I797" s="260"/>
      <c r="J797" s="260"/>
      <c r="K797" s="260"/>
      <c r="L797" s="260"/>
      <c r="M797" s="260"/>
      <c r="N797" s="975"/>
      <c r="O797" s="975"/>
      <c r="P797" s="975"/>
      <c r="Q797" s="975"/>
      <c r="R797" s="975"/>
      <c r="S797" s="975"/>
      <c r="T797" s="975"/>
    </row>
    <row r="798" spans="1:20" ht="19.95" hidden="1" customHeight="1" x14ac:dyDescent="0.3">
      <c r="A798" s="262" t="s">
        <v>1242</v>
      </c>
      <c r="C798" s="228"/>
      <c r="D798" s="228"/>
      <c r="E798" s="561"/>
      <c r="F798" s="561"/>
      <c r="G798" s="561"/>
      <c r="H798" s="228"/>
      <c r="I798" s="260"/>
      <c r="J798" s="260"/>
      <c r="K798" s="260"/>
      <c r="L798" s="260"/>
      <c r="M798" s="260"/>
      <c r="N798" s="975"/>
      <c r="O798" s="975"/>
      <c r="P798" s="975"/>
      <c r="Q798" s="975"/>
      <c r="R798" s="975"/>
      <c r="S798" s="975"/>
      <c r="T798" s="975"/>
    </row>
    <row r="799" spans="1:20" ht="19.95" hidden="1" customHeight="1" x14ac:dyDescent="0.3">
      <c r="A799" s="262" t="s">
        <v>1242</v>
      </c>
      <c r="C799" s="228"/>
      <c r="D799" s="228"/>
      <c r="E799" s="561"/>
      <c r="F799" s="561"/>
      <c r="G799" s="561"/>
      <c r="H799" s="261"/>
      <c r="I799" s="261"/>
      <c r="J799" s="261"/>
      <c r="K799" s="261"/>
      <c r="L799" s="261"/>
      <c r="M799" s="261"/>
      <c r="N799" s="260"/>
      <c r="O799" s="260"/>
      <c r="P799" s="260"/>
      <c r="Q799" s="260"/>
      <c r="R799" s="260"/>
      <c r="S799" s="624"/>
      <c r="T799" s="260"/>
    </row>
    <row r="800" spans="1:20" ht="19.95" hidden="1" customHeight="1" x14ac:dyDescent="0.3">
      <c r="A800" s="262" t="s">
        <v>1242</v>
      </c>
      <c r="C800" s="228"/>
      <c r="D800" s="228"/>
      <c r="E800" s="561"/>
      <c r="F800" s="561"/>
      <c r="G800" s="561"/>
      <c r="H800" s="975" t="s">
        <v>32</v>
      </c>
      <c r="I800" s="975"/>
      <c r="J800" s="562"/>
      <c r="K800" s="975" t="s">
        <v>1407</v>
      </c>
      <c r="L800" s="975"/>
      <c r="M800" s="562"/>
      <c r="N800" s="968" t="s">
        <v>1244</v>
      </c>
      <c r="O800" s="968"/>
      <c r="P800" s="968"/>
      <c r="Q800" s="968"/>
      <c r="R800" s="968"/>
      <c r="S800" s="968"/>
      <c r="T800" s="968"/>
    </row>
    <row r="801" spans="1:20" ht="19.95" hidden="1" customHeight="1" x14ac:dyDescent="0.3">
      <c r="A801" s="262" t="s">
        <v>1242</v>
      </c>
      <c r="C801" s="228"/>
      <c r="D801" s="228"/>
      <c r="E801" s="561"/>
      <c r="F801" s="561"/>
      <c r="G801" s="561"/>
      <c r="H801" s="976" t="s">
        <v>94</v>
      </c>
      <c r="I801" s="976"/>
      <c r="J801" s="623"/>
      <c r="K801" s="976" t="s">
        <v>94</v>
      </c>
      <c r="L801" s="976"/>
      <c r="M801" s="623"/>
      <c r="N801" s="968" t="s">
        <v>1483</v>
      </c>
      <c r="O801" s="968"/>
      <c r="P801" s="968"/>
      <c r="Q801" s="968"/>
      <c r="R801" s="968"/>
      <c r="S801" s="968"/>
      <c r="T801" s="968"/>
    </row>
    <row r="802" spans="1:20" ht="19.95" hidden="1" customHeight="1" x14ac:dyDescent="0.3">
      <c r="A802" s="262" t="s">
        <v>1242</v>
      </c>
      <c r="C802" s="228"/>
      <c r="D802" s="228"/>
      <c r="E802" s="561"/>
      <c r="F802" s="561"/>
      <c r="G802" s="561"/>
      <c r="H802" s="976"/>
      <c r="I802" s="976"/>
      <c r="J802" s="623"/>
      <c r="K802" s="976"/>
      <c r="L802" s="976"/>
      <c r="M802" s="623"/>
      <c r="N802" s="968"/>
      <c r="O802" s="968"/>
      <c r="P802" s="968"/>
      <c r="Q802" s="968"/>
      <c r="R802" s="968"/>
      <c r="S802" s="968"/>
      <c r="T802" s="968"/>
    </row>
    <row r="803" spans="1:20" ht="19.95" hidden="1" customHeight="1" x14ac:dyDescent="0.3">
      <c r="A803" s="262" t="s">
        <v>1242</v>
      </c>
      <c r="C803" s="228"/>
      <c r="D803" s="228"/>
      <c r="E803" s="561"/>
      <c r="F803" s="561"/>
      <c r="G803" s="561"/>
      <c r="H803" s="228"/>
      <c r="I803" s="260"/>
      <c r="J803" s="260"/>
      <c r="K803" s="260"/>
      <c r="L803" s="260"/>
      <c r="M803" s="260"/>
      <c r="N803" s="260"/>
      <c r="O803" s="260"/>
      <c r="P803" s="260"/>
      <c r="Q803" s="260"/>
      <c r="R803" s="260"/>
      <c r="S803" s="624"/>
      <c r="T803" s="260"/>
    </row>
    <row r="804" spans="1:20" ht="19.95" hidden="1" customHeight="1" x14ac:dyDescent="0.3">
      <c r="A804" s="262" t="s">
        <v>1242</v>
      </c>
      <c r="C804" s="228"/>
      <c r="D804" s="228"/>
      <c r="E804" s="975" t="s">
        <v>1215</v>
      </c>
      <c r="F804" s="975"/>
      <c r="G804" s="975"/>
      <c r="H804" s="975" t="s">
        <v>1348</v>
      </c>
      <c r="I804" s="975"/>
      <c r="J804" s="975"/>
      <c r="K804" s="975"/>
      <c r="L804" s="975"/>
      <c r="M804" s="562"/>
      <c r="N804" s="977" t="s">
        <v>1219</v>
      </c>
      <c r="O804" s="968"/>
      <c r="P804" s="968"/>
      <c r="Q804" s="968"/>
      <c r="R804" s="968"/>
      <c r="S804" s="968"/>
      <c r="T804" s="968"/>
    </row>
    <row r="805" spans="1:20" ht="19.95" hidden="1" customHeight="1" x14ac:dyDescent="0.3">
      <c r="A805" s="262" t="s">
        <v>1290</v>
      </c>
      <c r="C805" s="228"/>
      <c r="D805" s="228"/>
      <c r="E805" s="975"/>
      <c r="F805" s="975"/>
      <c r="G805" s="975"/>
      <c r="H805" s="975"/>
      <c r="I805" s="975"/>
      <c r="J805" s="975"/>
      <c r="K805" s="975"/>
      <c r="L805" s="975"/>
      <c r="M805" s="562"/>
      <c r="N805" s="968"/>
      <c r="O805" s="968"/>
      <c r="P805" s="968"/>
      <c r="Q805" s="968"/>
      <c r="R805" s="968"/>
      <c r="S805" s="968"/>
      <c r="T805" s="968"/>
    </row>
    <row r="806" spans="1:20" ht="30" hidden="1" customHeight="1" x14ac:dyDescent="0.3">
      <c r="A806" s="262" t="s">
        <v>1240</v>
      </c>
      <c r="C806" s="625"/>
      <c r="D806" s="626" t="s">
        <v>1235</v>
      </c>
      <c r="E806" s="627"/>
      <c r="F806" s="627"/>
      <c r="G806" s="627"/>
      <c r="H806" s="627"/>
      <c r="I806" s="628"/>
      <c r="J806" s="628"/>
      <c r="K806" s="628"/>
      <c r="L806" s="644">
        <f>+SUMIFS(L:L,A:A,"8")</f>
        <v>547112411.12</v>
      </c>
      <c r="M806" s="629"/>
      <c r="N806" s="648"/>
      <c r="O806" s="628"/>
      <c r="P806" s="628"/>
      <c r="Q806" s="611"/>
      <c r="R806" s="651">
        <f>+SUMIFS(R:R,A:A,"8")</f>
        <v>0</v>
      </c>
      <c r="S806" s="630">
        <f>+SUMIFS(S:S,A:A,"8")</f>
        <v>0</v>
      </c>
      <c r="T806" s="631">
        <f>+SUMIFS(T:T,A:A,"8")</f>
        <v>0</v>
      </c>
    </row>
    <row r="807" spans="1:20" ht="30" hidden="1" customHeight="1" x14ac:dyDescent="0.3">
      <c r="A807" s="262">
        <v>8</v>
      </c>
      <c r="C807" s="244">
        <v>416</v>
      </c>
      <c r="D807" s="213" t="s">
        <v>1020</v>
      </c>
      <c r="E807" s="969" t="s">
        <v>1021</v>
      </c>
      <c r="F807" s="970"/>
      <c r="G807" s="971"/>
      <c r="H807" s="544" t="s">
        <v>286</v>
      </c>
      <c r="I807" s="212">
        <v>3750000</v>
      </c>
      <c r="J807" s="605"/>
      <c r="K807" s="212">
        <v>1</v>
      </c>
      <c r="L807" s="212">
        <f t="shared" ref="L807:L815" si="93">+ROUND(I807*K807,2)</f>
        <v>3750000</v>
      </c>
      <c r="M807" s="602"/>
      <c r="N807" s="675">
        <f>+'Yeşil Defter'!K802</f>
        <v>0</v>
      </c>
      <c r="O807" s="675">
        <f>+'Yeşil Defter'!L802</f>
        <v>0</v>
      </c>
      <c r="P807" s="675">
        <f>+'Yeşil Defter'!M802</f>
        <v>0</v>
      </c>
      <c r="Q807" s="212"/>
      <c r="R807" s="605">
        <f t="shared" ref="R807:R815" si="94">+ROUND(K807*N807,2)</f>
        <v>0</v>
      </c>
      <c r="S807" s="225">
        <f t="shared" ref="S807:S815" si="95">+T807-R807</f>
        <v>0</v>
      </c>
      <c r="T807" s="237">
        <f t="shared" ref="T807:T815" si="96">+ROUND(K807*P807,2)</f>
        <v>0</v>
      </c>
    </row>
    <row r="808" spans="1:20" ht="30" hidden="1" customHeight="1" x14ac:dyDescent="0.3">
      <c r="A808" s="262">
        <v>8</v>
      </c>
      <c r="C808" s="244">
        <v>417</v>
      </c>
      <c r="D808" s="213" t="s">
        <v>1022</v>
      </c>
      <c r="E808" s="969" t="s">
        <v>1023</v>
      </c>
      <c r="F808" s="970"/>
      <c r="G808" s="971"/>
      <c r="H808" s="544" t="s">
        <v>202</v>
      </c>
      <c r="I808" s="212">
        <v>7088</v>
      </c>
      <c r="J808" s="605"/>
      <c r="K808" s="212">
        <v>9555.85</v>
      </c>
      <c r="L808" s="212">
        <f t="shared" si="93"/>
        <v>67731864.799999997</v>
      </c>
      <c r="M808" s="602"/>
      <c r="N808" s="675">
        <f>+'Yeşil Defter'!K803</f>
        <v>0</v>
      </c>
      <c r="O808" s="675">
        <f>+'Yeşil Defter'!L803</f>
        <v>0</v>
      </c>
      <c r="P808" s="675">
        <f>+'Yeşil Defter'!M803</f>
        <v>0</v>
      </c>
      <c r="Q808" s="212"/>
      <c r="R808" s="605">
        <f t="shared" si="94"/>
        <v>0</v>
      </c>
      <c r="S808" s="225">
        <f t="shared" si="95"/>
        <v>0</v>
      </c>
      <c r="T808" s="237">
        <f t="shared" si="96"/>
        <v>0</v>
      </c>
    </row>
    <row r="809" spans="1:20" ht="30" hidden="1" customHeight="1" x14ac:dyDescent="0.3">
      <c r="A809" s="262">
        <v>8</v>
      </c>
      <c r="C809" s="244">
        <v>418</v>
      </c>
      <c r="D809" s="161" t="s">
        <v>1024</v>
      </c>
      <c r="E809" s="969" t="s">
        <v>1025</v>
      </c>
      <c r="F809" s="970"/>
      <c r="G809" s="971"/>
      <c r="H809" s="544" t="s">
        <v>202</v>
      </c>
      <c r="I809" s="212">
        <v>37178</v>
      </c>
      <c r="J809" s="605"/>
      <c r="K809" s="212">
        <v>11306.44</v>
      </c>
      <c r="L809" s="212">
        <f t="shared" si="93"/>
        <v>420350826.31999999</v>
      </c>
      <c r="M809" s="602"/>
      <c r="N809" s="675">
        <f>+'Yeşil Defter'!K804</f>
        <v>0</v>
      </c>
      <c r="O809" s="675">
        <f>+'Yeşil Defter'!L804</f>
        <v>0</v>
      </c>
      <c r="P809" s="675">
        <f>+'Yeşil Defter'!M804</f>
        <v>0</v>
      </c>
      <c r="Q809" s="212"/>
      <c r="R809" s="605">
        <f t="shared" si="94"/>
        <v>0</v>
      </c>
      <c r="S809" s="225">
        <f t="shared" si="95"/>
        <v>0</v>
      </c>
      <c r="T809" s="237">
        <f t="shared" si="96"/>
        <v>0</v>
      </c>
    </row>
    <row r="810" spans="1:20" ht="30" hidden="1" customHeight="1" x14ac:dyDescent="0.3">
      <c r="A810" s="262">
        <v>8</v>
      </c>
      <c r="C810" s="244">
        <v>419</v>
      </c>
      <c r="D810" s="161" t="s">
        <v>1026</v>
      </c>
      <c r="E810" s="969" t="s">
        <v>1027</v>
      </c>
      <c r="F810" s="970"/>
      <c r="G810" s="971"/>
      <c r="H810" s="544" t="s">
        <v>247</v>
      </c>
      <c r="I810" s="212">
        <v>4375000</v>
      </c>
      <c r="J810" s="605"/>
      <c r="K810" s="212">
        <v>4</v>
      </c>
      <c r="L810" s="212">
        <f t="shared" si="93"/>
        <v>17500000</v>
      </c>
      <c r="M810" s="602"/>
      <c r="N810" s="675">
        <f>+'Yeşil Defter'!K805</f>
        <v>0</v>
      </c>
      <c r="O810" s="675">
        <f>+'Yeşil Defter'!L805</f>
        <v>0</v>
      </c>
      <c r="P810" s="675">
        <f>+'Yeşil Defter'!M805</f>
        <v>0</v>
      </c>
      <c r="Q810" s="212"/>
      <c r="R810" s="605">
        <f t="shared" si="94"/>
        <v>0</v>
      </c>
      <c r="S810" s="225">
        <f t="shared" si="95"/>
        <v>0</v>
      </c>
      <c r="T810" s="237">
        <f t="shared" si="96"/>
        <v>0</v>
      </c>
    </row>
    <row r="811" spans="1:20" ht="30" hidden="1" customHeight="1" x14ac:dyDescent="0.3">
      <c r="A811" s="262">
        <v>8</v>
      </c>
      <c r="C811" s="244">
        <v>420</v>
      </c>
      <c r="D811" s="161" t="s">
        <v>1028</v>
      </c>
      <c r="E811" s="969" t="s">
        <v>1029</v>
      </c>
      <c r="F811" s="970"/>
      <c r="G811" s="971"/>
      <c r="H811" s="544" t="s">
        <v>247</v>
      </c>
      <c r="I811" s="212">
        <v>4687500</v>
      </c>
      <c r="J811" s="605"/>
      <c r="K811" s="212">
        <v>4</v>
      </c>
      <c r="L811" s="212">
        <f t="shared" si="93"/>
        <v>18750000</v>
      </c>
      <c r="M811" s="602"/>
      <c r="N811" s="675">
        <f>+'Yeşil Defter'!K806</f>
        <v>0</v>
      </c>
      <c r="O811" s="675">
        <f>+'Yeşil Defter'!L806</f>
        <v>0</v>
      </c>
      <c r="P811" s="675">
        <f>+'Yeşil Defter'!M806</f>
        <v>0</v>
      </c>
      <c r="Q811" s="212"/>
      <c r="R811" s="605">
        <f t="shared" si="94"/>
        <v>0</v>
      </c>
      <c r="S811" s="225">
        <f t="shared" si="95"/>
        <v>0</v>
      </c>
      <c r="T811" s="237">
        <f t="shared" si="96"/>
        <v>0</v>
      </c>
    </row>
    <row r="812" spans="1:20" ht="30" hidden="1" customHeight="1" x14ac:dyDescent="0.3">
      <c r="A812" s="262">
        <v>8</v>
      </c>
      <c r="C812" s="244">
        <v>421</v>
      </c>
      <c r="D812" s="213" t="s">
        <v>1030</v>
      </c>
      <c r="E812" s="969" t="s">
        <v>1031</v>
      </c>
      <c r="F812" s="970"/>
      <c r="G812" s="971"/>
      <c r="H812" s="544" t="s">
        <v>247</v>
      </c>
      <c r="I812" s="212">
        <v>6875000</v>
      </c>
      <c r="J812" s="605"/>
      <c r="K812" s="212">
        <v>2</v>
      </c>
      <c r="L812" s="212">
        <f t="shared" si="93"/>
        <v>13750000</v>
      </c>
      <c r="M812" s="602"/>
      <c r="N812" s="675">
        <f>+'Yeşil Defter'!K807</f>
        <v>0</v>
      </c>
      <c r="O812" s="675">
        <f>+'Yeşil Defter'!L807</f>
        <v>0</v>
      </c>
      <c r="P812" s="675">
        <f>+'Yeşil Defter'!M807</f>
        <v>0</v>
      </c>
      <c r="Q812" s="212"/>
      <c r="R812" s="605">
        <f t="shared" si="94"/>
        <v>0</v>
      </c>
      <c r="S812" s="225">
        <f t="shared" si="95"/>
        <v>0</v>
      </c>
      <c r="T812" s="237">
        <f t="shared" si="96"/>
        <v>0</v>
      </c>
    </row>
    <row r="813" spans="1:20" ht="30" hidden="1" customHeight="1" x14ac:dyDescent="0.3">
      <c r="A813" s="262">
        <v>8</v>
      </c>
      <c r="C813" s="244">
        <v>422</v>
      </c>
      <c r="D813" s="213" t="s">
        <v>1032</v>
      </c>
      <c r="E813" s="969" t="s">
        <v>1033</v>
      </c>
      <c r="F813" s="970"/>
      <c r="G813" s="971"/>
      <c r="H813" s="544" t="s">
        <v>247</v>
      </c>
      <c r="I813" s="212">
        <v>437500</v>
      </c>
      <c r="J813" s="605"/>
      <c r="K813" s="212">
        <v>2</v>
      </c>
      <c r="L813" s="212">
        <f t="shared" si="93"/>
        <v>875000</v>
      </c>
      <c r="M813" s="602"/>
      <c r="N813" s="675">
        <f>+'Yeşil Defter'!K808</f>
        <v>0</v>
      </c>
      <c r="O813" s="675">
        <f>+'Yeşil Defter'!L808</f>
        <v>0</v>
      </c>
      <c r="P813" s="675">
        <f>+'Yeşil Defter'!M808</f>
        <v>0</v>
      </c>
      <c r="Q813" s="212"/>
      <c r="R813" s="605">
        <f t="shared" si="94"/>
        <v>0</v>
      </c>
      <c r="S813" s="225">
        <f t="shared" si="95"/>
        <v>0</v>
      </c>
      <c r="T813" s="237">
        <f t="shared" si="96"/>
        <v>0</v>
      </c>
    </row>
    <row r="814" spans="1:20" ht="30" hidden="1" customHeight="1" x14ac:dyDescent="0.3">
      <c r="A814" s="262">
        <v>8</v>
      </c>
      <c r="C814" s="244">
        <v>423</v>
      </c>
      <c r="D814" s="213" t="s">
        <v>1034</v>
      </c>
      <c r="E814" s="969" t="s">
        <v>1035</v>
      </c>
      <c r="F814" s="970"/>
      <c r="G814" s="971"/>
      <c r="H814" s="544" t="s">
        <v>286</v>
      </c>
      <c r="I814" s="212">
        <v>3125000</v>
      </c>
      <c r="J814" s="605"/>
      <c r="K814" s="212">
        <v>1</v>
      </c>
      <c r="L814" s="212">
        <f t="shared" si="93"/>
        <v>3125000</v>
      </c>
      <c r="M814" s="602"/>
      <c r="N814" s="675">
        <f>+'Yeşil Defter'!K809</f>
        <v>0</v>
      </c>
      <c r="O814" s="675">
        <f>+'Yeşil Defter'!L809</f>
        <v>0</v>
      </c>
      <c r="P814" s="675">
        <f>+'Yeşil Defter'!M809</f>
        <v>0</v>
      </c>
      <c r="Q814" s="212"/>
      <c r="R814" s="605">
        <f t="shared" si="94"/>
        <v>0</v>
      </c>
      <c r="S814" s="225">
        <f t="shared" si="95"/>
        <v>0</v>
      </c>
      <c r="T814" s="237">
        <f t="shared" si="96"/>
        <v>0</v>
      </c>
    </row>
    <row r="815" spans="1:20" ht="30" hidden="1" customHeight="1" x14ac:dyDescent="0.3">
      <c r="A815" s="262">
        <v>8</v>
      </c>
      <c r="C815" s="244">
        <v>424</v>
      </c>
      <c r="D815" s="213" t="s">
        <v>1036</v>
      </c>
      <c r="E815" s="969" t="s">
        <v>1037</v>
      </c>
      <c r="F815" s="970"/>
      <c r="G815" s="971"/>
      <c r="H815" s="544" t="s">
        <v>225</v>
      </c>
      <c r="I815" s="212">
        <v>19688</v>
      </c>
      <c r="J815" s="605"/>
      <c r="K815" s="212">
        <v>65</v>
      </c>
      <c r="L815" s="212">
        <f t="shared" si="93"/>
        <v>1279720</v>
      </c>
      <c r="M815" s="602"/>
      <c r="N815" s="675">
        <f>+'Yeşil Defter'!K810</f>
        <v>0</v>
      </c>
      <c r="O815" s="675">
        <f>+'Yeşil Defter'!L810</f>
        <v>0</v>
      </c>
      <c r="P815" s="675">
        <f>+'Yeşil Defter'!M810</f>
        <v>0</v>
      </c>
      <c r="Q815" s="212"/>
      <c r="R815" s="605">
        <f t="shared" si="94"/>
        <v>0</v>
      </c>
      <c r="S815" s="225">
        <f t="shared" si="95"/>
        <v>0</v>
      </c>
      <c r="T815" s="237">
        <f t="shared" si="96"/>
        <v>0</v>
      </c>
    </row>
    <row r="816" spans="1:20" ht="30" hidden="1" customHeight="1" x14ac:dyDescent="0.3">
      <c r="A816" s="262">
        <v>8</v>
      </c>
      <c r="C816" s="244"/>
      <c r="D816" s="213"/>
      <c r="E816" s="969"/>
      <c r="F816" s="970"/>
      <c r="G816" s="971"/>
      <c r="H816" s="161"/>
      <c r="I816" s="605"/>
      <c r="J816" s="605"/>
      <c r="K816" s="212"/>
      <c r="L816" s="341"/>
      <c r="M816" s="212"/>
      <c r="N816" s="605"/>
      <c r="O816" s="212"/>
      <c r="P816" s="341"/>
      <c r="Q816" s="212"/>
      <c r="R816" s="605"/>
      <c r="S816" s="225"/>
      <c r="T816" s="237"/>
    </row>
    <row r="817" spans="1:20" ht="30" hidden="1" customHeight="1" x14ac:dyDescent="0.3">
      <c r="A817" s="262">
        <v>8</v>
      </c>
      <c r="C817" s="244"/>
      <c r="D817" s="213"/>
      <c r="E817" s="969"/>
      <c r="F817" s="970"/>
      <c r="G817" s="971"/>
      <c r="H817" s="161"/>
      <c r="I817" s="605"/>
      <c r="J817" s="605"/>
      <c r="K817" s="212"/>
      <c r="L817" s="341"/>
      <c r="M817" s="212"/>
      <c r="N817" s="605"/>
      <c r="O817" s="212"/>
      <c r="P817" s="341"/>
      <c r="Q817" s="212"/>
      <c r="R817" s="605"/>
      <c r="S817" s="225"/>
      <c r="T817" s="237"/>
    </row>
    <row r="818" spans="1:20" ht="30" hidden="1" customHeight="1" x14ac:dyDescent="0.3">
      <c r="A818" s="262">
        <v>8</v>
      </c>
      <c r="C818" s="244"/>
      <c r="D818" s="213"/>
      <c r="E818" s="969"/>
      <c r="F818" s="970"/>
      <c r="G818" s="971"/>
      <c r="H818" s="161"/>
      <c r="I818" s="605"/>
      <c r="J818" s="605"/>
      <c r="K818" s="212"/>
      <c r="L818" s="341"/>
      <c r="M818" s="212"/>
      <c r="N818" s="605"/>
      <c r="O818" s="212"/>
      <c r="P818" s="341"/>
      <c r="Q818" s="212"/>
      <c r="R818" s="605"/>
      <c r="S818" s="225"/>
      <c r="T818" s="237"/>
    </row>
    <row r="819" spans="1:20" ht="30" hidden="1" customHeight="1" x14ac:dyDescent="0.3">
      <c r="A819" s="262">
        <v>8</v>
      </c>
      <c r="C819" s="244"/>
      <c r="D819" s="213"/>
      <c r="E819" s="969"/>
      <c r="F819" s="970"/>
      <c r="G819" s="971"/>
      <c r="H819" s="161"/>
      <c r="I819" s="605"/>
      <c r="J819" s="605"/>
      <c r="K819" s="212"/>
      <c r="L819" s="341"/>
      <c r="M819" s="212"/>
      <c r="N819" s="605"/>
      <c r="O819" s="212"/>
      <c r="P819" s="341"/>
      <c r="Q819" s="212"/>
      <c r="R819" s="605"/>
      <c r="S819" s="225"/>
      <c r="T819" s="237"/>
    </row>
    <row r="820" spans="1:20" ht="30" hidden="1" customHeight="1" x14ac:dyDescent="0.3">
      <c r="A820" s="262">
        <v>8</v>
      </c>
      <c r="C820" s="244"/>
      <c r="D820" s="213"/>
      <c r="E820" s="969"/>
      <c r="F820" s="970"/>
      <c r="G820" s="971"/>
      <c r="H820" s="161"/>
      <c r="I820" s="605"/>
      <c r="J820" s="605"/>
      <c r="K820" s="212"/>
      <c r="L820" s="341"/>
      <c r="M820" s="212"/>
      <c r="N820" s="605"/>
      <c r="O820" s="212"/>
      <c r="P820" s="341"/>
      <c r="Q820" s="212"/>
      <c r="R820" s="605"/>
      <c r="S820" s="225"/>
      <c r="T820" s="237"/>
    </row>
    <row r="821" spans="1:20" ht="30" hidden="1" customHeight="1" x14ac:dyDescent="0.3">
      <c r="A821" s="262">
        <v>8</v>
      </c>
      <c r="C821" s="244"/>
      <c r="D821" s="213"/>
      <c r="E821" s="969"/>
      <c r="F821" s="970"/>
      <c r="G821" s="971"/>
      <c r="H821" s="161"/>
      <c r="I821" s="605"/>
      <c r="J821" s="605"/>
      <c r="K821" s="212"/>
      <c r="L821" s="341"/>
      <c r="M821" s="212"/>
      <c r="N821" s="605"/>
      <c r="O821" s="212"/>
      <c r="P821" s="341"/>
      <c r="Q821" s="212"/>
      <c r="R821" s="605"/>
      <c r="S821" s="225"/>
      <c r="T821" s="237"/>
    </row>
    <row r="822" spans="1:20" ht="30" hidden="1" customHeight="1" x14ac:dyDescent="0.3">
      <c r="A822" s="262">
        <v>8</v>
      </c>
      <c r="C822" s="244"/>
      <c r="D822" s="213"/>
      <c r="E822" s="969"/>
      <c r="F822" s="970"/>
      <c r="G822" s="971"/>
      <c r="H822" s="161"/>
      <c r="I822" s="605"/>
      <c r="J822" s="605"/>
      <c r="K822" s="212"/>
      <c r="L822" s="341"/>
      <c r="M822" s="212"/>
      <c r="N822" s="605"/>
      <c r="O822" s="212"/>
      <c r="P822" s="341"/>
      <c r="Q822" s="212"/>
      <c r="R822" s="605"/>
      <c r="S822" s="225"/>
      <c r="T822" s="237"/>
    </row>
    <row r="823" spans="1:20" ht="30" hidden="1" customHeight="1" x14ac:dyDescent="0.3">
      <c r="A823" s="262">
        <v>8</v>
      </c>
      <c r="C823" s="244"/>
      <c r="D823" s="213"/>
      <c r="E823" s="969"/>
      <c r="F823" s="970"/>
      <c r="G823" s="971"/>
      <c r="H823" s="161"/>
      <c r="I823" s="605"/>
      <c r="J823" s="605"/>
      <c r="K823" s="212"/>
      <c r="L823" s="341"/>
      <c r="M823" s="212"/>
      <c r="N823" s="605"/>
      <c r="O823" s="212"/>
      <c r="P823" s="341"/>
      <c r="Q823" s="212"/>
      <c r="R823" s="605"/>
      <c r="S823" s="225"/>
      <c r="T823" s="237"/>
    </row>
    <row r="824" spans="1:20" ht="30" hidden="1" customHeight="1" x14ac:dyDescent="0.3">
      <c r="A824" s="262">
        <v>8</v>
      </c>
      <c r="C824" s="244"/>
      <c r="D824" s="213"/>
      <c r="E824" s="969"/>
      <c r="F824" s="970"/>
      <c r="G824" s="971"/>
      <c r="H824" s="161"/>
      <c r="I824" s="605"/>
      <c r="J824" s="605"/>
      <c r="K824" s="212"/>
      <c r="L824" s="341"/>
      <c r="M824" s="212"/>
      <c r="N824" s="605"/>
      <c r="O824" s="212"/>
      <c r="P824" s="341"/>
      <c r="Q824" s="212"/>
      <c r="R824" s="605"/>
      <c r="S824" s="225"/>
      <c r="T824" s="237"/>
    </row>
    <row r="825" spans="1:20" ht="30" hidden="1" customHeight="1" x14ac:dyDescent="0.3">
      <c r="A825" s="262">
        <v>8</v>
      </c>
      <c r="C825" s="244"/>
      <c r="D825" s="213"/>
      <c r="E825" s="969"/>
      <c r="F825" s="970"/>
      <c r="G825" s="971"/>
      <c r="H825" s="161"/>
      <c r="I825" s="605"/>
      <c r="J825" s="605"/>
      <c r="K825" s="212"/>
      <c r="L825" s="341"/>
      <c r="M825" s="212"/>
      <c r="N825" s="605"/>
      <c r="O825" s="212"/>
      <c r="P825" s="341"/>
      <c r="Q825" s="212"/>
      <c r="R825" s="605"/>
      <c r="S825" s="225"/>
      <c r="T825" s="237"/>
    </row>
    <row r="826" spans="1:20" ht="30" hidden="1" customHeight="1" x14ac:dyDescent="0.3">
      <c r="A826" s="262">
        <v>8</v>
      </c>
      <c r="C826" s="244"/>
      <c r="D826" s="213"/>
      <c r="E826" s="969"/>
      <c r="F826" s="970"/>
      <c r="G826" s="971"/>
      <c r="H826" s="161"/>
      <c r="I826" s="605"/>
      <c r="J826" s="605"/>
      <c r="K826" s="212"/>
      <c r="L826" s="341"/>
      <c r="M826" s="212"/>
      <c r="N826" s="605"/>
      <c r="O826" s="212"/>
      <c r="P826" s="341"/>
      <c r="Q826" s="212"/>
      <c r="R826" s="605"/>
      <c r="S826" s="225"/>
      <c r="T826" s="237"/>
    </row>
    <row r="827" spans="1:20" ht="30" hidden="1" customHeight="1" x14ac:dyDescent="0.3">
      <c r="A827" s="262">
        <v>8</v>
      </c>
      <c r="C827" s="244"/>
      <c r="D827" s="213"/>
      <c r="E827" s="969"/>
      <c r="F827" s="970"/>
      <c r="G827" s="971"/>
      <c r="H827" s="161"/>
      <c r="I827" s="605"/>
      <c r="J827" s="605"/>
      <c r="K827" s="212"/>
      <c r="L827" s="341"/>
      <c r="M827" s="212"/>
      <c r="N827" s="605"/>
      <c r="O827" s="212"/>
      <c r="P827" s="341"/>
      <c r="Q827" s="212"/>
      <c r="R827" s="605"/>
      <c r="S827" s="225"/>
      <c r="T827" s="237"/>
    </row>
    <row r="828" spans="1:20" ht="30" hidden="1" customHeight="1" x14ac:dyDescent="0.3">
      <c r="A828" s="262">
        <v>8</v>
      </c>
      <c r="C828" s="244"/>
      <c r="D828" s="213"/>
      <c r="E828" s="969"/>
      <c r="F828" s="970"/>
      <c r="G828" s="971"/>
      <c r="H828" s="658"/>
      <c r="I828" s="605"/>
      <c r="J828" s="605"/>
      <c r="K828" s="212"/>
      <c r="L828" s="341"/>
      <c r="M828" s="302"/>
      <c r="N828" s="605"/>
      <c r="O828" s="212"/>
      <c r="P828" s="341"/>
      <c r="Q828" s="302"/>
      <c r="R828" s="605"/>
      <c r="S828" s="225"/>
      <c r="T828" s="237"/>
    </row>
    <row r="829" spans="1:20" ht="40.049999999999997" hidden="1" customHeight="1" x14ac:dyDescent="0.3">
      <c r="A829" s="262" t="s">
        <v>1242</v>
      </c>
      <c r="C829" s="258"/>
      <c r="D829" s="258"/>
      <c r="E829" s="972" t="s">
        <v>33</v>
      </c>
      <c r="F829" s="972"/>
      <c r="G829" s="972"/>
      <c r="H829" s="973" t="s">
        <v>29</v>
      </c>
      <c r="I829" s="973"/>
      <c r="J829" s="973"/>
      <c r="K829" s="973"/>
      <c r="L829" s="973"/>
      <c r="M829" s="549"/>
      <c r="N829" s="973" t="s">
        <v>22</v>
      </c>
      <c r="O829" s="973"/>
      <c r="P829" s="973"/>
      <c r="Q829" s="973"/>
      <c r="R829" s="973"/>
      <c r="S829" s="973"/>
      <c r="T829" s="973"/>
    </row>
    <row r="830" spans="1:20" ht="19.95" hidden="1" customHeight="1" x14ac:dyDescent="0.3">
      <c r="A830" s="262" t="s">
        <v>1242</v>
      </c>
      <c r="D830" s="28"/>
      <c r="E830" s="974" t="s">
        <v>1214</v>
      </c>
      <c r="F830" s="974"/>
      <c r="G830" s="974"/>
      <c r="H830" s="975" t="s">
        <v>38</v>
      </c>
      <c r="I830" s="975"/>
      <c r="J830" s="975"/>
      <c r="K830" s="975"/>
      <c r="L830" s="975"/>
      <c r="M830" s="562"/>
      <c r="N830" s="975" t="s">
        <v>1437</v>
      </c>
      <c r="O830" s="975"/>
      <c r="P830" s="975"/>
      <c r="Q830" s="975"/>
      <c r="R830" s="975"/>
      <c r="S830" s="975"/>
      <c r="T830" s="975"/>
    </row>
    <row r="831" spans="1:20" ht="19.95" hidden="1" customHeight="1" x14ac:dyDescent="0.3">
      <c r="A831" s="262" t="s">
        <v>1242</v>
      </c>
      <c r="C831" s="228"/>
      <c r="D831" s="228"/>
      <c r="E831" s="561"/>
      <c r="F831" s="561"/>
      <c r="G831" s="561"/>
      <c r="H831" s="228"/>
      <c r="I831" s="260"/>
      <c r="J831" s="260"/>
      <c r="K831" s="260"/>
      <c r="L831" s="260"/>
      <c r="M831" s="260"/>
      <c r="N831" s="975"/>
      <c r="O831" s="975"/>
      <c r="P831" s="975"/>
      <c r="Q831" s="975"/>
      <c r="R831" s="975"/>
      <c r="S831" s="975"/>
      <c r="T831" s="975"/>
    </row>
    <row r="832" spans="1:20" ht="19.95" hidden="1" customHeight="1" x14ac:dyDescent="0.3">
      <c r="A832" s="262" t="s">
        <v>1242</v>
      </c>
      <c r="C832" s="228"/>
      <c r="D832" s="228"/>
      <c r="E832" s="561"/>
      <c r="F832" s="561"/>
      <c r="G832" s="561"/>
      <c r="H832" s="228"/>
      <c r="I832" s="260"/>
      <c r="J832" s="260"/>
      <c r="K832" s="260"/>
      <c r="L832" s="260"/>
      <c r="M832" s="260"/>
      <c r="N832" s="975"/>
      <c r="O832" s="975"/>
      <c r="P832" s="975"/>
      <c r="Q832" s="975"/>
      <c r="R832" s="975"/>
      <c r="S832" s="975"/>
      <c r="T832" s="975"/>
    </row>
    <row r="833" spans="1:20" ht="19.95" hidden="1" customHeight="1" x14ac:dyDescent="0.3">
      <c r="A833" s="262" t="s">
        <v>1242</v>
      </c>
      <c r="C833" s="228"/>
      <c r="D833" s="228"/>
      <c r="E833" s="561"/>
      <c r="F833" s="561"/>
      <c r="G833" s="561"/>
      <c r="H833" s="261"/>
      <c r="I833" s="261"/>
      <c r="J833" s="261"/>
      <c r="K833" s="261"/>
      <c r="L833" s="261"/>
      <c r="M833" s="261"/>
      <c r="N833" s="260"/>
      <c r="O833" s="260"/>
      <c r="P833" s="260"/>
      <c r="Q833" s="260"/>
      <c r="R833" s="260"/>
      <c r="S833" s="624"/>
      <c r="T833" s="260"/>
    </row>
    <row r="834" spans="1:20" ht="19.95" hidden="1" customHeight="1" x14ac:dyDescent="0.3">
      <c r="A834" s="262" t="s">
        <v>1242</v>
      </c>
      <c r="C834" s="228"/>
      <c r="D834" s="228"/>
      <c r="E834" s="561"/>
      <c r="F834" s="561"/>
      <c r="G834" s="561"/>
      <c r="H834" s="975" t="s">
        <v>32</v>
      </c>
      <c r="I834" s="975"/>
      <c r="J834" s="562"/>
      <c r="K834" s="975" t="s">
        <v>1407</v>
      </c>
      <c r="L834" s="975"/>
      <c r="M834" s="562"/>
      <c r="N834" s="968" t="s">
        <v>55</v>
      </c>
      <c r="O834" s="968"/>
      <c r="P834" s="968"/>
      <c r="Q834" s="968"/>
      <c r="R834" s="968"/>
      <c r="S834" s="968"/>
      <c r="T834" s="968"/>
    </row>
    <row r="835" spans="1:20" ht="19.95" hidden="1" customHeight="1" x14ac:dyDescent="0.3">
      <c r="A835" s="262" t="s">
        <v>1242</v>
      </c>
      <c r="C835" s="228"/>
      <c r="D835" s="228"/>
      <c r="E835" s="561"/>
      <c r="F835" s="561"/>
      <c r="G835" s="561"/>
      <c r="H835" s="976" t="s">
        <v>94</v>
      </c>
      <c r="I835" s="976"/>
      <c r="J835" s="623"/>
      <c r="K835" s="976" t="s">
        <v>94</v>
      </c>
      <c r="L835" s="976"/>
      <c r="M835" s="623"/>
      <c r="N835" s="968" t="s">
        <v>1484</v>
      </c>
      <c r="O835" s="968"/>
      <c r="P835" s="968"/>
      <c r="Q835" s="968"/>
      <c r="R835" s="968"/>
      <c r="S835" s="968"/>
      <c r="T835" s="968"/>
    </row>
    <row r="836" spans="1:20" ht="19.95" hidden="1" customHeight="1" x14ac:dyDescent="0.3">
      <c r="A836" s="262" t="s">
        <v>1242</v>
      </c>
      <c r="C836" s="228"/>
      <c r="D836" s="228"/>
      <c r="E836" s="561"/>
      <c r="F836" s="561"/>
      <c r="G836" s="561"/>
      <c r="H836" s="976"/>
      <c r="I836" s="976"/>
      <c r="J836" s="623"/>
      <c r="K836" s="976"/>
      <c r="L836" s="976"/>
      <c r="M836" s="623"/>
      <c r="N836" s="968"/>
      <c r="O836" s="968"/>
      <c r="P836" s="968"/>
      <c r="Q836" s="968"/>
      <c r="R836" s="968"/>
      <c r="S836" s="968"/>
      <c r="T836" s="968"/>
    </row>
    <row r="837" spans="1:20" ht="19.95" hidden="1" customHeight="1" x14ac:dyDescent="0.3">
      <c r="A837" s="262" t="s">
        <v>1242</v>
      </c>
      <c r="C837" s="228"/>
      <c r="D837" s="228"/>
      <c r="E837" s="561"/>
      <c r="F837" s="561"/>
      <c r="G837" s="561"/>
      <c r="H837" s="228"/>
      <c r="I837" s="260"/>
      <c r="J837" s="260"/>
      <c r="K837" s="260"/>
      <c r="L837" s="260"/>
      <c r="M837" s="260"/>
      <c r="N837" s="260"/>
      <c r="O837" s="260"/>
      <c r="P837" s="260"/>
      <c r="Q837" s="260"/>
      <c r="R837" s="260"/>
      <c r="S837" s="624"/>
      <c r="T837" s="260"/>
    </row>
    <row r="838" spans="1:20" ht="19.95" hidden="1" customHeight="1" x14ac:dyDescent="0.3">
      <c r="A838" s="262" t="s">
        <v>1242</v>
      </c>
      <c r="C838" s="228"/>
      <c r="D838" s="228"/>
      <c r="E838" s="975" t="s">
        <v>1215</v>
      </c>
      <c r="F838" s="975"/>
      <c r="G838" s="975"/>
      <c r="H838" s="975" t="s">
        <v>1348</v>
      </c>
      <c r="I838" s="975"/>
      <c r="J838" s="975"/>
      <c r="K838" s="975"/>
      <c r="L838" s="975"/>
      <c r="M838" s="562"/>
      <c r="N838" s="977" t="s">
        <v>1243</v>
      </c>
      <c r="O838" s="968"/>
      <c r="P838" s="968"/>
      <c r="Q838" s="968"/>
      <c r="R838" s="968"/>
      <c r="S838" s="968"/>
      <c r="T838" s="968"/>
    </row>
    <row r="839" spans="1:20" ht="19.95" hidden="1" customHeight="1" x14ac:dyDescent="0.3">
      <c r="A839" s="262" t="s">
        <v>1290</v>
      </c>
      <c r="C839" s="228"/>
      <c r="D839" s="228"/>
      <c r="E839" s="975"/>
      <c r="F839" s="975"/>
      <c r="G839" s="975"/>
      <c r="H839" s="975"/>
      <c r="I839" s="975"/>
      <c r="J839" s="975"/>
      <c r="K839" s="975"/>
      <c r="L839" s="975"/>
      <c r="M839" s="562"/>
      <c r="N839" s="968"/>
      <c r="O839" s="968"/>
      <c r="P839" s="968"/>
      <c r="Q839" s="968"/>
      <c r="R839" s="968"/>
      <c r="S839" s="968"/>
      <c r="T839" s="968"/>
    </row>
    <row r="840" spans="1:20" ht="30" hidden="1" customHeight="1" x14ac:dyDescent="0.3">
      <c r="A840" s="262" t="s">
        <v>1240</v>
      </c>
      <c r="C840" s="625"/>
      <c r="D840" s="626" t="s">
        <v>1236</v>
      </c>
      <c r="E840" s="627"/>
      <c r="F840" s="627"/>
      <c r="G840" s="627"/>
      <c r="H840" s="627"/>
      <c r="I840" s="628"/>
      <c r="J840" s="628"/>
      <c r="K840" s="628"/>
      <c r="L840" s="644">
        <f>+SUMIFS(L:L,A:A,"9")</f>
        <v>221794750</v>
      </c>
      <c r="M840" s="629"/>
      <c r="N840" s="648"/>
      <c r="O840" s="628"/>
      <c r="P840" s="628"/>
      <c r="Q840" s="611"/>
      <c r="R840" s="651">
        <f>+SUMIFS(R:R,A:A,"9")</f>
        <v>0</v>
      </c>
      <c r="S840" s="630">
        <f>+SUMIFS(S:S,A:A,"9")</f>
        <v>0</v>
      </c>
      <c r="T840" s="631">
        <f>+SUMIFS(T:T,A:A,"9")</f>
        <v>0</v>
      </c>
    </row>
    <row r="841" spans="1:20" ht="30" hidden="1" customHeight="1" x14ac:dyDescent="0.3">
      <c r="A841" s="262">
        <v>9</v>
      </c>
      <c r="C841" s="244">
        <v>425</v>
      </c>
      <c r="D841" s="213" t="s">
        <v>1038</v>
      </c>
      <c r="E841" s="969" t="s">
        <v>1039</v>
      </c>
      <c r="F841" s="970"/>
      <c r="G841" s="971"/>
      <c r="H841" s="544" t="s">
        <v>286</v>
      </c>
      <c r="I841" s="212">
        <v>29785000</v>
      </c>
      <c r="J841" s="605"/>
      <c r="K841" s="212">
        <v>1</v>
      </c>
      <c r="L841" s="212">
        <f>+ROUND(I841*K841,2)</f>
        <v>29785000</v>
      </c>
      <c r="M841" s="602"/>
      <c r="N841" s="675">
        <f>+'Yeşil Defter'!K848</f>
        <v>0</v>
      </c>
      <c r="O841" s="675">
        <f>+'Yeşil Defter'!L848</f>
        <v>0</v>
      </c>
      <c r="P841" s="675">
        <f>+'Yeşil Defter'!M848</f>
        <v>0</v>
      </c>
      <c r="Q841" s="212"/>
      <c r="R841" s="605">
        <f>+ROUND(K841*N841,2)</f>
        <v>0</v>
      </c>
      <c r="S841" s="225">
        <f t="shared" ref="S841:S844" si="97">+T841-R841</f>
        <v>0</v>
      </c>
      <c r="T841" s="237">
        <f>+ROUND(K841*P841,2)</f>
        <v>0</v>
      </c>
    </row>
    <row r="842" spans="1:20" ht="30" hidden="1" customHeight="1" x14ac:dyDescent="0.3">
      <c r="A842" s="262">
        <v>9</v>
      </c>
      <c r="C842" s="244">
        <v>426</v>
      </c>
      <c r="D842" s="213" t="s">
        <v>1040</v>
      </c>
      <c r="E842" s="969" t="s">
        <v>1041</v>
      </c>
      <c r="F842" s="970"/>
      <c r="G842" s="971"/>
      <c r="H842" s="544" t="s">
        <v>286</v>
      </c>
      <c r="I842" s="212">
        <v>119140000</v>
      </c>
      <c r="J842" s="605"/>
      <c r="K842" s="212">
        <v>1</v>
      </c>
      <c r="L842" s="212">
        <f>+ROUND(I842*K842,2)</f>
        <v>119140000</v>
      </c>
      <c r="M842" s="602"/>
      <c r="N842" s="675">
        <f>+'Yeşil Defter'!K849</f>
        <v>0</v>
      </c>
      <c r="O842" s="675">
        <f>+'Yeşil Defter'!L849</f>
        <v>0</v>
      </c>
      <c r="P842" s="675">
        <f>+'Yeşil Defter'!M849</f>
        <v>0</v>
      </c>
      <c r="Q842" s="212"/>
      <c r="R842" s="605">
        <f>+ROUND(K842*N842,2)</f>
        <v>0</v>
      </c>
      <c r="S842" s="225">
        <f t="shared" si="97"/>
        <v>0</v>
      </c>
      <c r="T842" s="237">
        <f>+ROUND(K842*P842,2)</f>
        <v>0</v>
      </c>
    </row>
    <row r="843" spans="1:20" ht="30" hidden="1" customHeight="1" x14ac:dyDescent="0.3">
      <c r="A843" s="262">
        <v>9</v>
      </c>
      <c r="C843" s="244">
        <v>427</v>
      </c>
      <c r="D843" s="213" t="s">
        <v>1042</v>
      </c>
      <c r="E843" s="969" t="s">
        <v>1043</v>
      </c>
      <c r="F843" s="970"/>
      <c r="G843" s="971"/>
      <c r="H843" s="544" t="s">
        <v>286</v>
      </c>
      <c r="I843" s="212">
        <v>3869750</v>
      </c>
      <c r="J843" s="605"/>
      <c r="K843" s="212">
        <v>1</v>
      </c>
      <c r="L843" s="212">
        <f>+ROUND(I843*K843,2)</f>
        <v>3869750</v>
      </c>
      <c r="M843" s="602"/>
      <c r="N843" s="675">
        <f>+'Yeşil Defter'!K850</f>
        <v>0</v>
      </c>
      <c r="O843" s="675">
        <f>+'Yeşil Defter'!L850</f>
        <v>0</v>
      </c>
      <c r="P843" s="675">
        <f>+'Yeşil Defter'!M850</f>
        <v>0</v>
      </c>
      <c r="Q843" s="212"/>
      <c r="R843" s="605">
        <f>+ROUND(K843*N843,2)</f>
        <v>0</v>
      </c>
      <c r="S843" s="225">
        <f t="shared" si="97"/>
        <v>0</v>
      </c>
      <c r="T843" s="237">
        <f>+ROUND(K843*P843,2)</f>
        <v>0</v>
      </c>
    </row>
    <row r="844" spans="1:20" ht="30" hidden="1" customHeight="1" x14ac:dyDescent="0.3">
      <c r="A844" s="262">
        <v>9</v>
      </c>
      <c r="C844" s="244">
        <v>428</v>
      </c>
      <c r="D844" s="213" t="s">
        <v>1044</v>
      </c>
      <c r="E844" s="969" t="s">
        <v>1045</v>
      </c>
      <c r="F844" s="970"/>
      <c r="G844" s="971"/>
      <c r="H844" s="544" t="s">
        <v>286</v>
      </c>
      <c r="I844" s="212">
        <v>69000000</v>
      </c>
      <c r="J844" s="605"/>
      <c r="K844" s="212">
        <v>1</v>
      </c>
      <c r="L844" s="212">
        <f>+ROUND(I844*K844,2)</f>
        <v>69000000</v>
      </c>
      <c r="M844" s="602"/>
      <c r="N844" s="675">
        <f>+'Yeşil Defter'!K851</f>
        <v>0</v>
      </c>
      <c r="O844" s="675">
        <f>+'Yeşil Defter'!L851</f>
        <v>0</v>
      </c>
      <c r="P844" s="675">
        <f>+'Yeşil Defter'!M851</f>
        <v>0</v>
      </c>
      <c r="Q844" s="212"/>
      <c r="R844" s="605">
        <f>+ROUND(K844*N844,2)</f>
        <v>0</v>
      </c>
      <c r="S844" s="225">
        <f t="shared" si="97"/>
        <v>0</v>
      </c>
      <c r="T844" s="237">
        <f>+ROUND(K844*P844,2)</f>
        <v>0</v>
      </c>
    </row>
    <row r="845" spans="1:20" ht="30" hidden="1" customHeight="1" x14ac:dyDescent="0.3">
      <c r="A845" s="262">
        <v>9</v>
      </c>
      <c r="C845" s="244"/>
      <c r="D845" s="213"/>
      <c r="E845" s="969"/>
      <c r="F845" s="970"/>
      <c r="G845" s="971"/>
      <c r="H845" s="161"/>
      <c r="I845" s="605"/>
      <c r="J845" s="605"/>
      <c r="K845" s="212"/>
      <c r="L845" s="341"/>
      <c r="M845" s="212"/>
      <c r="N845" s="605"/>
      <c r="O845" s="212"/>
      <c r="P845" s="341"/>
      <c r="Q845" s="212"/>
      <c r="R845" s="605"/>
      <c r="S845" s="225"/>
      <c r="T845" s="237"/>
    </row>
    <row r="846" spans="1:20" ht="30" hidden="1" customHeight="1" x14ac:dyDescent="0.3">
      <c r="A846" s="262">
        <v>9</v>
      </c>
      <c r="C846" s="244"/>
      <c r="D846" s="213"/>
      <c r="E846" s="969"/>
      <c r="F846" s="970"/>
      <c r="G846" s="971"/>
      <c r="H846" s="161"/>
      <c r="I846" s="605"/>
      <c r="J846" s="605"/>
      <c r="K846" s="212"/>
      <c r="L846" s="341"/>
      <c r="M846" s="212"/>
      <c r="N846" s="605"/>
      <c r="O846" s="212"/>
      <c r="P846" s="341"/>
      <c r="Q846" s="212"/>
      <c r="R846" s="605"/>
      <c r="S846" s="225"/>
      <c r="T846" s="237"/>
    </row>
    <row r="847" spans="1:20" ht="30" hidden="1" customHeight="1" x14ac:dyDescent="0.3">
      <c r="A847" s="262">
        <v>9</v>
      </c>
      <c r="C847" s="244"/>
      <c r="D847" s="213"/>
      <c r="E847" s="969"/>
      <c r="F847" s="970"/>
      <c r="G847" s="971"/>
      <c r="H847" s="161"/>
      <c r="I847" s="605"/>
      <c r="J847" s="605"/>
      <c r="K847" s="212"/>
      <c r="L847" s="341"/>
      <c r="M847" s="212"/>
      <c r="N847" s="605"/>
      <c r="O847" s="212"/>
      <c r="P847" s="341"/>
      <c r="Q847" s="212"/>
      <c r="R847" s="605"/>
      <c r="S847" s="225"/>
      <c r="T847" s="237"/>
    </row>
    <row r="848" spans="1:20" ht="30" hidden="1" customHeight="1" x14ac:dyDescent="0.3">
      <c r="A848" s="262">
        <v>9</v>
      </c>
      <c r="C848" s="244"/>
      <c r="D848" s="213"/>
      <c r="E848" s="969"/>
      <c r="F848" s="970"/>
      <c r="G848" s="971"/>
      <c r="H848" s="161"/>
      <c r="I848" s="605"/>
      <c r="J848" s="605"/>
      <c r="K848" s="212"/>
      <c r="L848" s="341"/>
      <c r="M848" s="212"/>
      <c r="N848" s="605"/>
      <c r="O848" s="212"/>
      <c r="P848" s="341"/>
      <c r="Q848" s="212"/>
      <c r="R848" s="605"/>
      <c r="S848" s="225"/>
      <c r="T848" s="237"/>
    </row>
    <row r="849" spans="1:20" ht="30" hidden="1" customHeight="1" x14ac:dyDescent="0.3">
      <c r="A849" s="262">
        <v>9</v>
      </c>
      <c r="C849" s="244"/>
      <c r="D849" s="213"/>
      <c r="E849" s="969"/>
      <c r="F849" s="970"/>
      <c r="G849" s="971"/>
      <c r="H849" s="161"/>
      <c r="I849" s="605"/>
      <c r="J849" s="605"/>
      <c r="K849" s="212"/>
      <c r="L849" s="341"/>
      <c r="M849" s="212"/>
      <c r="N849" s="605"/>
      <c r="O849" s="212"/>
      <c r="P849" s="341"/>
      <c r="Q849" s="212"/>
      <c r="R849" s="605"/>
      <c r="S849" s="225"/>
      <c r="T849" s="237"/>
    </row>
    <row r="850" spans="1:20" ht="30" hidden="1" customHeight="1" x14ac:dyDescent="0.3">
      <c r="A850" s="262">
        <v>9</v>
      </c>
      <c r="C850" s="244"/>
      <c r="D850" s="213"/>
      <c r="E850" s="969"/>
      <c r="F850" s="970"/>
      <c r="G850" s="971"/>
      <c r="H850" s="161"/>
      <c r="I850" s="605"/>
      <c r="J850" s="605"/>
      <c r="K850" s="212"/>
      <c r="L850" s="341"/>
      <c r="M850" s="212"/>
      <c r="N850" s="605"/>
      <c r="O850" s="212"/>
      <c r="P850" s="341"/>
      <c r="Q850" s="212"/>
      <c r="R850" s="605"/>
      <c r="S850" s="225"/>
      <c r="T850" s="237"/>
    </row>
    <row r="851" spans="1:20" ht="30" hidden="1" customHeight="1" x14ac:dyDescent="0.3">
      <c r="A851" s="262">
        <v>9</v>
      </c>
      <c r="C851" s="244"/>
      <c r="D851" s="213"/>
      <c r="E851" s="969"/>
      <c r="F851" s="970"/>
      <c r="G851" s="971"/>
      <c r="H851" s="161"/>
      <c r="I851" s="605"/>
      <c r="J851" s="605"/>
      <c r="K851" s="212"/>
      <c r="L851" s="341"/>
      <c r="M851" s="212"/>
      <c r="N851" s="605"/>
      <c r="O851" s="212"/>
      <c r="P851" s="341"/>
      <c r="Q851" s="212"/>
      <c r="R851" s="605"/>
      <c r="S851" s="225"/>
      <c r="T851" s="237"/>
    </row>
    <row r="852" spans="1:20" ht="30" hidden="1" customHeight="1" x14ac:dyDescent="0.3">
      <c r="A852" s="262">
        <v>9</v>
      </c>
      <c r="C852" s="244"/>
      <c r="D852" s="213"/>
      <c r="E852" s="969"/>
      <c r="F852" s="970"/>
      <c r="G852" s="971"/>
      <c r="H852" s="161"/>
      <c r="I852" s="605"/>
      <c r="J852" s="605"/>
      <c r="K852" s="212"/>
      <c r="L852" s="341"/>
      <c r="M852" s="212"/>
      <c r="N852" s="605"/>
      <c r="O852" s="212"/>
      <c r="P852" s="341"/>
      <c r="Q852" s="212"/>
      <c r="R852" s="605"/>
      <c r="S852" s="225"/>
      <c r="T852" s="237"/>
    </row>
    <row r="853" spans="1:20" ht="30" hidden="1" customHeight="1" x14ac:dyDescent="0.3">
      <c r="A853" s="262">
        <v>9</v>
      </c>
      <c r="C853" s="244"/>
      <c r="D853" s="213"/>
      <c r="E853" s="969"/>
      <c r="F853" s="970"/>
      <c r="G853" s="971"/>
      <c r="H853" s="161"/>
      <c r="I853" s="605"/>
      <c r="J853" s="605"/>
      <c r="K853" s="212"/>
      <c r="L853" s="341"/>
      <c r="M853" s="212"/>
      <c r="N853" s="605"/>
      <c r="O853" s="212"/>
      <c r="P853" s="341"/>
      <c r="Q853" s="212"/>
      <c r="R853" s="605"/>
      <c r="S853" s="225"/>
      <c r="T853" s="237"/>
    </row>
    <row r="854" spans="1:20" ht="30" hidden="1" customHeight="1" x14ac:dyDescent="0.3">
      <c r="A854" s="262">
        <v>9</v>
      </c>
      <c r="C854" s="244"/>
      <c r="D854" s="213"/>
      <c r="E854" s="969"/>
      <c r="F854" s="970"/>
      <c r="G854" s="971"/>
      <c r="H854" s="161"/>
      <c r="I854" s="605"/>
      <c r="J854" s="605"/>
      <c r="K854" s="212"/>
      <c r="L854" s="341"/>
      <c r="M854" s="212"/>
      <c r="N854" s="605"/>
      <c r="O854" s="212"/>
      <c r="P854" s="341"/>
      <c r="Q854" s="212"/>
      <c r="R854" s="605"/>
      <c r="S854" s="225"/>
      <c r="T854" s="237"/>
    </row>
    <row r="855" spans="1:20" ht="30" hidden="1" customHeight="1" x14ac:dyDescent="0.3">
      <c r="A855" s="262">
        <v>9</v>
      </c>
      <c r="C855" s="244"/>
      <c r="D855" s="213"/>
      <c r="E855" s="969"/>
      <c r="F855" s="970"/>
      <c r="G855" s="971"/>
      <c r="H855" s="161"/>
      <c r="I855" s="605"/>
      <c r="J855" s="605"/>
      <c r="K855" s="212"/>
      <c r="L855" s="341"/>
      <c r="M855" s="212"/>
      <c r="N855" s="605"/>
      <c r="O855" s="212"/>
      <c r="P855" s="341"/>
      <c r="Q855" s="212"/>
      <c r="R855" s="605"/>
      <c r="S855" s="225"/>
      <c r="T855" s="237"/>
    </row>
    <row r="856" spans="1:20" ht="30" hidden="1" customHeight="1" x14ac:dyDescent="0.3">
      <c r="A856" s="262">
        <v>9</v>
      </c>
      <c r="C856" s="244"/>
      <c r="D856" s="213"/>
      <c r="E856" s="969"/>
      <c r="F856" s="970"/>
      <c r="G856" s="971"/>
      <c r="H856" s="161"/>
      <c r="I856" s="605"/>
      <c r="J856" s="605"/>
      <c r="K856" s="212"/>
      <c r="L856" s="341"/>
      <c r="M856" s="212"/>
      <c r="N856" s="605"/>
      <c r="O856" s="212"/>
      <c r="P856" s="341"/>
      <c r="Q856" s="212"/>
      <c r="R856" s="605"/>
      <c r="S856" s="225"/>
      <c r="T856" s="237"/>
    </row>
    <row r="857" spans="1:20" ht="30" hidden="1" customHeight="1" x14ac:dyDescent="0.3">
      <c r="A857" s="262">
        <v>9</v>
      </c>
      <c r="C857" s="244"/>
      <c r="D857" s="213"/>
      <c r="E857" s="969"/>
      <c r="F857" s="970"/>
      <c r="G857" s="971"/>
      <c r="H857" s="161"/>
      <c r="I857" s="605"/>
      <c r="J857" s="605"/>
      <c r="K857" s="212"/>
      <c r="L857" s="341"/>
      <c r="M857" s="212"/>
      <c r="N857" s="605"/>
      <c r="O857" s="212"/>
      <c r="P857" s="341"/>
      <c r="Q857" s="212"/>
      <c r="R857" s="605"/>
      <c r="S857" s="225"/>
      <c r="T857" s="237"/>
    </row>
    <row r="858" spans="1:20" ht="30" hidden="1" customHeight="1" x14ac:dyDescent="0.3">
      <c r="A858" s="262">
        <v>9</v>
      </c>
      <c r="C858" s="244"/>
      <c r="D858" s="213"/>
      <c r="E858" s="969"/>
      <c r="F858" s="970"/>
      <c r="G858" s="971"/>
      <c r="H858" s="161"/>
      <c r="I858" s="605"/>
      <c r="J858" s="605"/>
      <c r="K858" s="212"/>
      <c r="L858" s="341"/>
      <c r="M858" s="212"/>
      <c r="N858" s="605"/>
      <c r="O858" s="212"/>
      <c r="P858" s="341"/>
      <c r="Q858" s="212"/>
      <c r="R858" s="605"/>
      <c r="S858" s="225"/>
      <c r="T858" s="237"/>
    </row>
    <row r="859" spans="1:20" ht="30" hidden="1" customHeight="1" x14ac:dyDescent="0.3">
      <c r="A859" s="262">
        <v>9</v>
      </c>
      <c r="C859" s="244"/>
      <c r="D859" s="213"/>
      <c r="E859" s="969"/>
      <c r="F859" s="970"/>
      <c r="G859" s="971"/>
      <c r="H859" s="161"/>
      <c r="I859" s="605"/>
      <c r="J859" s="605"/>
      <c r="K859" s="212"/>
      <c r="L859" s="341"/>
      <c r="M859" s="212"/>
      <c r="N859" s="605"/>
      <c r="O859" s="212"/>
      <c r="P859" s="341"/>
      <c r="Q859" s="212"/>
      <c r="R859" s="605"/>
      <c r="S859" s="225"/>
      <c r="T859" s="237"/>
    </row>
    <row r="860" spans="1:20" ht="30" hidden="1" customHeight="1" x14ac:dyDescent="0.3">
      <c r="A860" s="262">
        <v>9</v>
      </c>
      <c r="C860" s="244"/>
      <c r="D860" s="213"/>
      <c r="E860" s="969"/>
      <c r="F860" s="970"/>
      <c r="G860" s="971"/>
      <c r="H860" s="161"/>
      <c r="I860" s="605"/>
      <c r="J860" s="605"/>
      <c r="K860" s="212"/>
      <c r="L860" s="341"/>
      <c r="M860" s="212"/>
      <c r="N860" s="605"/>
      <c r="O860" s="212"/>
      <c r="P860" s="341"/>
      <c r="Q860" s="212"/>
      <c r="R860" s="605"/>
      <c r="S860" s="225"/>
      <c r="T860" s="237"/>
    </row>
    <row r="861" spans="1:20" ht="30" hidden="1" customHeight="1" x14ac:dyDescent="0.3">
      <c r="A861" s="262">
        <v>9</v>
      </c>
      <c r="C861" s="244"/>
      <c r="D861" s="213"/>
      <c r="E861" s="969"/>
      <c r="F861" s="970"/>
      <c r="G861" s="971"/>
      <c r="H861" s="161"/>
      <c r="I861" s="605"/>
      <c r="J861" s="605"/>
      <c r="K861" s="212"/>
      <c r="L861" s="341"/>
      <c r="M861" s="212"/>
      <c r="N861" s="605"/>
      <c r="O861" s="212"/>
      <c r="P861" s="341"/>
      <c r="Q861" s="212"/>
      <c r="R861" s="605"/>
      <c r="S861" s="225"/>
      <c r="T861" s="237"/>
    </row>
    <row r="862" spans="1:20" ht="30" hidden="1" customHeight="1" x14ac:dyDescent="0.3">
      <c r="A862" s="262">
        <v>9</v>
      </c>
      <c r="C862" s="244"/>
      <c r="D862" s="213"/>
      <c r="E862" s="969"/>
      <c r="F862" s="970"/>
      <c r="G862" s="971"/>
      <c r="H862" s="658"/>
      <c r="I862" s="605"/>
      <c r="J862" s="605"/>
      <c r="K862" s="212"/>
      <c r="L862" s="341"/>
      <c r="M862" s="302"/>
      <c r="N862" s="605"/>
      <c r="O862" s="212"/>
      <c r="P862" s="341"/>
      <c r="Q862" s="302"/>
      <c r="R862" s="605"/>
      <c r="S862" s="225"/>
      <c r="T862" s="237"/>
    </row>
    <row r="863" spans="1:20" ht="40.049999999999997" hidden="1" customHeight="1" x14ac:dyDescent="0.3">
      <c r="A863" s="262" t="s">
        <v>1242</v>
      </c>
      <c r="C863" s="258"/>
      <c r="D863" s="258"/>
      <c r="E863" s="972" t="s">
        <v>33</v>
      </c>
      <c r="F863" s="972"/>
      <c r="G863" s="972"/>
      <c r="H863" s="973" t="s">
        <v>29</v>
      </c>
      <c r="I863" s="973"/>
      <c r="J863" s="973"/>
      <c r="K863" s="973"/>
      <c r="L863" s="973"/>
      <c r="M863" s="549"/>
      <c r="N863" s="973" t="s">
        <v>22</v>
      </c>
      <c r="O863" s="973"/>
      <c r="P863" s="973"/>
      <c r="Q863" s="973"/>
      <c r="R863" s="973"/>
      <c r="S863" s="973"/>
      <c r="T863" s="973"/>
    </row>
    <row r="864" spans="1:20" ht="19.95" hidden="1" customHeight="1" x14ac:dyDescent="0.3">
      <c r="A864" s="262" t="s">
        <v>1242</v>
      </c>
      <c r="D864" s="28"/>
      <c r="E864" s="974" t="s">
        <v>1214</v>
      </c>
      <c r="F864" s="974"/>
      <c r="G864" s="974"/>
      <c r="H864" s="975" t="s">
        <v>38</v>
      </c>
      <c r="I864" s="975"/>
      <c r="J864" s="975"/>
      <c r="K864" s="975"/>
      <c r="L864" s="975"/>
      <c r="M864" s="562"/>
      <c r="N864" s="975" t="s">
        <v>1437</v>
      </c>
      <c r="O864" s="975"/>
      <c r="P864" s="975"/>
      <c r="Q864" s="975"/>
      <c r="R864" s="975"/>
      <c r="S864" s="975"/>
      <c r="T864" s="975"/>
    </row>
    <row r="865" spans="1:20" ht="19.95" hidden="1" customHeight="1" x14ac:dyDescent="0.3">
      <c r="A865" s="262" t="s">
        <v>1242</v>
      </c>
      <c r="C865" s="228"/>
      <c r="D865" s="228"/>
      <c r="E865" s="561"/>
      <c r="F865" s="561"/>
      <c r="G865" s="561"/>
      <c r="H865" s="228"/>
      <c r="I865" s="260"/>
      <c r="J865" s="260"/>
      <c r="K865" s="260"/>
      <c r="L865" s="260"/>
      <c r="M865" s="260"/>
      <c r="N865" s="975"/>
      <c r="O865" s="975"/>
      <c r="P865" s="975"/>
      <c r="Q865" s="975"/>
      <c r="R865" s="975"/>
      <c r="S865" s="975"/>
      <c r="T865" s="975"/>
    </row>
    <row r="866" spans="1:20" ht="19.95" hidden="1" customHeight="1" x14ac:dyDescent="0.3">
      <c r="A866" s="262" t="s">
        <v>1242</v>
      </c>
      <c r="C866" s="228"/>
      <c r="D866" s="228"/>
      <c r="E866" s="561"/>
      <c r="F866" s="561"/>
      <c r="G866" s="561"/>
      <c r="H866" s="228"/>
      <c r="I866" s="260"/>
      <c r="J866" s="260"/>
      <c r="K866" s="260"/>
      <c r="L866" s="260"/>
      <c r="M866" s="260"/>
      <c r="N866" s="975"/>
      <c r="O866" s="975"/>
      <c r="P866" s="975"/>
      <c r="Q866" s="975"/>
      <c r="R866" s="975"/>
      <c r="S866" s="975"/>
      <c r="T866" s="975"/>
    </row>
    <row r="867" spans="1:20" ht="19.95" hidden="1" customHeight="1" x14ac:dyDescent="0.3">
      <c r="A867" s="262" t="s">
        <v>1242</v>
      </c>
      <c r="C867" s="228"/>
      <c r="D867" s="228"/>
      <c r="E867" s="561"/>
      <c r="F867" s="561"/>
      <c r="G867" s="561"/>
      <c r="H867" s="261"/>
      <c r="I867" s="261"/>
      <c r="J867" s="261"/>
      <c r="K867" s="261"/>
      <c r="L867" s="261"/>
      <c r="M867" s="261"/>
      <c r="N867" s="995" t="s">
        <v>1244</v>
      </c>
      <c r="O867" s="995"/>
      <c r="P867" s="995"/>
      <c r="Q867" s="550"/>
      <c r="R867" s="995" t="s">
        <v>55</v>
      </c>
      <c r="S867" s="995"/>
      <c r="T867" s="995"/>
    </row>
    <row r="868" spans="1:20" ht="19.95" hidden="1" customHeight="1" x14ac:dyDescent="0.3">
      <c r="A868" s="262" t="s">
        <v>1242</v>
      </c>
      <c r="C868" s="228"/>
      <c r="D868" s="228"/>
      <c r="E868" s="561"/>
      <c r="F868" s="561"/>
      <c r="G868" s="561"/>
      <c r="H868" s="261"/>
      <c r="I868" s="261"/>
      <c r="J868" s="261"/>
      <c r="K868" s="261"/>
      <c r="L868" s="261"/>
      <c r="M868" s="261"/>
      <c r="N868" s="995" t="s">
        <v>1483</v>
      </c>
      <c r="O868" s="995"/>
      <c r="P868" s="995"/>
      <c r="Q868" s="550"/>
      <c r="R868" s="995" t="s">
        <v>1484</v>
      </c>
      <c r="S868" s="995"/>
      <c r="T868" s="995"/>
    </row>
    <row r="869" spans="1:20" ht="19.95" hidden="1" customHeight="1" x14ac:dyDescent="0.3">
      <c r="A869" s="262" t="s">
        <v>1242</v>
      </c>
      <c r="C869" s="228"/>
      <c r="D869" s="228"/>
      <c r="E869" s="561"/>
      <c r="F869" s="561"/>
      <c r="G869" s="561"/>
      <c r="H869" s="975" t="s">
        <v>32</v>
      </c>
      <c r="I869" s="975"/>
      <c r="J869" s="562"/>
      <c r="K869" s="975" t="s">
        <v>1407</v>
      </c>
      <c r="L869" s="975"/>
      <c r="M869" s="562"/>
      <c r="N869" s="494"/>
      <c r="O869" s="494"/>
      <c r="P869" s="494"/>
      <c r="Q869" s="494"/>
      <c r="R869" s="494"/>
      <c r="S869" s="494"/>
      <c r="T869" s="494"/>
    </row>
    <row r="870" spans="1:20" ht="19.95" hidden="1" customHeight="1" x14ac:dyDescent="0.3">
      <c r="A870" s="262" t="s">
        <v>1242</v>
      </c>
      <c r="C870" s="228"/>
      <c r="D870" s="228"/>
      <c r="E870" s="561"/>
      <c r="F870" s="561"/>
      <c r="G870" s="561"/>
      <c r="H870" s="976" t="s">
        <v>94</v>
      </c>
      <c r="I870" s="976"/>
      <c r="J870" s="623"/>
      <c r="K870" s="976" t="s">
        <v>94</v>
      </c>
      <c r="L870" s="976"/>
      <c r="M870" s="623"/>
      <c r="N870" s="494"/>
      <c r="O870" s="494"/>
      <c r="P870" s="494"/>
      <c r="Q870" s="494"/>
      <c r="R870" s="494"/>
      <c r="S870" s="494"/>
      <c r="T870" s="494"/>
    </row>
    <row r="871" spans="1:20" ht="19.95" hidden="1" customHeight="1" x14ac:dyDescent="0.3">
      <c r="A871" s="262" t="s">
        <v>1242</v>
      </c>
      <c r="C871" s="228"/>
      <c r="D871" s="228"/>
      <c r="E871" s="561"/>
      <c r="F871" s="561"/>
      <c r="G871" s="561"/>
      <c r="H871" s="976"/>
      <c r="I871" s="976"/>
      <c r="J871" s="623"/>
      <c r="K871" s="976"/>
      <c r="L871" s="976"/>
      <c r="M871" s="623"/>
      <c r="N871" s="995" t="s">
        <v>28</v>
      </c>
      <c r="O871" s="995"/>
      <c r="P871" s="995"/>
      <c r="Q871" s="550"/>
      <c r="R871" s="995" t="s">
        <v>52</v>
      </c>
      <c r="S871" s="995"/>
      <c r="T871" s="995"/>
    </row>
    <row r="872" spans="1:20" ht="19.95" hidden="1" customHeight="1" x14ac:dyDescent="0.3">
      <c r="A872" s="262" t="s">
        <v>1242</v>
      </c>
      <c r="C872" s="228"/>
      <c r="D872" s="228"/>
      <c r="E872" s="561"/>
      <c r="F872" s="561"/>
      <c r="G872" s="561"/>
      <c r="H872" s="261"/>
      <c r="I872" s="261"/>
      <c r="J872" s="261"/>
      <c r="K872" s="261"/>
      <c r="L872" s="261"/>
      <c r="M872" s="261"/>
      <c r="N872" s="995" t="s">
        <v>1486</v>
      </c>
      <c r="O872" s="995"/>
      <c r="P872" s="995"/>
      <c r="Q872" s="550"/>
      <c r="R872" s="995" t="s">
        <v>1485</v>
      </c>
      <c r="S872" s="995"/>
      <c r="T872" s="995"/>
    </row>
    <row r="873" spans="1:20" ht="19.95" hidden="1" customHeight="1" x14ac:dyDescent="0.3">
      <c r="A873" s="262" t="s">
        <v>1242</v>
      </c>
      <c r="C873" s="228"/>
      <c r="D873" s="228"/>
      <c r="E873" s="561"/>
      <c r="F873" s="561"/>
      <c r="G873" s="561"/>
      <c r="H873" s="228"/>
      <c r="I873" s="260"/>
      <c r="J873" s="260"/>
      <c r="K873" s="260"/>
      <c r="L873" s="260"/>
      <c r="M873" s="260"/>
      <c r="N873" s="260"/>
      <c r="O873" s="260"/>
      <c r="P873" s="260"/>
      <c r="Q873" s="260"/>
      <c r="R873" s="260"/>
      <c r="S873" s="624"/>
      <c r="T873" s="260"/>
    </row>
    <row r="874" spans="1:20" ht="19.95" hidden="1" customHeight="1" x14ac:dyDescent="0.3">
      <c r="A874" s="262" t="s">
        <v>1242</v>
      </c>
      <c r="C874" s="228"/>
      <c r="D874" s="228"/>
      <c r="E874" s="561"/>
      <c r="F874" s="561"/>
      <c r="G874" s="561"/>
      <c r="H874" s="228"/>
      <c r="I874" s="260"/>
      <c r="J874" s="260"/>
      <c r="K874" s="260"/>
      <c r="L874" s="260"/>
      <c r="M874" s="260"/>
      <c r="N874" s="260"/>
      <c r="O874" s="260"/>
      <c r="P874" s="260"/>
      <c r="Q874" s="260"/>
      <c r="R874" s="260"/>
      <c r="S874" s="624"/>
      <c r="T874" s="260"/>
    </row>
    <row r="875" spans="1:20" ht="19.95" hidden="1" customHeight="1" x14ac:dyDescent="0.3">
      <c r="A875" s="262" t="s">
        <v>1242</v>
      </c>
      <c r="C875" s="228"/>
      <c r="D875" s="228"/>
      <c r="E875" s="975" t="s">
        <v>1215</v>
      </c>
      <c r="F875" s="975"/>
      <c r="G875" s="975"/>
      <c r="H875" s="975" t="s">
        <v>1348</v>
      </c>
      <c r="I875" s="975"/>
      <c r="J875" s="975"/>
      <c r="K875" s="975"/>
      <c r="L875" s="975"/>
      <c r="M875" s="562"/>
      <c r="N875" s="977" t="s">
        <v>1217</v>
      </c>
      <c r="O875" s="977"/>
      <c r="P875" s="977"/>
      <c r="Q875" s="548"/>
      <c r="R875" s="977" t="s">
        <v>1219</v>
      </c>
      <c r="S875" s="977"/>
      <c r="T875" s="977"/>
    </row>
    <row r="876" spans="1:20" ht="19.95" hidden="1" customHeight="1" x14ac:dyDescent="0.3">
      <c r="A876" s="262" t="s">
        <v>1290</v>
      </c>
      <c r="C876" s="228"/>
      <c r="D876" s="228"/>
      <c r="E876" s="975"/>
      <c r="F876" s="975"/>
      <c r="G876" s="975"/>
      <c r="H876" s="975"/>
      <c r="I876" s="975"/>
      <c r="J876" s="975"/>
      <c r="K876" s="975"/>
      <c r="L876" s="975"/>
      <c r="M876" s="562"/>
      <c r="N876" s="977"/>
      <c r="O876" s="977"/>
      <c r="P876" s="977"/>
      <c r="Q876" s="548"/>
      <c r="R876" s="977"/>
      <c r="S876" s="977"/>
      <c r="T876" s="977"/>
    </row>
    <row r="877" spans="1:20" ht="30" hidden="1" customHeight="1" x14ac:dyDescent="0.3">
      <c r="A877" s="262" t="s">
        <v>1240</v>
      </c>
      <c r="C877" s="625"/>
      <c r="D877" s="626" t="s">
        <v>1237</v>
      </c>
      <c r="E877" s="627"/>
      <c r="F877" s="627"/>
      <c r="G877" s="627"/>
      <c r="H877" s="627"/>
      <c r="I877" s="628"/>
      <c r="J877" s="628"/>
      <c r="K877" s="628"/>
      <c r="L877" s="644">
        <f>+SUMIFS(L:L,A:A,"10")</f>
        <v>785843796.85000002</v>
      </c>
      <c r="M877" s="629"/>
      <c r="N877" s="648"/>
      <c r="O877" s="628"/>
      <c r="P877" s="628"/>
      <c r="Q877" s="611"/>
      <c r="R877" s="651">
        <f>+SUMIFS(R:R,A:A,"10")</f>
        <v>0</v>
      </c>
      <c r="S877" s="630">
        <f>+SUMIFS(S:S,A:A,"10")</f>
        <v>0</v>
      </c>
      <c r="T877" s="631">
        <f>+SUMIFS(T:T,A:A,"10")</f>
        <v>0</v>
      </c>
    </row>
    <row r="878" spans="1:20" ht="30" hidden="1" customHeight="1" x14ac:dyDescent="0.3">
      <c r="A878" s="262">
        <v>10</v>
      </c>
      <c r="C878" s="244">
        <v>429</v>
      </c>
      <c r="D878" s="213" t="s">
        <v>1046</v>
      </c>
      <c r="E878" s="969" t="s">
        <v>1047</v>
      </c>
      <c r="F878" s="970"/>
      <c r="G878" s="971"/>
      <c r="H878" s="544" t="s">
        <v>286</v>
      </c>
      <c r="I878" s="212">
        <v>3920576</v>
      </c>
      <c r="J878" s="605"/>
      <c r="K878" s="212">
        <v>1</v>
      </c>
      <c r="L878" s="212">
        <f t="shared" ref="L878:L899" si="98">+ROUND(I878*K878,2)</f>
        <v>3920576</v>
      </c>
      <c r="M878" s="602"/>
      <c r="N878" s="675">
        <f>+'Yeşil Defter'!K900</f>
        <v>0</v>
      </c>
      <c r="O878" s="675">
        <f>+'Yeşil Defter'!L900</f>
        <v>0</v>
      </c>
      <c r="P878" s="675">
        <f>+'Yeşil Defter'!M900</f>
        <v>0</v>
      </c>
      <c r="Q878" s="212"/>
      <c r="R878" s="605">
        <f t="shared" ref="R878:R899" si="99">+ROUND(K878*N878,2)</f>
        <v>0</v>
      </c>
      <c r="S878" s="225">
        <f t="shared" ref="S878:S894" si="100">+T878-R878</f>
        <v>0</v>
      </c>
      <c r="T878" s="237">
        <f t="shared" ref="T878:T899" si="101">+ROUND(K878*P878,2)</f>
        <v>0</v>
      </c>
    </row>
    <row r="879" spans="1:20" ht="30" hidden="1" customHeight="1" x14ac:dyDescent="0.3">
      <c r="A879" s="262">
        <v>10</v>
      </c>
      <c r="C879" s="244">
        <v>430</v>
      </c>
      <c r="D879" s="161" t="s">
        <v>1048</v>
      </c>
      <c r="E879" s="969" t="s">
        <v>1049</v>
      </c>
      <c r="F879" s="970"/>
      <c r="G879" s="971"/>
      <c r="H879" s="544" t="s">
        <v>286</v>
      </c>
      <c r="I879" s="212">
        <v>17953221</v>
      </c>
      <c r="J879" s="605"/>
      <c r="K879" s="212">
        <v>1</v>
      </c>
      <c r="L879" s="212">
        <f t="shared" si="98"/>
        <v>17953221</v>
      </c>
      <c r="M879" s="602"/>
      <c r="N879" s="675">
        <f>+'Yeşil Defter'!K901</f>
        <v>0</v>
      </c>
      <c r="O879" s="675">
        <f>+'Yeşil Defter'!L901</f>
        <v>0</v>
      </c>
      <c r="P879" s="675">
        <f>+'Yeşil Defter'!M901</f>
        <v>0</v>
      </c>
      <c r="Q879" s="212"/>
      <c r="R879" s="605">
        <f t="shared" si="99"/>
        <v>0</v>
      </c>
      <c r="S879" s="225">
        <f t="shared" si="100"/>
        <v>0</v>
      </c>
      <c r="T879" s="237">
        <f t="shared" si="101"/>
        <v>0</v>
      </c>
    </row>
    <row r="880" spans="1:20" ht="30" hidden="1" customHeight="1" x14ac:dyDescent="0.3">
      <c r="A880" s="262">
        <v>10</v>
      </c>
      <c r="C880" s="244">
        <v>431</v>
      </c>
      <c r="D880" s="161" t="s">
        <v>1050</v>
      </c>
      <c r="E880" s="969" t="s">
        <v>1051</v>
      </c>
      <c r="F880" s="970"/>
      <c r="G880" s="971"/>
      <c r="H880" s="544" t="s">
        <v>286</v>
      </c>
      <c r="I880" s="212">
        <v>11111515</v>
      </c>
      <c r="J880" s="605"/>
      <c r="K880" s="212">
        <v>1</v>
      </c>
      <c r="L880" s="212">
        <f t="shared" si="98"/>
        <v>11111515</v>
      </c>
      <c r="M880" s="602"/>
      <c r="N880" s="675">
        <f>+'Yeşil Defter'!K902</f>
        <v>0</v>
      </c>
      <c r="O880" s="675">
        <f>+'Yeşil Defter'!L902</f>
        <v>0</v>
      </c>
      <c r="P880" s="675">
        <f>+'Yeşil Defter'!M902</f>
        <v>0</v>
      </c>
      <c r="Q880" s="212"/>
      <c r="R880" s="605">
        <f t="shared" si="99"/>
        <v>0</v>
      </c>
      <c r="S880" s="225">
        <f t="shared" si="100"/>
        <v>0</v>
      </c>
      <c r="T880" s="237">
        <f t="shared" si="101"/>
        <v>0</v>
      </c>
    </row>
    <row r="881" spans="1:20" ht="30" hidden="1" customHeight="1" x14ac:dyDescent="0.3">
      <c r="A881" s="262">
        <v>10</v>
      </c>
      <c r="C881" s="244">
        <v>432</v>
      </c>
      <c r="D881" s="161" t="s">
        <v>1052</v>
      </c>
      <c r="E881" s="969" t="s">
        <v>1053</v>
      </c>
      <c r="F881" s="970"/>
      <c r="G881" s="971"/>
      <c r="H881" s="544" t="s">
        <v>286</v>
      </c>
      <c r="I881" s="212">
        <v>19526276</v>
      </c>
      <c r="J881" s="605"/>
      <c r="K881" s="212">
        <v>1</v>
      </c>
      <c r="L881" s="212">
        <f t="shared" si="98"/>
        <v>19526276</v>
      </c>
      <c r="M881" s="602"/>
      <c r="N881" s="675">
        <f>+'Yeşil Defter'!K903</f>
        <v>0</v>
      </c>
      <c r="O881" s="675">
        <f>+'Yeşil Defter'!L903</f>
        <v>0</v>
      </c>
      <c r="P881" s="675">
        <f>+'Yeşil Defter'!M903</f>
        <v>0</v>
      </c>
      <c r="Q881" s="212"/>
      <c r="R881" s="605">
        <f t="shared" si="99"/>
        <v>0</v>
      </c>
      <c r="S881" s="225">
        <f t="shared" si="100"/>
        <v>0</v>
      </c>
      <c r="T881" s="237">
        <f t="shared" si="101"/>
        <v>0</v>
      </c>
    </row>
    <row r="882" spans="1:20" ht="30" hidden="1" customHeight="1" x14ac:dyDescent="0.3">
      <c r="A882" s="262">
        <v>10</v>
      </c>
      <c r="C882" s="244">
        <v>433</v>
      </c>
      <c r="D882" s="161" t="s">
        <v>1054</v>
      </c>
      <c r="E882" s="969" t="s">
        <v>1055</v>
      </c>
      <c r="F882" s="970"/>
      <c r="G882" s="971"/>
      <c r="H882" s="544" t="s">
        <v>286</v>
      </c>
      <c r="I882" s="212">
        <v>17245708</v>
      </c>
      <c r="J882" s="605"/>
      <c r="K882" s="212">
        <v>1</v>
      </c>
      <c r="L882" s="212">
        <f t="shared" si="98"/>
        <v>17245708</v>
      </c>
      <c r="M882" s="602"/>
      <c r="N882" s="675">
        <f>+'Yeşil Defter'!K904</f>
        <v>0</v>
      </c>
      <c r="O882" s="675">
        <f>+'Yeşil Defter'!L904</f>
        <v>0</v>
      </c>
      <c r="P882" s="675">
        <f>+'Yeşil Defter'!M904</f>
        <v>0</v>
      </c>
      <c r="Q882" s="212"/>
      <c r="R882" s="605">
        <f t="shared" si="99"/>
        <v>0</v>
      </c>
      <c r="S882" s="225">
        <f t="shared" si="100"/>
        <v>0</v>
      </c>
      <c r="T882" s="237">
        <f t="shared" si="101"/>
        <v>0</v>
      </c>
    </row>
    <row r="883" spans="1:20" ht="30" hidden="1" customHeight="1" x14ac:dyDescent="0.3">
      <c r="A883" s="262">
        <v>10</v>
      </c>
      <c r="C883" s="244">
        <v>434</v>
      </c>
      <c r="D883" s="161" t="s">
        <v>1056</v>
      </c>
      <c r="E883" s="969" t="s">
        <v>1057</v>
      </c>
      <c r="F883" s="970"/>
      <c r="G883" s="971"/>
      <c r="H883" s="544" t="s">
        <v>286</v>
      </c>
      <c r="I883" s="212">
        <v>17453800</v>
      </c>
      <c r="J883" s="605"/>
      <c r="K883" s="212">
        <v>1</v>
      </c>
      <c r="L883" s="212">
        <f t="shared" si="98"/>
        <v>17453800</v>
      </c>
      <c r="M883" s="602"/>
      <c r="N883" s="675">
        <f>+'Yeşil Defter'!K905</f>
        <v>0</v>
      </c>
      <c r="O883" s="675">
        <f>+'Yeşil Defter'!L905</f>
        <v>0</v>
      </c>
      <c r="P883" s="675">
        <f>+'Yeşil Defter'!M905</f>
        <v>0</v>
      </c>
      <c r="Q883" s="212"/>
      <c r="R883" s="605">
        <f t="shared" si="99"/>
        <v>0</v>
      </c>
      <c r="S883" s="225">
        <f t="shared" si="100"/>
        <v>0</v>
      </c>
      <c r="T883" s="237">
        <f t="shared" si="101"/>
        <v>0</v>
      </c>
    </row>
    <row r="884" spans="1:20" ht="30" hidden="1" customHeight="1" x14ac:dyDescent="0.3">
      <c r="A884" s="262">
        <v>10</v>
      </c>
      <c r="C884" s="244">
        <v>435</v>
      </c>
      <c r="D884" s="161" t="s">
        <v>1058</v>
      </c>
      <c r="E884" s="969" t="s">
        <v>1059</v>
      </c>
      <c r="F884" s="970"/>
      <c r="G884" s="971"/>
      <c r="H884" s="544" t="s">
        <v>286</v>
      </c>
      <c r="I884" s="212">
        <v>8928056</v>
      </c>
      <c r="J884" s="605"/>
      <c r="K884" s="212">
        <v>1</v>
      </c>
      <c r="L884" s="212">
        <f t="shared" si="98"/>
        <v>8928056</v>
      </c>
      <c r="M884" s="602"/>
      <c r="N884" s="675">
        <f>+'Yeşil Defter'!K906</f>
        <v>0</v>
      </c>
      <c r="O884" s="675">
        <f>+'Yeşil Defter'!L906</f>
        <v>0</v>
      </c>
      <c r="P884" s="675">
        <f>+'Yeşil Defter'!M906</f>
        <v>0</v>
      </c>
      <c r="Q884" s="212"/>
      <c r="R884" s="605">
        <f t="shared" si="99"/>
        <v>0</v>
      </c>
      <c r="S884" s="225">
        <f t="shared" si="100"/>
        <v>0</v>
      </c>
      <c r="T884" s="237">
        <f t="shared" si="101"/>
        <v>0</v>
      </c>
    </row>
    <row r="885" spans="1:20" ht="30" hidden="1" customHeight="1" x14ac:dyDescent="0.3">
      <c r="A885" s="262">
        <v>10</v>
      </c>
      <c r="C885" s="244">
        <v>436</v>
      </c>
      <c r="D885" s="161" t="s">
        <v>1060</v>
      </c>
      <c r="E885" s="969" t="s">
        <v>1061</v>
      </c>
      <c r="F885" s="970"/>
      <c r="G885" s="971"/>
      <c r="H885" s="544" t="s">
        <v>286</v>
      </c>
      <c r="I885" s="212">
        <v>6744596</v>
      </c>
      <c r="J885" s="605"/>
      <c r="K885" s="212">
        <v>1</v>
      </c>
      <c r="L885" s="212">
        <f t="shared" si="98"/>
        <v>6744596</v>
      </c>
      <c r="M885" s="602"/>
      <c r="N885" s="675">
        <f>+'Yeşil Defter'!K907</f>
        <v>0</v>
      </c>
      <c r="O885" s="675">
        <f>+'Yeşil Defter'!L907</f>
        <v>0</v>
      </c>
      <c r="P885" s="675">
        <f>+'Yeşil Defter'!M907</f>
        <v>0</v>
      </c>
      <c r="Q885" s="212"/>
      <c r="R885" s="605">
        <f t="shared" si="99"/>
        <v>0</v>
      </c>
      <c r="S885" s="225">
        <f t="shared" si="100"/>
        <v>0</v>
      </c>
      <c r="T885" s="237">
        <f t="shared" si="101"/>
        <v>0</v>
      </c>
    </row>
    <row r="886" spans="1:20" ht="30" hidden="1" customHeight="1" x14ac:dyDescent="0.3">
      <c r="A886" s="262">
        <v>10</v>
      </c>
      <c r="C886" s="244">
        <v>437</v>
      </c>
      <c r="D886" s="161" t="s">
        <v>1062</v>
      </c>
      <c r="E886" s="969" t="s">
        <v>1063</v>
      </c>
      <c r="F886" s="970"/>
      <c r="G886" s="971"/>
      <c r="H886" s="544" t="s">
        <v>286</v>
      </c>
      <c r="I886" s="212">
        <v>8969674</v>
      </c>
      <c r="J886" s="605"/>
      <c r="K886" s="212">
        <v>1</v>
      </c>
      <c r="L886" s="212">
        <f t="shared" si="98"/>
        <v>8969674</v>
      </c>
      <c r="M886" s="602"/>
      <c r="N886" s="675">
        <f>+'Yeşil Defter'!K908</f>
        <v>0</v>
      </c>
      <c r="O886" s="675">
        <f>+'Yeşil Defter'!L908</f>
        <v>0</v>
      </c>
      <c r="P886" s="675">
        <f>+'Yeşil Defter'!M908</f>
        <v>0</v>
      </c>
      <c r="Q886" s="212"/>
      <c r="R886" s="605">
        <f t="shared" si="99"/>
        <v>0</v>
      </c>
      <c r="S886" s="225">
        <f t="shared" si="100"/>
        <v>0</v>
      </c>
      <c r="T886" s="237">
        <f t="shared" si="101"/>
        <v>0</v>
      </c>
    </row>
    <row r="887" spans="1:20" ht="30" hidden="1" customHeight="1" x14ac:dyDescent="0.3">
      <c r="A887" s="262">
        <v>10</v>
      </c>
      <c r="C887" s="244">
        <v>438</v>
      </c>
      <c r="D887" s="161" t="s">
        <v>1064</v>
      </c>
      <c r="E887" s="969" t="s">
        <v>1065</v>
      </c>
      <c r="F887" s="970"/>
      <c r="G887" s="971"/>
      <c r="H887" s="544" t="s">
        <v>286</v>
      </c>
      <c r="I887" s="212">
        <v>8928056</v>
      </c>
      <c r="J887" s="605"/>
      <c r="K887" s="212">
        <v>1</v>
      </c>
      <c r="L887" s="212">
        <f t="shared" si="98"/>
        <v>8928056</v>
      </c>
      <c r="M887" s="602"/>
      <c r="N887" s="675">
        <f>+'Yeşil Defter'!K909</f>
        <v>0</v>
      </c>
      <c r="O887" s="675">
        <f>+'Yeşil Defter'!L909</f>
        <v>0</v>
      </c>
      <c r="P887" s="675">
        <f>+'Yeşil Defter'!M909</f>
        <v>0</v>
      </c>
      <c r="Q887" s="212"/>
      <c r="R887" s="605">
        <f t="shared" si="99"/>
        <v>0</v>
      </c>
      <c r="S887" s="225">
        <f t="shared" si="100"/>
        <v>0</v>
      </c>
      <c r="T887" s="237">
        <f t="shared" si="101"/>
        <v>0</v>
      </c>
    </row>
    <row r="888" spans="1:20" ht="30" hidden="1" customHeight="1" x14ac:dyDescent="0.3">
      <c r="A888" s="262">
        <v>10</v>
      </c>
      <c r="C888" s="244">
        <v>439</v>
      </c>
      <c r="D888" s="161" t="s">
        <v>1066</v>
      </c>
      <c r="E888" s="969" t="s">
        <v>1067</v>
      </c>
      <c r="F888" s="970"/>
      <c r="G888" s="971"/>
      <c r="H888" s="544" t="s">
        <v>286</v>
      </c>
      <c r="I888" s="212">
        <v>4464028</v>
      </c>
      <c r="J888" s="605"/>
      <c r="K888" s="212">
        <v>1</v>
      </c>
      <c r="L888" s="212">
        <f t="shared" si="98"/>
        <v>4464028</v>
      </c>
      <c r="M888" s="602"/>
      <c r="N888" s="675">
        <f>+'Yeşil Defter'!K910</f>
        <v>0</v>
      </c>
      <c r="O888" s="675">
        <f>+'Yeşil Defter'!L910</f>
        <v>0</v>
      </c>
      <c r="P888" s="675">
        <f>+'Yeşil Defter'!M910</f>
        <v>0</v>
      </c>
      <c r="Q888" s="212"/>
      <c r="R888" s="605">
        <f t="shared" si="99"/>
        <v>0</v>
      </c>
      <c r="S888" s="225">
        <f t="shared" si="100"/>
        <v>0</v>
      </c>
      <c r="T888" s="237">
        <f t="shared" si="101"/>
        <v>0</v>
      </c>
    </row>
    <row r="889" spans="1:20" ht="30" hidden="1" customHeight="1" x14ac:dyDescent="0.3">
      <c r="A889" s="262">
        <v>10</v>
      </c>
      <c r="C889" s="244">
        <v>440</v>
      </c>
      <c r="D889" s="161" t="s">
        <v>1068</v>
      </c>
      <c r="E889" s="969" t="s">
        <v>1069</v>
      </c>
      <c r="F889" s="970"/>
      <c r="G889" s="971"/>
      <c r="H889" s="544" t="s">
        <v>286</v>
      </c>
      <c r="I889" s="212">
        <v>4505646</v>
      </c>
      <c r="J889" s="605"/>
      <c r="K889" s="212">
        <v>1</v>
      </c>
      <c r="L889" s="212">
        <f t="shared" si="98"/>
        <v>4505646</v>
      </c>
      <c r="M889" s="602"/>
      <c r="N889" s="675">
        <f>+'Yeşil Defter'!K911</f>
        <v>0</v>
      </c>
      <c r="O889" s="675">
        <f>+'Yeşil Defter'!L911</f>
        <v>0</v>
      </c>
      <c r="P889" s="675">
        <f>+'Yeşil Defter'!M911</f>
        <v>0</v>
      </c>
      <c r="Q889" s="212"/>
      <c r="R889" s="605">
        <f t="shared" si="99"/>
        <v>0</v>
      </c>
      <c r="S889" s="225">
        <f t="shared" si="100"/>
        <v>0</v>
      </c>
      <c r="T889" s="237">
        <f t="shared" si="101"/>
        <v>0</v>
      </c>
    </row>
    <row r="890" spans="1:20" ht="30" hidden="1" customHeight="1" x14ac:dyDescent="0.3">
      <c r="A890" s="262">
        <v>10</v>
      </c>
      <c r="C890" s="244">
        <v>441</v>
      </c>
      <c r="D890" s="161" t="s">
        <v>1070</v>
      </c>
      <c r="E890" s="969" t="s">
        <v>1071</v>
      </c>
      <c r="F890" s="970"/>
      <c r="G890" s="971"/>
      <c r="H890" s="544" t="s">
        <v>286</v>
      </c>
      <c r="I890" s="212">
        <v>2280569</v>
      </c>
      <c r="J890" s="605"/>
      <c r="K890" s="212">
        <v>1</v>
      </c>
      <c r="L890" s="212">
        <f t="shared" si="98"/>
        <v>2280569</v>
      </c>
      <c r="M890" s="602"/>
      <c r="N890" s="675">
        <f>+'Yeşil Defter'!K912</f>
        <v>0</v>
      </c>
      <c r="O890" s="675">
        <f>+'Yeşil Defter'!L912</f>
        <v>0</v>
      </c>
      <c r="P890" s="675">
        <f>+'Yeşil Defter'!M912</f>
        <v>0</v>
      </c>
      <c r="Q890" s="212"/>
      <c r="R890" s="605">
        <f t="shared" si="99"/>
        <v>0</v>
      </c>
      <c r="S890" s="225">
        <f t="shared" si="100"/>
        <v>0</v>
      </c>
      <c r="T890" s="237">
        <f t="shared" si="101"/>
        <v>0</v>
      </c>
    </row>
    <row r="891" spans="1:20" ht="30" hidden="1" customHeight="1" x14ac:dyDescent="0.3">
      <c r="A891" s="262">
        <v>10</v>
      </c>
      <c r="C891" s="244">
        <v>442</v>
      </c>
      <c r="D891" s="161" t="s">
        <v>1072</v>
      </c>
      <c r="E891" s="969" t="s">
        <v>1073</v>
      </c>
      <c r="F891" s="970"/>
      <c r="G891" s="971"/>
      <c r="H891" s="544" t="s">
        <v>286</v>
      </c>
      <c r="I891" s="212">
        <v>20326677</v>
      </c>
      <c r="J891" s="605"/>
      <c r="K891" s="212">
        <v>1</v>
      </c>
      <c r="L891" s="212">
        <f t="shared" si="98"/>
        <v>20326677</v>
      </c>
      <c r="M891" s="602"/>
      <c r="N891" s="675">
        <f>+'Yeşil Defter'!K913</f>
        <v>0</v>
      </c>
      <c r="O891" s="675">
        <f>+'Yeşil Defter'!L913</f>
        <v>0</v>
      </c>
      <c r="P891" s="675">
        <f>+'Yeşil Defter'!M913</f>
        <v>0</v>
      </c>
      <c r="Q891" s="212"/>
      <c r="R891" s="605">
        <f t="shared" si="99"/>
        <v>0</v>
      </c>
      <c r="S891" s="225">
        <f t="shared" si="100"/>
        <v>0</v>
      </c>
      <c r="T891" s="237">
        <f t="shared" si="101"/>
        <v>0</v>
      </c>
    </row>
    <row r="892" spans="1:20" ht="30" hidden="1" customHeight="1" x14ac:dyDescent="0.3">
      <c r="A892" s="262">
        <v>10</v>
      </c>
      <c r="C892" s="244">
        <v>443</v>
      </c>
      <c r="D892" s="161" t="s">
        <v>1074</v>
      </c>
      <c r="E892" s="969" t="s">
        <v>1075</v>
      </c>
      <c r="F892" s="970"/>
      <c r="G892" s="971"/>
      <c r="H892" s="544" t="s">
        <v>286</v>
      </c>
      <c r="I892" s="212">
        <v>46314363</v>
      </c>
      <c r="J892" s="605"/>
      <c r="K892" s="212">
        <v>1</v>
      </c>
      <c r="L892" s="212">
        <f t="shared" si="98"/>
        <v>46314363</v>
      </c>
      <c r="M892" s="602"/>
      <c r="N892" s="675">
        <f>+'Yeşil Defter'!K914</f>
        <v>0</v>
      </c>
      <c r="O892" s="675">
        <f>+'Yeşil Defter'!L914</f>
        <v>0</v>
      </c>
      <c r="P892" s="675">
        <f>+'Yeşil Defter'!M914</f>
        <v>0</v>
      </c>
      <c r="Q892" s="212"/>
      <c r="R892" s="605">
        <f t="shared" si="99"/>
        <v>0</v>
      </c>
      <c r="S892" s="225">
        <f t="shared" si="100"/>
        <v>0</v>
      </c>
      <c r="T892" s="237">
        <f t="shared" si="101"/>
        <v>0</v>
      </c>
    </row>
    <row r="893" spans="1:20" ht="30" hidden="1" customHeight="1" x14ac:dyDescent="0.3">
      <c r="A893" s="262">
        <v>10</v>
      </c>
      <c r="C893" s="244">
        <v>444</v>
      </c>
      <c r="D893" s="161" t="s">
        <v>1076</v>
      </c>
      <c r="E893" s="969" t="s">
        <v>1077</v>
      </c>
      <c r="F893" s="970"/>
      <c r="G893" s="971"/>
      <c r="H893" s="544" t="s">
        <v>286</v>
      </c>
      <c r="I893" s="212">
        <v>46314363</v>
      </c>
      <c r="J893" s="605"/>
      <c r="K893" s="212">
        <v>1</v>
      </c>
      <c r="L893" s="212">
        <f t="shared" si="98"/>
        <v>46314363</v>
      </c>
      <c r="M893" s="602"/>
      <c r="N893" s="675">
        <f>+'Yeşil Defter'!K915</f>
        <v>0</v>
      </c>
      <c r="O893" s="675">
        <f>+'Yeşil Defter'!L915</f>
        <v>0</v>
      </c>
      <c r="P893" s="675">
        <f>+'Yeşil Defter'!M915</f>
        <v>0</v>
      </c>
      <c r="Q893" s="212"/>
      <c r="R893" s="605">
        <f t="shared" si="99"/>
        <v>0</v>
      </c>
      <c r="S893" s="225">
        <f t="shared" si="100"/>
        <v>0</v>
      </c>
      <c r="T893" s="237">
        <f t="shared" si="101"/>
        <v>0</v>
      </c>
    </row>
    <row r="894" spans="1:20" ht="30" hidden="1" customHeight="1" x14ac:dyDescent="0.3">
      <c r="A894" s="262">
        <v>10</v>
      </c>
      <c r="C894" s="244">
        <v>445</v>
      </c>
      <c r="D894" s="161" t="s">
        <v>1078</v>
      </c>
      <c r="E894" s="969" t="s">
        <v>1079</v>
      </c>
      <c r="F894" s="970"/>
      <c r="G894" s="971"/>
      <c r="H894" s="544" t="s">
        <v>286</v>
      </c>
      <c r="I894" s="212">
        <v>46314363</v>
      </c>
      <c r="J894" s="605"/>
      <c r="K894" s="212">
        <v>1</v>
      </c>
      <c r="L894" s="212">
        <f t="shared" si="98"/>
        <v>46314363</v>
      </c>
      <c r="M894" s="602"/>
      <c r="N894" s="675">
        <f>+'Yeşil Defter'!K916</f>
        <v>0</v>
      </c>
      <c r="O894" s="675">
        <f>+'Yeşil Defter'!L916</f>
        <v>0</v>
      </c>
      <c r="P894" s="675">
        <f>+'Yeşil Defter'!M916</f>
        <v>0</v>
      </c>
      <c r="Q894" s="212"/>
      <c r="R894" s="605">
        <f t="shared" si="99"/>
        <v>0</v>
      </c>
      <c r="S894" s="225">
        <f t="shared" si="100"/>
        <v>0</v>
      </c>
      <c r="T894" s="237">
        <f t="shared" si="101"/>
        <v>0</v>
      </c>
    </row>
    <row r="895" spans="1:20" ht="30" hidden="1" customHeight="1" x14ac:dyDescent="0.3">
      <c r="A895" s="262">
        <v>10</v>
      </c>
      <c r="C895" s="244">
        <v>446</v>
      </c>
      <c r="D895" s="161" t="s">
        <v>1080</v>
      </c>
      <c r="E895" s="969" t="s">
        <v>1081</v>
      </c>
      <c r="F895" s="970"/>
      <c r="G895" s="971"/>
      <c r="H895" s="544" t="s">
        <v>286</v>
      </c>
      <c r="I895" s="212">
        <v>46314363</v>
      </c>
      <c r="J895" s="605"/>
      <c r="K895" s="212">
        <v>1</v>
      </c>
      <c r="L895" s="212">
        <f t="shared" si="98"/>
        <v>46314363</v>
      </c>
      <c r="M895" s="602"/>
      <c r="N895" s="675">
        <f>+'Yeşil Defter'!K917</f>
        <v>0</v>
      </c>
      <c r="O895" s="675">
        <f>+'Yeşil Defter'!L917</f>
        <v>0</v>
      </c>
      <c r="P895" s="675">
        <f>+'Yeşil Defter'!M917</f>
        <v>0</v>
      </c>
      <c r="Q895" s="212"/>
      <c r="R895" s="605">
        <f t="shared" si="99"/>
        <v>0</v>
      </c>
      <c r="S895" s="225">
        <f t="shared" si="88"/>
        <v>0</v>
      </c>
      <c r="T895" s="237">
        <f t="shared" si="101"/>
        <v>0</v>
      </c>
    </row>
    <row r="896" spans="1:20" ht="30" hidden="1" customHeight="1" x14ac:dyDescent="0.3">
      <c r="A896" s="262">
        <v>10</v>
      </c>
      <c r="C896" s="244">
        <v>447</v>
      </c>
      <c r="D896" s="161" t="s">
        <v>1082</v>
      </c>
      <c r="E896" s="969" t="s">
        <v>1083</v>
      </c>
      <c r="F896" s="970"/>
      <c r="G896" s="971"/>
      <c r="H896" s="544" t="s">
        <v>286</v>
      </c>
      <c r="I896" s="212">
        <v>46314363</v>
      </c>
      <c r="J896" s="605"/>
      <c r="K896" s="212">
        <v>1</v>
      </c>
      <c r="L896" s="212">
        <f t="shared" si="98"/>
        <v>46314363</v>
      </c>
      <c r="M896" s="602"/>
      <c r="N896" s="675">
        <f>+'Yeşil Defter'!K918</f>
        <v>0</v>
      </c>
      <c r="O896" s="675">
        <f>+'Yeşil Defter'!L918</f>
        <v>0</v>
      </c>
      <c r="P896" s="675">
        <f>+'Yeşil Defter'!M918</f>
        <v>0</v>
      </c>
      <c r="Q896" s="212"/>
      <c r="R896" s="605">
        <f t="shared" si="99"/>
        <v>0</v>
      </c>
      <c r="S896" s="225">
        <f t="shared" si="88"/>
        <v>0</v>
      </c>
      <c r="T896" s="237">
        <f t="shared" si="101"/>
        <v>0</v>
      </c>
    </row>
    <row r="897" spans="1:20" ht="30" hidden="1" customHeight="1" x14ac:dyDescent="0.3">
      <c r="A897" s="262">
        <v>10</v>
      </c>
      <c r="C897" s="244">
        <v>448</v>
      </c>
      <c r="D897" s="161" t="s">
        <v>1084</v>
      </c>
      <c r="E897" s="969" t="s">
        <v>1085</v>
      </c>
      <c r="F897" s="970"/>
      <c r="G897" s="971"/>
      <c r="H897" s="544" t="s">
        <v>286</v>
      </c>
      <c r="I897" s="212">
        <v>46314363</v>
      </c>
      <c r="J897" s="605"/>
      <c r="K897" s="212">
        <v>1</v>
      </c>
      <c r="L897" s="212">
        <f t="shared" si="98"/>
        <v>46314363</v>
      </c>
      <c r="M897" s="602"/>
      <c r="N897" s="675">
        <f>+'Yeşil Defter'!K919</f>
        <v>0</v>
      </c>
      <c r="O897" s="675">
        <f>+'Yeşil Defter'!L919</f>
        <v>0</v>
      </c>
      <c r="P897" s="675">
        <f>+'Yeşil Defter'!M919</f>
        <v>0</v>
      </c>
      <c r="Q897" s="212"/>
      <c r="R897" s="605">
        <f t="shared" si="99"/>
        <v>0</v>
      </c>
      <c r="S897" s="225">
        <f t="shared" si="88"/>
        <v>0</v>
      </c>
      <c r="T897" s="237">
        <f t="shared" si="101"/>
        <v>0</v>
      </c>
    </row>
    <row r="898" spans="1:20" ht="30" hidden="1" customHeight="1" x14ac:dyDescent="0.3">
      <c r="A898" s="262">
        <v>10</v>
      </c>
      <c r="C898" s="244">
        <v>449</v>
      </c>
      <c r="D898" s="161" t="s">
        <v>1086</v>
      </c>
      <c r="E898" s="969" t="s">
        <v>1087</v>
      </c>
      <c r="F898" s="970"/>
      <c r="G898" s="971"/>
      <c r="H898" s="544" t="s">
        <v>286</v>
      </c>
      <c r="I898" s="212">
        <v>46314363</v>
      </c>
      <c r="J898" s="605"/>
      <c r="K898" s="212">
        <v>1</v>
      </c>
      <c r="L898" s="212">
        <f t="shared" si="98"/>
        <v>46314363</v>
      </c>
      <c r="M898" s="602"/>
      <c r="N898" s="675">
        <f>+'Yeşil Defter'!K920</f>
        <v>0</v>
      </c>
      <c r="O898" s="675">
        <f>+'Yeşil Defter'!L920</f>
        <v>0</v>
      </c>
      <c r="P898" s="675">
        <f>+'Yeşil Defter'!M920</f>
        <v>0</v>
      </c>
      <c r="Q898" s="212"/>
      <c r="R898" s="605">
        <f t="shared" si="99"/>
        <v>0</v>
      </c>
      <c r="S898" s="225">
        <f t="shared" si="88"/>
        <v>0</v>
      </c>
      <c r="T898" s="237">
        <f t="shared" si="101"/>
        <v>0</v>
      </c>
    </row>
    <row r="899" spans="1:20" ht="30" hidden="1" customHeight="1" x14ac:dyDescent="0.3">
      <c r="A899" s="262">
        <v>10</v>
      </c>
      <c r="C899" s="244">
        <v>450</v>
      </c>
      <c r="D899" s="161" t="s">
        <v>1088</v>
      </c>
      <c r="E899" s="969" t="s">
        <v>1089</v>
      </c>
      <c r="F899" s="970"/>
      <c r="G899" s="971"/>
      <c r="H899" s="544" t="s">
        <v>286</v>
      </c>
      <c r="I899" s="212">
        <v>19421929</v>
      </c>
      <c r="J899" s="605"/>
      <c r="K899" s="212">
        <v>1</v>
      </c>
      <c r="L899" s="212">
        <f t="shared" si="98"/>
        <v>19421929</v>
      </c>
      <c r="M899" s="602"/>
      <c r="N899" s="675">
        <f>+'Yeşil Defter'!K921</f>
        <v>0</v>
      </c>
      <c r="O899" s="675">
        <f>+'Yeşil Defter'!L921</f>
        <v>0</v>
      </c>
      <c r="P899" s="675">
        <f>+'Yeşil Defter'!M921</f>
        <v>0</v>
      </c>
      <c r="Q899" s="212"/>
      <c r="R899" s="605">
        <f t="shared" si="99"/>
        <v>0</v>
      </c>
      <c r="S899" s="225">
        <f t="shared" si="88"/>
        <v>0</v>
      </c>
      <c r="T899" s="237">
        <f t="shared" si="101"/>
        <v>0</v>
      </c>
    </row>
    <row r="900" spans="1:20" ht="40.049999999999997" hidden="1" customHeight="1" x14ac:dyDescent="0.3">
      <c r="A900" s="262" t="s">
        <v>1242</v>
      </c>
      <c r="C900" s="258"/>
      <c r="D900" s="258"/>
      <c r="E900" s="972" t="s">
        <v>33</v>
      </c>
      <c r="F900" s="972"/>
      <c r="G900" s="972"/>
      <c r="H900" s="973" t="s">
        <v>29</v>
      </c>
      <c r="I900" s="973"/>
      <c r="J900" s="973"/>
      <c r="K900" s="973"/>
      <c r="L900" s="973"/>
      <c r="M900" s="549"/>
      <c r="N900" s="973" t="s">
        <v>22</v>
      </c>
      <c r="O900" s="973"/>
      <c r="P900" s="973"/>
      <c r="Q900" s="973"/>
      <c r="R900" s="973"/>
      <c r="S900" s="973"/>
      <c r="T900" s="973"/>
    </row>
    <row r="901" spans="1:20" ht="19.95" hidden="1" customHeight="1" x14ac:dyDescent="0.3">
      <c r="A901" s="262" t="s">
        <v>1242</v>
      </c>
      <c r="D901" s="28"/>
      <c r="E901" s="974" t="s">
        <v>1214</v>
      </c>
      <c r="F901" s="974"/>
      <c r="G901" s="974"/>
      <c r="H901" s="975" t="s">
        <v>38</v>
      </c>
      <c r="I901" s="975"/>
      <c r="J901" s="975"/>
      <c r="K901" s="975"/>
      <c r="L901" s="975"/>
      <c r="M901" s="562"/>
      <c r="N901" s="975" t="s">
        <v>1437</v>
      </c>
      <c r="O901" s="975"/>
      <c r="P901" s="975"/>
      <c r="Q901" s="975"/>
      <c r="R901" s="975"/>
      <c r="S901" s="975"/>
      <c r="T901" s="975"/>
    </row>
    <row r="902" spans="1:20" ht="19.95" hidden="1" customHeight="1" x14ac:dyDescent="0.3">
      <c r="A902" s="262" t="s">
        <v>1242</v>
      </c>
      <c r="C902" s="228"/>
      <c r="D902" s="228"/>
      <c r="E902" s="561"/>
      <c r="F902" s="561"/>
      <c r="G902" s="561"/>
      <c r="H902" s="228"/>
      <c r="I902" s="260"/>
      <c r="J902" s="260"/>
      <c r="K902" s="260"/>
      <c r="L902" s="260"/>
      <c r="M902" s="260"/>
      <c r="N902" s="975"/>
      <c r="O902" s="975"/>
      <c r="P902" s="975"/>
      <c r="Q902" s="975"/>
      <c r="R902" s="975"/>
      <c r="S902" s="975"/>
      <c r="T902" s="975"/>
    </row>
    <row r="903" spans="1:20" ht="19.95" hidden="1" customHeight="1" x14ac:dyDescent="0.3">
      <c r="A903" s="262" t="s">
        <v>1242</v>
      </c>
      <c r="C903" s="228"/>
      <c r="D903" s="228"/>
      <c r="E903" s="561"/>
      <c r="F903" s="561"/>
      <c r="G903" s="561"/>
      <c r="H903" s="228"/>
      <c r="I903" s="260"/>
      <c r="J903" s="260"/>
      <c r="K903" s="260"/>
      <c r="L903" s="260"/>
      <c r="M903" s="260"/>
      <c r="N903" s="975"/>
      <c r="O903" s="975"/>
      <c r="P903" s="975"/>
      <c r="Q903" s="975"/>
      <c r="R903" s="975"/>
      <c r="S903" s="975"/>
      <c r="T903" s="975"/>
    </row>
    <row r="904" spans="1:20" ht="19.95" hidden="1" customHeight="1" x14ac:dyDescent="0.3">
      <c r="A904" s="262" t="s">
        <v>1242</v>
      </c>
      <c r="C904" s="228"/>
      <c r="D904" s="228"/>
      <c r="E904" s="561"/>
      <c r="F904" s="561"/>
      <c r="G904" s="561"/>
      <c r="H904" s="261"/>
      <c r="I904" s="261"/>
      <c r="J904" s="261"/>
      <c r="K904" s="261"/>
      <c r="L904" s="261"/>
      <c r="M904" s="261"/>
      <c r="N904" s="260"/>
      <c r="O904" s="260"/>
      <c r="P904" s="260"/>
      <c r="Q904" s="260"/>
      <c r="R904" s="260"/>
      <c r="S904" s="260"/>
      <c r="T904" s="260"/>
    </row>
    <row r="905" spans="1:20" ht="19.95" hidden="1" customHeight="1" x14ac:dyDescent="0.3">
      <c r="A905" s="262" t="s">
        <v>1242</v>
      </c>
      <c r="C905" s="228"/>
      <c r="D905" s="228"/>
      <c r="E905" s="561"/>
      <c r="F905" s="561"/>
      <c r="G905" s="561"/>
      <c r="H905" s="975" t="s">
        <v>32</v>
      </c>
      <c r="I905" s="975"/>
      <c r="J905" s="562"/>
      <c r="K905" s="975" t="s">
        <v>1407</v>
      </c>
      <c r="L905" s="975"/>
      <c r="M905" s="562"/>
      <c r="N905" s="968" t="s">
        <v>28</v>
      </c>
      <c r="O905" s="968"/>
      <c r="P905" s="968"/>
      <c r="Q905" s="968"/>
      <c r="R905" s="968"/>
      <c r="S905" s="968"/>
      <c r="T905" s="968"/>
    </row>
    <row r="906" spans="1:20" ht="19.95" hidden="1" customHeight="1" x14ac:dyDescent="0.3">
      <c r="A906" s="262" t="s">
        <v>1242</v>
      </c>
      <c r="C906" s="228"/>
      <c r="D906" s="228"/>
      <c r="E906" s="561"/>
      <c r="F906" s="561"/>
      <c r="G906" s="561"/>
      <c r="H906" s="976" t="s">
        <v>94</v>
      </c>
      <c r="I906" s="976"/>
      <c r="J906" s="623"/>
      <c r="K906" s="976" t="s">
        <v>94</v>
      </c>
      <c r="L906" s="976"/>
      <c r="M906" s="623"/>
      <c r="N906" s="968" t="s">
        <v>1486</v>
      </c>
      <c r="O906" s="968"/>
      <c r="P906" s="968"/>
      <c r="Q906" s="968"/>
      <c r="R906" s="968"/>
      <c r="S906" s="968"/>
      <c r="T906" s="968"/>
    </row>
    <row r="907" spans="1:20" ht="19.95" hidden="1" customHeight="1" x14ac:dyDescent="0.3">
      <c r="A907" s="262" t="s">
        <v>1242</v>
      </c>
      <c r="C907" s="228"/>
      <c r="D907" s="228"/>
      <c r="E907" s="561"/>
      <c r="F907" s="561"/>
      <c r="G907" s="561"/>
      <c r="H907" s="976"/>
      <c r="I907" s="976"/>
      <c r="J907" s="623"/>
      <c r="K907" s="976"/>
      <c r="L907" s="976"/>
      <c r="M907" s="623"/>
      <c r="N907" s="968"/>
      <c r="O907" s="968"/>
      <c r="P907" s="968"/>
      <c r="Q907" s="968"/>
      <c r="R907" s="968"/>
      <c r="S907" s="968"/>
      <c r="T907" s="968"/>
    </row>
    <row r="908" spans="1:20" ht="19.95" hidden="1" customHeight="1" x14ac:dyDescent="0.3">
      <c r="A908" s="262" t="s">
        <v>1242</v>
      </c>
      <c r="C908" s="228"/>
      <c r="D908" s="228"/>
      <c r="E908" s="561"/>
      <c r="F908" s="561"/>
      <c r="G908" s="561"/>
      <c r="H908" s="261"/>
      <c r="I908" s="261"/>
      <c r="J908" s="261"/>
      <c r="K908" s="261"/>
      <c r="L908" s="261"/>
      <c r="M908" s="261"/>
      <c r="N908" s="260"/>
      <c r="O908" s="260"/>
      <c r="P908" s="260"/>
      <c r="Q908" s="260"/>
      <c r="R908" s="260"/>
      <c r="S908" s="260"/>
      <c r="T908" s="260"/>
    </row>
    <row r="909" spans="1:20" ht="19.95" hidden="1" customHeight="1" x14ac:dyDescent="0.3">
      <c r="A909" s="262" t="s">
        <v>1242</v>
      </c>
      <c r="C909" s="228"/>
      <c r="D909" s="228"/>
      <c r="E909" s="975" t="s">
        <v>1215</v>
      </c>
      <c r="F909" s="975"/>
      <c r="G909" s="975"/>
      <c r="H909" s="975" t="s">
        <v>1348</v>
      </c>
      <c r="I909" s="975"/>
      <c r="J909" s="975"/>
      <c r="K909" s="975"/>
      <c r="L909" s="975"/>
      <c r="M909" s="562"/>
      <c r="N909" s="977" t="s">
        <v>1219</v>
      </c>
      <c r="O909" s="968"/>
      <c r="P909" s="968"/>
      <c r="Q909" s="968"/>
      <c r="R909" s="968"/>
      <c r="S909" s="968"/>
      <c r="T909" s="968"/>
    </row>
    <row r="910" spans="1:20" ht="19.95" hidden="1" customHeight="1" x14ac:dyDescent="0.3">
      <c r="A910" s="262" t="s">
        <v>1290</v>
      </c>
      <c r="C910" s="228"/>
      <c r="D910" s="228"/>
      <c r="E910" s="975"/>
      <c r="F910" s="975"/>
      <c r="G910" s="975"/>
      <c r="H910" s="975"/>
      <c r="I910" s="975"/>
      <c r="J910" s="975"/>
      <c r="K910" s="975"/>
      <c r="L910" s="975"/>
      <c r="M910" s="562"/>
      <c r="N910" s="968"/>
      <c r="O910" s="968"/>
      <c r="P910" s="968"/>
      <c r="Q910" s="968"/>
      <c r="R910" s="968"/>
      <c r="S910" s="968"/>
      <c r="T910" s="968"/>
    </row>
    <row r="911" spans="1:20" ht="30" hidden="1" customHeight="1" x14ac:dyDescent="0.3">
      <c r="A911" s="262">
        <v>10</v>
      </c>
      <c r="C911" s="255">
        <v>451</v>
      </c>
      <c r="D911" s="256" t="s">
        <v>1090</v>
      </c>
      <c r="E911" s="978" t="s">
        <v>1091</v>
      </c>
      <c r="F911" s="979"/>
      <c r="G911" s="980"/>
      <c r="H911" s="546" t="s">
        <v>286</v>
      </c>
      <c r="I911" s="257">
        <v>4578026</v>
      </c>
      <c r="J911" s="606"/>
      <c r="K911" s="257">
        <v>1</v>
      </c>
      <c r="L911" s="257">
        <f t="shared" ref="L911:L933" si="102">+ROUND(I911*K911,2)</f>
        <v>4578026</v>
      </c>
      <c r="M911" s="603"/>
      <c r="N911" s="675">
        <f>+'Yeşil Defter'!K922</f>
        <v>0</v>
      </c>
      <c r="O911" s="675">
        <f>+'Yeşil Defter'!L922</f>
        <v>0</v>
      </c>
      <c r="P911" s="675">
        <f>+'Yeşil Defter'!M922</f>
        <v>0</v>
      </c>
      <c r="Q911" s="257"/>
      <c r="R911" s="606">
        <f t="shared" ref="R911:R933" si="103">+ROUND(K911*N911,2)</f>
        <v>0</v>
      </c>
      <c r="S911" s="247">
        <f t="shared" ref="S911:S951" si="104">+T911-R911</f>
        <v>0</v>
      </c>
      <c r="T911" s="248">
        <f t="shared" ref="T911:T933" si="105">+ROUND(K911*P911,2)</f>
        <v>0</v>
      </c>
    </row>
    <row r="912" spans="1:20" ht="30" hidden="1" customHeight="1" x14ac:dyDescent="0.3">
      <c r="A912" s="262">
        <v>10</v>
      </c>
      <c r="C912" s="244">
        <v>452</v>
      </c>
      <c r="D912" s="161" t="s">
        <v>1092</v>
      </c>
      <c r="E912" s="969" t="s">
        <v>1093</v>
      </c>
      <c r="F912" s="970"/>
      <c r="G912" s="971"/>
      <c r="H912" s="544" t="s">
        <v>286</v>
      </c>
      <c r="I912" s="212">
        <v>2080921</v>
      </c>
      <c r="J912" s="605"/>
      <c r="K912" s="212">
        <v>1</v>
      </c>
      <c r="L912" s="212">
        <f t="shared" si="102"/>
        <v>2080921</v>
      </c>
      <c r="M912" s="602"/>
      <c r="N912" s="675">
        <f>+'Yeşil Defter'!K923</f>
        <v>0</v>
      </c>
      <c r="O912" s="675">
        <f>+'Yeşil Defter'!L923</f>
        <v>0</v>
      </c>
      <c r="P912" s="675">
        <f>+'Yeşil Defter'!M923</f>
        <v>0</v>
      </c>
      <c r="Q912" s="212"/>
      <c r="R912" s="605">
        <f t="shared" si="103"/>
        <v>0</v>
      </c>
      <c r="S912" s="225">
        <f t="shared" si="104"/>
        <v>0</v>
      </c>
      <c r="T912" s="237">
        <f t="shared" si="105"/>
        <v>0</v>
      </c>
    </row>
    <row r="913" spans="1:20" ht="30" hidden="1" customHeight="1" x14ac:dyDescent="0.3">
      <c r="A913" s="262">
        <v>10</v>
      </c>
      <c r="C913" s="244">
        <v>453</v>
      </c>
      <c r="D913" s="161" t="s">
        <v>1094</v>
      </c>
      <c r="E913" s="969" t="s">
        <v>1095</v>
      </c>
      <c r="F913" s="970"/>
      <c r="G913" s="971"/>
      <c r="H913" s="544" t="s">
        <v>286</v>
      </c>
      <c r="I913" s="212">
        <v>46314363</v>
      </c>
      <c r="J913" s="605"/>
      <c r="K913" s="212">
        <v>1</v>
      </c>
      <c r="L913" s="212">
        <f t="shared" si="102"/>
        <v>46314363</v>
      </c>
      <c r="M913" s="602"/>
      <c r="N913" s="675">
        <f>+'Yeşil Defter'!K924</f>
        <v>0</v>
      </c>
      <c r="O913" s="675">
        <f>+'Yeşil Defter'!L924</f>
        <v>0</v>
      </c>
      <c r="P913" s="675">
        <f>+'Yeşil Defter'!M924</f>
        <v>0</v>
      </c>
      <c r="Q913" s="212"/>
      <c r="R913" s="605">
        <f t="shared" si="103"/>
        <v>0</v>
      </c>
      <c r="S913" s="225">
        <f t="shared" si="104"/>
        <v>0</v>
      </c>
      <c r="T913" s="237">
        <f t="shared" si="105"/>
        <v>0</v>
      </c>
    </row>
    <row r="914" spans="1:20" ht="30" hidden="1" customHeight="1" x14ac:dyDescent="0.3">
      <c r="A914" s="262">
        <v>10</v>
      </c>
      <c r="C914" s="244">
        <v>454</v>
      </c>
      <c r="D914" s="161" t="s">
        <v>1096</v>
      </c>
      <c r="E914" s="969" t="s">
        <v>1097</v>
      </c>
      <c r="F914" s="970"/>
      <c r="G914" s="971"/>
      <c r="H914" s="544" t="s">
        <v>286</v>
      </c>
      <c r="I914" s="212">
        <v>19421929</v>
      </c>
      <c r="J914" s="605"/>
      <c r="K914" s="212">
        <v>1</v>
      </c>
      <c r="L914" s="212">
        <f t="shared" si="102"/>
        <v>19421929</v>
      </c>
      <c r="M914" s="602"/>
      <c r="N914" s="675">
        <f>+'Yeşil Defter'!K925</f>
        <v>0</v>
      </c>
      <c r="O914" s="675">
        <f>+'Yeşil Defter'!L925</f>
        <v>0</v>
      </c>
      <c r="P914" s="675">
        <f>+'Yeşil Defter'!M925</f>
        <v>0</v>
      </c>
      <c r="Q914" s="212"/>
      <c r="R914" s="605">
        <f t="shared" si="103"/>
        <v>0</v>
      </c>
      <c r="S914" s="225">
        <f t="shared" si="104"/>
        <v>0</v>
      </c>
      <c r="T914" s="237">
        <f t="shared" si="105"/>
        <v>0</v>
      </c>
    </row>
    <row r="915" spans="1:20" ht="30" hidden="1" customHeight="1" x14ac:dyDescent="0.3">
      <c r="A915" s="262">
        <v>10</v>
      </c>
      <c r="C915" s="244">
        <v>455</v>
      </c>
      <c r="D915" s="161" t="s">
        <v>1098</v>
      </c>
      <c r="E915" s="969" t="s">
        <v>1099</v>
      </c>
      <c r="F915" s="970"/>
      <c r="G915" s="971"/>
      <c r="H915" s="544" t="s">
        <v>286</v>
      </c>
      <c r="I915" s="212">
        <v>904748</v>
      </c>
      <c r="J915" s="605"/>
      <c r="K915" s="212">
        <v>1</v>
      </c>
      <c r="L915" s="212">
        <f t="shared" si="102"/>
        <v>904748</v>
      </c>
      <c r="M915" s="602"/>
      <c r="N915" s="675">
        <f>+'Yeşil Defter'!K926</f>
        <v>0</v>
      </c>
      <c r="O915" s="675">
        <f>+'Yeşil Defter'!L926</f>
        <v>0</v>
      </c>
      <c r="P915" s="675">
        <f>+'Yeşil Defter'!M926</f>
        <v>0</v>
      </c>
      <c r="Q915" s="212"/>
      <c r="R915" s="605">
        <f t="shared" si="103"/>
        <v>0</v>
      </c>
      <c r="S915" s="225">
        <f t="shared" si="104"/>
        <v>0</v>
      </c>
      <c r="T915" s="237">
        <f t="shared" si="105"/>
        <v>0</v>
      </c>
    </row>
    <row r="916" spans="1:20" ht="30" hidden="1" customHeight="1" x14ac:dyDescent="0.3">
      <c r="A916" s="262">
        <v>10</v>
      </c>
      <c r="C916" s="244">
        <v>456</v>
      </c>
      <c r="D916" s="161" t="s">
        <v>1100</v>
      </c>
      <c r="E916" s="969" t="s">
        <v>1101</v>
      </c>
      <c r="F916" s="970"/>
      <c r="G916" s="971"/>
      <c r="H916" s="544" t="s">
        <v>202</v>
      </c>
      <c r="I916" s="212">
        <v>5127</v>
      </c>
      <c r="J916" s="605"/>
      <c r="K916" s="212">
        <v>5390</v>
      </c>
      <c r="L916" s="212">
        <f t="shared" si="102"/>
        <v>27634530</v>
      </c>
      <c r="M916" s="602"/>
      <c r="N916" s="675">
        <f>+'Yeşil Defter'!K927</f>
        <v>0</v>
      </c>
      <c r="O916" s="675">
        <f>+'Yeşil Defter'!L927</f>
        <v>0</v>
      </c>
      <c r="P916" s="675">
        <f>+'Yeşil Defter'!M927</f>
        <v>0</v>
      </c>
      <c r="Q916" s="212"/>
      <c r="R916" s="605">
        <f t="shared" si="103"/>
        <v>0</v>
      </c>
      <c r="S916" s="225">
        <f t="shared" si="104"/>
        <v>0</v>
      </c>
      <c r="T916" s="237">
        <f t="shared" si="105"/>
        <v>0</v>
      </c>
    </row>
    <row r="917" spans="1:20" ht="30" hidden="1" customHeight="1" x14ac:dyDescent="0.3">
      <c r="A917" s="262">
        <v>10</v>
      </c>
      <c r="C917" s="244">
        <v>457</v>
      </c>
      <c r="D917" s="161" t="s">
        <v>1102</v>
      </c>
      <c r="E917" s="969" t="s">
        <v>1103</v>
      </c>
      <c r="F917" s="970"/>
      <c r="G917" s="971"/>
      <c r="H917" s="544" t="s">
        <v>202</v>
      </c>
      <c r="I917" s="212">
        <v>5127</v>
      </c>
      <c r="J917" s="605"/>
      <c r="K917" s="212">
        <v>4660</v>
      </c>
      <c r="L917" s="212">
        <f t="shared" si="102"/>
        <v>23891820</v>
      </c>
      <c r="M917" s="602"/>
      <c r="N917" s="675">
        <f>+'Yeşil Defter'!K928</f>
        <v>0</v>
      </c>
      <c r="O917" s="675">
        <f>+'Yeşil Defter'!L928</f>
        <v>0</v>
      </c>
      <c r="P917" s="675">
        <f>+'Yeşil Defter'!M928</f>
        <v>0</v>
      </c>
      <c r="Q917" s="212"/>
      <c r="R917" s="605">
        <f t="shared" si="103"/>
        <v>0</v>
      </c>
      <c r="S917" s="225">
        <f t="shared" si="104"/>
        <v>0</v>
      </c>
      <c r="T917" s="237">
        <f t="shared" si="105"/>
        <v>0</v>
      </c>
    </row>
    <row r="918" spans="1:20" ht="30" hidden="1" customHeight="1" x14ac:dyDescent="0.3">
      <c r="A918" s="262">
        <v>10</v>
      </c>
      <c r="C918" s="244">
        <v>458</v>
      </c>
      <c r="D918" s="161" t="s">
        <v>1104</v>
      </c>
      <c r="E918" s="969" t="s">
        <v>1105</v>
      </c>
      <c r="F918" s="970"/>
      <c r="G918" s="971"/>
      <c r="H918" s="544" t="s">
        <v>202</v>
      </c>
      <c r="I918" s="212">
        <v>5127</v>
      </c>
      <c r="J918" s="605"/>
      <c r="K918" s="212">
        <v>3210</v>
      </c>
      <c r="L918" s="212">
        <f t="shared" si="102"/>
        <v>16457670</v>
      </c>
      <c r="M918" s="602"/>
      <c r="N918" s="675">
        <f>+'Yeşil Defter'!K929</f>
        <v>0</v>
      </c>
      <c r="O918" s="675">
        <f>+'Yeşil Defter'!L929</f>
        <v>0</v>
      </c>
      <c r="P918" s="675">
        <f>+'Yeşil Defter'!M929</f>
        <v>0</v>
      </c>
      <c r="Q918" s="212"/>
      <c r="R918" s="605">
        <f t="shared" si="103"/>
        <v>0</v>
      </c>
      <c r="S918" s="225">
        <f t="shared" si="104"/>
        <v>0</v>
      </c>
      <c r="T918" s="237">
        <f t="shared" si="105"/>
        <v>0</v>
      </c>
    </row>
    <row r="919" spans="1:20" ht="30" hidden="1" customHeight="1" x14ac:dyDescent="0.3">
      <c r="A919" s="262">
        <v>10</v>
      </c>
      <c r="C919" s="244">
        <v>459</v>
      </c>
      <c r="D919" s="161" t="s">
        <v>1106</v>
      </c>
      <c r="E919" s="969" t="s">
        <v>1107</v>
      </c>
      <c r="F919" s="970"/>
      <c r="G919" s="971"/>
      <c r="H919" s="544" t="s">
        <v>202</v>
      </c>
      <c r="I919" s="212">
        <v>5127</v>
      </c>
      <c r="J919" s="605"/>
      <c r="K919" s="212">
        <v>2630</v>
      </c>
      <c r="L919" s="212">
        <f t="shared" si="102"/>
        <v>13484010</v>
      </c>
      <c r="M919" s="602"/>
      <c r="N919" s="675">
        <f>+'Yeşil Defter'!K930</f>
        <v>0</v>
      </c>
      <c r="O919" s="675">
        <f>+'Yeşil Defter'!L930</f>
        <v>0</v>
      </c>
      <c r="P919" s="675">
        <f>+'Yeşil Defter'!M930</f>
        <v>0</v>
      </c>
      <c r="Q919" s="212"/>
      <c r="R919" s="605">
        <f t="shared" si="103"/>
        <v>0</v>
      </c>
      <c r="S919" s="225">
        <f t="shared" si="104"/>
        <v>0</v>
      </c>
      <c r="T919" s="237">
        <f t="shared" si="105"/>
        <v>0</v>
      </c>
    </row>
    <row r="920" spans="1:20" ht="30" hidden="1" customHeight="1" x14ac:dyDescent="0.3">
      <c r="A920" s="262">
        <v>10</v>
      </c>
      <c r="C920" s="244">
        <v>460</v>
      </c>
      <c r="D920" s="161" t="s">
        <v>1108</v>
      </c>
      <c r="E920" s="969" t="s">
        <v>1109</v>
      </c>
      <c r="F920" s="970"/>
      <c r="G920" s="971"/>
      <c r="H920" s="544" t="s">
        <v>202</v>
      </c>
      <c r="I920" s="212">
        <v>5127</v>
      </c>
      <c r="J920" s="605"/>
      <c r="K920" s="212">
        <v>1730</v>
      </c>
      <c r="L920" s="212">
        <f t="shared" si="102"/>
        <v>8869710</v>
      </c>
      <c r="M920" s="602"/>
      <c r="N920" s="675">
        <f>+'Yeşil Defter'!K931</f>
        <v>0</v>
      </c>
      <c r="O920" s="675">
        <f>+'Yeşil Defter'!L931</f>
        <v>0</v>
      </c>
      <c r="P920" s="675">
        <f>+'Yeşil Defter'!M931</f>
        <v>0</v>
      </c>
      <c r="Q920" s="212"/>
      <c r="R920" s="605">
        <f t="shared" si="103"/>
        <v>0</v>
      </c>
      <c r="S920" s="225">
        <f t="shared" si="104"/>
        <v>0</v>
      </c>
      <c r="T920" s="237">
        <f t="shared" si="105"/>
        <v>0</v>
      </c>
    </row>
    <row r="921" spans="1:20" ht="30" hidden="1" customHeight="1" x14ac:dyDescent="0.3">
      <c r="A921" s="262">
        <v>10</v>
      </c>
      <c r="C921" s="244">
        <v>461</v>
      </c>
      <c r="D921" s="161" t="s">
        <v>1110</v>
      </c>
      <c r="E921" s="969" t="s">
        <v>1111</v>
      </c>
      <c r="F921" s="970"/>
      <c r="G921" s="971"/>
      <c r="H921" s="544" t="s">
        <v>202</v>
      </c>
      <c r="I921" s="212">
        <v>5127</v>
      </c>
      <c r="J921" s="605"/>
      <c r="K921" s="212">
        <v>3180</v>
      </c>
      <c r="L921" s="212">
        <f t="shared" si="102"/>
        <v>16303860</v>
      </c>
      <c r="M921" s="602"/>
      <c r="N921" s="675">
        <f>+'Yeşil Defter'!K932</f>
        <v>0</v>
      </c>
      <c r="O921" s="675">
        <f>+'Yeşil Defter'!L932</f>
        <v>0</v>
      </c>
      <c r="P921" s="675">
        <f>+'Yeşil Defter'!M932</f>
        <v>0</v>
      </c>
      <c r="Q921" s="212"/>
      <c r="R921" s="605">
        <f t="shared" si="103"/>
        <v>0</v>
      </c>
      <c r="S921" s="225">
        <f t="shared" si="104"/>
        <v>0</v>
      </c>
      <c r="T921" s="237">
        <f t="shared" si="105"/>
        <v>0</v>
      </c>
    </row>
    <row r="922" spans="1:20" ht="30" hidden="1" customHeight="1" x14ac:dyDescent="0.3">
      <c r="A922" s="262">
        <v>10</v>
      </c>
      <c r="C922" s="244">
        <v>462</v>
      </c>
      <c r="D922" s="161" t="s">
        <v>1112</v>
      </c>
      <c r="E922" s="969" t="s">
        <v>1113</v>
      </c>
      <c r="F922" s="970"/>
      <c r="G922" s="971"/>
      <c r="H922" s="544" t="s">
        <v>202</v>
      </c>
      <c r="I922" s="212">
        <v>5127</v>
      </c>
      <c r="J922" s="605"/>
      <c r="K922" s="212">
        <v>2695</v>
      </c>
      <c r="L922" s="212">
        <f t="shared" si="102"/>
        <v>13817265</v>
      </c>
      <c r="M922" s="602"/>
      <c r="N922" s="675">
        <f>+'Yeşil Defter'!K991</f>
        <v>0</v>
      </c>
      <c r="O922" s="675">
        <f>+'Yeşil Defter'!L991</f>
        <v>0</v>
      </c>
      <c r="P922" s="675">
        <f>+'Yeşil Defter'!M991</f>
        <v>0</v>
      </c>
      <c r="Q922" s="212"/>
      <c r="R922" s="605">
        <f t="shared" si="103"/>
        <v>0</v>
      </c>
      <c r="S922" s="225">
        <f t="shared" si="104"/>
        <v>0</v>
      </c>
      <c r="T922" s="237">
        <f t="shared" si="105"/>
        <v>0</v>
      </c>
    </row>
    <row r="923" spans="1:20" ht="30" hidden="1" customHeight="1" x14ac:dyDescent="0.3">
      <c r="A923" s="262">
        <v>10</v>
      </c>
      <c r="C923" s="244">
        <v>463</v>
      </c>
      <c r="D923" s="161" t="s">
        <v>1114</v>
      </c>
      <c r="E923" s="969" t="s">
        <v>1115</v>
      </c>
      <c r="F923" s="970"/>
      <c r="G923" s="971"/>
      <c r="H923" s="544" t="s">
        <v>202</v>
      </c>
      <c r="I923" s="212">
        <v>5127</v>
      </c>
      <c r="J923" s="605"/>
      <c r="K923" s="212">
        <v>520</v>
      </c>
      <c r="L923" s="212">
        <f t="shared" si="102"/>
        <v>2666040</v>
      </c>
      <c r="M923" s="602"/>
      <c r="N923" s="675">
        <f>+'Yeşil Defter'!K992</f>
        <v>0</v>
      </c>
      <c r="O923" s="675">
        <f>+'Yeşil Defter'!L992</f>
        <v>0</v>
      </c>
      <c r="P923" s="675">
        <f>+'Yeşil Defter'!M992</f>
        <v>0</v>
      </c>
      <c r="Q923" s="212"/>
      <c r="R923" s="605">
        <f t="shared" si="103"/>
        <v>0</v>
      </c>
      <c r="S923" s="225">
        <f t="shared" si="104"/>
        <v>0</v>
      </c>
      <c r="T923" s="237">
        <f t="shared" si="105"/>
        <v>0</v>
      </c>
    </row>
    <row r="924" spans="1:20" ht="30" hidden="1" customHeight="1" x14ac:dyDescent="0.3">
      <c r="A924" s="262">
        <v>10</v>
      </c>
      <c r="C924" s="244">
        <v>464</v>
      </c>
      <c r="D924" s="161" t="s">
        <v>1116</v>
      </c>
      <c r="E924" s="969" t="s">
        <v>1117</v>
      </c>
      <c r="F924" s="970"/>
      <c r="G924" s="971"/>
      <c r="H924" s="544" t="s">
        <v>202</v>
      </c>
      <c r="I924" s="212">
        <v>5127</v>
      </c>
      <c r="J924" s="605"/>
      <c r="K924" s="212">
        <v>3040</v>
      </c>
      <c r="L924" s="212">
        <f t="shared" si="102"/>
        <v>15586080</v>
      </c>
      <c r="M924" s="602"/>
      <c r="N924" s="675">
        <f>+'Yeşil Defter'!K993</f>
        <v>0</v>
      </c>
      <c r="O924" s="675">
        <f>+'Yeşil Defter'!L993</f>
        <v>0</v>
      </c>
      <c r="P924" s="675">
        <f>+'Yeşil Defter'!M993</f>
        <v>0</v>
      </c>
      <c r="Q924" s="212"/>
      <c r="R924" s="605">
        <f t="shared" si="103"/>
        <v>0</v>
      </c>
      <c r="S924" s="225">
        <f t="shared" si="104"/>
        <v>0</v>
      </c>
      <c r="T924" s="237">
        <f t="shared" si="105"/>
        <v>0</v>
      </c>
    </row>
    <row r="925" spans="1:20" ht="30" hidden="1" customHeight="1" x14ac:dyDescent="0.3">
      <c r="A925" s="262">
        <v>10</v>
      </c>
      <c r="C925" s="244">
        <v>465</v>
      </c>
      <c r="D925" s="161" t="s">
        <v>1118</v>
      </c>
      <c r="E925" s="969" t="s">
        <v>1119</v>
      </c>
      <c r="F925" s="970"/>
      <c r="G925" s="971"/>
      <c r="H925" s="544" t="s">
        <v>202</v>
      </c>
      <c r="I925" s="212">
        <v>5127</v>
      </c>
      <c r="J925" s="605"/>
      <c r="K925" s="212">
        <v>1780</v>
      </c>
      <c r="L925" s="212">
        <f t="shared" si="102"/>
        <v>9126060</v>
      </c>
      <c r="M925" s="602"/>
      <c r="N925" s="675">
        <f>+'Yeşil Defter'!K994</f>
        <v>0</v>
      </c>
      <c r="O925" s="675">
        <f>+'Yeşil Defter'!L994</f>
        <v>0</v>
      </c>
      <c r="P925" s="675">
        <f>+'Yeşil Defter'!M994</f>
        <v>0</v>
      </c>
      <c r="Q925" s="212"/>
      <c r="R925" s="605">
        <f t="shared" si="103"/>
        <v>0</v>
      </c>
      <c r="S925" s="225">
        <f t="shared" si="104"/>
        <v>0</v>
      </c>
      <c r="T925" s="237">
        <f t="shared" si="105"/>
        <v>0</v>
      </c>
    </row>
    <row r="926" spans="1:20" ht="30" hidden="1" customHeight="1" x14ac:dyDescent="0.3">
      <c r="A926" s="262">
        <v>10</v>
      </c>
      <c r="C926" s="244">
        <v>466</v>
      </c>
      <c r="D926" s="161" t="s">
        <v>1120</v>
      </c>
      <c r="E926" s="969" t="s">
        <v>1121</v>
      </c>
      <c r="F926" s="970"/>
      <c r="G926" s="971"/>
      <c r="H926" s="544" t="s">
        <v>286</v>
      </c>
      <c r="I926" s="212">
        <v>3124595</v>
      </c>
      <c r="J926" s="605"/>
      <c r="K926" s="212">
        <v>1</v>
      </c>
      <c r="L926" s="212">
        <f t="shared" si="102"/>
        <v>3124595</v>
      </c>
      <c r="M926" s="602"/>
      <c r="N926" s="675">
        <f>+'Yeşil Defter'!K995</f>
        <v>0</v>
      </c>
      <c r="O926" s="675">
        <f>+'Yeşil Defter'!L995</f>
        <v>0</v>
      </c>
      <c r="P926" s="675">
        <f>+'Yeşil Defter'!M995</f>
        <v>0</v>
      </c>
      <c r="Q926" s="212"/>
      <c r="R926" s="605">
        <f t="shared" si="103"/>
        <v>0</v>
      </c>
      <c r="S926" s="225">
        <f t="shared" si="104"/>
        <v>0</v>
      </c>
      <c r="T926" s="237">
        <f t="shared" si="105"/>
        <v>0</v>
      </c>
    </row>
    <row r="927" spans="1:20" ht="30" hidden="1" customHeight="1" x14ac:dyDescent="0.3">
      <c r="A927" s="262">
        <v>10</v>
      </c>
      <c r="C927" s="244">
        <v>467</v>
      </c>
      <c r="D927" s="161" t="s">
        <v>1122</v>
      </c>
      <c r="E927" s="969" t="s">
        <v>1123</v>
      </c>
      <c r="F927" s="970"/>
      <c r="G927" s="971"/>
      <c r="H927" s="544" t="s">
        <v>286</v>
      </c>
      <c r="I927" s="212">
        <v>3124595</v>
      </c>
      <c r="J927" s="605"/>
      <c r="K927" s="212">
        <v>1</v>
      </c>
      <c r="L927" s="212">
        <f t="shared" si="102"/>
        <v>3124595</v>
      </c>
      <c r="M927" s="602"/>
      <c r="N927" s="675">
        <f>+'Yeşil Defter'!K996</f>
        <v>0</v>
      </c>
      <c r="O927" s="675">
        <f>+'Yeşil Defter'!L996</f>
        <v>0</v>
      </c>
      <c r="P927" s="675">
        <f>+'Yeşil Defter'!M996</f>
        <v>0</v>
      </c>
      <c r="Q927" s="212"/>
      <c r="R927" s="605">
        <f t="shared" si="103"/>
        <v>0</v>
      </c>
      <c r="S927" s="225">
        <f t="shared" si="104"/>
        <v>0</v>
      </c>
      <c r="T927" s="237">
        <f t="shared" si="105"/>
        <v>0</v>
      </c>
    </row>
    <row r="928" spans="1:20" ht="30" hidden="1" customHeight="1" x14ac:dyDescent="0.3">
      <c r="A928" s="262">
        <v>10</v>
      </c>
      <c r="C928" s="244">
        <v>468</v>
      </c>
      <c r="D928" s="161" t="s">
        <v>1124</v>
      </c>
      <c r="E928" s="969" t="s">
        <v>1125</v>
      </c>
      <c r="F928" s="970"/>
      <c r="G928" s="971"/>
      <c r="H928" s="544" t="s">
        <v>286</v>
      </c>
      <c r="I928" s="212">
        <v>3124595</v>
      </c>
      <c r="J928" s="605"/>
      <c r="K928" s="212">
        <v>1</v>
      </c>
      <c r="L928" s="212">
        <f t="shared" si="102"/>
        <v>3124595</v>
      </c>
      <c r="M928" s="602"/>
      <c r="N928" s="675">
        <f>+'Yeşil Defter'!K997</f>
        <v>0</v>
      </c>
      <c r="O928" s="675">
        <f>+'Yeşil Defter'!L997</f>
        <v>0</v>
      </c>
      <c r="P928" s="675">
        <f>+'Yeşil Defter'!M997</f>
        <v>0</v>
      </c>
      <c r="Q928" s="212"/>
      <c r="R928" s="605">
        <f t="shared" si="103"/>
        <v>0</v>
      </c>
      <c r="S928" s="225">
        <f t="shared" si="104"/>
        <v>0</v>
      </c>
      <c r="T928" s="237">
        <f t="shared" si="105"/>
        <v>0</v>
      </c>
    </row>
    <row r="929" spans="1:20" ht="30" hidden="1" customHeight="1" x14ac:dyDescent="0.3">
      <c r="A929" s="262">
        <v>10</v>
      </c>
      <c r="C929" s="244">
        <v>469</v>
      </c>
      <c r="D929" s="161" t="s">
        <v>1126</v>
      </c>
      <c r="E929" s="969" t="s">
        <v>1127</v>
      </c>
      <c r="F929" s="970"/>
      <c r="G929" s="971"/>
      <c r="H929" s="544" t="s">
        <v>286</v>
      </c>
      <c r="I929" s="212">
        <v>3124595</v>
      </c>
      <c r="J929" s="605"/>
      <c r="K929" s="212">
        <v>1</v>
      </c>
      <c r="L929" s="212">
        <f t="shared" si="102"/>
        <v>3124595</v>
      </c>
      <c r="M929" s="602"/>
      <c r="N929" s="675">
        <f>+'Yeşil Defter'!K998</f>
        <v>0</v>
      </c>
      <c r="O929" s="675">
        <f>+'Yeşil Defter'!L998</f>
        <v>0</v>
      </c>
      <c r="P929" s="675">
        <f>+'Yeşil Defter'!M998</f>
        <v>0</v>
      </c>
      <c r="Q929" s="212"/>
      <c r="R929" s="605">
        <f t="shared" si="103"/>
        <v>0</v>
      </c>
      <c r="S929" s="225">
        <f t="shared" si="104"/>
        <v>0</v>
      </c>
      <c r="T929" s="237">
        <f t="shared" si="105"/>
        <v>0</v>
      </c>
    </row>
    <row r="930" spans="1:20" ht="30" hidden="1" customHeight="1" x14ac:dyDescent="0.3">
      <c r="A930" s="262">
        <v>10</v>
      </c>
      <c r="C930" s="244">
        <v>470</v>
      </c>
      <c r="D930" s="161" t="s">
        <v>1128</v>
      </c>
      <c r="E930" s="969" t="s">
        <v>1129</v>
      </c>
      <c r="F930" s="970"/>
      <c r="G930" s="971"/>
      <c r="H930" s="544" t="s">
        <v>286</v>
      </c>
      <c r="I930" s="212">
        <v>3124595</v>
      </c>
      <c r="J930" s="605"/>
      <c r="K930" s="212">
        <v>1</v>
      </c>
      <c r="L930" s="212">
        <f t="shared" si="102"/>
        <v>3124595</v>
      </c>
      <c r="M930" s="602"/>
      <c r="N930" s="675">
        <f>+'Yeşil Defter'!K999</f>
        <v>0</v>
      </c>
      <c r="O930" s="675">
        <f>+'Yeşil Defter'!L999</f>
        <v>0</v>
      </c>
      <c r="P930" s="675">
        <f>+'Yeşil Defter'!M999</f>
        <v>0</v>
      </c>
      <c r="Q930" s="212"/>
      <c r="R930" s="605">
        <f t="shared" si="103"/>
        <v>0</v>
      </c>
      <c r="S930" s="225">
        <f t="shared" si="104"/>
        <v>0</v>
      </c>
      <c r="T930" s="237">
        <f t="shared" si="105"/>
        <v>0</v>
      </c>
    </row>
    <row r="931" spans="1:20" ht="30" hidden="1" customHeight="1" x14ac:dyDescent="0.3">
      <c r="A931" s="262">
        <v>10</v>
      </c>
      <c r="C931" s="244">
        <v>471</v>
      </c>
      <c r="D931" s="161" t="s">
        <v>1130</v>
      </c>
      <c r="E931" s="969" t="s">
        <v>1131</v>
      </c>
      <c r="F931" s="970"/>
      <c r="G931" s="971"/>
      <c r="H931" s="544" t="s">
        <v>286</v>
      </c>
      <c r="I931" s="212">
        <v>3124595</v>
      </c>
      <c r="J931" s="605"/>
      <c r="K931" s="212">
        <v>1</v>
      </c>
      <c r="L931" s="212">
        <f t="shared" si="102"/>
        <v>3124595</v>
      </c>
      <c r="M931" s="602"/>
      <c r="N931" s="675">
        <f>+'Yeşil Defter'!K1000</f>
        <v>0</v>
      </c>
      <c r="O931" s="675">
        <f>+'Yeşil Defter'!L1000</f>
        <v>0</v>
      </c>
      <c r="P931" s="675">
        <f>+'Yeşil Defter'!M1000</f>
        <v>0</v>
      </c>
      <c r="Q931" s="212"/>
      <c r="R931" s="605">
        <f t="shared" si="103"/>
        <v>0</v>
      </c>
      <c r="S931" s="225">
        <f t="shared" si="104"/>
        <v>0</v>
      </c>
      <c r="T931" s="237">
        <f t="shared" si="105"/>
        <v>0</v>
      </c>
    </row>
    <row r="932" spans="1:20" ht="30" hidden="1" customHeight="1" x14ac:dyDescent="0.3">
      <c r="A932" s="262">
        <v>10</v>
      </c>
      <c r="C932" s="244">
        <v>472</v>
      </c>
      <c r="D932" s="161" t="s">
        <v>1132</v>
      </c>
      <c r="E932" s="969" t="s">
        <v>1133</v>
      </c>
      <c r="F932" s="970"/>
      <c r="G932" s="971"/>
      <c r="H932" s="544" t="s">
        <v>286</v>
      </c>
      <c r="I932" s="212">
        <v>3124595</v>
      </c>
      <c r="J932" s="605"/>
      <c r="K932" s="212">
        <v>1</v>
      </c>
      <c r="L932" s="212">
        <f t="shared" si="102"/>
        <v>3124595</v>
      </c>
      <c r="M932" s="602"/>
      <c r="N932" s="675">
        <f>+'Yeşil Defter'!K1001</f>
        <v>0</v>
      </c>
      <c r="O932" s="675">
        <f>+'Yeşil Defter'!L1001</f>
        <v>0</v>
      </c>
      <c r="P932" s="675">
        <f>+'Yeşil Defter'!M1001</f>
        <v>0</v>
      </c>
      <c r="Q932" s="212"/>
      <c r="R932" s="605">
        <f t="shared" si="103"/>
        <v>0</v>
      </c>
      <c r="S932" s="225">
        <f t="shared" si="104"/>
        <v>0</v>
      </c>
      <c r="T932" s="237">
        <f t="shared" si="105"/>
        <v>0</v>
      </c>
    </row>
    <row r="933" spans="1:20" ht="30" hidden="1" customHeight="1" x14ac:dyDescent="0.3">
      <c r="A933" s="262">
        <v>10</v>
      </c>
      <c r="C933" s="244">
        <v>473</v>
      </c>
      <c r="D933" s="161" t="s">
        <v>1134</v>
      </c>
      <c r="E933" s="969" t="s">
        <v>1135</v>
      </c>
      <c r="F933" s="970"/>
      <c r="G933" s="971"/>
      <c r="H933" s="544" t="s">
        <v>286</v>
      </c>
      <c r="I933" s="212">
        <v>3124595</v>
      </c>
      <c r="J933" s="605"/>
      <c r="K933" s="212">
        <v>1</v>
      </c>
      <c r="L933" s="212">
        <f t="shared" si="102"/>
        <v>3124595</v>
      </c>
      <c r="M933" s="602"/>
      <c r="N933" s="675">
        <f>+'Yeşil Defter'!K1002</f>
        <v>0</v>
      </c>
      <c r="O933" s="675">
        <f>+'Yeşil Defter'!L1002</f>
        <v>0</v>
      </c>
      <c r="P933" s="675">
        <f>+'Yeşil Defter'!M1002</f>
        <v>0</v>
      </c>
      <c r="Q933" s="212"/>
      <c r="R933" s="605">
        <f t="shared" si="103"/>
        <v>0</v>
      </c>
      <c r="S933" s="225">
        <f t="shared" si="104"/>
        <v>0</v>
      </c>
      <c r="T933" s="237">
        <f t="shared" si="105"/>
        <v>0</v>
      </c>
    </row>
    <row r="934" spans="1:20" ht="40.049999999999997" hidden="1" customHeight="1" x14ac:dyDescent="0.3">
      <c r="A934" s="262" t="s">
        <v>1242</v>
      </c>
      <c r="C934" s="258"/>
      <c r="D934" s="258"/>
      <c r="E934" s="972" t="s">
        <v>33</v>
      </c>
      <c r="F934" s="972"/>
      <c r="G934" s="972"/>
      <c r="H934" s="973" t="s">
        <v>29</v>
      </c>
      <c r="I934" s="973"/>
      <c r="J934" s="973"/>
      <c r="K934" s="973"/>
      <c r="L934" s="973"/>
      <c r="M934" s="549"/>
      <c r="N934" s="973" t="s">
        <v>22</v>
      </c>
      <c r="O934" s="973"/>
      <c r="P934" s="973"/>
      <c r="Q934" s="973"/>
      <c r="R934" s="973"/>
      <c r="S934" s="973"/>
      <c r="T934" s="973"/>
    </row>
    <row r="935" spans="1:20" ht="19.95" hidden="1" customHeight="1" x14ac:dyDescent="0.3">
      <c r="A935" s="262" t="s">
        <v>1242</v>
      </c>
      <c r="D935" s="28"/>
      <c r="E935" s="974" t="s">
        <v>1214</v>
      </c>
      <c r="F935" s="974"/>
      <c r="G935" s="974"/>
      <c r="H935" s="975" t="s">
        <v>38</v>
      </c>
      <c r="I935" s="975"/>
      <c r="J935" s="975"/>
      <c r="K935" s="975"/>
      <c r="L935" s="975"/>
      <c r="M935" s="562"/>
      <c r="N935" s="975" t="s">
        <v>1437</v>
      </c>
      <c r="O935" s="975"/>
      <c r="P935" s="975"/>
      <c r="Q935" s="975"/>
      <c r="R935" s="975"/>
      <c r="S935" s="975"/>
      <c r="T935" s="975"/>
    </row>
    <row r="936" spans="1:20" ht="19.95" hidden="1" customHeight="1" x14ac:dyDescent="0.3">
      <c r="A936" s="262" t="s">
        <v>1242</v>
      </c>
      <c r="C936" s="228"/>
      <c r="D936" s="228"/>
      <c r="E936" s="561"/>
      <c r="F936" s="561"/>
      <c r="G936" s="561"/>
      <c r="H936" s="228"/>
      <c r="I936" s="260"/>
      <c r="J936" s="260"/>
      <c r="K936" s="260"/>
      <c r="L936" s="260"/>
      <c r="M936" s="260"/>
      <c r="N936" s="975"/>
      <c r="O936" s="975"/>
      <c r="P936" s="975"/>
      <c r="Q936" s="975"/>
      <c r="R936" s="975"/>
      <c r="S936" s="975"/>
      <c r="T936" s="975"/>
    </row>
    <row r="937" spans="1:20" ht="19.95" hidden="1" customHeight="1" x14ac:dyDescent="0.3">
      <c r="A937" s="262" t="s">
        <v>1242</v>
      </c>
      <c r="C937" s="228"/>
      <c r="D937" s="228"/>
      <c r="E937" s="561"/>
      <c r="F937" s="561"/>
      <c r="G937" s="561"/>
      <c r="H937" s="228"/>
      <c r="I937" s="260"/>
      <c r="J937" s="260"/>
      <c r="K937" s="260"/>
      <c r="L937" s="260"/>
      <c r="M937" s="260"/>
      <c r="N937" s="975"/>
      <c r="O937" s="975"/>
      <c r="P937" s="975"/>
      <c r="Q937" s="975"/>
      <c r="R937" s="975"/>
      <c r="S937" s="975"/>
      <c r="T937" s="975"/>
    </row>
    <row r="938" spans="1:20" ht="19.95" hidden="1" customHeight="1" x14ac:dyDescent="0.3">
      <c r="A938" s="262" t="s">
        <v>1242</v>
      </c>
      <c r="C938" s="228"/>
      <c r="D938" s="228"/>
      <c r="E938" s="561"/>
      <c r="F938" s="561"/>
      <c r="G938" s="561"/>
      <c r="H938" s="261"/>
      <c r="I938" s="261"/>
      <c r="J938" s="261"/>
      <c r="K938" s="261"/>
      <c r="L938" s="261"/>
      <c r="M938" s="261"/>
      <c r="N938" s="260"/>
      <c r="O938" s="260"/>
      <c r="P938" s="260"/>
      <c r="Q938" s="260"/>
      <c r="R938" s="260"/>
      <c r="S938" s="260"/>
      <c r="T938" s="260"/>
    </row>
    <row r="939" spans="1:20" ht="19.95" hidden="1" customHeight="1" x14ac:dyDescent="0.3">
      <c r="A939" s="262" t="s">
        <v>1242</v>
      </c>
      <c r="C939" s="228"/>
      <c r="D939" s="228"/>
      <c r="E939" s="561"/>
      <c r="F939" s="561"/>
      <c r="G939" s="561"/>
      <c r="H939" s="975" t="s">
        <v>32</v>
      </c>
      <c r="I939" s="975"/>
      <c r="J939" s="562"/>
      <c r="K939" s="975" t="s">
        <v>1407</v>
      </c>
      <c r="L939" s="975"/>
      <c r="M939" s="562"/>
      <c r="N939" s="968" t="s">
        <v>28</v>
      </c>
      <c r="O939" s="968"/>
      <c r="P939" s="968"/>
      <c r="Q939" s="968"/>
      <c r="R939" s="968"/>
      <c r="S939" s="968"/>
      <c r="T939" s="968"/>
    </row>
    <row r="940" spans="1:20" ht="19.95" hidden="1" customHeight="1" x14ac:dyDescent="0.3">
      <c r="A940" s="262" t="s">
        <v>1242</v>
      </c>
      <c r="C940" s="228"/>
      <c r="D940" s="228"/>
      <c r="E940" s="561"/>
      <c r="F940" s="561"/>
      <c r="G940" s="561"/>
      <c r="H940" s="976" t="s">
        <v>94</v>
      </c>
      <c r="I940" s="976"/>
      <c r="J940" s="623"/>
      <c r="K940" s="976" t="s">
        <v>94</v>
      </c>
      <c r="L940" s="976"/>
      <c r="M940" s="623"/>
      <c r="N940" s="968" t="s">
        <v>1486</v>
      </c>
      <c r="O940" s="968"/>
      <c r="P940" s="968"/>
      <c r="Q940" s="968"/>
      <c r="R940" s="968"/>
      <c r="S940" s="968"/>
      <c r="T940" s="968"/>
    </row>
    <row r="941" spans="1:20" ht="19.95" hidden="1" customHeight="1" x14ac:dyDescent="0.3">
      <c r="A941" s="262" t="s">
        <v>1242</v>
      </c>
      <c r="C941" s="228"/>
      <c r="D941" s="228"/>
      <c r="E941" s="561"/>
      <c r="F941" s="561"/>
      <c r="G941" s="561"/>
      <c r="H941" s="976"/>
      <c r="I941" s="976"/>
      <c r="J941" s="623"/>
      <c r="K941" s="976"/>
      <c r="L941" s="976"/>
      <c r="M941" s="623"/>
      <c r="N941" s="968"/>
      <c r="O941" s="968"/>
      <c r="P941" s="968"/>
      <c r="Q941" s="968"/>
      <c r="R941" s="968"/>
      <c r="S941" s="968"/>
      <c r="T941" s="968"/>
    </row>
    <row r="942" spans="1:20" ht="19.95" hidden="1" customHeight="1" x14ac:dyDescent="0.3">
      <c r="A942" s="262" t="s">
        <v>1242</v>
      </c>
      <c r="C942" s="228"/>
      <c r="D942" s="228"/>
      <c r="E942" s="561"/>
      <c r="F942" s="561"/>
      <c r="G942" s="561"/>
      <c r="H942" s="261"/>
      <c r="I942" s="261"/>
      <c r="J942" s="261"/>
      <c r="K942" s="261"/>
      <c r="L942" s="261"/>
      <c r="M942" s="261"/>
      <c r="N942" s="260"/>
      <c r="O942" s="260"/>
      <c r="P942" s="260"/>
      <c r="Q942" s="260"/>
      <c r="R942" s="260"/>
      <c r="S942" s="260"/>
      <c r="T942" s="260"/>
    </row>
    <row r="943" spans="1:20" ht="19.95" hidden="1" customHeight="1" x14ac:dyDescent="0.3">
      <c r="A943" s="262" t="s">
        <v>1242</v>
      </c>
      <c r="C943" s="228"/>
      <c r="D943" s="228"/>
      <c r="E943" s="975" t="s">
        <v>1215</v>
      </c>
      <c r="F943" s="975"/>
      <c r="G943" s="975"/>
      <c r="H943" s="975" t="s">
        <v>1348</v>
      </c>
      <c r="I943" s="975"/>
      <c r="J943" s="975"/>
      <c r="K943" s="975"/>
      <c r="L943" s="975"/>
      <c r="M943" s="562"/>
      <c r="N943" s="977" t="s">
        <v>1219</v>
      </c>
      <c r="O943" s="968"/>
      <c r="P943" s="968"/>
      <c r="Q943" s="968"/>
      <c r="R943" s="968"/>
      <c r="S943" s="968"/>
      <c r="T943" s="968"/>
    </row>
    <row r="944" spans="1:20" ht="19.95" hidden="1" customHeight="1" x14ac:dyDescent="0.3">
      <c r="A944" s="262" t="s">
        <v>1290</v>
      </c>
      <c r="C944" s="228"/>
      <c r="D944" s="228"/>
      <c r="E944" s="975"/>
      <c r="F944" s="975"/>
      <c r="G944" s="975"/>
      <c r="H944" s="975"/>
      <c r="I944" s="975"/>
      <c r="J944" s="975"/>
      <c r="K944" s="975"/>
      <c r="L944" s="975"/>
      <c r="M944" s="562"/>
      <c r="N944" s="968"/>
      <c r="O944" s="968"/>
      <c r="P944" s="968"/>
      <c r="Q944" s="968"/>
      <c r="R944" s="968"/>
      <c r="S944" s="968"/>
      <c r="T944" s="968"/>
    </row>
    <row r="945" spans="1:20" ht="30" hidden="1" customHeight="1" x14ac:dyDescent="0.3">
      <c r="A945" s="262">
        <v>10</v>
      </c>
      <c r="C945" s="255">
        <v>474</v>
      </c>
      <c r="D945" s="256" t="s">
        <v>1136</v>
      </c>
      <c r="E945" s="978" t="s">
        <v>1137</v>
      </c>
      <c r="F945" s="979"/>
      <c r="G945" s="980"/>
      <c r="H945" s="546" t="s">
        <v>286</v>
      </c>
      <c r="I945" s="257">
        <v>3124595</v>
      </c>
      <c r="J945" s="606"/>
      <c r="K945" s="257">
        <v>1</v>
      </c>
      <c r="L945" s="257">
        <f t="shared" ref="L945:L951" si="106">+ROUND(I945*K945,2)</f>
        <v>3124595</v>
      </c>
      <c r="M945" s="603"/>
      <c r="N945" s="675">
        <f>+'Yeşil Defter'!K1003</f>
        <v>0</v>
      </c>
      <c r="O945" s="675">
        <f>+'Yeşil Defter'!L1003</f>
        <v>0</v>
      </c>
      <c r="P945" s="675">
        <f>+'Yeşil Defter'!M1003</f>
        <v>0</v>
      </c>
      <c r="Q945" s="257"/>
      <c r="R945" s="606">
        <f t="shared" ref="R945:R951" si="107">+ROUND(K945*N945,2)</f>
        <v>0</v>
      </c>
      <c r="S945" s="247">
        <f t="shared" si="104"/>
        <v>0</v>
      </c>
      <c r="T945" s="248">
        <f t="shared" ref="T945:T951" si="108">+ROUND(K945*P945,2)</f>
        <v>0</v>
      </c>
    </row>
    <row r="946" spans="1:20" ht="30" hidden="1" customHeight="1" x14ac:dyDescent="0.3">
      <c r="A946" s="262">
        <v>10</v>
      </c>
      <c r="C946" s="244">
        <v>475</v>
      </c>
      <c r="D946" s="161" t="s">
        <v>1138</v>
      </c>
      <c r="E946" s="969" t="s">
        <v>1139</v>
      </c>
      <c r="F946" s="970"/>
      <c r="G946" s="971"/>
      <c r="H946" s="544" t="s">
        <v>286</v>
      </c>
      <c r="I946" s="212">
        <v>3124595</v>
      </c>
      <c r="J946" s="605"/>
      <c r="K946" s="212">
        <v>1</v>
      </c>
      <c r="L946" s="212">
        <f t="shared" si="106"/>
        <v>3124595</v>
      </c>
      <c r="M946" s="602"/>
      <c r="N946" s="675">
        <f>+'Yeşil Defter'!K1004</f>
        <v>0</v>
      </c>
      <c r="O946" s="675">
        <f>+'Yeşil Defter'!L1004</f>
        <v>0</v>
      </c>
      <c r="P946" s="675">
        <f>+'Yeşil Defter'!M1004</f>
        <v>0</v>
      </c>
      <c r="Q946" s="212"/>
      <c r="R946" s="605">
        <f t="shared" si="107"/>
        <v>0</v>
      </c>
      <c r="S946" s="225">
        <f t="shared" si="104"/>
        <v>0</v>
      </c>
      <c r="T946" s="237">
        <f t="shared" si="108"/>
        <v>0</v>
      </c>
    </row>
    <row r="947" spans="1:20" ht="30" hidden="1" customHeight="1" x14ac:dyDescent="0.3">
      <c r="A947" s="262">
        <v>10</v>
      </c>
      <c r="C947" s="244">
        <v>476</v>
      </c>
      <c r="D947" s="161" t="s">
        <v>1140</v>
      </c>
      <c r="E947" s="969" t="s">
        <v>1141</v>
      </c>
      <c r="F947" s="970"/>
      <c r="G947" s="971"/>
      <c r="H947" s="544" t="s">
        <v>286</v>
      </c>
      <c r="I947" s="212">
        <v>3124595</v>
      </c>
      <c r="J947" s="605"/>
      <c r="K947" s="212">
        <v>1</v>
      </c>
      <c r="L947" s="212">
        <f t="shared" si="106"/>
        <v>3124595</v>
      </c>
      <c r="M947" s="602"/>
      <c r="N947" s="675">
        <f>+'Yeşil Defter'!K1005</f>
        <v>0</v>
      </c>
      <c r="O947" s="675">
        <f>+'Yeşil Defter'!L1005</f>
        <v>0</v>
      </c>
      <c r="P947" s="675">
        <f>+'Yeşil Defter'!M1005</f>
        <v>0</v>
      </c>
      <c r="Q947" s="212"/>
      <c r="R947" s="605">
        <f t="shared" si="107"/>
        <v>0</v>
      </c>
      <c r="S947" s="225">
        <f t="shared" si="104"/>
        <v>0</v>
      </c>
      <c r="T947" s="237">
        <f t="shared" si="108"/>
        <v>0</v>
      </c>
    </row>
    <row r="948" spans="1:20" ht="30" hidden="1" customHeight="1" x14ac:dyDescent="0.3">
      <c r="A948" s="262">
        <v>10</v>
      </c>
      <c r="C948" s="244">
        <v>477</v>
      </c>
      <c r="D948" s="161" t="s">
        <v>1142</v>
      </c>
      <c r="E948" s="969" t="s">
        <v>1143</v>
      </c>
      <c r="F948" s="970"/>
      <c r="G948" s="971"/>
      <c r="H948" s="544" t="s">
        <v>286</v>
      </c>
      <c r="I948" s="212">
        <v>3124595</v>
      </c>
      <c r="J948" s="605"/>
      <c r="K948" s="212">
        <v>1</v>
      </c>
      <c r="L948" s="212">
        <f t="shared" si="106"/>
        <v>3124595</v>
      </c>
      <c r="M948" s="602"/>
      <c r="N948" s="675">
        <f>+'Yeşil Defter'!K1006</f>
        <v>0</v>
      </c>
      <c r="O948" s="675">
        <f>+'Yeşil Defter'!L1006</f>
        <v>0</v>
      </c>
      <c r="P948" s="675">
        <f>+'Yeşil Defter'!M1006</f>
        <v>0</v>
      </c>
      <c r="Q948" s="212"/>
      <c r="R948" s="605">
        <f t="shared" si="107"/>
        <v>0</v>
      </c>
      <c r="S948" s="225">
        <f t="shared" si="104"/>
        <v>0</v>
      </c>
      <c r="T948" s="237">
        <f t="shared" si="108"/>
        <v>0</v>
      </c>
    </row>
    <row r="949" spans="1:20" ht="30" hidden="1" customHeight="1" x14ac:dyDescent="0.3">
      <c r="A949" s="262">
        <v>10</v>
      </c>
      <c r="C949" s="244">
        <v>478</v>
      </c>
      <c r="D949" s="161" t="s">
        <v>1144</v>
      </c>
      <c r="E949" s="969" t="s">
        <v>1145</v>
      </c>
      <c r="F949" s="970"/>
      <c r="G949" s="971"/>
      <c r="H949" s="544" t="s">
        <v>286</v>
      </c>
      <c r="I949" s="212">
        <v>3124595</v>
      </c>
      <c r="J949" s="605"/>
      <c r="K949" s="212">
        <v>1</v>
      </c>
      <c r="L949" s="212">
        <f t="shared" si="106"/>
        <v>3124595</v>
      </c>
      <c r="M949" s="602"/>
      <c r="N949" s="675">
        <f>+'Yeşil Defter'!K1007</f>
        <v>0</v>
      </c>
      <c r="O949" s="675">
        <f>+'Yeşil Defter'!L1007</f>
        <v>0</v>
      </c>
      <c r="P949" s="675">
        <f>+'Yeşil Defter'!M1007</f>
        <v>0</v>
      </c>
      <c r="Q949" s="212"/>
      <c r="R949" s="605">
        <f t="shared" si="107"/>
        <v>0</v>
      </c>
      <c r="S949" s="225">
        <f t="shared" si="104"/>
        <v>0</v>
      </c>
      <c r="T949" s="237">
        <f t="shared" si="108"/>
        <v>0</v>
      </c>
    </row>
    <row r="950" spans="1:20" ht="30" hidden="1" customHeight="1" x14ac:dyDescent="0.3">
      <c r="A950" s="262">
        <v>10</v>
      </c>
      <c r="C950" s="244">
        <v>479</v>
      </c>
      <c r="D950" s="161" t="s">
        <v>1146</v>
      </c>
      <c r="E950" s="969" t="s">
        <v>1147</v>
      </c>
      <c r="F950" s="970"/>
      <c r="G950" s="971"/>
      <c r="H950" s="544" t="s">
        <v>286</v>
      </c>
      <c r="I950" s="212">
        <v>3124595</v>
      </c>
      <c r="J950" s="605"/>
      <c r="K950" s="212">
        <v>1</v>
      </c>
      <c r="L950" s="212">
        <f t="shared" si="106"/>
        <v>3124595</v>
      </c>
      <c r="M950" s="602"/>
      <c r="N950" s="675">
        <f>+'Yeşil Defter'!K1008</f>
        <v>0</v>
      </c>
      <c r="O950" s="675">
        <f>+'Yeşil Defter'!L1008</f>
        <v>0</v>
      </c>
      <c r="P950" s="675">
        <f>+'Yeşil Defter'!M1008</f>
        <v>0</v>
      </c>
      <c r="Q950" s="212"/>
      <c r="R950" s="605">
        <f t="shared" si="107"/>
        <v>0</v>
      </c>
      <c r="S950" s="225">
        <f t="shared" si="104"/>
        <v>0</v>
      </c>
      <c r="T950" s="237">
        <f t="shared" si="108"/>
        <v>0</v>
      </c>
    </row>
    <row r="951" spans="1:20" ht="30" hidden="1" customHeight="1" x14ac:dyDescent="0.3">
      <c r="A951" s="262">
        <v>10</v>
      </c>
      <c r="C951" s="244">
        <v>480</v>
      </c>
      <c r="D951" s="161" t="s">
        <v>1148</v>
      </c>
      <c r="E951" s="969" t="s">
        <v>1152</v>
      </c>
      <c r="F951" s="970"/>
      <c r="G951" s="971"/>
      <c r="H951" s="544" t="s">
        <v>286</v>
      </c>
      <c r="I951" s="212">
        <v>24981566.850000001</v>
      </c>
      <c r="J951" s="605"/>
      <c r="K951" s="212">
        <v>1</v>
      </c>
      <c r="L951" s="212">
        <f t="shared" si="106"/>
        <v>24981566.850000001</v>
      </c>
      <c r="M951" s="602"/>
      <c r="N951" s="675">
        <f>+'Yeşil Defter'!K1009</f>
        <v>0</v>
      </c>
      <c r="O951" s="675">
        <f>+'Yeşil Defter'!L1009</f>
        <v>0</v>
      </c>
      <c r="P951" s="675">
        <f>+'Yeşil Defter'!M1009</f>
        <v>0</v>
      </c>
      <c r="Q951" s="212"/>
      <c r="R951" s="605">
        <f t="shared" si="107"/>
        <v>0</v>
      </c>
      <c r="S951" s="225">
        <f t="shared" si="104"/>
        <v>0</v>
      </c>
      <c r="T951" s="237">
        <f t="shared" si="108"/>
        <v>0</v>
      </c>
    </row>
    <row r="952" spans="1:20" ht="30" hidden="1" customHeight="1" x14ac:dyDescent="0.3">
      <c r="A952" s="262">
        <v>10</v>
      </c>
      <c r="C952" s="244"/>
      <c r="D952" s="161"/>
      <c r="E952" s="969"/>
      <c r="F952" s="970"/>
      <c r="G952" s="971"/>
      <c r="H952" s="161"/>
      <c r="I952" s="605"/>
      <c r="J952" s="605"/>
      <c r="K952" s="212"/>
      <c r="L952" s="341"/>
      <c r="M952" s="212"/>
      <c r="N952" s="605"/>
      <c r="O952" s="212"/>
      <c r="P952" s="341"/>
      <c r="Q952" s="212"/>
      <c r="R952" s="605"/>
      <c r="S952" s="225"/>
      <c r="T952" s="237"/>
    </row>
    <row r="953" spans="1:20" ht="30" hidden="1" customHeight="1" x14ac:dyDescent="0.3">
      <c r="A953" s="262">
        <v>10</v>
      </c>
      <c r="C953" s="244"/>
      <c r="D953" s="161"/>
      <c r="E953" s="969"/>
      <c r="F953" s="970"/>
      <c r="G953" s="971"/>
      <c r="H953" s="161"/>
      <c r="I953" s="605"/>
      <c r="J953" s="605"/>
      <c r="K953" s="212"/>
      <c r="L953" s="341"/>
      <c r="M953" s="212"/>
      <c r="N953" s="605"/>
      <c r="O953" s="212"/>
      <c r="P953" s="341"/>
      <c r="Q953" s="212"/>
      <c r="R953" s="605"/>
      <c r="S953" s="225"/>
      <c r="T953" s="237"/>
    </row>
    <row r="954" spans="1:20" ht="30" hidden="1" customHeight="1" x14ac:dyDescent="0.3">
      <c r="A954" s="262">
        <v>10</v>
      </c>
      <c r="C954" s="244"/>
      <c r="D954" s="161"/>
      <c r="E954" s="969"/>
      <c r="F954" s="970"/>
      <c r="G954" s="971"/>
      <c r="H954" s="161"/>
      <c r="I954" s="605"/>
      <c r="J954" s="605"/>
      <c r="K954" s="212"/>
      <c r="L954" s="341"/>
      <c r="M954" s="212"/>
      <c r="N954" s="605"/>
      <c r="O954" s="212"/>
      <c r="P954" s="341"/>
      <c r="Q954" s="212"/>
      <c r="R954" s="605"/>
      <c r="S954" s="225"/>
      <c r="T954" s="237"/>
    </row>
    <row r="955" spans="1:20" ht="30" hidden="1" customHeight="1" x14ac:dyDescent="0.3">
      <c r="A955" s="262">
        <v>10</v>
      </c>
      <c r="C955" s="244"/>
      <c r="D955" s="161"/>
      <c r="E955" s="969"/>
      <c r="F955" s="970"/>
      <c r="G955" s="971"/>
      <c r="H955" s="161"/>
      <c r="I955" s="605"/>
      <c r="J955" s="605"/>
      <c r="K955" s="212"/>
      <c r="L955" s="341"/>
      <c r="M955" s="212"/>
      <c r="N955" s="605"/>
      <c r="O955" s="212"/>
      <c r="P955" s="341"/>
      <c r="Q955" s="212"/>
      <c r="R955" s="605"/>
      <c r="S955" s="225"/>
      <c r="T955" s="237"/>
    </row>
    <row r="956" spans="1:20" ht="30" hidden="1" customHeight="1" x14ac:dyDescent="0.3">
      <c r="A956" s="262">
        <v>10</v>
      </c>
      <c r="C956" s="244"/>
      <c r="D956" s="161"/>
      <c r="E956" s="969"/>
      <c r="F956" s="970"/>
      <c r="G956" s="971"/>
      <c r="H956" s="161"/>
      <c r="I956" s="605"/>
      <c r="J956" s="605"/>
      <c r="K956" s="212"/>
      <c r="L956" s="341"/>
      <c r="M956" s="212"/>
      <c r="N956" s="605"/>
      <c r="O956" s="212"/>
      <c r="P956" s="341"/>
      <c r="Q956" s="212"/>
      <c r="R956" s="605"/>
      <c r="S956" s="225"/>
      <c r="T956" s="237"/>
    </row>
    <row r="957" spans="1:20" ht="30" hidden="1" customHeight="1" x14ac:dyDescent="0.3">
      <c r="A957" s="262">
        <v>10</v>
      </c>
      <c r="C957" s="244"/>
      <c r="D957" s="161"/>
      <c r="E957" s="969"/>
      <c r="F957" s="970"/>
      <c r="G957" s="971"/>
      <c r="H957" s="161"/>
      <c r="I957" s="605"/>
      <c r="J957" s="605"/>
      <c r="K957" s="212"/>
      <c r="L957" s="341"/>
      <c r="M957" s="212"/>
      <c r="N957" s="605"/>
      <c r="O957" s="212"/>
      <c r="P957" s="341"/>
      <c r="Q957" s="212"/>
      <c r="R957" s="605"/>
      <c r="S957" s="225"/>
      <c r="T957" s="237"/>
    </row>
    <row r="958" spans="1:20" ht="30" hidden="1" customHeight="1" x14ac:dyDescent="0.3">
      <c r="A958" s="262">
        <v>10</v>
      </c>
      <c r="C958" s="244"/>
      <c r="D958" s="161"/>
      <c r="E958" s="969"/>
      <c r="F958" s="970"/>
      <c r="G958" s="971"/>
      <c r="H958" s="161"/>
      <c r="I958" s="605"/>
      <c r="J958" s="605"/>
      <c r="K958" s="212"/>
      <c r="L958" s="341"/>
      <c r="M958" s="212"/>
      <c r="N958" s="605"/>
      <c r="O958" s="212"/>
      <c r="P958" s="341"/>
      <c r="Q958" s="212"/>
      <c r="R958" s="605"/>
      <c r="S958" s="225"/>
      <c r="T958" s="237"/>
    </row>
    <row r="959" spans="1:20" ht="30" hidden="1" customHeight="1" x14ac:dyDescent="0.3">
      <c r="A959" s="262">
        <v>10</v>
      </c>
      <c r="C959" s="244"/>
      <c r="D959" s="161"/>
      <c r="E959" s="969"/>
      <c r="F959" s="970"/>
      <c r="G959" s="971"/>
      <c r="H959" s="161"/>
      <c r="I959" s="605"/>
      <c r="J959" s="605"/>
      <c r="K959" s="212"/>
      <c r="L959" s="341"/>
      <c r="M959" s="212"/>
      <c r="N959" s="605"/>
      <c r="O959" s="212"/>
      <c r="P959" s="341"/>
      <c r="Q959" s="212"/>
      <c r="R959" s="605"/>
      <c r="S959" s="225"/>
      <c r="T959" s="237"/>
    </row>
    <row r="960" spans="1:20" ht="30" hidden="1" customHeight="1" x14ac:dyDescent="0.3">
      <c r="A960" s="262">
        <v>10</v>
      </c>
      <c r="C960" s="244"/>
      <c r="D960" s="161"/>
      <c r="E960" s="969"/>
      <c r="F960" s="970"/>
      <c r="G960" s="971"/>
      <c r="H960" s="161"/>
      <c r="I960" s="605"/>
      <c r="J960" s="605"/>
      <c r="K960" s="212"/>
      <c r="L960" s="341"/>
      <c r="M960" s="212"/>
      <c r="N960" s="605"/>
      <c r="O960" s="212"/>
      <c r="P960" s="341"/>
      <c r="Q960" s="212"/>
      <c r="R960" s="605"/>
      <c r="S960" s="225"/>
      <c r="T960" s="237"/>
    </row>
    <row r="961" spans="1:20" ht="30" hidden="1" customHeight="1" x14ac:dyDescent="0.3">
      <c r="A961" s="262">
        <v>10</v>
      </c>
      <c r="C961" s="244"/>
      <c r="D961" s="161"/>
      <c r="E961" s="969"/>
      <c r="F961" s="970"/>
      <c r="G961" s="971"/>
      <c r="H961" s="161"/>
      <c r="I961" s="605"/>
      <c r="J961" s="605"/>
      <c r="K961" s="212"/>
      <c r="L961" s="341"/>
      <c r="M961" s="212"/>
      <c r="N961" s="605"/>
      <c r="O961" s="212"/>
      <c r="P961" s="341"/>
      <c r="Q961" s="212"/>
      <c r="R961" s="605"/>
      <c r="S961" s="225"/>
      <c r="T961" s="237"/>
    </row>
    <row r="962" spans="1:20" ht="30" hidden="1" customHeight="1" x14ac:dyDescent="0.3">
      <c r="A962" s="262">
        <v>10</v>
      </c>
      <c r="C962" s="244"/>
      <c r="D962" s="161"/>
      <c r="E962" s="969"/>
      <c r="F962" s="970"/>
      <c r="G962" s="971"/>
      <c r="H962" s="161"/>
      <c r="I962" s="605"/>
      <c r="J962" s="605"/>
      <c r="K962" s="212"/>
      <c r="L962" s="341"/>
      <c r="M962" s="212"/>
      <c r="N962" s="605"/>
      <c r="O962" s="212"/>
      <c r="P962" s="341"/>
      <c r="Q962" s="212"/>
      <c r="R962" s="605"/>
      <c r="S962" s="225"/>
      <c r="T962" s="237"/>
    </row>
    <row r="963" spans="1:20" ht="30" hidden="1" customHeight="1" x14ac:dyDescent="0.3">
      <c r="A963" s="262">
        <v>10</v>
      </c>
      <c r="C963" s="244"/>
      <c r="D963" s="161"/>
      <c r="E963" s="969"/>
      <c r="F963" s="970"/>
      <c r="G963" s="971"/>
      <c r="H963" s="161"/>
      <c r="I963" s="605"/>
      <c r="J963" s="605"/>
      <c r="K963" s="212"/>
      <c r="L963" s="341"/>
      <c r="M963" s="212"/>
      <c r="N963" s="605"/>
      <c r="O963" s="212"/>
      <c r="P963" s="341"/>
      <c r="Q963" s="212"/>
      <c r="R963" s="605"/>
      <c r="S963" s="225"/>
      <c r="T963" s="237"/>
    </row>
    <row r="964" spans="1:20" ht="30" hidden="1" customHeight="1" x14ac:dyDescent="0.3">
      <c r="A964" s="262">
        <v>10</v>
      </c>
      <c r="C964" s="244"/>
      <c r="D964" s="161"/>
      <c r="E964" s="969"/>
      <c r="F964" s="970"/>
      <c r="G964" s="971"/>
      <c r="H964" s="161"/>
      <c r="I964" s="605"/>
      <c r="J964" s="605"/>
      <c r="K964" s="212"/>
      <c r="L964" s="341"/>
      <c r="M964" s="212"/>
      <c r="N964" s="605"/>
      <c r="O964" s="212"/>
      <c r="P964" s="341"/>
      <c r="Q964" s="212"/>
      <c r="R964" s="605"/>
      <c r="S964" s="225"/>
      <c r="T964" s="237"/>
    </row>
    <row r="965" spans="1:20" ht="30" hidden="1" customHeight="1" x14ac:dyDescent="0.3">
      <c r="A965" s="262">
        <v>10</v>
      </c>
      <c r="C965" s="244"/>
      <c r="D965" s="161"/>
      <c r="E965" s="969"/>
      <c r="F965" s="970"/>
      <c r="G965" s="971"/>
      <c r="H965" s="161"/>
      <c r="I965" s="605"/>
      <c r="J965" s="605"/>
      <c r="K965" s="212"/>
      <c r="L965" s="341"/>
      <c r="M965" s="212"/>
      <c r="N965" s="605"/>
      <c r="O965" s="212"/>
      <c r="P965" s="341"/>
      <c r="Q965" s="212"/>
      <c r="R965" s="605"/>
      <c r="S965" s="225"/>
      <c r="T965" s="237"/>
    </row>
    <row r="966" spans="1:20" ht="30" hidden="1" customHeight="1" x14ac:dyDescent="0.3">
      <c r="A966" s="262">
        <v>10</v>
      </c>
      <c r="C966" s="244"/>
      <c r="D966" s="161"/>
      <c r="E966" s="969"/>
      <c r="F966" s="970"/>
      <c r="G966" s="971"/>
      <c r="H966" s="161"/>
      <c r="I966" s="605"/>
      <c r="J966" s="605"/>
      <c r="K966" s="212"/>
      <c r="L966" s="341"/>
      <c r="M966" s="212"/>
      <c r="N966" s="605"/>
      <c r="O966" s="212"/>
      <c r="P966" s="341"/>
      <c r="Q966" s="212"/>
      <c r="R966" s="605"/>
      <c r="S966" s="225"/>
      <c r="T966" s="237"/>
    </row>
    <row r="967" spans="1:20" ht="30" hidden="1" customHeight="1" x14ac:dyDescent="0.3">
      <c r="A967" s="262">
        <v>10</v>
      </c>
      <c r="C967" s="244"/>
      <c r="D967" s="161"/>
      <c r="E967" s="969"/>
      <c r="F967" s="970"/>
      <c r="G967" s="971"/>
      <c r="H967" s="658"/>
      <c r="I967" s="605"/>
      <c r="J967" s="605"/>
      <c r="K967" s="212"/>
      <c r="L967" s="341"/>
      <c r="M967" s="302"/>
      <c r="N967" s="605"/>
      <c r="O967" s="212"/>
      <c r="P967" s="341"/>
      <c r="Q967" s="302"/>
      <c r="R967" s="605"/>
      <c r="S967" s="225"/>
      <c r="T967" s="237"/>
    </row>
    <row r="968" spans="1:20" ht="40.049999999999997" hidden="1" customHeight="1" x14ac:dyDescent="0.3">
      <c r="A968" s="262" t="s">
        <v>1242</v>
      </c>
      <c r="C968" s="258"/>
      <c r="D968" s="258"/>
      <c r="E968" s="972" t="s">
        <v>33</v>
      </c>
      <c r="F968" s="972"/>
      <c r="G968" s="972"/>
      <c r="H968" s="973" t="s">
        <v>29</v>
      </c>
      <c r="I968" s="973"/>
      <c r="J968" s="973"/>
      <c r="K968" s="973"/>
      <c r="L968" s="973"/>
      <c r="M968" s="549"/>
      <c r="N968" s="973" t="s">
        <v>22</v>
      </c>
      <c r="O968" s="973"/>
      <c r="P968" s="973"/>
      <c r="Q968" s="973"/>
      <c r="R968" s="973"/>
      <c r="S968" s="973"/>
      <c r="T968" s="973"/>
    </row>
    <row r="969" spans="1:20" ht="19.95" hidden="1" customHeight="1" x14ac:dyDescent="0.3">
      <c r="A969" s="262" t="s">
        <v>1242</v>
      </c>
      <c r="D969" s="28"/>
      <c r="E969" s="974" t="s">
        <v>1214</v>
      </c>
      <c r="F969" s="974"/>
      <c r="G969" s="974"/>
      <c r="H969" s="975" t="s">
        <v>38</v>
      </c>
      <c r="I969" s="975"/>
      <c r="J969" s="975"/>
      <c r="K969" s="975"/>
      <c r="L969" s="975"/>
      <c r="M969" s="562"/>
      <c r="N969" s="975" t="s">
        <v>1437</v>
      </c>
      <c r="O969" s="975"/>
      <c r="P969" s="975"/>
      <c r="Q969" s="975"/>
      <c r="R969" s="975"/>
      <c r="S969" s="975"/>
      <c r="T969" s="975"/>
    </row>
    <row r="970" spans="1:20" ht="19.95" hidden="1" customHeight="1" x14ac:dyDescent="0.3">
      <c r="A970" s="262" t="s">
        <v>1242</v>
      </c>
      <c r="C970" s="228"/>
      <c r="D970" s="228"/>
      <c r="E970" s="561"/>
      <c r="F970" s="561"/>
      <c r="G970" s="561"/>
      <c r="H970" s="228"/>
      <c r="I970" s="260"/>
      <c r="J970" s="260"/>
      <c r="K970" s="260"/>
      <c r="L970" s="260"/>
      <c r="M970" s="260"/>
      <c r="N970" s="975"/>
      <c r="O970" s="975"/>
      <c r="P970" s="975"/>
      <c r="Q970" s="975"/>
      <c r="R970" s="975"/>
      <c r="S970" s="975"/>
      <c r="T970" s="975"/>
    </row>
    <row r="971" spans="1:20" ht="19.95" hidden="1" customHeight="1" x14ac:dyDescent="0.3">
      <c r="A971" s="262" t="s">
        <v>1242</v>
      </c>
      <c r="C971" s="228"/>
      <c r="D971" s="228"/>
      <c r="E971" s="561"/>
      <c r="F971" s="561"/>
      <c r="G971" s="561"/>
      <c r="H971" s="228"/>
      <c r="I971" s="260"/>
      <c r="J971" s="260"/>
      <c r="K971" s="260"/>
      <c r="L971" s="260"/>
      <c r="M971" s="260"/>
      <c r="N971" s="975"/>
      <c r="O971" s="975"/>
      <c r="P971" s="975"/>
      <c r="Q971" s="975"/>
      <c r="R971" s="975"/>
      <c r="S971" s="975"/>
      <c r="T971" s="975"/>
    </row>
    <row r="972" spans="1:20" ht="19.95" hidden="1" customHeight="1" x14ac:dyDescent="0.3">
      <c r="A972" s="262" t="s">
        <v>1242</v>
      </c>
      <c r="C972" s="228"/>
      <c r="D972" s="228"/>
      <c r="E972" s="561"/>
      <c r="F972" s="561"/>
      <c r="G972" s="561"/>
      <c r="H972" s="261"/>
      <c r="I972" s="261"/>
      <c r="J972" s="261"/>
      <c r="K972" s="261"/>
      <c r="L972" s="261"/>
      <c r="M972" s="261"/>
      <c r="N972" s="260"/>
      <c r="O972" s="260"/>
      <c r="P972" s="260"/>
      <c r="Q972" s="260"/>
      <c r="R972" s="260"/>
      <c r="S972" s="260"/>
      <c r="T972" s="260"/>
    </row>
    <row r="973" spans="1:20" ht="19.95" hidden="1" customHeight="1" x14ac:dyDescent="0.3">
      <c r="A973" s="262" t="s">
        <v>1242</v>
      </c>
      <c r="C973" s="228"/>
      <c r="D973" s="228"/>
      <c r="E973" s="561"/>
      <c r="F973" s="561"/>
      <c r="G973" s="561"/>
      <c r="H973" s="975" t="s">
        <v>32</v>
      </c>
      <c r="I973" s="975"/>
      <c r="J973" s="562"/>
      <c r="K973" s="975" t="s">
        <v>1407</v>
      </c>
      <c r="L973" s="975"/>
      <c r="M973" s="562"/>
      <c r="N973" s="968" t="s">
        <v>28</v>
      </c>
      <c r="O973" s="968"/>
      <c r="P973" s="968"/>
      <c r="Q973" s="260"/>
      <c r="R973" s="968" t="s">
        <v>1244</v>
      </c>
      <c r="S973" s="968"/>
      <c r="T973" s="968"/>
    </row>
    <row r="974" spans="1:20" ht="19.95" hidden="1" customHeight="1" x14ac:dyDescent="0.3">
      <c r="A974" s="262" t="s">
        <v>1242</v>
      </c>
      <c r="C974" s="228"/>
      <c r="D974" s="228"/>
      <c r="E974" s="561"/>
      <c r="F974" s="561"/>
      <c r="G974" s="561"/>
      <c r="H974" s="976" t="s">
        <v>94</v>
      </c>
      <c r="I974" s="976"/>
      <c r="J974" s="623"/>
      <c r="K974" s="976" t="s">
        <v>94</v>
      </c>
      <c r="L974" s="976"/>
      <c r="M974" s="623"/>
      <c r="N974" s="968" t="s">
        <v>1486</v>
      </c>
      <c r="O974" s="968"/>
      <c r="P974" s="968"/>
      <c r="Q974" s="260"/>
      <c r="R974" s="968" t="s">
        <v>1483</v>
      </c>
      <c r="S974" s="968"/>
      <c r="T974" s="968"/>
    </row>
    <row r="975" spans="1:20" ht="19.95" hidden="1" customHeight="1" x14ac:dyDescent="0.3">
      <c r="A975" s="262" t="s">
        <v>1242</v>
      </c>
      <c r="C975" s="228"/>
      <c r="D975" s="228"/>
      <c r="E975" s="561"/>
      <c r="F975" s="561"/>
      <c r="G975" s="561"/>
      <c r="H975" s="976"/>
      <c r="I975" s="976"/>
      <c r="J975" s="623"/>
      <c r="K975" s="976"/>
      <c r="L975" s="976"/>
      <c r="M975" s="623"/>
      <c r="N975" s="968"/>
      <c r="O975" s="968"/>
      <c r="P975" s="968"/>
      <c r="Q975" s="260"/>
      <c r="R975" s="968"/>
      <c r="S975" s="968"/>
      <c r="T975" s="968"/>
    </row>
    <row r="976" spans="1:20" ht="19.95" hidden="1" customHeight="1" x14ac:dyDescent="0.3">
      <c r="A976" s="262" t="s">
        <v>1242</v>
      </c>
      <c r="C976" s="228"/>
      <c r="D976" s="228"/>
      <c r="E976" s="561"/>
      <c r="F976" s="561"/>
      <c r="G976" s="561"/>
      <c r="H976" s="228"/>
      <c r="I976" s="260"/>
      <c r="J976" s="260"/>
      <c r="K976" s="260"/>
      <c r="L976" s="260"/>
      <c r="M976" s="260"/>
      <c r="N976" s="260"/>
      <c r="O976" s="260"/>
      <c r="P976" s="260"/>
      <c r="Q976" s="260"/>
      <c r="R976" s="260"/>
      <c r="S976" s="624"/>
      <c r="T976" s="260"/>
    </row>
    <row r="977" spans="1:20" ht="19.95" hidden="1" customHeight="1" x14ac:dyDescent="0.3">
      <c r="A977" s="262" t="s">
        <v>1242</v>
      </c>
      <c r="C977" s="228"/>
      <c r="D977" s="228"/>
      <c r="E977" s="975" t="s">
        <v>1215</v>
      </c>
      <c r="F977" s="975"/>
      <c r="G977" s="975"/>
      <c r="H977" s="975" t="s">
        <v>1348</v>
      </c>
      <c r="I977" s="975"/>
      <c r="J977" s="975"/>
      <c r="K977" s="975"/>
      <c r="L977" s="975"/>
      <c r="M977" s="562"/>
      <c r="N977" s="977" t="s">
        <v>1219</v>
      </c>
      <c r="O977" s="968"/>
      <c r="P977" s="968"/>
      <c r="Q977" s="968"/>
      <c r="R977" s="968"/>
      <c r="S977" s="968"/>
      <c r="T977" s="968"/>
    </row>
    <row r="978" spans="1:20" ht="19.95" hidden="1" customHeight="1" x14ac:dyDescent="0.3">
      <c r="A978" s="262" t="s">
        <v>1290</v>
      </c>
      <c r="C978" s="228"/>
      <c r="D978" s="228"/>
      <c r="E978" s="975"/>
      <c r="F978" s="975"/>
      <c r="G978" s="975"/>
      <c r="H978" s="975"/>
      <c r="I978" s="975"/>
      <c r="J978" s="975"/>
      <c r="K978" s="975"/>
      <c r="L978" s="975"/>
      <c r="M978" s="562"/>
      <c r="N978" s="968"/>
      <c r="O978" s="968"/>
      <c r="P978" s="968"/>
      <c r="Q978" s="968"/>
      <c r="R978" s="968"/>
      <c r="S978" s="968"/>
      <c r="T978" s="968"/>
    </row>
    <row r="979" spans="1:20" ht="30" hidden="1" customHeight="1" x14ac:dyDescent="0.3">
      <c r="A979" s="262" t="s">
        <v>1240</v>
      </c>
      <c r="C979" s="625"/>
      <c r="D979" s="626" t="s">
        <v>1238</v>
      </c>
      <c r="E979" s="627"/>
      <c r="F979" s="627"/>
      <c r="G979" s="627"/>
      <c r="H979" s="627"/>
      <c r="I979" s="628"/>
      <c r="J979" s="628"/>
      <c r="K979" s="628"/>
      <c r="L979" s="644">
        <f>+SUMIFS(L:L,A:A,"11")</f>
        <v>75000000</v>
      </c>
      <c r="M979" s="629"/>
      <c r="N979" s="648"/>
      <c r="O979" s="628"/>
      <c r="P979" s="628"/>
      <c r="Q979" s="611"/>
      <c r="R979" s="651">
        <f>+SUMIFS(R:R,A:A,"11")</f>
        <v>0</v>
      </c>
      <c r="S979" s="630">
        <f>+SUMIFS(S:S,A:A,"11")</f>
        <v>0</v>
      </c>
      <c r="T979" s="631">
        <f>+SUMIFS(T:T,A:A,"11")</f>
        <v>0</v>
      </c>
    </row>
    <row r="980" spans="1:20" ht="30" hidden="1" customHeight="1" x14ac:dyDescent="0.3">
      <c r="A980" s="262">
        <v>11</v>
      </c>
      <c r="C980" s="244">
        <v>481</v>
      </c>
      <c r="D980" s="213" t="s">
        <v>1149</v>
      </c>
      <c r="E980" s="969" t="s">
        <v>138</v>
      </c>
      <c r="F980" s="970"/>
      <c r="G980" s="971"/>
      <c r="H980" s="544" t="s">
        <v>247</v>
      </c>
      <c r="I980" s="212">
        <v>75000000</v>
      </c>
      <c r="J980" s="605"/>
      <c r="K980" s="212">
        <v>1</v>
      </c>
      <c r="L980" s="212">
        <f>+ROUND(I980*K980,2)</f>
        <v>75000000</v>
      </c>
      <c r="M980" s="602"/>
      <c r="N980" s="675">
        <f>+'Yeşil Defter'!K1085</f>
        <v>0</v>
      </c>
      <c r="O980" s="675">
        <f>+'Yeşil Defter'!L1085</f>
        <v>0</v>
      </c>
      <c r="P980" s="675">
        <f>+'Yeşil Defter'!M1085</f>
        <v>0</v>
      </c>
      <c r="Q980" s="212"/>
      <c r="R980" s="605">
        <f>+ROUND(K980*N980,2)</f>
        <v>0</v>
      </c>
      <c r="S980" s="225">
        <f t="shared" ref="S980" si="109">+T980-R980</f>
        <v>0</v>
      </c>
      <c r="T980" s="237">
        <f>+ROUND(K980*P980,2)</f>
        <v>0</v>
      </c>
    </row>
    <row r="981" spans="1:20" ht="30" hidden="1" customHeight="1" x14ac:dyDescent="0.3">
      <c r="A981" s="262" t="s">
        <v>1240</v>
      </c>
      <c r="C981" s="241"/>
      <c r="D981" s="263" t="s">
        <v>1239</v>
      </c>
      <c r="E981" s="217"/>
      <c r="F981" s="217"/>
      <c r="G981" s="217"/>
      <c r="H981" s="217"/>
      <c r="I981" s="231"/>
      <c r="J981" s="231"/>
      <c r="K981" s="231"/>
      <c r="L981" s="641">
        <f>+SUMIFS(L:L,A:A,"12")</f>
        <v>75000000</v>
      </c>
      <c r="M981" s="599"/>
      <c r="N981" s="645"/>
      <c r="O981" s="231"/>
      <c r="P981" s="231"/>
      <c r="Q981" s="208"/>
      <c r="R981" s="652">
        <f>+SUMIFS(R:R,A:A,"12")</f>
        <v>0</v>
      </c>
      <c r="S981" s="251">
        <f>+SUMIFS(S:S,A:A,"12")</f>
        <v>0</v>
      </c>
      <c r="T981" s="252">
        <f>+SUMIFS(T:T,A:A,"12")</f>
        <v>0</v>
      </c>
    </row>
    <row r="982" spans="1:20" ht="30" hidden="1" customHeight="1" x14ac:dyDescent="0.3">
      <c r="A982" s="262">
        <v>12</v>
      </c>
      <c r="C982" s="243">
        <v>482</v>
      </c>
      <c r="D982" s="210" t="s">
        <v>1150</v>
      </c>
      <c r="E982" s="992" t="s">
        <v>1151</v>
      </c>
      <c r="F982" s="993"/>
      <c r="G982" s="994"/>
      <c r="H982" s="604" t="s">
        <v>247</v>
      </c>
      <c r="I982" s="211">
        <v>75000000</v>
      </c>
      <c r="J982" s="607"/>
      <c r="K982" s="211">
        <v>1</v>
      </c>
      <c r="L982" s="211">
        <f>+ROUND(I982*K982,2)</f>
        <v>75000000</v>
      </c>
      <c r="M982" s="601"/>
      <c r="N982" s="675">
        <f>+'Yeşil Defter'!K1087</f>
        <v>0</v>
      </c>
      <c r="O982" s="675">
        <f>+'Yeşil Defter'!L1087</f>
        <v>0</v>
      </c>
      <c r="P982" s="675">
        <f>+'Yeşil Defter'!M1087</f>
        <v>0</v>
      </c>
      <c r="Q982" s="211"/>
      <c r="R982" s="607">
        <f>+ROUND(K982*N982,2)</f>
        <v>0</v>
      </c>
      <c r="S982" s="224">
        <f t="shared" ref="S982" si="110">+T982-R982</f>
        <v>0</v>
      </c>
      <c r="T982" s="236">
        <f>+ROUND(K982*P982,2)</f>
        <v>0</v>
      </c>
    </row>
    <row r="983" spans="1:20" ht="30" hidden="1" customHeight="1" x14ac:dyDescent="0.3">
      <c r="A983" s="262">
        <v>12</v>
      </c>
      <c r="C983" s="244"/>
      <c r="D983" s="161"/>
      <c r="E983" s="969"/>
      <c r="F983" s="970"/>
      <c r="G983" s="971"/>
      <c r="H983" s="161"/>
      <c r="I983" s="605"/>
      <c r="J983" s="605"/>
      <c r="K983" s="212"/>
      <c r="L983" s="341"/>
      <c r="M983" s="212"/>
      <c r="N983" s="605"/>
      <c r="O983" s="212"/>
      <c r="P983" s="341"/>
      <c r="Q983" s="212"/>
      <c r="R983" s="605"/>
      <c r="S983" s="225"/>
      <c r="T983" s="237"/>
    </row>
    <row r="984" spans="1:20" ht="30" hidden="1" customHeight="1" x14ac:dyDescent="0.3">
      <c r="A984" s="262">
        <v>12</v>
      </c>
      <c r="C984" s="244"/>
      <c r="D984" s="161"/>
      <c r="E984" s="969"/>
      <c r="F984" s="970"/>
      <c r="G984" s="971"/>
      <c r="H984" s="161"/>
      <c r="I984" s="605"/>
      <c r="J984" s="605"/>
      <c r="K984" s="212"/>
      <c r="L984" s="341"/>
      <c r="M984" s="212"/>
      <c r="N984" s="605"/>
      <c r="O984" s="212"/>
      <c r="P984" s="341"/>
      <c r="Q984" s="212"/>
      <c r="R984" s="605"/>
      <c r="S984" s="225"/>
      <c r="T984" s="237"/>
    </row>
    <row r="985" spans="1:20" ht="30" hidden="1" customHeight="1" x14ac:dyDescent="0.3">
      <c r="A985" s="262">
        <v>12</v>
      </c>
      <c r="C985" s="244"/>
      <c r="D985" s="161"/>
      <c r="E985" s="969"/>
      <c r="F985" s="970"/>
      <c r="G985" s="971"/>
      <c r="H985" s="161"/>
      <c r="I985" s="605"/>
      <c r="J985" s="605"/>
      <c r="K985" s="212"/>
      <c r="L985" s="341"/>
      <c r="M985" s="212"/>
      <c r="N985" s="605"/>
      <c r="O985" s="212"/>
      <c r="P985" s="341"/>
      <c r="Q985" s="212"/>
      <c r="R985" s="605"/>
      <c r="S985" s="225"/>
      <c r="T985" s="237"/>
    </row>
    <row r="986" spans="1:20" ht="30" hidden="1" customHeight="1" x14ac:dyDescent="0.3">
      <c r="A986" s="262">
        <v>12</v>
      </c>
      <c r="C986" s="244"/>
      <c r="D986" s="161"/>
      <c r="E986" s="969"/>
      <c r="F986" s="970"/>
      <c r="G986" s="971"/>
      <c r="H986" s="161"/>
      <c r="I986" s="605"/>
      <c r="J986" s="605"/>
      <c r="K986" s="212"/>
      <c r="L986" s="341"/>
      <c r="M986" s="212"/>
      <c r="N986" s="605"/>
      <c r="O986" s="212"/>
      <c r="P986" s="341"/>
      <c r="Q986" s="212"/>
      <c r="R986" s="605"/>
      <c r="S986" s="225"/>
      <c r="T986" s="237"/>
    </row>
    <row r="987" spans="1:20" ht="30" hidden="1" customHeight="1" x14ac:dyDescent="0.3">
      <c r="A987" s="262">
        <v>12</v>
      </c>
      <c r="C987" s="244"/>
      <c r="D987" s="161"/>
      <c r="E987" s="969"/>
      <c r="F987" s="970"/>
      <c r="G987" s="971"/>
      <c r="H987" s="161"/>
      <c r="I987" s="605"/>
      <c r="J987" s="605"/>
      <c r="K987" s="212"/>
      <c r="L987" s="341"/>
      <c r="M987" s="212"/>
      <c r="N987" s="605"/>
      <c r="O987" s="212"/>
      <c r="P987" s="341"/>
      <c r="Q987" s="212"/>
      <c r="R987" s="605"/>
      <c r="S987" s="225"/>
      <c r="T987" s="237"/>
    </row>
    <row r="988" spans="1:20" ht="30" hidden="1" customHeight="1" x14ac:dyDescent="0.3">
      <c r="A988" s="262">
        <v>12</v>
      </c>
      <c r="C988" s="244"/>
      <c r="D988" s="161"/>
      <c r="E988" s="969"/>
      <c r="F988" s="970"/>
      <c r="G988" s="971"/>
      <c r="H988" s="161"/>
      <c r="I988" s="605"/>
      <c r="J988" s="605"/>
      <c r="K988" s="212"/>
      <c r="L988" s="341"/>
      <c r="M988" s="212"/>
      <c r="N988" s="605"/>
      <c r="O988" s="212"/>
      <c r="P988" s="341"/>
      <c r="Q988" s="212"/>
      <c r="R988" s="605"/>
      <c r="S988" s="225"/>
      <c r="T988" s="237"/>
    </row>
    <row r="989" spans="1:20" ht="30" hidden="1" customHeight="1" x14ac:dyDescent="0.3">
      <c r="A989" s="262">
        <v>12</v>
      </c>
      <c r="C989" s="244"/>
      <c r="D989" s="161"/>
      <c r="E989" s="969"/>
      <c r="F989" s="970"/>
      <c r="G989" s="971"/>
      <c r="H989" s="161"/>
      <c r="I989" s="605"/>
      <c r="J989" s="605"/>
      <c r="K989" s="212"/>
      <c r="L989" s="341"/>
      <c r="M989" s="212"/>
      <c r="N989" s="605"/>
      <c r="O989" s="212"/>
      <c r="P989" s="341"/>
      <c r="Q989" s="212"/>
      <c r="R989" s="605"/>
      <c r="S989" s="225"/>
      <c r="T989" s="237"/>
    </row>
    <row r="990" spans="1:20" ht="30" hidden="1" customHeight="1" x14ac:dyDescent="0.3">
      <c r="A990" s="262">
        <v>12</v>
      </c>
      <c r="C990" s="244"/>
      <c r="D990" s="161"/>
      <c r="E990" s="969"/>
      <c r="F990" s="970"/>
      <c r="G990" s="971"/>
      <c r="H990" s="161"/>
      <c r="I990" s="605"/>
      <c r="J990" s="605"/>
      <c r="K990" s="212"/>
      <c r="L990" s="341"/>
      <c r="M990" s="212"/>
      <c r="N990" s="605"/>
      <c r="O990" s="212"/>
      <c r="P990" s="341"/>
      <c r="Q990" s="212"/>
      <c r="R990" s="605"/>
      <c r="S990" s="225"/>
      <c r="T990" s="237"/>
    </row>
    <row r="991" spans="1:20" ht="30" hidden="1" customHeight="1" x14ac:dyDescent="0.3">
      <c r="A991" s="262">
        <v>12</v>
      </c>
      <c r="C991" s="244"/>
      <c r="D991" s="161"/>
      <c r="E991" s="969"/>
      <c r="F991" s="970"/>
      <c r="G991" s="971"/>
      <c r="H991" s="161"/>
      <c r="I991" s="605"/>
      <c r="J991" s="605"/>
      <c r="K991" s="212"/>
      <c r="L991" s="341"/>
      <c r="M991" s="212"/>
      <c r="N991" s="605"/>
      <c r="O991" s="212"/>
      <c r="P991" s="341"/>
      <c r="Q991" s="212"/>
      <c r="R991" s="605"/>
      <c r="S991" s="225"/>
      <c r="T991" s="237"/>
    </row>
    <row r="992" spans="1:20" ht="30" hidden="1" customHeight="1" x14ac:dyDescent="0.3">
      <c r="A992" s="262">
        <v>12</v>
      </c>
      <c r="C992" s="244"/>
      <c r="D992" s="161"/>
      <c r="E992" s="969"/>
      <c r="F992" s="970"/>
      <c r="G992" s="971"/>
      <c r="H992" s="161"/>
      <c r="I992" s="605"/>
      <c r="J992" s="605"/>
      <c r="K992" s="212"/>
      <c r="L992" s="341"/>
      <c r="M992" s="212"/>
      <c r="N992" s="605"/>
      <c r="O992" s="212"/>
      <c r="P992" s="341"/>
      <c r="Q992" s="212"/>
      <c r="R992" s="605"/>
      <c r="S992" s="225"/>
      <c r="T992" s="237"/>
    </row>
    <row r="993" spans="1:20" ht="30" hidden="1" customHeight="1" x14ac:dyDescent="0.3">
      <c r="A993" s="262">
        <v>12</v>
      </c>
      <c r="C993" s="244"/>
      <c r="D993" s="161"/>
      <c r="E993" s="969"/>
      <c r="F993" s="970"/>
      <c r="G993" s="971"/>
      <c r="H993" s="161"/>
      <c r="I993" s="605"/>
      <c r="J993" s="605"/>
      <c r="K993" s="212"/>
      <c r="L993" s="341"/>
      <c r="M993" s="212"/>
      <c r="N993" s="605"/>
      <c r="O993" s="212"/>
      <c r="P993" s="341"/>
      <c r="Q993" s="212"/>
      <c r="R993" s="605"/>
      <c r="S993" s="225"/>
      <c r="T993" s="237"/>
    </row>
    <row r="994" spans="1:20" ht="30" hidden="1" customHeight="1" x14ac:dyDescent="0.3">
      <c r="A994" s="262">
        <v>12</v>
      </c>
      <c r="C994" s="244"/>
      <c r="D994" s="161"/>
      <c r="E994" s="969"/>
      <c r="F994" s="970"/>
      <c r="G994" s="971"/>
      <c r="H994" s="161"/>
      <c r="I994" s="605"/>
      <c r="J994" s="605"/>
      <c r="K994" s="212"/>
      <c r="L994" s="341"/>
      <c r="M994" s="212"/>
      <c r="N994" s="605"/>
      <c r="O994" s="212"/>
      <c r="P994" s="341"/>
      <c r="Q994" s="212"/>
      <c r="R994" s="605"/>
      <c r="S994" s="225"/>
      <c r="T994" s="237"/>
    </row>
    <row r="995" spans="1:20" ht="30" hidden="1" customHeight="1" x14ac:dyDescent="0.3">
      <c r="A995" s="262">
        <v>12</v>
      </c>
      <c r="C995" s="244"/>
      <c r="D995" s="161"/>
      <c r="E995" s="969"/>
      <c r="F995" s="970"/>
      <c r="G995" s="971"/>
      <c r="H995" s="161"/>
      <c r="I995" s="605"/>
      <c r="J995" s="605"/>
      <c r="K995" s="212"/>
      <c r="L995" s="341"/>
      <c r="M995" s="212"/>
      <c r="N995" s="605"/>
      <c r="O995" s="212"/>
      <c r="P995" s="341"/>
      <c r="Q995" s="212"/>
      <c r="R995" s="605"/>
      <c r="S995" s="225"/>
      <c r="T995" s="237"/>
    </row>
    <row r="996" spans="1:20" ht="30" hidden="1" customHeight="1" x14ac:dyDescent="0.3">
      <c r="A996" s="262">
        <v>12</v>
      </c>
      <c r="C996" s="244"/>
      <c r="D996" s="161"/>
      <c r="E996" s="969"/>
      <c r="F996" s="970"/>
      <c r="G996" s="971"/>
      <c r="H996" s="161"/>
      <c r="I996" s="605"/>
      <c r="J996" s="605"/>
      <c r="K996" s="212"/>
      <c r="L996" s="341"/>
      <c r="M996" s="212"/>
      <c r="N996" s="605"/>
      <c r="O996" s="212"/>
      <c r="P996" s="341"/>
      <c r="Q996" s="212"/>
      <c r="R996" s="605"/>
      <c r="S996" s="225"/>
      <c r="T996" s="237"/>
    </row>
    <row r="997" spans="1:20" ht="30" hidden="1" customHeight="1" x14ac:dyDescent="0.3">
      <c r="A997" s="262">
        <v>12</v>
      </c>
      <c r="C997" s="244"/>
      <c r="D997" s="161"/>
      <c r="E997" s="969"/>
      <c r="F997" s="970"/>
      <c r="G997" s="971"/>
      <c r="H997" s="161"/>
      <c r="I997" s="605"/>
      <c r="J997" s="605"/>
      <c r="K997" s="212"/>
      <c r="L997" s="341"/>
      <c r="M997" s="212"/>
      <c r="N997" s="605"/>
      <c r="O997" s="212"/>
      <c r="P997" s="341"/>
      <c r="Q997" s="212"/>
      <c r="R997" s="605"/>
      <c r="S997" s="225"/>
      <c r="T997" s="237"/>
    </row>
    <row r="998" spans="1:20" ht="30" hidden="1" customHeight="1" x14ac:dyDescent="0.3">
      <c r="A998" s="262">
        <v>12</v>
      </c>
      <c r="C998" s="244"/>
      <c r="D998" s="161"/>
      <c r="E998" s="969"/>
      <c r="F998" s="970"/>
      <c r="G998" s="971"/>
      <c r="H998" s="161"/>
      <c r="I998" s="605"/>
      <c r="J998" s="605"/>
      <c r="K998" s="212"/>
      <c r="L998" s="341"/>
      <c r="M998" s="212"/>
      <c r="N998" s="605"/>
      <c r="O998" s="212"/>
      <c r="P998" s="341"/>
      <c r="Q998" s="212"/>
      <c r="R998" s="605"/>
      <c r="S998" s="225"/>
      <c r="T998" s="237"/>
    </row>
    <row r="999" spans="1:20" ht="30" hidden="1" customHeight="1" x14ac:dyDescent="0.3">
      <c r="A999" s="262">
        <v>12</v>
      </c>
      <c r="C999" s="244"/>
      <c r="D999" s="161"/>
      <c r="E999" s="969"/>
      <c r="F999" s="970"/>
      <c r="G999" s="971"/>
      <c r="H999" s="161"/>
      <c r="I999" s="605"/>
      <c r="J999" s="605"/>
      <c r="K999" s="212"/>
      <c r="L999" s="341"/>
      <c r="M999" s="212"/>
      <c r="N999" s="605"/>
      <c r="O999" s="212"/>
      <c r="P999" s="341"/>
      <c r="Q999" s="212"/>
      <c r="R999" s="605"/>
      <c r="S999" s="225"/>
      <c r="T999" s="237"/>
    </row>
    <row r="1000" spans="1:20" ht="30" hidden="1" customHeight="1" x14ac:dyDescent="0.3">
      <c r="A1000" s="262">
        <v>12</v>
      </c>
      <c r="C1000" s="244"/>
      <c r="D1000" s="161"/>
      <c r="E1000" s="969"/>
      <c r="F1000" s="970"/>
      <c r="G1000" s="971"/>
      <c r="H1000" s="161"/>
      <c r="I1000" s="605"/>
      <c r="J1000" s="605"/>
      <c r="K1000" s="212"/>
      <c r="L1000" s="341"/>
      <c r="M1000" s="212"/>
      <c r="N1000" s="605"/>
      <c r="O1000" s="212"/>
      <c r="P1000" s="341"/>
      <c r="Q1000" s="212"/>
      <c r="R1000" s="605"/>
      <c r="S1000" s="225"/>
      <c r="T1000" s="237"/>
    </row>
    <row r="1001" spans="1:20" ht="30" hidden="1" customHeight="1" thickBot="1" x14ac:dyDescent="0.35">
      <c r="A1001" s="262">
        <v>12</v>
      </c>
      <c r="C1001" s="245"/>
      <c r="D1001" s="246"/>
      <c r="E1001" s="996"/>
      <c r="F1001" s="997"/>
      <c r="G1001" s="998"/>
      <c r="H1001" s="659"/>
      <c r="I1001" s="608"/>
      <c r="J1001" s="608"/>
      <c r="K1001" s="240"/>
      <c r="L1001" s="597"/>
      <c r="M1001" s="240"/>
      <c r="N1001" s="608"/>
      <c r="O1001" s="240"/>
      <c r="P1001" s="597"/>
      <c r="Q1001" s="240"/>
      <c r="R1001" s="608"/>
      <c r="S1001" s="238"/>
      <c r="T1001" s="239"/>
    </row>
    <row r="1002" spans="1:20" ht="40.049999999999997" hidden="1" customHeight="1" x14ac:dyDescent="0.3">
      <c r="A1002" s="262" t="s">
        <v>1242</v>
      </c>
      <c r="C1002" s="258"/>
      <c r="D1002" s="258"/>
      <c r="E1002" s="972" t="s">
        <v>33</v>
      </c>
      <c r="F1002" s="972"/>
      <c r="G1002" s="972"/>
      <c r="H1002" s="973" t="s">
        <v>29</v>
      </c>
      <c r="I1002" s="973"/>
      <c r="J1002" s="973"/>
      <c r="K1002" s="973"/>
      <c r="L1002" s="973"/>
      <c r="M1002" s="549"/>
      <c r="N1002" s="973" t="s">
        <v>22</v>
      </c>
      <c r="O1002" s="973"/>
      <c r="P1002" s="973"/>
      <c r="Q1002" s="973"/>
      <c r="R1002" s="973"/>
      <c r="S1002" s="973"/>
      <c r="T1002" s="973"/>
    </row>
    <row r="1003" spans="1:20" ht="19.95" hidden="1" customHeight="1" x14ac:dyDescent="0.3">
      <c r="A1003" s="262" t="s">
        <v>1242</v>
      </c>
      <c r="D1003" s="28"/>
      <c r="E1003" s="974" t="s">
        <v>1214</v>
      </c>
      <c r="F1003" s="974"/>
      <c r="G1003" s="974"/>
      <c r="H1003" s="975" t="s">
        <v>38</v>
      </c>
      <c r="I1003" s="975"/>
      <c r="J1003" s="975"/>
      <c r="K1003" s="975"/>
      <c r="L1003" s="975"/>
      <c r="M1003" s="562"/>
      <c r="N1003" s="975" t="s">
        <v>1437</v>
      </c>
      <c r="O1003" s="975"/>
      <c r="P1003" s="975"/>
      <c r="Q1003" s="975"/>
      <c r="R1003" s="975"/>
      <c r="S1003" s="975"/>
      <c r="T1003" s="975"/>
    </row>
    <row r="1004" spans="1:20" ht="19.95" hidden="1" customHeight="1" x14ac:dyDescent="0.3">
      <c r="A1004" s="262" t="s">
        <v>1242</v>
      </c>
      <c r="C1004" s="228"/>
      <c r="D1004" s="228"/>
      <c r="E1004" s="561"/>
      <c r="F1004" s="561"/>
      <c r="G1004" s="561"/>
      <c r="H1004" s="228"/>
      <c r="I1004" s="260"/>
      <c r="J1004" s="260"/>
      <c r="K1004" s="260"/>
      <c r="L1004" s="260"/>
      <c r="M1004" s="260"/>
      <c r="N1004" s="975"/>
      <c r="O1004" s="975"/>
      <c r="P1004" s="975"/>
      <c r="Q1004" s="975"/>
      <c r="R1004" s="975"/>
      <c r="S1004" s="975"/>
      <c r="T1004" s="975"/>
    </row>
    <row r="1005" spans="1:20" ht="19.95" hidden="1" customHeight="1" x14ac:dyDescent="0.3">
      <c r="A1005" s="262" t="s">
        <v>1242</v>
      </c>
      <c r="C1005" s="228"/>
      <c r="D1005" s="228"/>
      <c r="E1005" s="561"/>
      <c r="F1005" s="561"/>
      <c r="G1005" s="561"/>
      <c r="H1005" s="228"/>
      <c r="I1005" s="260"/>
      <c r="J1005" s="260"/>
      <c r="K1005" s="260"/>
      <c r="L1005" s="260"/>
      <c r="M1005" s="260"/>
      <c r="N1005" s="975"/>
      <c r="O1005" s="975"/>
      <c r="P1005" s="975"/>
      <c r="Q1005" s="975"/>
      <c r="R1005" s="975"/>
      <c r="S1005" s="975"/>
      <c r="T1005" s="975"/>
    </row>
    <row r="1006" spans="1:20" ht="19.95" hidden="1" customHeight="1" x14ac:dyDescent="0.3">
      <c r="A1006" s="262" t="s">
        <v>1242</v>
      </c>
      <c r="C1006" s="228"/>
      <c r="D1006" s="228"/>
      <c r="E1006" s="561"/>
      <c r="F1006" s="561"/>
      <c r="G1006" s="561"/>
      <c r="H1006" s="261"/>
      <c r="I1006" s="261"/>
      <c r="J1006" s="261"/>
      <c r="K1006" s="261"/>
      <c r="L1006" s="261"/>
      <c r="M1006" s="261"/>
      <c r="N1006" s="968" t="s">
        <v>54</v>
      </c>
      <c r="O1006" s="968"/>
      <c r="P1006" s="968" t="s">
        <v>27</v>
      </c>
      <c r="Q1006" s="968"/>
      <c r="R1006" s="968"/>
      <c r="S1006" s="968" t="s">
        <v>55</v>
      </c>
      <c r="T1006" s="968"/>
    </row>
    <row r="1007" spans="1:20" ht="19.95" hidden="1" customHeight="1" x14ac:dyDescent="0.3">
      <c r="A1007" s="262" t="s">
        <v>1242</v>
      </c>
      <c r="C1007" s="228"/>
      <c r="D1007" s="228"/>
      <c r="E1007" s="561"/>
      <c r="F1007" s="561"/>
      <c r="G1007" s="561"/>
      <c r="H1007" s="261"/>
      <c r="I1007" s="261"/>
      <c r="J1007" s="261"/>
      <c r="K1007" s="261"/>
      <c r="L1007" s="261"/>
      <c r="M1007" s="261"/>
      <c r="N1007" s="968" t="s">
        <v>1484</v>
      </c>
      <c r="O1007" s="968"/>
      <c r="P1007" s="968" t="s">
        <v>1484</v>
      </c>
      <c r="Q1007" s="968"/>
      <c r="R1007" s="968"/>
      <c r="S1007" s="968" t="s">
        <v>1484</v>
      </c>
      <c r="T1007" s="968"/>
    </row>
    <row r="1008" spans="1:20" ht="19.95" hidden="1" customHeight="1" x14ac:dyDescent="0.3">
      <c r="A1008" s="262" t="s">
        <v>1242</v>
      </c>
      <c r="C1008" s="228"/>
      <c r="D1008" s="228"/>
      <c r="E1008" s="561"/>
      <c r="F1008" s="561"/>
      <c r="G1008" s="561"/>
      <c r="H1008" s="975" t="s">
        <v>32</v>
      </c>
      <c r="I1008" s="975"/>
      <c r="J1008" s="562"/>
      <c r="K1008" s="975" t="s">
        <v>1407</v>
      </c>
      <c r="L1008" s="975"/>
      <c r="M1008" s="562"/>
      <c r="N1008" s="260"/>
      <c r="O1008" s="260"/>
      <c r="P1008" s="260"/>
      <c r="Q1008" s="260"/>
      <c r="R1008" s="260"/>
      <c r="S1008" s="260"/>
      <c r="T1008" s="260"/>
    </row>
    <row r="1009" spans="1:20" ht="19.95" hidden="1" customHeight="1" x14ac:dyDescent="0.3">
      <c r="A1009" s="262" t="s">
        <v>1242</v>
      </c>
      <c r="C1009" s="228"/>
      <c r="D1009" s="228"/>
      <c r="E1009" s="561"/>
      <c r="F1009" s="561"/>
      <c r="G1009" s="561"/>
      <c r="H1009" s="976" t="s">
        <v>94</v>
      </c>
      <c r="I1009" s="976"/>
      <c r="J1009" s="623"/>
      <c r="K1009" s="976" t="s">
        <v>94</v>
      </c>
      <c r="L1009" s="976"/>
      <c r="M1009" s="623"/>
      <c r="N1009" s="260"/>
      <c r="O1009" s="260"/>
      <c r="P1009" s="260"/>
      <c r="Q1009" s="260"/>
      <c r="R1009" s="260"/>
      <c r="S1009" s="260"/>
      <c r="T1009" s="260"/>
    </row>
    <row r="1010" spans="1:20" ht="19.95" hidden="1" customHeight="1" x14ac:dyDescent="0.3">
      <c r="A1010" s="262" t="s">
        <v>1242</v>
      </c>
      <c r="C1010" s="228"/>
      <c r="D1010" s="228"/>
      <c r="E1010" s="561"/>
      <c r="F1010" s="561"/>
      <c r="G1010" s="561"/>
      <c r="H1010" s="976"/>
      <c r="I1010" s="976"/>
      <c r="J1010" s="623"/>
      <c r="K1010" s="976"/>
      <c r="L1010" s="976"/>
      <c r="M1010" s="623"/>
      <c r="N1010" s="968" t="s">
        <v>28</v>
      </c>
      <c r="O1010" s="968"/>
      <c r="P1010" s="968" t="s">
        <v>52</v>
      </c>
      <c r="Q1010" s="968"/>
      <c r="R1010" s="968"/>
      <c r="S1010" s="968" t="s">
        <v>1244</v>
      </c>
      <c r="T1010" s="968"/>
    </row>
    <row r="1011" spans="1:20" ht="19.95" hidden="1" customHeight="1" x14ac:dyDescent="0.3">
      <c r="A1011" s="262" t="s">
        <v>1242</v>
      </c>
      <c r="C1011" s="228"/>
      <c r="D1011" s="228"/>
      <c r="E1011" s="561"/>
      <c r="F1011" s="561"/>
      <c r="G1011" s="561"/>
      <c r="H1011" s="261"/>
      <c r="I1011" s="261"/>
      <c r="J1011" s="261"/>
      <c r="K1011" s="261"/>
      <c r="L1011" s="261"/>
      <c r="M1011" s="261"/>
      <c r="N1011" s="968" t="s">
        <v>1486</v>
      </c>
      <c r="O1011" s="968"/>
      <c r="P1011" s="968" t="s">
        <v>1485</v>
      </c>
      <c r="Q1011" s="968"/>
      <c r="R1011" s="968"/>
      <c r="S1011" s="968" t="s">
        <v>1483</v>
      </c>
      <c r="T1011" s="968"/>
    </row>
    <row r="1012" spans="1:20" ht="19.95" hidden="1" customHeight="1" x14ac:dyDescent="0.3">
      <c r="A1012" s="262" t="s">
        <v>1242</v>
      </c>
      <c r="C1012" s="228"/>
      <c r="D1012" s="228"/>
      <c r="E1012" s="561"/>
      <c r="F1012" s="561"/>
      <c r="G1012" s="561"/>
      <c r="H1012" s="228"/>
      <c r="I1012" s="260"/>
      <c r="J1012" s="260"/>
      <c r="K1012" s="260"/>
      <c r="L1012" s="260"/>
      <c r="M1012" s="260"/>
      <c r="N1012" s="260"/>
      <c r="O1012" s="260"/>
      <c r="P1012" s="260"/>
      <c r="Q1012" s="260"/>
      <c r="R1012" s="260"/>
      <c r="S1012" s="624"/>
      <c r="T1012" s="260"/>
    </row>
    <row r="1013" spans="1:20" ht="19.95" hidden="1" customHeight="1" x14ac:dyDescent="0.3">
      <c r="A1013" s="262" t="s">
        <v>1242</v>
      </c>
      <c r="C1013" s="228"/>
      <c r="D1013" s="228"/>
      <c r="E1013" s="561"/>
      <c r="F1013" s="561"/>
      <c r="G1013" s="561"/>
      <c r="H1013" s="228"/>
      <c r="I1013" s="260"/>
      <c r="J1013" s="260"/>
      <c r="K1013" s="260"/>
      <c r="L1013" s="260"/>
      <c r="M1013" s="260"/>
      <c r="N1013" s="260"/>
      <c r="O1013" s="260"/>
      <c r="P1013" s="260"/>
      <c r="Q1013" s="260"/>
      <c r="R1013" s="260"/>
      <c r="S1013" s="624"/>
      <c r="T1013" s="260"/>
    </row>
    <row r="1014" spans="1:20" ht="19.95" hidden="1" customHeight="1" x14ac:dyDescent="0.3">
      <c r="A1014" s="262" t="s">
        <v>1242</v>
      </c>
      <c r="C1014" s="228"/>
      <c r="D1014" s="228"/>
      <c r="E1014" s="975" t="s">
        <v>1215</v>
      </c>
      <c r="F1014" s="975"/>
      <c r="G1014" s="975"/>
      <c r="H1014" s="975" t="s">
        <v>1348</v>
      </c>
      <c r="I1014" s="975"/>
      <c r="J1014" s="975"/>
      <c r="K1014" s="975"/>
      <c r="L1014" s="975"/>
      <c r="M1014" s="562"/>
      <c r="N1014" s="977" t="s">
        <v>1217</v>
      </c>
      <c r="O1014" s="977"/>
      <c r="P1014" s="977"/>
      <c r="Q1014" s="548"/>
      <c r="R1014" s="977" t="s">
        <v>1219</v>
      </c>
      <c r="S1014" s="977"/>
      <c r="T1014" s="977"/>
    </row>
    <row r="1015" spans="1:20" ht="19.95" hidden="1" customHeight="1" x14ac:dyDescent="0.3">
      <c r="A1015" s="262" t="s">
        <v>1290</v>
      </c>
      <c r="C1015" s="228"/>
      <c r="D1015" s="228"/>
      <c r="E1015" s="975"/>
      <c r="F1015" s="975"/>
      <c r="G1015" s="975"/>
      <c r="H1015" s="975"/>
      <c r="I1015" s="975"/>
      <c r="J1015" s="975"/>
      <c r="K1015" s="975"/>
      <c r="L1015" s="975"/>
      <c r="M1015" s="562"/>
      <c r="N1015" s="977"/>
      <c r="O1015" s="977"/>
      <c r="P1015" s="977"/>
      <c r="Q1015" s="548"/>
      <c r="R1015" s="977"/>
      <c r="S1015" s="977"/>
      <c r="T1015" s="977"/>
    </row>
    <row r="1016" spans="1:20" ht="15" customHeight="1" x14ac:dyDescent="0.3">
      <c r="I1016" s="11"/>
      <c r="L1016" s="11"/>
      <c r="N1016" s="11"/>
      <c r="O1016" s="11"/>
      <c r="P1016" s="11"/>
      <c r="Q1016" s="11"/>
    </row>
    <row r="1017" spans="1:20" ht="15" customHeight="1" x14ac:dyDescent="0.3">
      <c r="I1017" s="11"/>
      <c r="L1017" s="11"/>
      <c r="N1017" s="11"/>
      <c r="O1017" s="11"/>
      <c r="P1017" s="11"/>
      <c r="Q1017" s="11"/>
    </row>
    <row r="1018" spans="1:20" ht="15" customHeight="1" x14ac:dyDescent="0.3">
      <c r="I1018" s="11"/>
      <c r="L1018" s="11"/>
      <c r="N1018" s="11"/>
      <c r="O1018" s="11"/>
      <c r="P1018" s="11"/>
      <c r="Q1018" s="11"/>
    </row>
    <row r="1019" spans="1:20" ht="15" customHeight="1" x14ac:dyDescent="0.3">
      <c r="I1019" s="11"/>
      <c r="L1019" s="11"/>
      <c r="N1019" s="11"/>
      <c r="O1019" s="968"/>
      <c r="P1019" s="968"/>
      <c r="Q1019" s="968"/>
      <c r="R1019" s="981"/>
      <c r="S1019" s="981"/>
    </row>
    <row r="1020" spans="1:20" ht="15" customHeight="1" x14ac:dyDescent="0.3">
      <c r="I1020" s="11"/>
      <c r="L1020" s="11"/>
      <c r="N1020" s="11"/>
      <c r="O1020" s="968"/>
      <c r="P1020" s="968"/>
      <c r="Q1020" s="968"/>
      <c r="R1020" s="968"/>
      <c r="S1020" s="968"/>
    </row>
    <row r="1021" spans="1:20" ht="15" customHeight="1" x14ac:dyDescent="0.3">
      <c r="I1021" s="11"/>
      <c r="L1021" s="11"/>
      <c r="N1021" s="11"/>
      <c r="O1021" s="11"/>
      <c r="P1021" s="11"/>
      <c r="Q1021" s="11"/>
    </row>
    <row r="1022" spans="1:20" ht="15" customHeight="1" x14ac:dyDescent="0.3">
      <c r="I1022" s="11"/>
      <c r="L1022" s="11"/>
      <c r="N1022" s="11"/>
      <c r="O1022" s="11"/>
      <c r="P1022" s="11"/>
      <c r="Q1022" s="11"/>
    </row>
    <row r="1023" spans="1:20" ht="15" customHeight="1" x14ac:dyDescent="0.3">
      <c r="I1023" s="11"/>
      <c r="L1023" s="11"/>
      <c r="N1023" s="11"/>
      <c r="O1023" s="11"/>
      <c r="P1023" s="11"/>
      <c r="Q1023" s="11"/>
    </row>
    <row r="1024" spans="1:20" ht="15" customHeight="1" x14ac:dyDescent="0.3">
      <c r="I1024" s="11"/>
      <c r="L1024" s="11"/>
      <c r="N1024" s="11"/>
      <c r="O1024" s="11"/>
      <c r="P1024" s="11"/>
      <c r="Q1024" s="11"/>
    </row>
    <row r="1025" spans="9:17" ht="15" customHeight="1" x14ac:dyDescent="0.3">
      <c r="I1025" s="11"/>
      <c r="L1025" s="11"/>
      <c r="N1025" s="11"/>
      <c r="O1025" s="11"/>
      <c r="P1025" s="11"/>
      <c r="Q1025" s="11"/>
    </row>
    <row r="1026" spans="9:17" ht="15" customHeight="1" x14ac:dyDescent="0.3">
      <c r="I1026" s="11"/>
      <c r="L1026" s="11"/>
      <c r="N1026" s="11"/>
      <c r="O1026" s="11"/>
      <c r="P1026" s="11"/>
      <c r="Q1026" s="11"/>
    </row>
    <row r="1027" spans="9:17" ht="15" customHeight="1" x14ac:dyDescent="0.3">
      <c r="I1027" s="11"/>
      <c r="L1027" s="11"/>
      <c r="N1027" s="11"/>
      <c r="O1027" s="11"/>
      <c r="P1027" s="11"/>
      <c r="Q1027" s="11"/>
    </row>
    <row r="1028" spans="9:17" ht="15" customHeight="1" x14ac:dyDescent="0.3">
      <c r="I1028" s="11"/>
      <c r="L1028" s="11"/>
      <c r="N1028" s="11"/>
      <c r="O1028" s="11"/>
      <c r="P1028" s="11"/>
      <c r="Q1028" s="11"/>
    </row>
    <row r="1029" spans="9:17" ht="15" customHeight="1" x14ac:dyDescent="0.3">
      <c r="I1029" s="11"/>
      <c r="L1029" s="11"/>
      <c r="N1029" s="11"/>
      <c r="O1029" s="11"/>
      <c r="P1029" s="11"/>
      <c r="Q1029" s="11"/>
    </row>
    <row r="1030" spans="9:17" ht="15" customHeight="1" x14ac:dyDescent="0.3">
      <c r="I1030" s="11"/>
      <c r="L1030" s="11"/>
      <c r="N1030" s="11"/>
      <c r="O1030" s="11"/>
      <c r="P1030" s="11"/>
      <c r="Q1030" s="11"/>
    </row>
    <row r="1031" spans="9:17" ht="15" customHeight="1" x14ac:dyDescent="0.3">
      <c r="I1031" s="11"/>
      <c r="L1031" s="11"/>
      <c r="N1031" s="11"/>
      <c r="O1031" s="11"/>
      <c r="P1031" s="11"/>
      <c r="Q1031" s="11"/>
    </row>
    <row r="1032" spans="9:17" ht="15" customHeight="1" x14ac:dyDescent="0.3">
      <c r="I1032" s="11"/>
      <c r="L1032" s="11"/>
      <c r="N1032" s="11"/>
      <c r="O1032" s="11"/>
      <c r="P1032" s="11"/>
      <c r="Q1032" s="11"/>
    </row>
    <row r="1033" spans="9:17" ht="15" customHeight="1" x14ac:dyDescent="0.3">
      <c r="I1033" s="11"/>
      <c r="L1033" s="11"/>
      <c r="N1033" s="11"/>
      <c r="O1033" s="11"/>
      <c r="P1033" s="11"/>
      <c r="Q1033" s="11"/>
    </row>
    <row r="1034" spans="9:17" ht="15" customHeight="1" x14ac:dyDescent="0.3">
      <c r="I1034" s="11"/>
      <c r="L1034" s="11"/>
      <c r="N1034" s="11"/>
      <c r="O1034" s="11"/>
      <c r="P1034" s="11"/>
      <c r="Q1034" s="11"/>
    </row>
    <row r="1035" spans="9:17" ht="15" customHeight="1" x14ac:dyDescent="0.3">
      <c r="I1035" s="11"/>
      <c r="L1035" s="11"/>
      <c r="N1035" s="11"/>
      <c r="O1035" s="11"/>
      <c r="P1035" s="11"/>
      <c r="Q1035" s="11"/>
    </row>
    <row r="1036" spans="9:17" ht="15" customHeight="1" x14ac:dyDescent="0.3">
      <c r="I1036" s="11"/>
      <c r="L1036" s="11"/>
      <c r="N1036" s="11"/>
      <c r="O1036" s="11"/>
      <c r="P1036" s="11"/>
      <c r="Q1036" s="11"/>
    </row>
    <row r="1037" spans="9:17" ht="15" customHeight="1" x14ac:dyDescent="0.3">
      <c r="I1037" s="11"/>
      <c r="L1037" s="11"/>
      <c r="N1037" s="11"/>
      <c r="O1037" s="11"/>
      <c r="P1037" s="11"/>
      <c r="Q1037" s="11"/>
    </row>
    <row r="1038" spans="9:17" ht="15" customHeight="1" x14ac:dyDescent="0.3">
      <c r="I1038" s="11"/>
      <c r="L1038" s="11"/>
      <c r="N1038" s="11"/>
      <c r="O1038" s="11"/>
      <c r="P1038" s="11"/>
      <c r="Q1038" s="11"/>
    </row>
    <row r="1039" spans="9:17" ht="15" customHeight="1" x14ac:dyDescent="0.3">
      <c r="I1039" s="11"/>
      <c r="L1039" s="11"/>
      <c r="N1039" s="11"/>
      <c r="O1039" s="11"/>
      <c r="P1039" s="11"/>
      <c r="Q1039" s="11"/>
    </row>
    <row r="1040" spans="9:17" ht="15" customHeight="1" x14ac:dyDescent="0.3">
      <c r="I1040" s="11"/>
      <c r="L1040" s="11"/>
      <c r="N1040" s="11"/>
      <c r="O1040" s="11"/>
      <c r="P1040" s="11"/>
      <c r="Q1040" s="11"/>
    </row>
    <row r="1041" spans="9:17" ht="15" customHeight="1" x14ac:dyDescent="0.3">
      <c r="I1041" s="11"/>
      <c r="L1041" s="11"/>
      <c r="N1041" s="11"/>
      <c r="O1041" s="11"/>
      <c r="P1041" s="11"/>
      <c r="Q1041" s="11"/>
    </row>
    <row r="1042" spans="9:17" ht="15" customHeight="1" x14ac:dyDescent="0.3">
      <c r="I1042" s="11"/>
      <c r="L1042" s="11"/>
      <c r="N1042" s="11"/>
      <c r="O1042" s="11"/>
      <c r="P1042" s="11"/>
      <c r="Q1042" s="11"/>
    </row>
    <row r="1043" spans="9:17" ht="15" customHeight="1" x14ac:dyDescent="0.3">
      <c r="I1043" s="11"/>
      <c r="L1043" s="11"/>
      <c r="N1043" s="11"/>
      <c r="O1043" s="11"/>
      <c r="P1043" s="11"/>
      <c r="Q1043" s="11"/>
    </row>
    <row r="1044" spans="9:17" ht="15" customHeight="1" x14ac:dyDescent="0.3">
      <c r="I1044" s="11"/>
      <c r="L1044" s="11"/>
      <c r="N1044" s="11"/>
      <c r="O1044" s="11"/>
      <c r="P1044" s="11"/>
      <c r="Q1044" s="11"/>
    </row>
    <row r="1045" spans="9:17" ht="15" customHeight="1" x14ac:dyDescent="0.3">
      <c r="I1045" s="11"/>
      <c r="L1045" s="11"/>
      <c r="N1045" s="11"/>
      <c r="O1045" s="11"/>
      <c r="P1045" s="11"/>
      <c r="Q1045" s="11"/>
    </row>
    <row r="1046" spans="9:17" ht="15" customHeight="1" x14ac:dyDescent="0.3">
      <c r="I1046" s="11"/>
      <c r="L1046" s="11"/>
      <c r="N1046" s="11"/>
      <c r="O1046" s="11"/>
      <c r="P1046" s="11"/>
      <c r="Q1046" s="11"/>
    </row>
    <row r="1047" spans="9:17" ht="15" customHeight="1" x14ac:dyDescent="0.3">
      <c r="I1047" s="11"/>
      <c r="L1047" s="11"/>
      <c r="N1047" s="11"/>
      <c r="O1047" s="11"/>
      <c r="P1047" s="11"/>
      <c r="Q1047" s="11"/>
    </row>
    <row r="1048" spans="9:17" ht="15" customHeight="1" x14ac:dyDescent="0.3">
      <c r="I1048" s="11"/>
      <c r="L1048" s="11"/>
      <c r="N1048" s="11"/>
      <c r="O1048" s="11"/>
      <c r="P1048" s="11"/>
      <c r="Q1048" s="11"/>
    </row>
    <row r="1049" spans="9:17" ht="15" customHeight="1" x14ac:dyDescent="0.3">
      <c r="I1049" s="11"/>
      <c r="L1049" s="11"/>
      <c r="N1049" s="11"/>
      <c r="O1049" s="11"/>
      <c r="P1049" s="11"/>
      <c r="Q1049" s="11"/>
    </row>
    <row r="1050" spans="9:17" ht="15" customHeight="1" x14ac:dyDescent="0.3">
      <c r="I1050" s="11"/>
      <c r="L1050" s="11"/>
      <c r="N1050" s="11"/>
      <c r="O1050" s="11"/>
      <c r="P1050" s="11"/>
      <c r="Q1050" s="11"/>
    </row>
    <row r="1051" spans="9:17" ht="15" customHeight="1" x14ac:dyDescent="0.3">
      <c r="I1051" s="11"/>
      <c r="L1051" s="11"/>
      <c r="N1051" s="11"/>
      <c r="O1051" s="11"/>
      <c r="P1051" s="11"/>
      <c r="Q1051" s="11"/>
    </row>
    <row r="1052" spans="9:17" ht="15" customHeight="1" x14ac:dyDescent="0.3">
      <c r="I1052" s="11"/>
      <c r="L1052" s="11"/>
      <c r="N1052" s="11"/>
      <c r="O1052" s="11"/>
      <c r="P1052" s="11"/>
      <c r="Q1052" s="11"/>
    </row>
    <row r="1053" spans="9:17" ht="15" customHeight="1" x14ac:dyDescent="0.3">
      <c r="I1053" s="11"/>
      <c r="L1053" s="11"/>
      <c r="N1053" s="11"/>
      <c r="O1053" s="11"/>
      <c r="P1053" s="11"/>
      <c r="Q1053" s="11"/>
    </row>
    <row r="1054" spans="9:17" ht="15" customHeight="1" x14ac:dyDescent="0.3">
      <c r="I1054" s="11"/>
      <c r="L1054" s="11"/>
      <c r="N1054" s="11"/>
      <c r="O1054" s="11"/>
      <c r="P1054" s="11"/>
      <c r="Q1054" s="11"/>
    </row>
    <row r="1055" spans="9:17" ht="15" customHeight="1" x14ac:dyDescent="0.3">
      <c r="I1055" s="11"/>
      <c r="L1055" s="11"/>
      <c r="N1055" s="11"/>
      <c r="O1055" s="11"/>
      <c r="P1055" s="11"/>
      <c r="Q1055" s="11"/>
    </row>
    <row r="1056" spans="9:17" ht="15" customHeight="1" x14ac:dyDescent="0.3">
      <c r="I1056" s="11"/>
      <c r="L1056" s="11"/>
      <c r="N1056" s="11"/>
      <c r="O1056" s="11"/>
      <c r="P1056" s="11"/>
      <c r="Q1056" s="11"/>
    </row>
    <row r="1057" spans="9:17" ht="15" customHeight="1" x14ac:dyDescent="0.3">
      <c r="I1057" s="11"/>
      <c r="L1057" s="11"/>
      <c r="N1057" s="11"/>
      <c r="O1057" s="11"/>
      <c r="P1057" s="11"/>
      <c r="Q1057" s="11"/>
    </row>
    <row r="1058" spans="9:17" ht="15" customHeight="1" x14ac:dyDescent="0.3">
      <c r="I1058" s="11"/>
      <c r="L1058" s="11"/>
      <c r="N1058" s="11"/>
      <c r="O1058" s="11"/>
      <c r="P1058" s="11"/>
      <c r="Q1058" s="11"/>
    </row>
    <row r="1059" spans="9:17" ht="15" customHeight="1" x14ac:dyDescent="0.3">
      <c r="I1059" s="11"/>
      <c r="L1059" s="11"/>
      <c r="N1059" s="11"/>
      <c r="O1059" s="11"/>
      <c r="P1059" s="11"/>
      <c r="Q1059" s="11"/>
    </row>
    <row r="1060" spans="9:17" ht="15" customHeight="1" x14ac:dyDescent="0.3">
      <c r="I1060" s="11"/>
      <c r="L1060" s="11"/>
      <c r="N1060" s="11"/>
      <c r="O1060" s="11"/>
      <c r="P1060" s="11"/>
      <c r="Q1060" s="11"/>
    </row>
    <row r="1061" spans="9:17" ht="15" customHeight="1" x14ac:dyDescent="0.3">
      <c r="I1061" s="11"/>
      <c r="L1061" s="11"/>
      <c r="N1061" s="11"/>
      <c r="O1061" s="11"/>
      <c r="P1061" s="11"/>
      <c r="Q1061" s="11"/>
    </row>
    <row r="1062" spans="9:17" ht="15" customHeight="1" x14ac:dyDescent="0.3">
      <c r="I1062" s="11"/>
      <c r="L1062" s="11"/>
      <c r="N1062" s="11"/>
      <c r="O1062" s="11"/>
      <c r="P1062" s="11"/>
      <c r="Q1062" s="11"/>
    </row>
    <row r="1063" spans="9:17" ht="15" customHeight="1" x14ac:dyDescent="0.3">
      <c r="I1063" s="11"/>
      <c r="L1063" s="11"/>
      <c r="N1063" s="11"/>
      <c r="O1063" s="11"/>
      <c r="P1063" s="11"/>
      <c r="Q1063" s="11"/>
    </row>
    <row r="1064" spans="9:17" ht="15" customHeight="1" x14ac:dyDescent="0.3">
      <c r="I1064" s="11"/>
      <c r="L1064" s="11"/>
      <c r="N1064" s="11"/>
      <c r="O1064" s="11"/>
      <c r="P1064" s="11"/>
      <c r="Q1064" s="11"/>
    </row>
    <row r="1065" spans="9:17" ht="15" customHeight="1" x14ac:dyDescent="0.3">
      <c r="I1065" s="11"/>
      <c r="L1065" s="11"/>
      <c r="N1065" s="11"/>
      <c r="O1065" s="11"/>
      <c r="P1065" s="11"/>
      <c r="Q1065" s="11"/>
    </row>
    <row r="1066" spans="9:17" ht="15" customHeight="1" x14ac:dyDescent="0.3">
      <c r="I1066" s="11"/>
      <c r="L1066" s="11"/>
      <c r="N1066" s="11"/>
      <c r="O1066" s="11"/>
      <c r="P1066" s="11"/>
      <c r="Q1066" s="11"/>
    </row>
    <row r="1067" spans="9:17" ht="15" customHeight="1" x14ac:dyDescent="0.3">
      <c r="I1067" s="11"/>
      <c r="L1067" s="11"/>
      <c r="N1067" s="11"/>
      <c r="O1067" s="11"/>
      <c r="P1067" s="11"/>
      <c r="Q1067" s="11"/>
    </row>
    <row r="1068" spans="9:17" ht="15" customHeight="1" x14ac:dyDescent="0.3">
      <c r="I1068" s="11"/>
      <c r="L1068" s="11"/>
      <c r="N1068" s="11"/>
      <c r="O1068" s="11"/>
      <c r="P1068" s="11"/>
      <c r="Q1068" s="11"/>
    </row>
    <row r="1069" spans="9:17" ht="15" customHeight="1" x14ac:dyDescent="0.3">
      <c r="I1069" s="11"/>
      <c r="L1069" s="11"/>
      <c r="N1069" s="11"/>
      <c r="O1069" s="11"/>
      <c r="P1069" s="11"/>
      <c r="Q1069" s="11"/>
    </row>
    <row r="1070" spans="9:17" ht="15" customHeight="1" x14ac:dyDescent="0.3">
      <c r="I1070" s="11"/>
      <c r="L1070" s="11"/>
      <c r="N1070" s="11"/>
      <c r="O1070" s="11"/>
      <c r="P1070" s="11"/>
      <c r="Q1070" s="11"/>
    </row>
    <row r="1071" spans="9:17" ht="15" customHeight="1" x14ac:dyDescent="0.3">
      <c r="I1071" s="11"/>
      <c r="L1071" s="11"/>
      <c r="N1071" s="11"/>
      <c r="O1071" s="11"/>
      <c r="P1071" s="11"/>
      <c r="Q1071" s="11"/>
    </row>
    <row r="1072" spans="9:17" ht="15" customHeight="1" x14ac:dyDescent="0.3">
      <c r="I1072" s="11"/>
      <c r="L1072" s="11"/>
      <c r="N1072" s="11"/>
      <c r="O1072" s="11"/>
      <c r="P1072" s="11"/>
      <c r="Q1072" s="11"/>
    </row>
    <row r="1073" spans="9:17" ht="15" customHeight="1" x14ac:dyDescent="0.3">
      <c r="I1073" s="11"/>
      <c r="L1073" s="11"/>
      <c r="N1073" s="11"/>
      <c r="O1073" s="11"/>
      <c r="P1073" s="11"/>
      <c r="Q1073" s="11"/>
    </row>
    <row r="1074" spans="9:17" ht="15" customHeight="1" x14ac:dyDescent="0.3">
      <c r="I1074" s="11"/>
      <c r="L1074" s="11"/>
      <c r="N1074" s="11"/>
      <c r="O1074" s="11"/>
      <c r="P1074" s="11"/>
      <c r="Q1074" s="11"/>
    </row>
    <row r="1075" spans="9:17" ht="15" customHeight="1" x14ac:dyDescent="0.3">
      <c r="I1075" s="11"/>
      <c r="L1075" s="11"/>
      <c r="N1075" s="11"/>
      <c r="O1075" s="11"/>
      <c r="P1075" s="11"/>
      <c r="Q1075" s="11"/>
    </row>
    <row r="1076" spans="9:17" ht="15" customHeight="1" x14ac:dyDescent="0.3">
      <c r="I1076" s="11"/>
      <c r="L1076" s="11"/>
      <c r="N1076" s="11"/>
      <c r="O1076" s="11"/>
      <c r="P1076" s="11"/>
      <c r="Q1076" s="11"/>
    </row>
    <row r="1077" spans="9:17" ht="15" customHeight="1" x14ac:dyDescent="0.3">
      <c r="I1077" s="11"/>
      <c r="L1077" s="11"/>
      <c r="N1077" s="11"/>
      <c r="O1077" s="11"/>
      <c r="P1077" s="11"/>
      <c r="Q1077" s="11"/>
    </row>
    <row r="1078" spans="9:17" ht="15" customHeight="1" x14ac:dyDescent="0.3">
      <c r="I1078" s="11"/>
      <c r="L1078" s="11"/>
      <c r="N1078" s="11"/>
      <c r="O1078" s="11"/>
      <c r="P1078" s="11"/>
      <c r="Q1078" s="11"/>
    </row>
    <row r="1079" spans="9:17" ht="15" customHeight="1" x14ac:dyDescent="0.3">
      <c r="I1079" s="11"/>
      <c r="L1079" s="11"/>
      <c r="N1079" s="11"/>
      <c r="O1079" s="11"/>
      <c r="P1079" s="11"/>
      <c r="Q1079" s="11"/>
    </row>
    <row r="1080" spans="9:17" ht="15" customHeight="1" x14ac:dyDescent="0.3">
      <c r="I1080" s="11"/>
      <c r="L1080" s="11"/>
      <c r="N1080" s="11"/>
      <c r="O1080" s="11"/>
      <c r="P1080" s="11"/>
      <c r="Q1080" s="11"/>
    </row>
    <row r="1081" spans="9:17" ht="15" customHeight="1" x14ac:dyDescent="0.3">
      <c r="I1081" s="11"/>
      <c r="L1081" s="11"/>
      <c r="N1081" s="11"/>
      <c r="O1081" s="11"/>
      <c r="P1081" s="11"/>
      <c r="Q1081" s="11"/>
    </row>
    <row r="1082" spans="9:17" ht="15" customHeight="1" x14ac:dyDescent="0.3">
      <c r="I1082" s="11"/>
      <c r="L1082" s="11"/>
      <c r="N1082" s="11"/>
      <c r="O1082" s="11"/>
      <c r="P1082" s="11"/>
      <c r="Q1082" s="11"/>
    </row>
    <row r="1083" spans="9:17" ht="15" customHeight="1" x14ac:dyDescent="0.3">
      <c r="I1083" s="11"/>
      <c r="L1083" s="11"/>
      <c r="N1083" s="11"/>
      <c r="O1083" s="11"/>
      <c r="P1083" s="11"/>
      <c r="Q1083" s="11"/>
    </row>
    <row r="1084" spans="9:17" ht="15" customHeight="1" x14ac:dyDescent="0.3">
      <c r="I1084" s="11"/>
      <c r="L1084" s="11"/>
      <c r="N1084" s="11"/>
      <c r="O1084" s="11"/>
      <c r="P1084" s="11"/>
      <c r="Q1084" s="11"/>
    </row>
    <row r="1085" spans="9:17" ht="15" customHeight="1" x14ac:dyDescent="0.3">
      <c r="I1085" s="11"/>
      <c r="L1085" s="11"/>
      <c r="N1085" s="11"/>
      <c r="O1085" s="11"/>
      <c r="P1085" s="11"/>
      <c r="Q1085" s="11"/>
    </row>
    <row r="1086" spans="9:17" ht="15" customHeight="1" x14ac:dyDescent="0.3">
      <c r="I1086" s="11"/>
      <c r="L1086" s="11"/>
      <c r="N1086" s="11"/>
      <c r="O1086" s="11"/>
      <c r="P1086" s="11"/>
      <c r="Q1086" s="11"/>
    </row>
    <row r="1087" spans="9:17" ht="15" customHeight="1" x14ac:dyDescent="0.3">
      <c r="I1087" s="11"/>
      <c r="L1087" s="11"/>
      <c r="N1087" s="11"/>
      <c r="O1087" s="11"/>
      <c r="P1087" s="11"/>
      <c r="Q1087" s="11"/>
    </row>
    <row r="1088" spans="9:17" ht="15" customHeight="1" x14ac:dyDescent="0.3">
      <c r="I1088" s="11"/>
      <c r="L1088" s="11"/>
      <c r="N1088" s="11"/>
      <c r="O1088" s="11"/>
      <c r="P1088" s="11"/>
      <c r="Q1088" s="11"/>
    </row>
    <row r="1089" spans="9:17" ht="15" customHeight="1" x14ac:dyDescent="0.3">
      <c r="I1089" s="11"/>
      <c r="L1089" s="11"/>
      <c r="N1089" s="11"/>
      <c r="O1089" s="11"/>
      <c r="P1089" s="11"/>
      <c r="Q1089" s="11"/>
    </row>
    <row r="1090" spans="9:17" ht="15" customHeight="1" x14ac:dyDescent="0.3">
      <c r="I1090" s="11"/>
      <c r="L1090" s="11"/>
      <c r="N1090" s="11"/>
      <c r="O1090" s="11"/>
      <c r="P1090" s="11"/>
      <c r="Q1090" s="11"/>
    </row>
    <row r="1091" spans="9:17" ht="15" customHeight="1" x14ac:dyDescent="0.3">
      <c r="I1091" s="11"/>
      <c r="L1091" s="11"/>
      <c r="N1091" s="11"/>
      <c r="O1091" s="11"/>
      <c r="P1091" s="11"/>
      <c r="Q1091" s="11"/>
    </row>
    <row r="1092" spans="9:17" ht="15" customHeight="1" x14ac:dyDescent="0.3">
      <c r="I1092" s="11"/>
      <c r="L1092" s="11"/>
      <c r="N1092" s="11"/>
      <c r="O1092" s="11"/>
      <c r="P1092" s="11"/>
      <c r="Q1092" s="11"/>
    </row>
    <row r="1093" spans="9:17" ht="15" customHeight="1" x14ac:dyDescent="0.3">
      <c r="I1093" s="11"/>
      <c r="L1093" s="11"/>
      <c r="N1093" s="11"/>
      <c r="O1093" s="11"/>
      <c r="P1093" s="11"/>
      <c r="Q1093" s="11"/>
    </row>
    <row r="1094" spans="9:17" ht="15" customHeight="1" x14ac:dyDescent="0.3">
      <c r="I1094" s="11"/>
      <c r="L1094" s="11"/>
      <c r="N1094" s="11"/>
      <c r="O1094" s="11"/>
      <c r="P1094" s="11"/>
      <c r="Q1094" s="11"/>
    </row>
    <row r="1095" spans="9:17" ht="15" customHeight="1" x14ac:dyDescent="0.3">
      <c r="I1095" s="11"/>
      <c r="L1095" s="11"/>
      <c r="N1095" s="11"/>
      <c r="O1095" s="11"/>
      <c r="P1095" s="11"/>
      <c r="Q1095" s="11"/>
    </row>
    <row r="1096" spans="9:17" ht="15" customHeight="1" x14ac:dyDescent="0.3">
      <c r="I1096" s="11"/>
      <c r="L1096" s="11"/>
      <c r="N1096" s="11"/>
      <c r="O1096" s="11"/>
      <c r="P1096" s="11"/>
      <c r="Q1096" s="11"/>
    </row>
    <row r="1097" spans="9:17" ht="15" customHeight="1" x14ac:dyDescent="0.3">
      <c r="I1097" s="11"/>
      <c r="L1097" s="11"/>
      <c r="N1097" s="11"/>
      <c r="O1097" s="11"/>
      <c r="P1097" s="11"/>
      <c r="Q1097" s="11"/>
    </row>
    <row r="1098" spans="9:17" ht="15" customHeight="1" x14ac:dyDescent="0.3">
      <c r="I1098" s="11"/>
      <c r="L1098" s="11"/>
      <c r="N1098" s="11"/>
      <c r="O1098" s="11"/>
      <c r="P1098" s="11"/>
      <c r="Q1098" s="11"/>
    </row>
    <row r="1099" spans="9:17" ht="15" customHeight="1" x14ac:dyDescent="0.3">
      <c r="I1099" s="11"/>
      <c r="L1099" s="11"/>
      <c r="N1099" s="11"/>
      <c r="O1099" s="11"/>
      <c r="P1099" s="11"/>
      <c r="Q1099" s="11"/>
    </row>
    <row r="1100" spans="9:17" ht="15" customHeight="1" x14ac:dyDescent="0.3">
      <c r="I1100" s="11"/>
      <c r="L1100" s="11"/>
      <c r="N1100" s="11"/>
      <c r="O1100" s="11"/>
      <c r="P1100" s="11"/>
      <c r="Q1100" s="11"/>
    </row>
    <row r="1101" spans="9:17" ht="15" customHeight="1" x14ac:dyDescent="0.3">
      <c r="I1101" s="11"/>
      <c r="L1101" s="11"/>
      <c r="N1101" s="11"/>
      <c r="O1101" s="11"/>
      <c r="P1101" s="11"/>
      <c r="Q1101" s="11"/>
    </row>
    <row r="1102" spans="9:17" ht="15" customHeight="1" x14ac:dyDescent="0.3">
      <c r="I1102" s="11"/>
      <c r="L1102" s="11"/>
      <c r="N1102" s="11"/>
      <c r="O1102" s="11"/>
      <c r="P1102" s="11"/>
      <c r="Q1102" s="11"/>
    </row>
    <row r="1103" spans="9:17" ht="15" customHeight="1" x14ac:dyDescent="0.3">
      <c r="I1103" s="11"/>
      <c r="L1103" s="11"/>
      <c r="N1103" s="11"/>
      <c r="O1103" s="11"/>
      <c r="P1103" s="11"/>
      <c r="Q1103" s="11"/>
    </row>
    <row r="1104" spans="9:17" ht="15" customHeight="1" x14ac:dyDescent="0.3">
      <c r="I1104" s="11"/>
      <c r="L1104" s="11"/>
      <c r="N1104" s="11"/>
      <c r="O1104" s="11"/>
      <c r="P1104" s="11"/>
      <c r="Q1104" s="11"/>
    </row>
    <row r="1105" spans="9:17" ht="15" customHeight="1" x14ac:dyDescent="0.3">
      <c r="I1105" s="11"/>
      <c r="L1105" s="11"/>
      <c r="N1105" s="11"/>
      <c r="O1105" s="11"/>
      <c r="P1105" s="11"/>
      <c r="Q1105" s="11"/>
    </row>
    <row r="1106" spans="9:17" ht="15" customHeight="1" x14ac:dyDescent="0.3">
      <c r="I1106" s="11"/>
      <c r="L1106" s="11"/>
      <c r="N1106" s="11"/>
      <c r="O1106" s="11"/>
      <c r="P1106" s="11"/>
      <c r="Q1106" s="11"/>
    </row>
    <row r="1107" spans="9:17" ht="15" customHeight="1" x14ac:dyDescent="0.3">
      <c r="I1107" s="11"/>
      <c r="L1107" s="11"/>
      <c r="N1107" s="11"/>
      <c r="O1107" s="11"/>
      <c r="P1107" s="11"/>
      <c r="Q1107" s="11"/>
    </row>
    <row r="1108" spans="9:17" ht="15" customHeight="1" x14ac:dyDescent="0.3">
      <c r="I1108" s="11"/>
      <c r="L1108" s="11"/>
      <c r="N1108" s="11"/>
      <c r="O1108" s="11"/>
      <c r="P1108" s="11"/>
      <c r="Q1108" s="11"/>
    </row>
    <row r="1109" spans="9:17" ht="15" customHeight="1" x14ac:dyDescent="0.3">
      <c r="I1109" s="11"/>
      <c r="L1109" s="11"/>
      <c r="N1109" s="11"/>
      <c r="O1109" s="11"/>
      <c r="P1109" s="11"/>
      <c r="Q1109" s="11"/>
    </row>
    <row r="1110" spans="9:17" ht="15" customHeight="1" x14ac:dyDescent="0.3">
      <c r="I1110" s="11"/>
      <c r="L1110" s="11"/>
      <c r="N1110" s="11"/>
      <c r="O1110" s="11"/>
      <c r="P1110" s="11"/>
      <c r="Q1110" s="11"/>
    </row>
    <row r="1111" spans="9:17" ht="15" customHeight="1" x14ac:dyDescent="0.3">
      <c r="I1111" s="11"/>
      <c r="L1111" s="11"/>
      <c r="N1111" s="11"/>
      <c r="O1111" s="11"/>
      <c r="P1111" s="11"/>
      <c r="Q1111" s="11"/>
    </row>
    <row r="1112" spans="9:17" ht="15" customHeight="1" x14ac:dyDescent="0.3">
      <c r="I1112" s="11"/>
      <c r="L1112" s="11"/>
      <c r="N1112" s="11"/>
      <c r="O1112" s="11"/>
      <c r="P1112" s="11"/>
      <c r="Q1112" s="11"/>
    </row>
    <row r="1113" spans="9:17" ht="15" customHeight="1" x14ac:dyDescent="0.3">
      <c r="I1113" s="11"/>
      <c r="L1113" s="11"/>
      <c r="N1113" s="11"/>
      <c r="O1113" s="11"/>
      <c r="P1113" s="11"/>
      <c r="Q1113" s="11"/>
    </row>
    <row r="1114" spans="9:17" ht="15" customHeight="1" x14ac:dyDescent="0.3">
      <c r="I1114" s="11"/>
      <c r="L1114" s="11"/>
      <c r="N1114" s="11"/>
      <c r="O1114" s="11"/>
      <c r="P1114" s="11"/>
      <c r="Q1114" s="11"/>
    </row>
    <row r="1115" spans="9:17" ht="15" customHeight="1" x14ac:dyDescent="0.3">
      <c r="I1115" s="11"/>
      <c r="L1115" s="11"/>
      <c r="N1115" s="11"/>
      <c r="O1115" s="11"/>
      <c r="P1115" s="11"/>
      <c r="Q1115" s="11"/>
    </row>
  </sheetData>
  <autoFilter ref="N1:N1115" xr:uid="{73603584-4FAD-4DB7-B932-3276AB62821D}"/>
  <mergeCells count="1199">
    <mergeCell ref="O1019:Q1019"/>
    <mergeCell ref="R1019:S1019"/>
    <mergeCell ref="O1020:Q1020"/>
    <mergeCell ref="R1020:S1020"/>
    <mergeCell ref="S1010:T1010"/>
    <mergeCell ref="N1011:O1011"/>
    <mergeCell ref="P1011:R1011"/>
    <mergeCell ref="S1011:T1011"/>
    <mergeCell ref="E1014:G1015"/>
    <mergeCell ref="H1014:L1015"/>
    <mergeCell ref="N1014:P1015"/>
    <mergeCell ref="R1014:T1015"/>
    <mergeCell ref="H1008:I1008"/>
    <mergeCell ref="K1008:L1008"/>
    <mergeCell ref="H1009:I1010"/>
    <mergeCell ref="K1009:L1010"/>
    <mergeCell ref="N1010:O1010"/>
    <mergeCell ref="P1010:R1010"/>
    <mergeCell ref="N1006:O1006"/>
    <mergeCell ref="P1006:R1006"/>
    <mergeCell ref="S1006:T1006"/>
    <mergeCell ref="N1007:O1007"/>
    <mergeCell ref="P1007:R1007"/>
    <mergeCell ref="S1007:T1007"/>
    <mergeCell ref="E1002:G1002"/>
    <mergeCell ref="H1002:L1002"/>
    <mergeCell ref="N1002:T1002"/>
    <mergeCell ref="E1003:G1003"/>
    <mergeCell ref="H1003:L1003"/>
    <mergeCell ref="N1003:T1005"/>
    <mergeCell ref="E996:G996"/>
    <mergeCell ref="E997:G997"/>
    <mergeCell ref="E998:G998"/>
    <mergeCell ref="E999:G999"/>
    <mergeCell ref="E1000:G1000"/>
    <mergeCell ref="E1001:G1001"/>
    <mergeCell ref="E990:G990"/>
    <mergeCell ref="E991:G991"/>
    <mergeCell ref="E992:G992"/>
    <mergeCell ref="E993:G993"/>
    <mergeCell ref="E994:G994"/>
    <mergeCell ref="E995:G995"/>
    <mergeCell ref="E984:G984"/>
    <mergeCell ref="E985:G985"/>
    <mergeCell ref="E986:G986"/>
    <mergeCell ref="E987:G987"/>
    <mergeCell ref="E988:G988"/>
    <mergeCell ref="E989:G989"/>
    <mergeCell ref="E977:G978"/>
    <mergeCell ref="H977:L978"/>
    <mergeCell ref="N977:T978"/>
    <mergeCell ref="E980:G980"/>
    <mergeCell ref="E982:G982"/>
    <mergeCell ref="E983:G983"/>
    <mergeCell ref="H973:I973"/>
    <mergeCell ref="K973:L973"/>
    <mergeCell ref="N973:P973"/>
    <mergeCell ref="R973:T973"/>
    <mergeCell ref="H974:I975"/>
    <mergeCell ref="K974:L975"/>
    <mergeCell ref="N974:P974"/>
    <mergeCell ref="R974:T974"/>
    <mergeCell ref="N975:P975"/>
    <mergeCell ref="R975:T975"/>
    <mergeCell ref="E966:G966"/>
    <mergeCell ref="E967:G967"/>
    <mergeCell ref="E968:G968"/>
    <mergeCell ref="H968:L968"/>
    <mergeCell ref="N968:T968"/>
    <mergeCell ref="E969:G969"/>
    <mergeCell ref="H969:L969"/>
    <mergeCell ref="N969:T971"/>
    <mergeCell ref="E960:G960"/>
    <mergeCell ref="E961:G961"/>
    <mergeCell ref="E962:G962"/>
    <mergeCell ref="E963:G963"/>
    <mergeCell ref="E964:G964"/>
    <mergeCell ref="E965:G965"/>
    <mergeCell ref="E954:G954"/>
    <mergeCell ref="E955:G955"/>
    <mergeCell ref="E956:G956"/>
    <mergeCell ref="E957:G957"/>
    <mergeCell ref="E958:G958"/>
    <mergeCell ref="E959:G959"/>
    <mergeCell ref="E948:G948"/>
    <mergeCell ref="E949:G949"/>
    <mergeCell ref="E950:G950"/>
    <mergeCell ref="E951:G951"/>
    <mergeCell ref="E952:G952"/>
    <mergeCell ref="E953:G953"/>
    <mergeCell ref="E943:G944"/>
    <mergeCell ref="H943:L944"/>
    <mergeCell ref="N943:T944"/>
    <mergeCell ref="E945:G945"/>
    <mergeCell ref="E946:G946"/>
    <mergeCell ref="E947:G947"/>
    <mergeCell ref="H939:I939"/>
    <mergeCell ref="K939:L939"/>
    <mergeCell ref="N939:T939"/>
    <mergeCell ref="H940:I941"/>
    <mergeCell ref="K940:L941"/>
    <mergeCell ref="N940:T940"/>
    <mergeCell ref="N941:T941"/>
    <mergeCell ref="E932:G932"/>
    <mergeCell ref="E933:G933"/>
    <mergeCell ref="E934:G934"/>
    <mergeCell ref="H934:L934"/>
    <mergeCell ref="N934:T934"/>
    <mergeCell ref="E935:G935"/>
    <mergeCell ref="H935:L935"/>
    <mergeCell ref="N935:T937"/>
    <mergeCell ref="E926:G926"/>
    <mergeCell ref="E927:G927"/>
    <mergeCell ref="E928:G928"/>
    <mergeCell ref="E929:G929"/>
    <mergeCell ref="E930:G930"/>
    <mergeCell ref="E931:G931"/>
    <mergeCell ref="E920:G920"/>
    <mergeCell ref="E921:G921"/>
    <mergeCell ref="E922:G922"/>
    <mergeCell ref="E923:G923"/>
    <mergeCell ref="E924:G924"/>
    <mergeCell ref="E925:G925"/>
    <mergeCell ref="E914:G914"/>
    <mergeCell ref="E915:G915"/>
    <mergeCell ref="E916:G916"/>
    <mergeCell ref="E917:G917"/>
    <mergeCell ref="E918:G918"/>
    <mergeCell ref="E919:G919"/>
    <mergeCell ref="E909:G910"/>
    <mergeCell ref="H909:L910"/>
    <mergeCell ref="N909:T910"/>
    <mergeCell ref="E911:G911"/>
    <mergeCell ref="E912:G912"/>
    <mergeCell ref="E913:G913"/>
    <mergeCell ref="H905:I905"/>
    <mergeCell ref="K905:L905"/>
    <mergeCell ref="N905:T905"/>
    <mergeCell ref="H906:I907"/>
    <mergeCell ref="K906:L907"/>
    <mergeCell ref="N906:T906"/>
    <mergeCell ref="N907:T907"/>
    <mergeCell ref="E898:G898"/>
    <mergeCell ref="E899:G899"/>
    <mergeCell ref="E900:G900"/>
    <mergeCell ref="H900:L900"/>
    <mergeCell ref="N900:T900"/>
    <mergeCell ref="E901:G901"/>
    <mergeCell ref="H901:L901"/>
    <mergeCell ref="N901:T903"/>
    <mergeCell ref="E892:G892"/>
    <mergeCell ref="E893:G893"/>
    <mergeCell ref="E894:G894"/>
    <mergeCell ref="E895:G895"/>
    <mergeCell ref="E896:G896"/>
    <mergeCell ref="E897:G897"/>
    <mergeCell ref="E886:G886"/>
    <mergeCell ref="E887:G887"/>
    <mergeCell ref="E888:G888"/>
    <mergeCell ref="E889:G889"/>
    <mergeCell ref="E890:G890"/>
    <mergeCell ref="E891:G891"/>
    <mergeCell ref="E880:G880"/>
    <mergeCell ref="E881:G881"/>
    <mergeCell ref="E882:G882"/>
    <mergeCell ref="E883:G883"/>
    <mergeCell ref="E884:G884"/>
    <mergeCell ref="E885:G885"/>
    <mergeCell ref="E875:G876"/>
    <mergeCell ref="H875:L876"/>
    <mergeCell ref="N875:P876"/>
    <mergeCell ref="R875:T876"/>
    <mergeCell ref="E878:G878"/>
    <mergeCell ref="E879:G879"/>
    <mergeCell ref="H870:I871"/>
    <mergeCell ref="K870:L871"/>
    <mergeCell ref="N871:P871"/>
    <mergeCell ref="R871:T871"/>
    <mergeCell ref="N872:P872"/>
    <mergeCell ref="R872:T872"/>
    <mergeCell ref="N867:P867"/>
    <mergeCell ref="R867:T867"/>
    <mergeCell ref="N868:P868"/>
    <mergeCell ref="R868:T868"/>
    <mergeCell ref="H869:I869"/>
    <mergeCell ref="K869:L869"/>
    <mergeCell ref="E862:G862"/>
    <mergeCell ref="E863:G863"/>
    <mergeCell ref="H863:L863"/>
    <mergeCell ref="N863:T863"/>
    <mergeCell ref="E864:G864"/>
    <mergeCell ref="H864:L864"/>
    <mergeCell ref="N864:T866"/>
    <mergeCell ref="E856:G856"/>
    <mergeCell ref="E857:G857"/>
    <mergeCell ref="E858:G858"/>
    <mergeCell ref="E859:G859"/>
    <mergeCell ref="E860:G860"/>
    <mergeCell ref="E861:G861"/>
    <mergeCell ref="E850:G850"/>
    <mergeCell ref="E851:G851"/>
    <mergeCell ref="E852:G852"/>
    <mergeCell ref="E853:G853"/>
    <mergeCell ref="E854:G854"/>
    <mergeCell ref="E855:G855"/>
    <mergeCell ref="E844:G844"/>
    <mergeCell ref="E845:G845"/>
    <mergeCell ref="E846:G846"/>
    <mergeCell ref="E847:G847"/>
    <mergeCell ref="E848:G848"/>
    <mergeCell ref="E849:G849"/>
    <mergeCell ref="E838:G839"/>
    <mergeCell ref="H838:L839"/>
    <mergeCell ref="N838:T839"/>
    <mergeCell ref="E841:G841"/>
    <mergeCell ref="E842:G842"/>
    <mergeCell ref="E843:G843"/>
    <mergeCell ref="H834:I834"/>
    <mergeCell ref="K834:L834"/>
    <mergeCell ref="N834:T834"/>
    <mergeCell ref="H835:I836"/>
    <mergeCell ref="K835:L836"/>
    <mergeCell ref="N835:T835"/>
    <mergeCell ref="N836:T836"/>
    <mergeCell ref="E828:G828"/>
    <mergeCell ref="E829:G829"/>
    <mergeCell ref="H829:L829"/>
    <mergeCell ref="N829:T829"/>
    <mergeCell ref="E830:G830"/>
    <mergeCell ref="H830:L830"/>
    <mergeCell ref="N830:T832"/>
    <mergeCell ref="E822:G822"/>
    <mergeCell ref="E823:G823"/>
    <mergeCell ref="E824:G824"/>
    <mergeCell ref="E825:G825"/>
    <mergeCell ref="E826:G826"/>
    <mergeCell ref="E827:G827"/>
    <mergeCell ref="E816:G816"/>
    <mergeCell ref="E817:G817"/>
    <mergeCell ref="E818:G818"/>
    <mergeCell ref="E819:G819"/>
    <mergeCell ref="E820:G820"/>
    <mergeCell ref="E821:G821"/>
    <mergeCell ref="E810:G810"/>
    <mergeCell ref="E811:G811"/>
    <mergeCell ref="E812:G812"/>
    <mergeCell ref="E813:G813"/>
    <mergeCell ref="E814:G814"/>
    <mergeCell ref="E815:G815"/>
    <mergeCell ref="E804:G805"/>
    <mergeCell ref="H804:L805"/>
    <mergeCell ref="N804:T805"/>
    <mergeCell ref="E807:G807"/>
    <mergeCell ref="E808:G808"/>
    <mergeCell ref="E809:G809"/>
    <mergeCell ref="H800:I800"/>
    <mergeCell ref="K800:L800"/>
    <mergeCell ref="N800:T800"/>
    <mergeCell ref="H801:I802"/>
    <mergeCell ref="K801:L802"/>
    <mergeCell ref="N801:T801"/>
    <mergeCell ref="N802:T802"/>
    <mergeCell ref="E794:G794"/>
    <mergeCell ref="E795:G795"/>
    <mergeCell ref="H795:L795"/>
    <mergeCell ref="N795:T795"/>
    <mergeCell ref="E796:G796"/>
    <mergeCell ref="H796:L796"/>
    <mergeCell ref="N796:T798"/>
    <mergeCell ref="E788:G788"/>
    <mergeCell ref="E789:G789"/>
    <mergeCell ref="E790:G790"/>
    <mergeCell ref="E791:G791"/>
    <mergeCell ref="E792:G792"/>
    <mergeCell ref="E793:G793"/>
    <mergeCell ref="E782:G782"/>
    <mergeCell ref="E783:G783"/>
    <mergeCell ref="E784:G784"/>
    <mergeCell ref="E785:G785"/>
    <mergeCell ref="E786:G786"/>
    <mergeCell ref="E787:G787"/>
    <mergeCell ref="E776:G776"/>
    <mergeCell ref="E777:G777"/>
    <mergeCell ref="E778:G778"/>
    <mergeCell ref="E779:G779"/>
    <mergeCell ref="E780:G780"/>
    <mergeCell ref="E781:G781"/>
    <mergeCell ref="E770:G771"/>
    <mergeCell ref="H770:L771"/>
    <mergeCell ref="N770:T771"/>
    <mergeCell ref="E773:G773"/>
    <mergeCell ref="E774:G774"/>
    <mergeCell ref="E775:G775"/>
    <mergeCell ref="H766:I766"/>
    <mergeCell ref="K766:L766"/>
    <mergeCell ref="N766:T766"/>
    <mergeCell ref="H767:I768"/>
    <mergeCell ref="K767:L768"/>
    <mergeCell ref="N767:T767"/>
    <mergeCell ref="N768:T768"/>
    <mergeCell ref="E759:G759"/>
    <mergeCell ref="E760:G760"/>
    <mergeCell ref="E761:G761"/>
    <mergeCell ref="H761:L761"/>
    <mergeCell ref="N761:T761"/>
    <mergeCell ref="E762:G762"/>
    <mergeCell ref="H762:L762"/>
    <mergeCell ref="N762:T764"/>
    <mergeCell ref="E753:G753"/>
    <mergeCell ref="E754:G754"/>
    <mergeCell ref="E755:G755"/>
    <mergeCell ref="E756:G756"/>
    <mergeCell ref="E757:G757"/>
    <mergeCell ref="E758:G758"/>
    <mergeCell ref="E747:G747"/>
    <mergeCell ref="E748:G748"/>
    <mergeCell ref="E749:G749"/>
    <mergeCell ref="E750:G750"/>
    <mergeCell ref="E751:G751"/>
    <mergeCell ref="E752:G752"/>
    <mergeCell ref="E741:G741"/>
    <mergeCell ref="E742:G742"/>
    <mergeCell ref="E743:G743"/>
    <mergeCell ref="E744:G744"/>
    <mergeCell ref="E745:G745"/>
    <mergeCell ref="E746:G746"/>
    <mergeCell ref="E736:G737"/>
    <mergeCell ref="H736:L737"/>
    <mergeCell ref="N736:T737"/>
    <mergeCell ref="E738:G738"/>
    <mergeCell ref="E739:G739"/>
    <mergeCell ref="E740:G740"/>
    <mergeCell ref="H732:I732"/>
    <mergeCell ref="K732:L732"/>
    <mergeCell ref="N732:P732"/>
    <mergeCell ref="R732:T732"/>
    <mergeCell ref="H733:I734"/>
    <mergeCell ref="K733:L734"/>
    <mergeCell ref="N733:P733"/>
    <mergeCell ref="R733:T733"/>
    <mergeCell ref="N734:P734"/>
    <mergeCell ref="R734:T734"/>
    <mergeCell ref="E726:G726"/>
    <mergeCell ref="E727:G727"/>
    <mergeCell ref="H727:L727"/>
    <mergeCell ref="N727:T727"/>
    <mergeCell ref="E728:G728"/>
    <mergeCell ref="H728:L728"/>
    <mergeCell ref="N728:T730"/>
    <mergeCell ref="E720:G720"/>
    <mergeCell ref="E721:G721"/>
    <mergeCell ref="E722:G722"/>
    <mergeCell ref="E723:G723"/>
    <mergeCell ref="E724:G724"/>
    <mergeCell ref="E725:G725"/>
    <mergeCell ref="E714:G714"/>
    <mergeCell ref="E715:G715"/>
    <mergeCell ref="E716:G716"/>
    <mergeCell ref="E717:G717"/>
    <mergeCell ref="E718:G718"/>
    <mergeCell ref="E719:G719"/>
    <mergeCell ref="E708:G708"/>
    <mergeCell ref="E709:G709"/>
    <mergeCell ref="E710:G710"/>
    <mergeCell ref="E711:G711"/>
    <mergeCell ref="E712:G712"/>
    <mergeCell ref="E713:G713"/>
    <mergeCell ref="E702:G703"/>
    <mergeCell ref="H702:L703"/>
    <mergeCell ref="N702:T703"/>
    <mergeCell ref="E705:G705"/>
    <mergeCell ref="E706:G706"/>
    <mergeCell ref="E707:G707"/>
    <mergeCell ref="H698:I698"/>
    <mergeCell ref="K698:L698"/>
    <mergeCell ref="N698:T698"/>
    <mergeCell ref="H699:I700"/>
    <mergeCell ref="K699:L700"/>
    <mergeCell ref="N699:T699"/>
    <mergeCell ref="N700:T700"/>
    <mergeCell ref="E692:G692"/>
    <mergeCell ref="E693:G693"/>
    <mergeCell ref="H693:L693"/>
    <mergeCell ref="N693:T693"/>
    <mergeCell ref="E694:G694"/>
    <mergeCell ref="H694:L694"/>
    <mergeCell ref="N694:T696"/>
    <mergeCell ref="E686:G686"/>
    <mergeCell ref="E687:G687"/>
    <mergeCell ref="E688:G688"/>
    <mergeCell ref="E689:G689"/>
    <mergeCell ref="E690:G690"/>
    <mergeCell ref="E691:G691"/>
    <mergeCell ref="E680:G680"/>
    <mergeCell ref="E681:G681"/>
    <mergeCell ref="E682:G682"/>
    <mergeCell ref="E683:G683"/>
    <mergeCell ref="E684:G684"/>
    <mergeCell ref="E685:G685"/>
    <mergeCell ref="E674:G674"/>
    <mergeCell ref="E675:G675"/>
    <mergeCell ref="E676:G676"/>
    <mergeCell ref="E677:G677"/>
    <mergeCell ref="E678:G678"/>
    <mergeCell ref="E679:G679"/>
    <mergeCell ref="E668:G669"/>
    <mergeCell ref="H668:L669"/>
    <mergeCell ref="N668:T669"/>
    <mergeCell ref="E671:G671"/>
    <mergeCell ref="E672:G672"/>
    <mergeCell ref="E673:G673"/>
    <mergeCell ref="H664:I664"/>
    <mergeCell ref="K664:L664"/>
    <mergeCell ref="N664:P664"/>
    <mergeCell ref="R664:T664"/>
    <mergeCell ref="H665:I666"/>
    <mergeCell ref="K665:L666"/>
    <mergeCell ref="N665:P665"/>
    <mergeCell ref="R665:T665"/>
    <mergeCell ref="N666:P666"/>
    <mergeCell ref="R666:T666"/>
    <mergeCell ref="E657:G657"/>
    <mergeCell ref="E658:G658"/>
    <mergeCell ref="E659:G659"/>
    <mergeCell ref="H659:L659"/>
    <mergeCell ref="N659:T659"/>
    <mergeCell ref="E660:G660"/>
    <mergeCell ref="H660:L660"/>
    <mergeCell ref="N660:T662"/>
    <mergeCell ref="E651:G651"/>
    <mergeCell ref="E652:G652"/>
    <mergeCell ref="E653:G653"/>
    <mergeCell ref="E654:G654"/>
    <mergeCell ref="E655:G655"/>
    <mergeCell ref="E656:G656"/>
    <mergeCell ref="E645:G645"/>
    <mergeCell ref="E646:G646"/>
    <mergeCell ref="E647:G647"/>
    <mergeCell ref="E648:G648"/>
    <mergeCell ref="E649:G649"/>
    <mergeCell ref="E650:G650"/>
    <mergeCell ref="E639:G639"/>
    <mergeCell ref="E640:G640"/>
    <mergeCell ref="E641:G641"/>
    <mergeCell ref="E642:G642"/>
    <mergeCell ref="E643:G643"/>
    <mergeCell ref="E644:G644"/>
    <mergeCell ref="E634:G635"/>
    <mergeCell ref="H634:L635"/>
    <mergeCell ref="N634:T635"/>
    <mergeCell ref="E636:G636"/>
    <mergeCell ref="E637:G637"/>
    <mergeCell ref="E638:G638"/>
    <mergeCell ref="H630:I630"/>
    <mergeCell ref="K630:L630"/>
    <mergeCell ref="N630:T630"/>
    <mergeCell ref="H631:I632"/>
    <mergeCell ref="K631:L632"/>
    <mergeCell ref="N631:T631"/>
    <mergeCell ref="N632:T632"/>
    <mergeCell ref="E623:G623"/>
    <mergeCell ref="E624:G624"/>
    <mergeCell ref="E625:G625"/>
    <mergeCell ref="H625:L625"/>
    <mergeCell ref="N625:T625"/>
    <mergeCell ref="E626:G626"/>
    <mergeCell ref="H626:L626"/>
    <mergeCell ref="N626:T628"/>
    <mergeCell ref="E617:G617"/>
    <mergeCell ref="E618:G618"/>
    <mergeCell ref="E619:G619"/>
    <mergeCell ref="E620:G620"/>
    <mergeCell ref="E621:G621"/>
    <mergeCell ref="E622:G622"/>
    <mergeCell ref="E611:G611"/>
    <mergeCell ref="E612:G612"/>
    <mergeCell ref="E613:G613"/>
    <mergeCell ref="E614:G614"/>
    <mergeCell ref="E615:G615"/>
    <mergeCell ref="E616:G616"/>
    <mergeCell ref="E605:G605"/>
    <mergeCell ref="E606:G606"/>
    <mergeCell ref="E607:G607"/>
    <mergeCell ref="E608:G608"/>
    <mergeCell ref="E609:G609"/>
    <mergeCell ref="E610:G610"/>
    <mergeCell ref="E600:G601"/>
    <mergeCell ref="H600:L601"/>
    <mergeCell ref="N600:T601"/>
    <mergeCell ref="E602:G602"/>
    <mergeCell ref="E603:G603"/>
    <mergeCell ref="E604:G604"/>
    <mergeCell ref="H596:I596"/>
    <mergeCell ref="K596:L596"/>
    <mergeCell ref="N596:T596"/>
    <mergeCell ref="H597:I598"/>
    <mergeCell ref="K597:L598"/>
    <mergeCell ref="N597:T597"/>
    <mergeCell ref="N598:T598"/>
    <mergeCell ref="E589:G589"/>
    <mergeCell ref="E590:G590"/>
    <mergeCell ref="E591:G591"/>
    <mergeCell ref="H591:L591"/>
    <mergeCell ref="N591:T591"/>
    <mergeCell ref="E592:G592"/>
    <mergeCell ref="H592:L592"/>
    <mergeCell ref="N592:T594"/>
    <mergeCell ref="E583:G583"/>
    <mergeCell ref="E584:G584"/>
    <mergeCell ref="E585:G585"/>
    <mergeCell ref="E586:G586"/>
    <mergeCell ref="E587:G587"/>
    <mergeCell ref="E588:G588"/>
    <mergeCell ref="E577:G577"/>
    <mergeCell ref="E578:G578"/>
    <mergeCell ref="E579:G579"/>
    <mergeCell ref="E580:G580"/>
    <mergeCell ref="E581:G581"/>
    <mergeCell ref="E582:G582"/>
    <mergeCell ref="E571:G571"/>
    <mergeCell ref="E572:G572"/>
    <mergeCell ref="E573:G573"/>
    <mergeCell ref="E574:G574"/>
    <mergeCell ref="E575:G575"/>
    <mergeCell ref="E576:G576"/>
    <mergeCell ref="E566:G567"/>
    <mergeCell ref="H566:L567"/>
    <mergeCell ref="N566:T567"/>
    <mergeCell ref="E568:G568"/>
    <mergeCell ref="E569:G569"/>
    <mergeCell ref="E570:G570"/>
    <mergeCell ref="H562:I562"/>
    <mergeCell ref="K562:L562"/>
    <mergeCell ref="N562:P562"/>
    <mergeCell ref="R562:T562"/>
    <mergeCell ref="H563:I564"/>
    <mergeCell ref="K563:L564"/>
    <mergeCell ref="N563:P563"/>
    <mergeCell ref="R563:T563"/>
    <mergeCell ref="N564:P564"/>
    <mergeCell ref="R564:T564"/>
    <mergeCell ref="E556:G556"/>
    <mergeCell ref="E557:G557"/>
    <mergeCell ref="H557:L557"/>
    <mergeCell ref="N557:T557"/>
    <mergeCell ref="E558:G558"/>
    <mergeCell ref="H558:L558"/>
    <mergeCell ref="N558:T560"/>
    <mergeCell ref="E550:G550"/>
    <mergeCell ref="E551:G551"/>
    <mergeCell ref="E552:G552"/>
    <mergeCell ref="E553:G553"/>
    <mergeCell ref="E554:G554"/>
    <mergeCell ref="E555:G555"/>
    <mergeCell ref="E544:G544"/>
    <mergeCell ref="E545:G545"/>
    <mergeCell ref="E546:G546"/>
    <mergeCell ref="E547:G547"/>
    <mergeCell ref="E548:G548"/>
    <mergeCell ref="E549:G549"/>
    <mergeCell ref="E538:G538"/>
    <mergeCell ref="E539:G539"/>
    <mergeCell ref="E540:G540"/>
    <mergeCell ref="E541:G541"/>
    <mergeCell ref="E542:G542"/>
    <mergeCell ref="E543:G543"/>
    <mergeCell ref="E532:G533"/>
    <mergeCell ref="H532:L533"/>
    <mergeCell ref="N532:T533"/>
    <mergeCell ref="E535:G535"/>
    <mergeCell ref="E536:G536"/>
    <mergeCell ref="E537:G537"/>
    <mergeCell ref="H528:I528"/>
    <mergeCell ref="K528:L528"/>
    <mergeCell ref="N528:T528"/>
    <mergeCell ref="H529:I530"/>
    <mergeCell ref="K529:L530"/>
    <mergeCell ref="N529:T529"/>
    <mergeCell ref="N530:T530"/>
    <mergeCell ref="E522:G522"/>
    <mergeCell ref="E523:G523"/>
    <mergeCell ref="H523:L523"/>
    <mergeCell ref="N523:T523"/>
    <mergeCell ref="E524:G524"/>
    <mergeCell ref="H524:L524"/>
    <mergeCell ref="N524:T526"/>
    <mergeCell ref="E516:G516"/>
    <mergeCell ref="E517:G517"/>
    <mergeCell ref="E518:G518"/>
    <mergeCell ref="E519:G519"/>
    <mergeCell ref="E520:G520"/>
    <mergeCell ref="E521:G521"/>
    <mergeCell ref="E510:G510"/>
    <mergeCell ref="E511:G511"/>
    <mergeCell ref="E512:G512"/>
    <mergeCell ref="E513:G513"/>
    <mergeCell ref="E514:G514"/>
    <mergeCell ref="E515:G515"/>
    <mergeCell ref="E504:G504"/>
    <mergeCell ref="E505:G505"/>
    <mergeCell ref="E506:G506"/>
    <mergeCell ref="E507:G507"/>
    <mergeCell ref="E508:G508"/>
    <mergeCell ref="E509:G509"/>
    <mergeCell ref="E498:G499"/>
    <mergeCell ref="H498:L499"/>
    <mergeCell ref="N498:T499"/>
    <mergeCell ref="E501:G501"/>
    <mergeCell ref="E502:G502"/>
    <mergeCell ref="E503:G503"/>
    <mergeCell ref="H494:I494"/>
    <mergeCell ref="K494:L494"/>
    <mergeCell ref="N494:T494"/>
    <mergeCell ref="H495:I496"/>
    <mergeCell ref="K495:L496"/>
    <mergeCell ref="N495:T495"/>
    <mergeCell ref="N496:T496"/>
    <mergeCell ref="E487:G487"/>
    <mergeCell ref="E488:G488"/>
    <mergeCell ref="E489:G489"/>
    <mergeCell ref="H489:L489"/>
    <mergeCell ref="N489:T489"/>
    <mergeCell ref="E490:G490"/>
    <mergeCell ref="H490:L490"/>
    <mergeCell ref="N490:T492"/>
    <mergeCell ref="E481:G481"/>
    <mergeCell ref="E482:G482"/>
    <mergeCell ref="E483:G483"/>
    <mergeCell ref="E484:G484"/>
    <mergeCell ref="E485:G485"/>
    <mergeCell ref="E486:G486"/>
    <mergeCell ref="E475:G475"/>
    <mergeCell ref="E476:G476"/>
    <mergeCell ref="E477:G477"/>
    <mergeCell ref="E478:G478"/>
    <mergeCell ref="E479:G479"/>
    <mergeCell ref="E480:G480"/>
    <mergeCell ref="E469:G469"/>
    <mergeCell ref="E470:G470"/>
    <mergeCell ref="E471:G471"/>
    <mergeCell ref="E472:G472"/>
    <mergeCell ref="E473:G473"/>
    <mergeCell ref="E474:G474"/>
    <mergeCell ref="E464:G465"/>
    <mergeCell ref="H464:L465"/>
    <mergeCell ref="N464:T465"/>
    <mergeCell ref="E466:G466"/>
    <mergeCell ref="E467:G467"/>
    <mergeCell ref="E468:G468"/>
    <mergeCell ref="H460:I460"/>
    <mergeCell ref="K460:L460"/>
    <mergeCell ref="N460:T460"/>
    <mergeCell ref="H461:I462"/>
    <mergeCell ref="K461:L462"/>
    <mergeCell ref="N461:T461"/>
    <mergeCell ref="N462:T462"/>
    <mergeCell ref="E453:G453"/>
    <mergeCell ref="E454:G454"/>
    <mergeCell ref="E455:G455"/>
    <mergeCell ref="H455:L455"/>
    <mergeCell ref="N455:T455"/>
    <mergeCell ref="E456:G456"/>
    <mergeCell ref="H456:L456"/>
    <mergeCell ref="N456:T458"/>
    <mergeCell ref="E447:G447"/>
    <mergeCell ref="E448:G448"/>
    <mergeCell ref="E449:G449"/>
    <mergeCell ref="E450:G450"/>
    <mergeCell ref="E451:G451"/>
    <mergeCell ref="E452:G452"/>
    <mergeCell ref="E441:G441"/>
    <mergeCell ref="E442:G442"/>
    <mergeCell ref="E443:G443"/>
    <mergeCell ref="E444:G444"/>
    <mergeCell ref="E445:G445"/>
    <mergeCell ref="E446:G446"/>
    <mergeCell ref="E435:G435"/>
    <mergeCell ref="E436:G436"/>
    <mergeCell ref="E437:G437"/>
    <mergeCell ref="E438:G438"/>
    <mergeCell ref="E439:G439"/>
    <mergeCell ref="E440:G440"/>
    <mergeCell ref="E430:G431"/>
    <mergeCell ref="H430:L431"/>
    <mergeCell ref="N430:T431"/>
    <mergeCell ref="E432:G432"/>
    <mergeCell ref="E433:G433"/>
    <mergeCell ref="E434:G434"/>
    <mergeCell ref="H426:I426"/>
    <mergeCell ref="K426:L426"/>
    <mergeCell ref="N426:T426"/>
    <mergeCell ref="H427:I428"/>
    <mergeCell ref="K427:L428"/>
    <mergeCell ref="N427:T427"/>
    <mergeCell ref="N428:T428"/>
    <mergeCell ref="E419:G419"/>
    <mergeCell ref="E420:G420"/>
    <mergeCell ref="E421:G421"/>
    <mergeCell ref="H421:L421"/>
    <mergeCell ref="N421:T421"/>
    <mergeCell ref="E422:G422"/>
    <mergeCell ref="H422:L422"/>
    <mergeCell ref="N422:T424"/>
    <mergeCell ref="E413:G413"/>
    <mergeCell ref="E414:G414"/>
    <mergeCell ref="E415:G415"/>
    <mergeCell ref="E416:G416"/>
    <mergeCell ref="E417:G417"/>
    <mergeCell ref="E418:G418"/>
    <mergeCell ref="E407:G407"/>
    <mergeCell ref="E408:G408"/>
    <mergeCell ref="E409:G409"/>
    <mergeCell ref="E410:G410"/>
    <mergeCell ref="E411:G411"/>
    <mergeCell ref="E412:G412"/>
    <mergeCell ref="E401:G401"/>
    <mergeCell ref="E402:G402"/>
    <mergeCell ref="E403:G403"/>
    <mergeCell ref="E404:G404"/>
    <mergeCell ref="E405:G405"/>
    <mergeCell ref="E406:G406"/>
    <mergeCell ref="E396:G397"/>
    <mergeCell ref="H396:L397"/>
    <mergeCell ref="N396:T397"/>
    <mergeCell ref="E398:G398"/>
    <mergeCell ref="E399:G399"/>
    <mergeCell ref="E400:G400"/>
    <mergeCell ref="H392:I392"/>
    <mergeCell ref="K392:L392"/>
    <mergeCell ref="N392:T392"/>
    <mergeCell ref="H393:I394"/>
    <mergeCell ref="K393:L394"/>
    <mergeCell ref="N393:T393"/>
    <mergeCell ref="N394:T394"/>
    <mergeCell ref="E386:G386"/>
    <mergeCell ref="E387:G387"/>
    <mergeCell ref="H387:L387"/>
    <mergeCell ref="N387:T387"/>
    <mergeCell ref="E388:G388"/>
    <mergeCell ref="H388:L388"/>
    <mergeCell ref="N388:T390"/>
    <mergeCell ref="E380:G380"/>
    <mergeCell ref="E381:G381"/>
    <mergeCell ref="E382:G382"/>
    <mergeCell ref="E383:G383"/>
    <mergeCell ref="E384:G384"/>
    <mergeCell ref="E385:G385"/>
    <mergeCell ref="E374:G374"/>
    <mergeCell ref="E375:G375"/>
    <mergeCell ref="E376:G376"/>
    <mergeCell ref="E377:G377"/>
    <mergeCell ref="E378:G378"/>
    <mergeCell ref="E379:G379"/>
    <mergeCell ref="E368:G368"/>
    <mergeCell ref="E369:G369"/>
    <mergeCell ref="E370:G370"/>
    <mergeCell ref="E371:G371"/>
    <mergeCell ref="E372:G372"/>
    <mergeCell ref="E373:G373"/>
    <mergeCell ref="E362:G363"/>
    <mergeCell ref="H362:L363"/>
    <mergeCell ref="N362:T363"/>
    <mergeCell ref="E365:G365"/>
    <mergeCell ref="E366:G366"/>
    <mergeCell ref="E367:G367"/>
    <mergeCell ref="H358:I358"/>
    <mergeCell ref="K358:L358"/>
    <mergeCell ref="N358:P358"/>
    <mergeCell ref="R358:T358"/>
    <mergeCell ref="H359:I360"/>
    <mergeCell ref="K359:L360"/>
    <mergeCell ref="N359:P359"/>
    <mergeCell ref="R359:T359"/>
    <mergeCell ref="N360:P360"/>
    <mergeCell ref="R360:T360"/>
    <mergeCell ref="E351:G351"/>
    <mergeCell ref="E352:G352"/>
    <mergeCell ref="E353:G353"/>
    <mergeCell ref="H353:L353"/>
    <mergeCell ref="N353:T353"/>
    <mergeCell ref="E354:G354"/>
    <mergeCell ref="H354:L354"/>
    <mergeCell ref="N354:T356"/>
    <mergeCell ref="E345:G345"/>
    <mergeCell ref="E346:G346"/>
    <mergeCell ref="E347:G347"/>
    <mergeCell ref="E348:G348"/>
    <mergeCell ref="E349:G349"/>
    <mergeCell ref="E350:G350"/>
    <mergeCell ref="E339:G339"/>
    <mergeCell ref="E340:G340"/>
    <mergeCell ref="E341:G341"/>
    <mergeCell ref="E342:G342"/>
    <mergeCell ref="E343:G343"/>
    <mergeCell ref="E344:G344"/>
    <mergeCell ref="E333:G333"/>
    <mergeCell ref="E334:G334"/>
    <mergeCell ref="E335:G335"/>
    <mergeCell ref="E336:G336"/>
    <mergeCell ref="E337:G337"/>
    <mergeCell ref="E338:G338"/>
    <mergeCell ref="E328:G329"/>
    <mergeCell ref="H328:L329"/>
    <mergeCell ref="N328:T329"/>
    <mergeCell ref="E330:G330"/>
    <mergeCell ref="E331:G331"/>
    <mergeCell ref="E332:G332"/>
    <mergeCell ref="H324:I324"/>
    <mergeCell ref="K324:L324"/>
    <mergeCell ref="N324:P324"/>
    <mergeCell ref="R324:T324"/>
    <mergeCell ref="H325:I326"/>
    <mergeCell ref="K325:L326"/>
    <mergeCell ref="N325:P325"/>
    <mergeCell ref="R325:T325"/>
    <mergeCell ref="N326:P326"/>
    <mergeCell ref="R326:T326"/>
    <mergeCell ref="E317:G317"/>
    <mergeCell ref="E318:G318"/>
    <mergeCell ref="E319:G319"/>
    <mergeCell ref="H319:L319"/>
    <mergeCell ref="N319:T319"/>
    <mergeCell ref="E320:G320"/>
    <mergeCell ref="H320:L320"/>
    <mergeCell ref="N320:T322"/>
    <mergeCell ref="E311:G311"/>
    <mergeCell ref="E312:G312"/>
    <mergeCell ref="E313:G313"/>
    <mergeCell ref="E314:G314"/>
    <mergeCell ref="E315:G315"/>
    <mergeCell ref="E316:G316"/>
    <mergeCell ref="E305:G305"/>
    <mergeCell ref="E306:G306"/>
    <mergeCell ref="E307:G307"/>
    <mergeCell ref="E308:G308"/>
    <mergeCell ref="E309:G309"/>
    <mergeCell ref="E310:G310"/>
    <mergeCell ref="E299:G299"/>
    <mergeCell ref="E300:G300"/>
    <mergeCell ref="E301:G301"/>
    <mergeCell ref="E302:G302"/>
    <mergeCell ref="E303:G303"/>
    <mergeCell ref="E304:G304"/>
    <mergeCell ref="E294:G295"/>
    <mergeCell ref="H294:L295"/>
    <mergeCell ref="N294:T295"/>
    <mergeCell ref="E296:G296"/>
    <mergeCell ref="E297:G297"/>
    <mergeCell ref="E298:G298"/>
    <mergeCell ref="H290:I290"/>
    <mergeCell ref="K290:L290"/>
    <mergeCell ref="N290:P290"/>
    <mergeCell ref="R290:T290"/>
    <mergeCell ref="H291:I292"/>
    <mergeCell ref="K291:L292"/>
    <mergeCell ref="N291:P291"/>
    <mergeCell ref="R291:T291"/>
    <mergeCell ref="N292:P292"/>
    <mergeCell ref="R292:T292"/>
    <mergeCell ref="E283:G283"/>
    <mergeCell ref="E284:G284"/>
    <mergeCell ref="E285:G285"/>
    <mergeCell ref="H285:L285"/>
    <mergeCell ref="N285:T285"/>
    <mergeCell ref="E286:G286"/>
    <mergeCell ref="H286:L286"/>
    <mergeCell ref="N286:T288"/>
    <mergeCell ref="E277:G277"/>
    <mergeCell ref="E278:G278"/>
    <mergeCell ref="E279:G279"/>
    <mergeCell ref="E280:G280"/>
    <mergeCell ref="E281:G281"/>
    <mergeCell ref="E282:G282"/>
    <mergeCell ref="E271:G271"/>
    <mergeCell ref="E272:G272"/>
    <mergeCell ref="E273:G273"/>
    <mergeCell ref="E274:G274"/>
    <mergeCell ref="E275:G275"/>
    <mergeCell ref="E276:G276"/>
    <mergeCell ref="E265:G265"/>
    <mergeCell ref="E266:G266"/>
    <mergeCell ref="E267:G267"/>
    <mergeCell ref="E268:G268"/>
    <mergeCell ref="E269:G269"/>
    <mergeCell ref="E270:G270"/>
    <mergeCell ref="E260:G261"/>
    <mergeCell ref="H260:L261"/>
    <mergeCell ref="N260:T261"/>
    <mergeCell ref="E262:G262"/>
    <mergeCell ref="E263:G263"/>
    <mergeCell ref="E264:G264"/>
    <mergeCell ref="H256:I256"/>
    <mergeCell ref="K256:L256"/>
    <mergeCell ref="N256:P256"/>
    <mergeCell ref="R256:T256"/>
    <mergeCell ref="H257:I258"/>
    <mergeCell ref="K257:L258"/>
    <mergeCell ref="N257:P257"/>
    <mergeCell ref="R257:T257"/>
    <mergeCell ref="N258:P258"/>
    <mergeCell ref="R258:T258"/>
    <mergeCell ref="E249:G249"/>
    <mergeCell ref="E250:G250"/>
    <mergeCell ref="E251:G251"/>
    <mergeCell ref="H251:L251"/>
    <mergeCell ref="N251:T251"/>
    <mergeCell ref="E252:G252"/>
    <mergeCell ref="H252:L252"/>
    <mergeCell ref="N252:T254"/>
    <mergeCell ref="E243:G243"/>
    <mergeCell ref="E244:G244"/>
    <mergeCell ref="E245:G245"/>
    <mergeCell ref="E246:G246"/>
    <mergeCell ref="E247:G247"/>
    <mergeCell ref="E248:G248"/>
    <mergeCell ref="E237:G237"/>
    <mergeCell ref="E238:G238"/>
    <mergeCell ref="E239:G239"/>
    <mergeCell ref="E240:G240"/>
    <mergeCell ref="E241:G241"/>
    <mergeCell ref="E242:G242"/>
    <mergeCell ref="E231:G231"/>
    <mergeCell ref="E232:G232"/>
    <mergeCell ref="E233:G233"/>
    <mergeCell ref="E234:G234"/>
    <mergeCell ref="E235:G235"/>
    <mergeCell ref="E236:G236"/>
    <mergeCell ref="E226:G227"/>
    <mergeCell ref="H226:L227"/>
    <mergeCell ref="N226:T227"/>
    <mergeCell ref="E228:G228"/>
    <mergeCell ref="E229:G229"/>
    <mergeCell ref="E230:G230"/>
    <mergeCell ref="H222:I222"/>
    <mergeCell ref="K222:L222"/>
    <mergeCell ref="N222:P222"/>
    <mergeCell ref="R222:T222"/>
    <mergeCell ref="H223:I224"/>
    <mergeCell ref="K223:L224"/>
    <mergeCell ref="N223:P223"/>
    <mergeCell ref="R223:T223"/>
    <mergeCell ref="N224:P224"/>
    <mergeCell ref="R224:T224"/>
    <mergeCell ref="E216:G216"/>
    <mergeCell ref="E217:G217"/>
    <mergeCell ref="H217:L217"/>
    <mergeCell ref="N217:T217"/>
    <mergeCell ref="E218:G218"/>
    <mergeCell ref="H218:L218"/>
    <mergeCell ref="N218:T220"/>
    <mergeCell ref="E210:G210"/>
    <mergeCell ref="E211:G211"/>
    <mergeCell ref="E212:G212"/>
    <mergeCell ref="E213:G213"/>
    <mergeCell ref="E214:G214"/>
    <mergeCell ref="E215:G215"/>
    <mergeCell ref="E204:G204"/>
    <mergeCell ref="E205:G205"/>
    <mergeCell ref="E206:G206"/>
    <mergeCell ref="E207:G207"/>
    <mergeCell ref="E208:G208"/>
    <mergeCell ref="E209:G209"/>
    <mergeCell ref="E198:G198"/>
    <mergeCell ref="E199:G199"/>
    <mergeCell ref="E200:G200"/>
    <mergeCell ref="E201:G201"/>
    <mergeCell ref="E202:G202"/>
    <mergeCell ref="E203:G203"/>
    <mergeCell ref="E192:G193"/>
    <mergeCell ref="H192:L193"/>
    <mergeCell ref="N192:T193"/>
    <mergeCell ref="E195:G195"/>
    <mergeCell ref="E196:G196"/>
    <mergeCell ref="E197:G197"/>
    <mergeCell ref="H188:I188"/>
    <mergeCell ref="K188:L188"/>
    <mergeCell ref="H189:I190"/>
    <mergeCell ref="K189:L190"/>
    <mergeCell ref="N190:P190"/>
    <mergeCell ref="R190:T190"/>
    <mergeCell ref="E171:G171"/>
    <mergeCell ref="E181:G181"/>
    <mergeCell ref="H181:L181"/>
    <mergeCell ref="N181:T181"/>
    <mergeCell ref="E182:G182"/>
    <mergeCell ref="H182:L182"/>
    <mergeCell ref="N182:T184"/>
    <mergeCell ref="E165:G165"/>
    <mergeCell ref="E166:G166"/>
    <mergeCell ref="E167:G167"/>
    <mergeCell ref="E168:G168"/>
    <mergeCell ref="E169:G169"/>
    <mergeCell ref="E170:G170"/>
    <mergeCell ref="E159:G159"/>
    <mergeCell ref="E160:G160"/>
    <mergeCell ref="E161:G161"/>
    <mergeCell ref="E162:G162"/>
    <mergeCell ref="E163:G163"/>
    <mergeCell ref="E164:G164"/>
    <mergeCell ref="E152:G152"/>
    <mergeCell ref="E153:G153"/>
    <mergeCell ref="E154:G154"/>
    <mergeCell ref="E155:G155"/>
    <mergeCell ref="E156:G156"/>
    <mergeCell ref="E157:G157"/>
    <mergeCell ref="E147:G148"/>
    <mergeCell ref="H147:L148"/>
    <mergeCell ref="N147:T148"/>
    <mergeCell ref="E149:G149"/>
    <mergeCell ref="E150:G150"/>
    <mergeCell ref="E151:G151"/>
    <mergeCell ref="H144:I145"/>
    <mergeCell ref="K144:L145"/>
    <mergeCell ref="N144:P144"/>
    <mergeCell ref="R144:T144"/>
    <mergeCell ref="N145:P145"/>
    <mergeCell ref="R145:T145"/>
    <mergeCell ref="N138:T138"/>
    <mergeCell ref="E139:G139"/>
    <mergeCell ref="H139:L139"/>
    <mergeCell ref="N139:T141"/>
    <mergeCell ref="H143:I143"/>
    <mergeCell ref="K143:L143"/>
    <mergeCell ref="N143:P143"/>
    <mergeCell ref="R143:T143"/>
    <mergeCell ref="E134:G134"/>
    <mergeCell ref="E135:G135"/>
    <mergeCell ref="E136:G136"/>
    <mergeCell ref="E137:G137"/>
    <mergeCell ref="E138:G138"/>
    <mergeCell ref="H138:L138"/>
    <mergeCell ref="E128:G128"/>
    <mergeCell ref="E129:G129"/>
    <mergeCell ref="E130:G130"/>
    <mergeCell ref="E131:G131"/>
    <mergeCell ref="E132:G132"/>
    <mergeCell ref="E133:G133"/>
    <mergeCell ref="E122:G122"/>
    <mergeCell ref="E123:G123"/>
    <mergeCell ref="E124:G124"/>
    <mergeCell ref="E125:G125"/>
    <mergeCell ref="E126:G126"/>
    <mergeCell ref="E127:G127"/>
    <mergeCell ref="E116:G116"/>
    <mergeCell ref="E117:G117"/>
    <mergeCell ref="E118:G118"/>
    <mergeCell ref="E119:G119"/>
    <mergeCell ref="E120:G120"/>
    <mergeCell ref="E121:G121"/>
    <mergeCell ref="N111:O111"/>
    <mergeCell ref="P111:R111"/>
    <mergeCell ref="S111:T111"/>
    <mergeCell ref="E113:G114"/>
    <mergeCell ref="H113:L114"/>
    <mergeCell ref="N113:T114"/>
    <mergeCell ref="H109:I109"/>
    <mergeCell ref="K109:L109"/>
    <mergeCell ref="N109:O109"/>
    <mergeCell ref="P109:R109"/>
    <mergeCell ref="S109:T109"/>
    <mergeCell ref="H110:I111"/>
    <mergeCell ref="K110:L111"/>
    <mergeCell ref="N110:O110"/>
    <mergeCell ref="P110:R110"/>
    <mergeCell ref="S110:T110"/>
    <mergeCell ref="E102:G102"/>
    <mergeCell ref="E103:G103"/>
    <mergeCell ref="E104:G104"/>
    <mergeCell ref="H104:L104"/>
    <mergeCell ref="N104:T104"/>
    <mergeCell ref="E105:G105"/>
    <mergeCell ref="H105:L105"/>
    <mergeCell ref="N105:T107"/>
    <mergeCell ref="E96:G96"/>
    <mergeCell ref="E97:G97"/>
    <mergeCell ref="E98:G98"/>
    <mergeCell ref="E99:G99"/>
    <mergeCell ref="E100:G100"/>
    <mergeCell ref="E101:G101"/>
    <mergeCell ref="E90:G90"/>
    <mergeCell ref="E91:G91"/>
    <mergeCell ref="E92:G92"/>
    <mergeCell ref="E93:G93"/>
    <mergeCell ref="E94:G94"/>
    <mergeCell ref="E95:G95"/>
    <mergeCell ref="E84:G84"/>
    <mergeCell ref="E85:G85"/>
    <mergeCell ref="E86:G86"/>
    <mergeCell ref="E87:G87"/>
    <mergeCell ref="E88:G88"/>
    <mergeCell ref="E89:G89"/>
    <mergeCell ref="E79:G80"/>
    <mergeCell ref="H79:L80"/>
    <mergeCell ref="N79:T80"/>
    <mergeCell ref="E81:G81"/>
    <mergeCell ref="E82:G82"/>
    <mergeCell ref="E83:G83"/>
    <mergeCell ref="H76:I77"/>
    <mergeCell ref="K76:L77"/>
    <mergeCell ref="N76:O76"/>
    <mergeCell ref="P76:R76"/>
    <mergeCell ref="S76:T76"/>
    <mergeCell ref="N77:O77"/>
    <mergeCell ref="P77:R77"/>
    <mergeCell ref="S77:T77"/>
    <mergeCell ref="H70:L70"/>
    <mergeCell ref="N70:T70"/>
    <mergeCell ref="E71:G71"/>
    <mergeCell ref="H71:L71"/>
    <mergeCell ref="N71:T73"/>
    <mergeCell ref="H75:I75"/>
    <mergeCell ref="K75:L75"/>
    <mergeCell ref="N75:O75"/>
    <mergeCell ref="P75:R75"/>
    <mergeCell ref="S75:T75"/>
    <mergeCell ref="N41:O41"/>
    <mergeCell ref="P41:R41"/>
    <mergeCell ref="S41:T41"/>
    <mergeCell ref="H42:I43"/>
    <mergeCell ref="K42:L43"/>
    <mergeCell ref="N42:O42"/>
    <mergeCell ref="P42:R42"/>
    <mergeCell ref="S42:T42"/>
    <mergeCell ref="E65:G65"/>
    <mergeCell ref="E66:G66"/>
    <mergeCell ref="E67:G67"/>
    <mergeCell ref="E68:G68"/>
    <mergeCell ref="E69:G69"/>
    <mergeCell ref="E70:G70"/>
    <mergeCell ref="E59:G59"/>
    <mergeCell ref="E60:G60"/>
    <mergeCell ref="E61:G61"/>
    <mergeCell ref="E62:G62"/>
    <mergeCell ref="E63:G63"/>
    <mergeCell ref="E64:G64"/>
    <mergeCell ref="E53:G53"/>
    <mergeCell ref="E54:G54"/>
    <mergeCell ref="E55:G55"/>
    <mergeCell ref="E56:G56"/>
    <mergeCell ref="E57:G57"/>
    <mergeCell ref="E58:G58"/>
    <mergeCell ref="C2:T2"/>
    <mergeCell ref="C3:T3"/>
    <mergeCell ref="C4:T4"/>
    <mergeCell ref="C5:T5"/>
    <mergeCell ref="C6:T6"/>
    <mergeCell ref="C7:T7"/>
    <mergeCell ref="E34:G34"/>
    <mergeCell ref="E35:G35"/>
    <mergeCell ref="E36:G36"/>
    <mergeCell ref="H36:L36"/>
    <mergeCell ref="N36:T36"/>
    <mergeCell ref="E37:G37"/>
    <mergeCell ref="H37:L37"/>
    <mergeCell ref="N37:T39"/>
    <mergeCell ref="E28:G28"/>
    <mergeCell ref="E29:G29"/>
    <mergeCell ref="E30:G30"/>
    <mergeCell ref="E31:G31"/>
    <mergeCell ref="E32:G32"/>
    <mergeCell ref="E33:G33"/>
    <mergeCell ref="E22:G22"/>
    <mergeCell ref="E23:G23"/>
    <mergeCell ref="E24:G24"/>
    <mergeCell ref="E25:G25"/>
    <mergeCell ref="E26:G26"/>
    <mergeCell ref="E27:G27"/>
    <mergeCell ref="N186:T186"/>
    <mergeCell ref="N189:T189"/>
    <mergeCell ref="N187:T188"/>
    <mergeCell ref="E16:G16"/>
    <mergeCell ref="E17:G17"/>
    <mergeCell ref="E18:G18"/>
    <mergeCell ref="E19:G19"/>
    <mergeCell ref="E20:G20"/>
    <mergeCell ref="E21:G21"/>
    <mergeCell ref="K9:L9"/>
    <mergeCell ref="N9:P9"/>
    <mergeCell ref="R9:T9"/>
    <mergeCell ref="E11:G11"/>
    <mergeCell ref="M13:M15"/>
    <mergeCell ref="N13:P13"/>
    <mergeCell ref="Q13:Q15"/>
    <mergeCell ref="N14:P14"/>
    <mergeCell ref="N15:P15"/>
    <mergeCell ref="E47:G47"/>
    <mergeCell ref="E48:G48"/>
    <mergeCell ref="E49:G49"/>
    <mergeCell ref="E50:G50"/>
    <mergeCell ref="E51:G51"/>
    <mergeCell ref="E52:G52"/>
    <mergeCell ref="N43:O43"/>
    <mergeCell ref="P43:R43"/>
    <mergeCell ref="S43:T43"/>
    <mergeCell ref="E45:G46"/>
    <mergeCell ref="H45:L46"/>
    <mergeCell ref="N45:T46"/>
    <mergeCell ref="H41:I41"/>
    <mergeCell ref="K41:L41"/>
  </mergeCells>
  <printOptions horizontalCentered="1"/>
  <pageMargins left="0.19685039370078741" right="0.19685039370078741" top="0.19685039370078741" bottom="0.19685039370078741" header="0.31496062992125984" footer="0.31496062992125984"/>
  <pageSetup paperSize="9" scale="40" fitToWidth="0" orientation="landscape" r:id="rId1"/>
  <headerFooter>
    <oddHeader>&amp;L&amp;"Aptos"&amp;10&amp;K008000 Herkese Açık (Public)&amp;1#_x000D_</oddHeader>
    <oddFooter>&amp;L_x000D_&amp;1#&amp;"Aptos"&amp;10&amp;K008000 Herkese Açık (Public)&amp;CYapılan İşler İcmali Sayfa &amp;P / &amp;N</oddFooter>
  </headerFooter>
  <rowBreaks count="28" manualBreakCount="28">
    <brk id="46" min="1" max="19" man="1"/>
    <brk id="80" min="1" max="19" man="1"/>
    <brk id="114" max="16383" man="1"/>
    <brk id="148" max="16383" man="1"/>
    <brk id="193" max="16383" man="1"/>
    <brk id="227" max="16383" man="1"/>
    <brk id="261" max="16383" man="1"/>
    <brk id="295" max="16383" man="1"/>
    <brk id="329" max="16383" man="1"/>
    <brk id="363" max="16383" man="1"/>
    <brk id="397" max="16383" man="1"/>
    <brk id="431" max="16383" man="1"/>
    <brk id="465" max="16383" man="1"/>
    <brk id="499" max="16383" man="1"/>
    <brk id="533" max="16383" man="1"/>
    <brk id="567" max="16383" man="1"/>
    <brk id="601" max="16383" man="1"/>
    <brk id="635" max="16383" man="1"/>
    <brk id="669" max="16383" man="1"/>
    <brk id="703" max="16383" man="1"/>
    <brk id="737" max="16383" man="1"/>
    <brk id="771" max="16383" man="1"/>
    <brk id="805" max="16383" man="1"/>
    <brk id="839" max="16383" man="1"/>
    <brk id="876" max="16383" man="1"/>
    <brk id="910" max="16383" man="1"/>
    <brk id="944" max="16383" man="1"/>
    <brk id="97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34</vt:i4>
      </vt:variant>
      <vt:variant>
        <vt:lpstr>Adlandırılmış Aralıklar</vt:lpstr>
      </vt:variant>
      <vt:variant>
        <vt:i4>34</vt:i4>
      </vt:variant>
    </vt:vector>
  </HeadingPairs>
  <TitlesOfParts>
    <vt:vector size="68" baseType="lpstr">
      <vt:lpstr>Para Yazdırma</vt:lpstr>
      <vt:lpstr>Veri</vt:lpstr>
      <vt:lpstr>İmza Matris</vt:lpstr>
      <vt:lpstr>İmza</vt:lpstr>
      <vt:lpstr>İmza (2)</vt:lpstr>
      <vt:lpstr>İndeks</vt:lpstr>
      <vt:lpstr>İmza Yetkilileri</vt:lpstr>
      <vt:lpstr>Ön Yazı</vt:lpstr>
      <vt:lpstr>NT Ksnt Tkp (Çıktı Alınmayacak)</vt:lpstr>
      <vt:lpstr>EFF Ksnt Tkp(Çıktı Alınmayacak)</vt:lpstr>
      <vt:lpstr>İşçi Alacak</vt:lpstr>
      <vt:lpstr>İlan</vt:lpstr>
      <vt:lpstr>Kapak</vt:lpstr>
      <vt:lpstr>İcmal</vt:lpstr>
      <vt:lpstr>Teminat Mektupları</vt:lpstr>
      <vt:lpstr>Teminat Mektupları (FF)</vt:lpstr>
      <vt:lpstr>Fiyat Farkı İcmal</vt:lpstr>
      <vt:lpstr>Fiyat Farkı İcmal (2)</vt:lpstr>
      <vt:lpstr>FF 2502</vt:lpstr>
      <vt:lpstr>FF 2503</vt:lpstr>
      <vt:lpstr>FF</vt:lpstr>
      <vt:lpstr>Y.İ. KAPAK</vt:lpstr>
      <vt:lpstr>Yapılan İşler Dönemsel</vt:lpstr>
      <vt:lpstr>Yapılan İşler İcmali</vt:lpstr>
      <vt:lpstr>Y.D.KAPAK İLK</vt:lpstr>
      <vt:lpstr>Yeşil Defter Kapak</vt:lpstr>
      <vt:lpstr>Yeşil Defter Dönemsel</vt:lpstr>
      <vt:lpstr>Yeşil Defter</vt:lpstr>
      <vt:lpstr>M.Ö.KAPAK</vt:lpstr>
      <vt:lpstr>Metraj Özeti</vt:lpstr>
      <vt:lpstr>İnce Sırtlık</vt:lpstr>
      <vt:lpstr>İnce Sırtlık (2)</vt:lpstr>
      <vt:lpstr>Yapılan İşler İcmali Malazgirt</vt:lpstr>
      <vt:lpstr>Yapılan İşler İcmali Barbaros</vt:lpstr>
      <vt:lpstr>'EFF Ksnt Tkp(Çıktı Alınmayacak)'!Yazdırma_Alanı</vt:lpstr>
      <vt:lpstr>FF!Yazdırma_Alanı</vt:lpstr>
      <vt:lpstr>'FF 2502'!Yazdırma_Alanı</vt:lpstr>
      <vt:lpstr>'FF 2503'!Yazdırma_Alanı</vt:lpstr>
      <vt:lpstr>'Fiyat Farkı İcmal'!Yazdırma_Alanı</vt:lpstr>
      <vt:lpstr>'Fiyat Farkı İcmal (2)'!Yazdırma_Alanı</vt:lpstr>
      <vt:lpstr>İcmal!Yazdırma_Alanı</vt:lpstr>
      <vt:lpstr>İlan!Yazdırma_Alanı</vt:lpstr>
      <vt:lpstr>İmza!Yazdırma_Alanı</vt:lpstr>
      <vt:lpstr>'İmza (2)'!Yazdırma_Alanı</vt:lpstr>
      <vt:lpstr>'İmza Yetkilileri'!Yazdırma_Alanı</vt:lpstr>
      <vt:lpstr>'İnce Sırtlık'!Yazdırma_Alanı</vt:lpstr>
      <vt:lpstr>'İnce Sırtlık (2)'!Yazdırma_Alanı</vt:lpstr>
      <vt:lpstr>İndeks!Yazdırma_Alanı</vt:lpstr>
      <vt:lpstr>'İşçi Alacak'!Yazdırma_Alanı</vt:lpstr>
      <vt:lpstr>Kapak!Yazdırma_Alanı</vt:lpstr>
      <vt:lpstr>'Metraj Özeti'!Yazdırma_Alanı</vt:lpstr>
      <vt:lpstr>'NT Ksnt Tkp (Çıktı Alınmayacak)'!Yazdırma_Alanı</vt:lpstr>
      <vt:lpstr>'Ön Yazı'!Yazdırma_Alanı</vt:lpstr>
      <vt:lpstr>'Teminat Mektupları'!Yazdırma_Alanı</vt:lpstr>
      <vt:lpstr>'Teminat Mektupları (FF)'!Yazdırma_Alanı</vt:lpstr>
      <vt:lpstr>'Yapılan İşler Dönemsel'!Yazdırma_Alanı</vt:lpstr>
      <vt:lpstr>'Yapılan İşler İcmali'!Yazdırma_Alanı</vt:lpstr>
      <vt:lpstr>'Yapılan İşler İcmali Barbaros'!Yazdırma_Alanı</vt:lpstr>
      <vt:lpstr>'Yapılan İşler İcmali Malazgirt'!Yazdırma_Alanı</vt:lpstr>
      <vt:lpstr>'Yeşil Defter'!Yazdırma_Alanı</vt:lpstr>
      <vt:lpstr>'Yeşil Defter Dönemsel'!Yazdırma_Alanı</vt:lpstr>
      <vt:lpstr>'Metraj Özeti'!Yazdırma_Başlıkları</vt:lpstr>
      <vt:lpstr>'Yapılan İşler Dönemsel'!Yazdırma_Başlıkları</vt:lpstr>
      <vt:lpstr>'Yapılan İşler İcmali'!Yazdırma_Başlıkları</vt:lpstr>
      <vt:lpstr>'Yapılan İşler İcmali Barbaros'!Yazdırma_Başlıkları</vt:lpstr>
      <vt:lpstr>'Yapılan İşler İcmali Malazgirt'!Yazdırma_Başlıkları</vt:lpstr>
      <vt:lpstr>'Yeşil Defter'!Yazdırma_Başlıkları</vt:lpstr>
      <vt:lpstr>'Yeşil Defter Dönemsel'!Yazdırma_Başlıkları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UZER</dc:creator>
  <cp:lastModifiedBy>Rahman BASAK</cp:lastModifiedBy>
  <cp:lastPrinted>2026-06-05T11:09:16Z</cp:lastPrinted>
  <dcterms:created xsi:type="dcterms:W3CDTF">2015-06-05T18:19:34Z</dcterms:created>
  <dcterms:modified xsi:type="dcterms:W3CDTF">2026-08-26T14:25:10Z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f4058f-1031-46d4-9024-0c27517e94bf_Enabled">
    <vt:lpwstr>true</vt:lpwstr>
  </property>
  <property fmtid="{D5CDD505-2E9C-101B-9397-08002B2CF9AE}" pid="3" name="MSIP_Label_0df4058f-1031-46d4-9024-0c27517e94bf_SetDate">
    <vt:lpwstr>2025-11-06T11:06:33Z</vt:lpwstr>
  </property>
  <property fmtid="{D5CDD505-2E9C-101B-9397-08002B2CF9AE}" pid="4" name="MSIP_Label_0df4058f-1031-46d4-9024-0c27517e94bf_Method">
    <vt:lpwstr>Privileged</vt:lpwstr>
  </property>
  <property fmtid="{D5CDD505-2E9C-101B-9397-08002B2CF9AE}" pid="5" name="MSIP_Label_0df4058f-1031-46d4-9024-0c27517e94bf_Name">
    <vt:lpwstr>Herkese Açık (Public)</vt:lpwstr>
  </property>
  <property fmtid="{D5CDD505-2E9C-101B-9397-08002B2CF9AE}" pid="6" name="MSIP_Label_0df4058f-1031-46d4-9024-0c27517e94bf_SiteId">
    <vt:lpwstr>acbfa263-309d-4a52-b05d-64dc66c01131</vt:lpwstr>
  </property>
  <property fmtid="{D5CDD505-2E9C-101B-9397-08002B2CF9AE}" pid="7" name="MSIP_Label_0df4058f-1031-46d4-9024-0c27517e94bf_ActionId">
    <vt:lpwstr>c7558ab9-344b-48b8-aecb-428e5d62dd2c</vt:lpwstr>
  </property>
  <property fmtid="{D5CDD505-2E9C-101B-9397-08002B2CF9AE}" pid="8" name="MSIP_Label_0df4058f-1031-46d4-9024-0c27517e94bf_ContentBits">
    <vt:lpwstr>3</vt:lpwstr>
  </property>
  <property fmtid="{D5CDD505-2E9C-101B-9397-08002B2CF9AE}" pid="9" name="MSIP_Label_0df4058f-1031-46d4-9024-0c27517e94bf_Tag">
    <vt:lpwstr>10, 0, 1, 1</vt:lpwstr>
  </property>
</Properties>
</file>