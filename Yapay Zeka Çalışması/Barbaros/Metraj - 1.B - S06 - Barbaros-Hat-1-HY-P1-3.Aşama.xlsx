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basak\Desktop\Yapay Zeka Çalışması\Barbaros\"/>
    </mc:Choice>
  </mc:AlternateContent>
  <xr:revisionPtr revIDLastSave="0" documentId="13_ncr:1_{F191898D-A0A1-4883-922B-71961DC927A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Metraj!$A$2:$Q$162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6" l="1"/>
  <c r="C16" i="2"/>
  <c r="C15" i="2"/>
  <c r="P156" i="6"/>
  <c r="O156" i="6"/>
  <c r="M156" i="6"/>
  <c r="P132" i="6"/>
  <c r="L127" i="6"/>
  <c r="P127" i="6"/>
  <c r="P112" i="6"/>
  <c r="P111" i="6"/>
  <c r="P110" i="6"/>
  <c r="P109" i="6"/>
  <c r="P108" i="6"/>
  <c r="P107" i="6"/>
  <c r="M71" i="6"/>
  <c r="P71" i="6" s="1"/>
  <c r="M70" i="6"/>
  <c r="P70" i="6" s="1"/>
  <c r="P69" i="6"/>
  <c r="P68" i="6"/>
  <c r="P67" i="6"/>
  <c r="P66" i="6"/>
  <c r="P65" i="6"/>
  <c r="P64" i="6"/>
  <c r="L43" i="6"/>
  <c r="S43" i="6"/>
  <c r="P43" i="6"/>
  <c r="S42" i="6"/>
  <c r="P42" i="6"/>
  <c r="S41" i="6"/>
  <c r="P41" i="6"/>
  <c r="S40" i="6"/>
  <c r="P40" i="6"/>
  <c r="S39" i="6"/>
  <c r="P39" i="6"/>
  <c r="S38" i="6"/>
  <c r="P38" i="6"/>
  <c r="S37" i="6"/>
  <c r="P37" i="6"/>
  <c r="AA151" i="6"/>
  <c r="AA123" i="6"/>
  <c r="AA92" i="6"/>
  <c r="AA84" i="6"/>
  <c r="AA47" i="6"/>
  <c r="AA17" i="6"/>
  <c r="M63" i="6"/>
  <c r="P63" i="6" s="1"/>
  <c r="P62" i="6"/>
  <c r="P88" i="6"/>
  <c r="AC92" i="6" l="1"/>
  <c r="AC151" i="6"/>
  <c r="AC123" i="6"/>
  <c r="AC84" i="6"/>
  <c r="AC47" i="6"/>
  <c r="AC17" i="6"/>
  <c r="O155" i="6"/>
  <c r="M155" i="6"/>
  <c r="P155" i="6" s="1"/>
  <c r="L131" i="6"/>
  <c r="P131" i="6" s="1"/>
  <c r="L126" i="6"/>
  <c r="P126" i="6" s="1"/>
  <c r="P106" i="6"/>
  <c r="P105" i="6"/>
  <c r="P104" i="6"/>
  <c r="P103" i="6"/>
  <c r="P102" i="6"/>
  <c r="P101" i="6"/>
  <c r="S32" i="6"/>
  <c r="P32" i="6"/>
  <c r="S31" i="6"/>
  <c r="P31" i="6"/>
  <c r="S30" i="6"/>
  <c r="P30" i="6"/>
  <c r="S29" i="6"/>
  <c r="P29" i="6"/>
  <c r="S28" i="6"/>
  <c r="P28" i="6"/>
  <c r="S27" i="6"/>
  <c r="P27" i="6"/>
  <c r="P61" i="6"/>
  <c r="P60" i="6"/>
  <c r="P59" i="6"/>
  <c r="P58" i="6"/>
  <c r="P57" i="6"/>
  <c r="P87" i="6"/>
  <c r="O154" i="6" l="1"/>
  <c r="M154" i="6" l="1"/>
  <c r="P159" i="6"/>
  <c r="M35" i="6"/>
  <c r="P35" i="6" s="1"/>
  <c r="S21" i="6" l="1"/>
  <c r="S22" i="6"/>
  <c r="S23" i="6"/>
  <c r="S24" i="6"/>
  <c r="S25" i="6"/>
  <c r="S26" i="6"/>
  <c r="S20" i="6"/>
  <c r="P100" i="6"/>
  <c r="P99" i="6"/>
  <c r="P98" i="6"/>
  <c r="P97" i="6"/>
  <c r="P96" i="6"/>
  <c r="P95" i="6"/>
  <c r="P20" i="6" l="1"/>
  <c r="P21" i="6" l="1"/>
  <c r="P22" i="6"/>
  <c r="P23" i="6"/>
  <c r="P24" i="6"/>
  <c r="P25" i="6"/>
  <c r="M151" i="6" l="1"/>
  <c r="D151" i="6"/>
  <c r="M123" i="6"/>
  <c r="D123" i="6"/>
  <c r="M116" i="6"/>
  <c r="D116" i="6"/>
  <c r="M92" i="6"/>
  <c r="D92" i="6"/>
  <c r="M84" i="6"/>
  <c r="D84" i="6"/>
  <c r="M77" i="6"/>
  <c r="D77" i="6"/>
  <c r="M47" i="6"/>
  <c r="D47" i="6"/>
  <c r="M17" i="6"/>
  <c r="D17" i="6"/>
  <c r="P50" i="6" l="1"/>
  <c r="P56" i="6"/>
  <c r="P55" i="6"/>
  <c r="P54" i="6"/>
  <c r="P53" i="6"/>
  <c r="P52" i="6"/>
  <c r="P51" i="6"/>
  <c r="P26" i="6" l="1"/>
  <c r="P147" i="6" l="1"/>
  <c r="P146" i="6"/>
  <c r="P145" i="6"/>
  <c r="P73" i="6"/>
  <c r="P36" i="6" l="1"/>
  <c r="P143" i="6"/>
  <c r="P86" i="6"/>
  <c r="P154" i="6"/>
  <c r="P140" i="6"/>
  <c r="P141" i="6"/>
  <c r="P142" i="6"/>
  <c r="L130" i="6"/>
  <c r="P130" i="6" s="1"/>
  <c r="L125" i="6"/>
  <c r="P125" i="6" s="1"/>
  <c r="P139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36" i="6"/>
  <c r="D136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44" i="6"/>
  <c r="P84" i="6" l="1"/>
  <c r="P77" i="6"/>
  <c r="L27" i="2" s="1"/>
  <c r="L30" i="2" l="1"/>
  <c r="AE84" i="6"/>
  <c r="O77" i="6"/>
  <c r="O84" i="6"/>
  <c r="AD84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36" i="6"/>
  <c r="L46" i="2" s="1"/>
  <c r="AB30" i="2" l="1"/>
  <c r="AC30" i="2" s="1"/>
  <c r="AD27" i="2"/>
  <c r="AE27" i="2" s="1"/>
  <c r="P123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23" i="6"/>
  <c r="AE2" i="6" s="1"/>
  <c r="AD30" i="2"/>
  <c r="AE30" i="2" s="1"/>
  <c r="AF30" i="2" s="1"/>
  <c r="AF27" i="2"/>
  <c r="AG27" i="2" s="1"/>
  <c r="AH27" i="2" s="1"/>
  <c r="O123" i="6"/>
  <c r="AD123" i="6" s="1"/>
  <c r="AD2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51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51" i="6"/>
  <c r="AF45" i="2"/>
  <c r="AG45" i="2" s="1"/>
  <c r="AH45" i="2" s="1"/>
  <c r="L31" i="2"/>
  <c r="P116" i="6"/>
  <c r="L34" i="2" s="1"/>
  <c r="O151" i="6"/>
  <c r="AD151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92" i="6"/>
  <c r="L33" i="2" l="1"/>
  <c r="Z33" i="2" s="1"/>
  <c r="AE92" i="6"/>
  <c r="Z47" i="2"/>
  <c r="AA47" i="2" s="1"/>
  <c r="AB47" i="2" s="1"/>
  <c r="AC47" i="2" s="1"/>
  <c r="AD47" i="2" s="1"/>
  <c r="AE47" i="2" s="1"/>
  <c r="O92" i="6"/>
  <c r="AD92" i="6" s="1"/>
  <c r="H77" i="5"/>
  <c r="K47" i="2"/>
  <c r="O116" i="6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47" i="6"/>
  <c r="H63" i="5" l="1"/>
  <c r="L23" i="2"/>
  <c r="AE47" i="6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47" i="6"/>
  <c r="AD47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C23" i="2"/>
  <c r="AD23" i="2" s="1"/>
  <c r="AE23" i="2" s="1"/>
  <c r="O17" i="6"/>
  <c r="AD17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<sst xmlns="http://schemas.openxmlformats.org/spreadsheetml/2006/main" count="2086" uniqueCount="1078">
  <si>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</si>
  <si>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</si>
  <si>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</si>
  <si>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</si>
  <si>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</si>
  <si>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</si>
  <si>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</si>
  <si>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</si>
  <si>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</si>
  <si>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</si>
  <si>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</si>
  <si>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</si>
  <si>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</si>
  <si>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</si>
  <si>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</si>
  <si>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</si>
  <si>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</si>
  <si>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</si>
  <si>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</si>
  <si>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</si>
  <si>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</si>
  <si>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</si>
  <si>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</si>
  <si>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</si>
  <si>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</si>
  <si>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</si>
  <si>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</si>
  <si>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</si>
  <si>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</si>
  <si>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</si>
  <si>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</si>
  <si>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</si>
  <si>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</si>
  <si>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</si>
  <si>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</si>
  <si>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</si>
  <si>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</si>
  <si>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</si>
  <si>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</si>
  <si>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</si>
  <si>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</si>
  <si>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</si>
  <si>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</si>
  <si>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</si>
  <si>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</si>
  <si>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</si>
  <si>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</si>
  <si>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</si>
  <si>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</si>
  <si>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</si>
  <si>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</si>
  <si>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</si>
  <si>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</si>
  <si>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</si>
  <si>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</si>
  <si>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</si>
  <si>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</si>
  <si>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</si>
  <si>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</si>
  <si>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</si>
  <si>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</si>
  <si>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</si>
  <si>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</si>
  <si>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</si>
  <si>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</si>
  <si>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</si>
  <si>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</si>
  <si>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</si>
  <si>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</si>
  <si>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</si>
  <si>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</si>
  <si>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</si>
  <si>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</si>
  <si>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</si>
  <si>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</si>
  <si>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</si>
  <si>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</si>
  <si>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</si>
  <si>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</si>
  <si>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</si>
  <si>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</si>
  <si>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</si>
  <si>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</si>
  <si>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</si>
  <si>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</si>
  <si>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</si>
  <si>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</si>
  <si>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</si>
  <si>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</si>
  <si>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</si>
  <si>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</si>
  <si>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</si>
  <si>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</si>
  <si>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</si>
  <si>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</si>
  <si>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</si>
  <si>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</si>
  <si>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</si>
  <si>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</si>
  <si>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</si>
  <si>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</si>
  <si>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</si>
  <si>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</si>
  <si>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</si>
  <si>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</si>
  <si>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</si>
  <si>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</si>
  <si>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</si>
  <si>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</si>
  <si>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</si>
  <si>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</si>
  <si>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</si>
  <si>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</si>
  <si>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</si>
  <si>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</si>
  <si>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</si>
  <si>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</si>
  <si>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</si>
  <si>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</si>
  <si>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</si>
  <si>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</si>
  <si>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</si>
  <si>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</si>
  <si>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</si>
  <si>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</si>
  <si>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</si>
  <si>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</si>
  <si>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</si>
  <si>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</si>
  <si>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</si>
  <si>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</si>
  <si>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</si>
  <si>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</si>
  <si>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</si>
  <si>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</si>
  <si>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</si>
  <si>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</si>
  <si>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</si>
  <si>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</si>
  <si>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</si>
  <si>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</si>
  <si>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</si>
  <si>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</si>
  <si>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</si>
  <si>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</si>
  <si>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</si>
  <si>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</si>
  <si>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</si>
  <si>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</si>
  <si>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</si>
  <si>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</si>
  <si>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</si>
  <si>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</si>
  <si>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</si>
  <si>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</si>
  <si>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</si>
  <si>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</si>
  <si>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</si>
  <si>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</si>
  <si>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</si>
  <si>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</si>
  <si>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</si>
  <si>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</si>
  <si>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</si>
  <si>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</si>
  <si>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</si>
  <si>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</si>
  <si>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</si>
  <si>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</si>
  <si>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</si>
  <si>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</si>
  <si>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</si>
  <si>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</si>
  <si>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</si>
  <si>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</si>
  <si>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</si>
  <si>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</si>
  <si>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</si>
  <si>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</si>
  <si>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</si>
  <si>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</si>
  <si>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</si>
  <si>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</si>
  <si>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</si>
  <si>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</si>
  <si>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</si>
  <si>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</si>
  <si>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</si>
  <si>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</si>
  <si>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</si>
  <si>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</si>
  <si>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</si>
  <si>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</si>
  <si>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</si>
  <si>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</si>
  <si>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</si>
  <si>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</si>
  <si>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</si>
  <si>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</si>
  <si>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</si>
  <si>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</si>
  <si>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</si>
  <si>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</si>
  <si>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</si>
  <si>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</si>
  <si>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</si>
  <si>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</si>
  <si>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</si>
  <si>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</si>
  <si>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</si>
  <si>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</si>
  <si>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</si>
  <si>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</si>
  <si>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</si>
  <si>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</si>
  <si>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</si>
  <si>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</si>
  <si>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</si>
  <si>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</si>
  <si>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</si>
  <si>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</si>
  <si>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</si>
  <si>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</si>
  <si>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</si>
  <si>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</si>
  <si>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</si>
  <si>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</si>
  <si>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</si>
  <si>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</si>
  <si>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</si>
  <si>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</si>
  <si>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</si>
  <si>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</si>
  <si>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</si>
  <si>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</si>
  <si>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</si>
  <si>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</si>
  <si>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</si>
  <si>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</si>
  <si>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</si>
  <si>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</si>
  <si>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</si>
  <si>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</si>
  <si>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</si>
  <si>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</si>
  <si>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</si>
  <si>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</si>
  <si>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</si>
  <si>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</si>
  <si>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</si>
  <si>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</si>
  <si>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</si>
  <si>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</si>
  <si>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</si>
  <si>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</si>
  <si>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</si>
  <si>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</si>
  <si>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</si>
  <si>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</si>
  <si>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</si>
  <si>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</si>
  <si>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</si>
  <si>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</si>
  <si>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</si>
  <si>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</si>
  <si>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</si>
  <si>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</si>
  <si>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</si>
  <si>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</si>
  <si>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</si>
  <si>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</si>
  <si>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</si>
  <si>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</si>
  <si>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</si>
  <si>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</si>
  <si>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</si>
  <si>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</si>
  <si>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</si>
  <si>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</si>
  <si>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</si>
  <si>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</si>
  <si>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</si>
  <si>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</si>
  <si>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</si>
  <si>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</si>
  <si>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</si>
  <si>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</si>
  <si>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</si>
  <si>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</si>
  <si>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</si>
  <si>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</si>
  <si>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</si>
  <si>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</si>
  <si>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</si>
  <si>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</si>
  <si>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</si>
  <si>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</si>
  <si>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</si>
  <si>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</si>
  <si>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</si>
  <si>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</si>
  <si>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</si>
  <si>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</si>
  <si>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</si>
  <si>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</si>
  <si>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</si>
  <si>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</si>
  <si>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</si>
  <si>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</si>
  <si>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</si>
  <si>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</si>
  <si>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</si>
  <si>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</si>
  <si>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</si>
  <si>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</si>
  <si>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</si>
  <si>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</si>
  <si>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</si>
  <si>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</si>
  <si>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</si>
  <si>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</si>
  <si>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</si>
  <si>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</si>
  <si>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</si>
  <si>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</si>
  <si>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</si>
  <si>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</si>
  <si>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</si>
  <si>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</si>
  <si>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</si>
  <si>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</si>
  <si>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</si>
  <si>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</si>
  <si>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</si>
  <si>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</si>
  <si>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</si>
  <si>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</si>
  <si>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</si>
  <si>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</si>
  <si>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</si>
  <si>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</si>
  <si>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</si>
  <si>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</si>
  <si>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</si>
  <si>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</si>
  <si>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</si>
  <si>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</si>
  <si>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</si>
  <si>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</si>
  <si>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</si>
  <si>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</si>
  <si>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</si>
  <si>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</si>
  <si>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</si>
  <si>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</si>
  <si>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</si>
  <si>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</si>
  <si>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</si>
  <si>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</si>
  <si>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</si>
  <si>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</si>
  <si>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</si>
  <si>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</si>
  <si>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</si>
  <si>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</si>
  <si>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</si>
  <si>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</si>
  <si>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</si>
  <si>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</si>
  <si>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</si>
  <si>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</si>
  <si>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</si>
  <si>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</si>
  <si>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</si>
  <si>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</si>
  <si>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</si>
  <si>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</si>
  <si>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</si>
  <si>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</si>
  <si>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</si>
  <si>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</si>
  <si>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</si>
  <si>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</si>
  <si>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</si>
  <si>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</si>
  <si>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</si>
  <si>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</si>
  <si>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</si>
  <si>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</si>
  <si>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</si>
  <si>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</si>
  <si>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</si>
  <si>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</si>
  <si>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</si>
  <si>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</si>
  <si>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</si>
  <si>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</si>
  <si>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</si>
  <si>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</si>
  <si>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</si>
  <si>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</si>
  <si>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</si>
  <si>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</si>
  <si>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</si>
  <si>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</si>
  <si>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</si>
  <si>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</si>
  <si>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</si>
  <si>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</si>
  <si>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</si>
  <si>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</si>
  <si>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</si>
  <si>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</si>
  <si>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</si>
  <si>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</si>
  <si>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</si>
  <si>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</si>
  <si>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</si>
  <si>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</si>
  <si>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</si>
  <si>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</si>
  <si>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</si>
  <si>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</si>
  <si>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</si>
  <si>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</si>
  <si>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</si>
  <si>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</si>
  <si>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</si>
  <si>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</si>
  <si>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</si>
  <si>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</si>
  <si>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</si>
  <si>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</si>
  <si>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</si>
  <si>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</si>
  <si>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</si>
  <si>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</si>
  <si>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</si>
  <si>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</si>
  <si>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</si>
  <si>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</si>
  <si>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</si>
  <si>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</si>
  <si>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</si>
  <si>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</si>
  <si>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</si>
  <si>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</si>
  <si>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</si>
  <si>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</si>
  <si>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</si>
  <si>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</si>
  <si>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</si>
  <si>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</si>
  <si>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</si>
  <si>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</si>
  <si>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</si>
  <si>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</si>
  <si>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</si>
  <si>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</si>
  <si>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</si>
  <si>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</si>
  <si>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</si>
  <si>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</si>
  <si>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</si>
  <si>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</si>
  <si>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</si>
  <si>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</si>
  <si>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</si>
  <si>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</si>
  <si>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</si>
  <si>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</si>
  <si>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</si>
  <si>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</si>
  <si>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</si>
  <si>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</si>
  <si>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</si>
  <si>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</si>
  <si>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</si>
  <si>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</si>
  <si>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</si>
  <si>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</si>
  <si>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</si>
  <si>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</si>
  <si>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</si>
  <si>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</si>
  <si>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</si>
  <si>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</si>
  <si>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</si>
  <si>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</si>
  <si>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</si>
  <si>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</si>
  <si>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</si>
  <si>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</si>
  <si>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</si>
  <si>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</si>
  <si>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</si>
  <si>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</si>
  <si>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</si>
  <si>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</si>
  <si>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</si>
  <si>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</si>
  <si>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</si>
  <si>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</si>
  <si>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</si>
  <si>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</si>
  <si>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</si>
  <si>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</si>
  <si>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</si>
  <si>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</si>
  <si>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</si>
  <si>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</si>
  <si>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</si>
  <si>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</si>
  <si>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</si>
  <si>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</si>
  <si>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</si>
  <si>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</si>
  <si>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</si>
  <si>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</si>
  <si>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</si>
  <si>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</si>
  <si>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</si>
  <si>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</si>
  <si>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</si>
  <si>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</si>
  <si>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</si>
  <si>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</si>
  <si>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</si>
  <si>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</si>
  <si>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</si>
  <si>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</si>
  <si>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</si>
  <si>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</si>
  <si>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</si>
  <si>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</si>
  <si>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</si>
  <si>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</si>
  <si>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</si>
  <si>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</si>
  <si>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</si>
  <si>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</si>
  <si>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</si>
  <si>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</si>
  <si>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</si>
  <si>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</si>
  <si>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</si>
  <si>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</si>
  <si>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</si>
  <si>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</si>
  <si>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</si>
  <si>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</si>
  <si>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</si>
  <si>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</si>
  <si>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</si>
  <si>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</si>
  <si>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</si>
  <si>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</si>
  <si>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</si>
  <si>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</si>
  <si>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</si>
  <si>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</si>
  <si>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</si>
  <si>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</si>
  <si>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</si>
  <si>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</si>
  <si>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</si>
  <si>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</si>
  <si>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</si>
  <si>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</si>
  <si>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</si>
  <si>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</si>
  <si>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</si>
  <si>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</si>
  <si>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</si>
  <si>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</si>
  <si>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</si>
  <si>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</si>
  <si>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</si>
  <si>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</si>
  <si>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</si>
  <si>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</si>
  <si>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</si>
  <si>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</si>
  <si>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</si>
  <si>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</si>
  <si>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</si>
  <si>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</si>
  <si>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</si>
  <si>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</si>
  <si>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</si>
  <si>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</si>
  <si>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</si>
  <si>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</si>
  <si>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</si>
  <si>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</si>
  <si>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</si>
  <si>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</si>
  <si>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</si>
  <si>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</si>
  <si>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</si>
  <si>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</si>
  <si>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</si>
  <si>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</si>
  <si>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</si>
  <si>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</si>
  <si>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</si>
  <si>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</si>
  <si>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</si>
  <si>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</si>
  <si>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</si>
  <si>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</si>
  <si>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</si>
  <si>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</si>
  <si>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</si>
  <si>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</si>
  <si>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</si>
  <si>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</si>
  <si>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</si>
  <si>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</si>
  <si>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</si>
  <si>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</si>
  <si>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</si>
  <si>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</si>
  <si>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</si>
  <si>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</si>
  <si>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</si>
  <si>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</si>
  <si>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</si>
  <si>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</si>
  <si>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</si>
  <si>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</si>
  <si>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</si>
  <si>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</si>
  <si>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</si>
  <si>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</si>
  <si>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</si>
  <si>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</si>
  <si>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</si>
  <si>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</si>
  <si>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</si>
  <si>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</si>
  <si>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</si>
  <si>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</si>
  <si>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</si>
  <si>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</si>
  <si>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</si>
  <si>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</si>
  <si>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</si>
  <si>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</si>
  <si>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</si>
  <si>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</si>
  <si>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</si>
  <si>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</si>
  <si>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</si>
  <si>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</si>
  <si>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</si>
  <si>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</si>
  <si>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</si>
  <si>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</si>
  <si>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</si>
  <si>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</si>
  <si>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</si>
  <si>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</si>
  <si>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</si>
  <si>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</si>
  <si>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</si>
  <si>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</si>
  <si>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</si>
  <si>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</si>
  <si>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</si>
  <si>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</si>
  <si>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</si>
  <si>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</si>
  <si>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</si>
  <si>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</si>
  <si>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</si>
  <si>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</si>
  <si>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</si>
  <si>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</si>
  <si>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</si>
  <si>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</si>
  <si>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</si>
  <si>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</si>
  <si>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</si>
  <si>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</si>
  <si>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</si>
  <si>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</si>
  <si>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</si>
  <si>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</si>
  <si>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</si>
  <si>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</si>
  <si>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</si>
  <si>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</si>
  <si>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</si>
  <si>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</si>
  <si>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</si>
  <si>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</si>
  <si>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</si>
  <si>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</si>
  <si>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</si>
  <si>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</si>
  <si>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</si>
  <si>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</si>
  <si>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</si>
  <si>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</si>
  <si>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</si>
  <si>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</si>
  <si>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</si>
  <si>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</si>
  <si>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</si>
  <si>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</si>
  <si>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</si>
  <si>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</si>
  <si>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</si>
  <si>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</si>
  <si>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</si>
  <si>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</si>
  <si>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</si>
  <si>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</si>
  <si>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</si>
  <si>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</si>
  <si>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</si>
  <si>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</si>
  <si>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</si>
  <si>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</si>
  <si>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</si>
  <si>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</si>
  <si>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</si>
  <si>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</si>
  <si>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</si>
  <si>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</si>
  <si>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</si>
  <si>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</si>
  <si>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</si>
  <si>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</si>
  <si>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</si>
  <si>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</si>
  <si>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</si>
  <si>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</si>
  <si>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</si>
  <si>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</si>
  <si>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</si>
  <si>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</si>
  <si>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</si>
  <si>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</si>
  <si>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</si>
  <si>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</si>
  <si>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</si>
  <si>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</si>
  <si>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</si>
  <si>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</si>
  <si>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</si>
  <si>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</si>
  <si>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</si>
  <si>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</si>
  <si>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</si>
  <si>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</si>
  <si>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</si>
  <si>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</si>
  <si>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</si>
  <si>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</si>
  <si>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</si>
  <si>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</si>
  <si>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</si>
  <si>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</si>
  <si>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</si>
  <si>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</si>
  <si>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</si>
  <si>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</si>
  <si>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</si>
  <si>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</si>
  <si>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</si>
  <si>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</si>
  <si>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</si>
  <si>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</si>
  <si>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</si>
  <si>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</si>
  <si>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</si>
  <si>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</si>
  <si>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</si>
  <si>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</si>
  <si>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</si>
  <si>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</si>
  <si>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</si>
  <si>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</si>
  <si>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</si>
  <si>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</si>
  <si>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</si>
  <si>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</si>
  <si>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</si>
  <si>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</si>
  <si>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</si>
  <si>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</si>
  <si>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</si>
  <si>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</si>
  <si>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</si>
  <si>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</si>
  <si>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</si>
  <si>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</si>
  <si>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</si>
  <si>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</si>
  <si>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</si>
  <si>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</si>
  <si>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</si>
  <si>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</si>
  <si>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</si>
  <si>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</si>
  <si>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</si>
  <si>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</si>
  <si>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</si>
  <si>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</si>
  <si>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</si>
  <si>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</si>
  <si>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</si>
  <si>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</si>
  <si>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</si>
  <si>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</si>
  <si>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</si>
  <si>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</si>
  <si>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</si>
  <si>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</si>
  <si>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</si>
  <si>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</si>
  <si>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</si>
  <si>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</si>
  <si>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</si>
  <si>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</si>
  <si>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</si>
  <si>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</si>
  <si>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</si>
  <si>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</si>
  <si>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</si>
  <si>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</si>
  <si>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</si>
  <si>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</si>
  <si>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</si>
  <si>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</si>
  <si>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</si>
  <si>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</si>
  <si>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</si>
  <si>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</si>
  <si>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</si>
  <si>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</si>
  <si>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</si>
  <si>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</si>
  <si>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</si>
  <si>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</si>
  <si>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</si>
  <si>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</si>
  <si>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</si>
  <si>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</si>
  <si>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</si>
  <si>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</si>
  <si>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</si>
  <si>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</si>
  <si>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</si>
  <si>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</si>
  <si>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</si>
  <si>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</si>
  <si>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</si>
  <si>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</si>
  <si>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</si>
  <si>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</si>
  <si>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</si>
  <si>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</si>
  <si>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</si>
  <si>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</si>
  <si>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</si>
  <si>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</si>
  <si>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</si>
  <si>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</si>
  <si>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</si>
  <si>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</si>
  <si>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</si>
  <si>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</si>
  <si>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</si>
  <si>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</si>
  <si>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</si>
  <si>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</si>
  <si>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</si>
  <si>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</si>
  <si>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</si>
  <si>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</si>
  <si>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</si>
  <si>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</si>
  <si>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</si>
  <si>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</si>
  <si>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</si>
  <si>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</si>
  <si>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</si>
  <si>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</si>
  <si>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</si>
  <si>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</si>
  <si>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</si>
  <si>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</si>
  <si>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</si>
  <si>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</si>
  <si>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</si>
  <si>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</si>
  <si>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</si>
  <si>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</si>
  <si>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</si>
  <si>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</si>
  <si>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</si>
  <si>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</si>
  <si>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</si>
  <si>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</si>
  <si>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</si>
  <si>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</si>
  <si>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</si>
  <si>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</si>
  <si>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</si>
  <si>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</si>
  <si>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</si>
  <si>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</si>
  <si>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</si>
  <si>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</si>
  <si>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</si>
  <si>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</si>
  <si>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</si>
  <si>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</si>
  <si>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</si>
  <si>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</si>
  <si>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</si>
  <si>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</si>
  <si>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</si>
  <si>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</si>
  <si>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</si>
  <si>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</si>
  <si>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</si>
  <si>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</si>
  <si>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</si>
  <si>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</si>
  <si>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</si>
  <si>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</si>
  <si>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</si>
  <si>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</si>
  <si>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</si>
  <si>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</si>
  <si>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</si>
  <si>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</si>
  <si>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</si>
  <si>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</si>
  <si>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</si>
  <si>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</si>
  <si>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</si>
  <si>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</si>
  <si>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</si>
  <si>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</si>
  <si>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</si>
  <si>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</si>
  <si>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</si>
  <si>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</si>
  <si>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</si>
  <si>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</si>
  <si>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</si>
  <si>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</si>
  <si>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</si>
  <si>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</si>
  <si>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</si>
  <si>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</si>
  <si>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</si>
  <si>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</si>
  <si>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</si>
  <si>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</si>
  <si>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</si>
  <si>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</si>
  <si>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</si>
  <si>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</si>
  <si>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</si>
  <si>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</si>
  <si>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</si>
  <si>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</si>
  <si>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</si>
  <si>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</si>
  <si>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</si>
  <si>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</si>
  <si>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</si>
  <si>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</si>
  <si>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</si>
  <si>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</si>
  <si>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</si>
  <si>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</si>
  <si>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</si>
  <si>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</si>
  <si>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</si>
  <si>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</si>
  <si>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</si>
  <si>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</si>
  <si>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</si>
  <si>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</si>
  <si>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</si>
  <si>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</si>
  <si>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</si>
  <si>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</si>
  <si>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</si>
  <si>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</si>
  <si>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</si>
  <si>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</si>
  <si>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</si>
  <si>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</si>
  <si>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</si>
  <si>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</si>
  <si>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</si>
  <si>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</si>
  <si>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</si>
  <si>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</si>
  <si>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</si>
  <si>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</si>
  <si>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</si>
  <si>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</si>
  <si>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</si>
  <si>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</si>
  <si>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</si>
  <si>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</si>
  <si>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</si>
  <si>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</si>
  <si>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</si>
  <si>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</si>
  <si>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</si>
  <si>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</si>
  <si>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</si>
  <si>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</si>
  <si>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</si>
  <si>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</si>
  <si>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</si>
  <si>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</si>
  <si>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</si>
  <si>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</si>
  <si>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</si>
  <si>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</si>
  <si>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</si>
  <si>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</si>
  <si>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</si>
  <si>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</si>
  <si>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</si>
  <si>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</si>
  <si>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</si>
  <si>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</si>
  <si>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</si>
  <si>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</si>
  <si>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</si>
  <si>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</si>
  <si>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</si>
  <si>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</si>
  <si>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</si>
  <si>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</si>
  <si>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</si>
  <si>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</si>
  <si>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</si>
  <si>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</si>
  <si>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</si>
  <si>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</si>
  <si>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</si>
  <si>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</si>
  <si>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</si>
  <si>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</si>
  <si>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</si>
  <si>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</si>
  <si>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</si>
  <si>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2026.01-004</t>
  </si>
  <si>
    <t>Barbaros İstasyonu Hat - 1 Halkalı Yönü P1 Tüneli 3.Aşama</t>
  </si>
  <si>
    <t>S06.H1.HY.P1.A3.001</t>
  </si>
  <si>
    <t>2026.02-002</t>
  </si>
  <si>
    <t>S06.H1.HY.P1.A3.002</t>
  </si>
  <si>
    <t>3.Aşama İmalatları</t>
  </si>
  <si>
    <t>2026.03-013</t>
  </si>
  <si>
    <t>S06.H1.HY.P1.A3.003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</si>
  <si>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</si>
  <si>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</si>
  <si>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</si>
  <si>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</si>
  <si>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</si>
  <si>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</si>
  <si>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</si>
  <si>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2026.04-001</t>
  </si>
  <si>
    <t>S06.H1.HY.P1.A3.004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</si>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</sst>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2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Hk06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N12" sqref="N12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68" t="s">
        <v>0</v>
      </c>
      <c r="B5" s="168"/>
      <c r="C5" s="168"/>
      <c r="D5" s="168"/>
      <c r="E5" s="168"/>
      <c r="F5" s="168"/>
      <c r="G5" s="168"/>
      <c r="H5" s="168"/>
      <c r="I5" s="168"/>
      <c r="J5" s="168"/>
    </row>
    <row r="6" spans="1:10" s="2" customFormat="1" ht="29.4" x14ac:dyDescent="0.55000000000000004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</row>
    <row r="7" spans="1:10" s="2" customFormat="1" ht="29.4" customHeight="1" x14ac:dyDescent="0.35">
      <c r="A7" s="167" t="s">
        <v>1017</v>
      </c>
      <c r="B7" s="167"/>
      <c r="C7" s="167"/>
      <c r="D7" s="167"/>
      <c r="E7" s="167"/>
      <c r="F7" s="167"/>
      <c r="G7" s="167"/>
      <c r="H7" s="167"/>
      <c r="I7" s="167"/>
      <c r="J7" s="167"/>
    </row>
    <row r="8" spans="1:10" s="2" customFormat="1" ht="29.4" customHeight="1" x14ac:dyDescent="0.35">
      <c r="A8" s="167"/>
      <c r="B8" s="167"/>
      <c r="C8" s="167"/>
      <c r="D8" s="167"/>
      <c r="E8" s="167"/>
      <c r="F8" s="167"/>
      <c r="G8" s="167"/>
      <c r="H8" s="167"/>
      <c r="I8" s="167"/>
      <c r="J8" s="167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67" t="s">
        <v>2</v>
      </c>
      <c r="B12" s="167"/>
      <c r="C12" s="167"/>
      <c r="D12" s="167"/>
      <c r="E12" s="167"/>
      <c r="F12" s="167"/>
      <c r="G12" s="167"/>
      <c r="H12" s="167"/>
      <c r="I12" s="167"/>
      <c r="J12" s="167"/>
    </row>
    <row r="13" spans="1:10" s="1" customFormat="1" ht="22.95" customHeight="1" x14ac:dyDescent="0.3">
      <c r="A13" s="167"/>
      <c r="B13" s="167"/>
      <c r="C13" s="167"/>
      <c r="D13" s="167"/>
      <c r="E13" s="167"/>
      <c r="F13" s="167"/>
      <c r="G13" s="167"/>
      <c r="H13" s="167"/>
      <c r="I13" s="167"/>
      <c r="J13" s="167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69">
        <f>+İcmal!C15</f>
        <v>6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8" spans="1:10" ht="15" customHeight="1" x14ac:dyDescent="0.3">
      <c r="A28" s="166" t="s">
        <v>1061</v>
      </c>
      <c r="B28" s="166"/>
      <c r="C28" s="166"/>
      <c r="D28" s="166"/>
      <c r="E28" s="166"/>
      <c r="F28" s="166"/>
      <c r="G28" s="166"/>
      <c r="H28" s="166"/>
      <c r="I28" s="166"/>
      <c r="J28" s="166"/>
    </row>
    <row r="29" spans="1:10" ht="15" customHeight="1" x14ac:dyDescent="0.3">
      <c r="A29" s="166"/>
      <c r="B29" s="166"/>
      <c r="C29" s="166"/>
      <c r="D29" s="166"/>
      <c r="E29" s="166"/>
      <c r="F29" s="166"/>
      <c r="G29" s="166"/>
      <c r="H29" s="166"/>
      <c r="I29" s="166"/>
      <c r="J29" s="166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66" t="s">
        <v>3</v>
      </c>
      <c r="B33" s="166"/>
      <c r="C33" s="166"/>
      <c r="D33" s="166"/>
      <c r="E33" s="166"/>
      <c r="F33" s="166"/>
      <c r="G33" s="166"/>
      <c r="H33" s="166"/>
      <c r="I33" s="166"/>
      <c r="J33" s="166"/>
    </row>
    <row r="34" spans="1:10" ht="15" customHeight="1" x14ac:dyDescent="0.3">
      <c r="A34" s="166"/>
      <c r="B34" s="166"/>
      <c r="C34" s="166"/>
      <c r="D34" s="166"/>
      <c r="E34" s="166"/>
      <c r="F34" s="166"/>
      <c r="G34" s="166"/>
      <c r="H34" s="166"/>
      <c r="I34" s="166"/>
      <c r="J34" s="166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87"/>
  <sheetViews>
    <sheetView tabSelected="1" view="pageBreakPreview" topLeftCell="J4" zoomScaleNormal="100" zoomScaleSheetLayoutView="100" workbookViewId="0">
      <selection activeCell="N12" sqref="N12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16384" width="8.88671875" style="9"/>
  </cols>
  <sheetData>
    <row r="1" spans="1:14" ht="15" customHeight="1" x14ac:dyDescent="0.3">
      <c r="N1" s="28">
        <f>+Liste!H485</f>
        <v>22801699.293000001</v>
      </c>
    </row>
    <row r="5" spans="1:14" s="154" customFormat="1" ht="15" customHeight="1" x14ac:dyDescent="0.3">
      <c r="A5" s="165" t="s">
        <v>0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</row>
    <row r="6" spans="1:14" s="154" customFormat="1" ht="15" customHeight="1" x14ac:dyDescent="0.3">
      <c r="A6" s="165" t="s">
        <v>1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</row>
    <row r="7" spans="1:14" s="154" customFormat="1" ht="15" customHeight="1" x14ac:dyDescent="0.3">
      <c r="A7" s="165" t="s">
        <v>1017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</row>
    <row r="8" spans="1:14" s="154" customFormat="1" ht="15" customHeight="1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</row>
    <row r="9" spans="1:14" s="154" customFormat="1" ht="15" customHeight="1" x14ac:dyDescent="0.3">
      <c r="A9" s="155"/>
    </row>
    <row r="10" spans="1:14" s="154" customFormat="1" ht="15" customHeight="1" x14ac:dyDescent="0.3">
      <c r="A10" s="165" t="s">
        <v>2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</row>
    <row r="11" spans="1:14" s="154" customFormat="1" ht="15" customHeight="1" x14ac:dyDescent="0.3">
      <c r="A11" s="155"/>
    </row>
    <row r="12" spans="1:14" s="154" customFormat="1" ht="15" customHeight="1" x14ac:dyDescent="0.3">
      <c r="A12" s="165" t="str">
        <f>+Kapak!A28</f>
        <v>Barbaros İstasyonu Hat - 1 Halkalı Yönü P1 Tüneli 3.Aşama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+[1]Veri!$C$21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+[1]Veri!$C$22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1019</v>
      </c>
      <c r="P18" s="20" t="s">
        <v>1019</v>
      </c>
      <c r="Q18" s="20" t="s">
        <v>1019</v>
      </c>
      <c r="R18" s="20" t="s">
        <v>1019</v>
      </c>
      <c r="S18" s="20" t="s">
        <v>1019</v>
      </c>
      <c r="T18" s="20" t="s">
        <v>1019</v>
      </c>
      <c r="U18" s="20" t="s">
        <v>1019</v>
      </c>
      <c r="V18" s="20" t="s">
        <v>1019</v>
      </c>
      <c r="W18" s="20" t="s">
        <v>1019</v>
      </c>
      <c r="X18" s="20" t="s">
        <v>1019</v>
      </c>
      <c r="Y18" s="20" t="s">
        <v>1019</v>
      </c>
      <c r="Z18" s="20" t="s">
        <v>1019</v>
      </c>
      <c r="AA18" s="20" t="s">
        <v>1019</v>
      </c>
      <c r="AB18" s="20" t="s">
        <v>1019</v>
      </c>
      <c r="AC18" s="20" t="s">
        <v>1019</v>
      </c>
      <c r="AD18" s="20" t="s">
        <v>1019</v>
      </c>
      <c r="AE18" s="20" t="s">
        <v>1019</v>
      </c>
      <c r="AF18" s="20" t="s">
        <v>1019</v>
      </c>
      <c r="AG18" s="20" t="s">
        <v>1019</v>
      </c>
      <c r="AH18" s="20" t="s">
        <v>1019</v>
      </c>
    </row>
    <row r="19" spans="2:34" ht="30" customHeight="1" x14ac:dyDescent="0.3">
      <c r="B19" s="15" t="s">
        <v>7</v>
      </c>
      <c r="C19" s="163" t="s">
        <v>8</v>
      </c>
      <c r="D19" s="163"/>
      <c r="E19" s="163"/>
      <c r="F19" s="163"/>
      <c r="G19" s="163"/>
      <c r="H19" s="164"/>
      <c r="I19" s="44" t="s">
        <v>9</v>
      </c>
      <c r="J19" s="148" t="s">
        <v>1057</v>
      </c>
      <c r="K19" s="148" t="s">
        <v>1058</v>
      </c>
      <c r="L19" s="16" t="s">
        <v>1059</v>
      </c>
      <c r="O19" s="21" t="s">
        <v>1020</v>
      </c>
      <c r="P19" s="21" t="s">
        <v>1021</v>
      </c>
      <c r="Q19" s="21" t="s">
        <v>1023</v>
      </c>
      <c r="R19" s="21" t="s">
        <v>1024</v>
      </c>
      <c r="S19" s="21" t="s">
        <v>1025</v>
      </c>
      <c r="T19" s="21" t="s">
        <v>1026</v>
      </c>
      <c r="U19" s="21" t="s">
        <v>1027</v>
      </c>
      <c r="V19" s="21" t="s">
        <v>1028</v>
      </c>
      <c r="W19" s="21" t="s">
        <v>1029</v>
      </c>
      <c r="X19" s="21" t="s">
        <v>1030</v>
      </c>
      <c r="Y19" s="21" t="s">
        <v>1031</v>
      </c>
      <c r="Z19" s="21" t="s">
        <v>1032</v>
      </c>
      <c r="AA19" s="21" t="s">
        <v>1033</v>
      </c>
      <c r="AB19" s="21" t="s">
        <v>1034</v>
      </c>
      <c r="AC19" s="21" t="s">
        <v>1035</v>
      </c>
      <c r="AD19" s="21" t="s">
        <v>1036</v>
      </c>
      <c r="AE19" s="21" t="s">
        <v>1037</v>
      </c>
      <c r="AF19" s="21" t="s">
        <v>1038</v>
      </c>
      <c r="AG19" s="21" t="s">
        <v>1039</v>
      </c>
      <c r="AH19" s="21" t="s">
        <v>1040</v>
      </c>
    </row>
    <row r="20" spans="2:34" ht="30" customHeight="1" x14ac:dyDescent="0.3">
      <c r="B20" s="29" t="s">
        <v>119</v>
      </c>
      <c r="C20" s="157" t="str">
        <f>+VLOOKUP(B20,Liste!B:E,2,FALSE)</f>
        <v>Geleneksel (NATM) Tünel Kazısı</v>
      </c>
      <c r="D20" s="157"/>
      <c r="E20" s="157"/>
      <c r="F20" s="157"/>
      <c r="G20" s="157"/>
      <c r="H20" s="158"/>
      <c r="I20" s="22" t="s">
        <v>22</v>
      </c>
      <c r="J20" s="90">
        <v>1103.145</v>
      </c>
      <c r="K20" s="149">
        <f>+L20-J20</f>
        <v>191.3610000000001</v>
      </c>
      <c r="L20" s="71">
        <f>+IFERROR(VLOOKUP(B20,Metraj!B:P,15,FALSE),"0")</f>
        <v>1294.5060000000001</v>
      </c>
      <c r="O20" s="81"/>
      <c r="P20" s="71"/>
      <c r="Q20" s="71"/>
      <c r="R20" s="71"/>
      <c r="S20" s="71"/>
      <c r="T20" s="71"/>
      <c r="U20" s="71"/>
      <c r="V20" s="71"/>
      <c r="W20" s="71">
        <v>623.55100000000004</v>
      </c>
      <c r="X20" s="71">
        <v>479.59399999999999</v>
      </c>
      <c r="Y20" s="71">
        <v>0</v>
      </c>
      <c r="Z20" s="71">
        <f>$L20-SUM($O20:Y20)</f>
        <v>191.3610000000001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57" t="str">
        <f>+VLOOKUP(B21,Liste!B:E,2,FALSE)</f>
        <v>Kazıdan çıkan veya Ariyetten alınan malzeme ile geri dolgu yapılması</v>
      </c>
      <c r="D21" s="157"/>
      <c r="E21" s="157"/>
      <c r="F21" s="157"/>
      <c r="G21" s="157"/>
      <c r="H21" s="158"/>
      <c r="I21" s="22" t="s">
        <v>22</v>
      </c>
      <c r="J21" s="90" t="s">
        <v>1073</v>
      </c>
      <c r="K21" s="149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57" t="str">
        <f>+VLOOKUP(B22,Liste!B:E,2,FALSE)</f>
        <v>Kum, Çakıl, Kırma Tas ve Benzeri Malzeme ile Dolgu Yapılması</v>
      </c>
      <c r="D22" s="157"/>
      <c r="E22" s="157"/>
      <c r="F22" s="157"/>
      <c r="G22" s="157"/>
      <c r="H22" s="158"/>
      <c r="I22" s="22" t="s">
        <v>22</v>
      </c>
      <c r="J22" s="90" t="s">
        <v>1073</v>
      </c>
      <c r="K22" s="149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57" t="str">
        <f>+VLOOKUP(B23,Liste!B:E,2,FALSE)</f>
        <v>Püskürtme Beton (Tünel ve Şaftlarda)</v>
      </c>
      <c r="D23" s="157"/>
      <c r="E23" s="157"/>
      <c r="F23" s="157"/>
      <c r="G23" s="157"/>
      <c r="H23" s="158"/>
      <c r="I23" s="22" t="s">
        <v>22</v>
      </c>
      <c r="J23" s="90">
        <v>161.36500000000001</v>
      </c>
      <c r="K23" s="149">
        <f t="shared" si="0"/>
        <v>27.064999999999998</v>
      </c>
      <c r="L23" s="71">
        <f>+IFERROR(VLOOKUP(B23,Metraj!B:P,15,FALSE),"0")</f>
        <v>188.43</v>
      </c>
      <c r="O23" s="81"/>
      <c r="P23" s="71"/>
      <c r="Q23" s="71"/>
      <c r="R23" s="71"/>
      <c r="S23" s="71"/>
      <c r="T23" s="71"/>
      <c r="U23" s="71"/>
      <c r="V23" s="71"/>
      <c r="W23" s="71">
        <v>84.241</v>
      </c>
      <c r="X23" s="71">
        <v>77.124000000000009</v>
      </c>
      <c r="Y23" s="71">
        <v>0</v>
      </c>
      <c r="Z23" s="71">
        <f>$L23-SUM($O23:Y23)</f>
        <v>27.064999999999998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57" t="str">
        <f>+VLOOKUP(B24,Liste!B:E,2,FALSE)</f>
        <v>Delgi boyu =&lt; 30m</v>
      </c>
      <c r="D24" s="157"/>
      <c r="E24" s="157"/>
      <c r="F24" s="157"/>
      <c r="G24" s="157"/>
      <c r="H24" s="158"/>
      <c r="I24" s="22" t="s">
        <v>37</v>
      </c>
      <c r="J24" s="90" t="s">
        <v>1073</v>
      </c>
      <c r="K24" s="149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57" t="str">
        <f>+VLOOKUP(B25,Liste!B:E,2,FALSE)</f>
        <v>Delgi boyu &gt; 30m</v>
      </c>
      <c r="D25" s="157"/>
      <c r="E25" s="157"/>
      <c r="F25" s="157"/>
      <c r="G25" s="157"/>
      <c r="H25" s="158"/>
      <c r="I25" s="22" t="s">
        <v>37</v>
      </c>
      <c r="J25" s="90" t="s">
        <v>1073</v>
      </c>
      <c r="K25" s="149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57" t="str">
        <f>+VLOOKUP(B26,Liste!B:E,2,FALSE)</f>
        <v>L=3 m Kaya Bulonu</v>
      </c>
      <c r="D26" s="157"/>
      <c r="E26" s="157"/>
      <c r="F26" s="157"/>
      <c r="G26" s="157"/>
      <c r="H26" s="158"/>
      <c r="I26" s="22" t="s">
        <v>42</v>
      </c>
      <c r="J26" s="90" t="s">
        <v>1073</v>
      </c>
      <c r="K26" s="149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57" t="str">
        <f>+VLOOKUP(B27,Liste!B:E,2,FALSE)</f>
        <v>L=4 m Kaya Bulonu</v>
      </c>
      <c r="D27" s="157"/>
      <c r="E27" s="157"/>
      <c r="F27" s="157"/>
      <c r="G27" s="157"/>
      <c r="H27" s="158"/>
      <c r="I27" s="22" t="s">
        <v>42</v>
      </c>
      <c r="J27" s="90">
        <v>0</v>
      </c>
      <c r="K27" s="149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57" t="str">
        <f>+VLOOKUP(B28,Liste!B:E,2,FALSE)</f>
        <v>L=5 m Kaya Bulonu</v>
      </c>
      <c r="D28" s="157"/>
      <c r="E28" s="157"/>
      <c r="F28" s="157"/>
      <c r="G28" s="157"/>
      <c r="H28" s="158"/>
      <c r="I28" s="22" t="s">
        <v>42</v>
      </c>
      <c r="J28" s="90" t="s">
        <v>1073</v>
      </c>
      <c r="K28" s="149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57" t="str">
        <f>+VLOOKUP(B29,Liste!B:E,2,FALSE)</f>
        <v>L=6 m Kaya Bulonu</v>
      </c>
      <c r="D29" s="157"/>
      <c r="E29" s="157"/>
      <c r="F29" s="157"/>
      <c r="G29" s="157"/>
      <c r="H29" s="158"/>
      <c r="I29" s="22" t="s">
        <v>42</v>
      </c>
      <c r="J29" s="90" t="s">
        <v>1073</v>
      </c>
      <c r="K29" s="149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57" t="str">
        <f>+VLOOKUP(B30,Liste!B:E,2,FALSE)</f>
        <v>L=8 m Kaya Bulonu</v>
      </c>
      <c r="D30" s="157"/>
      <c r="E30" s="157"/>
      <c r="F30" s="157"/>
      <c r="G30" s="157"/>
      <c r="H30" s="158"/>
      <c r="I30" s="22" t="s">
        <v>42</v>
      </c>
      <c r="J30" s="90">
        <v>240</v>
      </c>
      <c r="K30" s="149">
        <f t="shared" si="0"/>
        <v>0</v>
      </c>
      <c r="L30" s="71">
        <f>+IFERROR(VLOOKUP(B30,Metraj!B:P,15,FALSE),"0")</f>
        <v>240</v>
      </c>
      <c r="O30" s="81"/>
      <c r="P30" s="71"/>
      <c r="Q30" s="71"/>
      <c r="R30" s="71"/>
      <c r="S30" s="71"/>
      <c r="T30" s="71"/>
      <c r="U30" s="71"/>
      <c r="V30" s="71"/>
      <c r="W30" s="71">
        <v>42</v>
      </c>
      <c r="X30" s="71">
        <v>189</v>
      </c>
      <c r="Y30" s="71">
        <v>9</v>
      </c>
      <c r="Z30" s="71">
        <f>$L30-SUM($O30:Y30)</f>
        <v>0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57" t="str">
        <f>+VLOOKUP(B31,Liste!B:E,2,FALSE)</f>
        <v>125 mm Delik İçine 14 mm Kalınlığında S420a ile Zemin Çivisi Teşkili</v>
      </c>
      <c r="D31" s="157"/>
      <c r="E31" s="157"/>
      <c r="F31" s="157"/>
      <c r="G31" s="157"/>
      <c r="H31" s="158"/>
      <c r="I31" s="22" t="s">
        <v>37</v>
      </c>
      <c r="J31" s="90" t="s">
        <v>1074</v>
      </c>
      <c r="K31" s="149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57" t="str">
        <f>+VLOOKUP(B32,Liste!B:E,2,FALSE)</f>
        <v>125 mm Delik İçine 26 mm Kalınlığında S420a ile Zemin Çivisi Teşkili</v>
      </c>
      <c r="D32" s="157"/>
      <c r="E32" s="157"/>
      <c r="F32" s="157"/>
      <c r="G32" s="157"/>
      <c r="H32" s="158"/>
      <c r="I32" s="22" t="s">
        <v>37</v>
      </c>
      <c r="J32" s="90" t="s">
        <v>1073</v>
      </c>
      <c r="K32" s="149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57" t="str">
        <f>+VLOOKUP(B33,Liste!B:E,2,FALSE)</f>
        <v>Çelik İksa (Tünel ve Şaftlarda)</v>
      </c>
      <c r="D33" s="157"/>
      <c r="E33" s="157"/>
      <c r="F33" s="157"/>
      <c r="G33" s="157"/>
      <c r="H33" s="158"/>
      <c r="I33" s="22" t="s">
        <v>57</v>
      </c>
      <c r="J33" s="90">
        <v>47.094999999999999</v>
      </c>
      <c r="K33" s="149">
        <f t="shared" si="0"/>
        <v>2.7430000000000021</v>
      </c>
      <c r="L33" s="71">
        <f>+IFERROR(VLOOKUP(B33,Metraj!B:P,15,FALSE),"0")</f>
        <v>49.838000000000001</v>
      </c>
      <c r="O33" s="81"/>
      <c r="P33" s="71"/>
      <c r="Q33" s="71"/>
      <c r="R33" s="71"/>
      <c r="S33" s="71"/>
      <c r="T33" s="71"/>
      <c r="U33" s="71"/>
      <c r="V33" s="71"/>
      <c r="W33" s="71">
        <v>1.1720000000000002</v>
      </c>
      <c r="X33" s="71">
        <v>20.547999999999998</v>
      </c>
      <c r="Y33" s="71">
        <v>25.375</v>
      </c>
      <c r="Z33" s="71">
        <f>$L33-SUM($O33:Y33)</f>
        <v>2.7430000000000021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57" t="str">
        <f>+VLOOKUP(B34,Liste!B:E,2,FALSE)</f>
        <v>Umbrella Arch Yapılması</v>
      </c>
      <c r="D34" s="157"/>
      <c r="E34" s="157"/>
      <c r="F34" s="157"/>
      <c r="G34" s="157"/>
      <c r="H34" s="158"/>
      <c r="I34" s="22" t="s">
        <v>37</v>
      </c>
      <c r="J34" s="90">
        <v>0</v>
      </c>
      <c r="K34" s="149">
        <f t="shared" si="0"/>
        <v>0</v>
      </c>
      <c r="L34" s="71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57" t="str">
        <f>+VLOOKUP(B35,Liste!B:E,2,FALSE)</f>
        <v>Tünel ve şaftlarda su yalıtımı, birim ağırlığı &gt;=500 g/metrekare geotekstil keçe</v>
      </c>
      <c r="D35" s="157"/>
      <c r="E35" s="157"/>
      <c r="F35" s="157"/>
      <c r="G35" s="157"/>
      <c r="H35" s="158"/>
      <c r="I35" s="22" t="s">
        <v>19</v>
      </c>
      <c r="J35" s="90" t="s">
        <v>1073</v>
      </c>
      <c r="K35" s="149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57" t="str">
        <f>+VLOOKUP(B36,Liste!B:E,2,FALSE)</f>
        <v>Tünel ve şaftlarda su yalıtımı, 2mm kalınlıklı PVC membran</v>
      </c>
      <c r="D36" s="157"/>
      <c r="E36" s="157"/>
      <c r="F36" s="157"/>
      <c r="G36" s="157"/>
      <c r="H36" s="158"/>
      <c r="I36" s="22" t="s">
        <v>19</v>
      </c>
      <c r="J36" s="90" t="s">
        <v>1073</v>
      </c>
      <c r="K36" s="149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57" t="str">
        <f>+VLOOKUP(B37,Liste!B:E,2,FALSE)</f>
        <v>Su Tutucular (Tünel ve Şaftlarda)</v>
      </c>
      <c r="D37" s="157"/>
      <c r="E37" s="157"/>
      <c r="F37" s="157"/>
      <c r="G37" s="157"/>
      <c r="H37" s="158"/>
      <c r="I37" s="22" t="s">
        <v>37</v>
      </c>
      <c r="J37" s="90" t="s">
        <v>1073</v>
      </c>
      <c r="K37" s="149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57" t="str">
        <f>+VLOOKUP(B38,Liste!B:E,2,FALSE)</f>
        <v>Kalıp (invert ve şaft için)</v>
      </c>
      <c r="D38" s="157"/>
      <c r="E38" s="157"/>
      <c r="F38" s="157"/>
      <c r="G38" s="157"/>
      <c r="H38" s="158"/>
      <c r="I38" s="22" t="s">
        <v>19</v>
      </c>
      <c r="J38" s="90" t="s">
        <v>1073</v>
      </c>
      <c r="K38" s="149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57" t="str">
        <f>+VLOOKUP(B39,Liste!B:E,2,FALSE)</f>
        <v>Kalıp (duvar ve kemer İçin)</v>
      </c>
      <c r="D39" s="157"/>
      <c r="E39" s="157"/>
      <c r="F39" s="157"/>
      <c r="G39" s="157"/>
      <c r="H39" s="158"/>
      <c r="I39" s="22" t="s">
        <v>19</v>
      </c>
      <c r="J39" s="90" t="s">
        <v>1073</v>
      </c>
      <c r="K39" s="149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57" t="str">
        <f>+VLOOKUP(B40,Liste!B:E,2,FALSE)</f>
        <v>Tip Kesit Dışı Konstrüksiyon Kalıbı, Tünel Alın Kalıbı</v>
      </c>
      <c r="D40" s="157"/>
      <c r="E40" s="157"/>
      <c r="F40" s="157"/>
      <c r="G40" s="157"/>
      <c r="H40" s="158"/>
      <c r="I40" s="22" t="s">
        <v>19</v>
      </c>
      <c r="J40" s="90" t="s">
        <v>1073</v>
      </c>
      <c r="K40" s="149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57" t="str">
        <f>+VLOOKUP(B41,Liste!B:E,2,FALSE)</f>
        <v>C16 Beton İmali ve Dökülmesi (Tünel ve Şaftlarda)</v>
      </c>
      <c r="D41" s="157"/>
      <c r="E41" s="157"/>
      <c r="F41" s="157"/>
      <c r="G41" s="157"/>
      <c r="H41" s="158"/>
      <c r="I41" s="22" t="s">
        <v>22</v>
      </c>
      <c r="J41" s="90" t="s">
        <v>1073</v>
      </c>
      <c r="K41" s="149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57" t="str">
        <f>+VLOOKUP(B42,Liste!B:E,2,FALSE)</f>
        <v>C30 Beton İmali ve Dökülmesi (Tünel ve Şaftlarda) Tünel kaplaması, invert ve şaftlardaki alt döşeme</v>
      </c>
      <c r="D42" s="157"/>
      <c r="E42" s="157"/>
      <c r="F42" s="157"/>
      <c r="G42" s="157"/>
      <c r="H42" s="158"/>
      <c r="I42" s="22" t="s">
        <v>22</v>
      </c>
      <c r="J42" s="90" t="s">
        <v>1073</v>
      </c>
      <c r="K42" s="149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57" t="str">
        <f>+VLOOKUP(B43,Liste!B:E,2,FALSE)</f>
        <v>C30 Beton İmali ve Dökülmesi (Tünel ve Şaftlarda) Yan duvarlar, kemer</v>
      </c>
      <c r="D43" s="157"/>
      <c r="E43" s="157"/>
      <c r="F43" s="157"/>
      <c r="G43" s="157"/>
      <c r="H43" s="158"/>
      <c r="I43" s="22" t="s">
        <v>22</v>
      </c>
      <c r="J43" s="90" t="s">
        <v>1073</v>
      </c>
      <c r="K43" s="149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57" t="str">
        <f>+VLOOKUP(B44,Liste!B:E,2,FALSE)</f>
        <v>Diğer Kesit Dışındaki Yapıların Betonu C30</v>
      </c>
      <c r="D44" s="157"/>
      <c r="E44" s="157"/>
      <c r="F44" s="157"/>
      <c r="G44" s="157"/>
      <c r="H44" s="158"/>
      <c r="I44" s="22" t="s">
        <v>22</v>
      </c>
      <c r="J44" s="90" t="s">
        <v>1073</v>
      </c>
      <c r="K44" s="149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57" t="str">
        <f>+VLOOKUP(B45,Liste!B:E,2,FALSE)</f>
        <v>Çelik Donatı (S220 )</v>
      </c>
      <c r="D45" s="157"/>
      <c r="E45" s="157"/>
      <c r="F45" s="157"/>
      <c r="G45" s="157"/>
      <c r="H45" s="158"/>
      <c r="I45" s="22" t="s">
        <v>57</v>
      </c>
      <c r="J45" s="90">
        <v>2.081</v>
      </c>
      <c r="K45" s="149">
        <f t="shared" si="0"/>
        <v>1.5659999999999998</v>
      </c>
      <c r="L45" s="71">
        <f>+IFERROR(VLOOKUP(B45,Metraj!B:P,15,FALSE),"0")</f>
        <v>3.6469999999999998</v>
      </c>
      <c r="O45" s="81"/>
      <c r="P45" s="71"/>
      <c r="Q45" s="71"/>
      <c r="R45" s="71"/>
      <c r="S45" s="71"/>
      <c r="T45" s="71"/>
      <c r="V45" s="71"/>
      <c r="W45" s="71">
        <v>1.1720000000000002</v>
      </c>
      <c r="X45" s="71">
        <v>0.90900000000000003</v>
      </c>
      <c r="Y45" s="71">
        <v>0</v>
      </c>
      <c r="Z45" s="71">
        <f>$L45-SUM($O45:Y45)</f>
        <v>1.5659999999999994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57" t="str">
        <f>+VLOOKUP(B46,Liste!B:E,2,FALSE)</f>
        <v>Çelik Donatı (S420a )</v>
      </c>
      <c r="D46" s="157"/>
      <c r="E46" s="157"/>
      <c r="F46" s="157"/>
      <c r="G46" s="157"/>
      <c r="H46" s="158"/>
      <c r="I46" s="22" t="s">
        <v>57</v>
      </c>
      <c r="J46" s="90">
        <v>0</v>
      </c>
      <c r="K46" s="149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57" t="str">
        <f>+VLOOKUP(B47,Liste!B:E,2,FALSE)</f>
        <v>Çelik hasır (S500 )</v>
      </c>
      <c r="D47" s="157"/>
      <c r="E47" s="157"/>
      <c r="F47" s="157"/>
      <c r="G47" s="157"/>
      <c r="H47" s="158"/>
      <c r="I47" s="22" t="s">
        <v>57</v>
      </c>
      <c r="J47" s="90">
        <v>12.135</v>
      </c>
      <c r="K47" s="149">
        <f t="shared" si="0"/>
        <v>1.9459999999999997</v>
      </c>
      <c r="L47" s="71">
        <f>+IFERROR(VLOOKUP(B47,Metraj!B:P,15,FALSE),"0")</f>
        <v>14.081</v>
      </c>
      <c r="O47" s="81"/>
      <c r="P47" s="71"/>
      <c r="Q47" s="71"/>
      <c r="R47" s="71"/>
      <c r="S47" s="71"/>
      <c r="T47" s="71"/>
      <c r="V47" s="71"/>
      <c r="W47" s="71">
        <v>6.9589999999999996</v>
      </c>
      <c r="X47" s="71">
        <v>5.1760000000000002</v>
      </c>
      <c r="Y47" s="71">
        <v>0</v>
      </c>
      <c r="Z47" s="71">
        <f>$L47-SUM($O47:Y47)</f>
        <v>1.9459999999999997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57" t="str">
        <f>+VLOOKUP(B48,Liste!B:E,2,FALSE)</f>
        <v>Paslanmaz Çelik Plaka</v>
      </c>
      <c r="D48" s="157"/>
      <c r="E48" s="157"/>
      <c r="F48" s="157"/>
      <c r="G48" s="157"/>
      <c r="H48" s="158"/>
      <c r="I48" s="22" t="s">
        <v>170</v>
      </c>
      <c r="J48" s="90" t="s">
        <v>1073</v>
      </c>
      <c r="K48" s="149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>
        <v>0</v>
      </c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57" t="str">
        <f>+VLOOKUP(B49,Liste!B:E,2,FALSE)</f>
        <v>Block-out Kutusu</v>
      </c>
      <c r="D49" s="157"/>
      <c r="E49" s="157"/>
      <c r="F49" s="157"/>
      <c r="G49" s="157"/>
      <c r="H49" s="158"/>
      <c r="I49" s="22" t="s">
        <v>170</v>
      </c>
      <c r="J49" s="90" t="s">
        <v>1073</v>
      </c>
      <c r="K49" s="149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>
        <v>0</v>
      </c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60"/>
      <c r="C75" s="160"/>
      <c r="D75" s="160"/>
      <c r="E75" s="161"/>
      <c r="F75" s="161"/>
      <c r="G75" s="161"/>
      <c r="H75" s="160"/>
      <c r="I75" s="160"/>
      <c r="J75" s="160"/>
      <c r="K75" s="160"/>
      <c r="L75" s="160"/>
    </row>
    <row r="76" spans="2:12" ht="15" customHeight="1" x14ac:dyDescent="0.3">
      <c r="B76" s="159"/>
      <c r="C76" s="159"/>
      <c r="D76" s="159"/>
      <c r="E76" s="162"/>
      <c r="F76" s="162"/>
      <c r="G76" s="162"/>
      <c r="H76" s="162"/>
      <c r="I76" s="162"/>
      <c r="J76" s="162"/>
      <c r="K76" s="162"/>
      <c r="L76" s="162"/>
    </row>
    <row r="77" spans="2:12" ht="15" customHeight="1" x14ac:dyDescent="0.3">
      <c r="B77" s="30"/>
      <c r="C77" s="30"/>
      <c r="D77" s="31"/>
      <c r="E77" s="31"/>
      <c r="F77" s="31"/>
      <c r="G77" s="32"/>
      <c r="H77" s="162"/>
      <c r="I77" s="162"/>
      <c r="J77" s="162"/>
      <c r="K77" s="162"/>
      <c r="L77" s="162"/>
    </row>
    <row r="78" spans="2:12" ht="15" customHeight="1" x14ac:dyDescent="0.3">
      <c r="H78" s="162"/>
      <c r="I78" s="162"/>
      <c r="J78" s="162"/>
      <c r="K78" s="162"/>
      <c r="L78" s="162"/>
    </row>
    <row r="86" spans="2:12" ht="15" customHeight="1" x14ac:dyDescent="0.3"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</row>
    <row r="87" spans="2:12" ht="15" customHeight="1" x14ac:dyDescent="0.3"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1.294,506"/>
        <filter val="14,081"/>
        <filter val="188,430"/>
        <filter val="240,000"/>
        <filter val="3,654"/>
        <filter val="49,838"/>
      </filters>
    </filterColumn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84"/>
  <sheetViews>
    <sheetView view="pageBreakPreview" topLeftCell="A55" zoomScaleNormal="100" zoomScaleSheetLayoutView="100" workbookViewId="0">
      <selection activeCell="O17" sqref="O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8.6640625" style="9" bestFit="1" customWidth="1"/>
    <col min="30" max="30" width="15.44140625" style="9" bestFit="1" customWidth="1"/>
    <col min="31" max="31" width="18.6640625" style="9" bestFit="1" customWidth="1"/>
    <col min="32" max="16384" width="8.88671875" style="9"/>
  </cols>
  <sheetData>
    <row r="1" spans="1:31" ht="15" customHeight="1" x14ac:dyDescent="0.3">
      <c r="AC1" s="9" t="s">
        <v>1069</v>
      </c>
      <c r="AD1" s="9" t="s">
        <v>1070</v>
      </c>
      <c r="AE1" s="9" t="s">
        <v>1071</v>
      </c>
    </row>
    <row r="2" spans="1:31" s="154" customFormat="1" ht="15" customHeight="1" x14ac:dyDescent="0.3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AC2" s="154">
        <f>+SUM(AC17:AC1000)</f>
        <v>20873903.990000002</v>
      </c>
      <c r="AD2" s="154">
        <f>+SUM(AD17:AD1000)</f>
        <v>1927795.3030000008</v>
      </c>
      <c r="AE2" s="154">
        <f>+SUM(AE17:AE1000)</f>
        <v>22801699.293000001</v>
      </c>
    </row>
    <row r="3" spans="1:31" s="154" customFormat="1" ht="15" customHeight="1" x14ac:dyDescent="0.3">
      <c r="A3" s="165" t="s">
        <v>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</row>
    <row r="4" spans="1:31" s="154" customFormat="1" ht="15" customHeight="1" x14ac:dyDescent="0.3">
      <c r="A4" s="165" t="s">
        <v>1017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31" s="154" customFormat="1" ht="15" customHeight="1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31" s="154" customFormat="1" ht="15" customHeight="1" x14ac:dyDescent="0.3">
      <c r="A6" s="155"/>
      <c r="B6" s="155"/>
    </row>
    <row r="7" spans="1:31" s="154" customFormat="1" ht="15" customHeight="1" x14ac:dyDescent="0.3">
      <c r="A7" s="165" t="s">
        <v>2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31" s="154" customFormat="1" ht="15" customHeight="1" x14ac:dyDescent="0.3">
      <c r="A8" s="155"/>
      <c r="B8" s="155"/>
    </row>
    <row r="9" spans="1:31" s="154" customFormat="1" ht="15" customHeight="1" x14ac:dyDescent="0.3">
      <c r="A9" s="165" t="str">
        <f>+Kapak!A28</f>
        <v>Barbaros İstasyonu Hat - 1 Halkalı Yönü P1 Tüneli 3.Aşama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</row>
    <row r="10" spans="1:31" s="154" customFormat="1" ht="15" customHeight="1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31" s="154" customFormat="1" ht="15" customHeight="1" x14ac:dyDescent="0.3">
      <c r="A11" s="165" t="s">
        <v>982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70"/>
      <c r="E14" s="170"/>
      <c r="F14" s="13"/>
      <c r="G14" s="13"/>
      <c r="H14" s="11"/>
      <c r="I14" s="11"/>
      <c r="J14" s="11"/>
    </row>
    <row r="16" spans="1:31" ht="30" customHeight="1" x14ac:dyDescent="0.3">
      <c r="B16" s="171" t="s">
        <v>7</v>
      </c>
      <c r="C16" s="172"/>
      <c r="D16" s="171" t="s">
        <v>8</v>
      </c>
      <c r="E16" s="175"/>
      <c r="F16" s="175"/>
      <c r="G16" s="175"/>
      <c r="H16" s="175"/>
      <c r="I16" s="175"/>
      <c r="J16" s="175"/>
      <c r="K16" s="175"/>
      <c r="L16" s="175"/>
      <c r="M16" s="34" t="s">
        <v>9</v>
      </c>
      <c r="N16" s="85" t="s">
        <v>1057</v>
      </c>
      <c r="O16" s="85" t="s">
        <v>1058</v>
      </c>
      <c r="P16" s="35" t="s">
        <v>1059</v>
      </c>
    </row>
    <row r="17" spans="2:31" ht="30" customHeight="1" x14ac:dyDescent="0.3">
      <c r="B17" s="173" t="s">
        <v>119</v>
      </c>
      <c r="C17" s="174"/>
      <c r="D17" s="176" t="str">
        <f>+VLOOKUP(B17,Liste!B:E,2,FALSE)</f>
        <v>Geleneksel (NATM) Tünel Kazısı</v>
      </c>
      <c r="E17" s="177"/>
      <c r="F17" s="177"/>
      <c r="G17" s="177"/>
      <c r="H17" s="177"/>
      <c r="I17" s="177"/>
      <c r="J17" s="177"/>
      <c r="K17" s="177"/>
      <c r="L17" s="177"/>
      <c r="M17" s="36" t="str">
        <f>+VLOOKUP(B17,Liste!B:E,3,FALSE)</f>
        <v>m³</v>
      </c>
      <c r="N17" s="60">
        <v>1103.145</v>
      </c>
      <c r="O17" s="60">
        <f>+P17-N17</f>
        <v>191.3610000000001</v>
      </c>
      <c r="P17" s="60">
        <f>+ROUND(SUM(P18:P44),3)</f>
        <v>1294.5060000000001</v>
      </c>
      <c r="S17" s="88"/>
      <c r="AA17" s="9">
        <f>+VLOOKUP(B17,[2]Liste!$B$2:$F$483,5,FALSE)</f>
        <v>5075</v>
      </c>
      <c r="AC17" s="9">
        <f>+AA17*N17</f>
        <v>5598460.875</v>
      </c>
      <c r="AD17" s="9">
        <f>+AA17*O17</f>
        <v>971157.07500000054</v>
      </c>
      <c r="AE17" s="9">
        <f>+AA17*P17</f>
        <v>6569617.9500000002</v>
      </c>
    </row>
    <row r="18" spans="2:31" ht="15" customHeight="1" x14ac:dyDescent="0.3">
      <c r="B18" s="51" t="s">
        <v>1065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9">
        <v>5</v>
      </c>
      <c r="C20" s="100" t="s">
        <v>1060</v>
      </c>
      <c r="D20" s="101" t="s">
        <v>1062</v>
      </c>
      <c r="E20" s="101"/>
      <c r="F20" s="101"/>
      <c r="G20" s="101"/>
      <c r="H20" s="102">
        <v>1404.56</v>
      </c>
      <c r="I20" s="102">
        <v>1360.88</v>
      </c>
      <c r="J20" s="102" t="s">
        <v>993</v>
      </c>
      <c r="K20" s="99">
        <v>9</v>
      </c>
      <c r="L20" s="99">
        <v>0.75</v>
      </c>
      <c r="M20" s="103" t="s">
        <v>1001</v>
      </c>
      <c r="N20" s="104"/>
      <c r="O20" s="105">
        <v>13.353999999999999</v>
      </c>
      <c r="P20" s="106">
        <f t="shared" ref="P20:P25" si="0">+ROUND(PRODUCT(K20:O20),3)</f>
        <v>90.14</v>
      </c>
      <c r="S20" s="9">
        <f>+L20*K20</f>
        <v>6.75</v>
      </c>
    </row>
    <row r="21" spans="2:31" ht="15" customHeight="1" x14ac:dyDescent="0.3">
      <c r="B21" s="56">
        <v>5</v>
      </c>
      <c r="C21" s="100" t="s">
        <v>1060</v>
      </c>
      <c r="D21" s="101" t="s">
        <v>1062</v>
      </c>
      <c r="E21" s="101"/>
      <c r="F21" s="101"/>
      <c r="G21" s="101"/>
      <c r="H21" s="102">
        <v>1404.56</v>
      </c>
      <c r="I21" s="102">
        <v>1360.88</v>
      </c>
      <c r="J21" s="55" t="s">
        <v>993</v>
      </c>
      <c r="K21" s="56">
        <v>9</v>
      </c>
      <c r="L21" s="56">
        <v>0.75</v>
      </c>
      <c r="M21" s="83" t="s">
        <v>1002</v>
      </c>
      <c r="N21" s="84"/>
      <c r="O21" s="61">
        <v>13.9</v>
      </c>
      <c r="P21" s="62">
        <f t="shared" si="0"/>
        <v>93.825000000000003</v>
      </c>
      <c r="S21" s="9">
        <f t="shared" ref="S21:S26" si="1">+L21*K21</f>
        <v>6.75</v>
      </c>
    </row>
    <row r="22" spans="2:31" ht="15" customHeight="1" x14ac:dyDescent="0.3">
      <c r="B22" s="56">
        <v>5</v>
      </c>
      <c r="C22" s="100" t="s">
        <v>1060</v>
      </c>
      <c r="D22" s="101" t="s">
        <v>1062</v>
      </c>
      <c r="E22" s="101"/>
      <c r="F22" s="101"/>
      <c r="G22" s="101"/>
      <c r="H22" s="102">
        <v>1404.56</v>
      </c>
      <c r="I22" s="102">
        <v>1360.88</v>
      </c>
      <c r="J22" s="55" t="s">
        <v>993</v>
      </c>
      <c r="K22" s="56">
        <v>9</v>
      </c>
      <c r="L22" s="56">
        <v>0.75</v>
      </c>
      <c r="M22" s="83" t="s">
        <v>1003</v>
      </c>
      <c r="N22" s="84"/>
      <c r="O22" s="61">
        <v>14.201000000000001</v>
      </c>
      <c r="P22" s="62">
        <f t="shared" si="0"/>
        <v>95.856999999999999</v>
      </c>
      <c r="S22" s="9">
        <f t="shared" si="1"/>
        <v>6.75</v>
      </c>
    </row>
    <row r="23" spans="2:31" ht="15" customHeight="1" x14ac:dyDescent="0.3">
      <c r="B23" s="56">
        <v>5</v>
      </c>
      <c r="C23" s="100" t="s">
        <v>1060</v>
      </c>
      <c r="D23" s="101" t="s">
        <v>1062</v>
      </c>
      <c r="E23" s="101"/>
      <c r="F23" s="101"/>
      <c r="G23" s="101"/>
      <c r="H23" s="102">
        <v>1404.56</v>
      </c>
      <c r="I23" s="102">
        <v>1360.88</v>
      </c>
      <c r="J23" s="55" t="s">
        <v>993</v>
      </c>
      <c r="K23" s="56">
        <v>10</v>
      </c>
      <c r="L23" s="56">
        <v>0.75</v>
      </c>
      <c r="M23" s="83" t="s">
        <v>1004</v>
      </c>
      <c r="N23" s="84"/>
      <c r="O23" s="61">
        <v>14.382</v>
      </c>
      <c r="P23" s="62">
        <f t="shared" si="0"/>
        <v>107.86499999999999</v>
      </c>
      <c r="S23" s="9">
        <f t="shared" si="1"/>
        <v>7.5</v>
      </c>
    </row>
    <row r="24" spans="2:31" ht="15" customHeight="1" x14ac:dyDescent="0.3">
      <c r="B24" s="56">
        <v>5</v>
      </c>
      <c r="C24" s="100" t="s">
        <v>1060</v>
      </c>
      <c r="D24" s="101" t="s">
        <v>1062</v>
      </c>
      <c r="E24" s="101"/>
      <c r="F24" s="101"/>
      <c r="G24" s="101"/>
      <c r="H24" s="102">
        <v>1404.56</v>
      </c>
      <c r="I24" s="102">
        <v>1360.88</v>
      </c>
      <c r="J24" s="55" t="s">
        <v>993</v>
      </c>
      <c r="K24" s="56">
        <v>10</v>
      </c>
      <c r="L24" s="56">
        <v>0.75</v>
      </c>
      <c r="M24" s="83" t="s">
        <v>1005</v>
      </c>
      <c r="N24" s="84"/>
      <c r="O24" s="61">
        <v>14.621</v>
      </c>
      <c r="P24" s="62">
        <f t="shared" si="0"/>
        <v>109.658</v>
      </c>
      <c r="S24" s="9">
        <f t="shared" si="1"/>
        <v>7.5</v>
      </c>
    </row>
    <row r="25" spans="2:31" ht="15" customHeight="1" x14ac:dyDescent="0.3">
      <c r="B25" s="56">
        <v>5</v>
      </c>
      <c r="C25" s="100" t="s">
        <v>1060</v>
      </c>
      <c r="D25" s="101" t="s">
        <v>1062</v>
      </c>
      <c r="E25" s="101"/>
      <c r="F25" s="101"/>
      <c r="G25" s="101"/>
      <c r="H25" s="102">
        <v>1404.56</v>
      </c>
      <c r="I25" s="102">
        <v>1360.88</v>
      </c>
      <c r="J25" s="55" t="s">
        <v>993</v>
      </c>
      <c r="K25" s="56">
        <v>10</v>
      </c>
      <c r="L25" s="56">
        <v>0.75</v>
      </c>
      <c r="M25" s="83" t="s">
        <v>1006</v>
      </c>
      <c r="N25" s="84"/>
      <c r="O25" s="61">
        <v>14.971</v>
      </c>
      <c r="P25" s="62">
        <f t="shared" si="0"/>
        <v>112.283</v>
      </c>
      <c r="S25" s="9">
        <f t="shared" si="1"/>
        <v>7.5</v>
      </c>
    </row>
    <row r="26" spans="2:31" ht="15" customHeight="1" x14ac:dyDescent="0.3">
      <c r="B26" s="56">
        <v>5</v>
      </c>
      <c r="C26" s="100" t="s">
        <v>1060</v>
      </c>
      <c r="D26" s="101" t="s">
        <v>1062</v>
      </c>
      <c r="E26" s="101"/>
      <c r="F26" s="101"/>
      <c r="G26" s="101"/>
      <c r="H26" s="102">
        <v>1404.56</v>
      </c>
      <c r="I26" s="102">
        <v>1360.88</v>
      </c>
      <c r="J26" s="55" t="s">
        <v>993</v>
      </c>
      <c r="K26" s="56">
        <v>1</v>
      </c>
      <c r="L26" s="56">
        <v>0.93</v>
      </c>
      <c r="M26" s="83" t="s">
        <v>1006</v>
      </c>
      <c r="N26" s="86"/>
      <c r="O26" s="70">
        <v>14.971</v>
      </c>
      <c r="P26" s="87">
        <f>+ROUND(PRODUCT(K26:O26),3)</f>
        <v>13.923</v>
      </c>
      <c r="S26" s="9">
        <f t="shared" si="1"/>
        <v>0.93</v>
      </c>
    </row>
    <row r="27" spans="2:31" ht="15" customHeight="1" x14ac:dyDescent="0.3">
      <c r="B27" s="99">
        <v>5</v>
      </c>
      <c r="C27" s="100" t="s">
        <v>1063</v>
      </c>
      <c r="D27" s="101" t="s">
        <v>1064</v>
      </c>
      <c r="E27" s="101"/>
      <c r="F27" s="101"/>
      <c r="G27" s="101"/>
      <c r="H27" s="102">
        <v>1360.88</v>
      </c>
      <c r="I27" s="102">
        <v>1327.13</v>
      </c>
      <c r="J27" s="102" t="s">
        <v>993</v>
      </c>
      <c r="K27" s="99">
        <v>8</v>
      </c>
      <c r="L27" s="99">
        <v>0.75</v>
      </c>
      <c r="M27" s="103" t="s">
        <v>1001</v>
      </c>
      <c r="N27" s="104"/>
      <c r="O27" s="105">
        <v>13.353999999999999</v>
      </c>
      <c r="P27" s="106">
        <f t="shared" ref="P27:P32" si="2">+ROUND(PRODUCT(K27:O27),3)</f>
        <v>80.123999999999995</v>
      </c>
      <c r="S27" s="9">
        <f>+L27*K27</f>
        <v>6</v>
      </c>
    </row>
    <row r="28" spans="2:31" ht="15" customHeight="1" x14ac:dyDescent="0.3">
      <c r="B28" s="56">
        <v>5</v>
      </c>
      <c r="C28" s="100" t="s">
        <v>1063</v>
      </c>
      <c r="D28" s="101" t="s">
        <v>1064</v>
      </c>
      <c r="E28" s="101"/>
      <c r="F28" s="101"/>
      <c r="G28" s="101"/>
      <c r="H28" s="102">
        <v>1360.88</v>
      </c>
      <c r="I28" s="102">
        <v>1327.13</v>
      </c>
      <c r="J28" s="55" t="s">
        <v>993</v>
      </c>
      <c r="K28" s="56">
        <v>8</v>
      </c>
      <c r="L28" s="56">
        <v>0.75</v>
      </c>
      <c r="M28" s="83" t="s">
        <v>1002</v>
      </c>
      <c r="N28" s="84"/>
      <c r="O28" s="61">
        <v>13.9</v>
      </c>
      <c r="P28" s="62">
        <f t="shared" si="2"/>
        <v>83.4</v>
      </c>
      <c r="S28" s="9">
        <f t="shared" ref="S28:S32" si="3">+L28*K28</f>
        <v>6</v>
      </c>
    </row>
    <row r="29" spans="2:31" ht="15" customHeight="1" x14ac:dyDescent="0.3">
      <c r="B29" s="56">
        <v>5</v>
      </c>
      <c r="C29" s="100" t="s">
        <v>1063</v>
      </c>
      <c r="D29" s="101" t="s">
        <v>1064</v>
      </c>
      <c r="E29" s="101"/>
      <c r="F29" s="101"/>
      <c r="G29" s="101"/>
      <c r="H29" s="102">
        <v>1360.88</v>
      </c>
      <c r="I29" s="102">
        <v>1327.13</v>
      </c>
      <c r="J29" s="55" t="s">
        <v>993</v>
      </c>
      <c r="K29" s="56">
        <v>8</v>
      </c>
      <c r="L29" s="56">
        <v>0.75</v>
      </c>
      <c r="M29" s="83" t="s">
        <v>1003</v>
      </c>
      <c r="N29" s="84"/>
      <c r="O29" s="61">
        <v>14.201000000000001</v>
      </c>
      <c r="P29" s="62">
        <f t="shared" si="2"/>
        <v>85.206000000000003</v>
      </c>
      <c r="S29" s="9">
        <f t="shared" si="3"/>
        <v>6</v>
      </c>
    </row>
    <row r="30" spans="2:31" ht="15" customHeight="1" x14ac:dyDescent="0.3">
      <c r="B30" s="56">
        <v>5</v>
      </c>
      <c r="C30" s="100" t="s">
        <v>1063</v>
      </c>
      <c r="D30" s="101" t="s">
        <v>1064</v>
      </c>
      <c r="E30" s="101"/>
      <c r="F30" s="101"/>
      <c r="G30" s="101"/>
      <c r="H30" s="102">
        <v>1360.88</v>
      </c>
      <c r="I30" s="102">
        <v>1327.13</v>
      </c>
      <c r="J30" s="55" t="s">
        <v>993</v>
      </c>
      <c r="K30" s="56">
        <v>7</v>
      </c>
      <c r="L30" s="56">
        <v>0.75</v>
      </c>
      <c r="M30" s="83" t="s">
        <v>1004</v>
      </c>
      <c r="N30" s="84"/>
      <c r="O30" s="61">
        <v>14.382</v>
      </c>
      <c r="P30" s="62">
        <f t="shared" si="2"/>
        <v>75.506</v>
      </c>
      <c r="S30" s="9">
        <f t="shared" si="3"/>
        <v>5.25</v>
      </c>
    </row>
    <row r="31" spans="2:31" ht="15" customHeight="1" x14ac:dyDescent="0.3">
      <c r="B31" s="56">
        <v>5</v>
      </c>
      <c r="C31" s="100" t="s">
        <v>1063</v>
      </c>
      <c r="D31" s="101" t="s">
        <v>1064</v>
      </c>
      <c r="E31" s="101"/>
      <c r="F31" s="101"/>
      <c r="G31" s="101"/>
      <c r="H31" s="102">
        <v>1360.88</v>
      </c>
      <c r="I31" s="102">
        <v>1327.13</v>
      </c>
      <c r="J31" s="55" t="s">
        <v>993</v>
      </c>
      <c r="K31" s="56">
        <v>7</v>
      </c>
      <c r="L31" s="56">
        <v>0.75</v>
      </c>
      <c r="M31" s="83" t="s">
        <v>1005</v>
      </c>
      <c r="N31" s="84"/>
      <c r="O31" s="61">
        <v>14.621</v>
      </c>
      <c r="P31" s="62">
        <f t="shared" si="2"/>
        <v>76.760000000000005</v>
      </c>
      <c r="S31" s="9">
        <f t="shared" si="3"/>
        <v>5.25</v>
      </c>
    </row>
    <row r="32" spans="2:31" ht="15" customHeight="1" x14ac:dyDescent="0.3">
      <c r="B32" s="56">
        <v>5</v>
      </c>
      <c r="C32" s="100" t="s">
        <v>1063</v>
      </c>
      <c r="D32" s="101" t="s">
        <v>1064</v>
      </c>
      <c r="E32" s="101"/>
      <c r="F32" s="101"/>
      <c r="G32" s="101"/>
      <c r="H32" s="102">
        <v>1360.88</v>
      </c>
      <c r="I32" s="102">
        <v>1327.13</v>
      </c>
      <c r="J32" s="55" t="s">
        <v>993</v>
      </c>
      <c r="K32" s="56">
        <v>7</v>
      </c>
      <c r="L32" s="56">
        <v>0.75</v>
      </c>
      <c r="M32" s="83" t="s">
        <v>1006</v>
      </c>
      <c r="N32" s="84"/>
      <c r="O32" s="61">
        <v>14.971</v>
      </c>
      <c r="P32" s="62">
        <f t="shared" si="2"/>
        <v>78.597999999999999</v>
      </c>
      <c r="S32" s="9">
        <f t="shared" si="3"/>
        <v>5.25</v>
      </c>
    </row>
    <row r="33" spans="2:31" ht="15" hidden="1" customHeight="1" x14ac:dyDescent="0.3">
      <c r="B33" s="51" t="s">
        <v>999</v>
      </c>
      <c r="C33" s="78"/>
      <c r="D33" s="45"/>
      <c r="E33" s="45"/>
      <c r="F33" s="45"/>
      <c r="G33" s="45"/>
      <c r="H33" s="46"/>
      <c r="I33" s="46"/>
      <c r="J33" s="46"/>
      <c r="K33" s="47"/>
      <c r="L33" s="47"/>
      <c r="M33" s="48"/>
      <c r="N33" s="48"/>
      <c r="O33" s="49"/>
      <c r="P33" s="50"/>
    </row>
    <row r="34" spans="2:31" ht="15" hidden="1" customHeight="1" x14ac:dyDescent="0.3">
      <c r="B34" s="91" t="s">
        <v>981</v>
      </c>
      <c r="C34" s="91" t="s">
        <v>991</v>
      </c>
      <c r="D34" s="92" t="s">
        <v>996</v>
      </c>
      <c r="E34" s="92"/>
      <c r="F34" s="92"/>
      <c r="G34" s="92"/>
      <c r="H34" s="117"/>
      <c r="I34" s="91" t="s">
        <v>997</v>
      </c>
      <c r="J34" s="91" t="s">
        <v>992</v>
      </c>
      <c r="K34" s="91" t="s">
        <v>989</v>
      </c>
      <c r="L34" s="91" t="s">
        <v>984</v>
      </c>
      <c r="M34" s="93" t="s">
        <v>985</v>
      </c>
      <c r="N34" s="91" t="s">
        <v>986</v>
      </c>
      <c r="O34" s="93" t="s">
        <v>983</v>
      </c>
      <c r="P34" s="93" t="s">
        <v>14</v>
      </c>
    </row>
    <row r="35" spans="2:31" ht="15" hidden="1" customHeight="1" x14ac:dyDescent="0.3">
      <c r="B35" s="109">
        <v>5</v>
      </c>
      <c r="C35" s="100" t="s">
        <v>1060</v>
      </c>
      <c r="D35" s="111" t="s">
        <v>998</v>
      </c>
      <c r="E35" s="111"/>
      <c r="F35" s="111"/>
      <c r="G35" s="111"/>
      <c r="H35" s="119"/>
      <c r="I35" s="120">
        <v>30</v>
      </c>
      <c r="J35" s="112" t="s">
        <v>993</v>
      </c>
      <c r="K35" s="109">
        <v>0</v>
      </c>
      <c r="L35" s="109"/>
      <c r="M35" s="121">
        <f t="shared" ref="M35" si="4">+I35/100</f>
        <v>0.3</v>
      </c>
      <c r="N35" s="121"/>
      <c r="O35" s="115">
        <v>14.971</v>
      </c>
      <c r="P35" s="116">
        <f t="shared" ref="P35" si="5">+ROUND(PRODUCT(K35:O35),3)</f>
        <v>0</v>
      </c>
    </row>
    <row r="36" spans="2:31" ht="15" hidden="1" customHeight="1" x14ac:dyDescent="0.3">
      <c r="B36" s="56">
        <v>3</v>
      </c>
      <c r="C36" s="53" t="s">
        <v>1051</v>
      </c>
      <c r="D36" s="54" t="s">
        <v>998</v>
      </c>
      <c r="E36" s="54"/>
      <c r="F36" s="54"/>
      <c r="G36" s="54"/>
      <c r="H36" s="59"/>
      <c r="I36" s="58">
        <v>0</v>
      </c>
      <c r="J36" s="55" t="s">
        <v>993</v>
      </c>
      <c r="K36" s="56">
        <v>0</v>
      </c>
      <c r="L36" s="56"/>
      <c r="M36" s="57">
        <v>0</v>
      </c>
      <c r="N36" s="57"/>
      <c r="O36" s="61">
        <v>44.921999999999997</v>
      </c>
      <c r="P36" s="62">
        <f t="shared" ref="P36:P42" si="6">+ROUND(PRODUCT(K36:O36),3)</f>
        <v>0</v>
      </c>
    </row>
    <row r="37" spans="2:31" ht="15" customHeight="1" x14ac:dyDescent="0.3">
      <c r="B37" s="99">
        <v>6</v>
      </c>
      <c r="C37" s="100" t="s">
        <v>1075</v>
      </c>
      <c r="D37" s="101" t="s">
        <v>1076</v>
      </c>
      <c r="E37" s="101"/>
      <c r="F37" s="101"/>
      <c r="G37" s="101"/>
      <c r="H37" s="102">
        <v>1327.13</v>
      </c>
      <c r="I37" s="102">
        <v>1314.44</v>
      </c>
      <c r="J37" s="102" t="s">
        <v>993</v>
      </c>
      <c r="K37" s="99">
        <v>1</v>
      </c>
      <c r="L37" s="99">
        <v>0.75</v>
      </c>
      <c r="M37" s="103" t="s">
        <v>1001</v>
      </c>
      <c r="N37" s="104"/>
      <c r="O37" s="105">
        <v>13.353999999999999</v>
      </c>
      <c r="P37" s="106">
        <f t="shared" si="6"/>
        <v>10.016</v>
      </c>
      <c r="S37" s="9">
        <f>+L37*K37</f>
        <v>0.75</v>
      </c>
    </row>
    <row r="38" spans="2:31" ht="15" customHeight="1" x14ac:dyDescent="0.3">
      <c r="B38" s="56">
        <v>6</v>
      </c>
      <c r="C38" s="100" t="s">
        <v>1075</v>
      </c>
      <c r="D38" s="101" t="s">
        <v>1076</v>
      </c>
      <c r="E38" s="101"/>
      <c r="F38" s="101"/>
      <c r="G38" s="101"/>
      <c r="H38" s="102">
        <v>1327.13</v>
      </c>
      <c r="I38" s="102">
        <v>1314.44</v>
      </c>
      <c r="J38" s="55" t="s">
        <v>993</v>
      </c>
      <c r="K38" s="56">
        <v>1</v>
      </c>
      <c r="L38" s="56">
        <v>0.75</v>
      </c>
      <c r="M38" s="83" t="s">
        <v>1002</v>
      </c>
      <c r="N38" s="84"/>
      <c r="O38" s="61">
        <v>13.9</v>
      </c>
      <c r="P38" s="62">
        <f t="shared" si="6"/>
        <v>10.425000000000001</v>
      </c>
      <c r="S38" s="9">
        <f t="shared" ref="S38:S42" si="7">+L38*K38</f>
        <v>0.75</v>
      </c>
    </row>
    <row r="39" spans="2:31" ht="15" customHeight="1" x14ac:dyDescent="0.3">
      <c r="B39" s="56">
        <v>6</v>
      </c>
      <c r="C39" s="100" t="s">
        <v>1075</v>
      </c>
      <c r="D39" s="101" t="s">
        <v>1076</v>
      </c>
      <c r="E39" s="101"/>
      <c r="F39" s="101"/>
      <c r="G39" s="101"/>
      <c r="H39" s="102">
        <v>1327.13</v>
      </c>
      <c r="I39" s="102">
        <v>1314.44</v>
      </c>
      <c r="J39" s="55" t="s">
        <v>993</v>
      </c>
      <c r="K39" s="56">
        <v>1</v>
      </c>
      <c r="L39" s="56">
        <v>0.75</v>
      </c>
      <c r="M39" s="83" t="s">
        <v>1003</v>
      </c>
      <c r="N39" s="84"/>
      <c r="O39" s="61">
        <v>14.201000000000001</v>
      </c>
      <c r="P39" s="62">
        <f t="shared" si="6"/>
        <v>10.651</v>
      </c>
      <c r="S39" s="9">
        <f t="shared" si="7"/>
        <v>0.75</v>
      </c>
    </row>
    <row r="40" spans="2:31" ht="15" customHeight="1" x14ac:dyDescent="0.3">
      <c r="B40" s="56">
        <v>6</v>
      </c>
      <c r="C40" s="100" t="s">
        <v>1075</v>
      </c>
      <c r="D40" s="101" t="s">
        <v>1076</v>
      </c>
      <c r="E40" s="101"/>
      <c r="F40" s="101"/>
      <c r="G40" s="101"/>
      <c r="H40" s="102">
        <v>1327.13</v>
      </c>
      <c r="I40" s="102">
        <v>1314.44</v>
      </c>
      <c r="J40" s="55" t="s">
        <v>993</v>
      </c>
      <c r="K40" s="56">
        <v>1</v>
      </c>
      <c r="L40" s="56">
        <v>0.75</v>
      </c>
      <c r="M40" s="83" t="s">
        <v>1004</v>
      </c>
      <c r="N40" s="84"/>
      <c r="O40" s="61">
        <v>14.382</v>
      </c>
      <c r="P40" s="62">
        <f t="shared" si="6"/>
        <v>10.787000000000001</v>
      </c>
      <c r="S40" s="9">
        <f t="shared" si="7"/>
        <v>0.75</v>
      </c>
    </row>
    <row r="41" spans="2:31" ht="15" customHeight="1" x14ac:dyDescent="0.3">
      <c r="B41" s="56">
        <v>6</v>
      </c>
      <c r="C41" s="100" t="s">
        <v>1075</v>
      </c>
      <c r="D41" s="101" t="s">
        <v>1076</v>
      </c>
      <c r="E41" s="101"/>
      <c r="F41" s="101"/>
      <c r="G41" s="101"/>
      <c r="H41" s="102">
        <v>1327.13</v>
      </c>
      <c r="I41" s="102">
        <v>1314.44</v>
      </c>
      <c r="J41" s="55" t="s">
        <v>993</v>
      </c>
      <c r="K41" s="56">
        <v>1</v>
      </c>
      <c r="L41" s="56">
        <v>0.75</v>
      </c>
      <c r="M41" s="83" t="s">
        <v>1005</v>
      </c>
      <c r="N41" s="84"/>
      <c r="O41" s="61">
        <v>14.621</v>
      </c>
      <c r="P41" s="62">
        <f t="shared" si="6"/>
        <v>10.965999999999999</v>
      </c>
      <c r="S41" s="9">
        <f t="shared" si="7"/>
        <v>0.75</v>
      </c>
    </row>
    <row r="42" spans="2:31" ht="15" customHeight="1" x14ac:dyDescent="0.3">
      <c r="B42" s="56">
        <v>6</v>
      </c>
      <c r="C42" s="100" t="s">
        <v>1075</v>
      </c>
      <c r="D42" s="101" t="s">
        <v>1076</v>
      </c>
      <c r="E42" s="101"/>
      <c r="F42" s="101"/>
      <c r="G42" s="101"/>
      <c r="H42" s="102">
        <v>1327.13</v>
      </c>
      <c r="I42" s="102">
        <v>1314.44</v>
      </c>
      <c r="J42" s="55" t="s">
        <v>993</v>
      </c>
      <c r="K42" s="56">
        <v>1</v>
      </c>
      <c r="L42" s="56">
        <v>0.75</v>
      </c>
      <c r="M42" s="83" t="s">
        <v>1006</v>
      </c>
      <c r="N42" s="84"/>
      <c r="O42" s="61">
        <v>14.971</v>
      </c>
      <c r="P42" s="62">
        <f t="shared" si="6"/>
        <v>11.228</v>
      </c>
      <c r="S42" s="9">
        <f t="shared" si="7"/>
        <v>0.75</v>
      </c>
    </row>
    <row r="43" spans="2:31" ht="15" customHeight="1" x14ac:dyDescent="0.3">
      <c r="B43" s="56">
        <v>6</v>
      </c>
      <c r="C43" s="100" t="s">
        <v>1075</v>
      </c>
      <c r="D43" s="101" t="s">
        <v>1076</v>
      </c>
      <c r="E43" s="101"/>
      <c r="F43" s="101"/>
      <c r="G43" s="101"/>
      <c r="H43" s="102">
        <v>1323.38</v>
      </c>
      <c r="I43" s="102">
        <v>1314.44</v>
      </c>
      <c r="J43" s="55" t="s">
        <v>993</v>
      </c>
      <c r="K43" s="56">
        <v>1</v>
      </c>
      <c r="L43" s="156">
        <f>+H43-I43</f>
        <v>8.9400000000000546</v>
      </c>
      <c r="M43" s="83" t="s">
        <v>1077</v>
      </c>
      <c r="N43" s="84"/>
      <c r="O43" s="61">
        <v>14.238</v>
      </c>
      <c r="P43" s="62">
        <f t="shared" ref="P43" si="8">+ROUND(PRODUCT(K43:O43),3)</f>
        <v>127.288</v>
      </c>
      <c r="S43" s="9">
        <f t="shared" ref="S43" si="9">+L43*K43</f>
        <v>8.9400000000000546</v>
      </c>
    </row>
    <row r="44" spans="2:31" ht="15" customHeight="1" x14ac:dyDescent="0.3">
      <c r="B44" s="39"/>
      <c r="C44" s="42"/>
      <c r="D44" s="40"/>
      <c r="E44" s="40"/>
      <c r="F44" s="40"/>
      <c r="G44" s="40"/>
      <c r="H44" s="41"/>
      <c r="I44" s="41"/>
      <c r="J44" s="41"/>
      <c r="K44" s="41"/>
      <c r="L44" s="41"/>
      <c r="M44" s="41"/>
      <c r="N44" s="41"/>
      <c r="O44" s="42"/>
      <c r="P44" s="43"/>
    </row>
    <row r="45" spans="2:31" ht="15" customHeight="1" x14ac:dyDescent="0.3">
      <c r="C45" s="30"/>
      <c r="D45" s="33"/>
      <c r="E45" s="33"/>
      <c r="F45" s="33"/>
      <c r="G45" s="33"/>
      <c r="H45" s="12"/>
      <c r="I45" s="12"/>
      <c r="J45" s="12"/>
      <c r="K45" s="12"/>
      <c r="L45" s="12"/>
      <c r="M45" s="12"/>
      <c r="N45" s="12"/>
      <c r="O45" s="30"/>
    </row>
    <row r="46" spans="2:31" ht="30" customHeight="1" x14ac:dyDescent="0.3">
      <c r="B46" s="171" t="s">
        <v>7</v>
      </c>
      <c r="C46" s="172"/>
      <c r="D46" s="171" t="s">
        <v>8</v>
      </c>
      <c r="E46" s="175"/>
      <c r="F46" s="175"/>
      <c r="G46" s="175"/>
      <c r="H46" s="175"/>
      <c r="I46" s="175"/>
      <c r="J46" s="175"/>
      <c r="K46" s="175"/>
      <c r="L46" s="175"/>
      <c r="M46" s="34" t="s">
        <v>9</v>
      </c>
      <c r="N46" s="85" t="s">
        <v>1057</v>
      </c>
      <c r="O46" s="85" t="s">
        <v>1058</v>
      </c>
      <c r="P46" s="35" t="s">
        <v>1059</v>
      </c>
    </row>
    <row r="47" spans="2:31" ht="30" customHeight="1" x14ac:dyDescent="0.3">
      <c r="B47" s="173" t="s">
        <v>124</v>
      </c>
      <c r="C47" s="174"/>
      <c r="D47" s="176" t="str">
        <f>+VLOOKUP(B47,[3]Liste!B:E,2,FALSE)</f>
        <v>Püskürtme Beton (Tünel ve Şaftlarda)</v>
      </c>
      <c r="E47" s="177"/>
      <c r="F47" s="177"/>
      <c r="G47" s="177"/>
      <c r="H47" s="177"/>
      <c r="I47" s="177"/>
      <c r="J47" s="177"/>
      <c r="K47" s="177"/>
      <c r="L47" s="177"/>
      <c r="M47" s="36" t="str">
        <f>+VLOOKUP(B47,[3]Liste!B:E,3,FALSE)</f>
        <v>m³</v>
      </c>
      <c r="N47" s="60">
        <v>161.36500000000001</v>
      </c>
      <c r="O47" s="60">
        <f>+P47-N47</f>
        <v>27.064999999999998</v>
      </c>
      <c r="P47" s="60">
        <f>+ROUND(SUM(P48:P74),3)</f>
        <v>188.43</v>
      </c>
      <c r="AA47" s="9">
        <f>+VLOOKUP(B47,[2]Liste!$B$2:$F$483,5,FALSE)</f>
        <v>15334</v>
      </c>
      <c r="AC47" s="9">
        <f>+AA47*N47</f>
        <v>2474370.91</v>
      </c>
      <c r="AD47" s="9">
        <f>+AA47*O47</f>
        <v>415014.70999999996</v>
      </c>
      <c r="AE47" s="9">
        <f>+AA47*P47</f>
        <v>2889385.62</v>
      </c>
    </row>
    <row r="48" spans="2:31" ht="15" customHeight="1" x14ac:dyDescent="0.3">
      <c r="B48" s="51" t="s">
        <v>1065</v>
      </c>
      <c r="C48" s="78"/>
      <c r="D48" s="45"/>
      <c r="E48" s="45"/>
      <c r="F48" s="45"/>
      <c r="G48" s="45"/>
      <c r="H48" s="46"/>
      <c r="I48" s="46"/>
      <c r="J48" s="46"/>
      <c r="K48" s="47"/>
      <c r="L48" s="47"/>
      <c r="M48" s="48"/>
      <c r="N48" s="48"/>
      <c r="O48" s="49"/>
      <c r="P48" s="50"/>
    </row>
    <row r="49" spans="2:16" ht="30" customHeight="1" x14ac:dyDescent="0.3">
      <c r="B49" s="91" t="s">
        <v>981</v>
      </c>
      <c r="C49" s="91" t="s">
        <v>991</v>
      </c>
      <c r="D49" s="92" t="s">
        <v>990</v>
      </c>
      <c r="E49" s="92"/>
      <c r="F49" s="92"/>
      <c r="G49" s="92"/>
      <c r="H49" s="91" t="s">
        <v>988</v>
      </c>
      <c r="I49" s="91" t="s">
        <v>987</v>
      </c>
      <c r="J49" s="91" t="s">
        <v>992</v>
      </c>
      <c r="K49" s="91" t="s">
        <v>989</v>
      </c>
      <c r="L49" s="93" t="s">
        <v>1000</v>
      </c>
      <c r="M49" s="91" t="s">
        <v>12</v>
      </c>
      <c r="N49" s="91"/>
      <c r="O49" s="93" t="s">
        <v>983</v>
      </c>
      <c r="P49" s="93" t="s">
        <v>14</v>
      </c>
    </row>
    <row r="50" spans="2:16" ht="15" customHeight="1" x14ac:dyDescent="0.3">
      <c r="B50" s="99">
        <v>5</v>
      </c>
      <c r="C50" s="100" t="s">
        <v>1060</v>
      </c>
      <c r="D50" s="101" t="s">
        <v>1062</v>
      </c>
      <c r="E50" s="101"/>
      <c r="F50" s="101"/>
      <c r="G50" s="101"/>
      <c r="H50" s="102">
        <v>1404.56</v>
      </c>
      <c r="I50" s="102">
        <v>1360.88</v>
      </c>
      <c r="J50" s="102" t="s">
        <v>993</v>
      </c>
      <c r="K50" s="99">
        <v>9</v>
      </c>
      <c r="L50" s="122">
        <v>0.9</v>
      </c>
      <c r="M50" s="99">
        <v>0.75</v>
      </c>
      <c r="N50" s="103" t="s">
        <v>1001</v>
      </c>
      <c r="O50" s="105">
        <v>1.9390000000000001</v>
      </c>
      <c r="P50" s="106">
        <f t="shared" ref="P50:P55" si="10">+ROUND(PRODUCT(K50:O50),3)</f>
        <v>11.779</v>
      </c>
    </row>
    <row r="51" spans="2:16" ht="15" customHeight="1" x14ac:dyDescent="0.3">
      <c r="B51" s="56">
        <v>5</v>
      </c>
      <c r="C51" s="53" t="s">
        <v>1060</v>
      </c>
      <c r="D51" s="54" t="s">
        <v>1062</v>
      </c>
      <c r="E51" s="54"/>
      <c r="F51" s="54"/>
      <c r="G51" s="54"/>
      <c r="H51" s="55">
        <v>1404.56</v>
      </c>
      <c r="I51" s="55">
        <v>1360.88</v>
      </c>
      <c r="J51" s="55" t="s">
        <v>993</v>
      </c>
      <c r="K51" s="56">
        <v>9</v>
      </c>
      <c r="L51" s="72">
        <v>0.9</v>
      </c>
      <c r="M51" s="56">
        <v>0.75</v>
      </c>
      <c r="N51" s="83" t="s">
        <v>1002</v>
      </c>
      <c r="O51" s="61">
        <v>1.998</v>
      </c>
      <c r="P51" s="62">
        <f t="shared" si="10"/>
        <v>12.138</v>
      </c>
    </row>
    <row r="52" spans="2:16" ht="15" customHeight="1" x14ac:dyDescent="0.3">
      <c r="B52" s="56">
        <v>5</v>
      </c>
      <c r="C52" s="53" t="s">
        <v>1060</v>
      </c>
      <c r="D52" s="54" t="s">
        <v>1062</v>
      </c>
      <c r="E52" s="54"/>
      <c r="F52" s="54"/>
      <c r="G52" s="54"/>
      <c r="H52" s="55">
        <v>1404.56</v>
      </c>
      <c r="I52" s="55">
        <v>1360.88</v>
      </c>
      <c r="J52" s="55" t="s">
        <v>993</v>
      </c>
      <c r="K52" s="56">
        <v>9</v>
      </c>
      <c r="L52" s="72">
        <v>0.9</v>
      </c>
      <c r="M52" s="56">
        <v>0.75</v>
      </c>
      <c r="N52" s="83" t="s">
        <v>1003</v>
      </c>
      <c r="O52" s="61">
        <v>2.0270000000000001</v>
      </c>
      <c r="P52" s="62">
        <f t="shared" si="10"/>
        <v>12.314</v>
      </c>
    </row>
    <row r="53" spans="2:16" ht="15" customHeight="1" x14ac:dyDescent="0.3">
      <c r="B53" s="56">
        <v>5</v>
      </c>
      <c r="C53" s="53" t="s">
        <v>1060</v>
      </c>
      <c r="D53" s="54" t="s">
        <v>1062</v>
      </c>
      <c r="E53" s="54"/>
      <c r="F53" s="54"/>
      <c r="G53" s="54"/>
      <c r="H53" s="55">
        <v>1404.56</v>
      </c>
      <c r="I53" s="55">
        <v>1360.88</v>
      </c>
      <c r="J53" s="55" t="s">
        <v>993</v>
      </c>
      <c r="K53" s="56">
        <v>10</v>
      </c>
      <c r="L53" s="72">
        <v>0.9</v>
      </c>
      <c r="M53" s="56">
        <v>0.75</v>
      </c>
      <c r="N53" s="83" t="s">
        <v>1004</v>
      </c>
      <c r="O53" s="61">
        <v>2.0390000000000001</v>
      </c>
      <c r="P53" s="62">
        <f t="shared" si="10"/>
        <v>13.763</v>
      </c>
    </row>
    <row r="54" spans="2:16" ht="15" customHeight="1" x14ac:dyDescent="0.3">
      <c r="B54" s="56">
        <v>5</v>
      </c>
      <c r="C54" s="53" t="s">
        <v>1060</v>
      </c>
      <c r="D54" s="54" t="s">
        <v>1062</v>
      </c>
      <c r="E54" s="54"/>
      <c r="F54" s="54"/>
      <c r="G54" s="54"/>
      <c r="H54" s="55">
        <v>1404.56</v>
      </c>
      <c r="I54" s="55">
        <v>1360.88</v>
      </c>
      <c r="J54" s="55" t="s">
        <v>993</v>
      </c>
      <c r="K54" s="56">
        <v>10</v>
      </c>
      <c r="L54" s="72">
        <v>0.9</v>
      </c>
      <c r="M54" s="56">
        <v>0.75</v>
      </c>
      <c r="N54" s="83" t="s">
        <v>1005</v>
      </c>
      <c r="O54" s="61">
        <v>2.0579999999999998</v>
      </c>
      <c r="P54" s="62">
        <f t="shared" si="10"/>
        <v>13.891999999999999</v>
      </c>
    </row>
    <row r="55" spans="2:16" ht="15" customHeight="1" x14ac:dyDescent="0.3">
      <c r="B55" s="56">
        <v>5</v>
      </c>
      <c r="C55" s="53" t="s">
        <v>1060</v>
      </c>
      <c r="D55" s="54" t="s">
        <v>1062</v>
      </c>
      <c r="E55" s="54"/>
      <c r="F55" s="54"/>
      <c r="G55" s="54"/>
      <c r="H55" s="55">
        <v>1404.56</v>
      </c>
      <c r="I55" s="55">
        <v>1360.88</v>
      </c>
      <c r="J55" s="55" t="s">
        <v>993</v>
      </c>
      <c r="K55" s="56">
        <v>10</v>
      </c>
      <c r="L55" s="72">
        <v>0.9</v>
      </c>
      <c r="M55" s="56">
        <v>0.75</v>
      </c>
      <c r="N55" s="83" t="s">
        <v>1006</v>
      </c>
      <c r="O55" s="61">
        <v>2.0910000000000002</v>
      </c>
      <c r="P55" s="62">
        <f t="shared" si="10"/>
        <v>14.114000000000001</v>
      </c>
    </row>
    <row r="56" spans="2:16" ht="15" customHeight="1" x14ac:dyDescent="0.3">
      <c r="B56" s="109">
        <v>5</v>
      </c>
      <c r="C56" s="110" t="s">
        <v>1060</v>
      </c>
      <c r="D56" s="111" t="s">
        <v>1062</v>
      </c>
      <c r="E56" s="111"/>
      <c r="F56" s="111"/>
      <c r="G56" s="111"/>
      <c r="H56" s="112">
        <v>1404.56</v>
      </c>
      <c r="I56" s="112">
        <v>1360.88</v>
      </c>
      <c r="J56" s="112" t="s">
        <v>993</v>
      </c>
      <c r="K56" s="109">
        <v>1</v>
      </c>
      <c r="L56" s="150">
        <v>0.9</v>
      </c>
      <c r="M56" s="109">
        <v>0.93</v>
      </c>
      <c r="N56" s="151" t="s">
        <v>1006</v>
      </c>
      <c r="O56" s="147">
        <v>2.0910000000000002</v>
      </c>
      <c r="P56" s="152">
        <f>+ROUND(PRODUCT(K56:O56),3)</f>
        <v>1.75</v>
      </c>
    </row>
    <row r="57" spans="2:16" ht="15" customHeight="1" x14ac:dyDescent="0.3">
      <c r="B57" s="99">
        <v>5</v>
      </c>
      <c r="C57" s="100" t="s">
        <v>1063</v>
      </c>
      <c r="D57" s="101" t="s">
        <v>1064</v>
      </c>
      <c r="E57" s="101"/>
      <c r="F57" s="101"/>
      <c r="G57" s="101"/>
      <c r="H57" s="112">
        <v>1360.88</v>
      </c>
      <c r="I57" s="102">
        <v>1327.13</v>
      </c>
      <c r="J57" s="102" t="s">
        <v>993</v>
      </c>
      <c r="K57" s="99">
        <v>8</v>
      </c>
      <c r="L57" s="122">
        <v>0.9</v>
      </c>
      <c r="M57" s="99">
        <v>0.75</v>
      </c>
      <c r="N57" s="103" t="s">
        <v>1001</v>
      </c>
      <c r="O57" s="105">
        <v>1.9390000000000001</v>
      </c>
      <c r="P57" s="106">
        <f t="shared" ref="P57:P61" si="11">+ROUND(PRODUCT(K57:O57),3)</f>
        <v>10.471</v>
      </c>
    </row>
    <row r="58" spans="2:16" ht="15" customHeight="1" x14ac:dyDescent="0.3">
      <c r="B58" s="56">
        <v>5</v>
      </c>
      <c r="C58" s="53" t="s">
        <v>1063</v>
      </c>
      <c r="D58" s="54" t="s">
        <v>1064</v>
      </c>
      <c r="E58" s="54"/>
      <c r="F58" s="54"/>
      <c r="G58" s="54"/>
      <c r="H58" s="55">
        <v>1360.88</v>
      </c>
      <c r="I58" s="55">
        <v>1327.13</v>
      </c>
      <c r="J58" s="55" t="s">
        <v>993</v>
      </c>
      <c r="K58" s="56">
        <v>8</v>
      </c>
      <c r="L58" s="72">
        <v>0.9</v>
      </c>
      <c r="M58" s="56">
        <v>0.75</v>
      </c>
      <c r="N58" s="83" t="s">
        <v>1002</v>
      </c>
      <c r="O58" s="61">
        <v>1.998</v>
      </c>
      <c r="P58" s="62">
        <f t="shared" si="11"/>
        <v>10.789</v>
      </c>
    </row>
    <row r="59" spans="2:16" ht="15" customHeight="1" x14ac:dyDescent="0.3">
      <c r="B59" s="56">
        <v>5</v>
      </c>
      <c r="C59" s="53" t="s">
        <v>1063</v>
      </c>
      <c r="D59" s="54" t="s">
        <v>1064</v>
      </c>
      <c r="E59" s="54"/>
      <c r="F59" s="54"/>
      <c r="G59" s="54"/>
      <c r="H59" s="55">
        <v>1360.88</v>
      </c>
      <c r="I59" s="55">
        <v>1327.13</v>
      </c>
      <c r="J59" s="55" t="s">
        <v>993</v>
      </c>
      <c r="K59" s="56">
        <v>8</v>
      </c>
      <c r="L59" s="72">
        <v>0.9</v>
      </c>
      <c r="M59" s="56">
        <v>0.75</v>
      </c>
      <c r="N59" s="83" t="s">
        <v>1003</v>
      </c>
      <c r="O59" s="61">
        <v>2.0270000000000001</v>
      </c>
      <c r="P59" s="62">
        <f t="shared" si="11"/>
        <v>10.946</v>
      </c>
    </row>
    <row r="60" spans="2:16" ht="15" customHeight="1" x14ac:dyDescent="0.3">
      <c r="B60" s="56">
        <v>5</v>
      </c>
      <c r="C60" s="53" t="s">
        <v>1063</v>
      </c>
      <c r="D60" s="54" t="s">
        <v>1064</v>
      </c>
      <c r="E60" s="54"/>
      <c r="F60" s="54"/>
      <c r="G60" s="54"/>
      <c r="H60" s="55">
        <v>1360.88</v>
      </c>
      <c r="I60" s="55">
        <v>1327.13</v>
      </c>
      <c r="J60" s="55" t="s">
        <v>993</v>
      </c>
      <c r="K60" s="56">
        <v>7</v>
      </c>
      <c r="L60" s="72">
        <v>0.9</v>
      </c>
      <c r="M60" s="56">
        <v>0.75</v>
      </c>
      <c r="N60" s="83" t="s">
        <v>1004</v>
      </c>
      <c r="O60" s="61">
        <v>2.0390000000000001</v>
      </c>
      <c r="P60" s="62">
        <f t="shared" si="11"/>
        <v>9.6340000000000003</v>
      </c>
    </row>
    <row r="61" spans="2:16" ht="15" customHeight="1" x14ac:dyDescent="0.3">
      <c r="B61" s="56">
        <v>5</v>
      </c>
      <c r="C61" s="53" t="s">
        <v>1063</v>
      </c>
      <c r="D61" s="54" t="s">
        <v>1064</v>
      </c>
      <c r="E61" s="54"/>
      <c r="F61" s="54"/>
      <c r="G61" s="54"/>
      <c r="H61" s="55">
        <v>1360.88</v>
      </c>
      <c r="I61" s="55">
        <v>1327.13</v>
      </c>
      <c r="J61" s="55" t="s">
        <v>993</v>
      </c>
      <c r="K61" s="56">
        <v>7</v>
      </c>
      <c r="L61" s="72">
        <v>0.9</v>
      </c>
      <c r="M61" s="56">
        <v>0.75</v>
      </c>
      <c r="N61" s="83" t="s">
        <v>1005</v>
      </c>
      <c r="O61" s="61">
        <v>2.0579999999999998</v>
      </c>
      <c r="P61" s="62">
        <f t="shared" si="11"/>
        <v>9.7240000000000002</v>
      </c>
    </row>
    <row r="62" spans="2:16" ht="15" customHeight="1" x14ac:dyDescent="0.3">
      <c r="B62" s="56">
        <v>5</v>
      </c>
      <c r="C62" s="53" t="s">
        <v>1063</v>
      </c>
      <c r="D62" s="54" t="s">
        <v>1064</v>
      </c>
      <c r="E62" s="54"/>
      <c r="F62" s="54"/>
      <c r="G62" s="54"/>
      <c r="H62" s="55">
        <v>1360.88</v>
      </c>
      <c r="I62" s="55">
        <v>1327.13</v>
      </c>
      <c r="J62" s="55" t="s">
        <v>993</v>
      </c>
      <c r="K62" s="56">
        <v>7</v>
      </c>
      <c r="L62" s="72">
        <v>0.9</v>
      </c>
      <c r="M62" s="56">
        <v>0.75</v>
      </c>
      <c r="N62" s="83" t="s">
        <v>1006</v>
      </c>
      <c r="O62" s="61">
        <v>2.0910000000000002</v>
      </c>
      <c r="P62" s="62">
        <f t="shared" ref="P62" si="12">+ROUND(PRODUCT(K62:O62),3)</f>
        <v>9.8800000000000008</v>
      </c>
    </row>
    <row r="63" spans="2:16" ht="15" customHeight="1" x14ac:dyDescent="0.3">
      <c r="B63" s="56">
        <v>5</v>
      </c>
      <c r="C63" s="53" t="s">
        <v>1063</v>
      </c>
      <c r="D63" s="54" t="s">
        <v>1064</v>
      </c>
      <c r="E63" s="54"/>
      <c r="F63" s="54"/>
      <c r="G63" s="54"/>
      <c r="H63" s="55">
        <v>1404.56</v>
      </c>
      <c r="I63" s="55">
        <v>1327.13</v>
      </c>
      <c r="J63" s="55" t="s">
        <v>993</v>
      </c>
      <c r="K63" s="56">
        <v>1</v>
      </c>
      <c r="L63" s="72">
        <v>0.1</v>
      </c>
      <c r="M63" s="156">
        <f>+H63-I63</f>
        <v>77.429999999999836</v>
      </c>
      <c r="N63" s="83" t="s">
        <v>1068</v>
      </c>
      <c r="O63" s="61">
        <v>2.0249999999999999</v>
      </c>
      <c r="P63" s="62">
        <f>+ROUND(PRODUCT(K63:O63),3)</f>
        <v>15.68</v>
      </c>
    </row>
    <row r="64" spans="2:16" ht="15" customHeight="1" x14ac:dyDescent="0.3">
      <c r="B64" s="99">
        <v>6</v>
      </c>
      <c r="C64" s="100" t="s">
        <v>1075</v>
      </c>
      <c r="D64" s="101" t="s">
        <v>1076</v>
      </c>
      <c r="E64" s="101"/>
      <c r="F64" s="101"/>
      <c r="G64" s="101"/>
      <c r="H64" s="112">
        <v>1327.13</v>
      </c>
      <c r="I64" s="102">
        <v>1314.44</v>
      </c>
      <c r="J64" s="102" t="s">
        <v>993</v>
      </c>
      <c r="K64" s="99">
        <v>1</v>
      </c>
      <c r="L64" s="122">
        <v>0.9</v>
      </c>
      <c r="M64" s="99">
        <v>0.75</v>
      </c>
      <c r="N64" s="103" t="s">
        <v>1001</v>
      </c>
      <c r="O64" s="105">
        <v>1.9390000000000001</v>
      </c>
      <c r="P64" s="106">
        <f t="shared" ref="P64:P69" si="13">+ROUND(PRODUCT(K64:O64),3)</f>
        <v>1.3089999999999999</v>
      </c>
    </row>
    <row r="65" spans="2:16" ht="15" customHeight="1" x14ac:dyDescent="0.3">
      <c r="B65" s="56">
        <v>6</v>
      </c>
      <c r="C65" s="53" t="s">
        <v>1075</v>
      </c>
      <c r="D65" s="54" t="s">
        <v>1076</v>
      </c>
      <c r="E65" s="54"/>
      <c r="F65" s="54"/>
      <c r="G65" s="54"/>
      <c r="H65" s="55">
        <v>1327.13</v>
      </c>
      <c r="I65" s="55">
        <v>1314.44</v>
      </c>
      <c r="J65" s="55" t="s">
        <v>993</v>
      </c>
      <c r="K65" s="56">
        <v>1</v>
      </c>
      <c r="L65" s="72">
        <v>0.9</v>
      </c>
      <c r="M65" s="56">
        <v>0.75</v>
      </c>
      <c r="N65" s="83" t="s">
        <v>1002</v>
      </c>
      <c r="O65" s="61">
        <v>1.998</v>
      </c>
      <c r="P65" s="62">
        <f t="shared" si="13"/>
        <v>1.349</v>
      </c>
    </row>
    <row r="66" spans="2:16" ht="15" customHeight="1" x14ac:dyDescent="0.3">
      <c r="B66" s="56">
        <v>6</v>
      </c>
      <c r="C66" s="53" t="s">
        <v>1075</v>
      </c>
      <c r="D66" s="54" t="s">
        <v>1076</v>
      </c>
      <c r="E66" s="54"/>
      <c r="F66" s="54"/>
      <c r="G66" s="54"/>
      <c r="H66" s="55">
        <v>1327.13</v>
      </c>
      <c r="I66" s="55">
        <v>1314.44</v>
      </c>
      <c r="J66" s="55" t="s">
        <v>993</v>
      </c>
      <c r="K66" s="56">
        <v>1</v>
      </c>
      <c r="L66" s="72">
        <v>0.9</v>
      </c>
      <c r="M66" s="56">
        <v>0.75</v>
      </c>
      <c r="N66" s="83" t="s">
        <v>1003</v>
      </c>
      <c r="O66" s="61">
        <v>2.0270000000000001</v>
      </c>
      <c r="P66" s="62">
        <f t="shared" si="13"/>
        <v>1.3680000000000001</v>
      </c>
    </row>
    <row r="67" spans="2:16" ht="15" customHeight="1" x14ac:dyDescent="0.3">
      <c r="B67" s="56">
        <v>6</v>
      </c>
      <c r="C67" s="53" t="s">
        <v>1075</v>
      </c>
      <c r="D67" s="54" t="s">
        <v>1076</v>
      </c>
      <c r="E67" s="54"/>
      <c r="F67" s="54"/>
      <c r="G67" s="54"/>
      <c r="H67" s="55">
        <v>1327.13</v>
      </c>
      <c r="I67" s="55">
        <v>1314.44</v>
      </c>
      <c r="J67" s="55" t="s">
        <v>993</v>
      </c>
      <c r="K67" s="56">
        <v>1</v>
      </c>
      <c r="L67" s="72">
        <v>0.9</v>
      </c>
      <c r="M67" s="56">
        <v>0.75</v>
      </c>
      <c r="N67" s="83" t="s">
        <v>1004</v>
      </c>
      <c r="O67" s="61">
        <v>2.0390000000000001</v>
      </c>
      <c r="P67" s="62">
        <f t="shared" si="13"/>
        <v>1.3759999999999999</v>
      </c>
    </row>
    <row r="68" spans="2:16" ht="15" customHeight="1" x14ac:dyDescent="0.3">
      <c r="B68" s="56">
        <v>6</v>
      </c>
      <c r="C68" s="53" t="s">
        <v>1075</v>
      </c>
      <c r="D68" s="54" t="s">
        <v>1076</v>
      </c>
      <c r="E68" s="54"/>
      <c r="F68" s="54"/>
      <c r="G68" s="54"/>
      <c r="H68" s="55">
        <v>1327.13</v>
      </c>
      <c r="I68" s="55">
        <v>1314.44</v>
      </c>
      <c r="J68" s="55" t="s">
        <v>993</v>
      </c>
      <c r="K68" s="56">
        <v>1</v>
      </c>
      <c r="L68" s="72">
        <v>0.9</v>
      </c>
      <c r="M68" s="56">
        <v>0.75</v>
      </c>
      <c r="N68" s="83" t="s">
        <v>1005</v>
      </c>
      <c r="O68" s="61">
        <v>2.0579999999999998</v>
      </c>
      <c r="P68" s="62">
        <f t="shared" si="13"/>
        <v>1.389</v>
      </c>
    </row>
    <row r="69" spans="2:16" ht="15" customHeight="1" x14ac:dyDescent="0.3">
      <c r="B69" s="56">
        <v>6</v>
      </c>
      <c r="C69" s="53" t="s">
        <v>1075</v>
      </c>
      <c r="D69" s="54" t="s">
        <v>1076</v>
      </c>
      <c r="E69" s="54"/>
      <c r="F69" s="54"/>
      <c r="G69" s="54"/>
      <c r="H69" s="55">
        <v>1327.13</v>
      </c>
      <c r="I69" s="55">
        <v>1314.44</v>
      </c>
      <c r="J69" s="55" t="s">
        <v>993</v>
      </c>
      <c r="K69" s="56">
        <v>1</v>
      </c>
      <c r="L69" s="72">
        <v>0.9</v>
      </c>
      <c r="M69" s="56">
        <v>0.75</v>
      </c>
      <c r="N69" s="83" t="s">
        <v>1006</v>
      </c>
      <c r="O69" s="61">
        <v>2.0910000000000002</v>
      </c>
      <c r="P69" s="62">
        <f t="shared" si="13"/>
        <v>1.411</v>
      </c>
    </row>
    <row r="70" spans="2:16" ht="15" customHeight="1" x14ac:dyDescent="0.3">
      <c r="B70" s="56">
        <v>6</v>
      </c>
      <c r="C70" s="53" t="s">
        <v>1075</v>
      </c>
      <c r="D70" s="54" t="s">
        <v>1076</v>
      </c>
      <c r="E70" s="54"/>
      <c r="F70" s="54"/>
      <c r="G70" s="54"/>
      <c r="H70" s="55">
        <v>1323.38</v>
      </c>
      <c r="I70" s="55">
        <v>1314.44</v>
      </c>
      <c r="J70" s="55" t="s">
        <v>993</v>
      </c>
      <c r="K70" s="56">
        <v>1</v>
      </c>
      <c r="L70" s="72">
        <v>0.9</v>
      </c>
      <c r="M70" s="156">
        <f>+H70-I70</f>
        <v>8.9400000000000546</v>
      </c>
      <c r="N70" s="83" t="s">
        <v>1077</v>
      </c>
      <c r="O70" s="61">
        <v>2.0249999999999999</v>
      </c>
      <c r="P70" s="62">
        <f t="shared" ref="P70" si="14">+ROUND(PRODUCT(K70:O70),3)</f>
        <v>16.292999999999999</v>
      </c>
    </row>
    <row r="71" spans="2:16" ht="15" customHeight="1" x14ac:dyDescent="0.3">
      <c r="B71" s="56">
        <v>6</v>
      </c>
      <c r="C71" s="53" t="s">
        <v>1075</v>
      </c>
      <c r="D71" s="54" t="s">
        <v>1076</v>
      </c>
      <c r="E71" s="54"/>
      <c r="F71" s="54"/>
      <c r="G71" s="54"/>
      <c r="H71" s="55">
        <v>1327.13</v>
      </c>
      <c r="I71" s="55">
        <v>1314.44</v>
      </c>
      <c r="J71" s="55" t="s">
        <v>993</v>
      </c>
      <c r="K71" s="56">
        <v>1</v>
      </c>
      <c r="L71" s="72">
        <v>0.1</v>
      </c>
      <c r="M71" s="156">
        <f>+H71-I71</f>
        <v>12.690000000000055</v>
      </c>
      <c r="N71" s="83" t="s">
        <v>1068</v>
      </c>
      <c r="O71" s="61">
        <v>2.0249999999999999</v>
      </c>
      <c r="P71" s="62">
        <f>+ROUND(PRODUCT(K71:O71),3)</f>
        <v>2.57</v>
      </c>
    </row>
    <row r="72" spans="2:16" ht="15" customHeight="1" x14ac:dyDescent="0.3">
      <c r="B72" s="51" t="s">
        <v>1072</v>
      </c>
      <c r="C72" s="78"/>
      <c r="D72" s="45"/>
      <c r="E72" s="45"/>
      <c r="F72" s="45"/>
      <c r="G72" s="45"/>
      <c r="H72" s="46"/>
      <c r="I72" s="46"/>
      <c r="J72" s="46"/>
      <c r="K72" s="47"/>
      <c r="L72" s="47"/>
      <c r="M72" s="48"/>
      <c r="N72" s="48"/>
      <c r="O72" s="49"/>
      <c r="P72" s="50"/>
    </row>
    <row r="73" spans="2:16" ht="15" customHeight="1" x14ac:dyDescent="0.3">
      <c r="B73" s="109">
        <v>5</v>
      </c>
      <c r="C73" s="110" t="s">
        <v>1060</v>
      </c>
      <c r="D73" s="111" t="s">
        <v>998</v>
      </c>
      <c r="E73" s="111"/>
      <c r="F73" s="111"/>
      <c r="G73" s="111"/>
      <c r="H73" s="119"/>
      <c r="I73" s="120">
        <v>30</v>
      </c>
      <c r="J73" s="112" t="s">
        <v>993</v>
      </c>
      <c r="K73" s="109">
        <v>1</v>
      </c>
      <c r="L73" s="109"/>
      <c r="M73" s="121">
        <v>0.3</v>
      </c>
      <c r="N73" s="121"/>
      <c r="O73" s="115">
        <v>14.971</v>
      </c>
      <c r="P73" s="116">
        <f t="shared" ref="P73" si="15">+ROUND(PRODUCT(K73:O73),3)</f>
        <v>4.4909999999999997</v>
      </c>
    </row>
    <row r="74" spans="2:16" ht="4.95" customHeight="1" x14ac:dyDescent="0.3">
      <c r="B74" s="39"/>
      <c r="C74" s="42"/>
      <c r="D74" s="40"/>
      <c r="E74" s="40"/>
      <c r="F74" s="40"/>
      <c r="G74" s="40"/>
      <c r="H74" s="41"/>
      <c r="I74" s="41"/>
      <c r="J74" s="41"/>
      <c r="K74" s="41"/>
      <c r="L74" s="41"/>
      <c r="M74" s="41"/>
      <c r="N74" s="41"/>
      <c r="O74" s="42"/>
      <c r="P74" s="43"/>
    </row>
    <row r="75" spans="2:16" ht="19.95" customHeight="1" x14ac:dyDescent="0.3">
      <c r="C75" s="30"/>
      <c r="D75" s="33"/>
      <c r="E75" s="33"/>
      <c r="F75" s="33"/>
      <c r="G75" s="33"/>
      <c r="H75" s="12"/>
      <c r="I75" s="12"/>
      <c r="J75" s="12"/>
      <c r="K75" s="12"/>
      <c r="L75" s="12"/>
      <c r="M75" s="12"/>
      <c r="N75" s="12"/>
      <c r="O75" s="30"/>
    </row>
    <row r="76" spans="2:16" ht="30" hidden="1" customHeight="1" x14ac:dyDescent="0.3">
      <c r="B76" s="171" t="s">
        <v>7</v>
      </c>
      <c r="C76" s="172"/>
      <c r="D76" s="171" t="s">
        <v>8</v>
      </c>
      <c r="E76" s="175"/>
      <c r="F76" s="175"/>
      <c r="G76" s="175"/>
      <c r="H76" s="175"/>
      <c r="I76" s="175"/>
      <c r="J76" s="175"/>
      <c r="K76" s="175"/>
      <c r="L76" s="175"/>
      <c r="M76" s="34" t="s">
        <v>9</v>
      </c>
      <c r="N76" s="85" t="s">
        <v>1057</v>
      </c>
      <c r="O76" s="85" t="s">
        <v>1058</v>
      </c>
      <c r="P76" s="35" t="s">
        <v>1059</v>
      </c>
    </row>
    <row r="77" spans="2:16" ht="30" hidden="1" customHeight="1" x14ac:dyDescent="0.3">
      <c r="B77" s="173" t="s">
        <v>131</v>
      </c>
      <c r="C77" s="174"/>
      <c r="D77" s="176" t="str">
        <f>+VLOOKUP(B77,[3]Liste!B:E,2,FALSE)</f>
        <v>L=4 m Kaya Bulonu</v>
      </c>
      <c r="E77" s="177"/>
      <c r="F77" s="177"/>
      <c r="G77" s="177"/>
      <c r="H77" s="177"/>
      <c r="I77" s="177"/>
      <c r="J77" s="177"/>
      <c r="K77" s="177"/>
      <c r="L77" s="177"/>
      <c r="M77" s="36" t="str">
        <f>+VLOOKUP(B77,[3]Liste!B:E,3,FALSE)</f>
        <v>adet</v>
      </c>
      <c r="N77" s="60">
        <v>0</v>
      </c>
      <c r="O77" s="60">
        <f>+P77-N77</f>
        <v>0</v>
      </c>
      <c r="P77" s="60">
        <f>+SUM(P78:P82)</f>
        <v>0</v>
      </c>
    </row>
    <row r="78" spans="2:16" ht="15" hidden="1" customHeight="1" x14ac:dyDescent="0.3">
      <c r="B78" s="91" t="s">
        <v>981</v>
      </c>
      <c r="C78" s="91" t="s">
        <v>991</v>
      </c>
      <c r="D78" s="92" t="s">
        <v>990</v>
      </c>
      <c r="E78" s="92"/>
      <c r="F78" s="92"/>
      <c r="G78" s="92"/>
      <c r="H78" s="123"/>
      <c r="I78" s="123"/>
      <c r="J78" s="123"/>
      <c r="K78" s="91" t="s">
        <v>989</v>
      </c>
      <c r="L78" s="124"/>
      <c r="M78" s="125"/>
      <c r="N78" s="126"/>
      <c r="O78" s="127" t="s">
        <v>1013</v>
      </c>
      <c r="P78" s="93" t="s">
        <v>14</v>
      </c>
    </row>
    <row r="79" spans="2:16" ht="15" hidden="1" customHeight="1" x14ac:dyDescent="0.3">
      <c r="B79" s="22"/>
      <c r="C79" s="131"/>
      <c r="D79" s="132"/>
      <c r="E79" s="132"/>
      <c r="F79" s="132"/>
      <c r="G79" s="132"/>
      <c r="H79" s="133"/>
      <c r="I79" s="133"/>
      <c r="J79" s="133"/>
      <c r="K79" s="22"/>
      <c r="L79" s="134"/>
      <c r="M79" s="48"/>
      <c r="N79" s="48"/>
      <c r="O79" s="135"/>
      <c r="P79" s="71"/>
    </row>
    <row r="80" spans="2:16" ht="15" hidden="1" customHeight="1" x14ac:dyDescent="0.3">
      <c r="B80" s="22"/>
      <c r="C80" s="131"/>
      <c r="D80" s="132"/>
      <c r="E80" s="132"/>
      <c r="F80" s="132"/>
      <c r="G80" s="132"/>
      <c r="H80" s="133"/>
      <c r="I80" s="133"/>
      <c r="J80" s="133"/>
      <c r="K80" s="22"/>
      <c r="L80" s="134"/>
      <c r="M80" s="48"/>
      <c r="N80" s="48"/>
      <c r="O80" s="135"/>
      <c r="P80" s="71"/>
    </row>
    <row r="81" spans="2:31" ht="15" hidden="1" customHeight="1" x14ac:dyDescent="0.3">
      <c r="B81" s="94"/>
      <c r="C81" s="95"/>
      <c r="D81" s="96"/>
      <c r="E81" s="96"/>
      <c r="F81" s="96"/>
      <c r="G81" s="96"/>
      <c r="H81" s="118"/>
      <c r="I81" s="118"/>
      <c r="J81" s="118"/>
      <c r="K81" s="94"/>
      <c r="L81" s="128"/>
      <c r="M81" s="129"/>
      <c r="N81" s="129"/>
      <c r="O81" s="130"/>
      <c r="P81" s="98"/>
    </row>
    <row r="82" spans="2:31" ht="4.95" hidden="1" customHeight="1" x14ac:dyDescent="0.3">
      <c r="B82" s="39"/>
      <c r="C82" s="42"/>
      <c r="D82" s="40"/>
      <c r="E82" s="40"/>
      <c r="F82" s="40"/>
      <c r="G82" s="40"/>
      <c r="H82" s="41"/>
      <c r="I82" s="41"/>
      <c r="J82" s="41"/>
      <c r="K82" s="41"/>
      <c r="L82" s="41"/>
      <c r="M82" s="41"/>
      <c r="N82" s="41"/>
      <c r="O82" s="42"/>
      <c r="P82" s="43"/>
    </row>
    <row r="83" spans="2:31" ht="30" customHeight="1" x14ac:dyDescent="0.3">
      <c r="B83" s="171" t="s">
        <v>7</v>
      </c>
      <c r="C83" s="172"/>
      <c r="D83" s="171" t="s">
        <v>8</v>
      </c>
      <c r="E83" s="175"/>
      <c r="F83" s="175"/>
      <c r="G83" s="175"/>
      <c r="H83" s="175"/>
      <c r="I83" s="175"/>
      <c r="J83" s="175"/>
      <c r="K83" s="175"/>
      <c r="L83" s="175"/>
      <c r="M83" s="34" t="s">
        <v>9</v>
      </c>
      <c r="N83" s="85" t="s">
        <v>1057</v>
      </c>
      <c r="O83" s="85" t="s">
        <v>1058</v>
      </c>
      <c r="P83" s="35" t="s">
        <v>1059</v>
      </c>
    </row>
    <row r="84" spans="2:31" ht="30" customHeight="1" x14ac:dyDescent="0.3">
      <c r="B84" s="173" t="s">
        <v>134</v>
      </c>
      <c r="C84" s="174"/>
      <c r="D84" s="176" t="str">
        <f>+VLOOKUP(B84,[3]Liste!B:E,2,FALSE)</f>
        <v>L=8 m Kaya Bulonu</v>
      </c>
      <c r="E84" s="177"/>
      <c r="F84" s="177"/>
      <c r="G84" s="177"/>
      <c r="H84" s="177"/>
      <c r="I84" s="177"/>
      <c r="J84" s="177"/>
      <c r="K84" s="177"/>
      <c r="L84" s="177"/>
      <c r="M84" s="36" t="str">
        <f>+VLOOKUP(B84,[3]Liste!B:E,3,FALSE)</f>
        <v>adet</v>
      </c>
      <c r="N84" s="60">
        <v>240</v>
      </c>
      <c r="O84" s="60">
        <f>+P84-N84</f>
        <v>0</v>
      </c>
      <c r="P84" s="60">
        <f>+SUM(P85:P89)</f>
        <v>240</v>
      </c>
      <c r="AA84" s="9">
        <f>+VLOOKUP(B84,[2]Liste!$B$2:$F$483,5,FALSE)</f>
        <v>28000</v>
      </c>
      <c r="AC84" s="9">
        <f>+AA84*N84</f>
        <v>6720000</v>
      </c>
      <c r="AD84" s="9">
        <f>+AA84*O84</f>
        <v>0</v>
      </c>
      <c r="AE84" s="9">
        <f>+AA84*P84</f>
        <v>6720000</v>
      </c>
    </row>
    <row r="85" spans="2:31" ht="15" customHeight="1" x14ac:dyDescent="0.3">
      <c r="B85" s="91" t="s">
        <v>981</v>
      </c>
      <c r="C85" s="91" t="s">
        <v>991</v>
      </c>
      <c r="D85" s="92" t="s">
        <v>990</v>
      </c>
      <c r="E85" s="92"/>
      <c r="F85" s="92"/>
      <c r="G85" s="92"/>
      <c r="H85" s="123"/>
      <c r="I85" s="123"/>
      <c r="J85" s="123"/>
      <c r="K85" s="91" t="s">
        <v>989</v>
      </c>
      <c r="L85" s="124"/>
      <c r="M85" s="125"/>
      <c r="N85" s="126"/>
      <c r="O85" s="127" t="s">
        <v>1013</v>
      </c>
      <c r="P85" s="93" t="s">
        <v>14</v>
      </c>
    </row>
    <row r="86" spans="2:31" ht="15" customHeight="1" x14ac:dyDescent="0.3">
      <c r="B86" s="22">
        <v>5</v>
      </c>
      <c r="C86" s="110" t="s">
        <v>1060</v>
      </c>
      <c r="D86" s="111" t="s">
        <v>1062</v>
      </c>
      <c r="E86" s="132"/>
      <c r="F86" s="132"/>
      <c r="G86" s="132"/>
      <c r="H86" s="133"/>
      <c r="I86" s="133"/>
      <c r="J86" s="133"/>
      <c r="K86" s="22">
        <v>1</v>
      </c>
      <c r="L86" s="134"/>
      <c r="M86" s="48"/>
      <c r="N86" s="48"/>
      <c r="O86" s="135">
        <v>42</v>
      </c>
      <c r="P86" s="71">
        <f>+ROUND(PRODUCT(K86:O86),3)</f>
        <v>42</v>
      </c>
    </row>
    <row r="87" spans="2:31" ht="15" customHeight="1" x14ac:dyDescent="0.3">
      <c r="B87" s="22">
        <v>5</v>
      </c>
      <c r="C87" s="110" t="s">
        <v>1063</v>
      </c>
      <c r="D87" s="111" t="s">
        <v>1064</v>
      </c>
      <c r="E87" s="132"/>
      <c r="F87" s="132"/>
      <c r="G87" s="132"/>
      <c r="H87" s="133"/>
      <c r="I87" s="133"/>
      <c r="J87" s="133"/>
      <c r="K87" s="22">
        <v>1</v>
      </c>
      <c r="L87" s="134"/>
      <c r="M87" s="48"/>
      <c r="N87" s="48"/>
      <c r="O87" s="135">
        <v>189</v>
      </c>
      <c r="P87" s="71">
        <f>+ROUND(PRODUCT(K87:O87),3)</f>
        <v>189</v>
      </c>
    </row>
    <row r="88" spans="2:31" ht="15" customHeight="1" x14ac:dyDescent="0.3">
      <c r="B88" s="22">
        <v>5</v>
      </c>
      <c r="C88" s="110" t="s">
        <v>1066</v>
      </c>
      <c r="D88" s="111" t="s">
        <v>1067</v>
      </c>
      <c r="E88" s="132"/>
      <c r="F88" s="132"/>
      <c r="G88" s="132"/>
      <c r="H88" s="133"/>
      <c r="I88" s="133"/>
      <c r="J88" s="133"/>
      <c r="K88" s="22">
        <v>1</v>
      </c>
      <c r="L88" s="134"/>
      <c r="M88" s="48"/>
      <c r="N88" s="48"/>
      <c r="O88" s="135">
        <v>9</v>
      </c>
      <c r="P88" s="71">
        <f>+ROUND(PRODUCT(K88:O88),3)</f>
        <v>9</v>
      </c>
    </row>
    <row r="89" spans="2:31" ht="4.95" customHeight="1" x14ac:dyDescent="0.3">
      <c r="B89" s="39"/>
      <c r="C89" s="42"/>
      <c r="D89" s="40"/>
      <c r="E89" s="40"/>
      <c r="F89" s="40"/>
      <c r="G89" s="40"/>
      <c r="H89" s="41"/>
      <c r="I89" s="41"/>
      <c r="J89" s="41"/>
      <c r="K89" s="41"/>
      <c r="L89" s="41"/>
      <c r="M89" s="41"/>
      <c r="N89" s="41"/>
      <c r="O89" s="42"/>
      <c r="P89" s="43"/>
    </row>
    <row r="90" spans="2:31" ht="15" customHeight="1" x14ac:dyDescent="0.3">
      <c r="C90" s="30"/>
      <c r="D90" s="33"/>
      <c r="E90" s="33"/>
      <c r="F90" s="33"/>
      <c r="G90" s="33"/>
      <c r="H90" s="12"/>
      <c r="I90" s="12"/>
      <c r="J90" s="12"/>
      <c r="K90" s="12"/>
      <c r="L90" s="12"/>
      <c r="M90" s="12"/>
      <c r="N90" s="12"/>
      <c r="O90" s="30"/>
    </row>
    <row r="91" spans="2:31" ht="30" customHeight="1" x14ac:dyDescent="0.3">
      <c r="B91" s="171" t="s">
        <v>7</v>
      </c>
      <c r="C91" s="172"/>
      <c r="D91" s="171" t="s">
        <v>8</v>
      </c>
      <c r="E91" s="175"/>
      <c r="F91" s="175"/>
      <c r="G91" s="175"/>
      <c r="H91" s="175"/>
      <c r="I91" s="175"/>
      <c r="J91" s="175"/>
      <c r="K91" s="175"/>
      <c r="L91" s="175"/>
      <c r="M91" s="34" t="s">
        <v>9</v>
      </c>
      <c r="N91" s="85" t="s">
        <v>1057</v>
      </c>
      <c r="O91" s="85" t="s">
        <v>1058</v>
      </c>
      <c r="P91" s="35" t="s">
        <v>1059</v>
      </c>
    </row>
    <row r="92" spans="2:31" ht="30" customHeight="1" x14ac:dyDescent="0.3">
      <c r="B92" s="173" t="s">
        <v>138</v>
      </c>
      <c r="C92" s="174"/>
      <c r="D92" s="176" t="str">
        <f>+VLOOKUP(B92,[3]Liste!B:E,2,FALSE)</f>
        <v>Çelik İksa (Tünel ve Şaftlarda)</v>
      </c>
      <c r="E92" s="177"/>
      <c r="F92" s="177"/>
      <c r="G92" s="177"/>
      <c r="H92" s="177"/>
      <c r="I92" s="177"/>
      <c r="J92" s="177"/>
      <c r="K92" s="177"/>
      <c r="L92" s="177"/>
      <c r="M92" s="36" t="str">
        <f>+VLOOKUP(B92,[3]Liste!B:E,3,FALSE)</f>
        <v>ton</v>
      </c>
      <c r="N92" s="60">
        <v>47.094999999999999</v>
      </c>
      <c r="O92" s="60">
        <f>+P92-N92</f>
        <v>2.7430000000000021</v>
      </c>
      <c r="P92" s="60">
        <f>+ROUND(SUM(P93:P113),3)</f>
        <v>49.838000000000001</v>
      </c>
      <c r="AA92" s="9">
        <f>+VLOOKUP(B92,[2]Liste!$B$2:$F$483,5,FALSE)</f>
        <v>102000</v>
      </c>
      <c r="AC92" s="9">
        <f>+AA92*N92</f>
        <v>4803690</v>
      </c>
      <c r="AD92" s="9">
        <f>+AA92*O92</f>
        <v>279786.00000000023</v>
      </c>
      <c r="AE92" s="9">
        <f>+AA92*P92</f>
        <v>5083476</v>
      </c>
    </row>
    <row r="93" spans="2:31" ht="15" customHeight="1" x14ac:dyDescent="0.3">
      <c r="B93" s="51" t="s">
        <v>1065</v>
      </c>
      <c r="C93" s="78"/>
      <c r="D93" s="45"/>
      <c r="E93" s="45"/>
      <c r="F93" s="45"/>
      <c r="G93" s="45"/>
      <c r="H93" s="46"/>
      <c r="I93" s="46"/>
      <c r="J93" s="46"/>
      <c r="K93" s="47"/>
      <c r="L93" s="47"/>
      <c r="M93" s="48"/>
      <c r="N93" s="48"/>
      <c r="O93" s="49"/>
      <c r="P93" s="50"/>
    </row>
    <row r="94" spans="2:31" ht="15" customHeight="1" x14ac:dyDescent="0.3">
      <c r="B94" s="91" t="s">
        <v>981</v>
      </c>
      <c r="C94" s="91" t="s">
        <v>991</v>
      </c>
      <c r="D94" s="92" t="s">
        <v>990</v>
      </c>
      <c r="E94" s="92"/>
      <c r="F94" s="92"/>
      <c r="G94" s="92"/>
      <c r="H94" s="91" t="s">
        <v>988</v>
      </c>
      <c r="I94" s="91" t="s">
        <v>987</v>
      </c>
      <c r="J94" s="91" t="s">
        <v>992</v>
      </c>
      <c r="K94" s="91" t="s">
        <v>989</v>
      </c>
      <c r="L94" s="136" t="s">
        <v>12</v>
      </c>
      <c r="M94" s="137"/>
      <c r="N94" s="138"/>
      <c r="O94" s="93" t="s">
        <v>995</v>
      </c>
      <c r="P94" s="93" t="s">
        <v>14</v>
      </c>
    </row>
    <row r="95" spans="2:31" ht="15" customHeight="1" x14ac:dyDescent="0.3">
      <c r="B95" s="99">
        <v>5</v>
      </c>
      <c r="C95" s="100" t="s">
        <v>1060</v>
      </c>
      <c r="D95" s="101" t="s">
        <v>1062</v>
      </c>
      <c r="E95" s="101"/>
      <c r="F95" s="101"/>
      <c r="G95" s="101"/>
      <c r="H95" s="102">
        <v>1404.56</v>
      </c>
      <c r="I95" s="102">
        <v>1360.88</v>
      </c>
      <c r="J95" s="102" t="s">
        <v>993</v>
      </c>
      <c r="K95" s="99">
        <v>9</v>
      </c>
      <c r="L95" s="107" t="s">
        <v>1001</v>
      </c>
      <c r="M95" s="139"/>
      <c r="N95" s="108"/>
      <c r="O95" s="140">
        <v>440.21899999999999</v>
      </c>
      <c r="P95" s="106">
        <f t="shared" ref="P95:P100" si="16">+ROUND(K95*O95/1000,3)</f>
        <v>3.9620000000000002</v>
      </c>
    </row>
    <row r="96" spans="2:31" ht="15" customHeight="1" x14ac:dyDescent="0.3">
      <c r="B96" s="56">
        <v>5</v>
      </c>
      <c r="C96" s="53" t="s">
        <v>1060</v>
      </c>
      <c r="D96" s="54" t="s">
        <v>1062</v>
      </c>
      <c r="E96" s="54"/>
      <c r="F96" s="54"/>
      <c r="G96" s="54"/>
      <c r="H96" s="55">
        <v>1404.56</v>
      </c>
      <c r="I96" s="55">
        <v>1360.88</v>
      </c>
      <c r="J96" s="55" t="s">
        <v>993</v>
      </c>
      <c r="K96" s="56">
        <v>9</v>
      </c>
      <c r="L96" s="66" t="s">
        <v>1002</v>
      </c>
      <c r="M96" s="67"/>
      <c r="N96" s="68"/>
      <c r="O96" s="89">
        <v>451.74400000000003</v>
      </c>
      <c r="P96" s="62">
        <f t="shared" si="16"/>
        <v>4.0659999999999998</v>
      </c>
    </row>
    <row r="97" spans="2:16" ht="15" customHeight="1" x14ac:dyDescent="0.3">
      <c r="B97" s="56">
        <v>5</v>
      </c>
      <c r="C97" s="53" t="s">
        <v>1060</v>
      </c>
      <c r="D97" s="54" t="s">
        <v>1062</v>
      </c>
      <c r="E97" s="54"/>
      <c r="F97" s="54"/>
      <c r="G97" s="54"/>
      <c r="H97" s="55">
        <v>1404.56</v>
      </c>
      <c r="I97" s="55">
        <v>1360.88</v>
      </c>
      <c r="J97" s="55" t="s">
        <v>993</v>
      </c>
      <c r="K97" s="56">
        <v>9</v>
      </c>
      <c r="L97" s="66" t="s">
        <v>1003</v>
      </c>
      <c r="M97" s="67"/>
      <c r="N97" s="68"/>
      <c r="O97" s="89">
        <v>457.26100000000002</v>
      </c>
      <c r="P97" s="62">
        <f t="shared" si="16"/>
        <v>4.1150000000000002</v>
      </c>
    </row>
    <row r="98" spans="2:16" ht="15" customHeight="1" x14ac:dyDescent="0.3">
      <c r="B98" s="56">
        <v>5</v>
      </c>
      <c r="C98" s="53" t="s">
        <v>1060</v>
      </c>
      <c r="D98" s="54" t="s">
        <v>1062</v>
      </c>
      <c r="E98" s="54"/>
      <c r="F98" s="54"/>
      <c r="G98" s="54"/>
      <c r="H98" s="55">
        <v>1404.56</v>
      </c>
      <c r="I98" s="55">
        <v>1360.88</v>
      </c>
      <c r="J98" s="55" t="s">
        <v>993</v>
      </c>
      <c r="K98" s="56">
        <v>10</v>
      </c>
      <c r="L98" s="66" t="s">
        <v>1004</v>
      </c>
      <c r="M98" s="67"/>
      <c r="N98" s="68"/>
      <c r="O98" s="89">
        <v>459.529</v>
      </c>
      <c r="P98" s="62">
        <f t="shared" si="16"/>
        <v>4.5949999999999998</v>
      </c>
    </row>
    <row r="99" spans="2:16" ht="15" customHeight="1" x14ac:dyDescent="0.3">
      <c r="B99" s="56">
        <v>5</v>
      </c>
      <c r="C99" s="53" t="s">
        <v>1060</v>
      </c>
      <c r="D99" s="54" t="s">
        <v>1062</v>
      </c>
      <c r="E99" s="54"/>
      <c r="F99" s="54"/>
      <c r="G99" s="54"/>
      <c r="H99" s="55">
        <v>1404.56</v>
      </c>
      <c r="I99" s="55">
        <v>1360.88</v>
      </c>
      <c r="J99" s="55" t="s">
        <v>993</v>
      </c>
      <c r="K99" s="56">
        <v>10</v>
      </c>
      <c r="L99" s="66" t="s">
        <v>1005</v>
      </c>
      <c r="M99" s="67"/>
      <c r="N99" s="68"/>
      <c r="O99" s="89">
        <v>463.57499999999999</v>
      </c>
      <c r="P99" s="62">
        <f t="shared" si="16"/>
        <v>4.6360000000000001</v>
      </c>
    </row>
    <row r="100" spans="2:16" ht="15" customHeight="1" x14ac:dyDescent="0.3">
      <c r="B100" s="109">
        <v>5</v>
      </c>
      <c r="C100" s="110" t="s">
        <v>1060</v>
      </c>
      <c r="D100" s="111" t="s">
        <v>1062</v>
      </c>
      <c r="E100" s="111"/>
      <c r="F100" s="111"/>
      <c r="G100" s="111"/>
      <c r="H100" s="112">
        <v>1404.56</v>
      </c>
      <c r="I100" s="112">
        <v>1360.88</v>
      </c>
      <c r="J100" s="112" t="s">
        <v>993</v>
      </c>
      <c r="K100" s="109">
        <v>11</v>
      </c>
      <c r="L100" s="113" t="s">
        <v>1006</v>
      </c>
      <c r="M100" s="141"/>
      <c r="N100" s="114"/>
      <c r="O100" s="142">
        <v>470.31799999999998</v>
      </c>
      <c r="P100" s="116">
        <f t="shared" si="16"/>
        <v>5.173</v>
      </c>
    </row>
    <row r="101" spans="2:16" ht="15" customHeight="1" x14ac:dyDescent="0.3">
      <c r="B101" s="99">
        <v>5</v>
      </c>
      <c r="C101" s="100" t="s">
        <v>1063</v>
      </c>
      <c r="D101" s="101" t="s">
        <v>1064</v>
      </c>
      <c r="E101" s="101"/>
      <c r="F101" s="101"/>
      <c r="G101" s="101"/>
      <c r="H101" s="102">
        <v>1360.88</v>
      </c>
      <c r="I101" s="102">
        <v>1327.13</v>
      </c>
      <c r="J101" s="102" t="s">
        <v>993</v>
      </c>
      <c r="K101" s="99">
        <v>8</v>
      </c>
      <c r="L101" s="107" t="s">
        <v>1001</v>
      </c>
      <c r="M101" s="139"/>
      <c r="N101" s="108"/>
      <c r="O101" s="140">
        <v>440.21899999999999</v>
      </c>
      <c r="P101" s="106">
        <f t="shared" ref="P101:P112" si="17">+ROUND(K101*O101/1000,3)</f>
        <v>3.5219999999999998</v>
      </c>
    </row>
    <row r="102" spans="2:16" ht="15" customHeight="1" x14ac:dyDescent="0.3">
      <c r="B102" s="56">
        <v>5</v>
      </c>
      <c r="C102" s="53" t="s">
        <v>1063</v>
      </c>
      <c r="D102" s="54" t="s">
        <v>1064</v>
      </c>
      <c r="E102" s="54"/>
      <c r="F102" s="54"/>
      <c r="G102" s="54"/>
      <c r="H102" s="55">
        <v>1360.88</v>
      </c>
      <c r="I102" s="55">
        <v>1327.13</v>
      </c>
      <c r="J102" s="55" t="s">
        <v>993</v>
      </c>
      <c r="K102" s="56">
        <v>8</v>
      </c>
      <c r="L102" s="66" t="s">
        <v>1002</v>
      </c>
      <c r="M102" s="67"/>
      <c r="N102" s="68"/>
      <c r="O102" s="89">
        <v>451.74400000000003</v>
      </c>
      <c r="P102" s="62">
        <f t="shared" si="17"/>
        <v>3.6139999999999999</v>
      </c>
    </row>
    <row r="103" spans="2:16" ht="15" customHeight="1" x14ac:dyDescent="0.3">
      <c r="B103" s="56">
        <v>5</v>
      </c>
      <c r="C103" s="53" t="s">
        <v>1063</v>
      </c>
      <c r="D103" s="54" t="s">
        <v>1064</v>
      </c>
      <c r="E103" s="54"/>
      <c r="F103" s="54"/>
      <c r="G103" s="54"/>
      <c r="H103" s="55">
        <v>1360.88</v>
      </c>
      <c r="I103" s="55">
        <v>1327.13</v>
      </c>
      <c r="J103" s="55" t="s">
        <v>993</v>
      </c>
      <c r="K103" s="56">
        <v>8</v>
      </c>
      <c r="L103" s="66" t="s">
        <v>1003</v>
      </c>
      <c r="M103" s="67"/>
      <c r="N103" s="68"/>
      <c r="O103" s="89">
        <v>457.26100000000002</v>
      </c>
      <c r="P103" s="62">
        <f t="shared" si="17"/>
        <v>3.6579999999999999</v>
      </c>
    </row>
    <row r="104" spans="2:16" ht="15" customHeight="1" x14ac:dyDescent="0.3">
      <c r="B104" s="56">
        <v>5</v>
      </c>
      <c r="C104" s="53" t="s">
        <v>1063</v>
      </c>
      <c r="D104" s="54" t="s">
        <v>1064</v>
      </c>
      <c r="E104" s="54"/>
      <c r="F104" s="54"/>
      <c r="G104" s="54"/>
      <c r="H104" s="55">
        <v>1360.88</v>
      </c>
      <c r="I104" s="55">
        <v>1327.13</v>
      </c>
      <c r="J104" s="55" t="s">
        <v>993</v>
      </c>
      <c r="K104" s="56">
        <v>7</v>
      </c>
      <c r="L104" s="66" t="s">
        <v>1004</v>
      </c>
      <c r="M104" s="67"/>
      <c r="N104" s="68"/>
      <c r="O104" s="89">
        <v>459.529</v>
      </c>
      <c r="P104" s="62">
        <f t="shared" si="17"/>
        <v>3.2170000000000001</v>
      </c>
    </row>
    <row r="105" spans="2:16" ht="15" customHeight="1" x14ac:dyDescent="0.3">
      <c r="B105" s="56">
        <v>5</v>
      </c>
      <c r="C105" s="53" t="s">
        <v>1063</v>
      </c>
      <c r="D105" s="54" t="s">
        <v>1064</v>
      </c>
      <c r="E105" s="54"/>
      <c r="F105" s="54"/>
      <c r="G105" s="54"/>
      <c r="H105" s="55">
        <v>1360.88</v>
      </c>
      <c r="I105" s="55">
        <v>1327.13</v>
      </c>
      <c r="J105" s="55" t="s">
        <v>993</v>
      </c>
      <c r="K105" s="56">
        <v>7</v>
      </c>
      <c r="L105" s="66" t="s">
        <v>1005</v>
      </c>
      <c r="M105" s="67"/>
      <c r="N105" s="68"/>
      <c r="O105" s="89">
        <v>463.57499999999999</v>
      </c>
      <c r="P105" s="62">
        <f t="shared" si="17"/>
        <v>3.2450000000000001</v>
      </c>
    </row>
    <row r="106" spans="2:16" ht="15" customHeight="1" x14ac:dyDescent="0.3">
      <c r="B106" s="109">
        <v>5</v>
      </c>
      <c r="C106" s="110" t="s">
        <v>1063</v>
      </c>
      <c r="D106" s="111" t="s">
        <v>1064</v>
      </c>
      <c r="E106" s="111"/>
      <c r="F106" s="111"/>
      <c r="G106" s="111"/>
      <c r="H106" s="112">
        <v>1360.88</v>
      </c>
      <c r="I106" s="112">
        <v>1327.13</v>
      </c>
      <c r="J106" s="112" t="s">
        <v>993</v>
      </c>
      <c r="K106" s="109">
        <v>7</v>
      </c>
      <c r="L106" s="113" t="s">
        <v>1006</v>
      </c>
      <c r="M106" s="141"/>
      <c r="N106" s="114"/>
      <c r="O106" s="142">
        <v>470.31799999999998</v>
      </c>
      <c r="P106" s="116">
        <f t="shared" si="17"/>
        <v>3.2919999999999998</v>
      </c>
    </row>
    <row r="107" spans="2:16" ht="15" customHeight="1" x14ac:dyDescent="0.3">
      <c r="B107" s="99">
        <v>6</v>
      </c>
      <c r="C107" s="100" t="s">
        <v>1075</v>
      </c>
      <c r="D107" s="101" t="s">
        <v>1076</v>
      </c>
      <c r="E107" s="101"/>
      <c r="F107" s="101"/>
      <c r="G107" s="101"/>
      <c r="H107" s="102">
        <v>1327.13</v>
      </c>
      <c r="I107" s="102">
        <v>1314.44</v>
      </c>
      <c r="J107" s="102" t="s">
        <v>993</v>
      </c>
      <c r="K107" s="99">
        <v>1</v>
      </c>
      <c r="L107" s="107" t="s">
        <v>1001</v>
      </c>
      <c r="M107" s="139"/>
      <c r="N107" s="108"/>
      <c r="O107" s="140">
        <v>440.21899999999999</v>
      </c>
      <c r="P107" s="106">
        <f t="shared" si="17"/>
        <v>0.44</v>
      </c>
    </row>
    <row r="108" spans="2:16" ht="15" customHeight="1" x14ac:dyDescent="0.3">
      <c r="B108" s="56">
        <v>6</v>
      </c>
      <c r="C108" s="53" t="s">
        <v>1075</v>
      </c>
      <c r="D108" s="54" t="s">
        <v>1076</v>
      </c>
      <c r="E108" s="54"/>
      <c r="F108" s="54"/>
      <c r="G108" s="54"/>
      <c r="H108" s="55">
        <v>1327.13</v>
      </c>
      <c r="I108" s="55">
        <v>1314.44</v>
      </c>
      <c r="J108" s="55" t="s">
        <v>993</v>
      </c>
      <c r="K108" s="56">
        <v>1</v>
      </c>
      <c r="L108" s="66" t="s">
        <v>1002</v>
      </c>
      <c r="M108" s="67"/>
      <c r="N108" s="68"/>
      <c r="O108" s="89">
        <v>451.74400000000003</v>
      </c>
      <c r="P108" s="62">
        <f t="shared" si="17"/>
        <v>0.45200000000000001</v>
      </c>
    </row>
    <row r="109" spans="2:16" ht="15" customHeight="1" x14ac:dyDescent="0.3">
      <c r="B109" s="56">
        <v>6</v>
      </c>
      <c r="C109" s="53" t="s">
        <v>1075</v>
      </c>
      <c r="D109" s="54" t="s">
        <v>1076</v>
      </c>
      <c r="E109" s="54"/>
      <c r="F109" s="54"/>
      <c r="G109" s="54"/>
      <c r="H109" s="55">
        <v>1327.13</v>
      </c>
      <c r="I109" s="55">
        <v>1314.44</v>
      </c>
      <c r="J109" s="55" t="s">
        <v>993</v>
      </c>
      <c r="K109" s="56">
        <v>1</v>
      </c>
      <c r="L109" s="66" t="s">
        <v>1003</v>
      </c>
      <c r="M109" s="67"/>
      <c r="N109" s="68"/>
      <c r="O109" s="89">
        <v>457.26100000000002</v>
      </c>
      <c r="P109" s="62">
        <f t="shared" si="17"/>
        <v>0.45700000000000002</v>
      </c>
    </row>
    <row r="110" spans="2:16" ht="15" customHeight="1" x14ac:dyDescent="0.3">
      <c r="B110" s="56">
        <v>6</v>
      </c>
      <c r="C110" s="53" t="s">
        <v>1075</v>
      </c>
      <c r="D110" s="54" t="s">
        <v>1076</v>
      </c>
      <c r="E110" s="54"/>
      <c r="F110" s="54"/>
      <c r="G110" s="54"/>
      <c r="H110" s="55">
        <v>1327.13</v>
      </c>
      <c r="I110" s="55">
        <v>1314.44</v>
      </c>
      <c r="J110" s="55" t="s">
        <v>993</v>
      </c>
      <c r="K110" s="56">
        <v>1</v>
      </c>
      <c r="L110" s="66" t="s">
        <v>1004</v>
      </c>
      <c r="M110" s="67"/>
      <c r="N110" s="68"/>
      <c r="O110" s="89">
        <v>459.529</v>
      </c>
      <c r="P110" s="62">
        <f t="shared" si="17"/>
        <v>0.46</v>
      </c>
    </row>
    <row r="111" spans="2:16" ht="15" customHeight="1" x14ac:dyDescent="0.3">
      <c r="B111" s="56">
        <v>6</v>
      </c>
      <c r="C111" s="53" t="s">
        <v>1075</v>
      </c>
      <c r="D111" s="54" t="s">
        <v>1076</v>
      </c>
      <c r="E111" s="54"/>
      <c r="F111" s="54"/>
      <c r="G111" s="54"/>
      <c r="H111" s="55">
        <v>1327.13</v>
      </c>
      <c r="I111" s="55">
        <v>1314.44</v>
      </c>
      <c r="J111" s="55" t="s">
        <v>993</v>
      </c>
      <c r="K111" s="56">
        <v>1</v>
      </c>
      <c r="L111" s="66" t="s">
        <v>1005</v>
      </c>
      <c r="M111" s="67"/>
      <c r="N111" s="68"/>
      <c r="O111" s="89">
        <v>463.57499999999999</v>
      </c>
      <c r="P111" s="62">
        <f t="shared" si="17"/>
        <v>0.46400000000000002</v>
      </c>
    </row>
    <row r="112" spans="2:16" ht="15" customHeight="1" x14ac:dyDescent="0.3">
      <c r="B112" s="109">
        <v>6</v>
      </c>
      <c r="C112" s="110" t="s">
        <v>1075</v>
      </c>
      <c r="D112" s="111" t="s">
        <v>1076</v>
      </c>
      <c r="E112" s="111"/>
      <c r="F112" s="111"/>
      <c r="G112" s="111"/>
      <c r="H112" s="112">
        <v>1327.13</v>
      </c>
      <c r="I112" s="112">
        <v>1314.44</v>
      </c>
      <c r="J112" s="112" t="s">
        <v>993</v>
      </c>
      <c r="K112" s="109">
        <v>1</v>
      </c>
      <c r="L112" s="113" t="s">
        <v>1006</v>
      </c>
      <c r="M112" s="141"/>
      <c r="N112" s="114"/>
      <c r="O112" s="142">
        <v>470.31799999999998</v>
      </c>
      <c r="P112" s="116">
        <f t="shared" si="17"/>
        <v>0.47</v>
      </c>
    </row>
    <row r="113" spans="2:31" ht="4.95" customHeight="1" x14ac:dyDescent="0.3">
      <c r="B113" s="39"/>
      <c r="C113" s="42"/>
      <c r="D113" s="40"/>
      <c r="E113" s="40"/>
      <c r="F113" s="40"/>
      <c r="G113" s="40"/>
      <c r="H113" s="41"/>
      <c r="I113" s="41"/>
      <c r="J113" s="41"/>
      <c r="K113" s="41"/>
      <c r="L113" s="41"/>
      <c r="M113" s="41"/>
      <c r="N113" s="41"/>
      <c r="O113" s="42"/>
      <c r="P113" s="43"/>
    </row>
    <row r="114" spans="2:31" ht="24.6" customHeight="1" x14ac:dyDescent="0.3"/>
    <row r="115" spans="2:31" ht="30" hidden="1" customHeight="1" x14ac:dyDescent="0.3">
      <c r="B115" s="171" t="s">
        <v>7</v>
      </c>
      <c r="C115" s="172"/>
      <c r="D115" s="171" t="s">
        <v>8</v>
      </c>
      <c r="E115" s="175"/>
      <c r="F115" s="175"/>
      <c r="G115" s="175"/>
      <c r="H115" s="175"/>
      <c r="I115" s="175"/>
      <c r="J115" s="175"/>
      <c r="K115" s="175"/>
      <c r="L115" s="175"/>
      <c r="M115" s="34" t="s">
        <v>9</v>
      </c>
      <c r="N115" s="85" t="s">
        <v>1057</v>
      </c>
      <c r="O115" s="85" t="s">
        <v>1058</v>
      </c>
      <c r="P115" s="35" t="s">
        <v>1059</v>
      </c>
    </row>
    <row r="116" spans="2:31" ht="30" hidden="1" customHeight="1" x14ac:dyDescent="0.3">
      <c r="B116" s="173" t="s">
        <v>140</v>
      </c>
      <c r="C116" s="174"/>
      <c r="D116" s="176" t="str">
        <f>+VLOOKUP(B116,[3]Liste!B:E,2,FALSE)</f>
        <v>Umbrella Arch Yapılması</v>
      </c>
      <c r="E116" s="177"/>
      <c r="F116" s="177"/>
      <c r="G116" s="177"/>
      <c r="H116" s="177"/>
      <c r="I116" s="177"/>
      <c r="J116" s="177"/>
      <c r="K116" s="177"/>
      <c r="L116" s="177"/>
      <c r="M116" s="36" t="str">
        <f>+VLOOKUP(B116,[3]Liste!B:E,3,FALSE)</f>
        <v>m</v>
      </c>
      <c r="N116" s="60">
        <v>0</v>
      </c>
      <c r="O116" s="60">
        <f>+P116-N116</f>
        <v>0</v>
      </c>
      <c r="P116" s="60">
        <f>+SUM(P117:P121)</f>
        <v>0</v>
      </c>
    </row>
    <row r="117" spans="2:31" ht="15" hidden="1" customHeight="1" x14ac:dyDescent="0.3">
      <c r="B117" s="91" t="s">
        <v>981</v>
      </c>
      <c r="C117" s="91" t="s">
        <v>991</v>
      </c>
      <c r="D117" s="92" t="s">
        <v>990</v>
      </c>
      <c r="E117" s="92"/>
      <c r="F117" s="92"/>
      <c r="G117" s="92"/>
      <c r="H117" s="123"/>
      <c r="I117" s="123"/>
      <c r="J117" s="123"/>
      <c r="K117" s="91" t="s">
        <v>989</v>
      </c>
      <c r="L117" s="124"/>
      <c r="M117" s="125"/>
      <c r="N117" s="126"/>
      <c r="O117" s="93" t="s">
        <v>985</v>
      </c>
      <c r="P117" s="93" t="s">
        <v>14</v>
      </c>
    </row>
    <row r="118" spans="2:31" ht="15" hidden="1" customHeight="1" x14ac:dyDescent="0.3">
      <c r="B118" s="22">
        <v>3</v>
      </c>
      <c r="C118" s="131"/>
      <c r="D118" s="132"/>
      <c r="E118" s="132"/>
      <c r="F118" s="132"/>
      <c r="G118" s="132"/>
      <c r="H118" s="133"/>
      <c r="I118" s="133"/>
      <c r="J118" s="133"/>
      <c r="K118" s="22"/>
      <c r="L118" s="134"/>
      <c r="M118" s="48"/>
      <c r="N118" s="48"/>
      <c r="O118" s="143"/>
      <c r="P118" s="71"/>
    </row>
    <row r="119" spans="2:31" ht="15" hidden="1" customHeight="1" x14ac:dyDescent="0.3">
      <c r="B119" s="22">
        <v>3</v>
      </c>
      <c r="C119" s="131"/>
      <c r="D119" s="132"/>
      <c r="E119" s="132"/>
      <c r="F119" s="132"/>
      <c r="G119" s="132"/>
      <c r="H119" s="133"/>
      <c r="I119" s="133"/>
      <c r="J119" s="133"/>
      <c r="K119" s="22"/>
      <c r="L119" s="134"/>
      <c r="M119" s="48"/>
      <c r="N119" s="48"/>
      <c r="O119" s="143"/>
      <c r="P119" s="71"/>
    </row>
    <row r="120" spans="2:31" ht="15" hidden="1" customHeight="1" x14ac:dyDescent="0.3">
      <c r="B120" s="94">
        <v>3</v>
      </c>
      <c r="C120" s="95"/>
      <c r="D120" s="96"/>
      <c r="E120" s="96"/>
      <c r="F120" s="96"/>
      <c r="G120" s="96"/>
      <c r="H120" s="118"/>
      <c r="I120" s="118"/>
      <c r="J120" s="118"/>
      <c r="K120" s="94"/>
      <c r="L120" s="128"/>
      <c r="M120" s="129"/>
      <c r="N120" s="129"/>
      <c r="O120" s="97"/>
      <c r="P120" s="98"/>
    </row>
    <row r="121" spans="2:31" ht="4.95" hidden="1" customHeight="1" x14ac:dyDescent="0.3">
      <c r="B121" s="39"/>
      <c r="C121" s="42"/>
      <c r="D121" s="40"/>
      <c r="E121" s="40"/>
      <c r="F121" s="40"/>
      <c r="G121" s="40"/>
      <c r="H121" s="41"/>
      <c r="I121" s="41"/>
      <c r="J121" s="41"/>
      <c r="K121" s="41"/>
      <c r="L121" s="41"/>
      <c r="M121" s="41"/>
      <c r="N121" s="41"/>
      <c r="O121" s="42"/>
      <c r="P121" s="43"/>
    </row>
    <row r="122" spans="2:31" ht="30" customHeight="1" x14ac:dyDescent="0.3">
      <c r="B122" s="171" t="s">
        <v>7</v>
      </c>
      <c r="C122" s="172"/>
      <c r="D122" s="171" t="s">
        <v>8</v>
      </c>
      <c r="E122" s="175"/>
      <c r="F122" s="175"/>
      <c r="G122" s="175"/>
      <c r="H122" s="175"/>
      <c r="I122" s="175"/>
      <c r="J122" s="175"/>
      <c r="K122" s="175"/>
      <c r="L122" s="175"/>
      <c r="M122" s="34" t="s">
        <v>9</v>
      </c>
      <c r="N122" s="85" t="s">
        <v>1057</v>
      </c>
      <c r="O122" s="85" t="s">
        <v>1058</v>
      </c>
      <c r="P122" s="35" t="s">
        <v>1059</v>
      </c>
    </row>
    <row r="123" spans="2:31" ht="30" customHeight="1" x14ac:dyDescent="0.3">
      <c r="B123" s="173" t="s">
        <v>162</v>
      </c>
      <c r="C123" s="174"/>
      <c r="D123" s="176" t="str">
        <f>+VLOOKUP(B123,[3]Liste!B:E,2,FALSE)</f>
        <v>Çelik Donatı (S220 )</v>
      </c>
      <c r="E123" s="177"/>
      <c r="F123" s="177"/>
      <c r="G123" s="177"/>
      <c r="H123" s="177"/>
      <c r="I123" s="177"/>
      <c r="J123" s="177"/>
      <c r="K123" s="177"/>
      <c r="L123" s="177"/>
      <c r="M123" s="36" t="str">
        <f>+VLOOKUP(B123,[3]Liste!B:E,3,FALSE)</f>
        <v>ton</v>
      </c>
      <c r="N123" s="60">
        <v>2.081</v>
      </c>
      <c r="O123" s="60">
        <f>+P123-N123</f>
        <v>1.5659999999999998</v>
      </c>
      <c r="P123" s="60">
        <f>+ROUND(SUM(P124:P133),3)</f>
        <v>3.6469999999999998</v>
      </c>
      <c r="AA123" s="9">
        <f>+VLOOKUP(B123,[2]Liste!$B$2:$F$483,5,FALSE)</f>
        <v>46250</v>
      </c>
      <c r="AC123" s="9">
        <f>+AA123*N123</f>
        <v>96246.25</v>
      </c>
      <c r="AD123" s="9">
        <f>+AA123*O123</f>
        <v>72427.499999999985</v>
      </c>
      <c r="AE123" s="9">
        <f>+AA123*P123</f>
        <v>168673.75</v>
      </c>
    </row>
    <row r="124" spans="2:31" ht="15" customHeight="1" x14ac:dyDescent="0.3">
      <c r="B124" s="37" t="s">
        <v>981</v>
      </c>
      <c r="C124" s="63" t="s">
        <v>994</v>
      </c>
      <c r="D124" s="52"/>
      <c r="E124" s="52"/>
      <c r="F124" s="52"/>
      <c r="G124" s="52"/>
      <c r="H124" s="52" t="s">
        <v>12</v>
      </c>
      <c r="I124" s="63"/>
      <c r="J124" s="63"/>
      <c r="K124" s="37" t="s">
        <v>989</v>
      </c>
      <c r="L124" s="65" t="s">
        <v>1011</v>
      </c>
      <c r="M124" s="69"/>
      <c r="N124" s="63" t="s">
        <v>995</v>
      </c>
      <c r="O124" s="64" t="s">
        <v>985</v>
      </c>
      <c r="P124" s="38" t="s">
        <v>14</v>
      </c>
    </row>
    <row r="125" spans="2:31" ht="15" customHeight="1" x14ac:dyDescent="0.3">
      <c r="B125" s="56">
        <v>6</v>
      </c>
      <c r="C125" s="76" t="s">
        <v>1012</v>
      </c>
      <c r="D125" s="77"/>
      <c r="E125" s="77"/>
      <c r="F125" s="54"/>
      <c r="G125" s="54"/>
      <c r="H125" s="54" t="s">
        <v>1016</v>
      </c>
      <c r="I125" s="59"/>
      <c r="J125" s="59"/>
      <c r="K125" s="56">
        <v>20</v>
      </c>
      <c r="L125" s="66">
        <f>SUM($K$95:$K$100)</f>
        <v>58</v>
      </c>
      <c r="M125" s="68"/>
      <c r="N125" s="74">
        <v>0.88800000000000001</v>
      </c>
      <c r="O125" s="75">
        <v>1.5</v>
      </c>
      <c r="P125" s="62">
        <f>+ROUND(PRODUCT(K125:O125)/1000,3)</f>
        <v>1.5449999999999999</v>
      </c>
      <c r="S125" s="73"/>
    </row>
    <row r="126" spans="2:31" ht="15" customHeight="1" x14ac:dyDescent="0.3">
      <c r="B126" s="56">
        <v>6</v>
      </c>
      <c r="C126" s="76" t="s">
        <v>1012</v>
      </c>
      <c r="D126" s="77"/>
      <c r="E126" s="77"/>
      <c r="F126" s="54"/>
      <c r="G126" s="54"/>
      <c r="H126" s="54" t="s">
        <v>1016</v>
      </c>
      <c r="I126" s="59"/>
      <c r="J126" s="59"/>
      <c r="K126" s="56">
        <v>20</v>
      </c>
      <c r="L126" s="66">
        <f>SUM($K$101:$K$106)</f>
        <v>45</v>
      </c>
      <c r="M126" s="68"/>
      <c r="N126" s="74">
        <v>0.88800000000000001</v>
      </c>
      <c r="O126" s="75">
        <v>1.5</v>
      </c>
      <c r="P126" s="62">
        <f>+ROUND(PRODUCT(K126:O126)/1000,3)</f>
        <v>1.1990000000000001</v>
      </c>
      <c r="S126" s="73"/>
    </row>
    <row r="127" spans="2:31" ht="15" customHeight="1" x14ac:dyDescent="0.3">
      <c r="B127" s="56">
        <v>6</v>
      </c>
      <c r="C127" s="76" t="s">
        <v>1012</v>
      </c>
      <c r="D127" s="77"/>
      <c r="E127" s="77"/>
      <c r="F127" s="54"/>
      <c r="G127" s="54"/>
      <c r="H127" s="54" t="s">
        <v>1016</v>
      </c>
      <c r="I127" s="59"/>
      <c r="J127" s="59"/>
      <c r="K127" s="56">
        <v>20</v>
      </c>
      <c r="L127" s="66">
        <f>SUM($K$107:$K$112)</f>
        <v>6</v>
      </c>
      <c r="M127" s="68"/>
      <c r="N127" s="74">
        <v>0.88800000000000001</v>
      </c>
      <c r="O127" s="75">
        <v>1.5</v>
      </c>
      <c r="P127" s="62">
        <f>+ROUND(PRODUCT(K127:O127)/1000,3)</f>
        <v>0.16</v>
      </c>
      <c r="S127" s="73"/>
    </row>
    <row r="128" spans="2:31" ht="15" customHeight="1" x14ac:dyDescent="0.3">
      <c r="B128" s="51" t="s">
        <v>1065</v>
      </c>
      <c r="C128" s="78"/>
      <c r="D128" s="45"/>
      <c r="E128" s="45"/>
      <c r="F128" s="45"/>
      <c r="G128" s="45"/>
      <c r="H128" s="46"/>
      <c r="I128" s="46"/>
      <c r="J128" s="46"/>
      <c r="K128" s="47"/>
      <c r="L128" s="47"/>
      <c r="M128" s="48"/>
      <c r="N128" s="48"/>
      <c r="O128" s="49"/>
      <c r="P128" s="50"/>
      <c r="S128" s="73"/>
    </row>
    <row r="129" spans="2:19" ht="15" customHeight="1" x14ac:dyDescent="0.3">
      <c r="B129" s="37" t="s">
        <v>981</v>
      </c>
      <c r="C129" s="63" t="s">
        <v>994</v>
      </c>
      <c r="D129" s="52"/>
      <c r="E129" s="52"/>
      <c r="F129" s="52"/>
      <c r="G129" s="52"/>
      <c r="H129" s="52" t="s">
        <v>12</v>
      </c>
      <c r="I129" s="63"/>
      <c r="J129" s="63"/>
      <c r="K129" s="37" t="s">
        <v>989</v>
      </c>
      <c r="L129" s="65" t="s">
        <v>1011</v>
      </c>
      <c r="M129" s="69"/>
      <c r="N129" s="63" t="s">
        <v>995</v>
      </c>
      <c r="O129" s="64" t="s">
        <v>985</v>
      </c>
      <c r="P129" s="38" t="s">
        <v>14</v>
      </c>
    </row>
    <row r="130" spans="2:19" ht="15" customHeight="1" x14ac:dyDescent="0.3">
      <c r="B130" s="56">
        <v>5</v>
      </c>
      <c r="C130" s="76" t="s">
        <v>1012</v>
      </c>
      <c r="D130" s="77"/>
      <c r="E130" s="77"/>
      <c r="F130" s="54"/>
      <c r="G130" s="54"/>
      <c r="H130" s="54" t="s">
        <v>1015</v>
      </c>
      <c r="I130" s="59"/>
      <c r="J130" s="59"/>
      <c r="K130" s="56">
        <v>6</v>
      </c>
      <c r="L130" s="66">
        <f>SUM($K$95:$K$100)</f>
        <v>58</v>
      </c>
      <c r="M130" s="68"/>
      <c r="N130" s="74">
        <v>1.208</v>
      </c>
      <c r="O130" s="75">
        <v>0.95</v>
      </c>
      <c r="P130" s="62">
        <f t="shared" ref="P130" si="18">+ROUND(PRODUCT(K130:O130)/1000,3)</f>
        <v>0.39900000000000002</v>
      </c>
      <c r="S130" s="73"/>
    </row>
    <row r="131" spans="2:19" ht="15" customHeight="1" x14ac:dyDescent="0.3">
      <c r="B131" s="56">
        <v>5</v>
      </c>
      <c r="C131" s="76" t="s">
        <v>1012</v>
      </c>
      <c r="D131" s="77"/>
      <c r="E131" s="77"/>
      <c r="F131" s="54"/>
      <c r="G131" s="54"/>
      <c r="H131" s="54" t="s">
        <v>1015</v>
      </c>
      <c r="I131" s="59"/>
      <c r="J131" s="59"/>
      <c r="K131" s="56">
        <v>6</v>
      </c>
      <c r="L131" s="66">
        <f>SUM($K$101:$K$106)</f>
        <v>45</v>
      </c>
      <c r="M131" s="68"/>
      <c r="N131" s="74">
        <v>1.208</v>
      </c>
      <c r="O131" s="75">
        <v>0.95</v>
      </c>
      <c r="P131" s="62">
        <f t="shared" ref="P131" si="19">+ROUND(PRODUCT(K131:O131)/1000,3)</f>
        <v>0.31</v>
      </c>
      <c r="S131" s="73"/>
    </row>
    <row r="132" spans="2:19" ht="15" customHeight="1" x14ac:dyDescent="0.3">
      <c r="B132" s="56">
        <v>6</v>
      </c>
      <c r="C132" s="76" t="s">
        <v>1012</v>
      </c>
      <c r="D132" s="77"/>
      <c r="E132" s="77"/>
      <c r="F132" s="54"/>
      <c r="G132" s="54"/>
      <c r="H132" s="54" t="s">
        <v>1015</v>
      </c>
      <c r="I132" s="59"/>
      <c r="J132" s="59"/>
      <c r="K132" s="56">
        <v>6</v>
      </c>
      <c r="L132" s="66">
        <v>5</v>
      </c>
      <c r="M132" s="68"/>
      <c r="N132" s="74">
        <v>1.208</v>
      </c>
      <c r="O132" s="75">
        <v>0.95</v>
      </c>
      <c r="P132" s="62">
        <f t="shared" ref="P132" si="20">+ROUND(PRODUCT(K132:O132)/1000,3)</f>
        <v>3.4000000000000002E-2</v>
      </c>
      <c r="S132" s="73"/>
    </row>
    <row r="133" spans="2:19" ht="4.95" customHeight="1" x14ac:dyDescent="0.3">
      <c r="B133" s="39"/>
      <c r="C133" s="42"/>
      <c r="D133" s="40"/>
      <c r="E133" s="40"/>
      <c r="F133" s="40"/>
      <c r="G133" s="40"/>
      <c r="H133" s="41"/>
      <c r="I133" s="41"/>
      <c r="J133" s="41"/>
      <c r="K133" s="41"/>
      <c r="L133" s="41"/>
      <c r="M133" s="41"/>
      <c r="N133" s="41"/>
      <c r="O133" s="42"/>
      <c r="P133" s="43"/>
    </row>
    <row r="134" spans="2:19" ht="19.95" hidden="1" customHeight="1" x14ac:dyDescent="0.3">
      <c r="C134" s="30"/>
      <c r="D134" s="33"/>
      <c r="E134" s="33"/>
      <c r="F134" s="33"/>
      <c r="G134" s="33"/>
      <c r="H134" s="12"/>
      <c r="I134" s="12"/>
      <c r="J134" s="12"/>
      <c r="K134" s="12"/>
      <c r="L134" s="12"/>
      <c r="M134" s="12"/>
      <c r="N134" s="12"/>
      <c r="O134" s="30"/>
    </row>
    <row r="135" spans="2:19" ht="30" hidden="1" customHeight="1" x14ac:dyDescent="0.3">
      <c r="B135" s="171" t="s">
        <v>7</v>
      </c>
      <c r="C135" s="172"/>
      <c r="D135" s="171" t="s">
        <v>8</v>
      </c>
      <c r="E135" s="175"/>
      <c r="F135" s="175"/>
      <c r="G135" s="175"/>
      <c r="H135" s="175"/>
      <c r="I135" s="175"/>
      <c r="J135" s="175"/>
      <c r="K135" s="175"/>
      <c r="L135" s="175"/>
      <c r="M135" s="34" t="s">
        <v>9</v>
      </c>
      <c r="N135" s="85" t="s">
        <v>1057</v>
      </c>
      <c r="O135" s="85" t="s">
        <v>1058</v>
      </c>
      <c r="P135" s="35" t="s">
        <v>1059</v>
      </c>
    </row>
    <row r="136" spans="2:19" ht="30" hidden="1" customHeight="1" x14ac:dyDescent="0.3">
      <c r="B136" s="173" t="s">
        <v>164</v>
      </c>
      <c r="C136" s="174"/>
      <c r="D136" s="176" t="str">
        <f>+VLOOKUP(B136,Liste!B:E,2,FALSE)</f>
        <v>Çelik Donatı (S420a )</v>
      </c>
      <c r="E136" s="177"/>
      <c r="F136" s="177"/>
      <c r="G136" s="177"/>
      <c r="H136" s="177"/>
      <c r="I136" s="177"/>
      <c r="J136" s="177"/>
      <c r="K136" s="177"/>
      <c r="L136" s="177"/>
      <c r="M136" s="177"/>
      <c r="N136" s="181"/>
      <c r="O136" s="36" t="str">
        <f>+VLOOKUP(B136,Liste!B:E,3,FALSE)</f>
        <v>ton</v>
      </c>
      <c r="P136" s="60">
        <f>+ROUND(SUM(P137:P148),3)</f>
        <v>0</v>
      </c>
    </row>
    <row r="137" spans="2:19" ht="15" hidden="1" customHeight="1" x14ac:dyDescent="0.3">
      <c r="B137" s="51" t="s">
        <v>1014</v>
      </c>
      <c r="C137" s="78"/>
      <c r="D137" s="45"/>
      <c r="E137" s="45"/>
      <c r="F137" s="45"/>
      <c r="G137" s="45"/>
      <c r="H137" s="46"/>
      <c r="I137" s="46"/>
      <c r="J137" s="46"/>
      <c r="K137" s="47"/>
      <c r="L137" s="47"/>
      <c r="M137" s="48"/>
      <c r="N137" s="48"/>
      <c r="O137" s="49"/>
      <c r="P137" s="50"/>
      <c r="S137" s="73"/>
    </row>
    <row r="138" spans="2:19" ht="15" hidden="1" customHeight="1" x14ac:dyDescent="0.3">
      <c r="B138" s="37" t="s">
        <v>981</v>
      </c>
      <c r="C138" s="37" t="s">
        <v>991</v>
      </c>
      <c r="D138" s="52" t="s">
        <v>990</v>
      </c>
      <c r="E138" s="52"/>
      <c r="F138" s="52"/>
      <c r="G138" s="52"/>
      <c r="H138" s="63"/>
      <c r="I138" s="63"/>
      <c r="J138" s="63"/>
      <c r="K138" s="37" t="s">
        <v>989</v>
      </c>
      <c r="L138" s="65" t="s">
        <v>12</v>
      </c>
      <c r="M138" s="69"/>
      <c r="N138" s="63" t="s">
        <v>995</v>
      </c>
      <c r="O138" s="64" t="s">
        <v>985</v>
      </c>
      <c r="P138" s="38" t="s">
        <v>14</v>
      </c>
      <c r="S138" s="73"/>
    </row>
    <row r="139" spans="2:19" ht="15" hidden="1" customHeight="1" x14ac:dyDescent="0.3">
      <c r="B139" s="56">
        <v>3</v>
      </c>
      <c r="C139" s="53" t="s">
        <v>1041</v>
      </c>
      <c r="D139" s="54" t="s">
        <v>1042</v>
      </c>
      <c r="E139" s="54"/>
      <c r="F139" s="54"/>
      <c r="G139" s="54"/>
      <c r="H139" s="59"/>
      <c r="I139" s="59"/>
      <c r="J139" s="59"/>
      <c r="K139" s="56">
        <v>30</v>
      </c>
      <c r="L139" s="66" t="s">
        <v>1043</v>
      </c>
      <c r="M139" s="68"/>
      <c r="N139" s="74">
        <v>0.88800000000000001</v>
      </c>
      <c r="O139" s="75">
        <v>0</v>
      </c>
      <c r="P139" s="62">
        <f t="shared" ref="P139:P144" si="21">+ROUND(PRODUCT(K139:O139)/1000,3)</f>
        <v>0</v>
      </c>
      <c r="S139" s="73"/>
    </row>
    <row r="140" spans="2:19" ht="15" hidden="1" customHeight="1" x14ac:dyDescent="0.3">
      <c r="B140" s="56">
        <v>3</v>
      </c>
      <c r="C140" s="53" t="s">
        <v>1041</v>
      </c>
      <c r="D140" s="54" t="s">
        <v>1042</v>
      </c>
      <c r="E140" s="54"/>
      <c r="F140" s="54"/>
      <c r="G140" s="54"/>
      <c r="H140" s="59"/>
      <c r="I140" s="59"/>
      <c r="J140" s="59"/>
      <c r="K140" s="56">
        <v>30</v>
      </c>
      <c r="L140" s="66" t="s">
        <v>1044</v>
      </c>
      <c r="M140" s="68"/>
      <c r="N140" s="74">
        <v>0.88800000000000001</v>
      </c>
      <c r="O140" s="75">
        <v>0</v>
      </c>
      <c r="P140" s="62">
        <f t="shared" si="21"/>
        <v>0</v>
      </c>
      <c r="S140" s="73"/>
    </row>
    <row r="141" spans="2:19" ht="15" hidden="1" customHeight="1" x14ac:dyDescent="0.3">
      <c r="B141" s="56">
        <v>3</v>
      </c>
      <c r="C141" s="53" t="s">
        <v>1045</v>
      </c>
      <c r="D141" s="54" t="s">
        <v>1046</v>
      </c>
      <c r="E141" s="54"/>
      <c r="F141" s="54"/>
      <c r="G141" s="54"/>
      <c r="H141" s="59"/>
      <c r="I141" s="59"/>
      <c r="J141" s="59"/>
      <c r="K141" s="56">
        <v>30</v>
      </c>
      <c r="L141" s="66" t="s">
        <v>1047</v>
      </c>
      <c r="M141" s="68"/>
      <c r="N141" s="74">
        <v>0.88800000000000001</v>
      </c>
      <c r="O141" s="75">
        <v>0</v>
      </c>
      <c r="P141" s="62">
        <f t="shared" si="21"/>
        <v>0</v>
      </c>
      <c r="S141" s="73"/>
    </row>
    <row r="142" spans="2:19" ht="15" hidden="1" customHeight="1" x14ac:dyDescent="0.3">
      <c r="B142" s="56">
        <v>3</v>
      </c>
      <c r="C142" s="53" t="s">
        <v>1045</v>
      </c>
      <c r="D142" s="54" t="s">
        <v>1046</v>
      </c>
      <c r="E142" s="54"/>
      <c r="F142" s="54"/>
      <c r="G142" s="54"/>
      <c r="H142" s="59"/>
      <c r="I142" s="59"/>
      <c r="J142" s="59"/>
      <c r="K142" s="56">
        <v>30</v>
      </c>
      <c r="L142" s="66" t="s">
        <v>1048</v>
      </c>
      <c r="M142" s="68"/>
      <c r="N142" s="74">
        <v>0.88800000000000001</v>
      </c>
      <c r="O142" s="75">
        <v>0</v>
      </c>
      <c r="P142" s="62">
        <f t="shared" si="21"/>
        <v>0</v>
      </c>
      <c r="S142" s="73"/>
    </row>
    <row r="143" spans="2:19" ht="15" hidden="1" customHeight="1" x14ac:dyDescent="0.3">
      <c r="B143" s="56">
        <v>3</v>
      </c>
      <c r="C143" s="53" t="s">
        <v>1045</v>
      </c>
      <c r="D143" s="54" t="s">
        <v>1046</v>
      </c>
      <c r="E143" s="54"/>
      <c r="F143" s="54"/>
      <c r="G143" s="54"/>
      <c r="H143" s="59"/>
      <c r="I143" s="59"/>
      <c r="J143" s="59"/>
      <c r="K143" s="56">
        <v>30</v>
      </c>
      <c r="L143" s="66" t="s">
        <v>1049</v>
      </c>
      <c r="M143" s="68"/>
      <c r="N143" s="74">
        <v>0.88800000000000001</v>
      </c>
      <c r="O143" s="75">
        <v>0</v>
      </c>
      <c r="P143" s="62">
        <f t="shared" si="21"/>
        <v>0</v>
      </c>
      <c r="S143" s="73"/>
    </row>
    <row r="144" spans="2:19" ht="15" hidden="1" customHeight="1" x14ac:dyDescent="0.3">
      <c r="B144" s="56">
        <v>3</v>
      </c>
      <c r="C144" s="53" t="s">
        <v>1045</v>
      </c>
      <c r="D144" s="54" t="s">
        <v>1046</v>
      </c>
      <c r="E144" s="54"/>
      <c r="F144" s="54"/>
      <c r="G144" s="54"/>
      <c r="H144" s="59"/>
      <c r="I144" s="59"/>
      <c r="J144" s="59"/>
      <c r="K144" s="56">
        <v>30</v>
      </c>
      <c r="L144" s="66" t="s">
        <v>1050</v>
      </c>
      <c r="M144" s="68"/>
      <c r="N144" s="74">
        <v>0.88800000000000001</v>
      </c>
      <c r="O144" s="75">
        <v>0</v>
      </c>
      <c r="P144" s="62">
        <f t="shared" si="21"/>
        <v>0</v>
      </c>
      <c r="S144" s="73"/>
    </row>
    <row r="145" spans="2:31" ht="15" hidden="1" customHeight="1" x14ac:dyDescent="0.3">
      <c r="B145" s="56">
        <v>3</v>
      </c>
      <c r="C145" s="53" t="s">
        <v>1051</v>
      </c>
      <c r="D145" s="54" t="s">
        <v>1052</v>
      </c>
      <c r="E145" s="54"/>
      <c r="F145" s="54"/>
      <c r="G145" s="54"/>
      <c r="H145" s="59"/>
      <c r="I145" s="59"/>
      <c r="J145" s="59"/>
      <c r="K145" s="56">
        <v>30</v>
      </c>
      <c r="L145" s="66" t="s">
        <v>1053</v>
      </c>
      <c r="M145" s="68"/>
      <c r="N145" s="74">
        <v>0.88800000000000001</v>
      </c>
      <c r="O145" s="75">
        <v>0</v>
      </c>
      <c r="P145" s="62">
        <f t="shared" ref="P145:P147" si="22">+ROUND(PRODUCT(K145:O145)/1000,3)</f>
        <v>0</v>
      </c>
      <c r="S145" s="73"/>
    </row>
    <row r="146" spans="2:31" ht="15" hidden="1" customHeight="1" x14ac:dyDescent="0.3">
      <c r="B146" s="56">
        <v>3</v>
      </c>
      <c r="C146" s="53" t="s">
        <v>1051</v>
      </c>
      <c r="D146" s="54" t="s">
        <v>1052</v>
      </c>
      <c r="E146" s="54"/>
      <c r="F146" s="54"/>
      <c r="G146" s="54"/>
      <c r="H146" s="59"/>
      <c r="I146" s="59"/>
      <c r="J146" s="59"/>
      <c r="K146" s="56">
        <v>30</v>
      </c>
      <c r="L146" s="66" t="s">
        <v>1054</v>
      </c>
      <c r="M146" s="68"/>
      <c r="N146" s="74">
        <v>0.88800000000000001</v>
      </c>
      <c r="O146" s="75">
        <v>0</v>
      </c>
      <c r="P146" s="62">
        <f t="shared" si="22"/>
        <v>0</v>
      </c>
      <c r="S146" s="73"/>
    </row>
    <row r="147" spans="2:31" ht="15" hidden="1" customHeight="1" x14ac:dyDescent="0.3">
      <c r="B147" s="56">
        <v>3</v>
      </c>
      <c r="C147" s="53" t="s">
        <v>1051</v>
      </c>
      <c r="D147" s="54" t="s">
        <v>1052</v>
      </c>
      <c r="E147" s="54"/>
      <c r="F147" s="54"/>
      <c r="G147" s="54"/>
      <c r="H147" s="59"/>
      <c r="I147" s="59"/>
      <c r="J147" s="59"/>
      <c r="K147" s="56">
        <v>30</v>
      </c>
      <c r="L147" s="66" t="s">
        <v>1055</v>
      </c>
      <c r="M147" s="68"/>
      <c r="N147" s="74">
        <v>0.88800000000000001</v>
      </c>
      <c r="O147" s="75">
        <v>0</v>
      </c>
      <c r="P147" s="62">
        <f t="shared" si="22"/>
        <v>0</v>
      </c>
      <c r="S147" s="73"/>
    </row>
    <row r="148" spans="2:31" ht="4.95" hidden="1" customHeight="1" x14ac:dyDescent="0.3">
      <c r="B148" s="39"/>
      <c r="C148" s="42"/>
      <c r="D148" s="40"/>
      <c r="E148" s="40"/>
      <c r="F148" s="40"/>
      <c r="G148" s="40"/>
      <c r="H148" s="41"/>
      <c r="I148" s="41"/>
      <c r="J148" s="41"/>
      <c r="K148" s="41"/>
      <c r="L148" s="41"/>
      <c r="M148" s="41"/>
      <c r="N148" s="41"/>
      <c r="O148" s="42"/>
      <c r="P148" s="43"/>
    </row>
    <row r="149" spans="2:31" ht="15" customHeight="1" x14ac:dyDescent="0.3">
      <c r="C149" s="30"/>
      <c r="D149" s="33"/>
      <c r="E149" s="33"/>
      <c r="F149" s="33"/>
      <c r="G149" s="33"/>
      <c r="H149" s="12"/>
      <c r="I149" s="12"/>
      <c r="J149" s="12"/>
      <c r="K149" s="12"/>
      <c r="L149" s="12"/>
      <c r="M149" s="12"/>
      <c r="N149" s="12"/>
      <c r="O149" s="30"/>
    </row>
    <row r="150" spans="2:31" ht="30" customHeight="1" x14ac:dyDescent="0.3">
      <c r="B150" s="171" t="s">
        <v>7</v>
      </c>
      <c r="C150" s="172"/>
      <c r="D150" s="171" t="s">
        <v>8</v>
      </c>
      <c r="E150" s="175"/>
      <c r="F150" s="175"/>
      <c r="G150" s="175"/>
      <c r="H150" s="175"/>
      <c r="I150" s="175"/>
      <c r="J150" s="175"/>
      <c r="K150" s="175"/>
      <c r="L150" s="175"/>
      <c r="M150" s="34" t="s">
        <v>9</v>
      </c>
      <c r="N150" s="85" t="s">
        <v>1057</v>
      </c>
      <c r="O150" s="85" t="s">
        <v>1058</v>
      </c>
      <c r="P150" s="35" t="s">
        <v>1059</v>
      </c>
    </row>
    <row r="151" spans="2:31" ht="30" customHeight="1" x14ac:dyDescent="0.3">
      <c r="B151" s="173" t="s">
        <v>166</v>
      </c>
      <c r="C151" s="174"/>
      <c r="D151" s="176" t="str">
        <f>+VLOOKUP(B151,[3]Liste!B:E,2,FALSE)</f>
        <v>Çelik hasır (S500 )</v>
      </c>
      <c r="E151" s="177"/>
      <c r="F151" s="177"/>
      <c r="G151" s="177"/>
      <c r="H151" s="177"/>
      <c r="I151" s="177"/>
      <c r="J151" s="177"/>
      <c r="K151" s="177"/>
      <c r="L151" s="177"/>
      <c r="M151" s="36" t="str">
        <f>+VLOOKUP(B151,[3]Liste!B:E,3,FALSE)</f>
        <v>ton</v>
      </c>
      <c r="N151" s="60">
        <v>12.135</v>
      </c>
      <c r="O151" s="60">
        <f>+P151-N151</f>
        <v>1.9459999999999997</v>
      </c>
      <c r="P151" s="60">
        <f>+ROUND(SUM(P152:P160),3)</f>
        <v>14.081</v>
      </c>
      <c r="AA151" s="9">
        <f>+VLOOKUP(B151,[2]Liste!$B$2:$F$483,5,FALSE)</f>
        <v>97333</v>
      </c>
      <c r="AC151" s="9">
        <f>+AA151*N151</f>
        <v>1181135.9550000001</v>
      </c>
      <c r="AD151" s="9">
        <f>+AA151*O151</f>
        <v>189410.01799999998</v>
      </c>
      <c r="AE151" s="9">
        <f>+AA151*P151</f>
        <v>1370545.973</v>
      </c>
    </row>
    <row r="152" spans="2:31" ht="15" customHeight="1" x14ac:dyDescent="0.3">
      <c r="B152" s="51" t="s">
        <v>1065</v>
      </c>
      <c r="C152" s="78"/>
      <c r="D152" s="45"/>
      <c r="E152" s="45"/>
      <c r="F152" s="45"/>
      <c r="G152" s="45"/>
      <c r="H152" s="46"/>
      <c r="I152" s="46"/>
      <c r="J152" s="46"/>
      <c r="K152" s="47"/>
      <c r="L152" s="47"/>
      <c r="M152" s="48"/>
      <c r="N152" s="48"/>
      <c r="O152" s="49"/>
      <c r="P152" s="50"/>
    </row>
    <row r="153" spans="2:31" ht="15" customHeight="1" x14ac:dyDescent="0.3">
      <c r="B153" s="91" t="s">
        <v>981</v>
      </c>
      <c r="C153" s="91" t="s">
        <v>991</v>
      </c>
      <c r="D153" s="92" t="s">
        <v>990</v>
      </c>
      <c r="E153" s="92"/>
      <c r="F153" s="92"/>
      <c r="G153" s="92"/>
      <c r="H153" s="91" t="s">
        <v>988</v>
      </c>
      <c r="I153" s="91" t="s">
        <v>987</v>
      </c>
      <c r="J153" s="91" t="s">
        <v>992</v>
      </c>
      <c r="K153" s="91" t="s">
        <v>989</v>
      </c>
      <c r="L153" s="124"/>
      <c r="M153" s="126" t="s">
        <v>985</v>
      </c>
      <c r="N153" s="127"/>
      <c r="O153" s="93" t="s">
        <v>1018</v>
      </c>
      <c r="P153" s="93" t="s">
        <v>14</v>
      </c>
    </row>
    <row r="154" spans="2:31" ht="15" customHeight="1" x14ac:dyDescent="0.3">
      <c r="B154" s="22">
        <v>5</v>
      </c>
      <c r="C154" s="131" t="s">
        <v>1060</v>
      </c>
      <c r="D154" s="132" t="s">
        <v>1062</v>
      </c>
      <c r="E154" s="132"/>
      <c r="F154" s="132"/>
      <c r="G154" s="132"/>
      <c r="H154" s="144">
        <v>1404.56</v>
      </c>
      <c r="I154" s="144">
        <v>1360.88</v>
      </c>
      <c r="J154" s="144" t="s">
        <v>993</v>
      </c>
      <c r="K154" s="22">
        <v>1</v>
      </c>
      <c r="L154" s="134"/>
      <c r="M154" s="145">
        <f>H154-I154</f>
        <v>43.679999999999836</v>
      </c>
      <c r="N154" s="146"/>
      <c r="O154" s="143">
        <f>115.022/0.75</f>
        <v>153.36266666666668</v>
      </c>
      <c r="P154" s="71">
        <f>+ROUND(PRODUCT(K154:O154)/1000,3)</f>
        <v>6.6989999999999998</v>
      </c>
    </row>
    <row r="155" spans="2:31" ht="15" customHeight="1" x14ac:dyDescent="0.3">
      <c r="B155" s="22">
        <v>5</v>
      </c>
      <c r="C155" s="131" t="s">
        <v>1063</v>
      </c>
      <c r="D155" s="132" t="s">
        <v>1064</v>
      </c>
      <c r="E155" s="132"/>
      <c r="F155" s="132"/>
      <c r="G155" s="132"/>
      <c r="H155" s="144">
        <v>1360.88</v>
      </c>
      <c r="I155" s="144">
        <v>1327.13</v>
      </c>
      <c r="J155" s="144" t="s">
        <v>993</v>
      </c>
      <c r="K155" s="22">
        <v>1</v>
      </c>
      <c r="L155" s="134"/>
      <c r="M155" s="145">
        <f>H155-I155</f>
        <v>33.75</v>
      </c>
      <c r="N155" s="146"/>
      <c r="O155" s="143">
        <f>115.022/0.75</f>
        <v>153.36266666666668</v>
      </c>
      <c r="P155" s="71">
        <f>+ROUND(PRODUCT(K155:O155)/1000,3)</f>
        <v>5.1760000000000002</v>
      </c>
    </row>
    <row r="156" spans="2:31" ht="15" customHeight="1" x14ac:dyDescent="0.3">
      <c r="B156" s="22">
        <v>6</v>
      </c>
      <c r="C156" s="131" t="s">
        <v>1075</v>
      </c>
      <c r="D156" s="132" t="s">
        <v>1076</v>
      </c>
      <c r="E156" s="132"/>
      <c r="F156" s="132"/>
      <c r="G156" s="132"/>
      <c r="H156" s="144">
        <v>1327.13</v>
      </c>
      <c r="I156" s="144">
        <v>1314.44</v>
      </c>
      <c r="J156" s="144" t="s">
        <v>993</v>
      </c>
      <c r="K156" s="22">
        <v>1</v>
      </c>
      <c r="L156" s="134"/>
      <c r="M156" s="145">
        <f>H156-I156</f>
        <v>12.690000000000055</v>
      </c>
      <c r="N156" s="146"/>
      <c r="O156" s="143">
        <f>115.022/0.75</f>
        <v>153.36266666666668</v>
      </c>
      <c r="P156" s="71">
        <f>+ROUND(PRODUCT(K156:O156)/1000,3)</f>
        <v>1.946</v>
      </c>
    </row>
    <row r="157" spans="2:31" ht="15" customHeight="1" x14ac:dyDescent="0.3">
      <c r="B157" s="51" t="s">
        <v>1009</v>
      </c>
      <c r="C157" s="78"/>
      <c r="D157" s="45"/>
      <c r="E157" s="45"/>
      <c r="F157" s="45"/>
      <c r="G157" s="45"/>
      <c r="H157" s="46"/>
      <c r="I157" s="46"/>
      <c r="J157" s="46"/>
      <c r="K157" s="47"/>
      <c r="L157" s="47"/>
      <c r="M157" s="48"/>
      <c r="N157" s="48"/>
      <c r="O157" s="49"/>
      <c r="P157" s="50"/>
    </row>
    <row r="158" spans="2:31" ht="60" customHeight="1" x14ac:dyDescent="0.3">
      <c r="B158" s="91" t="s">
        <v>981</v>
      </c>
      <c r="C158" s="91" t="s">
        <v>991</v>
      </c>
      <c r="D158" s="92" t="s">
        <v>996</v>
      </c>
      <c r="E158" s="92"/>
      <c r="F158" s="92"/>
      <c r="G158" s="92"/>
      <c r="H158" s="117"/>
      <c r="I158" s="123"/>
      <c r="J158" s="91" t="s">
        <v>992</v>
      </c>
      <c r="K158" s="91" t="s">
        <v>989</v>
      </c>
      <c r="L158" s="91" t="s">
        <v>1008</v>
      </c>
      <c r="M158" s="93" t="s">
        <v>983</v>
      </c>
      <c r="N158" s="93" t="s">
        <v>1010</v>
      </c>
      <c r="O158" s="93" t="s">
        <v>1022</v>
      </c>
      <c r="P158" s="93" t="s">
        <v>14</v>
      </c>
    </row>
    <row r="159" spans="2:31" ht="30" customHeight="1" x14ac:dyDescent="0.3">
      <c r="B159" s="56">
        <v>5</v>
      </c>
      <c r="C159" s="131" t="s">
        <v>1060</v>
      </c>
      <c r="D159" s="178" t="s">
        <v>1007</v>
      </c>
      <c r="E159" s="179"/>
      <c r="F159" s="179"/>
      <c r="G159" s="179"/>
      <c r="H159" s="179"/>
      <c r="I159" s="180"/>
      <c r="J159" s="55" t="s">
        <v>993</v>
      </c>
      <c r="K159" s="56">
        <v>1</v>
      </c>
      <c r="L159" s="56" t="s">
        <v>1056</v>
      </c>
      <c r="M159" s="57"/>
      <c r="N159" s="72">
        <v>0.13</v>
      </c>
      <c r="O159" s="70">
        <v>1997.87</v>
      </c>
      <c r="P159" s="62">
        <f t="shared" ref="P159" si="23">+ROUND(PRODUCT(M159:O159)*K159/1000,3)</f>
        <v>0.26</v>
      </c>
    </row>
    <row r="160" spans="2:31" ht="4.95" customHeight="1" x14ac:dyDescent="0.3">
      <c r="B160" s="39"/>
      <c r="C160" s="42"/>
      <c r="D160" s="40"/>
      <c r="E160" s="40"/>
      <c r="F160" s="40"/>
      <c r="G160" s="40"/>
      <c r="H160" s="41"/>
      <c r="I160" s="41"/>
      <c r="J160" s="41"/>
      <c r="K160" s="41"/>
      <c r="L160" s="41"/>
      <c r="M160" s="41"/>
      <c r="N160" s="41"/>
      <c r="O160" s="42"/>
      <c r="P160" s="43"/>
    </row>
    <row r="161" spans="2:16" ht="15" customHeight="1" x14ac:dyDescent="0.3">
      <c r="C161" s="30"/>
      <c r="D161" s="33"/>
      <c r="E161" s="33"/>
      <c r="F161" s="33"/>
      <c r="G161" s="33"/>
      <c r="H161" s="12"/>
      <c r="I161" s="12"/>
      <c r="J161" s="12"/>
      <c r="K161" s="12"/>
      <c r="L161" s="12"/>
      <c r="M161" s="12"/>
      <c r="N161" s="12"/>
      <c r="O161" s="30"/>
    </row>
    <row r="162" spans="2:16" ht="15" customHeight="1" x14ac:dyDescent="0.3">
      <c r="C162" s="30"/>
      <c r="D162" s="33"/>
      <c r="E162" s="33"/>
      <c r="F162" s="33"/>
      <c r="G162" s="33"/>
      <c r="H162" s="12"/>
      <c r="I162" s="12"/>
      <c r="J162" s="12"/>
      <c r="K162" s="12"/>
      <c r="L162" s="12"/>
      <c r="M162" s="12"/>
      <c r="N162" s="12"/>
      <c r="O162" s="30"/>
    </row>
    <row r="163" spans="2:16" ht="15" customHeight="1" x14ac:dyDescent="0.3">
      <c r="C163" s="30"/>
      <c r="D163" s="33"/>
      <c r="E163" s="33"/>
      <c r="F163" s="33"/>
      <c r="G163" s="33"/>
      <c r="H163" s="12"/>
      <c r="I163" s="12"/>
      <c r="J163" s="12"/>
      <c r="K163" s="12"/>
      <c r="L163" s="12"/>
      <c r="M163" s="12"/>
      <c r="N163" s="12"/>
      <c r="O163" s="30"/>
    </row>
    <row r="164" spans="2:16" ht="15" customHeight="1" x14ac:dyDescent="0.3">
      <c r="C164" s="30"/>
      <c r="D164" s="33"/>
      <c r="E164" s="33"/>
      <c r="F164" s="33"/>
      <c r="G164" s="33"/>
      <c r="H164" s="12"/>
      <c r="I164" s="12"/>
      <c r="J164" s="12"/>
      <c r="K164" s="12"/>
      <c r="L164" s="12"/>
      <c r="M164" s="12"/>
      <c r="N164" s="12"/>
      <c r="O164" s="30"/>
    </row>
    <row r="165" spans="2:16" ht="15" customHeight="1" x14ac:dyDescent="0.3">
      <c r="C165" s="30"/>
      <c r="D165" s="33"/>
      <c r="E165" s="33"/>
      <c r="F165" s="33"/>
      <c r="G165" s="33"/>
      <c r="H165" s="12"/>
      <c r="I165" s="12"/>
      <c r="J165" s="12"/>
      <c r="K165" s="12"/>
      <c r="L165" s="12"/>
      <c r="M165" s="12"/>
      <c r="N165" s="12"/>
      <c r="O165" s="30"/>
    </row>
    <row r="166" spans="2:16" ht="15" customHeight="1" x14ac:dyDescent="0.3">
      <c r="C166" s="30"/>
      <c r="D166" s="33"/>
      <c r="E166" s="33"/>
      <c r="F166" s="33"/>
      <c r="G166" s="33"/>
      <c r="H166" s="12"/>
      <c r="I166" s="12"/>
      <c r="J166" s="12"/>
      <c r="K166" s="12"/>
      <c r="L166" s="12"/>
      <c r="M166" s="12"/>
      <c r="N166" s="12"/>
      <c r="O166" s="30"/>
    </row>
    <row r="167" spans="2:16" ht="15" customHeight="1" x14ac:dyDescent="0.3">
      <c r="C167" s="30"/>
      <c r="D167" s="33"/>
      <c r="E167" s="33"/>
      <c r="F167" s="33"/>
      <c r="G167" s="33"/>
      <c r="H167" s="12"/>
      <c r="I167" s="12"/>
      <c r="J167" s="12"/>
      <c r="K167" s="12"/>
      <c r="L167" s="12"/>
      <c r="M167" s="12"/>
      <c r="N167" s="12"/>
      <c r="O167" s="30"/>
    </row>
    <row r="168" spans="2:16" ht="15" customHeight="1" x14ac:dyDescent="0.3">
      <c r="C168" s="30"/>
      <c r="D168" s="33"/>
      <c r="E168" s="33"/>
      <c r="F168" s="33"/>
      <c r="G168" s="33"/>
      <c r="H168" s="12"/>
      <c r="I168" s="12"/>
      <c r="J168" s="12"/>
      <c r="K168" s="12"/>
      <c r="L168" s="12"/>
      <c r="M168" s="12"/>
      <c r="N168" s="12"/>
      <c r="O168" s="30"/>
    </row>
    <row r="169" spans="2:16" ht="15" customHeight="1" x14ac:dyDescent="0.3">
      <c r="C169" s="30"/>
      <c r="D169" s="33"/>
      <c r="E169" s="33"/>
      <c r="F169" s="33"/>
      <c r="G169" s="33"/>
      <c r="H169" s="12"/>
      <c r="I169" s="12"/>
      <c r="J169" s="12"/>
      <c r="K169" s="12"/>
      <c r="L169" s="12"/>
      <c r="M169" s="12"/>
      <c r="N169" s="12"/>
      <c r="O169" s="30"/>
    </row>
    <row r="171" spans="2:16" ht="15" customHeight="1" x14ac:dyDescent="0.3">
      <c r="B171" s="160"/>
      <c r="C171" s="160"/>
      <c r="D171" s="160"/>
      <c r="E171" s="160"/>
      <c r="F171" s="160"/>
      <c r="G171" s="160"/>
      <c r="H171" s="161"/>
      <c r="I171" s="161"/>
      <c r="J171" s="161"/>
      <c r="K171" s="161"/>
      <c r="L171" s="161"/>
      <c r="M171" s="160"/>
      <c r="N171" s="160"/>
      <c r="O171" s="160"/>
      <c r="P171" s="160"/>
    </row>
    <row r="172" spans="2:16" ht="15" customHeight="1" x14ac:dyDescent="0.3">
      <c r="B172" s="159"/>
      <c r="C172" s="159"/>
      <c r="D172" s="159"/>
      <c r="E172" s="159"/>
      <c r="F172" s="159"/>
      <c r="G172" s="159"/>
      <c r="H172" s="162"/>
      <c r="I172" s="162"/>
      <c r="J172" s="162"/>
      <c r="K172" s="162"/>
      <c r="L172" s="162"/>
      <c r="M172" s="162"/>
      <c r="N172" s="162"/>
      <c r="O172" s="162"/>
      <c r="P172" s="162"/>
    </row>
    <row r="173" spans="2:16" ht="15" customHeight="1" x14ac:dyDescent="0.3">
      <c r="B173" s="30"/>
      <c r="C173" s="30"/>
      <c r="D173" s="30"/>
      <c r="E173" s="30"/>
      <c r="F173" s="30"/>
      <c r="G173" s="30"/>
      <c r="H173" s="31"/>
      <c r="I173" s="31"/>
      <c r="J173" s="31"/>
      <c r="K173" s="32"/>
      <c r="L173" s="32"/>
      <c r="M173" s="162"/>
      <c r="N173" s="162"/>
      <c r="O173" s="162"/>
      <c r="P173" s="162"/>
    </row>
    <row r="174" spans="2:16" ht="15" customHeight="1" x14ac:dyDescent="0.3">
      <c r="M174" s="162"/>
      <c r="N174" s="162"/>
      <c r="O174" s="162"/>
      <c r="P174" s="162"/>
    </row>
    <row r="183" spans="2:16" ht="15" customHeight="1" x14ac:dyDescent="0.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</row>
    <row r="184" spans="2:16" ht="15" customHeight="1" x14ac:dyDescent="0.3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</row>
  </sheetData>
  <mergeCells count="56">
    <mergeCell ref="D115:L115"/>
    <mergeCell ref="D77:L77"/>
    <mergeCell ref="D84:L84"/>
    <mergeCell ref="D92:L92"/>
    <mergeCell ref="D46:L46"/>
    <mergeCell ref="D47:L47"/>
    <mergeCell ref="D76:L76"/>
    <mergeCell ref="D83:L83"/>
    <mergeCell ref="D91:L91"/>
    <mergeCell ref="M184:P184"/>
    <mergeCell ref="M172:P174"/>
    <mergeCell ref="M183:P183"/>
    <mergeCell ref="M171:P171"/>
    <mergeCell ref="B184:G184"/>
    <mergeCell ref="H184:L184"/>
    <mergeCell ref="B171:G171"/>
    <mergeCell ref="H171:L171"/>
    <mergeCell ref="B172:G172"/>
    <mergeCell ref="H172:L172"/>
    <mergeCell ref="B183:G183"/>
    <mergeCell ref="H183:L183"/>
    <mergeCell ref="D116:L116"/>
    <mergeCell ref="D123:L123"/>
    <mergeCell ref="D151:L151"/>
    <mergeCell ref="D159:I159"/>
    <mergeCell ref="D150:L150"/>
    <mergeCell ref="D122:L122"/>
    <mergeCell ref="D135:L135"/>
    <mergeCell ref="D136:N136"/>
    <mergeCell ref="B47:C47"/>
    <mergeCell ref="B46:C46"/>
    <mergeCell ref="B76:C76"/>
    <mergeCell ref="B77:C77"/>
    <mergeCell ref="B151:C151"/>
    <mergeCell ref="B115:C115"/>
    <mergeCell ref="B91:C91"/>
    <mergeCell ref="B92:C92"/>
    <mergeCell ref="B83:C83"/>
    <mergeCell ref="B84:C84"/>
    <mergeCell ref="B150:C150"/>
    <mergeCell ref="B116:C116"/>
    <mergeCell ref="B136:C136"/>
    <mergeCell ref="B135:C135"/>
    <mergeCell ref="B123:C123"/>
    <mergeCell ref="B122:C122"/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</mergeCells>
  <phoneticPr fontId="13" type="noConversion"/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2" manualBreakCount="2">
    <brk id="90" max="16" man="1"/>
    <brk id="162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1294.5060000000001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188.43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240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49.838000000000001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3.6469999999999998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14.081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22801699.293000001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2026-05-16T12:21:02Z</cp:lastPrinted>
  <dcterms:created xsi:type="dcterms:W3CDTF">2015-06-05T18:19:34Z</dcterms:created>
  <dcterms:modified xsi:type="dcterms:W3CDTF">2026-08-26T14:25:20Z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