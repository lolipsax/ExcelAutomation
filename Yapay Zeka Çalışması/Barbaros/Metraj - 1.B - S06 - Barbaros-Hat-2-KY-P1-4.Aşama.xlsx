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basak\Desktop\Hk06\Barbaros\"/>
    </mc:Choice>
  </mc:AlternateContent>
  <xr:revisionPtr revIDLastSave="0" documentId="13_ncr:1_{40294027-2519-4F11-ABBF-40A419D06042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Kapak" sheetId="1" state="hidden" r:id="rId1"/>
    <sheet name="İcmal" sheetId="2" r:id="rId2"/>
    <sheet name="Metraj" sheetId="6" r:id="rId3"/>
    <sheet name="Liste" sheetId="5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İcmal!$A$19:$M$49</definedName>
    <definedName name="_xlnm._FilterDatabase" localSheetId="3" hidden="1">Liste!$A$1:$G$484</definedName>
    <definedName name="AMN_PRV">Metraj!$AC$2</definedName>
    <definedName name="AMN_THS">Metraj!$AD$2</definedName>
    <definedName name="AMN_TOT">Metraj!$AE$2</definedName>
    <definedName name="_xlnm.Print_Area" localSheetId="1">İcmal!$A$1:$L$51</definedName>
    <definedName name="_xlnm.Print_Area" localSheetId="2">Metraj!$A$2:$Q$177</definedName>
    <definedName name="_xlnm.Print_Titles" localSheetId="2">Metraj!$2:$15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C15" i="2"/>
  <c r="AC2" i="6"/>
  <c r="O170" i="6"/>
  <c r="M170" i="6"/>
  <c r="P170" i="6" s="1"/>
  <c r="P145" i="6"/>
  <c r="P131" i="6"/>
  <c r="P130" i="6"/>
  <c r="P129" i="6"/>
  <c r="P128" i="6"/>
  <c r="P127" i="6"/>
  <c r="P126" i="6"/>
  <c r="M83" i="6"/>
  <c r="P83" i="6"/>
  <c r="M82" i="6"/>
  <c r="P82" i="6"/>
  <c r="P81" i="6"/>
  <c r="P80" i="6"/>
  <c r="P79" i="6"/>
  <c r="P78" i="6"/>
  <c r="P77" i="6"/>
  <c r="P76" i="6"/>
  <c r="L49" i="6"/>
  <c r="S49" i="6" s="1"/>
  <c r="P49" i="6"/>
  <c r="S48" i="6"/>
  <c r="P48" i="6"/>
  <c r="S47" i="6"/>
  <c r="P47" i="6"/>
  <c r="S46" i="6"/>
  <c r="P46" i="6"/>
  <c r="S45" i="6"/>
  <c r="P45" i="6"/>
  <c r="S44" i="6"/>
  <c r="P44" i="6"/>
  <c r="S43" i="6"/>
  <c r="P43" i="6"/>
  <c r="AA164" i="6" l="1"/>
  <c r="AA135" i="6"/>
  <c r="AA105" i="6"/>
  <c r="AA97" i="6"/>
  <c r="AA53" i="6"/>
  <c r="AA17" i="6"/>
  <c r="M75" i="6"/>
  <c r="P75" i="6" s="1"/>
  <c r="O169" i="6"/>
  <c r="M169" i="6"/>
  <c r="P169" i="6" s="1"/>
  <c r="L144" i="6"/>
  <c r="P144" i="6" s="1"/>
  <c r="L139" i="6"/>
  <c r="P139" i="6" s="1"/>
  <c r="P125" i="6"/>
  <c r="P124" i="6"/>
  <c r="P123" i="6"/>
  <c r="P122" i="6"/>
  <c r="P121" i="6"/>
  <c r="P120" i="6"/>
  <c r="P101" i="6"/>
  <c r="P74" i="6"/>
  <c r="P73" i="6"/>
  <c r="P72" i="6"/>
  <c r="P71" i="6"/>
  <c r="P70" i="6"/>
  <c r="P69" i="6"/>
  <c r="S38" i="6"/>
  <c r="P38" i="6"/>
  <c r="S37" i="6"/>
  <c r="P37" i="6"/>
  <c r="S36" i="6"/>
  <c r="P36" i="6"/>
  <c r="S35" i="6"/>
  <c r="P35" i="6"/>
  <c r="S34" i="6"/>
  <c r="P34" i="6"/>
  <c r="S33" i="6"/>
  <c r="P33" i="6"/>
  <c r="AC164" i="6" l="1"/>
  <c r="AC135" i="6"/>
  <c r="AC105" i="6"/>
  <c r="AC97" i="6"/>
  <c r="AC53" i="6"/>
  <c r="AC17" i="6"/>
  <c r="P100" i="6"/>
  <c r="L143" i="6"/>
  <c r="P143" i="6" s="1"/>
  <c r="L138" i="6"/>
  <c r="P138" i="6" s="1"/>
  <c r="O168" i="6"/>
  <c r="M168" i="6"/>
  <c r="P119" i="6"/>
  <c r="P118" i="6"/>
  <c r="P117" i="6"/>
  <c r="P116" i="6"/>
  <c r="P115" i="6"/>
  <c r="P114" i="6"/>
  <c r="P68" i="6"/>
  <c r="P67" i="6"/>
  <c r="P66" i="6"/>
  <c r="P65" i="6"/>
  <c r="P64" i="6"/>
  <c r="P63" i="6"/>
  <c r="S32" i="6"/>
  <c r="P32" i="6"/>
  <c r="S31" i="6"/>
  <c r="P31" i="6"/>
  <c r="S30" i="6"/>
  <c r="P30" i="6"/>
  <c r="S29" i="6"/>
  <c r="P29" i="6"/>
  <c r="S28" i="6"/>
  <c r="P28" i="6"/>
  <c r="S27" i="6"/>
  <c r="P27" i="6"/>
  <c r="P168" i="6" l="1"/>
  <c r="O167" i="6" l="1"/>
  <c r="M167" i="6"/>
  <c r="P173" i="6"/>
  <c r="M41" i="6"/>
  <c r="P41" i="6" s="1"/>
  <c r="S21" i="6" l="1"/>
  <c r="S22" i="6"/>
  <c r="S23" i="6"/>
  <c r="S24" i="6"/>
  <c r="S25" i="6"/>
  <c r="S26" i="6"/>
  <c r="S20" i="6"/>
  <c r="P113" i="6"/>
  <c r="P112" i="6"/>
  <c r="P111" i="6"/>
  <c r="P110" i="6"/>
  <c r="P109" i="6"/>
  <c r="P108" i="6"/>
  <c r="P20" i="6" l="1"/>
  <c r="P21" i="6" l="1"/>
  <c r="P22" i="6"/>
  <c r="P23" i="6"/>
  <c r="P24" i="6"/>
  <c r="P25" i="6"/>
  <c r="M164" i="6" l="1"/>
  <c r="D164" i="6"/>
  <c r="M135" i="6"/>
  <c r="D135" i="6"/>
  <c r="M105" i="6"/>
  <c r="D105" i="6"/>
  <c r="M97" i="6"/>
  <c r="D97" i="6"/>
  <c r="M89" i="6"/>
  <c r="D89" i="6"/>
  <c r="M53" i="6"/>
  <c r="D53" i="6"/>
  <c r="M17" i="6"/>
  <c r="D17" i="6"/>
  <c r="P56" i="6" l="1"/>
  <c r="P62" i="6"/>
  <c r="P61" i="6"/>
  <c r="P60" i="6"/>
  <c r="P59" i="6"/>
  <c r="P58" i="6"/>
  <c r="P57" i="6"/>
  <c r="P26" i="6" l="1"/>
  <c r="P160" i="6" l="1"/>
  <c r="P159" i="6"/>
  <c r="P158" i="6"/>
  <c r="P85" i="6"/>
  <c r="P42" i="6" l="1"/>
  <c r="P156" i="6"/>
  <c r="P99" i="6"/>
  <c r="P167" i="6"/>
  <c r="P153" i="6"/>
  <c r="P154" i="6"/>
  <c r="P155" i="6"/>
  <c r="L142" i="6"/>
  <c r="P142" i="6" s="1"/>
  <c r="L137" i="6"/>
  <c r="P137" i="6" s="1"/>
  <c r="P152" i="6" l="1"/>
  <c r="L49" i="2" l="1"/>
  <c r="L48" i="2"/>
  <c r="L44" i="2"/>
  <c r="L43" i="2"/>
  <c r="L42" i="2"/>
  <c r="L41" i="2"/>
  <c r="L40" i="2"/>
  <c r="L39" i="2"/>
  <c r="L38" i="2"/>
  <c r="L37" i="2"/>
  <c r="L36" i="2"/>
  <c r="L35" i="2"/>
  <c r="L32" i="2"/>
  <c r="L29" i="2"/>
  <c r="L28" i="2"/>
  <c r="L26" i="2"/>
  <c r="L25" i="2"/>
  <c r="L24" i="2"/>
  <c r="L22" i="2"/>
  <c r="L21" i="2"/>
  <c r="O149" i="6"/>
  <c r="D149" i="6"/>
  <c r="H62" i="5" l="1"/>
  <c r="K32" i="2"/>
  <c r="H54" i="5"/>
  <c r="K24" i="2"/>
  <c r="H67" i="5"/>
  <c r="K37" i="2"/>
  <c r="H71" i="5"/>
  <c r="K41" i="2"/>
  <c r="H52" i="5"/>
  <c r="K22" i="2"/>
  <c r="H65" i="5"/>
  <c r="K35" i="2"/>
  <c r="H72" i="5"/>
  <c r="K42" i="2"/>
  <c r="H56" i="5"/>
  <c r="K26" i="2"/>
  <c r="H66" i="5"/>
  <c r="K36" i="2"/>
  <c r="H73" i="5"/>
  <c r="K43" i="2"/>
  <c r="H55" i="5"/>
  <c r="K25" i="2"/>
  <c r="H68" i="5"/>
  <c r="K38" i="2"/>
  <c r="H74" i="5"/>
  <c r="K44" i="2"/>
  <c r="H58" i="5"/>
  <c r="K28" i="2"/>
  <c r="H69" i="5"/>
  <c r="K39" i="2"/>
  <c r="H78" i="5"/>
  <c r="K48" i="2"/>
  <c r="H51" i="5"/>
  <c r="K21" i="2"/>
  <c r="H59" i="5"/>
  <c r="K29" i="2"/>
  <c r="H70" i="5"/>
  <c r="K40" i="2"/>
  <c r="H79" i="5"/>
  <c r="K49" i="2"/>
  <c r="P157" i="6"/>
  <c r="P97" i="6" l="1"/>
  <c r="P89" i="6"/>
  <c r="L27" i="2" s="1"/>
  <c r="L30" i="2" l="1"/>
  <c r="AE97" i="6"/>
  <c r="O89" i="6"/>
  <c r="O97" i="6"/>
  <c r="AD97" i="6" s="1"/>
  <c r="Z25" i="2"/>
  <c r="Z27" i="2" l="1"/>
  <c r="AA27" i="2" s="1"/>
  <c r="K30" i="2"/>
  <c r="H60" i="5"/>
  <c r="H57" i="5"/>
  <c r="K27" i="2"/>
  <c r="Z21" i="2"/>
  <c r="Z48" i="2"/>
  <c r="AA48" i="2" s="1"/>
  <c r="AA25" i="2"/>
  <c r="AB25" i="2" s="1"/>
  <c r="Z37" i="2"/>
  <c r="AA37" i="2" s="1"/>
  <c r="Z30" i="2" l="1"/>
  <c r="AA30" i="2" s="1"/>
  <c r="AB27" i="2"/>
  <c r="AC27" i="2" s="1"/>
  <c r="Z24" i="2"/>
  <c r="AA24" i="2" s="1"/>
  <c r="Z40" i="2"/>
  <c r="AA21" i="2"/>
  <c r="AB21" i="2" s="1"/>
  <c r="Z26" i="2"/>
  <c r="AC25" i="2"/>
  <c r="AD25" i="2" s="1"/>
  <c r="Z42" i="2"/>
  <c r="AA42" i="2" s="1"/>
  <c r="AB42" i="2" s="1"/>
  <c r="AB48" i="2"/>
  <c r="AC48" i="2" s="1"/>
  <c r="AB37" i="2"/>
  <c r="AC37" i="2" s="1"/>
  <c r="AD37" i="2" s="1"/>
  <c r="AE37" i="2" s="1"/>
  <c r="AF37" i="2" s="1"/>
  <c r="AG37" i="2" s="1"/>
  <c r="AH37" i="2" s="1"/>
  <c r="Z41" i="2"/>
  <c r="P149" i="6"/>
  <c r="L46" i="2" s="1"/>
  <c r="AB30" i="2" l="1"/>
  <c r="AC30" i="2" s="1"/>
  <c r="AD27" i="2"/>
  <c r="AE27" i="2" s="1"/>
  <c r="P135" i="6"/>
  <c r="H76" i="5"/>
  <c r="K46" i="2"/>
  <c r="AA40" i="2"/>
  <c r="AB40" i="2" s="1"/>
  <c r="AC40" i="2" s="1"/>
  <c r="AD40" i="2" s="1"/>
  <c r="AE40" i="2" s="1"/>
  <c r="AF40" i="2" s="1"/>
  <c r="AG40" i="2" s="1"/>
  <c r="AH40" i="2" s="1"/>
  <c r="Z29" i="2"/>
  <c r="AA29" i="2" s="1"/>
  <c r="Z22" i="2"/>
  <c r="Z49" i="2"/>
  <c r="AD48" i="2"/>
  <c r="AE48" i="2" s="1"/>
  <c r="Z35" i="2"/>
  <c r="AA35" i="2" s="1"/>
  <c r="AB24" i="2"/>
  <c r="AC24" i="2" s="1"/>
  <c r="AA26" i="2"/>
  <c r="AC42" i="2"/>
  <c r="Z28" i="2"/>
  <c r="AE25" i="2"/>
  <c r="AC21" i="2"/>
  <c r="AD21" i="2" s="1"/>
  <c r="AE21" i="2" s="1"/>
  <c r="Z38" i="2"/>
  <c r="AA38" i="2" s="1"/>
  <c r="AB38" i="2" s="1"/>
  <c r="AC38" i="2" s="1"/>
  <c r="AD38" i="2" s="1"/>
  <c r="AE38" i="2" s="1"/>
  <c r="AF38" i="2" s="1"/>
  <c r="AG38" i="2" s="1"/>
  <c r="AA41" i="2"/>
  <c r="AB41" i="2" s="1"/>
  <c r="AC41" i="2" s="1"/>
  <c r="AD41" i="2" s="1"/>
  <c r="AE41" i="2" s="1"/>
  <c r="AF41" i="2" s="1"/>
  <c r="L45" i="2" l="1"/>
  <c r="Z45" i="2" s="1"/>
  <c r="AA45" i="2" s="1"/>
  <c r="AB45" i="2" s="1"/>
  <c r="AE135" i="6"/>
  <c r="AE2" i="6" s="1"/>
  <c r="AD30" i="2"/>
  <c r="AE30" i="2" s="1"/>
  <c r="AF30" i="2" s="1"/>
  <c r="AF27" i="2"/>
  <c r="AG27" i="2" s="1"/>
  <c r="AH27" i="2" s="1"/>
  <c r="O135" i="6"/>
  <c r="AD135" i="6" s="1"/>
  <c r="AD2" i="6" s="1"/>
  <c r="AB29" i="2"/>
  <c r="AC29" i="2" s="1"/>
  <c r="Z44" i="2"/>
  <c r="AA44" i="2" s="1"/>
  <c r="AA49" i="2"/>
  <c r="AB49" i="2" s="1"/>
  <c r="AF48" i="2"/>
  <c r="AG48" i="2" s="1"/>
  <c r="AH48" i="2" s="1"/>
  <c r="AA22" i="2"/>
  <c r="Z43" i="2"/>
  <c r="AD24" i="2"/>
  <c r="AE24" i="2" s="1"/>
  <c r="AF24" i="2" s="1"/>
  <c r="AG24" i="2" s="1"/>
  <c r="AH24" i="2" s="1"/>
  <c r="AB26" i="2"/>
  <c r="AB35" i="2"/>
  <c r="AD42" i="2"/>
  <c r="AF21" i="2"/>
  <c r="AG21" i="2" s="1"/>
  <c r="AH21" i="2" s="1"/>
  <c r="AF25" i="2"/>
  <c r="AG25" i="2" s="1"/>
  <c r="AH25" i="2" s="1"/>
  <c r="Z32" i="2"/>
  <c r="AA32" i="2" s="1"/>
  <c r="AA28" i="2"/>
  <c r="AB28" i="2" s="1"/>
  <c r="AC28" i="2" s="1"/>
  <c r="AG41" i="2"/>
  <c r="AH41" i="2" s="1"/>
  <c r="AH38" i="2"/>
  <c r="AG30" i="2" l="1"/>
  <c r="AH30" i="2" s="1"/>
  <c r="AC45" i="2"/>
  <c r="AD45" i="2" s="1"/>
  <c r="AE45" i="2" s="1"/>
  <c r="P164" i="6"/>
  <c r="H75" i="5"/>
  <c r="K45" i="2"/>
  <c r="AD29" i="2"/>
  <c r="AE29" i="2" s="1"/>
  <c r="AC49" i="2"/>
  <c r="AD49" i="2" s="1"/>
  <c r="AE49" i="2" s="1"/>
  <c r="AA43" i="2"/>
  <c r="AB43" i="2" s="1"/>
  <c r="AC43" i="2" s="1"/>
  <c r="AD43" i="2" s="1"/>
  <c r="AE43" i="2" s="1"/>
  <c r="AF43" i="2" s="1"/>
  <c r="AG43" i="2" s="1"/>
  <c r="AH43" i="2" s="1"/>
  <c r="AB22" i="2"/>
  <c r="AC22" i="2" s="1"/>
  <c r="AD22" i="2" s="1"/>
  <c r="AE22" i="2" s="1"/>
  <c r="AF22" i="2" s="1"/>
  <c r="AG22" i="2" s="1"/>
  <c r="AH22" i="2" s="1"/>
  <c r="AC35" i="2"/>
  <c r="AD35" i="2" s="1"/>
  <c r="AE35" i="2" s="1"/>
  <c r="AF35" i="2" s="1"/>
  <c r="AG35" i="2" s="1"/>
  <c r="AH35" i="2" s="1"/>
  <c r="AE42" i="2"/>
  <c r="AF42" i="2" s="1"/>
  <c r="AG42" i="2" s="1"/>
  <c r="AB32" i="2"/>
  <c r="AC32" i="2" s="1"/>
  <c r="Z39" i="2"/>
  <c r="AC26" i="2"/>
  <c r="AD26" i="2" s="1"/>
  <c r="AE26" i="2" s="1"/>
  <c r="AF26" i="2" s="1"/>
  <c r="AG26" i="2" s="1"/>
  <c r="AH26" i="2" s="1"/>
  <c r="Z36" i="2"/>
  <c r="AD28" i="2"/>
  <c r="AE28" i="2" s="1"/>
  <c r="AF28" i="2" s="1"/>
  <c r="AG28" i="2" s="1"/>
  <c r="AH28" i="2" s="1"/>
  <c r="AB44" i="2"/>
  <c r="A9" i="6"/>
  <c r="L47" i="2" l="1"/>
  <c r="AE164" i="6"/>
  <c r="AF45" i="2"/>
  <c r="AG45" i="2" s="1"/>
  <c r="AH45" i="2" s="1"/>
  <c r="L31" i="2"/>
  <c r="L34" i="2"/>
  <c r="O164" i="6"/>
  <c r="AD164" i="6" s="1"/>
  <c r="AF29" i="2"/>
  <c r="AG29" i="2" s="1"/>
  <c r="AH29" i="2" s="1"/>
  <c r="AF49" i="2"/>
  <c r="AG49" i="2" s="1"/>
  <c r="AH49" i="2" s="1"/>
  <c r="AA39" i="2"/>
  <c r="AB39" i="2" s="1"/>
  <c r="AC39" i="2" s="1"/>
  <c r="AD39" i="2" s="1"/>
  <c r="AE39" i="2" s="1"/>
  <c r="AF39" i="2" s="1"/>
  <c r="AG39" i="2" s="1"/>
  <c r="AH39" i="2" s="1"/>
  <c r="AA36" i="2"/>
  <c r="AB36" i="2" s="1"/>
  <c r="AH42" i="2"/>
  <c r="AC44" i="2"/>
  <c r="AD32" i="2"/>
  <c r="AE32" i="2" s="1"/>
  <c r="P105" i="6"/>
  <c r="L33" i="2" l="1"/>
  <c r="H63" i="5" s="1"/>
  <c r="AE105" i="6"/>
  <c r="Z47" i="2"/>
  <c r="AA47" i="2" s="1"/>
  <c r="AB47" i="2" s="1"/>
  <c r="AC47" i="2" s="1"/>
  <c r="AD47" i="2" s="1"/>
  <c r="AE47" i="2" s="1"/>
  <c r="O105" i="6"/>
  <c r="AD105" i="6" s="1"/>
  <c r="H77" i="5"/>
  <c r="K47" i="2"/>
  <c r="AD44" i="2"/>
  <c r="AE44" i="2" s="1"/>
  <c r="AF44" i="2" s="1"/>
  <c r="AG44" i="2" s="1"/>
  <c r="AH44" i="2" s="1"/>
  <c r="AC36" i="2"/>
  <c r="AD36" i="2" s="1"/>
  <c r="AE36" i="2" s="1"/>
  <c r="AF36" i="2" s="1"/>
  <c r="AF32" i="2"/>
  <c r="AG32" i="2" s="1"/>
  <c r="AH32" i="2" s="1"/>
  <c r="P53" i="6"/>
  <c r="Z33" i="2" l="1"/>
  <c r="AA33" i="2" s="1"/>
  <c r="AB33" i="2" s="1"/>
  <c r="AC33" i="2" s="1"/>
  <c r="AD33" i="2" s="1"/>
  <c r="AE33" i="2" s="1"/>
  <c r="L23" i="2"/>
  <c r="AE53" i="6"/>
  <c r="Z34" i="2"/>
  <c r="AF47" i="2"/>
  <c r="AG47" i="2" s="1"/>
  <c r="AH47" i="2" s="1"/>
  <c r="Z31" i="2"/>
  <c r="K33" i="2"/>
  <c r="K31" i="2"/>
  <c r="H61" i="5"/>
  <c r="K34" i="2"/>
  <c r="H64" i="5"/>
  <c r="O53" i="6"/>
  <c r="AD53" i="6" s="1"/>
  <c r="AG36" i="2"/>
  <c r="AH36" i="2" s="1"/>
  <c r="A12" i="2"/>
  <c r="AA34" i="2" l="1"/>
  <c r="AB34" i="2" s="1"/>
  <c r="AC34" i="2" s="1"/>
  <c r="AA31" i="2"/>
  <c r="AB31" i="2" s="1"/>
  <c r="Z23" i="2"/>
  <c r="AF33" i="2"/>
  <c r="AG33" i="2" s="1"/>
  <c r="AH33" i="2" s="1"/>
  <c r="H53" i="5"/>
  <c r="K23" i="2"/>
  <c r="Z46" i="2"/>
  <c r="AA46" i="2" s="1"/>
  <c r="AC31" i="2" l="1"/>
  <c r="AD31" i="2" s="1"/>
  <c r="AE31" i="2" s="1"/>
  <c r="AF31" i="2" s="1"/>
  <c r="AG31" i="2" s="1"/>
  <c r="AH31" i="2" s="1"/>
  <c r="AD34" i="2"/>
  <c r="AE34" i="2" s="1"/>
  <c r="AF34" i="2" s="1"/>
  <c r="AG34" i="2" s="1"/>
  <c r="AH34" i="2" s="1"/>
  <c r="AA23" i="2"/>
  <c r="AB23" i="2" s="1"/>
  <c r="P17" i="6"/>
  <c r="AB46" i="2"/>
  <c r="AC46" i="2" s="1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L20" i="2" l="1"/>
  <c r="AE17" i="6"/>
  <c r="AC23" i="2"/>
  <c r="AD23" i="2" s="1"/>
  <c r="AE23" i="2" s="1"/>
  <c r="O17" i="6"/>
  <c r="AD17" i="6" s="1"/>
  <c r="AD46" i="2"/>
  <c r="AE46" i="2" s="1"/>
  <c r="AF46" i="2" s="1"/>
  <c r="AG46" i="2" s="1"/>
  <c r="AH46" i="2" s="1"/>
  <c r="C14" i="6"/>
  <c r="C13" i="6"/>
  <c r="AF23" i="2" l="1"/>
  <c r="AG23" i="2" s="1"/>
  <c r="AH23" i="2" s="1"/>
  <c r="H50" i="5"/>
  <c r="H485" i="5" s="1"/>
  <c r="N1" i="2" s="1"/>
  <c r="K20" i="2"/>
  <c r="A24" i="1"/>
  <c r="Z20" i="2" l="1"/>
  <c r="AA20" i="2" s="1"/>
  <c r="C20" i="2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AB20" i="2" l="1"/>
  <c r="AC20" i="2" s="1"/>
  <c r="AD20" i="2" s="1"/>
  <c r="AE20" i="2" s="1"/>
  <c r="AF20" i="2" s="1"/>
  <c r="AG20" i="2" s="1"/>
  <c r="AH20" i="2" s="1"/>
  <c r="G484" i="5"/>
</calcChain>
</file>

<file path=xl/sharedStrings.xml><?xml version="1.0" encoding="utf-8"?>
<sst xmlns="http://schemas.openxmlformats.org/spreadsheetml/2006/main" count="2151" uniqueCount="1078">
  <si>
    <t>T.C.</t>
  </si>
  <si>
    <t xml:space="preserve">İSTANBUL BÜYÜKŞEHİR BELEDİYESİ </t>
  </si>
  <si>
    <t>Kirazlı-Halkalı Üniversite Metro Hattı İnşaat Ve Elektromekanik İşler İle M1 Hattı Elektromekanik Sistemleri Yapım İşi</t>
  </si>
  <si>
    <t>METRAJLAR</t>
  </si>
  <si>
    <t>TBM/EPB Tünel İnşaatı</t>
  </si>
  <si>
    <t>Hakediş No:</t>
  </si>
  <si>
    <t>Hakediş Tarihi:</t>
  </si>
  <si>
    <t>POZ NO</t>
  </si>
  <si>
    <t>BİRİM FİYAT ADI</t>
  </si>
  <si>
    <t>BİRİM</t>
  </si>
  <si>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</si>
  <si>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</si>
  <si>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</si>
  <si>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</si>
  <si>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</si>
  <si>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</si>
  <si>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</si>
  <si>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</si>
  <si>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</si>
  <si>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</si>
  <si>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</si>
  <si>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</si>
  <si>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</si>
  <si>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</si>
  <si>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</si>
  <si>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</si>
  <si>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</si>
  <si>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</si>
  <si>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</si>
  <si>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</si>
  <si>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</si>
  <si>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</si>
  <si>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</si>
  <si>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</si>
  <si>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</si>
  <si>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</si>
  <si>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</si>
  <si>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</si>
  <si>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</si>
  <si>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</si>
  <si>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</si>
  <si>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</si>
  <si>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</si>
  <si>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</si>
  <si>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</si>
  <si>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</si>
  <si>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</si>
  <si>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</si>
  <si>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</si>
  <si>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</si>
  <si>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</si>
  <si>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</si>
  <si>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</si>
  <si>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</si>
  <si>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</si>
  <si>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</si>
  <si>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</si>
  <si>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</si>
  <si>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</si>
  <si>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</si>
  <si>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</si>
  <si>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</si>
  <si>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</si>
  <si>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</si>
  <si>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</si>
  <si>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</si>
  <si>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</si>
  <si>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</si>
  <si>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</si>
  <si>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</si>
  <si>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</si>
  <si>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</si>
  <si>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</si>
  <si>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</si>
  <si>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</si>
  <si>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</si>
  <si>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</si>
  <si>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</si>
  <si>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</si>
  <si>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</si>
  <si>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</si>
  <si>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</si>
  <si>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</si>
  <si>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</si>
  <si>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</si>
  <si>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</si>
  <si>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</si>
  <si>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</si>
  <si>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</si>
  <si>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</si>
  <si>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</si>
  <si>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</si>
  <si>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</si>
  <si>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</si>
  <si>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</si>
  <si>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</si>
  <si>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</si>
  <si>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</si>
  <si>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</si>
  <si>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</si>
  <si>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</si>
  <si>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</si>
  <si>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</si>
  <si>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</si>
  <si>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</si>
  <si>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</si>
  <si>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</si>
  <si>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</si>
  <si>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</si>
  <si>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</si>
  <si>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</si>
  <si>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</si>
  <si>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</si>
  <si>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</si>
  <si>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</si>
  <si>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</si>
  <si>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</si>
  <si>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</si>
  <si>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</si>
  <si>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</si>
  <si>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</si>
  <si>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</si>
  <si>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</si>
  <si>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</si>
  <si>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</si>
  <si>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</si>
  <si>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</si>
  <si>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</si>
  <si>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</si>
  <si>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</si>
  <si>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</si>
  <si>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</si>
  <si>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</si>
  <si>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</si>
  <si>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</si>
  <si>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</si>
  <si>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</si>
  <si>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</si>
  <si>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</si>
  <si>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</si>
  <si>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</si>
  <si>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</si>
  <si>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</si>
  <si>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</si>
  <si>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</si>
  <si>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</si>
  <si>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</si>
  <si>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</si>
  <si>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</si>
  <si>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</si>
  <si>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</si>
  <si>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</si>
  <si>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</si>
  <si>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</si>
  <si>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</si>
  <si>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</si>
  <si>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</si>
  <si>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</si>
  <si>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</si>
  <si>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</si>
  <si>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</si>
  <si>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</si>
  <si>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</si>
  <si>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</si>
  <si>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</si>
  <si>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</si>
  <si>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</si>
  <si>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</si>
  <si>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</si>
  <si>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</si>
  <si>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</si>
  <si>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</si>
  <si>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</si>
  <si>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</si>
  <si>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</si>
  <si>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</si>
  <si>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</si>
  <si>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</si>
  <si>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</si>
  <si>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</si>
  <si>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</si>
  <si>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</si>
  <si>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</si>
  <si>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</si>
  <si>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</si>
  <si>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</si>
  <si>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</si>
  <si>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</si>
  <si>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</si>
  <si>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</si>
  <si>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</si>
  <si>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</si>
  <si>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</si>
  <si>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</si>
  <si>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</si>
  <si>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</si>
  <si>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</si>
  <si>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</si>
  <si>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</si>
  <si>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</si>
  <si>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</si>
  <si>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</si>
  <si>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</si>
  <si>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</si>
  <si>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</si>
  <si>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</si>
  <si>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</si>
  <si>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</si>
  <si>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</si>
  <si>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</si>
  <si>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</si>
  <si>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</si>
  <si>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</si>
  <si>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</si>
  <si>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</si>
  <si>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</si>
  <si>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</si>
  <si>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</si>
  <si>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</si>
  <si>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</si>
  <si>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</si>
  <si>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</si>
  <si>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</si>
  <si>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</si>
  <si>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</si>
  <si>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</si>
  <si>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</si>
  <si>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</si>
  <si>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</si>
  <si>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</si>
  <si>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</si>
  <si>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</si>
  <si>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</si>
  <si>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</si>
  <si>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</si>
  <si>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</si>
  <si>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</si>
  <si>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</si>
  <si>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</si>
  <si>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</si>
  <si>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</si>
  <si>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</si>
  <si>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</si>
  <si>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</si>
  <si>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</si>
  <si>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</si>
  <si>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</si>
  <si>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</si>
  <si>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</si>
  <si>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</si>
  <si>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</si>
  <si>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</si>
  <si>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</si>
  <si>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</si>
  <si>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</si>
  <si>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</si>
  <si>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</si>
  <si>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</si>
  <si>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</si>
  <si>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</si>
  <si>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</si>
  <si>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</si>
  <si>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</si>
  <si>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</si>
  <si>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</si>
  <si>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</si>
  <si>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</si>
  <si>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</si>
  <si>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</si>
  <si>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</si>
  <si>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</si>
  <si>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</si>
  <si>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</si>
  <si>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</si>
  <si>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</si>
  <si>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</si>
  <si>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</si>
  <si>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</si>
  <si>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</si>
  <si>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</si>
  <si>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</si>
  <si>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</si>
  <si>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</si>
  <si>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</si>
  <si>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</si>
  <si>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</si>
  <si>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</si>
  <si>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</si>
  <si>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</si>
  <si>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</si>
  <si>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</si>
  <si>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</si>
  <si>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</si>
  <si>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</si>
  <si>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</si>
  <si>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</si>
  <si>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</si>
  <si>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</si>
  <si>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</si>
  <si>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</si>
  <si>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</si>
  <si>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</si>
  <si>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</si>
  <si>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</si>
  <si>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</si>
  <si>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</si>
  <si>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</si>
  <si>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</si>
  <si>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</si>
  <si>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</si>
  <si>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</si>
  <si>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</si>
  <si>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</si>
  <si>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</si>
  <si>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</si>
  <si>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</si>
  <si>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</si>
  <si>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</si>
  <si>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</si>
  <si>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</si>
  <si>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</si>
  <si>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</si>
  <si>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</si>
  <si>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</si>
  <si>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</si>
  <si>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</si>
  <si>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</si>
  <si>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</si>
  <si>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</si>
  <si>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</si>
  <si>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</si>
  <si>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</si>
  <si>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</si>
  <si>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</si>
  <si>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</si>
  <si>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</si>
  <si>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</si>
  <si>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</si>
  <si>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</si>
  <si>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</si>
  <si>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</si>
  <si>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</si>
  <si>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</si>
  <si>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</si>
  <si>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</si>
  <si>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</si>
  <si>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</si>
  <si>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</si>
  <si>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</si>
  <si>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</si>
  <si>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</si>
  <si>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</si>
  <si>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</si>
  <si>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</si>
  <si>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</si>
  <si>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</si>
  <si>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</si>
  <si>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</si>
  <si>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</si>
  <si>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</si>
  <si>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</si>
  <si>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</si>
  <si>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</si>
  <si>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</si>
  <si>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</si>
  <si>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</si>
  <si>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</si>
  <si>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</si>
  <si>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</si>
  <si>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</si>
  <si>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</si>
  <si>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</si>
  <si>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</si>
  <si>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</si>
  <si>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</si>
  <si>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</si>
  <si>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</si>
  <si>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</si>
  <si>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</si>
  <si>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</si>
  <si>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</si>
  <si>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</si>
  <si>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</si>
  <si>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</si>
  <si>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</si>
  <si>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</si>
  <si>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</si>
  <si>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</si>
  <si>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</si>
  <si>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</si>
  <si>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</si>
  <si>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</si>
  <si>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</si>
  <si>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</si>
  <si>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</si>
  <si>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</si>
  <si>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</si>
  <si>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</si>
  <si>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</si>
  <si>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</si>
  <si>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</si>
  <si>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</si>
  <si>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</si>
  <si>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</si>
  <si>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</si>
  <si>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</si>
  <si>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</si>
  <si>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</si>
  <si>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</si>
  <si>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</si>
  <si>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</si>
  <si>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</si>
  <si>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</si>
  <si>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</si>
  <si>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</si>
  <si>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</si>
  <si>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</si>
  <si>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</si>
  <si>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</si>
  <si>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</si>
  <si>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</si>
  <si>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</si>
  <si>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</si>
  <si>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</si>
  <si>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</si>
  <si>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</si>
  <si>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</si>
  <si>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</si>
  <si>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</si>
  <si>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</si>
  <si>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</si>
  <si>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</si>
  <si>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</si>
  <si>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</si>
  <si>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</si>
  <si>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</si>
  <si>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</si>
  <si>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</si>
  <si>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</si>
  <si>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</si>
  <si>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</si>
  <si>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</si>
  <si>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</si>
  <si>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</si>
  <si>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</si>
  <si>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</si>
  <si>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</si>
  <si>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</si>
  <si>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</si>
  <si>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</si>
  <si>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</si>
  <si>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</si>
  <si>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</si>
  <si>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</si>
  <si>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</si>
  <si>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</si>
  <si>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</si>
  <si>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</si>
  <si>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</si>
  <si>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</si>
  <si>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</si>
  <si>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</si>
  <si>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</si>
  <si>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</si>
  <si>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</si>
  <si>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</si>
  <si>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</si>
  <si>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</si>
  <si>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</si>
  <si>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</si>
  <si>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</si>
  <si>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</si>
  <si>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</si>
  <si>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</si>
  <si>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</si>
  <si>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</si>
  <si>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</si>
  <si>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</si>
  <si>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</si>
  <si>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</si>
  <si>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</si>
  <si>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</si>
  <si>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</si>
  <si>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</si>
  <si>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</si>
  <si>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</si>
  <si>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</si>
  <si>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</si>
  <si>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</si>
  <si>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</si>
  <si>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</si>
  <si>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</si>
  <si>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</si>
  <si>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</si>
  <si>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</si>
  <si>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</si>
  <si>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</si>
  <si>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</si>
  <si>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</si>
  <si>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</si>
  <si>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</si>
  <si>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</si>
  <si>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</si>
  <si>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</si>
  <si>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</si>
  <si>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</si>
  <si>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</si>
  <si>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</si>
  <si>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</si>
  <si>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</si>
  <si>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</si>
  <si>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</si>
  <si>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</si>
  <si>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</si>
  <si>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</si>
  <si>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</si>
  <si>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</si>
  <si>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</si>
  <si>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</si>
  <si>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</si>
  <si>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</si>
  <si>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</si>
  <si>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</si>
  <si>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</si>
  <si>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</si>
  <si>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</si>
  <si>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</si>
  <si>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</si>
  <si>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</si>
  <si>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</si>
  <si>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</si>
  <si>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</si>
  <si>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</si>
  <si>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</si>
  <si>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</si>
  <si>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</si>
  <si>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</si>
  <si>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</si>
  <si>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</si>
  <si>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</si>
  <si>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</si>
  <si>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</si>
  <si>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</si>
  <si>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</si>
  <si>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</si>
  <si>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</si>
  <si>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</si>
  <si>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</si>
  <si>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</si>
  <si>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</si>
  <si>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</si>
  <si>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</si>
  <si>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</si>
  <si>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</si>
  <si>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</si>
  <si>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</si>
  <si>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</si>
  <si>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</si>
  <si>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</si>
  <si>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</si>
  <si>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</si>
  <si>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</si>
  <si>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</si>
  <si>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</si>
  <si>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</si>
  <si>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</si>
  <si>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</si>
  <si>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</si>
  <si>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</si>
  <si>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</si>
  <si>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</si>
  <si>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</si>
  <si>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</si>
  <si>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</si>
  <si>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</si>
  <si>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</si>
  <si>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</si>
  <si>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</si>
  <si>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</si>
  <si>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</si>
  <si>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</si>
  <si>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</si>
  <si>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</si>
  <si>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</si>
  <si>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</si>
  <si>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</si>
  <si>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</si>
  <si>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</si>
  <si>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</si>
  <si>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</si>
  <si>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</si>
  <si>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</si>
  <si>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</si>
  <si>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</si>
  <si>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</si>
  <si>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</si>
  <si>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</si>
  <si>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</si>
  <si>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</si>
  <si>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</si>
  <si>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</si>
  <si>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</si>
  <si>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</si>
  <si>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</si>
  <si>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</si>
  <si>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</si>
  <si>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</si>
  <si>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</si>
  <si>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</si>
  <si>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</si>
  <si>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</si>
  <si>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</si>
  <si>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</si>
  <si>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</si>
  <si>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</si>
  <si>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</si>
  <si>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</si>
  <si>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</si>
  <si>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</si>
  <si>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</si>
  <si>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</si>
  <si>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</si>
  <si>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</si>
  <si>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</si>
  <si>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</si>
  <si>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</si>
  <si>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</si>
  <si>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</si>
  <si>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</si>
  <si>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</si>
  <si>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</si>
  <si>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</si>
  <si>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</si>
  <si>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</si>
  <si>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</si>
  <si>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</si>
  <si>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</si>
  <si>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</si>
  <si>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</si>
  <si>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</si>
  <si>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</si>
  <si>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</si>
  <si>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</si>
  <si>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</si>
  <si>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</si>
  <si>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</si>
  <si>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</si>
  <si>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</si>
  <si>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</si>
  <si>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</si>
  <si>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</si>
  <si>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</si>
  <si>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</si>
  <si>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</si>
  <si>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</si>
  <si>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</si>
  <si>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</si>
  <si>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</si>
  <si>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</si>
  <si>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</si>
  <si>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</si>
  <si>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</si>
  <si>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</si>
  <si>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</si>
  <si>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</si>
  <si>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</si>
  <si>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</si>
  <si>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</si>
  <si>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</si>
  <si>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</si>
  <si>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</si>
  <si>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</si>
  <si>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</si>
  <si>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</si>
  <si>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</si>
  <si>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</si>
  <si>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</si>
  <si>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</si>
  <si>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</si>
  <si>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</si>
  <si>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</si>
  <si>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</si>
  <si>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</si>
  <si>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</si>
  <si>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</si>
  <si>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</si>
  <si>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</si>
  <si>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</si>
  <si>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</si>
  <si>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</si>
  <si>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</si>
  <si>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</si>
  <si>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</si>
  <si>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</si>
  <si>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</si>
  <si>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</si>
  <si>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</si>
  <si>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</si>
  <si>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</si>
  <si>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</si>
  <si>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</si>
  <si>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</si>
  <si>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</si>
  <si>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</si>
  <si>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</si>
  <si>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</si>
  <si>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</si>
  <si>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</si>
  <si>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</si>
  <si>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</si>
  <si>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</si>
  <si>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</si>
  <si>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</si>
  <si>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</si>
  <si>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</si>
  <si>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</si>
  <si>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</si>
  <si>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</si>
  <si>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</si>
  <si>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</si>
  <si>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</si>
  <si>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</si>
  <si>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</si>
  <si>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</si>
  <si>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</si>
  <si>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</si>
  <si>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</si>
  <si>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</si>
  <si>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</si>
  <si>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</si>
  <si>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</si>
  <si>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</si>
  <si>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</si>
  <si>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</si>
  <si>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</si>
  <si>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</si>
  <si>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</si>
  <si>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</si>
  <si>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</si>
  <si>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</si>
  <si>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</si>
  <si>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</si>
  <si>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</si>
  <si>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</si>
  <si>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</si>
  <si>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</si>
  <si>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</si>
  <si>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</si>
  <si>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</si>
  <si>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</si>
  <si>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</si>
  <si>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</si>
  <si>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</si>
  <si>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</si>
  <si>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</si>
  <si>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</si>
  <si>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</si>
  <si>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</si>
  <si>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</si>
  <si>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</si>
  <si>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</si>
  <si>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</si>
  <si>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</si>
  <si>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</si>
  <si>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</si>
  <si>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</si>
  <si>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</si>
  <si>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</si>
  <si>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</si>
  <si>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</si>
  <si>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</si>
  <si>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</si>
  <si>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</si>
  <si>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</si>
  <si>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</si>
  <si>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</si>
  <si>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</si>
  <si>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</si>
  <si>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</si>
  <si>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</si>
  <si>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</si>
  <si>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</si>
  <si>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</si>
  <si>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</si>
  <si>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</si>
  <si>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</si>
  <si>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</si>
  <si>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</si>
  <si>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</si>
  <si>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</si>
  <si>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</si>
  <si>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</si>
  <si>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</si>
  <si>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</si>
  <si>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</si>
  <si>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</si>
  <si>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</si>
  <si>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</si>
  <si>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</si>
  <si>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</si>
  <si>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</si>
  <si>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</si>
  <si>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</si>
  <si>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</si>
  <si>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</si>
  <si>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</si>
  <si>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</si>
  <si>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</si>
  <si>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</si>
  <si>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</si>
  <si>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</si>
  <si>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</si>
  <si>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</si>
  <si>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</si>
  <si>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</si>
  <si>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</si>
  <si>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</si>
  <si>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</si>
  <si>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</si>
  <si>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</si>
  <si>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</si>
  <si>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</si>
  <si>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</si>
  <si>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</si>
  <si>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</si>
  <si>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</si>
  <si>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</si>
  <si>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</si>
  <si>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</si>
  <si>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</si>
  <si>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</si>
  <si>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</si>
  <si>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</si>
  <si>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</si>
  <si>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</si>
  <si>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</si>
  <si>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</si>
  <si>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</si>
  <si>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</si>
  <si>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</si>
  <si>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</si>
  <si>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</si>
  <si>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</si>
  <si>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</si>
  <si>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</si>
  <si>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</si>
  <si>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</si>
  <si>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</si>
  <si>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</si>
  <si>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</si>
  <si>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</si>
  <si>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</si>
  <si>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</si>
  <si>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</si>
  <si>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</si>
  <si>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</si>
  <si>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</si>
  <si>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</si>
  <si>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</si>
  <si>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</si>
  <si>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</si>
  <si>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</si>
  <si>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</si>
  <si>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</si>
  <si>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</si>
  <si>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</si>
  <si>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</si>
  <si>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</si>
  <si>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</si>
  <si>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</si>
  <si>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</si>
  <si>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</si>
  <si>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</si>
  <si>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</si>
  <si>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</si>
  <si>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</si>
  <si>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</si>
  <si>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</si>
  <si>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</si>
  <si>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</si>
  <si>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</si>
  <si>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</si>
  <si>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</si>
  <si>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</si>
  <si>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</si>
  <si>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</si>
  <si>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</si>
  <si>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</si>
  <si>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</si>
  <si>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</si>
  <si>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</si>
  <si>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</si>
  <si>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</si>
  <si>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</si>
  <si>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</si>
  <si>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</si>
  <si>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</si>
  <si>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</si>
  <si>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</si>
  <si>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</si>
  <si>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</si>
  <si>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</si>
  <si>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</si>
  <si>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</si>
  <si>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</si>
  <si>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</si>
  <si>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</si>
  <si>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</si>
  <si>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</si>
  <si>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</si>
  <si>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</si>
  <si>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</si>
  <si>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</si>
  <si>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</si>
  <si>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</si>
  <si>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</si>
  <si>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</si>
  <si>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</si>
  <si>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</si>
  <si>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</si>
  <si>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</si>
  <si>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</si>
  <si>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</si>
  <si>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</si>
  <si>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</si>
  <si>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</si>
  <si>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</si>
  <si>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</si>
  <si>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</si>
  <si>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</si>
  <si>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</si>
  <si>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</si>
  <si>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</si>
  <si>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</si>
  <si>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</si>
  <si>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</si>
  <si>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</si>
  <si>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</si>
  <si>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</si>
  <si>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</si>
  <si>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</si>
  <si>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</si>
  <si>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</si>
  <si>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</si>
  <si>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</si>
  <si>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</si>
  <si>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</si>
  <si>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</si>
  <si>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</si>
  <si>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</si>
  <si>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</si>
  <si>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</si>
  <si>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</si>
  <si>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</si>
  <si>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</si>
  <si>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</si>
  <si>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</si>
  <si>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</si>
  <si>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</si>
  <si>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</si>
  <si>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</si>
  <si>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</si>
  <si>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</si>
  <si>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</si>
  <si>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</si>
  <si>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</si>
  <si>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</si>
  <si>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</si>
  <si>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</si>
  <si>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</si>
  <si>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</si>
  <si>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</si>
  <si>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</si>
  <si>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</si>
  <si>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</si>
  <si>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</si>
  <si>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</si>
  <si>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</si>
  <si>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</si>
  <si>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</si>
  <si>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</si>
  <si>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Hk No</t>
  </si>
  <si>
    <t>Metraj Sayfası</t>
  </si>
  <si>
    <t>Alanı</t>
  </si>
  <si>
    <t>Eni</t>
  </si>
  <si>
    <t>Boyu</t>
  </si>
  <si>
    <t>Yüksekliği</t>
  </si>
  <si>
    <t>KM2</t>
  </si>
  <si>
    <t>KM1</t>
  </si>
  <si>
    <t>Benzer</t>
  </si>
  <si>
    <t>Tutanak Özel No</t>
  </si>
  <si>
    <t>Tutanak Genel No</t>
  </si>
  <si>
    <t>Yeri</t>
  </si>
  <si>
    <t>Üst Yarı</t>
  </si>
  <si>
    <t>Proje No</t>
  </si>
  <si>
    <t>Birim Ağırlık</t>
  </si>
  <si>
    <t>Ayna Kesit Tipi</t>
  </si>
  <si>
    <t>Kalınlık</t>
  </si>
  <si>
    <t>6 Nolu İksa Tipi Ayna</t>
  </si>
  <si>
    <t>Ayna Kırımları</t>
  </si>
  <si>
    <t>Kontak Enj. Kesintisi</t>
  </si>
  <si>
    <t>P1 - 1 Nolu Tip İksa</t>
  </si>
  <si>
    <t>P1 - 2 Nolu Tip İksa</t>
  </si>
  <si>
    <t>P1 - 3 Nolu Tip İksa</t>
  </si>
  <si>
    <t>P1 - 4 Nolu Tip İksa</t>
  </si>
  <si>
    <t>P1 - 5 Nolu Tip İksa</t>
  </si>
  <si>
    <t>P1 - 6 Nolu Tip İksa</t>
  </si>
  <si>
    <t>6 Nolu İksa Tipi Ayna
(KHU-KOZ1-L00-P1T-000-TGN-DEX-TR-U-104-0)</t>
  </si>
  <si>
    <t>Hasır Tipi</t>
  </si>
  <si>
    <t>Ayna Çelik Hasırları</t>
  </si>
  <si>
    <t>Tam Kesit Aynaya Alan Oranı</t>
  </si>
  <si>
    <t>İksa Adeti</t>
  </si>
  <si>
    <t>(KHU-KOZ1-L00-P1T-000-TGN-DEX-TR-U-104-0)</t>
  </si>
  <si>
    <t>Adeti</t>
  </si>
  <si>
    <t>Pah Bölgesi Z Donatıları</t>
  </si>
  <si>
    <t>Ø14  İşban Demiri (B2 Pozu)</t>
  </si>
  <si>
    <t>Ø12 L Donatı (B1 Pozu)</t>
  </si>
  <si>
    <t>Raylı Sistem Dairesi Başkanlığı Avrupa Yakası Raylı Sistem Şube Müdürlüğü</t>
  </si>
  <si>
    <t>Ağırlık (kg)</t>
  </si>
  <si>
    <t>Dönem</t>
  </si>
  <si>
    <t>0525</t>
  </si>
  <si>
    <t>0625</t>
  </si>
  <si>
    <t>Proje Ağırlığı/ Birim Ağırlık (kg)</t>
  </si>
  <si>
    <t>0725</t>
  </si>
  <si>
    <t>0825</t>
  </si>
  <si>
    <t>0925</t>
  </si>
  <si>
    <t>1025</t>
  </si>
  <si>
    <t>1125</t>
  </si>
  <si>
    <t>1225</t>
  </si>
  <si>
    <t>0126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</si>
  <si>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</si>
  <si>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</si>
  <si>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</si>
  <si>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</si>
  <si>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</si>
  <si>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</si>
  <si>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</si>
  <si>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</si>
  <si>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</si>
  <si>
    <t>1126</t>
  </si>
  <si>
    <t>1226</t>
  </si>
  <si>
    <t>2025.07-001</t>
  </si>
  <si>
    <t>S06.H1.HY.P1.A1.001</t>
  </si>
  <si>
    <t>1+363,88 KM Pah donatısı</t>
  </si>
  <si>
    <t>1+368,38 KM Pah donatısı</t>
  </si>
  <si>
    <t>2025.08-001</t>
  </si>
  <si>
    <t>S06.H1.HY.P1.A1.002</t>
  </si>
  <si>
    <t>1+372,88 KM Pah donatısı</t>
  </si>
  <si>
    <t>1+377,38 KM Pah donatısı</t>
  </si>
  <si>
    <t>1+381,88 KM Pah donatısı</t>
  </si>
  <si>
    <t>1+386,38 KM Pah donatısı</t>
  </si>
  <si>
    <t>2025.09-001</t>
  </si>
  <si>
    <t>S06.H1.HY.P1.A1.003</t>
  </si>
  <si>
    <t>1+390,88 KM Pah donatısı</t>
  </si>
  <si>
    <t>1+395,38 KM Pah donatısı</t>
  </si>
  <si>
    <t>1+399,88 KM Pah donatısı</t>
  </si>
  <si>
    <t>Q589/589</t>
  </si>
  <si>
    <t>ÖNCEKİ HAKEDİŞ MİKTARI</t>
  </si>
  <si>
    <t>BU HAKEDİŞ MİKTARI</t>
  </si>
  <si>
    <t>TOPLAM HAKEDİŞ MİKTARI</t>
  </si>
  <si>
    <t>Barbaros İstasyonu Hat - 2 Kirazlı Yönü P1 Tüneli 4.Aşama</t>
  </si>
  <si>
    <t>2026.01-015</t>
  </si>
  <si>
    <t>S06.H2.KY.P1.A4.001</t>
  </si>
  <si>
    <t>2026.02-004</t>
  </si>
  <si>
    <t>S06.H2.KY.P1.A4.002</t>
  </si>
  <si>
    <t>2026.03-008</t>
  </si>
  <si>
    <t>S06.H2.KY.P1.A4.003</t>
  </si>
  <si>
    <t>Kontak Enjeksiyon</t>
  </si>
  <si>
    <t>Önceki Hakediş</t>
  </si>
  <si>
    <t>Bu Hakediş Tutarı</t>
  </si>
  <si>
    <t>Kümülatif Hakediş</t>
  </si>
  <si>
    <t>Ayna Emniyet Shotcrete</t>
  </si>
  <si>
    <t>4.Aşama İmalatları</t>
  </si>
  <si>
    <t/>
  </si>
  <si>
    <t>0</t>
  </si>
  <si>
    <t>2026.04-008</t>
  </si>
  <si>
    <t>S06.H2.KY.P1.A4.004</t>
  </si>
  <si>
    <t>Ortalama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</si>
</sst>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HAKEDİŞ NO: &quot;#"/>
    <numFmt numFmtId="165" formatCode="mm/yyyy"/>
    <numFmt numFmtId="166" formatCode="00\+000.00"/>
    <numFmt numFmtId="167" formatCode="0.000"/>
    <numFmt numFmtId="168" formatCode="_-* #,##0.000_-;\-* #,##0.000_-;_-* &quot;-&quot;??_-;_-@_-"/>
    <numFmt numFmtId="169" formatCode="#\ &quot;cm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23"/>
      <color theme="1"/>
      <name val="Calibri"/>
      <family val="2"/>
      <charset val="162"/>
      <scheme val="minor"/>
    </font>
    <font>
      <sz val="23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0"/>
    <xf numFmtId="43" fontId="2" fillId="0" borderId="0" applyFont="0" applyFill="0" applyBorder="0" applyAlignment="0" applyProtection="0"/>
  </cellStyleXfs>
  <cellXfs count="181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3" fillId="0" borderId="0" xfId="0" applyFont="1"/>
    <xf numFmtId="0" fontId="9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left" vertical="center"/>
    </xf>
    <xf numFmtId="9" fontId="0" fillId="0" borderId="3" xfId="2" applyFont="1" applyBorder="1" applyAlignment="1">
      <alignment horizontal="center" vertical="center"/>
    </xf>
    <xf numFmtId="43" fontId="0" fillId="0" borderId="4" xfId="1" applyFont="1" applyBorder="1" applyAlignment="1">
      <alignment vertical="center"/>
    </xf>
    <xf numFmtId="165" fontId="0" fillId="0" borderId="2" xfId="0" applyNumberFormat="1" applyBorder="1" applyAlignment="1">
      <alignment horizontal="left" vertical="center"/>
    </xf>
    <xf numFmtId="0" fontId="3" fillId="2" borderId="5" xfId="0" quotePrefix="1" applyFont="1" applyFill="1" applyBorder="1" applyAlignment="1">
      <alignment horizontal="centerContinuous" vertical="center"/>
    </xf>
    <xf numFmtId="165" fontId="0" fillId="0" borderId="6" xfId="0" applyNumberFormat="1" applyBorder="1" applyAlignment="1">
      <alignment horizontal="center" vertical="center"/>
    </xf>
    <xf numFmtId="0" fontId="0" fillId="0" borderId="6" xfId="0" quotePrefix="1" applyBorder="1" applyAlignment="1">
      <alignment horizontal="centerContinuous" vertical="center"/>
    </xf>
    <xf numFmtId="16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3" fontId="0" fillId="0" borderId="6" xfId="1" applyFont="1" applyBorder="1" applyAlignment="1">
      <alignment horizontal="left" vertical="center"/>
    </xf>
    <xf numFmtId="169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Continuous" vertical="center"/>
    </xf>
    <xf numFmtId="168" fontId="0" fillId="3" borderId="1" xfId="0" applyNumberFormat="1" applyFill="1" applyBorder="1" applyAlignment="1">
      <alignment vertical="center"/>
    </xf>
    <xf numFmtId="167" fontId="0" fillId="0" borderId="6" xfId="2" applyNumberFormat="1" applyFont="1" applyBorder="1" applyAlignment="1">
      <alignment horizontal="right" vertical="center" indent="1"/>
    </xf>
    <xf numFmtId="168" fontId="0" fillId="0" borderId="6" xfId="1" applyNumberFormat="1" applyFont="1" applyBorder="1" applyAlignment="1">
      <alignment vertical="center"/>
    </xf>
    <xf numFmtId="0" fontId="3" fillId="2" borderId="5" xfId="0" applyFont="1" applyFill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43" fontId="0" fillId="0" borderId="12" xfId="1" applyFont="1" applyBorder="1" applyAlignment="1">
      <alignment horizontal="centerContinuous" vertical="center"/>
    </xf>
    <xf numFmtId="43" fontId="0" fillId="0" borderId="13" xfId="1" applyFont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Continuous" vertical="center" wrapText="1"/>
    </xf>
    <xf numFmtId="167" fontId="0" fillId="0" borderId="6" xfId="2" applyNumberFormat="1" applyFont="1" applyFill="1" applyBorder="1" applyAlignment="1">
      <alignment horizontal="right" vertical="center" indent="1"/>
    </xf>
    <xf numFmtId="168" fontId="0" fillId="0" borderId="1" xfId="1" applyNumberFormat="1" applyFont="1" applyBorder="1" applyAlignment="1">
      <alignment vertical="center"/>
    </xf>
    <xf numFmtId="9" fontId="0" fillId="0" borderId="6" xfId="2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68" fontId="0" fillId="0" borderId="6" xfId="1" applyNumberFormat="1" applyFont="1" applyBorder="1" applyAlignment="1">
      <alignment horizontal="centerContinuous" vertical="center"/>
    </xf>
    <xf numFmtId="167" fontId="0" fillId="0" borderId="13" xfId="2" applyNumberFormat="1" applyFont="1" applyBorder="1" applyAlignment="1">
      <alignment horizontal="right" vertical="center" indent="1"/>
    </xf>
    <xf numFmtId="165" fontId="0" fillId="0" borderId="6" xfId="0" applyNumberFormat="1" applyBorder="1" applyAlignment="1">
      <alignment horizontal="centerContinuous" vertical="center" wrapText="1"/>
    </xf>
    <xf numFmtId="0" fontId="0" fillId="0" borderId="6" xfId="0" quotePrefix="1" applyBorder="1" applyAlignment="1">
      <alignment horizontal="centerContinuous" vertical="center" wrapText="1"/>
    </xf>
    <xf numFmtId="165" fontId="0" fillId="0" borderId="3" xfId="0" applyNumberFormat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43" fontId="0" fillId="0" borderId="1" xfId="1" applyFont="1" applyBorder="1" applyAlignment="1">
      <alignment vertical="center"/>
    </xf>
    <xf numFmtId="43" fontId="0" fillId="0" borderId="0" xfId="1" applyFont="1" applyAlignment="1">
      <alignment vertical="center"/>
    </xf>
    <xf numFmtId="0" fontId="0" fillId="0" borderId="11" xfId="0" applyBorder="1" applyAlignment="1">
      <alignment horizontal="left" vertical="center"/>
    </xf>
    <xf numFmtId="43" fontId="0" fillId="0" borderId="13" xfId="1" applyFont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43" fontId="0" fillId="0" borderId="13" xfId="1" applyFont="1" applyFill="1" applyBorder="1" applyAlignment="1">
      <alignment horizontal="center" vertical="center"/>
    </xf>
    <xf numFmtId="168" fontId="0" fillId="0" borderId="6" xfId="1" applyNumberFormat="1" applyFont="1" applyFill="1" applyBorder="1" applyAlignment="1">
      <alignment vertical="center"/>
    </xf>
    <xf numFmtId="2" fontId="0" fillId="0" borderId="0" xfId="0" applyNumberFormat="1" applyAlignment="1">
      <alignment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5" xfId="0" quotePrefix="1" applyFont="1" applyFill="1" applyBorder="1" applyAlignment="1">
      <alignment horizontal="centerContinuous" vertical="center"/>
    </xf>
    <xf numFmtId="0" fontId="3" fillId="2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0" fontId="0" fillId="0" borderId="16" xfId="0" quotePrefix="1" applyBorder="1" applyAlignment="1">
      <alignment horizontal="centerContinuous" vertical="center"/>
    </xf>
    <xf numFmtId="168" fontId="0" fillId="0" borderId="16" xfId="1" applyNumberFormat="1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0" fillId="0" borderId="5" xfId="0" quotePrefix="1" applyBorder="1" applyAlignment="1">
      <alignment horizontal="centerContinuous" vertical="center"/>
    </xf>
    <xf numFmtId="166" fontId="0" fillId="0" borderId="5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left" vertical="center"/>
    </xf>
    <xf numFmtId="0" fontId="0" fillId="0" borderId="9" xfId="0" applyBorder="1" applyAlignment="1">
      <alignment vertical="center"/>
    </xf>
    <xf numFmtId="167" fontId="0" fillId="0" borderId="5" xfId="2" applyNumberFormat="1" applyFont="1" applyBorder="1" applyAlignment="1">
      <alignment horizontal="right" vertical="center" indent="1"/>
    </xf>
    <xf numFmtId="168" fontId="0" fillId="0" borderId="5" xfId="1" applyNumberFormat="1" applyFont="1" applyBorder="1" applyAlignment="1">
      <alignment vertical="center"/>
    </xf>
    <xf numFmtId="0" fontId="0" fillId="0" borderId="7" xfId="0" applyBorder="1" applyAlignment="1">
      <alignment horizontal="centerContinuous" vertical="center"/>
    </xf>
    <xf numFmtId="43" fontId="0" fillId="0" borderId="9" xfId="1" applyFont="1" applyBorder="1" applyAlignment="1">
      <alignment horizontal="centerContinuous" vertical="center"/>
    </xf>
    <xf numFmtId="0" fontId="0" fillId="0" borderId="19" xfId="0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0" fontId="0" fillId="0" borderId="19" xfId="0" quotePrefix="1" applyBorder="1" applyAlignment="1">
      <alignment horizontal="centerContinuous" vertical="center"/>
    </xf>
    <xf numFmtId="166" fontId="0" fillId="0" borderId="19" xfId="0" applyNumberFormat="1" applyBorder="1" applyAlignment="1">
      <alignment horizontal="center" vertical="center"/>
    </xf>
    <xf numFmtId="0" fontId="0" fillId="0" borderId="10" xfId="0" applyBorder="1" applyAlignment="1">
      <alignment horizontal="centerContinuous" vertical="center"/>
    </xf>
    <xf numFmtId="43" fontId="0" fillId="0" borderId="20" xfId="1" applyFont="1" applyBorder="1" applyAlignment="1">
      <alignment horizontal="centerContinuous" vertical="center"/>
    </xf>
    <xf numFmtId="167" fontId="0" fillId="0" borderId="19" xfId="2" applyNumberFormat="1" applyFont="1" applyBorder="1" applyAlignment="1">
      <alignment horizontal="right" vertical="center" indent="1"/>
    </xf>
    <xf numFmtId="168" fontId="0" fillId="0" borderId="19" xfId="1" applyNumberFormat="1" applyFont="1" applyBorder="1" applyAlignment="1">
      <alignment vertical="center"/>
    </xf>
    <xf numFmtId="166" fontId="0" fillId="2" borderId="15" xfId="0" applyNumberFormat="1" applyFill="1" applyBorder="1" applyAlignment="1">
      <alignment horizontal="centerContinuous" vertical="center"/>
    </xf>
    <xf numFmtId="166" fontId="0" fillId="0" borderId="16" xfId="0" applyNumberFormat="1" applyBorder="1" applyAlignment="1">
      <alignment horizontal="centerContinuous" vertical="center"/>
    </xf>
    <xf numFmtId="166" fontId="0" fillId="0" borderId="19" xfId="0" applyNumberFormat="1" applyBorder="1" applyAlignment="1">
      <alignment horizontal="centerContinuous" vertical="center"/>
    </xf>
    <xf numFmtId="169" fontId="0" fillId="0" borderId="19" xfId="0" applyNumberFormat="1" applyBorder="1" applyAlignment="1">
      <alignment horizontal="center" vertical="center"/>
    </xf>
    <xf numFmtId="43" fontId="0" fillId="0" borderId="19" xfId="1" applyFont="1" applyBorder="1" applyAlignment="1">
      <alignment horizontal="left" vertical="center"/>
    </xf>
    <xf numFmtId="9" fontId="0" fillId="0" borderId="5" xfId="2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Continuous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43" fontId="0" fillId="0" borderId="24" xfId="1" applyFont="1" applyBorder="1" applyAlignment="1">
      <alignment horizontal="left" vertical="center"/>
    </xf>
    <xf numFmtId="167" fontId="0" fillId="0" borderId="18" xfId="2" applyNumberFormat="1" applyFont="1" applyBorder="1" applyAlignment="1">
      <alignment horizontal="right" vertical="center" indent="1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Continuous" vertical="center"/>
    </xf>
    <xf numFmtId="166" fontId="0" fillId="0" borderId="1" xfId="0" applyNumberFormat="1" applyBorder="1" applyAlignment="1">
      <alignment horizontal="centerContinuous" vertical="center"/>
    </xf>
    <xf numFmtId="0" fontId="0" fillId="0" borderId="2" xfId="0" applyBorder="1" applyAlignment="1">
      <alignment horizontal="center" vertical="center"/>
    </xf>
    <xf numFmtId="167" fontId="0" fillId="0" borderId="4" xfId="2" applyNumberFormat="1" applyFont="1" applyBorder="1" applyAlignment="1">
      <alignment horizontal="right" vertical="center" indent="1"/>
    </xf>
    <xf numFmtId="0" fontId="3" fillId="2" borderId="21" xfId="0" applyFont="1" applyFill="1" applyBorder="1" applyAlignment="1">
      <alignment horizontal="centerContinuous" vertical="center"/>
    </xf>
    <xf numFmtId="0" fontId="3" fillId="2" borderId="22" xfId="0" applyFont="1" applyFill="1" applyBorder="1" applyAlignment="1">
      <alignment horizontal="centerContinuous" vertical="center" wrapText="1"/>
    </xf>
    <xf numFmtId="0" fontId="3" fillId="2" borderId="23" xfId="0" applyFont="1" applyFill="1" applyBorder="1" applyAlignment="1">
      <alignment horizontal="centerContinuous" vertical="center"/>
    </xf>
    <xf numFmtId="43" fontId="0" fillId="0" borderId="8" xfId="1" applyFont="1" applyBorder="1" applyAlignment="1">
      <alignment horizontal="centerContinuous" vertical="center"/>
    </xf>
    <xf numFmtId="167" fontId="2" fillId="0" borderId="22" xfId="1" applyNumberFormat="1" applyFont="1" applyFill="1" applyBorder="1" applyAlignment="1">
      <alignment horizontal="center" vertical="center"/>
    </xf>
    <xf numFmtId="43" fontId="0" fillId="0" borderId="14" xfId="1" applyFont="1" applyBorder="1" applyAlignment="1">
      <alignment horizontal="centerContinuous" vertical="center"/>
    </xf>
    <xf numFmtId="167" fontId="2" fillId="0" borderId="25" xfId="1" applyNumberFormat="1" applyFont="1" applyFill="1" applyBorder="1" applyAlignment="1">
      <alignment horizontal="center" vertical="center"/>
    </xf>
    <xf numFmtId="167" fontId="0" fillId="0" borderId="1" xfId="2" applyNumberFormat="1" applyFont="1" applyBorder="1" applyAlignment="1">
      <alignment horizontal="right" vertical="center" indent="1"/>
    </xf>
    <xf numFmtId="166" fontId="0" fillId="0" borderId="1" xfId="0" applyNumberFormat="1" applyBorder="1" applyAlignment="1">
      <alignment horizontal="center" vertical="center"/>
    </xf>
    <xf numFmtId="43" fontId="0" fillId="0" borderId="3" xfId="4" applyFont="1" applyBorder="1" applyAlignment="1">
      <alignment horizontal="centerContinuous" vertical="center"/>
    </xf>
    <xf numFmtId="43" fontId="0" fillId="0" borderId="4" xfId="4" applyFont="1" applyBorder="1" applyAlignment="1">
      <alignment horizontal="left" vertical="center"/>
    </xf>
    <xf numFmtId="167" fontId="0" fillId="0" borderId="19" xfId="2" applyNumberFormat="1" applyFont="1" applyFill="1" applyBorder="1" applyAlignment="1">
      <alignment horizontal="right" vertical="center" indent="1"/>
    </xf>
    <xf numFmtId="0" fontId="3" fillId="2" borderId="3" xfId="0" applyFont="1" applyFill="1" applyBorder="1" applyAlignment="1">
      <alignment horizontal="center" vertical="center" wrapText="1"/>
    </xf>
    <xf numFmtId="168" fontId="0" fillId="0" borderId="1" xfId="0" applyNumberFormat="1" applyBorder="1" applyAlignment="1">
      <alignment horizontal="left" vertical="center"/>
    </xf>
    <xf numFmtId="9" fontId="0" fillId="0" borderId="19" xfId="2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168" fontId="0" fillId="0" borderId="19" xfId="1" applyNumberFormat="1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quotePrefix="1" applyBorder="1" applyAlignment="1">
      <alignment horizontal="center" vertical="center" wrapText="1"/>
    </xf>
    <xf numFmtId="0" fontId="0" fillId="0" borderId="12" xfId="0" quotePrefix="1" applyBorder="1" applyAlignment="1">
      <alignment horizontal="center" vertical="center" wrapText="1"/>
    </xf>
    <xf numFmtId="0" fontId="0" fillId="0" borderId="13" xfId="0" quotePrefix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5">
    <cellStyle name="Normal" xfId="0" builtinId="0"/>
    <cellStyle name="Normal 4 2" xfId="3" xr:uid="{9DA131D5-0736-4725-89B4-B50184B43297}"/>
    <cellStyle name="Virgül" xfId="1" builtinId="3"/>
    <cellStyle name="Virgül 2" xfId="4" xr:uid="{1FCC145A-F961-4CA5-BEBA-F5A04E425F82}"/>
    <cellStyle name="Yüzde" xfId="2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46;rnek.xlsx" TargetMode="External"/><Relationship Id="rId2" Type="http://schemas.openxmlformats.org/officeDocument/2006/relationships/externalLinkPath" Target="file:///C:\Users\rbasak\Desktop\&#246;rnek.xlsx" TargetMode="External"/><Relationship Id="rId1" Type="http://schemas.openxmlformats.org/officeDocument/2006/relationships/externalLinkPath" Target="/Users/rbasak/Desktop/&#246;rnek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8.xlsx" TargetMode="External"/><Relationship Id="rId2" Type="http://schemas.openxmlformats.org/officeDocument/2006/relationships/externalLinkPath" Target="file:///C:\Users\rbasak\Desktop\28.xlsx" TargetMode="External"/><Relationship Id="rId1" Type="http://schemas.openxmlformats.org/officeDocument/2006/relationships/externalLinkPath" Target="/Users/rbasak/Desktop/28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___KHU_Hakedi&#351;_06.xlsx" TargetMode="External"/><Relationship Id="rId2" Type="http://schemas.openxmlformats.org/officeDocument/2006/relationships/externalLinkPath" Target="file:///C:\Users\rbasak\Desktop\Hk06\___KHU_Hakedi&#351;_06.xlsx" TargetMode="External"/><Relationship Id="rId1" Type="http://schemas.openxmlformats.org/officeDocument/2006/relationships/externalLinkPath" Target="/Users/rbasak/Desktop/Hk06/___KHU_Hakedi&#351;_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/>
      <sheetData sheetId="2"/>
      <sheetData sheetId="3"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  <cell r="F2">
            <v>500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  <cell r="F3">
            <v>4063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  <cell r="F4">
            <v>2000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  <cell r="F5">
            <v>10500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  <cell r="F6">
            <v>1485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  <cell r="F7">
            <v>300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  <cell r="F8">
            <v>1500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  <cell r="F9">
            <v>17500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  <cell r="F10">
            <v>1050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  <cell r="F11">
            <v>1200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  <cell r="F12">
            <v>2475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  <cell r="F13">
            <v>3900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  <cell r="F14">
            <v>4125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  <cell r="F15">
            <v>5850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  <cell r="F16">
            <v>3140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  <cell r="F17">
            <v>3504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  <cell r="F18">
            <v>6114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  <cell r="F19">
            <v>75316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  <cell r="F20">
            <v>87125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  <cell r="F21">
            <v>5196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  <cell r="F22">
            <v>1535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  <cell r="F23">
            <v>1462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  <cell r="F24">
            <v>2094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  <cell r="F25">
            <v>37481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  <cell r="F26">
            <v>43633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  <cell r="F27">
            <v>23682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  <cell r="F28">
            <v>26351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  <cell r="F29">
            <v>36167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  <cell r="F30">
            <v>36167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  <cell r="F31">
            <v>1125000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  <cell r="F32">
            <v>1125000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  <cell r="F33">
            <v>3000000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  <cell r="F34">
            <v>2250000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  <cell r="F35">
            <v>2400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  <cell r="F36">
            <v>2400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  <cell r="F37">
            <v>2400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  <cell r="F38">
            <v>2400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  <cell r="F39">
            <v>6167886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  <cell r="F40">
            <v>6167886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  <cell r="F41">
            <v>14017922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  <cell r="F42">
            <v>14017922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  <cell r="F43">
            <v>6167886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  <cell r="F44">
            <v>15419714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  <cell r="F45">
            <v>4205377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  <cell r="F46">
            <v>4205377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  <cell r="F47">
            <v>5326810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  <cell r="F48">
            <v>5326810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  <cell r="F49">
            <v>4205377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  <cell r="F50">
            <v>5075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  <cell r="F51">
            <v>600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  <cell r="F52">
            <v>1500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  <cell r="F53">
            <v>15334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  <cell r="F54">
            <v>248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  <cell r="F55">
            <v>371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  <cell r="F56">
            <v>2250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  <cell r="F57">
            <v>8000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  <cell r="F58">
            <v>8288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  <cell r="F59">
            <v>12000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  <cell r="F60">
            <v>28000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  <cell r="F61">
            <v>375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  <cell r="F62">
            <v>388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  <cell r="F63">
            <v>102000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  <cell r="F64">
            <v>3400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  <cell r="F65">
            <v>510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  <cell r="F66">
            <v>1200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  <cell r="F67">
            <v>2160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  <cell r="F68">
            <v>4150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  <cell r="F69">
            <v>1500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  <cell r="F70">
            <v>500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  <cell r="F71">
            <v>6030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  <cell r="F72">
            <v>10355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  <cell r="F73">
            <v>10355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  <cell r="F74">
            <v>10355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  <cell r="F75">
            <v>46250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  <cell r="F76">
            <v>92500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  <cell r="F77">
            <v>97333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  <cell r="F78">
            <v>150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  <cell r="F79">
            <v>180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  <cell r="F80">
            <v>340200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  <cell r="F81">
            <v>3750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  <cell r="F82">
            <v>108000000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  <cell r="F83">
            <v>42000000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  <cell r="F84">
            <v>1040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  <cell r="F85">
            <v>988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  <cell r="F86">
            <v>4072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  <cell r="F87">
            <v>1849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  <cell r="F88">
            <v>1849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  <cell r="F89">
            <v>1849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  <cell r="F90">
            <v>3999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  <cell r="F91">
            <v>3999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  <cell r="F92">
            <v>3999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  <cell r="F93">
            <v>3999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  <cell r="F94">
            <v>3924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  <cell r="F95">
            <v>4295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  <cell r="F96">
            <v>4295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  <cell r="F97">
            <v>3924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  <cell r="F98">
            <v>4295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  <cell r="F99">
            <v>4295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  <cell r="F100">
            <v>3952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  <cell r="F101">
            <v>5743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  <cell r="F102">
            <v>910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  <cell r="F103">
            <v>1625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  <cell r="F104">
            <v>1121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  <cell r="F105">
            <v>2600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  <cell r="F106">
            <v>2275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  <cell r="F107">
            <v>2275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  <cell r="F108">
            <v>2925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  <cell r="F109">
            <v>1560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  <cell r="F110">
            <v>2600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  <cell r="F111">
            <v>1300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  <cell r="F112">
            <v>1235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  <cell r="F113">
            <v>1235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  <cell r="F114">
            <v>4680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  <cell r="F115">
            <v>6175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  <cell r="F116">
            <v>6175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  <cell r="F117">
            <v>6175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  <cell r="F118">
            <v>3900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  <cell r="F119">
            <v>8775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  <cell r="F120">
            <v>8775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  <cell r="F121">
            <v>8775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  <cell r="F122">
            <v>4185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  <cell r="F123">
            <v>4425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  <cell r="F124">
            <v>4425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  <cell r="F125">
            <v>8215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  <cell r="F126">
            <v>8599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  <cell r="F127">
            <v>8599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  <cell r="F128">
            <v>2311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  <cell r="F129">
            <v>2311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  <cell r="F130">
            <v>3120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  <cell r="F131">
            <v>3640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  <cell r="F132">
            <v>2746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  <cell r="F133">
            <v>3081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  <cell r="F134">
            <v>936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  <cell r="F135">
            <v>1014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  <cell r="F136">
            <v>286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  <cell r="F137">
            <v>11050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  <cell r="F138">
            <v>9750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  <cell r="F139">
            <v>10400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  <cell r="F140">
            <v>7150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  <cell r="F141">
            <v>17550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  <cell r="F142">
            <v>7800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  <cell r="F143">
            <v>13000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  <cell r="F144">
            <v>5525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  <cell r="F145">
            <v>9490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  <cell r="F146">
            <v>40950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  <cell r="F147">
            <v>32500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  <cell r="F148">
            <v>5590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  <cell r="F149">
            <v>2860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  <cell r="F150">
            <v>5460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  <cell r="F151">
            <v>5460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  <cell r="F152">
            <v>46800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  <cell r="F153">
            <v>42900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  <cell r="F154">
            <v>36400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  <cell r="F155">
            <v>31200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  <cell r="F156">
            <v>35100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  <cell r="F157">
            <v>31200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  <cell r="F158">
            <v>27300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  <cell r="F159">
            <v>24700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  <cell r="F160">
            <v>13000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  <cell r="F161">
            <v>11700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  <cell r="F162">
            <v>11700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  <cell r="F163">
            <v>28600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  <cell r="F164">
            <v>13000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  <cell r="F165">
            <v>1235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  <cell r="F166">
            <v>5850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  <cell r="F167">
            <v>975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  <cell r="F168">
            <v>8450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  <cell r="F169">
            <v>5850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  <cell r="F170">
            <v>9750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  <cell r="F171">
            <v>9750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  <cell r="F172">
            <v>7800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  <cell r="F173">
            <v>26000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  <cell r="F174">
            <v>26000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  <cell r="F175">
            <v>26000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  <cell r="F176">
            <v>32500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  <cell r="F177">
            <v>32500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  <cell r="F178">
            <v>21645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  <cell r="F179">
            <v>5850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  <cell r="F180">
            <v>260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  <cell r="F181">
            <v>156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  <cell r="F182">
            <v>585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  <cell r="F183">
            <v>156000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  <cell r="F184">
            <v>227500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  <cell r="F185">
            <v>292500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  <cell r="F186">
            <v>11275750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  <cell r="F187">
            <v>22517035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  <cell r="F188">
            <v>15921572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  <cell r="F189">
            <v>15921572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  <cell r="F190">
            <v>15921572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  <cell r="F191">
            <v>25772110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  <cell r="F192">
            <v>8305760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  <cell r="F193">
            <v>8305760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  <cell r="F194">
            <v>8305760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  <cell r="F195">
            <v>8305760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  <cell r="F196">
            <v>8305760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  <cell r="F197">
            <v>12296950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  <cell r="F198">
            <v>12296950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  <cell r="F199">
            <v>12296950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  <cell r="F200">
            <v>12296950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  <cell r="F201">
            <v>12296950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  <cell r="F202">
            <v>10347418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  <cell r="F203">
            <v>11316761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  <cell r="F204">
            <v>12286105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  <cell r="F205">
            <v>11962990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  <cell r="F206">
            <v>12286105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  <cell r="F207">
            <v>28101296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  <cell r="F208">
            <v>1415706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  <cell r="F209">
            <v>1415706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  <cell r="F210">
            <v>1415706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  <cell r="F211">
            <v>1415706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  <cell r="F212">
            <v>1415706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  <cell r="F213">
            <v>17873116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  <cell r="F214">
            <v>21676260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  <cell r="F215">
            <v>19075108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  <cell r="F216">
            <v>19075108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  <cell r="F217">
            <v>19075108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  <cell r="F218">
            <v>23121344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  <cell r="F219">
            <v>43080843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  <cell r="F220">
            <v>2427741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  <cell r="F221">
            <v>2554908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  <cell r="F222">
            <v>2630053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  <cell r="F223">
            <v>2745660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  <cell r="F224">
            <v>2861266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  <cell r="F225">
            <v>6098559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  <cell r="F226">
            <v>6098559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  <cell r="F227">
            <v>6098559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  <cell r="F228">
            <v>6098559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  <cell r="F229">
            <v>6098559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  <cell r="F230">
            <v>2604464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  <cell r="F231">
            <v>2604464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  <cell r="F232">
            <v>2604464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  <cell r="F233">
            <v>2604464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  <cell r="F234">
            <v>2604464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  <cell r="F235">
            <v>30210926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  <cell r="F236">
            <v>26408621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  <cell r="F237">
            <v>28071623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  <cell r="F238">
            <v>28062953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  <cell r="F239">
            <v>33286064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  <cell r="F240">
            <v>56812609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  <cell r="F241">
            <v>22283195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  <cell r="F242">
            <v>19971061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  <cell r="F243">
            <v>19971061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  <cell r="F244">
            <v>19971061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  <cell r="F245">
            <v>23439262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  <cell r="F246">
            <v>48019562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  <cell r="F247">
            <v>33525948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  <cell r="F248">
            <v>33525948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  <cell r="F249">
            <v>33525948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  <cell r="F250">
            <v>33525948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  <cell r="F251">
            <v>47398754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  <cell r="F252">
            <v>15780317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  <cell r="F253">
            <v>15780317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  <cell r="F254">
            <v>15780317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  <cell r="F255">
            <v>15780317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  <cell r="F256">
            <v>25144461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  <cell r="F257">
            <v>38641545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  <cell r="F258">
            <v>90828122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  <cell r="F259">
            <v>11835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  <cell r="F260">
            <v>6676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  <cell r="F261">
            <v>22543310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  <cell r="F262">
            <v>283693978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  <cell r="F263">
            <v>143604252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  <cell r="F264">
            <v>95736168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  <cell r="F265">
            <v>1668787435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  <cell r="F266">
            <v>450401959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  <cell r="F267">
            <v>99900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  <cell r="F268">
            <v>111000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  <cell r="F269">
            <v>3496500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  <cell r="F270">
            <v>14652117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  <cell r="F271">
            <v>3871125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  <cell r="F272">
            <v>2150625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  <cell r="F273">
            <v>2368000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  <cell r="F274">
            <v>2890625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  <cell r="F275">
            <v>1077625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  <cell r="F276">
            <v>1077625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  <cell r="F277">
            <v>434750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  <cell r="F278">
            <v>1077625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  <cell r="F279">
            <v>864875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  <cell r="F280">
            <v>864875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  <cell r="F281">
            <v>11119432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  <cell r="F282">
            <v>12141908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  <cell r="F283">
            <v>12780956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  <cell r="F284">
            <v>11502861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  <cell r="F285">
            <v>12141908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  <cell r="F286">
            <v>1254994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  <cell r="F287">
            <v>15222263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  <cell r="F288">
            <v>3008331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  <cell r="F289">
            <v>3008331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  <cell r="F290">
            <v>3008331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  <cell r="F291">
            <v>3008331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  <cell r="F292">
            <v>3008331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  <cell r="F293">
            <v>9226875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  <cell r="F294">
            <v>2510820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  <cell r="F295">
            <v>2741700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  <cell r="F296">
            <v>2886000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  <cell r="F297">
            <v>2597400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  <cell r="F298">
            <v>2741700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  <cell r="F299">
            <v>5295625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  <cell r="F300">
            <v>4551786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  <cell r="F301">
            <v>6679425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  <cell r="F302">
            <v>7293625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  <cell r="F303">
            <v>7677500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  <cell r="F304">
            <v>6909750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  <cell r="F305">
            <v>7293625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  <cell r="F306">
            <v>38724553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  <cell r="F307">
            <v>4556411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  <cell r="F308">
            <v>3358141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  <cell r="F309">
            <v>3666936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  <cell r="F310">
            <v>3859933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  <cell r="F311">
            <v>3473939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  <cell r="F312">
            <v>3666936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  <cell r="F313">
            <v>2070501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  <cell r="F314">
            <v>5740604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  <cell r="F315">
            <v>6268475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  <cell r="F316">
            <v>6598395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  <cell r="F317">
            <v>5938556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  <cell r="F318">
            <v>6268475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  <cell r="F319">
            <v>21648954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  <cell r="F320">
            <v>518000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  <cell r="F321">
            <v>518000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  <cell r="F322">
            <v>518000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  <cell r="F323">
            <v>518000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  <cell r="F324">
            <v>518000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  <cell r="F325">
            <v>971250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  <cell r="F326">
            <v>3586388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  <cell r="F327">
            <v>3916171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  <cell r="F328">
            <v>4122285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  <cell r="F329">
            <v>3710056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  <cell r="F330">
            <v>3916171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  <cell r="F331">
            <v>1860887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  <cell r="F332">
            <v>929625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  <cell r="F333">
            <v>929625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  <cell r="F334">
            <v>929625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  <cell r="F335">
            <v>929625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  <cell r="F336">
            <v>929625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  <cell r="F337">
            <v>1859250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  <cell r="F338">
            <v>132000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  <cell r="F339">
            <v>165000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  <cell r="F340">
            <v>22000000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  <cell r="F341">
            <v>20070000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  <cell r="F342">
            <v>8989594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  <cell r="F343">
            <v>3641429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  <cell r="F344">
            <v>6993000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  <cell r="F345">
            <v>1656379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  <cell r="F346">
            <v>10963100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  <cell r="F347">
            <v>377400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  <cell r="F348">
            <v>521700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  <cell r="F349">
            <v>9020600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  <cell r="F350">
            <v>1487400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  <cell r="F351">
            <v>5075000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  <cell r="F352">
            <v>2081250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  <cell r="F353">
            <v>2081250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  <cell r="F354">
            <v>17280388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  <cell r="F355">
            <v>17280388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  <cell r="F356">
            <v>17280388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  <cell r="F357">
            <v>17280388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  <cell r="F358">
            <v>17280388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  <cell r="F359">
            <v>30092779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  <cell r="F360">
            <v>32859931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  <cell r="F361">
            <v>34589401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  <cell r="F362">
            <v>31130461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  <cell r="F363">
            <v>32859931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  <cell r="F364">
            <v>3427125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  <cell r="F365">
            <v>3427125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  <cell r="F366">
            <v>3427125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  <cell r="F367">
            <v>3427125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  <cell r="F368">
            <v>3427125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  <cell r="F369">
            <v>2747944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  <cell r="F370">
            <v>2747944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  <cell r="F371">
            <v>2747944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  <cell r="F372">
            <v>2747944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  <cell r="F373">
            <v>2747944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  <cell r="F374">
            <v>2747944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  <cell r="F375">
            <v>5779751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  <cell r="F376">
            <v>6311222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  <cell r="F377">
            <v>6643392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  <cell r="F378">
            <v>5979052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  <cell r="F379">
            <v>6311222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  <cell r="F380">
            <v>1769063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  <cell r="F381">
            <v>23957287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  <cell r="F382">
            <v>26160256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  <cell r="F383">
            <v>27537111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  <cell r="F384">
            <v>24783400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  <cell r="F385">
            <v>26160256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  <cell r="F386">
            <v>61312053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  <cell r="F387">
            <v>7050905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  <cell r="F388">
            <v>7050905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  <cell r="F389">
            <v>7050905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  <cell r="F390">
            <v>7050905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  <cell r="F391">
            <v>7050905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  <cell r="F392">
            <v>3644778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  <cell r="F393">
            <v>3644778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  <cell r="F394">
            <v>3644778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  <cell r="F395">
            <v>3644778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  <cell r="F396">
            <v>3644778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  <cell r="F397">
            <v>1341518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  <cell r="F398">
            <v>1464876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  <cell r="F399">
            <v>1541975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  <cell r="F400">
            <v>1387778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  <cell r="F401">
            <v>1464876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  <cell r="F402">
            <v>9231212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  <cell r="F403">
            <v>11006961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  <cell r="F404">
            <v>12196079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  <cell r="F405">
            <v>9878824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  <cell r="F406">
            <v>11006961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  <cell r="F407">
            <v>7293625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  <cell r="F408">
            <v>3750000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  <cell r="F409">
            <v>5273388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  <cell r="F410">
            <v>5494500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  <cell r="F411">
            <v>6160500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  <cell r="F412">
            <v>2705625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  <cell r="F413">
            <v>3371625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  <cell r="F414">
            <v>3454875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  <cell r="F415">
            <v>3538125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  <cell r="F416">
            <v>3621375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  <cell r="F417">
            <v>3750000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  <cell r="F418">
            <v>7088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  <cell r="F419">
            <v>37178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  <cell r="F420">
            <v>4375000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  <cell r="F421">
            <v>4687500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  <cell r="F422">
            <v>6875000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  <cell r="F423">
            <v>437500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  <cell r="F424">
            <v>3125000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  <cell r="F425">
            <v>19688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  <cell r="F426">
            <v>29785000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  <cell r="F427">
            <v>119140000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  <cell r="F428">
            <v>3869750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  <cell r="F429">
            <v>69000000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  <cell r="F430">
            <v>3920576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  <cell r="F431">
            <v>17953221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  <cell r="F432">
            <v>11111515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  <cell r="F433">
            <v>19526276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  <cell r="F434">
            <v>17245708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  <cell r="F435">
            <v>17453800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  <cell r="F436">
            <v>8928056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  <cell r="F437">
            <v>6744596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  <cell r="F438">
            <v>8969674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  <cell r="F439">
            <v>8928056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  <cell r="F440">
            <v>4464028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  <cell r="F441">
            <v>4505646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  <cell r="F442">
            <v>2280569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  <cell r="F443">
            <v>20326677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  <cell r="F444">
            <v>46314363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  <cell r="F445">
            <v>46314363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  <cell r="F446">
            <v>46314363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  <cell r="F447">
            <v>46314363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  <cell r="F448">
            <v>46314363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  <cell r="F449">
            <v>46314363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  <cell r="F450">
            <v>46314363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  <cell r="F451">
            <v>19421929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  <cell r="F452">
            <v>4578026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  <cell r="F453">
            <v>2080921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  <cell r="F454">
            <v>46314363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  <cell r="F455">
            <v>19421929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  <cell r="F456">
            <v>904748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  <cell r="F457">
            <v>5127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  <cell r="F458">
            <v>5127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  <cell r="F459">
            <v>5127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  <cell r="F460">
            <v>5127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  <cell r="F461">
            <v>5127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  <cell r="F462">
            <v>5127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  <cell r="F463">
            <v>5127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  <cell r="F464">
            <v>5127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  <cell r="F465">
            <v>5127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  <cell r="F466">
            <v>5127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  <cell r="F467">
            <v>3124595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  <cell r="F468">
            <v>3124595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  <cell r="F469">
            <v>3124595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  <cell r="F470">
            <v>3124595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  <cell r="F471">
            <v>3124595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  <cell r="F472">
            <v>3124595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  <cell r="F473">
            <v>3124595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  <cell r="F474">
            <v>3124595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  <cell r="F475">
            <v>3124595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  <cell r="F476">
            <v>3124595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  <cell r="F477">
            <v>3124595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  <cell r="F478">
            <v>3124595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  <cell r="F479">
            <v>3124595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  <cell r="F480">
            <v>3124595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  <cell r="F481">
            <v>24981566.850000001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  <cell r="F482">
            <v>75000000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  <cell r="F483">
            <v>75000000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20">
          <cell r="K20">
            <v>0</v>
          </cell>
        </row>
      </sheetData>
      <sheetData sheetId="2"/>
      <sheetData sheetId="3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 Yazdırma"/>
      <sheetName val="Veri"/>
      <sheetName val="İmza Matris"/>
      <sheetName val="İmza"/>
      <sheetName val="İmza (2)"/>
      <sheetName val="İndeks"/>
      <sheetName val="İmza Yetkilileri"/>
      <sheetName val="Ön Yazı"/>
      <sheetName val="NT Ksnt Tkp (Çıktı Alınmayacak)"/>
      <sheetName val="EFF Ksnt Tkp(Çıktı Alınmayacak)"/>
      <sheetName val="İşçi Alacak"/>
      <sheetName val="İlan"/>
      <sheetName val="Kapak"/>
      <sheetName val="İcmal"/>
      <sheetName val="Teminat Mektupları"/>
      <sheetName val="Teminat Mektupları (FF)"/>
      <sheetName val="Fiyat Farkı İcmal"/>
      <sheetName val="Fiyat Farkı İcmal (2)"/>
      <sheetName val="FF 2502"/>
      <sheetName val="FF 2503"/>
      <sheetName val="FF"/>
      <sheetName val="Y.İ. KAPAK"/>
      <sheetName val="Yapılan İşler Dönemsel"/>
      <sheetName val="Yapılan İşler İcmali"/>
      <sheetName val="Yeşil Defter Kapak"/>
      <sheetName val="Y.D.KAPAK İLK"/>
      <sheetName val="Yeşil Defter Dönemsel"/>
      <sheetName val="Yeşil Defter"/>
      <sheetName val="M.Ö.KAPAK"/>
      <sheetName val="Metraj Özeti"/>
      <sheetName val="İnce Sırtlık"/>
      <sheetName val="İnce Sırtlık (2)"/>
      <sheetName val="Yapılan İşler İcmali Malazgirt"/>
      <sheetName val="Yapılan İşler İcmali Barbaros"/>
    </sheetNames>
    <sheetDataSet>
      <sheetData sheetId="0"/>
      <sheetData sheetId="1">
        <row r="21">
          <cell r="C21">
            <v>6</v>
          </cell>
        </row>
        <row r="22">
          <cell r="C22">
            <v>46142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5:J34"/>
  <sheetViews>
    <sheetView view="pageBreakPreview" zoomScale="60" zoomScaleNormal="100" workbookViewId="0">
      <selection activeCell="A24" sqref="A24:J24"/>
    </sheetView>
  </sheetViews>
  <sheetFormatPr defaultRowHeight="15" customHeight="1" x14ac:dyDescent="0.3"/>
  <cols>
    <col min="1" max="10" width="12.6640625" customWidth="1"/>
  </cols>
  <sheetData>
    <row r="5" spans="1:10" s="2" customFormat="1" ht="29.4" x14ac:dyDescent="0.55000000000000004">
      <c r="A5" s="175" t="s">
        <v>0</v>
      </c>
      <c r="B5" s="175"/>
      <c r="C5" s="175"/>
      <c r="D5" s="175"/>
      <c r="E5" s="175"/>
      <c r="F5" s="175"/>
      <c r="G5" s="175"/>
      <c r="H5" s="175"/>
      <c r="I5" s="175"/>
      <c r="J5" s="175"/>
    </row>
    <row r="6" spans="1:10" s="2" customFormat="1" ht="29.4" x14ac:dyDescent="0.55000000000000004">
      <c r="A6" s="175" t="s">
        <v>1</v>
      </c>
      <c r="B6" s="175"/>
      <c r="C6" s="175"/>
      <c r="D6" s="175"/>
      <c r="E6" s="175"/>
      <c r="F6" s="175"/>
      <c r="G6" s="175"/>
      <c r="H6" s="175"/>
      <c r="I6" s="175"/>
      <c r="J6" s="175"/>
    </row>
    <row r="7" spans="1:10" s="2" customFormat="1" ht="29.4" customHeight="1" x14ac:dyDescent="0.35">
      <c r="A7" s="174" t="s">
        <v>1017</v>
      </c>
      <c r="B7" s="174"/>
      <c r="C7" s="174"/>
      <c r="D7" s="174"/>
      <c r="E7" s="174"/>
      <c r="F7" s="174"/>
      <c r="G7" s="174"/>
      <c r="H7" s="174"/>
      <c r="I7" s="174"/>
      <c r="J7" s="174"/>
    </row>
    <row r="8" spans="1:10" s="2" customFormat="1" ht="29.4" customHeight="1" x14ac:dyDescent="0.35">
      <c r="A8" s="174"/>
      <c r="B8" s="174"/>
      <c r="C8" s="174"/>
      <c r="D8" s="174"/>
      <c r="E8" s="174"/>
      <c r="F8" s="174"/>
      <c r="G8" s="174"/>
      <c r="H8" s="174"/>
      <c r="I8" s="174"/>
      <c r="J8" s="174"/>
    </row>
    <row r="9" spans="1:10" s="2" customFormat="1" ht="29.4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s="2" customFormat="1" ht="1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" customHeight="1" x14ac:dyDescent="0.55000000000000004">
      <c r="A11" s="8"/>
      <c r="B11" s="6"/>
      <c r="C11" s="6"/>
      <c r="D11" s="6"/>
      <c r="E11" s="6"/>
      <c r="F11" s="6"/>
      <c r="G11" s="6"/>
      <c r="H11" s="6"/>
      <c r="I11" s="6"/>
      <c r="J11" s="6"/>
    </row>
    <row r="12" spans="1:10" s="2" customFormat="1" ht="40.200000000000003" customHeight="1" x14ac:dyDescent="0.35">
      <c r="A12" s="174" t="s">
        <v>2</v>
      </c>
      <c r="B12" s="174"/>
      <c r="C12" s="174"/>
      <c r="D12" s="174"/>
      <c r="E12" s="174"/>
      <c r="F12" s="174"/>
      <c r="G12" s="174"/>
      <c r="H12" s="174"/>
      <c r="I12" s="174"/>
      <c r="J12" s="174"/>
    </row>
    <row r="13" spans="1:10" s="1" customFormat="1" ht="22.95" customHeight="1" x14ac:dyDescent="0.3">
      <c r="A13" s="174"/>
      <c r="B13" s="174"/>
      <c r="C13" s="174"/>
      <c r="D13" s="174"/>
      <c r="E13" s="174"/>
      <c r="F13" s="174"/>
      <c r="G13" s="174"/>
      <c r="H13" s="174"/>
      <c r="I13" s="174"/>
      <c r="J13" s="174"/>
    </row>
    <row r="14" spans="1:10" s="1" customFormat="1" ht="22.95" customHeight="1" x14ac:dyDescent="0.5500000000000000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s="1" customFormat="1" ht="22.95" customHeight="1" x14ac:dyDescent="0.55000000000000004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s="1" customFormat="1" ht="22.95" customHeight="1" x14ac:dyDescent="0.55000000000000004">
      <c r="A16" s="7"/>
      <c r="B16" s="7"/>
      <c r="C16" s="7"/>
      <c r="D16" s="7"/>
      <c r="E16" s="7"/>
      <c r="F16" s="7"/>
      <c r="G16" s="7"/>
      <c r="H16" s="7"/>
      <c r="I16" s="7"/>
      <c r="J16" s="7"/>
    </row>
    <row r="24" spans="1:10" s="4" customFormat="1" ht="30" customHeight="1" x14ac:dyDescent="0.55000000000000004">
      <c r="A24" s="176">
        <f>+İcmal!C15</f>
        <v>6</v>
      </c>
      <c r="B24" s="176"/>
      <c r="C24" s="176"/>
      <c r="D24" s="176"/>
      <c r="E24" s="176"/>
      <c r="F24" s="176"/>
      <c r="G24" s="176"/>
      <c r="H24" s="176"/>
      <c r="I24" s="176"/>
      <c r="J24" s="176"/>
    </row>
    <row r="28" spans="1:10" ht="15" customHeight="1" x14ac:dyDescent="0.3">
      <c r="A28" s="173" t="s">
        <v>1060</v>
      </c>
      <c r="B28" s="173"/>
      <c r="C28" s="173"/>
      <c r="D28" s="173"/>
      <c r="E28" s="173"/>
      <c r="F28" s="173"/>
      <c r="G28" s="173"/>
      <c r="H28" s="173"/>
      <c r="I28" s="173"/>
      <c r="J28" s="173"/>
    </row>
    <row r="29" spans="1:10" ht="15" customHeight="1" x14ac:dyDescent="0.3">
      <c r="A29" s="173"/>
      <c r="B29" s="173"/>
      <c r="C29" s="173"/>
      <c r="D29" s="173"/>
      <c r="E29" s="173"/>
      <c r="F29" s="173"/>
      <c r="G29" s="173"/>
      <c r="H29" s="173"/>
      <c r="I29" s="173"/>
      <c r="J29" s="173"/>
    </row>
    <row r="30" spans="1:10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3" spans="1:10" ht="15" customHeight="1" x14ac:dyDescent="0.3">
      <c r="A33" s="173" t="s">
        <v>3</v>
      </c>
      <c r="B33" s="173"/>
      <c r="C33" s="173"/>
      <c r="D33" s="173"/>
      <c r="E33" s="173"/>
      <c r="F33" s="173"/>
      <c r="G33" s="173"/>
      <c r="H33" s="173"/>
      <c r="I33" s="173"/>
      <c r="J33" s="173"/>
    </row>
    <row r="34" spans="1:10" ht="15" customHeight="1" x14ac:dyDescent="0.3">
      <c r="A34" s="173"/>
      <c r="B34" s="173"/>
      <c r="C34" s="173"/>
      <c r="D34" s="173"/>
      <c r="E34" s="173"/>
      <c r="F34" s="173"/>
      <c r="G34" s="173"/>
      <c r="H34" s="173"/>
      <c r="I34" s="173"/>
      <c r="J34" s="173"/>
    </row>
  </sheetData>
  <mergeCells count="7">
    <mergeCell ref="A33:J34"/>
    <mergeCell ref="A28:J29"/>
    <mergeCell ref="A12:J13"/>
    <mergeCell ref="A5:J5"/>
    <mergeCell ref="A6:J6"/>
    <mergeCell ref="A24:J24"/>
    <mergeCell ref="A7:J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1B-DE9B-4771-A42B-A1600A1001DA}">
  <sheetPr filterMode="1">
    <tabColor rgb="FF00B050"/>
    <pageSetUpPr fitToPage="1"/>
  </sheetPr>
  <dimension ref="A1:AH87"/>
  <sheetViews>
    <sheetView tabSelected="1" view="pageBreakPreview" topLeftCell="B1" zoomScale="80" zoomScaleNormal="100" zoomScaleSheetLayoutView="80" workbookViewId="0">
      <selection activeCell="C17" sqref="C17"/>
    </sheetView>
  </sheetViews>
  <sheetFormatPr defaultColWidth="8.88671875" defaultRowHeight="15" customHeight="1" x14ac:dyDescent="0.3"/>
  <cols>
    <col min="1" max="1" width="5.6640625" style="9" hidden="1" customWidth="1"/>
    <col min="2" max="9" width="13.33203125" style="9" customWidth="1"/>
    <col min="10" max="10" width="21" style="9" bestFit="1" customWidth="1"/>
    <col min="11" max="11" width="16.77734375" style="9" bestFit="1" customWidth="1"/>
    <col min="12" max="12" width="21.77734375" style="9" bestFit="1" customWidth="1"/>
    <col min="13" max="13" width="5.6640625" style="9" customWidth="1"/>
    <col min="14" max="14" width="14.6640625" style="9" bestFit="1" customWidth="1"/>
    <col min="15" max="15" width="8.88671875" style="9"/>
    <col min="16" max="16" width="9.33203125" style="9" bestFit="1" customWidth="1"/>
    <col min="17" max="18" width="11" style="9" bestFit="1" customWidth="1"/>
    <col min="19" max="19" width="9.33203125" style="9" bestFit="1" customWidth="1"/>
    <col min="20" max="21" width="8.88671875" style="9"/>
    <col min="22" max="22" width="9.6640625" style="9" customWidth="1"/>
    <col min="23" max="24" width="10.88671875" style="9" customWidth="1"/>
    <col min="25" max="16384" width="8.88671875" style="9"/>
  </cols>
  <sheetData>
    <row r="1" spans="1:14" ht="15" customHeight="1" x14ac:dyDescent="0.3">
      <c r="N1" s="28">
        <f>+Liste!H485</f>
        <v>20807278.443999998</v>
      </c>
    </row>
    <row r="3" spans="1:14" s="153" customFormat="1" ht="15" customHeight="1" x14ac:dyDescent="0.3"/>
    <row r="4" spans="1:14" s="153" customFormat="1" ht="15" customHeight="1" x14ac:dyDescent="0.3"/>
    <row r="5" spans="1:14" s="153" customFormat="1" ht="15" customHeight="1" x14ac:dyDescent="0.3">
      <c r="A5" s="156" t="s">
        <v>0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</row>
    <row r="6" spans="1:14" s="153" customFormat="1" ht="15" customHeight="1" x14ac:dyDescent="0.3">
      <c r="A6" s="156" t="s">
        <v>1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</row>
    <row r="7" spans="1:14" s="153" customFormat="1" ht="15" customHeight="1" x14ac:dyDescent="0.3">
      <c r="A7" s="156" t="s">
        <v>1017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</row>
    <row r="8" spans="1:14" s="153" customFormat="1" ht="15" customHeight="1" x14ac:dyDescent="0.3">
      <c r="A8" s="152"/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</row>
    <row r="9" spans="1:14" s="153" customFormat="1" ht="15" customHeight="1" x14ac:dyDescent="0.3">
      <c r="A9" s="154"/>
    </row>
    <row r="10" spans="1:14" s="153" customFormat="1" ht="15" customHeight="1" x14ac:dyDescent="0.3">
      <c r="A10" s="156" t="s">
        <v>2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</row>
    <row r="11" spans="1:14" s="153" customFormat="1" ht="15" customHeight="1" x14ac:dyDescent="0.3">
      <c r="A11" s="154"/>
    </row>
    <row r="12" spans="1:14" s="153" customFormat="1" ht="15" customHeight="1" x14ac:dyDescent="0.3">
      <c r="A12" s="156" t="str">
        <f>+Kapak!A28</f>
        <v>Barbaros İstasyonu Hat - 2 Kirazlı Yönü P1 Tüneli 4.Aşama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</row>
    <row r="13" spans="1:14" ht="15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5" spans="1:14" ht="15" customHeight="1" x14ac:dyDescent="0.3">
      <c r="B15" s="14" t="s">
        <v>5</v>
      </c>
      <c r="C15" s="12">
        <f>+[3]Veri!$C$21</f>
        <v>6</v>
      </c>
      <c r="D15" s="12"/>
      <c r="E15" s="12"/>
    </row>
    <row r="16" spans="1:14" ht="15" customHeight="1" x14ac:dyDescent="0.3">
      <c r="B16" s="14" t="s">
        <v>6</v>
      </c>
      <c r="C16" s="13">
        <f>+[3]Veri!$C$22</f>
        <v>46142</v>
      </c>
      <c r="D16" s="11"/>
      <c r="E16" s="11"/>
    </row>
    <row r="17" spans="2:34" ht="15" customHeight="1" x14ac:dyDescent="0.3">
      <c r="B17" s="14"/>
      <c r="C17" s="13"/>
      <c r="D17" s="11"/>
      <c r="E17" s="11"/>
    </row>
    <row r="18" spans="2:34" ht="15" customHeight="1" x14ac:dyDescent="0.3">
      <c r="O18" s="20" t="s">
        <v>1019</v>
      </c>
      <c r="P18" s="20" t="s">
        <v>1019</v>
      </c>
      <c r="Q18" s="20" t="s">
        <v>1019</v>
      </c>
      <c r="R18" s="20" t="s">
        <v>1019</v>
      </c>
      <c r="S18" s="20" t="s">
        <v>1019</v>
      </c>
      <c r="T18" s="20" t="s">
        <v>1019</v>
      </c>
      <c r="U18" s="20" t="s">
        <v>1019</v>
      </c>
      <c r="V18" s="20" t="s">
        <v>1019</v>
      </c>
      <c r="W18" s="20" t="s">
        <v>1019</v>
      </c>
      <c r="X18" s="20" t="s">
        <v>1019</v>
      </c>
      <c r="Y18" s="20" t="s">
        <v>1019</v>
      </c>
      <c r="Z18" s="20" t="s">
        <v>1019</v>
      </c>
      <c r="AA18" s="20" t="s">
        <v>1019</v>
      </c>
      <c r="AB18" s="20" t="s">
        <v>1019</v>
      </c>
      <c r="AC18" s="20" t="s">
        <v>1019</v>
      </c>
      <c r="AD18" s="20" t="s">
        <v>1019</v>
      </c>
      <c r="AE18" s="20" t="s">
        <v>1019</v>
      </c>
      <c r="AF18" s="20" t="s">
        <v>1019</v>
      </c>
      <c r="AG18" s="20" t="s">
        <v>1019</v>
      </c>
      <c r="AH18" s="20" t="s">
        <v>1019</v>
      </c>
    </row>
    <row r="19" spans="2:34" ht="30" customHeight="1" x14ac:dyDescent="0.3">
      <c r="B19" s="15" t="s">
        <v>7</v>
      </c>
      <c r="C19" s="179" t="s">
        <v>8</v>
      </c>
      <c r="D19" s="179"/>
      <c r="E19" s="179"/>
      <c r="F19" s="179"/>
      <c r="G19" s="179"/>
      <c r="H19" s="180"/>
      <c r="I19" s="44" t="s">
        <v>9</v>
      </c>
      <c r="J19" s="147" t="s">
        <v>1057</v>
      </c>
      <c r="K19" s="147" t="s">
        <v>1058</v>
      </c>
      <c r="L19" s="16" t="s">
        <v>1059</v>
      </c>
      <c r="O19" s="21" t="s">
        <v>1020</v>
      </c>
      <c r="P19" s="21" t="s">
        <v>1021</v>
      </c>
      <c r="Q19" s="21" t="s">
        <v>1023</v>
      </c>
      <c r="R19" s="21" t="s">
        <v>1024</v>
      </c>
      <c r="S19" s="21" t="s">
        <v>1025</v>
      </c>
      <c r="T19" s="21" t="s">
        <v>1026</v>
      </c>
      <c r="U19" s="21" t="s">
        <v>1027</v>
      </c>
      <c r="V19" s="21" t="s">
        <v>1028</v>
      </c>
      <c r="W19" s="21" t="s">
        <v>1029</v>
      </c>
      <c r="X19" s="21" t="s">
        <v>1030</v>
      </c>
      <c r="Y19" s="21" t="s">
        <v>1031</v>
      </c>
      <c r="Z19" s="21" t="s">
        <v>1032</v>
      </c>
      <c r="AA19" s="21" t="s">
        <v>1033</v>
      </c>
      <c r="AB19" s="21" t="s">
        <v>1034</v>
      </c>
      <c r="AC19" s="21" t="s">
        <v>1035</v>
      </c>
      <c r="AD19" s="21" t="s">
        <v>1036</v>
      </c>
      <c r="AE19" s="21" t="s">
        <v>1037</v>
      </c>
      <c r="AF19" s="21" t="s">
        <v>1038</v>
      </c>
      <c r="AG19" s="21" t="s">
        <v>1039</v>
      </c>
      <c r="AH19" s="21" t="s">
        <v>1040</v>
      </c>
    </row>
    <row r="20" spans="2:34" ht="30" customHeight="1" x14ac:dyDescent="0.3">
      <c r="B20" s="29" t="s">
        <v>119</v>
      </c>
      <c r="C20" s="177" t="str">
        <f>+VLOOKUP(B20,Liste!B:E,2,FALSE)</f>
        <v>Geleneksel (NATM) Tünel Kazısı</v>
      </c>
      <c r="D20" s="177"/>
      <c r="E20" s="177"/>
      <c r="F20" s="177"/>
      <c r="G20" s="177"/>
      <c r="H20" s="178"/>
      <c r="I20" s="22" t="s">
        <v>22</v>
      </c>
      <c r="J20" s="90">
        <v>799.03399999999999</v>
      </c>
      <c r="K20" s="148">
        <f>+L20-J20</f>
        <v>158.21299999999997</v>
      </c>
      <c r="L20" s="71">
        <f>+IFERROR(VLOOKUP(B20,Metraj!B:P,15,FALSE),"0")</f>
        <v>957.24699999999996</v>
      </c>
      <c r="O20" s="81"/>
      <c r="P20" s="71"/>
      <c r="Q20" s="71"/>
      <c r="R20" s="71"/>
      <c r="S20" s="71"/>
      <c r="T20" s="71"/>
      <c r="U20" s="71"/>
      <c r="V20" s="71"/>
      <c r="W20" s="71">
        <v>191.90799999999999</v>
      </c>
      <c r="X20" s="71">
        <v>528.14499999999998</v>
      </c>
      <c r="Y20" s="71">
        <v>78.980999999999995</v>
      </c>
      <c r="Z20" s="71">
        <f>$L20-SUM($O20:Y20)</f>
        <v>158.21299999999997</v>
      </c>
      <c r="AA20" s="71">
        <f>$L20-SUM($O20:Z20)</f>
        <v>0</v>
      </c>
      <c r="AB20" s="71">
        <f>$L20-SUM($O20:AA20)</f>
        <v>0</v>
      </c>
      <c r="AC20" s="71">
        <f>$L20-SUM($O20:AB20)</f>
        <v>0</v>
      </c>
      <c r="AD20" s="71">
        <f>$L20-SUM($O20:AC20)</f>
        <v>0</v>
      </c>
      <c r="AE20" s="71">
        <f>$L20-SUM($O20:AD20)</f>
        <v>0</v>
      </c>
      <c r="AF20" s="71">
        <f>$L20-SUM($O20:AE20)</f>
        <v>0</v>
      </c>
      <c r="AG20" s="71">
        <f>$L20-SUM($O20:AF20)</f>
        <v>0</v>
      </c>
      <c r="AH20" s="71">
        <f>$L20-SUM($O20:AG20)</f>
        <v>0</v>
      </c>
    </row>
    <row r="21" spans="2:34" ht="30" hidden="1" customHeight="1" x14ac:dyDescent="0.3">
      <c r="B21" s="29" t="s">
        <v>121</v>
      </c>
      <c r="C21" s="177" t="str">
        <f>+VLOOKUP(B21,Liste!B:E,2,FALSE)</f>
        <v>Kazıdan çıkan veya Ariyetten alınan malzeme ile geri dolgu yapılması</v>
      </c>
      <c r="D21" s="177"/>
      <c r="E21" s="177"/>
      <c r="F21" s="177"/>
      <c r="G21" s="177"/>
      <c r="H21" s="178"/>
      <c r="I21" s="22" t="s">
        <v>22</v>
      </c>
      <c r="J21" s="90" t="s">
        <v>1073</v>
      </c>
      <c r="K21" s="148" t="e">
        <f t="shared" ref="K21:K49" si="0">+L21-J21</f>
        <v>#VALUE!</v>
      </c>
      <c r="L21" s="71" t="str">
        <f>+IFERROR(VLOOKUP(B21,Metraj!B:P,15,FALSE),"")</f>
        <v/>
      </c>
      <c r="O21" s="81"/>
      <c r="P21" s="71"/>
      <c r="Q21" s="71"/>
      <c r="R21" s="71"/>
      <c r="S21" s="71"/>
      <c r="T21" s="71"/>
      <c r="U21" s="71"/>
      <c r="V21" s="71"/>
      <c r="W21" s="71">
        <v>0</v>
      </c>
      <c r="X21" s="71">
        <v>0</v>
      </c>
      <c r="Y21" s="71">
        <v>0</v>
      </c>
      <c r="Z21" s="71">
        <f>+IFERROR($L21-SUM($O21:Y21),0)</f>
        <v>0</v>
      </c>
      <c r="AA21" s="71">
        <f>+IFERROR($L21-SUM($O21:Z21),0)</f>
        <v>0</v>
      </c>
      <c r="AB21" s="71">
        <f>+IFERROR($L21-SUM($O21:AA21),0)</f>
        <v>0</v>
      </c>
      <c r="AC21" s="71">
        <f>+IFERROR($L21-SUM($O21:AB21),0)</f>
        <v>0</v>
      </c>
      <c r="AD21" s="71">
        <f>+IFERROR($L21-SUM($O21:AC21),0)</f>
        <v>0</v>
      </c>
      <c r="AE21" s="71">
        <f>+IFERROR($L21-SUM($O21:AD21),0)</f>
        <v>0</v>
      </c>
      <c r="AF21" s="71">
        <f>+IFERROR($L21-SUM($O21:AE21),0)</f>
        <v>0</v>
      </c>
      <c r="AG21" s="71">
        <f>+IFERROR($L21-SUM($O21:AF21),0)</f>
        <v>0</v>
      </c>
      <c r="AH21" s="71">
        <f>+IFERROR($L21-SUM($O21:AG21),0)</f>
        <v>0</v>
      </c>
    </row>
    <row r="22" spans="2:34" ht="30" hidden="1" customHeight="1" x14ac:dyDescent="0.3">
      <c r="B22" s="29" t="s">
        <v>123</v>
      </c>
      <c r="C22" s="177" t="str">
        <f>+VLOOKUP(B22,Liste!B:E,2,FALSE)</f>
        <v>Kum, Çakıl, Kırma Tas ve Benzeri Malzeme ile Dolgu Yapılması</v>
      </c>
      <c r="D22" s="177"/>
      <c r="E22" s="177"/>
      <c r="F22" s="177"/>
      <c r="G22" s="177"/>
      <c r="H22" s="178"/>
      <c r="I22" s="22" t="s">
        <v>22</v>
      </c>
      <c r="J22" s="90" t="s">
        <v>1073</v>
      </c>
      <c r="K22" s="148" t="e">
        <f t="shared" si="0"/>
        <v>#VALUE!</v>
      </c>
      <c r="L22" s="71" t="str">
        <f>+IFERROR(VLOOKUP(B22,Metraj!B:P,15,FALSE),"")</f>
        <v/>
      </c>
      <c r="O22" s="81"/>
      <c r="P22" s="71"/>
      <c r="Q22" s="71"/>
      <c r="R22" s="71"/>
      <c r="S22" s="71"/>
      <c r="T22" s="71"/>
      <c r="U22" s="71"/>
      <c r="V22" s="71"/>
      <c r="W22" s="71">
        <v>0</v>
      </c>
      <c r="X22" s="71">
        <v>0</v>
      </c>
      <c r="Y22" s="71">
        <v>0</v>
      </c>
      <c r="Z22" s="71">
        <f>+IFERROR($L22-SUM($O22:Y22),0)</f>
        <v>0</v>
      </c>
      <c r="AA22" s="71">
        <f>+IFERROR($L22-SUM($O22:Z22),0)</f>
        <v>0</v>
      </c>
      <c r="AB22" s="71">
        <f>+IFERROR($L22-SUM($O22:AA22),0)</f>
        <v>0</v>
      </c>
      <c r="AC22" s="71">
        <f>+IFERROR($L22-SUM($O22:AB22),0)</f>
        <v>0</v>
      </c>
      <c r="AD22" s="71">
        <f>+IFERROR($L22-SUM($O22:AC22),0)</f>
        <v>0</v>
      </c>
      <c r="AE22" s="71">
        <f>+IFERROR($L22-SUM($O22:AD22),0)</f>
        <v>0</v>
      </c>
      <c r="AF22" s="71">
        <f>+IFERROR($L22-SUM($O22:AE22),0)</f>
        <v>0</v>
      </c>
      <c r="AG22" s="71">
        <f>+IFERROR($L22-SUM($O22:AF22),0)</f>
        <v>0</v>
      </c>
      <c r="AH22" s="71">
        <f>+IFERROR($L22-SUM($O22:AG22),0)</f>
        <v>0</v>
      </c>
    </row>
    <row r="23" spans="2:34" ht="30" customHeight="1" x14ac:dyDescent="0.3">
      <c r="B23" s="29" t="s">
        <v>124</v>
      </c>
      <c r="C23" s="177" t="str">
        <f>+VLOOKUP(B23,Liste!B:E,2,FALSE)</f>
        <v>Püskürtme Beton (Tünel ve Şaftlarda)</v>
      </c>
      <c r="D23" s="177"/>
      <c r="E23" s="177"/>
      <c r="F23" s="177"/>
      <c r="G23" s="177"/>
      <c r="H23" s="178"/>
      <c r="I23" s="22" t="s">
        <v>22</v>
      </c>
      <c r="J23" s="90">
        <v>141.55099999999999</v>
      </c>
      <c r="K23" s="148">
        <f t="shared" si="0"/>
        <v>27.158000000000015</v>
      </c>
      <c r="L23" s="71">
        <f>+IFERROR(VLOOKUP(B23,Metraj!B:P,15,FALSE),"0")</f>
        <v>168.709</v>
      </c>
      <c r="O23" s="81"/>
      <c r="P23" s="71"/>
      <c r="Q23" s="71"/>
      <c r="R23" s="71"/>
      <c r="S23" s="71"/>
      <c r="T23" s="71"/>
      <c r="U23" s="71"/>
      <c r="V23" s="71"/>
      <c r="W23" s="71">
        <v>33.459000000000003</v>
      </c>
      <c r="X23" s="71">
        <v>82.066000000000003</v>
      </c>
      <c r="Y23" s="71">
        <v>26.025999999999982</v>
      </c>
      <c r="Z23" s="71">
        <f>$L23-SUM($O23:Y23)</f>
        <v>27.158000000000015</v>
      </c>
      <c r="AA23" s="71">
        <f>$L23-SUM($O23:Z23)</f>
        <v>0</v>
      </c>
      <c r="AB23" s="71">
        <f>$L23-SUM($O23:AA23)</f>
        <v>0</v>
      </c>
      <c r="AC23" s="71">
        <f>$L23-SUM($O23:AB23)</f>
        <v>0</v>
      </c>
      <c r="AD23" s="71">
        <f>$L23-SUM($O23:AC23)</f>
        <v>0</v>
      </c>
      <c r="AE23" s="71">
        <f>$L23-SUM($O23:AD23)</f>
        <v>0</v>
      </c>
      <c r="AF23" s="71">
        <f>$L23-SUM($O23:AE23)</f>
        <v>0</v>
      </c>
      <c r="AG23" s="71">
        <f>$L23-SUM($O23:AF23)</f>
        <v>0</v>
      </c>
      <c r="AH23" s="71">
        <f>$L23-SUM($O23:AG23)</f>
        <v>0</v>
      </c>
    </row>
    <row r="24" spans="2:34" ht="30" hidden="1" customHeight="1" x14ac:dyDescent="0.3">
      <c r="B24" s="29" t="s">
        <v>126</v>
      </c>
      <c r="C24" s="177" t="str">
        <f>+VLOOKUP(B24,Liste!B:E,2,FALSE)</f>
        <v>Delgi boyu =&lt; 30m</v>
      </c>
      <c r="D24" s="177"/>
      <c r="E24" s="177"/>
      <c r="F24" s="177"/>
      <c r="G24" s="177"/>
      <c r="H24" s="178"/>
      <c r="I24" s="22" t="s">
        <v>37</v>
      </c>
      <c r="J24" s="90" t="s">
        <v>1073</v>
      </c>
      <c r="K24" s="148" t="e">
        <f t="shared" si="0"/>
        <v>#VALUE!</v>
      </c>
      <c r="L24" s="71" t="str">
        <f>+IFERROR(VLOOKUP(B24,Metraj!B:P,15,FALSE),"")</f>
        <v/>
      </c>
      <c r="O24" s="81"/>
      <c r="P24" s="71"/>
      <c r="Q24" s="71"/>
      <c r="R24" s="71"/>
      <c r="S24" s="71"/>
      <c r="T24" s="71"/>
      <c r="U24" s="71"/>
      <c r="V24" s="71"/>
      <c r="W24" s="71">
        <v>0</v>
      </c>
      <c r="X24" s="71">
        <v>0</v>
      </c>
      <c r="Y24" s="71">
        <v>0</v>
      </c>
      <c r="Z24" s="71">
        <f>+IFERROR($L24-SUM($O24:Y24),0)</f>
        <v>0</v>
      </c>
      <c r="AA24" s="71">
        <f>+IFERROR($L24-SUM($O24:Z24),0)</f>
        <v>0</v>
      </c>
      <c r="AB24" s="71">
        <f>+IFERROR($L24-SUM($O24:AA24),0)</f>
        <v>0</v>
      </c>
      <c r="AC24" s="71">
        <f>+IFERROR($L24-SUM($O24:AB24),0)</f>
        <v>0</v>
      </c>
      <c r="AD24" s="71">
        <f>+IFERROR($L24-SUM($O24:AC24),0)</f>
        <v>0</v>
      </c>
      <c r="AE24" s="71">
        <f>+IFERROR($L24-SUM($O24:AD24),0)</f>
        <v>0</v>
      </c>
      <c r="AF24" s="71">
        <f>+IFERROR($L24-SUM($O24:AE24),0)</f>
        <v>0</v>
      </c>
      <c r="AG24" s="71">
        <f>+IFERROR($L24-SUM($O24:AF24),0)</f>
        <v>0</v>
      </c>
      <c r="AH24" s="71">
        <f>+IFERROR($L24-SUM($O24:AG24),0)</f>
        <v>0</v>
      </c>
    </row>
    <row r="25" spans="2:34" ht="30" hidden="1" customHeight="1" x14ac:dyDescent="0.3">
      <c r="B25" s="29" t="s">
        <v>128</v>
      </c>
      <c r="C25" s="177" t="str">
        <f>+VLOOKUP(B25,Liste!B:E,2,FALSE)</f>
        <v>Delgi boyu &gt; 30m</v>
      </c>
      <c r="D25" s="177"/>
      <c r="E25" s="177"/>
      <c r="F25" s="177"/>
      <c r="G25" s="177"/>
      <c r="H25" s="178"/>
      <c r="I25" s="22" t="s">
        <v>37</v>
      </c>
      <c r="J25" s="90" t="s">
        <v>1073</v>
      </c>
      <c r="K25" s="148" t="e">
        <f t="shared" si="0"/>
        <v>#VALUE!</v>
      </c>
      <c r="L25" s="71" t="str">
        <f>+IFERROR(VLOOKUP(B25,Metraj!B:P,15,FALSE),"")</f>
        <v/>
      </c>
      <c r="O25" s="81"/>
      <c r="P25" s="71"/>
      <c r="Q25" s="71"/>
      <c r="R25" s="71"/>
      <c r="S25" s="71"/>
      <c r="T25" s="71"/>
      <c r="U25" s="71"/>
      <c r="V25" s="71"/>
      <c r="W25" s="71">
        <v>0</v>
      </c>
      <c r="X25" s="71">
        <v>0</v>
      </c>
      <c r="Y25" s="71">
        <v>0</v>
      </c>
      <c r="Z25" s="71">
        <f>+IFERROR($L25-SUM($O25:Y25),0)</f>
        <v>0</v>
      </c>
      <c r="AA25" s="71">
        <f>+IFERROR($L25-SUM($O25:Z25),0)</f>
        <v>0</v>
      </c>
      <c r="AB25" s="71">
        <f>+IFERROR($L25-SUM($O25:AA25),0)</f>
        <v>0</v>
      </c>
      <c r="AC25" s="71">
        <f>+IFERROR($L25-SUM($O25:AB25),0)</f>
        <v>0</v>
      </c>
      <c r="AD25" s="71">
        <f>+IFERROR($L25-SUM($O25:AC25),0)</f>
        <v>0</v>
      </c>
      <c r="AE25" s="71">
        <f>+IFERROR($L25-SUM($O25:AD25),0)</f>
        <v>0</v>
      </c>
      <c r="AF25" s="71">
        <f>+IFERROR($L25-SUM($O25:AE25),0)</f>
        <v>0</v>
      </c>
      <c r="AG25" s="71">
        <f>+IFERROR($L25-SUM($O25:AF25),0)</f>
        <v>0</v>
      </c>
      <c r="AH25" s="71">
        <f>+IFERROR($L25-SUM($O25:AG25),0)</f>
        <v>0</v>
      </c>
    </row>
    <row r="26" spans="2:34" ht="30" hidden="1" customHeight="1" x14ac:dyDescent="0.3">
      <c r="B26" s="29" t="s">
        <v>130</v>
      </c>
      <c r="C26" s="177" t="str">
        <f>+VLOOKUP(B26,Liste!B:E,2,FALSE)</f>
        <v>L=3 m Kaya Bulonu</v>
      </c>
      <c r="D26" s="177"/>
      <c r="E26" s="177"/>
      <c r="F26" s="177"/>
      <c r="G26" s="177"/>
      <c r="H26" s="178"/>
      <c r="I26" s="22" t="s">
        <v>42</v>
      </c>
      <c r="J26" s="90" t="s">
        <v>1073</v>
      </c>
      <c r="K26" s="148" t="e">
        <f t="shared" si="0"/>
        <v>#VALUE!</v>
      </c>
      <c r="L26" s="71" t="str">
        <f>+IFERROR(VLOOKUP(B26,Metraj!B:P,15,FALSE),"")</f>
        <v/>
      </c>
      <c r="O26" s="81"/>
      <c r="P26" s="71"/>
      <c r="Q26" s="71"/>
      <c r="R26" s="71"/>
      <c r="S26" s="71"/>
      <c r="T26" s="71"/>
      <c r="U26" s="71"/>
      <c r="V26" s="71"/>
      <c r="W26" s="71">
        <v>0</v>
      </c>
      <c r="X26" s="71">
        <v>0</v>
      </c>
      <c r="Y26" s="71">
        <v>0</v>
      </c>
      <c r="Z26" s="71">
        <f>+IFERROR($L26-SUM($O26:Y26),0)</f>
        <v>0</v>
      </c>
      <c r="AA26" s="71">
        <f>+IFERROR($L26-SUM($O26:Z26),0)</f>
        <v>0</v>
      </c>
      <c r="AB26" s="71">
        <f>+IFERROR($L26-SUM($O26:AA26),0)</f>
        <v>0</v>
      </c>
      <c r="AC26" s="71">
        <f>+IFERROR($L26-SUM($O26:AB26),0)</f>
        <v>0</v>
      </c>
      <c r="AD26" s="71">
        <f>+IFERROR($L26-SUM($O26:AC26),0)</f>
        <v>0</v>
      </c>
      <c r="AE26" s="71">
        <f>+IFERROR($L26-SUM($O26:AD26),0)</f>
        <v>0</v>
      </c>
      <c r="AF26" s="71">
        <f>+IFERROR($L26-SUM($O26:AE26),0)</f>
        <v>0</v>
      </c>
      <c r="AG26" s="71">
        <f>+IFERROR($L26-SUM($O26:AF26),0)</f>
        <v>0</v>
      </c>
      <c r="AH26" s="71">
        <f>+IFERROR($L26-SUM($O26:AG26),0)</f>
        <v>0</v>
      </c>
    </row>
    <row r="27" spans="2:34" ht="30" hidden="1" customHeight="1" x14ac:dyDescent="0.3">
      <c r="B27" s="29" t="s">
        <v>131</v>
      </c>
      <c r="C27" s="177" t="str">
        <f>+VLOOKUP(B27,Liste!B:E,2,FALSE)</f>
        <v>L=4 m Kaya Bulonu</v>
      </c>
      <c r="D27" s="177"/>
      <c r="E27" s="177"/>
      <c r="F27" s="177"/>
      <c r="G27" s="177"/>
      <c r="H27" s="178"/>
      <c r="I27" s="22" t="s">
        <v>42</v>
      </c>
      <c r="J27" s="90">
        <v>0</v>
      </c>
      <c r="K27" s="148">
        <f t="shared" si="0"/>
        <v>0</v>
      </c>
      <c r="L27" s="71">
        <f>+IFERROR(VLOOKUP(B27,Metraj!B:P,15,FALSE),"0")</f>
        <v>0</v>
      </c>
      <c r="O27" s="81"/>
      <c r="P27" s="71"/>
      <c r="Q27" s="71"/>
      <c r="R27" s="71"/>
      <c r="S27" s="71"/>
      <c r="T27" s="71"/>
      <c r="U27" s="71"/>
      <c r="V27" s="71"/>
      <c r="W27" s="71">
        <v>0</v>
      </c>
      <c r="X27" s="71">
        <v>0</v>
      </c>
      <c r="Y27" s="71">
        <v>0</v>
      </c>
      <c r="Z27" s="71">
        <f>$L27-SUM($O27:Y27)</f>
        <v>0</v>
      </c>
      <c r="AA27" s="71">
        <f>$L27-SUM($O27:Z27)</f>
        <v>0</v>
      </c>
      <c r="AB27" s="71">
        <f>$L27-SUM($O27:AA27)</f>
        <v>0</v>
      </c>
      <c r="AC27" s="71">
        <f>$L27-SUM($O27:AB27)</f>
        <v>0</v>
      </c>
      <c r="AD27" s="71">
        <f>$L27-SUM($O27:AC27)</f>
        <v>0</v>
      </c>
      <c r="AE27" s="71">
        <f>$L27-SUM($O27:AD27)</f>
        <v>0</v>
      </c>
      <c r="AF27" s="71">
        <f>$L27-SUM($O27:AE27)</f>
        <v>0</v>
      </c>
      <c r="AG27" s="71">
        <f>$L27-SUM($O27:AF27)</f>
        <v>0</v>
      </c>
      <c r="AH27" s="71">
        <f>$L27-SUM($O27:AG27)</f>
        <v>0</v>
      </c>
    </row>
    <row r="28" spans="2:34" ht="30" hidden="1" customHeight="1" x14ac:dyDescent="0.3">
      <c r="B28" s="29" t="s">
        <v>132</v>
      </c>
      <c r="C28" s="177" t="str">
        <f>+VLOOKUP(B28,Liste!B:E,2,FALSE)</f>
        <v>L=5 m Kaya Bulonu</v>
      </c>
      <c r="D28" s="177"/>
      <c r="E28" s="177"/>
      <c r="F28" s="177"/>
      <c r="G28" s="177"/>
      <c r="H28" s="178"/>
      <c r="I28" s="22" t="s">
        <v>42</v>
      </c>
      <c r="J28" s="90" t="s">
        <v>1073</v>
      </c>
      <c r="K28" s="148" t="e">
        <f t="shared" si="0"/>
        <v>#VALUE!</v>
      </c>
      <c r="L28" s="71" t="str">
        <f>+IFERROR(VLOOKUP(B28,Metraj!B:P,15,FALSE),"")</f>
        <v/>
      </c>
      <c r="O28" s="81"/>
      <c r="P28" s="71"/>
      <c r="Q28" s="71"/>
      <c r="R28" s="71"/>
      <c r="S28" s="71"/>
      <c r="T28" s="71"/>
      <c r="U28" s="71"/>
      <c r="V28" s="71"/>
      <c r="W28" s="71">
        <v>0</v>
      </c>
      <c r="X28" s="71">
        <v>0</v>
      </c>
      <c r="Y28" s="71">
        <v>0</v>
      </c>
      <c r="Z28" s="71">
        <f>+IFERROR($L28-SUM($O28:Y28),0)</f>
        <v>0</v>
      </c>
      <c r="AA28" s="71">
        <f>+IFERROR($L28-SUM($O28:Z28),0)</f>
        <v>0</v>
      </c>
      <c r="AB28" s="71">
        <f>+IFERROR($L28-SUM($O28:AA28),0)</f>
        <v>0</v>
      </c>
      <c r="AC28" s="71">
        <f>+IFERROR($L28-SUM($O28:AB28),0)</f>
        <v>0</v>
      </c>
      <c r="AD28" s="71">
        <f>+IFERROR($L28-SUM($O28:AC28),0)</f>
        <v>0</v>
      </c>
      <c r="AE28" s="71">
        <f>+IFERROR($L28-SUM($O28:AD28),0)</f>
        <v>0</v>
      </c>
      <c r="AF28" s="71">
        <f>+IFERROR($L28-SUM($O28:AE28),0)</f>
        <v>0</v>
      </c>
      <c r="AG28" s="71">
        <f>+IFERROR($L28-SUM($O28:AF28),0)</f>
        <v>0</v>
      </c>
      <c r="AH28" s="71">
        <f>+IFERROR($L28-SUM($O28:AG28),0)</f>
        <v>0</v>
      </c>
    </row>
    <row r="29" spans="2:34" ht="30" hidden="1" customHeight="1" x14ac:dyDescent="0.3">
      <c r="B29" s="29" t="s">
        <v>133</v>
      </c>
      <c r="C29" s="177" t="str">
        <f>+VLOOKUP(B29,Liste!B:E,2,FALSE)</f>
        <v>L=6 m Kaya Bulonu</v>
      </c>
      <c r="D29" s="177"/>
      <c r="E29" s="177"/>
      <c r="F29" s="177"/>
      <c r="G29" s="177"/>
      <c r="H29" s="178"/>
      <c r="I29" s="22" t="s">
        <v>42</v>
      </c>
      <c r="J29" s="90" t="s">
        <v>1073</v>
      </c>
      <c r="K29" s="148" t="e">
        <f t="shared" si="0"/>
        <v>#VALUE!</v>
      </c>
      <c r="L29" s="71" t="str">
        <f>+IFERROR(VLOOKUP(B29,Metraj!B:P,15,FALSE),"")</f>
        <v/>
      </c>
      <c r="O29" s="81"/>
      <c r="P29" s="71"/>
      <c r="Q29" s="71"/>
      <c r="R29" s="71"/>
      <c r="S29" s="71"/>
      <c r="T29" s="71"/>
      <c r="U29" s="71"/>
      <c r="V29" s="71"/>
      <c r="W29" s="71">
        <v>0</v>
      </c>
      <c r="X29" s="71">
        <v>0</v>
      </c>
      <c r="Y29" s="71">
        <v>0</v>
      </c>
      <c r="Z29" s="71">
        <f>+IFERROR($L29-SUM($O29:Y29),0)</f>
        <v>0</v>
      </c>
      <c r="AA29" s="71">
        <f>+IFERROR($L29-SUM($O29:Z29),0)</f>
        <v>0</v>
      </c>
      <c r="AB29" s="71">
        <f>+IFERROR($L29-SUM($O29:AA29),0)</f>
        <v>0</v>
      </c>
      <c r="AC29" s="71">
        <f>+IFERROR($L29-SUM($O29:AB29),0)</f>
        <v>0</v>
      </c>
      <c r="AD29" s="71">
        <f>+IFERROR($L29-SUM($O29:AC29),0)</f>
        <v>0</v>
      </c>
      <c r="AE29" s="71">
        <f>+IFERROR($L29-SUM($O29:AD29),0)</f>
        <v>0</v>
      </c>
      <c r="AF29" s="71">
        <f>+IFERROR($L29-SUM($O29:AE29),0)</f>
        <v>0</v>
      </c>
      <c r="AG29" s="71">
        <f>+IFERROR($L29-SUM($O29:AF29),0)</f>
        <v>0</v>
      </c>
      <c r="AH29" s="71">
        <f>+IFERROR($L29-SUM($O29:AG29),0)</f>
        <v>0</v>
      </c>
    </row>
    <row r="30" spans="2:34" ht="30" customHeight="1" x14ac:dyDescent="0.3">
      <c r="B30" s="29" t="s">
        <v>134</v>
      </c>
      <c r="C30" s="177" t="str">
        <f>+VLOOKUP(B30,Liste!B:E,2,FALSE)</f>
        <v>L=8 m Kaya Bulonu</v>
      </c>
      <c r="D30" s="177"/>
      <c r="E30" s="177"/>
      <c r="F30" s="177"/>
      <c r="G30" s="177"/>
      <c r="H30" s="178"/>
      <c r="I30" s="22" t="s">
        <v>42</v>
      </c>
      <c r="J30" s="90">
        <v>270</v>
      </c>
      <c r="K30" s="148">
        <f t="shared" si="0"/>
        <v>0</v>
      </c>
      <c r="L30" s="71">
        <f>+IFERROR(VLOOKUP(B30,Metraj!B:P,15,FALSE),"0")</f>
        <v>270</v>
      </c>
      <c r="O30" s="81"/>
      <c r="P30" s="71"/>
      <c r="Q30" s="71"/>
      <c r="R30" s="71"/>
      <c r="S30" s="71"/>
      <c r="T30" s="71"/>
      <c r="U30" s="71"/>
      <c r="V30" s="71"/>
      <c r="W30" s="71">
        <v>18</v>
      </c>
      <c r="X30" s="71">
        <v>171</v>
      </c>
      <c r="Y30" s="71">
        <v>81</v>
      </c>
      <c r="Z30" s="71">
        <f>$L30-SUM($O30:Y30)</f>
        <v>0</v>
      </c>
      <c r="AA30" s="71">
        <f>$L30-SUM($O30:Z30)</f>
        <v>0</v>
      </c>
      <c r="AB30" s="71">
        <f>$L30-SUM($O30:AA30)</f>
        <v>0</v>
      </c>
      <c r="AC30" s="71">
        <f>$L30-SUM($O30:AB30)</f>
        <v>0</v>
      </c>
      <c r="AD30" s="71">
        <f>$L30-SUM($O30:AC30)</f>
        <v>0</v>
      </c>
      <c r="AE30" s="71">
        <f>$L30-SUM($O30:AD30)</f>
        <v>0</v>
      </c>
      <c r="AF30" s="71">
        <f>$L30-SUM($O30:AE30)</f>
        <v>0</v>
      </c>
      <c r="AG30" s="71">
        <f>$L30-SUM($O30:AF30)</f>
        <v>0</v>
      </c>
      <c r="AH30" s="71">
        <f>$L30-SUM($O30:AG30)</f>
        <v>0</v>
      </c>
    </row>
    <row r="31" spans="2:34" ht="30" hidden="1" customHeight="1" x14ac:dyDescent="0.3">
      <c r="B31" s="29" t="s">
        <v>136</v>
      </c>
      <c r="C31" s="177" t="str">
        <f>+VLOOKUP(B31,Liste!B:E,2,FALSE)</f>
        <v>125 mm Delik İçine 14 mm Kalınlığında S420a ile Zemin Çivisi Teşkili</v>
      </c>
      <c r="D31" s="177"/>
      <c r="E31" s="177"/>
      <c r="F31" s="177"/>
      <c r="G31" s="177"/>
      <c r="H31" s="178"/>
      <c r="I31" s="22" t="s">
        <v>37</v>
      </c>
      <c r="J31" s="90" t="s">
        <v>1074</v>
      </c>
      <c r="K31" s="148">
        <f t="shared" si="0"/>
        <v>0</v>
      </c>
      <c r="L31" s="71" t="str">
        <f>+IFERROR(VLOOKUP(B31,Metraj!B:P,15,FALSE),"0")</f>
        <v>0</v>
      </c>
      <c r="O31" s="81"/>
      <c r="P31" s="71"/>
      <c r="Q31" s="71"/>
      <c r="R31" s="71"/>
      <c r="S31" s="71"/>
      <c r="T31" s="71"/>
      <c r="U31" s="71"/>
      <c r="V31" s="71"/>
      <c r="W31" s="71">
        <v>0</v>
      </c>
      <c r="X31" s="71">
        <v>0</v>
      </c>
      <c r="Y31" s="71">
        <v>0</v>
      </c>
      <c r="Z31" s="71">
        <f>$L31-SUM($O31:Y31)</f>
        <v>0</v>
      </c>
      <c r="AA31" s="71">
        <f>$L31-SUM($O31:Z31)</f>
        <v>0</v>
      </c>
      <c r="AB31" s="71">
        <f>$L31-SUM($O31:AA31)</f>
        <v>0</v>
      </c>
      <c r="AC31" s="71">
        <f>$L31-SUM($O31:AB31)</f>
        <v>0</v>
      </c>
      <c r="AD31" s="71">
        <f>$L31-SUM($O31:AC31)</f>
        <v>0</v>
      </c>
      <c r="AE31" s="71">
        <f>$L31-SUM($O31:AD31)</f>
        <v>0</v>
      </c>
      <c r="AF31" s="71">
        <f>$L31-SUM($O31:AE31)</f>
        <v>0</v>
      </c>
      <c r="AG31" s="71">
        <f>$L31-SUM($O31:AF31)</f>
        <v>0</v>
      </c>
      <c r="AH31" s="71">
        <f>$L31-SUM($O31:AG31)</f>
        <v>0</v>
      </c>
    </row>
    <row r="32" spans="2:34" ht="30" hidden="1" customHeight="1" x14ac:dyDescent="0.3">
      <c r="B32" s="29" t="s">
        <v>137</v>
      </c>
      <c r="C32" s="177" t="str">
        <f>+VLOOKUP(B32,Liste!B:E,2,FALSE)</f>
        <v>125 mm Delik İçine 26 mm Kalınlığında S420a ile Zemin Çivisi Teşkili</v>
      </c>
      <c r="D32" s="177"/>
      <c r="E32" s="177"/>
      <c r="F32" s="177"/>
      <c r="G32" s="177"/>
      <c r="H32" s="178"/>
      <c r="I32" s="22" t="s">
        <v>37</v>
      </c>
      <c r="J32" s="90" t="s">
        <v>1073</v>
      </c>
      <c r="K32" s="148" t="e">
        <f t="shared" si="0"/>
        <v>#VALUE!</v>
      </c>
      <c r="L32" s="71" t="str">
        <f>+IFERROR(VLOOKUP(B32,Metraj!B:P,15,FALSE),"")</f>
        <v/>
      </c>
      <c r="O32" s="81"/>
      <c r="P32" s="71"/>
      <c r="Q32" s="71"/>
      <c r="R32" s="71"/>
      <c r="S32" s="71"/>
      <c r="T32" s="71"/>
      <c r="U32" s="71"/>
      <c r="V32" s="71"/>
      <c r="W32" s="71">
        <v>0</v>
      </c>
      <c r="X32" s="71">
        <v>0</v>
      </c>
      <c r="Y32" s="71">
        <v>0</v>
      </c>
      <c r="Z32" s="71">
        <f>+IFERROR($L32-SUM($O32:Y32),0)</f>
        <v>0</v>
      </c>
      <c r="AA32" s="71">
        <f>+IFERROR($L32-SUM($O32:Z32),0)</f>
        <v>0</v>
      </c>
      <c r="AB32" s="71">
        <f>+IFERROR($L32-SUM($O32:AA32),0)</f>
        <v>0</v>
      </c>
      <c r="AC32" s="71">
        <f>+IFERROR($L32-SUM($O32:AB32),0)</f>
        <v>0</v>
      </c>
      <c r="AD32" s="71">
        <f>+IFERROR($L32-SUM($O32:AC32),0)</f>
        <v>0</v>
      </c>
      <c r="AE32" s="71">
        <f>+IFERROR($L32-SUM($O32:AD32),0)</f>
        <v>0</v>
      </c>
      <c r="AF32" s="71">
        <f>+IFERROR($L32-SUM($O32:AE32),0)</f>
        <v>0</v>
      </c>
      <c r="AG32" s="71">
        <f>+IFERROR($L32-SUM($O32:AF32),0)</f>
        <v>0</v>
      </c>
      <c r="AH32" s="71">
        <f>+IFERROR($L32-SUM($O32:AG32),0)</f>
        <v>0</v>
      </c>
    </row>
    <row r="33" spans="2:34" ht="30" customHeight="1" x14ac:dyDescent="0.3">
      <c r="B33" s="29" t="s">
        <v>138</v>
      </c>
      <c r="C33" s="177" t="str">
        <f>+VLOOKUP(B33,Liste!B:E,2,FALSE)</f>
        <v>Çelik İksa (Tünel ve Şaftlarda)</v>
      </c>
      <c r="D33" s="177"/>
      <c r="E33" s="177"/>
      <c r="F33" s="177"/>
      <c r="G33" s="177"/>
      <c r="H33" s="178"/>
      <c r="I33" s="22" t="s">
        <v>57</v>
      </c>
      <c r="J33" s="90">
        <v>41.752000000000002</v>
      </c>
      <c r="K33" s="148">
        <f t="shared" si="0"/>
        <v>2.7519999999999953</v>
      </c>
      <c r="L33" s="71">
        <f>+IFERROR(VLOOKUP(B33,Metraj!B:P,15,FALSE),"0")</f>
        <v>44.503999999999998</v>
      </c>
      <c r="O33" s="81"/>
      <c r="P33" s="71"/>
      <c r="Q33" s="71"/>
      <c r="R33" s="71"/>
      <c r="S33" s="71"/>
      <c r="T33" s="71"/>
      <c r="U33" s="71"/>
      <c r="V33" s="71"/>
      <c r="W33" s="71">
        <v>10.125</v>
      </c>
      <c r="X33" s="71">
        <v>27.520000000000003</v>
      </c>
      <c r="Y33" s="71">
        <v>4.1069999999999993</v>
      </c>
      <c r="Z33" s="71">
        <f>$L33-SUM($O33:Y33)</f>
        <v>2.7519999999999953</v>
      </c>
      <c r="AA33" s="71">
        <f>$L33-SUM($O33:Z33)</f>
        <v>0</v>
      </c>
      <c r="AB33" s="71">
        <f>$L33-SUM($O33:AA33)</f>
        <v>0</v>
      </c>
      <c r="AC33" s="71">
        <f>$L33-SUM($O33:AB33)</f>
        <v>0</v>
      </c>
      <c r="AD33" s="71">
        <f>$L33-SUM($O33:AC33)</f>
        <v>0</v>
      </c>
      <c r="AE33" s="71">
        <f>$L33-SUM($O33:AD33)</f>
        <v>0</v>
      </c>
      <c r="AF33" s="71">
        <f>$L33-SUM($O33:AE33)</f>
        <v>0</v>
      </c>
      <c r="AG33" s="71">
        <f>$L33-SUM($O33:AF33)</f>
        <v>0</v>
      </c>
      <c r="AH33" s="71">
        <f>$L33-SUM($O33:AG33)</f>
        <v>0</v>
      </c>
    </row>
    <row r="34" spans="2:34" ht="30" hidden="1" customHeight="1" x14ac:dyDescent="0.3">
      <c r="B34" s="29" t="s">
        <v>140</v>
      </c>
      <c r="C34" s="177" t="str">
        <f>+VLOOKUP(B34,Liste!B:E,2,FALSE)</f>
        <v>Umbrella Arch Yapılması</v>
      </c>
      <c r="D34" s="177"/>
      <c r="E34" s="177"/>
      <c r="F34" s="177"/>
      <c r="G34" s="177"/>
      <c r="H34" s="178"/>
      <c r="I34" s="22" t="s">
        <v>37</v>
      </c>
      <c r="J34" s="90" t="s">
        <v>1074</v>
      </c>
      <c r="K34" s="148">
        <f t="shared" si="0"/>
        <v>0</v>
      </c>
      <c r="L34" s="71" t="str">
        <f>+IFERROR(VLOOKUP(B34,Metraj!B:P,15,FALSE),"0")</f>
        <v>0</v>
      </c>
      <c r="O34" s="81"/>
      <c r="P34" s="71"/>
      <c r="Q34" s="71"/>
      <c r="R34" s="71"/>
      <c r="S34" s="71"/>
      <c r="T34" s="71"/>
      <c r="U34" s="71"/>
      <c r="V34" s="71"/>
      <c r="W34" s="71">
        <v>0</v>
      </c>
      <c r="X34" s="71">
        <v>0</v>
      </c>
      <c r="Y34" s="71">
        <v>0</v>
      </c>
      <c r="Z34" s="71">
        <f>$L34-SUM($O34:Y34)</f>
        <v>0</v>
      </c>
      <c r="AA34" s="71">
        <f>$L34-SUM($O34:Z34)</f>
        <v>0</v>
      </c>
      <c r="AB34" s="71">
        <f>$L34-SUM($O34:AA34)</f>
        <v>0</v>
      </c>
      <c r="AC34" s="71">
        <f>$L34-SUM($O34:AB34)</f>
        <v>0</v>
      </c>
      <c r="AD34" s="71">
        <f>$L34-SUM($O34:AC34)</f>
        <v>0</v>
      </c>
      <c r="AE34" s="71">
        <f>$L34-SUM($O34:AD34)</f>
        <v>0</v>
      </c>
      <c r="AF34" s="71">
        <f>$L34-SUM($O34:AE34)</f>
        <v>0</v>
      </c>
      <c r="AG34" s="71">
        <f>$L34-SUM($O34:AF34)</f>
        <v>0</v>
      </c>
      <c r="AH34" s="71">
        <f>$L34-SUM($O34:AG34)</f>
        <v>0</v>
      </c>
    </row>
    <row r="35" spans="2:34" ht="30" hidden="1" customHeight="1" x14ac:dyDescent="0.3">
      <c r="B35" s="29" t="s">
        <v>142</v>
      </c>
      <c r="C35" s="177" t="str">
        <f>+VLOOKUP(B35,Liste!B:E,2,FALSE)</f>
        <v>Tünel ve şaftlarda su yalıtımı, birim ağırlığı &gt;=500 g/metrekare geotekstil keçe</v>
      </c>
      <c r="D35" s="177"/>
      <c r="E35" s="177"/>
      <c r="F35" s="177"/>
      <c r="G35" s="177"/>
      <c r="H35" s="178"/>
      <c r="I35" s="22" t="s">
        <v>19</v>
      </c>
      <c r="J35" s="90" t="s">
        <v>1073</v>
      </c>
      <c r="K35" s="148" t="e">
        <f t="shared" si="0"/>
        <v>#VALUE!</v>
      </c>
      <c r="L35" s="71" t="str">
        <f>+IFERROR(VLOOKUP(B35,Metraj!B:P,15,FALSE),"")</f>
        <v/>
      </c>
      <c r="O35" s="81"/>
      <c r="P35" s="71"/>
      <c r="Q35" s="71"/>
      <c r="R35" s="71"/>
      <c r="S35" s="71"/>
      <c r="T35" s="71"/>
      <c r="U35" s="71"/>
      <c r="V35" s="71"/>
      <c r="W35" s="71">
        <v>0</v>
      </c>
      <c r="X35" s="71">
        <v>0</v>
      </c>
      <c r="Y35" s="71">
        <v>0</v>
      </c>
      <c r="Z35" s="71">
        <f>+IFERROR($L35-SUM($O35:Y35),0)</f>
        <v>0</v>
      </c>
      <c r="AA35" s="71">
        <f>+IFERROR($L35-SUM($O35:Z35),0)</f>
        <v>0</v>
      </c>
      <c r="AB35" s="71">
        <f>+IFERROR($L35-SUM($O35:AA35),0)</f>
        <v>0</v>
      </c>
      <c r="AC35" s="71">
        <f>+IFERROR($L35-SUM($O35:AB35),0)</f>
        <v>0</v>
      </c>
      <c r="AD35" s="71">
        <f>+IFERROR($L35-SUM($O35:AC35),0)</f>
        <v>0</v>
      </c>
      <c r="AE35" s="71">
        <f>+IFERROR($L35-SUM($O35:AD35),0)</f>
        <v>0</v>
      </c>
      <c r="AF35" s="71">
        <f>+IFERROR($L35-SUM($O35:AE35),0)</f>
        <v>0</v>
      </c>
      <c r="AG35" s="71">
        <f>+IFERROR($L35-SUM($O35:AF35),0)</f>
        <v>0</v>
      </c>
      <c r="AH35" s="71">
        <f>+IFERROR($L35-SUM($O35:AG35),0)</f>
        <v>0</v>
      </c>
    </row>
    <row r="36" spans="2:34" ht="30" hidden="1" customHeight="1" x14ac:dyDescent="0.3">
      <c r="B36" s="29" t="s">
        <v>144</v>
      </c>
      <c r="C36" s="177" t="str">
        <f>+VLOOKUP(B36,Liste!B:E,2,FALSE)</f>
        <v>Tünel ve şaftlarda su yalıtımı, 2mm kalınlıklı PVC membran</v>
      </c>
      <c r="D36" s="177"/>
      <c r="E36" s="177"/>
      <c r="F36" s="177"/>
      <c r="G36" s="177"/>
      <c r="H36" s="178"/>
      <c r="I36" s="22" t="s">
        <v>19</v>
      </c>
      <c r="J36" s="90" t="s">
        <v>1073</v>
      </c>
      <c r="K36" s="148" t="e">
        <f t="shared" si="0"/>
        <v>#VALUE!</v>
      </c>
      <c r="L36" s="71" t="str">
        <f>+IFERROR(VLOOKUP(B36,Metraj!B:P,15,FALSE),"")</f>
        <v/>
      </c>
      <c r="O36" s="81"/>
      <c r="P36" s="71"/>
      <c r="Q36" s="71"/>
      <c r="R36" s="71"/>
      <c r="S36" s="71"/>
      <c r="T36" s="71"/>
      <c r="U36" s="71"/>
      <c r="V36" s="71"/>
      <c r="W36" s="71">
        <v>0</v>
      </c>
      <c r="X36" s="71">
        <v>0</v>
      </c>
      <c r="Y36" s="71">
        <v>0</v>
      </c>
      <c r="Z36" s="71">
        <f>+IFERROR($L36-SUM($O36:Y36),0)</f>
        <v>0</v>
      </c>
      <c r="AA36" s="71">
        <f>+IFERROR($L36-SUM($O36:Z36),0)</f>
        <v>0</v>
      </c>
      <c r="AB36" s="71">
        <f>+IFERROR($L36-SUM($O36:AA36),0)</f>
        <v>0</v>
      </c>
      <c r="AC36" s="71">
        <f>+IFERROR($L36-SUM($O36:AB36),0)</f>
        <v>0</v>
      </c>
      <c r="AD36" s="71">
        <f>+IFERROR($L36-SUM($O36:AC36),0)</f>
        <v>0</v>
      </c>
      <c r="AE36" s="71">
        <f>+IFERROR($L36-SUM($O36:AD36),0)</f>
        <v>0</v>
      </c>
      <c r="AF36" s="71">
        <f>+IFERROR($L36-SUM($O36:AE36),0)</f>
        <v>0</v>
      </c>
      <c r="AG36" s="71">
        <f>+IFERROR($L36-SUM($O36:AF36),0)</f>
        <v>0</v>
      </c>
      <c r="AH36" s="71">
        <f>+IFERROR($L36-SUM($O36:AG36),0)</f>
        <v>0</v>
      </c>
    </row>
    <row r="37" spans="2:34" ht="30" hidden="1" customHeight="1" x14ac:dyDescent="0.3">
      <c r="B37" s="29" t="s">
        <v>146</v>
      </c>
      <c r="C37" s="177" t="str">
        <f>+VLOOKUP(B37,Liste!B:E,2,FALSE)</f>
        <v>Su Tutucular (Tünel ve Şaftlarda)</v>
      </c>
      <c r="D37" s="177"/>
      <c r="E37" s="177"/>
      <c r="F37" s="177"/>
      <c r="G37" s="177"/>
      <c r="H37" s="178"/>
      <c r="I37" s="22" t="s">
        <v>37</v>
      </c>
      <c r="J37" s="90" t="s">
        <v>1073</v>
      </c>
      <c r="K37" s="148" t="e">
        <f t="shared" si="0"/>
        <v>#VALUE!</v>
      </c>
      <c r="L37" s="71" t="str">
        <f>+IFERROR(VLOOKUP(B37,Metraj!B:P,15,FALSE),"")</f>
        <v/>
      </c>
      <c r="O37" s="81"/>
      <c r="P37" s="71"/>
      <c r="Q37" s="71"/>
      <c r="R37" s="71"/>
      <c r="S37" s="71"/>
      <c r="T37" s="71"/>
      <c r="U37" s="71"/>
      <c r="V37" s="71"/>
      <c r="W37" s="71">
        <v>0</v>
      </c>
      <c r="X37" s="71">
        <v>0</v>
      </c>
      <c r="Y37" s="71">
        <v>0</v>
      </c>
      <c r="Z37" s="71">
        <f>+IFERROR($L37-SUM($O37:Y37),0)</f>
        <v>0</v>
      </c>
      <c r="AA37" s="71">
        <f>+IFERROR($L37-SUM($O37:Z37),0)</f>
        <v>0</v>
      </c>
      <c r="AB37" s="71">
        <f>+IFERROR($L37-SUM($O37:AA37),0)</f>
        <v>0</v>
      </c>
      <c r="AC37" s="71">
        <f>+IFERROR($L37-SUM($O37:AB37),0)</f>
        <v>0</v>
      </c>
      <c r="AD37" s="71">
        <f>+IFERROR($L37-SUM($O37:AC37),0)</f>
        <v>0</v>
      </c>
      <c r="AE37" s="71">
        <f>+IFERROR($L37-SUM($O37:AD37),0)</f>
        <v>0</v>
      </c>
      <c r="AF37" s="71">
        <f>+IFERROR($L37-SUM($O37:AE37),0)</f>
        <v>0</v>
      </c>
      <c r="AG37" s="71">
        <f>+IFERROR($L37-SUM($O37:AF37),0)</f>
        <v>0</v>
      </c>
      <c r="AH37" s="71">
        <f>+IFERROR($L37-SUM($O37:AG37),0)</f>
        <v>0</v>
      </c>
    </row>
    <row r="38" spans="2:34" ht="30" hidden="1" customHeight="1" x14ac:dyDescent="0.3">
      <c r="B38" s="29" t="s">
        <v>148</v>
      </c>
      <c r="C38" s="177" t="str">
        <f>+VLOOKUP(B38,Liste!B:E,2,FALSE)</f>
        <v>Kalıp (invert ve şaft için)</v>
      </c>
      <c r="D38" s="177"/>
      <c r="E38" s="177"/>
      <c r="F38" s="177"/>
      <c r="G38" s="177"/>
      <c r="H38" s="178"/>
      <c r="I38" s="22" t="s">
        <v>19</v>
      </c>
      <c r="J38" s="90" t="s">
        <v>1073</v>
      </c>
      <c r="K38" s="148" t="e">
        <f t="shared" si="0"/>
        <v>#VALUE!</v>
      </c>
      <c r="L38" s="71" t="str">
        <f>+IFERROR(VLOOKUP(B38,Metraj!B:P,15,FALSE),"")</f>
        <v/>
      </c>
      <c r="O38" s="81"/>
      <c r="P38" s="71"/>
      <c r="Q38" s="71"/>
      <c r="R38" s="71"/>
      <c r="S38" s="71"/>
      <c r="T38" s="71"/>
      <c r="U38" s="71"/>
      <c r="V38" s="71"/>
      <c r="W38" s="71">
        <v>0</v>
      </c>
      <c r="X38" s="71">
        <v>0</v>
      </c>
      <c r="Y38" s="71">
        <v>0</v>
      </c>
      <c r="Z38" s="71">
        <f>+IFERROR($L38-SUM($O38:Y38),0)</f>
        <v>0</v>
      </c>
      <c r="AA38" s="71">
        <f>+IFERROR($L38-SUM($O38:Z38),0)</f>
        <v>0</v>
      </c>
      <c r="AB38" s="71">
        <f>+IFERROR($L38-SUM($O38:AA38),0)</f>
        <v>0</v>
      </c>
      <c r="AC38" s="71">
        <f>+IFERROR($L38-SUM($O38:AB38),0)</f>
        <v>0</v>
      </c>
      <c r="AD38" s="71">
        <f>+IFERROR($L38-SUM($O38:AC38),0)</f>
        <v>0</v>
      </c>
      <c r="AE38" s="71">
        <f>+IFERROR($L38-SUM($O38:AD38),0)</f>
        <v>0</v>
      </c>
      <c r="AF38" s="71">
        <f>+IFERROR($L38-SUM($O38:AE38),0)</f>
        <v>0</v>
      </c>
      <c r="AG38" s="71">
        <f>+IFERROR($L38-SUM($O38:AF38),0)</f>
        <v>0</v>
      </c>
      <c r="AH38" s="71">
        <f>+IFERROR($L38-SUM($O38:AG38),0)</f>
        <v>0</v>
      </c>
    </row>
    <row r="39" spans="2:34" ht="30" hidden="1" customHeight="1" x14ac:dyDescent="0.3">
      <c r="B39" s="29" t="s">
        <v>150</v>
      </c>
      <c r="C39" s="177" t="str">
        <f>+VLOOKUP(B39,Liste!B:E,2,FALSE)</f>
        <v>Kalıp (duvar ve kemer İçin)</v>
      </c>
      <c r="D39" s="177"/>
      <c r="E39" s="177"/>
      <c r="F39" s="177"/>
      <c r="G39" s="177"/>
      <c r="H39" s="178"/>
      <c r="I39" s="22" t="s">
        <v>19</v>
      </c>
      <c r="J39" s="90" t="s">
        <v>1073</v>
      </c>
      <c r="K39" s="148" t="e">
        <f t="shared" si="0"/>
        <v>#VALUE!</v>
      </c>
      <c r="L39" s="71" t="str">
        <f>+IFERROR(VLOOKUP(B39,Metraj!B:P,15,FALSE),"")</f>
        <v/>
      </c>
      <c r="O39" s="81"/>
      <c r="P39" s="71"/>
      <c r="Q39" s="71"/>
      <c r="R39" s="71"/>
      <c r="S39" s="71"/>
      <c r="T39" s="71"/>
      <c r="U39" s="71"/>
      <c r="V39" s="71"/>
      <c r="W39" s="71">
        <v>0</v>
      </c>
      <c r="X39" s="71">
        <v>0</v>
      </c>
      <c r="Y39" s="71">
        <v>0</v>
      </c>
      <c r="Z39" s="71">
        <f>+IFERROR($L39-SUM($O39:Y39),0)</f>
        <v>0</v>
      </c>
      <c r="AA39" s="71">
        <f>+IFERROR($L39-SUM($O39:Z39),0)</f>
        <v>0</v>
      </c>
      <c r="AB39" s="71">
        <f>+IFERROR($L39-SUM($O39:AA39),0)</f>
        <v>0</v>
      </c>
      <c r="AC39" s="71">
        <f>+IFERROR($L39-SUM($O39:AB39),0)</f>
        <v>0</v>
      </c>
      <c r="AD39" s="71">
        <f>+IFERROR($L39-SUM($O39:AC39),0)</f>
        <v>0</v>
      </c>
      <c r="AE39" s="71">
        <f>+IFERROR($L39-SUM($O39:AD39),0)</f>
        <v>0</v>
      </c>
      <c r="AF39" s="71">
        <f>+IFERROR($L39-SUM($O39:AE39),0)</f>
        <v>0</v>
      </c>
      <c r="AG39" s="71">
        <f>+IFERROR($L39-SUM($O39:AF39),0)</f>
        <v>0</v>
      </c>
      <c r="AH39" s="71">
        <f>+IFERROR($L39-SUM($O39:AG39),0)</f>
        <v>0</v>
      </c>
    </row>
    <row r="40" spans="2:34" ht="30" hidden="1" customHeight="1" x14ac:dyDescent="0.3">
      <c r="B40" s="29" t="s">
        <v>152</v>
      </c>
      <c r="C40" s="177" t="str">
        <f>+VLOOKUP(B40,Liste!B:E,2,FALSE)</f>
        <v>Tip Kesit Dışı Konstrüksiyon Kalıbı, Tünel Alın Kalıbı</v>
      </c>
      <c r="D40" s="177"/>
      <c r="E40" s="177"/>
      <c r="F40" s="177"/>
      <c r="G40" s="177"/>
      <c r="H40" s="178"/>
      <c r="I40" s="22" t="s">
        <v>19</v>
      </c>
      <c r="J40" s="90" t="s">
        <v>1073</v>
      </c>
      <c r="K40" s="148" t="e">
        <f t="shared" si="0"/>
        <v>#VALUE!</v>
      </c>
      <c r="L40" s="71" t="str">
        <f>+IFERROR(VLOOKUP(B40,Metraj!B:P,15,FALSE),"")</f>
        <v/>
      </c>
      <c r="O40" s="81"/>
      <c r="P40" s="71"/>
      <c r="Q40" s="71"/>
      <c r="R40" s="71"/>
      <c r="S40" s="71"/>
      <c r="T40" s="71"/>
      <c r="U40" s="71"/>
      <c r="V40" s="71"/>
      <c r="W40" s="71">
        <v>0</v>
      </c>
      <c r="X40" s="71">
        <v>0</v>
      </c>
      <c r="Y40" s="71">
        <v>0</v>
      </c>
      <c r="Z40" s="71">
        <f>+IFERROR($L40-SUM($O40:Y40),0)</f>
        <v>0</v>
      </c>
      <c r="AA40" s="71">
        <f>+IFERROR($L40-SUM($O40:Z40),0)</f>
        <v>0</v>
      </c>
      <c r="AB40" s="71">
        <f>+IFERROR($L40-SUM($O40:AA40),0)</f>
        <v>0</v>
      </c>
      <c r="AC40" s="71">
        <f>+IFERROR($L40-SUM($O40:AB40),0)</f>
        <v>0</v>
      </c>
      <c r="AD40" s="71">
        <f>+IFERROR($L40-SUM($O40:AC40),0)</f>
        <v>0</v>
      </c>
      <c r="AE40" s="71">
        <f>+IFERROR($L40-SUM($O40:AD40),0)</f>
        <v>0</v>
      </c>
      <c r="AF40" s="71">
        <f>+IFERROR($L40-SUM($O40:AE40),0)</f>
        <v>0</v>
      </c>
      <c r="AG40" s="71">
        <f>+IFERROR($L40-SUM($O40:AF40),0)</f>
        <v>0</v>
      </c>
      <c r="AH40" s="71">
        <f>+IFERROR($L40-SUM($O40:AG40),0)</f>
        <v>0</v>
      </c>
    </row>
    <row r="41" spans="2:34" ht="30" hidden="1" customHeight="1" x14ac:dyDescent="0.3">
      <c r="B41" s="29" t="s">
        <v>154</v>
      </c>
      <c r="C41" s="177" t="str">
        <f>+VLOOKUP(B41,Liste!B:E,2,FALSE)</f>
        <v>C16 Beton İmali ve Dökülmesi (Tünel ve Şaftlarda)</v>
      </c>
      <c r="D41" s="177"/>
      <c r="E41" s="177"/>
      <c r="F41" s="177"/>
      <c r="G41" s="177"/>
      <c r="H41" s="178"/>
      <c r="I41" s="22" t="s">
        <v>22</v>
      </c>
      <c r="J41" s="90" t="s">
        <v>1073</v>
      </c>
      <c r="K41" s="148" t="e">
        <f t="shared" si="0"/>
        <v>#VALUE!</v>
      </c>
      <c r="L41" s="71" t="str">
        <f>+IFERROR(VLOOKUP(B41,Metraj!B:P,15,FALSE),"")</f>
        <v/>
      </c>
      <c r="O41" s="81"/>
      <c r="P41" s="71"/>
      <c r="Q41" s="71"/>
      <c r="R41" s="71"/>
      <c r="S41" s="71"/>
      <c r="T41" s="71"/>
      <c r="U41" s="71"/>
      <c r="V41" s="71"/>
      <c r="W41" s="71">
        <v>0</v>
      </c>
      <c r="X41" s="71">
        <v>0</v>
      </c>
      <c r="Y41" s="71">
        <v>0</v>
      </c>
      <c r="Z41" s="71">
        <f>+IFERROR($L41-SUM($O41:Y41),0)</f>
        <v>0</v>
      </c>
      <c r="AA41" s="71">
        <f>+IFERROR($L41-SUM($O41:Z41),0)</f>
        <v>0</v>
      </c>
      <c r="AB41" s="71">
        <f>+IFERROR($L41-SUM($O41:AA41),0)</f>
        <v>0</v>
      </c>
      <c r="AC41" s="71">
        <f>+IFERROR($L41-SUM($O41:AB41),0)</f>
        <v>0</v>
      </c>
      <c r="AD41" s="71">
        <f>+IFERROR($L41-SUM($O41:AC41),0)</f>
        <v>0</v>
      </c>
      <c r="AE41" s="71">
        <f>+IFERROR($L41-SUM($O41:AD41),0)</f>
        <v>0</v>
      </c>
      <c r="AF41" s="71">
        <f>+IFERROR($L41-SUM($O41:AE41),0)</f>
        <v>0</v>
      </c>
      <c r="AG41" s="71">
        <f>+IFERROR($L41-SUM($O41:AF41),0)</f>
        <v>0</v>
      </c>
      <c r="AH41" s="71">
        <f>+IFERROR($L41-SUM($O41:AG41),0)</f>
        <v>0</v>
      </c>
    </row>
    <row r="42" spans="2:34" ht="30" hidden="1" customHeight="1" x14ac:dyDescent="0.3">
      <c r="B42" s="29" t="s">
        <v>156</v>
      </c>
      <c r="C42" s="177" t="str">
        <f>+VLOOKUP(B42,Liste!B:E,2,FALSE)</f>
        <v>C30 Beton İmali ve Dökülmesi (Tünel ve Şaftlarda) Tünel kaplaması, invert ve şaftlardaki alt döşeme</v>
      </c>
      <c r="D42" s="177"/>
      <c r="E42" s="177"/>
      <c r="F42" s="177"/>
      <c r="G42" s="177"/>
      <c r="H42" s="178"/>
      <c r="I42" s="22" t="s">
        <v>22</v>
      </c>
      <c r="J42" s="90" t="s">
        <v>1073</v>
      </c>
      <c r="K42" s="148" t="e">
        <f t="shared" si="0"/>
        <v>#VALUE!</v>
      </c>
      <c r="L42" s="71" t="str">
        <f>+IFERROR(VLOOKUP(B42,Metraj!B:P,15,FALSE),"")</f>
        <v/>
      </c>
      <c r="O42" s="81"/>
      <c r="P42" s="71"/>
      <c r="Q42" s="71"/>
      <c r="R42" s="71"/>
      <c r="S42" s="71"/>
      <c r="T42" s="71"/>
      <c r="U42" s="71"/>
      <c r="V42" s="71"/>
      <c r="W42" s="71">
        <v>0</v>
      </c>
      <c r="X42" s="71">
        <v>0</v>
      </c>
      <c r="Y42" s="71">
        <v>0</v>
      </c>
      <c r="Z42" s="71">
        <f>+IFERROR($L42-SUM($O42:Y42),0)</f>
        <v>0</v>
      </c>
      <c r="AA42" s="71">
        <f>+IFERROR($L42-SUM($O42:Z42),0)</f>
        <v>0</v>
      </c>
      <c r="AB42" s="71">
        <f>+IFERROR($L42-SUM($O42:AA42),0)</f>
        <v>0</v>
      </c>
      <c r="AC42" s="71">
        <f>+IFERROR($L42-SUM($O42:AB42),0)</f>
        <v>0</v>
      </c>
      <c r="AD42" s="71">
        <f>+IFERROR($L42-SUM($O42:AC42),0)</f>
        <v>0</v>
      </c>
      <c r="AE42" s="71">
        <f>+IFERROR($L42-SUM($O42:AD42),0)</f>
        <v>0</v>
      </c>
      <c r="AF42" s="71">
        <f>+IFERROR($L42-SUM($O42:AE42),0)</f>
        <v>0</v>
      </c>
      <c r="AG42" s="71">
        <f>+IFERROR($L42-SUM($O42:AF42),0)</f>
        <v>0</v>
      </c>
      <c r="AH42" s="71">
        <f>+IFERROR($L42-SUM($O42:AG42),0)</f>
        <v>0</v>
      </c>
    </row>
    <row r="43" spans="2:34" ht="30" hidden="1" customHeight="1" x14ac:dyDescent="0.3">
      <c r="B43" s="29" t="s">
        <v>158</v>
      </c>
      <c r="C43" s="177" t="str">
        <f>+VLOOKUP(B43,Liste!B:E,2,FALSE)</f>
        <v>C30 Beton İmali ve Dökülmesi (Tünel ve Şaftlarda) Yan duvarlar, kemer</v>
      </c>
      <c r="D43" s="177"/>
      <c r="E43" s="177"/>
      <c r="F43" s="177"/>
      <c r="G43" s="177"/>
      <c r="H43" s="178"/>
      <c r="I43" s="22" t="s">
        <v>22</v>
      </c>
      <c r="J43" s="90" t="s">
        <v>1073</v>
      </c>
      <c r="K43" s="148" t="e">
        <f t="shared" si="0"/>
        <v>#VALUE!</v>
      </c>
      <c r="L43" s="71" t="str">
        <f>+IFERROR(VLOOKUP(B43,Metraj!B:P,15,FALSE),"")</f>
        <v/>
      </c>
      <c r="O43" s="81"/>
      <c r="P43" s="71"/>
      <c r="Q43" s="71"/>
      <c r="R43" s="71"/>
      <c r="S43" s="71"/>
      <c r="T43" s="71"/>
      <c r="U43" s="71"/>
      <c r="V43" s="71"/>
      <c r="W43" s="71">
        <v>0</v>
      </c>
      <c r="X43" s="71">
        <v>0</v>
      </c>
      <c r="Y43" s="71">
        <v>0</v>
      </c>
      <c r="Z43" s="71">
        <f>+IFERROR($L43-SUM($O43:Y43),0)</f>
        <v>0</v>
      </c>
      <c r="AA43" s="71">
        <f>+IFERROR($L43-SUM($O43:Z43),0)</f>
        <v>0</v>
      </c>
      <c r="AB43" s="71">
        <f>+IFERROR($L43-SUM($O43:AA43),0)</f>
        <v>0</v>
      </c>
      <c r="AC43" s="71">
        <f>+IFERROR($L43-SUM($O43:AB43),0)</f>
        <v>0</v>
      </c>
      <c r="AD43" s="71">
        <f>+IFERROR($L43-SUM($O43:AC43),0)</f>
        <v>0</v>
      </c>
      <c r="AE43" s="71">
        <f>+IFERROR($L43-SUM($O43:AD43),0)</f>
        <v>0</v>
      </c>
      <c r="AF43" s="71">
        <f>+IFERROR($L43-SUM($O43:AE43),0)</f>
        <v>0</v>
      </c>
      <c r="AG43" s="71">
        <f>+IFERROR($L43-SUM($O43:AF43),0)</f>
        <v>0</v>
      </c>
      <c r="AH43" s="71">
        <f>+IFERROR($L43-SUM($O43:AG43),0)</f>
        <v>0</v>
      </c>
    </row>
    <row r="44" spans="2:34" ht="30" hidden="1" customHeight="1" x14ac:dyDescent="0.3">
      <c r="B44" s="29" t="s">
        <v>160</v>
      </c>
      <c r="C44" s="177" t="str">
        <f>+VLOOKUP(B44,Liste!B:E,2,FALSE)</f>
        <v>Diğer Kesit Dışındaki Yapıların Betonu C30</v>
      </c>
      <c r="D44" s="177"/>
      <c r="E44" s="177"/>
      <c r="F44" s="177"/>
      <c r="G44" s="177"/>
      <c r="H44" s="178"/>
      <c r="I44" s="22" t="s">
        <v>22</v>
      </c>
      <c r="J44" s="90" t="s">
        <v>1073</v>
      </c>
      <c r="K44" s="148" t="e">
        <f t="shared" si="0"/>
        <v>#VALUE!</v>
      </c>
      <c r="L44" s="71" t="str">
        <f>+IFERROR(VLOOKUP(B44,Metraj!B:P,15,FALSE),"")</f>
        <v/>
      </c>
      <c r="O44" s="81"/>
      <c r="P44" s="71"/>
      <c r="Q44" s="71"/>
      <c r="R44" s="71"/>
      <c r="S44" s="71"/>
      <c r="T44" s="71"/>
      <c r="U44" s="71"/>
      <c r="V44" s="71"/>
      <c r="W44" s="71">
        <v>0</v>
      </c>
      <c r="X44" s="71">
        <v>0</v>
      </c>
      <c r="Y44" s="71">
        <v>0</v>
      </c>
      <c r="Z44" s="71">
        <f>+IFERROR($L44-SUM($O44:Y44),0)</f>
        <v>0</v>
      </c>
      <c r="AA44" s="71">
        <f>+IFERROR($L44-SUM($O44:Z44),0)</f>
        <v>0</v>
      </c>
      <c r="AB44" s="71">
        <f>+IFERROR($L44-SUM($O44:AA44),0)</f>
        <v>0</v>
      </c>
      <c r="AC44" s="71">
        <f>+IFERROR($L44-SUM($O44:AB44),0)</f>
        <v>0</v>
      </c>
      <c r="AD44" s="71">
        <f>+IFERROR($L44-SUM($O44:AC44),0)</f>
        <v>0</v>
      </c>
      <c r="AE44" s="71">
        <f>+IFERROR($L44-SUM($O44:AD44),0)</f>
        <v>0</v>
      </c>
      <c r="AF44" s="71">
        <f>+IFERROR($L44-SUM($O44:AE44),0)</f>
        <v>0</v>
      </c>
      <c r="AG44" s="71">
        <f>+IFERROR($L44-SUM($O44:AF44),0)</f>
        <v>0</v>
      </c>
      <c r="AH44" s="71">
        <f>+IFERROR($L44-SUM($O44:AG44),0)</f>
        <v>0</v>
      </c>
    </row>
    <row r="45" spans="2:34" ht="30" customHeight="1" x14ac:dyDescent="0.3">
      <c r="B45" s="29" t="s">
        <v>162</v>
      </c>
      <c r="C45" s="177" t="str">
        <f>+VLOOKUP(B45,Liste!B:E,2,FALSE)</f>
        <v>Çelik Donatı (S220 )</v>
      </c>
      <c r="D45" s="177"/>
      <c r="E45" s="177"/>
      <c r="F45" s="177"/>
      <c r="G45" s="177"/>
      <c r="H45" s="178"/>
      <c r="I45" s="22" t="s">
        <v>57</v>
      </c>
      <c r="J45" s="90">
        <v>0.626</v>
      </c>
      <c r="K45" s="148">
        <f t="shared" si="0"/>
        <v>3.400000000000003E-2</v>
      </c>
      <c r="L45" s="71">
        <f>+IFERROR(VLOOKUP(B45,Metraj!B:P,15,FALSE),"0")</f>
        <v>0.66</v>
      </c>
      <c r="O45" s="81"/>
      <c r="P45" s="71"/>
      <c r="Q45" s="71"/>
      <c r="R45" s="71"/>
      <c r="S45" s="71"/>
      <c r="T45" s="71"/>
      <c r="V45" s="71"/>
      <c r="W45" s="71">
        <v>0.151</v>
      </c>
      <c r="X45" s="71">
        <v>0.41299999999999998</v>
      </c>
      <c r="Y45" s="71">
        <v>6.2E-2</v>
      </c>
      <c r="Z45" s="71">
        <f>$L45-SUM($O45:Y45)</f>
        <v>3.4000000000000141E-2</v>
      </c>
      <c r="AA45" s="71">
        <f>$L45-SUM($O45:Z45)</f>
        <v>0</v>
      </c>
      <c r="AB45" s="71">
        <f>$L45-SUM($O45:AA45)</f>
        <v>0</v>
      </c>
      <c r="AC45" s="71">
        <f>$L45-SUM($O45:AB45)</f>
        <v>0</v>
      </c>
      <c r="AD45" s="71">
        <f>$L45-SUM($O45:AC45)</f>
        <v>0</v>
      </c>
      <c r="AE45" s="71">
        <f>$L45-SUM($O45:AD45)</f>
        <v>0</v>
      </c>
      <c r="AF45" s="71">
        <f>$L45-SUM($O45:AE45)</f>
        <v>0</v>
      </c>
      <c r="AG45" s="71">
        <f>$L45-SUM($O45:AF45)</f>
        <v>0</v>
      </c>
      <c r="AH45" s="71">
        <f>$L45-SUM($O45:AG45)</f>
        <v>0</v>
      </c>
    </row>
    <row r="46" spans="2:34" ht="30" hidden="1" customHeight="1" x14ac:dyDescent="0.3">
      <c r="B46" s="29" t="s">
        <v>164</v>
      </c>
      <c r="C46" s="177" t="str">
        <f>+VLOOKUP(B46,Liste!B:E,2,FALSE)</f>
        <v>Çelik Donatı (S420a )</v>
      </c>
      <c r="D46" s="177"/>
      <c r="E46" s="177"/>
      <c r="F46" s="177"/>
      <c r="G46" s="177"/>
      <c r="H46" s="178"/>
      <c r="I46" s="22" t="s">
        <v>57</v>
      </c>
      <c r="J46" s="90">
        <v>0</v>
      </c>
      <c r="K46" s="148">
        <f t="shared" si="0"/>
        <v>0</v>
      </c>
      <c r="L46" s="71">
        <f>+IFERROR(VLOOKUP(B46,Metraj!B:P,15,FALSE),"")</f>
        <v>0</v>
      </c>
      <c r="O46" s="81"/>
      <c r="P46" s="71"/>
      <c r="Q46" s="71"/>
      <c r="R46" s="71"/>
      <c r="S46" s="71"/>
      <c r="T46" s="71"/>
      <c r="V46" s="71"/>
      <c r="W46" s="71">
        <v>0</v>
      </c>
      <c r="X46" s="71">
        <v>0</v>
      </c>
      <c r="Y46" s="71">
        <v>0</v>
      </c>
      <c r="Z46" s="71">
        <f>+IFERROR($L46-SUM($O46:Y46),0)</f>
        <v>0</v>
      </c>
      <c r="AA46" s="71">
        <f>+IFERROR($L46-SUM($O46:Z46),0)</f>
        <v>0</v>
      </c>
      <c r="AB46" s="71">
        <f>+IFERROR($L46-SUM($O46:AA46),0)</f>
        <v>0</v>
      </c>
      <c r="AC46" s="71">
        <f>+IFERROR($L46-SUM($O46:AB46),0)</f>
        <v>0</v>
      </c>
      <c r="AD46" s="71">
        <f>+IFERROR($L46-SUM($O46:AC46),0)</f>
        <v>0</v>
      </c>
      <c r="AE46" s="71">
        <f>+IFERROR($L46-SUM($O46:AD46),0)</f>
        <v>0</v>
      </c>
      <c r="AF46" s="71">
        <f>+IFERROR($L46-SUM($O46:AE46),0)</f>
        <v>0</v>
      </c>
      <c r="AG46" s="71">
        <f>+IFERROR($L46-SUM($O46:AF46),0)</f>
        <v>0</v>
      </c>
      <c r="AH46" s="71">
        <f>+IFERROR($L46-SUM($O46:AG46),0)</f>
        <v>0</v>
      </c>
    </row>
    <row r="47" spans="2:34" ht="30" customHeight="1" x14ac:dyDescent="0.3">
      <c r="B47" s="29" t="s">
        <v>166</v>
      </c>
      <c r="C47" s="177" t="str">
        <f>+VLOOKUP(B47,Liste!B:E,2,FALSE)</f>
        <v>Çelik hasır (S500 )</v>
      </c>
      <c r="D47" s="177"/>
      <c r="E47" s="177"/>
      <c r="F47" s="177"/>
      <c r="G47" s="177"/>
      <c r="H47" s="178"/>
      <c r="I47" s="22" t="s">
        <v>57</v>
      </c>
      <c r="J47" s="90">
        <v>10.707000000000001</v>
      </c>
      <c r="K47" s="148">
        <f t="shared" si="0"/>
        <v>1.9539999999999988</v>
      </c>
      <c r="L47" s="71">
        <f>+IFERROR(VLOOKUP(B47,Metraj!B:P,15,FALSE),"0")</f>
        <v>12.661</v>
      </c>
      <c r="O47" s="81"/>
      <c r="P47" s="71"/>
      <c r="Q47" s="71"/>
      <c r="R47" s="71"/>
      <c r="S47" s="71"/>
      <c r="T47" s="71"/>
      <c r="V47" s="71"/>
      <c r="W47" s="71">
        <v>2.7650000000000001</v>
      </c>
      <c r="X47" s="71">
        <v>6.9059999999999988</v>
      </c>
      <c r="Y47" s="71">
        <v>1.0360000000000014</v>
      </c>
      <c r="Z47" s="71">
        <f>$L47-SUM($O47:Y47)</f>
        <v>1.9539999999999988</v>
      </c>
      <c r="AA47" s="71">
        <f>$L47-SUM($O47:Z47)</f>
        <v>0</v>
      </c>
      <c r="AB47" s="71">
        <f>$L47-SUM($O47:AA47)</f>
        <v>0</v>
      </c>
      <c r="AC47" s="71">
        <f>$L47-SUM($O47:AB47)</f>
        <v>0</v>
      </c>
      <c r="AD47" s="71">
        <f>$L47-SUM($O47:AC47)</f>
        <v>0</v>
      </c>
      <c r="AE47" s="71">
        <f>$L47-SUM($O47:AD47)</f>
        <v>0</v>
      </c>
      <c r="AF47" s="71">
        <f>$L47-SUM($O47:AE47)</f>
        <v>0</v>
      </c>
      <c r="AG47" s="71">
        <f>$L47-SUM($O47:AF47)</f>
        <v>0</v>
      </c>
      <c r="AH47" s="71">
        <f>$L47-SUM($O47:AG47)</f>
        <v>0</v>
      </c>
    </row>
    <row r="48" spans="2:34" ht="30" hidden="1" customHeight="1" x14ac:dyDescent="0.3">
      <c r="B48" s="29" t="s">
        <v>168</v>
      </c>
      <c r="C48" s="177" t="str">
        <f>+VLOOKUP(B48,Liste!B:E,2,FALSE)</f>
        <v>Paslanmaz Çelik Plaka</v>
      </c>
      <c r="D48" s="177"/>
      <c r="E48" s="177"/>
      <c r="F48" s="177"/>
      <c r="G48" s="177"/>
      <c r="H48" s="178"/>
      <c r="I48" s="22" t="s">
        <v>170</v>
      </c>
      <c r="J48" s="90" t="s">
        <v>1073</v>
      </c>
      <c r="K48" s="148" t="e">
        <f t="shared" si="0"/>
        <v>#VALUE!</v>
      </c>
      <c r="L48" s="71" t="str">
        <f>+IFERROR(VLOOKUP(B48,Metraj!B:P,15,FALSE),"")</f>
        <v/>
      </c>
      <c r="O48" s="81"/>
      <c r="P48" s="71"/>
      <c r="Q48" s="71"/>
      <c r="R48" s="71"/>
      <c r="S48" s="71"/>
      <c r="T48" s="71"/>
      <c r="U48" s="71"/>
      <c r="V48" s="71"/>
      <c r="W48" s="71">
        <v>0</v>
      </c>
      <c r="X48" s="71">
        <v>0</v>
      </c>
      <c r="Y48" s="71">
        <v>0</v>
      </c>
      <c r="Z48" s="71">
        <f>+IFERROR($L48-SUM($O48:Y48),0)</f>
        <v>0</v>
      </c>
      <c r="AA48" s="71">
        <f>+IFERROR($L48-SUM($O48:Z48),0)</f>
        <v>0</v>
      </c>
      <c r="AB48" s="71">
        <f>+IFERROR($L48-SUM($O48:AA48),0)</f>
        <v>0</v>
      </c>
      <c r="AC48" s="71">
        <f>+IFERROR($L48-SUM($O48:AB48),0)</f>
        <v>0</v>
      </c>
      <c r="AD48" s="71">
        <f>+IFERROR($L48-SUM($O48:AC48),0)</f>
        <v>0</v>
      </c>
      <c r="AE48" s="71">
        <f>+IFERROR($L48-SUM($O48:AD48),0)</f>
        <v>0</v>
      </c>
      <c r="AF48" s="71">
        <f>+IFERROR($L48-SUM($O48:AE48),0)</f>
        <v>0</v>
      </c>
      <c r="AG48" s="71">
        <f>+IFERROR($L48-SUM($O48:AF48),0)</f>
        <v>0</v>
      </c>
      <c r="AH48" s="71">
        <f>+IFERROR($L48-SUM($O48:AG48),0)</f>
        <v>0</v>
      </c>
    </row>
    <row r="49" spans="2:34" ht="30" hidden="1" customHeight="1" x14ac:dyDescent="0.3">
      <c r="B49" s="29" t="s">
        <v>171</v>
      </c>
      <c r="C49" s="177" t="str">
        <f>+VLOOKUP(B49,Liste!B:E,2,FALSE)</f>
        <v>Block-out Kutusu</v>
      </c>
      <c r="D49" s="177"/>
      <c r="E49" s="177"/>
      <c r="F49" s="177"/>
      <c r="G49" s="177"/>
      <c r="H49" s="178"/>
      <c r="I49" s="22" t="s">
        <v>170</v>
      </c>
      <c r="J49" s="90" t="s">
        <v>1073</v>
      </c>
      <c r="K49" s="148" t="e">
        <f t="shared" si="0"/>
        <v>#VALUE!</v>
      </c>
      <c r="L49" s="71" t="str">
        <f>+IFERROR(VLOOKUP(B49,Metraj!B:P,15,FALSE),"")</f>
        <v/>
      </c>
      <c r="O49" s="81"/>
      <c r="P49" s="71"/>
      <c r="Q49" s="71"/>
      <c r="R49" s="71"/>
      <c r="S49" s="71"/>
      <c r="T49" s="71"/>
      <c r="U49" s="71"/>
      <c r="V49" s="71"/>
      <c r="W49" s="71">
        <v>0</v>
      </c>
      <c r="X49" s="71">
        <v>0</v>
      </c>
      <c r="Y49" s="71">
        <v>0</v>
      </c>
      <c r="Z49" s="71">
        <f>+IFERROR($L49-SUM($O49:Y49),0)</f>
        <v>0</v>
      </c>
      <c r="AA49" s="71">
        <f>+IFERROR($L49-SUM($O49:Z49),0)</f>
        <v>0</v>
      </c>
      <c r="AB49" s="71">
        <f>+IFERROR($L49-SUM($O49:AA49),0)</f>
        <v>0</v>
      </c>
      <c r="AC49" s="71">
        <f>+IFERROR($L49-SUM($O49:AB49),0)</f>
        <v>0</v>
      </c>
      <c r="AD49" s="71">
        <f>+IFERROR($L49-SUM($O49:AC49),0)</f>
        <v>0</v>
      </c>
      <c r="AE49" s="71">
        <f>+IFERROR($L49-SUM($O49:AD49),0)</f>
        <v>0</v>
      </c>
      <c r="AF49" s="71">
        <f>+IFERROR($L49-SUM($O49:AE49),0)</f>
        <v>0</v>
      </c>
      <c r="AG49" s="71">
        <f>+IFERROR($L49-SUM($O49:AF49),0)</f>
        <v>0</v>
      </c>
      <c r="AH49" s="71">
        <f>+IFERROR($L49-SUM($O49:AG49),0)</f>
        <v>0</v>
      </c>
    </row>
    <row r="50" spans="2:34" ht="15" customHeight="1" x14ac:dyDescent="0.3">
      <c r="B50" s="30"/>
      <c r="C50" s="33"/>
      <c r="D50" s="12"/>
      <c r="E50" s="12"/>
      <c r="F50" s="12"/>
      <c r="G50" s="12"/>
      <c r="H50" s="12"/>
      <c r="I50" s="12"/>
      <c r="J50" s="12"/>
      <c r="K50" s="12"/>
      <c r="L50" s="30"/>
    </row>
    <row r="51" spans="2:34" ht="15" customHeight="1" x14ac:dyDescent="0.3">
      <c r="B51" s="30"/>
      <c r="C51" s="33"/>
      <c r="D51" s="12"/>
      <c r="E51" s="12"/>
      <c r="F51" s="12"/>
      <c r="G51" s="12"/>
      <c r="H51" s="12"/>
      <c r="I51" s="12"/>
      <c r="J51" s="12"/>
      <c r="K51" s="12"/>
      <c r="L51" s="30"/>
    </row>
    <row r="52" spans="2:34" ht="15" customHeight="1" x14ac:dyDescent="0.3">
      <c r="B52" s="30"/>
      <c r="C52" s="33"/>
      <c r="D52" s="12"/>
      <c r="E52" s="12"/>
      <c r="F52" s="12"/>
      <c r="G52" s="12"/>
      <c r="H52" s="12"/>
      <c r="I52" s="12"/>
      <c r="J52" s="12"/>
      <c r="K52" s="12"/>
      <c r="L52" s="30"/>
    </row>
    <row r="53" spans="2:34" ht="15" customHeight="1" x14ac:dyDescent="0.3">
      <c r="B53" s="30"/>
      <c r="C53" s="33"/>
      <c r="D53" s="12"/>
      <c r="E53" s="12"/>
      <c r="F53" s="12"/>
      <c r="G53" s="12"/>
      <c r="H53" s="12"/>
      <c r="I53" s="12"/>
      <c r="J53" s="12"/>
      <c r="K53" s="12"/>
      <c r="L53" s="30"/>
    </row>
    <row r="54" spans="2:34" ht="15" customHeight="1" x14ac:dyDescent="0.3">
      <c r="B54" s="30"/>
      <c r="C54" s="33"/>
      <c r="D54" s="12"/>
      <c r="E54" s="12"/>
      <c r="F54" s="12"/>
      <c r="G54" s="12"/>
      <c r="H54" s="12"/>
      <c r="I54" s="12"/>
      <c r="J54" s="12"/>
      <c r="K54" s="12"/>
      <c r="L54" s="30"/>
    </row>
    <row r="55" spans="2:34" ht="15" customHeight="1" x14ac:dyDescent="0.3">
      <c r="B55" s="30"/>
      <c r="C55" s="33"/>
      <c r="D55" s="12"/>
      <c r="E55" s="12"/>
      <c r="F55" s="12"/>
      <c r="G55" s="12"/>
      <c r="H55" s="12"/>
      <c r="I55" s="12"/>
      <c r="J55" s="12"/>
      <c r="K55" s="12"/>
      <c r="L55" s="30"/>
    </row>
    <row r="56" spans="2:34" ht="15" customHeight="1" x14ac:dyDescent="0.3">
      <c r="B56" s="30"/>
      <c r="C56" s="33"/>
      <c r="D56" s="12"/>
      <c r="E56" s="12"/>
      <c r="F56" s="12"/>
      <c r="G56" s="12"/>
      <c r="H56" s="12"/>
      <c r="I56" s="12"/>
      <c r="J56" s="12"/>
      <c r="K56" s="12"/>
      <c r="L56" s="30"/>
    </row>
    <row r="57" spans="2:34" ht="15" customHeight="1" x14ac:dyDescent="0.3">
      <c r="B57" s="30"/>
      <c r="C57" s="33"/>
      <c r="D57" s="12"/>
      <c r="E57" s="12"/>
      <c r="F57" s="12"/>
      <c r="G57" s="12"/>
      <c r="H57" s="12"/>
      <c r="I57" s="12"/>
      <c r="J57" s="12"/>
      <c r="K57" s="12"/>
      <c r="L57" s="30"/>
    </row>
    <row r="58" spans="2:34" ht="15" customHeight="1" x14ac:dyDescent="0.3">
      <c r="B58" s="30"/>
      <c r="C58" s="33"/>
      <c r="D58" s="12"/>
      <c r="E58" s="12"/>
      <c r="F58" s="12"/>
      <c r="G58" s="12"/>
      <c r="H58" s="12"/>
      <c r="I58" s="12"/>
      <c r="J58" s="12"/>
      <c r="K58" s="12"/>
      <c r="L58" s="30"/>
    </row>
    <row r="59" spans="2:34" ht="15" customHeight="1" x14ac:dyDescent="0.3">
      <c r="B59" s="30"/>
      <c r="C59" s="33"/>
      <c r="D59" s="12"/>
      <c r="E59" s="12"/>
      <c r="F59" s="12"/>
      <c r="G59" s="12"/>
      <c r="H59" s="12"/>
      <c r="I59" s="12"/>
      <c r="J59" s="12"/>
      <c r="K59" s="12"/>
      <c r="L59" s="30"/>
    </row>
    <row r="60" spans="2:34" ht="15" customHeight="1" x14ac:dyDescent="0.3">
      <c r="B60" s="30"/>
      <c r="C60" s="33"/>
      <c r="D60" s="12"/>
      <c r="E60" s="12"/>
      <c r="F60" s="12"/>
      <c r="G60" s="12"/>
      <c r="H60" s="12"/>
      <c r="I60" s="12"/>
      <c r="J60" s="12"/>
      <c r="K60" s="12"/>
      <c r="L60" s="30"/>
    </row>
    <row r="61" spans="2:34" ht="15" customHeight="1" x14ac:dyDescent="0.3">
      <c r="B61" s="30"/>
      <c r="C61" s="33"/>
      <c r="D61" s="12"/>
      <c r="E61" s="12"/>
      <c r="F61" s="12"/>
      <c r="G61" s="12"/>
      <c r="H61" s="12"/>
      <c r="I61" s="12"/>
      <c r="J61" s="12"/>
      <c r="K61" s="12"/>
      <c r="L61" s="30"/>
    </row>
    <row r="62" spans="2:34" ht="15" customHeight="1" x14ac:dyDescent="0.3">
      <c r="B62" s="30"/>
      <c r="C62" s="33"/>
      <c r="D62" s="12"/>
      <c r="E62" s="12"/>
      <c r="F62" s="12"/>
      <c r="G62" s="12"/>
      <c r="H62" s="12"/>
      <c r="I62" s="12"/>
      <c r="J62" s="12"/>
      <c r="K62" s="12"/>
      <c r="L62" s="30"/>
    </row>
    <row r="63" spans="2:34" ht="15" customHeight="1" x14ac:dyDescent="0.3">
      <c r="B63" s="30"/>
      <c r="C63" s="33"/>
      <c r="D63" s="12"/>
      <c r="E63" s="12"/>
      <c r="F63" s="12"/>
      <c r="G63" s="12"/>
      <c r="H63" s="12"/>
      <c r="I63" s="12"/>
      <c r="J63" s="12"/>
      <c r="K63" s="12"/>
      <c r="L63" s="30"/>
    </row>
    <row r="64" spans="2:34" ht="15" customHeight="1" x14ac:dyDescent="0.3">
      <c r="B64" s="30"/>
      <c r="C64" s="33"/>
      <c r="D64" s="12"/>
      <c r="E64" s="12"/>
      <c r="F64" s="12"/>
      <c r="G64" s="12"/>
      <c r="H64" s="12"/>
      <c r="I64" s="12"/>
      <c r="J64" s="12"/>
      <c r="K64" s="12"/>
      <c r="L64" s="30"/>
    </row>
    <row r="65" spans="2:12" ht="15" customHeight="1" x14ac:dyDescent="0.3">
      <c r="B65" s="30"/>
      <c r="C65" s="33"/>
      <c r="D65" s="12"/>
      <c r="E65" s="12"/>
      <c r="F65" s="12"/>
      <c r="G65" s="12"/>
      <c r="H65" s="12"/>
      <c r="I65" s="12"/>
      <c r="J65" s="12"/>
      <c r="K65" s="12"/>
      <c r="L65" s="30"/>
    </row>
    <row r="66" spans="2:12" ht="15" customHeight="1" x14ac:dyDescent="0.3">
      <c r="B66" s="30"/>
      <c r="C66" s="33"/>
      <c r="D66" s="12"/>
      <c r="E66" s="12"/>
      <c r="F66" s="12"/>
      <c r="G66" s="12"/>
      <c r="H66" s="12"/>
      <c r="I66" s="12"/>
      <c r="J66" s="12"/>
      <c r="K66" s="12"/>
      <c r="L66" s="30"/>
    </row>
    <row r="67" spans="2:12" ht="15" customHeight="1" x14ac:dyDescent="0.3">
      <c r="B67" s="30"/>
      <c r="C67" s="33"/>
      <c r="D67" s="12"/>
      <c r="E67" s="12"/>
      <c r="F67" s="12"/>
      <c r="G67" s="12"/>
      <c r="H67" s="12"/>
      <c r="I67" s="12"/>
      <c r="J67" s="12"/>
      <c r="K67" s="12"/>
      <c r="L67" s="30"/>
    </row>
    <row r="68" spans="2:12" ht="15" customHeight="1" x14ac:dyDescent="0.3">
      <c r="B68" s="30"/>
      <c r="C68" s="33"/>
      <c r="D68" s="12"/>
      <c r="E68" s="12"/>
      <c r="F68" s="12"/>
      <c r="G68" s="12"/>
      <c r="H68" s="12"/>
      <c r="I68" s="12"/>
      <c r="J68" s="12"/>
      <c r="K68" s="12"/>
      <c r="L68" s="30"/>
    </row>
    <row r="69" spans="2:12" ht="15" customHeight="1" x14ac:dyDescent="0.3">
      <c r="B69" s="30"/>
      <c r="C69" s="33"/>
      <c r="D69" s="12"/>
      <c r="E69" s="12"/>
      <c r="F69" s="12"/>
      <c r="G69" s="12"/>
      <c r="H69" s="12"/>
      <c r="I69" s="12"/>
      <c r="J69" s="12"/>
      <c r="K69" s="12"/>
      <c r="L69" s="30"/>
    </row>
    <row r="70" spans="2:12" ht="15" customHeight="1" x14ac:dyDescent="0.3">
      <c r="B70" s="30"/>
      <c r="C70" s="33"/>
      <c r="D70" s="12"/>
      <c r="E70" s="12"/>
      <c r="F70" s="12"/>
      <c r="G70" s="12"/>
      <c r="H70" s="12"/>
      <c r="I70" s="12"/>
      <c r="J70" s="12"/>
      <c r="K70" s="12"/>
      <c r="L70" s="30"/>
    </row>
    <row r="75" spans="2:12" ht="15" customHeight="1" x14ac:dyDescent="0.3">
      <c r="B75" s="171"/>
      <c r="C75" s="171"/>
      <c r="D75" s="171"/>
      <c r="E75" s="172"/>
      <c r="F75" s="172"/>
      <c r="G75" s="172"/>
      <c r="H75" s="171"/>
      <c r="I75" s="171"/>
      <c r="J75" s="171"/>
      <c r="K75" s="171"/>
      <c r="L75" s="171"/>
    </row>
    <row r="76" spans="2:12" ht="15" customHeight="1" x14ac:dyDescent="0.3">
      <c r="B76" s="165"/>
      <c r="C76" s="165"/>
      <c r="D76" s="165"/>
      <c r="E76" s="170"/>
      <c r="F76" s="170"/>
      <c r="G76" s="170"/>
      <c r="H76" s="170"/>
      <c r="I76" s="170"/>
      <c r="J76" s="170"/>
      <c r="K76" s="170"/>
      <c r="L76" s="170"/>
    </row>
    <row r="77" spans="2:12" ht="15" customHeight="1" x14ac:dyDescent="0.3">
      <c r="B77" s="30"/>
      <c r="C77" s="30"/>
      <c r="D77" s="31"/>
      <c r="E77" s="31"/>
      <c r="F77" s="31"/>
      <c r="G77" s="32"/>
      <c r="H77" s="170"/>
      <c r="I77" s="170"/>
      <c r="J77" s="170"/>
      <c r="K77" s="170"/>
      <c r="L77" s="170"/>
    </row>
    <row r="78" spans="2:12" ht="15" customHeight="1" x14ac:dyDescent="0.3">
      <c r="H78" s="170"/>
      <c r="I78" s="170"/>
      <c r="J78" s="170"/>
      <c r="K78" s="170"/>
      <c r="L78" s="170"/>
    </row>
    <row r="86" spans="2:12" ht="15" customHeight="1" x14ac:dyDescent="0.3">
      <c r="B86" s="165"/>
      <c r="C86" s="165"/>
      <c r="D86" s="165"/>
      <c r="E86" s="165"/>
      <c r="F86" s="165"/>
      <c r="G86" s="165"/>
      <c r="H86" s="165"/>
      <c r="I86" s="165"/>
      <c r="J86" s="165"/>
      <c r="K86" s="165"/>
      <c r="L86" s="165"/>
    </row>
    <row r="87" spans="2:12" ht="15" customHeight="1" x14ac:dyDescent="0.3">
      <c r="B87" s="165"/>
      <c r="C87" s="165"/>
      <c r="D87" s="165"/>
      <c r="E87" s="165"/>
      <c r="F87" s="165"/>
      <c r="G87" s="165"/>
      <c r="H87" s="165"/>
      <c r="I87" s="165"/>
      <c r="J87" s="165"/>
      <c r="K87" s="165"/>
      <c r="L87" s="165"/>
    </row>
  </sheetData>
  <autoFilter ref="A19:M49" xr:uid="{EC52D01B-DE9B-4771-A42B-A1600A1001DA}">
    <filterColumn colId="2" showButton="0"/>
    <filterColumn colId="3" showButton="0"/>
    <filterColumn colId="4" showButton="0"/>
    <filterColumn colId="5" showButton="0"/>
    <filterColumn colId="6" showButton="0"/>
    <filterColumn colId="11">
      <filters>
        <filter val="0,667"/>
        <filter val="12,661"/>
        <filter val="168,709"/>
        <filter val="270,000"/>
        <filter val="44,504"/>
        <filter val="957,247"/>
      </filters>
    </filterColumn>
  </autoFilter>
  <mergeCells count="48">
    <mergeCell ref="B86:D86"/>
    <mergeCell ref="B87:D87"/>
    <mergeCell ref="H86:L86"/>
    <mergeCell ref="H87:L87"/>
    <mergeCell ref="E86:G86"/>
    <mergeCell ref="E87:G87"/>
    <mergeCell ref="C19:H19"/>
    <mergeCell ref="C20:H20"/>
    <mergeCell ref="B75:D75"/>
    <mergeCell ref="A5:M5"/>
    <mergeCell ref="A6:M6"/>
    <mergeCell ref="A7:M7"/>
    <mergeCell ref="A10:M10"/>
    <mergeCell ref="A12:M12"/>
    <mergeCell ref="C21:H21"/>
    <mergeCell ref="C22:H22"/>
    <mergeCell ref="C23:H23"/>
    <mergeCell ref="C24:H24"/>
    <mergeCell ref="C25:H25"/>
    <mergeCell ref="C26:H26"/>
    <mergeCell ref="C27:H27"/>
    <mergeCell ref="C28:H28"/>
    <mergeCell ref="B76:D76"/>
    <mergeCell ref="H75:L75"/>
    <mergeCell ref="E75:G75"/>
    <mergeCell ref="H76:L78"/>
    <mergeCell ref="E76:G76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C49:H49"/>
    <mergeCell ref="C44:H44"/>
    <mergeCell ref="C45:H45"/>
    <mergeCell ref="C46:H46"/>
    <mergeCell ref="C47:H47"/>
    <mergeCell ref="C48:H48"/>
  </mergeCells>
  <phoneticPr fontId="13" type="noConversion"/>
  <pageMargins left="0.23622047244094491" right="0.23622047244094491" top="0.74803149606299213" bottom="0.74803149606299213" header="0.31496062992125984" footer="0.31496062992125984"/>
  <pageSetup paperSize="9" scale="59" fitToHeight="0" orientation="portrait" r:id="rId1"/>
  <headerFooter>
    <oddFooter>&amp;L
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133-310C-4E9A-82D8-D93D188A82CC}">
  <sheetPr>
    <tabColor rgb="FF92D050"/>
    <pageSetUpPr fitToPage="1"/>
  </sheetPr>
  <dimension ref="A1:AE198"/>
  <sheetViews>
    <sheetView tabSelected="1" view="pageBreakPreview" topLeftCell="B127" zoomScale="85" zoomScaleNormal="100" zoomScaleSheetLayoutView="85" workbookViewId="0">
      <selection activeCell="C17" sqref="C17"/>
    </sheetView>
  </sheetViews>
  <sheetFormatPr defaultColWidth="8.88671875" defaultRowHeight="15" customHeight="1" x14ac:dyDescent="0.3"/>
  <cols>
    <col min="1" max="1" width="5.6640625" style="9" customWidth="1"/>
    <col min="2" max="2" width="10.6640625" style="9" customWidth="1"/>
    <col min="3" max="3" width="18.6640625" style="9" customWidth="1"/>
    <col min="4" max="7" width="7.33203125" style="9" customWidth="1"/>
    <col min="8" max="9" width="10.6640625" style="9" customWidth="1"/>
    <col min="10" max="10" width="7.33203125" style="9" bestFit="1" customWidth="1"/>
    <col min="11" max="11" width="7.33203125" style="9" customWidth="1"/>
    <col min="12" max="13" width="12.6640625" style="9" customWidth="1"/>
    <col min="14" max="14" width="17.33203125" style="9" bestFit="1" customWidth="1"/>
    <col min="15" max="15" width="12.6640625" style="9" customWidth="1"/>
    <col min="16" max="16" width="16.88671875" style="9" bestFit="1" customWidth="1"/>
    <col min="17" max="17" width="5.6640625" style="9" customWidth="1"/>
    <col min="18" max="26" width="0" style="9" hidden="1" customWidth="1"/>
    <col min="27" max="28" width="8.88671875" style="9"/>
    <col min="29" max="29" width="17" style="9" bestFit="1" customWidth="1"/>
    <col min="30" max="30" width="15.44140625" style="9" bestFit="1" customWidth="1"/>
    <col min="31" max="31" width="17" style="9" bestFit="1" customWidth="1"/>
    <col min="32" max="16384" width="8.88671875" style="9"/>
  </cols>
  <sheetData>
    <row r="1" spans="1:31" ht="15" customHeight="1" x14ac:dyDescent="0.3">
      <c r="AC1" s="9" t="s">
        <v>1068</v>
      </c>
      <c r="AD1" s="9" t="s">
        <v>1069</v>
      </c>
      <c r="AE1" s="9" t="s">
        <v>1070</v>
      </c>
    </row>
    <row r="2" spans="1:31" s="153" customFormat="1" ht="15" customHeight="1" x14ac:dyDescent="0.3">
      <c r="A2" s="156" t="s">
        <v>0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AC2" s="153">
        <f>+SUM(AC17:AC1000)</f>
        <v>19115441.515000001</v>
      </c>
      <c r="AD2" s="153">
        <f>+SUM(AD17:AD1000)</f>
        <v>1691836.9289999993</v>
      </c>
      <c r="AE2" s="153">
        <f>+SUM(AE17:AE1000)</f>
        <v>20807278.443999998</v>
      </c>
    </row>
    <row r="3" spans="1:31" s="153" customFormat="1" ht="15" customHeight="1" x14ac:dyDescent="0.3">
      <c r="A3" s="156" t="s">
        <v>1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</row>
    <row r="4" spans="1:31" s="153" customFormat="1" ht="15" customHeight="1" x14ac:dyDescent="0.3">
      <c r="A4" s="156" t="s">
        <v>1017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</row>
    <row r="5" spans="1:31" s="153" customFormat="1" ht="15" customHeight="1" x14ac:dyDescent="0.3">
      <c r="A5" s="152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</row>
    <row r="6" spans="1:31" s="153" customFormat="1" ht="15" customHeight="1" x14ac:dyDescent="0.3">
      <c r="A6" s="154"/>
      <c r="B6" s="154"/>
    </row>
    <row r="7" spans="1:31" s="153" customFormat="1" ht="15" customHeight="1" x14ac:dyDescent="0.3">
      <c r="A7" s="156" t="s">
        <v>2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</row>
    <row r="8" spans="1:31" s="153" customFormat="1" ht="15" customHeight="1" x14ac:dyDescent="0.3">
      <c r="A8" s="154"/>
      <c r="B8" s="154"/>
    </row>
    <row r="9" spans="1:31" s="153" customFormat="1" ht="15" customHeight="1" x14ac:dyDescent="0.3">
      <c r="A9" s="156" t="str">
        <f>+Kapak!A28</f>
        <v>Barbaros İstasyonu Hat - 2 Kirazlı Yönü P1 Tüneli 4.Aşama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</row>
    <row r="10" spans="1:31" s="153" customFormat="1" ht="15" customHeight="1" x14ac:dyDescent="0.3">
      <c r="A10" s="152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</row>
    <row r="11" spans="1:31" s="153" customFormat="1" ht="15" customHeight="1" x14ac:dyDescent="0.3">
      <c r="A11" s="156" t="s">
        <v>982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</row>
    <row r="13" spans="1:31" ht="15" customHeight="1" x14ac:dyDescent="0.3">
      <c r="B13" s="14" t="s">
        <v>5</v>
      </c>
      <c r="C13" s="79">
        <f>+İcmal!C15</f>
        <v>6</v>
      </c>
      <c r="D13" s="12"/>
      <c r="E13" s="12"/>
      <c r="F13" s="12"/>
      <c r="G13" s="12"/>
      <c r="H13" s="12"/>
      <c r="I13" s="12"/>
      <c r="J13" s="12"/>
    </row>
    <row r="14" spans="1:31" ht="15" customHeight="1" x14ac:dyDescent="0.3">
      <c r="B14" s="14" t="s">
        <v>6</v>
      </c>
      <c r="C14" s="80">
        <f>+İcmal!C16</f>
        <v>46142</v>
      </c>
      <c r="D14" s="157"/>
      <c r="E14" s="157"/>
      <c r="F14" s="13"/>
      <c r="G14" s="13"/>
      <c r="H14" s="11"/>
      <c r="I14" s="11"/>
      <c r="J14" s="11"/>
    </row>
    <row r="16" spans="1:31" ht="30" customHeight="1" x14ac:dyDescent="0.3">
      <c r="B16" s="158" t="s">
        <v>7</v>
      </c>
      <c r="C16" s="159"/>
      <c r="D16" s="158" t="s">
        <v>8</v>
      </c>
      <c r="E16" s="162"/>
      <c r="F16" s="162"/>
      <c r="G16" s="162"/>
      <c r="H16" s="162"/>
      <c r="I16" s="162"/>
      <c r="J16" s="162"/>
      <c r="K16" s="162"/>
      <c r="L16" s="162"/>
      <c r="M16" s="34" t="s">
        <v>9</v>
      </c>
      <c r="N16" s="85" t="s">
        <v>1057</v>
      </c>
      <c r="O16" s="85" t="s">
        <v>1058</v>
      </c>
      <c r="P16" s="35" t="s">
        <v>1059</v>
      </c>
    </row>
    <row r="17" spans="2:31" ht="30" customHeight="1" x14ac:dyDescent="0.3">
      <c r="B17" s="160" t="s">
        <v>119</v>
      </c>
      <c r="C17" s="161"/>
      <c r="D17" s="163" t="str">
        <f>+VLOOKUP(B17,Liste!B:E,2,FALSE)</f>
        <v>Geleneksel (NATM) Tünel Kazısı</v>
      </c>
      <c r="E17" s="164"/>
      <c r="F17" s="164"/>
      <c r="G17" s="164"/>
      <c r="H17" s="164"/>
      <c r="I17" s="164"/>
      <c r="J17" s="164"/>
      <c r="K17" s="164"/>
      <c r="L17" s="164"/>
      <c r="M17" s="36" t="str">
        <f>+VLOOKUP(B17,Liste!B:E,3,FALSE)</f>
        <v>m³</v>
      </c>
      <c r="N17" s="60">
        <v>799.03399999999999</v>
      </c>
      <c r="O17" s="60">
        <f>+P17-N17</f>
        <v>158.21299999999997</v>
      </c>
      <c r="P17" s="60">
        <f>+ROUND(SUM(P18:P50),3)</f>
        <v>957.24699999999996</v>
      </c>
      <c r="S17" s="88"/>
      <c r="AA17" s="9">
        <f>+VLOOKUP(B17,[1]Liste!$B$2:$F$483,5,FALSE)</f>
        <v>5075</v>
      </c>
      <c r="AC17" s="9">
        <f>+AA17*N17</f>
        <v>4055097.55</v>
      </c>
      <c r="AD17" s="9">
        <f>+AA17*O17</f>
        <v>802930.97499999986</v>
      </c>
      <c r="AE17" s="9">
        <f>+AA17*P17</f>
        <v>4858028.5249999994</v>
      </c>
    </row>
    <row r="18" spans="2:31" ht="15" customHeight="1" x14ac:dyDescent="0.3">
      <c r="B18" s="51" t="s">
        <v>1072</v>
      </c>
      <c r="C18" s="78"/>
      <c r="D18" s="45"/>
      <c r="E18" s="45"/>
      <c r="F18" s="45"/>
      <c r="G18" s="45"/>
      <c r="H18" s="46"/>
      <c r="I18" s="46"/>
      <c r="J18" s="46"/>
      <c r="K18" s="47"/>
      <c r="L18" s="47"/>
      <c r="M18" s="48"/>
      <c r="N18" s="48"/>
      <c r="O18" s="49"/>
      <c r="P18" s="50"/>
    </row>
    <row r="19" spans="2:31" ht="15" customHeight="1" x14ac:dyDescent="0.3">
      <c r="B19" s="91" t="s">
        <v>981</v>
      </c>
      <c r="C19" s="91" t="s">
        <v>991</v>
      </c>
      <c r="D19" s="92" t="s">
        <v>990</v>
      </c>
      <c r="E19" s="92"/>
      <c r="F19" s="92"/>
      <c r="G19" s="92"/>
      <c r="H19" s="91" t="s">
        <v>988</v>
      </c>
      <c r="I19" s="91" t="s">
        <v>987</v>
      </c>
      <c r="J19" s="91" t="s">
        <v>992</v>
      </c>
      <c r="K19" s="91" t="s">
        <v>989</v>
      </c>
      <c r="L19" s="91" t="s">
        <v>985</v>
      </c>
      <c r="M19" s="91" t="s">
        <v>12</v>
      </c>
      <c r="N19" s="91"/>
      <c r="O19" s="93" t="s">
        <v>983</v>
      </c>
      <c r="P19" s="93" t="s">
        <v>14</v>
      </c>
    </row>
    <row r="20" spans="2:31" ht="15" customHeight="1" x14ac:dyDescent="0.3">
      <c r="B20" s="98">
        <v>5</v>
      </c>
      <c r="C20" s="99" t="s">
        <v>1061</v>
      </c>
      <c r="D20" s="100" t="s">
        <v>1062</v>
      </c>
      <c r="E20" s="100"/>
      <c r="F20" s="100"/>
      <c r="G20" s="100"/>
      <c r="H20" s="101">
        <v>1292.56</v>
      </c>
      <c r="I20" s="101">
        <v>1276.24</v>
      </c>
      <c r="J20" s="101" t="s">
        <v>993</v>
      </c>
      <c r="K20" s="98">
        <v>3</v>
      </c>
      <c r="L20" s="98">
        <v>0.75</v>
      </c>
      <c r="M20" s="102" t="s">
        <v>1001</v>
      </c>
      <c r="N20" s="103"/>
      <c r="O20" s="104">
        <v>11.385</v>
      </c>
      <c r="P20" s="105">
        <f t="shared" ref="P20:P25" si="0">+ROUND(PRODUCT(K20:O20),3)</f>
        <v>25.616</v>
      </c>
      <c r="S20" s="9">
        <f>+L20*K20</f>
        <v>2.25</v>
      </c>
    </row>
    <row r="21" spans="2:31" ht="15" customHeight="1" x14ac:dyDescent="0.3">
      <c r="B21" s="56">
        <v>5</v>
      </c>
      <c r="C21" s="99" t="s">
        <v>1061</v>
      </c>
      <c r="D21" s="100" t="s">
        <v>1062</v>
      </c>
      <c r="E21" s="100"/>
      <c r="F21" s="100"/>
      <c r="G21" s="100"/>
      <c r="H21" s="101">
        <v>1292.56</v>
      </c>
      <c r="I21" s="101">
        <v>1276.24</v>
      </c>
      <c r="J21" s="55" t="s">
        <v>993</v>
      </c>
      <c r="K21" s="56">
        <v>3</v>
      </c>
      <c r="L21" s="56">
        <v>0.75</v>
      </c>
      <c r="M21" s="83" t="s">
        <v>1002</v>
      </c>
      <c r="N21" s="84"/>
      <c r="O21" s="61">
        <v>11.709</v>
      </c>
      <c r="P21" s="62">
        <f t="shared" si="0"/>
        <v>26.344999999999999</v>
      </c>
      <c r="S21" s="9">
        <f t="shared" ref="S21:S26" si="1">+L21*K21</f>
        <v>2.25</v>
      </c>
    </row>
    <row r="22" spans="2:31" ht="15" customHeight="1" x14ac:dyDescent="0.3">
      <c r="B22" s="56">
        <v>5</v>
      </c>
      <c r="C22" s="99" t="s">
        <v>1061</v>
      </c>
      <c r="D22" s="100" t="s">
        <v>1062</v>
      </c>
      <c r="E22" s="100"/>
      <c r="F22" s="100"/>
      <c r="G22" s="100"/>
      <c r="H22" s="101">
        <v>1292.56</v>
      </c>
      <c r="I22" s="101">
        <v>1276.24</v>
      </c>
      <c r="J22" s="55" t="s">
        <v>993</v>
      </c>
      <c r="K22" s="56">
        <v>3</v>
      </c>
      <c r="L22" s="56">
        <v>0.75</v>
      </c>
      <c r="M22" s="83" t="s">
        <v>1003</v>
      </c>
      <c r="N22" s="84"/>
      <c r="O22" s="61">
        <v>11.792999999999999</v>
      </c>
      <c r="P22" s="62">
        <f t="shared" si="0"/>
        <v>26.533999999999999</v>
      </c>
      <c r="S22" s="9">
        <f t="shared" si="1"/>
        <v>2.25</v>
      </c>
    </row>
    <row r="23" spans="2:31" ht="15" customHeight="1" x14ac:dyDescent="0.3">
      <c r="B23" s="56">
        <v>5</v>
      </c>
      <c r="C23" s="99" t="s">
        <v>1061</v>
      </c>
      <c r="D23" s="100" t="s">
        <v>1062</v>
      </c>
      <c r="E23" s="100"/>
      <c r="F23" s="100"/>
      <c r="G23" s="100"/>
      <c r="H23" s="101">
        <v>1292.56</v>
      </c>
      <c r="I23" s="101">
        <v>1276.24</v>
      </c>
      <c r="J23" s="55" t="s">
        <v>993</v>
      </c>
      <c r="K23" s="56">
        <v>4</v>
      </c>
      <c r="L23" s="56">
        <v>0.75</v>
      </c>
      <c r="M23" s="83" t="s">
        <v>1004</v>
      </c>
      <c r="N23" s="84"/>
      <c r="O23" s="61">
        <v>11.766999999999999</v>
      </c>
      <c r="P23" s="62">
        <f t="shared" si="0"/>
        <v>35.301000000000002</v>
      </c>
      <c r="S23" s="9">
        <f t="shared" si="1"/>
        <v>3</v>
      </c>
    </row>
    <row r="24" spans="2:31" ht="15" customHeight="1" x14ac:dyDescent="0.3">
      <c r="B24" s="56">
        <v>5</v>
      </c>
      <c r="C24" s="99" t="s">
        <v>1061</v>
      </c>
      <c r="D24" s="100" t="s">
        <v>1062</v>
      </c>
      <c r="E24" s="100"/>
      <c r="F24" s="100"/>
      <c r="G24" s="100"/>
      <c r="H24" s="101">
        <v>1292.56</v>
      </c>
      <c r="I24" s="101">
        <v>1276.24</v>
      </c>
      <c r="J24" s="55" t="s">
        <v>993</v>
      </c>
      <c r="K24" s="56">
        <v>4</v>
      </c>
      <c r="L24" s="56">
        <v>0.75</v>
      </c>
      <c r="M24" s="83" t="s">
        <v>1005</v>
      </c>
      <c r="N24" s="84"/>
      <c r="O24" s="61">
        <v>11.805999999999999</v>
      </c>
      <c r="P24" s="62">
        <f t="shared" si="0"/>
        <v>35.417999999999999</v>
      </c>
      <c r="S24" s="9">
        <f t="shared" si="1"/>
        <v>3</v>
      </c>
    </row>
    <row r="25" spans="2:31" ht="15" customHeight="1" x14ac:dyDescent="0.3">
      <c r="B25" s="56">
        <v>5</v>
      </c>
      <c r="C25" s="99" t="s">
        <v>1061</v>
      </c>
      <c r="D25" s="100" t="s">
        <v>1062</v>
      </c>
      <c r="E25" s="100"/>
      <c r="F25" s="100"/>
      <c r="G25" s="100"/>
      <c r="H25" s="101">
        <v>1292.56</v>
      </c>
      <c r="I25" s="101">
        <v>1276.24</v>
      </c>
      <c r="J25" s="55" t="s">
        <v>993</v>
      </c>
      <c r="K25" s="56">
        <v>4</v>
      </c>
      <c r="L25" s="56">
        <v>0.75</v>
      </c>
      <c r="M25" s="83" t="s">
        <v>1006</v>
      </c>
      <c r="N25" s="84"/>
      <c r="O25" s="61">
        <v>11.959</v>
      </c>
      <c r="P25" s="62">
        <f t="shared" si="0"/>
        <v>35.877000000000002</v>
      </c>
      <c r="S25" s="9">
        <f t="shared" si="1"/>
        <v>3</v>
      </c>
    </row>
    <row r="26" spans="2:31" ht="15" customHeight="1" x14ac:dyDescent="0.3">
      <c r="B26" s="56">
        <v>5</v>
      </c>
      <c r="C26" s="99" t="s">
        <v>1061</v>
      </c>
      <c r="D26" s="100" t="s">
        <v>1062</v>
      </c>
      <c r="E26" s="100"/>
      <c r="F26" s="100"/>
      <c r="G26" s="100"/>
      <c r="H26" s="101">
        <v>1292.56</v>
      </c>
      <c r="I26" s="101">
        <v>1276.24</v>
      </c>
      <c r="J26" s="55" t="s">
        <v>993</v>
      </c>
      <c r="K26" s="56">
        <v>1</v>
      </c>
      <c r="L26" s="56">
        <v>0.56999999999999995</v>
      </c>
      <c r="M26" s="83" t="s">
        <v>1006</v>
      </c>
      <c r="N26" s="86"/>
      <c r="O26" s="70">
        <v>11.959</v>
      </c>
      <c r="P26" s="87">
        <f>+ROUND(PRODUCT(K26:O26),3)</f>
        <v>6.8170000000000002</v>
      </c>
      <c r="S26" s="9">
        <f t="shared" si="1"/>
        <v>0.56999999999999995</v>
      </c>
    </row>
    <row r="27" spans="2:31" ht="15" customHeight="1" x14ac:dyDescent="0.3">
      <c r="B27" s="98">
        <v>5</v>
      </c>
      <c r="C27" s="99" t="s">
        <v>1063</v>
      </c>
      <c r="D27" s="100" t="s">
        <v>1064</v>
      </c>
      <c r="E27" s="100"/>
      <c r="F27" s="100"/>
      <c r="G27" s="100"/>
      <c r="H27" s="101">
        <v>1337.56</v>
      </c>
      <c r="I27" s="101">
        <v>1292.56</v>
      </c>
      <c r="J27" s="101" t="s">
        <v>993</v>
      </c>
      <c r="K27" s="98">
        <v>10</v>
      </c>
      <c r="L27" s="98">
        <v>0.75</v>
      </c>
      <c r="M27" s="102" t="s">
        <v>1001</v>
      </c>
      <c r="N27" s="103"/>
      <c r="O27" s="104">
        <v>11.385</v>
      </c>
      <c r="P27" s="105">
        <f t="shared" ref="P27:P32" si="2">+ROUND(PRODUCT(K27:O27),3)</f>
        <v>85.388000000000005</v>
      </c>
      <c r="S27" s="9">
        <f>+L27*K27</f>
        <v>7.5</v>
      </c>
    </row>
    <row r="28" spans="2:31" ht="15" customHeight="1" x14ac:dyDescent="0.3">
      <c r="B28" s="56">
        <v>5</v>
      </c>
      <c r="C28" s="99" t="s">
        <v>1063</v>
      </c>
      <c r="D28" s="100" t="s">
        <v>1064</v>
      </c>
      <c r="E28" s="100"/>
      <c r="F28" s="100"/>
      <c r="G28" s="100"/>
      <c r="H28" s="101">
        <v>1337.56</v>
      </c>
      <c r="I28" s="101">
        <v>1292.56</v>
      </c>
      <c r="J28" s="55" t="s">
        <v>993</v>
      </c>
      <c r="K28" s="56">
        <v>10</v>
      </c>
      <c r="L28" s="56">
        <v>0.75</v>
      </c>
      <c r="M28" s="83" t="s">
        <v>1002</v>
      </c>
      <c r="N28" s="84"/>
      <c r="O28" s="61">
        <v>11.709</v>
      </c>
      <c r="P28" s="62">
        <f t="shared" si="2"/>
        <v>87.817999999999998</v>
      </c>
      <c r="S28" s="9">
        <f t="shared" ref="S28:S32" si="3">+L28*K28</f>
        <v>7.5</v>
      </c>
    </row>
    <row r="29" spans="2:31" ht="15" customHeight="1" x14ac:dyDescent="0.3">
      <c r="B29" s="56">
        <v>5</v>
      </c>
      <c r="C29" s="99" t="s">
        <v>1063</v>
      </c>
      <c r="D29" s="100" t="s">
        <v>1064</v>
      </c>
      <c r="E29" s="100"/>
      <c r="F29" s="100"/>
      <c r="G29" s="100"/>
      <c r="H29" s="101">
        <v>1337.56</v>
      </c>
      <c r="I29" s="101">
        <v>1292.56</v>
      </c>
      <c r="J29" s="55" t="s">
        <v>993</v>
      </c>
      <c r="K29" s="56">
        <v>10</v>
      </c>
      <c r="L29" s="56">
        <v>0.75</v>
      </c>
      <c r="M29" s="83" t="s">
        <v>1003</v>
      </c>
      <c r="N29" s="84"/>
      <c r="O29" s="61">
        <v>11.792999999999999</v>
      </c>
      <c r="P29" s="62">
        <f t="shared" si="2"/>
        <v>88.447999999999993</v>
      </c>
      <c r="S29" s="9">
        <f t="shared" si="3"/>
        <v>7.5</v>
      </c>
    </row>
    <row r="30" spans="2:31" ht="15" customHeight="1" x14ac:dyDescent="0.3">
      <c r="B30" s="56">
        <v>5</v>
      </c>
      <c r="C30" s="99" t="s">
        <v>1063</v>
      </c>
      <c r="D30" s="100" t="s">
        <v>1064</v>
      </c>
      <c r="E30" s="100"/>
      <c r="F30" s="100"/>
      <c r="G30" s="100"/>
      <c r="H30" s="101">
        <v>1337.56</v>
      </c>
      <c r="I30" s="101">
        <v>1292.56</v>
      </c>
      <c r="J30" s="55" t="s">
        <v>993</v>
      </c>
      <c r="K30" s="56">
        <v>10</v>
      </c>
      <c r="L30" s="56">
        <v>0.75</v>
      </c>
      <c r="M30" s="83" t="s">
        <v>1004</v>
      </c>
      <c r="N30" s="84"/>
      <c r="O30" s="61">
        <v>11.766999999999999</v>
      </c>
      <c r="P30" s="62">
        <f t="shared" si="2"/>
        <v>88.253</v>
      </c>
      <c r="S30" s="9">
        <f t="shared" si="3"/>
        <v>7.5</v>
      </c>
    </row>
    <row r="31" spans="2:31" ht="15" customHeight="1" x14ac:dyDescent="0.3">
      <c r="B31" s="56">
        <v>5</v>
      </c>
      <c r="C31" s="99" t="s">
        <v>1063</v>
      </c>
      <c r="D31" s="100" t="s">
        <v>1064</v>
      </c>
      <c r="E31" s="100"/>
      <c r="F31" s="100"/>
      <c r="G31" s="100"/>
      <c r="H31" s="101">
        <v>1337.56</v>
      </c>
      <c r="I31" s="101">
        <v>1292.56</v>
      </c>
      <c r="J31" s="55" t="s">
        <v>993</v>
      </c>
      <c r="K31" s="56">
        <v>10</v>
      </c>
      <c r="L31" s="56">
        <v>0.75</v>
      </c>
      <c r="M31" s="83" t="s">
        <v>1005</v>
      </c>
      <c r="N31" s="84"/>
      <c r="O31" s="61">
        <v>11.805999999999999</v>
      </c>
      <c r="P31" s="62">
        <f t="shared" si="2"/>
        <v>88.545000000000002</v>
      </c>
      <c r="S31" s="9">
        <f t="shared" si="3"/>
        <v>7.5</v>
      </c>
    </row>
    <row r="32" spans="2:31" ht="15" customHeight="1" x14ac:dyDescent="0.3">
      <c r="B32" s="56">
        <v>5</v>
      </c>
      <c r="C32" s="99" t="s">
        <v>1063</v>
      </c>
      <c r="D32" s="100" t="s">
        <v>1064</v>
      </c>
      <c r="E32" s="100"/>
      <c r="F32" s="100"/>
      <c r="G32" s="100"/>
      <c r="H32" s="101">
        <v>1337.56</v>
      </c>
      <c r="I32" s="101">
        <v>1292.56</v>
      </c>
      <c r="J32" s="55" t="s">
        <v>993</v>
      </c>
      <c r="K32" s="56">
        <v>10</v>
      </c>
      <c r="L32" s="56">
        <v>0.75</v>
      </c>
      <c r="M32" s="83" t="s">
        <v>1006</v>
      </c>
      <c r="N32" s="84"/>
      <c r="O32" s="61">
        <v>11.959</v>
      </c>
      <c r="P32" s="62">
        <f t="shared" si="2"/>
        <v>89.692999999999998</v>
      </c>
      <c r="S32" s="9">
        <f t="shared" si="3"/>
        <v>7.5</v>
      </c>
    </row>
    <row r="33" spans="2:19" ht="15" customHeight="1" x14ac:dyDescent="0.3">
      <c r="B33" s="98">
        <v>5</v>
      </c>
      <c r="C33" s="99" t="s">
        <v>1065</v>
      </c>
      <c r="D33" s="100" t="s">
        <v>1066</v>
      </c>
      <c r="E33" s="100"/>
      <c r="F33" s="100"/>
      <c r="G33" s="100"/>
      <c r="H33" s="101">
        <v>1344.31</v>
      </c>
      <c r="I33" s="101">
        <v>1337.56</v>
      </c>
      <c r="J33" s="101" t="s">
        <v>993</v>
      </c>
      <c r="K33" s="98">
        <v>2</v>
      </c>
      <c r="L33" s="98">
        <v>0.75</v>
      </c>
      <c r="M33" s="102" t="s">
        <v>1001</v>
      </c>
      <c r="N33" s="103"/>
      <c r="O33" s="104">
        <v>11.385</v>
      </c>
      <c r="P33" s="105">
        <f t="shared" ref="P33:P38" si="4">+ROUND(PRODUCT(K33:O33),3)</f>
        <v>17.077999999999999</v>
      </c>
      <c r="S33" s="9">
        <f>+L33*K33</f>
        <v>1.5</v>
      </c>
    </row>
    <row r="34" spans="2:19" ht="15" customHeight="1" x14ac:dyDescent="0.3">
      <c r="B34" s="56">
        <v>5</v>
      </c>
      <c r="C34" s="99" t="s">
        <v>1065</v>
      </c>
      <c r="D34" s="100" t="s">
        <v>1066</v>
      </c>
      <c r="E34" s="100"/>
      <c r="F34" s="100"/>
      <c r="G34" s="100"/>
      <c r="H34" s="101">
        <v>1344.31</v>
      </c>
      <c r="I34" s="101">
        <v>1337.56</v>
      </c>
      <c r="J34" s="55" t="s">
        <v>993</v>
      </c>
      <c r="K34" s="56">
        <v>2</v>
      </c>
      <c r="L34" s="56">
        <v>0.75</v>
      </c>
      <c r="M34" s="83" t="s">
        <v>1002</v>
      </c>
      <c r="N34" s="84"/>
      <c r="O34" s="61">
        <v>11.709</v>
      </c>
      <c r="P34" s="62">
        <f t="shared" si="4"/>
        <v>17.564</v>
      </c>
      <c r="S34" s="9">
        <f t="shared" ref="S34:S38" si="5">+L34*K34</f>
        <v>1.5</v>
      </c>
    </row>
    <row r="35" spans="2:19" ht="15" customHeight="1" x14ac:dyDescent="0.3">
      <c r="B35" s="56">
        <v>5</v>
      </c>
      <c r="C35" s="99" t="s">
        <v>1065</v>
      </c>
      <c r="D35" s="100" t="s">
        <v>1066</v>
      </c>
      <c r="E35" s="100"/>
      <c r="F35" s="100"/>
      <c r="G35" s="100"/>
      <c r="H35" s="101">
        <v>1344.31</v>
      </c>
      <c r="I35" s="101">
        <v>1337.56</v>
      </c>
      <c r="J35" s="55" t="s">
        <v>993</v>
      </c>
      <c r="K35" s="56">
        <v>2</v>
      </c>
      <c r="L35" s="56">
        <v>0.75</v>
      </c>
      <c r="M35" s="83" t="s">
        <v>1003</v>
      </c>
      <c r="N35" s="84"/>
      <c r="O35" s="61">
        <v>11.792999999999999</v>
      </c>
      <c r="P35" s="62">
        <f t="shared" si="4"/>
        <v>17.690000000000001</v>
      </c>
      <c r="S35" s="9">
        <f t="shared" si="5"/>
        <v>1.5</v>
      </c>
    </row>
    <row r="36" spans="2:19" ht="15" customHeight="1" x14ac:dyDescent="0.3">
      <c r="B36" s="56">
        <v>5</v>
      </c>
      <c r="C36" s="99" t="s">
        <v>1065</v>
      </c>
      <c r="D36" s="100" t="s">
        <v>1066</v>
      </c>
      <c r="E36" s="100"/>
      <c r="F36" s="100"/>
      <c r="G36" s="100"/>
      <c r="H36" s="101">
        <v>1344.31</v>
      </c>
      <c r="I36" s="101">
        <v>1337.56</v>
      </c>
      <c r="J36" s="55" t="s">
        <v>993</v>
      </c>
      <c r="K36" s="56">
        <v>1</v>
      </c>
      <c r="L36" s="56">
        <v>0.75</v>
      </c>
      <c r="M36" s="83" t="s">
        <v>1004</v>
      </c>
      <c r="N36" s="84"/>
      <c r="O36" s="61">
        <v>11.766999999999999</v>
      </c>
      <c r="P36" s="62">
        <f t="shared" si="4"/>
        <v>8.8249999999999993</v>
      </c>
      <c r="S36" s="9">
        <f t="shared" si="5"/>
        <v>0.75</v>
      </c>
    </row>
    <row r="37" spans="2:19" ht="15" customHeight="1" x14ac:dyDescent="0.3">
      <c r="B37" s="56">
        <v>5</v>
      </c>
      <c r="C37" s="99" t="s">
        <v>1065</v>
      </c>
      <c r="D37" s="100" t="s">
        <v>1066</v>
      </c>
      <c r="E37" s="100"/>
      <c r="F37" s="100"/>
      <c r="G37" s="100"/>
      <c r="H37" s="101">
        <v>1344.31</v>
      </c>
      <c r="I37" s="101">
        <v>1337.56</v>
      </c>
      <c r="J37" s="55" t="s">
        <v>993</v>
      </c>
      <c r="K37" s="56">
        <v>1</v>
      </c>
      <c r="L37" s="56">
        <v>0.75</v>
      </c>
      <c r="M37" s="83" t="s">
        <v>1005</v>
      </c>
      <c r="N37" s="84"/>
      <c r="O37" s="61">
        <v>11.805999999999999</v>
      </c>
      <c r="P37" s="62">
        <f t="shared" si="4"/>
        <v>8.8550000000000004</v>
      </c>
      <c r="S37" s="9">
        <f t="shared" si="5"/>
        <v>0.75</v>
      </c>
    </row>
    <row r="38" spans="2:19" ht="15" customHeight="1" x14ac:dyDescent="0.3">
      <c r="B38" s="56">
        <v>5</v>
      </c>
      <c r="C38" s="99" t="s">
        <v>1065</v>
      </c>
      <c r="D38" s="100" t="s">
        <v>1066</v>
      </c>
      <c r="E38" s="100"/>
      <c r="F38" s="100"/>
      <c r="G38" s="100"/>
      <c r="H38" s="101">
        <v>1344.31</v>
      </c>
      <c r="I38" s="101">
        <v>1337.56</v>
      </c>
      <c r="J38" s="55" t="s">
        <v>993</v>
      </c>
      <c r="K38" s="56">
        <v>1</v>
      </c>
      <c r="L38" s="56">
        <v>0.75</v>
      </c>
      <c r="M38" s="83" t="s">
        <v>1006</v>
      </c>
      <c r="N38" s="84"/>
      <c r="O38" s="61">
        <v>11.959</v>
      </c>
      <c r="P38" s="62">
        <f t="shared" si="4"/>
        <v>8.9689999999999994</v>
      </c>
      <c r="S38" s="9">
        <f t="shared" si="5"/>
        <v>0.75</v>
      </c>
    </row>
    <row r="39" spans="2:19" ht="15" hidden="1" customHeight="1" x14ac:dyDescent="0.3">
      <c r="B39" s="51" t="s">
        <v>999</v>
      </c>
      <c r="C39" s="78"/>
      <c r="D39" s="45"/>
      <c r="E39" s="45"/>
      <c r="F39" s="45"/>
      <c r="G39" s="45"/>
      <c r="H39" s="46"/>
      <c r="I39" s="46"/>
      <c r="J39" s="46"/>
      <c r="K39" s="47"/>
      <c r="L39" s="47"/>
      <c r="M39" s="48"/>
      <c r="N39" s="48"/>
      <c r="O39" s="49"/>
      <c r="P39" s="50"/>
    </row>
    <row r="40" spans="2:19" ht="15" hidden="1" customHeight="1" x14ac:dyDescent="0.3">
      <c r="B40" s="91" t="s">
        <v>981</v>
      </c>
      <c r="C40" s="91" t="s">
        <v>991</v>
      </c>
      <c r="D40" s="92" t="s">
        <v>996</v>
      </c>
      <c r="E40" s="92"/>
      <c r="F40" s="92"/>
      <c r="G40" s="92"/>
      <c r="H40" s="116"/>
      <c r="I40" s="91" t="s">
        <v>997</v>
      </c>
      <c r="J40" s="91" t="s">
        <v>992</v>
      </c>
      <c r="K40" s="91" t="s">
        <v>989</v>
      </c>
      <c r="L40" s="91" t="s">
        <v>984</v>
      </c>
      <c r="M40" s="93" t="s">
        <v>985</v>
      </c>
      <c r="N40" s="91" t="s">
        <v>986</v>
      </c>
      <c r="O40" s="93" t="s">
        <v>983</v>
      </c>
      <c r="P40" s="93" t="s">
        <v>14</v>
      </c>
    </row>
    <row r="41" spans="2:19" ht="15" hidden="1" customHeight="1" x14ac:dyDescent="0.3">
      <c r="B41" s="108">
        <v>5</v>
      </c>
      <c r="C41" s="99" t="s">
        <v>1061</v>
      </c>
      <c r="D41" s="110" t="s">
        <v>998</v>
      </c>
      <c r="E41" s="110"/>
      <c r="F41" s="110"/>
      <c r="G41" s="110"/>
      <c r="H41" s="118"/>
      <c r="I41" s="119">
        <v>30</v>
      </c>
      <c r="J41" s="111" t="s">
        <v>993</v>
      </c>
      <c r="K41" s="108">
        <v>0</v>
      </c>
      <c r="L41" s="108"/>
      <c r="M41" s="120">
        <f t="shared" ref="M41" si="6">+I41/100</f>
        <v>0.3</v>
      </c>
      <c r="N41" s="120"/>
      <c r="O41" s="114">
        <v>11.959</v>
      </c>
      <c r="P41" s="115">
        <f t="shared" ref="P41" si="7">+ROUND(PRODUCT(K41:O41),3)</f>
        <v>0</v>
      </c>
    </row>
    <row r="42" spans="2:19" ht="15" hidden="1" customHeight="1" x14ac:dyDescent="0.3">
      <c r="B42" s="56">
        <v>3</v>
      </c>
      <c r="C42" s="53" t="s">
        <v>1051</v>
      </c>
      <c r="D42" s="54" t="s">
        <v>998</v>
      </c>
      <c r="E42" s="54"/>
      <c r="F42" s="54"/>
      <c r="G42" s="54"/>
      <c r="H42" s="59"/>
      <c r="I42" s="58">
        <v>0</v>
      </c>
      <c r="J42" s="55" t="s">
        <v>993</v>
      </c>
      <c r="K42" s="56">
        <v>0</v>
      </c>
      <c r="L42" s="56"/>
      <c r="M42" s="57">
        <v>0</v>
      </c>
      <c r="N42" s="57"/>
      <c r="O42" s="61">
        <v>44.921999999999997</v>
      </c>
      <c r="P42" s="62">
        <f t="shared" ref="P42:P48" si="8">+ROUND(PRODUCT(K42:O42),3)</f>
        <v>0</v>
      </c>
    </row>
    <row r="43" spans="2:19" ht="15" customHeight="1" x14ac:dyDescent="0.3">
      <c r="B43" s="98">
        <v>6</v>
      </c>
      <c r="C43" s="99" t="s">
        <v>1075</v>
      </c>
      <c r="D43" s="100" t="s">
        <v>1076</v>
      </c>
      <c r="E43" s="100"/>
      <c r="F43" s="100"/>
      <c r="G43" s="100"/>
      <c r="H43" s="101">
        <v>1357.04</v>
      </c>
      <c r="I43" s="101">
        <v>1344.31</v>
      </c>
      <c r="J43" s="101" t="s">
        <v>993</v>
      </c>
      <c r="K43" s="98">
        <v>1</v>
      </c>
      <c r="L43" s="98">
        <v>0.75</v>
      </c>
      <c r="M43" s="102" t="s">
        <v>1001</v>
      </c>
      <c r="N43" s="103"/>
      <c r="O43" s="104">
        <v>11.385</v>
      </c>
      <c r="P43" s="105">
        <f t="shared" si="8"/>
        <v>8.5389999999999997</v>
      </c>
      <c r="S43" s="9">
        <f>+L43*K43</f>
        <v>0.75</v>
      </c>
    </row>
    <row r="44" spans="2:19" ht="15" customHeight="1" x14ac:dyDescent="0.3">
      <c r="B44" s="56">
        <v>6</v>
      </c>
      <c r="C44" s="99" t="s">
        <v>1075</v>
      </c>
      <c r="D44" s="100" t="s">
        <v>1076</v>
      </c>
      <c r="E44" s="100"/>
      <c r="F44" s="100"/>
      <c r="G44" s="100"/>
      <c r="H44" s="101">
        <v>1357.04</v>
      </c>
      <c r="I44" s="101">
        <v>1344.31</v>
      </c>
      <c r="J44" s="55" t="s">
        <v>993</v>
      </c>
      <c r="K44" s="56">
        <v>1</v>
      </c>
      <c r="L44" s="56">
        <v>0.75</v>
      </c>
      <c r="M44" s="83" t="s">
        <v>1002</v>
      </c>
      <c r="N44" s="84"/>
      <c r="O44" s="61">
        <v>11.709</v>
      </c>
      <c r="P44" s="62">
        <f t="shared" si="8"/>
        <v>8.782</v>
      </c>
      <c r="S44" s="9">
        <f t="shared" ref="S44:S49" si="9">+L44*K44</f>
        <v>0.75</v>
      </c>
    </row>
    <row r="45" spans="2:19" ht="15" customHeight="1" x14ac:dyDescent="0.3">
      <c r="B45" s="56">
        <v>6</v>
      </c>
      <c r="C45" s="99" t="s">
        <v>1075</v>
      </c>
      <c r="D45" s="100" t="s">
        <v>1076</v>
      </c>
      <c r="E45" s="100"/>
      <c r="F45" s="100"/>
      <c r="G45" s="100"/>
      <c r="H45" s="101">
        <v>1357.04</v>
      </c>
      <c r="I45" s="101">
        <v>1344.31</v>
      </c>
      <c r="J45" s="55" t="s">
        <v>993</v>
      </c>
      <c r="K45" s="56">
        <v>1</v>
      </c>
      <c r="L45" s="56">
        <v>0.75</v>
      </c>
      <c r="M45" s="83" t="s">
        <v>1003</v>
      </c>
      <c r="N45" s="84"/>
      <c r="O45" s="61">
        <v>11.792999999999999</v>
      </c>
      <c r="P45" s="62">
        <f t="shared" si="8"/>
        <v>8.8450000000000006</v>
      </c>
      <c r="S45" s="9">
        <f t="shared" si="9"/>
        <v>0.75</v>
      </c>
    </row>
    <row r="46" spans="2:19" ht="15" customHeight="1" x14ac:dyDescent="0.3">
      <c r="B46" s="56">
        <v>6</v>
      </c>
      <c r="C46" s="99" t="s">
        <v>1075</v>
      </c>
      <c r="D46" s="100" t="s">
        <v>1076</v>
      </c>
      <c r="E46" s="100"/>
      <c r="F46" s="100"/>
      <c r="G46" s="100"/>
      <c r="H46" s="101">
        <v>1357.04</v>
      </c>
      <c r="I46" s="101">
        <v>1344.31</v>
      </c>
      <c r="J46" s="55" t="s">
        <v>993</v>
      </c>
      <c r="K46" s="56">
        <v>1</v>
      </c>
      <c r="L46" s="56">
        <v>0.75</v>
      </c>
      <c r="M46" s="83" t="s">
        <v>1004</v>
      </c>
      <c r="N46" s="84"/>
      <c r="O46" s="61">
        <v>11.766999999999999</v>
      </c>
      <c r="P46" s="62">
        <f t="shared" si="8"/>
        <v>8.8249999999999993</v>
      </c>
      <c r="S46" s="9">
        <f t="shared" si="9"/>
        <v>0.75</v>
      </c>
    </row>
    <row r="47" spans="2:19" ht="15" customHeight="1" x14ac:dyDescent="0.3">
      <c r="B47" s="56">
        <v>6</v>
      </c>
      <c r="C47" s="99" t="s">
        <v>1075</v>
      </c>
      <c r="D47" s="100" t="s">
        <v>1076</v>
      </c>
      <c r="E47" s="100"/>
      <c r="F47" s="100"/>
      <c r="G47" s="100"/>
      <c r="H47" s="101">
        <v>1357.04</v>
      </c>
      <c r="I47" s="101">
        <v>1344.31</v>
      </c>
      <c r="J47" s="55" t="s">
        <v>993</v>
      </c>
      <c r="K47" s="56">
        <v>1</v>
      </c>
      <c r="L47" s="56">
        <v>0.75</v>
      </c>
      <c r="M47" s="83" t="s">
        <v>1005</v>
      </c>
      <c r="N47" s="84"/>
      <c r="O47" s="61">
        <v>11.805999999999999</v>
      </c>
      <c r="P47" s="62">
        <f t="shared" si="8"/>
        <v>8.8550000000000004</v>
      </c>
      <c r="S47" s="9">
        <f t="shared" si="9"/>
        <v>0.75</v>
      </c>
    </row>
    <row r="48" spans="2:19" ht="15" customHeight="1" x14ac:dyDescent="0.3">
      <c r="B48" s="56">
        <v>6</v>
      </c>
      <c r="C48" s="99" t="s">
        <v>1075</v>
      </c>
      <c r="D48" s="100" t="s">
        <v>1076</v>
      </c>
      <c r="E48" s="100"/>
      <c r="F48" s="100"/>
      <c r="G48" s="100"/>
      <c r="H48" s="101">
        <v>1357.04</v>
      </c>
      <c r="I48" s="101">
        <v>1344.31</v>
      </c>
      <c r="J48" s="55" t="s">
        <v>993</v>
      </c>
      <c r="K48" s="56">
        <v>1</v>
      </c>
      <c r="L48" s="56">
        <v>0.75</v>
      </c>
      <c r="M48" s="83" t="s">
        <v>1006</v>
      </c>
      <c r="N48" s="84"/>
      <c r="O48" s="61">
        <v>11.959</v>
      </c>
      <c r="P48" s="62">
        <f t="shared" si="8"/>
        <v>8.9689999999999994</v>
      </c>
      <c r="S48" s="9">
        <f t="shared" si="9"/>
        <v>0.75</v>
      </c>
    </row>
    <row r="49" spans="2:31" ht="15" customHeight="1" x14ac:dyDescent="0.3">
      <c r="B49" s="56">
        <v>6</v>
      </c>
      <c r="C49" s="99" t="s">
        <v>1075</v>
      </c>
      <c r="D49" s="100" t="s">
        <v>1076</v>
      </c>
      <c r="E49" s="100"/>
      <c r="F49" s="100"/>
      <c r="G49" s="100"/>
      <c r="H49" s="101">
        <v>1357.04</v>
      </c>
      <c r="I49" s="101">
        <v>1348.06</v>
      </c>
      <c r="J49" s="55" t="s">
        <v>993</v>
      </c>
      <c r="K49" s="56">
        <v>1</v>
      </c>
      <c r="L49" s="155">
        <f>+H49-I49</f>
        <v>8.9800000000000182</v>
      </c>
      <c r="M49" s="83" t="s">
        <v>1077</v>
      </c>
      <c r="N49" s="86"/>
      <c r="O49" s="70">
        <v>11.737</v>
      </c>
      <c r="P49" s="87">
        <f>+ROUND(PRODUCT(K49:O49),3)</f>
        <v>105.398</v>
      </c>
      <c r="S49" s="9">
        <f t="shared" si="9"/>
        <v>8.9800000000000182</v>
      </c>
    </row>
    <row r="50" spans="2:31" ht="15" customHeight="1" x14ac:dyDescent="0.3">
      <c r="B50" s="39"/>
      <c r="C50" s="42"/>
      <c r="D50" s="40"/>
      <c r="E50" s="40"/>
      <c r="F50" s="40"/>
      <c r="G50" s="40"/>
      <c r="H50" s="41"/>
      <c r="I50" s="41"/>
      <c r="J50" s="41"/>
      <c r="K50" s="41"/>
      <c r="L50" s="41"/>
      <c r="M50" s="41"/>
      <c r="N50" s="41"/>
      <c r="O50" s="42"/>
      <c r="P50" s="43"/>
    </row>
    <row r="51" spans="2:31" ht="15" customHeight="1" x14ac:dyDescent="0.3">
      <c r="C51" s="30"/>
      <c r="D51" s="33"/>
      <c r="E51" s="33"/>
      <c r="F51" s="33"/>
      <c r="G51" s="33"/>
      <c r="H51" s="12"/>
      <c r="I51" s="12"/>
      <c r="J51" s="12"/>
      <c r="K51" s="12"/>
      <c r="L51" s="12"/>
      <c r="M51" s="12"/>
      <c r="N51" s="12"/>
      <c r="O51" s="30"/>
    </row>
    <row r="52" spans="2:31" ht="30" customHeight="1" x14ac:dyDescent="0.3">
      <c r="B52" s="158" t="s">
        <v>7</v>
      </c>
      <c r="C52" s="159"/>
      <c r="D52" s="158" t="s">
        <v>8</v>
      </c>
      <c r="E52" s="162"/>
      <c r="F52" s="162"/>
      <c r="G52" s="162"/>
      <c r="H52" s="162"/>
      <c r="I52" s="162"/>
      <c r="J52" s="162"/>
      <c r="K52" s="162"/>
      <c r="L52" s="162"/>
      <c r="M52" s="34" t="s">
        <v>9</v>
      </c>
      <c r="N52" s="85" t="s">
        <v>1057</v>
      </c>
      <c r="O52" s="85" t="s">
        <v>1058</v>
      </c>
      <c r="P52" s="35" t="s">
        <v>1059</v>
      </c>
    </row>
    <row r="53" spans="2:31" ht="30" customHeight="1" x14ac:dyDescent="0.3">
      <c r="B53" s="160" t="s">
        <v>124</v>
      </c>
      <c r="C53" s="161"/>
      <c r="D53" s="163" t="str">
        <f>+VLOOKUP(B53,[2]Liste!B:E,2,FALSE)</f>
        <v>Püskürtme Beton (Tünel ve Şaftlarda)</v>
      </c>
      <c r="E53" s="164"/>
      <c r="F53" s="164"/>
      <c r="G53" s="164"/>
      <c r="H53" s="164"/>
      <c r="I53" s="164"/>
      <c r="J53" s="164"/>
      <c r="K53" s="164"/>
      <c r="L53" s="164"/>
      <c r="M53" s="36" t="str">
        <f>+VLOOKUP(B53,[2]Liste!B:E,3,FALSE)</f>
        <v>m³</v>
      </c>
      <c r="N53" s="60">
        <v>141.55099999999999</v>
      </c>
      <c r="O53" s="60">
        <f>+P53-N53</f>
        <v>27.158000000000015</v>
      </c>
      <c r="P53" s="60">
        <f>+ROUND(SUM(P54:P86),3)</f>
        <v>168.709</v>
      </c>
      <c r="AA53" s="9">
        <f>+VLOOKUP(B53,[1]Liste!$B$2:$F$483,5,FALSE)</f>
        <v>15334</v>
      </c>
      <c r="AC53" s="9">
        <f>+AA53*N53</f>
        <v>2170543.034</v>
      </c>
      <c r="AD53" s="9">
        <f>+AA53*O53</f>
        <v>416440.77200000023</v>
      </c>
      <c r="AE53" s="9">
        <f>+AA53*P53</f>
        <v>2586983.8059999999</v>
      </c>
    </row>
    <row r="54" spans="2:31" ht="15" customHeight="1" x14ac:dyDescent="0.3">
      <c r="B54" s="51" t="s">
        <v>1072</v>
      </c>
      <c r="C54" s="78"/>
      <c r="D54" s="45"/>
      <c r="E54" s="45"/>
      <c r="F54" s="45"/>
      <c r="G54" s="45"/>
      <c r="H54" s="46"/>
      <c r="I54" s="46"/>
      <c r="J54" s="46"/>
      <c r="K54" s="47"/>
      <c r="L54" s="47"/>
      <c r="M54" s="48"/>
      <c r="N54" s="48"/>
      <c r="O54" s="49"/>
      <c r="P54" s="50"/>
    </row>
    <row r="55" spans="2:31" ht="30" customHeight="1" x14ac:dyDescent="0.3">
      <c r="B55" s="91" t="s">
        <v>981</v>
      </c>
      <c r="C55" s="91" t="s">
        <v>991</v>
      </c>
      <c r="D55" s="92" t="s">
        <v>990</v>
      </c>
      <c r="E55" s="92"/>
      <c r="F55" s="92"/>
      <c r="G55" s="92"/>
      <c r="H55" s="91" t="s">
        <v>988</v>
      </c>
      <c r="I55" s="91" t="s">
        <v>987</v>
      </c>
      <c r="J55" s="91" t="s">
        <v>992</v>
      </c>
      <c r="K55" s="91" t="s">
        <v>989</v>
      </c>
      <c r="L55" s="93" t="s">
        <v>1000</v>
      </c>
      <c r="M55" s="91" t="s">
        <v>12</v>
      </c>
      <c r="N55" s="91"/>
      <c r="O55" s="93" t="s">
        <v>983</v>
      </c>
      <c r="P55" s="93" t="s">
        <v>14</v>
      </c>
    </row>
    <row r="56" spans="2:31" ht="15" customHeight="1" x14ac:dyDescent="0.3">
      <c r="B56" s="98">
        <v>5</v>
      </c>
      <c r="C56" s="99" t="s">
        <v>1061</v>
      </c>
      <c r="D56" s="100" t="s">
        <v>1062</v>
      </c>
      <c r="E56" s="100"/>
      <c r="F56" s="100"/>
      <c r="G56" s="100"/>
      <c r="H56" s="101">
        <v>1292.56</v>
      </c>
      <c r="I56" s="101">
        <v>1276.24</v>
      </c>
      <c r="J56" s="101" t="s">
        <v>993</v>
      </c>
      <c r="K56" s="98">
        <v>3</v>
      </c>
      <c r="L56" s="121">
        <v>0.9</v>
      </c>
      <c r="M56" s="98">
        <v>0.75</v>
      </c>
      <c r="N56" s="102" t="s">
        <v>1001</v>
      </c>
      <c r="O56" s="104">
        <v>1.944</v>
      </c>
      <c r="P56" s="105">
        <f t="shared" ref="P56:P61" si="10">+ROUND(PRODUCT(K56:O56),3)</f>
        <v>3.9369999999999998</v>
      </c>
    </row>
    <row r="57" spans="2:31" ht="15" customHeight="1" x14ac:dyDescent="0.3">
      <c r="B57" s="56">
        <v>5</v>
      </c>
      <c r="C57" s="53" t="s">
        <v>1061</v>
      </c>
      <c r="D57" s="54" t="s">
        <v>1062</v>
      </c>
      <c r="E57" s="54"/>
      <c r="F57" s="54"/>
      <c r="G57" s="54"/>
      <c r="H57" s="101">
        <v>1292.56</v>
      </c>
      <c r="I57" s="101">
        <v>1276.24</v>
      </c>
      <c r="J57" s="55" t="s">
        <v>993</v>
      </c>
      <c r="K57" s="56">
        <v>3</v>
      </c>
      <c r="L57" s="72">
        <v>0.9</v>
      </c>
      <c r="M57" s="56">
        <v>0.75</v>
      </c>
      <c r="N57" s="83" t="s">
        <v>1002</v>
      </c>
      <c r="O57" s="61">
        <v>1.9990000000000001</v>
      </c>
      <c r="P57" s="62">
        <f t="shared" si="10"/>
        <v>4.048</v>
      </c>
    </row>
    <row r="58" spans="2:31" ht="15" customHeight="1" x14ac:dyDescent="0.3">
      <c r="B58" s="56">
        <v>5</v>
      </c>
      <c r="C58" s="53" t="s">
        <v>1061</v>
      </c>
      <c r="D58" s="54" t="s">
        <v>1062</v>
      </c>
      <c r="E58" s="54"/>
      <c r="F58" s="54"/>
      <c r="G58" s="54"/>
      <c r="H58" s="101">
        <v>1292.56</v>
      </c>
      <c r="I58" s="101">
        <v>1276.24</v>
      </c>
      <c r="J58" s="55" t="s">
        <v>993</v>
      </c>
      <c r="K58" s="56">
        <v>3</v>
      </c>
      <c r="L58" s="72">
        <v>0.9</v>
      </c>
      <c r="M58" s="56">
        <v>0.75</v>
      </c>
      <c r="N58" s="83" t="s">
        <v>1003</v>
      </c>
      <c r="O58" s="61">
        <v>2.0270000000000001</v>
      </c>
      <c r="P58" s="62">
        <f t="shared" si="10"/>
        <v>4.1050000000000004</v>
      </c>
    </row>
    <row r="59" spans="2:31" ht="15" customHeight="1" x14ac:dyDescent="0.3">
      <c r="B59" s="56">
        <v>5</v>
      </c>
      <c r="C59" s="53" t="s">
        <v>1061</v>
      </c>
      <c r="D59" s="54" t="s">
        <v>1062</v>
      </c>
      <c r="E59" s="54"/>
      <c r="F59" s="54"/>
      <c r="G59" s="54"/>
      <c r="H59" s="101">
        <v>1292.56</v>
      </c>
      <c r="I59" s="101">
        <v>1276.24</v>
      </c>
      <c r="J59" s="55" t="s">
        <v>993</v>
      </c>
      <c r="K59" s="56">
        <v>4</v>
      </c>
      <c r="L59" s="72">
        <v>0.9</v>
      </c>
      <c r="M59" s="56">
        <v>0.75</v>
      </c>
      <c r="N59" s="83" t="s">
        <v>1004</v>
      </c>
      <c r="O59" s="61">
        <v>2.0390000000000001</v>
      </c>
      <c r="P59" s="62">
        <f t="shared" si="10"/>
        <v>5.5049999999999999</v>
      </c>
    </row>
    <row r="60" spans="2:31" ht="15" customHeight="1" x14ac:dyDescent="0.3">
      <c r="B60" s="56">
        <v>5</v>
      </c>
      <c r="C60" s="53" t="s">
        <v>1061</v>
      </c>
      <c r="D60" s="54" t="s">
        <v>1062</v>
      </c>
      <c r="E60" s="54"/>
      <c r="F60" s="54"/>
      <c r="G60" s="54"/>
      <c r="H60" s="101">
        <v>1292.56</v>
      </c>
      <c r="I60" s="101">
        <v>1276.24</v>
      </c>
      <c r="J60" s="55" t="s">
        <v>993</v>
      </c>
      <c r="K60" s="56">
        <v>4</v>
      </c>
      <c r="L60" s="72">
        <v>0.9</v>
      </c>
      <c r="M60" s="56">
        <v>0.75</v>
      </c>
      <c r="N60" s="83" t="s">
        <v>1005</v>
      </c>
      <c r="O60" s="61">
        <v>2.0579999999999998</v>
      </c>
      <c r="P60" s="62">
        <f t="shared" si="10"/>
        <v>5.5570000000000004</v>
      </c>
    </row>
    <row r="61" spans="2:31" ht="15" customHeight="1" x14ac:dyDescent="0.3">
      <c r="B61" s="56">
        <v>5</v>
      </c>
      <c r="C61" s="53" t="s">
        <v>1061</v>
      </c>
      <c r="D61" s="54" t="s">
        <v>1062</v>
      </c>
      <c r="E61" s="54"/>
      <c r="F61" s="54"/>
      <c r="G61" s="54"/>
      <c r="H61" s="101">
        <v>1292.56</v>
      </c>
      <c r="I61" s="101">
        <v>1276.24</v>
      </c>
      <c r="J61" s="55" t="s">
        <v>993</v>
      </c>
      <c r="K61" s="56">
        <v>4</v>
      </c>
      <c r="L61" s="72">
        <v>0.9</v>
      </c>
      <c r="M61" s="56">
        <v>0.75</v>
      </c>
      <c r="N61" s="83" t="s">
        <v>1006</v>
      </c>
      <c r="O61" s="61">
        <v>2.0910000000000002</v>
      </c>
      <c r="P61" s="62">
        <f t="shared" si="10"/>
        <v>5.6459999999999999</v>
      </c>
    </row>
    <row r="62" spans="2:31" ht="15" customHeight="1" x14ac:dyDescent="0.3">
      <c r="B62" s="108">
        <v>5</v>
      </c>
      <c r="C62" s="109" t="s">
        <v>1061</v>
      </c>
      <c r="D62" s="110" t="s">
        <v>1062</v>
      </c>
      <c r="E62" s="110"/>
      <c r="F62" s="110"/>
      <c r="G62" s="110"/>
      <c r="H62" s="101">
        <v>1292.56</v>
      </c>
      <c r="I62" s="101">
        <v>1276.24</v>
      </c>
      <c r="J62" s="111" t="s">
        <v>993</v>
      </c>
      <c r="K62" s="56">
        <v>1</v>
      </c>
      <c r="L62" s="149">
        <v>0.9</v>
      </c>
      <c r="M62" s="108">
        <v>0.56999999999999995</v>
      </c>
      <c r="N62" s="150" t="s">
        <v>1006</v>
      </c>
      <c r="O62" s="146">
        <v>2.0910000000000002</v>
      </c>
      <c r="P62" s="151">
        <f>+ROUND(PRODUCT(K62:O62),3)</f>
        <v>1.073</v>
      </c>
    </row>
    <row r="63" spans="2:31" ht="15" customHeight="1" x14ac:dyDescent="0.3">
      <c r="B63" s="98">
        <v>5</v>
      </c>
      <c r="C63" s="99" t="s">
        <v>1063</v>
      </c>
      <c r="D63" s="100" t="s">
        <v>1064</v>
      </c>
      <c r="E63" s="100"/>
      <c r="F63" s="100"/>
      <c r="G63" s="100"/>
      <c r="H63" s="101">
        <v>1337.56</v>
      </c>
      <c r="I63" s="101">
        <v>1292.56</v>
      </c>
      <c r="J63" s="101" t="s">
        <v>993</v>
      </c>
      <c r="K63" s="98">
        <v>10</v>
      </c>
      <c r="L63" s="121">
        <v>0.9</v>
      </c>
      <c r="M63" s="98">
        <v>0.75</v>
      </c>
      <c r="N63" s="102" t="s">
        <v>1001</v>
      </c>
      <c r="O63" s="104">
        <v>1.944</v>
      </c>
      <c r="P63" s="105">
        <f t="shared" ref="P63:P68" si="11">+ROUND(PRODUCT(K63:O63),3)</f>
        <v>13.122</v>
      </c>
    </row>
    <row r="64" spans="2:31" ht="15" customHeight="1" x14ac:dyDescent="0.3">
      <c r="B64" s="56">
        <v>5</v>
      </c>
      <c r="C64" s="53" t="s">
        <v>1063</v>
      </c>
      <c r="D64" s="54" t="s">
        <v>1064</v>
      </c>
      <c r="E64" s="54"/>
      <c r="F64" s="54"/>
      <c r="G64" s="54"/>
      <c r="H64" s="101">
        <v>1337.56</v>
      </c>
      <c r="I64" s="101">
        <v>1292.56</v>
      </c>
      <c r="J64" s="55" t="s">
        <v>993</v>
      </c>
      <c r="K64" s="56">
        <v>10</v>
      </c>
      <c r="L64" s="72">
        <v>0.9</v>
      </c>
      <c r="M64" s="56">
        <v>0.75</v>
      </c>
      <c r="N64" s="83" t="s">
        <v>1002</v>
      </c>
      <c r="O64" s="61">
        <v>1.9990000000000001</v>
      </c>
      <c r="P64" s="62">
        <f t="shared" si="11"/>
        <v>13.493</v>
      </c>
    </row>
    <row r="65" spans="2:16" ht="15" customHeight="1" x14ac:dyDescent="0.3">
      <c r="B65" s="56">
        <v>5</v>
      </c>
      <c r="C65" s="53" t="s">
        <v>1063</v>
      </c>
      <c r="D65" s="54" t="s">
        <v>1064</v>
      </c>
      <c r="E65" s="54"/>
      <c r="F65" s="54"/>
      <c r="G65" s="54"/>
      <c r="H65" s="101">
        <v>1337.56</v>
      </c>
      <c r="I65" s="101">
        <v>1292.56</v>
      </c>
      <c r="J65" s="55" t="s">
        <v>993</v>
      </c>
      <c r="K65" s="56">
        <v>10</v>
      </c>
      <c r="L65" s="72">
        <v>0.9</v>
      </c>
      <c r="M65" s="56">
        <v>0.75</v>
      </c>
      <c r="N65" s="83" t="s">
        <v>1003</v>
      </c>
      <c r="O65" s="61">
        <v>2.0270000000000001</v>
      </c>
      <c r="P65" s="62">
        <f t="shared" si="11"/>
        <v>13.682</v>
      </c>
    </row>
    <row r="66" spans="2:16" ht="15" customHeight="1" x14ac:dyDescent="0.3">
      <c r="B66" s="56">
        <v>5</v>
      </c>
      <c r="C66" s="53" t="s">
        <v>1063</v>
      </c>
      <c r="D66" s="54" t="s">
        <v>1064</v>
      </c>
      <c r="E66" s="54"/>
      <c r="F66" s="54"/>
      <c r="G66" s="54"/>
      <c r="H66" s="101">
        <v>1337.56</v>
      </c>
      <c r="I66" s="101">
        <v>1292.56</v>
      </c>
      <c r="J66" s="55" t="s">
        <v>993</v>
      </c>
      <c r="K66" s="56">
        <v>10</v>
      </c>
      <c r="L66" s="72">
        <v>0.9</v>
      </c>
      <c r="M66" s="56">
        <v>0.75</v>
      </c>
      <c r="N66" s="83" t="s">
        <v>1004</v>
      </c>
      <c r="O66" s="61">
        <v>2.0390000000000001</v>
      </c>
      <c r="P66" s="62">
        <f t="shared" si="11"/>
        <v>13.763</v>
      </c>
    </row>
    <row r="67" spans="2:16" ht="15" customHeight="1" x14ac:dyDescent="0.3">
      <c r="B67" s="56">
        <v>5</v>
      </c>
      <c r="C67" s="53" t="s">
        <v>1063</v>
      </c>
      <c r="D67" s="54" t="s">
        <v>1064</v>
      </c>
      <c r="E67" s="54"/>
      <c r="F67" s="54"/>
      <c r="G67" s="54"/>
      <c r="H67" s="101">
        <v>1337.56</v>
      </c>
      <c r="I67" s="101">
        <v>1292.56</v>
      </c>
      <c r="J67" s="55" t="s">
        <v>993</v>
      </c>
      <c r="K67" s="56">
        <v>10</v>
      </c>
      <c r="L67" s="72">
        <v>0.9</v>
      </c>
      <c r="M67" s="56">
        <v>0.75</v>
      </c>
      <c r="N67" s="83" t="s">
        <v>1005</v>
      </c>
      <c r="O67" s="61">
        <v>2.0579999999999998</v>
      </c>
      <c r="P67" s="62">
        <f t="shared" si="11"/>
        <v>13.891999999999999</v>
      </c>
    </row>
    <row r="68" spans="2:16" ht="15" customHeight="1" x14ac:dyDescent="0.3">
      <c r="B68" s="56">
        <v>5</v>
      </c>
      <c r="C68" s="53" t="s">
        <v>1063</v>
      </c>
      <c r="D68" s="54" t="s">
        <v>1064</v>
      </c>
      <c r="E68" s="54"/>
      <c r="F68" s="54"/>
      <c r="G68" s="54"/>
      <c r="H68" s="101">
        <v>1337.56</v>
      </c>
      <c r="I68" s="101">
        <v>1292.56</v>
      </c>
      <c r="J68" s="55" t="s">
        <v>993</v>
      </c>
      <c r="K68" s="56">
        <v>10</v>
      </c>
      <c r="L68" s="72">
        <v>0.9</v>
      </c>
      <c r="M68" s="56">
        <v>0.75</v>
      </c>
      <c r="N68" s="83" t="s">
        <v>1006</v>
      </c>
      <c r="O68" s="61">
        <v>2.0910000000000002</v>
      </c>
      <c r="P68" s="62">
        <f t="shared" si="11"/>
        <v>14.114000000000001</v>
      </c>
    </row>
    <row r="69" spans="2:16" ht="15" customHeight="1" x14ac:dyDescent="0.3">
      <c r="B69" s="98">
        <v>5</v>
      </c>
      <c r="C69" s="99" t="s">
        <v>1065</v>
      </c>
      <c r="D69" s="100" t="s">
        <v>1066</v>
      </c>
      <c r="E69" s="100"/>
      <c r="F69" s="100"/>
      <c r="G69" s="100"/>
      <c r="H69" s="101">
        <v>1344.31</v>
      </c>
      <c r="I69" s="101">
        <v>1337.56</v>
      </c>
      <c r="J69" s="101" t="s">
        <v>993</v>
      </c>
      <c r="K69" s="98">
        <v>2</v>
      </c>
      <c r="L69" s="121">
        <v>0.9</v>
      </c>
      <c r="M69" s="98">
        <v>0.75</v>
      </c>
      <c r="N69" s="102" t="s">
        <v>1001</v>
      </c>
      <c r="O69" s="104">
        <v>1.944</v>
      </c>
      <c r="P69" s="105">
        <f t="shared" ref="P69:P74" si="12">+ROUND(PRODUCT(K69:O69),3)</f>
        <v>2.6240000000000001</v>
      </c>
    </row>
    <row r="70" spans="2:16" ht="15" customHeight="1" x14ac:dyDescent="0.3">
      <c r="B70" s="56">
        <v>5</v>
      </c>
      <c r="C70" s="53" t="s">
        <v>1065</v>
      </c>
      <c r="D70" s="54" t="s">
        <v>1066</v>
      </c>
      <c r="E70" s="54"/>
      <c r="F70" s="54"/>
      <c r="G70" s="54"/>
      <c r="H70" s="101">
        <v>1344.31</v>
      </c>
      <c r="I70" s="101">
        <v>1337.56</v>
      </c>
      <c r="J70" s="55" t="s">
        <v>993</v>
      </c>
      <c r="K70" s="56">
        <v>2</v>
      </c>
      <c r="L70" s="72">
        <v>0.9</v>
      </c>
      <c r="M70" s="56">
        <v>0.75</v>
      </c>
      <c r="N70" s="83" t="s">
        <v>1002</v>
      </c>
      <c r="O70" s="61">
        <v>1.9990000000000001</v>
      </c>
      <c r="P70" s="62">
        <f t="shared" si="12"/>
        <v>2.6989999999999998</v>
      </c>
    </row>
    <row r="71" spans="2:16" ht="15" customHeight="1" x14ac:dyDescent="0.3">
      <c r="B71" s="56">
        <v>5</v>
      </c>
      <c r="C71" s="53" t="s">
        <v>1065</v>
      </c>
      <c r="D71" s="54" t="s">
        <v>1066</v>
      </c>
      <c r="E71" s="54"/>
      <c r="F71" s="54"/>
      <c r="G71" s="54"/>
      <c r="H71" s="101">
        <v>1344.31</v>
      </c>
      <c r="I71" s="101">
        <v>1337.56</v>
      </c>
      <c r="J71" s="55" t="s">
        <v>993</v>
      </c>
      <c r="K71" s="56">
        <v>2</v>
      </c>
      <c r="L71" s="72">
        <v>0.9</v>
      </c>
      <c r="M71" s="56">
        <v>0.75</v>
      </c>
      <c r="N71" s="83" t="s">
        <v>1003</v>
      </c>
      <c r="O71" s="61">
        <v>2.0270000000000001</v>
      </c>
      <c r="P71" s="62">
        <f t="shared" si="12"/>
        <v>2.7360000000000002</v>
      </c>
    </row>
    <row r="72" spans="2:16" ht="15" customHeight="1" x14ac:dyDescent="0.3">
      <c r="B72" s="56">
        <v>5</v>
      </c>
      <c r="C72" s="53" t="s">
        <v>1065</v>
      </c>
      <c r="D72" s="54" t="s">
        <v>1066</v>
      </c>
      <c r="E72" s="54"/>
      <c r="F72" s="54"/>
      <c r="G72" s="54"/>
      <c r="H72" s="101">
        <v>1344.31</v>
      </c>
      <c r="I72" s="101">
        <v>1337.56</v>
      </c>
      <c r="J72" s="55" t="s">
        <v>993</v>
      </c>
      <c r="K72" s="56">
        <v>1</v>
      </c>
      <c r="L72" s="72">
        <v>0.9</v>
      </c>
      <c r="M72" s="56">
        <v>0.75</v>
      </c>
      <c r="N72" s="83" t="s">
        <v>1004</v>
      </c>
      <c r="O72" s="61">
        <v>2.0390000000000001</v>
      </c>
      <c r="P72" s="62">
        <f t="shared" si="12"/>
        <v>1.3759999999999999</v>
      </c>
    </row>
    <row r="73" spans="2:16" ht="15" customHeight="1" x14ac:dyDescent="0.3">
      <c r="B73" s="56">
        <v>5</v>
      </c>
      <c r="C73" s="53" t="s">
        <v>1065</v>
      </c>
      <c r="D73" s="54" t="s">
        <v>1066</v>
      </c>
      <c r="E73" s="54"/>
      <c r="F73" s="54"/>
      <c r="G73" s="54"/>
      <c r="H73" s="101">
        <v>1344.31</v>
      </c>
      <c r="I73" s="101">
        <v>1337.56</v>
      </c>
      <c r="J73" s="55" t="s">
        <v>993</v>
      </c>
      <c r="K73" s="56">
        <v>1</v>
      </c>
      <c r="L73" s="72">
        <v>0.9</v>
      </c>
      <c r="M73" s="56">
        <v>0.75</v>
      </c>
      <c r="N73" s="83" t="s">
        <v>1005</v>
      </c>
      <c r="O73" s="61">
        <v>2.0579999999999998</v>
      </c>
      <c r="P73" s="62">
        <f t="shared" si="12"/>
        <v>1.389</v>
      </c>
    </row>
    <row r="74" spans="2:16" ht="15" customHeight="1" x14ac:dyDescent="0.3">
      <c r="B74" s="56">
        <v>5</v>
      </c>
      <c r="C74" s="53" t="s">
        <v>1065</v>
      </c>
      <c r="D74" s="54" t="s">
        <v>1066</v>
      </c>
      <c r="E74" s="54"/>
      <c r="F74" s="54"/>
      <c r="G74" s="54"/>
      <c r="H74" s="101">
        <v>1344.31</v>
      </c>
      <c r="I74" s="101">
        <v>1337.56</v>
      </c>
      <c r="J74" s="55" t="s">
        <v>993</v>
      </c>
      <c r="K74" s="56">
        <v>1</v>
      </c>
      <c r="L74" s="72">
        <v>0.9</v>
      </c>
      <c r="M74" s="56">
        <v>0.75</v>
      </c>
      <c r="N74" s="83" t="s">
        <v>1006</v>
      </c>
      <c r="O74" s="61">
        <v>2.0910000000000002</v>
      </c>
      <c r="P74" s="62">
        <f t="shared" si="12"/>
        <v>1.411</v>
      </c>
    </row>
    <row r="75" spans="2:16" ht="15" customHeight="1" x14ac:dyDescent="0.3">
      <c r="B75" s="56">
        <v>5</v>
      </c>
      <c r="C75" s="53" t="s">
        <v>1065</v>
      </c>
      <c r="D75" s="54" t="s">
        <v>1066</v>
      </c>
      <c r="E75" s="54"/>
      <c r="F75" s="54"/>
      <c r="G75" s="54"/>
      <c r="H75" s="101">
        <v>1344.31</v>
      </c>
      <c r="I75" s="101">
        <v>1276.24</v>
      </c>
      <c r="J75" s="55" t="s">
        <v>993</v>
      </c>
      <c r="K75" s="56">
        <v>1</v>
      </c>
      <c r="L75" s="72">
        <v>0.1</v>
      </c>
      <c r="M75" s="155">
        <f>+H75-I75</f>
        <v>68.069999999999936</v>
      </c>
      <c r="N75" s="83" t="s">
        <v>1067</v>
      </c>
      <c r="O75" s="61">
        <v>2.0259999999999998</v>
      </c>
      <c r="P75" s="62">
        <f t="shared" ref="P75:P81" si="13">+ROUND(PRODUCT(K75:O75),3)</f>
        <v>13.791</v>
      </c>
    </row>
    <row r="76" spans="2:16" ht="15" customHeight="1" x14ac:dyDescent="0.3">
      <c r="B76" s="98">
        <v>6</v>
      </c>
      <c r="C76" s="99" t="s">
        <v>1075</v>
      </c>
      <c r="D76" s="100" t="s">
        <v>1076</v>
      </c>
      <c r="E76" s="100"/>
      <c r="F76" s="100"/>
      <c r="G76" s="100"/>
      <c r="H76" s="101">
        <v>1357.04</v>
      </c>
      <c r="I76" s="101">
        <v>1344.31</v>
      </c>
      <c r="J76" s="101" t="s">
        <v>993</v>
      </c>
      <c r="K76" s="98">
        <v>1</v>
      </c>
      <c r="L76" s="121">
        <v>0.9</v>
      </c>
      <c r="M76" s="98">
        <v>0.75</v>
      </c>
      <c r="N76" s="102" t="s">
        <v>1001</v>
      </c>
      <c r="O76" s="104">
        <v>1.944</v>
      </c>
      <c r="P76" s="105">
        <f t="shared" si="13"/>
        <v>1.3120000000000001</v>
      </c>
    </row>
    <row r="77" spans="2:16" ht="15" customHeight="1" x14ac:dyDescent="0.3">
      <c r="B77" s="56">
        <v>6</v>
      </c>
      <c r="C77" s="53" t="s">
        <v>1075</v>
      </c>
      <c r="D77" s="54" t="s">
        <v>1076</v>
      </c>
      <c r="E77" s="54"/>
      <c r="F77" s="54"/>
      <c r="G77" s="54"/>
      <c r="H77" s="101">
        <v>1357.04</v>
      </c>
      <c r="I77" s="101">
        <v>1344.31</v>
      </c>
      <c r="J77" s="55" t="s">
        <v>993</v>
      </c>
      <c r="K77" s="56">
        <v>1</v>
      </c>
      <c r="L77" s="72">
        <v>0.9</v>
      </c>
      <c r="M77" s="56">
        <v>0.75</v>
      </c>
      <c r="N77" s="83" t="s">
        <v>1002</v>
      </c>
      <c r="O77" s="61">
        <v>1.9990000000000001</v>
      </c>
      <c r="P77" s="62">
        <f t="shared" si="13"/>
        <v>1.349</v>
      </c>
    </row>
    <row r="78" spans="2:16" ht="15" customHeight="1" x14ac:dyDescent="0.3">
      <c r="B78" s="56">
        <v>6</v>
      </c>
      <c r="C78" s="53" t="s">
        <v>1075</v>
      </c>
      <c r="D78" s="54" t="s">
        <v>1076</v>
      </c>
      <c r="E78" s="54"/>
      <c r="F78" s="54"/>
      <c r="G78" s="54"/>
      <c r="H78" s="101">
        <v>1357.04</v>
      </c>
      <c r="I78" s="101">
        <v>1344.31</v>
      </c>
      <c r="J78" s="55" t="s">
        <v>993</v>
      </c>
      <c r="K78" s="56">
        <v>1</v>
      </c>
      <c r="L78" s="72">
        <v>0.9</v>
      </c>
      <c r="M78" s="56">
        <v>0.75</v>
      </c>
      <c r="N78" s="83" t="s">
        <v>1003</v>
      </c>
      <c r="O78" s="61">
        <v>2.0270000000000001</v>
      </c>
      <c r="P78" s="62">
        <f t="shared" si="13"/>
        <v>1.3680000000000001</v>
      </c>
    </row>
    <row r="79" spans="2:16" ht="15" customHeight="1" x14ac:dyDescent="0.3">
      <c r="B79" s="56">
        <v>6</v>
      </c>
      <c r="C79" s="53" t="s">
        <v>1075</v>
      </c>
      <c r="D79" s="54" t="s">
        <v>1076</v>
      </c>
      <c r="E79" s="54"/>
      <c r="F79" s="54"/>
      <c r="G79" s="54"/>
      <c r="H79" s="101">
        <v>1357.04</v>
      </c>
      <c r="I79" s="101">
        <v>1344.31</v>
      </c>
      <c r="J79" s="55" t="s">
        <v>993</v>
      </c>
      <c r="K79" s="56">
        <v>1</v>
      </c>
      <c r="L79" s="72">
        <v>0.9</v>
      </c>
      <c r="M79" s="56">
        <v>0.75</v>
      </c>
      <c r="N79" s="83" t="s">
        <v>1004</v>
      </c>
      <c r="O79" s="61">
        <v>2.0390000000000001</v>
      </c>
      <c r="P79" s="62">
        <f t="shared" si="13"/>
        <v>1.3759999999999999</v>
      </c>
    </row>
    <row r="80" spans="2:16" ht="15" customHeight="1" x14ac:dyDescent="0.3">
      <c r="B80" s="56">
        <v>6</v>
      </c>
      <c r="C80" s="53" t="s">
        <v>1075</v>
      </c>
      <c r="D80" s="54" t="s">
        <v>1076</v>
      </c>
      <c r="E80" s="54"/>
      <c r="F80" s="54"/>
      <c r="G80" s="54"/>
      <c r="H80" s="101">
        <v>1357.04</v>
      </c>
      <c r="I80" s="101">
        <v>1344.31</v>
      </c>
      <c r="J80" s="55" t="s">
        <v>993</v>
      </c>
      <c r="K80" s="56">
        <v>1</v>
      </c>
      <c r="L80" s="72">
        <v>0.9</v>
      </c>
      <c r="M80" s="56">
        <v>0.75</v>
      </c>
      <c r="N80" s="83" t="s">
        <v>1005</v>
      </c>
      <c r="O80" s="61">
        <v>2.0579999999999998</v>
      </c>
      <c r="P80" s="62">
        <f t="shared" si="13"/>
        <v>1.389</v>
      </c>
    </row>
    <row r="81" spans="2:16" ht="15" customHeight="1" x14ac:dyDescent="0.3">
      <c r="B81" s="56">
        <v>6</v>
      </c>
      <c r="C81" s="53" t="s">
        <v>1075</v>
      </c>
      <c r="D81" s="54" t="s">
        <v>1076</v>
      </c>
      <c r="E81" s="54"/>
      <c r="F81" s="54"/>
      <c r="G81" s="54"/>
      <c r="H81" s="101">
        <v>1357.04</v>
      </c>
      <c r="I81" s="101">
        <v>1344.31</v>
      </c>
      <c r="J81" s="55" t="s">
        <v>993</v>
      </c>
      <c r="K81" s="56">
        <v>1</v>
      </c>
      <c r="L81" s="72">
        <v>0.9</v>
      </c>
      <c r="M81" s="56">
        <v>0.75</v>
      </c>
      <c r="N81" s="83" t="s">
        <v>1006</v>
      </c>
      <c r="O81" s="61">
        <v>2.0910000000000002</v>
      </c>
      <c r="P81" s="62">
        <f t="shared" si="13"/>
        <v>1.411</v>
      </c>
    </row>
    <row r="82" spans="2:16" ht="15" customHeight="1" x14ac:dyDescent="0.3">
      <c r="B82" s="56">
        <v>6</v>
      </c>
      <c r="C82" s="53" t="s">
        <v>1075</v>
      </c>
      <c r="D82" s="54" t="s">
        <v>1076</v>
      </c>
      <c r="E82" s="54"/>
      <c r="F82" s="54"/>
      <c r="G82" s="54"/>
      <c r="H82" s="101">
        <v>1357.04</v>
      </c>
      <c r="I82" s="101">
        <v>1348.06</v>
      </c>
      <c r="J82" s="55" t="s">
        <v>993</v>
      </c>
      <c r="K82" s="56">
        <v>1</v>
      </c>
      <c r="L82" s="72">
        <v>0.9</v>
      </c>
      <c r="M82" s="155">
        <f>+H82-I82</f>
        <v>8.9800000000000182</v>
      </c>
      <c r="N82" s="83" t="s">
        <v>1077</v>
      </c>
      <c r="O82" s="61">
        <v>2.0259999999999998</v>
      </c>
      <c r="P82" s="62">
        <f t="shared" ref="P82:P83" si="14">+ROUND(PRODUCT(K82:O82),3)</f>
        <v>16.373999999999999</v>
      </c>
    </row>
    <row r="83" spans="2:16" ht="15" customHeight="1" x14ac:dyDescent="0.3">
      <c r="B83" s="56">
        <v>6</v>
      </c>
      <c r="C83" s="53" t="s">
        <v>1075</v>
      </c>
      <c r="D83" s="54" t="s">
        <v>1076</v>
      </c>
      <c r="E83" s="54"/>
      <c r="F83" s="54"/>
      <c r="G83" s="54"/>
      <c r="H83" s="101">
        <v>1357.04</v>
      </c>
      <c r="I83" s="101">
        <v>1344.31</v>
      </c>
      <c r="J83" s="55" t="s">
        <v>993</v>
      </c>
      <c r="K83" s="56">
        <v>1</v>
      </c>
      <c r="L83" s="72">
        <v>0.1</v>
      </c>
      <c r="M83" s="155">
        <f>+H83-I83</f>
        <v>12.730000000000018</v>
      </c>
      <c r="N83" s="83" t="s">
        <v>1067</v>
      </c>
      <c r="O83" s="61">
        <v>2.0259999999999998</v>
      </c>
      <c r="P83" s="62">
        <f t="shared" si="14"/>
        <v>2.5790000000000002</v>
      </c>
    </row>
    <row r="84" spans="2:16" ht="15" customHeight="1" x14ac:dyDescent="0.3">
      <c r="B84" s="51" t="s">
        <v>1071</v>
      </c>
      <c r="C84" s="78"/>
      <c r="D84" s="45"/>
      <c r="E84" s="45"/>
      <c r="F84" s="45"/>
      <c r="G84" s="45"/>
      <c r="H84" s="46"/>
      <c r="I84" s="46"/>
      <c r="J84" s="46"/>
      <c r="K84" s="47"/>
      <c r="L84" s="47"/>
      <c r="M84" s="48"/>
      <c r="N84" s="48"/>
      <c r="O84" s="49"/>
      <c r="P84" s="50"/>
    </row>
    <row r="85" spans="2:16" ht="15" customHeight="1" x14ac:dyDescent="0.3">
      <c r="B85" s="108">
        <v>5</v>
      </c>
      <c r="C85" s="99" t="s">
        <v>1061</v>
      </c>
      <c r="D85" s="110" t="s">
        <v>998</v>
      </c>
      <c r="E85" s="110"/>
      <c r="F85" s="110"/>
      <c r="G85" s="110"/>
      <c r="H85" s="118"/>
      <c r="I85" s="119">
        <v>30</v>
      </c>
      <c r="J85" s="111" t="s">
        <v>993</v>
      </c>
      <c r="K85" s="108">
        <v>1</v>
      </c>
      <c r="L85" s="108"/>
      <c r="M85" s="120">
        <v>0.3</v>
      </c>
      <c r="N85" s="120"/>
      <c r="O85" s="114">
        <v>11.959</v>
      </c>
      <c r="P85" s="115">
        <f t="shared" ref="P85" si="15">+ROUND(PRODUCT(K85:O85),3)</f>
        <v>3.5880000000000001</v>
      </c>
    </row>
    <row r="86" spans="2:16" ht="4.95" customHeight="1" x14ac:dyDescent="0.3">
      <c r="B86" s="39"/>
      <c r="C86" s="42"/>
      <c r="D86" s="40"/>
      <c r="E86" s="40"/>
      <c r="F86" s="40"/>
      <c r="G86" s="40"/>
      <c r="H86" s="41"/>
      <c r="I86" s="41"/>
      <c r="J86" s="41"/>
      <c r="K86" s="41"/>
      <c r="L86" s="41"/>
      <c r="M86" s="41"/>
      <c r="N86" s="41"/>
      <c r="O86" s="42"/>
      <c r="P86" s="43"/>
    </row>
    <row r="87" spans="2:16" ht="19.95" customHeight="1" x14ac:dyDescent="0.3">
      <c r="C87" s="30"/>
      <c r="D87" s="33"/>
      <c r="E87" s="33"/>
      <c r="F87" s="33"/>
      <c r="G87" s="33"/>
      <c r="H87" s="12"/>
      <c r="I87" s="12"/>
      <c r="J87" s="12"/>
      <c r="K87" s="12"/>
      <c r="L87" s="12"/>
      <c r="M87" s="12"/>
      <c r="N87" s="12"/>
      <c r="O87" s="30"/>
    </row>
    <row r="88" spans="2:16" ht="30" hidden="1" customHeight="1" x14ac:dyDescent="0.3">
      <c r="B88" s="158" t="s">
        <v>7</v>
      </c>
      <c r="C88" s="159"/>
      <c r="D88" s="158" t="s">
        <v>8</v>
      </c>
      <c r="E88" s="162"/>
      <c r="F88" s="162"/>
      <c r="G88" s="162"/>
      <c r="H88" s="162"/>
      <c r="I88" s="162"/>
      <c r="J88" s="162"/>
      <c r="K88" s="162"/>
      <c r="L88" s="162"/>
      <c r="M88" s="34" t="s">
        <v>9</v>
      </c>
      <c r="N88" s="85" t="s">
        <v>1057</v>
      </c>
      <c r="O88" s="85" t="s">
        <v>1058</v>
      </c>
      <c r="P88" s="35" t="s">
        <v>1059</v>
      </c>
    </row>
    <row r="89" spans="2:16" ht="30" hidden="1" customHeight="1" x14ac:dyDescent="0.3">
      <c r="B89" s="160" t="s">
        <v>131</v>
      </c>
      <c r="C89" s="161"/>
      <c r="D89" s="163" t="str">
        <f>+VLOOKUP(B89,[2]Liste!B:E,2,FALSE)</f>
        <v>L=4 m Kaya Bulonu</v>
      </c>
      <c r="E89" s="164"/>
      <c r="F89" s="164"/>
      <c r="G89" s="164"/>
      <c r="H89" s="164"/>
      <c r="I89" s="164"/>
      <c r="J89" s="164"/>
      <c r="K89" s="164"/>
      <c r="L89" s="164"/>
      <c r="M89" s="36" t="str">
        <f>+VLOOKUP(B89,[2]Liste!B:E,3,FALSE)</f>
        <v>adet</v>
      </c>
      <c r="N89" s="60">
        <v>0</v>
      </c>
      <c r="O89" s="60">
        <f>+P89-N89</f>
        <v>0</v>
      </c>
      <c r="P89" s="60">
        <f>+SUM(P90:P94)</f>
        <v>0</v>
      </c>
    </row>
    <row r="90" spans="2:16" ht="15" hidden="1" customHeight="1" x14ac:dyDescent="0.3">
      <c r="B90" s="91" t="s">
        <v>981</v>
      </c>
      <c r="C90" s="91" t="s">
        <v>991</v>
      </c>
      <c r="D90" s="92" t="s">
        <v>990</v>
      </c>
      <c r="E90" s="92"/>
      <c r="F90" s="92"/>
      <c r="G90" s="92"/>
      <c r="H90" s="122"/>
      <c r="I90" s="122"/>
      <c r="J90" s="122"/>
      <c r="K90" s="91" t="s">
        <v>989</v>
      </c>
      <c r="L90" s="123"/>
      <c r="M90" s="124"/>
      <c r="N90" s="125"/>
      <c r="O90" s="126" t="s">
        <v>1013</v>
      </c>
      <c r="P90" s="93" t="s">
        <v>14</v>
      </c>
    </row>
    <row r="91" spans="2:16" ht="15" hidden="1" customHeight="1" x14ac:dyDescent="0.3">
      <c r="B91" s="22"/>
      <c r="C91" s="130"/>
      <c r="D91" s="131"/>
      <c r="E91" s="131"/>
      <c r="F91" s="131"/>
      <c r="G91" s="131"/>
      <c r="H91" s="132"/>
      <c r="I91" s="132"/>
      <c r="J91" s="132"/>
      <c r="K91" s="22"/>
      <c r="L91" s="133"/>
      <c r="M91" s="48"/>
      <c r="N91" s="48"/>
      <c r="O91" s="134"/>
      <c r="P91" s="71"/>
    </row>
    <row r="92" spans="2:16" ht="15" hidden="1" customHeight="1" x14ac:dyDescent="0.3">
      <c r="B92" s="22"/>
      <c r="C92" s="130"/>
      <c r="D92" s="131"/>
      <c r="E92" s="131"/>
      <c r="F92" s="131"/>
      <c r="G92" s="131"/>
      <c r="H92" s="132"/>
      <c r="I92" s="132"/>
      <c r="J92" s="132"/>
      <c r="K92" s="22"/>
      <c r="L92" s="133"/>
      <c r="M92" s="48"/>
      <c r="N92" s="48"/>
      <c r="O92" s="134"/>
      <c r="P92" s="71"/>
    </row>
    <row r="93" spans="2:16" ht="15" hidden="1" customHeight="1" x14ac:dyDescent="0.3">
      <c r="B93" s="94"/>
      <c r="C93" s="95"/>
      <c r="D93" s="96"/>
      <c r="E93" s="96"/>
      <c r="F93" s="96"/>
      <c r="G93" s="96"/>
      <c r="H93" s="117"/>
      <c r="I93" s="117"/>
      <c r="J93" s="117"/>
      <c r="K93" s="94"/>
      <c r="L93" s="127"/>
      <c r="M93" s="128"/>
      <c r="N93" s="128"/>
      <c r="O93" s="129"/>
      <c r="P93" s="97"/>
    </row>
    <row r="94" spans="2:16" ht="4.95" hidden="1" customHeight="1" x14ac:dyDescent="0.3">
      <c r="B94" s="39"/>
      <c r="C94" s="42"/>
      <c r="D94" s="40"/>
      <c r="E94" s="40"/>
      <c r="F94" s="40"/>
      <c r="G94" s="40"/>
      <c r="H94" s="41"/>
      <c r="I94" s="41"/>
      <c r="J94" s="41"/>
      <c r="K94" s="41"/>
      <c r="L94" s="41"/>
      <c r="M94" s="41"/>
      <c r="N94" s="41"/>
      <c r="O94" s="42"/>
      <c r="P94" s="43"/>
    </row>
    <row r="95" spans="2:16" ht="19.95" customHeight="1" x14ac:dyDescent="0.3"/>
    <row r="96" spans="2:16" ht="30" customHeight="1" x14ac:dyDescent="0.3">
      <c r="B96" s="158" t="s">
        <v>7</v>
      </c>
      <c r="C96" s="159"/>
      <c r="D96" s="158" t="s">
        <v>8</v>
      </c>
      <c r="E96" s="162"/>
      <c r="F96" s="162"/>
      <c r="G96" s="162"/>
      <c r="H96" s="162"/>
      <c r="I96" s="162"/>
      <c r="J96" s="162"/>
      <c r="K96" s="162"/>
      <c r="L96" s="162"/>
      <c r="M96" s="34" t="s">
        <v>9</v>
      </c>
      <c r="N96" s="85" t="s">
        <v>1057</v>
      </c>
      <c r="O96" s="85" t="s">
        <v>1058</v>
      </c>
      <c r="P96" s="35" t="s">
        <v>1059</v>
      </c>
    </row>
    <row r="97" spans="2:31" ht="30" customHeight="1" x14ac:dyDescent="0.3">
      <c r="B97" s="160" t="s">
        <v>134</v>
      </c>
      <c r="C97" s="161"/>
      <c r="D97" s="163" t="str">
        <f>+VLOOKUP(B97,[2]Liste!B:E,2,FALSE)</f>
        <v>L=8 m Kaya Bulonu</v>
      </c>
      <c r="E97" s="164"/>
      <c r="F97" s="164"/>
      <c r="G97" s="164"/>
      <c r="H97" s="164"/>
      <c r="I97" s="164"/>
      <c r="J97" s="164"/>
      <c r="K97" s="164"/>
      <c r="L97" s="164"/>
      <c r="M97" s="36" t="str">
        <f>+VLOOKUP(B97,[2]Liste!B:E,3,FALSE)</f>
        <v>adet</v>
      </c>
      <c r="N97" s="60">
        <v>270</v>
      </c>
      <c r="O97" s="60">
        <f>+P97-N97</f>
        <v>0</v>
      </c>
      <c r="P97" s="60">
        <f>+SUM(P98:P102)</f>
        <v>270</v>
      </c>
      <c r="AA97" s="9">
        <f>+VLOOKUP(B97,[1]Liste!$B$2:$F$483,5,FALSE)</f>
        <v>28000</v>
      </c>
      <c r="AC97" s="9">
        <f>+AA97*N97</f>
        <v>7560000</v>
      </c>
      <c r="AD97" s="9">
        <f>+AA97*O97</f>
        <v>0</v>
      </c>
      <c r="AE97" s="9">
        <f>+AA97*P97</f>
        <v>7560000</v>
      </c>
    </row>
    <row r="98" spans="2:31" ht="15" customHeight="1" x14ac:dyDescent="0.3">
      <c r="B98" s="91" t="s">
        <v>981</v>
      </c>
      <c r="C98" s="91" t="s">
        <v>991</v>
      </c>
      <c r="D98" s="92" t="s">
        <v>990</v>
      </c>
      <c r="E98" s="92"/>
      <c r="F98" s="92"/>
      <c r="G98" s="92"/>
      <c r="H98" s="122"/>
      <c r="I98" s="122"/>
      <c r="J98" s="122"/>
      <c r="K98" s="91" t="s">
        <v>989</v>
      </c>
      <c r="L98" s="123"/>
      <c r="M98" s="124"/>
      <c r="N98" s="125"/>
      <c r="O98" s="126" t="s">
        <v>1013</v>
      </c>
      <c r="P98" s="93" t="s">
        <v>14</v>
      </c>
    </row>
    <row r="99" spans="2:31" ht="15" customHeight="1" x14ac:dyDescent="0.3">
      <c r="B99" s="22">
        <v>5</v>
      </c>
      <c r="C99" s="109" t="s">
        <v>1061</v>
      </c>
      <c r="D99" s="110" t="s">
        <v>1062</v>
      </c>
      <c r="E99" s="131"/>
      <c r="F99" s="131"/>
      <c r="G99" s="131"/>
      <c r="H99" s="132"/>
      <c r="I99" s="132"/>
      <c r="J99" s="132"/>
      <c r="K99" s="22">
        <v>1</v>
      </c>
      <c r="L99" s="133"/>
      <c r="M99" s="48"/>
      <c r="N99" s="48"/>
      <c r="O99" s="134">
        <v>18</v>
      </c>
      <c r="P99" s="71">
        <f>+ROUND(PRODUCT(K99:O99),3)</f>
        <v>18</v>
      </c>
    </row>
    <row r="100" spans="2:31" ht="15" customHeight="1" x14ac:dyDescent="0.3">
      <c r="B100" s="22">
        <v>5</v>
      </c>
      <c r="C100" s="109" t="s">
        <v>1063</v>
      </c>
      <c r="D100" s="110" t="s">
        <v>1064</v>
      </c>
      <c r="E100" s="131"/>
      <c r="F100" s="131"/>
      <c r="G100" s="131"/>
      <c r="H100" s="132"/>
      <c r="I100" s="132"/>
      <c r="J100" s="132"/>
      <c r="K100" s="22">
        <v>1</v>
      </c>
      <c r="L100" s="133"/>
      <c r="M100" s="48"/>
      <c r="N100" s="48"/>
      <c r="O100" s="134">
        <v>171</v>
      </c>
      <c r="P100" s="71">
        <f>+ROUND(PRODUCT(K100:O100),3)</f>
        <v>171</v>
      </c>
    </row>
    <row r="101" spans="2:31" ht="15" customHeight="1" x14ac:dyDescent="0.3">
      <c r="B101" s="56">
        <v>5</v>
      </c>
      <c r="C101" s="53" t="s">
        <v>1065</v>
      </c>
      <c r="D101" s="54" t="s">
        <v>1066</v>
      </c>
      <c r="E101" s="131"/>
      <c r="F101" s="131"/>
      <c r="G101" s="131"/>
      <c r="H101" s="132"/>
      <c r="I101" s="132"/>
      <c r="J101" s="132"/>
      <c r="K101" s="22">
        <v>1</v>
      </c>
      <c r="L101" s="133"/>
      <c r="M101" s="48"/>
      <c r="N101" s="48"/>
      <c r="O101" s="134">
        <v>81</v>
      </c>
      <c r="P101" s="71">
        <f>+ROUND(PRODUCT(K101:O101),3)</f>
        <v>81</v>
      </c>
    </row>
    <row r="102" spans="2:31" ht="4.95" customHeight="1" x14ac:dyDescent="0.3">
      <c r="B102" s="39"/>
      <c r="C102" s="42"/>
      <c r="D102" s="40"/>
      <c r="E102" s="40"/>
      <c r="F102" s="40"/>
      <c r="G102" s="40"/>
      <c r="H102" s="41"/>
      <c r="I102" s="41"/>
      <c r="J102" s="41"/>
      <c r="K102" s="41"/>
      <c r="L102" s="41"/>
      <c r="M102" s="41"/>
      <c r="N102" s="41"/>
      <c r="O102" s="42"/>
      <c r="P102" s="43"/>
    </row>
    <row r="103" spans="2:31" ht="15" customHeight="1" x14ac:dyDescent="0.3">
      <c r="C103" s="30"/>
      <c r="D103" s="33"/>
      <c r="E103" s="33"/>
      <c r="F103" s="33"/>
      <c r="G103" s="33"/>
      <c r="H103" s="12"/>
      <c r="I103" s="12"/>
      <c r="J103" s="12"/>
      <c r="K103" s="12"/>
      <c r="L103" s="12"/>
      <c r="M103" s="12"/>
      <c r="N103" s="12"/>
      <c r="O103" s="30"/>
    </row>
    <row r="104" spans="2:31" ht="30" customHeight="1" x14ac:dyDescent="0.3">
      <c r="B104" s="158" t="s">
        <v>7</v>
      </c>
      <c r="C104" s="159"/>
      <c r="D104" s="158" t="s">
        <v>8</v>
      </c>
      <c r="E104" s="162"/>
      <c r="F104" s="162"/>
      <c r="G104" s="162"/>
      <c r="H104" s="162"/>
      <c r="I104" s="162"/>
      <c r="J104" s="162"/>
      <c r="K104" s="162"/>
      <c r="L104" s="162"/>
      <c r="M104" s="34" t="s">
        <v>9</v>
      </c>
      <c r="N104" s="85" t="s">
        <v>1057</v>
      </c>
      <c r="O104" s="85" t="s">
        <v>1058</v>
      </c>
      <c r="P104" s="35" t="s">
        <v>1059</v>
      </c>
    </row>
    <row r="105" spans="2:31" ht="30" customHeight="1" x14ac:dyDescent="0.3">
      <c r="B105" s="160" t="s">
        <v>138</v>
      </c>
      <c r="C105" s="161"/>
      <c r="D105" s="163" t="str">
        <f>+VLOOKUP(B105,[2]Liste!B:E,2,FALSE)</f>
        <v>Çelik İksa (Tünel ve Şaftlarda)</v>
      </c>
      <c r="E105" s="164"/>
      <c r="F105" s="164"/>
      <c r="G105" s="164"/>
      <c r="H105" s="164"/>
      <c r="I105" s="164"/>
      <c r="J105" s="164"/>
      <c r="K105" s="164"/>
      <c r="L105" s="164"/>
      <c r="M105" s="36" t="str">
        <f>+VLOOKUP(B105,[2]Liste!B:E,3,FALSE)</f>
        <v>ton</v>
      </c>
      <c r="N105" s="60">
        <v>41.752000000000002</v>
      </c>
      <c r="O105" s="60">
        <f>+P105-N105</f>
        <v>2.7519999999999953</v>
      </c>
      <c r="P105" s="60">
        <f>+ROUND(SUM(P106:P132),3)</f>
        <v>44.503999999999998</v>
      </c>
      <c r="AA105" s="9">
        <f>+VLOOKUP(B105,[1]Liste!$B$2:$F$483,5,FALSE)</f>
        <v>102000</v>
      </c>
      <c r="AC105" s="9">
        <f>+AA105*N105</f>
        <v>4258704</v>
      </c>
      <c r="AD105" s="9">
        <f>+AA105*O105</f>
        <v>280703.99999999953</v>
      </c>
      <c r="AE105" s="9">
        <f>+AA105*P105</f>
        <v>4539408</v>
      </c>
    </row>
    <row r="106" spans="2:31" ht="15" customHeight="1" x14ac:dyDescent="0.3">
      <c r="B106" s="51" t="s">
        <v>1072</v>
      </c>
      <c r="C106" s="78"/>
      <c r="D106" s="45"/>
      <c r="E106" s="45"/>
      <c r="F106" s="45"/>
      <c r="G106" s="45"/>
      <c r="H106" s="46"/>
      <c r="I106" s="46"/>
      <c r="J106" s="46"/>
      <c r="K106" s="47"/>
      <c r="L106" s="47"/>
      <c r="M106" s="48"/>
      <c r="N106" s="48"/>
      <c r="O106" s="49"/>
      <c r="P106" s="50"/>
    </row>
    <row r="107" spans="2:31" ht="15" customHeight="1" x14ac:dyDescent="0.3">
      <c r="B107" s="91" t="s">
        <v>981</v>
      </c>
      <c r="C107" s="91" t="s">
        <v>991</v>
      </c>
      <c r="D107" s="92" t="s">
        <v>990</v>
      </c>
      <c r="E107" s="92"/>
      <c r="F107" s="92"/>
      <c r="G107" s="92"/>
      <c r="H107" s="91" t="s">
        <v>988</v>
      </c>
      <c r="I107" s="91" t="s">
        <v>987</v>
      </c>
      <c r="J107" s="91" t="s">
        <v>992</v>
      </c>
      <c r="K107" s="91" t="s">
        <v>989</v>
      </c>
      <c r="L107" s="135" t="s">
        <v>12</v>
      </c>
      <c r="M107" s="136"/>
      <c r="N107" s="137"/>
      <c r="O107" s="93" t="s">
        <v>995</v>
      </c>
      <c r="P107" s="93" t="s">
        <v>14</v>
      </c>
    </row>
    <row r="108" spans="2:31" ht="15" customHeight="1" x14ac:dyDescent="0.3">
      <c r="B108" s="98">
        <v>5</v>
      </c>
      <c r="C108" s="99" t="s">
        <v>1061</v>
      </c>
      <c r="D108" s="100" t="s">
        <v>1062</v>
      </c>
      <c r="E108" s="100"/>
      <c r="F108" s="100"/>
      <c r="G108" s="100"/>
      <c r="H108" s="101">
        <v>1292.56</v>
      </c>
      <c r="I108" s="101">
        <v>1276.24</v>
      </c>
      <c r="J108" s="101" t="s">
        <v>993</v>
      </c>
      <c r="K108" s="98">
        <v>3</v>
      </c>
      <c r="L108" s="106" t="s">
        <v>1001</v>
      </c>
      <c r="M108" s="138"/>
      <c r="N108" s="107"/>
      <c r="O108" s="139">
        <v>441.779</v>
      </c>
      <c r="P108" s="105">
        <f t="shared" ref="P108:P113" si="16">+ROUND(K108*O108/1000,3)</f>
        <v>1.325</v>
      </c>
    </row>
    <row r="109" spans="2:31" ht="15" customHeight="1" x14ac:dyDescent="0.3">
      <c r="B109" s="56">
        <v>5</v>
      </c>
      <c r="C109" s="53" t="s">
        <v>1061</v>
      </c>
      <c r="D109" s="54" t="s">
        <v>1062</v>
      </c>
      <c r="E109" s="54"/>
      <c r="F109" s="54"/>
      <c r="G109" s="54"/>
      <c r="H109" s="101">
        <v>1292.56</v>
      </c>
      <c r="I109" s="101">
        <v>1276.24</v>
      </c>
      <c r="J109" s="55" t="s">
        <v>993</v>
      </c>
      <c r="K109" s="56">
        <v>3</v>
      </c>
      <c r="L109" s="66" t="s">
        <v>1002</v>
      </c>
      <c r="M109" s="67"/>
      <c r="N109" s="68"/>
      <c r="O109" s="89">
        <v>453.30399999999997</v>
      </c>
      <c r="P109" s="62">
        <f t="shared" si="16"/>
        <v>1.36</v>
      </c>
    </row>
    <row r="110" spans="2:31" ht="15" customHeight="1" x14ac:dyDescent="0.3">
      <c r="B110" s="56">
        <v>5</v>
      </c>
      <c r="C110" s="53" t="s">
        <v>1061</v>
      </c>
      <c r="D110" s="54" t="s">
        <v>1062</v>
      </c>
      <c r="E110" s="54"/>
      <c r="F110" s="54"/>
      <c r="G110" s="54"/>
      <c r="H110" s="101">
        <v>1292.56</v>
      </c>
      <c r="I110" s="101">
        <v>1276.24</v>
      </c>
      <c r="J110" s="55" t="s">
        <v>993</v>
      </c>
      <c r="K110" s="56">
        <v>3</v>
      </c>
      <c r="L110" s="66" t="s">
        <v>1003</v>
      </c>
      <c r="M110" s="67"/>
      <c r="N110" s="68"/>
      <c r="O110" s="89">
        <v>458.82100000000003</v>
      </c>
      <c r="P110" s="62">
        <f t="shared" si="16"/>
        <v>1.3759999999999999</v>
      </c>
    </row>
    <row r="111" spans="2:31" ht="15" customHeight="1" x14ac:dyDescent="0.3">
      <c r="B111" s="56">
        <v>5</v>
      </c>
      <c r="C111" s="53" t="s">
        <v>1061</v>
      </c>
      <c r="D111" s="54" t="s">
        <v>1062</v>
      </c>
      <c r="E111" s="54"/>
      <c r="F111" s="54"/>
      <c r="G111" s="54"/>
      <c r="H111" s="101">
        <v>1292.56</v>
      </c>
      <c r="I111" s="101">
        <v>1276.24</v>
      </c>
      <c r="J111" s="55" t="s">
        <v>993</v>
      </c>
      <c r="K111" s="56">
        <v>4</v>
      </c>
      <c r="L111" s="66" t="s">
        <v>1004</v>
      </c>
      <c r="M111" s="67"/>
      <c r="N111" s="68"/>
      <c r="O111" s="89">
        <v>461.089</v>
      </c>
      <c r="P111" s="62">
        <f t="shared" si="16"/>
        <v>1.8440000000000001</v>
      </c>
    </row>
    <row r="112" spans="2:31" ht="15" customHeight="1" x14ac:dyDescent="0.3">
      <c r="B112" s="56">
        <v>5</v>
      </c>
      <c r="C112" s="53" t="s">
        <v>1061</v>
      </c>
      <c r="D112" s="54" t="s">
        <v>1062</v>
      </c>
      <c r="E112" s="54"/>
      <c r="F112" s="54"/>
      <c r="G112" s="54"/>
      <c r="H112" s="101">
        <v>1292.56</v>
      </c>
      <c r="I112" s="101">
        <v>1276.24</v>
      </c>
      <c r="J112" s="55" t="s">
        <v>993</v>
      </c>
      <c r="K112" s="56">
        <v>4</v>
      </c>
      <c r="L112" s="66" t="s">
        <v>1005</v>
      </c>
      <c r="M112" s="67"/>
      <c r="N112" s="68"/>
      <c r="O112" s="89">
        <v>465.13499999999999</v>
      </c>
      <c r="P112" s="62">
        <f t="shared" si="16"/>
        <v>1.861</v>
      </c>
    </row>
    <row r="113" spans="2:16" ht="15" customHeight="1" x14ac:dyDescent="0.3">
      <c r="B113" s="108">
        <v>5</v>
      </c>
      <c r="C113" s="109" t="s">
        <v>1061</v>
      </c>
      <c r="D113" s="110" t="s">
        <v>1062</v>
      </c>
      <c r="E113" s="110"/>
      <c r="F113" s="110"/>
      <c r="G113" s="110"/>
      <c r="H113" s="101">
        <v>1292.56</v>
      </c>
      <c r="I113" s="101">
        <v>1276.24</v>
      </c>
      <c r="J113" s="111" t="s">
        <v>993</v>
      </c>
      <c r="K113" s="56">
        <v>5</v>
      </c>
      <c r="L113" s="112" t="s">
        <v>1006</v>
      </c>
      <c r="M113" s="140"/>
      <c r="N113" s="113"/>
      <c r="O113" s="141">
        <v>471.87799999999999</v>
      </c>
      <c r="P113" s="115">
        <f t="shared" si="16"/>
        <v>2.359</v>
      </c>
    </row>
    <row r="114" spans="2:16" ht="15" customHeight="1" x14ac:dyDescent="0.3">
      <c r="B114" s="98">
        <v>5</v>
      </c>
      <c r="C114" s="99" t="s">
        <v>1063</v>
      </c>
      <c r="D114" s="100" t="s">
        <v>1064</v>
      </c>
      <c r="E114" s="100"/>
      <c r="F114" s="100"/>
      <c r="G114" s="100"/>
      <c r="H114" s="101">
        <v>1337.56</v>
      </c>
      <c r="I114" s="101">
        <v>1292.56</v>
      </c>
      <c r="J114" s="101" t="s">
        <v>993</v>
      </c>
      <c r="K114" s="98">
        <v>10</v>
      </c>
      <c r="L114" s="106" t="s">
        <v>1001</v>
      </c>
      <c r="M114" s="138"/>
      <c r="N114" s="107"/>
      <c r="O114" s="139">
        <v>441.779</v>
      </c>
      <c r="P114" s="105">
        <f t="shared" ref="P114:P119" si="17">+ROUND(K114*O114/1000,3)</f>
        <v>4.4180000000000001</v>
      </c>
    </row>
    <row r="115" spans="2:16" ht="15" customHeight="1" x14ac:dyDescent="0.3">
      <c r="B115" s="56">
        <v>5</v>
      </c>
      <c r="C115" s="53" t="s">
        <v>1063</v>
      </c>
      <c r="D115" s="54" t="s">
        <v>1064</v>
      </c>
      <c r="E115" s="54"/>
      <c r="F115" s="54"/>
      <c r="G115" s="54"/>
      <c r="H115" s="101">
        <v>1337.56</v>
      </c>
      <c r="I115" s="101">
        <v>1292.56</v>
      </c>
      <c r="J115" s="55" t="s">
        <v>993</v>
      </c>
      <c r="K115" s="56">
        <v>10</v>
      </c>
      <c r="L115" s="66" t="s">
        <v>1002</v>
      </c>
      <c r="M115" s="67"/>
      <c r="N115" s="68"/>
      <c r="O115" s="89">
        <v>453.30399999999997</v>
      </c>
      <c r="P115" s="62">
        <f t="shared" si="17"/>
        <v>4.5330000000000004</v>
      </c>
    </row>
    <row r="116" spans="2:16" ht="15" customHeight="1" x14ac:dyDescent="0.3">
      <c r="B116" s="56">
        <v>5</v>
      </c>
      <c r="C116" s="53" t="s">
        <v>1063</v>
      </c>
      <c r="D116" s="54" t="s">
        <v>1064</v>
      </c>
      <c r="E116" s="54"/>
      <c r="F116" s="54"/>
      <c r="G116" s="54"/>
      <c r="H116" s="101">
        <v>1337.56</v>
      </c>
      <c r="I116" s="101">
        <v>1292.56</v>
      </c>
      <c r="J116" s="55" t="s">
        <v>993</v>
      </c>
      <c r="K116" s="56">
        <v>10</v>
      </c>
      <c r="L116" s="66" t="s">
        <v>1003</v>
      </c>
      <c r="M116" s="67"/>
      <c r="N116" s="68"/>
      <c r="O116" s="89">
        <v>458.82100000000003</v>
      </c>
      <c r="P116" s="62">
        <f t="shared" si="17"/>
        <v>4.5880000000000001</v>
      </c>
    </row>
    <row r="117" spans="2:16" ht="15" customHeight="1" x14ac:dyDescent="0.3">
      <c r="B117" s="56">
        <v>5</v>
      </c>
      <c r="C117" s="53" t="s">
        <v>1063</v>
      </c>
      <c r="D117" s="54" t="s">
        <v>1064</v>
      </c>
      <c r="E117" s="54"/>
      <c r="F117" s="54"/>
      <c r="G117" s="54"/>
      <c r="H117" s="101">
        <v>1337.56</v>
      </c>
      <c r="I117" s="101">
        <v>1292.56</v>
      </c>
      <c r="J117" s="55" t="s">
        <v>993</v>
      </c>
      <c r="K117" s="56">
        <v>10</v>
      </c>
      <c r="L117" s="66" t="s">
        <v>1004</v>
      </c>
      <c r="M117" s="67"/>
      <c r="N117" s="68"/>
      <c r="O117" s="89">
        <v>461.089</v>
      </c>
      <c r="P117" s="62">
        <f t="shared" si="17"/>
        <v>4.6109999999999998</v>
      </c>
    </row>
    <row r="118" spans="2:16" ht="15" customHeight="1" x14ac:dyDescent="0.3">
      <c r="B118" s="56">
        <v>5</v>
      </c>
      <c r="C118" s="53" t="s">
        <v>1063</v>
      </c>
      <c r="D118" s="54" t="s">
        <v>1064</v>
      </c>
      <c r="E118" s="54"/>
      <c r="F118" s="54"/>
      <c r="G118" s="54"/>
      <c r="H118" s="101">
        <v>1337.56</v>
      </c>
      <c r="I118" s="101">
        <v>1292.56</v>
      </c>
      <c r="J118" s="55" t="s">
        <v>993</v>
      </c>
      <c r="K118" s="56">
        <v>10</v>
      </c>
      <c r="L118" s="66" t="s">
        <v>1005</v>
      </c>
      <c r="M118" s="67"/>
      <c r="N118" s="68"/>
      <c r="O118" s="89">
        <v>465.13499999999999</v>
      </c>
      <c r="P118" s="62">
        <f t="shared" si="17"/>
        <v>4.6509999999999998</v>
      </c>
    </row>
    <row r="119" spans="2:16" ht="15" customHeight="1" x14ac:dyDescent="0.3">
      <c r="B119" s="108">
        <v>5</v>
      </c>
      <c r="C119" s="109" t="s">
        <v>1063</v>
      </c>
      <c r="D119" s="110" t="s">
        <v>1064</v>
      </c>
      <c r="E119" s="110"/>
      <c r="F119" s="110"/>
      <c r="G119" s="110"/>
      <c r="H119" s="101">
        <v>1337.56</v>
      </c>
      <c r="I119" s="101">
        <v>1292.56</v>
      </c>
      <c r="J119" s="111" t="s">
        <v>993</v>
      </c>
      <c r="K119" s="56">
        <v>10</v>
      </c>
      <c r="L119" s="112" t="s">
        <v>1006</v>
      </c>
      <c r="M119" s="140"/>
      <c r="N119" s="113"/>
      <c r="O119" s="141">
        <v>471.87799999999999</v>
      </c>
      <c r="P119" s="115">
        <f t="shared" si="17"/>
        <v>4.7190000000000003</v>
      </c>
    </row>
    <row r="120" spans="2:16" ht="15" customHeight="1" x14ac:dyDescent="0.3">
      <c r="B120" s="98">
        <v>5</v>
      </c>
      <c r="C120" s="99" t="s">
        <v>1065</v>
      </c>
      <c r="D120" s="100" t="s">
        <v>1066</v>
      </c>
      <c r="E120" s="100"/>
      <c r="F120" s="100"/>
      <c r="G120" s="100"/>
      <c r="H120" s="101">
        <v>1344.31</v>
      </c>
      <c r="I120" s="101">
        <v>1337.56</v>
      </c>
      <c r="J120" s="101" t="s">
        <v>993</v>
      </c>
      <c r="K120" s="98">
        <v>2</v>
      </c>
      <c r="L120" s="106" t="s">
        <v>1001</v>
      </c>
      <c r="M120" s="138"/>
      <c r="N120" s="107"/>
      <c r="O120" s="139">
        <v>441.779</v>
      </c>
      <c r="P120" s="105">
        <f t="shared" ref="P120:P131" si="18">+ROUND(K120*O120/1000,3)</f>
        <v>0.88400000000000001</v>
      </c>
    </row>
    <row r="121" spans="2:16" ht="15" customHeight="1" x14ac:dyDescent="0.3">
      <c r="B121" s="56">
        <v>5</v>
      </c>
      <c r="C121" s="53" t="s">
        <v>1065</v>
      </c>
      <c r="D121" s="54" t="s">
        <v>1066</v>
      </c>
      <c r="E121" s="54"/>
      <c r="F121" s="54"/>
      <c r="G121" s="54"/>
      <c r="H121" s="101">
        <v>1344.31</v>
      </c>
      <c r="I121" s="101">
        <v>1337.56</v>
      </c>
      <c r="J121" s="55" t="s">
        <v>993</v>
      </c>
      <c r="K121" s="56">
        <v>2</v>
      </c>
      <c r="L121" s="66" t="s">
        <v>1002</v>
      </c>
      <c r="M121" s="67"/>
      <c r="N121" s="68"/>
      <c r="O121" s="89">
        <v>453.30399999999997</v>
      </c>
      <c r="P121" s="62">
        <f t="shared" si="18"/>
        <v>0.90700000000000003</v>
      </c>
    </row>
    <row r="122" spans="2:16" ht="15" customHeight="1" x14ac:dyDescent="0.3">
      <c r="B122" s="56">
        <v>5</v>
      </c>
      <c r="C122" s="53" t="s">
        <v>1065</v>
      </c>
      <c r="D122" s="54" t="s">
        <v>1066</v>
      </c>
      <c r="E122" s="54"/>
      <c r="F122" s="54"/>
      <c r="G122" s="54"/>
      <c r="H122" s="101">
        <v>1344.31</v>
      </c>
      <c r="I122" s="101">
        <v>1337.56</v>
      </c>
      <c r="J122" s="55" t="s">
        <v>993</v>
      </c>
      <c r="K122" s="56">
        <v>2</v>
      </c>
      <c r="L122" s="66" t="s">
        <v>1003</v>
      </c>
      <c r="M122" s="67"/>
      <c r="N122" s="68"/>
      <c r="O122" s="89">
        <v>458.82100000000003</v>
      </c>
      <c r="P122" s="62">
        <f t="shared" si="18"/>
        <v>0.91800000000000004</v>
      </c>
    </row>
    <row r="123" spans="2:16" ht="15" customHeight="1" x14ac:dyDescent="0.3">
      <c r="B123" s="56">
        <v>5</v>
      </c>
      <c r="C123" s="53" t="s">
        <v>1065</v>
      </c>
      <c r="D123" s="54" t="s">
        <v>1066</v>
      </c>
      <c r="E123" s="54"/>
      <c r="F123" s="54"/>
      <c r="G123" s="54"/>
      <c r="H123" s="101">
        <v>1344.31</v>
      </c>
      <c r="I123" s="101">
        <v>1337.56</v>
      </c>
      <c r="J123" s="55" t="s">
        <v>993</v>
      </c>
      <c r="K123" s="56">
        <v>1</v>
      </c>
      <c r="L123" s="66" t="s">
        <v>1004</v>
      </c>
      <c r="M123" s="67"/>
      <c r="N123" s="68"/>
      <c r="O123" s="89">
        <v>461.089</v>
      </c>
      <c r="P123" s="62">
        <f t="shared" si="18"/>
        <v>0.46100000000000002</v>
      </c>
    </row>
    <row r="124" spans="2:16" ht="15" customHeight="1" x14ac:dyDescent="0.3">
      <c r="B124" s="56">
        <v>5</v>
      </c>
      <c r="C124" s="53" t="s">
        <v>1065</v>
      </c>
      <c r="D124" s="54" t="s">
        <v>1066</v>
      </c>
      <c r="E124" s="54"/>
      <c r="F124" s="54"/>
      <c r="G124" s="54"/>
      <c r="H124" s="101">
        <v>1344.31</v>
      </c>
      <c r="I124" s="101">
        <v>1337.56</v>
      </c>
      <c r="J124" s="55" t="s">
        <v>993</v>
      </c>
      <c r="K124" s="56">
        <v>1</v>
      </c>
      <c r="L124" s="66" t="s">
        <v>1005</v>
      </c>
      <c r="M124" s="67"/>
      <c r="N124" s="68"/>
      <c r="O124" s="89">
        <v>465.13499999999999</v>
      </c>
      <c r="P124" s="62">
        <f t="shared" si="18"/>
        <v>0.46500000000000002</v>
      </c>
    </row>
    <row r="125" spans="2:16" ht="15" customHeight="1" x14ac:dyDescent="0.3">
      <c r="B125" s="108">
        <v>5</v>
      </c>
      <c r="C125" s="109" t="s">
        <v>1065</v>
      </c>
      <c r="D125" s="110" t="s">
        <v>1066</v>
      </c>
      <c r="E125" s="110"/>
      <c r="F125" s="110"/>
      <c r="G125" s="110"/>
      <c r="H125" s="101">
        <v>1344.31</v>
      </c>
      <c r="I125" s="101">
        <v>1337.56</v>
      </c>
      <c r="J125" s="111" t="s">
        <v>993</v>
      </c>
      <c r="K125" s="56">
        <v>1</v>
      </c>
      <c r="L125" s="112" t="s">
        <v>1006</v>
      </c>
      <c r="M125" s="140"/>
      <c r="N125" s="113"/>
      <c r="O125" s="141">
        <v>471.87799999999999</v>
      </c>
      <c r="P125" s="115">
        <f t="shared" si="18"/>
        <v>0.47199999999999998</v>
      </c>
    </row>
    <row r="126" spans="2:16" ht="15" customHeight="1" x14ac:dyDescent="0.3">
      <c r="B126" s="98">
        <v>6</v>
      </c>
      <c r="C126" s="99" t="s">
        <v>1075</v>
      </c>
      <c r="D126" s="100" t="s">
        <v>1076</v>
      </c>
      <c r="E126" s="100"/>
      <c r="F126" s="100"/>
      <c r="G126" s="100"/>
      <c r="H126" s="101">
        <v>1357.04</v>
      </c>
      <c r="I126" s="101">
        <v>1344.31</v>
      </c>
      <c r="J126" s="101" t="s">
        <v>993</v>
      </c>
      <c r="K126" s="98">
        <v>1</v>
      </c>
      <c r="L126" s="106" t="s">
        <v>1001</v>
      </c>
      <c r="M126" s="138"/>
      <c r="N126" s="107"/>
      <c r="O126" s="139">
        <v>441.779</v>
      </c>
      <c r="P126" s="105">
        <f t="shared" si="18"/>
        <v>0.442</v>
      </c>
    </row>
    <row r="127" spans="2:16" ht="15" customHeight="1" x14ac:dyDescent="0.3">
      <c r="B127" s="56">
        <v>6</v>
      </c>
      <c r="C127" s="53" t="s">
        <v>1075</v>
      </c>
      <c r="D127" s="54" t="s">
        <v>1076</v>
      </c>
      <c r="E127" s="54"/>
      <c r="F127" s="54"/>
      <c r="G127" s="54"/>
      <c r="H127" s="101">
        <v>1357.04</v>
      </c>
      <c r="I127" s="101">
        <v>1344.31</v>
      </c>
      <c r="J127" s="55" t="s">
        <v>993</v>
      </c>
      <c r="K127" s="56">
        <v>1</v>
      </c>
      <c r="L127" s="66" t="s">
        <v>1002</v>
      </c>
      <c r="M127" s="67"/>
      <c r="N127" s="68"/>
      <c r="O127" s="89">
        <v>453.30399999999997</v>
      </c>
      <c r="P127" s="62">
        <f t="shared" si="18"/>
        <v>0.45300000000000001</v>
      </c>
    </row>
    <row r="128" spans="2:16" ht="15" customHeight="1" x14ac:dyDescent="0.3">
      <c r="B128" s="56">
        <v>6</v>
      </c>
      <c r="C128" s="53" t="s">
        <v>1075</v>
      </c>
      <c r="D128" s="54" t="s">
        <v>1076</v>
      </c>
      <c r="E128" s="54"/>
      <c r="F128" s="54"/>
      <c r="G128" s="54"/>
      <c r="H128" s="101">
        <v>1357.04</v>
      </c>
      <c r="I128" s="101">
        <v>1344.31</v>
      </c>
      <c r="J128" s="55" t="s">
        <v>993</v>
      </c>
      <c r="K128" s="56">
        <v>1</v>
      </c>
      <c r="L128" s="66" t="s">
        <v>1003</v>
      </c>
      <c r="M128" s="67"/>
      <c r="N128" s="68"/>
      <c r="O128" s="89">
        <v>458.82100000000003</v>
      </c>
      <c r="P128" s="62">
        <f t="shared" si="18"/>
        <v>0.45900000000000002</v>
      </c>
    </row>
    <row r="129" spans="2:31" ht="15" customHeight="1" x14ac:dyDescent="0.3">
      <c r="B129" s="56">
        <v>6</v>
      </c>
      <c r="C129" s="53" t="s">
        <v>1075</v>
      </c>
      <c r="D129" s="54" t="s">
        <v>1076</v>
      </c>
      <c r="E129" s="54"/>
      <c r="F129" s="54"/>
      <c r="G129" s="54"/>
      <c r="H129" s="101">
        <v>1357.04</v>
      </c>
      <c r="I129" s="101">
        <v>1344.31</v>
      </c>
      <c r="J129" s="55" t="s">
        <v>993</v>
      </c>
      <c r="K129" s="56">
        <v>1</v>
      </c>
      <c r="L129" s="66" t="s">
        <v>1004</v>
      </c>
      <c r="M129" s="67"/>
      <c r="N129" s="68"/>
      <c r="O129" s="89">
        <v>461.089</v>
      </c>
      <c r="P129" s="62">
        <f t="shared" si="18"/>
        <v>0.46100000000000002</v>
      </c>
    </row>
    <row r="130" spans="2:31" ht="15" customHeight="1" x14ac:dyDescent="0.3">
      <c r="B130" s="56">
        <v>6</v>
      </c>
      <c r="C130" s="53" t="s">
        <v>1075</v>
      </c>
      <c r="D130" s="54" t="s">
        <v>1076</v>
      </c>
      <c r="E130" s="54"/>
      <c r="F130" s="54"/>
      <c r="G130" s="54"/>
      <c r="H130" s="101">
        <v>1357.04</v>
      </c>
      <c r="I130" s="101">
        <v>1344.31</v>
      </c>
      <c r="J130" s="55" t="s">
        <v>993</v>
      </c>
      <c r="K130" s="56">
        <v>1</v>
      </c>
      <c r="L130" s="66" t="s">
        <v>1005</v>
      </c>
      <c r="M130" s="67"/>
      <c r="N130" s="68"/>
      <c r="O130" s="89">
        <v>465.13499999999999</v>
      </c>
      <c r="P130" s="62">
        <f t="shared" si="18"/>
        <v>0.46500000000000002</v>
      </c>
    </row>
    <row r="131" spans="2:31" ht="15" customHeight="1" x14ac:dyDescent="0.3">
      <c r="B131" s="108">
        <v>6</v>
      </c>
      <c r="C131" s="109" t="s">
        <v>1075</v>
      </c>
      <c r="D131" s="110" t="s">
        <v>1076</v>
      </c>
      <c r="E131" s="110"/>
      <c r="F131" s="110"/>
      <c r="G131" s="110"/>
      <c r="H131" s="101">
        <v>1357.04</v>
      </c>
      <c r="I131" s="101">
        <v>1344.31</v>
      </c>
      <c r="J131" s="111" t="s">
        <v>993</v>
      </c>
      <c r="K131" s="56">
        <v>1</v>
      </c>
      <c r="L131" s="112" t="s">
        <v>1006</v>
      </c>
      <c r="M131" s="140"/>
      <c r="N131" s="113"/>
      <c r="O131" s="141">
        <v>471.87799999999999</v>
      </c>
      <c r="P131" s="115">
        <f t="shared" si="18"/>
        <v>0.47199999999999998</v>
      </c>
    </row>
    <row r="132" spans="2:31" ht="4.95" customHeight="1" x14ac:dyDescent="0.3">
      <c r="B132" s="39"/>
      <c r="C132" s="42"/>
      <c r="D132" s="40"/>
      <c r="E132" s="40"/>
      <c r="F132" s="40"/>
      <c r="G132" s="40"/>
      <c r="H132" s="41"/>
      <c r="I132" s="41"/>
      <c r="J132" s="41"/>
      <c r="K132" s="41"/>
      <c r="L132" s="41"/>
      <c r="M132" s="41"/>
      <c r="N132" s="41"/>
      <c r="O132" s="42"/>
      <c r="P132" s="43"/>
    </row>
    <row r="133" spans="2:31" ht="15" customHeight="1" x14ac:dyDescent="0.3">
      <c r="B133" s="165"/>
      <c r="C133" s="165"/>
      <c r="D133" s="165"/>
      <c r="E133" s="165"/>
      <c r="F133" s="165"/>
      <c r="G133" s="165"/>
      <c r="H133" s="165"/>
      <c r="I133" s="165"/>
      <c r="J133" s="165"/>
      <c r="K133" s="165"/>
      <c r="L133" s="165"/>
      <c r="M133" s="165"/>
      <c r="N133" s="165"/>
      <c r="O133" s="165"/>
      <c r="P133" s="165"/>
    </row>
    <row r="134" spans="2:31" ht="30" customHeight="1" x14ac:dyDescent="0.3">
      <c r="B134" s="158" t="s">
        <v>7</v>
      </c>
      <c r="C134" s="159"/>
      <c r="D134" s="158" t="s">
        <v>8</v>
      </c>
      <c r="E134" s="162"/>
      <c r="F134" s="162"/>
      <c r="G134" s="162"/>
      <c r="H134" s="162"/>
      <c r="I134" s="162"/>
      <c r="J134" s="162"/>
      <c r="K134" s="162"/>
      <c r="L134" s="162"/>
      <c r="M134" s="34" t="s">
        <v>9</v>
      </c>
      <c r="N134" s="85" t="s">
        <v>1057</v>
      </c>
      <c r="O134" s="85" t="s">
        <v>1058</v>
      </c>
      <c r="P134" s="35" t="s">
        <v>1059</v>
      </c>
    </row>
    <row r="135" spans="2:31" ht="30" customHeight="1" x14ac:dyDescent="0.3">
      <c r="B135" s="160" t="s">
        <v>162</v>
      </c>
      <c r="C135" s="161"/>
      <c r="D135" s="163" t="str">
        <f>+VLOOKUP(B135,[2]Liste!B:E,2,FALSE)</f>
        <v>Çelik Donatı (S220 )</v>
      </c>
      <c r="E135" s="164"/>
      <c r="F135" s="164"/>
      <c r="G135" s="164"/>
      <c r="H135" s="164"/>
      <c r="I135" s="164"/>
      <c r="J135" s="164"/>
      <c r="K135" s="164"/>
      <c r="L135" s="164"/>
      <c r="M135" s="36" t="str">
        <f>+VLOOKUP(B135,[2]Liste!B:E,3,FALSE)</f>
        <v>ton</v>
      </c>
      <c r="N135" s="60">
        <v>0.626</v>
      </c>
      <c r="O135" s="60">
        <f>+P135-N135</f>
        <v>3.400000000000003E-2</v>
      </c>
      <c r="P135" s="60">
        <f>+ROUND(SUM(P136:P146),3)</f>
        <v>0.66</v>
      </c>
      <c r="AA135" s="9">
        <f>+VLOOKUP(B135,[1]Liste!$B$2:$F$483,5,FALSE)</f>
        <v>46250</v>
      </c>
      <c r="AC135" s="9">
        <f>+AA135*N135</f>
        <v>28952.5</v>
      </c>
      <c r="AD135" s="9">
        <f>+AA135*O135</f>
        <v>1572.5000000000014</v>
      </c>
      <c r="AE135" s="9">
        <f>+AA135*P135</f>
        <v>30525</v>
      </c>
    </row>
    <row r="136" spans="2:31" ht="15" hidden="1" customHeight="1" x14ac:dyDescent="0.3">
      <c r="B136" s="37" t="s">
        <v>981</v>
      </c>
      <c r="C136" s="63" t="s">
        <v>994</v>
      </c>
      <c r="D136" s="52"/>
      <c r="E136" s="52"/>
      <c r="F136" s="52"/>
      <c r="G136" s="52"/>
      <c r="H136" s="52" t="s">
        <v>12</v>
      </c>
      <c r="I136" s="63"/>
      <c r="J136" s="63"/>
      <c r="K136" s="37" t="s">
        <v>989</v>
      </c>
      <c r="L136" s="65" t="s">
        <v>1011</v>
      </c>
      <c r="M136" s="69"/>
      <c r="N136" s="63" t="s">
        <v>995</v>
      </c>
      <c r="O136" s="64" t="s">
        <v>985</v>
      </c>
      <c r="P136" s="38" t="s">
        <v>14</v>
      </c>
    </row>
    <row r="137" spans="2:31" ht="15" hidden="1" customHeight="1" x14ac:dyDescent="0.3">
      <c r="B137" s="56">
        <v>5</v>
      </c>
      <c r="C137" s="76" t="s">
        <v>1012</v>
      </c>
      <c r="D137" s="77"/>
      <c r="E137" s="77"/>
      <c r="F137" s="54"/>
      <c r="G137" s="54"/>
      <c r="H137" s="54" t="s">
        <v>1016</v>
      </c>
      <c r="I137" s="59"/>
      <c r="J137" s="59"/>
      <c r="K137" s="56">
        <v>0</v>
      </c>
      <c r="L137" s="66">
        <f>SUM($K$108:$K$113)</f>
        <v>22</v>
      </c>
      <c r="M137" s="68"/>
      <c r="N137" s="74">
        <v>0.88800000000000001</v>
      </c>
      <c r="O137" s="75">
        <v>1.5</v>
      </c>
      <c r="P137" s="62">
        <f>+ROUND(PRODUCT(K137:O137)/1000,3)</f>
        <v>0</v>
      </c>
      <c r="S137" s="73"/>
    </row>
    <row r="138" spans="2:31" ht="15" hidden="1" customHeight="1" x14ac:dyDescent="0.3">
      <c r="B138" s="56">
        <v>5</v>
      </c>
      <c r="C138" s="76" t="s">
        <v>1012</v>
      </c>
      <c r="D138" s="77"/>
      <c r="E138" s="77"/>
      <c r="F138" s="54"/>
      <c r="G138" s="54"/>
      <c r="H138" s="54" t="s">
        <v>1016</v>
      </c>
      <c r="I138" s="59"/>
      <c r="J138" s="59"/>
      <c r="K138" s="56">
        <v>0</v>
      </c>
      <c r="L138" s="66">
        <f>SUM($K$114:$K$119)</f>
        <v>60</v>
      </c>
      <c r="M138" s="68"/>
      <c r="N138" s="74">
        <v>0.88800000000000001</v>
      </c>
      <c r="O138" s="75">
        <v>1.5</v>
      </c>
      <c r="P138" s="62">
        <f>+ROUND(PRODUCT(K138:O138)/1000,3)</f>
        <v>0</v>
      </c>
      <c r="S138" s="73"/>
    </row>
    <row r="139" spans="2:31" ht="15" hidden="1" customHeight="1" x14ac:dyDescent="0.3">
      <c r="B139" s="56">
        <v>5</v>
      </c>
      <c r="C139" s="76" t="s">
        <v>1012</v>
      </c>
      <c r="D139" s="77"/>
      <c r="E139" s="77"/>
      <c r="F139" s="54"/>
      <c r="G139" s="54"/>
      <c r="H139" s="54" t="s">
        <v>1016</v>
      </c>
      <c r="I139" s="59"/>
      <c r="J139" s="59"/>
      <c r="K139" s="56">
        <v>0</v>
      </c>
      <c r="L139" s="66">
        <f>SUM($K$120:$K$125)</f>
        <v>9</v>
      </c>
      <c r="M139" s="68"/>
      <c r="N139" s="74">
        <v>0.88800000000000001</v>
      </c>
      <c r="O139" s="75">
        <v>1.5</v>
      </c>
      <c r="P139" s="62">
        <f>+ROUND(PRODUCT(K139:O139)/1000,3)</f>
        <v>0</v>
      </c>
      <c r="S139" s="73"/>
    </row>
    <row r="140" spans="2:31" ht="15" customHeight="1" x14ac:dyDescent="0.3">
      <c r="B140" s="51" t="s">
        <v>1072</v>
      </c>
      <c r="C140" s="78"/>
      <c r="D140" s="45"/>
      <c r="E140" s="45"/>
      <c r="F140" s="45"/>
      <c r="G140" s="45"/>
      <c r="H140" s="46"/>
      <c r="I140" s="46"/>
      <c r="J140" s="46"/>
      <c r="K140" s="47"/>
      <c r="L140" s="47"/>
      <c r="M140" s="48"/>
      <c r="N140" s="48"/>
      <c r="O140" s="49"/>
      <c r="P140" s="50"/>
      <c r="S140" s="73"/>
    </row>
    <row r="141" spans="2:31" ht="15" customHeight="1" x14ac:dyDescent="0.3">
      <c r="B141" s="37" t="s">
        <v>981</v>
      </c>
      <c r="C141" s="63" t="s">
        <v>994</v>
      </c>
      <c r="D141" s="52"/>
      <c r="E141" s="52"/>
      <c r="F141" s="52"/>
      <c r="G141" s="52"/>
      <c r="H141" s="52" t="s">
        <v>12</v>
      </c>
      <c r="I141" s="63"/>
      <c r="J141" s="63"/>
      <c r="K141" s="37" t="s">
        <v>989</v>
      </c>
      <c r="L141" s="65" t="s">
        <v>1011</v>
      </c>
      <c r="M141" s="69"/>
      <c r="N141" s="63" t="s">
        <v>995</v>
      </c>
      <c r="O141" s="64" t="s">
        <v>985</v>
      </c>
      <c r="P141" s="38" t="s">
        <v>14</v>
      </c>
    </row>
    <row r="142" spans="2:31" ht="15" customHeight="1" x14ac:dyDescent="0.3">
      <c r="B142" s="56">
        <v>5</v>
      </c>
      <c r="C142" s="76" t="s">
        <v>1012</v>
      </c>
      <c r="D142" s="77"/>
      <c r="E142" s="77"/>
      <c r="F142" s="54"/>
      <c r="G142" s="54"/>
      <c r="H142" s="54" t="s">
        <v>1015</v>
      </c>
      <c r="I142" s="59"/>
      <c r="J142" s="59"/>
      <c r="K142" s="56">
        <v>6</v>
      </c>
      <c r="L142" s="66">
        <f>SUM($K$108:$K$113)</f>
        <v>22</v>
      </c>
      <c r="M142" s="68"/>
      <c r="N142" s="74">
        <v>1.208</v>
      </c>
      <c r="O142" s="75">
        <v>0.95</v>
      </c>
      <c r="P142" s="62">
        <f t="shared" ref="P142" si="19">+ROUND(PRODUCT(K142:O142)/1000,3)</f>
        <v>0.151</v>
      </c>
      <c r="S142" s="73"/>
    </row>
    <row r="143" spans="2:31" ht="15" customHeight="1" x14ac:dyDescent="0.3">
      <c r="B143" s="56">
        <v>5</v>
      </c>
      <c r="C143" s="76" t="s">
        <v>1012</v>
      </c>
      <c r="D143" s="77"/>
      <c r="E143" s="77"/>
      <c r="F143" s="54"/>
      <c r="G143" s="54"/>
      <c r="H143" s="54" t="s">
        <v>1015</v>
      </c>
      <c r="I143" s="59"/>
      <c r="J143" s="59"/>
      <c r="K143" s="56">
        <v>6</v>
      </c>
      <c r="L143" s="66">
        <f>SUM($K$114:$K$119)</f>
        <v>60</v>
      </c>
      <c r="M143" s="68"/>
      <c r="N143" s="74">
        <v>1.208</v>
      </c>
      <c r="O143" s="75">
        <v>0.95</v>
      </c>
      <c r="P143" s="62">
        <f t="shared" ref="P143" si="20">+ROUND(PRODUCT(K143:O143)/1000,3)</f>
        <v>0.41299999999999998</v>
      </c>
      <c r="S143" s="73"/>
    </row>
    <row r="144" spans="2:31" ht="15" customHeight="1" x14ac:dyDescent="0.3">
      <c r="B144" s="56">
        <v>5</v>
      </c>
      <c r="C144" s="76" t="s">
        <v>1012</v>
      </c>
      <c r="D144" s="77"/>
      <c r="E144" s="77"/>
      <c r="F144" s="54"/>
      <c r="G144" s="54"/>
      <c r="H144" s="54" t="s">
        <v>1015</v>
      </c>
      <c r="I144" s="59"/>
      <c r="J144" s="59"/>
      <c r="K144" s="56">
        <v>6</v>
      </c>
      <c r="L144" s="66">
        <f>SUM($K$120:$K$125)</f>
        <v>9</v>
      </c>
      <c r="M144" s="68"/>
      <c r="N144" s="74">
        <v>1.208</v>
      </c>
      <c r="O144" s="75">
        <v>0.95</v>
      </c>
      <c r="P144" s="62">
        <f t="shared" ref="P144" si="21">+ROUND(PRODUCT(K144:O144)/1000,3)</f>
        <v>6.2E-2</v>
      </c>
      <c r="S144" s="73"/>
    </row>
    <row r="145" spans="2:19" ht="15" customHeight="1" x14ac:dyDescent="0.3">
      <c r="B145" s="56">
        <v>6</v>
      </c>
      <c r="C145" s="76" t="s">
        <v>1012</v>
      </c>
      <c r="D145" s="77"/>
      <c r="E145" s="77"/>
      <c r="F145" s="54"/>
      <c r="G145" s="54"/>
      <c r="H145" s="54" t="s">
        <v>1015</v>
      </c>
      <c r="I145" s="59"/>
      <c r="J145" s="59"/>
      <c r="K145" s="56">
        <v>6</v>
      </c>
      <c r="L145" s="66">
        <v>5</v>
      </c>
      <c r="M145" s="68"/>
      <c r="N145" s="74">
        <v>1.208</v>
      </c>
      <c r="O145" s="75">
        <v>0.95</v>
      </c>
      <c r="P145" s="62">
        <f t="shared" ref="P145" si="22">+ROUND(PRODUCT(K145:O145)/1000,3)</f>
        <v>3.4000000000000002E-2</v>
      </c>
      <c r="S145" s="73"/>
    </row>
    <row r="146" spans="2:19" ht="4.95" customHeight="1" x14ac:dyDescent="0.3">
      <c r="B146" s="39"/>
      <c r="C146" s="42"/>
      <c r="D146" s="40"/>
      <c r="E146" s="40"/>
      <c r="F146" s="40"/>
      <c r="G146" s="40"/>
      <c r="H146" s="41"/>
      <c r="I146" s="41"/>
      <c r="J146" s="41"/>
      <c r="K146" s="41"/>
      <c r="L146" s="41"/>
      <c r="M146" s="41"/>
      <c r="N146" s="41"/>
      <c r="O146" s="42"/>
      <c r="P146" s="43"/>
    </row>
    <row r="147" spans="2:19" ht="19.95" hidden="1" customHeight="1" x14ac:dyDescent="0.3">
      <c r="C147" s="30"/>
      <c r="D147" s="33"/>
      <c r="E147" s="33"/>
      <c r="F147" s="33"/>
      <c r="G147" s="33"/>
      <c r="H147" s="12"/>
      <c r="I147" s="12"/>
      <c r="J147" s="12"/>
      <c r="K147" s="12"/>
      <c r="L147" s="12"/>
      <c r="M147" s="12"/>
      <c r="N147" s="12"/>
      <c r="O147" s="30"/>
    </row>
    <row r="148" spans="2:19" ht="30" hidden="1" customHeight="1" x14ac:dyDescent="0.3">
      <c r="B148" s="158" t="s">
        <v>7</v>
      </c>
      <c r="C148" s="159"/>
      <c r="D148" s="158" t="s">
        <v>8</v>
      </c>
      <c r="E148" s="162"/>
      <c r="F148" s="162"/>
      <c r="G148" s="162"/>
      <c r="H148" s="162"/>
      <c r="I148" s="162"/>
      <c r="J148" s="162"/>
      <c r="K148" s="162"/>
      <c r="L148" s="162"/>
      <c r="M148" s="34" t="s">
        <v>9</v>
      </c>
      <c r="N148" s="85" t="s">
        <v>1057</v>
      </c>
      <c r="O148" s="85" t="s">
        <v>1058</v>
      </c>
      <c r="P148" s="35" t="s">
        <v>1059</v>
      </c>
    </row>
    <row r="149" spans="2:19" ht="30" hidden="1" customHeight="1" x14ac:dyDescent="0.3">
      <c r="B149" s="160" t="s">
        <v>164</v>
      </c>
      <c r="C149" s="161"/>
      <c r="D149" s="163" t="str">
        <f>+VLOOKUP(B149,Liste!B:E,2,FALSE)</f>
        <v>Çelik Donatı (S420a )</v>
      </c>
      <c r="E149" s="164"/>
      <c r="F149" s="164"/>
      <c r="G149" s="164"/>
      <c r="H149" s="164"/>
      <c r="I149" s="164"/>
      <c r="J149" s="164"/>
      <c r="K149" s="164"/>
      <c r="L149" s="164"/>
      <c r="M149" s="164"/>
      <c r="N149" s="169"/>
      <c r="O149" s="36" t="str">
        <f>+VLOOKUP(B149,Liste!B:E,3,FALSE)</f>
        <v>ton</v>
      </c>
      <c r="P149" s="60">
        <f>+ROUND(SUM(P150:P161),3)</f>
        <v>0</v>
      </c>
    </row>
    <row r="150" spans="2:19" ht="15" hidden="1" customHeight="1" x14ac:dyDescent="0.3">
      <c r="B150" s="51" t="s">
        <v>1014</v>
      </c>
      <c r="C150" s="78"/>
      <c r="D150" s="45"/>
      <c r="E150" s="45"/>
      <c r="F150" s="45"/>
      <c r="G150" s="45"/>
      <c r="H150" s="46"/>
      <c r="I150" s="46"/>
      <c r="J150" s="46"/>
      <c r="K150" s="47"/>
      <c r="L150" s="47"/>
      <c r="M150" s="48"/>
      <c r="N150" s="48"/>
      <c r="O150" s="49"/>
      <c r="P150" s="50"/>
      <c r="S150" s="73"/>
    </row>
    <row r="151" spans="2:19" ht="15" hidden="1" customHeight="1" x14ac:dyDescent="0.3">
      <c r="B151" s="37" t="s">
        <v>981</v>
      </c>
      <c r="C151" s="37" t="s">
        <v>991</v>
      </c>
      <c r="D151" s="52" t="s">
        <v>990</v>
      </c>
      <c r="E151" s="52"/>
      <c r="F151" s="52"/>
      <c r="G151" s="52"/>
      <c r="H151" s="63"/>
      <c r="I151" s="63"/>
      <c r="J151" s="63"/>
      <c r="K151" s="37" t="s">
        <v>989</v>
      </c>
      <c r="L151" s="65" t="s">
        <v>12</v>
      </c>
      <c r="M151" s="69"/>
      <c r="N151" s="63" t="s">
        <v>995</v>
      </c>
      <c r="O151" s="64" t="s">
        <v>985</v>
      </c>
      <c r="P151" s="38" t="s">
        <v>14</v>
      </c>
      <c r="S151" s="73"/>
    </row>
    <row r="152" spans="2:19" ht="15" hidden="1" customHeight="1" x14ac:dyDescent="0.3">
      <c r="B152" s="56">
        <v>3</v>
      </c>
      <c r="C152" s="53" t="s">
        <v>1041</v>
      </c>
      <c r="D152" s="54" t="s">
        <v>1042</v>
      </c>
      <c r="E152" s="54"/>
      <c r="F152" s="54"/>
      <c r="G152" s="54"/>
      <c r="H152" s="59"/>
      <c r="I152" s="59"/>
      <c r="J152" s="59"/>
      <c r="K152" s="56">
        <v>30</v>
      </c>
      <c r="L152" s="66" t="s">
        <v>1043</v>
      </c>
      <c r="M152" s="68"/>
      <c r="N152" s="74">
        <v>0.88800000000000001</v>
      </c>
      <c r="O152" s="75">
        <v>0</v>
      </c>
      <c r="P152" s="62">
        <f t="shared" ref="P152:P157" si="23">+ROUND(PRODUCT(K152:O152)/1000,3)</f>
        <v>0</v>
      </c>
      <c r="S152" s="73"/>
    </row>
    <row r="153" spans="2:19" ht="15" hidden="1" customHeight="1" x14ac:dyDescent="0.3">
      <c r="B153" s="56">
        <v>3</v>
      </c>
      <c r="C153" s="53" t="s">
        <v>1041</v>
      </c>
      <c r="D153" s="54" t="s">
        <v>1042</v>
      </c>
      <c r="E153" s="54"/>
      <c r="F153" s="54"/>
      <c r="G153" s="54"/>
      <c r="H153" s="59"/>
      <c r="I153" s="59"/>
      <c r="J153" s="59"/>
      <c r="K153" s="56">
        <v>30</v>
      </c>
      <c r="L153" s="66" t="s">
        <v>1044</v>
      </c>
      <c r="M153" s="68"/>
      <c r="N153" s="74">
        <v>0.88800000000000001</v>
      </c>
      <c r="O153" s="75">
        <v>0</v>
      </c>
      <c r="P153" s="62">
        <f t="shared" si="23"/>
        <v>0</v>
      </c>
      <c r="S153" s="73"/>
    </row>
    <row r="154" spans="2:19" ht="15" hidden="1" customHeight="1" x14ac:dyDescent="0.3">
      <c r="B154" s="56">
        <v>3</v>
      </c>
      <c r="C154" s="53" t="s">
        <v>1045</v>
      </c>
      <c r="D154" s="54" t="s">
        <v>1046</v>
      </c>
      <c r="E154" s="54"/>
      <c r="F154" s="54"/>
      <c r="G154" s="54"/>
      <c r="H154" s="59"/>
      <c r="I154" s="59"/>
      <c r="J154" s="59"/>
      <c r="K154" s="56">
        <v>30</v>
      </c>
      <c r="L154" s="66" t="s">
        <v>1047</v>
      </c>
      <c r="M154" s="68"/>
      <c r="N154" s="74">
        <v>0.88800000000000001</v>
      </c>
      <c r="O154" s="75">
        <v>0</v>
      </c>
      <c r="P154" s="62">
        <f t="shared" si="23"/>
        <v>0</v>
      </c>
      <c r="S154" s="73"/>
    </row>
    <row r="155" spans="2:19" ht="15" hidden="1" customHeight="1" x14ac:dyDescent="0.3">
      <c r="B155" s="56">
        <v>3</v>
      </c>
      <c r="C155" s="53" t="s">
        <v>1045</v>
      </c>
      <c r="D155" s="54" t="s">
        <v>1046</v>
      </c>
      <c r="E155" s="54"/>
      <c r="F155" s="54"/>
      <c r="G155" s="54"/>
      <c r="H155" s="59"/>
      <c r="I155" s="59"/>
      <c r="J155" s="59"/>
      <c r="K155" s="56">
        <v>30</v>
      </c>
      <c r="L155" s="66" t="s">
        <v>1048</v>
      </c>
      <c r="M155" s="68"/>
      <c r="N155" s="74">
        <v>0.88800000000000001</v>
      </c>
      <c r="O155" s="75">
        <v>0</v>
      </c>
      <c r="P155" s="62">
        <f t="shared" si="23"/>
        <v>0</v>
      </c>
      <c r="S155" s="73"/>
    </row>
    <row r="156" spans="2:19" ht="15" hidden="1" customHeight="1" x14ac:dyDescent="0.3">
      <c r="B156" s="56">
        <v>3</v>
      </c>
      <c r="C156" s="53" t="s">
        <v>1045</v>
      </c>
      <c r="D156" s="54" t="s">
        <v>1046</v>
      </c>
      <c r="E156" s="54"/>
      <c r="F156" s="54"/>
      <c r="G156" s="54"/>
      <c r="H156" s="59"/>
      <c r="I156" s="59"/>
      <c r="J156" s="59"/>
      <c r="K156" s="56">
        <v>30</v>
      </c>
      <c r="L156" s="66" t="s">
        <v>1049</v>
      </c>
      <c r="M156" s="68"/>
      <c r="N156" s="74">
        <v>0.88800000000000001</v>
      </c>
      <c r="O156" s="75">
        <v>0</v>
      </c>
      <c r="P156" s="62">
        <f t="shared" si="23"/>
        <v>0</v>
      </c>
      <c r="S156" s="73"/>
    </row>
    <row r="157" spans="2:19" ht="15" hidden="1" customHeight="1" x14ac:dyDescent="0.3">
      <c r="B157" s="56">
        <v>3</v>
      </c>
      <c r="C157" s="53" t="s">
        <v>1045</v>
      </c>
      <c r="D157" s="54" t="s">
        <v>1046</v>
      </c>
      <c r="E157" s="54"/>
      <c r="F157" s="54"/>
      <c r="G157" s="54"/>
      <c r="H157" s="59"/>
      <c r="I157" s="59"/>
      <c r="J157" s="59"/>
      <c r="K157" s="56">
        <v>30</v>
      </c>
      <c r="L157" s="66" t="s">
        <v>1050</v>
      </c>
      <c r="M157" s="68"/>
      <c r="N157" s="74">
        <v>0.88800000000000001</v>
      </c>
      <c r="O157" s="75">
        <v>0</v>
      </c>
      <c r="P157" s="62">
        <f t="shared" si="23"/>
        <v>0</v>
      </c>
      <c r="S157" s="73"/>
    </row>
    <row r="158" spans="2:19" ht="15" hidden="1" customHeight="1" x14ac:dyDescent="0.3">
      <c r="B158" s="56">
        <v>3</v>
      </c>
      <c r="C158" s="53" t="s">
        <v>1051</v>
      </c>
      <c r="D158" s="54" t="s">
        <v>1052</v>
      </c>
      <c r="E158" s="54"/>
      <c r="F158" s="54"/>
      <c r="G158" s="54"/>
      <c r="H158" s="59"/>
      <c r="I158" s="59"/>
      <c r="J158" s="59"/>
      <c r="K158" s="56">
        <v>30</v>
      </c>
      <c r="L158" s="66" t="s">
        <v>1053</v>
      </c>
      <c r="M158" s="68"/>
      <c r="N158" s="74">
        <v>0.88800000000000001</v>
      </c>
      <c r="O158" s="75">
        <v>0</v>
      </c>
      <c r="P158" s="62">
        <f t="shared" ref="P158:P160" si="24">+ROUND(PRODUCT(K158:O158)/1000,3)</f>
        <v>0</v>
      </c>
      <c r="S158" s="73"/>
    </row>
    <row r="159" spans="2:19" ht="15" hidden="1" customHeight="1" x14ac:dyDescent="0.3">
      <c r="B159" s="56">
        <v>3</v>
      </c>
      <c r="C159" s="53" t="s">
        <v>1051</v>
      </c>
      <c r="D159" s="54" t="s">
        <v>1052</v>
      </c>
      <c r="E159" s="54"/>
      <c r="F159" s="54"/>
      <c r="G159" s="54"/>
      <c r="H159" s="59"/>
      <c r="I159" s="59"/>
      <c r="J159" s="59"/>
      <c r="K159" s="56">
        <v>30</v>
      </c>
      <c r="L159" s="66" t="s">
        <v>1054</v>
      </c>
      <c r="M159" s="68"/>
      <c r="N159" s="74">
        <v>0.88800000000000001</v>
      </c>
      <c r="O159" s="75">
        <v>0</v>
      </c>
      <c r="P159" s="62">
        <f t="shared" si="24"/>
        <v>0</v>
      </c>
      <c r="S159" s="73"/>
    </row>
    <row r="160" spans="2:19" ht="15" hidden="1" customHeight="1" x14ac:dyDescent="0.3">
      <c r="B160" s="56">
        <v>3</v>
      </c>
      <c r="C160" s="53" t="s">
        <v>1051</v>
      </c>
      <c r="D160" s="54" t="s">
        <v>1052</v>
      </c>
      <c r="E160" s="54"/>
      <c r="F160" s="54"/>
      <c r="G160" s="54"/>
      <c r="H160" s="59"/>
      <c r="I160" s="59"/>
      <c r="J160" s="59"/>
      <c r="K160" s="56">
        <v>30</v>
      </c>
      <c r="L160" s="66" t="s">
        <v>1055</v>
      </c>
      <c r="M160" s="68"/>
      <c r="N160" s="74">
        <v>0.88800000000000001</v>
      </c>
      <c r="O160" s="75">
        <v>0</v>
      </c>
      <c r="P160" s="62">
        <f t="shared" si="24"/>
        <v>0</v>
      </c>
      <c r="S160" s="73"/>
    </row>
    <row r="161" spans="2:31" ht="4.95" hidden="1" customHeight="1" x14ac:dyDescent="0.3">
      <c r="B161" s="39"/>
      <c r="C161" s="42"/>
      <c r="D161" s="40"/>
      <c r="E161" s="40"/>
      <c r="F161" s="40"/>
      <c r="G161" s="40"/>
      <c r="H161" s="41"/>
      <c r="I161" s="41"/>
      <c r="J161" s="41"/>
      <c r="K161" s="41"/>
      <c r="L161" s="41"/>
      <c r="M161" s="41"/>
      <c r="N161" s="41"/>
      <c r="O161" s="42"/>
      <c r="P161" s="43"/>
    </row>
    <row r="162" spans="2:31" ht="15" customHeight="1" x14ac:dyDescent="0.3">
      <c r="C162" s="30"/>
      <c r="D162" s="33"/>
      <c r="E162" s="33"/>
      <c r="F162" s="33"/>
      <c r="G162" s="33"/>
      <c r="H162" s="12"/>
      <c r="I162" s="12"/>
      <c r="J162" s="12"/>
      <c r="K162" s="12"/>
      <c r="L162" s="12"/>
      <c r="M162" s="12"/>
      <c r="N162" s="12"/>
      <c r="O162" s="30"/>
    </row>
    <row r="163" spans="2:31" ht="30" customHeight="1" x14ac:dyDescent="0.3">
      <c r="B163" s="158" t="s">
        <v>7</v>
      </c>
      <c r="C163" s="159"/>
      <c r="D163" s="158" t="s">
        <v>8</v>
      </c>
      <c r="E163" s="162"/>
      <c r="F163" s="162"/>
      <c r="G163" s="162"/>
      <c r="H163" s="162"/>
      <c r="I163" s="162"/>
      <c r="J163" s="162"/>
      <c r="K163" s="162"/>
      <c r="L163" s="162"/>
      <c r="M163" s="34" t="s">
        <v>9</v>
      </c>
      <c r="N163" s="85" t="s">
        <v>1057</v>
      </c>
      <c r="O163" s="85" t="s">
        <v>1058</v>
      </c>
      <c r="P163" s="35" t="s">
        <v>1059</v>
      </c>
    </row>
    <row r="164" spans="2:31" ht="30" customHeight="1" x14ac:dyDescent="0.3">
      <c r="B164" s="160" t="s">
        <v>166</v>
      </c>
      <c r="C164" s="161"/>
      <c r="D164" s="163" t="str">
        <f>+VLOOKUP(B164,[2]Liste!B:E,2,FALSE)</f>
        <v>Çelik hasır (S500 )</v>
      </c>
      <c r="E164" s="164"/>
      <c r="F164" s="164"/>
      <c r="G164" s="164"/>
      <c r="H164" s="164"/>
      <c r="I164" s="164"/>
      <c r="J164" s="164"/>
      <c r="K164" s="164"/>
      <c r="L164" s="164"/>
      <c r="M164" s="36" t="str">
        <f>+VLOOKUP(B164,[2]Liste!B:E,3,FALSE)</f>
        <v>ton</v>
      </c>
      <c r="N164" s="60">
        <v>10.707000000000001</v>
      </c>
      <c r="O164" s="60">
        <f>+P164-N164</f>
        <v>1.9539999999999988</v>
      </c>
      <c r="P164" s="60">
        <f>+ROUND(SUM(P165:P174),3)</f>
        <v>12.661</v>
      </c>
      <c r="AA164" s="9">
        <f>+VLOOKUP(B164,[1]Liste!$B$2:$F$483,5,FALSE)</f>
        <v>97333</v>
      </c>
      <c r="AC164" s="9">
        <f>+AA164*N164</f>
        <v>1042144.4310000001</v>
      </c>
      <c r="AD164" s="9">
        <f>+AA164*O164</f>
        <v>190188.68199999988</v>
      </c>
      <c r="AE164" s="9">
        <f>+AA164*P164</f>
        <v>1232333.1129999999</v>
      </c>
    </row>
    <row r="165" spans="2:31" ht="15" customHeight="1" x14ac:dyDescent="0.3">
      <c r="B165" s="51" t="s">
        <v>1072</v>
      </c>
      <c r="C165" s="78"/>
      <c r="D165" s="45"/>
      <c r="E165" s="45"/>
      <c r="F165" s="45"/>
      <c r="G165" s="45"/>
      <c r="H165" s="46"/>
      <c r="I165" s="46"/>
      <c r="J165" s="46"/>
      <c r="K165" s="47"/>
      <c r="L165" s="47"/>
      <c r="M165" s="48"/>
      <c r="N165" s="48"/>
      <c r="O165" s="49"/>
      <c r="P165" s="50"/>
    </row>
    <row r="166" spans="2:31" ht="15" customHeight="1" x14ac:dyDescent="0.3">
      <c r="B166" s="91" t="s">
        <v>981</v>
      </c>
      <c r="C166" s="91" t="s">
        <v>991</v>
      </c>
      <c r="D166" s="92" t="s">
        <v>990</v>
      </c>
      <c r="E166" s="92"/>
      <c r="F166" s="92"/>
      <c r="G166" s="92"/>
      <c r="H166" s="91" t="s">
        <v>988</v>
      </c>
      <c r="I166" s="91" t="s">
        <v>987</v>
      </c>
      <c r="J166" s="91" t="s">
        <v>992</v>
      </c>
      <c r="K166" s="91" t="s">
        <v>989</v>
      </c>
      <c r="L166" s="123"/>
      <c r="M166" s="125" t="s">
        <v>985</v>
      </c>
      <c r="N166" s="126"/>
      <c r="O166" s="93" t="s">
        <v>1018</v>
      </c>
      <c r="P166" s="93" t="s">
        <v>14</v>
      </c>
    </row>
    <row r="167" spans="2:31" ht="15" customHeight="1" x14ac:dyDescent="0.3">
      <c r="B167" s="22">
        <v>5</v>
      </c>
      <c r="C167" s="130" t="s">
        <v>1061</v>
      </c>
      <c r="D167" s="131" t="s">
        <v>1062</v>
      </c>
      <c r="E167" s="131"/>
      <c r="F167" s="131"/>
      <c r="G167" s="131"/>
      <c r="H167" s="101">
        <v>1292.56</v>
      </c>
      <c r="I167" s="101">
        <v>1276.24</v>
      </c>
      <c r="J167" s="143" t="s">
        <v>993</v>
      </c>
      <c r="K167" s="22">
        <v>1</v>
      </c>
      <c r="L167" s="133"/>
      <c r="M167" s="144">
        <f>H167-I167</f>
        <v>16.319999999999936</v>
      </c>
      <c r="N167" s="145"/>
      <c r="O167" s="142">
        <f>115.1/0.75</f>
        <v>153.46666666666667</v>
      </c>
      <c r="P167" s="71">
        <f>+ROUND(PRODUCT(K167:O167)/1000,3)</f>
        <v>2.5049999999999999</v>
      </c>
    </row>
    <row r="168" spans="2:31" ht="15" customHeight="1" x14ac:dyDescent="0.3">
      <c r="B168" s="22">
        <v>5</v>
      </c>
      <c r="C168" s="130" t="s">
        <v>1063</v>
      </c>
      <c r="D168" s="131" t="s">
        <v>1064</v>
      </c>
      <c r="E168" s="131"/>
      <c r="F168" s="131"/>
      <c r="G168" s="131"/>
      <c r="H168" s="101">
        <v>1337.56</v>
      </c>
      <c r="I168" s="101">
        <v>1292.56</v>
      </c>
      <c r="J168" s="143" t="s">
        <v>993</v>
      </c>
      <c r="K168" s="22">
        <v>1</v>
      </c>
      <c r="L168" s="133"/>
      <c r="M168" s="144">
        <f>H168-I168</f>
        <v>45</v>
      </c>
      <c r="N168" s="145"/>
      <c r="O168" s="142">
        <f>115.1/0.75</f>
        <v>153.46666666666667</v>
      </c>
      <c r="P168" s="71">
        <f>+ROUND(PRODUCT(K168:O168)/1000,3)</f>
        <v>6.9059999999999997</v>
      </c>
    </row>
    <row r="169" spans="2:31" ht="15" customHeight="1" x14ac:dyDescent="0.3">
      <c r="B169" s="22">
        <v>5</v>
      </c>
      <c r="C169" s="130" t="s">
        <v>1065</v>
      </c>
      <c r="D169" s="131" t="s">
        <v>1066</v>
      </c>
      <c r="E169" s="131"/>
      <c r="F169" s="131"/>
      <c r="G169" s="131"/>
      <c r="H169" s="101">
        <v>1344.31</v>
      </c>
      <c r="I169" s="101">
        <v>1337.56</v>
      </c>
      <c r="J169" s="143" t="s">
        <v>993</v>
      </c>
      <c r="K169" s="22">
        <v>1</v>
      </c>
      <c r="L169" s="133"/>
      <c r="M169" s="144">
        <f>H169-I169</f>
        <v>6.75</v>
      </c>
      <c r="N169" s="145"/>
      <c r="O169" s="142">
        <f>115.1/0.75</f>
        <v>153.46666666666667</v>
      </c>
      <c r="P169" s="71">
        <f>+ROUND(PRODUCT(K169:O169)/1000,3)</f>
        <v>1.036</v>
      </c>
    </row>
    <row r="170" spans="2:31" ht="15" customHeight="1" x14ac:dyDescent="0.3">
      <c r="B170" s="22">
        <v>6</v>
      </c>
      <c r="C170" s="130" t="s">
        <v>1075</v>
      </c>
      <c r="D170" s="131" t="s">
        <v>1076</v>
      </c>
      <c r="E170" s="131"/>
      <c r="F170" s="131"/>
      <c r="G170" s="131"/>
      <c r="H170" s="101">
        <v>1357.04</v>
      </c>
      <c r="I170" s="101">
        <v>1344.31</v>
      </c>
      <c r="J170" s="143" t="s">
        <v>993</v>
      </c>
      <c r="K170" s="22">
        <v>1</v>
      </c>
      <c r="L170" s="133"/>
      <c r="M170" s="144">
        <f>H170-I170</f>
        <v>12.730000000000018</v>
      </c>
      <c r="N170" s="145"/>
      <c r="O170" s="142">
        <f>115.1/0.75</f>
        <v>153.46666666666667</v>
      </c>
      <c r="P170" s="71">
        <f>+ROUND(PRODUCT(K170:O170)/1000,3)</f>
        <v>1.954</v>
      </c>
    </row>
    <row r="171" spans="2:31" ht="15" customHeight="1" x14ac:dyDescent="0.3">
      <c r="B171" s="51" t="s">
        <v>1009</v>
      </c>
      <c r="C171" s="78"/>
      <c r="D171" s="45"/>
      <c r="E171" s="45"/>
      <c r="F171" s="45"/>
      <c r="G171" s="45"/>
      <c r="H171" s="46"/>
      <c r="I171" s="46"/>
      <c r="J171" s="46"/>
      <c r="K171" s="47"/>
      <c r="L171" s="47"/>
      <c r="M171" s="48"/>
      <c r="N171" s="48"/>
      <c r="O171" s="49"/>
      <c r="P171" s="50"/>
    </row>
    <row r="172" spans="2:31" ht="60" customHeight="1" x14ac:dyDescent="0.3">
      <c r="B172" s="91" t="s">
        <v>981</v>
      </c>
      <c r="C172" s="91" t="s">
        <v>991</v>
      </c>
      <c r="D172" s="92" t="s">
        <v>996</v>
      </c>
      <c r="E172" s="92"/>
      <c r="F172" s="92"/>
      <c r="G172" s="92"/>
      <c r="H172" s="116"/>
      <c r="I172" s="122"/>
      <c r="J172" s="91" t="s">
        <v>992</v>
      </c>
      <c r="K172" s="91" t="s">
        <v>989</v>
      </c>
      <c r="L172" s="91" t="s">
        <v>1008</v>
      </c>
      <c r="M172" s="93" t="s">
        <v>983</v>
      </c>
      <c r="N172" s="93" t="s">
        <v>1010</v>
      </c>
      <c r="O172" s="93" t="s">
        <v>1022</v>
      </c>
      <c r="P172" s="93" t="s">
        <v>14</v>
      </c>
    </row>
    <row r="173" spans="2:31" ht="30" customHeight="1" x14ac:dyDescent="0.3">
      <c r="B173" s="56">
        <v>5</v>
      </c>
      <c r="C173" s="130" t="s">
        <v>1061</v>
      </c>
      <c r="D173" s="166" t="s">
        <v>1007</v>
      </c>
      <c r="E173" s="167"/>
      <c r="F173" s="167"/>
      <c r="G173" s="167"/>
      <c r="H173" s="167"/>
      <c r="I173" s="168"/>
      <c r="J173" s="55" t="s">
        <v>993</v>
      </c>
      <c r="K173" s="56">
        <v>1</v>
      </c>
      <c r="L173" s="56" t="s">
        <v>1056</v>
      </c>
      <c r="M173" s="57"/>
      <c r="N173" s="72">
        <v>0.13</v>
      </c>
      <c r="O173" s="70">
        <v>1997.87</v>
      </c>
      <c r="P173" s="62">
        <f t="shared" ref="P173" si="25">+ROUND(PRODUCT(M173:O173)*K173/1000,3)</f>
        <v>0.26</v>
      </c>
    </row>
    <row r="174" spans="2:31" ht="4.95" customHeight="1" x14ac:dyDescent="0.3">
      <c r="B174" s="39"/>
      <c r="C174" s="42"/>
      <c r="D174" s="40"/>
      <c r="E174" s="40"/>
      <c r="F174" s="40"/>
      <c r="G174" s="40"/>
      <c r="H174" s="41"/>
      <c r="I174" s="41"/>
      <c r="J174" s="41"/>
      <c r="K174" s="41"/>
      <c r="L174" s="41"/>
      <c r="M174" s="41"/>
      <c r="N174" s="41"/>
      <c r="O174" s="42"/>
      <c r="P174" s="43"/>
    </row>
    <row r="175" spans="2:31" ht="15" customHeight="1" x14ac:dyDescent="0.3">
      <c r="C175" s="30"/>
      <c r="D175" s="33"/>
      <c r="E175" s="33"/>
      <c r="F175" s="33"/>
      <c r="G175" s="33"/>
      <c r="H175" s="12"/>
      <c r="I175" s="12"/>
      <c r="J175" s="12"/>
      <c r="K175" s="12"/>
      <c r="L175" s="12"/>
      <c r="M175" s="12"/>
      <c r="N175" s="12"/>
      <c r="O175" s="30"/>
    </row>
    <row r="176" spans="2:31" ht="15" customHeight="1" x14ac:dyDescent="0.3">
      <c r="C176" s="30"/>
      <c r="D176" s="33"/>
      <c r="E176" s="33"/>
      <c r="F176" s="33"/>
      <c r="G176" s="33"/>
      <c r="H176" s="12"/>
      <c r="I176" s="12"/>
      <c r="J176" s="12"/>
      <c r="K176" s="12"/>
      <c r="L176" s="12"/>
      <c r="M176" s="12"/>
      <c r="N176" s="12"/>
      <c r="O176" s="30"/>
    </row>
    <row r="177" spans="2:16" ht="15" customHeight="1" x14ac:dyDescent="0.3">
      <c r="C177" s="30"/>
      <c r="D177" s="33"/>
      <c r="E177" s="33"/>
      <c r="F177" s="33"/>
      <c r="G177" s="33"/>
      <c r="H177" s="12"/>
      <c r="I177" s="12"/>
      <c r="J177" s="12"/>
      <c r="K177" s="12"/>
      <c r="L177" s="12"/>
      <c r="M177" s="12"/>
      <c r="N177" s="12"/>
      <c r="O177" s="30"/>
    </row>
    <row r="178" spans="2:16" ht="15" customHeight="1" x14ac:dyDescent="0.3">
      <c r="C178" s="30"/>
      <c r="D178" s="33"/>
      <c r="E178" s="33"/>
      <c r="F178" s="33"/>
      <c r="G178" s="33"/>
      <c r="H178" s="12"/>
      <c r="I178" s="12"/>
      <c r="J178" s="12"/>
      <c r="K178" s="12"/>
      <c r="L178" s="12"/>
      <c r="M178" s="12"/>
      <c r="N178" s="12"/>
      <c r="O178" s="30"/>
    </row>
    <row r="179" spans="2:16" ht="15" customHeight="1" x14ac:dyDescent="0.3">
      <c r="C179" s="30"/>
      <c r="D179" s="33"/>
      <c r="E179" s="33"/>
      <c r="F179" s="33"/>
      <c r="G179" s="33"/>
      <c r="H179" s="12"/>
      <c r="I179" s="12"/>
      <c r="J179" s="12"/>
      <c r="K179" s="12"/>
      <c r="L179" s="12"/>
      <c r="M179" s="12"/>
      <c r="N179" s="12"/>
      <c r="O179" s="30"/>
    </row>
    <row r="180" spans="2:16" ht="15" customHeight="1" x14ac:dyDescent="0.3">
      <c r="C180" s="30"/>
      <c r="D180" s="33"/>
      <c r="E180" s="33"/>
      <c r="F180" s="33"/>
      <c r="G180" s="33"/>
      <c r="H180" s="12"/>
      <c r="I180" s="12"/>
      <c r="J180" s="12"/>
      <c r="K180" s="12"/>
      <c r="L180" s="12"/>
      <c r="M180" s="12"/>
      <c r="N180" s="12"/>
      <c r="O180" s="30"/>
    </row>
    <row r="181" spans="2:16" ht="15" customHeight="1" x14ac:dyDescent="0.3">
      <c r="C181" s="30"/>
      <c r="D181" s="33"/>
      <c r="E181" s="33"/>
      <c r="F181" s="33"/>
      <c r="G181" s="33"/>
      <c r="H181" s="12"/>
      <c r="I181" s="12"/>
      <c r="J181" s="12"/>
      <c r="K181" s="12"/>
      <c r="L181" s="12"/>
      <c r="M181" s="12"/>
      <c r="N181" s="12"/>
      <c r="O181" s="30"/>
    </row>
    <row r="182" spans="2:16" ht="15" customHeight="1" x14ac:dyDescent="0.3">
      <c r="C182" s="30"/>
      <c r="D182" s="33"/>
      <c r="E182" s="33"/>
      <c r="F182" s="33"/>
      <c r="G182" s="33"/>
      <c r="H182" s="12"/>
      <c r="I182" s="12"/>
      <c r="J182" s="12"/>
      <c r="K182" s="12"/>
      <c r="L182" s="12"/>
      <c r="M182" s="12"/>
      <c r="N182" s="12"/>
      <c r="O182" s="30"/>
    </row>
    <row r="183" spans="2:16" ht="15" customHeight="1" x14ac:dyDescent="0.3">
      <c r="C183" s="30"/>
      <c r="D183" s="33"/>
      <c r="E183" s="33"/>
      <c r="F183" s="33"/>
      <c r="G183" s="33"/>
      <c r="H183" s="12"/>
      <c r="I183" s="12"/>
      <c r="J183" s="12"/>
      <c r="K183" s="12"/>
      <c r="L183" s="12"/>
      <c r="M183" s="12"/>
      <c r="N183" s="12"/>
      <c r="O183" s="30"/>
    </row>
    <row r="185" spans="2:16" ht="15" customHeight="1" x14ac:dyDescent="0.3">
      <c r="B185" s="171"/>
      <c r="C185" s="171"/>
      <c r="D185" s="171"/>
      <c r="E185" s="171"/>
      <c r="F185" s="171"/>
      <c r="G185" s="171"/>
      <c r="H185" s="172"/>
      <c r="I185" s="172"/>
      <c r="J185" s="172"/>
      <c r="K185" s="172"/>
      <c r="L185" s="172"/>
      <c r="M185" s="171"/>
      <c r="N185" s="171"/>
      <c r="O185" s="171"/>
      <c r="P185" s="171"/>
    </row>
    <row r="186" spans="2:16" ht="15" customHeight="1" x14ac:dyDescent="0.3">
      <c r="B186" s="165"/>
      <c r="C186" s="165"/>
      <c r="D186" s="165"/>
      <c r="E186" s="165"/>
      <c r="F186" s="165"/>
      <c r="G186" s="165"/>
      <c r="H186" s="170"/>
      <c r="I186" s="170"/>
      <c r="J186" s="170"/>
      <c r="K186" s="170"/>
      <c r="L186" s="170"/>
      <c r="M186" s="170"/>
      <c r="N186" s="170"/>
      <c r="O186" s="170"/>
      <c r="P186" s="170"/>
    </row>
    <row r="187" spans="2:16" ht="15" customHeight="1" x14ac:dyDescent="0.3">
      <c r="B187" s="30"/>
      <c r="C187" s="30"/>
      <c r="D187" s="30"/>
      <c r="E187" s="30"/>
      <c r="F187" s="30"/>
      <c r="G187" s="30"/>
      <c r="H187" s="31"/>
      <c r="I187" s="31"/>
      <c r="J187" s="31"/>
      <c r="K187" s="32"/>
      <c r="L187" s="32"/>
      <c r="M187" s="170"/>
      <c r="N187" s="170"/>
      <c r="O187" s="170"/>
      <c r="P187" s="170"/>
    </row>
    <row r="188" spans="2:16" ht="15" customHeight="1" x14ac:dyDescent="0.3">
      <c r="M188" s="170"/>
      <c r="N188" s="170"/>
      <c r="O188" s="170"/>
      <c r="P188" s="170"/>
    </row>
    <row r="197" spans="2:16" ht="15" customHeight="1" x14ac:dyDescent="0.3">
      <c r="B197" s="165"/>
      <c r="C197" s="165"/>
      <c r="D197" s="165"/>
      <c r="E197" s="165"/>
      <c r="F197" s="165"/>
      <c r="G197" s="165"/>
      <c r="H197" s="165"/>
      <c r="I197" s="165"/>
      <c r="J197" s="165"/>
      <c r="K197" s="165"/>
      <c r="L197" s="165"/>
      <c r="M197" s="165"/>
      <c r="N197" s="165"/>
      <c r="O197" s="165"/>
      <c r="P197" s="165"/>
    </row>
    <row r="198" spans="2:16" ht="15" customHeight="1" x14ac:dyDescent="0.3">
      <c r="B198" s="165"/>
      <c r="C198" s="165"/>
      <c r="D198" s="165"/>
      <c r="E198" s="165"/>
      <c r="F198" s="165"/>
      <c r="G198" s="165"/>
      <c r="H198" s="165"/>
      <c r="I198" s="165"/>
      <c r="J198" s="165"/>
      <c r="K198" s="165"/>
      <c r="L198" s="165"/>
      <c r="M198" s="165"/>
      <c r="N198" s="165"/>
      <c r="O198" s="165"/>
      <c r="P198" s="165"/>
    </row>
  </sheetData>
  <mergeCells count="55">
    <mergeCell ref="D53:L53"/>
    <mergeCell ref="D88:L88"/>
    <mergeCell ref="D96:L96"/>
    <mergeCell ref="D104:L104"/>
    <mergeCell ref="M198:P198"/>
    <mergeCell ref="M186:P188"/>
    <mergeCell ref="M197:P197"/>
    <mergeCell ref="M185:P185"/>
    <mergeCell ref="B198:G198"/>
    <mergeCell ref="H198:L198"/>
    <mergeCell ref="B185:G185"/>
    <mergeCell ref="H185:L185"/>
    <mergeCell ref="B186:G186"/>
    <mergeCell ref="H186:L186"/>
    <mergeCell ref="B197:G197"/>
    <mergeCell ref="H197:L197"/>
    <mergeCell ref="D173:I173"/>
    <mergeCell ref="D163:L163"/>
    <mergeCell ref="D134:L134"/>
    <mergeCell ref="D148:L148"/>
    <mergeCell ref="D149:N149"/>
    <mergeCell ref="H133:L133"/>
    <mergeCell ref="M133:P133"/>
    <mergeCell ref="B149:C149"/>
    <mergeCell ref="B148:C148"/>
    <mergeCell ref="B135:C135"/>
    <mergeCell ref="B134:C134"/>
    <mergeCell ref="D135:L135"/>
    <mergeCell ref="B53:C53"/>
    <mergeCell ref="B52:C52"/>
    <mergeCell ref="B88:C88"/>
    <mergeCell ref="B89:C89"/>
    <mergeCell ref="B164:C164"/>
    <mergeCell ref="B104:C104"/>
    <mergeCell ref="B105:C105"/>
    <mergeCell ref="B96:C96"/>
    <mergeCell ref="B97:C97"/>
    <mergeCell ref="B163:C163"/>
    <mergeCell ref="B133:G133"/>
    <mergeCell ref="D164:L164"/>
    <mergeCell ref="D89:L89"/>
    <mergeCell ref="D97:L97"/>
    <mergeCell ref="D105:L105"/>
    <mergeCell ref="D52:L52"/>
    <mergeCell ref="A11:Q11"/>
    <mergeCell ref="D14:E14"/>
    <mergeCell ref="B16:C16"/>
    <mergeCell ref="B17:C17"/>
    <mergeCell ref="A2:Q2"/>
    <mergeCell ref="A3:Q3"/>
    <mergeCell ref="A4:Q4"/>
    <mergeCell ref="A7:Q7"/>
    <mergeCell ref="A9:Q9"/>
    <mergeCell ref="D16:L16"/>
    <mergeCell ref="D17:L17"/>
  </mergeCells>
  <pageMargins left="0.43307086614173229" right="0.23622047244094491" top="0.35433070866141736" bottom="0.98425196850393704" header="0.31496062992125984" footer="0.31496062992125984"/>
  <pageSetup paperSize="9" scale="54" fitToHeight="0" orientation="portrait" r:id="rId1"/>
  <headerFooter>
    <oddFooter>&amp;C&amp;G</oddFooter>
  </headerFooter>
  <rowBreaks count="1" manualBreakCount="1">
    <brk id="95" max="16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383-B56D-4601-BC0D-71AEEA91CF64}">
  <sheetPr filterMode="1"/>
  <dimension ref="A1:H485"/>
  <sheetViews>
    <sheetView zoomScaleNormal="100" workbookViewId="0">
      <selection activeCell="H485" sqref="H485"/>
    </sheetView>
  </sheetViews>
  <sheetFormatPr defaultColWidth="8.88671875" defaultRowHeight="14.4" x14ac:dyDescent="0.3"/>
  <cols>
    <col min="1" max="1" width="5.109375" style="9" customWidth="1"/>
    <col min="2" max="2" width="11.109375" style="9" bestFit="1" customWidth="1"/>
    <col min="3" max="3" width="70.33203125" style="9" customWidth="1"/>
    <col min="4" max="4" width="9.44140625" style="9" bestFit="1" customWidth="1"/>
    <col min="5" max="5" width="10.6640625" style="9" bestFit="1" customWidth="1"/>
    <col min="6" max="6" width="17.33203125" style="9" bestFit="1" customWidth="1"/>
    <col min="7" max="7" width="18.44140625" style="9" bestFit="1" customWidth="1"/>
    <col min="8" max="8" width="14" style="9" bestFit="1" customWidth="1"/>
    <col min="9" max="16384" width="8.88671875" style="9"/>
  </cols>
  <sheetData>
    <row r="1" spans="1:7" ht="28.8" x14ac:dyDescent="0.3">
      <c r="A1" s="17" t="s">
        <v>10</v>
      </c>
      <c r="B1" s="18" t="s">
        <v>11</v>
      </c>
      <c r="C1" s="18" t="s">
        <v>12</v>
      </c>
      <c r="D1" s="19" t="s">
        <v>13</v>
      </c>
      <c r="E1" s="19" t="s">
        <v>14</v>
      </c>
      <c r="F1" s="19" t="s">
        <v>15</v>
      </c>
      <c r="G1" s="19" t="s">
        <v>16</v>
      </c>
    </row>
    <row r="2" spans="1:7" hidden="1" x14ac:dyDescent="0.3">
      <c r="A2" s="20">
        <v>1</v>
      </c>
      <c r="B2" s="21" t="s">
        <v>17</v>
      </c>
      <c r="C2" s="20" t="s">
        <v>18</v>
      </c>
      <c r="D2" s="22" t="s">
        <v>19</v>
      </c>
      <c r="E2" s="23">
        <v>4600</v>
      </c>
      <c r="F2" s="24">
        <v>500</v>
      </c>
      <c r="G2" s="25">
        <f>+E2*F2</f>
        <v>2300000</v>
      </c>
    </row>
    <row r="3" spans="1:7" hidden="1" x14ac:dyDescent="0.3">
      <c r="A3" s="20">
        <v>2</v>
      </c>
      <c r="B3" s="20" t="s">
        <v>20</v>
      </c>
      <c r="C3" s="20" t="s">
        <v>21</v>
      </c>
      <c r="D3" s="22" t="s">
        <v>22</v>
      </c>
      <c r="E3" s="20">
        <v>528.66</v>
      </c>
      <c r="F3" s="24">
        <v>4063</v>
      </c>
      <c r="G3" s="25">
        <f t="shared" ref="G3:G66" si="0">+E3*F3</f>
        <v>2147945.58</v>
      </c>
    </row>
    <row r="4" spans="1:7" hidden="1" x14ac:dyDescent="0.3">
      <c r="A4" s="20">
        <v>3</v>
      </c>
      <c r="B4" s="20" t="s">
        <v>23</v>
      </c>
      <c r="C4" s="20" t="s">
        <v>24</v>
      </c>
      <c r="D4" s="22" t="s">
        <v>22</v>
      </c>
      <c r="E4" s="20">
        <v>550.69000000000005</v>
      </c>
      <c r="F4" s="24">
        <v>2000</v>
      </c>
      <c r="G4" s="25">
        <f t="shared" si="0"/>
        <v>1101380</v>
      </c>
    </row>
    <row r="5" spans="1:7" hidden="1" x14ac:dyDescent="0.3">
      <c r="A5" s="20">
        <v>4</v>
      </c>
      <c r="B5" s="20" t="s">
        <v>25</v>
      </c>
      <c r="C5" s="20" t="s">
        <v>26</v>
      </c>
      <c r="D5" s="22" t="s">
        <v>22</v>
      </c>
      <c r="E5" s="20">
        <v>440.55</v>
      </c>
      <c r="F5" s="24">
        <v>10500</v>
      </c>
      <c r="G5" s="25">
        <f t="shared" si="0"/>
        <v>4625775</v>
      </c>
    </row>
    <row r="6" spans="1:7" hidden="1" x14ac:dyDescent="0.3">
      <c r="A6" s="20">
        <v>5</v>
      </c>
      <c r="B6" s="21" t="s">
        <v>27</v>
      </c>
      <c r="C6" s="20" t="s">
        <v>28</v>
      </c>
      <c r="D6" s="22" t="s">
        <v>22</v>
      </c>
      <c r="E6" s="26">
        <v>175497.85</v>
      </c>
      <c r="F6" s="24">
        <v>1485</v>
      </c>
      <c r="G6" s="25">
        <f t="shared" si="0"/>
        <v>260614307.25</v>
      </c>
    </row>
    <row r="7" spans="1:7" hidden="1" x14ac:dyDescent="0.3">
      <c r="A7" s="20">
        <v>6</v>
      </c>
      <c r="B7" s="20" t="s">
        <v>29</v>
      </c>
      <c r="C7" s="20" t="s">
        <v>30</v>
      </c>
      <c r="D7" s="22" t="s">
        <v>22</v>
      </c>
      <c r="E7" s="26">
        <v>26184.71</v>
      </c>
      <c r="F7" s="24">
        <v>300</v>
      </c>
      <c r="G7" s="25">
        <f t="shared" si="0"/>
        <v>7855413</v>
      </c>
    </row>
    <row r="8" spans="1:7" hidden="1" x14ac:dyDescent="0.3">
      <c r="A8" s="20">
        <v>7</v>
      </c>
      <c r="B8" s="20" t="s">
        <v>31</v>
      </c>
      <c r="C8" s="20" t="s">
        <v>32</v>
      </c>
      <c r="D8" s="22" t="s">
        <v>22</v>
      </c>
      <c r="E8" s="26">
        <v>27657.96</v>
      </c>
      <c r="F8" s="24">
        <v>1500</v>
      </c>
      <c r="G8" s="25">
        <f t="shared" si="0"/>
        <v>41486940</v>
      </c>
    </row>
    <row r="9" spans="1:7" hidden="1" x14ac:dyDescent="0.3">
      <c r="A9" s="20">
        <v>8</v>
      </c>
      <c r="B9" s="21" t="s">
        <v>33</v>
      </c>
      <c r="C9" s="20" t="s">
        <v>34</v>
      </c>
      <c r="D9" s="22" t="s">
        <v>22</v>
      </c>
      <c r="E9" s="23">
        <v>1734</v>
      </c>
      <c r="F9" s="24">
        <v>17500</v>
      </c>
      <c r="G9" s="25">
        <f t="shared" si="0"/>
        <v>30345000</v>
      </c>
    </row>
    <row r="10" spans="1:7" hidden="1" x14ac:dyDescent="0.3">
      <c r="A10" s="20">
        <v>9</v>
      </c>
      <c r="B10" s="20" t="s">
        <v>35</v>
      </c>
      <c r="C10" s="20" t="s">
        <v>36</v>
      </c>
      <c r="D10" s="22" t="s">
        <v>37</v>
      </c>
      <c r="E10" s="23">
        <v>1884</v>
      </c>
      <c r="F10" s="24">
        <v>1050</v>
      </c>
      <c r="G10" s="25">
        <f t="shared" si="0"/>
        <v>1978200</v>
      </c>
    </row>
    <row r="11" spans="1:7" hidden="1" x14ac:dyDescent="0.3">
      <c r="A11" s="20">
        <v>10</v>
      </c>
      <c r="B11" s="20" t="s">
        <v>38</v>
      </c>
      <c r="C11" s="20" t="s">
        <v>39</v>
      </c>
      <c r="D11" s="22" t="s">
        <v>37</v>
      </c>
      <c r="E11" s="20">
        <v>960</v>
      </c>
      <c r="F11" s="24">
        <v>1200</v>
      </c>
      <c r="G11" s="25">
        <f t="shared" si="0"/>
        <v>1152000</v>
      </c>
    </row>
    <row r="12" spans="1:7" hidden="1" x14ac:dyDescent="0.3">
      <c r="A12" s="20">
        <v>11</v>
      </c>
      <c r="B12" s="20" t="s">
        <v>40</v>
      </c>
      <c r="C12" s="20" t="s">
        <v>41</v>
      </c>
      <c r="D12" s="22" t="s">
        <v>42</v>
      </c>
      <c r="E12" s="20">
        <v>530</v>
      </c>
      <c r="F12" s="24">
        <v>2475</v>
      </c>
      <c r="G12" s="25">
        <f t="shared" si="0"/>
        <v>1311750</v>
      </c>
    </row>
    <row r="13" spans="1:7" hidden="1" x14ac:dyDescent="0.3">
      <c r="A13" s="20">
        <v>12</v>
      </c>
      <c r="B13" s="20" t="s">
        <v>43</v>
      </c>
      <c r="C13" s="20" t="s">
        <v>44</v>
      </c>
      <c r="D13" s="22" t="s">
        <v>42</v>
      </c>
      <c r="E13" s="20">
        <v>408</v>
      </c>
      <c r="F13" s="24">
        <v>3900</v>
      </c>
      <c r="G13" s="25">
        <f t="shared" si="0"/>
        <v>1591200</v>
      </c>
    </row>
    <row r="14" spans="1:7" hidden="1" x14ac:dyDescent="0.3">
      <c r="A14" s="20">
        <v>13</v>
      </c>
      <c r="B14" s="20" t="s">
        <v>45</v>
      </c>
      <c r="C14" s="20" t="s">
        <v>46</v>
      </c>
      <c r="D14" s="22" t="s">
        <v>42</v>
      </c>
      <c r="E14" s="20">
        <v>396</v>
      </c>
      <c r="F14" s="24">
        <v>4125</v>
      </c>
      <c r="G14" s="25">
        <f t="shared" si="0"/>
        <v>1633500</v>
      </c>
    </row>
    <row r="15" spans="1:7" hidden="1" x14ac:dyDescent="0.3">
      <c r="A15" s="20">
        <v>14</v>
      </c>
      <c r="B15" s="20" t="s">
        <v>47</v>
      </c>
      <c r="C15" s="20" t="s">
        <v>48</v>
      </c>
      <c r="D15" s="22" t="s">
        <v>42</v>
      </c>
      <c r="E15" s="20">
        <v>396</v>
      </c>
      <c r="F15" s="24">
        <v>5850</v>
      </c>
      <c r="G15" s="25">
        <f t="shared" si="0"/>
        <v>2316600</v>
      </c>
    </row>
    <row r="16" spans="1:7" hidden="1" x14ac:dyDescent="0.3">
      <c r="A16" s="20">
        <v>15</v>
      </c>
      <c r="B16" s="21" t="s">
        <v>49</v>
      </c>
      <c r="C16" s="20" t="s">
        <v>50</v>
      </c>
      <c r="D16" s="22" t="s">
        <v>19</v>
      </c>
      <c r="E16" s="26">
        <v>138744.07</v>
      </c>
      <c r="F16" s="24">
        <v>3140</v>
      </c>
      <c r="G16" s="25">
        <f t="shared" si="0"/>
        <v>435656379.80000001</v>
      </c>
    </row>
    <row r="17" spans="1:7" hidden="1" x14ac:dyDescent="0.3">
      <c r="A17" s="20">
        <v>16</v>
      </c>
      <c r="B17" s="20" t="s">
        <v>51</v>
      </c>
      <c r="C17" s="20" t="s">
        <v>52</v>
      </c>
      <c r="D17" s="22" t="s">
        <v>22</v>
      </c>
      <c r="E17" s="26">
        <v>43459.98</v>
      </c>
      <c r="F17" s="24">
        <v>3504</v>
      </c>
      <c r="G17" s="25">
        <f t="shared" si="0"/>
        <v>152283769.92000002</v>
      </c>
    </row>
    <row r="18" spans="1:7" hidden="1" x14ac:dyDescent="0.3">
      <c r="A18" s="20">
        <v>17</v>
      </c>
      <c r="B18" s="20" t="s">
        <v>53</v>
      </c>
      <c r="C18" s="20" t="s">
        <v>54</v>
      </c>
      <c r="D18" s="22" t="s">
        <v>22</v>
      </c>
      <c r="E18" s="26">
        <v>115476.85</v>
      </c>
      <c r="F18" s="24">
        <v>6114</v>
      </c>
      <c r="G18" s="25">
        <f t="shared" si="0"/>
        <v>706025460.89999998</v>
      </c>
    </row>
    <row r="19" spans="1:7" hidden="1" x14ac:dyDescent="0.3">
      <c r="A19" s="20">
        <v>18</v>
      </c>
      <c r="B19" s="20" t="s">
        <v>55</v>
      </c>
      <c r="C19" s="20" t="s">
        <v>56</v>
      </c>
      <c r="D19" s="22" t="s">
        <v>57</v>
      </c>
      <c r="E19" s="26">
        <v>20487.48</v>
      </c>
      <c r="F19" s="24">
        <v>75316</v>
      </c>
      <c r="G19" s="25">
        <f t="shared" si="0"/>
        <v>1543035043.6800001</v>
      </c>
    </row>
    <row r="20" spans="1:7" hidden="1" x14ac:dyDescent="0.3">
      <c r="A20" s="20">
        <v>19</v>
      </c>
      <c r="B20" s="20" t="s">
        <v>58</v>
      </c>
      <c r="C20" s="20" t="s">
        <v>59</v>
      </c>
      <c r="D20" s="22" t="s">
        <v>57</v>
      </c>
      <c r="E20" s="20">
        <v>67.77</v>
      </c>
      <c r="F20" s="24">
        <v>87125</v>
      </c>
      <c r="G20" s="25">
        <f t="shared" si="0"/>
        <v>5904461.25</v>
      </c>
    </row>
    <row r="21" spans="1:7" hidden="1" x14ac:dyDescent="0.3">
      <c r="A21" s="20">
        <v>20</v>
      </c>
      <c r="B21" s="20" t="s">
        <v>60</v>
      </c>
      <c r="C21" s="20" t="s">
        <v>61</v>
      </c>
      <c r="D21" s="22" t="s">
        <v>19</v>
      </c>
      <c r="E21" s="26">
        <v>42149.53</v>
      </c>
      <c r="F21" s="24">
        <v>5196</v>
      </c>
      <c r="G21" s="25">
        <f t="shared" si="0"/>
        <v>219008957.88</v>
      </c>
    </row>
    <row r="22" spans="1:7" hidden="1" x14ac:dyDescent="0.3">
      <c r="A22" s="20">
        <v>21</v>
      </c>
      <c r="B22" s="20" t="s">
        <v>62</v>
      </c>
      <c r="C22" s="20" t="s">
        <v>63</v>
      </c>
      <c r="D22" s="22" t="s">
        <v>19</v>
      </c>
      <c r="E22" s="26">
        <v>12946.85</v>
      </c>
      <c r="F22" s="24">
        <v>1535</v>
      </c>
      <c r="G22" s="25">
        <f t="shared" si="0"/>
        <v>19873414.75</v>
      </c>
    </row>
    <row r="23" spans="1:7" hidden="1" x14ac:dyDescent="0.3">
      <c r="A23" s="20">
        <v>22</v>
      </c>
      <c r="B23" s="20" t="s">
        <v>64</v>
      </c>
      <c r="C23" s="20" t="s">
        <v>65</v>
      </c>
      <c r="D23" s="22" t="s">
        <v>19</v>
      </c>
      <c r="E23" s="26">
        <v>12871.85</v>
      </c>
      <c r="F23" s="24">
        <v>1462</v>
      </c>
      <c r="G23" s="25">
        <f t="shared" si="0"/>
        <v>18818644.699999999</v>
      </c>
    </row>
    <row r="24" spans="1:7" hidden="1" x14ac:dyDescent="0.3">
      <c r="A24" s="20">
        <v>23</v>
      </c>
      <c r="B24" s="21" t="s">
        <v>66</v>
      </c>
      <c r="C24" s="20" t="s">
        <v>67</v>
      </c>
      <c r="D24" s="22" t="s">
        <v>37</v>
      </c>
      <c r="E24" s="26">
        <v>14706.45</v>
      </c>
      <c r="F24" s="24">
        <v>2094</v>
      </c>
      <c r="G24" s="25">
        <f t="shared" si="0"/>
        <v>30795306.300000001</v>
      </c>
    </row>
    <row r="25" spans="1:7" hidden="1" x14ac:dyDescent="0.3">
      <c r="A25" s="20">
        <v>24</v>
      </c>
      <c r="B25" s="20" t="s">
        <v>68</v>
      </c>
      <c r="C25" s="20" t="s">
        <v>69</v>
      </c>
      <c r="D25" s="22" t="s">
        <v>19</v>
      </c>
      <c r="E25" s="26">
        <v>3073.23</v>
      </c>
      <c r="F25" s="24">
        <v>37481</v>
      </c>
      <c r="G25" s="25">
        <f t="shared" si="0"/>
        <v>115187733.63</v>
      </c>
    </row>
    <row r="26" spans="1:7" hidden="1" x14ac:dyDescent="0.3">
      <c r="A26" s="20">
        <v>25</v>
      </c>
      <c r="B26" s="20" t="s">
        <v>70</v>
      </c>
      <c r="C26" s="20" t="s">
        <v>71</v>
      </c>
      <c r="D26" s="22" t="s">
        <v>19</v>
      </c>
      <c r="E26" s="26">
        <v>2679.52</v>
      </c>
      <c r="F26" s="24">
        <v>43633</v>
      </c>
      <c r="G26" s="25">
        <f t="shared" si="0"/>
        <v>116915496.16</v>
      </c>
    </row>
    <row r="27" spans="1:7" hidden="1" x14ac:dyDescent="0.3">
      <c r="A27" s="20">
        <v>26</v>
      </c>
      <c r="B27" s="20" t="s">
        <v>72</v>
      </c>
      <c r="C27" s="20" t="s">
        <v>73</v>
      </c>
      <c r="D27" s="22" t="s">
        <v>19</v>
      </c>
      <c r="E27" s="26">
        <v>4321.2299999999996</v>
      </c>
      <c r="F27" s="24">
        <v>23682</v>
      </c>
      <c r="G27" s="25">
        <f t="shared" si="0"/>
        <v>102335368.85999998</v>
      </c>
    </row>
    <row r="28" spans="1:7" hidden="1" x14ac:dyDescent="0.3">
      <c r="A28" s="20">
        <v>27</v>
      </c>
      <c r="B28" s="20" t="s">
        <v>74</v>
      </c>
      <c r="C28" s="20" t="s">
        <v>75</v>
      </c>
      <c r="D28" s="22" t="s">
        <v>19</v>
      </c>
      <c r="E28" s="26">
        <v>8103.7</v>
      </c>
      <c r="F28" s="24">
        <v>26351</v>
      </c>
      <c r="G28" s="25">
        <f t="shared" si="0"/>
        <v>213540598.69999999</v>
      </c>
    </row>
    <row r="29" spans="1:7" hidden="1" x14ac:dyDescent="0.3">
      <c r="A29" s="20">
        <v>28</v>
      </c>
      <c r="B29" s="20" t="s">
        <v>76</v>
      </c>
      <c r="C29" s="20" t="s">
        <v>77</v>
      </c>
      <c r="D29" s="22" t="s">
        <v>19</v>
      </c>
      <c r="E29" s="26">
        <v>3944.25</v>
      </c>
      <c r="F29" s="24">
        <v>36167</v>
      </c>
      <c r="G29" s="25">
        <f t="shared" si="0"/>
        <v>142651689.75</v>
      </c>
    </row>
    <row r="30" spans="1:7" hidden="1" x14ac:dyDescent="0.3">
      <c r="A30" s="20">
        <v>29</v>
      </c>
      <c r="B30" s="20" t="s">
        <v>78</v>
      </c>
      <c r="C30" s="20" t="s">
        <v>79</v>
      </c>
      <c r="D30" s="22" t="s">
        <v>19</v>
      </c>
      <c r="E30" s="20">
        <v>920.13</v>
      </c>
      <c r="F30" s="24">
        <v>36167</v>
      </c>
      <c r="G30" s="25">
        <f t="shared" si="0"/>
        <v>33278341.710000001</v>
      </c>
    </row>
    <row r="31" spans="1:7" hidden="1" x14ac:dyDescent="0.3">
      <c r="A31" s="20">
        <v>30</v>
      </c>
      <c r="B31" s="20" t="s">
        <v>80</v>
      </c>
      <c r="C31" s="20" t="s">
        <v>81</v>
      </c>
      <c r="D31" s="22" t="s">
        <v>82</v>
      </c>
      <c r="E31" s="20">
        <v>1</v>
      </c>
      <c r="F31" s="24">
        <v>1125000</v>
      </c>
      <c r="G31" s="25">
        <f t="shared" si="0"/>
        <v>1125000</v>
      </c>
    </row>
    <row r="32" spans="1:7" hidden="1" x14ac:dyDescent="0.3">
      <c r="A32" s="20">
        <v>31</v>
      </c>
      <c r="B32" s="20" t="s">
        <v>83</v>
      </c>
      <c r="C32" s="20" t="s">
        <v>84</v>
      </c>
      <c r="D32" s="22" t="s">
        <v>82</v>
      </c>
      <c r="E32" s="20">
        <v>1</v>
      </c>
      <c r="F32" s="24">
        <v>1125000</v>
      </c>
      <c r="G32" s="25">
        <f t="shared" si="0"/>
        <v>1125000</v>
      </c>
    </row>
    <row r="33" spans="1:7" hidden="1" x14ac:dyDescent="0.3">
      <c r="A33" s="20">
        <v>32</v>
      </c>
      <c r="B33" s="20" t="s">
        <v>85</v>
      </c>
      <c r="C33" s="20" t="s">
        <v>86</v>
      </c>
      <c r="D33" s="22" t="s">
        <v>82</v>
      </c>
      <c r="E33" s="20">
        <v>1</v>
      </c>
      <c r="F33" s="24">
        <v>3000000</v>
      </c>
      <c r="G33" s="25">
        <f t="shared" si="0"/>
        <v>3000000</v>
      </c>
    </row>
    <row r="34" spans="1:7" hidden="1" x14ac:dyDescent="0.3">
      <c r="A34" s="20">
        <v>33</v>
      </c>
      <c r="B34" s="20" t="s">
        <v>87</v>
      </c>
      <c r="C34" s="20" t="s">
        <v>88</v>
      </c>
      <c r="D34" s="22" t="s">
        <v>82</v>
      </c>
      <c r="E34" s="20">
        <v>1</v>
      </c>
      <c r="F34" s="24">
        <v>2250000</v>
      </c>
      <c r="G34" s="25">
        <f t="shared" si="0"/>
        <v>2250000</v>
      </c>
    </row>
    <row r="35" spans="1:7" hidden="1" x14ac:dyDescent="0.3">
      <c r="A35" s="20">
        <v>34</v>
      </c>
      <c r="B35" s="20" t="s">
        <v>89</v>
      </c>
      <c r="C35" s="20" t="s">
        <v>90</v>
      </c>
      <c r="D35" s="22" t="s">
        <v>19</v>
      </c>
      <c r="E35" s="23">
        <v>5500</v>
      </c>
      <c r="F35" s="24">
        <v>2400</v>
      </c>
      <c r="G35" s="25">
        <f t="shared" si="0"/>
        <v>13200000</v>
      </c>
    </row>
    <row r="36" spans="1:7" hidden="1" x14ac:dyDescent="0.3">
      <c r="A36" s="20">
        <v>35</v>
      </c>
      <c r="B36" s="20" t="s">
        <v>91</v>
      </c>
      <c r="C36" s="20" t="s">
        <v>92</v>
      </c>
      <c r="D36" s="22" t="s">
        <v>19</v>
      </c>
      <c r="E36" s="23">
        <v>6500</v>
      </c>
      <c r="F36" s="24">
        <v>2400</v>
      </c>
      <c r="G36" s="25">
        <f t="shared" si="0"/>
        <v>15600000</v>
      </c>
    </row>
    <row r="37" spans="1:7" hidden="1" x14ac:dyDescent="0.3">
      <c r="A37" s="20">
        <v>36</v>
      </c>
      <c r="B37" s="20" t="s">
        <v>93</v>
      </c>
      <c r="C37" s="20" t="s">
        <v>94</v>
      </c>
      <c r="D37" s="22" t="s">
        <v>19</v>
      </c>
      <c r="E37" s="23">
        <v>8000</v>
      </c>
      <c r="F37" s="24">
        <v>2400</v>
      </c>
      <c r="G37" s="25">
        <f t="shared" si="0"/>
        <v>19200000</v>
      </c>
    </row>
    <row r="38" spans="1:7" hidden="1" x14ac:dyDescent="0.3">
      <c r="A38" s="20">
        <v>37</v>
      </c>
      <c r="B38" s="20" t="s">
        <v>95</v>
      </c>
      <c r="C38" s="20" t="s">
        <v>96</v>
      </c>
      <c r="D38" s="22" t="s">
        <v>19</v>
      </c>
      <c r="E38" s="23">
        <v>20500</v>
      </c>
      <c r="F38" s="24">
        <v>2400</v>
      </c>
      <c r="G38" s="25">
        <f t="shared" si="0"/>
        <v>49200000</v>
      </c>
    </row>
    <row r="39" spans="1:7" hidden="1" x14ac:dyDescent="0.3">
      <c r="A39" s="20">
        <v>38</v>
      </c>
      <c r="B39" s="20" t="s">
        <v>97</v>
      </c>
      <c r="C39" s="20" t="s">
        <v>98</v>
      </c>
      <c r="D39" s="22" t="s">
        <v>82</v>
      </c>
      <c r="E39" s="20">
        <v>1</v>
      </c>
      <c r="F39" s="24">
        <v>6167886</v>
      </c>
      <c r="G39" s="25">
        <f t="shared" si="0"/>
        <v>6167886</v>
      </c>
    </row>
    <row r="40" spans="1:7" hidden="1" x14ac:dyDescent="0.3">
      <c r="A40" s="20">
        <v>39</v>
      </c>
      <c r="B40" s="20" t="s">
        <v>99</v>
      </c>
      <c r="C40" s="20" t="s">
        <v>100</v>
      </c>
      <c r="D40" s="22" t="s">
        <v>82</v>
      </c>
      <c r="E40" s="20">
        <v>1</v>
      </c>
      <c r="F40" s="24">
        <v>6167886</v>
      </c>
      <c r="G40" s="25">
        <f t="shared" si="0"/>
        <v>6167886</v>
      </c>
    </row>
    <row r="41" spans="1:7" hidden="1" x14ac:dyDescent="0.3">
      <c r="A41" s="20">
        <v>40</v>
      </c>
      <c r="B41" s="20" t="s">
        <v>101</v>
      </c>
      <c r="C41" s="20" t="s">
        <v>102</v>
      </c>
      <c r="D41" s="22" t="s">
        <v>82</v>
      </c>
      <c r="E41" s="20">
        <v>1</v>
      </c>
      <c r="F41" s="24">
        <v>14017922</v>
      </c>
      <c r="G41" s="25">
        <f t="shared" si="0"/>
        <v>14017922</v>
      </c>
    </row>
    <row r="42" spans="1:7" hidden="1" x14ac:dyDescent="0.3">
      <c r="A42" s="20">
        <v>41</v>
      </c>
      <c r="B42" s="20" t="s">
        <v>103</v>
      </c>
      <c r="C42" s="20" t="s">
        <v>104</v>
      </c>
      <c r="D42" s="22" t="s">
        <v>82</v>
      </c>
      <c r="E42" s="20">
        <v>1</v>
      </c>
      <c r="F42" s="24">
        <v>14017922</v>
      </c>
      <c r="G42" s="25">
        <f t="shared" si="0"/>
        <v>14017922</v>
      </c>
    </row>
    <row r="43" spans="1:7" hidden="1" x14ac:dyDescent="0.3">
      <c r="A43" s="20">
        <v>42</v>
      </c>
      <c r="B43" s="20" t="s">
        <v>105</v>
      </c>
      <c r="C43" s="20" t="s">
        <v>106</v>
      </c>
      <c r="D43" s="22" t="s">
        <v>82</v>
      </c>
      <c r="E43" s="20">
        <v>1</v>
      </c>
      <c r="F43" s="24">
        <v>6167886</v>
      </c>
      <c r="G43" s="25">
        <f t="shared" si="0"/>
        <v>6167886</v>
      </c>
    </row>
    <row r="44" spans="1:7" hidden="1" x14ac:dyDescent="0.3">
      <c r="A44" s="20">
        <v>43</v>
      </c>
      <c r="B44" s="20" t="s">
        <v>107</v>
      </c>
      <c r="C44" s="20" t="s">
        <v>108</v>
      </c>
      <c r="D44" s="22" t="s">
        <v>82</v>
      </c>
      <c r="E44" s="20">
        <v>1</v>
      </c>
      <c r="F44" s="24">
        <v>15419714</v>
      </c>
      <c r="G44" s="25">
        <f t="shared" si="0"/>
        <v>15419714</v>
      </c>
    </row>
    <row r="45" spans="1:7" hidden="1" x14ac:dyDescent="0.3">
      <c r="A45" s="20">
        <v>44</v>
      </c>
      <c r="B45" s="20" t="s">
        <v>109</v>
      </c>
      <c r="C45" s="20" t="s">
        <v>110</v>
      </c>
      <c r="D45" s="22" t="s">
        <v>82</v>
      </c>
      <c r="E45" s="20">
        <v>1</v>
      </c>
      <c r="F45" s="24">
        <v>4205377</v>
      </c>
      <c r="G45" s="25">
        <f t="shared" si="0"/>
        <v>4205377</v>
      </c>
    </row>
    <row r="46" spans="1:7" hidden="1" x14ac:dyDescent="0.3">
      <c r="A46" s="20">
        <v>45</v>
      </c>
      <c r="B46" s="20" t="s">
        <v>111</v>
      </c>
      <c r="C46" s="20" t="s">
        <v>112</v>
      </c>
      <c r="D46" s="22" t="s">
        <v>82</v>
      </c>
      <c r="E46" s="20">
        <v>1</v>
      </c>
      <c r="F46" s="24">
        <v>4205377</v>
      </c>
      <c r="G46" s="25">
        <f t="shared" si="0"/>
        <v>4205377</v>
      </c>
    </row>
    <row r="47" spans="1:7" hidden="1" x14ac:dyDescent="0.3">
      <c r="A47" s="20">
        <v>46</v>
      </c>
      <c r="B47" s="20" t="s">
        <v>113</v>
      </c>
      <c r="C47" s="20" t="s">
        <v>114</v>
      </c>
      <c r="D47" s="22" t="s">
        <v>82</v>
      </c>
      <c r="E47" s="20">
        <v>1</v>
      </c>
      <c r="F47" s="24">
        <v>5326810</v>
      </c>
      <c r="G47" s="25">
        <f t="shared" si="0"/>
        <v>5326810</v>
      </c>
    </row>
    <row r="48" spans="1:7" hidden="1" x14ac:dyDescent="0.3">
      <c r="A48" s="20">
        <v>47</v>
      </c>
      <c r="B48" s="20" t="s">
        <v>115</v>
      </c>
      <c r="C48" s="20" t="s">
        <v>116</v>
      </c>
      <c r="D48" s="22" t="s">
        <v>82</v>
      </c>
      <c r="E48" s="20">
        <v>1</v>
      </c>
      <c r="F48" s="24">
        <v>5326810</v>
      </c>
      <c r="G48" s="25">
        <f t="shared" si="0"/>
        <v>5326810</v>
      </c>
    </row>
    <row r="49" spans="1:8" hidden="1" x14ac:dyDescent="0.3">
      <c r="A49" s="20">
        <v>48</v>
      </c>
      <c r="B49" s="20" t="s">
        <v>117</v>
      </c>
      <c r="C49" s="20" t="s">
        <v>118</v>
      </c>
      <c r="D49" s="22" t="s">
        <v>82</v>
      </c>
      <c r="E49" s="20">
        <v>1</v>
      </c>
      <c r="F49" s="24">
        <v>4205377</v>
      </c>
      <c r="G49" s="25">
        <f t="shared" si="0"/>
        <v>4205377</v>
      </c>
    </row>
    <row r="50" spans="1:8" x14ac:dyDescent="0.3">
      <c r="A50" s="20">
        <v>49</v>
      </c>
      <c r="B50" s="21" t="s">
        <v>119</v>
      </c>
      <c r="C50" s="20" t="s">
        <v>120</v>
      </c>
      <c r="D50" s="22" t="s">
        <v>22</v>
      </c>
      <c r="E50" s="26">
        <v>186392.65</v>
      </c>
      <c r="F50" s="24">
        <v>5075</v>
      </c>
      <c r="G50" s="25">
        <f t="shared" si="0"/>
        <v>945942698.75</v>
      </c>
      <c r="H50" s="9">
        <f>+İcmal!L20</f>
        <v>957.24699999999996</v>
      </c>
    </row>
    <row r="51" spans="1:8" x14ac:dyDescent="0.3">
      <c r="A51" s="20">
        <v>50</v>
      </c>
      <c r="B51" s="20" t="s">
        <v>121</v>
      </c>
      <c r="C51" s="20" t="s">
        <v>122</v>
      </c>
      <c r="D51" s="22" t="s">
        <v>22</v>
      </c>
      <c r="E51" s="20">
        <v>910</v>
      </c>
      <c r="F51" s="24">
        <v>600</v>
      </c>
      <c r="G51" s="25">
        <f t="shared" si="0"/>
        <v>546000</v>
      </c>
      <c r="H51" s="9" t="str">
        <f>+İcmal!L21</f>
        <v/>
      </c>
    </row>
    <row r="52" spans="1:8" x14ac:dyDescent="0.3">
      <c r="A52" s="20">
        <v>51</v>
      </c>
      <c r="B52" s="20" t="s">
        <v>123</v>
      </c>
      <c r="C52" s="20" t="s">
        <v>32</v>
      </c>
      <c r="D52" s="22" t="s">
        <v>22</v>
      </c>
      <c r="E52" s="23">
        <v>1785</v>
      </c>
      <c r="F52" s="24">
        <v>1500</v>
      </c>
      <c r="G52" s="25">
        <f t="shared" si="0"/>
        <v>2677500</v>
      </c>
      <c r="H52" s="9" t="str">
        <f>+İcmal!L22</f>
        <v/>
      </c>
    </row>
    <row r="53" spans="1:8" x14ac:dyDescent="0.3">
      <c r="A53" s="20">
        <v>52</v>
      </c>
      <c r="B53" s="21" t="s">
        <v>124</v>
      </c>
      <c r="C53" s="20" t="s">
        <v>125</v>
      </c>
      <c r="D53" s="22" t="s">
        <v>22</v>
      </c>
      <c r="E53" s="26">
        <v>38798.589999999997</v>
      </c>
      <c r="F53" s="24">
        <v>15334</v>
      </c>
      <c r="G53" s="25">
        <f t="shared" si="0"/>
        <v>594937579.05999994</v>
      </c>
      <c r="H53" s="9">
        <f>+İcmal!L23</f>
        <v>168.709</v>
      </c>
    </row>
    <row r="54" spans="1:8" x14ac:dyDescent="0.3">
      <c r="A54" s="20">
        <v>53</v>
      </c>
      <c r="B54" s="20" t="s">
        <v>126</v>
      </c>
      <c r="C54" s="20" t="s">
        <v>127</v>
      </c>
      <c r="D54" s="22" t="s">
        <v>37</v>
      </c>
      <c r="E54" s="26">
        <v>19569.89</v>
      </c>
      <c r="F54" s="24">
        <v>248</v>
      </c>
      <c r="G54" s="25">
        <f t="shared" si="0"/>
        <v>4853332.72</v>
      </c>
      <c r="H54" s="9" t="str">
        <f>+İcmal!L24</f>
        <v/>
      </c>
    </row>
    <row r="55" spans="1:8" x14ac:dyDescent="0.3">
      <c r="A55" s="20">
        <v>54</v>
      </c>
      <c r="B55" s="20" t="s">
        <v>128</v>
      </c>
      <c r="C55" s="20" t="s">
        <v>129</v>
      </c>
      <c r="D55" s="22" t="s">
        <v>37</v>
      </c>
      <c r="E55" s="26">
        <v>10655.78</v>
      </c>
      <c r="F55" s="24">
        <v>371</v>
      </c>
      <c r="G55" s="25">
        <f t="shared" si="0"/>
        <v>3953294.3800000004</v>
      </c>
      <c r="H55" s="9" t="str">
        <f>+İcmal!L25</f>
        <v/>
      </c>
    </row>
    <row r="56" spans="1:8" x14ac:dyDescent="0.3">
      <c r="A56" s="20">
        <v>55</v>
      </c>
      <c r="B56" s="20" t="s">
        <v>130</v>
      </c>
      <c r="C56" s="20" t="s">
        <v>41</v>
      </c>
      <c r="D56" s="22" t="s">
        <v>42</v>
      </c>
      <c r="E56" s="20">
        <v>800</v>
      </c>
      <c r="F56" s="24">
        <v>2250</v>
      </c>
      <c r="G56" s="25">
        <f t="shared" si="0"/>
        <v>1800000</v>
      </c>
      <c r="H56" s="9" t="str">
        <f>+İcmal!L26</f>
        <v/>
      </c>
    </row>
    <row r="57" spans="1:8" x14ac:dyDescent="0.3">
      <c r="A57" s="20">
        <v>56</v>
      </c>
      <c r="B57" s="20" t="s">
        <v>131</v>
      </c>
      <c r="C57" s="20" t="s">
        <v>44</v>
      </c>
      <c r="D57" s="22" t="s">
        <v>42</v>
      </c>
      <c r="E57" s="26">
        <v>2466.42</v>
      </c>
      <c r="F57" s="24">
        <v>8000</v>
      </c>
      <c r="G57" s="25">
        <f t="shared" si="0"/>
        <v>19731360</v>
      </c>
      <c r="H57" s="9">
        <f>+İcmal!L27</f>
        <v>0</v>
      </c>
    </row>
    <row r="58" spans="1:8" x14ac:dyDescent="0.3">
      <c r="A58" s="20">
        <v>57</v>
      </c>
      <c r="B58" s="20" t="s">
        <v>132</v>
      </c>
      <c r="C58" s="20" t="s">
        <v>46</v>
      </c>
      <c r="D58" s="22" t="s">
        <v>42</v>
      </c>
      <c r="E58" s="26">
        <v>2401.3000000000002</v>
      </c>
      <c r="F58" s="24">
        <v>8288</v>
      </c>
      <c r="G58" s="25">
        <f t="shared" si="0"/>
        <v>19901974.400000002</v>
      </c>
      <c r="H58" s="9" t="str">
        <f>+İcmal!L28</f>
        <v/>
      </c>
    </row>
    <row r="59" spans="1:8" x14ac:dyDescent="0.3">
      <c r="A59" s="20">
        <v>58</v>
      </c>
      <c r="B59" s="20" t="s">
        <v>133</v>
      </c>
      <c r="C59" s="20" t="s">
        <v>48</v>
      </c>
      <c r="D59" s="22" t="s">
        <v>42</v>
      </c>
      <c r="E59" s="23">
        <v>2970</v>
      </c>
      <c r="F59" s="24">
        <v>12000</v>
      </c>
      <c r="G59" s="25">
        <f t="shared" si="0"/>
        <v>35640000</v>
      </c>
      <c r="H59" s="9" t="str">
        <f>+İcmal!L29</f>
        <v/>
      </c>
    </row>
    <row r="60" spans="1:8" x14ac:dyDescent="0.3">
      <c r="A60" s="20">
        <v>59</v>
      </c>
      <c r="B60" s="20" t="s">
        <v>134</v>
      </c>
      <c r="C60" s="20" t="s">
        <v>135</v>
      </c>
      <c r="D60" s="22" t="s">
        <v>42</v>
      </c>
      <c r="E60" s="26">
        <v>7008.23</v>
      </c>
      <c r="F60" s="24">
        <v>28000</v>
      </c>
      <c r="G60" s="25">
        <f t="shared" si="0"/>
        <v>196230440</v>
      </c>
      <c r="H60" s="9">
        <f>+İcmal!L30</f>
        <v>270</v>
      </c>
    </row>
    <row r="61" spans="1:8" x14ac:dyDescent="0.3">
      <c r="A61" s="20">
        <v>60</v>
      </c>
      <c r="B61" s="20" t="s">
        <v>136</v>
      </c>
      <c r="C61" s="20" t="s">
        <v>36</v>
      </c>
      <c r="D61" s="22" t="s">
        <v>37</v>
      </c>
      <c r="E61" s="26">
        <v>156606.89000000001</v>
      </c>
      <c r="F61" s="24">
        <v>375</v>
      </c>
      <c r="G61" s="25">
        <f t="shared" si="0"/>
        <v>58727583.750000007</v>
      </c>
      <c r="H61" s="9" t="str">
        <f>+İcmal!L31</f>
        <v>0</v>
      </c>
    </row>
    <row r="62" spans="1:8" x14ac:dyDescent="0.3">
      <c r="A62" s="20">
        <v>61</v>
      </c>
      <c r="B62" s="20" t="s">
        <v>137</v>
      </c>
      <c r="C62" s="20" t="s">
        <v>39</v>
      </c>
      <c r="D62" s="22" t="s">
        <v>37</v>
      </c>
      <c r="E62" s="23">
        <v>145635</v>
      </c>
      <c r="F62" s="24">
        <v>388</v>
      </c>
      <c r="G62" s="25">
        <f t="shared" si="0"/>
        <v>56506380</v>
      </c>
      <c r="H62" s="9" t="str">
        <f>+İcmal!L32</f>
        <v/>
      </c>
    </row>
    <row r="63" spans="1:8" x14ac:dyDescent="0.3">
      <c r="A63" s="20">
        <v>62</v>
      </c>
      <c r="B63" s="21" t="s">
        <v>138</v>
      </c>
      <c r="C63" s="20" t="s">
        <v>139</v>
      </c>
      <c r="D63" s="22" t="s">
        <v>57</v>
      </c>
      <c r="E63" s="23">
        <v>8410</v>
      </c>
      <c r="F63" s="24">
        <v>102000</v>
      </c>
      <c r="G63" s="25">
        <f t="shared" si="0"/>
        <v>857820000</v>
      </c>
      <c r="H63" s="9">
        <f>+İcmal!L33</f>
        <v>44.503999999999998</v>
      </c>
    </row>
    <row r="64" spans="1:8" x14ac:dyDescent="0.3">
      <c r="A64" s="20">
        <v>63</v>
      </c>
      <c r="B64" s="21" t="s">
        <v>140</v>
      </c>
      <c r="C64" s="20" t="s">
        <v>141</v>
      </c>
      <c r="D64" s="22" t="s">
        <v>37</v>
      </c>
      <c r="E64" s="26">
        <v>360205.7</v>
      </c>
      <c r="F64" s="24">
        <v>3400</v>
      </c>
      <c r="G64" s="25">
        <f t="shared" si="0"/>
        <v>1224699380</v>
      </c>
      <c r="H64" s="9" t="str">
        <f>+İcmal!L34</f>
        <v>0</v>
      </c>
    </row>
    <row r="65" spans="1:8" x14ac:dyDescent="0.3">
      <c r="A65" s="20">
        <v>64</v>
      </c>
      <c r="B65" s="20" t="s">
        <v>142</v>
      </c>
      <c r="C65" s="20" t="s">
        <v>143</v>
      </c>
      <c r="D65" s="22" t="s">
        <v>19</v>
      </c>
      <c r="E65" s="26">
        <v>78502.509999999995</v>
      </c>
      <c r="F65" s="24">
        <v>510</v>
      </c>
      <c r="G65" s="25">
        <f t="shared" si="0"/>
        <v>40036280.099999994</v>
      </c>
      <c r="H65" s="9" t="str">
        <f>+İcmal!L35</f>
        <v/>
      </c>
    </row>
    <row r="66" spans="1:8" x14ac:dyDescent="0.3">
      <c r="A66" s="20">
        <v>65</v>
      </c>
      <c r="B66" s="20" t="s">
        <v>144</v>
      </c>
      <c r="C66" s="20" t="s">
        <v>145</v>
      </c>
      <c r="D66" s="22" t="s">
        <v>19</v>
      </c>
      <c r="E66" s="26">
        <v>67207.820000000007</v>
      </c>
      <c r="F66" s="24">
        <v>1200</v>
      </c>
      <c r="G66" s="25">
        <f t="shared" si="0"/>
        <v>80649384.000000015</v>
      </c>
      <c r="H66" s="9" t="str">
        <f>+İcmal!L36</f>
        <v/>
      </c>
    </row>
    <row r="67" spans="1:8" x14ac:dyDescent="0.3">
      <c r="A67" s="20">
        <v>66</v>
      </c>
      <c r="B67" s="21" t="s">
        <v>146</v>
      </c>
      <c r="C67" s="20" t="s">
        <v>147</v>
      </c>
      <c r="D67" s="22" t="s">
        <v>37</v>
      </c>
      <c r="E67" s="26">
        <v>11190.19</v>
      </c>
      <c r="F67" s="24">
        <v>2160</v>
      </c>
      <c r="G67" s="25">
        <f t="shared" ref="G67:G130" si="1">+E67*F67</f>
        <v>24170810.400000002</v>
      </c>
      <c r="H67" s="9" t="str">
        <f>+İcmal!L37</f>
        <v/>
      </c>
    </row>
    <row r="68" spans="1:8" x14ac:dyDescent="0.3">
      <c r="A68" s="20">
        <v>67</v>
      </c>
      <c r="B68" s="20" t="s">
        <v>148</v>
      </c>
      <c r="C68" s="20" t="s">
        <v>149</v>
      </c>
      <c r="D68" s="22" t="s">
        <v>19</v>
      </c>
      <c r="E68" s="26">
        <v>24185.25</v>
      </c>
      <c r="F68" s="24">
        <v>4150</v>
      </c>
      <c r="G68" s="25">
        <f t="shared" si="1"/>
        <v>100368787.5</v>
      </c>
      <c r="H68" s="9" t="str">
        <f>+İcmal!L38</f>
        <v/>
      </c>
    </row>
    <row r="69" spans="1:8" x14ac:dyDescent="0.3">
      <c r="A69" s="20">
        <v>68</v>
      </c>
      <c r="B69" s="20" t="s">
        <v>150</v>
      </c>
      <c r="C69" s="20" t="s">
        <v>151</v>
      </c>
      <c r="D69" s="22" t="s">
        <v>19</v>
      </c>
      <c r="E69" s="26">
        <v>59207.42</v>
      </c>
      <c r="F69" s="24">
        <v>1500</v>
      </c>
      <c r="G69" s="25">
        <f t="shared" si="1"/>
        <v>88811130</v>
      </c>
      <c r="H69" s="9" t="str">
        <f>+İcmal!L39</f>
        <v/>
      </c>
    </row>
    <row r="70" spans="1:8" x14ac:dyDescent="0.3">
      <c r="A70" s="20">
        <v>69</v>
      </c>
      <c r="B70" s="20" t="s">
        <v>152</v>
      </c>
      <c r="C70" s="20" t="s">
        <v>153</v>
      </c>
      <c r="D70" s="22" t="s">
        <v>19</v>
      </c>
      <c r="E70" s="26">
        <v>36357.33</v>
      </c>
      <c r="F70" s="24">
        <v>500</v>
      </c>
      <c r="G70" s="25">
        <f t="shared" si="1"/>
        <v>18178665</v>
      </c>
      <c r="H70" s="9" t="str">
        <f>+İcmal!L40</f>
        <v/>
      </c>
    </row>
    <row r="71" spans="1:8" x14ac:dyDescent="0.3">
      <c r="A71" s="20">
        <v>70</v>
      </c>
      <c r="B71" s="20" t="s">
        <v>154</v>
      </c>
      <c r="C71" s="20" t="s">
        <v>155</v>
      </c>
      <c r="D71" s="22" t="s">
        <v>22</v>
      </c>
      <c r="E71" s="26">
        <v>3898.42</v>
      </c>
      <c r="F71" s="24">
        <v>6030</v>
      </c>
      <c r="G71" s="25">
        <f t="shared" si="1"/>
        <v>23507472.600000001</v>
      </c>
      <c r="H71" s="9" t="str">
        <f>+İcmal!L41</f>
        <v/>
      </c>
    </row>
    <row r="72" spans="1:8" x14ac:dyDescent="0.3">
      <c r="A72" s="20">
        <v>71</v>
      </c>
      <c r="B72" s="20" t="s">
        <v>156</v>
      </c>
      <c r="C72" s="20" t="s">
        <v>157</v>
      </c>
      <c r="D72" s="22" t="s">
        <v>22</v>
      </c>
      <c r="E72" s="26">
        <v>14995.14</v>
      </c>
      <c r="F72" s="24">
        <v>10355</v>
      </c>
      <c r="G72" s="25">
        <f t="shared" si="1"/>
        <v>155274674.69999999</v>
      </c>
      <c r="H72" s="9" t="str">
        <f>+İcmal!L42</f>
        <v/>
      </c>
    </row>
    <row r="73" spans="1:8" x14ac:dyDescent="0.3">
      <c r="A73" s="20">
        <v>72</v>
      </c>
      <c r="B73" s="20" t="s">
        <v>158</v>
      </c>
      <c r="C73" s="20" t="s">
        <v>159</v>
      </c>
      <c r="D73" s="22" t="s">
        <v>22</v>
      </c>
      <c r="E73" s="26">
        <v>29458.35</v>
      </c>
      <c r="F73" s="24">
        <v>10355</v>
      </c>
      <c r="G73" s="25">
        <f t="shared" si="1"/>
        <v>305041214.25</v>
      </c>
      <c r="H73" s="9" t="str">
        <f>+İcmal!L43</f>
        <v/>
      </c>
    </row>
    <row r="74" spans="1:8" x14ac:dyDescent="0.3">
      <c r="A74" s="20">
        <v>73</v>
      </c>
      <c r="B74" s="20" t="s">
        <v>160</v>
      </c>
      <c r="C74" s="20" t="s">
        <v>161</v>
      </c>
      <c r="D74" s="22" t="s">
        <v>22</v>
      </c>
      <c r="E74" s="26">
        <v>3917.38</v>
      </c>
      <c r="F74" s="24">
        <v>10355</v>
      </c>
      <c r="G74" s="25">
        <f t="shared" si="1"/>
        <v>40564469.899999999</v>
      </c>
      <c r="H74" s="9" t="str">
        <f>+İcmal!L44</f>
        <v/>
      </c>
    </row>
    <row r="75" spans="1:8" x14ac:dyDescent="0.3">
      <c r="A75" s="20">
        <v>74</v>
      </c>
      <c r="B75" s="20" t="s">
        <v>162</v>
      </c>
      <c r="C75" s="20" t="s">
        <v>163</v>
      </c>
      <c r="D75" s="22" t="s">
        <v>57</v>
      </c>
      <c r="E75" s="20">
        <v>62.29</v>
      </c>
      <c r="F75" s="24">
        <v>46250</v>
      </c>
      <c r="G75" s="25">
        <f t="shared" si="1"/>
        <v>2880912.5</v>
      </c>
      <c r="H75" s="9">
        <f>+İcmal!L45</f>
        <v>0.66</v>
      </c>
    </row>
    <row r="76" spans="1:8" x14ac:dyDescent="0.3">
      <c r="A76" s="20">
        <v>75</v>
      </c>
      <c r="B76" s="20" t="s">
        <v>164</v>
      </c>
      <c r="C76" s="20" t="s">
        <v>165</v>
      </c>
      <c r="D76" s="22" t="s">
        <v>57</v>
      </c>
      <c r="E76" s="26">
        <v>4367.51</v>
      </c>
      <c r="F76" s="24">
        <v>92500</v>
      </c>
      <c r="G76" s="25">
        <f t="shared" si="1"/>
        <v>403994675</v>
      </c>
      <c r="H76" s="9">
        <f>+İcmal!L46</f>
        <v>0</v>
      </c>
    </row>
    <row r="77" spans="1:8" x14ac:dyDescent="0.3">
      <c r="A77" s="20">
        <v>76</v>
      </c>
      <c r="B77" s="20" t="s">
        <v>166</v>
      </c>
      <c r="C77" s="20" t="s">
        <v>167</v>
      </c>
      <c r="D77" s="22" t="s">
        <v>57</v>
      </c>
      <c r="E77" s="26">
        <v>2581.33</v>
      </c>
      <c r="F77" s="24">
        <v>97333</v>
      </c>
      <c r="G77" s="25">
        <f t="shared" si="1"/>
        <v>251248592.88999999</v>
      </c>
      <c r="H77" s="9">
        <f>+İcmal!L47</f>
        <v>12.661</v>
      </c>
    </row>
    <row r="78" spans="1:8" x14ac:dyDescent="0.3">
      <c r="A78" s="20">
        <v>77</v>
      </c>
      <c r="B78" s="20" t="s">
        <v>168</v>
      </c>
      <c r="C78" s="20" t="s">
        <v>169</v>
      </c>
      <c r="D78" s="22" t="s">
        <v>170</v>
      </c>
      <c r="E78" s="23">
        <v>3500</v>
      </c>
      <c r="F78" s="24">
        <v>150</v>
      </c>
      <c r="G78" s="25">
        <f t="shared" si="1"/>
        <v>525000</v>
      </c>
      <c r="H78" s="9" t="str">
        <f>+İcmal!L48</f>
        <v/>
      </c>
    </row>
    <row r="79" spans="1:8" x14ac:dyDescent="0.3">
      <c r="A79" s="20">
        <v>78</v>
      </c>
      <c r="B79" s="20" t="s">
        <v>171</v>
      </c>
      <c r="C79" s="20" t="s">
        <v>172</v>
      </c>
      <c r="D79" s="22" t="s">
        <v>170</v>
      </c>
      <c r="E79" s="23">
        <v>4500</v>
      </c>
      <c r="F79" s="24">
        <v>180</v>
      </c>
      <c r="G79" s="25">
        <f t="shared" si="1"/>
        <v>810000</v>
      </c>
      <c r="H79" s="9" t="str">
        <f>+İcmal!L49</f>
        <v/>
      </c>
    </row>
    <row r="80" spans="1:8" hidden="1" x14ac:dyDescent="0.3">
      <c r="A80" s="20">
        <v>79</v>
      </c>
      <c r="B80" s="21" t="s">
        <v>173</v>
      </c>
      <c r="C80" s="20" t="s">
        <v>4</v>
      </c>
      <c r="D80" s="22" t="s">
        <v>37</v>
      </c>
      <c r="E80" s="26">
        <v>8960.4699999999993</v>
      </c>
      <c r="F80" s="24">
        <v>340200</v>
      </c>
      <c r="G80" s="25">
        <f t="shared" si="1"/>
        <v>3048351894</v>
      </c>
    </row>
    <row r="81" spans="1:7" hidden="1" x14ac:dyDescent="0.3">
      <c r="A81" s="20">
        <v>80</v>
      </c>
      <c r="B81" s="21" t="s">
        <v>174</v>
      </c>
      <c r="C81" s="20" t="s">
        <v>175</v>
      </c>
      <c r="D81" s="22" t="s">
        <v>37</v>
      </c>
      <c r="E81" s="23">
        <v>2750</v>
      </c>
      <c r="F81" s="24">
        <v>3750</v>
      </c>
      <c r="G81" s="25">
        <f t="shared" si="1"/>
        <v>10312500</v>
      </c>
    </row>
    <row r="82" spans="1:7" hidden="1" x14ac:dyDescent="0.3">
      <c r="A82" s="20">
        <v>81</v>
      </c>
      <c r="B82" s="21" t="s">
        <v>176</v>
      </c>
      <c r="C82" s="20" t="s">
        <v>177</v>
      </c>
      <c r="D82" s="22" t="s">
        <v>82</v>
      </c>
      <c r="E82" s="20">
        <v>1</v>
      </c>
      <c r="F82" s="24">
        <v>108000000</v>
      </c>
      <c r="G82" s="25">
        <f t="shared" si="1"/>
        <v>108000000</v>
      </c>
    </row>
    <row r="83" spans="1:7" hidden="1" x14ac:dyDescent="0.3">
      <c r="A83" s="20">
        <v>82</v>
      </c>
      <c r="B83" s="21" t="s">
        <v>178</v>
      </c>
      <c r="C83" s="20" t="s">
        <v>179</v>
      </c>
      <c r="D83" s="22" t="s">
        <v>82</v>
      </c>
      <c r="E83" s="20">
        <v>1</v>
      </c>
      <c r="F83" s="24">
        <v>42000000</v>
      </c>
      <c r="G83" s="25">
        <f t="shared" si="1"/>
        <v>42000000</v>
      </c>
    </row>
    <row r="84" spans="1:7" hidden="1" x14ac:dyDescent="0.3">
      <c r="A84" s="20">
        <v>83</v>
      </c>
      <c r="B84" s="21" t="s">
        <v>180</v>
      </c>
      <c r="C84" s="20" t="s">
        <v>181</v>
      </c>
      <c r="D84" s="22" t="s">
        <v>19</v>
      </c>
      <c r="E84" s="26">
        <v>3033.68</v>
      </c>
      <c r="F84" s="24">
        <v>1040</v>
      </c>
      <c r="G84" s="25">
        <f t="shared" si="1"/>
        <v>3155027.1999999997</v>
      </c>
    </row>
    <row r="85" spans="1:7" hidden="1" x14ac:dyDescent="0.3">
      <c r="A85" s="20">
        <v>84</v>
      </c>
      <c r="B85" s="21" t="s">
        <v>182</v>
      </c>
      <c r="C85" s="20" t="s">
        <v>183</v>
      </c>
      <c r="D85" s="22" t="s">
        <v>19</v>
      </c>
      <c r="E85" s="26">
        <v>23957.52</v>
      </c>
      <c r="F85" s="24">
        <v>988</v>
      </c>
      <c r="G85" s="25">
        <f t="shared" si="1"/>
        <v>23670029.760000002</v>
      </c>
    </row>
    <row r="86" spans="1:7" hidden="1" x14ac:dyDescent="0.3">
      <c r="A86" s="20">
        <v>85</v>
      </c>
      <c r="B86" s="21" t="s">
        <v>184</v>
      </c>
      <c r="C86" s="20" t="s">
        <v>185</v>
      </c>
      <c r="D86" s="22" t="s">
        <v>22</v>
      </c>
      <c r="E86" s="20">
        <v>958.3</v>
      </c>
      <c r="F86" s="24">
        <v>4072</v>
      </c>
      <c r="G86" s="25">
        <f t="shared" si="1"/>
        <v>3902197.5999999996</v>
      </c>
    </row>
    <row r="87" spans="1:7" hidden="1" x14ac:dyDescent="0.3">
      <c r="A87" s="20">
        <v>86</v>
      </c>
      <c r="B87" s="20" t="s">
        <v>186</v>
      </c>
      <c r="C87" s="20" t="s">
        <v>187</v>
      </c>
      <c r="D87" s="22" t="s">
        <v>19</v>
      </c>
      <c r="E87" s="26">
        <v>23920.44</v>
      </c>
      <c r="F87" s="24">
        <v>1849</v>
      </c>
      <c r="G87" s="25">
        <f t="shared" si="1"/>
        <v>44228893.559999995</v>
      </c>
    </row>
    <row r="88" spans="1:7" hidden="1" x14ac:dyDescent="0.3">
      <c r="A88" s="20">
        <v>87</v>
      </c>
      <c r="B88" s="20" t="s">
        <v>188</v>
      </c>
      <c r="C88" s="20" t="s">
        <v>189</v>
      </c>
      <c r="D88" s="22" t="s">
        <v>19</v>
      </c>
      <c r="E88" s="26">
        <v>3058.14</v>
      </c>
      <c r="F88" s="24">
        <v>1849</v>
      </c>
      <c r="G88" s="25">
        <f t="shared" si="1"/>
        <v>5654500.8599999994</v>
      </c>
    </row>
    <row r="89" spans="1:7" hidden="1" x14ac:dyDescent="0.3">
      <c r="A89" s="20">
        <v>88</v>
      </c>
      <c r="B89" s="20" t="s">
        <v>190</v>
      </c>
      <c r="C89" s="20" t="s">
        <v>191</v>
      </c>
      <c r="D89" s="22" t="s">
        <v>19</v>
      </c>
      <c r="E89" s="26">
        <v>3419.9</v>
      </c>
      <c r="F89" s="24">
        <v>1849</v>
      </c>
      <c r="G89" s="25">
        <f t="shared" si="1"/>
        <v>6323395.1000000006</v>
      </c>
    </row>
    <row r="90" spans="1:7" hidden="1" x14ac:dyDescent="0.3">
      <c r="A90" s="20">
        <v>89</v>
      </c>
      <c r="B90" s="20" t="s">
        <v>192</v>
      </c>
      <c r="C90" s="20" t="s">
        <v>193</v>
      </c>
      <c r="D90" s="22" t="s">
        <v>19</v>
      </c>
      <c r="E90" s="20">
        <v>880.44</v>
      </c>
      <c r="F90" s="24">
        <v>3999</v>
      </c>
      <c r="G90" s="25">
        <f t="shared" si="1"/>
        <v>3520879.56</v>
      </c>
    </row>
    <row r="91" spans="1:7" hidden="1" x14ac:dyDescent="0.3">
      <c r="A91" s="20">
        <v>90</v>
      </c>
      <c r="B91" s="20" t="s">
        <v>194</v>
      </c>
      <c r="C91" s="20" t="s">
        <v>195</v>
      </c>
      <c r="D91" s="22" t="s">
        <v>19</v>
      </c>
      <c r="E91" s="26">
        <v>1076.47</v>
      </c>
      <c r="F91" s="24">
        <v>3999</v>
      </c>
      <c r="G91" s="25">
        <f t="shared" si="1"/>
        <v>4304803.53</v>
      </c>
    </row>
    <row r="92" spans="1:7" hidden="1" x14ac:dyDescent="0.3">
      <c r="A92" s="20">
        <v>91</v>
      </c>
      <c r="B92" s="20" t="s">
        <v>196</v>
      </c>
      <c r="C92" s="20" t="s">
        <v>197</v>
      </c>
      <c r="D92" s="22" t="s">
        <v>19</v>
      </c>
      <c r="E92" s="20">
        <v>291.58</v>
      </c>
      <c r="F92" s="24">
        <v>3999</v>
      </c>
      <c r="G92" s="25">
        <f t="shared" si="1"/>
        <v>1166028.42</v>
      </c>
    </row>
    <row r="93" spans="1:7" hidden="1" x14ac:dyDescent="0.3">
      <c r="A93" s="20">
        <v>92</v>
      </c>
      <c r="B93" s="20" t="s">
        <v>198</v>
      </c>
      <c r="C93" s="20" t="s">
        <v>199</v>
      </c>
      <c r="D93" s="22" t="s">
        <v>19</v>
      </c>
      <c r="E93" s="20">
        <v>619.36</v>
      </c>
      <c r="F93" s="24">
        <v>3999</v>
      </c>
      <c r="G93" s="25">
        <f t="shared" si="1"/>
        <v>2476820.64</v>
      </c>
    </row>
    <row r="94" spans="1:7" hidden="1" x14ac:dyDescent="0.3">
      <c r="A94" s="20">
        <v>93</v>
      </c>
      <c r="B94" s="20" t="s">
        <v>200</v>
      </c>
      <c r="C94" s="20" t="s">
        <v>201</v>
      </c>
      <c r="D94" s="22" t="s">
        <v>19</v>
      </c>
      <c r="E94" s="20">
        <v>493.2</v>
      </c>
      <c r="F94" s="24">
        <v>3924</v>
      </c>
      <c r="G94" s="25">
        <f t="shared" si="1"/>
        <v>1935316.8</v>
      </c>
    </row>
    <row r="95" spans="1:7" hidden="1" x14ac:dyDescent="0.3">
      <c r="A95" s="20">
        <v>94</v>
      </c>
      <c r="B95" s="20" t="s">
        <v>202</v>
      </c>
      <c r="C95" s="20" t="s">
        <v>203</v>
      </c>
      <c r="D95" s="22" t="s">
        <v>19</v>
      </c>
      <c r="E95" s="20">
        <v>493.2</v>
      </c>
      <c r="F95" s="24">
        <v>4295</v>
      </c>
      <c r="G95" s="25">
        <f t="shared" si="1"/>
        <v>2118294</v>
      </c>
    </row>
    <row r="96" spans="1:7" hidden="1" x14ac:dyDescent="0.3">
      <c r="A96" s="20">
        <v>95</v>
      </c>
      <c r="B96" s="20" t="s">
        <v>204</v>
      </c>
      <c r="C96" s="20" t="s">
        <v>205</v>
      </c>
      <c r="D96" s="22" t="s">
        <v>19</v>
      </c>
      <c r="E96" s="20">
        <v>493.2</v>
      </c>
      <c r="F96" s="24">
        <v>4295</v>
      </c>
      <c r="G96" s="25">
        <f t="shared" si="1"/>
        <v>2118294</v>
      </c>
    </row>
    <row r="97" spans="1:7" hidden="1" x14ac:dyDescent="0.3">
      <c r="A97" s="20">
        <v>96</v>
      </c>
      <c r="B97" s="20" t="s">
        <v>206</v>
      </c>
      <c r="C97" s="20" t="s">
        <v>207</v>
      </c>
      <c r="D97" s="22" t="s">
        <v>19</v>
      </c>
      <c r="E97" s="26">
        <v>1892.35</v>
      </c>
      <c r="F97" s="24">
        <v>3924</v>
      </c>
      <c r="G97" s="25">
        <f t="shared" si="1"/>
        <v>7425581.3999999994</v>
      </c>
    </row>
    <row r="98" spans="1:7" hidden="1" x14ac:dyDescent="0.3">
      <c r="A98" s="20">
        <v>97</v>
      </c>
      <c r="B98" s="20" t="s">
        <v>208</v>
      </c>
      <c r="C98" s="20" t="s">
        <v>209</v>
      </c>
      <c r="D98" s="22" t="s">
        <v>19</v>
      </c>
      <c r="E98" s="26">
        <v>1892.35</v>
      </c>
      <c r="F98" s="24">
        <v>4295</v>
      </c>
      <c r="G98" s="25">
        <f t="shared" si="1"/>
        <v>8127643.25</v>
      </c>
    </row>
    <row r="99" spans="1:7" hidden="1" x14ac:dyDescent="0.3">
      <c r="A99" s="20">
        <v>98</v>
      </c>
      <c r="B99" s="20" t="s">
        <v>210</v>
      </c>
      <c r="C99" s="20" t="s">
        <v>211</v>
      </c>
      <c r="D99" s="22" t="s">
        <v>19</v>
      </c>
      <c r="E99" s="26">
        <v>1892.35</v>
      </c>
      <c r="F99" s="24">
        <v>4295</v>
      </c>
      <c r="G99" s="25">
        <f t="shared" si="1"/>
        <v>8127643.25</v>
      </c>
    </row>
    <row r="100" spans="1:7" hidden="1" x14ac:dyDescent="0.3">
      <c r="A100" s="20">
        <v>99</v>
      </c>
      <c r="B100" s="21" t="s">
        <v>212</v>
      </c>
      <c r="C100" s="20" t="s">
        <v>213</v>
      </c>
      <c r="D100" s="22" t="s">
        <v>19</v>
      </c>
      <c r="E100" s="20">
        <v>528.38</v>
      </c>
      <c r="F100" s="24">
        <v>3952</v>
      </c>
      <c r="G100" s="25">
        <f t="shared" si="1"/>
        <v>2088157.76</v>
      </c>
    </row>
    <row r="101" spans="1:7" hidden="1" x14ac:dyDescent="0.3">
      <c r="A101" s="20">
        <v>100</v>
      </c>
      <c r="B101" s="21" t="s">
        <v>214</v>
      </c>
      <c r="C101" s="20" t="s">
        <v>215</v>
      </c>
      <c r="D101" s="22" t="s">
        <v>19</v>
      </c>
      <c r="E101" s="26">
        <v>2117.79</v>
      </c>
      <c r="F101" s="24">
        <v>5743</v>
      </c>
      <c r="G101" s="25">
        <f t="shared" si="1"/>
        <v>12162467.970000001</v>
      </c>
    </row>
    <row r="102" spans="1:7" hidden="1" x14ac:dyDescent="0.3">
      <c r="A102" s="20">
        <v>101</v>
      </c>
      <c r="B102" s="21" t="s">
        <v>216</v>
      </c>
      <c r="C102" s="20" t="s">
        <v>217</v>
      </c>
      <c r="D102" s="22" t="s">
        <v>19</v>
      </c>
      <c r="E102" s="26">
        <v>14111.21</v>
      </c>
      <c r="F102" s="24">
        <v>910</v>
      </c>
      <c r="G102" s="25">
        <f t="shared" si="1"/>
        <v>12841201.1</v>
      </c>
    </row>
    <row r="103" spans="1:7" hidden="1" x14ac:dyDescent="0.3">
      <c r="A103" s="20">
        <v>102</v>
      </c>
      <c r="B103" s="21" t="s">
        <v>218</v>
      </c>
      <c r="C103" s="20" t="s">
        <v>219</v>
      </c>
      <c r="D103" s="22" t="s">
        <v>37</v>
      </c>
      <c r="E103" s="20">
        <v>250</v>
      </c>
      <c r="F103" s="24">
        <v>1625</v>
      </c>
      <c r="G103" s="25">
        <f t="shared" si="1"/>
        <v>406250</v>
      </c>
    </row>
    <row r="104" spans="1:7" hidden="1" x14ac:dyDescent="0.3">
      <c r="A104" s="20">
        <v>103</v>
      </c>
      <c r="B104" s="21" t="s">
        <v>220</v>
      </c>
      <c r="C104" s="20" t="s">
        <v>221</v>
      </c>
      <c r="D104" s="22" t="s">
        <v>19</v>
      </c>
      <c r="E104" s="20">
        <v>482.96</v>
      </c>
      <c r="F104" s="24">
        <v>1121</v>
      </c>
      <c r="G104" s="25">
        <f t="shared" si="1"/>
        <v>541398.16</v>
      </c>
    </row>
    <row r="105" spans="1:7" hidden="1" x14ac:dyDescent="0.3">
      <c r="A105" s="20">
        <v>104</v>
      </c>
      <c r="B105" s="21" t="s">
        <v>222</v>
      </c>
      <c r="C105" s="20" t="s">
        <v>223</v>
      </c>
      <c r="D105" s="22" t="s">
        <v>37</v>
      </c>
      <c r="E105" s="26">
        <v>3805.85</v>
      </c>
      <c r="F105" s="24">
        <v>2600</v>
      </c>
      <c r="G105" s="25">
        <f t="shared" si="1"/>
        <v>9895210</v>
      </c>
    </row>
    <row r="106" spans="1:7" hidden="1" x14ac:dyDescent="0.3">
      <c r="A106" s="20">
        <v>105</v>
      </c>
      <c r="B106" s="20" t="s">
        <v>224</v>
      </c>
      <c r="C106" s="20" t="s">
        <v>225</v>
      </c>
      <c r="D106" s="22" t="s">
        <v>37</v>
      </c>
      <c r="E106" s="26">
        <v>1252.8800000000001</v>
      </c>
      <c r="F106" s="24">
        <v>2275</v>
      </c>
      <c r="G106" s="25">
        <f t="shared" si="1"/>
        <v>2850302.0000000005</v>
      </c>
    </row>
    <row r="107" spans="1:7" hidden="1" x14ac:dyDescent="0.3">
      <c r="A107" s="20">
        <v>106</v>
      </c>
      <c r="B107" s="20" t="s">
        <v>226</v>
      </c>
      <c r="C107" s="20" t="s">
        <v>227</v>
      </c>
      <c r="D107" s="22" t="s">
        <v>37</v>
      </c>
      <c r="E107" s="20">
        <v>605.75</v>
      </c>
      <c r="F107" s="24">
        <v>2275</v>
      </c>
      <c r="G107" s="25">
        <f t="shared" si="1"/>
        <v>1378081.25</v>
      </c>
    </row>
    <row r="108" spans="1:7" hidden="1" x14ac:dyDescent="0.3">
      <c r="A108" s="20">
        <v>107</v>
      </c>
      <c r="B108" s="20" t="s">
        <v>228</v>
      </c>
      <c r="C108" s="20" t="s">
        <v>229</v>
      </c>
      <c r="D108" s="22" t="s">
        <v>37</v>
      </c>
      <c r="E108" s="20">
        <v>605.75</v>
      </c>
      <c r="F108" s="24">
        <v>2925</v>
      </c>
      <c r="G108" s="25">
        <f t="shared" si="1"/>
        <v>1771818.75</v>
      </c>
    </row>
    <row r="109" spans="1:7" hidden="1" x14ac:dyDescent="0.3">
      <c r="A109" s="20">
        <v>108</v>
      </c>
      <c r="B109" s="20" t="s">
        <v>230</v>
      </c>
      <c r="C109" s="20" t="s">
        <v>231</v>
      </c>
      <c r="D109" s="22" t="s">
        <v>19</v>
      </c>
      <c r="E109" s="20">
        <v>560.04</v>
      </c>
      <c r="F109" s="24">
        <v>1560</v>
      </c>
      <c r="G109" s="25">
        <f t="shared" si="1"/>
        <v>873662.39999999991</v>
      </c>
    </row>
    <row r="110" spans="1:7" hidden="1" x14ac:dyDescent="0.3">
      <c r="A110" s="20">
        <v>109</v>
      </c>
      <c r="B110" s="20" t="s">
        <v>232</v>
      </c>
      <c r="C110" s="20" t="s">
        <v>233</v>
      </c>
      <c r="D110" s="22" t="s">
        <v>19</v>
      </c>
      <c r="E110" s="26">
        <v>20987.8</v>
      </c>
      <c r="F110" s="24">
        <v>2600</v>
      </c>
      <c r="G110" s="25">
        <f t="shared" si="1"/>
        <v>54568280</v>
      </c>
    </row>
    <row r="111" spans="1:7" hidden="1" x14ac:dyDescent="0.3">
      <c r="A111" s="20">
        <v>110</v>
      </c>
      <c r="B111" s="21" t="s">
        <v>234</v>
      </c>
      <c r="C111" s="20" t="s">
        <v>235</v>
      </c>
      <c r="D111" s="22" t="s">
        <v>19</v>
      </c>
      <c r="E111" s="26">
        <v>17353.38</v>
      </c>
      <c r="F111" s="24">
        <v>1300</v>
      </c>
      <c r="G111" s="25">
        <f t="shared" si="1"/>
        <v>22559394</v>
      </c>
    </row>
    <row r="112" spans="1:7" hidden="1" x14ac:dyDescent="0.3">
      <c r="A112" s="20">
        <v>111</v>
      </c>
      <c r="B112" s="20" t="s">
        <v>236</v>
      </c>
      <c r="C112" s="20" t="s">
        <v>237</v>
      </c>
      <c r="D112" s="22" t="s">
        <v>37</v>
      </c>
      <c r="E112" s="26">
        <v>4497.83</v>
      </c>
      <c r="F112" s="24">
        <v>1235</v>
      </c>
      <c r="G112" s="25">
        <f t="shared" si="1"/>
        <v>5554820.0499999998</v>
      </c>
    </row>
    <row r="113" spans="1:7" hidden="1" x14ac:dyDescent="0.3">
      <c r="A113" s="20">
        <v>112</v>
      </c>
      <c r="B113" s="20" t="s">
        <v>238</v>
      </c>
      <c r="C113" s="20" t="s">
        <v>239</v>
      </c>
      <c r="D113" s="22" t="s">
        <v>37</v>
      </c>
      <c r="E113" s="26">
        <v>2909.43</v>
      </c>
      <c r="F113" s="24">
        <v>1235</v>
      </c>
      <c r="G113" s="25">
        <f t="shared" si="1"/>
        <v>3593146.05</v>
      </c>
    </row>
    <row r="114" spans="1:7" hidden="1" x14ac:dyDescent="0.3">
      <c r="A114" s="20">
        <v>113</v>
      </c>
      <c r="B114" s="21" t="s">
        <v>240</v>
      </c>
      <c r="C114" s="20" t="s">
        <v>241</v>
      </c>
      <c r="D114" s="22" t="s">
        <v>19</v>
      </c>
      <c r="E114" s="26">
        <v>1158.7</v>
      </c>
      <c r="F114" s="24">
        <v>4680</v>
      </c>
      <c r="G114" s="25">
        <f t="shared" si="1"/>
        <v>5422716</v>
      </c>
    </row>
    <row r="115" spans="1:7" hidden="1" x14ac:dyDescent="0.3">
      <c r="A115" s="20">
        <v>114</v>
      </c>
      <c r="B115" s="20" t="s">
        <v>242</v>
      </c>
      <c r="C115" s="20" t="s">
        <v>243</v>
      </c>
      <c r="D115" s="22" t="s">
        <v>19</v>
      </c>
      <c r="E115" s="26">
        <v>13116.45</v>
      </c>
      <c r="F115" s="24">
        <v>6175</v>
      </c>
      <c r="G115" s="25">
        <f t="shared" si="1"/>
        <v>80994078.75</v>
      </c>
    </row>
    <row r="116" spans="1:7" hidden="1" x14ac:dyDescent="0.3">
      <c r="A116" s="20">
        <v>115</v>
      </c>
      <c r="B116" s="20" t="s">
        <v>244</v>
      </c>
      <c r="C116" s="20" t="s">
        <v>245</v>
      </c>
      <c r="D116" s="22" t="s">
        <v>19</v>
      </c>
      <c r="E116" s="26">
        <v>2140.9299999999998</v>
      </c>
      <c r="F116" s="24">
        <v>6175</v>
      </c>
      <c r="G116" s="25">
        <f t="shared" si="1"/>
        <v>13220242.749999998</v>
      </c>
    </row>
    <row r="117" spans="1:7" hidden="1" x14ac:dyDescent="0.3">
      <c r="A117" s="20">
        <v>116</v>
      </c>
      <c r="B117" s="20" t="s">
        <v>246</v>
      </c>
      <c r="C117" s="20" t="s">
        <v>247</v>
      </c>
      <c r="D117" s="22" t="s">
        <v>19</v>
      </c>
      <c r="E117" s="26">
        <v>2465.06</v>
      </c>
      <c r="F117" s="24">
        <v>6175</v>
      </c>
      <c r="G117" s="25">
        <f t="shared" si="1"/>
        <v>15221745.5</v>
      </c>
    </row>
    <row r="118" spans="1:7" hidden="1" x14ac:dyDescent="0.3">
      <c r="A118" s="20">
        <v>117</v>
      </c>
      <c r="B118" s="20" t="s">
        <v>248</v>
      </c>
      <c r="C118" s="20" t="s">
        <v>249</v>
      </c>
      <c r="D118" s="22" t="s">
        <v>19</v>
      </c>
      <c r="E118" s="20">
        <v>609.66</v>
      </c>
      <c r="F118" s="24">
        <v>3900</v>
      </c>
      <c r="G118" s="25">
        <f t="shared" si="1"/>
        <v>2377674</v>
      </c>
    </row>
    <row r="119" spans="1:7" hidden="1" x14ac:dyDescent="0.3">
      <c r="A119" s="20">
        <v>118</v>
      </c>
      <c r="B119" s="20" t="s">
        <v>250</v>
      </c>
      <c r="C119" s="20" t="s">
        <v>251</v>
      </c>
      <c r="D119" s="22" t="s">
        <v>19</v>
      </c>
      <c r="E119" s="20">
        <v>547.5</v>
      </c>
      <c r="F119" s="24">
        <v>8775</v>
      </c>
      <c r="G119" s="25">
        <f t="shared" si="1"/>
        <v>4804312.5</v>
      </c>
    </row>
    <row r="120" spans="1:7" hidden="1" x14ac:dyDescent="0.3">
      <c r="A120" s="20">
        <v>119</v>
      </c>
      <c r="B120" s="20" t="s">
        <v>252</v>
      </c>
      <c r="C120" s="20" t="s">
        <v>253</v>
      </c>
      <c r="D120" s="22" t="s">
        <v>19</v>
      </c>
      <c r="E120" s="20">
        <v>547.5</v>
      </c>
      <c r="F120" s="24">
        <v>8775</v>
      </c>
      <c r="G120" s="25">
        <f t="shared" si="1"/>
        <v>4804312.5</v>
      </c>
    </row>
    <row r="121" spans="1:7" hidden="1" x14ac:dyDescent="0.3">
      <c r="A121" s="20">
        <v>120</v>
      </c>
      <c r="B121" s="20" t="s">
        <v>254</v>
      </c>
      <c r="C121" s="20" t="s">
        <v>255</v>
      </c>
      <c r="D121" s="22" t="s">
        <v>19</v>
      </c>
      <c r="E121" s="26">
        <v>2991.9</v>
      </c>
      <c r="F121" s="24">
        <v>8775</v>
      </c>
      <c r="G121" s="25">
        <f t="shared" si="1"/>
        <v>26253922.5</v>
      </c>
    </row>
    <row r="122" spans="1:7" hidden="1" x14ac:dyDescent="0.3">
      <c r="A122" s="20">
        <v>121</v>
      </c>
      <c r="B122" s="20" t="s">
        <v>256</v>
      </c>
      <c r="C122" s="20" t="s">
        <v>257</v>
      </c>
      <c r="D122" s="22" t="s">
        <v>19</v>
      </c>
      <c r="E122" s="20">
        <v>800</v>
      </c>
      <c r="F122" s="24">
        <v>4185</v>
      </c>
      <c r="G122" s="25">
        <f t="shared" si="1"/>
        <v>3348000</v>
      </c>
    </row>
    <row r="123" spans="1:7" hidden="1" x14ac:dyDescent="0.3">
      <c r="A123" s="20">
        <v>122</v>
      </c>
      <c r="B123" s="20" t="s">
        <v>258</v>
      </c>
      <c r="C123" s="20" t="s">
        <v>259</v>
      </c>
      <c r="D123" s="22" t="s">
        <v>19</v>
      </c>
      <c r="E123" s="20">
        <v>800</v>
      </c>
      <c r="F123" s="24">
        <v>4425</v>
      </c>
      <c r="G123" s="25">
        <f t="shared" si="1"/>
        <v>3540000</v>
      </c>
    </row>
    <row r="124" spans="1:7" hidden="1" x14ac:dyDescent="0.3">
      <c r="A124" s="20">
        <v>123</v>
      </c>
      <c r="B124" s="20" t="s">
        <v>260</v>
      </c>
      <c r="C124" s="20" t="s">
        <v>261</v>
      </c>
      <c r="D124" s="22" t="s">
        <v>19</v>
      </c>
      <c r="E124" s="20">
        <v>800</v>
      </c>
      <c r="F124" s="24">
        <v>4425</v>
      </c>
      <c r="G124" s="25">
        <f t="shared" si="1"/>
        <v>3540000</v>
      </c>
    </row>
    <row r="125" spans="1:7" hidden="1" x14ac:dyDescent="0.3">
      <c r="A125" s="20">
        <v>124</v>
      </c>
      <c r="B125" s="20" t="s">
        <v>262</v>
      </c>
      <c r="C125" s="20" t="s">
        <v>263</v>
      </c>
      <c r="D125" s="22" t="s">
        <v>19</v>
      </c>
      <c r="E125" s="23">
        <v>2640</v>
      </c>
      <c r="F125" s="24">
        <v>8215</v>
      </c>
      <c r="G125" s="25">
        <f t="shared" si="1"/>
        <v>21687600</v>
      </c>
    </row>
    <row r="126" spans="1:7" hidden="1" x14ac:dyDescent="0.3">
      <c r="A126" s="20">
        <v>125</v>
      </c>
      <c r="B126" s="20" t="s">
        <v>264</v>
      </c>
      <c r="C126" s="20" t="s">
        <v>265</v>
      </c>
      <c r="D126" s="22" t="s">
        <v>19</v>
      </c>
      <c r="E126" s="23">
        <v>2640</v>
      </c>
      <c r="F126" s="24">
        <v>8599</v>
      </c>
      <c r="G126" s="25">
        <f t="shared" si="1"/>
        <v>22701360</v>
      </c>
    </row>
    <row r="127" spans="1:7" hidden="1" x14ac:dyDescent="0.3">
      <c r="A127" s="20">
        <v>126</v>
      </c>
      <c r="B127" s="20" t="s">
        <v>266</v>
      </c>
      <c r="C127" s="20" t="s">
        <v>267</v>
      </c>
      <c r="D127" s="22" t="s">
        <v>19</v>
      </c>
      <c r="E127" s="23">
        <v>2640</v>
      </c>
      <c r="F127" s="24">
        <v>8599</v>
      </c>
      <c r="G127" s="25">
        <f t="shared" si="1"/>
        <v>22701360</v>
      </c>
    </row>
    <row r="128" spans="1:7" hidden="1" x14ac:dyDescent="0.3">
      <c r="A128" s="20">
        <v>127</v>
      </c>
      <c r="B128" s="21" t="s">
        <v>268</v>
      </c>
      <c r="C128" s="20" t="s">
        <v>269</v>
      </c>
      <c r="D128" s="22" t="s">
        <v>19</v>
      </c>
      <c r="E128" s="20">
        <v>607.15</v>
      </c>
      <c r="F128" s="24">
        <v>2311</v>
      </c>
      <c r="G128" s="25">
        <f t="shared" si="1"/>
        <v>1403123.65</v>
      </c>
    </row>
    <row r="129" spans="1:7" hidden="1" x14ac:dyDescent="0.3">
      <c r="A129" s="20">
        <v>128</v>
      </c>
      <c r="B129" s="21" t="s">
        <v>270</v>
      </c>
      <c r="C129" s="20" t="s">
        <v>271</v>
      </c>
      <c r="D129" s="22" t="s">
        <v>19</v>
      </c>
      <c r="E129" s="20">
        <v>240.25</v>
      </c>
      <c r="F129" s="24">
        <v>2311</v>
      </c>
      <c r="G129" s="25">
        <f t="shared" si="1"/>
        <v>555217.75</v>
      </c>
    </row>
    <row r="130" spans="1:7" hidden="1" x14ac:dyDescent="0.3">
      <c r="A130" s="20">
        <v>129</v>
      </c>
      <c r="B130" s="20" t="s">
        <v>272</v>
      </c>
      <c r="C130" s="20" t="s">
        <v>273</v>
      </c>
      <c r="D130" s="22" t="s">
        <v>19</v>
      </c>
      <c r="E130" s="20">
        <v>476</v>
      </c>
      <c r="F130" s="24">
        <v>3120</v>
      </c>
      <c r="G130" s="25">
        <f t="shared" si="1"/>
        <v>1485120</v>
      </c>
    </row>
    <row r="131" spans="1:7" hidden="1" x14ac:dyDescent="0.3">
      <c r="A131" s="20">
        <v>130</v>
      </c>
      <c r="B131" s="20" t="s">
        <v>274</v>
      </c>
      <c r="C131" s="20" t="s">
        <v>275</v>
      </c>
      <c r="D131" s="22" t="s">
        <v>19</v>
      </c>
      <c r="E131" s="20">
        <v>26.5</v>
      </c>
      <c r="F131" s="24">
        <v>3640</v>
      </c>
      <c r="G131" s="25">
        <f t="shared" ref="G131:G194" si="2">+E131*F131</f>
        <v>96460</v>
      </c>
    </row>
    <row r="132" spans="1:7" hidden="1" x14ac:dyDescent="0.3">
      <c r="A132" s="20">
        <v>131</v>
      </c>
      <c r="B132" s="20" t="s">
        <v>276</v>
      </c>
      <c r="C132" s="20" t="s">
        <v>277</v>
      </c>
      <c r="D132" s="22" t="s">
        <v>19</v>
      </c>
      <c r="E132" s="20">
        <v>173.36</v>
      </c>
      <c r="F132" s="24">
        <v>2746</v>
      </c>
      <c r="G132" s="25">
        <f t="shared" si="2"/>
        <v>476046.56000000006</v>
      </c>
    </row>
    <row r="133" spans="1:7" hidden="1" x14ac:dyDescent="0.3">
      <c r="A133" s="20">
        <v>132</v>
      </c>
      <c r="B133" s="20" t="s">
        <v>278</v>
      </c>
      <c r="C133" s="20" t="s">
        <v>279</v>
      </c>
      <c r="D133" s="22" t="s">
        <v>19</v>
      </c>
      <c r="E133" s="26">
        <v>28308.66</v>
      </c>
      <c r="F133" s="24">
        <v>3081</v>
      </c>
      <c r="G133" s="25">
        <f t="shared" si="2"/>
        <v>87218981.459999993</v>
      </c>
    </row>
    <row r="134" spans="1:7" hidden="1" x14ac:dyDescent="0.3">
      <c r="A134" s="20">
        <v>133</v>
      </c>
      <c r="B134" s="21" t="s">
        <v>280</v>
      </c>
      <c r="C134" s="20" t="s">
        <v>281</v>
      </c>
      <c r="D134" s="22" t="s">
        <v>19</v>
      </c>
      <c r="E134" s="26">
        <v>87933.56</v>
      </c>
      <c r="F134" s="24">
        <v>936</v>
      </c>
      <c r="G134" s="25">
        <f t="shared" si="2"/>
        <v>82305812.159999996</v>
      </c>
    </row>
    <row r="135" spans="1:7" hidden="1" x14ac:dyDescent="0.3">
      <c r="A135" s="20">
        <v>134</v>
      </c>
      <c r="B135" s="21" t="s">
        <v>282</v>
      </c>
      <c r="C135" s="20" t="s">
        <v>283</v>
      </c>
      <c r="D135" s="22" t="s">
        <v>19</v>
      </c>
      <c r="E135" s="20">
        <v>400</v>
      </c>
      <c r="F135" s="24">
        <v>1014</v>
      </c>
      <c r="G135" s="25">
        <f t="shared" si="2"/>
        <v>405600</v>
      </c>
    </row>
    <row r="136" spans="1:7" hidden="1" x14ac:dyDescent="0.3">
      <c r="A136" s="20">
        <v>135</v>
      </c>
      <c r="B136" s="21" t="s">
        <v>284</v>
      </c>
      <c r="C136" s="20" t="s">
        <v>285</v>
      </c>
      <c r="D136" s="22" t="s">
        <v>19</v>
      </c>
      <c r="E136" s="26">
        <v>94845.71</v>
      </c>
      <c r="F136" s="24">
        <v>286</v>
      </c>
      <c r="G136" s="25">
        <f t="shared" si="2"/>
        <v>27125873.060000002</v>
      </c>
    </row>
    <row r="137" spans="1:7" hidden="1" x14ac:dyDescent="0.3">
      <c r="A137" s="20">
        <v>136</v>
      </c>
      <c r="B137" s="21" t="s">
        <v>286</v>
      </c>
      <c r="C137" s="20" t="s">
        <v>287</v>
      </c>
      <c r="D137" s="22" t="s">
        <v>19</v>
      </c>
      <c r="E137" s="26">
        <v>2234.29</v>
      </c>
      <c r="F137" s="24">
        <v>11050</v>
      </c>
      <c r="G137" s="25">
        <f t="shared" si="2"/>
        <v>24688904.5</v>
      </c>
    </row>
    <row r="138" spans="1:7" hidden="1" x14ac:dyDescent="0.3">
      <c r="A138" s="20">
        <v>137</v>
      </c>
      <c r="B138" s="21" t="s">
        <v>288</v>
      </c>
      <c r="C138" s="20" t="s">
        <v>289</v>
      </c>
      <c r="D138" s="22" t="s">
        <v>37</v>
      </c>
      <c r="E138" s="26">
        <v>7567.18</v>
      </c>
      <c r="F138" s="24">
        <v>9750</v>
      </c>
      <c r="G138" s="25">
        <f t="shared" si="2"/>
        <v>73780005</v>
      </c>
    </row>
    <row r="139" spans="1:7" hidden="1" x14ac:dyDescent="0.3">
      <c r="A139" s="20">
        <v>138</v>
      </c>
      <c r="B139" s="21" t="s">
        <v>290</v>
      </c>
      <c r="C139" s="20" t="s">
        <v>291</v>
      </c>
      <c r="D139" s="22" t="s">
        <v>37</v>
      </c>
      <c r="E139" s="26">
        <v>1532.04</v>
      </c>
      <c r="F139" s="24">
        <v>10400</v>
      </c>
      <c r="G139" s="25">
        <f t="shared" si="2"/>
        <v>15933216</v>
      </c>
    </row>
    <row r="140" spans="1:7" hidden="1" x14ac:dyDescent="0.3">
      <c r="A140" s="20">
        <v>139</v>
      </c>
      <c r="B140" s="21" t="s">
        <v>292</v>
      </c>
      <c r="C140" s="20" t="s">
        <v>293</v>
      </c>
      <c r="D140" s="22" t="s">
        <v>37</v>
      </c>
      <c r="E140" s="26">
        <v>9871.18</v>
      </c>
      <c r="F140" s="24">
        <v>7150</v>
      </c>
      <c r="G140" s="25">
        <f t="shared" si="2"/>
        <v>70578937</v>
      </c>
    </row>
    <row r="141" spans="1:7" hidden="1" x14ac:dyDescent="0.3">
      <c r="A141" s="20">
        <v>140</v>
      </c>
      <c r="B141" s="21" t="s">
        <v>294</v>
      </c>
      <c r="C141" s="20" t="s">
        <v>295</v>
      </c>
      <c r="D141" s="22" t="s">
        <v>19</v>
      </c>
      <c r="E141" s="20">
        <v>120</v>
      </c>
      <c r="F141" s="24">
        <v>17550</v>
      </c>
      <c r="G141" s="25">
        <f t="shared" si="2"/>
        <v>2106000</v>
      </c>
    </row>
    <row r="142" spans="1:7" hidden="1" x14ac:dyDescent="0.3">
      <c r="A142" s="20">
        <v>141</v>
      </c>
      <c r="B142" s="21" t="s">
        <v>296</v>
      </c>
      <c r="C142" s="20" t="s">
        <v>297</v>
      </c>
      <c r="D142" s="22" t="s">
        <v>37</v>
      </c>
      <c r="E142" s="20">
        <v>463.6</v>
      </c>
      <c r="F142" s="24">
        <v>7800</v>
      </c>
      <c r="G142" s="25">
        <f t="shared" si="2"/>
        <v>3616080</v>
      </c>
    </row>
    <row r="143" spans="1:7" hidden="1" x14ac:dyDescent="0.3">
      <c r="A143" s="20">
        <v>142</v>
      </c>
      <c r="B143" s="21" t="s">
        <v>298</v>
      </c>
      <c r="C143" s="20" t="s">
        <v>299</v>
      </c>
      <c r="D143" s="22" t="s">
        <v>42</v>
      </c>
      <c r="E143" s="20">
        <v>262</v>
      </c>
      <c r="F143" s="24">
        <v>13000</v>
      </c>
      <c r="G143" s="25">
        <f t="shared" si="2"/>
        <v>3406000</v>
      </c>
    </row>
    <row r="144" spans="1:7" hidden="1" x14ac:dyDescent="0.3">
      <c r="A144" s="20">
        <v>143</v>
      </c>
      <c r="B144" s="20" t="s">
        <v>300</v>
      </c>
      <c r="C144" s="20" t="s">
        <v>301</v>
      </c>
      <c r="D144" s="22" t="s">
        <v>42</v>
      </c>
      <c r="E144" s="20">
        <v>191</v>
      </c>
      <c r="F144" s="24">
        <v>5525</v>
      </c>
      <c r="G144" s="25">
        <f t="shared" si="2"/>
        <v>1055275</v>
      </c>
    </row>
    <row r="145" spans="1:7" hidden="1" x14ac:dyDescent="0.3">
      <c r="A145" s="20">
        <v>144</v>
      </c>
      <c r="B145" s="20" t="s">
        <v>302</v>
      </c>
      <c r="C145" s="20" t="s">
        <v>303</v>
      </c>
      <c r="D145" s="22" t="s">
        <v>42</v>
      </c>
      <c r="E145" s="20">
        <v>76</v>
      </c>
      <c r="F145" s="24">
        <v>9490</v>
      </c>
      <c r="G145" s="25">
        <f t="shared" si="2"/>
        <v>721240</v>
      </c>
    </row>
    <row r="146" spans="1:7" hidden="1" x14ac:dyDescent="0.3">
      <c r="A146" s="20">
        <v>145</v>
      </c>
      <c r="B146" s="20" t="s">
        <v>304</v>
      </c>
      <c r="C146" s="20" t="s">
        <v>305</v>
      </c>
      <c r="D146" s="22" t="s">
        <v>42</v>
      </c>
      <c r="E146" s="20">
        <v>46</v>
      </c>
      <c r="F146" s="24">
        <v>40950</v>
      </c>
      <c r="G146" s="25">
        <f t="shared" si="2"/>
        <v>1883700</v>
      </c>
    </row>
    <row r="147" spans="1:7" hidden="1" x14ac:dyDescent="0.3">
      <c r="A147" s="20">
        <v>146</v>
      </c>
      <c r="B147" s="20" t="s">
        <v>306</v>
      </c>
      <c r="C147" s="20" t="s">
        <v>307</v>
      </c>
      <c r="D147" s="22" t="s">
        <v>42</v>
      </c>
      <c r="E147" s="20">
        <v>61</v>
      </c>
      <c r="F147" s="24">
        <v>32500</v>
      </c>
      <c r="G147" s="25">
        <f t="shared" si="2"/>
        <v>1982500</v>
      </c>
    </row>
    <row r="148" spans="1:7" hidden="1" x14ac:dyDescent="0.3">
      <c r="A148" s="20">
        <v>147</v>
      </c>
      <c r="B148" s="20" t="s">
        <v>308</v>
      </c>
      <c r="C148" s="20" t="s">
        <v>309</v>
      </c>
      <c r="D148" s="22" t="s">
        <v>42</v>
      </c>
      <c r="E148" s="20">
        <v>90</v>
      </c>
      <c r="F148" s="24">
        <v>5590</v>
      </c>
      <c r="G148" s="25">
        <f t="shared" si="2"/>
        <v>503100</v>
      </c>
    </row>
    <row r="149" spans="1:7" hidden="1" x14ac:dyDescent="0.3">
      <c r="A149" s="20">
        <v>148</v>
      </c>
      <c r="B149" s="20" t="s">
        <v>310</v>
      </c>
      <c r="C149" s="20" t="s">
        <v>311</v>
      </c>
      <c r="D149" s="22" t="s">
        <v>42</v>
      </c>
      <c r="E149" s="20">
        <v>52</v>
      </c>
      <c r="F149" s="24">
        <v>2860</v>
      </c>
      <c r="G149" s="25">
        <f t="shared" si="2"/>
        <v>148720</v>
      </c>
    </row>
    <row r="150" spans="1:7" hidden="1" x14ac:dyDescent="0.3">
      <c r="A150" s="20">
        <v>149</v>
      </c>
      <c r="B150" s="20" t="s">
        <v>312</v>
      </c>
      <c r="C150" s="20" t="s">
        <v>313</v>
      </c>
      <c r="D150" s="22" t="s">
        <v>42</v>
      </c>
      <c r="E150" s="20">
        <v>512</v>
      </c>
      <c r="F150" s="24">
        <v>5460</v>
      </c>
      <c r="G150" s="25">
        <f t="shared" si="2"/>
        <v>2795520</v>
      </c>
    </row>
    <row r="151" spans="1:7" hidden="1" x14ac:dyDescent="0.3">
      <c r="A151" s="20">
        <v>150</v>
      </c>
      <c r="B151" s="20" t="s">
        <v>314</v>
      </c>
      <c r="C151" s="20" t="s">
        <v>315</v>
      </c>
      <c r="D151" s="22" t="s">
        <v>42</v>
      </c>
      <c r="E151" s="20">
        <v>90</v>
      </c>
      <c r="F151" s="24">
        <v>5460</v>
      </c>
      <c r="G151" s="25">
        <f t="shared" si="2"/>
        <v>491400</v>
      </c>
    </row>
    <row r="152" spans="1:7" hidden="1" x14ac:dyDescent="0.3">
      <c r="A152" s="20">
        <v>151</v>
      </c>
      <c r="B152" s="20" t="s">
        <v>316</v>
      </c>
      <c r="C152" s="20" t="s">
        <v>317</v>
      </c>
      <c r="D152" s="22" t="s">
        <v>42</v>
      </c>
      <c r="E152" s="20">
        <v>8</v>
      </c>
      <c r="F152" s="24">
        <v>46800</v>
      </c>
      <c r="G152" s="25">
        <f t="shared" si="2"/>
        <v>374400</v>
      </c>
    </row>
    <row r="153" spans="1:7" hidden="1" x14ac:dyDescent="0.3">
      <c r="A153" s="20">
        <v>152</v>
      </c>
      <c r="B153" s="20" t="s">
        <v>318</v>
      </c>
      <c r="C153" s="20" t="s">
        <v>319</v>
      </c>
      <c r="D153" s="22" t="s">
        <v>42</v>
      </c>
      <c r="E153" s="20">
        <v>8</v>
      </c>
      <c r="F153" s="24">
        <v>42900</v>
      </c>
      <c r="G153" s="25">
        <f t="shared" si="2"/>
        <v>343200</v>
      </c>
    </row>
    <row r="154" spans="1:7" hidden="1" x14ac:dyDescent="0.3">
      <c r="A154" s="20">
        <v>153</v>
      </c>
      <c r="B154" s="20" t="s">
        <v>320</v>
      </c>
      <c r="C154" s="20" t="s">
        <v>321</v>
      </c>
      <c r="D154" s="22" t="s">
        <v>42</v>
      </c>
      <c r="E154" s="20">
        <v>3</v>
      </c>
      <c r="F154" s="24">
        <v>36400</v>
      </c>
      <c r="G154" s="25">
        <f t="shared" si="2"/>
        <v>109200</v>
      </c>
    </row>
    <row r="155" spans="1:7" hidden="1" x14ac:dyDescent="0.3">
      <c r="A155" s="20">
        <v>154</v>
      </c>
      <c r="B155" s="20" t="s">
        <v>322</v>
      </c>
      <c r="C155" s="20" t="s">
        <v>323</v>
      </c>
      <c r="D155" s="22" t="s">
        <v>42</v>
      </c>
      <c r="E155" s="20">
        <v>5</v>
      </c>
      <c r="F155" s="24">
        <v>31200</v>
      </c>
      <c r="G155" s="25">
        <f t="shared" si="2"/>
        <v>156000</v>
      </c>
    </row>
    <row r="156" spans="1:7" hidden="1" x14ac:dyDescent="0.3">
      <c r="A156" s="20">
        <v>155</v>
      </c>
      <c r="B156" s="20" t="s">
        <v>324</v>
      </c>
      <c r="C156" s="20" t="s">
        <v>325</v>
      </c>
      <c r="D156" s="22" t="s">
        <v>42</v>
      </c>
      <c r="E156" s="20">
        <v>3</v>
      </c>
      <c r="F156" s="24">
        <v>35100</v>
      </c>
      <c r="G156" s="25">
        <f t="shared" si="2"/>
        <v>105300</v>
      </c>
    </row>
    <row r="157" spans="1:7" hidden="1" x14ac:dyDescent="0.3">
      <c r="A157" s="20">
        <v>156</v>
      </c>
      <c r="B157" s="20" t="s">
        <v>326</v>
      </c>
      <c r="C157" s="20" t="s">
        <v>327</v>
      </c>
      <c r="D157" s="22" t="s">
        <v>42</v>
      </c>
      <c r="E157" s="20">
        <v>50</v>
      </c>
      <c r="F157" s="24">
        <v>31200</v>
      </c>
      <c r="G157" s="25">
        <f t="shared" si="2"/>
        <v>1560000</v>
      </c>
    </row>
    <row r="158" spans="1:7" hidden="1" x14ac:dyDescent="0.3">
      <c r="A158" s="20">
        <v>157</v>
      </c>
      <c r="B158" s="20" t="s">
        <v>328</v>
      </c>
      <c r="C158" s="20" t="s">
        <v>329</v>
      </c>
      <c r="D158" s="22" t="s">
        <v>42</v>
      </c>
      <c r="E158" s="20">
        <v>2</v>
      </c>
      <c r="F158" s="24">
        <v>27300</v>
      </c>
      <c r="G158" s="25">
        <f t="shared" si="2"/>
        <v>54600</v>
      </c>
    </row>
    <row r="159" spans="1:7" hidden="1" x14ac:dyDescent="0.3">
      <c r="A159" s="20">
        <v>158</v>
      </c>
      <c r="B159" s="20" t="s">
        <v>330</v>
      </c>
      <c r="C159" s="20" t="s">
        <v>331</v>
      </c>
      <c r="D159" s="22" t="s">
        <v>42</v>
      </c>
      <c r="E159" s="20">
        <v>154</v>
      </c>
      <c r="F159" s="24">
        <v>24700</v>
      </c>
      <c r="G159" s="25">
        <f t="shared" si="2"/>
        <v>3803800</v>
      </c>
    </row>
    <row r="160" spans="1:7" hidden="1" x14ac:dyDescent="0.3">
      <c r="A160" s="20">
        <v>159</v>
      </c>
      <c r="B160" s="20" t="s">
        <v>332</v>
      </c>
      <c r="C160" s="20" t="s">
        <v>333</v>
      </c>
      <c r="D160" s="22" t="s">
        <v>42</v>
      </c>
      <c r="E160" s="20">
        <v>6</v>
      </c>
      <c r="F160" s="24">
        <v>13000</v>
      </c>
      <c r="G160" s="25">
        <f t="shared" si="2"/>
        <v>78000</v>
      </c>
    </row>
    <row r="161" spans="1:7" hidden="1" x14ac:dyDescent="0.3">
      <c r="A161" s="20">
        <v>160</v>
      </c>
      <c r="B161" s="20" t="s">
        <v>334</v>
      </c>
      <c r="C161" s="20" t="s">
        <v>335</v>
      </c>
      <c r="D161" s="22" t="s">
        <v>42</v>
      </c>
      <c r="E161" s="20">
        <v>134</v>
      </c>
      <c r="F161" s="24">
        <v>11700</v>
      </c>
      <c r="G161" s="25">
        <f t="shared" si="2"/>
        <v>1567800</v>
      </c>
    </row>
    <row r="162" spans="1:7" hidden="1" x14ac:dyDescent="0.3">
      <c r="A162" s="20">
        <v>161</v>
      </c>
      <c r="B162" s="20" t="s">
        <v>336</v>
      </c>
      <c r="C162" s="20" t="s">
        <v>337</v>
      </c>
      <c r="D162" s="22" t="s">
        <v>42</v>
      </c>
      <c r="E162" s="20">
        <v>13</v>
      </c>
      <c r="F162" s="24">
        <v>11700</v>
      </c>
      <c r="G162" s="25">
        <f t="shared" si="2"/>
        <v>152100</v>
      </c>
    </row>
    <row r="163" spans="1:7" hidden="1" x14ac:dyDescent="0.3">
      <c r="A163" s="20">
        <v>162</v>
      </c>
      <c r="B163" s="20" t="s">
        <v>338</v>
      </c>
      <c r="C163" s="20" t="s">
        <v>339</v>
      </c>
      <c r="D163" s="22" t="s">
        <v>42</v>
      </c>
      <c r="E163" s="20">
        <v>28</v>
      </c>
      <c r="F163" s="24">
        <v>28600</v>
      </c>
      <c r="G163" s="25">
        <f t="shared" si="2"/>
        <v>800800</v>
      </c>
    </row>
    <row r="164" spans="1:7" hidden="1" x14ac:dyDescent="0.3">
      <c r="A164" s="20">
        <v>163</v>
      </c>
      <c r="B164" s="20" t="s">
        <v>340</v>
      </c>
      <c r="C164" s="20" t="s">
        <v>341</v>
      </c>
      <c r="D164" s="22" t="s">
        <v>42</v>
      </c>
      <c r="E164" s="20">
        <v>34</v>
      </c>
      <c r="F164" s="24">
        <v>13000</v>
      </c>
      <c r="G164" s="25">
        <f t="shared" si="2"/>
        <v>442000</v>
      </c>
    </row>
    <row r="165" spans="1:7" hidden="1" x14ac:dyDescent="0.3">
      <c r="A165" s="20">
        <v>164</v>
      </c>
      <c r="B165" s="21" t="s">
        <v>342</v>
      </c>
      <c r="C165" s="20" t="s">
        <v>343</v>
      </c>
      <c r="D165" s="22" t="s">
        <v>170</v>
      </c>
      <c r="E165" s="20">
        <v>120</v>
      </c>
      <c r="F165" s="24">
        <v>1235</v>
      </c>
      <c r="G165" s="25">
        <f t="shared" si="2"/>
        <v>148200</v>
      </c>
    </row>
    <row r="166" spans="1:7" hidden="1" x14ac:dyDescent="0.3">
      <c r="A166" s="20">
        <v>165</v>
      </c>
      <c r="B166" s="21" t="s">
        <v>344</v>
      </c>
      <c r="C166" s="20" t="s">
        <v>345</v>
      </c>
      <c r="D166" s="22" t="s">
        <v>19</v>
      </c>
      <c r="E166" s="20">
        <v>29.3</v>
      </c>
      <c r="F166" s="24">
        <v>5850</v>
      </c>
      <c r="G166" s="25">
        <f t="shared" si="2"/>
        <v>171405</v>
      </c>
    </row>
    <row r="167" spans="1:7" hidden="1" x14ac:dyDescent="0.3">
      <c r="A167" s="20">
        <v>166</v>
      </c>
      <c r="B167" s="21" t="s">
        <v>346</v>
      </c>
      <c r="C167" s="20" t="s">
        <v>347</v>
      </c>
      <c r="D167" s="22" t="s">
        <v>37</v>
      </c>
      <c r="E167" s="20">
        <v>703.32</v>
      </c>
      <c r="F167" s="24">
        <v>975</v>
      </c>
      <c r="G167" s="25">
        <f t="shared" si="2"/>
        <v>685737</v>
      </c>
    </row>
    <row r="168" spans="1:7" hidden="1" x14ac:dyDescent="0.3">
      <c r="A168" s="20">
        <v>167</v>
      </c>
      <c r="B168" s="21" t="s">
        <v>348</v>
      </c>
      <c r="C168" s="20" t="s">
        <v>349</v>
      </c>
      <c r="D168" s="22" t="s">
        <v>37</v>
      </c>
      <c r="E168" s="20">
        <v>41.15</v>
      </c>
      <c r="F168" s="24">
        <v>8450</v>
      </c>
      <c r="G168" s="25">
        <f t="shared" si="2"/>
        <v>347717.5</v>
      </c>
    </row>
    <row r="169" spans="1:7" hidden="1" x14ac:dyDescent="0.3">
      <c r="A169" s="20">
        <v>168</v>
      </c>
      <c r="B169" s="21" t="s">
        <v>350</v>
      </c>
      <c r="C169" s="20" t="s">
        <v>351</v>
      </c>
      <c r="D169" s="22" t="s">
        <v>42</v>
      </c>
      <c r="E169" s="20">
        <v>980</v>
      </c>
      <c r="F169" s="24">
        <v>5850</v>
      </c>
      <c r="G169" s="25">
        <f t="shared" si="2"/>
        <v>5733000</v>
      </c>
    </row>
    <row r="170" spans="1:7" hidden="1" x14ac:dyDescent="0.3">
      <c r="A170" s="20">
        <v>169</v>
      </c>
      <c r="B170" s="21" t="s">
        <v>352</v>
      </c>
      <c r="C170" s="20" t="s">
        <v>353</v>
      </c>
      <c r="D170" s="22" t="s">
        <v>19</v>
      </c>
      <c r="E170" s="20">
        <v>162.5</v>
      </c>
      <c r="F170" s="24">
        <v>9750</v>
      </c>
      <c r="G170" s="25">
        <f t="shared" si="2"/>
        <v>1584375</v>
      </c>
    </row>
    <row r="171" spans="1:7" hidden="1" x14ac:dyDescent="0.3">
      <c r="A171" s="20">
        <v>170</v>
      </c>
      <c r="B171" s="21" t="s">
        <v>354</v>
      </c>
      <c r="C171" s="20" t="s">
        <v>355</v>
      </c>
      <c r="D171" s="22" t="s">
        <v>19</v>
      </c>
      <c r="E171" s="20">
        <v>16.25</v>
      </c>
      <c r="F171" s="24">
        <v>9750</v>
      </c>
      <c r="G171" s="25">
        <f t="shared" si="2"/>
        <v>158437.5</v>
      </c>
    </row>
    <row r="172" spans="1:7" hidden="1" x14ac:dyDescent="0.3">
      <c r="A172" s="20">
        <v>171</v>
      </c>
      <c r="B172" s="21" t="s">
        <v>356</v>
      </c>
      <c r="C172" s="20" t="s">
        <v>357</v>
      </c>
      <c r="D172" s="22" t="s">
        <v>42</v>
      </c>
      <c r="E172" s="20">
        <v>80</v>
      </c>
      <c r="F172" s="24">
        <v>7800</v>
      </c>
      <c r="G172" s="25">
        <f t="shared" si="2"/>
        <v>624000</v>
      </c>
    </row>
    <row r="173" spans="1:7" hidden="1" x14ac:dyDescent="0.3">
      <c r="A173" s="20">
        <v>172</v>
      </c>
      <c r="B173" s="21" t="s">
        <v>358</v>
      </c>
      <c r="C173" s="20" t="s">
        <v>359</v>
      </c>
      <c r="D173" s="22" t="s">
        <v>19</v>
      </c>
      <c r="E173" s="20">
        <v>80</v>
      </c>
      <c r="F173" s="24">
        <v>26000</v>
      </c>
      <c r="G173" s="25">
        <f t="shared" si="2"/>
        <v>2080000</v>
      </c>
    </row>
    <row r="174" spans="1:7" hidden="1" x14ac:dyDescent="0.3">
      <c r="A174" s="20">
        <v>173</v>
      </c>
      <c r="B174" s="21" t="s">
        <v>360</v>
      </c>
      <c r="C174" s="20" t="s">
        <v>361</v>
      </c>
      <c r="D174" s="22" t="s">
        <v>19</v>
      </c>
      <c r="E174" s="20">
        <v>64.42</v>
      </c>
      <c r="F174" s="24">
        <v>26000</v>
      </c>
      <c r="G174" s="25">
        <f t="shared" si="2"/>
        <v>1674920</v>
      </c>
    </row>
    <row r="175" spans="1:7" hidden="1" x14ac:dyDescent="0.3">
      <c r="A175" s="20">
        <v>174</v>
      </c>
      <c r="B175" s="20" t="s">
        <v>362</v>
      </c>
      <c r="C175" s="20" t="s">
        <v>363</v>
      </c>
      <c r="D175" s="22" t="s">
        <v>19</v>
      </c>
      <c r="E175" s="20">
        <v>465</v>
      </c>
      <c r="F175" s="24">
        <v>26000</v>
      </c>
      <c r="G175" s="25">
        <f t="shared" si="2"/>
        <v>12090000</v>
      </c>
    </row>
    <row r="176" spans="1:7" hidden="1" x14ac:dyDescent="0.3">
      <c r="A176" s="20">
        <v>175</v>
      </c>
      <c r="B176" s="20" t="s">
        <v>364</v>
      </c>
      <c r="C176" s="20" t="s">
        <v>365</v>
      </c>
      <c r="D176" s="22" t="s">
        <v>19</v>
      </c>
      <c r="E176" s="20">
        <v>33</v>
      </c>
      <c r="F176" s="24">
        <v>32500</v>
      </c>
      <c r="G176" s="25">
        <f t="shared" si="2"/>
        <v>1072500</v>
      </c>
    </row>
    <row r="177" spans="1:7" hidden="1" x14ac:dyDescent="0.3">
      <c r="A177" s="20">
        <v>176</v>
      </c>
      <c r="B177" s="21" t="s">
        <v>366</v>
      </c>
      <c r="C177" s="20" t="s">
        <v>367</v>
      </c>
      <c r="D177" s="22" t="s">
        <v>42</v>
      </c>
      <c r="E177" s="20">
        <v>4</v>
      </c>
      <c r="F177" s="24">
        <v>32500</v>
      </c>
      <c r="G177" s="25">
        <f t="shared" si="2"/>
        <v>130000</v>
      </c>
    </row>
    <row r="178" spans="1:7" hidden="1" x14ac:dyDescent="0.3">
      <c r="A178" s="20">
        <v>177</v>
      </c>
      <c r="B178" s="21" t="s">
        <v>368</v>
      </c>
      <c r="C178" s="20" t="s">
        <v>369</v>
      </c>
      <c r="D178" s="22" t="s">
        <v>19</v>
      </c>
      <c r="E178" s="20">
        <v>114.4</v>
      </c>
      <c r="F178" s="24">
        <v>21645</v>
      </c>
      <c r="G178" s="25">
        <f t="shared" si="2"/>
        <v>2476188</v>
      </c>
    </row>
    <row r="179" spans="1:7" hidden="1" x14ac:dyDescent="0.3">
      <c r="A179" s="20">
        <v>178</v>
      </c>
      <c r="B179" s="21" t="s">
        <v>370</v>
      </c>
      <c r="C179" s="20" t="s">
        <v>371</v>
      </c>
      <c r="D179" s="22" t="s">
        <v>37</v>
      </c>
      <c r="E179" s="20">
        <v>754</v>
      </c>
      <c r="F179" s="24">
        <v>5850</v>
      </c>
      <c r="G179" s="25">
        <f t="shared" si="2"/>
        <v>4410900</v>
      </c>
    </row>
    <row r="180" spans="1:7" hidden="1" x14ac:dyDescent="0.3">
      <c r="A180" s="20">
        <v>179</v>
      </c>
      <c r="B180" s="21" t="s">
        <v>372</v>
      </c>
      <c r="C180" s="20" t="s">
        <v>373</v>
      </c>
      <c r="D180" s="22" t="s">
        <v>170</v>
      </c>
      <c r="E180" s="23">
        <v>10500</v>
      </c>
      <c r="F180" s="24">
        <v>260</v>
      </c>
      <c r="G180" s="25">
        <f t="shared" si="2"/>
        <v>2730000</v>
      </c>
    </row>
    <row r="181" spans="1:7" hidden="1" x14ac:dyDescent="0.3">
      <c r="A181" s="20">
        <v>180</v>
      </c>
      <c r="B181" s="21" t="s">
        <v>374</v>
      </c>
      <c r="C181" s="20" t="s">
        <v>375</v>
      </c>
      <c r="D181" s="22" t="s">
        <v>170</v>
      </c>
      <c r="E181" s="23">
        <v>122584</v>
      </c>
      <c r="F181" s="24">
        <v>156</v>
      </c>
      <c r="G181" s="25">
        <f t="shared" si="2"/>
        <v>19123104</v>
      </c>
    </row>
    <row r="182" spans="1:7" hidden="1" x14ac:dyDescent="0.3">
      <c r="A182" s="20">
        <v>181</v>
      </c>
      <c r="B182" s="21" t="s">
        <v>376</v>
      </c>
      <c r="C182" s="20" t="s">
        <v>377</v>
      </c>
      <c r="D182" s="22" t="s">
        <v>19</v>
      </c>
      <c r="E182" s="26">
        <v>8531.25</v>
      </c>
      <c r="F182" s="24">
        <v>585</v>
      </c>
      <c r="G182" s="25">
        <f t="shared" si="2"/>
        <v>4990781.25</v>
      </c>
    </row>
    <row r="183" spans="1:7" hidden="1" x14ac:dyDescent="0.3">
      <c r="A183" s="20">
        <v>182</v>
      </c>
      <c r="B183" s="21" t="s">
        <v>378</v>
      </c>
      <c r="C183" s="20" t="s">
        <v>379</v>
      </c>
      <c r="D183" s="22" t="s">
        <v>42</v>
      </c>
      <c r="E183" s="20">
        <v>4</v>
      </c>
      <c r="F183" s="24">
        <v>156000</v>
      </c>
      <c r="G183" s="25">
        <f t="shared" si="2"/>
        <v>624000</v>
      </c>
    </row>
    <row r="184" spans="1:7" hidden="1" x14ac:dyDescent="0.3">
      <c r="A184" s="20">
        <v>183</v>
      </c>
      <c r="B184" s="21" t="s">
        <v>380</v>
      </c>
      <c r="C184" s="20" t="s">
        <v>381</v>
      </c>
      <c r="D184" s="22" t="s">
        <v>42</v>
      </c>
      <c r="E184" s="20">
        <v>8</v>
      </c>
      <c r="F184" s="24">
        <v>227500</v>
      </c>
      <c r="G184" s="25">
        <f t="shared" si="2"/>
        <v>1820000</v>
      </c>
    </row>
    <row r="185" spans="1:7" hidden="1" x14ac:dyDescent="0.3">
      <c r="A185" s="20">
        <v>184</v>
      </c>
      <c r="B185" s="21" t="s">
        <v>382</v>
      </c>
      <c r="C185" s="20" t="s">
        <v>383</v>
      </c>
      <c r="D185" s="22" t="s">
        <v>42</v>
      </c>
      <c r="E185" s="20">
        <v>4</v>
      </c>
      <c r="F185" s="24">
        <v>292500</v>
      </c>
      <c r="G185" s="25">
        <f t="shared" si="2"/>
        <v>1170000</v>
      </c>
    </row>
    <row r="186" spans="1:7" hidden="1" x14ac:dyDescent="0.3">
      <c r="A186" s="20">
        <v>185</v>
      </c>
      <c r="B186" s="21" t="s">
        <v>384</v>
      </c>
      <c r="C186" s="20" t="s">
        <v>385</v>
      </c>
      <c r="D186" s="22" t="s">
        <v>82</v>
      </c>
      <c r="E186" s="20">
        <v>1</v>
      </c>
      <c r="F186" s="24">
        <v>11275750</v>
      </c>
      <c r="G186" s="25">
        <f t="shared" si="2"/>
        <v>11275750</v>
      </c>
    </row>
    <row r="187" spans="1:7" hidden="1" x14ac:dyDescent="0.3">
      <c r="A187" s="20">
        <v>186</v>
      </c>
      <c r="B187" s="20" t="s">
        <v>386</v>
      </c>
      <c r="C187" s="20" t="s">
        <v>387</v>
      </c>
      <c r="D187" s="22" t="s">
        <v>82</v>
      </c>
      <c r="E187" s="20">
        <v>1</v>
      </c>
      <c r="F187" s="24">
        <v>22517035</v>
      </c>
      <c r="G187" s="25">
        <f t="shared" si="2"/>
        <v>22517035</v>
      </c>
    </row>
    <row r="188" spans="1:7" hidden="1" x14ac:dyDescent="0.3">
      <c r="A188" s="20">
        <v>187</v>
      </c>
      <c r="B188" s="20" t="s">
        <v>388</v>
      </c>
      <c r="C188" s="20" t="s">
        <v>389</v>
      </c>
      <c r="D188" s="22" t="s">
        <v>82</v>
      </c>
      <c r="E188" s="20">
        <v>1</v>
      </c>
      <c r="F188" s="24">
        <v>15921572</v>
      </c>
      <c r="G188" s="25">
        <f t="shared" si="2"/>
        <v>15921572</v>
      </c>
    </row>
    <row r="189" spans="1:7" hidden="1" x14ac:dyDescent="0.3">
      <c r="A189" s="20">
        <v>188</v>
      </c>
      <c r="B189" s="20" t="s">
        <v>390</v>
      </c>
      <c r="C189" s="20" t="s">
        <v>391</v>
      </c>
      <c r="D189" s="22" t="s">
        <v>82</v>
      </c>
      <c r="E189" s="20">
        <v>1</v>
      </c>
      <c r="F189" s="24">
        <v>15921572</v>
      </c>
      <c r="G189" s="25">
        <f t="shared" si="2"/>
        <v>15921572</v>
      </c>
    </row>
    <row r="190" spans="1:7" hidden="1" x14ac:dyDescent="0.3">
      <c r="A190" s="20">
        <v>189</v>
      </c>
      <c r="B190" s="20" t="s">
        <v>392</v>
      </c>
      <c r="C190" s="20" t="s">
        <v>393</v>
      </c>
      <c r="D190" s="22" t="s">
        <v>82</v>
      </c>
      <c r="E190" s="20">
        <v>1</v>
      </c>
      <c r="F190" s="24">
        <v>15921572</v>
      </c>
      <c r="G190" s="25">
        <f t="shared" si="2"/>
        <v>15921572</v>
      </c>
    </row>
    <row r="191" spans="1:7" hidden="1" x14ac:dyDescent="0.3">
      <c r="A191" s="20">
        <v>190</v>
      </c>
      <c r="B191" s="20" t="s">
        <v>394</v>
      </c>
      <c r="C191" s="20" t="s">
        <v>395</v>
      </c>
      <c r="D191" s="22" t="s">
        <v>82</v>
      </c>
      <c r="E191" s="20">
        <v>1</v>
      </c>
      <c r="F191" s="24">
        <v>25772110</v>
      </c>
      <c r="G191" s="25">
        <f t="shared" si="2"/>
        <v>25772110</v>
      </c>
    </row>
    <row r="192" spans="1:7" hidden="1" x14ac:dyDescent="0.3">
      <c r="A192" s="20">
        <v>191</v>
      </c>
      <c r="B192" s="20" t="s">
        <v>396</v>
      </c>
      <c r="C192" s="20" t="s">
        <v>397</v>
      </c>
      <c r="D192" s="22" t="s">
        <v>82</v>
      </c>
      <c r="E192" s="20">
        <v>1</v>
      </c>
      <c r="F192" s="24">
        <v>8305760</v>
      </c>
      <c r="G192" s="25">
        <f t="shared" si="2"/>
        <v>8305760</v>
      </c>
    </row>
    <row r="193" spans="1:7" hidden="1" x14ac:dyDescent="0.3">
      <c r="A193" s="20">
        <v>192</v>
      </c>
      <c r="B193" s="20" t="s">
        <v>398</v>
      </c>
      <c r="C193" s="20" t="s">
        <v>399</v>
      </c>
      <c r="D193" s="22" t="s">
        <v>82</v>
      </c>
      <c r="E193" s="20">
        <v>1</v>
      </c>
      <c r="F193" s="24">
        <v>8305760</v>
      </c>
      <c r="G193" s="25">
        <f t="shared" si="2"/>
        <v>8305760</v>
      </c>
    </row>
    <row r="194" spans="1:7" hidden="1" x14ac:dyDescent="0.3">
      <c r="A194" s="20">
        <v>193</v>
      </c>
      <c r="B194" s="20" t="s">
        <v>400</v>
      </c>
      <c r="C194" s="20" t="s">
        <v>401</v>
      </c>
      <c r="D194" s="22" t="s">
        <v>82</v>
      </c>
      <c r="E194" s="20">
        <v>1</v>
      </c>
      <c r="F194" s="24">
        <v>8305760</v>
      </c>
      <c r="G194" s="25">
        <f t="shared" si="2"/>
        <v>8305760</v>
      </c>
    </row>
    <row r="195" spans="1:7" hidden="1" x14ac:dyDescent="0.3">
      <c r="A195" s="20">
        <v>194</v>
      </c>
      <c r="B195" s="20" t="s">
        <v>402</v>
      </c>
      <c r="C195" s="20" t="s">
        <v>403</v>
      </c>
      <c r="D195" s="22" t="s">
        <v>82</v>
      </c>
      <c r="E195" s="20">
        <v>1</v>
      </c>
      <c r="F195" s="24">
        <v>8305760</v>
      </c>
      <c r="G195" s="25">
        <f t="shared" ref="G195:G258" si="3">+E195*F195</f>
        <v>8305760</v>
      </c>
    </row>
    <row r="196" spans="1:7" hidden="1" x14ac:dyDescent="0.3">
      <c r="A196" s="20">
        <v>195</v>
      </c>
      <c r="B196" s="20" t="s">
        <v>404</v>
      </c>
      <c r="C196" s="20" t="s">
        <v>405</v>
      </c>
      <c r="D196" s="22" t="s">
        <v>82</v>
      </c>
      <c r="E196" s="20">
        <v>1</v>
      </c>
      <c r="F196" s="24">
        <v>8305760</v>
      </c>
      <c r="G196" s="25">
        <f t="shared" si="3"/>
        <v>8305760</v>
      </c>
    </row>
    <row r="197" spans="1:7" hidden="1" x14ac:dyDescent="0.3">
      <c r="A197" s="20">
        <v>196</v>
      </c>
      <c r="B197" s="20" t="s">
        <v>406</v>
      </c>
      <c r="C197" s="20" t="s">
        <v>407</v>
      </c>
      <c r="D197" s="22" t="s">
        <v>82</v>
      </c>
      <c r="E197" s="20">
        <v>1</v>
      </c>
      <c r="F197" s="24">
        <v>12296950</v>
      </c>
      <c r="G197" s="25">
        <f t="shared" si="3"/>
        <v>12296950</v>
      </c>
    </row>
    <row r="198" spans="1:7" hidden="1" x14ac:dyDescent="0.3">
      <c r="A198" s="20">
        <v>197</v>
      </c>
      <c r="B198" s="20" t="s">
        <v>408</v>
      </c>
      <c r="C198" s="20" t="s">
        <v>409</v>
      </c>
      <c r="D198" s="22" t="s">
        <v>82</v>
      </c>
      <c r="E198" s="20">
        <v>1</v>
      </c>
      <c r="F198" s="24">
        <v>12296950</v>
      </c>
      <c r="G198" s="25">
        <f t="shared" si="3"/>
        <v>12296950</v>
      </c>
    </row>
    <row r="199" spans="1:7" hidden="1" x14ac:dyDescent="0.3">
      <c r="A199" s="20">
        <v>198</v>
      </c>
      <c r="B199" s="20" t="s">
        <v>410</v>
      </c>
      <c r="C199" s="20" t="s">
        <v>411</v>
      </c>
      <c r="D199" s="22" t="s">
        <v>82</v>
      </c>
      <c r="E199" s="20">
        <v>1</v>
      </c>
      <c r="F199" s="24">
        <v>12296950</v>
      </c>
      <c r="G199" s="25">
        <f t="shared" si="3"/>
        <v>12296950</v>
      </c>
    </row>
    <row r="200" spans="1:7" hidden="1" x14ac:dyDescent="0.3">
      <c r="A200" s="20">
        <v>199</v>
      </c>
      <c r="B200" s="20" t="s">
        <v>412</v>
      </c>
      <c r="C200" s="20" t="s">
        <v>413</v>
      </c>
      <c r="D200" s="22" t="s">
        <v>82</v>
      </c>
      <c r="E200" s="20">
        <v>1</v>
      </c>
      <c r="F200" s="24">
        <v>12296950</v>
      </c>
      <c r="G200" s="25">
        <f t="shared" si="3"/>
        <v>12296950</v>
      </c>
    </row>
    <row r="201" spans="1:7" hidden="1" x14ac:dyDescent="0.3">
      <c r="A201" s="20">
        <v>200</v>
      </c>
      <c r="B201" s="20" t="s">
        <v>414</v>
      </c>
      <c r="C201" s="20" t="s">
        <v>415</v>
      </c>
      <c r="D201" s="22" t="s">
        <v>82</v>
      </c>
      <c r="E201" s="20">
        <v>1</v>
      </c>
      <c r="F201" s="24">
        <v>12296950</v>
      </c>
      <c r="G201" s="25">
        <f t="shared" si="3"/>
        <v>12296950</v>
      </c>
    </row>
    <row r="202" spans="1:7" hidden="1" x14ac:dyDescent="0.3">
      <c r="A202" s="20">
        <v>201</v>
      </c>
      <c r="B202" s="20" t="s">
        <v>416</v>
      </c>
      <c r="C202" s="20" t="s">
        <v>417</v>
      </c>
      <c r="D202" s="22" t="s">
        <v>82</v>
      </c>
      <c r="E202" s="20">
        <v>1</v>
      </c>
      <c r="F202" s="24">
        <v>10347418</v>
      </c>
      <c r="G202" s="25">
        <f t="shared" si="3"/>
        <v>10347418</v>
      </c>
    </row>
    <row r="203" spans="1:7" hidden="1" x14ac:dyDescent="0.3">
      <c r="A203" s="20">
        <v>202</v>
      </c>
      <c r="B203" s="20" t="s">
        <v>418</v>
      </c>
      <c r="C203" s="20" t="s">
        <v>419</v>
      </c>
      <c r="D203" s="22" t="s">
        <v>82</v>
      </c>
      <c r="E203" s="20">
        <v>1</v>
      </c>
      <c r="F203" s="24">
        <v>11316761</v>
      </c>
      <c r="G203" s="25">
        <f t="shared" si="3"/>
        <v>11316761</v>
      </c>
    </row>
    <row r="204" spans="1:7" hidden="1" x14ac:dyDescent="0.3">
      <c r="A204" s="20">
        <v>203</v>
      </c>
      <c r="B204" s="20" t="s">
        <v>420</v>
      </c>
      <c r="C204" s="20" t="s">
        <v>421</v>
      </c>
      <c r="D204" s="22" t="s">
        <v>82</v>
      </c>
      <c r="E204" s="20">
        <v>1</v>
      </c>
      <c r="F204" s="24">
        <v>12286105</v>
      </c>
      <c r="G204" s="25">
        <f t="shared" si="3"/>
        <v>12286105</v>
      </c>
    </row>
    <row r="205" spans="1:7" hidden="1" x14ac:dyDescent="0.3">
      <c r="A205" s="20">
        <v>204</v>
      </c>
      <c r="B205" s="20" t="s">
        <v>422</v>
      </c>
      <c r="C205" s="20" t="s">
        <v>423</v>
      </c>
      <c r="D205" s="22" t="s">
        <v>82</v>
      </c>
      <c r="E205" s="20">
        <v>1</v>
      </c>
      <c r="F205" s="24">
        <v>11962990</v>
      </c>
      <c r="G205" s="25">
        <f t="shared" si="3"/>
        <v>11962990</v>
      </c>
    </row>
    <row r="206" spans="1:7" hidden="1" x14ac:dyDescent="0.3">
      <c r="A206" s="20">
        <v>205</v>
      </c>
      <c r="B206" s="20" t="s">
        <v>424</v>
      </c>
      <c r="C206" s="20" t="s">
        <v>425</v>
      </c>
      <c r="D206" s="22" t="s">
        <v>82</v>
      </c>
      <c r="E206" s="20">
        <v>1</v>
      </c>
      <c r="F206" s="24">
        <v>12286105</v>
      </c>
      <c r="G206" s="25">
        <f t="shared" si="3"/>
        <v>12286105</v>
      </c>
    </row>
    <row r="207" spans="1:7" hidden="1" x14ac:dyDescent="0.3">
      <c r="A207" s="20">
        <v>206</v>
      </c>
      <c r="B207" s="20" t="s">
        <v>426</v>
      </c>
      <c r="C207" s="20" t="s">
        <v>427</v>
      </c>
      <c r="D207" s="22" t="s">
        <v>82</v>
      </c>
      <c r="E207" s="20">
        <v>1</v>
      </c>
      <c r="F207" s="24">
        <v>28101296</v>
      </c>
      <c r="G207" s="25">
        <f t="shared" si="3"/>
        <v>28101296</v>
      </c>
    </row>
    <row r="208" spans="1:7" hidden="1" x14ac:dyDescent="0.3">
      <c r="A208" s="20">
        <v>207</v>
      </c>
      <c r="B208" s="20" t="s">
        <v>428</v>
      </c>
      <c r="C208" s="20" t="s">
        <v>429</v>
      </c>
      <c r="D208" s="22" t="s">
        <v>82</v>
      </c>
      <c r="E208" s="20">
        <v>1</v>
      </c>
      <c r="F208" s="24">
        <v>1415706</v>
      </c>
      <c r="G208" s="25">
        <f t="shared" si="3"/>
        <v>1415706</v>
      </c>
    </row>
    <row r="209" spans="1:7" hidden="1" x14ac:dyDescent="0.3">
      <c r="A209" s="20">
        <v>208</v>
      </c>
      <c r="B209" s="20" t="s">
        <v>430</v>
      </c>
      <c r="C209" s="20" t="s">
        <v>431</v>
      </c>
      <c r="D209" s="22" t="s">
        <v>82</v>
      </c>
      <c r="E209" s="20">
        <v>1</v>
      </c>
      <c r="F209" s="24">
        <v>1415706</v>
      </c>
      <c r="G209" s="25">
        <f t="shared" si="3"/>
        <v>1415706</v>
      </c>
    </row>
    <row r="210" spans="1:7" hidden="1" x14ac:dyDescent="0.3">
      <c r="A210" s="20">
        <v>209</v>
      </c>
      <c r="B210" s="20" t="s">
        <v>432</v>
      </c>
      <c r="C210" s="20" t="s">
        <v>433</v>
      </c>
      <c r="D210" s="22" t="s">
        <v>82</v>
      </c>
      <c r="E210" s="20">
        <v>1</v>
      </c>
      <c r="F210" s="24">
        <v>1415706</v>
      </c>
      <c r="G210" s="25">
        <f t="shared" si="3"/>
        <v>1415706</v>
      </c>
    </row>
    <row r="211" spans="1:7" hidden="1" x14ac:dyDescent="0.3">
      <c r="A211" s="20">
        <v>210</v>
      </c>
      <c r="B211" s="20" t="s">
        <v>434</v>
      </c>
      <c r="C211" s="20" t="s">
        <v>435</v>
      </c>
      <c r="D211" s="22" t="s">
        <v>82</v>
      </c>
      <c r="E211" s="20">
        <v>1</v>
      </c>
      <c r="F211" s="24">
        <v>1415706</v>
      </c>
      <c r="G211" s="25">
        <f t="shared" si="3"/>
        <v>1415706</v>
      </c>
    </row>
    <row r="212" spans="1:7" hidden="1" x14ac:dyDescent="0.3">
      <c r="A212" s="20">
        <v>211</v>
      </c>
      <c r="B212" s="20" t="s">
        <v>436</v>
      </c>
      <c r="C212" s="20" t="s">
        <v>437</v>
      </c>
      <c r="D212" s="22" t="s">
        <v>82</v>
      </c>
      <c r="E212" s="20">
        <v>1</v>
      </c>
      <c r="F212" s="24">
        <v>1415706</v>
      </c>
      <c r="G212" s="25">
        <f t="shared" si="3"/>
        <v>1415706</v>
      </c>
    </row>
    <row r="213" spans="1:7" hidden="1" x14ac:dyDescent="0.3">
      <c r="A213" s="20">
        <v>212</v>
      </c>
      <c r="B213" s="20" t="s">
        <v>438</v>
      </c>
      <c r="C213" s="20" t="s">
        <v>439</v>
      </c>
      <c r="D213" s="22" t="s">
        <v>82</v>
      </c>
      <c r="E213" s="20">
        <v>1</v>
      </c>
      <c r="F213" s="24">
        <v>17873116</v>
      </c>
      <c r="G213" s="25">
        <f t="shared" si="3"/>
        <v>17873116</v>
      </c>
    </row>
    <row r="214" spans="1:7" hidden="1" x14ac:dyDescent="0.3">
      <c r="A214" s="20">
        <v>213</v>
      </c>
      <c r="B214" s="20" t="s">
        <v>440</v>
      </c>
      <c r="C214" s="20" t="s">
        <v>441</v>
      </c>
      <c r="D214" s="22" t="s">
        <v>82</v>
      </c>
      <c r="E214" s="20">
        <v>1</v>
      </c>
      <c r="F214" s="24">
        <v>21676260</v>
      </c>
      <c r="G214" s="25">
        <f t="shared" si="3"/>
        <v>21676260</v>
      </c>
    </row>
    <row r="215" spans="1:7" hidden="1" x14ac:dyDescent="0.3">
      <c r="A215" s="20">
        <v>214</v>
      </c>
      <c r="B215" s="20" t="s">
        <v>442</v>
      </c>
      <c r="C215" s="20" t="s">
        <v>443</v>
      </c>
      <c r="D215" s="22" t="s">
        <v>82</v>
      </c>
      <c r="E215" s="20">
        <v>1</v>
      </c>
      <c r="F215" s="24">
        <v>19075108</v>
      </c>
      <c r="G215" s="25">
        <f t="shared" si="3"/>
        <v>19075108</v>
      </c>
    </row>
    <row r="216" spans="1:7" hidden="1" x14ac:dyDescent="0.3">
      <c r="A216" s="20">
        <v>215</v>
      </c>
      <c r="B216" s="20" t="s">
        <v>444</v>
      </c>
      <c r="C216" s="20" t="s">
        <v>445</v>
      </c>
      <c r="D216" s="22" t="s">
        <v>82</v>
      </c>
      <c r="E216" s="20">
        <v>1</v>
      </c>
      <c r="F216" s="24">
        <v>19075108</v>
      </c>
      <c r="G216" s="25">
        <f t="shared" si="3"/>
        <v>19075108</v>
      </c>
    </row>
    <row r="217" spans="1:7" hidden="1" x14ac:dyDescent="0.3">
      <c r="A217" s="20">
        <v>216</v>
      </c>
      <c r="B217" s="20" t="s">
        <v>446</v>
      </c>
      <c r="C217" s="20" t="s">
        <v>447</v>
      </c>
      <c r="D217" s="22" t="s">
        <v>82</v>
      </c>
      <c r="E217" s="20">
        <v>1</v>
      </c>
      <c r="F217" s="24">
        <v>19075108</v>
      </c>
      <c r="G217" s="25">
        <f t="shared" si="3"/>
        <v>19075108</v>
      </c>
    </row>
    <row r="218" spans="1:7" hidden="1" x14ac:dyDescent="0.3">
      <c r="A218" s="20">
        <v>217</v>
      </c>
      <c r="B218" s="20" t="s">
        <v>448</v>
      </c>
      <c r="C218" s="20" t="s">
        <v>449</v>
      </c>
      <c r="D218" s="22" t="s">
        <v>82</v>
      </c>
      <c r="E218" s="20">
        <v>1</v>
      </c>
      <c r="F218" s="24">
        <v>23121344</v>
      </c>
      <c r="G218" s="25">
        <f t="shared" si="3"/>
        <v>23121344</v>
      </c>
    </row>
    <row r="219" spans="1:7" hidden="1" x14ac:dyDescent="0.3">
      <c r="A219" s="20">
        <v>218</v>
      </c>
      <c r="B219" s="20" t="s">
        <v>450</v>
      </c>
      <c r="C219" s="20" t="s">
        <v>451</v>
      </c>
      <c r="D219" s="22" t="s">
        <v>82</v>
      </c>
      <c r="E219" s="20">
        <v>1</v>
      </c>
      <c r="F219" s="24">
        <v>43080843</v>
      </c>
      <c r="G219" s="25">
        <f t="shared" si="3"/>
        <v>43080843</v>
      </c>
    </row>
    <row r="220" spans="1:7" hidden="1" x14ac:dyDescent="0.3">
      <c r="A220" s="20">
        <v>219</v>
      </c>
      <c r="B220" s="20" t="s">
        <v>452</v>
      </c>
      <c r="C220" s="20" t="s">
        <v>453</v>
      </c>
      <c r="D220" s="22" t="s">
        <v>82</v>
      </c>
      <c r="E220" s="20">
        <v>1</v>
      </c>
      <c r="F220" s="24">
        <v>2427741</v>
      </c>
      <c r="G220" s="25">
        <f t="shared" si="3"/>
        <v>2427741</v>
      </c>
    </row>
    <row r="221" spans="1:7" hidden="1" x14ac:dyDescent="0.3">
      <c r="A221" s="20">
        <v>220</v>
      </c>
      <c r="B221" s="20" t="s">
        <v>454</v>
      </c>
      <c r="C221" s="20" t="s">
        <v>455</v>
      </c>
      <c r="D221" s="22" t="s">
        <v>82</v>
      </c>
      <c r="E221" s="20">
        <v>1</v>
      </c>
      <c r="F221" s="24">
        <v>2554908</v>
      </c>
      <c r="G221" s="25">
        <f t="shared" si="3"/>
        <v>2554908</v>
      </c>
    </row>
    <row r="222" spans="1:7" hidden="1" x14ac:dyDescent="0.3">
      <c r="A222" s="20">
        <v>221</v>
      </c>
      <c r="B222" s="20" t="s">
        <v>456</v>
      </c>
      <c r="C222" s="20" t="s">
        <v>457</v>
      </c>
      <c r="D222" s="22" t="s">
        <v>82</v>
      </c>
      <c r="E222" s="20">
        <v>1</v>
      </c>
      <c r="F222" s="24">
        <v>2630053</v>
      </c>
      <c r="G222" s="25">
        <f t="shared" si="3"/>
        <v>2630053</v>
      </c>
    </row>
    <row r="223" spans="1:7" hidden="1" x14ac:dyDescent="0.3">
      <c r="A223" s="20">
        <v>222</v>
      </c>
      <c r="B223" s="20" t="s">
        <v>458</v>
      </c>
      <c r="C223" s="20" t="s">
        <v>459</v>
      </c>
      <c r="D223" s="22" t="s">
        <v>82</v>
      </c>
      <c r="E223" s="20">
        <v>1</v>
      </c>
      <c r="F223" s="24">
        <v>2745660</v>
      </c>
      <c r="G223" s="25">
        <f t="shared" si="3"/>
        <v>2745660</v>
      </c>
    </row>
    <row r="224" spans="1:7" hidden="1" x14ac:dyDescent="0.3">
      <c r="A224" s="20">
        <v>223</v>
      </c>
      <c r="B224" s="20" t="s">
        <v>460</v>
      </c>
      <c r="C224" s="20" t="s">
        <v>461</v>
      </c>
      <c r="D224" s="22" t="s">
        <v>82</v>
      </c>
      <c r="E224" s="20">
        <v>1</v>
      </c>
      <c r="F224" s="24">
        <v>2861266</v>
      </c>
      <c r="G224" s="25">
        <f t="shared" si="3"/>
        <v>2861266</v>
      </c>
    </row>
    <row r="225" spans="1:7" hidden="1" x14ac:dyDescent="0.3">
      <c r="A225" s="20">
        <v>224</v>
      </c>
      <c r="B225" s="20" t="s">
        <v>462</v>
      </c>
      <c r="C225" s="20" t="s">
        <v>463</v>
      </c>
      <c r="D225" s="22" t="s">
        <v>82</v>
      </c>
      <c r="E225" s="20">
        <v>1</v>
      </c>
      <c r="F225" s="24">
        <v>6098559</v>
      </c>
      <c r="G225" s="25">
        <f t="shared" si="3"/>
        <v>6098559</v>
      </c>
    </row>
    <row r="226" spans="1:7" hidden="1" x14ac:dyDescent="0.3">
      <c r="A226" s="20">
        <v>225</v>
      </c>
      <c r="B226" s="20" t="s">
        <v>464</v>
      </c>
      <c r="C226" s="20" t="s">
        <v>465</v>
      </c>
      <c r="D226" s="22" t="s">
        <v>82</v>
      </c>
      <c r="E226" s="20">
        <v>1</v>
      </c>
      <c r="F226" s="24">
        <v>6098559</v>
      </c>
      <c r="G226" s="25">
        <f t="shared" si="3"/>
        <v>6098559</v>
      </c>
    </row>
    <row r="227" spans="1:7" hidden="1" x14ac:dyDescent="0.3">
      <c r="A227" s="20">
        <v>226</v>
      </c>
      <c r="B227" s="20" t="s">
        <v>466</v>
      </c>
      <c r="C227" s="20" t="s">
        <v>467</v>
      </c>
      <c r="D227" s="22" t="s">
        <v>82</v>
      </c>
      <c r="E227" s="20">
        <v>1</v>
      </c>
      <c r="F227" s="24">
        <v>6098559</v>
      </c>
      <c r="G227" s="25">
        <f t="shared" si="3"/>
        <v>6098559</v>
      </c>
    </row>
    <row r="228" spans="1:7" hidden="1" x14ac:dyDescent="0.3">
      <c r="A228" s="20">
        <v>227</v>
      </c>
      <c r="B228" s="20" t="s">
        <v>468</v>
      </c>
      <c r="C228" s="20" t="s">
        <v>469</v>
      </c>
      <c r="D228" s="22" t="s">
        <v>82</v>
      </c>
      <c r="E228" s="20">
        <v>1</v>
      </c>
      <c r="F228" s="24">
        <v>6098559</v>
      </c>
      <c r="G228" s="25">
        <f t="shared" si="3"/>
        <v>6098559</v>
      </c>
    </row>
    <row r="229" spans="1:7" hidden="1" x14ac:dyDescent="0.3">
      <c r="A229" s="20">
        <v>228</v>
      </c>
      <c r="B229" s="20" t="s">
        <v>470</v>
      </c>
      <c r="C229" s="20" t="s">
        <v>471</v>
      </c>
      <c r="D229" s="22" t="s">
        <v>82</v>
      </c>
      <c r="E229" s="20">
        <v>1</v>
      </c>
      <c r="F229" s="24">
        <v>6098559</v>
      </c>
      <c r="G229" s="25">
        <f t="shared" si="3"/>
        <v>6098559</v>
      </c>
    </row>
    <row r="230" spans="1:7" hidden="1" x14ac:dyDescent="0.3">
      <c r="A230" s="20">
        <v>229</v>
      </c>
      <c r="B230" s="20" t="s">
        <v>472</v>
      </c>
      <c r="C230" s="20" t="s">
        <v>473</v>
      </c>
      <c r="D230" s="22" t="s">
        <v>82</v>
      </c>
      <c r="E230" s="20">
        <v>1</v>
      </c>
      <c r="F230" s="24">
        <v>2604464</v>
      </c>
      <c r="G230" s="25">
        <f t="shared" si="3"/>
        <v>2604464</v>
      </c>
    </row>
    <row r="231" spans="1:7" hidden="1" x14ac:dyDescent="0.3">
      <c r="A231" s="20">
        <v>230</v>
      </c>
      <c r="B231" s="20" t="s">
        <v>474</v>
      </c>
      <c r="C231" s="20" t="s">
        <v>475</v>
      </c>
      <c r="D231" s="22" t="s">
        <v>82</v>
      </c>
      <c r="E231" s="20">
        <v>1</v>
      </c>
      <c r="F231" s="24">
        <v>2604464</v>
      </c>
      <c r="G231" s="25">
        <f t="shared" si="3"/>
        <v>2604464</v>
      </c>
    </row>
    <row r="232" spans="1:7" hidden="1" x14ac:dyDescent="0.3">
      <c r="A232" s="20">
        <v>231</v>
      </c>
      <c r="B232" s="20" t="s">
        <v>476</v>
      </c>
      <c r="C232" s="20" t="s">
        <v>477</v>
      </c>
      <c r="D232" s="22" t="s">
        <v>82</v>
      </c>
      <c r="E232" s="20">
        <v>1</v>
      </c>
      <c r="F232" s="24">
        <v>2604464</v>
      </c>
      <c r="G232" s="25">
        <f t="shared" si="3"/>
        <v>2604464</v>
      </c>
    </row>
    <row r="233" spans="1:7" hidden="1" x14ac:dyDescent="0.3">
      <c r="A233" s="20">
        <v>232</v>
      </c>
      <c r="B233" s="20" t="s">
        <v>478</v>
      </c>
      <c r="C233" s="20" t="s">
        <v>479</v>
      </c>
      <c r="D233" s="22" t="s">
        <v>82</v>
      </c>
      <c r="E233" s="20">
        <v>1</v>
      </c>
      <c r="F233" s="24">
        <v>2604464</v>
      </c>
      <c r="G233" s="25">
        <f t="shared" si="3"/>
        <v>2604464</v>
      </c>
    </row>
    <row r="234" spans="1:7" hidden="1" x14ac:dyDescent="0.3">
      <c r="A234" s="20">
        <v>233</v>
      </c>
      <c r="B234" s="20" t="s">
        <v>480</v>
      </c>
      <c r="C234" s="20" t="s">
        <v>481</v>
      </c>
      <c r="D234" s="22" t="s">
        <v>82</v>
      </c>
      <c r="E234" s="20">
        <v>1</v>
      </c>
      <c r="F234" s="24">
        <v>2604464</v>
      </c>
      <c r="G234" s="25">
        <f t="shared" si="3"/>
        <v>2604464</v>
      </c>
    </row>
    <row r="235" spans="1:7" hidden="1" x14ac:dyDescent="0.3">
      <c r="A235" s="20">
        <v>234</v>
      </c>
      <c r="B235" s="20" t="s">
        <v>482</v>
      </c>
      <c r="C235" s="20" t="s">
        <v>483</v>
      </c>
      <c r="D235" s="22" t="s">
        <v>82</v>
      </c>
      <c r="E235" s="20">
        <v>1</v>
      </c>
      <c r="F235" s="24">
        <v>30210926</v>
      </c>
      <c r="G235" s="25">
        <f t="shared" si="3"/>
        <v>30210926</v>
      </c>
    </row>
    <row r="236" spans="1:7" hidden="1" x14ac:dyDescent="0.3">
      <c r="A236" s="20">
        <v>235</v>
      </c>
      <c r="B236" s="20" t="s">
        <v>484</v>
      </c>
      <c r="C236" s="20" t="s">
        <v>485</v>
      </c>
      <c r="D236" s="22" t="s">
        <v>82</v>
      </c>
      <c r="E236" s="20">
        <v>1</v>
      </c>
      <c r="F236" s="24">
        <v>26408621</v>
      </c>
      <c r="G236" s="25">
        <f t="shared" si="3"/>
        <v>26408621</v>
      </c>
    </row>
    <row r="237" spans="1:7" hidden="1" x14ac:dyDescent="0.3">
      <c r="A237" s="20">
        <v>236</v>
      </c>
      <c r="B237" s="20" t="s">
        <v>486</v>
      </c>
      <c r="C237" s="20" t="s">
        <v>487</v>
      </c>
      <c r="D237" s="22" t="s">
        <v>82</v>
      </c>
      <c r="E237" s="20">
        <v>1</v>
      </c>
      <c r="F237" s="24">
        <v>28071623</v>
      </c>
      <c r="G237" s="25">
        <f t="shared" si="3"/>
        <v>28071623</v>
      </c>
    </row>
    <row r="238" spans="1:7" hidden="1" x14ac:dyDescent="0.3">
      <c r="A238" s="20">
        <v>237</v>
      </c>
      <c r="B238" s="20" t="s">
        <v>488</v>
      </c>
      <c r="C238" s="20" t="s">
        <v>489</v>
      </c>
      <c r="D238" s="22" t="s">
        <v>82</v>
      </c>
      <c r="E238" s="20">
        <v>1</v>
      </c>
      <c r="F238" s="24">
        <v>28062953</v>
      </c>
      <c r="G238" s="25">
        <f t="shared" si="3"/>
        <v>28062953</v>
      </c>
    </row>
    <row r="239" spans="1:7" hidden="1" x14ac:dyDescent="0.3">
      <c r="A239" s="20">
        <v>238</v>
      </c>
      <c r="B239" s="20" t="s">
        <v>490</v>
      </c>
      <c r="C239" s="20" t="s">
        <v>491</v>
      </c>
      <c r="D239" s="22" t="s">
        <v>82</v>
      </c>
      <c r="E239" s="20">
        <v>1</v>
      </c>
      <c r="F239" s="24">
        <v>33286064</v>
      </c>
      <c r="G239" s="25">
        <f t="shared" si="3"/>
        <v>33286064</v>
      </c>
    </row>
    <row r="240" spans="1:7" hidden="1" x14ac:dyDescent="0.3">
      <c r="A240" s="20">
        <v>239</v>
      </c>
      <c r="B240" s="20" t="s">
        <v>492</v>
      </c>
      <c r="C240" s="20" t="s">
        <v>493</v>
      </c>
      <c r="D240" s="22" t="s">
        <v>82</v>
      </c>
      <c r="E240" s="20">
        <v>1</v>
      </c>
      <c r="F240" s="24">
        <v>56812609</v>
      </c>
      <c r="G240" s="25">
        <f t="shared" si="3"/>
        <v>56812609</v>
      </c>
    </row>
    <row r="241" spans="1:7" hidden="1" x14ac:dyDescent="0.3">
      <c r="A241" s="20">
        <v>240</v>
      </c>
      <c r="B241" s="20" t="s">
        <v>494</v>
      </c>
      <c r="C241" s="20" t="s">
        <v>495</v>
      </c>
      <c r="D241" s="22" t="s">
        <v>82</v>
      </c>
      <c r="E241" s="20">
        <v>1</v>
      </c>
      <c r="F241" s="24">
        <v>22283195</v>
      </c>
      <c r="G241" s="25">
        <f t="shared" si="3"/>
        <v>22283195</v>
      </c>
    </row>
    <row r="242" spans="1:7" hidden="1" x14ac:dyDescent="0.3">
      <c r="A242" s="20">
        <v>241</v>
      </c>
      <c r="B242" s="20" t="s">
        <v>496</v>
      </c>
      <c r="C242" s="20" t="s">
        <v>497</v>
      </c>
      <c r="D242" s="22" t="s">
        <v>82</v>
      </c>
      <c r="E242" s="20">
        <v>1</v>
      </c>
      <c r="F242" s="24">
        <v>19971061</v>
      </c>
      <c r="G242" s="25">
        <f t="shared" si="3"/>
        <v>19971061</v>
      </c>
    </row>
    <row r="243" spans="1:7" hidden="1" x14ac:dyDescent="0.3">
      <c r="A243" s="20">
        <v>242</v>
      </c>
      <c r="B243" s="20" t="s">
        <v>498</v>
      </c>
      <c r="C243" s="20" t="s">
        <v>499</v>
      </c>
      <c r="D243" s="22" t="s">
        <v>82</v>
      </c>
      <c r="E243" s="20">
        <v>1</v>
      </c>
      <c r="F243" s="24">
        <v>19971061</v>
      </c>
      <c r="G243" s="25">
        <f t="shared" si="3"/>
        <v>19971061</v>
      </c>
    </row>
    <row r="244" spans="1:7" hidden="1" x14ac:dyDescent="0.3">
      <c r="A244" s="20">
        <v>243</v>
      </c>
      <c r="B244" s="20" t="s">
        <v>500</v>
      </c>
      <c r="C244" s="20" t="s">
        <v>501</v>
      </c>
      <c r="D244" s="22" t="s">
        <v>82</v>
      </c>
      <c r="E244" s="20">
        <v>1</v>
      </c>
      <c r="F244" s="24">
        <v>19971061</v>
      </c>
      <c r="G244" s="25">
        <f t="shared" si="3"/>
        <v>19971061</v>
      </c>
    </row>
    <row r="245" spans="1:7" hidden="1" x14ac:dyDescent="0.3">
      <c r="A245" s="20">
        <v>244</v>
      </c>
      <c r="B245" s="20" t="s">
        <v>502</v>
      </c>
      <c r="C245" s="20" t="s">
        <v>503</v>
      </c>
      <c r="D245" s="22" t="s">
        <v>82</v>
      </c>
      <c r="E245" s="20">
        <v>1</v>
      </c>
      <c r="F245" s="24">
        <v>23439262</v>
      </c>
      <c r="G245" s="25">
        <f t="shared" si="3"/>
        <v>23439262</v>
      </c>
    </row>
    <row r="246" spans="1:7" hidden="1" x14ac:dyDescent="0.3">
      <c r="A246" s="20">
        <v>245</v>
      </c>
      <c r="B246" s="20" t="s">
        <v>504</v>
      </c>
      <c r="C246" s="20" t="s">
        <v>505</v>
      </c>
      <c r="D246" s="22" t="s">
        <v>82</v>
      </c>
      <c r="E246" s="20">
        <v>1</v>
      </c>
      <c r="F246" s="24">
        <v>48019562</v>
      </c>
      <c r="G246" s="25">
        <f t="shared" si="3"/>
        <v>48019562</v>
      </c>
    </row>
    <row r="247" spans="1:7" hidden="1" x14ac:dyDescent="0.3">
      <c r="A247" s="20">
        <v>246</v>
      </c>
      <c r="B247" s="20" t="s">
        <v>506</v>
      </c>
      <c r="C247" s="20" t="s">
        <v>507</v>
      </c>
      <c r="D247" s="22" t="s">
        <v>82</v>
      </c>
      <c r="E247" s="20">
        <v>1</v>
      </c>
      <c r="F247" s="24">
        <v>33525948</v>
      </c>
      <c r="G247" s="25">
        <f t="shared" si="3"/>
        <v>33525948</v>
      </c>
    </row>
    <row r="248" spans="1:7" hidden="1" x14ac:dyDescent="0.3">
      <c r="A248" s="20">
        <v>247</v>
      </c>
      <c r="B248" s="20" t="s">
        <v>508</v>
      </c>
      <c r="C248" s="20" t="s">
        <v>509</v>
      </c>
      <c r="D248" s="22" t="s">
        <v>82</v>
      </c>
      <c r="E248" s="20">
        <v>1</v>
      </c>
      <c r="F248" s="24">
        <v>33525948</v>
      </c>
      <c r="G248" s="25">
        <f t="shared" si="3"/>
        <v>33525948</v>
      </c>
    </row>
    <row r="249" spans="1:7" hidden="1" x14ac:dyDescent="0.3">
      <c r="A249" s="20">
        <v>248</v>
      </c>
      <c r="B249" s="20" t="s">
        <v>510</v>
      </c>
      <c r="C249" s="20" t="s">
        <v>511</v>
      </c>
      <c r="D249" s="22" t="s">
        <v>82</v>
      </c>
      <c r="E249" s="20">
        <v>1</v>
      </c>
      <c r="F249" s="24">
        <v>33525948</v>
      </c>
      <c r="G249" s="25">
        <f t="shared" si="3"/>
        <v>33525948</v>
      </c>
    </row>
    <row r="250" spans="1:7" hidden="1" x14ac:dyDescent="0.3">
      <c r="A250" s="20">
        <v>249</v>
      </c>
      <c r="B250" s="20" t="s">
        <v>512</v>
      </c>
      <c r="C250" s="20" t="s">
        <v>513</v>
      </c>
      <c r="D250" s="22" t="s">
        <v>82</v>
      </c>
      <c r="E250" s="20">
        <v>1</v>
      </c>
      <c r="F250" s="24">
        <v>33525948</v>
      </c>
      <c r="G250" s="25">
        <f t="shared" si="3"/>
        <v>33525948</v>
      </c>
    </row>
    <row r="251" spans="1:7" hidden="1" x14ac:dyDescent="0.3">
      <c r="A251" s="20">
        <v>250</v>
      </c>
      <c r="B251" s="20" t="s">
        <v>514</v>
      </c>
      <c r="C251" s="20" t="s">
        <v>515</v>
      </c>
      <c r="D251" s="22" t="s">
        <v>82</v>
      </c>
      <c r="E251" s="20">
        <v>1</v>
      </c>
      <c r="F251" s="24">
        <v>47398754</v>
      </c>
      <c r="G251" s="25">
        <f t="shared" si="3"/>
        <v>47398754</v>
      </c>
    </row>
    <row r="252" spans="1:7" hidden="1" x14ac:dyDescent="0.3">
      <c r="A252" s="20">
        <v>251</v>
      </c>
      <c r="B252" s="20" t="s">
        <v>516</v>
      </c>
      <c r="C252" s="20" t="s">
        <v>517</v>
      </c>
      <c r="D252" s="22" t="s">
        <v>82</v>
      </c>
      <c r="E252" s="20">
        <v>1</v>
      </c>
      <c r="F252" s="24">
        <v>15780317</v>
      </c>
      <c r="G252" s="25">
        <f t="shared" si="3"/>
        <v>15780317</v>
      </c>
    </row>
    <row r="253" spans="1:7" hidden="1" x14ac:dyDescent="0.3">
      <c r="A253" s="20">
        <v>252</v>
      </c>
      <c r="B253" s="20" t="s">
        <v>518</v>
      </c>
      <c r="C253" s="20" t="s">
        <v>519</v>
      </c>
      <c r="D253" s="22" t="s">
        <v>82</v>
      </c>
      <c r="E253" s="20">
        <v>1</v>
      </c>
      <c r="F253" s="24">
        <v>15780317</v>
      </c>
      <c r="G253" s="25">
        <f t="shared" si="3"/>
        <v>15780317</v>
      </c>
    </row>
    <row r="254" spans="1:7" hidden="1" x14ac:dyDescent="0.3">
      <c r="A254" s="20">
        <v>253</v>
      </c>
      <c r="B254" s="20" t="s">
        <v>520</v>
      </c>
      <c r="C254" s="20" t="s">
        <v>521</v>
      </c>
      <c r="D254" s="22" t="s">
        <v>82</v>
      </c>
      <c r="E254" s="20">
        <v>1</v>
      </c>
      <c r="F254" s="24">
        <v>15780317</v>
      </c>
      <c r="G254" s="25">
        <f t="shared" si="3"/>
        <v>15780317</v>
      </c>
    </row>
    <row r="255" spans="1:7" hidden="1" x14ac:dyDescent="0.3">
      <c r="A255" s="20">
        <v>254</v>
      </c>
      <c r="B255" s="20" t="s">
        <v>522</v>
      </c>
      <c r="C255" s="20" t="s">
        <v>523</v>
      </c>
      <c r="D255" s="22" t="s">
        <v>82</v>
      </c>
      <c r="E255" s="20">
        <v>1</v>
      </c>
      <c r="F255" s="24">
        <v>15780317</v>
      </c>
      <c r="G255" s="25">
        <f t="shared" si="3"/>
        <v>15780317</v>
      </c>
    </row>
    <row r="256" spans="1:7" hidden="1" x14ac:dyDescent="0.3">
      <c r="A256" s="20">
        <v>255</v>
      </c>
      <c r="B256" s="20" t="s">
        <v>524</v>
      </c>
      <c r="C256" s="20" t="s">
        <v>525</v>
      </c>
      <c r="D256" s="22" t="s">
        <v>82</v>
      </c>
      <c r="E256" s="20">
        <v>1</v>
      </c>
      <c r="F256" s="24">
        <v>25144461</v>
      </c>
      <c r="G256" s="25">
        <f t="shared" si="3"/>
        <v>25144461</v>
      </c>
    </row>
    <row r="257" spans="1:7" hidden="1" x14ac:dyDescent="0.3">
      <c r="A257" s="20">
        <v>256</v>
      </c>
      <c r="B257" s="20" t="s">
        <v>526</v>
      </c>
      <c r="C257" s="20" t="s">
        <v>527</v>
      </c>
      <c r="D257" s="22" t="s">
        <v>82</v>
      </c>
      <c r="E257" s="20">
        <v>1</v>
      </c>
      <c r="F257" s="24">
        <v>38641545</v>
      </c>
      <c r="G257" s="25">
        <f t="shared" si="3"/>
        <v>38641545</v>
      </c>
    </row>
    <row r="258" spans="1:7" hidden="1" x14ac:dyDescent="0.3">
      <c r="A258" s="20">
        <v>257</v>
      </c>
      <c r="B258" s="20" t="s">
        <v>528</v>
      </c>
      <c r="C258" s="20" t="s">
        <v>529</v>
      </c>
      <c r="D258" s="22" t="s">
        <v>82</v>
      </c>
      <c r="E258" s="20">
        <v>1</v>
      </c>
      <c r="F258" s="24">
        <v>90828122</v>
      </c>
      <c r="G258" s="25">
        <f t="shared" si="3"/>
        <v>90828122</v>
      </c>
    </row>
    <row r="259" spans="1:7" hidden="1" x14ac:dyDescent="0.3">
      <c r="A259" s="20">
        <v>258</v>
      </c>
      <c r="B259" s="20" t="s">
        <v>530</v>
      </c>
      <c r="C259" s="20" t="s">
        <v>531</v>
      </c>
      <c r="D259" s="22" t="s">
        <v>37</v>
      </c>
      <c r="E259" s="23">
        <v>2500</v>
      </c>
      <c r="F259" s="24">
        <v>11835</v>
      </c>
      <c r="G259" s="25">
        <f t="shared" ref="G259:G322" si="4">+E259*F259</f>
        <v>29587500</v>
      </c>
    </row>
    <row r="260" spans="1:7" hidden="1" x14ac:dyDescent="0.3">
      <c r="A260" s="20">
        <v>259</v>
      </c>
      <c r="B260" s="20" t="s">
        <v>532</v>
      </c>
      <c r="C260" s="20" t="s">
        <v>533</v>
      </c>
      <c r="D260" s="22" t="s">
        <v>37</v>
      </c>
      <c r="E260" s="23">
        <v>14000</v>
      </c>
      <c r="F260" s="24">
        <v>6676</v>
      </c>
      <c r="G260" s="25">
        <f t="shared" si="4"/>
        <v>93464000</v>
      </c>
    </row>
    <row r="261" spans="1:7" hidden="1" x14ac:dyDescent="0.3">
      <c r="A261" s="20">
        <v>260</v>
      </c>
      <c r="B261" s="20" t="s">
        <v>534</v>
      </c>
      <c r="C261" s="20" t="s">
        <v>535</v>
      </c>
      <c r="D261" s="22" t="s">
        <v>82</v>
      </c>
      <c r="E261" s="20">
        <v>1</v>
      </c>
      <c r="F261" s="24">
        <v>22543310</v>
      </c>
      <c r="G261" s="25">
        <f t="shared" si="4"/>
        <v>22543310</v>
      </c>
    </row>
    <row r="262" spans="1:7" hidden="1" x14ac:dyDescent="0.3">
      <c r="A262" s="20">
        <v>261</v>
      </c>
      <c r="B262" s="21" t="s">
        <v>536</v>
      </c>
      <c r="C262" s="20" t="s">
        <v>537</v>
      </c>
      <c r="D262" s="22" t="s">
        <v>538</v>
      </c>
      <c r="E262" s="20">
        <v>1</v>
      </c>
      <c r="F262" s="24">
        <v>283693978</v>
      </c>
      <c r="G262" s="25">
        <f t="shared" si="4"/>
        <v>283693978</v>
      </c>
    </row>
    <row r="263" spans="1:7" hidden="1" x14ac:dyDescent="0.3">
      <c r="A263" s="20">
        <v>262</v>
      </c>
      <c r="B263" s="21" t="s">
        <v>539</v>
      </c>
      <c r="C263" s="20" t="s">
        <v>540</v>
      </c>
      <c r="D263" s="22" t="s">
        <v>82</v>
      </c>
      <c r="E263" s="20">
        <v>1</v>
      </c>
      <c r="F263" s="24">
        <v>143604252</v>
      </c>
      <c r="G263" s="25">
        <f t="shared" si="4"/>
        <v>143604252</v>
      </c>
    </row>
    <row r="264" spans="1:7" hidden="1" x14ac:dyDescent="0.3">
      <c r="A264" s="20">
        <v>263</v>
      </c>
      <c r="B264" s="21" t="s">
        <v>541</v>
      </c>
      <c r="C264" s="20" t="s">
        <v>542</v>
      </c>
      <c r="D264" s="22" t="s">
        <v>82</v>
      </c>
      <c r="E264" s="20">
        <v>1</v>
      </c>
      <c r="F264" s="24">
        <v>95736168</v>
      </c>
      <c r="G264" s="25">
        <f t="shared" si="4"/>
        <v>95736168</v>
      </c>
    </row>
    <row r="265" spans="1:7" hidden="1" x14ac:dyDescent="0.3">
      <c r="A265" s="20">
        <v>264</v>
      </c>
      <c r="B265" s="20" t="s">
        <v>543</v>
      </c>
      <c r="C265" s="20" t="s">
        <v>544</v>
      </c>
      <c r="D265" s="22" t="s">
        <v>82</v>
      </c>
      <c r="E265" s="20">
        <v>1</v>
      </c>
      <c r="F265" s="24">
        <v>1668787435</v>
      </c>
      <c r="G265" s="25">
        <f t="shared" si="4"/>
        <v>1668787435</v>
      </c>
    </row>
    <row r="266" spans="1:7" hidden="1" x14ac:dyDescent="0.3">
      <c r="A266" s="20">
        <v>265</v>
      </c>
      <c r="B266" s="20" t="s">
        <v>545</v>
      </c>
      <c r="C266" s="20" t="s">
        <v>546</v>
      </c>
      <c r="D266" s="22" t="s">
        <v>82</v>
      </c>
      <c r="E266" s="20">
        <v>1</v>
      </c>
      <c r="F266" s="24">
        <v>450401959</v>
      </c>
      <c r="G266" s="25">
        <f t="shared" si="4"/>
        <v>450401959</v>
      </c>
    </row>
    <row r="267" spans="1:7" hidden="1" x14ac:dyDescent="0.3">
      <c r="A267" s="20">
        <v>266</v>
      </c>
      <c r="B267" s="20" t="s">
        <v>547</v>
      </c>
      <c r="C267" s="20" t="s">
        <v>548</v>
      </c>
      <c r="D267" s="22" t="s">
        <v>42</v>
      </c>
      <c r="E267" s="20">
        <v>29</v>
      </c>
      <c r="F267" s="24">
        <v>99900</v>
      </c>
      <c r="G267" s="25">
        <f t="shared" si="4"/>
        <v>2897100</v>
      </c>
    </row>
    <row r="268" spans="1:7" hidden="1" x14ac:dyDescent="0.3">
      <c r="A268" s="20">
        <v>267</v>
      </c>
      <c r="B268" s="20" t="s">
        <v>549</v>
      </c>
      <c r="C268" s="20" t="s">
        <v>550</v>
      </c>
      <c r="D268" s="22" t="s">
        <v>42</v>
      </c>
      <c r="E268" s="20">
        <v>29</v>
      </c>
      <c r="F268" s="24">
        <v>111000</v>
      </c>
      <c r="G268" s="25">
        <f t="shared" si="4"/>
        <v>3219000</v>
      </c>
    </row>
    <row r="269" spans="1:7" hidden="1" x14ac:dyDescent="0.3">
      <c r="A269" s="20">
        <v>268</v>
      </c>
      <c r="B269" s="20" t="s">
        <v>551</v>
      </c>
      <c r="C269" s="20" t="s">
        <v>552</v>
      </c>
      <c r="D269" s="22" t="s">
        <v>42</v>
      </c>
      <c r="E269" s="20">
        <v>13</v>
      </c>
      <c r="F269" s="24">
        <v>3496500</v>
      </c>
      <c r="G269" s="25">
        <f t="shared" si="4"/>
        <v>45454500</v>
      </c>
    </row>
    <row r="270" spans="1:7" hidden="1" x14ac:dyDescent="0.3">
      <c r="A270" s="20">
        <v>269</v>
      </c>
      <c r="B270" s="21" t="s">
        <v>553</v>
      </c>
      <c r="C270" s="20" t="s">
        <v>554</v>
      </c>
      <c r="D270" s="22" t="s">
        <v>82</v>
      </c>
      <c r="E270" s="20">
        <v>44</v>
      </c>
      <c r="F270" s="24">
        <v>14652117</v>
      </c>
      <c r="G270" s="25">
        <f t="shared" si="4"/>
        <v>644693148</v>
      </c>
    </row>
    <row r="271" spans="1:7" hidden="1" x14ac:dyDescent="0.3">
      <c r="A271" s="20">
        <v>270</v>
      </c>
      <c r="B271" s="20" t="s">
        <v>555</v>
      </c>
      <c r="C271" s="20" t="s">
        <v>556</v>
      </c>
      <c r="D271" s="22" t="s">
        <v>82</v>
      </c>
      <c r="E271" s="20">
        <v>1</v>
      </c>
      <c r="F271" s="24">
        <v>3871125</v>
      </c>
      <c r="G271" s="25">
        <f t="shared" si="4"/>
        <v>3871125</v>
      </c>
    </row>
    <row r="272" spans="1:7" hidden="1" x14ac:dyDescent="0.3">
      <c r="A272" s="20">
        <v>271</v>
      </c>
      <c r="B272" s="20" t="s">
        <v>557</v>
      </c>
      <c r="C272" s="20" t="s">
        <v>558</v>
      </c>
      <c r="D272" s="22" t="s">
        <v>82</v>
      </c>
      <c r="E272" s="20">
        <v>1</v>
      </c>
      <c r="F272" s="24">
        <v>2150625</v>
      </c>
      <c r="G272" s="25">
        <f t="shared" si="4"/>
        <v>2150625</v>
      </c>
    </row>
    <row r="273" spans="1:7" hidden="1" x14ac:dyDescent="0.3">
      <c r="A273" s="20">
        <v>272</v>
      </c>
      <c r="B273" s="20" t="s">
        <v>559</v>
      </c>
      <c r="C273" s="20" t="s">
        <v>560</v>
      </c>
      <c r="D273" s="22" t="s">
        <v>82</v>
      </c>
      <c r="E273" s="20">
        <v>1</v>
      </c>
      <c r="F273" s="24">
        <v>2368000</v>
      </c>
      <c r="G273" s="25">
        <f t="shared" si="4"/>
        <v>2368000</v>
      </c>
    </row>
    <row r="274" spans="1:7" hidden="1" x14ac:dyDescent="0.3">
      <c r="A274" s="20">
        <v>273</v>
      </c>
      <c r="B274" s="20" t="s">
        <v>561</v>
      </c>
      <c r="C274" s="20" t="s">
        <v>562</v>
      </c>
      <c r="D274" s="22" t="s">
        <v>82</v>
      </c>
      <c r="E274" s="20">
        <v>1</v>
      </c>
      <c r="F274" s="24">
        <v>2890625</v>
      </c>
      <c r="G274" s="25">
        <f t="shared" si="4"/>
        <v>2890625</v>
      </c>
    </row>
    <row r="275" spans="1:7" hidden="1" x14ac:dyDescent="0.3">
      <c r="A275" s="20">
        <v>274</v>
      </c>
      <c r="B275" s="20" t="s">
        <v>563</v>
      </c>
      <c r="C275" s="20" t="s">
        <v>564</v>
      </c>
      <c r="D275" s="22" t="s">
        <v>82</v>
      </c>
      <c r="E275" s="20">
        <v>1</v>
      </c>
      <c r="F275" s="24">
        <v>1077625</v>
      </c>
      <c r="G275" s="25">
        <f t="shared" si="4"/>
        <v>1077625</v>
      </c>
    </row>
    <row r="276" spans="1:7" hidden="1" x14ac:dyDescent="0.3">
      <c r="A276" s="20">
        <v>275</v>
      </c>
      <c r="B276" s="20" t="s">
        <v>565</v>
      </c>
      <c r="C276" s="20" t="s">
        <v>566</v>
      </c>
      <c r="D276" s="22" t="s">
        <v>82</v>
      </c>
      <c r="E276" s="20">
        <v>1</v>
      </c>
      <c r="F276" s="24">
        <v>1077625</v>
      </c>
      <c r="G276" s="25">
        <f t="shared" si="4"/>
        <v>1077625</v>
      </c>
    </row>
    <row r="277" spans="1:7" hidden="1" x14ac:dyDescent="0.3">
      <c r="A277" s="20">
        <v>276</v>
      </c>
      <c r="B277" s="20" t="s">
        <v>567</v>
      </c>
      <c r="C277" s="20" t="s">
        <v>568</v>
      </c>
      <c r="D277" s="22" t="s">
        <v>82</v>
      </c>
      <c r="E277" s="20">
        <v>1</v>
      </c>
      <c r="F277" s="24">
        <v>434750</v>
      </c>
      <c r="G277" s="25">
        <f t="shared" si="4"/>
        <v>434750</v>
      </c>
    </row>
    <row r="278" spans="1:7" hidden="1" x14ac:dyDescent="0.3">
      <c r="A278" s="20">
        <v>277</v>
      </c>
      <c r="B278" s="20" t="s">
        <v>569</v>
      </c>
      <c r="C278" s="20" t="s">
        <v>570</v>
      </c>
      <c r="D278" s="22" t="s">
        <v>82</v>
      </c>
      <c r="E278" s="20">
        <v>1</v>
      </c>
      <c r="F278" s="24">
        <v>1077625</v>
      </c>
      <c r="G278" s="25">
        <f t="shared" si="4"/>
        <v>1077625</v>
      </c>
    </row>
    <row r="279" spans="1:7" hidden="1" x14ac:dyDescent="0.3">
      <c r="A279" s="20">
        <v>278</v>
      </c>
      <c r="B279" s="20" t="s">
        <v>571</v>
      </c>
      <c r="C279" s="20" t="s">
        <v>572</v>
      </c>
      <c r="D279" s="22" t="s">
        <v>82</v>
      </c>
      <c r="E279" s="20">
        <v>1</v>
      </c>
      <c r="F279" s="24">
        <v>864875</v>
      </c>
      <c r="G279" s="25">
        <f t="shared" si="4"/>
        <v>864875</v>
      </c>
    </row>
    <row r="280" spans="1:7" hidden="1" x14ac:dyDescent="0.3">
      <c r="A280" s="20">
        <v>279</v>
      </c>
      <c r="B280" s="20" t="s">
        <v>573</v>
      </c>
      <c r="C280" s="20" t="s">
        <v>574</v>
      </c>
      <c r="D280" s="22" t="s">
        <v>82</v>
      </c>
      <c r="E280" s="20">
        <v>1</v>
      </c>
      <c r="F280" s="24">
        <v>864875</v>
      </c>
      <c r="G280" s="25">
        <f t="shared" si="4"/>
        <v>864875</v>
      </c>
    </row>
    <row r="281" spans="1:7" hidden="1" x14ac:dyDescent="0.3">
      <c r="A281" s="20">
        <v>280</v>
      </c>
      <c r="B281" s="20" t="s">
        <v>575</v>
      </c>
      <c r="C281" s="20" t="s">
        <v>576</v>
      </c>
      <c r="D281" s="22" t="s">
        <v>82</v>
      </c>
      <c r="E281" s="20">
        <v>1</v>
      </c>
      <c r="F281" s="24">
        <v>11119432</v>
      </c>
      <c r="G281" s="25">
        <f t="shared" si="4"/>
        <v>11119432</v>
      </c>
    </row>
    <row r="282" spans="1:7" hidden="1" x14ac:dyDescent="0.3">
      <c r="A282" s="20">
        <v>281</v>
      </c>
      <c r="B282" s="20" t="s">
        <v>577</v>
      </c>
      <c r="C282" s="20" t="s">
        <v>578</v>
      </c>
      <c r="D282" s="22" t="s">
        <v>82</v>
      </c>
      <c r="E282" s="20">
        <v>1</v>
      </c>
      <c r="F282" s="24">
        <v>12141908</v>
      </c>
      <c r="G282" s="25">
        <f t="shared" si="4"/>
        <v>12141908</v>
      </c>
    </row>
    <row r="283" spans="1:7" hidden="1" x14ac:dyDescent="0.3">
      <c r="A283" s="20">
        <v>282</v>
      </c>
      <c r="B283" s="20" t="s">
        <v>579</v>
      </c>
      <c r="C283" s="20" t="s">
        <v>580</v>
      </c>
      <c r="D283" s="22" t="s">
        <v>82</v>
      </c>
      <c r="E283" s="20">
        <v>1</v>
      </c>
      <c r="F283" s="24">
        <v>12780956</v>
      </c>
      <c r="G283" s="25">
        <f>+E283*F283</f>
        <v>12780956</v>
      </c>
    </row>
    <row r="284" spans="1:7" hidden="1" x14ac:dyDescent="0.3">
      <c r="A284" s="20">
        <v>283</v>
      </c>
      <c r="B284" s="20" t="s">
        <v>581</v>
      </c>
      <c r="C284" s="20" t="s">
        <v>582</v>
      </c>
      <c r="D284" s="22" t="s">
        <v>82</v>
      </c>
      <c r="E284" s="20">
        <v>1</v>
      </c>
      <c r="F284" s="24">
        <v>11502861</v>
      </c>
      <c r="G284" s="25">
        <f t="shared" si="4"/>
        <v>11502861</v>
      </c>
    </row>
    <row r="285" spans="1:7" hidden="1" x14ac:dyDescent="0.3">
      <c r="A285" s="20">
        <v>284</v>
      </c>
      <c r="B285" s="20" t="s">
        <v>583</v>
      </c>
      <c r="C285" s="20" t="s">
        <v>584</v>
      </c>
      <c r="D285" s="22" t="s">
        <v>82</v>
      </c>
      <c r="E285" s="20">
        <v>1</v>
      </c>
      <c r="F285" s="24">
        <v>12141908</v>
      </c>
      <c r="G285" s="25">
        <f t="shared" si="4"/>
        <v>12141908</v>
      </c>
    </row>
    <row r="286" spans="1:7" hidden="1" x14ac:dyDescent="0.3">
      <c r="A286" s="20">
        <v>285</v>
      </c>
      <c r="B286" s="20" t="s">
        <v>585</v>
      </c>
      <c r="C286" s="20" t="s">
        <v>586</v>
      </c>
      <c r="D286" s="22" t="s">
        <v>82</v>
      </c>
      <c r="E286" s="20">
        <v>1</v>
      </c>
      <c r="F286" s="24">
        <v>1254994</v>
      </c>
      <c r="G286" s="25">
        <f t="shared" si="4"/>
        <v>1254994</v>
      </c>
    </row>
    <row r="287" spans="1:7" hidden="1" x14ac:dyDescent="0.3">
      <c r="A287" s="20">
        <v>286</v>
      </c>
      <c r="B287" s="20" t="s">
        <v>587</v>
      </c>
      <c r="C287" s="20" t="s">
        <v>588</v>
      </c>
      <c r="D287" s="22" t="s">
        <v>82</v>
      </c>
      <c r="E287" s="20">
        <v>1</v>
      </c>
      <c r="F287" s="24">
        <v>15222263</v>
      </c>
      <c r="G287" s="25">
        <f t="shared" si="4"/>
        <v>15222263</v>
      </c>
    </row>
    <row r="288" spans="1:7" hidden="1" x14ac:dyDescent="0.3">
      <c r="A288" s="20">
        <v>287</v>
      </c>
      <c r="B288" s="20" t="s">
        <v>589</v>
      </c>
      <c r="C288" s="20" t="s">
        <v>590</v>
      </c>
      <c r="D288" s="22" t="s">
        <v>82</v>
      </c>
      <c r="E288" s="20">
        <v>1</v>
      </c>
      <c r="F288" s="24">
        <v>3008331</v>
      </c>
      <c r="G288" s="25">
        <f t="shared" si="4"/>
        <v>3008331</v>
      </c>
    </row>
    <row r="289" spans="1:7" hidden="1" x14ac:dyDescent="0.3">
      <c r="A289" s="20">
        <v>288</v>
      </c>
      <c r="B289" s="20" t="s">
        <v>591</v>
      </c>
      <c r="C289" s="20" t="s">
        <v>592</v>
      </c>
      <c r="D289" s="22" t="s">
        <v>82</v>
      </c>
      <c r="E289" s="20">
        <v>1</v>
      </c>
      <c r="F289" s="24">
        <v>3008331</v>
      </c>
      <c r="G289" s="25">
        <f t="shared" si="4"/>
        <v>3008331</v>
      </c>
    </row>
    <row r="290" spans="1:7" hidden="1" x14ac:dyDescent="0.3">
      <c r="A290" s="20">
        <v>289</v>
      </c>
      <c r="B290" s="20" t="s">
        <v>593</v>
      </c>
      <c r="C290" s="20" t="s">
        <v>594</v>
      </c>
      <c r="D290" s="22" t="s">
        <v>82</v>
      </c>
      <c r="E290" s="20">
        <v>1</v>
      </c>
      <c r="F290" s="24">
        <v>3008331</v>
      </c>
      <c r="G290" s="25">
        <f t="shared" si="4"/>
        <v>3008331</v>
      </c>
    </row>
    <row r="291" spans="1:7" hidden="1" x14ac:dyDescent="0.3">
      <c r="A291" s="20">
        <v>290</v>
      </c>
      <c r="B291" s="20" t="s">
        <v>595</v>
      </c>
      <c r="C291" s="20" t="s">
        <v>596</v>
      </c>
      <c r="D291" s="22" t="s">
        <v>82</v>
      </c>
      <c r="E291" s="20">
        <v>1</v>
      </c>
      <c r="F291" s="24">
        <v>3008331</v>
      </c>
      <c r="G291" s="25">
        <f t="shared" si="4"/>
        <v>3008331</v>
      </c>
    </row>
    <row r="292" spans="1:7" hidden="1" x14ac:dyDescent="0.3">
      <c r="A292" s="20">
        <v>291</v>
      </c>
      <c r="B292" s="20" t="s">
        <v>597</v>
      </c>
      <c r="C292" s="20" t="s">
        <v>598</v>
      </c>
      <c r="D292" s="22" t="s">
        <v>82</v>
      </c>
      <c r="E292" s="20">
        <v>1</v>
      </c>
      <c r="F292" s="24">
        <v>3008331</v>
      </c>
      <c r="G292" s="25">
        <f t="shared" si="4"/>
        <v>3008331</v>
      </c>
    </row>
    <row r="293" spans="1:7" hidden="1" x14ac:dyDescent="0.3">
      <c r="A293" s="20">
        <v>292</v>
      </c>
      <c r="B293" s="20" t="s">
        <v>599</v>
      </c>
      <c r="C293" s="20" t="s">
        <v>600</v>
      </c>
      <c r="D293" s="22" t="s">
        <v>82</v>
      </c>
      <c r="E293" s="20">
        <v>1</v>
      </c>
      <c r="F293" s="24">
        <v>9226875</v>
      </c>
      <c r="G293" s="25">
        <f t="shared" si="4"/>
        <v>9226875</v>
      </c>
    </row>
    <row r="294" spans="1:7" hidden="1" x14ac:dyDescent="0.3">
      <c r="A294" s="20">
        <v>293</v>
      </c>
      <c r="B294" s="20" t="s">
        <v>601</v>
      </c>
      <c r="C294" s="20" t="s">
        <v>602</v>
      </c>
      <c r="D294" s="22" t="s">
        <v>82</v>
      </c>
      <c r="E294" s="20">
        <v>1</v>
      </c>
      <c r="F294" s="24">
        <v>2510820</v>
      </c>
      <c r="G294" s="25">
        <f t="shared" si="4"/>
        <v>2510820</v>
      </c>
    </row>
    <row r="295" spans="1:7" hidden="1" x14ac:dyDescent="0.3">
      <c r="A295" s="20">
        <v>294</v>
      </c>
      <c r="B295" s="20" t="s">
        <v>603</v>
      </c>
      <c r="C295" s="20" t="s">
        <v>604</v>
      </c>
      <c r="D295" s="22" t="s">
        <v>82</v>
      </c>
      <c r="E295" s="20">
        <v>1</v>
      </c>
      <c r="F295" s="24">
        <v>2741700</v>
      </c>
      <c r="G295" s="25">
        <f t="shared" si="4"/>
        <v>2741700</v>
      </c>
    </row>
    <row r="296" spans="1:7" hidden="1" x14ac:dyDescent="0.3">
      <c r="A296" s="20">
        <v>295</v>
      </c>
      <c r="B296" s="20" t="s">
        <v>605</v>
      </c>
      <c r="C296" s="20" t="s">
        <v>606</v>
      </c>
      <c r="D296" s="22" t="s">
        <v>82</v>
      </c>
      <c r="E296" s="20">
        <v>1</v>
      </c>
      <c r="F296" s="24">
        <v>2886000</v>
      </c>
      <c r="G296" s="25">
        <f t="shared" si="4"/>
        <v>2886000</v>
      </c>
    </row>
    <row r="297" spans="1:7" hidden="1" x14ac:dyDescent="0.3">
      <c r="A297" s="20">
        <v>296</v>
      </c>
      <c r="B297" s="20" t="s">
        <v>607</v>
      </c>
      <c r="C297" s="20" t="s">
        <v>608</v>
      </c>
      <c r="D297" s="22" t="s">
        <v>82</v>
      </c>
      <c r="E297" s="20">
        <v>1</v>
      </c>
      <c r="F297" s="24">
        <v>2597400</v>
      </c>
      <c r="G297" s="25">
        <f t="shared" si="4"/>
        <v>2597400</v>
      </c>
    </row>
    <row r="298" spans="1:7" hidden="1" x14ac:dyDescent="0.3">
      <c r="A298" s="20">
        <v>297</v>
      </c>
      <c r="B298" s="20" t="s">
        <v>609</v>
      </c>
      <c r="C298" s="20" t="s">
        <v>610</v>
      </c>
      <c r="D298" s="22" t="s">
        <v>82</v>
      </c>
      <c r="E298" s="20">
        <v>1</v>
      </c>
      <c r="F298" s="24">
        <v>2741700</v>
      </c>
      <c r="G298" s="25">
        <f t="shared" si="4"/>
        <v>2741700</v>
      </c>
    </row>
    <row r="299" spans="1:7" hidden="1" x14ac:dyDescent="0.3">
      <c r="A299" s="20">
        <v>298</v>
      </c>
      <c r="B299" s="20" t="s">
        <v>611</v>
      </c>
      <c r="C299" s="20" t="s">
        <v>612</v>
      </c>
      <c r="D299" s="22" t="s">
        <v>82</v>
      </c>
      <c r="E299" s="20">
        <v>1</v>
      </c>
      <c r="F299" s="24">
        <v>5295625</v>
      </c>
      <c r="G299" s="25">
        <f t="shared" si="4"/>
        <v>5295625</v>
      </c>
    </row>
    <row r="300" spans="1:7" hidden="1" x14ac:dyDescent="0.3">
      <c r="A300" s="20">
        <v>299</v>
      </c>
      <c r="B300" s="20" t="s">
        <v>613</v>
      </c>
      <c r="C300" s="20" t="s">
        <v>614</v>
      </c>
      <c r="D300" s="22" t="s">
        <v>82</v>
      </c>
      <c r="E300" s="20">
        <v>1</v>
      </c>
      <c r="F300" s="24">
        <v>4551786</v>
      </c>
      <c r="G300" s="25">
        <f t="shared" si="4"/>
        <v>4551786</v>
      </c>
    </row>
    <row r="301" spans="1:7" hidden="1" x14ac:dyDescent="0.3">
      <c r="A301" s="20">
        <v>300</v>
      </c>
      <c r="B301" s="20" t="s">
        <v>615</v>
      </c>
      <c r="C301" s="20" t="s">
        <v>616</v>
      </c>
      <c r="D301" s="22" t="s">
        <v>82</v>
      </c>
      <c r="E301" s="20">
        <v>1</v>
      </c>
      <c r="F301" s="24">
        <v>6679425</v>
      </c>
      <c r="G301" s="25">
        <f t="shared" si="4"/>
        <v>6679425</v>
      </c>
    </row>
    <row r="302" spans="1:7" hidden="1" x14ac:dyDescent="0.3">
      <c r="A302" s="20">
        <v>301</v>
      </c>
      <c r="B302" s="20" t="s">
        <v>617</v>
      </c>
      <c r="C302" s="20" t="s">
        <v>618</v>
      </c>
      <c r="D302" s="22" t="s">
        <v>82</v>
      </c>
      <c r="E302" s="20">
        <v>1</v>
      </c>
      <c r="F302" s="24">
        <v>7293625</v>
      </c>
      <c r="G302" s="25">
        <f t="shared" si="4"/>
        <v>7293625</v>
      </c>
    </row>
    <row r="303" spans="1:7" hidden="1" x14ac:dyDescent="0.3">
      <c r="A303" s="20">
        <v>302</v>
      </c>
      <c r="B303" s="20" t="s">
        <v>619</v>
      </c>
      <c r="C303" s="20" t="s">
        <v>620</v>
      </c>
      <c r="D303" s="22" t="s">
        <v>82</v>
      </c>
      <c r="E303" s="20">
        <v>1</v>
      </c>
      <c r="F303" s="24">
        <v>7677500</v>
      </c>
      <c r="G303" s="25">
        <f>+E303*F303</f>
        <v>7677500</v>
      </c>
    </row>
    <row r="304" spans="1:7" hidden="1" x14ac:dyDescent="0.3">
      <c r="A304" s="20">
        <v>303</v>
      </c>
      <c r="B304" s="20" t="s">
        <v>621</v>
      </c>
      <c r="C304" s="20" t="s">
        <v>622</v>
      </c>
      <c r="D304" s="22" t="s">
        <v>82</v>
      </c>
      <c r="E304" s="20">
        <v>1</v>
      </c>
      <c r="F304" s="24">
        <v>6909750</v>
      </c>
      <c r="G304" s="25">
        <f t="shared" si="4"/>
        <v>6909750</v>
      </c>
    </row>
    <row r="305" spans="1:7" hidden="1" x14ac:dyDescent="0.3">
      <c r="A305" s="20">
        <v>304</v>
      </c>
      <c r="B305" s="20" t="s">
        <v>623</v>
      </c>
      <c r="C305" s="20" t="s">
        <v>624</v>
      </c>
      <c r="D305" s="22" t="s">
        <v>82</v>
      </c>
      <c r="E305" s="20">
        <v>1</v>
      </c>
      <c r="F305" s="24">
        <v>7293625</v>
      </c>
      <c r="G305" s="25">
        <f t="shared" si="4"/>
        <v>7293625</v>
      </c>
    </row>
    <row r="306" spans="1:7" hidden="1" x14ac:dyDescent="0.3">
      <c r="A306" s="20">
        <v>305</v>
      </c>
      <c r="B306" s="20" t="s">
        <v>625</v>
      </c>
      <c r="C306" s="20" t="s">
        <v>626</v>
      </c>
      <c r="D306" s="22" t="s">
        <v>82</v>
      </c>
      <c r="E306" s="20">
        <v>1</v>
      </c>
      <c r="F306" s="24">
        <v>38724553</v>
      </c>
      <c r="G306" s="25">
        <f t="shared" si="4"/>
        <v>38724553</v>
      </c>
    </row>
    <row r="307" spans="1:7" hidden="1" x14ac:dyDescent="0.3">
      <c r="A307" s="20">
        <v>306</v>
      </c>
      <c r="B307" s="20" t="s">
        <v>627</v>
      </c>
      <c r="C307" s="20" t="s">
        <v>628</v>
      </c>
      <c r="D307" s="22" t="s">
        <v>82</v>
      </c>
      <c r="E307" s="20">
        <v>1</v>
      </c>
      <c r="F307" s="24">
        <v>4556411</v>
      </c>
      <c r="G307" s="25">
        <f t="shared" si="4"/>
        <v>4556411</v>
      </c>
    </row>
    <row r="308" spans="1:7" hidden="1" x14ac:dyDescent="0.3">
      <c r="A308" s="20">
        <v>307</v>
      </c>
      <c r="B308" s="20" t="s">
        <v>629</v>
      </c>
      <c r="C308" s="20" t="s">
        <v>630</v>
      </c>
      <c r="D308" s="22" t="s">
        <v>82</v>
      </c>
      <c r="E308" s="20">
        <v>1</v>
      </c>
      <c r="F308" s="24">
        <v>3358141</v>
      </c>
      <c r="G308" s="25">
        <f t="shared" si="4"/>
        <v>3358141</v>
      </c>
    </row>
    <row r="309" spans="1:7" hidden="1" x14ac:dyDescent="0.3">
      <c r="A309" s="20">
        <v>308</v>
      </c>
      <c r="B309" s="20" t="s">
        <v>631</v>
      </c>
      <c r="C309" s="20" t="s">
        <v>632</v>
      </c>
      <c r="D309" s="22" t="s">
        <v>82</v>
      </c>
      <c r="E309" s="20">
        <v>1</v>
      </c>
      <c r="F309" s="24">
        <v>3666936</v>
      </c>
      <c r="G309" s="25">
        <f t="shared" si="4"/>
        <v>3666936</v>
      </c>
    </row>
    <row r="310" spans="1:7" hidden="1" x14ac:dyDescent="0.3">
      <c r="A310" s="20">
        <v>309</v>
      </c>
      <c r="B310" s="20" t="s">
        <v>633</v>
      </c>
      <c r="C310" s="20" t="s">
        <v>634</v>
      </c>
      <c r="D310" s="22" t="s">
        <v>82</v>
      </c>
      <c r="E310" s="20">
        <v>1</v>
      </c>
      <c r="F310" s="24">
        <v>3859933</v>
      </c>
      <c r="G310" s="25">
        <f t="shared" si="4"/>
        <v>3859933</v>
      </c>
    </row>
    <row r="311" spans="1:7" hidden="1" x14ac:dyDescent="0.3">
      <c r="A311" s="20">
        <v>310</v>
      </c>
      <c r="B311" s="20" t="s">
        <v>635</v>
      </c>
      <c r="C311" s="20" t="s">
        <v>636</v>
      </c>
      <c r="D311" s="22" t="s">
        <v>82</v>
      </c>
      <c r="E311" s="20">
        <v>1</v>
      </c>
      <c r="F311" s="24">
        <v>3473939</v>
      </c>
      <c r="G311" s="25">
        <f t="shared" si="4"/>
        <v>3473939</v>
      </c>
    </row>
    <row r="312" spans="1:7" hidden="1" x14ac:dyDescent="0.3">
      <c r="A312" s="20">
        <v>311</v>
      </c>
      <c r="B312" s="20" t="s">
        <v>637</v>
      </c>
      <c r="C312" s="20" t="s">
        <v>638</v>
      </c>
      <c r="D312" s="22" t="s">
        <v>82</v>
      </c>
      <c r="E312" s="20">
        <v>1</v>
      </c>
      <c r="F312" s="24">
        <v>3666936</v>
      </c>
      <c r="G312" s="25">
        <f t="shared" si="4"/>
        <v>3666936</v>
      </c>
    </row>
    <row r="313" spans="1:7" hidden="1" x14ac:dyDescent="0.3">
      <c r="A313" s="20">
        <v>312</v>
      </c>
      <c r="B313" s="20" t="s">
        <v>639</v>
      </c>
      <c r="C313" s="20" t="s">
        <v>640</v>
      </c>
      <c r="D313" s="22" t="s">
        <v>82</v>
      </c>
      <c r="E313" s="20">
        <v>1</v>
      </c>
      <c r="F313" s="24">
        <v>2070501</v>
      </c>
      <c r="G313" s="25">
        <f t="shared" si="4"/>
        <v>2070501</v>
      </c>
    </row>
    <row r="314" spans="1:7" hidden="1" x14ac:dyDescent="0.3">
      <c r="A314" s="20">
        <v>313</v>
      </c>
      <c r="B314" s="20" t="s">
        <v>641</v>
      </c>
      <c r="C314" s="20" t="s">
        <v>642</v>
      </c>
      <c r="D314" s="22" t="s">
        <v>82</v>
      </c>
      <c r="E314" s="20">
        <v>1</v>
      </c>
      <c r="F314" s="24">
        <v>5740604</v>
      </c>
      <c r="G314" s="25">
        <f t="shared" si="4"/>
        <v>5740604</v>
      </c>
    </row>
    <row r="315" spans="1:7" hidden="1" x14ac:dyDescent="0.3">
      <c r="A315" s="20">
        <v>314</v>
      </c>
      <c r="B315" s="20" t="s">
        <v>643</v>
      </c>
      <c r="C315" s="20" t="s">
        <v>644</v>
      </c>
      <c r="D315" s="22" t="s">
        <v>82</v>
      </c>
      <c r="E315" s="20">
        <v>1</v>
      </c>
      <c r="F315" s="24">
        <v>6268475</v>
      </c>
      <c r="G315" s="25">
        <f t="shared" si="4"/>
        <v>6268475</v>
      </c>
    </row>
    <row r="316" spans="1:7" hidden="1" x14ac:dyDescent="0.3">
      <c r="A316" s="20">
        <v>315</v>
      </c>
      <c r="B316" s="20" t="s">
        <v>645</v>
      </c>
      <c r="C316" s="20" t="s">
        <v>646</v>
      </c>
      <c r="D316" s="22" t="s">
        <v>82</v>
      </c>
      <c r="E316" s="20">
        <v>1</v>
      </c>
      <c r="F316" s="24">
        <v>6598395</v>
      </c>
      <c r="G316" s="25">
        <f t="shared" si="4"/>
        <v>6598395</v>
      </c>
    </row>
    <row r="317" spans="1:7" hidden="1" x14ac:dyDescent="0.3">
      <c r="A317" s="20">
        <v>316</v>
      </c>
      <c r="B317" s="20" t="s">
        <v>647</v>
      </c>
      <c r="C317" s="20" t="s">
        <v>648</v>
      </c>
      <c r="D317" s="22" t="s">
        <v>82</v>
      </c>
      <c r="E317" s="20">
        <v>1</v>
      </c>
      <c r="F317" s="24">
        <v>5938556</v>
      </c>
      <c r="G317" s="25">
        <f t="shared" si="4"/>
        <v>5938556</v>
      </c>
    </row>
    <row r="318" spans="1:7" hidden="1" x14ac:dyDescent="0.3">
      <c r="A318" s="20">
        <v>317</v>
      </c>
      <c r="B318" s="20" t="s">
        <v>649</v>
      </c>
      <c r="C318" s="20" t="s">
        <v>650</v>
      </c>
      <c r="D318" s="22" t="s">
        <v>82</v>
      </c>
      <c r="E318" s="20">
        <v>1</v>
      </c>
      <c r="F318" s="24">
        <v>6268475</v>
      </c>
      <c r="G318" s="25">
        <f t="shared" si="4"/>
        <v>6268475</v>
      </c>
    </row>
    <row r="319" spans="1:7" hidden="1" x14ac:dyDescent="0.3">
      <c r="A319" s="20">
        <v>318</v>
      </c>
      <c r="B319" s="20" t="s">
        <v>651</v>
      </c>
      <c r="C319" s="20" t="s">
        <v>652</v>
      </c>
      <c r="D319" s="22" t="s">
        <v>82</v>
      </c>
      <c r="E319" s="20">
        <v>1</v>
      </c>
      <c r="F319" s="24">
        <v>21648954</v>
      </c>
      <c r="G319" s="25">
        <f t="shared" si="4"/>
        <v>21648954</v>
      </c>
    </row>
    <row r="320" spans="1:7" hidden="1" x14ac:dyDescent="0.3">
      <c r="A320" s="20">
        <v>319</v>
      </c>
      <c r="B320" s="20" t="s">
        <v>653</v>
      </c>
      <c r="C320" s="20" t="s">
        <v>654</v>
      </c>
      <c r="D320" s="22" t="s">
        <v>82</v>
      </c>
      <c r="E320" s="20">
        <v>1</v>
      </c>
      <c r="F320" s="24">
        <v>518000</v>
      </c>
      <c r="G320" s="25">
        <f t="shared" si="4"/>
        <v>518000</v>
      </c>
    </row>
    <row r="321" spans="1:7" hidden="1" x14ac:dyDescent="0.3">
      <c r="A321" s="20">
        <v>320</v>
      </c>
      <c r="B321" s="20" t="s">
        <v>655</v>
      </c>
      <c r="C321" s="20" t="s">
        <v>656</v>
      </c>
      <c r="D321" s="22" t="s">
        <v>82</v>
      </c>
      <c r="E321" s="20">
        <v>1</v>
      </c>
      <c r="F321" s="24">
        <v>518000</v>
      </c>
      <c r="G321" s="25">
        <f t="shared" si="4"/>
        <v>518000</v>
      </c>
    </row>
    <row r="322" spans="1:7" hidden="1" x14ac:dyDescent="0.3">
      <c r="A322" s="20">
        <v>321</v>
      </c>
      <c r="B322" s="20" t="s">
        <v>657</v>
      </c>
      <c r="C322" s="20" t="s">
        <v>658</v>
      </c>
      <c r="D322" s="22" t="s">
        <v>82</v>
      </c>
      <c r="E322" s="20">
        <v>1</v>
      </c>
      <c r="F322" s="24">
        <v>518000</v>
      </c>
      <c r="G322" s="25">
        <f t="shared" si="4"/>
        <v>518000</v>
      </c>
    </row>
    <row r="323" spans="1:7" hidden="1" x14ac:dyDescent="0.3">
      <c r="A323" s="20">
        <v>322</v>
      </c>
      <c r="B323" s="20" t="s">
        <v>659</v>
      </c>
      <c r="C323" s="20" t="s">
        <v>660</v>
      </c>
      <c r="D323" s="22" t="s">
        <v>82</v>
      </c>
      <c r="E323" s="20">
        <v>1</v>
      </c>
      <c r="F323" s="24">
        <v>518000</v>
      </c>
      <c r="G323" s="25">
        <f t="shared" ref="G323:G386" si="5">+E323*F323</f>
        <v>518000</v>
      </c>
    </row>
    <row r="324" spans="1:7" hidden="1" x14ac:dyDescent="0.3">
      <c r="A324" s="20">
        <v>323</v>
      </c>
      <c r="B324" s="20" t="s">
        <v>661</v>
      </c>
      <c r="C324" s="20" t="s">
        <v>662</v>
      </c>
      <c r="D324" s="22" t="s">
        <v>82</v>
      </c>
      <c r="E324" s="20">
        <v>1</v>
      </c>
      <c r="F324" s="24">
        <v>518000</v>
      </c>
      <c r="G324" s="25">
        <f t="shared" si="5"/>
        <v>518000</v>
      </c>
    </row>
    <row r="325" spans="1:7" hidden="1" x14ac:dyDescent="0.3">
      <c r="A325" s="20">
        <v>324</v>
      </c>
      <c r="B325" s="20" t="s">
        <v>663</v>
      </c>
      <c r="C325" s="20" t="s">
        <v>664</v>
      </c>
      <c r="D325" s="22" t="s">
        <v>82</v>
      </c>
      <c r="E325" s="20">
        <v>1</v>
      </c>
      <c r="F325" s="24">
        <v>971250</v>
      </c>
      <c r="G325" s="25">
        <f t="shared" si="5"/>
        <v>971250</v>
      </c>
    </row>
    <row r="326" spans="1:7" hidden="1" x14ac:dyDescent="0.3">
      <c r="A326" s="20">
        <v>325</v>
      </c>
      <c r="B326" s="20" t="s">
        <v>665</v>
      </c>
      <c r="C326" s="20" t="s">
        <v>666</v>
      </c>
      <c r="D326" s="22" t="s">
        <v>82</v>
      </c>
      <c r="E326" s="20">
        <v>1</v>
      </c>
      <c r="F326" s="24">
        <v>3586388</v>
      </c>
      <c r="G326" s="25">
        <f t="shared" si="5"/>
        <v>3586388</v>
      </c>
    </row>
    <row r="327" spans="1:7" hidden="1" x14ac:dyDescent="0.3">
      <c r="A327" s="20">
        <v>326</v>
      </c>
      <c r="B327" s="20" t="s">
        <v>667</v>
      </c>
      <c r="C327" s="20" t="s">
        <v>668</v>
      </c>
      <c r="D327" s="22" t="s">
        <v>82</v>
      </c>
      <c r="E327" s="20">
        <v>1</v>
      </c>
      <c r="F327" s="24">
        <v>3916171</v>
      </c>
      <c r="G327" s="25">
        <f t="shared" si="5"/>
        <v>3916171</v>
      </c>
    </row>
    <row r="328" spans="1:7" hidden="1" x14ac:dyDescent="0.3">
      <c r="A328" s="20">
        <v>327</v>
      </c>
      <c r="B328" s="20" t="s">
        <v>669</v>
      </c>
      <c r="C328" s="20" t="s">
        <v>670</v>
      </c>
      <c r="D328" s="22" t="s">
        <v>82</v>
      </c>
      <c r="E328" s="20">
        <v>1</v>
      </c>
      <c r="F328" s="24">
        <v>4122285</v>
      </c>
      <c r="G328" s="25">
        <f t="shared" si="5"/>
        <v>4122285</v>
      </c>
    </row>
    <row r="329" spans="1:7" hidden="1" x14ac:dyDescent="0.3">
      <c r="A329" s="20">
        <v>328</v>
      </c>
      <c r="B329" s="20" t="s">
        <v>671</v>
      </c>
      <c r="C329" s="20" t="s">
        <v>672</v>
      </c>
      <c r="D329" s="22" t="s">
        <v>82</v>
      </c>
      <c r="E329" s="20">
        <v>1</v>
      </c>
      <c r="F329" s="24">
        <v>3710056</v>
      </c>
      <c r="G329" s="25">
        <f t="shared" si="5"/>
        <v>3710056</v>
      </c>
    </row>
    <row r="330" spans="1:7" hidden="1" x14ac:dyDescent="0.3">
      <c r="A330" s="20">
        <v>329</v>
      </c>
      <c r="B330" s="20" t="s">
        <v>673</v>
      </c>
      <c r="C330" s="20" t="s">
        <v>674</v>
      </c>
      <c r="D330" s="22" t="s">
        <v>82</v>
      </c>
      <c r="E330" s="20">
        <v>1</v>
      </c>
      <c r="F330" s="24">
        <v>3916171</v>
      </c>
      <c r="G330" s="25">
        <f t="shared" si="5"/>
        <v>3916171</v>
      </c>
    </row>
    <row r="331" spans="1:7" hidden="1" x14ac:dyDescent="0.3">
      <c r="A331" s="20">
        <v>330</v>
      </c>
      <c r="B331" s="20" t="s">
        <v>675</v>
      </c>
      <c r="C331" s="20" t="s">
        <v>676</v>
      </c>
      <c r="D331" s="22" t="s">
        <v>82</v>
      </c>
      <c r="E331" s="20">
        <v>1</v>
      </c>
      <c r="F331" s="24">
        <v>1860887</v>
      </c>
      <c r="G331" s="25">
        <f t="shared" si="5"/>
        <v>1860887</v>
      </c>
    </row>
    <row r="332" spans="1:7" hidden="1" x14ac:dyDescent="0.3">
      <c r="A332" s="20">
        <v>331</v>
      </c>
      <c r="B332" s="20" t="s">
        <v>677</v>
      </c>
      <c r="C332" s="20" t="s">
        <v>678</v>
      </c>
      <c r="D332" s="22" t="s">
        <v>82</v>
      </c>
      <c r="E332" s="20">
        <v>1</v>
      </c>
      <c r="F332" s="24">
        <v>929625</v>
      </c>
      <c r="G332" s="25">
        <f t="shared" si="5"/>
        <v>929625</v>
      </c>
    </row>
    <row r="333" spans="1:7" hidden="1" x14ac:dyDescent="0.3">
      <c r="A333" s="20">
        <v>332</v>
      </c>
      <c r="B333" s="20" t="s">
        <v>679</v>
      </c>
      <c r="C333" s="20" t="s">
        <v>680</v>
      </c>
      <c r="D333" s="22" t="s">
        <v>82</v>
      </c>
      <c r="E333" s="20">
        <v>1</v>
      </c>
      <c r="F333" s="24">
        <v>929625</v>
      </c>
      <c r="G333" s="25">
        <f t="shared" si="5"/>
        <v>929625</v>
      </c>
    </row>
    <row r="334" spans="1:7" hidden="1" x14ac:dyDescent="0.3">
      <c r="A334" s="20">
        <v>333</v>
      </c>
      <c r="B334" s="20" t="s">
        <v>681</v>
      </c>
      <c r="C334" s="20" t="s">
        <v>682</v>
      </c>
      <c r="D334" s="22" t="s">
        <v>82</v>
      </c>
      <c r="E334" s="20">
        <v>1</v>
      </c>
      <c r="F334" s="24">
        <v>929625</v>
      </c>
      <c r="G334" s="25">
        <f t="shared" si="5"/>
        <v>929625</v>
      </c>
    </row>
    <row r="335" spans="1:7" hidden="1" x14ac:dyDescent="0.3">
      <c r="A335" s="20">
        <v>334</v>
      </c>
      <c r="B335" s="20" t="s">
        <v>683</v>
      </c>
      <c r="C335" s="20" t="s">
        <v>684</v>
      </c>
      <c r="D335" s="22" t="s">
        <v>82</v>
      </c>
      <c r="E335" s="20">
        <v>1</v>
      </c>
      <c r="F335" s="24">
        <v>929625</v>
      </c>
      <c r="G335" s="25">
        <f t="shared" si="5"/>
        <v>929625</v>
      </c>
    </row>
    <row r="336" spans="1:7" hidden="1" x14ac:dyDescent="0.3">
      <c r="A336" s="20">
        <v>335</v>
      </c>
      <c r="B336" s="20" t="s">
        <v>685</v>
      </c>
      <c r="C336" s="20" t="s">
        <v>686</v>
      </c>
      <c r="D336" s="22" t="s">
        <v>82</v>
      </c>
      <c r="E336" s="20">
        <v>1</v>
      </c>
      <c r="F336" s="24">
        <v>929625</v>
      </c>
      <c r="G336" s="25">
        <f t="shared" si="5"/>
        <v>929625</v>
      </c>
    </row>
    <row r="337" spans="1:7" hidden="1" x14ac:dyDescent="0.3">
      <c r="A337" s="20">
        <v>336</v>
      </c>
      <c r="B337" s="20" t="s">
        <v>687</v>
      </c>
      <c r="C337" s="20" t="s">
        <v>688</v>
      </c>
      <c r="D337" s="22" t="s">
        <v>82</v>
      </c>
      <c r="E337" s="20">
        <v>1</v>
      </c>
      <c r="F337" s="24">
        <v>1859250</v>
      </c>
      <c r="G337" s="25">
        <f t="shared" si="5"/>
        <v>1859250</v>
      </c>
    </row>
    <row r="338" spans="1:7" hidden="1" x14ac:dyDescent="0.3">
      <c r="A338" s="20">
        <v>337</v>
      </c>
      <c r="B338" s="20" t="s">
        <v>689</v>
      </c>
      <c r="C338" s="20" t="s">
        <v>690</v>
      </c>
      <c r="D338" s="22" t="s">
        <v>42</v>
      </c>
      <c r="E338" s="20">
        <v>64</v>
      </c>
      <c r="F338" s="24">
        <v>132000</v>
      </c>
      <c r="G338" s="25">
        <f t="shared" si="5"/>
        <v>8448000</v>
      </c>
    </row>
    <row r="339" spans="1:7" hidden="1" x14ac:dyDescent="0.3">
      <c r="A339" s="20">
        <v>338</v>
      </c>
      <c r="B339" s="20" t="s">
        <v>691</v>
      </c>
      <c r="C339" s="20" t="s">
        <v>692</v>
      </c>
      <c r="D339" s="22" t="s">
        <v>42</v>
      </c>
      <c r="E339" s="20">
        <v>10</v>
      </c>
      <c r="F339" s="24">
        <v>165000</v>
      </c>
      <c r="G339" s="25">
        <f t="shared" si="5"/>
        <v>1650000</v>
      </c>
    </row>
    <row r="340" spans="1:7" hidden="1" x14ac:dyDescent="0.3">
      <c r="A340" s="20">
        <v>339</v>
      </c>
      <c r="B340" s="20" t="s">
        <v>693</v>
      </c>
      <c r="C340" s="20" t="s">
        <v>694</v>
      </c>
      <c r="D340" s="22" t="s">
        <v>82</v>
      </c>
      <c r="E340" s="20">
        <v>1</v>
      </c>
      <c r="F340" s="24">
        <v>22000000</v>
      </c>
      <c r="G340" s="25">
        <f t="shared" si="5"/>
        <v>22000000</v>
      </c>
    </row>
    <row r="341" spans="1:7" hidden="1" x14ac:dyDescent="0.3">
      <c r="A341" s="20">
        <v>340</v>
      </c>
      <c r="B341" s="21" t="s">
        <v>695</v>
      </c>
      <c r="C341" s="20" t="s">
        <v>696</v>
      </c>
      <c r="D341" s="22" t="s">
        <v>82</v>
      </c>
      <c r="E341" s="20">
        <v>1</v>
      </c>
      <c r="F341" s="24">
        <v>20070000</v>
      </c>
      <c r="G341" s="25">
        <f t="shared" si="5"/>
        <v>20070000</v>
      </c>
    </row>
    <row r="342" spans="1:7" hidden="1" x14ac:dyDescent="0.3">
      <c r="A342" s="20">
        <v>341</v>
      </c>
      <c r="B342" s="21" t="s">
        <v>697</v>
      </c>
      <c r="C342" s="20" t="s">
        <v>698</v>
      </c>
      <c r="D342" s="22" t="s">
        <v>82</v>
      </c>
      <c r="E342" s="20">
        <v>1</v>
      </c>
      <c r="F342" s="24">
        <v>8989594</v>
      </c>
      <c r="G342" s="25">
        <f t="shared" si="5"/>
        <v>8989594</v>
      </c>
    </row>
    <row r="343" spans="1:7" hidden="1" x14ac:dyDescent="0.3">
      <c r="A343" s="20">
        <v>342</v>
      </c>
      <c r="B343" s="21" t="s">
        <v>699</v>
      </c>
      <c r="C343" s="20" t="s">
        <v>700</v>
      </c>
      <c r="D343" s="22" t="s">
        <v>82</v>
      </c>
      <c r="E343" s="20">
        <v>1</v>
      </c>
      <c r="F343" s="24">
        <v>3641429</v>
      </c>
      <c r="G343" s="25">
        <f t="shared" si="5"/>
        <v>3641429</v>
      </c>
    </row>
    <row r="344" spans="1:7" hidden="1" x14ac:dyDescent="0.3">
      <c r="A344" s="20">
        <v>343</v>
      </c>
      <c r="B344" s="21" t="s">
        <v>701</v>
      </c>
      <c r="C344" s="20" t="s">
        <v>702</v>
      </c>
      <c r="D344" s="22" t="s">
        <v>82</v>
      </c>
      <c r="E344" s="20">
        <v>1</v>
      </c>
      <c r="F344" s="24">
        <v>6993000</v>
      </c>
      <c r="G344" s="25">
        <f t="shared" si="5"/>
        <v>6993000</v>
      </c>
    </row>
    <row r="345" spans="1:7" hidden="1" x14ac:dyDescent="0.3">
      <c r="A345" s="20">
        <v>344</v>
      </c>
      <c r="B345" s="21" t="s">
        <v>703</v>
      </c>
      <c r="C345" s="20" t="s">
        <v>704</v>
      </c>
      <c r="D345" s="22" t="s">
        <v>82</v>
      </c>
      <c r="E345" s="20">
        <v>1</v>
      </c>
      <c r="F345" s="24">
        <v>1656379</v>
      </c>
      <c r="G345" s="25">
        <f t="shared" si="5"/>
        <v>1656379</v>
      </c>
    </row>
    <row r="346" spans="1:7" hidden="1" x14ac:dyDescent="0.3">
      <c r="A346" s="20">
        <v>345</v>
      </c>
      <c r="B346" s="21" t="s">
        <v>705</v>
      </c>
      <c r="C346" s="20" t="s">
        <v>706</v>
      </c>
      <c r="D346" s="22" t="s">
        <v>82</v>
      </c>
      <c r="E346" s="20">
        <v>1</v>
      </c>
      <c r="F346" s="24">
        <v>10963100</v>
      </c>
      <c r="G346" s="25">
        <f t="shared" si="5"/>
        <v>10963100</v>
      </c>
    </row>
    <row r="347" spans="1:7" hidden="1" x14ac:dyDescent="0.3">
      <c r="A347" s="20">
        <v>346</v>
      </c>
      <c r="B347" s="21" t="s">
        <v>707</v>
      </c>
      <c r="C347" s="20" t="s">
        <v>708</v>
      </c>
      <c r="D347" s="22" t="s">
        <v>82</v>
      </c>
      <c r="E347" s="20">
        <v>1</v>
      </c>
      <c r="F347" s="24">
        <v>377400</v>
      </c>
      <c r="G347" s="25">
        <f t="shared" si="5"/>
        <v>377400</v>
      </c>
    </row>
    <row r="348" spans="1:7" hidden="1" x14ac:dyDescent="0.3">
      <c r="A348" s="20">
        <v>347</v>
      </c>
      <c r="B348" s="21" t="s">
        <v>709</v>
      </c>
      <c r="C348" s="20" t="s">
        <v>710</v>
      </c>
      <c r="D348" s="22" t="s">
        <v>82</v>
      </c>
      <c r="E348" s="20">
        <v>1</v>
      </c>
      <c r="F348" s="24">
        <v>521700</v>
      </c>
      <c r="G348" s="25">
        <f t="shared" si="5"/>
        <v>521700</v>
      </c>
    </row>
    <row r="349" spans="1:7" hidden="1" x14ac:dyDescent="0.3">
      <c r="A349" s="20">
        <v>348</v>
      </c>
      <c r="B349" s="21" t="s">
        <v>711</v>
      </c>
      <c r="C349" s="20" t="s">
        <v>712</v>
      </c>
      <c r="D349" s="22" t="s">
        <v>82</v>
      </c>
      <c r="E349" s="20">
        <v>1</v>
      </c>
      <c r="F349" s="24">
        <v>9020600</v>
      </c>
      <c r="G349" s="25">
        <f t="shared" si="5"/>
        <v>9020600</v>
      </c>
    </row>
    <row r="350" spans="1:7" hidden="1" x14ac:dyDescent="0.3">
      <c r="A350" s="20">
        <v>349</v>
      </c>
      <c r="B350" s="21" t="s">
        <v>713</v>
      </c>
      <c r="C350" s="20" t="s">
        <v>714</v>
      </c>
      <c r="D350" s="22" t="s">
        <v>82</v>
      </c>
      <c r="E350" s="20">
        <v>1</v>
      </c>
      <c r="F350" s="24">
        <v>1487400</v>
      </c>
      <c r="G350" s="25">
        <f t="shared" si="5"/>
        <v>1487400</v>
      </c>
    </row>
    <row r="351" spans="1:7" hidden="1" x14ac:dyDescent="0.3">
      <c r="A351" s="20">
        <v>350</v>
      </c>
      <c r="B351" s="20" t="s">
        <v>715</v>
      </c>
      <c r="C351" s="20" t="s">
        <v>716</v>
      </c>
      <c r="D351" s="22" t="s">
        <v>82</v>
      </c>
      <c r="E351" s="20">
        <v>1</v>
      </c>
      <c r="F351" s="24">
        <v>5075000</v>
      </c>
      <c r="G351" s="25">
        <f t="shared" si="5"/>
        <v>5075000</v>
      </c>
    </row>
    <row r="352" spans="1:7" hidden="1" x14ac:dyDescent="0.3">
      <c r="A352" s="20">
        <v>351</v>
      </c>
      <c r="B352" s="20" t="s">
        <v>717</v>
      </c>
      <c r="C352" s="20" t="s">
        <v>718</v>
      </c>
      <c r="D352" s="22" t="s">
        <v>82</v>
      </c>
      <c r="E352" s="20">
        <v>1</v>
      </c>
      <c r="F352" s="24">
        <v>2081250</v>
      </c>
      <c r="G352" s="25">
        <f t="shared" si="5"/>
        <v>2081250</v>
      </c>
    </row>
    <row r="353" spans="1:7" hidden="1" x14ac:dyDescent="0.3">
      <c r="A353" s="20">
        <v>352</v>
      </c>
      <c r="B353" s="20" t="s">
        <v>719</v>
      </c>
      <c r="C353" s="20" t="s">
        <v>720</v>
      </c>
      <c r="D353" s="22" t="s">
        <v>82</v>
      </c>
      <c r="E353" s="20">
        <v>1</v>
      </c>
      <c r="F353" s="24">
        <v>2081250</v>
      </c>
      <c r="G353" s="25">
        <f t="shared" si="5"/>
        <v>2081250</v>
      </c>
    </row>
    <row r="354" spans="1:7" hidden="1" x14ac:dyDescent="0.3">
      <c r="A354" s="20">
        <v>353</v>
      </c>
      <c r="B354" s="20" t="s">
        <v>721</v>
      </c>
      <c r="C354" s="20" t="s">
        <v>722</v>
      </c>
      <c r="D354" s="22" t="s">
        <v>82</v>
      </c>
      <c r="E354" s="20">
        <v>1</v>
      </c>
      <c r="F354" s="24">
        <v>17280388</v>
      </c>
      <c r="G354" s="25">
        <f t="shared" si="5"/>
        <v>17280388</v>
      </c>
    </row>
    <row r="355" spans="1:7" hidden="1" x14ac:dyDescent="0.3">
      <c r="A355" s="20">
        <v>354</v>
      </c>
      <c r="B355" s="20" t="s">
        <v>723</v>
      </c>
      <c r="C355" s="20" t="s">
        <v>724</v>
      </c>
      <c r="D355" s="22" t="s">
        <v>82</v>
      </c>
      <c r="E355" s="20">
        <v>1</v>
      </c>
      <c r="F355" s="24">
        <v>17280388</v>
      </c>
      <c r="G355" s="25">
        <f t="shared" si="5"/>
        <v>17280388</v>
      </c>
    </row>
    <row r="356" spans="1:7" hidden="1" x14ac:dyDescent="0.3">
      <c r="A356" s="20">
        <v>355</v>
      </c>
      <c r="B356" s="20" t="s">
        <v>725</v>
      </c>
      <c r="C356" s="20" t="s">
        <v>726</v>
      </c>
      <c r="D356" s="22" t="s">
        <v>82</v>
      </c>
      <c r="E356" s="20">
        <v>1</v>
      </c>
      <c r="F356" s="24">
        <v>17280388</v>
      </c>
      <c r="G356" s="25">
        <f t="shared" si="5"/>
        <v>17280388</v>
      </c>
    </row>
    <row r="357" spans="1:7" hidden="1" x14ac:dyDescent="0.3">
      <c r="A357" s="20">
        <v>356</v>
      </c>
      <c r="B357" s="20" t="s">
        <v>727</v>
      </c>
      <c r="C357" s="20" t="s">
        <v>728</v>
      </c>
      <c r="D357" s="22" t="s">
        <v>82</v>
      </c>
      <c r="E357" s="20">
        <v>1</v>
      </c>
      <c r="F357" s="24">
        <v>17280388</v>
      </c>
      <c r="G357" s="25">
        <f t="shared" si="5"/>
        <v>17280388</v>
      </c>
    </row>
    <row r="358" spans="1:7" hidden="1" x14ac:dyDescent="0.3">
      <c r="A358" s="20">
        <v>357</v>
      </c>
      <c r="B358" s="20" t="s">
        <v>729</v>
      </c>
      <c r="C358" s="20" t="s">
        <v>730</v>
      </c>
      <c r="D358" s="22" t="s">
        <v>82</v>
      </c>
      <c r="E358" s="20">
        <v>1</v>
      </c>
      <c r="F358" s="24">
        <v>17280388</v>
      </c>
      <c r="G358" s="25">
        <f t="shared" si="5"/>
        <v>17280388</v>
      </c>
    </row>
    <row r="359" spans="1:7" hidden="1" x14ac:dyDescent="0.3">
      <c r="A359" s="20">
        <v>358</v>
      </c>
      <c r="B359" s="20" t="s">
        <v>731</v>
      </c>
      <c r="C359" s="20" t="s">
        <v>732</v>
      </c>
      <c r="D359" s="22" t="s">
        <v>82</v>
      </c>
      <c r="E359" s="20">
        <v>1</v>
      </c>
      <c r="F359" s="24">
        <v>30092779</v>
      </c>
      <c r="G359" s="25">
        <f t="shared" si="5"/>
        <v>30092779</v>
      </c>
    </row>
    <row r="360" spans="1:7" hidden="1" x14ac:dyDescent="0.3">
      <c r="A360" s="20">
        <v>359</v>
      </c>
      <c r="B360" s="20" t="s">
        <v>733</v>
      </c>
      <c r="C360" s="20" t="s">
        <v>734</v>
      </c>
      <c r="D360" s="22" t="s">
        <v>82</v>
      </c>
      <c r="E360" s="20">
        <v>1</v>
      </c>
      <c r="F360" s="24">
        <v>32859931</v>
      </c>
      <c r="G360" s="25">
        <f t="shared" si="5"/>
        <v>32859931</v>
      </c>
    </row>
    <row r="361" spans="1:7" hidden="1" x14ac:dyDescent="0.3">
      <c r="A361" s="20">
        <v>360</v>
      </c>
      <c r="B361" s="20" t="s">
        <v>735</v>
      </c>
      <c r="C361" s="20" t="s">
        <v>736</v>
      </c>
      <c r="D361" s="22" t="s">
        <v>82</v>
      </c>
      <c r="E361" s="20">
        <v>1</v>
      </c>
      <c r="F361" s="24">
        <v>34589401</v>
      </c>
      <c r="G361" s="25">
        <f t="shared" si="5"/>
        <v>34589401</v>
      </c>
    </row>
    <row r="362" spans="1:7" hidden="1" x14ac:dyDescent="0.3">
      <c r="A362" s="20">
        <v>361</v>
      </c>
      <c r="B362" s="20" t="s">
        <v>737</v>
      </c>
      <c r="C362" s="20" t="s">
        <v>738</v>
      </c>
      <c r="D362" s="22" t="s">
        <v>82</v>
      </c>
      <c r="E362" s="20">
        <v>1</v>
      </c>
      <c r="F362" s="24">
        <v>31130461</v>
      </c>
      <c r="G362" s="25">
        <f t="shared" si="5"/>
        <v>31130461</v>
      </c>
    </row>
    <row r="363" spans="1:7" hidden="1" x14ac:dyDescent="0.3">
      <c r="A363" s="20">
        <v>362</v>
      </c>
      <c r="B363" s="20" t="s">
        <v>739</v>
      </c>
      <c r="C363" s="20" t="s">
        <v>740</v>
      </c>
      <c r="D363" s="22" t="s">
        <v>82</v>
      </c>
      <c r="E363" s="20">
        <v>1</v>
      </c>
      <c r="F363" s="24">
        <v>32859931</v>
      </c>
      <c r="G363" s="25">
        <f t="shared" si="5"/>
        <v>32859931</v>
      </c>
    </row>
    <row r="364" spans="1:7" hidden="1" x14ac:dyDescent="0.3">
      <c r="A364" s="20">
        <v>363</v>
      </c>
      <c r="B364" s="20" t="s">
        <v>741</v>
      </c>
      <c r="C364" s="20" t="s">
        <v>742</v>
      </c>
      <c r="D364" s="22" t="s">
        <v>82</v>
      </c>
      <c r="E364" s="20">
        <v>1</v>
      </c>
      <c r="F364" s="24">
        <v>3427125</v>
      </c>
      <c r="G364" s="25">
        <f t="shared" si="5"/>
        <v>3427125</v>
      </c>
    </row>
    <row r="365" spans="1:7" hidden="1" x14ac:dyDescent="0.3">
      <c r="A365" s="20">
        <v>364</v>
      </c>
      <c r="B365" s="20" t="s">
        <v>743</v>
      </c>
      <c r="C365" s="20" t="s">
        <v>744</v>
      </c>
      <c r="D365" s="22" t="s">
        <v>82</v>
      </c>
      <c r="E365" s="20">
        <v>1</v>
      </c>
      <c r="F365" s="24">
        <v>3427125</v>
      </c>
      <c r="G365" s="25">
        <f t="shared" si="5"/>
        <v>3427125</v>
      </c>
    </row>
    <row r="366" spans="1:7" hidden="1" x14ac:dyDescent="0.3">
      <c r="A366" s="20">
        <v>365</v>
      </c>
      <c r="B366" s="20" t="s">
        <v>745</v>
      </c>
      <c r="C366" s="20" t="s">
        <v>746</v>
      </c>
      <c r="D366" s="22" t="s">
        <v>82</v>
      </c>
      <c r="E366" s="20">
        <v>1</v>
      </c>
      <c r="F366" s="24">
        <v>3427125</v>
      </c>
      <c r="G366" s="25">
        <f t="shared" si="5"/>
        <v>3427125</v>
      </c>
    </row>
    <row r="367" spans="1:7" hidden="1" x14ac:dyDescent="0.3">
      <c r="A367" s="20">
        <v>366</v>
      </c>
      <c r="B367" s="20" t="s">
        <v>747</v>
      </c>
      <c r="C367" s="20" t="s">
        <v>748</v>
      </c>
      <c r="D367" s="22" t="s">
        <v>82</v>
      </c>
      <c r="E367" s="20">
        <v>1</v>
      </c>
      <c r="F367" s="24">
        <v>3427125</v>
      </c>
      <c r="G367" s="25">
        <f t="shared" si="5"/>
        <v>3427125</v>
      </c>
    </row>
    <row r="368" spans="1:7" hidden="1" x14ac:dyDescent="0.3">
      <c r="A368" s="20">
        <v>367</v>
      </c>
      <c r="B368" s="20" t="s">
        <v>749</v>
      </c>
      <c r="C368" s="20" t="s">
        <v>750</v>
      </c>
      <c r="D368" s="22" t="s">
        <v>82</v>
      </c>
      <c r="E368" s="20">
        <v>1</v>
      </c>
      <c r="F368" s="24">
        <v>3427125</v>
      </c>
      <c r="G368" s="25">
        <f t="shared" si="5"/>
        <v>3427125</v>
      </c>
    </row>
    <row r="369" spans="1:7" hidden="1" x14ac:dyDescent="0.3">
      <c r="A369" s="20">
        <v>368</v>
      </c>
      <c r="B369" s="20" t="s">
        <v>751</v>
      </c>
      <c r="C369" s="20" t="s">
        <v>752</v>
      </c>
      <c r="D369" s="22" t="s">
        <v>82</v>
      </c>
      <c r="E369" s="20">
        <v>1</v>
      </c>
      <c r="F369" s="24">
        <v>2747944</v>
      </c>
      <c r="G369" s="25">
        <f t="shared" si="5"/>
        <v>2747944</v>
      </c>
    </row>
    <row r="370" spans="1:7" hidden="1" x14ac:dyDescent="0.3">
      <c r="A370" s="20">
        <v>369</v>
      </c>
      <c r="B370" s="20" t="s">
        <v>753</v>
      </c>
      <c r="C370" s="20" t="s">
        <v>754</v>
      </c>
      <c r="D370" s="22" t="s">
        <v>82</v>
      </c>
      <c r="E370" s="20">
        <v>1</v>
      </c>
      <c r="F370" s="24">
        <v>2747944</v>
      </c>
      <c r="G370" s="25">
        <f t="shared" si="5"/>
        <v>2747944</v>
      </c>
    </row>
    <row r="371" spans="1:7" hidden="1" x14ac:dyDescent="0.3">
      <c r="A371" s="20">
        <v>370</v>
      </c>
      <c r="B371" s="20" t="s">
        <v>755</v>
      </c>
      <c r="C371" s="20" t="s">
        <v>756</v>
      </c>
      <c r="D371" s="22" t="s">
        <v>82</v>
      </c>
      <c r="E371" s="20">
        <v>1</v>
      </c>
      <c r="F371" s="24">
        <v>2747944</v>
      </c>
      <c r="G371" s="25">
        <f t="shared" si="5"/>
        <v>2747944</v>
      </c>
    </row>
    <row r="372" spans="1:7" hidden="1" x14ac:dyDescent="0.3">
      <c r="A372" s="20">
        <v>371</v>
      </c>
      <c r="B372" s="20" t="s">
        <v>757</v>
      </c>
      <c r="C372" s="20" t="s">
        <v>758</v>
      </c>
      <c r="D372" s="22" t="s">
        <v>82</v>
      </c>
      <c r="E372" s="20">
        <v>1</v>
      </c>
      <c r="F372" s="24">
        <v>2747944</v>
      </c>
      <c r="G372" s="25">
        <f t="shared" si="5"/>
        <v>2747944</v>
      </c>
    </row>
    <row r="373" spans="1:7" hidden="1" x14ac:dyDescent="0.3">
      <c r="A373" s="20">
        <v>372</v>
      </c>
      <c r="B373" s="20" t="s">
        <v>759</v>
      </c>
      <c r="C373" s="20" t="s">
        <v>760</v>
      </c>
      <c r="D373" s="22" t="s">
        <v>82</v>
      </c>
      <c r="E373" s="20">
        <v>1</v>
      </c>
      <c r="F373" s="24">
        <v>2747944</v>
      </c>
      <c r="G373" s="25">
        <f t="shared" si="5"/>
        <v>2747944</v>
      </c>
    </row>
    <row r="374" spans="1:7" hidden="1" x14ac:dyDescent="0.3">
      <c r="A374" s="20">
        <v>373</v>
      </c>
      <c r="B374" s="20" t="s">
        <v>761</v>
      </c>
      <c r="C374" s="20" t="s">
        <v>762</v>
      </c>
      <c r="D374" s="22" t="s">
        <v>82</v>
      </c>
      <c r="E374" s="20">
        <v>1</v>
      </c>
      <c r="F374" s="24">
        <v>2747944</v>
      </c>
      <c r="G374" s="25">
        <f t="shared" si="5"/>
        <v>2747944</v>
      </c>
    </row>
    <row r="375" spans="1:7" hidden="1" x14ac:dyDescent="0.3">
      <c r="A375" s="20">
        <v>374</v>
      </c>
      <c r="B375" s="20" t="s">
        <v>763</v>
      </c>
      <c r="C375" s="20" t="s">
        <v>764</v>
      </c>
      <c r="D375" s="22" t="s">
        <v>82</v>
      </c>
      <c r="E375" s="20">
        <v>1</v>
      </c>
      <c r="F375" s="24">
        <v>5779751</v>
      </c>
      <c r="G375" s="25">
        <f t="shared" si="5"/>
        <v>5779751</v>
      </c>
    </row>
    <row r="376" spans="1:7" hidden="1" x14ac:dyDescent="0.3">
      <c r="A376" s="20">
        <v>375</v>
      </c>
      <c r="B376" s="20" t="s">
        <v>765</v>
      </c>
      <c r="C376" s="20" t="s">
        <v>766</v>
      </c>
      <c r="D376" s="22" t="s">
        <v>82</v>
      </c>
      <c r="E376" s="20">
        <v>1</v>
      </c>
      <c r="F376" s="24">
        <v>6311222</v>
      </c>
      <c r="G376" s="25">
        <f t="shared" si="5"/>
        <v>6311222</v>
      </c>
    </row>
    <row r="377" spans="1:7" hidden="1" x14ac:dyDescent="0.3">
      <c r="A377" s="20">
        <v>376</v>
      </c>
      <c r="B377" s="20" t="s">
        <v>767</v>
      </c>
      <c r="C377" s="20" t="s">
        <v>768</v>
      </c>
      <c r="D377" s="22" t="s">
        <v>82</v>
      </c>
      <c r="E377" s="20">
        <v>1</v>
      </c>
      <c r="F377" s="24">
        <v>6643392</v>
      </c>
      <c r="G377" s="25">
        <f t="shared" si="5"/>
        <v>6643392</v>
      </c>
    </row>
    <row r="378" spans="1:7" hidden="1" x14ac:dyDescent="0.3">
      <c r="A378" s="20">
        <v>377</v>
      </c>
      <c r="B378" s="20" t="s">
        <v>769</v>
      </c>
      <c r="C378" s="20" t="s">
        <v>770</v>
      </c>
      <c r="D378" s="22" t="s">
        <v>82</v>
      </c>
      <c r="E378" s="20">
        <v>1</v>
      </c>
      <c r="F378" s="24">
        <v>5979052</v>
      </c>
      <c r="G378" s="25">
        <f t="shared" si="5"/>
        <v>5979052</v>
      </c>
    </row>
    <row r="379" spans="1:7" hidden="1" x14ac:dyDescent="0.3">
      <c r="A379" s="20">
        <v>378</v>
      </c>
      <c r="B379" s="20" t="s">
        <v>771</v>
      </c>
      <c r="C379" s="20" t="s">
        <v>772</v>
      </c>
      <c r="D379" s="22" t="s">
        <v>82</v>
      </c>
      <c r="E379" s="20">
        <v>1</v>
      </c>
      <c r="F379" s="24">
        <v>6311222</v>
      </c>
      <c r="G379" s="25">
        <f t="shared" si="5"/>
        <v>6311222</v>
      </c>
    </row>
    <row r="380" spans="1:7" hidden="1" x14ac:dyDescent="0.3">
      <c r="A380" s="20">
        <v>379</v>
      </c>
      <c r="B380" s="20" t="s">
        <v>773</v>
      </c>
      <c r="C380" s="20" t="s">
        <v>774</v>
      </c>
      <c r="D380" s="22" t="s">
        <v>82</v>
      </c>
      <c r="E380" s="20">
        <v>1</v>
      </c>
      <c r="F380" s="24">
        <v>1769063</v>
      </c>
      <c r="G380" s="25">
        <f t="shared" si="5"/>
        <v>1769063</v>
      </c>
    </row>
    <row r="381" spans="1:7" hidden="1" x14ac:dyDescent="0.3">
      <c r="A381" s="20">
        <v>380</v>
      </c>
      <c r="B381" s="20" t="s">
        <v>775</v>
      </c>
      <c r="C381" s="20" t="s">
        <v>776</v>
      </c>
      <c r="D381" s="22" t="s">
        <v>82</v>
      </c>
      <c r="E381" s="20">
        <v>1</v>
      </c>
      <c r="F381" s="24">
        <v>23957287</v>
      </c>
      <c r="G381" s="25">
        <f t="shared" si="5"/>
        <v>23957287</v>
      </c>
    </row>
    <row r="382" spans="1:7" hidden="1" x14ac:dyDescent="0.3">
      <c r="A382" s="20">
        <v>381</v>
      </c>
      <c r="B382" s="20" t="s">
        <v>777</v>
      </c>
      <c r="C382" s="20" t="s">
        <v>778</v>
      </c>
      <c r="D382" s="22" t="s">
        <v>82</v>
      </c>
      <c r="E382" s="20">
        <v>1</v>
      </c>
      <c r="F382" s="24">
        <v>26160256</v>
      </c>
      <c r="G382" s="25">
        <f t="shared" si="5"/>
        <v>26160256</v>
      </c>
    </row>
    <row r="383" spans="1:7" hidden="1" x14ac:dyDescent="0.3">
      <c r="A383" s="20">
        <v>382</v>
      </c>
      <c r="B383" s="20" t="s">
        <v>779</v>
      </c>
      <c r="C383" s="20" t="s">
        <v>780</v>
      </c>
      <c r="D383" s="22" t="s">
        <v>82</v>
      </c>
      <c r="E383" s="20">
        <v>1</v>
      </c>
      <c r="F383" s="24">
        <v>27537111</v>
      </c>
      <c r="G383" s="25">
        <f t="shared" si="5"/>
        <v>27537111</v>
      </c>
    </row>
    <row r="384" spans="1:7" hidden="1" x14ac:dyDescent="0.3">
      <c r="A384" s="20">
        <v>383</v>
      </c>
      <c r="B384" s="20" t="s">
        <v>781</v>
      </c>
      <c r="C384" s="20" t="s">
        <v>782</v>
      </c>
      <c r="D384" s="22" t="s">
        <v>82</v>
      </c>
      <c r="E384" s="20">
        <v>1</v>
      </c>
      <c r="F384" s="24">
        <v>24783400</v>
      </c>
      <c r="G384" s="25">
        <f t="shared" si="5"/>
        <v>24783400</v>
      </c>
    </row>
    <row r="385" spans="1:7" hidden="1" x14ac:dyDescent="0.3">
      <c r="A385" s="20">
        <v>384</v>
      </c>
      <c r="B385" s="20" t="s">
        <v>783</v>
      </c>
      <c r="C385" s="20" t="s">
        <v>784</v>
      </c>
      <c r="D385" s="22" t="s">
        <v>82</v>
      </c>
      <c r="E385" s="20">
        <v>1</v>
      </c>
      <c r="F385" s="24">
        <v>26160256</v>
      </c>
      <c r="G385" s="25">
        <f t="shared" si="5"/>
        <v>26160256</v>
      </c>
    </row>
    <row r="386" spans="1:7" hidden="1" x14ac:dyDescent="0.3">
      <c r="A386" s="20">
        <v>385</v>
      </c>
      <c r="B386" s="20" t="s">
        <v>785</v>
      </c>
      <c r="C386" s="20" t="s">
        <v>786</v>
      </c>
      <c r="D386" s="22" t="s">
        <v>82</v>
      </c>
      <c r="E386" s="20">
        <v>1</v>
      </c>
      <c r="F386" s="24">
        <v>61312053</v>
      </c>
      <c r="G386" s="25">
        <f t="shared" si="5"/>
        <v>61312053</v>
      </c>
    </row>
    <row r="387" spans="1:7" hidden="1" x14ac:dyDescent="0.3">
      <c r="A387" s="20">
        <v>386</v>
      </c>
      <c r="B387" s="20" t="s">
        <v>787</v>
      </c>
      <c r="C387" s="20" t="s">
        <v>788</v>
      </c>
      <c r="D387" s="22" t="s">
        <v>82</v>
      </c>
      <c r="E387" s="20">
        <v>1</v>
      </c>
      <c r="F387" s="24">
        <v>7050905</v>
      </c>
      <c r="G387" s="25">
        <f t="shared" ref="G387:G450" si="6">+E387*F387</f>
        <v>7050905</v>
      </c>
    </row>
    <row r="388" spans="1:7" hidden="1" x14ac:dyDescent="0.3">
      <c r="A388" s="20">
        <v>387</v>
      </c>
      <c r="B388" s="20" t="s">
        <v>789</v>
      </c>
      <c r="C388" s="20" t="s">
        <v>790</v>
      </c>
      <c r="D388" s="22" t="s">
        <v>82</v>
      </c>
      <c r="E388" s="20">
        <v>1</v>
      </c>
      <c r="F388" s="24">
        <v>7050905</v>
      </c>
      <c r="G388" s="25">
        <f t="shared" si="6"/>
        <v>7050905</v>
      </c>
    </row>
    <row r="389" spans="1:7" hidden="1" x14ac:dyDescent="0.3">
      <c r="A389" s="20">
        <v>388</v>
      </c>
      <c r="B389" s="20" t="s">
        <v>791</v>
      </c>
      <c r="C389" s="20" t="s">
        <v>792</v>
      </c>
      <c r="D389" s="22" t="s">
        <v>82</v>
      </c>
      <c r="E389" s="20">
        <v>1</v>
      </c>
      <c r="F389" s="24">
        <v>7050905</v>
      </c>
      <c r="G389" s="25">
        <f t="shared" si="6"/>
        <v>7050905</v>
      </c>
    </row>
    <row r="390" spans="1:7" hidden="1" x14ac:dyDescent="0.3">
      <c r="A390" s="20">
        <v>389</v>
      </c>
      <c r="B390" s="20" t="s">
        <v>793</v>
      </c>
      <c r="C390" s="20" t="s">
        <v>794</v>
      </c>
      <c r="D390" s="22" t="s">
        <v>82</v>
      </c>
      <c r="E390" s="20">
        <v>1</v>
      </c>
      <c r="F390" s="24">
        <v>7050905</v>
      </c>
      <c r="G390" s="25">
        <f t="shared" si="6"/>
        <v>7050905</v>
      </c>
    </row>
    <row r="391" spans="1:7" hidden="1" x14ac:dyDescent="0.3">
      <c r="A391" s="20">
        <v>390</v>
      </c>
      <c r="B391" s="20" t="s">
        <v>795</v>
      </c>
      <c r="C391" s="20" t="s">
        <v>796</v>
      </c>
      <c r="D391" s="22" t="s">
        <v>82</v>
      </c>
      <c r="E391" s="20">
        <v>1</v>
      </c>
      <c r="F391" s="24">
        <v>7050905</v>
      </c>
      <c r="G391" s="25">
        <f t="shared" si="6"/>
        <v>7050905</v>
      </c>
    </row>
    <row r="392" spans="1:7" hidden="1" x14ac:dyDescent="0.3">
      <c r="A392" s="20">
        <v>391</v>
      </c>
      <c r="B392" s="20" t="s">
        <v>797</v>
      </c>
      <c r="C392" s="20" t="s">
        <v>798</v>
      </c>
      <c r="D392" s="22" t="s">
        <v>82</v>
      </c>
      <c r="E392" s="20">
        <v>1</v>
      </c>
      <c r="F392" s="24">
        <v>3644778</v>
      </c>
      <c r="G392" s="25">
        <f t="shared" si="6"/>
        <v>3644778</v>
      </c>
    </row>
    <row r="393" spans="1:7" hidden="1" x14ac:dyDescent="0.3">
      <c r="A393" s="20">
        <v>392</v>
      </c>
      <c r="B393" s="20" t="s">
        <v>799</v>
      </c>
      <c r="C393" s="20" t="s">
        <v>800</v>
      </c>
      <c r="D393" s="22" t="s">
        <v>82</v>
      </c>
      <c r="E393" s="20">
        <v>1</v>
      </c>
      <c r="F393" s="24">
        <v>3644778</v>
      </c>
      <c r="G393" s="25">
        <f t="shared" si="6"/>
        <v>3644778</v>
      </c>
    </row>
    <row r="394" spans="1:7" hidden="1" x14ac:dyDescent="0.3">
      <c r="A394" s="20">
        <v>393</v>
      </c>
      <c r="B394" s="20" t="s">
        <v>801</v>
      </c>
      <c r="C394" s="20" t="s">
        <v>802</v>
      </c>
      <c r="D394" s="22" t="s">
        <v>82</v>
      </c>
      <c r="E394" s="20">
        <v>1</v>
      </c>
      <c r="F394" s="24">
        <v>3644778</v>
      </c>
      <c r="G394" s="25">
        <f t="shared" si="6"/>
        <v>3644778</v>
      </c>
    </row>
    <row r="395" spans="1:7" hidden="1" x14ac:dyDescent="0.3">
      <c r="A395" s="20">
        <v>394</v>
      </c>
      <c r="B395" s="20" t="s">
        <v>803</v>
      </c>
      <c r="C395" s="20" t="s">
        <v>804</v>
      </c>
      <c r="D395" s="22" t="s">
        <v>82</v>
      </c>
      <c r="E395" s="20">
        <v>1</v>
      </c>
      <c r="F395" s="24">
        <v>3644778</v>
      </c>
      <c r="G395" s="25">
        <f t="shared" si="6"/>
        <v>3644778</v>
      </c>
    </row>
    <row r="396" spans="1:7" hidden="1" x14ac:dyDescent="0.3">
      <c r="A396" s="20">
        <v>395</v>
      </c>
      <c r="B396" s="20" t="s">
        <v>805</v>
      </c>
      <c r="C396" s="20" t="s">
        <v>806</v>
      </c>
      <c r="D396" s="22" t="s">
        <v>82</v>
      </c>
      <c r="E396" s="20">
        <v>1</v>
      </c>
      <c r="F396" s="24">
        <v>3644778</v>
      </c>
      <c r="G396" s="25">
        <f t="shared" si="6"/>
        <v>3644778</v>
      </c>
    </row>
    <row r="397" spans="1:7" hidden="1" x14ac:dyDescent="0.3">
      <c r="A397" s="20">
        <v>396</v>
      </c>
      <c r="B397" s="20" t="s">
        <v>807</v>
      </c>
      <c r="C397" s="20" t="s">
        <v>808</v>
      </c>
      <c r="D397" s="22" t="s">
        <v>82</v>
      </c>
      <c r="E397" s="20">
        <v>1</v>
      </c>
      <c r="F397" s="24">
        <v>1341518</v>
      </c>
      <c r="G397" s="25">
        <f t="shared" si="6"/>
        <v>1341518</v>
      </c>
    </row>
    <row r="398" spans="1:7" hidden="1" x14ac:dyDescent="0.3">
      <c r="A398" s="20">
        <v>397</v>
      </c>
      <c r="B398" s="20" t="s">
        <v>809</v>
      </c>
      <c r="C398" s="20" t="s">
        <v>810</v>
      </c>
      <c r="D398" s="22" t="s">
        <v>82</v>
      </c>
      <c r="E398" s="20">
        <v>1</v>
      </c>
      <c r="F398" s="24">
        <v>1464876</v>
      </c>
      <c r="G398" s="25">
        <f t="shared" si="6"/>
        <v>1464876</v>
      </c>
    </row>
    <row r="399" spans="1:7" hidden="1" x14ac:dyDescent="0.3">
      <c r="A399" s="20">
        <v>398</v>
      </c>
      <c r="B399" s="20" t="s">
        <v>811</v>
      </c>
      <c r="C399" s="20" t="s">
        <v>812</v>
      </c>
      <c r="D399" s="22" t="s">
        <v>82</v>
      </c>
      <c r="E399" s="20">
        <v>1</v>
      </c>
      <c r="F399" s="24">
        <v>1541975</v>
      </c>
      <c r="G399" s="25">
        <f t="shared" si="6"/>
        <v>1541975</v>
      </c>
    </row>
    <row r="400" spans="1:7" hidden="1" x14ac:dyDescent="0.3">
      <c r="A400" s="20">
        <v>399</v>
      </c>
      <c r="B400" s="20" t="s">
        <v>813</v>
      </c>
      <c r="C400" s="20" t="s">
        <v>814</v>
      </c>
      <c r="D400" s="22" t="s">
        <v>82</v>
      </c>
      <c r="E400" s="20">
        <v>1</v>
      </c>
      <c r="F400" s="24">
        <v>1387778</v>
      </c>
      <c r="G400" s="25">
        <f t="shared" si="6"/>
        <v>1387778</v>
      </c>
    </row>
    <row r="401" spans="1:7" hidden="1" x14ac:dyDescent="0.3">
      <c r="A401" s="20">
        <v>400</v>
      </c>
      <c r="B401" s="20" t="s">
        <v>815</v>
      </c>
      <c r="C401" s="20" t="s">
        <v>816</v>
      </c>
      <c r="D401" s="22" t="s">
        <v>82</v>
      </c>
      <c r="E401" s="20">
        <v>1</v>
      </c>
      <c r="F401" s="24">
        <v>1464876</v>
      </c>
      <c r="G401" s="25">
        <f t="shared" si="6"/>
        <v>1464876</v>
      </c>
    </row>
    <row r="402" spans="1:7" hidden="1" x14ac:dyDescent="0.3">
      <c r="A402" s="20">
        <v>401</v>
      </c>
      <c r="B402" s="20" t="s">
        <v>817</v>
      </c>
      <c r="C402" s="20" t="s">
        <v>818</v>
      </c>
      <c r="D402" s="22" t="s">
        <v>82</v>
      </c>
      <c r="E402" s="20">
        <v>1</v>
      </c>
      <c r="F402" s="24">
        <v>9231212</v>
      </c>
      <c r="G402" s="25">
        <f t="shared" si="6"/>
        <v>9231212</v>
      </c>
    </row>
    <row r="403" spans="1:7" hidden="1" x14ac:dyDescent="0.3">
      <c r="A403" s="20">
        <v>402</v>
      </c>
      <c r="B403" s="20" t="s">
        <v>819</v>
      </c>
      <c r="C403" s="20" t="s">
        <v>820</v>
      </c>
      <c r="D403" s="22" t="s">
        <v>82</v>
      </c>
      <c r="E403" s="20">
        <v>1</v>
      </c>
      <c r="F403" s="24">
        <v>11006961</v>
      </c>
      <c r="G403" s="25">
        <f t="shared" si="6"/>
        <v>11006961</v>
      </c>
    </row>
    <row r="404" spans="1:7" hidden="1" x14ac:dyDescent="0.3">
      <c r="A404" s="20">
        <v>403</v>
      </c>
      <c r="B404" s="20" t="s">
        <v>821</v>
      </c>
      <c r="C404" s="20" t="s">
        <v>822</v>
      </c>
      <c r="D404" s="22" t="s">
        <v>82</v>
      </c>
      <c r="E404" s="20">
        <v>1</v>
      </c>
      <c r="F404" s="24">
        <v>12196079</v>
      </c>
      <c r="G404" s="25">
        <f t="shared" si="6"/>
        <v>12196079</v>
      </c>
    </row>
    <row r="405" spans="1:7" hidden="1" x14ac:dyDescent="0.3">
      <c r="A405" s="20">
        <v>404</v>
      </c>
      <c r="B405" s="20" t="s">
        <v>823</v>
      </c>
      <c r="C405" s="20" t="s">
        <v>824</v>
      </c>
      <c r="D405" s="22" t="s">
        <v>82</v>
      </c>
      <c r="E405" s="20">
        <v>1</v>
      </c>
      <c r="F405" s="24">
        <v>9878824</v>
      </c>
      <c r="G405" s="25">
        <f t="shared" si="6"/>
        <v>9878824</v>
      </c>
    </row>
    <row r="406" spans="1:7" hidden="1" x14ac:dyDescent="0.3">
      <c r="A406" s="20">
        <v>405</v>
      </c>
      <c r="B406" s="20" t="s">
        <v>825</v>
      </c>
      <c r="C406" s="20" t="s">
        <v>826</v>
      </c>
      <c r="D406" s="22" t="s">
        <v>82</v>
      </c>
      <c r="E406" s="20">
        <v>1</v>
      </c>
      <c r="F406" s="24">
        <v>11006961</v>
      </c>
      <c r="G406" s="25">
        <f t="shared" si="6"/>
        <v>11006961</v>
      </c>
    </row>
    <row r="407" spans="1:7" hidden="1" x14ac:dyDescent="0.3">
      <c r="A407" s="20">
        <v>406</v>
      </c>
      <c r="B407" s="20" t="s">
        <v>827</v>
      </c>
      <c r="C407" s="20" t="s">
        <v>828</v>
      </c>
      <c r="D407" s="22" t="s">
        <v>82</v>
      </c>
      <c r="E407" s="20">
        <v>1</v>
      </c>
      <c r="F407" s="24">
        <v>7293625</v>
      </c>
      <c r="G407" s="25">
        <f t="shared" si="6"/>
        <v>7293625</v>
      </c>
    </row>
    <row r="408" spans="1:7" hidden="1" x14ac:dyDescent="0.3">
      <c r="A408" s="20">
        <v>407</v>
      </c>
      <c r="B408" s="21" t="s">
        <v>829</v>
      </c>
      <c r="C408" s="20" t="s">
        <v>830</v>
      </c>
      <c r="D408" s="22" t="s">
        <v>82</v>
      </c>
      <c r="E408" s="20">
        <v>1</v>
      </c>
      <c r="F408" s="24">
        <v>3750000</v>
      </c>
      <c r="G408" s="25">
        <f t="shared" si="6"/>
        <v>3750000</v>
      </c>
    </row>
    <row r="409" spans="1:7" hidden="1" x14ac:dyDescent="0.3">
      <c r="A409" s="20">
        <v>408</v>
      </c>
      <c r="B409" s="20" t="s">
        <v>831</v>
      </c>
      <c r="C409" s="20" t="s">
        <v>832</v>
      </c>
      <c r="D409" s="22" t="s">
        <v>42</v>
      </c>
      <c r="E409" s="20">
        <v>30</v>
      </c>
      <c r="F409" s="24">
        <v>5273388</v>
      </c>
      <c r="G409" s="25">
        <f t="shared" si="6"/>
        <v>158201640</v>
      </c>
    </row>
    <row r="410" spans="1:7" hidden="1" x14ac:dyDescent="0.3">
      <c r="A410" s="20">
        <v>409</v>
      </c>
      <c r="B410" s="20" t="s">
        <v>833</v>
      </c>
      <c r="C410" s="20" t="s">
        <v>834</v>
      </c>
      <c r="D410" s="22" t="s">
        <v>42</v>
      </c>
      <c r="E410" s="20">
        <v>2</v>
      </c>
      <c r="F410" s="24">
        <v>5494500</v>
      </c>
      <c r="G410" s="25">
        <f t="shared" si="6"/>
        <v>10989000</v>
      </c>
    </row>
    <row r="411" spans="1:7" hidden="1" x14ac:dyDescent="0.3">
      <c r="A411" s="20">
        <v>410</v>
      </c>
      <c r="B411" s="20" t="s">
        <v>835</v>
      </c>
      <c r="C411" s="20" t="s">
        <v>836</v>
      </c>
      <c r="D411" s="22" t="s">
        <v>42</v>
      </c>
      <c r="E411" s="20">
        <v>2</v>
      </c>
      <c r="F411" s="24">
        <v>6160500</v>
      </c>
      <c r="G411" s="25">
        <f t="shared" si="6"/>
        <v>12321000</v>
      </c>
    </row>
    <row r="412" spans="1:7" hidden="1" x14ac:dyDescent="0.3">
      <c r="A412" s="20">
        <v>411</v>
      </c>
      <c r="B412" s="20" t="s">
        <v>837</v>
      </c>
      <c r="C412" s="20" t="s">
        <v>838</v>
      </c>
      <c r="D412" s="22" t="s">
        <v>42</v>
      </c>
      <c r="E412" s="20">
        <v>5</v>
      </c>
      <c r="F412" s="24">
        <v>2705625</v>
      </c>
      <c r="G412" s="25">
        <f t="shared" si="6"/>
        <v>13528125</v>
      </c>
    </row>
    <row r="413" spans="1:7" hidden="1" x14ac:dyDescent="0.3">
      <c r="A413" s="20">
        <v>412</v>
      </c>
      <c r="B413" s="20" t="s">
        <v>839</v>
      </c>
      <c r="C413" s="20" t="s">
        <v>840</v>
      </c>
      <c r="D413" s="22" t="s">
        <v>42</v>
      </c>
      <c r="E413" s="20">
        <v>4</v>
      </c>
      <c r="F413" s="24">
        <v>3371625</v>
      </c>
      <c r="G413" s="25">
        <f t="shared" si="6"/>
        <v>13486500</v>
      </c>
    </row>
    <row r="414" spans="1:7" hidden="1" x14ac:dyDescent="0.3">
      <c r="A414" s="20">
        <v>413</v>
      </c>
      <c r="B414" s="20" t="s">
        <v>841</v>
      </c>
      <c r="C414" s="20" t="s">
        <v>842</v>
      </c>
      <c r="D414" s="22" t="s">
        <v>42</v>
      </c>
      <c r="E414" s="20">
        <v>10</v>
      </c>
      <c r="F414" s="24">
        <v>3454875</v>
      </c>
      <c r="G414" s="25">
        <f t="shared" si="6"/>
        <v>34548750</v>
      </c>
    </row>
    <row r="415" spans="1:7" hidden="1" x14ac:dyDescent="0.3">
      <c r="A415" s="20">
        <v>414</v>
      </c>
      <c r="B415" s="20" t="s">
        <v>843</v>
      </c>
      <c r="C415" s="20" t="s">
        <v>844</v>
      </c>
      <c r="D415" s="22" t="s">
        <v>42</v>
      </c>
      <c r="E415" s="20">
        <v>10</v>
      </c>
      <c r="F415" s="24">
        <v>3538125</v>
      </c>
      <c r="G415" s="25">
        <f t="shared" si="6"/>
        <v>35381250</v>
      </c>
    </row>
    <row r="416" spans="1:7" hidden="1" x14ac:dyDescent="0.3">
      <c r="A416" s="20">
        <v>415</v>
      </c>
      <c r="B416" s="20" t="s">
        <v>845</v>
      </c>
      <c r="C416" s="20" t="s">
        <v>846</v>
      </c>
      <c r="D416" s="22" t="s">
        <v>42</v>
      </c>
      <c r="E416" s="20">
        <v>10</v>
      </c>
      <c r="F416" s="24">
        <v>3621375</v>
      </c>
      <c r="G416" s="25">
        <f t="shared" si="6"/>
        <v>36213750</v>
      </c>
    </row>
    <row r="417" spans="1:7" hidden="1" x14ac:dyDescent="0.3">
      <c r="A417" s="20">
        <v>416</v>
      </c>
      <c r="B417" s="21" t="s">
        <v>847</v>
      </c>
      <c r="C417" s="20" t="s">
        <v>848</v>
      </c>
      <c r="D417" s="22" t="s">
        <v>82</v>
      </c>
      <c r="E417" s="20">
        <v>1</v>
      </c>
      <c r="F417" s="24">
        <v>3750000</v>
      </c>
      <c r="G417" s="25">
        <f t="shared" si="6"/>
        <v>3750000</v>
      </c>
    </row>
    <row r="418" spans="1:7" hidden="1" x14ac:dyDescent="0.3">
      <c r="A418" s="20">
        <v>417</v>
      </c>
      <c r="B418" s="21" t="s">
        <v>849</v>
      </c>
      <c r="C418" s="20" t="s">
        <v>850</v>
      </c>
      <c r="D418" s="22" t="s">
        <v>37</v>
      </c>
      <c r="E418" s="26">
        <v>9555.85</v>
      </c>
      <c r="F418" s="24">
        <v>7088</v>
      </c>
      <c r="G418" s="25">
        <f t="shared" si="6"/>
        <v>67731864.799999997</v>
      </c>
    </row>
    <row r="419" spans="1:7" hidden="1" x14ac:dyDescent="0.3">
      <c r="A419" s="20">
        <v>418</v>
      </c>
      <c r="B419" s="20" t="s">
        <v>851</v>
      </c>
      <c r="C419" s="20" t="s">
        <v>852</v>
      </c>
      <c r="D419" s="22" t="s">
        <v>37</v>
      </c>
      <c r="E419" s="26">
        <v>11306.44</v>
      </c>
      <c r="F419" s="24">
        <v>37178</v>
      </c>
      <c r="G419" s="25">
        <f t="shared" si="6"/>
        <v>420350826.31999999</v>
      </c>
    </row>
    <row r="420" spans="1:7" hidden="1" x14ac:dyDescent="0.3">
      <c r="A420" s="20">
        <v>419</v>
      </c>
      <c r="B420" s="20" t="s">
        <v>853</v>
      </c>
      <c r="C420" s="20" t="s">
        <v>854</v>
      </c>
      <c r="D420" s="22" t="s">
        <v>42</v>
      </c>
      <c r="E420" s="20">
        <v>4</v>
      </c>
      <c r="F420" s="24">
        <v>4375000</v>
      </c>
      <c r="G420" s="25">
        <f t="shared" si="6"/>
        <v>17500000</v>
      </c>
    </row>
    <row r="421" spans="1:7" hidden="1" x14ac:dyDescent="0.3">
      <c r="A421" s="20">
        <v>420</v>
      </c>
      <c r="B421" s="20" t="s">
        <v>855</v>
      </c>
      <c r="C421" s="20" t="s">
        <v>856</v>
      </c>
      <c r="D421" s="22" t="s">
        <v>42</v>
      </c>
      <c r="E421" s="20">
        <v>4</v>
      </c>
      <c r="F421" s="24">
        <v>4687500</v>
      </c>
      <c r="G421" s="25">
        <f t="shared" si="6"/>
        <v>18750000</v>
      </c>
    </row>
    <row r="422" spans="1:7" hidden="1" x14ac:dyDescent="0.3">
      <c r="A422" s="20">
        <v>421</v>
      </c>
      <c r="B422" s="21" t="s">
        <v>857</v>
      </c>
      <c r="C422" s="20" t="s">
        <v>858</v>
      </c>
      <c r="D422" s="22" t="s">
        <v>42</v>
      </c>
      <c r="E422" s="20">
        <v>2</v>
      </c>
      <c r="F422" s="24">
        <v>6875000</v>
      </c>
      <c r="G422" s="25">
        <f t="shared" si="6"/>
        <v>13750000</v>
      </c>
    </row>
    <row r="423" spans="1:7" hidden="1" x14ac:dyDescent="0.3">
      <c r="A423" s="20">
        <v>422</v>
      </c>
      <c r="B423" s="21" t="s">
        <v>859</v>
      </c>
      <c r="C423" s="20" t="s">
        <v>860</v>
      </c>
      <c r="D423" s="22" t="s">
        <v>42</v>
      </c>
      <c r="E423" s="20">
        <v>2</v>
      </c>
      <c r="F423" s="24">
        <v>437500</v>
      </c>
      <c r="G423" s="25">
        <f t="shared" si="6"/>
        <v>875000</v>
      </c>
    </row>
    <row r="424" spans="1:7" hidden="1" x14ac:dyDescent="0.3">
      <c r="A424" s="20">
        <v>423</v>
      </c>
      <c r="B424" s="21" t="s">
        <v>861</v>
      </c>
      <c r="C424" s="20" t="s">
        <v>862</v>
      </c>
      <c r="D424" s="22" t="s">
        <v>82</v>
      </c>
      <c r="E424" s="20">
        <v>1</v>
      </c>
      <c r="F424" s="24">
        <v>3125000</v>
      </c>
      <c r="G424" s="25">
        <f t="shared" si="6"/>
        <v>3125000</v>
      </c>
    </row>
    <row r="425" spans="1:7" hidden="1" x14ac:dyDescent="0.3">
      <c r="A425" s="20">
        <v>424</v>
      </c>
      <c r="B425" s="21" t="s">
        <v>863</v>
      </c>
      <c r="C425" s="20" t="s">
        <v>864</v>
      </c>
      <c r="D425" s="22" t="s">
        <v>19</v>
      </c>
      <c r="E425" s="20">
        <v>65</v>
      </c>
      <c r="F425" s="24">
        <v>19688</v>
      </c>
      <c r="G425" s="25">
        <f t="shared" si="6"/>
        <v>1279720</v>
      </c>
    </row>
    <row r="426" spans="1:7" hidden="1" x14ac:dyDescent="0.3">
      <c r="A426" s="20">
        <v>425</v>
      </c>
      <c r="B426" s="21" t="s">
        <v>865</v>
      </c>
      <c r="C426" s="20" t="s">
        <v>866</v>
      </c>
      <c r="D426" s="22" t="s">
        <v>82</v>
      </c>
      <c r="E426" s="20">
        <v>1</v>
      </c>
      <c r="F426" s="24">
        <v>29785000</v>
      </c>
      <c r="G426" s="25">
        <f t="shared" si="6"/>
        <v>29785000</v>
      </c>
    </row>
    <row r="427" spans="1:7" hidden="1" x14ac:dyDescent="0.3">
      <c r="A427" s="20">
        <v>426</v>
      </c>
      <c r="B427" s="21" t="s">
        <v>867</v>
      </c>
      <c r="C427" s="20" t="s">
        <v>868</v>
      </c>
      <c r="D427" s="22" t="s">
        <v>82</v>
      </c>
      <c r="E427" s="20">
        <v>1</v>
      </c>
      <c r="F427" s="24">
        <v>119140000</v>
      </c>
      <c r="G427" s="25">
        <f t="shared" si="6"/>
        <v>119140000</v>
      </c>
    </row>
    <row r="428" spans="1:7" hidden="1" x14ac:dyDescent="0.3">
      <c r="A428" s="20">
        <v>427</v>
      </c>
      <c r="B428" s="21" t="s">
        <v>869</v>
      </c>
      <c r="C428" s="20" t="s">
        <v>870</v>
      </c>
      <c r="D428" s="22" t="s">
        <v>82</v>
      </c>
      <c r="E428" s="20">
        <v>1</v>
      </c>
      <c r="F428" s="24">
        <v>3869750</v>
      </c>
      <c r="G428" s="25">
        <f t="shared" si="6"/>
        <v>3869750</v>
      </c>
    </row>
    <row r="429" spans="1:7" hidden="1" x14ac:dyDescent="0.3">
      <c r="A429" s="20">
        <v>428</v>
      </c>
      <c r="B429" s="21" t="s">
        <v>871</v>
      </c>
      <c r="C429" s="20" t="s">
        <v>872</v>
      </c>
      <c r="D429" s="22" t="s">
        <v>82</v>
      </c>
      <c r="E429" s="20">
        <v>1</v>
      </c>
      <c r="F429" s="24">
        <v>69000000</v>
      </c>
      <c r="G429" s="25">
        <f t="shared" si="6"/>
        <v>69000000</v>
      </c>
    </row>
    <row r="430" spans="1:7" hidden="1" x14ac:dyDescent="0.3">
      <c r="A430" s="20">
        <v>429</v>
      </c>
      <c r="B430" s="21" t="s">
        <v>873</v>
      </c>
      <c r="C430" s="20" t="s">
        <v>874</v>
      </c>
      <c r="D430" s="22" t="s">
        <v>82</v>
      </c>
      <c r="E430" s="20">
        <v>1</v>
      </c>
      <c r="F430" s="24">
        <v>3920576</v>
      </c>
      <c r="G430" s="25">
        <f t="shared" si="6"/>
        <v>3920576</v>
      </c>
    </row>
    <row r="431" spans="1:7" hidden="1" x14ac:dyDescent="0.3">
      <c r="A431" s="20">
        <v>430</v>
      </c>
      <c r="B431" s="20" t="s">
        <v>875</v>
      </c>
      <c r="C431" s="20" t="s">
        <v>876</v>
      </c>
      <c r="D431" s="22" t="s">
        <v>82</v>
      </c>
      <c r="E431" s="20">
        <v>1</v>
      </c>
      <c r="F431" s="24">
        <v>17953221</v>
      </c>
      <c r="G431" s="25">
        <f t="shared" si="6"/>
        <v>17953221</v>
      </c>
    </row>
    <row r="432" spans="1:7" hidden="1" x14ac:dyDescent="0.3">
      <c r="A432" s="20">
        <v>431</v>
      </c>
      <c r="B432" s="20" t="s">
        <v>877</v>
      </c>
      <c r="C432" s="20" t="s">
        <v>878</v>
      </c>
      <c r="D432" s="22" t="s">
        <v>82</v>
      </c>
      <c r="E432" s="20">
        <v>1</v>
      </c>
      <c r="F432" s="24">
        <v>11111515</v>
      </c>
      <c r="G432" s="25">
        <f t="shared" si="6"/>
        <v>11111515</v>
      </c>
    </row>
    <row r="433" spans="1:7" hidden="1" x14ac:dyDescent="0.3">
      <c r="A433" s="20">
        <v>432</v>
      </c>
      <c r="B433" s="20" t="s">
        <v>879</v>
      </c>
      <c r="C433" s="20" t="s">
        <v>880</v>
      </c>
      <c r="D433" s="22" t="s">
        <v>82</v>
      </c>
      <c r="E433" s="20">
        <v>1</v>
      </c>
      <c r="F433" s="24">
        <v>19526276</v>
      </c>
      <c r="G433" s="25">
        <f t="shared" si="6"/>
        <v>19526276</v>
      </c>
    </row>
    <row r="434" spans="1:7" hidden="1" x14ac:dyDescent="0.3">
      <c r="A434" s="20">
        <v>433</v>
      </c>
      <c r="B434" s="20" t="s">
        <v>881</v>
      </c>
      <c r="C434" s="20" t="s">
        <v>882</v>
      </c>
      <c r="D434" s="22" t="s">
        <v>82</v>
      </c>
      <c r="E434" s="20">
        <v>1</v>
      </c>
      <c r="F434" s="24">
        <v>17245708</v>
      </c>
      <c r="G434" s="25">
        <f t="shared" si="6"/>
        <v>17245708</v>
      </c>
    </row>
    <row r="435" spans="1:7" hidden="1" x14ac:dyDescent="0.3">
      <c r="A435" s="20">
        <v>434</v>
      </c>
      <c r="B435" s="20" t="s">
        <v>883</v>
      </c>
      <c r="C435" s="20" t="s">
        <v>884</v>
      </c>
      <c r="D435" s="22" t="s">
        <v>82</v>
      </c>
      <c r="E435" s="20">
        <v>1</v>
      </c>
      <c r="F435" s="24">
        <v>17453800</v>
      </c>
      <c r="G435" s="25">
        <f t="shared" si="6"/>
        <v>17453800</v>
      </c>
    </row>
    <row r="436" spans="1:7" hidden="1" x14ac:dyDescent="0.3">
      <c r="A436" s="20">
        <v>435</v>
      </c>
      <c r="B436" s="20" t="s">
        <v>885</v>
      </c>
      <c r="C436" s="20" t="s">
        <v>886</v>
      </c>
      <c r="D436" s="22" t="s">
        <v>82</v>
      </c>
      <c r="E436" s="20">
        <v>1</v>
      </c>
      <c r="F436" s="24">
        <v>8928056</v>
      </c>
      <c r="G436" s="25">
        <f t="shared" si="6"/>
        <v>8928056</v>
      </c>
    </row>
    <row r="437" spans="1:7" hidden="1" x14ac:dyDescent="0.3">
      <c r="A437" s="20">
        <v>436</v>
      </c>
      <c r="B437" s="20" t="s">
        <v>887</v>
      </c>
      <c r="C437" s="20" t="s">
        <v>888</v>
      </c>
      <c r="D437" s="22" t="s">
        <v>82</v>
      </c>
      <c r="E437" s="20">
        <v>1</v>
      </c>
      <c r="F437" s="24">
        <v>6744596</v>
      </c>
      <c r="G437" s="25">
        <f t="shared" si="6"/>
        <v>6744596</v>
      </c>
    </row>
    <row r="438" spans="1:7" hidden="1" x14ac:dyDescent="0.3">
      <c r="A438" s="20">
        <v>437</v>
      </c>
      <c r="B438" s="20" t="s">
        <v>889</v>
      </c>
      <c r="C438" s="20" t="s">
        <v>890</v>
      </c>
      <c r="D438" s="22" t="s">
        <v>82</v>
      </c>
      <c r="E438" s="20">
        <v>1</v>
      </c>
      <c r="F438" s="24">
        <v>8969674</v>
      </c>
      <c r="G438" s="25">
        <f t="shared" si="6"/>
        <v>8969674</v>
      </c>
    </row>
    <row r="439" spans="1:7" hidden="1" x14ac:dyDescent="0.3">
      <c r="A439" s="20">
        <v>438</v>
      </c>
      <c r="B439" s="20" t="s">
        <v>891</v>
      </c>
      <c r="C439" s="20" t="s">
        <v>892</v>
      </c>
      <c r="D439" s="22" t="s">
        <v>82</v>
      </c>
      <c r="E439" s="20">
        <v>1</v>
      </c>
      <c r="F439" s="24">
        <v>8928056</v>
      </c>
      <c r="G439" s="25">
        <f t="shared" si="6"/>
        <v>8928056</v>
      </c>
    </row>
    <row r="440" spans="1:7" hidden="1" x14ac:dyDescent="0.3">
      <c r="A440" s="20">
        <v>439</v>
      </c>
      <c r="B440" s="20" t="s">
        <v>893</v>
      </c>
      <c r="C440" s="20" t="s">
        <v>894</v>
      </c>
      <c r="D440" s="22" t="s">
        <v>82</v>
      </c>
      <c r="E440" s="20">
        <v>1</v>
      </c>
      <c r="F440" s="24">
        <v>4464028</v>
      </c>
      <c r="G440" s="25">
        <f t="shared" si="6"/>
        <v>4464028</v>
      </c>
    </row>
    <row r="441" spans="1:7" hidden="1" x14ac:dyDescent="0.3">
      <c r="A441" s="20">
        <v>440</v>
      </c>
      <c r="B441" s="20" t="s">
        <v>895</v>
      </c>
      <c r="C441" s="20" t="s">
        <v>896</v>
      </c>
      <c r="D441" s="22" t="s">
        <v>82</v>
      </c>
      <c r="E441" s="20">
        <v>1</v>
      </c>
      <c r="F441" s="24">
        <v>4505646</v>
      </c>
      <c r="G441" s="25">
        <f t="shared" si="6"/>
        <v>4505646</v>
      </c>
    </row>
    <row r="442" spans="1:7" hidden="1" x14ac:dyDescent="0.3">
      <c r="A442" s="20">
        <v>441</v>
      </c>
      <c r="B442" s="20" t="s">
        <v>897</v>
      </c>
      <c r="C442" s="20" t="s">
        <v>898</v>
      </c>
      <c r="D442" s="22" t="s">
        <v>82</v>
      </c>
      <c r="E442" s="20">
        <v>1</v>
      </c>
      <c r="F442" s="24">
        <v>2280569</v>
      </c>
      <c r="G442" s="25">
        <f t="shared" si="6"/>
        <v>2280569</v>
      </c>
    </row>
    <row r="443" spans="1:7" hidden="1" x14ac:dyDescent="0.3">
      <c r="A443" s="20">
        <v>442</v>
      </c>
      <c r="B443" s="20" t="s">
        <v>899</v>
      </c>
      <c r="C443" s="20" t="s">
        <v>900</v>
      </c>
      <c r="D443" s="22" t="s">
        <v>82</v>
      </c>
      <c r="E443" s="20">
        <v>1</v>
      </c>
      <c r="F443" s="24">
        <v>20326677</v>
      </c>
      <c r="G443" s="25">
        <f t="shared" si="6"/>
        <v>20326677</v>
      </c>
    </row>
    <row r="444" spans="1:7" hidden="1" x14ac:dyDescent="0.3">
      <c r="A444" s="20">
        <v>443</v>
      </c>
      <c r="B444" s="20" t="s">
        <v>901</v>
      </c>
      <c r="C444" s="20" t="s">
        <v>902</v>
      </c>
      <c r="D444" s="22" t="s">
        <v>82</v>
      </c>
      <c r="E444" s="20">
        <v>1</v>
      </c>
      <c r="F444" s="24">
        <v>46314363</v>
      </c>
      <c r="G444" s="25">
        <f t="shared" si="6"/>
        <v>46314363</v>
      </c>
    </row>
    <row r="445" spans="1:7" hidden="1" x14ac:dyDescent="0.3">
      <c r="A445" s="20">
        <v>444</v>
      </c>
      <c r="B445" s="20" t="s">
        <v>903</v>
      </c>
      <c r="C445" s="20" t="s">
        <v>904</v>
      </c>
      <c r="D445" s="22" t="s">
        <v>82</v>
      </c>
      <c r="E445" s="20">
        <v>1</v>
      </c>
      <c r="F445" s="24">
        <v>46314363</v>
      </c>
      <c r="G445" s="25">
        <f t="shared" si="6"/>
        <v>46314363</v>
      </c>
    </row>
    <row r="446" spans="1:7" hidden="1" x14ac:dyDescent="0.3">
      <c r="A446" s="20">
        <v>445</v>
      </c>
      <c r="B446" s="20" t="s">
        <v>905</v>
      </c>
      <c r="C446" s="20" t="s">
        <v>906</v>
      </c>
      <c r="D446" s="22" t="s">
        <v>82</v>
      </c>
      <c r="E446" s="20">
        <v>1</v>
      </c>
      <c r="F446" s="24">
        <v>46314363</v>
      </c>
      <c r="G446" s="25">
        <f t="shared" si="6"/>
        <v>46314363</v>
      </c>
    </row>
    <row r="447" spans="1:7" hidden="1" x14ac:dyDescent="0.3">
      <c r="A447" s="20">
        <v>446</v>
      </c>
      <c r="B447" s="20" t="s">
        <v>907</v>
      </c>
      <c r="C447" s="20" t="s">
        <v>908</v>
      </c>
      <c r="D447" s="22" t="s">
        <v>82</v>
      </c>
      <c r="E447" s="20">
        <v>1</v>
      </c>
      <c r="F447" s="24">
        <v>46314363</v>
      </c>
      <c r="G447" s="25">
        <f t="shared" si="6"/>
        <v>46314363</v>
      </c>
    </row>
    <row r="448" spans="1:7" hidden="1" x14ac:dyDescent="0.3">
      <c r="A448" s="20">
        <v>447</v>
      </c>
      <c r="B448" s="20" t="s">
        <v>909</v>
      </c>
      <c r="C448" s="20" t="s">
        <v>910</v>
      </c>
      <c r="D448" s="22" t="s">
        <v>82</v>
      </c>
      <c r="E448" s="20">
        <v>1</v>
      </c>
      <c r="F448" s="24">
        <v>46314363</v>
      </c>
      <c r="G448" s="25">
        <f t="shared" si="6"/>
        <v>46314363</v>
      </c>
    </row>
    <row r="449" spans="1:7" hidden="1" x14ac:dyDescent="0.3">
      <c r="A449" s="20">
        <v>448</v>
      </c>
      <c r="B449" s="20" t="s">
        <v>911</v>
      </c>
      <c r="C449" s="20" t="s">
        <v>912</v>
      </c>
      <c r="D449" s="22" t="s">
        <v>82</v>
      </c>
      <c r="E449" s="20">
        <v>1</v>
      </c>
      <c r="F449" s="24">
        <v>46314363</v>
      </c>
      <c r="G449" s="25">
        <f t="shared" si="6"/>
        <v>46314363</v>
      </c>
    </row>
    <row r="450" spans="1:7" hidden="1" x14ac:dyDescent="0.3">
      <c r="A450" s="20">
        <v>449</v>
      </c>
      <c r="B450" s="20" t="s">
        <v>913</v>
      </c>
      <c r="C450" s="20" t="s">
        <v>914</v>
      </c>
      <c r="D450" s="22" t="s">
        <v>82</v>
      </c>
      <c r="E450" s="20">
        <v>1</v>
      </c>
      <c r="F450" s="24">
        <v>46314363</v>
      </c>
      <c r="G450" s="25">
        <f t="shared" si="6"/>
        <v>46314363</v>
      </c>
    </row>
    <row r="451" spans="1:7" hidden="1" x14ac:dyDescent="0.3">
      <c r="A451" s="20">
        <v>450</v>
      </c>
      <c r="B451" s="20" t="s">
        <v>915</v>
      </c>
      <c r="C451" s="20" t="s">
        <v>916</v>
      </c>
      <c r="D451" s="22" t="s">
        <v>82</v>
      </c>
      <c r="E451" s="20">
        <v>1</v>
      </c>
      <c r="F451" s="24">
        <v>19421929</v>
      </c>
      <c r="G451" s="25">
        <f t="shared" ref="G451:G483" si="7">+E451*F451</f>
        <v>19421929</v>
      </c>
    </row>
    <row r="452" spans="1:7" hidden="1" x14ac:dyDescent="0.3">
      <c r="A452" s="20">
        <v>451</v>
      </c>
      <c r="B452" s="20" t="s">
        <v>917</v>
      </c>
      <c r="C452" s="20" t="s">
        <v>918</v>
      </c>
      <c r="D452" s="22" t="s">
        <v>82</v>
      </c>
      <c r="E452" s="20">
        <v>1</v>
      </c>
      <c r="F452" s="24">
        <v>4578026</v>
      </c>
      <c r="G452" s="25">
        <f t="shared" si="7"/>
        <v>4578026</v>
      </c>
    </row>
    <row r="453" spans="1:7" hidden="1" x14ac:dyDescent="0.3">
      <c r="A453" s="20">
        <v>452</v>
      </c>
      <c r="B453" s="20" t="s">
        <v>919</v>
      </c>
      <c r="C453" s="20" t="s">
        <v>920</v>
      </c>
      <c r="D453" s="22" t="s">
        <v>82</v>
      </c>
      <c r="E453" s="20">
        <v>1</v>
      </c>
      <c r="F453" s="24">
        <v>2080921</v>
      </c>
      <c r="G453" s="25">
        <f t="shared" si="7"/>
        <v>2080921</v>
      </c>
    </row>
    <row r="454" spans="1:7" hidden="1" x14ac:dyDescent="0.3">
      <c r="A454" s="20">
        <v>453</v>
      </c>
      <c r="B454" s="20" t="s">
        <v>921</v>
      </c>
      <c r="C454" s="20" t="s">
        <v>922</v>
      </c>
      <c r="D454" s="22" t="s">
        <v>82</v>
      </c>
      <c r="E454" s="20">
        <v>1</v>
      </c>
      <c r="F454" s="24">
        <v>46314363</v>
      </c>
      <c r="G454" s="25">
        <f t="shared" si="7"/>
        <v>46314363</v>
      </c>
    </row>
    <row r="455" spans="1:7" hidden="1" x14ac:dyDescent="0.3">
      <c r="A455" s="20">
        <v>454</v>
      </c>
      <c r="B455" s="20" t="s">
        <v>923</v>
      </c>
      <c r="C455" s="20" t="s">
        <v>924</v>
      </c>
      <c r="D455" s="22" t="s">
        <v>82</v>
      </c>
      <c r="E455" s="20">
        <v>1</v>
      </c>
      <c r="F455" s="24">
        <v>19421929</v>
      </c>
      <c r="G455" s="25">
        <f t="shared" si="7"/>
        <v>19421929</v>
      </c>
    </row>
    <row r="456" spans="1:7" hidden="1" x14ac:dyDescent="0.3">
      <c r="A456" s="20">
        <v>455</v>
      </c>
      <c r="B456" s="20" t="s">
        <v>925</v>
      </c>
      <c r="C456" s="20" t="s">
        <v>926</v>
      </c>
      <c r="D456" s="22" t="s">
        <v>82</v>
      </c>
      <c r="E456" s="20">
        <v>1</v>
      </c>
      <c r="F456" s="24">
        <v>904748</v>
      </c>
      <c r="G456" s="25">
        <f t="shared" si="7"/>
        <v>904748</v>
      </c>
    </row>
    <row r="457" spans="1:7" hidden="1" x14ac:dyDescent="0.3">
      <c r="A457" s="20">
        <v>456</v>
      </c>
      <c r="B457" s="20" t="s">
        <v>927</v>
      </c>
      <c r="C457" s="20" t="s">
        <v>928</v>
      </c>
      <c r="D457" s="22" t="s">
        <v>37</v>
      </c>
      <c r="E457" s="23">
        <v>5390</v>
      </c>
      <c r="F457" s="24">
        <v>5127</v>
      </c>
      <c r="G457" s="25">
        <f t="shared" si="7"/>
        <v>27634530</v>
      </c>
    </row>
    <row r="458" spans="1:7" hidden="1" x14ac:dyDescent="0.3">
      <c r="A458" s="20">
        <v>457</v>
      </c>
      <c r="B458" s="20" t="s">
        <v>929</v>
      </c>
      <c r="C458" s="20" t="s">
        <v>930</v>
      </c>
      <c r="D458" s="22" t="s">
        <v>37</v>
      </c>
      <c r="E458" s="23">
        <v>4660</v>
      </c>
      <c r="F458" s="24">
        <v>5127</v>
      </c>
      <c r="G458" s="25">
        <f t="shared" si="7"/>
        <v>23891820</v>
      </c>
    </row>
    <row r="459" spans="1:7" hidden="1" x14ac:dyDescent="0.3">
      <c r="A459" s="20">
        <v>458</v>
      </c>
      <c r="B459" s="20" t="s">
        <v>931</v>
      </c>
      <c r="C459" s="20" t="s">
        <v>932</v>
      </c>
      <c r="D459" s="22" t="s">
        <v>37</v>
      </c>
      <c r="E459" s="23">
        <v>3210</v>
      </c>
      <c r="F459" s="24">
        <v>5127</v>
      </c>
      <c r="G459" s="25">
        <f t="shared" si="7"/>
        <v>16457670</v>
      </c>
    </row>
    <row r="460" spans="1:7" hidden="1" x14ac:dyDescent="0.3">
      <c r="A460" s="20">
        <v>459</v>
      </c>
      <c r="B460" s="20" t="s">
        <v>933</v>
      </c>
      <c r="C460" s="20" t="s">
        <v>934</v>
      </c>
      <c r="D460" s="22" t="s">
        <v>37</v>
      </c>
      <c r="E460" s="23">
        <v>2630</v>
      </c>
      <c r="F460" s="24">
        <v>5127</v>
      </c>
      <c r="G460" s="25">
        <f t="shared" si="7"/>
        <v>13484010</v>
      </c>
    </row>
    <row r="461" spans="1:7" hidden="1" x14ac:dyDescent="0.3">
      <c r="A461" s="20">
        <v>460</v>
      </c>
      <c r="B461" s="20" t="s">
        <v>935</v>
      </c>
      <c r="C461" s="20" t="s">
        <v>936</v>
      </c>
      <c r="D461" s="22" t="s">
        <v>37</v>
      </c>
      <c r="E461" s="23">
        <v>1730</v>
      </c>
      <c r="F461" s="24">
        <v>5127</v>
      </c>
      <c r="G461" s="25">
        <f t="shared" si="7"/>
        <v>8869710</v>
      </c>
    </row>
    <row r="462" spans="1:7" hidden="1" x14ac:dyDescent="0.3">
      <c r="A462" s="20">
        <v>461</v>
      </c>
      <c r="B462" s="20" t="s">
        <v>937</v>
      </c>
      <c r="C462" s="20" t="s">
        <v>938</v>
      </c>
      <c r="D462" s="22" t="s">
        <v>37</v>
      </c>
      <c r="E462" s="23">
        <v>3180</v>
      </c>
      <c r="F462" s="24">
        <v>5127</v>
      </c>
      <c r="G462" s="25">
        <f t="shared" si="7"/>
        <v>16303860</v>
      </c>
    </row>
    <row r="463" spans="1:7" hidden="1" x14ac:dyDescent="0.3">
      <c r="A463" s="20">
        <v>462</v>
      </c>
      <c r="B463" s="20" t="s">
        <v>939</v>
      </c>
      <c r="C463" s="20" t="s">
        <v>940</v>
      </c>
      <c r="D463" s="22" t="s">
        <v>37</v>
      </c>
      <c r="E463" s="23">
        <v>2695</v>
      </c>
      <c r="F463" s="24">
        <v>5127</v>
      </c>
      <c r="G463" s="25">
        <f t="shared" si="7"/>
        <v>13817265</v>
      </c>
    </row>
    <row r="464" spans="1:7" hidden="1" x14ac:dyDescent="0.3">
      <c r="A464" s="20">
        <v>463</v>
      </c>
      <c r="B464" s="20" t="s">
        <v>941</v>
      </c>
      <c r="C464" s="20" t="s">
        <v>942</v>
      </c>
      <c r="D464" s="22" t="s">
        <v>37</v>
      </c>
      <c r="E464" s="20">
        <v>520</v>
      </c>
      <c r="F464" s="24">
        <v>5127</v>
      </c>
      <c r="G464" s="25">
        <f t="shared" si="7"/>
        <v>2666040</v>
      </c>
    </row>
    <row r="465" spans="1:7" hidden="1" x14ac:dyDescent="0.3">
      <c r="A465" s="20">
        <v>464</v>
      </c>
      <c r="B465" s="20" t="s">
        <v>943</v>
      </c>
      <c r="C465" s="20" t="s">
        <v>944</v>
      </c>
      <c r="D465" s="22" t="s">
        <v>37</v>
      </c>
      <c r="E465" s="23">
        <v>3040</v>
      </c>
      <c r="F465" s="24">
        <v>5127</v>
      </c>
      <c r="G465" s="25">
        <f t="shared" si="7"/>
        <v>15586080</v>
      </c>
    </row>
    <row r="466" spans="1:7" hidden="1" x14ac:dyDescent="0.3">
      <c r="A466" s="20">
        <v>465</v>
      </c>
      <c r="B466" s="20" t="s">
        <v>945</v>
      </c>
      <c r="C466" s="20" t="s">
        <v>946</v>
      </c>
      <c r="D466" s="22" t="s">
        <v>37</v>
      </c>
      <c r="E466" s="23">
        <v>1780</v>
      </c>
      <c r="F466" s="24">
        <v>5127</v>
      </c>
      <c r="G466" s="25">
        <f t="shared" si="7"/>
        <v>9126060</v>
      </c>
    </row>
    <row r="467" spans="1:7" hidden="1" x14ac:dyDescent="0.3">
      <c r="A467" s="20">
        <v>466</v>
      </c>
      <c r="B467" s="20" t="s">
        <v>947</v>
      </c>
      <c r="C467" s="20" t="s">
        <v>948</v>
      </c>
      <c r="D467" s="22" t="s">
        <v>82</v>
      </c>
      <c r="E467" s="20">
        <v>1</v>
      </c>
      <c r="F467" s="24">
        <v>3124595</v>
      </c>
      <c r="G467" s="25">
        <f t="shared" si="7"/>
        <v>3124595</v>
      </c>
    </row>
    <row r="468" spans="1:7" hidden="1" x14ac:dyDescent="0.3">
      <c r="A468" s="20">
        <v>467</v>
      </c>
      <c r="B468" s="20" t="s">
        <v>949</v>
      </c>
      <c r="C468" s="20" t="s">
        <v>950</v>
      </c>
      <c r="D468" s="22" t="s">
        <v>82</v>
      </c>
      <c r="E468" s="20">
        <v>1</v>
      </c>
      <c r="F468" s="24">
        <v>3124595</v>
      </c>
      <c r="G468" s="25">
        <f t="shared" si="7"/>
        <v>3124595</v>
      </c>
    </row>
    <row r="469" spans="1:7" hidden="1" x14ac:dyDescent="0.3">
      <c r="A469" s="20">
        <v>468</v>
      </c>
      <c r="B469" s="20" t="s">
        <v>951</v>
      </c>
      <c r="C469" s="20" t="s">
        <v>952</v>
      </c>
      <c r="D469" s="22" t="s">
        <v>82</v>
      </c>
      <c r="E469" s="20">
        <v>1</v>
      </c>
      <c r="F469" s="24">
        <v>3124595</v>
      </c>
      <c r="G469" s="25">
        <f t="shared" si="7"/>
        <v>3124595</v>
      </c>
    </row>
    <row r="470" spans="1:7" hidden="1" x14ac:dyDescent="0.3">
      <c r="A470" s="20">
        <v>469</v>
      </c>
      <c r="B470" s="20" t="s">
        <v>953</v>
      </c>
      <c r="C470" s="20" t="s">
        <v>954</v>
      </c>
      <c r="D470" s="22" t="s">
        <v>82</v>
      </c>
      <c r="E470" s="20">
        <v>1</v>
      </c>
      <c r="F470" s="24">
        <v>3124595</v>
      </c>
      <c r="G470" s="25">
        <f t="shared" si="7"/>
        <v>3124595</v>
      </c>
    </row>
    <row r="471" spans="1:7" hidden="1" x14ac:dyDescent="0.3">
      <c r="A471" s="20">
        <v>470</v>
      </c>
      <c r="B471" s="20" t="s">
        <v>955</v>
      </c>
      <c r="C471" s="20" t="s">
        <v>956</v>
      </c>
      <c r="D471" s="22" t="s">
        <v>82</v>
      </c>
      <c r="E471" s="20">
        <v>1</v>
      </c>
      <c r="F471" s="24">
        <v>3124595</v>
      </c>
      <c r="G471" s="25">
        <f t="shared" si="7"/>
        <v>3124595</v>
      </c>
    </row>
    <row r="472" spans="1:7" hidden="1" x14ac:dyDescent="0.3">
      <c r="A472" s="20">
        <v>471</v>
      </c>
      <c r="B472" s="20" t="s">
        <v>957</v>
      </c>
      <c r="C472" s="20" t="s">
        <v>958</v>
      </c>
      <c r="D472" s="22" t="s">
        <v>82</v>
      </c>
      <c r="E472" s="20">
        <v>1</v>
      </c>
      <c r="F472" s="24">
        <v>3124595</v>
      </c>
      <c r="G472" s="25">
        <f t="shared" si="7"/>
        <v>3124595</v>
      </c>
    </row>
    <row r="473" spans="1:7" hidden="1" x14ac:dyDescent="0.3">
      <c r="A473" s="20">
        <v>472</v>
      </c>
      <c r="B473" s="20" t="s">
        <v>959</v>
      </c>
      <c r="C473" s="20" t="s">
        <v>960</v>
      </c>
      <c r="D473" s="22" t="s">
        <v>82</v>
      </c>
      <c r="E473" s="20">
        <v>1</v>
      </c>
      <c r="F473" s="24">
        <v>3124595</v>
      </c>
      <c r="G473" s="25">
        <f t="shared" si="7"/>
        <v>3124595</v>
      </c>
    </row>
    <row r="474" spans="1:7" hidden="1" x14ac:dyDescent="0.3">
      <c r="A474" s="20">
        <v>473</v>
      </c>
      <c r="B474" s="20" t="s">
        <v>961</v>
      </c>
      <c r="C474" s="20" t="s">
        <v>962</v>
      </c>
      <c r="D474" s="22" t="s">
        <v>82</v>
      </c>
      <c r="E474" s="20">
        <v>1</v>
      </c>
      <c r="F474" s="24">
        <v>3124595</v>
      </c>
      <c r="G474" s="25">
        <f t="shared" si="7"/>
        <v>3124595</v>
      </c>
    </row>
    <row r="475" spans="1:7" hidden="1" x14ac:dyDescent="0.3">
      <c r="A475" s="20">
        <v>474</v>
      </c>
      <c r="B475" s="20" t="s">
        <v>963</v>
      </c>
      <c r="C475" s="20" t="s">
        <v>964</v>
      </c>
      <c r="D475" s="22" t="s">
        <v>82</v>
      </c>
      <c r="E475" s="20">
        <v>1</v>
      </c>
      <c r="F475" s="24">
        <v>3124595</v>
      </c>
      <c r="G475" s="25">
        <f t="shared" si="7"/>
        <v>3124595</v>
      </c>
    </row>
    <row r="476" spans="1:7" hidden="1" x14ac:dyDescent="0.3">
      <c r="A476" s="20">
        <v>475</v>
      </c>
      <c r="B476" s="20" t="s">
        <v>965</v>
      </c>
      <c r="C476" s="20" t="s">
        <v>966</v>
      </c>
      <c r="D476" s="22" t="s">
        <v>82</v>
      </c>
      <c r="E476" s="20">
        <v>1</v>
      </c>
      <c r="F476" s="24">
        <v>3124595</v>
      </c>
      <c r="G476" s="25">
        <f t="shared" si="7"/>
        <v>3124595</v>
      </c>
    </row>
    <row r="477" spans="1:7" hidden="1" x14ac:dyDescent="0.3">
      <c r="A477" s="20">
        <v>476</v>
      </c>
      <c r="B477" s="20" t="s">
        <v>967</v>
      </c>
      <c r="C477" s="20" t="s">
        <v>968</v>
      </c>
      <c r="D477" s="22" t="s">
        <v>82</v>
      </c>
      <c r="E477" s="20">
        <v>1</v>
      </c>
      <c r="F477" s="24">
        <v>3124595</v>
      </c>
      <c r="G477" s="25">
        <f t="shared" si="7"/>
        <v>3124595</v>
      </c>
    </row>
    <row r="478" spans="1:7" hidden="1" x14ac:dyDescent="0.3">
      <c r="A478" s="20">
        <v>477</v>
      </c>
      <c r="B478" s="20" t="s">
        <v>969</v>
      </c>
      <c r="C478" s="20" t="s">
        <v>970</v>
      </c>
      <c r="D478" s="22" t="s">
        <v>82</v>
      </c>
      <c r="E478" s="20">
        <v>1</v>
      </c>
      <c r="F478" s="24">
        <v>3124595</v>
      </c>
      <c r="G478" s="25">
        <f t="shared" si="7"/>
        <v>3124595</v>
      </c>
    </row>
    <row r="479" spans="1:7" hidden="1" x14ac:dyDescent="0.3">
      <c r="A479" s="20">
        <v>478</v>
      </c>
      <c r="B479" s="20" t="s">
        <v>971</v>
      </c>
      <c r="C479" s="20" t="s">
        <v>972</v>
      </c>
      <c r="D479" s="22" t="s">
        <v>82</v>
      </c>
      <c r="E479" s="20">
        <v>1</v>
      </c>
      <c r="F479" s="24">
        <v>3124595</v>
      </c>
      <c r="G479" s="25">
        <f t="shared" si="7"/>
        <v>3124595</v>
      </c>
    </row>
    <row r="480" spans="1:7" hidden="1" x14ac:dyDescent="0.3">
      <c r="A480" s="20">
        <v>479</v>
      </c>
      <c r="B480" s="20" t="s">
        <v>973</v>
      </c>
      <c r="C480" s="20" t="s">
        <v>974</v>
      </c>
      <c r="D480" s="22" t="s">
        <v>82</v>
      </c>
      <c r="E480" s="20">
        <v>1</v>
      </c>
      <c r="F480" s="24">
        <v>3124595</v>
      </c>
      <c r="G480" s="25">
        <f t="shared" si="7"/>
        <v>3124595</v>
      </c>
    </row>
    <row r="481" spans="1:8" hidden="1" x14ac:dyDescent="0.3">
      <c r="A481" s="20">
        <v>480</v>
      </c>
      <c r="B481" s="20" t="s">
        <v>975</v>
      </c>
      <c r="C481" s="20" t="s">
        <v>976</v>
      </c>
      <c r="D481" s="22" t="s">
        <v>82</v>
      </c>
      <c r="E481" s="20">
        <v>1</v>
      </c>
      <c r="F481" s="24">
        <v>24981566.850000001</v>
      </c>
      <c r="G481" s="25">
        <f t="shared" si="7"/>
        <v>24981566.850000001</v>
      </c>
    </row>
    <row r="482" spans="1:8" hidden="1" x14ac:dyDescent="0.3">
      <c r="A482" s="20">
        <v>481</v>
      </c>
      <c r="B482" s="21" t="s">
        <v>977</v>
      </c>
      <c r="C482" s="20" t="s">
        <v>978</v>
      </c>
      <c r="D482" s="22" t="s">
        <v>42</v>
      </c>
      <c r="E482" s="20">
        <v>1</v>
      </c>
      <c r="F482" s="24">
        <v>75000000</v>
      </c>
      <c r="G482" s="25">
        <f t="shared" si="7"/>
        <v>75000000</v>
      </c>
    </row>
    <row r="483" spans="1:8" hidden="1" x14ac:dyDescent="0.3">
      <c r="A483" s="20">
        <v>482</v>
      </c>
      <c r="B483" s="21" t="s">
        <v>979</v>
      </c>
      <c r="C483" s="20" t="s">
        <v>980</v>
      </c>
      <c r="D483" s="22" t="s">
        <v>42</v>
      </c>
      <c r="E483" s="20">
        <v>1</v>
      </c>
      <c r="F483" s="24">
        <v>75000000</v>
      </c>
      <c r="G483" s="25">
        <f t="shared" si="7"/>
        <v>75000000</v>
      </c>
    </row>
    <row r="484" spans="1:8" hidden="1" x14ac:dyDescent="0.3">
      <c r="G484" s="27">
        <f>SUM(G2:G483)</f>
        <v>21982860999.999992</v>
      </c>
    </row>
    <row r="485" spans="1:8" x14ac:dyDescent="0.3">
      <c r="G485" s="28"/>
      <c r="H485" s="82">
        <f>+SUMPRODUCT(F50:F79,H50:H79)</f>
        <v>20807278.443999998</v>
      </c>
    </row>
  </sheetData>
  <autoFilter ref="A1:G484" xr:uid="{00000000-0001-0000-0000-000000000000}">
    <filterColumn colId="2">
      <colorFilter dxfId="0"/>
    </filterColumn>
  </autoFilter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6</vt:i4>
      </vt:variant>
    </vt:vector>
  </HeadingPairs>
  <TitlesOfParts>
    <vt:vector size="10" baseType="lpstr">
      <vt:lpstr>Kapak</vt:lpstr>
      <vt:lpstr>İcmal</vt:lpstr>
      <vt:lpstr>Metraj</vt:lpstr>
      <vt:lpstr>Liste</vt:lpstr>
      <vt:lpstr>AMN_PRV</vt:lpstr>
      <vt:lpstr>AMN_THS</vt:lpstr>
      <vt:lpstr>AMN_TOT</vt:lpstr>
      <vt:lpstr>İcmal!Yazdırma_Alanı</vt:lpstr>
      <vt:lpstr>Metraj!Yazdırma_Alanı</vt:lpstr>
      <vt:lpstr>Metraj!Yazdırma_Başlıkları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2026-05-16T13:31:59Z</cp:lastPrinted>
  <dcterms:created xsi:type="dcterms:W3CDTF">2015-06-05T18:19:34Z</dcterms:created>
  <dcterms:modified xsi:type="dcterms:W3CDTF">2026-05-16T13:32:01Z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2025-11-26T13:12:43Z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de5585fe-1685-40c3-bbec-bc583b80e788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