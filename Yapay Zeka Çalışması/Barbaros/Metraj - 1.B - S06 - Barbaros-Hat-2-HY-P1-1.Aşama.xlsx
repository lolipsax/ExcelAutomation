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04A70420-E612-42C6-8969-277E9E0AD987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İcmal!$A$19:$N$49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İcmal!$A$1:$N$72</definedName>
    <definedName name="_xlnm.Print_Area" localSheetId="2">Metraj!$A$2:$Q$462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P392" i="6"/>
  <c r="AA428" i="6"/>
  <c r="AA365" i="6"/>
  <c r="AA355" i="6"/>
  <c r="AA283" i="6"/>
  <c r="AA273" i="6"/>
  <c r="AA263" i="6"/>
  <c r="AA254" i="6"/>
  <c r="AA134" i="6"/>
  <c r="AA17" i="6"/>
  <c r="M170" i="6"/>
  <c r="P170" i="6" s="1"/>
  <c r="P269" i="6"/>
  <c r="AC365" i="6" l="1"/>
  <c r="AC355" i="6"/>
  <c r="AC283" i="6"/>
  <c r="AC273" i="6"/>
  <c r="AC263" i="6"/>
  <c r="AC254" i="6"/>
  <c r="AC134" i="6"/>
  <c r="AC17" i="6"/>
  <c r="C16" i="2"/>
  <c r="C15" i="2"/>
  <c r="AC428" i="6"/>
  <c r="AC2" i="6" l="1"/>
  <c r="O443" i="6"/>
  <c r="M443" i="6"/>
  <c r="P443" i="6" s="1"/>
  <c r="P391" i="6"/>
  <c r="L390" i="6"/>
  <c r="P351" i="6"/>
  <c r="P350" i="6"/>
  <c r="P349" i="6"/>
  <c r="P348" i="6"/>
  <c r="P347" i="6"/>
  <c r="P346" i="6"/>
  <c r="M250" i="6"/>
  <c r="P250" i="6" s="1"/>
  <c r="R208" i="6"/>
  <c r="P208" i="6"/>
  <c r="R207" i="6"/>
  <c r="P207" i="6"/>
  <c r="R206" i="6"/>
  <c r="P206" i="6"/>
  <c r="R205" i="6"/>
  <c r="P205" i="6"/>
  <c r="R204" i="6"/>
  <c r="P204" i="6"/>
  <c r="R203" i="6"/>
  <c r="P203" i="6"/>
  <c r="R202" i="6"/>
  <c r="P202" i="6"/>
  <c r="R201" i="6"/>
  <c r="P201" i="6"/>
  <c r="R84" i="6"/>
  <c r="R85" i="6"/>
  <c r="R86" i="6"/>
  <c r="R87" i="6"/>
  <c r="R88" i="6"/>
  <c r="R89" i="6"/>
  <c r="R90" i="6"/>
  <c r="R83" i="6"/>
  <c r="P90" i="6"/>
  <c r="P89" i="6"/>
  <c r="S81" i="6"/>
  <c r="P88" i="6"/>
  <c r="P87" i="6"/>
  <c r="P86" i="6"/>
  <c r="P85" i="6"/>
  <c r="P84" i="6"/>
  <c r="P83" i="6"/>
  <c r="P345" i="6"/>
  <c r="P344" i="6"/>
  <c r="P343" i="6"/>
  <c r="P342" i="6"/>
  <c r="P341" i="6"/>
  <c r="P340" i="6"/>
  <c r="P339" i="6"/>
  <c r="P338" i="6"/>
  <c r="P337" i="6"/>
  <c r="P336" i="6"/>
  <c r="P335" i="6"/>
  <c r="P334" i="6"/>
  <c r="P333" i="6"/>
  <c r="P332" i="6"/>
  <c r="P331" i="6"/>
  <c r="P330" i="6"/>
  <c r="P329" i="6"/>
  <c r="P328" i="6"/>
  <c r="P327" i="6"/>
  <c r="P326" i="6"/>
  <c r="P325" i="6"/>
  <c r="P324" i="6"/>
  <c r="P323" i="6"/>
  <c r="P322" i="6"/>
  <c r="P321" i="6"/>
  <c r="P320" i="6"/>
  <c r="P319" i="6"/>
  <c r="P318" i="6"/>
  <c r="P315" i="6"/>
  <c r="P314" i="6"/>
  <c r="P313" i="6"/>
  <c r="P312" i="6"/>
  <c r="P311" i="6"/>
  <c r="P310" i="6"/>
  <c r="P309" i="6"/>
  <c r="P308" i="6"/>
  <c r="P307" i="6"/>
  <c r="P306" i="6"/>
  <c r="P305" i="6"/>
  <c r="P304" i="6"/>
  <c r="P303" i="6"/>
  <c r="P302" i="6"/>
  <c r="P301" i="6"/>
  <c r="P300" i="6"/>
  <c r="P299" i="6"/>
  <c r="P298" i="6"/>
  <c r="P297" i="6"/>
  <c r="P296" i="6"/>
  <c r="P295" i="6"/>
  <c r="P294" i="6"/>
  <c r="P293" i="6"/>
  <c r="P292" i="6"/>
  <c r="P291" i="6"/>
  <c r="P290" i="6"/>
  <c r="P289" i="6"/>
  <c r="P288" i="6"/>
  <c r="P287" i="6"/>
  <c r="P286" i="6"/>
  <c r="P259" i="6"/>
  <c r="M249" i="6" l="1"/>
  <c r="P249" i="6" s="1"/>
  <c r="M248" i="6"/>
  <c r="P248" i="6" s="1"/>
  <c r="M247" i="6"/>
  <c r="P247" i="6" s="1"/>
  <c r="M246" i="6"/>
  <c r="P246" i="6" s="1"/>
  <c r="M245" i="6"/>
  <c r="P245" i="6" s="1"/>
  <c r="M244" i="6"/>
  <c r="P244" i="6" s="1"/>
  <c r="M243" i="6"/>
  <c r="P243" i="6" s="1"/>
  <c r="M242" i="6"/>
  <c r="P242" i="6" s="1"/>
  <c r="M241" i="6"/>
  <c r="P241" i="6" s="1"/>
  <c r="M240" i="6"/>
  <c r="P240" i="6" s="1"/>
  <c r="M239" i="6"/>
  <c r="P239" i="6" s="1"/>
  <c r="M238" i="6"/>
  <c r="P238" i="6" s="1"/>
  <c r="M237" i="6"/>
  <c r="P237" i="6" s="1"/>
  <c r="M236" i="6"/>
  <c r="P236" i="6" s="1"/>
  <c r="M235" i="6"/>
  <c r="P235" i="6" s="1"/>
  <c r="M234" i="6"/>
  <c r="P234" i="6" s="1"/>
  <c r="O442" i="6"/>
  <c r="O441" i="6"/>
  <c r="O440" i="6"/>
  <c r="O439" i="6"/>
  <c r="O438" i="6"/>
  <c r="P456" i="6"/>
  <c r="P457" i="6"/>
  <c r="M442" i="6"/>
  <c r="O435" i="6"/>
  <c r="M435" i="6"/>
  <c r="P412" i="6"/>
  <c r="P411" i="6"/>
  <c r="P410" i="6"/>
  <c r="P390" i="6"/>
  <c r="L383" i="6"/>
  <c r="P383" i="6" s="1"/>
  <c r="L382" i="6"/>
  <c r="P382" i="6" s="1"/>
  <c r="L371" i="6"/>
  <c r="P371" i="6" s="1"/>
  <c r="P361" i="6"/>
  <c r="P279" i="6"/>
  <c r="P268" i="6"/>
  <c r="P200" i="6"/>
  <c r="P199" i="6"/>
  <c r="P198" i="6"/>
  <c r="P197" i="6"/>
  <c r="P196" i="6"/>
  <c r="P195" i="6"/>
  <c r="P167" i="6"/>
  <c r="P168" i="6"/>
  <c r="P169" i="6"/>
  <c r="P166" i="6"/>
  <c r="P165" i="6"/>
  <c r="P164" i="6"/>
  <c r="P163" i="6"/>
  <c r="P162" i="6"/>
  <c r="M129" i="6"/>
  <c r="P129" i="6" s="1"/>
  <c r="M130" i="6"/>
  <c r="P130" i="6" s="1"/>
  <c r="M128" i="6"/>
  <c r="P128" i="6" s="1"/>
  <c r="M127" i="6"/>
  <c r="P127" i="6" s="1"/>
  <c r="M126" i="6"/>
  <c r="P126" i="6" s="1"/>
  <c r="M125" i="6"/>
  <c r="P125" i="6" s="1"/>
  <c r="M124" i="6"/>
  <c r="P124" i="6" s="1"/>
  <c r="M123" i="6"/>
  <c r="P123" i="6" s="1"/>
  <c r="P82" i="6"/>
  <c r="P81" i="6"/>
  <c r="P80" i="6"/>
  <c r="P79" i="6"/>
  <c r="P78" i="6"/>
  <c r="P77" i="6"/>
  <c r="P442" i="6" l="1"/>
  <c r="P435" i="6"/>
  <c r="P51" i="6"/>
  <c r="P50" i="6"/>
  <c r="P52" i="6"/>
  <c r="P49" i="6"/>
  <c r="P48" i="6"/>
  <c r="P47" i="6"/>
  <c r="P46" i="6"/>
  <c r="P45" i="6"/>
  <c r="P455" i="6"/>
  <c r="P454" i="6"/>
  <c r="P453" i="6"/>
  <c r="M441" i="6"/>
  <c r="O434" i="6"/>
  <c r="M434" i="6"/>
  <c r="P409" i="6"/>
  <c r="P408" i="6"/>
  <c r="P407" i="6"/>
  <c r="P406" i="6"/>
  <c r="L389" i="6"/>
  <c r="P389" i="6" s="1"/>
  <c r="L381" i="6"/>
  <c r="P381" i="6" s="1"/>
  <c r="L380" i="6"/>
  <c r="P380" i="6" s="1"/>
  <c r="L370" i="6"/>
  <c r="P370" i="6" s="1"/>
  <c r="P360" i="6"/>
  <c r="P278" i="6"/>
  <c r="P267" i="6"/>
  <c r="P258" i="6"/>
  <c r="P194" i="6"/>
  <c r="P193" i="6"/>
  <c r="P192" i="6"/>
  <c r="P191" i="6"/>
  <c r="P190" i="6"/>
  <c r="P189" i="6"/>
  <c r="P161" i="6"/>
  <c r="P160" i="6"/>
  <c r="P159" i="6"/>
  <c r="P158" i="6"/>
  <c r="P157" i="6"/>
  <c r="P156" i="6"/>
  <c r="M122" i="6"/>
  <c r="P122" i="6" s="1"/>
  <c r="M121" i="6"/>
  <c r="P121" i="6" s="1"/>
  <c r="M120" i="6"/>
  <c r="P120" i="6" s="1"/>
  <c r="M119" i="6"/>
  <c r="P119" i="6" s="1"/>
  <c r="M118" i="6"/>
  <c r="P118" i="6" s="1"/>
  <c r="M117" i="6"/>
  <c r="P117" i="6" s="1"/>
  <c r="M116" i="6"/>
  <c r="P116" i="6" s="1"/>
  <c r="M115" i="6"/>
  <c r="P115" i="6" s="1"/>
  <c r="P76" i="6"/>
  <c r="P75" i="6"/>
  <c r="P74" i="6"/>
  <c r="P73" i="6"/>
  <c r="P72" i="6"/>
  <c r="P71" i="6"/>
  <c r="P44" i="6"/>
  <c r="P43" i="6"/>
  <c r="P42" i="6"/>
  <c r="P41" i="6"/>
  <c r="P40" i="6"/>
  <c r="P39" i="6"/>
  <c r="L388" i="6"/>
  <c r="P388" i="6" s="1"/>
  <c r="L379" i="6"/>
  <c r="P379" i="6" s="1"/>
  <c r="L378" i="6"/>
  <c r="P378" i="6" s="1"/>
  <c r="L369" i="6"/>
  <c r="P369" i="6" s="1"/>
  <c r="P452" i="6"/>
  <c r="P451" i="6"/>
  <c r="M440" i="6"/>
  <c r="O433" i="6"/>
  <c r="M433" i="6"/>
  <c r="P359" i="6"/>
  <c r="P277" i="6"/>
  <c r="P266" i="6"/>
  <c r="P257" i="6"/>
  <c r="P405" i="6"/>
  <c r="P404" i="6"/>
  <c r="P403" i="6"/>
  <c r="P402" i="6"/>
  <c r="P401" i="6"/>
  <c r="P155" i="6"/>
  <c r="P154" i="6"/>
  <c r="P153" i="6"/>
  <c r="P152" i="6"/>
  <c r="P151" i="6"/>
  <c r="P150" i="6"/>
  <c r="P188" i="6"/>
  <c r="P187" i="6"/>
  <c r="P186" i="6"/>
  <c r="P185" i="6"/>
  <c r="P184" i="6"/>
  <c r="P183" i="6"/>
  <c r="M233" i="6"/>
  <c r="P233" i="6" s="1"/>
  <c r="M232" i="6"/>
  <c r="P232" i="6" s="1"/>
  <c r="M231" i="6"/>
  <c r="P231" i="6" s="1"/>
  <c r="M230" i="6"/>
  <c r="P230" i="6" s="1"/>
  <c r="M229" i="6"/>
  <c r="P229" i="6" s="1"/>
  <c r="M228" i="6"/>
  <c r="P228" i="6" s="1"/>
  <c r="M227" i="6"/>
  <c r="P227" i="6" s="1"/>
  <c r="M114" i="6"/>
  <c r="P114" i="6" s="1"/>
  <c r="M113" i="6"/>
  <c r="P113" i="6" s="1"/>
  <c r="M112" i="6"/>
  <c r="P112" i="6" s="1"/>
  <c r="M111" i="6"/>
  <c r="P111" i="6" s="1"/>
  <c r="M110" i="6"/>
  <c r="P110" i="6" s="1"/>
  <c r="M109" i="6"/>
  <c r="P109" i="6" s="1"/>
  <c r="M108" i="6"/>
  <c r="P108" i="6" s="1"/>
  <c r="P70" i="6"/>
  <c r="P69" i="6"/>
  <c r="P68" i="6"/>
  <c r="P67" i="6"/>
  <c r="P66" i="6"/>
  <c r="P65" i="6"/>
  <c r="P38" i="6"/>
  <c r="P37" i="6"/>
  <c r="P36" i="6"/>
  <c r="P35" i="6"/>
  <c r="P34" i="6"/>
  <c r="P33" i="6"/>
  <c r="P434" i="6" l="1"/>
  <c r="P441" i="6"/>
  <c r="P433" i="6"/>
  <c r="P440" i="6"/>
  <c r="M428" i="6"/>
  <c r="D428" i="6"/>
  <c r="M365" i="6"/>
  <c r="D365" i="6"/>
  <c r="M355" i="6"/>
  <c r="D355" i="6"/>
  <c r="M283" i="6"/>
  <c r="D283" i="6"/>
  <c r="M273" i="6"/>
  <c r="D273" i="6"/>
  <c r="M263" i="6"/>
  <c r="D263" i="6"/>
  <c r="M254" i="6"/>
  <c r="D254" i="6"/>
  <c r="M134" i="6"/>
  <c r="D134" i="6"/>
  <c r="M17" i="6"/>
  <c r="D17" i="6"/>
  <c r="M439" i="6"/>
  <c r="M438" i="6"/>
  <c r="O432" i="6"/>
  <c r="M432" i="6"/>
  <c r="M431" i="6"/>
  <c r="O431" i="6"/>
  <c r="L387" i="6"/>
  <c r="P387" i="6" s="1"/>
  <c r="L386" i="6"/>
  <c r="P386" i="6" s="1"/>
  <c r="L377" i="6"/>
  <c r="P377" i="6" s="1"/>
  <c r="L375" i="6"/>
  <c r="P375" i="6" s="1"/>
  <c r="P137" i="6"/>
  <c r="P20" i="6"/>
  <c r="P400" i="6"/>
  <c r="P399" i="6"/>
  <c r="P398" i="6"/>
  <c r="P397" i="6"/>
  <c r="P396" i="6"/>
  <c r="P395" i="6"/>
  <c r="P173" i="6"/>
  <c r="P174" i="6"/>
  <c r="P175" i="6"/>
  <c r="P176" i="6"/>
  <c r="P177" i="6"/>
  <c r="P178" i="6"/>
  <c r="P179" i="6"/>
  <c r="P180" i="6"/>
  <c r="P181" i="6"/>
  <c r="P182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55" i="6"/>
  <c r="P56" i="6"/>
  <c r="P57" i="6"/>
  <c r="P58" i="6"/>
  <c r="P59" i="6"/>
  <c r="P60" i="6"/>
  <c r="P61" i="6"/>
  <c r="P62" i="6"/>
  <c r="P63" i="6"/>
  <c r="P64" i="6"/>
  <c r="P32" i="6"/>
  <c r="P31" i="6"/>
  <c r="P30" i="6"/>
  <c r="P29" i="6"/>
  <c r="P28" i="6"/>
  <c r="P27" i="6"/>
  <c r="P26" i="6"/>
  <c r="P25" i="6"/>
  <c r="P24" i="6"/>
  <c r="P23" i="6"/>
  <c r="P22" i="6"/>
  <c r="P21" i="6"/>
  <c r="P423" i="6"/>
  <c r="M226" i="6"/>
  <c r="P226" i="6" s="1"/>
  <c r="M225" i="6"/>
  <c r="P225" i="6" s="1"/>
  <c r="M224" i="6"/>
  <c r="P224" i="6" s="1"/>
  <c r="M223" i="6"/>
  <c r="P223" i="6" s="1"/>
  <c r="M222" i="6"/>
  <c r="P222" i="6" s="1"/>
  <c r="M221" i="6"/>
  <c r="P221" i="6" s="1"/>
  <c r="M220" i="6"/>
  <c r="P220" i="6" s="1"/>
  <c r="M219" i="6"/>
  <c r="P219" i="6" s="1"/>
  <c r="P439" i="6" l="1"/>
  <c r="P431" i="6"/>
  <c r="P438" i="6"/>
  <c r="P448" i="6"/>
  <c r="P450" i="6"/>
  <c r="P449" i="6"/>
  <c r="P432" i="6"/>
  <c r="P421" i="6"/>
  <c r="P422" i="6"/>
  <c r="P424" i="6"/>
  <c r="L376" i="6"/>
  <c r="P376" i="6" s="1"/>
  <c r="L368" i="6"/>
  <c r="P368" i="6" s="1"/>
  <c r="P358" i="6"/>
  <c r="P276" i="6" l="1"/>
  <c r="M105" i="6"/>
  <c r="P105" i="6" s="1"/>
  <c r="M107" i="6"/>
  <c r="P107" i="6" s="1"/>
  <c r="M106" i="6"/>
  <c r="P106" i="6" s="1"/>
  <c r="M104" i="6"/>
  <c r="P104" i="6" s="1"/>
  <c r="M103" i="6"/>
  <c r="P103" i="6" s="1"/>
  <c r="M102" i="6"/>
  <c r="P102" i="6" s="1"/>
  <c r="M101" i="6"/>
  <c r="P101" i="6" s="1"/>
  <c r="M100" i="6"/>
  <c r="P100" i="6" s="1"/>
  <c r="P419" i="6" l="1"/>
  <c r="M218" i="6"/>
  <c r="P218" i="6" s="1"/>
  <c r="M217" i="6"/>
  <c r="P217" i="6" s="1"/>
  <c r="M216" i="6"/>
  <c r="P216" i="6" s="1"/>
  <c r="M215" i="6"/>
  <c r="P215" i="6" s="1"/>
  <c r="M214" i="6"/>
  <c r="P214" i="6" s="1"/>
  <c r="M213" i="6"/>
  <c r="P213" i="6" s="1"/>
  <c r="M212" i="6"/>
  <c r="P212" i="6" s="1"/>
  <c r="P446" i="6" l="1"/>
  <c r="L374" i="6"/>
  <c r="P374" i="6" s="1"/>
  <c r="L367" i="6"/>
  <c r="P367" i="6" s="1"/>
  <c r="P357" i="6"/>
  <c r="M99" i="6"/>
  <c r="P99" i="6" s="1"/>
  <c r="M98" i="6"/>
  <c r="P98" i="6" s="1"/>
  <c r="M97" i="6"/>
  <c r="P97" i="6" s="1"/>
  <c r="M95" i="6"/>
  <c r="P95" i="6" s="1"/>
  <c r="M96" i="6"/>
  <c r="P96" i="6" s="1"/>
  <c r="M94" i="6"/>
  <c r="P94" i="6" s="1"/>
  <c r="M93" i="6"/>
  <c r="P93" i="6" s="1"/>
  <c r="M49" i="2" l="1"/>
  <c r="M48" i="2"/>
  <c r="M44" i="2"/>
  <c r="M43" i="2"/>
  <c r="M42" i="2"/>
  <c r="M41" i="2"/>
  <c r="M40" i="2"/>
  <c r="M39" i="2"/>
  <c r="M38" i="2"/>
  <c r="M37" i="2"/>
  <c r="M36" i="2"/>
  <c r="M35" i="2"/>
  <c r="M32" i="2"/>
  <c r="M29" i="2"/>
  <c r="M28" i="2"/>
  <c r="M26" i="2"/>
  <c r="M25" i="2"/>
  <c r="M24" i="2"/>
  <c r="M22" i="2"/>
  <c r="M21" i="2"/>
  <c r="O416" i="6"/>
  <c r="D416" i="6"/>
  <c r="H56" i="5" l="1"/>
  <c r="L26" i="2"/>
  <c r="H71" i="5"/>
  <c r="L41" i="2"/>
  <c r="H58" i="5"/>
  <c r="L28" i="2"/>
  <c r="H72" i="5"/>
  <c r="L42" i="2"/>
  <c r="H52" i="5"/>
  <c r="L22" i="2"/>
  <c r="H62" i="5"/>
  <c r="L32" i="2"/>
  <c r="H69" i="5"/>
  <c r="L39" i="2"/>
  <c r="H73" i="5"/>
  <c r="L43" i="2"/>
  <c r="H51" i="5"/>
  <c r="L21" i="2"/>
  <c r="H59" i="5"/>
  <c r="L29" i="2"/>
  <c r="H67" i="5"/>
  <c r="L37" i="2"/>
  <c r="H74" i="5"/>
  <c r="L44" i="2"/>
  <c r="H55" i="5"/>
  <c r="L25" i="2"/>
  <c r="H66" i="5"/>
  <c r="L36" i="2"/>
  <c r="H70" i="5"/>
  <c r="L40" i="2"/>
  <c r="H78" i="5"/>
  <c r="L48" i="2"/>
  <c r="H54" i="5"/>
  <c r="L24" i="2"/>
  <c r="H65" i="5"/>
  <c r="L35" i="2"/>
  <c r="H68" i="5"/>
  <c r="L38" i="2"/>
  <c r="H79" i="5"/>
  <c r="L49" i="2"/>
  <c r="P447" i="6"/>
  <c r="P420" i="6"/>
  <c r="P256" i="6"/>
  <c r="P265" i="6"/>
  <c r="P254" i="6" l="1"/>
  <c r="P263" i="6"/>
  <c r="AA25" i="2"/>
  <c r="M30" i="2" l="1"/>
  <c r="AE263" i="6"/>
  <c r="M27" i="2"/>
  <c r="AE254" i="6"/>
  <c r="O263" i="6"/>
  <c r="AD263" i="6" s="1"/>
  <c r="O254" i="6"/>
  <c r="AD254" i="6" s="1"/>
  <c r="AA21" i="2"/>
  <c r="AA48" i="2"/>
  <c r="AB48" i="2" s="1"/>
  <c r="AB25" i="2"/>
  <c r="AC25" i="2" s="1"/>
  <c r="AA37" i="2"/>
  <c r="AB37" i="2" s="1"/>
  <c r="AA27" i="2" l="1"/>
  <c r="AB27" i="2" s="1"/>
  <c r="AC27" i="2" s="1"/>
  <c r="AA30" i="2"/>
  <c r="L27" i="2"/>
  <c r="H57" i="5"/>
  <c r="L30" i="2"/>
  <c r="H60" i="5"/>
  <c r="AA24" i="2"/>
  <c r="AB24" i="2" s="1"/>
  <c r="AA40" i="2"/>
  <c r="AB21" i="2"/>
  <c r="AC21" i="2" s="1"/>
  <c r="AA26" i="2"/>
  <c r="AD25" i="2"/>
  <c r="AE25" i="2" s="1"/>
  <c r="AA42" i="2"/>
  <c r="AB42" i="2" s="1"/>
  <c r="AC42" i="2" s="1"/>
  <c r="AC48" i="2"/>
  <c r="AD48" i="2" s="1"/>
  <c r="AC37" i="2"/>
  <c r="AD37" i="2" s="1"/>
  <c r="AE37" i="2" s="1"/>
  <c r="AF37" i="2" s="1"/>
  <c r="AG37" i="2" s="1"/>
  <c r="AH37" i="2" s="1"/>
  <c r="AI37" i="2" s="1"/>
  <c r="AA41" i="2"/>
  <c r="P365" i="6"/>
  <c r="P416" i="6"/>
  <c r="M46" i="2" s="1"/>
  <c r="M45" i="2" l="1"/>
  <c r="AE365" i="6"/>
  <c r="AD27" i="2"/>
  <c r="AE27" i="2" s="1"/>
  <c r="AF27" i="2" s="1"/>
  <c r="AB30" i="2"/>
  <c r="O365" i="6"/>
  <c r="AD365" i="6" s="1"/>
  <c r="H76" i="5"/>
  <c r="L46" i="2"/>
  <c r="AB40" i="2"/>
  <c r="AC40" i="2" s="1"/>
  <c r="AD40" i="2" s="1"/>
  <c r="AE40" i="2" s="1"/>
  <c r="AF40" i="2" s="1"/>
  <c r="AG40" i="2" s="1"/>
  <c r="AH40" i="2" s="1"/>
  <c r="AI40" i="2" s="1"/>
  <c r="AA29" i="2"/>
  <c r="AB29" i="2" s="1"/>
  <c r="AA22" i="2"/>
  <c r="AA49" i="2"/>
  <c r="AE48" i="2"/>
  <c r="AF48" i="2" s="1"/>
  <c r="AA35" i="2"/>
  <c r="AB35" i="2" s="1"/>
  <c r="AC24" i="2"/>
  <c r="AD24" i="2" s="1"/>
  <c r="AB26" i="2"/>
  <c r="AD42" i="2"/>
  <c r="AA28" i="2"/>
  <c r="AF25" i="2"/>
  <c r="AD21" i="2"/>
  <c r="AE21" i="2" s="1"/>
  <c r="AF21" i="2" s="1"/>
  <c r="AA38" i="2"/>
  <c r="AB38" i="2" s="1"/>
  <c r="AC38" i="2" s="1"/>
  <c r="AD38" i="2" s="1"/>
  <c r="AE38" i="2" s="1"/>
  <c r="AF38" i="2" s="1"/>
  <c r="AG38" i="2" s="1"/>
  <c r="AH38" i="2" s="1"/>
  <c r="AB41" i="2"/>
  <c r="AC41" i="2" s="1"/>
  <c r="AD41" i="2" s="1"/>
  <c r="AE41" i="2" s="1"/>
  <c r="AF41" i="2" s="1"/>
  <c r="AG41" i="2" s="1"/>
  <c r="AA45" i="2" l="1"/>
  <c r="AB45" i="2" s="1"/>
  <c r="H75" i="5"/>
  <c r="AG27" i="2"/>
  <c r="AH27" i="2" s="1"/>
  <c r="AI27" i="2" s="1"/>
  <c r="AC30" i="2"/>
  <c r="AD30" i="2" s="1"/>
  <c r="L45" i="2"/>
  <c r="AC29" i="2"/>
  <c r="AD29" i="2" s="1"/>
  <c r="AA44" i="2"/>
  <c r="AB44" i="2" s="1"/>
  <c r="AB49" i="2"/>
  <c r="AC49" i="2" s="1"/>
  <c r="AG48" i="2"/>
  <c r="AH48" i="2" s="1"/>
  <c r="AI48" i="2" s="1"/>
  <c r="AB22" i="2"/>
  <c r="AA43" i="2"/>
  <c r="AE24" i="2"/>
  <c r="AF24" i="2" s="1"/>
  <c r="AG24" i="2" s="1"/>
  <c r="AH24" i="2" s="1"/>
  <c r="AI24" i="2" s="1"/>
  <c r="AC26" i="2"/>
  <c r="AC35" i="2"/>
  <c r="AE42" i="2"/>
  <c r="AG21" i="2"/>
  <c r="AH21" i="2" s="1"/>
  <c r="AI21" i="2" s="1"/>
  <c r="AG25" i="2"/>
  <c r="AH25" i="2" s="1"/>
  <c r="AI25" i="2" s="1"/>
  <c r="AA32" i="2"/>
  <c r="AB32" i="2" s="1"/>
  <c r="AB28" i="2"/>
  <c r="AC28" i="2" s="1"/>
  <c r="AD28" i="2" s="1"/>
  <c r="AH41" i="2"/>
  <c r="AI41" i="2" s="1"/>
  <c r="AI38" i="2"/>
  <c r="P428" i="6"/>
  <c r="M47" i="2" l="1"/>
  <c r="L47" i="2" s="1"/>
  <c r="AE428" i="6"/>
  <c r="AC45" i="2"/>
  <c r="AD45" i="2" s="1"/>
  <c r="AE45" i="2" s="1"/>
  <c r="AF45" i="2" s="1"/>
  <c r="AG45" i="2" s="1"/>
  <c r="AH45" i="2" s="1"/>
  <c r="AI45" i="2" s="1"/>
  <c r="AE30" i="2"/>
  <c r="AF30" i="2" s="1"/>
  <c r="AG30" i="2" s="1"/>
  <c r="AH30" i="2" s="1"/>
  <c r="AI30" i="2" s="1"/>
  <c r="O428" i="6"/>
  <c r="AD428" i="6" s="1"/>
  <c r="AE29" i="2"/>
  <c r="AF29" i="2" s="1"/>
  <c r="AD49" i="2"/>
  <c r="AE49" i="2" s="1"/>
  <c r="AF49" i="2" s="1"/>
  <c r="AB43" i="2"/>
  <c r="AC43" i="2" s="1"/>
  <c r="AD43" i="2" s="1"/>
  <c r="AE43" i="2" s="1"/>
  <c r="AF43" i="2" s="1"/>
  <c r="AG43" i="2" s="1"/>
  <c r="AH43" i="2" s="1"/>
  <c r="AI43" i="2" s="1"/>
  <c r="AC22" i="2"/>
  <c r="AD22" i="2" s="1"/>
  <c r="AE22" i="2" s="1"/>
  <c r="AF22" i="2" s="1"/>
  <c r="AG22" i="2" s="1"/>
  <c r="AH22" i="2" s="1"/>
  <c r="AI22" i="2" s="1"/>
  <c r="AD35" i="2"/>
  <c r="AE35" i="2" s="1"/>
  <c r="AF35" i="2" s="1"/>
  <c r="AG35" i="2" s="1"/>
  <c r="AH35" i="2" s="1"/>
  <c r="AI35" i="2" s="1"/>
  <c r="AF42" i="2"/>
  <c r="AG42" i="2" s="1"/>
  <c r="AH42" i="2" s="1"/>
  <c r="AC32" i="2"/>
  <c r="AD32" i="2" s="1"/>
  <c r="AA39" i="2"/>
  <c r="AD26" i="2"/>
  <c r="AE26" i="2" s="1"/>
  <c r="AF26" i="2" s="1"/>
  <c r="AG26" i="2" s="1"/>
  <c r="AH26" i="2" s="1"/>
  <c r="AI26" i="2" s="1"/>
  <c r="AA36" i="2"/>
  <c r="AE28" i="2"/>
  <c r="AF28" i="2" s="1"/>
  <c r="AG28" i="2" s="1"/>
  <c r="AH28" i="2" s="1"/>
  <c r="AI28" i="2" s="1"/>
  <c r="AC44" i="2"/>
  <c r="A9" i="6"/>
  <c r="P275" i="6"/>
  <c r="P355" i="6"/>
  <c r="M211" i="6"/>
  <c r="M34" i="2" l="1"/>
  <c r="AE355" i="6"/>
  <c r="AA47" i="2"/>
  <c r="AB47" i="2" s="1"/>
  <c r="AC47" i="2" s="1"/>
  <c r="AD47" i="2" s="1"/>
  <c r="AE47" i="2" s="1"/>
  <c r="AF47" i="2" s="1"/>
  <c r="AG47" i="2" s="1"/>
  <c r="AH47" i="2" s="1"/>
  <c r="AI47" i="2" s="1"/>
  <c r="O355" i="6"/>
  <c r="AD355" i="6" s="1"/>
  <c r="P273" i="6"/>
  <c r="H77" i="5"/>
  <c r="AG29" i="2"/>
  <c r="AH29" i="2" s="1"/>
  <c r="AI29" i="2" s="1"/>
  <c r="AG49" i="2"/>
  <c r="AH49" i="2" s="1"/>
  <c r="AI49" i="2" s="1"/>
  <c r="AB39" i="2"/>
  <c r="AC39" i="2" s="1"/>
  <c r="AD39" i="2" s="1"/>
  <c r="AE39" i="2" s="1"/>
  <c r="AF39" i="2" s="1"/>
  <c r="AG39" i="2" s="1"/>
  <c r="AH39" i="2" s="1"/>
  <c r="AI39" i="2" s="1"/>
  <c r="AB36" i="2"/>
  <c r="AC36" i="2" s="1"/>
  <c r="AI42" i="2"/>
  <c r="AD44" i="2"/>
  <c r="AE32" i="2"/>
  <c r="AF32" i="2" s="1"/>
  <c r="P283" i="6"/>
  <c r="P211" i="6"/>
  <c r="M33" i="2" l="1"/>
  <c r="AE283" i="6"/>
  <c r="M31" i="2"/>
  <c r="AE273" i="6"/>
  <c r="H64" i="5"/>
  <c r="AA34" i="2"/>
  <c r="AB34" i="2" s="1"/>
  <c r="AC34" i="2" s="1"/>
  <c r="L34" i="2"/>
  <c r="O283" i="6"/>
  <c r="AD283" i="6" s="1"/>
  <c r="O273" i="6"/>
  <c r="AD273" i="6" s="1"/>
  <c r="AE44" i="2"/>
  <c r="AF44" i="2" s="1"/>
  <c r="AG44" i="2" s="1"/>
  <c r="AH44" i="2" s="1"/>
  <c r="AI44" i="2" s="1"/>
  <c r="AD36" i="2"/>
  <c r="AE36" i="2" s="1"/>
  <c r="AF36" i="2" s="1"/>
  <c r="AG36" i="2" s="1"/>
  <c r="AG32" i="2"/>
  <c r="AH32" i="2" s="1"/>
  <c r="AI32" i="2" s="1"/>
  <c r="P134" i="6"/>
  <c r="M23" i="2" l="1"/>
  <c r="AA23" i="2" s="1"/>
  <c r="AE134" i="6"/>
  <c r="H63" i="5"/>
  <c r="AA31" i="2"/>
  <c r="AB31" i="2" s="1"/>
  <c r="AA33" i="2"/>
  <c r="AB33" i="2" s="1"/>
  <c r="AC33" i="2" s="1"/>
  <c r="AD34" i="2"/>
  <c r="L33" i="2"/>
  <c r="L31" i="2"/>
  <c r="H61" i="5"/>
  <c r="O134" i="6"/>
  <c r="AD134" i="6" s="1"/>
  <c r="AH36" i="2"/>
  <c r="AI36" i="2" s="1"/>
  <c r="A12" i="2"/>
  <c r="AC31" i="2" l="1"/>
  <c r="AD31" i="2" s="1"/>
  <c r="AE31" i="2" s="1"/>
  <c r="AF31" i="2" s="1"/>
  <c r="AG31" i="2" s="1"/>
  <c r="AH31" i="2" s="1"/>
  <c r="AI31" i="2" s="1"/>
  <c r="AE34" i="2"/>
  <c r="AF34" i="2" s="1"/>
  <c r="AG34" i="2" s="1"/>
  <c r="AH34" i="2" s="1"/>
  <c r="AI34" i="2" s="1"/>
  <c r="AB23" i="2"/>
  <c r="AD33" i="2"/>
  <c r="AE33" i="2" s="1"/>
  <c r="AF33" i="2" s="1"/>
  <c r="AG33" i="2" s="1"/>
  <c r="AH33" i="2" s="1"/>
  <c r="AI33" i="2" s="1"/>
  <c r="H53" i="5"/>
  <c r="L23" i="2"/>
  <c r="AA46" i="2"/>
  <c r="AB46" i="2" s="1"/>
  <c r="P17" i="6"/>
  <c r="M20" i="2" l="1"/>
  <c r="AA20" i="2" s="1"/>
  <c r="AE17" i="6"/>
  <c r="AC23" i="2"/>
  <c r="O17" i="6"/>
  <c r="AD17" i="6" s="1"/>
  <c r="AD2" i="6" s="1"/>
  <c r="AC46" i="2"/>
  <c r="AD46" i="2" s="1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AB20" i="2" l="1"/>
  <c r="AC20" i="2" s="1"/>
  <c r="AD20" i="2" s="1"/>
  <c r="AE20" i="2" s="1"/>
  <c r="AF20" i="2" s="1"/>
  <c r="AG20" i="2" s="1"/>
  <c r="AH20" i="2" s="1"/>
  <c r="AI20" i="2" s="1"/>
  <c r="AD23" i="2"/>
  <c r="H50" i="5"/>
  <c r="H485" i="5" s="1"/>
  <c r="O1" i="2" s="1"/>
  <c r="L20" i="2"/>
  <c r="AE46" i="2"/>
  <c r="AF46" i="2" s="1"/>
  <c r="AG46" i="2" s="1"/>
  <c r="AH46" i="2" s="1"/>
  <c r="AI46" i="2" s="1"/>
  <c r="C14" i="6"/>
  <c r="C13" i="6"/>
  <c r="AE23" i="2" l="1"/>
  <c r="AF23" i="2" s="1"/>
  <c r="AG23" i="2" s="1"/>
  <c r="AH23" i="2" s="1"/>
  <c r="AI23" i="2" s="1"/>
  <c r="A24" i="1"/>
  <c r="J20" i="2" l="1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484" i="5" l="1"/>
</calcChain>
</file>

<file path=xl/sharedStrings.xml><?xml version="1.0" encoding="utf-8"?>
<sst xmlns="http://schemas.openxmlformats.org/spreadsheetml/2006/main" count="3116" uniqueCount="1110">
  <si>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</si>
  <si>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</si>
  <si>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</si>
  <si>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</si>
  <si>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</si>
  <si>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</si>
  <si>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</si>
  <si>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</si>
  <si>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</si>
  <si>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</si>
  <si>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İMALAT MİKTARI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</si>
  <si>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</si>
  <si>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</si>
  <si>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</si>
  <si>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</si>
  <si>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</si>
  <si>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</si>
  <si>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</si>
  <si>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</si>
  <si>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</si>
  <si>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</si>
  <si>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</si>
  <si>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</si>
  <si>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</si>
  <si>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</si>
  <si>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</si>
  <si>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</si>
  <si>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</si>
  <si>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</si>
  <si>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</si>
  <si>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</si>
  <si>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</si>
  <si>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</si>
  <si>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</si>
  <si>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</si>
  <si>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</si>
  <si>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</si>
  <si>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</si>
  <si>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</si>
  <si>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</si>
  <si>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</si>
  <si>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</si>
  <si>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</si>
  <si>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</si>
  <si>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</si>
  <si>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</si>
  <si>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</si>
  <si>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</si>
  <si>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</si>
  <si>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</si>
  <si>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</si>
  <si>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</si>
  <si>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</si>
  <si>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</si>
  <si>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</si>
  <si>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</si>
  <si>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</si>
  <si>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</si>
  <si>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</si>
  <si>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</si>
  <si>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</si>
  <si>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</si>
  <si>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</si>
  <si>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</si>
  <si>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</si>
  <si>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</si>
  <si>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</si>
  <si>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</si>
  <si>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</si>
  <si>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</si>
  <si>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</si>
  <si>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</si>
  <si>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</si>
  <si>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</si>
  <si>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</si>
  <si>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</si>
  <si>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</si>
  <si>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</si>
  <si>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</si>
  <si>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</si>
  <si>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</si>
  <si>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</si>
  <si>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</si>
  <si>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</si>
  <si>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</si>
  <si>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</si>
  <si>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</si>
  <si>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</si>
  <si>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</si>
  <si>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</si>
  <si>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</si>
  <si>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</si>
  <si>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</si>
  <si>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</si>
  <si>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</si>
  <si>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</si>
  <si>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</si>
  <si>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</si>
  <si>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</si>
  <si>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</si>
  <si>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</si>
  <si>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</si>
  <si>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</si>
  <si>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</si>
  <si>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</si>
  <si>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</si>
  <si>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</si>
  <si>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</si>
  <si>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</si>
  <si>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</si>
  <si>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</si>
  <si>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</si>
  <si>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</si>
  <si>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</si>
  <si>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</si>
  <si>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</si>
  <si>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</si>
  <si>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</si>
  <si>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</si>
  <si>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</si>
  <si>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</si>
  <si>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</si>
  <si>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</si>
  <si>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</si>
  <si>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</si>
  <si>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</si>
  <si>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</si>
  <si>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</si>
  <si>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</si>
  <si>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</si>
  <si>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</si>
  <si>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</si>
  <si>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</si>
  <si>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</si>
  <si>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</si>
  <si>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</si>
  <si>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</si>
  <si>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</si>
  <si>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</si>
  <si>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</si>
  <si>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</si>
  <si>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</si>
  <si>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</si>
  <si>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</si>
  <si>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</si>
  <si>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</si>
  <si>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</si>
  <si>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</si>
  <si>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</si>
  <si>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</si>
  <si>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</si>
  <si>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</si>
  <si>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</si>
  <si>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</si>
  <si>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</si>
  <si>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</si>
  <si>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</si>
  <si>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</si>
  <si>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</si>
  <si>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</si>
  <si>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</si>
  <si>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</si>
  <si>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</si>
  <si>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</si>
  <si>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</si>
  <si>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</si>
  <si>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</si>
  <si>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</si>
  <si>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</si>
  <si>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</si>
  <si>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</si>
  <si>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</si>
  <si>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</si>
  <si>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</si>
  <si>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</si>
  <si>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</si>
  <si>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</si>
  <si>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</si>
  <si>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</si>
  <si>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</si>
  <si>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</si>
  <si>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</si>
  <si>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</si>
  <si>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</si>
  <si>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</si>
  <si>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</si>
  <si>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</si>
  <si>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</si>
  <si>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</si>
  <si>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</si>
  <si>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</si>
  <si>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</si>
  <si>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</si>
  <si>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</si>
  <si>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</si>
  <si>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</si>
  <si>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</si>
  <si>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</si>
  <si>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</si>
  <si>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</si>
  <si>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</si>
  <si>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</si>
  <si>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</si>
  <si>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</si>
  <si>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</si>
  <si>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</si>
  <si>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</si>
  <si>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</si>
  <si>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</si>
  <si>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</si>
  <si>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</si>
  <si>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</si>
  <si>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</si>
  <si>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</si>
  <si>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</si>
  <si>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</si>
  <si>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</si>
  <si>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</si>
  <si>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</si>
  <si>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</si>
  <si>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</si>
  <si>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</si>
  <si>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</si>
  <si>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</si>
  <si>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</si>
  <si>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</si>
  <si>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</si>
  <si>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</si>
  <si>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</si>
  <si>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</si>
  <si>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</si>
  <si>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</si>
  <si>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</si>
  <si>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</si>
  <si>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</si>
  <si>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</si>
  <si>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</si>
  <si>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</si>
  <si>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</si>
  <si>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</si>
  <si>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</si>
  <si>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</si>
  <si>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</si>
  <si>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</si>
  <si>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</si>
  <si>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</si>
  <si>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</si>
  <si>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</si>
  <si>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</si>
  <si>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</si>
  <si>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</si>
  <si>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</si>
  <si>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</si>
  <si>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</si>
  <si>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</si>
  <si>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</si>
  <si>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</si>
  <si>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</si>
  <si>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</si>
  <si>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</si>
  <si>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</si>
  <si>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</si>
  <si>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</si>
  <si>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</si>
  <si>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</si>
  <si>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</si>
  <si>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</si>
  <si>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</si>
  <si>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</si>
  <si>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</si>
  <si>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</si>
  <si>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</si>
  <si>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</si>
  <si>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</si>
  <si>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</si>
  <si>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</si>
  <si>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</si>
  <si>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</si>
  <si>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</si>
  <si>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</si>
  <si>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</si>
  <si>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</si>
  <si>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</si>
  <si>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</si>
  <si>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</si>
  <si>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</si>
  <si>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</si>
  <si>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</si>
  <si>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</si>
  <si>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</si>
  <si>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</si>
  <si>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</si>
  <si>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</si>
  <si>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</si>
  <si>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</si>
  <si>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</si>
  <si>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</si>
  <si>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</si>
  <si>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</si>
  <si>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</si>
  <si>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</si>
  <si>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</si>
  <si>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</si>
  <si>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</si>
  <si>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</si>
  <si>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</si>
  <si>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</si>
  <si>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</si>
  <si>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</si>
  <si>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</si>
  <si>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</si>
  <si>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</si>
  <si>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</si>
  <si>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</si>
  <si>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</si>
  <si>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</si>
  <si>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</si>
  <si>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</si>
  <si>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</si>
  <si>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</si>
  <si>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</si>
  <si>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</si>
  <si>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</si>
  <si>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</si>
  <si>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</si>
  <si>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</si>
  <si>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</si>
  <si>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</si>
  <si>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</si>
  <si>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</si>
  <si>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</si>
  <si>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</si>
  <si>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</si>
  <si>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</si>
  <si>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</si>
  <si>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</si>
  <si>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</si>
  <si>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</si>
  <si>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</si>
  <si>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</si>
  <si>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</si>
  <si>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</si>
  <si>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</si>
  <si>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</si>
  <si>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</si>
  <si>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</si>
  <si>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</si>
  <si>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</si>
  <si>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</si>
  <si>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</si>
  <si>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</si>
  <si>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</si>
  <si>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</si>
  <si>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</si>
  <si>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</si>
  <si>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</si>
  <si>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</si>
  <si>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</si>
  <si>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</si>
  <si>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</si>
  <si>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</si>
  <si>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</si>
  <si>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</si>
  <si>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</si>
  <si>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</si>
  <si>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</si>
  <si>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</si>
  <si>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</si>
  <si>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</si>
  <si>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</si>
  <si>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</si>
  <si>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</si>
  <si>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</si>
  <si>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</si>
  <si>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</si>
  <si>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</si>
  <si>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</si>
  <si>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</si>
  <si>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</si>
  <si>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</si>
  <si>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</si>
  <si>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</si>
  <si>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</si>
  <si>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</si>
  <si>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</si>
  <si>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</si>
  <si>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</si>
  <si>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</si>
  <si>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</si>
  <si>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</si>
  <si>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</si>
  <si>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</si>
  <si>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</si>
  <si>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</si>
  <si>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</si>
  <si>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</si>
  <si>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</si>
  <si>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</si>
  <si>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</si>
  <si>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</si>
  <si>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</si>
  <si>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</si>
  <si>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</si>
  <si>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</si>
  <si>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</si>
  <si>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</si>
  <si>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</si>
  <si>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</si>
  <si>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</si>
  <si>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</si>
  <si>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</si>
  <si>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</si>
  <si>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</si>
  <si>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</si>
  <si>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</si>
  <si>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</si>
  <si>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</si>
  <si>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</si>
  <si>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</si>
  <si>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</si>
  <si>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</si>
  <si>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</si>
  <si>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</si>
  <si>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</si>
  <si>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</si>
  <si>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</si>
  <si>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</si>
  <si>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</si>
  <si>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</si>
  <si>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</si>
  <si>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</si>
  <si>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</si>
  <si>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</si>
  <si>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</si>
  <si>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</si>
  <si>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</si>
  <si>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</si>
  <si>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</si>
  <si>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</si>
  <si>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</si>
  <si>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</si>
  <si>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</si>
  <si>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</si>
  <si>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</si>
  <si>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</si>
  <si>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</si>
  <si>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</si>
  <si>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</si>
  <si>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</si>
  <si>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</si>
  <si>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</si>
  <si>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</si>
  <si>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</si>
  <si>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</si>
  <si>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</si>
  <si>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</si>
  <si>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</si>
  <si>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</si>
  <si>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</si>
  <si>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</si>
  <si>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</si>
  <si>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</si>
  <si>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</si>
  <si>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</si>
  <si>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</si>
  <si>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</si>
  <si>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</si>
  <si>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</si>
  <si>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</si>
  <si>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</si>
  <si>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</si>
  <si>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</si>
  <si>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</si>
  <si>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</si>
  <si>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</si>
  <si>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</si>
  <si>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</si>
  <si>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</si>
  <si>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</si>
  <si>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</si>
  <si>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</si>
  <si>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</si>
  <si>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</si>
  <si>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</si>
  <si>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</si>
  <si>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</si>
  <si>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</si>
  <si>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</si>
  <si>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</si>
  <si>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</si>
  <si>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</si>
  <si>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</si>
  <si>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</si>
  <si>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</si>
  <si>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</si>
  <si>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</si>
  <si>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</si>
  <si>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</si>
  <si>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</si>
  <si>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</si>
  <si>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</si>
  <si>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</si>
  <si>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</si>
  <si>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</si>
  <si>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</si>
  <si>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</si>
  <si>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</si>
  <si>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</si>
  <si>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</si>
  <si>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</si>
  <si>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</si>
  <si>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</si>
  <si>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</si>
  <si>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</si>
  <si>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</si>
  <si>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</si>
  <si>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</si>
  <si>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</si>
  <si>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</si>
  <si>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</si>
  <si>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</si>
  <si>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</si>
  <si>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</si>
  <si>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</si>
  <si>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</si>
  <si>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</si>
  <si>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</si>
  <si>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</si>
  <si>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</si>
  <si>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</si>
  <si>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</si>
  <si>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</si>
  <si>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</si>
  <si>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</si>
  <si>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</si>
  <si>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</si>
  <si>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</si>
  <si>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</si>
  <si>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</si>
  <si>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</si>
  <si>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</si>
  <si>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</si>
  <si>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</si>
  <si>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</si>
  <si>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</si>
  <si>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</si>
  <si>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</si>
  <si>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</si>
  <si>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</si>
  <si>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</si>
  <si>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</si>
  <si>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</si>
  <si>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</si>
  <si>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</si>
  <si>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</si>
  <si>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</si>
  <si>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</si>
  <si>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</si>
  <si>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</si>
  <si>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</si>
  <si>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</si>
  <si>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</si>
  <si>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</si>
  <si>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</si>
  <si>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</si>
  <si>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</si>
  <si>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</si>
  <si>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</si>
  <si>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</si>
  <si>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</si>
  <si>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</si>
  <si>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</si>
  <si>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</si>
  <si>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</si>
  <si>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</si>
  <si>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</si>
  <si>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</si>
  <si>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</si>
  <si>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</si>
  <si>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</si>
  <si>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</si>
  <si>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</si>
  <si>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</si>
  <si>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</si>
  <si>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</si>
  <si>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</si>
  <si>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</si>
  <si>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</si>
  <si>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</si>
  <si>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</si>
  <si>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</si>
  <si>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</si>
  <si>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</si>
  <si>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</si>
  <si>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</si>
  <si>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</si>
  <si>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</si>
  <si>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</si>
  <si>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</si>
  <si>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</si>
  <si>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</si>
  <si>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</si>
  <si>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</si>
  <si>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</si>
  <si>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</si>
  <si>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</si>
  <si>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</si>
  <si>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</si>
  <si>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</si>
  <si>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</si>
  <si>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</si>
  <si>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</si>
  <si>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</si>
  <si>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</si>
  <si>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</si>
  <si>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</si>
  <si>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</si>
  <si>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</si>
  <si>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</si>
  <si>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</si>
  <si>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</si>
  <si>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</si>
  <si>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</si>
  <si>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</si>
  <si>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</si>
  <si>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</si>
  <si>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</si>
  <si>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</si>
  <si>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</si>
  <si>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</si>
  <si>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</si>
  <si>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</si>
  <si>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</si>
  <si>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</si>
  <si>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</si>
  <si>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</si>
  <si>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</si>
  <si>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</si>
  <si>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</si>
  <si>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</si>
  <si>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</si>
  <si>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</si>
  <si>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</si>
  <si>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</si>
  <si>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</si>
  <si>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</si>
  <si>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</si>
  <si>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</si>
  <si>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</si>
  <si>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</si>
  <si>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</si>
  <si>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</si>
  <si>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</si>
  <si>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</si>
  <si>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</si>
  <si>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</si>
  <si>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</si>
  <si>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</si>
  <si>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</si>
  <si>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</si>
  <si>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</si>
  <si>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</si>
  <si>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</si>
  <si>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</si>
  <si>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</si>
  <si>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</si>
  <si>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</si>
  <si>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</si>
  <si>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</si>
  <si>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</si>
  <si>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</si>
  <si>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</si>
  <si>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</si>
  <si>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</si>
  <si>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</si>
  <si>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</si>
  <si>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</si>
  <si>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</si>
  <si>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</si>
  <si>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</si>
  <si>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</si>
  <si>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</si>
  <si>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</si>
  <si>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</si>
  <si>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</si>
  <si>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</si>
  <si>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</si>
  <si>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</si>
  <si>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</si>
  <si>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</si>
  <si>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</si>
  <si>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</si>
  <si>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</si>
  <si>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</si>
  <si>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</si>
  <si>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</si>
  <si>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</si>
  <si>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</si>
  <si>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</si>
  <si>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</si>
  <si>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</si>
  <si>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</si>
  <si>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</si>
  <si>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</si>
  <si>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</si>
  <si>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</si>
  <si>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</si>
  <si>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</si>
  <si>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</si>
  <si>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</si>
  <si>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</si>
  <si>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</si>
  <si>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</si>
  <si>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</si>
  <si>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</si>
  <si>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</si>
  <si>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</si>
  <si>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</si>
  <si>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</si>
  <si>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</si>
  <si>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</si>
  <si>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</si>
  <si>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</si>
  <si>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</si>
  <si>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</si>
  <si>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</si>
  <si>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</si>
  <si>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</si>
  <si>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</si>
  <si>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</si>
  <si>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</si>
  <si>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</si>
  <si>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</si>
  <si>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</si>
  <si>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</si>
  <si>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</si>
  <si>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</si>
  <si>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</si>
  <si>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</si>
  <si>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</si>
  <si>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</si>
  <si>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</si>
  <si>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</si>
  <si>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</si>
  <si>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</si>
  <si>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</si>
  <si>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</si>
  <si>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</si>
  <si>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</si>
  <si>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</si>
  <si>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</si>
  <si>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</si>
  <si>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</si>
  <si>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</si>
  <si>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</si>
  <si>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</si>
  <si>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</si>
  <si>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</si>
  <si>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</si>
  <si>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</si>
  <si>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</si>
  <si>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</si>
  <si>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</si>
  <si>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</si>
  <si>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</si>
  <si>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</si>
  <si>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</si>
  <si>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</si>
  <si>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</si>
  <si>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</si>
  <si>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</si>
  <si>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</si>
  <si>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</si>
  <si>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</si>
  <si>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</si>
  <si>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</si>
  <si>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</si>
  <si>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</si>
  <si>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</si>
  <si>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</si>
  <si>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</si>
  <si>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</si>
  <si>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</si>
  <si>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</si>
  <si>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</si>
  <si>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</si>
  <si>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</si>
  <si>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</si>
  <si>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</si>
  <si>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</si>
  <si>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</si>
  <si>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</si>
  <si>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</si>
  <si>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</si>
  <si>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</si>
  <si>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</si>
  <si>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</si>
  <si>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</si>
  <si>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</si>
  <si>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</si>
  <si>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</si>
  <si>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</si>
  <si>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</si>
  <si>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</si>
  <si>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</si>
  <si>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</si>
  <si>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</si>
  <si>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</si>
  <si>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</si>
  <si>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</si>
  <si>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</si>
  <si>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</si>
  <si>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</si>
  <si>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</si>
  <si>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</si>
  <si>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</si>
  <si>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</si>
  <si>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</si>
  <si>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</si>
  <si>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</si>
  <si>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</si>
  <si>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</si>
  <si>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</si>
  <si>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</si>
  <si>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</si>
  <si>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</si>
  <si>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</si>
  <si>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</si>
  <si>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</si>
  <si>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</si>
  <si>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</si>
  <si>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</si>
  <si>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</si>
  <si>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</si>
  <si>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</si>
  <si>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</si>
  <si>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</si>
  <si>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</si>
  <si>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</si>
  <si>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</si>
  <si>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</si>
  <si>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</si>
  <si>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</si>
  <si>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</si>
  <si>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</si>
  <si>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</si>
  <si>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</si>
  <si>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</si>
  <si>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</si>
  <si>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</si>
  <si>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</si>
  <si>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</si>
  <si>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</si>
  <si>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</si>
  <si>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</si>
  <si>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</si>
  <si>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</si>
  <si>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</si>
  <si>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</si>
  <si>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</si>
  <si>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</si>
  <si>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</si>
  <si>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</si>
  <si>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</si>
  <si>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</si>
  <si>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</si>
  <si>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</si>
  <si>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</si>
  <si>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</si>
  <si>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</si>
  <si>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</si>
  <si>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</si>
  <si>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</si>
  <si>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</si>
  <si>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</si>
  <si>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</si>
  <si>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</si>
  <si>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</si>
  <si>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</si>
  <si>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</si>
  <si>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</si>
  <si>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</si>
  <si>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</si>
  <si>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</si>
  <si>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</si>
  <si>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</si>
  <si>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</si>
  <si>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</si>
  <si>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</si>
  <si>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</si>
  <si>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</si>
  <si>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</si>
  <si>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</si>
  <si>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</si>
  <si>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</si>
  <si>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</si>
  <si>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</si>
  <si>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</si>
  <si>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</si>
  <si>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</si>
  <si>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</si>
  <si>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</si>
  <si>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</si>
  <si>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</si>
  <si>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</si>
  <si>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</si>
  <si>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</si>
  <si>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</si>
  <si>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</si>
  <si>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</si>
  <si>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</si>
  <si>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</si>
  <si>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</si>
  <si>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</si>
  <si>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</si>
  <si>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</si>
  <si>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</si>
  <si>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</si>
  <si>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</si>
  <si>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</si>
  <si>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</si>
  <si>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</si>
  <si>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</si>
  <si>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</si>
  <si>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</si>
  <si>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</si>
  <si>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</si>
  <si>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</si>
  <si>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</si>
  <si>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</si>
  <si>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</si>
  <si>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</si>
  <si>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</si>
  <si>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</si>
  <si>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</si>
  <si>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</si>
  <si>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</si>
  <si>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</si>
  <si>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</si>
  <si>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</si>
  <si>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</si>
  <si>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</si>
  <si>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</si>
  <si>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</si>
  <si>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</si>
  <si>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</si>
  <si>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</si>
  <si>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</si>
  <si>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</si>
  <si>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</si>
  <si>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</si>
  <si>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</si>
  <si>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</si>
  <si>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</si>
  <si>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</si>
  <si>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</si>
  <si>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</si>
  <si>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</si>
  <si>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</si>
  <si>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</si>
  <si>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</si>
  <si>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</si>
  <si>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</si>
  <si>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</si>
  <si>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</si>
  <si>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</si>
  <si>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</si>
  <si>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</si>
  <si>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</si>
  <si>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</si>
  <si>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</si>
  <si>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</si>
  <si>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</si>
  <si>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</si>
  <si>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</si>
  <si>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</si>
  <si>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</si>
  <si>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</si>
  <si>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</si>
  <si>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</si>
  <si>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</si>
  <si>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</si>
  <si>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</si>
  <si>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</si>
  <si>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</si>
  <si>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</si>
  <si>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</si>
  <si>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</si>
  <si>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</si>
  <si>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</si>
  <si>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</si>
  <si>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</si>
  <si>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</si>
  <si>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</si>
  <si>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</si>
  <si>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</si>
  <si>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</si>
  <si>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1 Nolu İksa Tipi Ayna</t>
  </si>
  <si>
    <t>Ayna Kesit Tipi</t>
  </si>
  <si>
    <t>Kalınlık</t>
  </si>
  <si>
    <t>2 Nolu İksa Tipi Ayna</t>
  </si>
  <si>
    <t>3 Nolu İksa Tipi Ayna</t>
  </si>
  <si>
    <t>4 Nolu İksa Tipi Ayna</t>
  </si>
  <si>
    <t>5 Nolu İksa Tipi Ayna</t>
  </si>
  <si>
    <t>6 Nolu İksa Tipi Ayna</t>
  </si>
  <si>
    <t>Ayna Kırımları</t>
  </si>
  <si>
    <t>G.İnv.</t>
  </si>
  <si>
    <t>Kontak Enj. Kesintisi</t>
  </si>
  <si>
    <t>P1 - 1 Nolu Tip İksa</t>
  </si>
  <si>
    <t>P1 - 2 Nolu Tip İksa</t>
  </si>
  <si>
    <t>P1 - 3 Nolu Tip İksa</t>
  </si>
  <si>
    <t>P1 - 4 Nolu Tip İksa</t>
  </si>
  <si>
    <t>P1 - 5 Nolu Tip İksa</t>
  </si>
  <si>
    <t>P1 - 6 Nolu Tip İksa</t>
  </si>
  <si>
    <t>Q221/221</t>
  </si>
  <si>
    <t>1.Aşama İmalatları</t>
  </si>
  <si>
    <t>1.Aşama Geçici İnvert İmalatları</t>
  </si>
  <si>
    <t>6 Nolu İksa Tipi Ayna
(KHU-KOZ1-L00-P1T-000-TGN-DEX-TR-U-104-0)</t>
  </si>
  <si>
    <t>Hasır Tipi</t>
  </si>
  <si>
    <t>Ayna Çelik Hasırları</t>
  </si>
  <si>
    <t>Tam Kesit Aynaya Alan Oranı</t>
  </si>
  <si>
    <t>İksa Adeti</t>
  </si>
  <si>
    <t>(KHU-KOZ1-L00-P1T-000-TGN-DEX-TR-U-104-0)</t>
  </si>
  <si>
    <t>P1 - 1 Nolu Tip Geçici İksa</t>
  </si>
  <si>
    <t>P1 - 6 Nolu Tip Geçici İksa</t>
  </si>
  <si>
    <t>P1 - 2 Nolu Tip Geçici İksa</t>
  </si>
  <si>
    <t>P1 - 3 Nolu Tip Geçici İksa</t>
  </si>
  <si>
    <t>P1 - 4 Nolu Tip Geçici İksa</t>
  </si>
  <si>
    <t>P1 - 5 Nolu Tip Geçici İksa</t>
  </si>
  <si>
    <t>Adeti</t>
  </si>
  <si>
    <t>Pah Bölgesi Z Donatıları</t>
  </si>
  <si>
    <t>Ø14  İşban Demiri (B2 Pozu)</t>
  </si>
  <si>
    <t>Ø12 L Donatı (B1 Pozu)</t>
  </si>
  <si>
    <t>6 Nolu İksa Tipi Kör Ayna</t>
  </si>
  <si>
    <t>2025.06-001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</si>
  <si>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</si>
  <si>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</si>
  <si>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</si>
  <si>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</si>
  <si>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</si>
  <si>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</si>
  <si>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</si>
  <si>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</si>
  <si>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</si>
  <si>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</si>
  <si>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</si>
  <si>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</si>
  <si>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</si>
  <si>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</si>
  <si>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</si>
  <si>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</si>
  <si>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</si>
  <si>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</si>
  <si>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</si>
  <si>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</si>
  <si>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</si>
  <si>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</si>
  <si>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</si>
  <si>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</si>
  <si>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2025.08-001</t>
  </si>
  <si>
    <t>2 Nolu İksa Tipi Ayna
(KHU-KOZ1-L00-P1T-000-TGN-DEX-TR-U-104-0)</t>
  </si>
  <si>
    <t>Barbaros İstasyonu Hat - 2 Halkalı Yönü P1 Tüneli 1.Aşama</t>
  </si>
  <si>
    <t>2025.08-003</t>
  </si>
  <si>
    <t>S06.H2.HY.P1.A1.001</t>
  </si>
  <si>
    <t>1+357,04 KM Pah donatısı</t>
  </si>
  <si>
    <t>2 Nolu İksa Tipi Ayna 8m²</t>
  </si>
  <si>
    <t>1+361,54 KM Pah donatısı</t>
  </si>
  <si>
    <t>2025.09-003</t>
  </si>
  <si>
    <t>S06.H2.HY.P1.A1.002</t>
  </si>
  <si>
    <t>4 Nolu İksa Tipi Ayna 8m²</t>
  </si>
  <si>
    <t>1+366,04 KM Pah donatısı</t>
  </si>
  <si>
    <t>1+370,54 KM Pah donatısı</t>
  </si>
  <si>
    <t>1+375,04 KM Pah donatısı</t>
  </si>
  <si>
    <t>4 Nolu İksa Tipi Ayna
(KHU-KOZ1-L00-P1T-000-TGN-DEX-TR-U-104-0)</t>
  </si>
  <si>
    <t>1+379,54 KM Pah donatısı</t>
  </si>
  <si>
    <t>(KHU-KOZ1-L00-P1T-000-TGN-DEX-TR-U-105-0)</t>
  </si>
  <si>
    <t>Ø14  İşban Demiri (B1 Pozu)</t>
  </si>
  <si>
    <t>ÖNCEKİ HAKEDİŞ MİKTARI</t>
  </si>
  <si>
    <t>BU HAKEDİŞ MİKTARI</t>
  </si>
  <si>
    <t>TOPLAM HAKEDİŞ MİKTARI</t>
  </si>
  <si>
    <t>S06.H2.HY.P1.A1.003</t>
  </si>
  <si>
    <t>2025.10-003</t>
  </si>
  <si>
    <t>1+384,04 KM Pah donatısı</t>
  </si>
  <si>
    <t>1+388,54 KM Pah donatısı</t>
  </si>
  <si>
    <t>1+393,04 KM Pah donatısı</t>
  </si>
  <si>
    <t>1+397,54 KM Pah donatısı</t>
  </si>
  <si>
    <t>1+402,54 KM Pah donatısı</t>
  </si>
  <si>
    <t>2025.11-003</t>
  </si>
  <si>
    <t>S06.H2.HY.P1.A1.004</t>
  </si>
  <si>
    <t>1+406,54 KM Pah donatısı</t>
  </si>
  <si>
    <t>1+411,04 KM Pah donatısı</t>
  </si>
  <si>
    <t>1+415,54 KM Pah donatısı</t>
  </si>
  <si>
    <t>1+420,54 KM Pah donatısı</t>
  </si>
  <si>
    <t>2025.12-003</t>
  </si>
  <si>
    <t>S06.H2.HY.P1.A1.005</t>
  </si>
  <si>
    <t>1+424,54 KM Pah donatısı</t>
  </si>
  <si>
    <t>1+429,04 KM Pah donatısı</t>
  </si>
  <si>
    <t>1+433,54 KM Pah donatısı</t>
  </si>
  <si>
    <t>Q589/589</t>
  </si>
  <si>
    <t>2026.01-008</t>
  </si>
  <si>
    <t>S06.H2.HY.P1.A1.006</t>
  </si>
  <si>
    <t>6 Nolu İksa Tipi Ayna Geçici İnvert</t>
  </si>
  <si>
    <t>2026.03-005</t>
  </si>
  <si>
    <t>S06.H2.HY.P1.A1.007</t>
  </si>
  <si>
    <t>Kontak Enjeksiyon</t>
  </si>
  <si>
    <t>Önceki Hakediş</t>
  </si>
  <si>
    <t>Bu Hakediş Tutarı</t>
  </si>
  <si>
    <t>Kümülatif Hakediş</t>
  </si>
  <si>
    <t>Ayna Emniyet Shotcrete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</si>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</sst>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43" fontId="2" fillId="0" borderId="0" applyFont="0" applyFill="0" applyBorder="0" applyAlignment="0" applyProtection="0"/>
  </cellStyleXfs>
  <cellXfs count="228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3" fillId="0" borderId="0" xfId="0" applyFont="1"/>
    <xf numFmtId="0" fontId="8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0" fontId="0" fillId="0" borderId="6" xfId="0" quotePrefix="1" applyBorder="1" applyAlignment="1">
      <alignment horizontal="centerContinuous" vertical="center"/>
    </xf>
    <xf numFmtId="168" fontId="0" fillId="0" borderId="6" xfId="1" applyNumberFormat="1" applyFont="1" applyBorder="1" applyAlignment="1">
      <alignment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Continuous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7" xfId="1" applyFont="1" applyBorder="1" applyAlignment="1">
      <alignment horizontal="left" vertical="center"/>
    </xf>
    <xf numFmtId="169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Continuous" vertical="center"/>
    </xf>
    <xf numFmtId="166" fontId="0" fillId="2" borderId="5" xfId="0" applyNumberFormat="1" applyFill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7" fontId="0" fillId="0" borderId="7" xfId="2" applyNumberFormat="1" applyFont="1" applyBorder="1" applyAlignment="1">
      <alignment horizontal="right" vertical="center" indent="1"/>
    </xf>
    <xf numFmtId="168" fontId="0" fillId="0" borderId="7" xfId="1" applyNumberFormat="1" applyFont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0" fontId="3" fillId="2" borderId="5" xfId="0" applyFont="1" applyFill="1" applyBorder="1" applyAlignment="1">
      <alignment horizontal="centerContinuous" vertical="center"/>
    </xf>
    <xf numFmtId="166" fontId="0" fillId="0" borderId="6" xfId="0" applyNumberFormat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3" fontId="0" fillId="0" borderId="12" xfId="1" applyFont="1" applyBorder="1" applyAlignment="1">
      <alignment horizontal="left" vertical="center"/>
    </xf>
    <xf numFmtId="167" fontId="0" fillId="0" borderId="13" xfId="2" applyNumberFormat="1" applyFont="1" applyBorder="1" applyAlignment="1">
      <alignment horizontal="right" vertical="center" indent="1"/>
    </xf>
    <xf numFmtId="0" fontId="3" fillId="2" borderId="8" xfId="0" applyFont="1" applyFill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43" fontId="0" fillId="0" borderId="15" xfId="1" applyFont="1" applyBorder="1" applyAlignment="1">
      <alignment horizontal="centerContinuous" vertical="center"/>
    </xf>
    <xf numFmtId="43" fontId="0" fillId="0" borderId="16" xfId="1" applyFont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 vertical="center" wrapText="1"/>
    </xf>
    <xf numFmtId="168" fontId="0" fillId="0" borderId="7" xfId="1" applyNumberFormat="1" applyFont="1" applyBorder="1" applyAlignment="1">
      <alignment horizontal="right" vertical="center" indent="1"/>
    </xf>
    <xf numFmtId="167" fontId="0" fillId="0" borderId="7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7" xfId="2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68" fontId="0" fillId="0" borderId="7" xfId="1" applyNumberFormat="1" applyFont="1" applyBorder="1" applyAlignment="1">
      <alignment horizontal="centerContinuous" vertical="center"/>
    </xf>
    <xf numFmtId="167" fontId="0" fillId="0" borderId="16" xfId="2" applyNumberFormat="1" applyFont="1" applyBorder="1" applyAlignment="1">
      <alignment horizontal="right" vertical="center" indent="1"/>
    </xf>
    <xf numFmtId="165" fontId="0" fillId="0" borderId="7" xfId="0" applyNumberFormat="1" applyBorder="1" applyAlignment="1">
      <alignment horizontal="centerContinuous" vertical="center" wrapText="1"/>
    </xf>
    <xf numFmtId="0" fontId="0" fillId="0" borderId="7" xfId="0" quotePrefix="1" applyBorder="1" applyAlignment="1">
      <alignment horizontal="centerContinuous" vertical="center" wrapText="1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43" fontId="0" fillId="0" borderId="15" xfId="1" applyFont="1" applyBorder="1" applyAlignment="1">
      <alignment horizontal="left" vertical="center"/>
    </xf>
    <xf numFmtId="43" fontId="0" fillId="0" borderId="0" xfId="1" applyFont="1" applyAlignment="1">
      <alignment vertical="center"/>
    </xf>
    <xf numFmtId="43" fontId="0" fillId="0" borderId="16" xfId="1" applyFont="1" applyFill="1" applyBorder="1" applyAlignment="1">
      <alignment horizontal="centerContinuous" vertical="center"/>
    </xf>
    <xf numFmtId="168" fontId="0" fillId="0" borderId="7" xfId="1" applyNumberFormat="1" applyFont="1" applyFill="1" applyBorder="1" applyAlignment="1">
      <alignment vertical="center"/>
    </xf>
    <xf numFmtId="43" fontId="0" fillId="0" borderId="15" xfId="4" applyFont="1" applyBorder="1" applyAlignment="1">
      <alignment horizontal="centerContinuous" vertical="center"/>
    </xf>
    <xf numFmtId="43" fontId="0" fillId="0" borderId="16" xfId="4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2" fontId="0" fillId="0" borderId="0" xfId="0" applyNumberFormat="1" applyAlignment="1">
      <alignment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7" xfId="0" quotePrefix="1" applyFont="1" applyFill="1" applyBorder="1" applyAlignment="1">
      <alignment horizontal="centerContinuous" vertical="center"/>
    </xf>
    <xf numFmtId="0" fontId="3" fillId="2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0" fontId="0" fillId="0" borderId="18" xfId="0" quotePrefix="1" applyBorder="1" applyAlignment="1">
      <alignment horizontal="centerContinuous" vertical="center"/>
    </xf>
    <xf numFmtId="166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Continuous" vertical="center"/>
    </xf>
    <xf numFmtId="43" fontId="0" fillId="0" borderId="20" xfId="1" applyFont="1" applyBorder="1" applyAlignment="1">
      <alignment horizontal="centerContinuous" vertical="center"/>
    </xf>
    <xf numFmtId="167" fontId="0" fillId="0" borderId="18" xfId="2" applyNumberFormat="1" applyFont="1" applyBorder="1" applyAlignment="1">
      <alignment horizontal="right" vertical="center" indent="1"/>
    </xf>
    <xf numFmtId="168" fontId="0" fillId="0" borderId="18" xfId="1" applyNumberFormat="1" applyFont="1" applyBorder="1" applyAlignment="1">
      <alignment vertical="center"/>
    </xf>
    <xf numFmtId="167" fontId="0" fillId="0" borderId="5" xfId="2" applyNumberFormat="1" applyFont="1" applyBorder="1" applyAlignment="1">
      <alignment horizontal="right" vertical="center" indent="1"/>
    </xf>
    <xf numFmtId="0" fontId="0" fillId="0" borderId="5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5" xfId="0" quotePrefix="1" applyBorder="1" applyAlignment="1">
      <alignment horizontal="centerContinuous" vertical="center"/>
    </xf>
    <xf numFmtId="166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centerContinuous" vertical="center"/>
    </xf>
    <xf numFmtId="43" fontId="0" fillId="0" borderId="10" xfId="1" applyFont="1" applyBorder="1" applyAlignment="1">
      <alignment horizontal="centerContinuous" vertical="center"/>
    </xf>
    <xf numFmtId="168" fontId="0" fillId="0" borderId="5" xfId="1" applyNumberFormat="1" applyFont="1" applyBorder="1" applyAlignment="1">
      <alignment vertical="center"/>
    </xf>
    <xf numFmtId="0" fontId="0" fillId="0" borderId="11" xfId="0" applyBorder="1" applyAlignment="1">
      <alignment horizontal="centerContinuous" vertical="center"/>
    </xf>
    <xf numFmtId="43" fontId="0" fillId="0" borderId="13" xfId="1" applyFont="1" applyBorder="1" applyAlignment="1">
      <alignment horizontal="centerContinuous" vertical="center"/>
    </xf>
    <xf numFmtId="166" fontId="0" fillId="2" borderId="17" xfId="0" applyNumberFormat="1" applyFill="1" applyBorder="1" applyAlignment="1">
      <alignment horizontal="centerContinuous" vertical="center"/>
    </xf>
    <xf numFmtId="166" fontId="0" fillId="0" borderId="18" xfId="0" applyNumberFormat="1" applyBorder="1" applyAlignment="1">
      <alignment horizontal="centerContinuous" vertical="center"/>
    </xf>
    <xf numFmtId="169" fontId="0" fillId="0" borderId="18" xfId="0" applyNumberFormat="1" applyBorder="1" applyAlignment="1">
      <alignment horizontal="center" vertical="center"/>
    </xf>
    <xf numFmtId="43" fontId="0" fillId="0" borderId="18" xfId="1" applyFont="1" applyBorder="1" applyAlignment="1">
      <alignment horizontal="left" vertical="center"/>
    </xf>
    <xf numFmtId="166" fontId="0" fillId="0" borderId="5" xfId="0" applyNumberFormat="1" applyBorder="1" applyAlignment="1">
      <alignment horizontal="centerContinuous" vertical="center"/>
    </xf>
    <xf numFmtId="169" fontId="0" fillId="0" borderId="5" xfId="0" applyNumberFormat="1" applyBorder="1" applyAlignment="1">
      <alignment horizontal="center" vertical="center"/>
    </xf>
    <xf numFmtId="43" fontId="0" fillId="0" borderId="5" xfId="1" applyFont="1" applyBorder="1" applyAlignment="1">
      <alignment horizontal="left" vertical="center"/>
    </xf>
    <xf numFmtId="169" fontId="0" fillId="0" borderId="6" xfId="0" applyNumberFormat="1" applyBorder="1" applyAlignment="1">
      <alignment horizontal="center" vertical="center"/>
    </xf>
    <xf numFmtId="43" fontId="0" fillId="0" borderId="6" xfId="1" applyFont="1" applyBorder="1" applyAlignment="1">
      <alignment horizontal="left" vertical="center"/>
    </xf>
    <xf numFmtId="9" fontId="0" fillId="0" borderId="18" xfId="2" applyFont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0" fontId="0" fillId="0" borderId="21" xfId="0" quotePrefix="1" applyBorder="1" applyAlignment="1">
      <alignment horizontal="centerContinuous" vertical="center"/>
    </xf>
    <xf numFmtId="166" fontId="0" fillId="0" borderId="21" xfId="0" applyNumberFormat="1" applyBorder="1" applyAlignment="1">
      <alignment horizontal="centerContinuous" vertical="center"/>
    </xf>
    <xf numFmtId="169" fontId="0" fillId="0" borderId="21" xfId="0" applyNumberFormat="1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43" fontId="0" fillId="0" borderId="21" xfId="1" applyFont="1" applyBorder="1" applyAlignment="1">
      <alignment horizontal="left" vertical="center"/>
    </xf>
    <xf numFmtId="167" fontId="0" fillId="0" borderId="21" xfId="2" applyNumberFormat="1" applyFont="1" applyBorder="1" applyAlignment="1">
      <alignment horizontal="right" vertical="center" indent="1"/>
    </xf>
    <xf numFmtId="168" fontId="0" fillId="0" borderId="21" xfId="1" applyNumberFormat="1" applyFont="1" applyBorder="1" applyAlignment="1">
      <alignment vertical="center"/>
    </xf>
    <xf numFmtId="0" fontId="3" fillId="2" borderId="22" xfId="0" applyFont="1" applyFill="1" applyBorder="1" applyAlignment="1">
      <alignment horizontal="centerContinuous" vertical="center"/>
    </xf>
    <xf numFmtId="0" fontId="3" fillId="2" borderId="23" xfId="0" applyFont="1" applyFill="1" applyBorder="1" applyAlignment="1">
      <alignment horizontal="centerContinuous" vertical="center" wrapText="1"/>
    </xf>
    <xf numFmtId="0" fontId="3" fillId="2" borderId="24" xfId="0" applyFont="1" applyFill="1" applyBorder="1" applyAlignment="1">
      <alignment horizontal="centerContinuous" vertical="center"/>
    </xf>
    <xf numFmtId="43" fontId="0" fillId="0" borderId="25" xfId="1" applyFont="1" applyBorder="1" applyAlignment="1">
      <alignment horizontal="centerContinuous" vertical="center"/>
    </xf>
    <xf numFmtId="168" fontId="0" fillId="0" borderId="18" xfId="1" applyNumberFormat="1" applyFont="1" applyBorder="1" applyAlignment="1">
      <alignment horizontal="right" vertical="center" indent="1"/>
    </xf>
    <xf numFmtId="43" fontId="0" fillId="0" borderId="9" xfId="1" applyFont="1" applyBorder="1" applyAlignment="1">
      <alignment horizontal="centerContinuous" vertical="center"/>
    </xf>
    <xf numFmtId="168" fontId="0" fillId="0" borderId="5" xfId="1" applyNumberFormat="1" applyFont="1" applyBorder="1" applyAlignment="1">
      <alignment horizontal="right" vertical="center" indent="1"/>
    </xf>
    <xf numFmtId="43" fontId="0" fillId="0" borderId="12" xfId="1" applyFont="1" applyBorder="1" applyAlignment="1">
      <alignment horizontal="centerContinuous" vertical="center"/>
    </xf>
    <xf numFmtId="168" fontId="0" fillId="0" borderId="6" xfId="1" applyNumberFormat="1" applyFont="1" applyBorder="1" applyAlignment="1">
      <alignment horizontal="right" vertical="center" indent="1"/>
    </xf>
    <xf numFmtId="0" fontId="3" fillId="2" borderId="17" xfId="0" applyFont="1" applyFill="1" applyBorder="1" applyAlignment="1">
      <alignment horizontal="centerContinuous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Continuous" vertical="center"/>
    </xf>
    <xf numFmtId="166" fontId="0" fillId="0" borderId="1" xfId="0" applyNumberFormat="1" applyBorder="1" applyAlignment="1">
      <alignment horizontal="centerContinuous" vertical="center"/>
    </xf>
    <xf numFmtId="0" fontId="0" fillId="0" borderId="2" xfId="0" applyBorder="1" applyAlignment="1">
      <alignment horizontal="center" vertical="center"/>
    </xf>
    <xf numFmtId="167" fontId="0" fillId="0" borderId="1" xfId="2" applyNumberFormat="1" applyFont="1" applyBorder="1" applyAlignment="1">
      <alignment horizontal="right" vertical="center" indent="1"/>
    </xf>
    <xf numFmtId="0" fontId="0" fillId="0" borderId="26" xfId="0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0" fontId="0" fillId="0" borderId="26" xfId="0" quotePrefix="1" applyBorder="1" applyAlignment="1">
      <alignment horizontal="centerContinuous" vertical="center"/>
    </xf>
    <xf numFmtId="166" fontId="0" fillId="0" borderId="26" xfId="0" applyNumberFormat="1" applyBorder="1" applyAlignment="1">
      <alignment horizontal="centerContinuous" vertical="center"/>
    </xf>
    <xf numFmtId="0" fontId="0" fillId="0" borderId="27" xfId="0" applyBorder="1" applyAlignment="1">
      <alignment horizontal="center" vertical="center"/>
    </xf>
    <xf numFmtId="43" fontId="0" fillId="0" borderId="28" xfId="1" applyFont="1" applyBorder="1" applyAlignment="1">
      <alignment horizontal="left" vertical="center"/>
    </xf>
    <xf numFmtId="167" fontId="0" fillId="0" borderId="26" xfId="2" applyNumberFormat="1" applyFont="1" applyBorder="1" applyAlignment="1">
      <alignment horizontal="right" vertical="center" indent="1"/>
    </xf>
    <xf numFmtId="168" fontId="0" fillId="0" borderId="26" xfId="1" applyNumberFormat="1" applyFont="1" applyBorder="1" applyAlignment="1">
      <alignment vertical="center"/>
    </xf>
    <xf numFmtId="167" fontId="0" fillId="0" borderId="18" xfId="2" applyNumberFormat="1" applyFont="1" applyFill="1" applyBorder="1" applyAlignment="1">
      <alignment horizontal="right" vertical="center" indent="1"/>
    </xf>
    <xf numFmtId="167" fontId="0" fillId="0" borderId="5" xfId="2" applyNumberFormat="1" applyFont="1" applyFill="1" applyBorder="1" applyAlignment="1">
      <alignment horizontal="right" vertical="center" indent="1"/>
    </xf>
    <xf numFmtId="9" fontId="0" fillId="0" borderId="6" xfId="2" applyFont="1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right" vertical="center" indent="1"/>
    </xf>
    <xf numFmtId="0" fontId="3" fillId="2" borderId="24" xfId="0" applyFont="1" applyFill="1" applyBorder="1" applyAlignment="1">
      <alignment horizontal="centerContinuous" vertical="center" wrapText="1"/>
    </xf>
    <xf numFmtId="0" fontId="3" fillId="2" borderId="24" xfId="0" applyFont="1" applyFill="1" applyBorder="1" applyAlignment="1">
      <alignment horizontal="center" vertical="center" wrapText="1"/>
    </xf>
    <xf numFmtId="168" fontId="0" fillId="0" borderId="18" xfId="1" applyNumberFormat="1" applyFont="1" applyBorder="1" applyAlignment="1">
      <alignment horizontal="centerContinuous" vertical="center"/>
    </xf>
    <xf numFmtId="167" fontId="0" fillId="0" borderId="20" xfId="2" applyNumberFormat="1" applyFont="1" applyBorder="1" applyAlignment="1">
      <alignment horizontal="right" vertical="center" indent="1"/>
    </xf>
    <xf numFmtId="168" fontId="0" fillId="0" borderId="5" xfId="1" applyNumberFormat="1" applyFont="1" applyBorder="1" applyAlignment="1">
      <alignment horizontal="centerContinuous" vertical="center"/>
    </xf>
    <xf numFmtId="167" fontId="0" fillId="0" borderId="10" xfId="2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horizontal="centerContinuous" vertical="center"/>
    </xf>
    <xf numFmtId="0" fontId="0" fillId="0" borderId="1" xfId="1" applyNumberFormat="1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43" fontId="0" fillId="0" borderId="10" xfId="1" applyFont="1" applyFill="1" applyBorder="1" applyAlignment="1">
      <alignment horizontal="centerContinuous" vertical="center"/>
    </xf>
    <xf numFmtId="168" fontId="0" fillId="0" borderId="5" xfId="1" applyNumberFormat="1" applyFont="1" applyFill="1" applyBorder="1" applyAlignment="1">
      <alignment vertical="center"/>
    </xf>
    <xf numFmtId="9" fontId="0" fillId="0" borderId="5" xfId="2" applyFont="1" applyFill="1" applyBorder="1" applyAlignment="1">
      <alignment horizontal="center" vertical="center"/>
    </xf>
    <xf numFmtId="2" fontId="0" fillId="0" borderId="14" xfId="0" applyNumberFormat="1" applyBorder="1" applyAlignment="1">
      <alignment horizontal="centerContinuous" vertical="center"/>
    </xf>
    <xf numFmtId="14" fontId="0" fillId="0" borderId="0" xfId="0" applyNumberForma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0" fillId="0" borderId="8" xfId="0" quotePrefix="1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 wrapText="1"/>
    </xf>
    <xf numFmtId="0" fontId="0" fillId="0" borderId="25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/>
    </xf>
    <xf numFmtId="0" fontId="0" fillId="0" borderId="16" xfId="0" quotePrefix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FCC145A-F961-4CA5-BEBA-F5A04E425F82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0.xlsx" TargetMode="External"/><Relationship Id="rId2" Type="http://schemas.openxmlformats.org/officeDocument/2006/relationships/externalLinkPath" Target="file:///C:\Users\rbasak\Desktop\50.xlsx" TargetMode="External"/><Relationship Id="rId1" Type="http://schemas.openxmlformats.org/officeDocument/2006/relationships/externalLinkPath" Target="/Users/rbasak/Desktop/5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00-&#350;ubat%202026/___KHU_Hakedi&#351;_03.xlsx" TargetMode="External"/><Relationship Id="rId2" Type="http://schemas.openxmlformats.org/officeDocument/2006/relationships/externalLinkPath" Target="file:///C:\Users\rbasak\Desktop\r00-&#350;ubat%202026\___KHU_Hakedi&#351;_03.xlsx" TargetMode="External"/><Relationship Id="rId1" Type="http://schemas.openxmlformats.org/officeDocument/2006/relationships/externalLinkPath" Target="/Users/rbasak/Desktop/r00-&#350;ubat%202026/___KHU_Hakedi&#351;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Kapak"/>
      <sheetName val="İcmal"/>
      <sheetName val="NT Ksnt Tkp (Çıktı Alınmayacak)"/>
      <sheetName val="EFF Ksnt Tkp(Çıktı Alınmayacak)"/>
      <sheetName val="İşçi Alacak"/>
      <sheetName val="İlan"/>
      <sheetName val="Teminat Mektupları"/>
      <sheetName val="Teminat Mektupları (FF)"/>
      <sheetName val="Fiyat Farkı İcmal"/>
      <sheetName val="Fiyat Farkı İcmal (2)"/>
      <sheetName val="FF"/>
      <sheetName val="FF 2502"/>
      <sheetName val="FF 2503"/>
      <sheetName val="Y.İ. KAPAK"/>
      <sheetName val="Yapılan İşler Dönemsel"/>
      <sheetName val="Yapılan İşler İcmali"/>
      <sheetName val="Y.D.KAPAK İLK"/>
      <sheetName val="Yeşil Defter Kapa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5</v>
          </cell>
        </row>
        <row r="22">
          <cell r="C22">
            <v>46112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A30" sqref="A30"/>
    </sheetView>
  </sheetViews>
  <sheetFormatPr defaultRowHeight="15" customHeight="1" x14ac:dyDescent="0.3"/>
  <cols>
    <col min="1" max="10" width="12.6640625" customWidth="1"/>
  </cols>
  <sheetData>
    <row r="5" spans="1:10" s="2" customFormat="1" ht="29.4" x14ac:dyDescent="0.55000000000000004">
      <c r="A5" s="221" t="s">
        <v>0</v>
      </c>
      <c r="B5" s="221"/>
      <c r="C5" s="221"/>
      <c r="D5" s="221"/>
      <c r="E5" s="221"/>
      <c r="F5" s="221"/>
      <c r="G5" s="221"/>
      <c r="H5" s="221"/>
      <c r="I5" s="221"/>
      <c r="J5" s="221"/>
    </row>
    <row r="6" spans="1:10" s="2" customFormat="1" ht="29.4" x14ac:dyDescent="0.55000000000000004">
      <c r="A6" s="221" t="s">
        <v>1</v>
      </c>
      <c r="B6" s="221"/>
      <c r="C6" s="221"/>
      <c r="D6" s="221"/>
      <c r="E6" s="221"/>
      <c r="F6" s="221"/>
      <c r="G6" s="221"/>
      <c r="H6" s="221"/>
      <c r="I6" s="221"/>
      <c r="J6" s="221"/>
    </row>
    <row r="7" spans="1:10" s="2" customFormat="1" ht="29.4" customHeight="1" x14ac:dyDescent="0.35">
      <c r="A7" s="220" t="s">
        <v>1035</v>
      </c>
      <c r="B7" s="220"/>
      <c r="C7" s="220"/>
      <c r="D7" s="220"/>
      <c r="E7" s="220"/>
      <c r="F7" s="220"/>
      <c r="G7" s="220"/>
      <c r="H7" s="220"/>
      <c r="I7" s="220"/>
      <c r="J7" s="220"/>
    </row>
    <row r="8" spans="1:10" s="2" customFormat="1" ht="29.4" customHeight="1" x14ac:dyDescent="0.35">
      <c r="A8" s="220"/>
      <c r="B8" s="220"/>
      <c r="C8" s="220"/>
      <c r="D8" s="220"/>
      <c r="E8" s="220"/>
      <c r="F8" s="220"/>
      <c r="G8" s="220"/>
      <c r="H8" s="220"/>
      <c r="I8" s="220"/>
      <c r="J8" s="220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200000000000003" customHeight="1" x14ac:dyDescent="0.35">
      <c r="A12" s="220" t="s">
        <v>2</v>
      </c>
      <c r="B12" s="220"/>
      <c r="C12" s="220"/>
      <c r="D12" s="220"/>
      <c r="E12" s="220"/>
      <c r="F12" s="220"/>
      <c r="G12" s="220"/>
      <c r="H12" s="220"/>
      <c r="I12" s="220"/>
      <c r="J12" s="220"/>
    </row>
    <row r="13" spans="1:10" s="1" customFormat="1" ht="22.95" customHeight="1" x14ac:dyDescent="0.3">
      <c r="A13" s="220"/>
      <c r="B13" s="220"/>
      <c r="C13" s="220"/>
      <c r="D13" s="220"/>
      <c r="E13" s="220"/>
      <c r="F13" s="220"/>
      <c r="G13" s="220"/>
      <c r="H13" s="220"/>
      <c r="I13" s="220"/>
      <c r="J13" s="220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222">
        <f>+İcmal!C15</f>
        <v>5</v>
      </c>
      <c r="B24" s="222"/>
      <c r="C24" s="222"/>
      <c r="D24" s="222"/>
      <c r="E24" s="222"/>
      <c r="F24" s="222"/>
      <c r="G24" s="222"/>
      <c r="H24" s="222"/>
      <c r="I24" s="222"/>
      <c r="J24" s="222"/>
    </row>
    <row r="28" spans="1:10" ht="15" customHeight="1" x14ac:dyDescent="0.3">
      <c r="A28" s="219" t="s">
        <v>1061</v>
      </c>
      <c r="B28" s="219"/>
      <c r="C28" s="219"/>
      <c r="D28" s="219"/>
      <c r="E28" s="219"/>
      <c r="F28" s="219"/>
      <c r="G28" s="219"/>
      <c r="H28" s="219"/>
      <c r="I28" s="219"/>
      <c r="J28" s="219"/>
    </row>
    <row r="29" spans="1:10" ht="15" customHeight="1" x14ac:dyDescent="0.3">
      <c r="A29" s="219"/>
      <c r="B29" s="219"/>
      <c r="C29" s="219"/>
      <c r="D29" s="219"/>
      <c r="E29" s="219"/>
      <c r="F29" s="219"/>
      <c r="G29" s="219"/>
      <c r="H29" s="219"/>
      <c r="I29" s="219"/>
      <c r="J29" s="219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219" t="s">
        <v>3</v>
      </c>
      <c r="B33" s="219"/>
      <c r="C33" s="219"/>
      <c r="D33" s="219"/>
      <c r="E33" s="219"/>
      <c r="F33" s="219"/>
      <c r="G33" s="219"/>
      <c r="H33" s="219"/>
      <c r="I33" s="219"/>
      <c r="J33" s="219"/>
    </row>
    <row r="34" spans="1:10" ht="15" customHeight="1" x14ac:dyDescent="0.3">
      <c r="A34" s="219"/>
      <c r="B34" s="219"/>
      <c r="C34" s="219"/>
      <c r="D34" s="219"/>
      <c r="E34" s="219"/>
      <c r="F34" s="219"/>
      <c r="G34" s="219"/>
      <c r="H34" s="219"/>
      <c r="I34" s="219"/>
      <c r="J34" s="219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>
    <tabColor rgb="FF00B050"/>
    <pageSetUpPr fitToPage="1"/>
  </sheetPr>
  <dimension ref="A1:AI72"/>
  <sheetViews>
    <sheetView view="pageBreakPreview" topLeftCell="B1" zoomScale="80" zoomScaleNormal="100" zoomScaleSheetLayoutView="80" workbookViewId="0">
      <selection activeCell="K20" sqref="K20:K49"/>
    </sheetView>
  </sheetViews>
  <sheetFormatPr defaultColWidth="8.88671875" defaultRowHeight="15" customHeight="1" x14ac:dyDescent="0.3"/>
  <cols>
    <col min="1" max="1" width="5.6640625" style="9" hidden="1" customWidth="1"/>
    <col min="2" max="10" width="13.33203125" style="9" customWidth="1"/>
    <col min="11" max="11" width="21.6640625" style="9" bestFit="1" customWidth="1"/>
    <col min="12" max="12" width="17.6640625" style="9" bestFit="1" customWidth="1"/>
    <col min="13" max="13" width="22.44140625" style="9" bestFit="1" customWidth="1"/>
    <col min="14" max="14" width="5.6640625" style="9" hidden="1" customWidth="1"/>
    <col min="15" max="15" width="14.6640625" style="9" bestFit="1" customWidth="1"/>
    <col min="16" max="16" width="8.88671875" style="9"/>
    <col min="17" max="17" width="9.33203125" style="9" bestFit="1" customWidth="1"/>
    <col min="18" max="22" width="10.33203125" style="9" bestFit="1" customWidth="1"/>
    <col min="23" max="16384" width="8.88671875" style="9"/>
  </cols>
  <sheetData>
    <row r="1" spans="1:15" ht="15" customHeight="1" x14ac:dyDescent="0.3">
      <c r="O1" s="27">
        <f>+Liste!H485</f>
        <v>107120723.89400001</v>
      </c>
    </row>
    <row r="3" spans="1:15" s="186" customFormat="1" ht="15" customHeight="1" x14ac:dyDescent="0.3"/>
    <row r="4" spans="1:15" s="186" customFormat="1" ht="15" customHeight="1" x14ac:dyDescent="0.3"/>
    <row r="5" spans="1:15" s="186" customFormat="1" ht="15" customHeight="1" x14ac:dyDescent="0.3">
      <c r="A5" s="196" t="s">
        <v>0</v>
      </c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</row>
    <row r="6" spans="1:15" s="186" customFormat="1" ht="15" customHeight="1" x14ac:dyDescent="0.3">
      <c r="A6" s="196" t="s">
        <v>1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</row>
    <row r="7" spans="1:15" s="186" customFormat="1" ht="15" customHeight="1" x14ac:dyDescent="0.3">
      <c r="A7" s="196" t="s">
        <v>1035</v>
      </c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</row>
    <row r="8" spans="1:15" s="186" customFormat="1" ht="15" customHeight="1" x14ac:dyDescent="0.3">
      <c r="A8" s="185"/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</row>
    <row r="9" spans="1:15" s="186" customFormat="1" ht="15" customHeight="1" x14ac:dyDescent="0.3">
      <c r="A9" s="187"/>
    </row>
    <row r="10" spans="1:15" s="186" customFormat="1" ht="15" customHeight="1" x14ac:dyDescent="0.3">
      <c r="A10" s="196" t="s">
        <v>2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</row>
    <row r="11" spans="1:15" s="186" customFormat="1" ht="15" customHeight="1" x14ac:dyDescent="0.3">
      <c r="A11" s="187"/>
    </row>
    <row r="12" spans="1:15" s="186" customFormat="1" ht="15" customHeight="1" x14ac:dyDescent="0.3">
      <c r="A12" s="196" t="str">
        <f>+Kapak!A28</f>
        <v>Barbaros İstasyonu Hat - 2 Halkalı Yönü P1 Tüneli 1.Aşama</v>
      </c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</row>
    <row r="13" spans="1:15" s="186" customFormat="1" ht="15" customHeight="1" x14ac:dyDescent="0.3">
      <c r="A13" s="185"/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</row>
    <row r="14" spans="1:15" s="186" customFormat="1" ht="15" customHeight="1" x14ac:dyDescent="0.3"/>
    <row r="15" spans="1:15" ht="15" customHeight="1" x14ac:dyDescent="0.3">
      <c r="B15" s="13" t="s">
        <v>5</v>
      </c>
      <c r="C15" s="11">
        <f>+[3]Veri!$C$21</f>
        <v>5</v>
      </c>
      <c r="D15" s="11"/>
      <c r="E15" s="11"/>
    </row>
    <row r="16" spans="1:15" ht="15" customHeight="1" x14ac:dyDescent="0.3">
      <c r="B16" s="13" t="s">
        <v>6</v>
      </c>
      <c r="C16" s="12">
        <f>+[3]Veri!$C$22</f>
        <v>46112</v>
      </c>
      <c r="D16" s="10"/>
      <c r="E16" s="10"/>
    </row>
    <row r="17" spans="2:35" ht="15" customHeight="1" x14ac:dyDescent="0.3">
      <c r="B17" s="13"/>
      <c r="C17" s="12"/>
      <c r="D17" s="10"/>
      <c r="E17" s="10"/>
    </row>
    <row r="18" spans="2:35" ht="15" customHeight="1" x14ac:dyDescent="0.3">
      <c r="P18" s="19" t="s">
        <v>1037</v>
      </c>
      <c r="Q18" s="19" t="s">
        <v>1037</v>
      </c>
      <c r="R18" s="19" t="s">
        <v>1037</v>
      </c>
      <c r="S18" s="19" t="s">
        <v>1037</v>
      </c>
      <c r="T18" s="19" t="s">
        <v>1037</v>
      </c>
      <c r="U18" s="19" t="s">
        <v>1037</v>
      </c>
      <c r="V18" s="19" t="s">
        <v>1037</v>
      </c>
      <c r="W18" s="19" t="s">
        <v>1037</v>
      </c>
      <c r="X18" s="19" t="s">
        <v>1037</v>
      </c>
      <c r="Y18" s="19" t="s">
        <v>1037</v>
      </c>
      <c r="Z18" s="19" t="s">
        <v>1037</v>
      </c>
      <c r="AA18" s="19" t="s">
        <v>1037</v>
      </c>
      <c r="AB18" s="19" t="s">
        <v>1037</v>
      </c>
      <c r="AC18" s="19" t="s">
        <v>1037</v>
      </c>
      <c r="AD18" s="19" t="s">
        <v>1037</v>
      </c>
      <c r="AE18" s="19" t="s">
        <v>1037</v>
      </c>
      <c r="AF18" s="19" t="s">
        <v>1037</v>
      </c>
      <c r="AG18" s="19" t="s">
        <v>1037</v>
      </c>
      <c r="AH18" s="19" t="s">
        <v>1037</v>
      </c>
      <c r="AI18" s="19" t="s">
        <v>1037</v>
      </c>
    </row>
    <row r="19" spans="2:35" ht="30" customHeight="1" x14ac:dyDescent="0.3">
      <c r="B19" s="14" t="s">
        <v>7</v>
      </c>
      <c r="C19" s="226" t="s">
        <v>8</v>
      </c>
      <c r="D19" s="226"/>
      <c r="E19" s="226"/>
      <c r="F19" s="226"/>
      <c r="G19" s="226"/>
      <c r="H19" s="227"/>
      <c r="I19" s="44"/>
      <c r="J19" s="14" t="s">
        <v>9</v>
      </c>
      <c r="K19" s="15" t="s">
        <v>1077</v>
      </c>
      <c r="L19" s="15" t="s">
        <v>1078</v>
      </c>
      <c r="M19" s="15" t="s">
        <v>1079</v>
      </c>
      <c r="P19" s="20" t="s">
        <v>1038</v>
      </c>
      <c r="Q19" s="20" t="s">
        <v>1039</v>
      </c>
      <c r="R19" s="20" t="s">
        <v>1041</v>
      </c>
      <c r="S19" s="20" t="s">
        <v>1042</v>
      </c>
      <c r="T19" s="20" t="s">
        <v>1043</v>
      </c>
      <c r="U19" s="20" t="s">
        <v>1044</v>
      </c>
      <c r="V19" s="20" t="s">
        <v>1045</v>
      </c>
      <c r="W19" s="20" t="s">
        <v>1046</v>
      </c>
      <c r="X19" s="20" t="s">
        <v>1047</v>
      </c>
      <c r="Y19" s="20" t="s">
        <v>1048</v>
      </c>
      <c r="Z19" s="20" t="s">
        <v>1049</v>
      </c>
      <c r="AA19" s="20" t="s">
        <v>1050</v>
      </c>
      <c r="AB19" s="20" t="s">
        <v>1051</v>
      </c>
      <c r="AC19" s="20" t="s">
        <v>1052</v>
      </c>
      <c r="AD19" s="20" t="s">
        <v>1053</v>
      </c>
      <c r="AE19" s="20" t="s">
        <v>1054</v>
      </c>
      <c r="AF19" s="20" t="s">
        <v>1055</v>
      </c>
      <c r="AG19" s="20" t="s">
        <v>1056</v>
      </c>
      <c r="AH19" s="20" t="s">
        <v>1057</v>
      </c>
      <c r="AI19" s="20" t="s">
        <v>1058</v>
      </c>
    </row>
    <row r="20" spans="2:35" ht="30" customHeight="1" x14ac:dyDescent="0.3">
      <c r="B20" s="28" t="s">
        <v>120</v>
      </c>
      <c r="C20" s="223" t="str">
        <f>+VLOOKUP(B20,Liste!B:E,2,FALSE)</f>
        <v>Geleneksel (NATM) Tünel Kazısı</v>
      </c>
      <c r="D20" s="223"/>
      <c r="E20" s="223"/>
      <c r="F20" s="223"/>
      <c r="G20" s="223"/>
      <c r="H20" s="224"/>
      <c r="I20" s="45"/>
      <c r="J20" s="21" t="str">
        <f>+VLOOKUP(B20,Liste!B:E,3,FALSE)</f>
        <v>m³</v>
      </c>
      <c r="K20" s="86">
        <v>3641.1030000000001</v>
      </c>
      <c r="L20" s="86">
        <f>+M20-K20</f>
        <v>0</v>
      </c>
      <c r="M20" s="86">
        <f>+IFERROR(VLOOKUP(B20,Metraj!B:P,15,FALSE),"0")</f>
        <v>3641.1030000000001</v>
      </c>
      <c r="P20" s="96"/>
      <c r="Q20" s="86"/>
      <c r="R20" s="86"/>
      <c r="S20" s="86">
        <v>336.59400000000005</v>
      </c>
      <c r="T20" s="86">
        <v>849.98100000000011</v>
      </c>
      <c r="U20" s="86">
        <v>882.57399999999984</v>
      </c>
      <c r="V20" s="86">
        <v>910.48099999999988</v>
      </c>
      <c r="W20" s="86">
        <v>650.04599999999982</v>
      </c>
      <c r="X20" s="86">
        <v>11.427000000000135</v>
      </c>
      <c r="Y20" s="86">
        <v>0</v>
      </c>
      <c r="Z20" s="86">
        <v>0</v>
      </c>
      <c r="AA20" s="86">
        <f>+$M20-SUM($P20:Z20)</f>
        <v>0</v>
      </c>
      <c r="AB20" s="86">
        <f>+$M20-SUM($P20:AA20)</f>
        <v>0</v>
      </c>
      <c r="AC20" s="86">
        <f>+$M20-SUM($P20:AB20)</f>
        <v>0</v>
      </c>
      <c r="AD20" s="86">
        <f>+$M20-SUM($P20:AC20)</f>
        <v>0</v>
      </c>
      <c r="AE20" s="86">
        <f>+$M20-SUM($P20:AD20)</f>
        <v>0</v>
      </c>
      <c r="AF20" s="86">
        <f>+$M20-SUM($P20:AE20)</f>
        <v>0</v>
      </c>
      <c r="AG20" s="86">
        <f>+$M20-SUM($P20:AF20)</f>
        <v>0</v>
      </c>
      <c r="AH20" s="86">
        <f>+$M20-SUM($P20:AG20)</f>
        <v>0</v>
      </c>
      <c r="AI20" s="86">
        <f>+$M20-SUM($P20:AH20)</f>
        <v>0</v>
      </c>
    </row>
    <row r="21" spans="2:35" ht="30" customHeight="1" x14ac:dyDescent="0.3">
      <c r="B21" s="28" t="s">
        <v>122</v>
      </c>
      <c r="C21" s="223" t="str">
        <f>+VLOOKUP(B21,Liste!B:E,2,FALSE)</f>
        <v>Kazıdan çıkan veya Ariyetten alınan malzeme ile geri dolgu yapılması</v>
      </c>
      <c r="D21" s="223"/>
      <c r="E21" s="223"/>
      <c r="F21" s="223"/>
      <c r="G21" s="223"/>
      <c r="H21" s="224"/>
      <c r="I21" s="45"/>
      <c r="J21" s="21" t="str">
        <f>+VLOOKUP(B21,Liste!B:E,3,FALSE)</f>
        <v>m³</v>
      </c>
      <c r="K21" s="86" t="s">
        <v>1109</v>
      </c>
      <c r="L21" s="184" t="e">
        <f>+M21-K21</f>
        <v>#VALUE!</v>
      </c>
      <c r="M21" s="86" t="str">
        <f>+IFERROR(VLOOKUP(B21,Metraj!B:P,15,FALSE),"")</f>
        <v/>
      </c>
      <c r="P21" s="96"/>
      <c r="Q21" s="86"/>
      <c r="R21" s="86"/>
      <c r="W21" s="86">
        <v>0</v>
      </c>
      <c r="X21" s="86">
        <v>0</v>
      </c>
      <c r="Y21" s="86">
        <v>0</v>
      </c>
      <c r="Z21" s="86">
        <v>0</v>
      </c>
      <c r="AA21" s="86">
        <f>+IFERROR($M21-SUM($P21:Z21),0)</f>
        <v>0</v>
      </c>
      <c r="AB21" s="86">
        <f>+IFERROR($M21-SUM($P21:AA21),0)</f>
        <v>0</v>
      </c>
      <c r="AC21" s="86">
        <f>+IFERROR($M21-SUM($P21:AB21),0)</f>
        <v>0</v>
      </c>
      <c r="AD21" s="86">
        <f>+IFERROR($M21-SUM($P21:AC21),0)</f>
        <v>0</v>
      </c>
      <c r="AE21" s="86">
        <f>+IFERROR($M21-SUM($P21:AD21),0)</f>
        <v>0</v>
      </c>
      <c r="AF21" s="86">
        <f>+IFERROR($M21-SUM($P21:AE21),0)</f>
        <v>0</v>
      </c>
      <c r="AG21" s="86">
        <f>+IFERROR($M21-SUM($P21:AF21),0)</f>
        <v>0</v>
      </c>
      <c r="AH21" s="86">
        <f>+IFERROR($M21-SUM($P21:AG21),0)</f>
        <v>0</v>
      </c>
      <c r="AI21" s="86">
        <f>+IFERROR($M21-SUM($P21:AH21),0)</f>
        <v>0</v>
      </c>
    </row>
    <row r="22" spans="2:35" ht="30" customHeight="1" x14ac:dyDescent="0.3">
      <c r="B22" s="28" t="s">
        <v>124</v>
      </c>
      <c r="C22" s="223" t="str">
        <f>+VLOOKUP(B22,Liste!B:E,2,FALSE)</f>
        <v>Kum, Çakıl, Kırma Tas ve Benzeri Malzeme ile Dolgu Yapılması</v>
      </c>
      <c r="D22" s="223"/>
      <c r="E22" s="223"/>
      <c r="F22" s="223"/>
      <c r="G22" s="223"/>
      <c r="H22" s="224"/>
      <c r="I22" s="45"/>
      <c r="J22" s="21" t="str">
        <f>+VLOOKUP(B22,Liste!B:E,3,FALSE)</f>
        <v>m³</v>
      </c>
      <c r="K22" s="86" t="s">
        <v>1109</v>
      </c>
      <c r="L22" s="86" t="e">
        <f t="shared" ref="L22:L49" si="0">+M22-K22</f>
        <v>#VALUE!</v>
      </c>
      <c r="M22" s="86" t="str">
        <f>+IFERROR(VLOOKUP(B22,Metraj!B:P,15,FALSE),"")</f>
        <v/>
      </c>
      <c r="P22" s="96"/>
      <c r="Q22" s="86"/>
      <c r="R22" s="86"/>
      <c r="S22" s="86"/>
      <c r="T22" s="86"/>
      <c r="U22" s="86"/>
      <c r="V22" s="86"/>
      <c r="W22" s="86">
        <v>0</v>
      </c>
      <c r="X22" s="86">
        <v>0</v>
      </c>
      <c r="Y22" s="86">
        <v>0</v>
      </c>
      <c r="Z22" s="86">
        <v>0</v>
      </c>
      <c r="AA22" s="86">
        <f>+IFERROR($M22-SUM($P22:Z22),0)</f>
        <v>0</v>
      </c>
      <c r="AB22" s="86">
        <f>+IFERROR($M22-SUM($P22:AA22),0)</f>
        <v>0</v>
      </c>
      <c r="AC22" s="86">
        <f>+IFERROR($M22-SUM($P22:AB22),0)</f>
        <v>0</v>
      </c>
      <c r="AD22" s="86">
        <f>+IFERROR($M22-SUM($P22:AC22),0)</f>
        <v>0</v>
      </c>
      <c r="AE22" s="86">
        <f>+IFERROR($M22-SUM($P22:AD22),0)</f>
        <v>0</v>
      </c>
      <c r="AF22" s="86">
        <f>+IFERROR($M22-SUM($P22:AE22),0)</f>
        <v>0</v>
      </c>
      <c r="AG22" s="86">
        <f>+IFERROR($M22-SUM($P22:AF22),0)</f>
        <v>0</v>
      </c>
      <c r="AH22" s="86">
        <f>+IFERROR($M22-SUM($P22:AG22),0)</f>
        <v>0</v>
      </c>
      <c r="AI22" s="86">
        <f>+IFERROR($M22-SUM($P22:AH22),0)</f>
        <v>0</v>
      </c>
    </row>
    <row r="23" spans="2:35" ht="30" customHeight="1" x14ac:dyDescent="0.3">
      <c r="B23" s="28" t="s">
        <v>125</v>
      </c>
      <c r="C23" s="223" t="str">
        <f>+VLOOKUP(B23,Liste!B:E,2,FALSE)</f>
        <v>Püskürtme Beton (Tünel ve Şaftlarda)</v>
      </c>
      <c r="D23" s="223"/>
      <c r="E23" s="223"/>
      <c r="F23" s="223"/>
      <c r="G23" s="223"/>
      <c r="H23" s="224"/>
      <c r="I23" s="45"/>
      <c r="J23" s="21" t="str">
        <f>+VLOOKUP(B23,Liste!B:E,3,FALSE)</f>
        <v>m³</v>
      </c>
      <c r="K23" s="86">
        <v>868.58399999999995</v>
      </c>
      <c r="L23" s="86">
        <f t="shared" si="0"/>
        <v>0</v>
      </c>
      <c r="M23" s="86">
        <f>+IFERROR(VLOOKUP(B23,Metraj!B:P,15,FALSE),"0")</f>
        <v>868.58399999999995</v>
      </c>
      <c r="P23" s="96"/>
      <c r="Q23" s="86"/>
      <c r="R23" s="86"/>
      <c r="S23" s="86">
        <v>67.432999999999993</v>
      </c>
      <c r="T23" s="86">
        <v>200.43900000000002</v>
      </c>
      <c r="U23" s="86">
        <v>192.71600000000001</v>
      </c>
      <c r="V23" s="86">
        <v>206.15199999999999</v>
      </c>
      <c r="W23" s="86">
        <v>147.43899999999996</v>
      </c>
      <c r="X23" s="86">
        <v>11.942999999999984</v>
      </c>
      <c r="Y23" s="86">
        <v>0</v>
      </c>
      <c r="Z23" s="86">
        <v>42.461999999999989</v>
      </c>
      <c r="AA23" s="86">
        <f>+$M23-SUM($P23:Z23)</f>
        <v>0</v>
      </c>
      <c r="AB23" s="86">
        <f>+$M23-SUM($P23:AA23)</f>
        <v>0</v>
      </c>
      <c r="AC23" s="86">
        <f>+$M23-SUM($P23:AB23)</f>
        <v>0</v>
      </c>
      <c r="AD23" s="86">
        <f>+$M23-SUM($P23:AC23)</f>
        <v>0</v>
      </c>
      <c r="AE23" s="86">
        <f>+$M23-SUM($P23:AD23)</f>
        <v>0</v>
      </c>
      <c r="AF23" s="86">
        <f>+$M23-SUM($P23:AE23)</f>
        <v>0</v>
      </c>
      <c r="AG23" s="86">
        <f>+$M23-SUM($P23:AF23)</f>
        <v>0</v>
      </c>
      <c r="AH23" s="86">
        <f>+$M23-SUM($P23:AG23)</f>
        <v>0</v>
      </c>
      <c r="AI23" s="86">
        <f>+$M23-SUM($P23:AH23)</f>
        <v>0</v>
      </c>
    </row>
    <row r="24" spans="2:35" ht="30" customHeight="1" x14ac:dyDescent="0.3">
      <c r="B24" s="28" t="s">
        <v>127</v>
      </c>
      <c r="C24" s="223" t="str">
        <f>+VLOOKUP(B24,Liste!B:E,2,FALSE)</f>
        <v>Delgi boyu =&lt; 30m</v>
      </c>
      <c r="D24" s="223"/>
      <c r="E24" s="223"/>
      <c r="F24" s="223"/>
      <c r="G24" s="223"/>
      <c r="H24" s="224"/>
      <c r="I24" s="45"/>
      <c r="J24" s="21" t="str">
        <f>+VLOOKUP(B24,Liste!B:E,3,FALSE)</f>
        <v>m</v>
      </c>
      <c r="K24" s="86" t="s">
        <v>1109</v>
      </c>
      <c r="L24" s="86" t="e">
        <f t="shared" si="0"/>
        <v>#VALUE!</v>
      </c>
      <c r="M24" s="86" t="str">
        <f>+IFERROR(VLOOKUP(B24,Metraj!B:P,15,FALSE),"")</f>
        <v/>
      </c>
      <c r="P24" s="96"/>
      <c r="Q24" s="86"/>
      <c r="R24" s="86"/>
      <c r="S24" s="86"/>
      <c r="T24" s="86"/>
      <c r="U24" s="86"/>
      <c r="V24" s="86"/>
      <c r="W24" s="86">
        <v>0</v>
      </c>
      <c r="X24" s="86">
        <v>0</v>
      </c>
      <c r="Y24" s="86">
        <v>0</v>
      </c>
      <c r="Z24" s="86">
        <v>0</v>
      </c>
      <c r="AA24" s="86">
        <f>+IFERROR($M24-SUM($P24:Z24),0)</f>
        <v>0</v>
      </c>
      <c r="AB24" s="86">
        <f>+IFERROR($M24-SUM($P24:AA24),0)</f>
        <v>0</v>
      </c>
      <c r="AC24" s="86">
        <f>+IFERROR($M24-SUM($P24:AB24),0)</f>
        <v>0</v>
      </c>
      <c r="AD24" s="86">
        <f>+IFERROR($M24-SUM($P24:AC24),0)</f>
        <v>0</v>
      </c>
      <c r="AE24" s="86">
        <f>+IFERROR($M24-SUM($P24:AD24),0)</f>
        <v>0</v>
      </c>
      <c r="AF24" s="86">
        <f>+IFERROR($M24-SUM($P24:AE24),0)</f>
        <v>0</v>
      </c>
      <c r="AG24" s="86">
        <f>+IFERROR($M24-SUM($P24:AF24),0)</f>
        <v>0</v>
      </c>
      <c r="AH24" s="86">
        <f>+IFERROR($M24-SUM($P24:AG24),0)</f>
        <v>0</v>
      </c>
      <c r="AI24" s="86">
        <f>+IFERROR($M24-SUM($P24:AH24),0)</f>
        <v>0</v>
      </c>
    </row>
    <row r="25" spans="2:35" ht="30" customHeight="1" x14ac:dyDescent="0.3">
      <c r="B25" s="28" t="s">
        <v>129</v>
      </c>
      <c r="C25" s="223" t="str">
        <f>+VLOOKUP(B25,Liste!B:E,2,FALSE)</f>
        <v>Delgi boyu &gt; 30m</v>
      </c>
      <c r="D25" s="223"/>
      <c r="E25" s="223"/>
      <c r="F25" s="223"/>
      <c r="G25" s="223"/>
      <c r="H25" s="224"/>
      <c r="I25" s="45"/>
      <c r="J25" s="21" t="str">
        <f>+VLOOKUP(B25,Liste!B:E,3,FALSE)</f>
        <v>m</v>
      </c>
      <c r="K25" s="86" t="s">
        <v>1109</v>
      </c>
      <c r="L25" s="86" t="e">
        <f t="shared" si="0"/>
        <v>#VALUE!</v>
      </c>
      <c r="M25" s="86" t="str">
        <f>+IFERROR(VLOOKUP(B25,Metraj!B:P,15,FALSE),"")</f>
        <v/>
      </c>
      <c r="P25" s="96"/>
      <c r="Q25" s="86"/>
      <c r="R25" s="86"/>
      <c r="S25" s="86"/>
      <c r="T25" s="86"/>
      <c r="U25" s="86"/>
      <c r="V25" s="86"/>
      <c r="W25" s="86">
        <v>0</v>
      </c>
      <c r="X25" s="86">
        <v>0</v>
      </c>
      <c r="Y25" s="86">
        <v>0</v>
      </c>
      <c r="Z25" s="86">
        <v>0</v>
      </c>
      <c r="AA25" s="86">
        <f>+IFERROR($M25-SUM($P25:Z25),0)</f>
        <v>0</v>
      </c>
      <c r="AB25" s="86">
        <f>+IFERROR($M25-SUM($P25:AA25),0)</f>
        <v>0</v>
      </c>
      <c r="AC25" s="86">
        <f>+IFERROR($M25-SUM($P25:AB25),0)</f>
        <v>0</v>
      </c>
      <c r="AD25" s="86">
        <f>+IFERROR($M25-SUM($P25:AC25),0)</f>
        <v>0</v>
      </c>
      <c r="AE25" s="86">
        <f>+IFERROR($M25-SUM($P25:AD25),0)</f>
        <v>0</v>
      </c>
      <c r="AF25" s="86">
        <f>+IFERROR($M25-SUM($P25:AE25),0)</f>
        <v>0</v>
      </c>
      <c r="AG25" s="86">
        <f>+IFERROR($M25-SUM($P25:AF25),0)</f>
        <v>0</v>
      </c>
      <c r="AH25" s="86">
        <f>+IFERROR($M25-SUM($P25:AG25),0)</f>
        <v>0</v>
      </c>
      <c r="AI25" s="86">
        <f>+IFERROR($M25-SUM($P25:AH25),0)</f>
        <v>0</v>
      </c>
    </row>
    <row r="26" spans="2:35" ht="30" customHeight="1" x14ac:dyDescent="0.3">
      <c r="B26" s="28" t="s">
        <v>131</v>
      </c>
      <c r="C26" s="223" t="str">
        <f>+VLOOKUP(B26,Liste!B:E,2,FALSE)</f>
        <v>L=3 m Kaya Bulonu</v>
      </c>
      <c r="D26" s="223"/>
      <c r="E26" s="223"/>
      <c r="F26" s="223"/>
      <c r="G26" s="223"/>
      <c r="H26" s="224"/>
      <c r="I26" s="45"/>
      <c r="J26" s="21" t="str">
        <f>+VLOOKUP(B26,Liste!B:E,3,FALSE)</f>
        <v>adet</v>
      </c>
      <c r="K26" s="86" t="s">
        <v>1109</v>
      </c>
      <c r="L26" s="86" t="e">
        <f t="shared" si="0"/>
        <v>#VALUE!</v>
      </c>
      <c r="M26" s="86" t="str">
        <f>+IFERROR(VLOOKUP(B26,Metraj!B:P,15,FALSE),"")</f>
        <v/>
      </c>
      <c r="P26" s="96"/>
      <c r="Q26" s="86"/>
      <c r="R26" s="86"/>
      <c r="S26" s="86"/>
      <c r="T26" s="86"/>
      <c r="U26" s="86"/>
      <c r="V26" s="86"/>
      <c r="W26" s="86">
        <v>0</v>
      </c>
      <c r="X26" s="86">
        <v>0</v>
      </c>
      <c r="Y26" s="86">
        <v>0</v>
      </c>
      <c r="Z26" s="86">
        <v>0</v>
      </c>
      <c r="AA26" s="86">
        <f>+IFERROR($M26-SUM($P26:Z26),0)</f>
        <v>0</v>
      </c>
      <c r="AB26" s="86">
        <f>+IFERROR($M26-SUM($P26:AA26),0)</f>
        <v>0</v>
      </c>
      <c r="AC26" s="86">
        <f>+IFERROR($M26-SUM($P26:AB26),0)</f>
        <v>0</v>
      </c>
      <c r="AD26" s="86">
        <f>+IFERROR($M26-SUM($P26:AC26),0)</f>
        <v>0</v>
      </c>
      <c r="AE26" s="86">
        <f>+IFERROR($M26-SUM($P26:AD26),0)</f>
        <v>0</v>
      </c>
      <c r="AF26" s="86">
        <f>+IFERROR($M26-SUM($P26:AE26),0)</f>
        <v>0</v>
      </c>
      <c r="AG26" s="86">
        <f>+IFERROR($M26-SUM($P26:AF26),0)</f>
        <v>0</v>
      </c>
      <c r="AH26" s="86">
        <f>+IFERROR($M26-SUM($P26:AG26),0)</f>
        <v>0</v>
      </c>
      <c r="AI26" s="86">
        <f>+IFERROR($M26-SUM($P26:AH26),0)</f>
        <v>0</v>
      </c>
    </row>
    <row r="27" spans="2:35" ht="30" customHeight="1" x14ac:dyDescent="0.3">
      <c r="B27" s="28" t="s">
        <v>132</v>
      </c>
      <c r="C27" s="223" t="str">
        <f>+VLOOKUP(B27,Liste!B:E,2,FALSE)</f>
        <v>L=4 m Kaya Bulonu</v>
      </c>
      <c r="D27" s="223"/>
      <c r="E27" s="223"/>
      <c r="F27" s="223"/>
      <c r="G27" s="223"/>
      <c r="H27" s="224"/>
      <c r="I27" s="45"/>
      <c r="J27" s="21" t="str">
        <f>+VLOOKUP(B27,Liste!B:E,3,FALSE)</f>
        <v>adet</v>
      </c>
      <c r="K27" s="86">
        <v>486</v>
      </c>
      <c r="L27" s="86">
        <f t="shared" si="0"/>
        <v>0</v>
      </c>
      <c r="M27" s="86">
        <f>+IFERROR(VLOOKUP(B27,Metraj!B:P,15,FALSE),"0")</f>
        <v>486</v>
      </c>
      <c r="P27" s="96"/>
      <c r="Q27" s="86"/>
      <c r="R27" s="86"/>
      <c r="T27" s="86">
        <v>122</v>
      </c>
      <c r="U27" s="86">
        <v>139</v>
      </c>
      <c r="V27" s="86">
        <v>86</v>
      </c>
      <c r="W27" s="86">
        <v>139</v>
      </c>
      <c r="X27" s="86">
        <v>0</v>
      </c>
      <c r="Y27" s="86">
        <v>0</v>
      </c>
      <c r="Z27" s="86">
        <v>0</v>
      </c>
      <c r="AA27" s="86">
        <f>+$M27-SUM($P27:Z27)</f>
        <v>0</v>
      </c>
      <c r="AB27" s="86">
        <f>+$M27-SUM($P27:AA27)</f>
        <v>0</v>
      </c>
      <c r="AC27" s="86">
        <f>+$M27-SUM($P27:AB27)</f>
        <v>0</v>
      </c>
      <c r="AD27" s="86">
        <f>+$M27-SUM($P27:AC27)</f>
        <v>0</v>
      </c>
      <c r="AE27" s="86">
        <f>+$M27-SUM($P27:AD27)</f>
        <v>0</v>
      </c>
      <c r="AF27" s="86">
        <f>+$M27-SUM($P27:AE27)</f>
        <v>0</v>
      </c>
      <c r="AG27" s="86">
        <f>+$M27-SUM($P27:AF27)</f>
        <v>0</v>
      </c>
      <c r="AH27" s="86">
        <f>+$M27-SUM($P27:AG27)</f>
        <v>0</v>
      </c>
      <c r="AI27" s="86">
        <f>+$M27-SUM($P27:AH27)</f>
        <v>0</v>
      </c>
    </row>
    <row r="28" spans="2:35" ht="30" customHeight="1" x14ac:dyDescent="0.3">
      <c r="B28" s="28" t="s">
        <v>133</v>
      </c>
      <c r="C28" s="223" t="str">
        <f>+VLOOKUP(B28,Liste!B:E,2,FALSE)</f>
        <v>L=5 m Kaya Bulonu</v>
      </c>
      <c r="D28" s="223"/>
      <c r="E28" s="223"/>
      <c r="F28" s="223"/>
      <c r="G28" s="223"/>
      <c r="H28" s="224"/>
      <c r="I28" s="45"/>
      <c r="J28" s="21" t="str">
        <f>+VLOOKUP(B28,Liste!B:E,3,FALSE)</f>
        <v>adet</v>
      </c>
      <c r="K28" s="86" t="s">
        <v>1109</v>
      </c>
      <c r="L28" s="86" t="e">
        <f t="shared" si="0"/>
        <v>#VALUE!</v>
      </c>
      <c r="M28" s="86" t="str">
        <f>+IFERROR(VLOOKUP(B28,Metraj!B:P,15,FALSE),"")</f>
        <v/>
      </c>
      <c r="P28" s="96"/>
      <c r="Q28" s="86"/>
      <c r="R28" s="86"/>
      <c r="S28" s="86"/>
      <c r="T28" s="86"/>
      <c r="U28" s="86"/>
      <c r="V28" s="86"/>
      <c r="W28" s="86">
        <v>0</v>
      </c>
      <c r="X28" s="86">
        <v>0</v>
      </c>
      <c r="Y28" s="86">
        <v>0</v>
      </c>
      <c r="Z28" s="86">
        <v>0</v>
      </c>
      <c r="AA28" s="86">
        <f>+IFERROR($M28-SUM($P28:Z28),0)</f>
        <v>0</v>
      </c>
      <c r="AB28" s="86">
        <f>+IFERROR($M28-SUM($P28:AA28),0)</f>
        <v>0</v>
      </c>
      <c r="AC28" s="86">
        <f>+IFERROR($M28-SUM($P28:AB28),0)</f>
        <v>0</v>
      </c>
      <c r="AD28" s="86">
        <f>+IFERROR($M28-SUM($P28:AC28),0)</f>
        <v>0</v>
      </c>
      <c r="AE28" s="86">
        <f>+IFERROR($M28-SUM($P28:AD28),0)</f>
        <v>0</v>
      </c>
      <c r="AF28" s="86">
        <f>+IFERROR($M28-SUM($P28:AE28),0)</f>
        <v>0</v>
      </c>
      <c r="AG28" s="86">
        <f>+IFERROR($M28-SUM($P28:AF28),0)</f>
        <v>0</v>
      </c>
      <c r="AH28" s="86">
        <f>+IFERROR($M28-SUM($P28:AG28),0)</f>
        <v>0</v>
      </c>
      <c r="AI28" s="86">
        <f>+IFERROR($M28-SUM($P28:AH28),0)</f>
        <v>0</v>
      </c>
    </row>
    <row r="29" spans="2:35" ht="30" customHeight="1" x14ac:dyDescent="0.3">
      <c r="B29" s="28" t="s">
        <v>134</v>
      </c>
      <c r="C29" s="223" t="str">
        <f>+VLOOKUP(B29,Liste!B:E,2,FALSE)</f>
        <v>L=6 m Kaya Bulonu</v>
      </c>
      <c r="D29" s="223"/>
      <c r="E29" s="223"/>
      <c r="F29" s="223"/>
      <c r="G29" s="223"/>
      <c r="H29" s="224"/>
      <c r="I29" s="45"/>
      <c r="J29" s="21" t="str">
        <f>+VLOOKUP(B29,Liste!B:E,3,FALSE)</f>
        <v>adet</v>
      </c>
      <c r="K29" s="86" t="s">
        <v>1109</v>
      </c>
      <c r="L29" s="86" t="e">
        <f t="shared" si="0"/>
        <v>#VALUE!</v>
      </c>
      <c r="M29" s="86" t="str">
        <f>+IFERROR(VLOOKUP(B29,Metraj!B:P,15,FALSE),"")</f>
        <v/>
      </c>
      <c r="P29" s="96"/>
      <c r="Q29" s="86"/>
      <c r="R29" s="86"/>
      <c r="S29" s="86"/>
      <c r="T29" s="86"/>
      <c r="U29" s="86"/>
      <c r="V29" s="86"/>
      <c r="W29" s="86">
        <v>0</v>
      </c>
      <c r="X29" s="86">
        <v>0</v>
      </c>
      <c r="Y29" s="86">
        <v>0</v>
      </c>
      <c r="Z29" s="86">
        <v>0</v>
      </c>
      <c r="AA29" s="86">
        <f>+IFERROR($M29-SUM($P29:Z29),0)</f>
        <v>0</v>
      </c>
      <c r="AB29" s="86">
        <f>+IFERROR($M29-SUM($P29:AA29),0)</f>
        <v>0</v>
      </c>
      <c r="AC29" s="86">
        <f>+IFERROR($M29-SUM($P29:AB29),0)</f>
        <v>0</v>
      </c>
      <c r="AD29" s="86">
        <f>+IFERROR($M29-SUM($P29:AC29),0)</f>
        <v>0</v>
      </c>
      <c r="AE29" s="86">
        <f>+IFERROR($M29-SUM($P29:AD29),0)</f>
        <v>0</v>
      </c>
      <c r="AF29" s="86">
        <f>+IFERROR($M29-SUM($P29:AE29),0)</f>
        <v>0</v>
      </c>
      <c r="AG29" s="86">
        <f>+IFERROR($M29-SUM($P29:AF29),0)</f>
        <v>0</v>
      </c>
      <c r="AH29" s="86">
        <f>+IFERROR($M29-SUM($P29:AG29),0)</f>
        <v>0</v>
      </c>
      <c r="AI29" s="86">
        <f>+IFERROR($M29-SUM($P29:AH29),0)</f>
        <v>0</v>
      </c>
    </row>
    <row r="30" spans="2:35" ht="30" customHeight="1" x14ac:dyDescent="0.3">
      <c r="B30" s="28" t="s">
        <v>135</v>
      </c>
      <c r="C30" s="223" t="str">
        <f>+VLOOKUP(B30,Liste!B:E,2,FALSE)</f>
        <v>L=8 m Kaya Bulonu</v>
      </c>
      <c r="D30" s="223"/>
      <c r="E30" s="223"/>
      <c r="F30" s="223"/>
      <c r="G30" s="223"/>
      <c r="H30" s="224"/>
      <c r="I30" s="45"/>
      <c r="J30" s="21" t="str">
        <f>+VLOOKUP(B30,Liste!B:E,3,FALSE)</f>
        <v>adet</v>
      </c>
      <c r="K30" s="86">
        <v>557</v>
      </c>
      <c r="L30" s="86">
        <f t="shared" si="0"/>
        <v>0</v>
      </c>
      <c r="M30" s="86">
        <f>+IFERROR(VLOOKUP(B30,Metraj!B:P,15,FALSE),"0")</f>
        <v>557</v>
      </c>
      <c r="P30" s="96"/>
      <c r="Q30" s="86"/>
      <c r="R30" s="86"/>
      <c r="S30" s="86"/>
      <c r="T30" s="86">
        <v>86</v>
      </c>
      <c r="U30" s="86">
        <v>93</v>
      </c>
      <c r="V30" s="86">
        <v>57</v>
      </c>
      <c r="W30" s="86">
        <v>93</v>
      </c>
      <c r="X30" s="86">
        <v>0</v>
      </c>
      <c r="Y30" s="86">
        <v>0</v>
      </c>
      <c r="Z30" s="86">
        <v>228</v>
      </c>
      <c r="AA30" s="86">
        <f>+$M30-SUM($P30:Z30)</f>
        <v>0</v>
      </c>
      <c r="AB30" s="86">
        <f>+$M30-SUM($P30:AA30)</f>
        <v>0</v>
      </c>
      <c r="AC30" s="86">
        <f>+$M30-SUM($P30:AB30)</f>
        <v>0</v>
      </c>
      <c r="AD30" s="86">
        <f>+$M30-SUM($P30:AC30)</f>
        <v>0</v>
      </c>
      <c r="AE30" s="86">
        <f>+$M30-SUM($P30:AD30)</f>
        <v>0</v>
      </c>
      <c r="AF30" s="86">
        <f>+$M30-SUM($P30:AE30)</f>
        <v>0</v>
      </c>
      <c r="AG30" s="86">
        <f>+$M30-SUM($P30:AF30)</f>
        <v>0</v>
      </c>
      <c r="AH30" s="86">
        <f>+$M30-SUM($P30:AG30)</f>
        <v>0</v>
      </c>
      <c r="AI30" s="86">
        <f>+$M30-SUM($P30:AH30)</f>
        <v>0</v>
      </c>
    </row>
    <row r="31" spans="2:35" ht="30" customHeight="1" x14ac:dyDescent="0.3">
      <c r="B31" s="28" t="s">
        <v>137</v>
      </c>
      <c r="C31" s="223" t="str">
        <f>+VLOOKUP(B31,Liste!B:E,2,FALSE)</f>
        <v>125 mm Delik İçine 14 mm Kalınlığında S420a ile Zemin Çivisi Teşkili</v>
      </c>
      <c r="D31" s="223"/>
      <c r="E31" s="223"/>
      <c r="F31" s="223"/>
      <c r="G31" s="223"/>
      <c r="H31" s="224"/>
      <c r="I31" s="45"/>
      <c r="J31" s="21" t="str">
        <f>+VLOOKUP(B31,Liste!B:E,3,FALSE)</f>
        <v>m</v>
      </c>
      <c r="K31" s="86">
        <v>3420</v>
      </c>
      <c r="L31" s="86">
        <f t="shared" si="0"/>
        <v>0</v>
      </c>
      <c r="M31" s="86">
        <f>+IFERROR(VLOOKUP(B31,Metraj!B:P,15,FALSE),"0")</f>
        <v>3420</v>
      </c>
      <c r="P31" s="96"/>
      <c r="Q31" s="86"/>
      <c r="R31" s="86"/>
      <c r="S31" s="86">
        <v>198</v>
      </c>
      <c r="T31" s="86">
        <v>990</v>
      </c>
      <c r="U31" s="86">
        <v>846</v>
      </c>
      <c r="V31" s="86">
        <v>990</v>
      </c>
      <c r="W31" s="86">
        <v>396</v>
      </c>
      <c r="X31" s="86">
        <v>0</v>
      </c>
      <c r="Y31" s="86">
        <v>0</v>
      </c>
      <c r="Z31" s="86">
        <v>0</v>
      </c>
      <c r="AA31" s="86">
        <f>+$M31-SUM($P31:Z31)</f>
        <v>0</v>
      </c>
      <c r="AB31" s="86">
        <f>+$M31-SUM($P31:AA31)</f>
        <v>0</v>
      </c>
      <c r="AC31" s="86">
        <f>+$M31-SUM($P31:AB31)</f>
        <v>0</v>
      </c>
      <c r="AD31" s="86">
        <f>+$M31-SUM($P31:AC31)</f>
        <v>0</v>
      </c>
      <c r="AE31" s="86">
        <f>+$M31-SUM($P31:AD31)</f>
        <v>0</v>
      </c>
      <c r="AF31" s="86">
        <f>+$M31-SUM($P31:AE31)</f>
        <v>0</v>
      </c>
      <c r="AG31" s="86">
        <f>+$M31-SUM($P31:AF31)</f>
        <v>0</v>
      </c>
      <c r="AH31" s="86">
        <f>+$M31-SUM($P31:AG31)</f>
        <v>0</v>
      </c>
      <c r="AI31" s="86">
        <f>+$M31-SUM($P31:AH31)</f>
        <v>0</v>
      </c>
    </row>
    <row r="32" spans="2:35" ht="30" customHeight="1" x14ac:dyDescent="0.3">
      <c r="B32" s="28" t="s">
        <v>138</v>
      </c>
      <c r="C32" s="223" t="str">
        <f>+VLOOKUP(B32,Liste!B:E,2,FALSE)</f>
        <v>125 mm Delik İçine 26 mm Kalınlığında S420a ile Zemin Çivisi Teşkili</v>
      </c>
      <c r="D32" s="223"/>
      <c r="E32" s="223"/>
      <c r="F32" s="223"/>
      <c r="G32" s="223"/>
      <c r="H32" s="224"/>
      <c r="I32" s="45"/>
      <c r="J32" s="21" t="str">
        <f>+VLOOKUP(B32,Liste!B:E,3,FALSE)</f>
        <v>m</v>
      </c>
      <c r="K32" s="86" t="s">
        <v>1109</v>
      </c>
      <c r="L32" s="86" t="e">
        <f t="shared" si="0"/>
        <v>#VALUE!</v>
      </c>
      <c r="M32" s="86" t="str">
        <f>+IFERROR(VLOOKUP(B32,Metraj!B:P,15,FALSE),"")</f>
        <v/>
      </c>
      <c r="P32" s="96"/>
      <c r="Q32" s="86"/>
      <c r="R32" s="86"/>
      <c r="S32" s="86"/>
      <c r="T32" s="86"/>
      <c r="U32" s="86"/>
      <c r="V32" s="86"/>
      <c r="W32" s="86">
        <v>0</v>
      </c>
      <c r="X32" s="86">
        <v>0</v>
      </c>
      <c r="Y32" s="86">
        <v>0</v>
      </c>
      <c r="Z32" s="86">
        <v>0</v>
      </c>
      <c r="AA32" s="86">
        <f>+IFERROR($M32-SUM($P32:Z32),0)</f>
        <v>0</v>
      </c>
      <c r="AB32" s="86">
        <f>+IFERROR($M32-SUM($P32:AA32),0)</f>
        <v>0</v>
      </c>
      <c r="AC32" s="86">
        <f>+IFERROR($M32-SUM($P32:AB32),0)</f>
        <v>0</v>
      </c>
      <c r="AD32" s="86">
        <f>+IFERROR($M32-SUM($P32:AC32),0)</f>
        <v>0</v>
      </c>
      <c r="AE32" s="86">
        <f>+IFERROR($M32-SUM($P32:AD32),0)</f>
        <v>0</v>
      </c>
      <c r="AF32" s="86">
        <f>+IFERROR($M32-SUM($P32:AE32),0)</f>
        <v>0</v>
      </c>
      <c r="AG32" s="86">
        <f>+IFERROR($M32-SUM($P32:AF32),0)</f>
        <v>0</v>
      </c>
      <c r="AH32" s="86">
        <f>+IFERROR($M32-SUM($P32:AG32),0)</f>
        <v>0</v>
      </c>
      <c r="AI32" s="86">
        <f>+IFERROR($M32-SUM($P32:AH32),0)</f>
        <v>0</v>
      </c>
    </row>
    <row r="33" spans="2:35" ht="30" customHeight="1" x14ac:dyDescent="0.3">
      <c r="B33" s="28" t="s">
        <v>139</v>
      </c>
      <c r="C33" s="223" t="str">
        <f>+VLOOKUP(B33,Liste!B:E,2,FALSE)</f>
        <v>Çelik İksa (Tünel ve Şaftlarda)</v>
      </c>
      <c r="D33" s="223"/>
      <c r="E33" s="223"/>
      <c r="F33" s="223"/>
      <c r="G33" s="223"/>
      <c r="H33" s="224"/>
      <c r="I33" s="45"/>
      <c r="J33" s="21" t="str">
        <f>+VLOOKUP(B33,Liste!B:E,3,FALSE)</f>
        <v>ton</v>
      </c>
      <c r="K33" s="86">
        <v>164.48599999999999</v>
      </c>
      <c r="L33" s="86">
        <f t="shared" si="0"/>
        <v>0</v>
      </c>
      <c r="M33" s="86">
        <f>+IFERROR(VLOOKUP(B33,Metraj!B:P,15,FALSE),"0")</f>
        <v>164.48599999999999</v>
      </c>
      <c r="P33" s="96"/>
      <c r="Q33" s="86"/>
      <c r="R33" s="86"/>
      <c r="S33" s="86">
        <v>14.391000000000002</v>
      </c>
      <c r="T33" s="86">
        <v>39.582000000000008</v>
      </c>
      <c r="U33" s="86">
        <v>39.058000000000007</v>
      </c>
      <c r="V33" s="86">
        <v>40.289000000000001</v>
      </c>
      <c r="W33" s="86">
        <v>28.44599999999997</v>
      </c>
      <c r="X33" s="86">
        <v>2.7199999999999989</v>
      </c>
      <c r="Y33" s="86">
        <v>0</v>
      </c>
      <c r="Z33" s="86">
        <v>0</v>
      </c>
      <c r="AA33" s="86">
        <f>+$M33-SUM($P33:Z33)</f>
        <v>0</v>
      </c>
      <c r="AB33" s="86">
        <f>+$M33-SUM($P33:AA33)</f>
        <v>0</v>
      </c>
      <c r="AC33" s="86">
        <f>+$M33-SUM($P33:AB33)</f>
        <v>0</v>
      </c>
      <c r="AD33" s="86">
        <f>+$M33-SUM($P33:AC33)</f>
        <v>0</v>
      </c>
      <c r="AE33" s="86">
        <f>+$M33-SUM($P33:AD33)</f>
        <v>0</v>
      </c>
      <c r="AF33" s="86">
        <f>+$M33-SUM($P33:AE33)</f>
        <v>0</v>
      </c>
      <c r="AG33" s="86">
        <f>+$M33-SUM($P33:AF33)</f>
        <v>0</v>
      </c>
      <c r="AH33" s="86">
        <f>+$M33-SUM($P33:AG33)</f>
        <v>0</v>
      </c>
      <c r="AI33" s="86">
        <f>+$M33-SUM($P33:AH33)</f>
        <v>0</v>
      </c>
    </row>
    <row r="34" spans="2:35" ht="30" customHeight="1" x14ac:dyDescent="0.3">
      <c r="B34" s="28" t="s">
        <v>141</v>
      </c>
      <c r="C34" s="223" t="str">
        <f>+VLOOKUP(B34,Liste!B:E,2,FALSE)</f>
        <v>Umbrella Arch Yapılması</v>
      </c>
      <c r="D34" s="223"/>
      <c r="E34" s="223"/>
      <c r="F34" s="223"/>
      <c r="G34" s="223"/>
      <c r="H34" s="224"/>
      <c r="I34" s="45"/>
      <c r="J34" s="21" t="str">
        <f>+VLOOKUP(B34,Liste!B:E,3,FALSE)</f>
        <v>m</v>
      </c>
      <c r="K34" s="86">
        <v>9351</v>
      </c>
      <c r="L34" s="86">
        <f t="shared" si="0"/>
        <v>0</v>
      </c>
      <c r="M34" s="86">
        <f>+IFERROR(VLOOKUP(B34,Metraj!B:P,15,FALSE),"0")</f>
        <v>9351</v>
      </c>
      <c r="P34" s="96"/>
      <c r="Q34" s="86"/>
      <c r="R34" s="86"/>
      <c r="S34" s="86">
        <v>1044</v>
      </c>
      <c r="T34" s="86">
        <v>2610</v>
      </c>
      <c r="U34" s="86">
        <v>2088</v>
      </c>
      <c r="V34" s="86">
        <v>2610</v>
      </c>
      <c r="W34" s="86">
        <v>999</v>
      </c>
      <c r="X34" s="86">
        <v>0</v>
      </c>
      <c r="Y34" s="86">
        <v>0</v>
      </c>
      <c r="Z34" s="86">
        <v>0</v>
      </c>
      <c r="AA34" s="86">
        <f>+$M34-SUM($P34:Z34)</f>
        <v>0</v>
      </c>
      <c r="AB34" s="86">
        <f>+$M34-SUM($P34:AA34)</f>
        <v>0</v>
      </c>
      <c r="AC34" s="86">
        <f>+$M34-SUM($P34:AB34)</f>
        <v>0</v>
      </c>
      <c r="AD34" s="86">
        <f>+$M34-SUM($P34:AC34)</f>
        <v>0</v>
      </c>
      <c r="AE34" s="86">
        <f>+$M34-SUM($P34:AD34)</f>
        <v>0</v>
      </c>
      <c r="AF34" s="86">
        <f>+$M34-SUM($P34:AE34)</f>
        <v>0</v>
      </c>
      <c r="AG34" s="86">
        <f>+$M34-SUM($P34:AF34)</f>
        <v>0</v>
      </c>
      <c r="AH34" s="86">
        <f>+$M34-SUM($P34:AG34)</f>
        <v>0</v>
      </c>
      <c r="AI34" s="86">
        <f>+$M34-SUM($P34:AH34)</f>
        <v>0</v>
      </c>
    </row>
    <row r="35" spans="2:35" ht="30" customHeight="1" x14ac:dyDescent="0.3">
      <c r="B35" s="28" t="s">
        <v>143</v>
      </c>
      <c r="C35" s="223" t="str">
        <f>+VLOOKUP(B35,Liste!B:E,2,FALSE)</f>
        <v>Tünel ve şaftlarda su yalıtımı, birim ağırlığı &gt;=500 g/metrekare geotekstil keçe</v>
      </c>
      <c r="D35" s="223"/>
      <c r="E35" s="223"/>
      <c r="F35" s="223"/>
      <c r="G35" s="223"/>
      <c r="H35" s="224"/>
      <c r="I35" s="45"/>
      <c r="J35" s="21" t="str">
        <f>+VLOOKUP(B35,Liste!B:E,3,FALSE)</f>
        <v>m²</v>
      </c>
      <c r="K35" s="86" t="s">
        <v>1109</v>
      </c>
      <c r="L35" s="86" t="e">
        <f t="shared" si="0"/>
        <v>#VALUE!</v>
      </c>
      <c r="M35" s="86" t="str">
        <f>+IFERROR(VLOOKUP(B35,Metraj!B:P,15,FALSE),"")</f>
        <v/>
      </c>
      <c r="P35" s="96"/>
      <c r="Q35" s="86"/>
      <c r="R35" s="86"/>
      <c r="S35" s="86"/>
      <c r="T35" s="86"/>
      <c r="U35" s="86"/>
      <c r="V35" s="86"/>
      <c r="W35" s="86">
        <v>0</v>
      </c>
      <c r="X35" s="86">
        <v>0</v>
      </c>
      <c r="Y35" s="86">
        <v>0</v>
      </c>
      <c r="Z35" s="86">
        <v>0</v>
      </c>
      <c r="AA35" s="86">
        <f>+IFERROR($M35-SUM($P35:Z35),0)</f>
        <v>0</v>
      </c>
      <c r="AB35" s="86">
        <f>+IFERROR($M35-SUM($P35:AA35),0)</f>
        <v>0</v>
      </c>
      <c r="AC35" s="86">
        <f>+IFERROR($M35-SUM($P35:AB35),0)</f>
        <v>0</v>
      </c>
      <c r="AD35" s="86">
        <f>+IFERROR($M35-SUM($P35:AC35),0)</f>
        <v>0</v>
      </c>
      <c r="AE35" s="86">
        <f>+IFERROR($M35-SUM($P35:AD35),0)</f>
        <v>0</v>
      </c>
      <c r="AF35" s="86">
        <f>+IFERROR($M35-SUM($P35:AE35),0)</f>
        <v>0</v>
      </c>
      <c r="AG35" s="86">
        <f>+IFERROR($M35-SUM($P35:AF35),0)</f>
        <v>0</v>
      </c>
      <c r="AH35" s="86">
        <f>+IFERROR($M35-SUM($P35:AG35),0)</f>
        <v>0</v>
      </c>
      <c r="AI35" s="86">
        <f>+IFERROR($M35-SUM($P35:AH35),0)</f>
        <v>0</v>
      </c>
    </row>
    <row r="36" spans="2:35" ht="30" customHeight="1" x14ac:dyDescent="0.3">
      <c r="B36" s="28" t="s">
        <v>145</v>
      </c>
      <c r="C36" s="223" t="str">
        <f>+VLOOKUP(B36,Liste!B:E,2,FALSE)</f>
        <v>Tünel ve şaftlarda su yalıtımı, 2mm kalınlıklı PVC membran</v>
      </c>
      <c r="D36" s="223"/>
      <c r="E36" s="223"/>
      <c r="F36" s="223"/>
      <c r="G36" s="223"/>
      <c r="H36" s="224"/>
      <c r="I36" s="45"/>
      <c r="J36" s="21" t="str">
        <f>+VLOOKUP(B36,Liste!B:E,3,FALSE)</f>
        <v>m²</v>
      </c>
      <c r="K36" s="86" t="s">
        <v>1109</v>
      </c>
      <c r="L36" s="86" t="e">
        <f t="shared" si="0"/>
        <v>#VALUE!</v>
      </c>
      <c r="M36" s="86" t="str">
        <f>+IFERROR(VLOOKUP(B36,Metraj!B:P,15,FALSE),"")</f>
        <v/>
      </c>
      <c r="P36" s="96"/>
      <c r="Q36" s="86"/>
      <c r="R36" s="86"/>
      <c r="S36" s="86"/>
      <c r="T36" s="86"/>
      <c r="U36" s="86"/>
      <c r="V36" s="86"/>
      <c r="W36" s="86">
        <v>0</v>
      </c>
      <c r="X36" s="86">
        <v>0</v>
      </c>
      <c r="Y36" s="86">
        <v>0</v>
      </c>
      <c r="Z36" s="86">
        <v>0</v>
      </c>
      <c r="AA36" s="86">
        <f>+IFERROR($M36-SUM($P36:Z36),0)</f>
        <v>0</v>
      </c>
      <c r="AB36" s="86">
        <f>+IFERROR($M36-SUM($P36:AA36),0)</f>
        <v>0</v>
      </c>
      <c r="AC36" s="86">
        <f>+IFERROR($M36-SUM($P36:AB36),0)</f>
        <v>0</v>
      </c>
      <c r="AD36" s="86">
        <f>+IFERROR($M36-SUM($P36:AC36),0)</f>
        <v>0</v>
      </c>
      <c r="AE36" s="86">
        <f>+IFERROR($M36-SUM($P36:AD36),0)</f>
        <v>0</v>
      </c>
      <c r="AF36" s="86">
        <f>+IFERROR($M36-SUM($P36:AE36),0)</f>
        <v>0</v>
      </c>
      <c r="AG36" s="86">
        <f>+IFERROR($M36-SUM($P36:AF36),0)</f>
        <v>0</v>
      </c>
      <c r="AH36" s="86">
        <f>+IFERROR($M36-SUM($P36:AG36),0)</f>
        <v>0</v>
      </c>
      <c r="AI36" s="86">
        <f>+IFERROR($M36-SUM($P36:AH36),0)</f>
        <v>0</v>
      </c>
    </row>
    <row r="37" spans="2:35" ht="30" customHeight="1" x14ac:dyDescent="0.3">
      <c r="B37" s="28" t="s">
        <v>147</v>
      </c>
      <c r="C37" s="223" t="str">
        <f>+VLOOKUP(B37,Liste!B:E,2,FALSE)</f>
        <v>Su Tutucular (Tünel ve Şaftlarda)</v>
      </c>
      <c r="D37" s="223"/>
      <c r="E37" s="223"/>
      <c r="F37" s="223"/>
      <c r="G37" s="223"/>
      <c r="H37" s="224"/>
      <c r="I37" s="45"/>
      <c r="J37" s="21" t="str">
        <f>+VLOOKUP(B37,Liste!B:E,3,FALSE)</f>
        <v>m</v>
      </c>
      <c r="K37" s="86" t="s">
        <v>1109</v>
      </c>
      <c r="L37" s="86" t="e">
        <f t="shared" si="0"/>
        <v>#VALUE!</v>
      </c>
      <c r="M37" s="86" t="str">
        <f>+IFERROR(VLOOKUP(B37,Metraj!B:P,15,FALSE),"")</f>
        <v/>
      </c>
      <c r="P37" s="96"/>
      <c r="Q37" s="86"/>
      <c r="R37" s="86"/>
      <c r="S37" s="86"/>
      <c r="T37" s="86"/>
      <c r="U37" s="86"/>
      <c r="V37" s="86"/>
      <c r="W37" s="86">
        <v>0</v>
      </c>
      <c r="X37" s="86">
        <v>0</v>
      </c>
      <c r="Y37" s="86">
        <v>0</v>
      </c>
      <c r="Z37" s="86">
        <v>0</v>
      </c>
      <c r="AA37" s="86">
        <f>+IFERROR($M37-SUM($P37:Z37),0)</f>
        <v>0</v>
      </c>
      <c r="AB37" s="86">
        <f>+IFERROR($M37-SUM($P37:AA37),0)</f>
        <v>0</v>
      </c>
      <c r="AC37" s="86">
        <f>+IFERROR($M37-SUM($P37:AB37),0)</f>
        <v>0</v>
      </c>
      <c r="AD37" s="86">
        <f>+IFERROR($M37-SUM($P37:AC37),0)</f>
        <v>0</v>
      </c>
      <c r="AE37" s="86">
        <f>+IFERROR($M37-SUM($P37:AD37),0)</f>
        <v>0</v>
      </c>
      <c r="AF37" s="86">
        <f>+IFERROR($M37-SUM($P37:AE37),0)</f>
        <v>0</v>
      </c>
      <c r="AG37" s="86">
        <f>+IFERROR($M37-SUM($P37:AF37),0)</f>
        <v>0</v>
      </c>
      <c r="AH37" s="86">
        <f>+IFERROR($M37-SUM($P37:AG37),0)</f>
        <v>0</v>
      </c>
      <c r="AI37" s="86">
        <f>+IFERROR($M37-SUM($P37:AH37),0)</f>
        <v>0</v>
      </c>
    </row>
    <row r="38" spans="2:35" ht="30" customHeight="1" x14ac:dyDescent="0.3">
      <c r="B38" s="28" t="s">
        <v>149</v>
      </c>
      <c r="C38" s="223" t="str">
        <f>+VLOOKUP(B38,Liste!B:E,2,FALSE)</f>
        <v>Kalıp (invert ve şaft için)</v>
      </c>
      <c r="D38" s="223"/>
      <c r="E38" s="223"/>
      <c r="F38" s="223"/>
      <c r="G38" s="223"/>
      <c r="H38" s="224"/>
      <c r="I38" s="45"/>
      <c r="J38" s="21" t="str">
        <f>+VLOOKUP(B38,Liste!B:E,3,FALSE)</f>
        <v>m²</v>
      </c>
      <c r="K38" s="86" t="s">
        <v>1109</v>
      </c>
      <c r="L38" s="86" t="e">
        <f t="shared" si="0"/>
        <v>#VALUE!</v>
      </c>
      <c r="M38" s="86" t="str">
        <f>+IFERROR(VLOOKUP(B38,Metraj!B:P,15,FALSE),"")</f>
        <v/>
      </c>
      <c r="P38" s="96"/>
      <c r="Q38" s="86"/>
      <c r="R38" s="86"/>
      <c r="S38" s="86"/>
      <c r="T38" s="86"/>
      <c r="U38" s="86"/>
      <c r="V38" s="86"/>
      <c r="W38" s="86">
        <v>0</v>
      </c>
      <c r="X38" s="86">
        <v>0</v>
      </c>
      <c r="Y38" s="86">
        <v>0</v>
      </c>
      <c r="Z38" s="86">
        <v>0</v>
      </c>
      <c r="AA38" s="86">
        <f>+IFERROR($M38-SUM($P38:Z38),0)</f>
        <v>0</v>
      </c>
      <c r="AB38" s="86">
        <f>+IFERROR($M38-SUM($P38:AA38),0)</f>
        <v>0</v>
      </c>
      <c r="AC38" s="86">
        <f>+IFERROR($M38-SUM($P38:AB38),0)</f>
        <v>0</v>
      </c>
      <c r="AD38" s="86">
        <f>+IFERROR($M38-SUM($P38:AC38),0)</f>
        <v>0</v>
      </c>
      <c r="AE38" s="86">
        <f>+IFERROR($M38-SUM($P38:AD38),0)</f>
        <v>0</v>
      </c>
      <c r="AF38" s="86">
        <f>+IFERROR($M38-SUM($P38:AE38),0)</f>
        <v>0</v>
      </c>
      <c r="AG38" s="86">
        <f>+IFERROR($M38-SUM($P38:AF38),0)</f>
        <v>0</v>
      </c>
      <c r="AH38" s="86">
        <f>+IFERROR($M38-SUM($P38:AG38),0)</f>
        <v>0</v>
      </c>
      <c r="AI38" s="86">
        <f>+IFERROR($M38-SUM($P38:AH38),0)</f>
        <v>0</v>
      </c>
    </row>
    <row r="39" spans="2:35" ht="30" customHeight="1" x14ac:dyDescent="0.3">
      <c r="B39" s="28" t="s">
        <v>151</v>
      </c>
      <c r="C39" s="223" t="str">
        <f>+VLOOKUP(B39,Liste!B:E,2,FALSE)</f>
        <v>Kalıp (duvar ve kemer İçin)</v>
      </c>
      <c r="D39" s="223"/>
      <c r="E39" s="223"/>
      <c r="F39" s="223"/>
      <c r="G39" s="223"/>
      <c r="H39" s="224"/>
      <c r="I39" s="45"/>
      <c r="J39" s="21" t="str">
        <f>+VLOOKUP(B39,Liste!B:E,3,FALSE)</f>
        <v>m²</v>
      </c>
      <c r="K39" s="86" t="s">
        <v>1109</v>
      </c>
      <c r="L39" s="86" t="e">
        <f t="shared" si="0"/>
        <v>#VALUE!</v>
      </c>
      <c r="M39" s="86" t="str">
        <f>+IFERROR(VLOOKUP(B39,Metraj!B:P,15,FALSE),"")</f>
        <v/>
      </c>
      <c r="P39" s="96"/>
      <c r="Q39" s="86"/>
      <c r="R39" s="86"/>
      <c r="S39" s="86"/>
      <c r="T39" s="86"/>
      <c r="U39" s="86"/>
      <c r="V39" s="86"/>
      <c r="W39" s="86">
        <v>0</v>
      </c>
      <c r="X39" s="86">
        <v>0</v>
      </c>
      <c r="Y39" s="86">
        <v>0</v>
      </c>
      <c r="Z39" s="86">
        <v>0</v>
      </c>
      <c r="AA39" s="86">
        <f>+IFERROR($M39-SUM($P39:Z39),0)</f>
        <v>0</v>
      </c>
      <c r="AB39" s="86">
        <f>+IFERROR($M39-SUM($P39:AA39),0)</f>
        <v>0</v>
      </c>
      <c r="AC39" s="86">
        <f>+IFERROR($M39-SUM($P39:AB39),0)</f>
        <v>0</v>
      </c>
      <c r="AD39" s="86">
        <f>+IFERROR($M39-SUM($P39:AC39),0)</f>
        <v>0</v>
      </c>
      <c r="AE39" s="86">
        <f>+IFERROR($M39-SUM($P39:AD39),0)</f>
        <v>0</v>
      </c>
      <c r="AF39" s="86">
        <f>+IFERROR($M39-SUM($P39:AE39),0)</f>
        <v>0</v>
      </c>
      <c r="AG39" s="86">
        <f>+IFERROR($M39-SUM($P39:AF39),0)</f>
        <v>0</v>
      </c>
      <c r="AH39" s="86">
        <f>+IFERROR($M39-SUM($P39:AG39),0)</f>
        <v>0</v>
      </c>
      <c r="AI39" s="86">
        <f>+IFERROR($M39-SUM($P39:AH39),0)</f>
        <v>0</v>
      </c>
    </row>
    <row r="40" spans="2:35" ht="30" customHeight="1" x14ac:dyDescent="0.3">
      <c r="B40" s="28" t="s">
        <v>153</v>
      </c>
      <c r="C40" s="223" t="str">
        <f>+VLOOKUP(B40,Liste!B:E,2,FALSE)</f>
        <v>Tip Kesit Dışı Konstrüksiyon Kalıbı, Tünel Alın Kalıbı</v>
      </c>
      <c r="D40" s="223"/>
      <c r="E40" s="223"/>
      <c r="F40" s="223"/>
      <c r="G40" s="223"/>
      <c r="H40" s="224"/>
      <c r="I40" s="45"/>
      <c r="J40" s="21" t="str">
        <f>+VLOOKUP(B40,Liste!B:E,3,FALSE)</f>
        <v>m²</v>
      </c>
      <c r="K40" s="86" t="s">
        <v>1109</v>
      </c>
      <c r="L40" s="86" t="e">
        <f t="shared" si="0"/>
        <v>#VALUE!</v>
      </c>
      <c r="M40" s="86" t="str">
        <f>+IFERROR(VLOOKUP(B40,Metraj!B:P,15,FALSE),"")</f>
        <v/>
      </c>
      <c r="P40" s="96"/>
      <c r="Q40" s="86"/>
      <c r="R40" s="86"/>
      <c r="S40" s="86"/>
      <c r="T40" s="86"/>
      <c r="U40" s="86"/>
      <c r="V40" s="86"/>
      <c r="W40" s="86">
        <v>0</v>
      </c>
      <c r="X40" s="86">
        <v>0</v>
      </c>
      <c r="Y40" s="86">
        <v>0</v>
      </c>
      <c r="Z40" s="86">
        <v>0</v>
      </c>
      <c r="AA40" s="86">
        <f>+IFERROR($M40-SUM($P40:Z40),0)</f>
        <v>0</v>
      </c>
      <c r="AB40" s="86">
        <f>+IFERROR($M40-SUM($P40:AA40),0)</f>
        <v>0</v>
      </c>
      <c r="AC40" s="86">
        <f>+IFERROR($M40-SUM($P40:AB40),0)</f>
        <v>0</v>
      </c>
      <c r="AD40" s="86">
        <f>+IFERROR($M40-SUM($P40:AC40),0)</f>
        <v>0</v>
      </c>
      <c r="AE40" s="86">
        <f>+IFERROR($M40-SUM($P40:AD40),0)</f>
        <v>0</v>
      </c>
      <c r="AF40" s="86">
        <f>+IFERROR($M40-SUM($P40:AE40),0)</f>
        <v>0</v>
      </c>
      <c r="AG40" s="86">
        <f>+IFERROR($M40-SUM($P40:AF40),0)</f>
        <v>0</v>
      </c>
      <c r="AH40" s="86">
        <f>+IFERROR($M40-SUM($P40:AG40),0)</f>
        <v>0</v>
      </c>
      <c r="AI40" s="86">
        <f>+IFERROR($M40-SUM($P40:AH40),0)</f>
        <v>0</v>
      </c>
    </row>
    <row r="41" spans="2:35" ht="30" customHeight="1" x14ac:dyDescent="0.3">
      <c r="B41" s="28" t="s">
        <v>155</v>
      </c>
      <c r="C41" s="223" t="str">
        <f>+VLOOKUP(B41,Liste!B:E,2,FALSE)</f>
        <v>C16 Beton İmali ve Dökülmesi (Tünel ve Şaftlarda)</v>
      </c>
      <c r="D41" s="223"/>
      <c r="E41" s="223"/>
      <c r="F41" s="223"/>
      <c r="G41" s="223"/>
      <c r="H41" s="224"/>
      <c r="I41" s="45"/>
      <c r="J41" s="21" t="str">
        <f>+VLOOKUP(B41,Liste!B:E,3,FALSE)</f>
        <v>m³</v>
      </c>
      <c r="K41" s="86" t="s">
        <v>1109</v>
      </c>
      <c r="L41" s="86" t="e">
        <f t="shared" si="0"/>
        <v>#VALUE!</v>
      </c>
      <c r="M41" s="86" t="str">
        <f>+IFERROR(VLOOKUP(B41,Metraj!B:P,15,FALSE),"")</f>
        <v/>
      </c>
      <c r="P41" s="96"/>
      <c r="Q41" s="86"/>
      <c r="R41" s="86"/>
      <c r="S41" s="86"/>
      <c r="T41" s="86"/>
      <c r="U41" s="86"/>
      <c r="V41" s="86"/>
      <c r="W41" s="86">
        <v>0</v>
      </c>
      <c r="X41" s="86">
        <v>0</v>
      </c>
      <c r="Y41" s="86">
        <v>0</v>
      </c>
      <c r="Z41" s="86">
        <v>0</v>
      </c>
      <c r="AA41" s="86">
        <f>+IFERROR($M41-SUM($P41:Z41),0)</f>
        <v>0</v>
      </c>
      <c r="AB41" s="86">
        <f>+IFERROR($M41-SUM($P41:AA41),0)</f>
        <v>0</v>
      </c>
      <c r="AC41" s="86">
        <f>+IFERROR($M41-SUM($P41:AB41),0)</f>
        <v>0</v>
      </c>
      <c r="AD41" s="86">
        <f>+IFERROR($M41-SUM($P41:AC41),0)</f>
        <v>0</v>
      </c>
      <c r="AE41" s="86">
        <f>+IFERROR($M41-SUM($P41:AD41),0)</f>
        <v>0</v>
      </c>
      <c r="AF41" s="86">
        <f>+IFERROR($M41-SUM($P41:AE41),0)</f>
        <v>0</v>
      </c>
      <c r="AG41" s="86">
        <f>+IFERROR($M41-SUM($P41:AF41),0)</f>
        <v>0</v>
      </c>
      <c r="AH41" s="86">
        <f>+IFERROR($M41-SUM($P41:AG41),0)</f>
        <v>0</v>
      </c>
      <c r="AI41" s="86">
        <f>+IFERROR($M41-SUM($P41:AH41),0)</f>
        <v>0</v>
      </c>
    </row>
    <row r="42" spans="2:35" ht="30" customHeight="1" x14ac:dyDescent="0.3">
      <c r="B42" s="28" t="s">
        <v>157</v>
      </c>
      <c r="C42" s="223" t="str">
        <f>+VLOOKUP(B42,Liste!B:E,2,FALSE)</f>
        <v>C30 Beton İmali ve Dökülmesi (Tünel ve Şaftlarda) Tünel kaplaması, invert ve şaftlardaki alt döşeme</v>
      </c>
      <c r="D42" s="223"/>
      <c r="E42" s="223"/>
      <c r="F42" s="223"/>
      <c r="G42" s="223"/>
      <c r="H42" s="224"/>
      <c r="I42" s="45"/>
      <c r="J42" s="21" t="str">
        <f>+VLOOKUP(B42,Liste!B:E,3,FALSE)</f>
        <v>m³</v>
      </c>
      <c r="K42" s="86" t="s">
        <v>1109</v>
      </c>
      <c r="L42" s="86" t="e">
        <f t="shared" si="0"/>
        <v>#VALUE!</v>
      </c>
      <c r="M42" s="86" t="str">
        <f>+IFERROR(VLOOKUP(B42,Metraj!B:P,15,FALSE),"")</f>
        <v/>
      </c>
      <c r="P42" s="96"/>
      <c r="Q42" s="86"/>
      <c r="R42" s="86"/>
      <c r="S42" s="86"/>
      <c r="T42" s="86"/>
      <c r="U42" s="86"/>
      <c r="V42" s="86"/>
      <c r="W42" s="86">
        <v>0</v>
      </c>
      <c r="X42" s="86">
        <v>0</v>
      </c>
      <c r="Y42" s="86">
        <v>0</v>
      </c>
      <c r="Z42" s="86">
        <v>0</v>
      </c>
      <c r="AA42" s="86">
        <f>+IFERROR($M42-SUM($P42:Z42),0)</f>
        <v>0</v>
      </c>
      <c r="AB42" s="86">
        <f>+IFERROR($M42-SUM($P42:AA42),0)</f>
        <v>0</v>
      </c>
      <c r="AC42" s="86">
        <f>+IFERROR($M42-SUM($P42:AB42),0)</f>
        <v>0</v>
      </c>
      <c r="AD42" s="86">
        <f>+IFERROR($M42-SUM($P42:AC42),0)</f>
        <v>0</v>
      </c>
      <c r="AE42" s="86">
        <f>+IFERROR($M42-SUM($P42:AD42),0)</f>
        <v>0</v>
      </c>
      <c r="AF42" s="86">
        <f>+IFERROR($M42-SUM($P42:AE42),0)</f>
        <v>0</v>
      </c>
      <c r="AG42" s="86">
        <f>+IFERROR($M42-SUM($P42:AF42),0)</f>
        <v>0</v>
      </c>
      <c r="AH42" s="86">
        <f>+IFERROR($M42-SUM($P42:AG42),0)</f>
        <v>0</v>
      </c>
      <c r="AI42" s="86">
        <f>+IFERROR($M42-SUM($P42:AH42),0)</f>
        <v>0</v>
      </c>
    </row>
    <row r="43" spans="2:35" ht="30" customHeight="1" x14ac:dyDescent="0.3">
      <c r="B43" s="28" t="s">
        <v>159</v>
      </c>
      <c r="C43" s="223" t="str">
        <f>+VLOOKUP(B43,Liste!B:E,2,FALSE)</f>
        <v>C30 Beton İmali ve Dökülmesi (Tünel ve Şaftlarda) Yan duvarlar, kemer</v>
      </c>
      <c r="D43" s="223"/>
      <c r="E43" s="223"/>
      <c r="F43" s="223"/>
      <c r="G43" s="223"/>
      <c r="H43" s="224"/>
      <c r="I43" s="45"/>
      <c r="J43" s="21" t="str">
        <f>+VLOOKUP(B43,Liste!B:E,3,FALSE)</f>
        <v>m³</v>
      </c>
      <c r="K43" s="86" t="s">
        <v>1109</v>
      </c>
      <c r="L43" s="86" t="e">
        <f t="shared" si="0"/>
        <v>#VALUE!</v>
      </c>
      <c r="M43" s="86" t="str">
        <f>+IFERROR(VLOOKUP(B43,Metraj!B:P,15,FALSE),"")</f>
        <v/>
      </c>
      <c r="P43" s="96"/>
      <c r="Q43" s="86"/>
      <c r="R43" s="86"/>
      <c r="S43" s="86"/>
      <c r="T43" s="86"/>
      <c r="U43" s="86"/>
      <c r="V43" s="86"/>
      <c r="W43" s="86">
        <v>0</v>
      </c>
      <c r="X43" s="86">
        <v>0</v>
      </c>
      <c r="Y43" s="86">
        <v>0</v>
      </c>
      <c r="Z43" s="86">
        <v>0</v>
      </c>
      <c r="AA43" s="86">
        <f>+IFERROR($M43-SUM($P43:Z43),0)</f>
        <v>0</v>
      </c>
      <c r="AB43" s="86">
        <f>+IFERROR($M43-SUM($P43:AA43),0)</f>
        <v>0</v>
      </c>
      <c r="AC43" s="86">
        <f>+IFERROR($M43-SUM($P43:AB43),0)</f>
        <v>0</v>
      </c>
      <c r="AD43" s="86">
        <f>+IFERROR($M43-SUM($P43:AC43),0)</f>
        <v>0</v>
      </c>
      <c r="AE43" s="86">
        <f>+IFERROR($M43-SUM($P43:AD43),0)</f>
        <v>0</v>
      </c>
      <c r="AF43" s="86">
        <f>+IFERROR($M43-SUM($P43:AE43),0)</f>
        <v>0</v>
      </c>
      <c r="AG43" s="86">
        <f>+IFERROR($M43-SUM($P43:AF43),0)</f>
        <v>0</v>
      </c>
      <c r="AH43" s="86">
        <f>+IFERROR($M43-SUM($P43:AG43),0)</f>
        <v>0</v>
      </c>
      <c r="AI43" s="86">
        <f>+IFERROR($M43-SUM($P43:AH43),0)</f>
        <v>0</v>
      </c>
    </row>
    <row r="44" spans="2:35" ht="30" customHeight="1" x14ac:dyDescent="0.3">
      <c r="B44" s="28" t="s">
        <v>161</v>
      </c>
      <c r="C44" s="223" t="str">
        <f>+VLOOKUP(B44,Liste!B:E,2,FALSE)</f>
        <v>Diğer Kesit Dışındaki Yapıların Betonu C30</v>
      </c>
      <c r="D44" s="223"/>
      <c r="E44" s="223"/>
      <c r="F44" s="223"/>
      <c r="G44" s="223"/>
      <c r="H44" s="224"/>
      <c r="I44" s="45"/>
      <c r="J44" s="21" t="str">
        <f>+VLOOKUP(B44,Liste!B:E,3,FALSE)</f>
        <v>m³</v>
      </c>
      <c r="K44" s="86" t="s">
        <v>1109</v>
      </c>
      <c r="L44" s="86" t="e">
        <f t="shared" si="0"/>
        <v>#VALUE!</v>
      </c>
      <c r="M44" s="86" t="str">
        <f>+IFERROR(VLOOKUP(B44,Metraj!B:P,15,FALSE),"")</f>
        <v/>
      </c>
      <c r="P44" s="96"/>
      <c r="Q44" s="86"/>
      <c r="R44" s="86"/>
      <c r="S44" s="86"/>
      <c r="T44" s="86"/>
      <c r="U44" s="86"/>
      <c r="V44" s="86"/>
      <c r="W44" s="86">
        <v>0</v>
      </c>
      <c r="X44" s="86">
        <v>0</v>
      </c>
      <c r="Y44" s="86">
        <v>0</v>
      </c>
      <c r="Z44" s="86">
        <v>0</v>
      </c>
      <c r="AA44" s="86">
        <f>+IFERROR($M44-SUM($P44:Z44),0)</f>
        <v>0</v>
      </c>
      <c r="AB44" s="86">
        <f>+IFERROR($M44-SUM($P44:AA44),0)</f>
        <v>0</v>
      </c>
      <c r="AC44" s="86">
        <f>+IFERROR($M44-SUM($P44:AB44),0)</f>
        <v>0</v>
      </c>
      <c r="AD44" s="86">
        <f>+IFERROR($M44-SUM($P44:AC44),0)</f>
        <v>0</v>
      </c>
      <c r="AE44" s="86">
        <f>+IFERROR($M44-SUM($P44:AD44),0)</f>
        <v>0</v>
      </c>
      <c r="AF44" s="86">
        <f>+IFERROR($M44-SUM($P44:AE44),0)</f>
        <v>0</v>
      </c>
      <c r="AG44" s="86">
        <f>+IFERROR($M44-SUM($P44:AF44),0)</f>
        <v>0</v>
      </c>
      <c r="AH44" s="86">
        <f>+IFERROR($M44-SUM($P44:AG44),0)</f>
        <v>0</v>
      </c>
      <c r="AI44" s="86">
        <f>+IFERROR($M44-SUM($P44:AH44),0)</f>
        <v>0</v>
      </c>
    </row>
    <row r="45" spans="2:35" ht="30" customHeight="1" x14ac:dyDescent="0.3">
      <c r="B45" s="28" t="s">
        <v>163</v>
      </c>
      <c r="C45" s="223" t="str">
        <f>+VLOOKUP(B45,Liste!B:E,2,FALSE)</f>
        <v>Çelik Donatı (S220 )</v>
      </c>
      <c r="D45" s="223"/>
      <c r="E45" s="223"/>
      <c r="F45" s="223"/>
      <c r="G45" s="223"/>
      <c r="H45" s="224"/>
      <c r="I45" s="45"/>
      <c r="J45" s="21" t="str">
        <f>+VLOOKUP(B45,Liste!B:E,3,FALSE)</f>
        <v>ton</v>
      </c>
      <c r="K45" s="86">
        <v>12.284000000000001</v>
      </c>
      <c r="L45" s="86">
        <f t="shared" si="0"/>
        <v>0</v>
      </c>
      <c r="M45" s="86">
        <f>+IFERROR(VLOOKUP(B45,Metraj!B:P,15,FALSE),"0")</f>
        <v>12.284000000000001</v>
      </c>
      <c r="P45" s="96"/>
      <c r="Q45" s="86"/>
      <c r="R45" s="86"/>
      <c r="S45" s="86">
        <v>1.2029999999999998</v>
      </c>
      <c r="T45" s="86">
        <v>2.8530000000000002</v>
      </c>
      <c r="U45" s="86">
        <v>3.0389999999999993</v>
      </c>
      <c r="V45" s="86">
        <v>3.0069999999999997</v>
      </c>
      <c r="W45" s="86">
        <v>2.1280000000000019</v>
      </c>
      <c r="X45" s="86">
        <v>5.400000000000027E-2</v>
      </c>
      <c r="Y45" s="86">
        <v>0</v>
      </c>
      <c r="Z45" s="86">
        <v>0</v>
      </c>
      <c r="AA45" s="86">
        <f>+$M45-SUM($P45:Z45)</f>
        <v>0</v>
      </c>
      <c r="AB45" s="86">
        <f>+$M45-SUM($P45:AA45)</f>
        <v>0</v>
      </c>
      <c r="AC45" s="86">
        <f>+$M45-SUM($P45:AB45)</f>
        <v>0</v>
      </c>
      <c r="AD45" s="86">
        <f>+$M45-SUM($P45:AC45)</f>
        <v>0</v>
      </c>
      <c r="AE45" s="86">
        <f>+$M45-SUM($P45:AD45)</f>
        <v>0</v>
      </c>
      <c r="AF45" s="86">
        <f>+$M45-SUM($P45:AE45)</f>
        <v>0</v>
      </c>
      <c r="AG45" s="86">
        <f>+$M45-SUM($P45:AF45)</f>
        <v>0</v>
      </c>
      <c r="AH45" s="86">
        <f>+$M45-SUM($P45:AG45)</f>
        <v>0</v>
      </c>
      <c r="AI45" s="86">
        <f>+$M45-SUM($P45:AH45)</f>
        <v>0</v>
      </c>
    </row>
    <row r="46" spans="2:35" ht="30" customHeight="1" x14ac:dyDescent="0.3">
      <c r="B46" s="28" t="s">
        <v>165</v>
      </c>
      <c r="C46" s="223" t="str">
        <f>+VLOOKUP(B46,Liste!B:E,2,FALSE)</f>
        <v>Çelik Donatı (S420a )</v>
      </c>
      <c r="D46" s="223"/>
      <c r="E46" s="223"/>
      <c r="F46" s="223"/>
      <c r="G46" s="223"/>
      <c r="H46" s="224"/>
      <c r="I46" s="45"/>
      <c r="J46" s="21" t="str">
        <f>+VLOOKUP(B46,Liste!B:E,3,FALSE)</f>
        <v>ton</v>
      </c>
      <c r="K46" s="86">
        <v>0</v>
      </c>
      <c r="L46" s="86">
        <f t="shared" si="0"/>
        <v>0</v>
      </c>
      <c r="M46" s="86">
        <f>+IFERROR(VLOOKUP(B46,Metraj!B:P,15,FALSE),"")</f>
        <v>0</v>
      </c>
      <c r="P46" s="96"/>
      <c r="Q46" s="86"/>
      <c r="R46" s="86"/>
      <c r="S46" s="86"/>
      <c r="T46" s="86"/>
      <c r="U46" s="86"/>
      <c r="V46" s="86"/>
      <c r="W46" s="86">
        <v>0</v>
      </c>
      <c r="X46" s="86">
        <v>0</v>
      </c>
      <c r="Y46" s="86">
        <v>0</v>
      </c>
      <c r="Z46" s="86">
        <v>0</v>
      </c>
      <c r="AA46" s="86">
        <f>+IFERROR($M46-SUM($P46:Z46),0)</f>
        <v>0</v>
      </c>
      <c r="AB46" s="86">
        <f>+IFERROR($M46-SUM($P46:AA46),0)</f>
        <v>0</v>
      </c>
      <c r="AC46" s="86">
        <f>+IFERROR($M46-SUM($P46:AB46),0)</f>
        <v>0</v>
      </c>
      <c r="AD46" s="86">
        <f>+IFERROR($M46-SUM($P46:AC46),0)</f>
        <v>0</v>
      </c>
      <c r="AE46" s="86">
        <f>+IFERROR($M46-SUM($P46:AD46),0)</f>
        <v>0</v>
      </c>
      <c r="AF46" s="86">
        <f>+IFERROR($M46-SUM($P46:AE46),0)</f>
        <v>0</v>
      </c>
      <c r="AG46" s="86">
        <f>+IFERROR($M46-SUM($P46:AF46),0)</f>
        <v>0</v>
      </c>
      <c r="AH46" s="86">
        <f>+IFERROR($M46-SUM($P46:AG46),0)</f>
        <v>0</v>
      </c>
      <c r="AI46" s="86">
        <f>+IFERROR($M46-SUM($P46:AH46),0)</f>
        <v>0</v>
      </c>
    </row>
    <row r="47" spans="2:35" ht="30" customHeight="1" x14ac:dyDescent="0.3">
      <c r="B47" s="28" t="s">
        <v>167</v>
      </c>
      <c r="C47" s="223" t="str">
        <f>+VLOOKUP(B47,Liste!B:E,2,FALSE)</f>
        <v>Çelik hasır (S500 )</v>
      </c>
      <c r="D47" s="223"/>
      <c r="E47" s="223"/>
      <c r="F47" s="223"/>
      <c r="G47" s="223"/>
      <c r="H47" s="224"/>
      <c r="I47" s="45"/>
      <c r="J47" s="21" t="str">
        <f>+VLOOKUP(B47,Liste!B:E,3,FALSE)</f>
        <v>ton</v>
      </c>
      <c r="K47" s="86">
        <v>55.661000000000001</v>
      </c>
      <c r="L47" s="86">
        <f t="shared" si="0"/>
        <v>0</v>
      </c>
      <c r="M47" s="86">
        <f>+IFERROR(VLOOKUP(B47,Metraj!B:P,15,FALSE),"0")</f>
        <v>55.661000000000001</v>
      </c>
      <c r="P47" s="96"/>
      <c r="Q47" s="86"/>
      <c r="R47" s="86"/>
      <c r="S47" s="86">
        <v>4.2719999999999994</v>
      </c>
      <c r="T47" s="86">
        <v>13.586999999999998</v>
      </c>
      <c r="U47" s="86">
        <v>12.884</v>
      </c>
      <c r="V47" s="86">
        <v>13.562000000000001</v>
      </c>
      <c r="W47" s="86">
        <v>10.170999999999999</v>
      </c>
      <c r="X47" s="86">
        <v>1.1850000000000023</v>
      </c>
      <c r="Y47" s="86">
        <v>0</v>
      </c>
      <c r="Z47" s="86">
        <v>0</v>
      </c>
      <c r="AA47" s="86">
        <f>+$M47-SUM($P47:Z47)</f>
        <v>0</v>
      </c>
      <c r="AB47" s="86">
        <f>+$M47-SUM($P47:AA47)</f>
        <v>0</v>
      </c>
      <c r="AC47" s="86">
        <f>+$M47-SUM($P47:AB47)</f>
        <v>0</v>
      </c>
      <c r="AD47" s="86">
        <f>+$M47-SUM($P47:AC47)</f>
        <v>0</v>
      </c>
      <c r="AE47" s="86">
        <f>+$M47-SUM($P47:AD47)</f>
        <v>0</v>
      </c>
      <c r="AF47" s="86">
        <f>+$M47-SUM($P47:AE47)</f>
        <v>0</v>
      </c>
      <c r="AG47" s="86">
        <f>+$M47-SUM($P47:AF47)</f>
        <v>0</v>
      </c>
      <c r="AH47" s="86">
        <f>+$M47-SUM($P47:AG47)</f>
        <v>0</v>
      </c>
      <c r="AI47" s="86">
        <f>+$M47-SUM($P47:AH47)</f>
        <v>0</v>
      </c>
    </row>
    <row r="48" spans="2:35" ht="30" customHeight="1" x14ac:dyDescent="0.3">
      <c r="B48" s="28" t="s">
        <v>169</v>
      </c>
      <c r="C48" s="223" t="str">
        <f>+VLOOKUP(B48,Liste!B:E,2,FALSE)</f>
        <v>Paslanmaz Çelik Plaka</v>
      </c>
      <c r="D48" s="223"/>
      <c r="E48" s="223"/>
      <c r="F48" s="223"/>
      <c r="G48" s="223"/>
      <c r="H48" s="224"/>
      <c r="I48" s="45"/>
      <c r="J48" s="21" t="str">
        <f>+VLOOKUP(B48,Liste!B:E,3,FALSE)</f>
        <v>kg</v>
      </c>
      <c r="K48" s="86" t="s">
        <v>1109</v>
      </c>
      <c r="L48" s="86" t="e">
        <f t="shared" si="0"/>
        <v>#VALUE!</v>
      </c>
      <c r="M48" s="86" t="str">
        <f>+IFERROR(VLOOKUP(B48,Metraj!B:P,15,FALSE),"")</f>
        <v/>
      </c>
      <c r="P48" s="96"/>
      <c r="Q48" s="86"/>
      <c r="R48" s="86"/>
      <c r="S48" s="86"/>
      <c r="T48" s="86"/>
      <c r="U48" s="86"/>
      <c r="V48" s="86"/>
      <c r="W48" s="86">
        <v>0</v>
      </c>
      <c r="X48" s="86">
        <v>0</v>
      </c>
      <c r="Y48" s="86">
        <v>0</v>
      </c>
      <c r="Z48" s="86">
        <v>0</v>
      </c>
      <c r="AA48" s="86">
        <f>+IFERROR($M48-SUM($P48:Z48),0)</f>
        <v>0</v>
      </c>
      <c r="AB48" s="86">
        <f>+IFERROR($M48-SUM($P48:AA48),0)</f>
        <v>0</v>
      </c>
      <c r="AC48" s="86">
        <f>+IFERROR($M48-SUM($P48:AB48),0)</f>
        <v>0</v>
      </c>
      <c r="AD48" s="86">
        <f>+IFERROR($M48-SUM($P48:AC48),0)</f>
        <v>0</v>
      </c>
      <c r="AE48" s="86">
        <f>+IFERROR($M48-SUM($P48:AD48),0)</f>
        <v>0</v>
      </c>
      <c r="AF48" s="86">
        <f>+IFERROR($M48-SUM($P48:AE48),0)</f>
        <v>0</v>
      </c>
      <c r="AG48" s="86">
        <f>+IFERROR($M48-SUM($P48:AF48),0)</f>
        <v>0</v>
      </c>
      <c r="AH48" s="86">
        <f>+IFERROR($M48-SUM($P48:AG48),0)</f>
        <v>0</v>
      </c>
      <c r="AI48" s="86">
        <f>+IFERROR($M48-SUM($P48:AH48),0)</f>
        <v>0</v>
      </c>
    </row>
    <row r="49" spans="2:35" ht="30" customHeight="1" x14ac:dyDescent="0.3">
      <c r="B49" s="28" t="s">
        <v>172</v>
      </c>
      <c r="C49" s="223" t="str">
        <f>+VLOOKUP(B49,Liste!B:E,2,FALSE)</f>
        <v>Block-out Kutusu</v>
      </c>
      <c r="D49" s="223"/>
      <c r="E49" s="223"/>
      <c r="F49" s="223"/>
      <c r="G49" s="223"/>
      <c r="H49" s="224"/>
      <c r="I49" s="45"/>
      <c r="J49" s="21" t="str">
        <f>+VLOOKUP(B49,Liste!B:E,3,FALSE)</f>
        <v>kg</v>
      </c>
      <c r="K49" s="86" t="s">
        <v>1109</v>
      </c>
      <c r="L49" s="86" t="e">
        <f t="shared" si="0"/>
        <v>#VALUE!</v>
      </c>
      <c r="M49" s="86" t="str">
        <f>+IFERROR(VLOOKUP(B49,Metraj!B:P,15,FALSE),"")</f>
        <v/>
      </c>
      <c r="P49" s="96"/>
      <c r="Q49" s="86"/>
      <c r="R49" s="86"/>
      <c r="S49" s="86"/>
      <c r="T49" s="86"/>
      <c r="U49" s="86"/>
      <c r="V49" s="86"/>
      <c r="W49" s="86">
        <v>0</v>
      </c>
      <c r="X49" s="86">
        <v>0</v>
      </c>
      <c r="Y49" s="86">
        <v>0</v>
      </c>
      <c r="Z49" s="86">
        <v>0</v>
      </c>
      <c r="AA49" s="86">
        <f>+IFERROR($M49-SUM($P49:Z49),0)</f>
        <v>0</v>
      </c>
      <c r="AB49" s="86">
        <f>+IFERROR($M49-SUM($P49:AA49),0)</f>
        <v>0</v>
      </c>
      <c r="AC49" s="86">
        <f>+IFERROR($M49-SUM($P49:AB49),0)</f>
        <v>0</v>
      </c>
      <c r="AD49" s="86">
        <f>+IFERROR($M49-SUM($P49:AC49),0)</f>
        <v>0</v>
      </c>
      <c r="AE49" s="86">
        <f>+IFERROR($M49-SUM($P49:AD49),0)</f>
        <v>0</v>
      </c>
      <c r="AF49" s="86">
        <f>+IFERROR($M49-SUM($P49:AE49),0)</f>
        <v>0</v>
      </c>
      <c r="AG49" s="86">
        <f>+IFERROR($M49-SUM($P49:AF49),0)</f>
        <v>0</v>
      </c>
      <c r="AH49" s="86">
        <f>+IFERROR($M49-SUM($P49:AG49),0)</f>
        <v>0</v>
      </c>
      <c r="AI49" s="86">
        <f>+IFERROR($M49-SUM($P49:AH49),0)</f>
        <v>0</v>
      </c>
    </row>
    <row r="50" spans="2:35" ht="15" customHeight="1" x14ac:dyDescent="0.3">
      <c r="B50" s="29"/>
      <c r="C50" s="32"/>
      <c r="D50" s="11"/>
      <c r="E50" s="11"/>
      <c r="F50" s="11"/>
      <c r="G50" s="11"/>
      <c r="H50" s="11"/>
      <c r="I50" s="11"/>
      <c r="J50" s="11"/>
      <c r="K50" s="11"/>
      <c r="L50" s="11"/>
      <c r="M50" s="29"/>
    </row>
    <row r="51" spans="2:35" ht="15" customHeight="1" x14ac:dyDescent="0.3">
      <c r="B51" s="29"/>
      <c r="C51" s="32"/>
      <c r="D51" s="11"/>
      <c r="E51" s="11"/>
      <c r="F51" s="11"/>
      <c r="G51" s="11"/>
      <c r="H51" s="11"/>
      <c r="I51" s="11"/>
      <c r="J51" s="11"/>
      <c r="K51" s="11"/>
      <c r="L51" s="11"/>
      <c r="M51" s="29"/>
    </row>
    <row r="60" spans="2:35" ht="15" customHeight="1" x14ac:dyDescent="0.3">
      <c r="B60" s="205"/>
      <c r="C60" s="205"/>
      <c r="D60" s="205"/>
      <c r="E60" s="206"/>
      <c r="F60" s="206"/>
      <c r="G60" s="206"/>
      <c r="H60" s="205"/>
      <c r="I60" s="205"/>
      <c r="J60" s="205"/>
      <c r="K60" s="205"/>
      <c r="L60" s="205"/>
      <c r="M60" s="205"/>
    </row>
    <row r="61" spans="2:35" ht="15" customHeight="1" x14ac:dyDescent="0.3">
      <c r="B61" s="201"/>
      <c r="C61" s="201"/>
      <c r="D61" s="201"/>
      <c r="E61" s="225"/>
      <c r="F61" s="225"/>
      <c r="G61" s="225"/>
      <c r="H61" s="225"/>
      <c r="I61" s="225"/>
      <c r="J61" s="225"/>
      <c r="K61" s="225"/>
      <c r="L61" s="225"/>
      <c r="M61" s="225"/>
    </row>
    <row r="62" spans="2:35" ht="15" customHeight="1" x14ac:dyDescent="0.3">
      <c r="B62" s="29"/>
      <c r="C62" s="29"/>
      <c r="D62" s="30"/>
      <c r="E62" s="30"/>
      <c r="F62" s="30"/>
      <c r="G62" s="31"/>
      <c r="H62" s="225"/>
      <c r="I62" s="225"/>
      <c r="J62" s="225"/>
      <c r="K62" s="225"/>
      <c r="L62" s="225"/>
      <c r="M62" s="225"/>
    </row>
    <row r="63" spans="2:35" ht="15" customHeight="1" x14ac:dyDescent="0.3">
      <c r="H63" s="225"/>
      <c r="I63" s="225"/>
      <c r="J63" s="225"/>
      <c r="K63" s="225"/>
      <c r="L63" s="225"/>
      <c r="M63" s="225"/>
    </row>
    <row r="71" spans="2:13" ht="15" customHeight="1" x14ac:dyDescent="0.3"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</row>
    <row r="72" spans="2:13" ht="15" customHeight="1" x14ac:dyDescent="0.3"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</row>
  </sheetData>
  <autoFilter ref="A19:N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</autoFilter>
  <mergeCells count="48">
    <mergeCell ref="B71:D71"/>
    <mergeCell ref="B72:D72"/>
    <mergeCell ref="H71:M71"/>
    <mergeCell ref="H72:M72"/>
    <mergeCell ref="E71:G71"/>
    <mergeCell ref="E72:G72"/>
    <mergeCell ref="C19:H19"/>
    <mergeCell ref="C20:H20"/>
    <mergeCell ref="B60:D60"/>
    <mergeCell ref="A5:N5"/>
    <mergeCell ref="A6:N6"/>
    <mergeCell ref="A7:N7"/>
    <mergeCell ref="A10:N10"/>
    <mergeCell ref="A12:N12"/>
    <mergeCell ref="C21:H21"/>
    <mergeCell ref="C22:H22"/>
    <mergeCell ref="C23:H23"/>
    <mergeCell ref="C24:H24"/>
    <mergeCell ref="C25:H25"/>
    <mergeCell ref="C26:H26"/>
    <mergeCell ref="C27:H27"/>
    <mergeCell ref="C28:H28"/>
    <mergeCell ref="B61:D61"/>
    <mergeCell ref="H60:M60"/>
    <mergeCell ref="E60:G60"/>
    <mergeCell ref="H61:M63"/>
    <mergeCell ref="E61:G61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9:H49"/>
    <mergeCell ref="C44:H44"/>
    <mergeCell ref="C45:H45"/>
    <mergeCell ref="C46:H46"/>
    <mergeCell ref="C47:H47"/>
    <mergeCell ref="C48:H48"/>
  </mergeCells>
  <phoneticPr fontId="12" type="noConversion"/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506"/>
  <sheetViews>
    <sheetView tabSelected="1" view="pageBreakPreview" topLeftCell="B1" zoomScale="85" zoomScaleNormal="100" zoomScaleSheetLayoutView="85" workbookViewId="0">
      <selection activeCell="AC2" sqref="AC2"/>
    </sheetView>
  </sheetViews>
  <sheetFormatPr defaultColWidth="8.88671875" defaultRowHeight="15" customHeight="1" x14ac:dyDescent="0.3"/>
  <cols>
    <col min="1" max="1" width="5.6640625" style="9" customWidth="1"/>
    <col min="2" max="2" width="10.6640625" style="9" customWidth="1"/>
    <col min="3" max="3" width="18.6640625" style="9" customWidth="1"/>
    <col min="4" max="7" width="7.33203125" style="9" customWidth="1"/>
    <col min="8" max="9" width="10.6640625" style="9" customWidth="1"/>
    <col min="10" max="10" width="7.33203125" style="9" bestFit="1" customWidth="1"/>
    <col min="11" max="11" width="7.33203125" style="9" customWidth="1"/>
    <col min="12" max="13" width="12.6640625" style="9" customWidth="1"/>
    <col min="14" max="14" width="17.33203125" style="9" bestFit="1" customWidth="1"/>
    <col min="15" max="15" width="12.6640625" style="9" customWidth="1"/>
    <col min="16" max="16" width="16.88671875" style="9" bestFit="1" customWidth="1"/>
    <col min="17" max="17" width="5.6640625" style="9" customWidth="1"/>
    <col min="18" max="26" width="0" style="9" hidden="1" customWidth="1"/>
    <col min="27" max="28" width="8.88671875" style="9"/>
    <col min="29" max="29" width="17" style="9" bestFit="1" customWidth="1"/>
    <col min="30" max="30" width="15.44140625" style="9" bestFit="1" customWidth="1"/>
    <col min="31" max="31" width="18.6640625" style="9" bestFit="1" customWidth="1"/>
    <col min="32" max="16384" width="8.88671875" style="9"/>
  </cols>
  <sheetData>
    <row r="1" spans="1:31" ht="15" customHeight="1" x14ac:dyDescent="0.3">
      <c r="AC1" s="9" t="s">
        <v>1105</v>
      </c>
      <c r="AD1" s="9" t="s">
        <v>1106</v>
      </c>
      <c r="AE1" s="9" t="s">
        <v>1107</v>
      </c>
    </row>
    <row r="2" spans="1:31" s="186" customFormat="1" ht="15" customHeight="1" x14ac:dyDescent="0.3">
      <c r="A2" s="196" t="s">
        <v>0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AC2" s="186">
        <f>+SUM(AC17:AC1000)</f>
        <v>107120723.89400001</v>
      </c>
      <c r="AD2" s="186">
        <f>+SUM(AD17:AD1000)</f>
        <v>0</v>
      </c>
      <c r="AE2" s="186">
        <f>+SUM(AE17:AE1000)</f>
        <v>107120723.89400001</v>
      </c>
    </row>
    <row r="3" spans="1:31" s="186" customFormat="1" ht="15" customHeight="1" x14ac:dyDescent="0.3">
      <c r="A3" s="196" t="s">
        <v>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</row>
    <row r="4" spans="1:31" s="186" customFormat="1" ht="15" customHeight="1" x14ac:dyDescent="0.3">
      <c r="A4" s="196" t="s">
        <v>1035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</row>
    <row r="5" spans="1:31" s="186" customFormat="1" ht="15" customHeight="1" x14ac:dyDescent="0.3">
      <c r="A5" s="185"/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</row>
    <row r="6" spans="1:31" s="186" customFormat="1" ht="15" customHeight="1" x14ac:dyDescent="0.3">
      <c r="A6" s="187"/>
      <c r="B6" s="187"/>
    </row>
    <row r="7" spans="1:31" s="186" customFormat="1" ht="15" customHeight="1" x14ac:dyDescent="0.3">
      <c r="A7" s="196" t="s">
        <v>2</v>
      </c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</row>
    <row r="8" spans="1:31" s="186" customFormat="1" ht="15" customHeight="1" x14ac:dyDescent="0.3">
      <c r="A8" s="187"/>
      <c r="B8" s="187"/>
    </row>
    <row r="9" spans="1:31" s="186" customFormat="1" ht="15" customHeight="1" x14ac:dyDescent="0.3">
      <c r="A9" s="196" t="str">
        <f>+Kapak!A28</f>
        <v>Barbaros İstasyonu Hat - 2 Halkalı Yönü P1 Tüneli 1.Aşama</v>
      </c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</row>
    <row r="10" spans="1:31" s="186" customFormat="1" ht="15" customHeight="1" x14ac:dyDescent="0.3">
      <c r="A10" s="185"/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</row>
    <row r="11" spans="1:31" s="186" customFormat="1" ht="15" customHeight="1" x14ac:dyDescent="0.3">
      <c r="A11" s="196" t="s">
        <v>983</v>
      </c>
      <c r="B11" s="196"/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</row>
    <row r="13" spans="1:31" ht="15" customHeight="1" x14ac:dyDescent="0.3">
      <c r="B13" s="13" t="s">
        <v>5</v>
      </c>
      <c r="C13" s="94">
        <f>+İcmal!C15</f>
        <v>5</v>
      </c>
      <c r="D13" s="11"/>
      <c r="E13" s="11"/>
      <c r="F13" s="11"/>
      <c r="G13" s="11"/>
      <c r="H13" s="11"/>
      <c r="I13" s="11"/>
      <c r="J13" s="11"/>
    </row>
    <row r="14" spans="1:31" ht="15" customHeight="1" x14ac:dyDescent="0.3">
      <c r="B14" s="13" t="s">
        <v>6</v>
      </c>
      <c r="C14" s="95">
        <f>+İcmal!C16</f>
        <v>46112</v>
      </c>
      <c r="D14" s="192"/>
      <c r="E14" s="192"/>
      <c r="F14" s="12"/>
      <c r="G14" s="12"/>
      <c r="H14" s="10"/>
      <c r="I14" s="10"/>
      <c r="J14" s="10"/>
    </row>
    <row r="16" spans="1:31" ht="30" customHeight="1" x14ac:dyDescent="0.3">
      <c r="B16" s="193" t="s">
        <v>7</v>
      </c>
      <c r="C16" s="194"/>
      <c r="D16" s="193" t="s">
        <v>8</v>
      </c>
      <c r="E16" s="195"/>
      <c r="F16" s="195"/>
      <c r="G16" s="195"/>
      <c r="H16" s="195"/>
      <c r="I16" s="195"/>
      <c r="J16" s="195"/>
      <c r="K16" s="195"/>
      <c r="L16" s="195"/>
      <c r="M16" s="33" t="s">
        <v>9</v>
      </c>
      <c r="N16" s="104" t="s">
        <v>1077</v>
      </c>
      <c r="O16" s="104" t="s">
        <v>1078</v>
      </c>
      <c r="P16" s="34" t="s">
        <v>1079</v>
      </c>
    </row>
    <row r="17" spans="2:31" ht="30" customHeight="1" x14ac:dyDescent="0.3">
      <c r="B17" s="199" t="s">
        <v>120</v>
      </c>
      <c r="C17" s="200"/>
      <c r="D17" s="197" t="str">
        <f>+VLOOKUP(B17,[1]Liste!B:E,2,FALSE)</f>
        <v>Geleneksel (NATM) Tünel Kazısı</v>
      </c>
      <c r="E17" s="198"/>
      <c r="F17" s="198"/>
      <c r="G17" s="198"/>
      <c r="H17" s="198"/>
      <c r="I17" s="198"/>
      <c r="J17" s="198"/>
      <c r="K17" s="198"/>
      <c r="L17" s="198"/>
      <c r="M17" s="35" t="str">
        <f>+VLOOKUP(B17,[1]Liste!B:E,3,FALSE)</f>
        <v>m³</v>
      </c>
      <c r="N17" s="66">
        <v>3641.1030000000001</v>
      </c>
      <c r="O17" s="66">
        <f>+P17-N17</f>
        <v>0</v>
      </c>
      <c r="P17" s="66">
        <f>+ROUND(SUM(P18:P131),3)</f>
        <v>3641.1030000000001</v>
      </c>
      <c r="AA17" s="9">
        <f>+VLOOKUP(B17,[2]Liste!$B$2:$F$483,5,FALSE)</f>
        <v>5075</v>
      </c>
      <c r="AC17" s="9">
        <f>+AA17*N17</f>
        <v>18478597.725000001</v>
      </c>
      <c r="AD17" s="9">
        <f>+AA17*O17</f>
        <v>0</v>
      </c>
      <c r="AE17" s="9">
        <f>+AA17*P17</f>
        <v>18478597.725000001</v>
      </c>
    </row>
    <row r="18" spans="2:31" ht="15" customHeight="1" x14ac:dyDescent="0.3">
      <c r="B18" s="54" t="s">
        <v>1015</v>
      </c>
      <c r="C18" s="93"/>
      <c r="D18" s="48"/>
      <c r="E18" s="48"/>
      <c r="F18" s="48"/>
      <c r="G18" s="48"/>
      <c r="H18" s="49"/>
      <c r="I18" s="49"/>
      <c r="J18" s="49"/>
      <c r="K18" s="50"/>
      <c r="L18" s="50"/>
      <c r="M18" s="51"/>
      <c r="N18" s="51"/>
      <c r="O18" s="52"/>
      <c r="P18" s="53"/>
    </row>
    <row r="19" spans="2:31" ht="15" customHeight="1" x14ac:dyDescent="0.3">
      <c r="B19" s="106" t="s">
        <v>982</v>
      </c>
      <c r="C19" s="106" t="s">
        <v>992</v>
      </c>
      <c r="D19" s="107" t="s">
        <v>991</v>
      </c>
      <c r="E19" s="107"/>
      <c r="F19" s="107"/>
      <c r="G19" s="107"/>
      <c r="H19" s="106" t="s">
        <v>989</v>
      </c>
      <c r="I19" s="106" t="s">
        <v>988</v>
      </c>
      <c r="J19" s="106" t="s">
        <v>993</v>
      </c>
      <c r="K19" s="106" t="s">
        <v>990</v>
      </c>
      <c r="L19" s="106" t="s">
        <v>986</v>
      </c>
      <c r="M19" s="108" t="s">
        <v>13</v>
      </c>
      <c r="N19" s="106"/>
      <c r="O19" s="108" t="s">
        <v>984</v>
      </c>
      <c r="P19" s="108" t="s">
        <v>15</v>
      </c>
    </row>
    <row r="20" spans="2:31" ht="15" customHeight="1" x14ac:dyDescent="0.3">
      <c r="B20" s="118">
        <v>3</v>
      </c>
      <c r="C20" s="119" t="s">
        <v>1062</v>
      </c>
      <c r="D20" s="120" t="s">
        <v>1063</v>
      </c>
      <c r="E20" s="120"/>
      <c r="F20" s="120"/>
      <c r="G20" s="120"/>
      <c r="H20" s="121">
        <v>1356.66</v>
      </c>
      <c r="I20" s="121">
        <v>1364.54</v>
      </c>
      <c r="J20" s="121" t="s">
        <v>994</v>
      </c>
      <c r="K20" s="118">
        <v>1</v>
      </c>
      <c r="L20" s="122">
        <v>0.38</v>
      </c>
      <c r="M20" s="122" t="s">
        <v>1008</v>
      </c>
      <c r="N20" s="188"/>
      <c r="O20" s="174">
        <v>33.408000000000001</v>
      </c>
      <c r="P20" s="189">
        <f t="shared" ref="P20" si="0">+ROUND(PRODUCT(K20:O20),3)</f>
        <v>12.695</v>
      </c>
    </row>
    <row r="21" spans="2:31" ht="15" customHeight="1" x14ac:dyDescent="0.3">
      <c r="B21" s="61">
        <v>3</v>
      </c>
      <c r="C21" s="58" t="s">
        <v>1062</v>
      </c>
      <c r="D21" s="59" t="s">
        <v>1063</v>
      </c>
      <c r="E21" s="59"/>
      <c r="F21" s="59"/>
      <c r="G21" s="59"/>
      <c r="H21" s="60">
        <v>1356.66</v>
      </c>
      <c r="I21" s="60">
        <v>1364.54</v>
      </c>
      <c r="J21" s="60" t="s">
        <v>994</v>
      </c>
      <c r="K21" s="61">
        <v>1</v>
      </c>
      <c r="L21" s="80">
        <v>0.75</v>
      </c>
      <c r="M21" s="80" t="s">
        <v>1008</v>
      </c>
      <c r="N21" s="100"/>
      <c r="O21" s="67">
        <v>33.408000000000001</v>
      </c>
      <c r="P21" s="101">
        <f t="shared" ref="P21:P32" si="1">+ROUND(PRODUCT(K21:O21),3)</f>
        <v>25.056000000000001</v>
      </c>
    </row>
    <row r="22" spans="2:31" ht="15" customHeight="1" x14ac:dyDescent="0.3">
      <c r="B22" s="61">
        <v>3</v>
      </c>
      <c r="C22" s="58" t="s">
        <v>1062</v>
      </c>
      <c r="D22" s="59" t="s">
        <v>1063</v>
      </c>
      <c r="E22" s="59"/>
      <c r="F22" s="59"/>
      <c r="G22" s="59"/>
      <c r="H22" s="60">
        <v>1356.66</v>
      </c>
      <c r="I22" s="60">
        <v>1364.54</v>
      </c>
      <c r="J22" s="60" t="s">
        <v>994</v>
      </c>
      <c r="K22" s="61">
        <v>2</v>
      </c>
      <c r="L22" s="80">
        <v>0.75</v>
      </c>
      <c r="M22" s="80" t="s">
        <v>1009</v>
      </c>
      <c r="N22" s="82"/>
      <c r="O22" s="67">
        <v>35.640999999999998</v>
      </c>
      <c r="P22" s="68">
        <f t="shared" si="1"/>
        <v>53.462000000000003</v>
      </c>
    </row>
    <row r="23" spans="2:31" ht="15" customHeight="1" x14ac:dyDescent="0.3">
      <c r="B23" s="61">
        <v>3</v>
      </c>
      <c r="C23" s="58" t="s">
        <v>1062</v>
      </c>
      <c r="D23" s="59" t="s">
        <v>1063</v>
      </c>
      <c r="E23" s="59"/>
      <c r="F23" s="59"/>
      <c r="G23" s="59"/>
      <c r="H23" s="60">
        <v>1356.66</v>
      </c>
      <c r="I23" s="60">
        <v>1364.54</v>
      </c>
      <c r="J23" s="60" t="s">
        <v>994</v>
      </c>
      <c r="K23" s="61">
        <v>2</v>
      </c>
      <c r="L23" s="80">
        <v>0.75</v>
      </c>
      <c r="M23" s="80" t="s">
        <v>1010</v>
      </c>
      <c r="N23" s="82"/>
      <c r="O23" s="67">
        <v>37.960999999999999</v>
      </c>
      <c r="P23" s="68">
        <f t="shared" si="1"/>
        <v>56.942</v>
      </c>
    </row>
    <row r="24" spans="2:31" ht="15" customHeight="1" x14ac:dyDescent="0.3">
      <c r="B24" s="61">
        <v>3</v>
      </c>
      <c r="C24" s="58" t="s">
        <v>1062</v>
      </c>
      <c r="D24" s="59" t="s">
        <v>1063</v>
      </c>
      <c r="E24" s="59"/>
      <c r="F24" s="59"/>
      <c r="G24" s="59"/>
      <c r="H24" s="60">
        <v>1356.66</v>
      </c>
      <c r="I24" s="60">
        <v>1364.54</v>
      </c>
      <c r="J24" s="60" t="s">
        <v>994</v>
      </c>
      <c r="K24" s="61">
        <v>2</v>
      </c>
      <c r="L24" s="80">
        <v>0.75</v>
      </c>
      <c r="M24" s="80" t="s">
        <v>1011</v>
      </c>
      <c r="N24" s="82"/>
      <c r="O24" s="67">
        <v>40.220999999999997</v>
      </c>
      <c r="P24" s="68">
        <f t="shared" si="1"/>
        <v>60.332000000000001</v>
      </c>
    </row>
    <row r="25" spans="2:31" ht="15" customHeight="1" x14ac:dyDescent="0.3">
      <c r="B25" s="61">
        <v>3</v>
      </c>
      <c r="C25" s="58" t="s">
        <v>1062</v>
      </c>
      <c r="D25" s="59" t="s">
        <v>1063</v>
      </c>
      <c r="E25" s="59"/>
      <c r="F25" s="59"/>
      <c r="G25" s="59"/>
      <c r="H25" s="60">
        <v>1356.66</v>
      </c>
      <c r="I25" s="60">
        <v>1364.54</v>
      </c>
      <c r="J25" s="60" t="s">
        <v>994</v>
      </c>
      <c r="K25" s="61">
        <v>2</v>
      </c>
      <c r="L25" s="80">
        <v>0.75</v>
      </c>
      <c r="M25" s="80" t="s">
        <v>1012</v>
      </c>
      <c r="N25" s="82"/>
      <c r="O25" s="67">
        <v>42.5</v>
      </c>
      <c r="P25" s="68">
        <f t="shared" si="1"/>
        <v>63.75</v>
      </c>
    </row>
    <row r="26" spans="2:31" ht="15" customHeight="1" x14ac:dyDescent="0.3">
      <c r="B26" s="61">
        <v>3</v>
      </c>
      <c r="C26" s="58" t="s">
        <v>1062</v>
      </c>
      <c r="D26" s="59" t="s">
        <v>1063</v>
      </c>
      <c r="E26" s="59"/>
      <c r="F26" s="59"/>
      <c r="G26" s="59"/>
      <c r="H26" s="60">
        <v>1356.66</v>
      </c>
      <c r="I26" s="60">
        <v>1364.54</v>
      </c>
      <c r="J26" s="60" t="s">
        <v>994</v>
      </c>
      <c r="K26" s="61">
        <v>1</v>
      </c>
      <c r="L26" s="80">
        <v>0.75</v>
      </c>
      <c r="M26" s="80" t="s">
        <v>1013</v>
      </c>
      <c r="N26" s="82"/>
      <c r="O26" s="67">
        <v>44.921999999999997</v>
      </c>
      <c r="P26" s="68">
        <f t="shared" si="1"/>
        <v>33.692</v>
      </c>
    </row>
    <row r="27" spans="2:31" ht="15" customHeight="1" x14ac:dyDescent="0.3">
      <c r="B27" s="118">
        <v>3</v>
      </c>
      <c r="C27" s="119" t="s">
        <v>1067</v>
      </c>
      <c r="D27" s="120" t="s">
        <v>1068</v>
      </c>
      <c r="E27" s="120"/>
      <c r="F27" s="120"/>
      <c r="G27" s="120"/>
      <c r="H27" s="121">
        <v>1364.54</v>
      </c>
      <c r="I27" s="121">
        <v>1383.29</v>
      </c>
      <c r="J27" s="121" t="s">
        <v>994</v>
      </c>
      <c r="K27" s="118">
        <v>4</v>
      </c>
      <c r="L27" s="122">
        <v>0.75</v>
      </c>
      <c r="M27" s="122" t="s">
        <v>1008</v>
      </c>
      <c r="N27" s="123"/>
      <c r="O27" s="117">
        <v>33.408000000000001</v>
      </c>
      <c r="P27" s="124">
        <f t="shared" si="1"/>
        <v>100.224</v>
      </c>
    </row>
    <row r="28" spans="2:31" ht="15" customHeight="1" x14ac:dyDescent="0.3">
      <c r="B28" s="61">
        <v>3</v>
      </c>
      <c r="C28" s="58" t="s">
        <v>1067</v>
      </c>
      <c r="D28" s="59" t="s">
        <v>1068</v>
      </c>
      <c r="E28" s="59"/>
      <c r="F28" s="59"/>
      <c r="G28" s="59"/>
      <c r="H28" s="60">
        <v>1364.54</v>
      </c>
      <c r="I28" s="60">
        <v>1383.29</v>
      </c>
      <c r="J28" s="60" t="s">
        <v>994</v>
      </c>
      <c r="K28" s="61">
        <v>4</v>
      </c>
      <c r="L28" s="80">
        <v>0.75</v>
      </c>
      <c r="M28" s="80" t="s">
        <v>1009</v>
      </c>
      <c r="N28" s="82"/>
      <c r="O28" s="67">
        <v>35.640999999999998</v>
      </c>
      <c r="P28" s="68">
        <f t="shared" si="1"/>
        <v>106.923</v>
      </c>
    </row>
    <row r="29" spans="2:31" ht="15" customHeight="1" x14ac:dyDescent="0.3">
      <c r="B29" s="61">
        <v>3</v>
      </c>
      <c r="C29" s="58" t="s">
        <v>1067</v>
      </c>
      <c r="D29" s="59" t="s">
        <v>1068</v>
      </c>
      <c r="E29" s="59"/>
      <c r="F29" s="59"/>
      <c r="G29" s="59"/>
      <c r="H29" s="60">
        <v>1364.54</v>
      </c>
      <c r="I29" s="60">
        <v>1383.29</v>
      </c>
      <c r="J29" s="60" t="s">
        <v>994</v>
      </c>
      <c r="K29" s="61">
        <v>4</v>
      </c>
      <c r="L29" s="80">
        <v>0.75</v>
      </c>
      <c r="M29" s="80" t="s">
        <v>1010</v>
      </c>
      <c r="N29" s="82"/>
      <c r="O29" s="67">
        <v>37.960999999999999</v>
      </c>
      <c r="P29" s="68">
        <f t="shared" si="1"/>
        <v>113.883</v>
      </c>
    </row>
    <row r="30" spans="2:31" ht="15" customHeight="1" x14ac:dyDescent="0.3">
      <c r="B30" s="61">
        <v>3</v>
      </c>
      <c r="C30" s="58" t="s">
        <v>1067</v>
      </c>
      <c r="D30" s="59" t="s">
        <v>1068</v>
      </c>
      <c r="E30" s="59"/>
      <c r="F30" s="59"/>
      <c r="G30" s="59"/>
      <c r="H30" s="60">
        <v>1364.54</v>
      </c>
      <c r="I30" s="60">
        <v>1383.29</v>
      </c>
      <c r="J30" s="60" t="s">
        <v>994</v>
      </c>
      <c r="K30" s="61">
        <v>4</v>
      </c>
      <c r="L30" s="80">
        <v>0.75</v>
      </c>
      <c r="M30" s="80" t="s">
        <v>1011</v>
      </c>
      <c r="N30" s="82"/>
      <c r="O30" s="67">
        <v>40.220999999999997</v>
      </c>
      <c r="P30" s="68">
        <f t="shared" si="1"/>
        <v>120.663</v>
      </c>
    </row>
    <row r="31" spans="2:31" ht="15" customHeight="1" x14ac:dyDescent="0.3">
      <c r="B31" s="61">
        <v>3</v>
      </c>
      <c r="C31" s="58" t="s">
        <v>1067</v>
      </c>
      <c r="D31" s="59" t="s">
        <v>1068</v>
      </c>
      <c r="E31" s="59"/>
      <c r="F31" s="59"/>
      <c r="G31" s="59"/>
      <c r="H31" s="60">
        <v>1364.54</v>
      </c>
      <c r="I31" s="60">
        <v>1383.29</v>
      </c>
      <c r="J31" s="60" t="s">
        <v>994</v>
      </c>
      <c r="K31" s="61">
        <v>4</v>
      </c>
      <c r="L31" s="80">
        <v>0.75</v>
      </c>
      <c r="M31" s="80" t="s">
        <v>1012</v>
      </c>
      <c r="N31" s="82"/>
      <c r="O31" s="67">
        <v>42.5</v>
      </c>
      <c r="P31" s="68">
        <f t="shared" si="1"/>
        <v>127.5</v>
      </c>
    </row>
    <row r="32" spans="2:31" ht="15" customHeight="1" x14ac:dyDescent="0.3">
      <c r="B32" s="61">
        <v>3</v>
      </c>
      <c r="C32" s="58" t="s">
        <v>1067</v>
      </c>
      <c r="D32" s="59" t="s">
        <v>1068</v>
      </c>
      <c r="E32" s="59"/>
      <c r="F32" s="59"/>
      <c r="G32" s="59"/>
      <c r="H32" s="60">
        <v>1364.54</v>
      </c>
      <c r="I32" s="60">
        <v>1383.29</v>
      </c>
      <c r="J32" s="60" t="s">
        <v>994</v>
      </c>
      <c r="K32" s="61">
        <v>5</v>
      </c>
      <c r="L32" s="80">
        <v>0.75</v>
      </c>
      <c r="M32" s="80" t="s">
        <v>1013</v>
      </c>
      <c r="N32" s="82"/>
      <c r="O32" s="67">
        <v>44.921999999999997</v>
      </c>
      <c r="P32" s="68">
        <f t="shared" si="1"/>
        <v>168.458</v>
      </c>
    </row>
    <row r="33" spans="2:19" ht="15" customHeight="1" x14ac:dyDescent="0.3">
      <c r="B33" s="118">
        <v>4</v>
      </c>
      <c r="C33" s="119" t="s">
        <v>1081</v>
      </c>
      <c r="D33" s="120" t="s">
        <v>1080</v>
      </c>
      <c r="E33" s="120"/>
      <c r="F33" s="120"/>
      <c r="G33" s="120"/>
      <c r="H33" s="121">
        <v>1383.29</v>
      </c>
      <c r="I33" s="121">
        <v>1403.54</v>
      </c>
      <c r="J33" s="121" t="s">
        <v>994</v>
      </c>
      <c r="K33" s="118">
        <v>5</v>
      </c>
      <c r="L33" s="122">
        <v>0.75</v>
      </c>
      <c r="M33" s="122" t="s">
        <v>1008</v>
      </c>
      <c r="N33" s="123"/>
      <c r="O33" s="117">
        <v>33.408000000000001</v>
      </c>
      <c r="P33" s="124">
        <f t="shared" ref="P33:P38" si="2">+ROUND(PRODUCT(K33:O33),3)</f>
        <v>125.28</v>
      </c>
    </row>
    <row r="34" spans="2:19" ht="15" customHeight="1" x14ac:dyDescent="0.3">
      <c r="B34" s="61">
        <v>4</v>
      </c>
      <c r="C34" s="58" t="s">
        <v>1081</v>
      </c>
      <c r="D34" s="59" t="s">
        <v>1080</v>
      </c>
      <c r="E34" s="59"/>
      <c r="F34" s="59"/>
      <c r="G34" s="59"/>
      <c r="H34" s="60">
        <v>1383.29</v>
      </c>
      <c r="I34" s="60">
        <v>1403.54</v>
      </c>
      <c r="J34" s="60" t="s">
        <v>994</v>
      </c>
      <c r="K34" s="61">
        <v>5</v>
      </c>
      <c r="L34" s="80">
        <v>0.75</v>
      </c>
      <c r="M34" s="80" t="s">
        <v>1009</v>
      </c>
      <c r="N34" s="82"/>
      <c r="O34" s="67">
        <v>35.640999999999998</v>
      </c>
      <c r="P34" s="68">
        <f t="shared" si="2"/>
        <v>133.654</v>
      </c>
    </row>
    <row r="35" spans="2:19" ht="15" customHeight="1" x14ac:dyDescent="0.3">
      <c r="B35" s="61">
        <v>4</v>
      </c>
      <c r="C35" s="58" t="s">
        <v>1081</v>
      </c>
      <c r="D35" s="59" t="s">
        <v>1080</v>
      </c>
      <c r="E35" s="59"/>
      <c r="F35" s="59"/>
      <c r="G35" s="59"/>
      <c r="H35" s="60">
        <v>1383.29</v>
      </c>
      <c r="I35" s="60">
        <v>1403.54</v>
      </c>
      <c r="J35" s="60" t="s">
        <v>994</v>
      </c>
      <c r="K35" s="61">
        <v>5</v>
      </c>
      <c r="L35" s="80">
        <v>0.75</v>
      </c>
      <c r="M35" s="80" t="s">
        <v>1010</v>
      </c>
      <c r="N35" s="82"/>
      <c r="O35" s="67">
        <v>37.960999999999999</v>
      </c>
      <c r="P35" s="68">
        <f t="shared" si="2"/>
        <v>142.35400000000001</v>
      </c>
    </row>
    <row r="36" spans="2:19" ht="15" customHeight="1" x14ac:dyDescent="0.3">
      <c r="B36" s="61">
        <v>4</v>
      </c>
      <c r="C36" s="58" t="s">
        <v>1081</v>
      </c>
      <c r="D36" s="59" t="s">
        <v>1080</v>
      </c>
      <c r="E36" s="59"/>
      <c r="F36" s="59"/>
      <c r="G36" s="59"/>
      <c r="H36" s="60">
        <v>1383.29</v>
      </c>
      <c r="I36" s="60">
        <v>1403.54</v>
      </c>
      <c r="J36" s="60" t="s">
        <v>994</v>
      </c>
      <c r="K36" s="61">
        <v>4</v>
      </c>
      <c r="L36" s="80">
        <v>0.75</v>
      </c>
      <c r="M36" s="80" t="s">
        <v>1011</v>
      </c>
      <c r="N36" s="82"/>
      <c r="O36" s="67">
        <v>40.220999999999997</v>
      </c>
      <c r="P36" s="68">
        <f t="shared" si="2"/>
        <v>120.663</v>
      </c>
    </row>
    <row r="37" spans="2:19" ht="15" customHeight="1" x14ac:dyDescent="0.3">
      <c r="B37" s="61">
        <v>4</v>
      </c>
      <c r="C37" s="58" t="s">
        <v>1081</v>
      </c>
      <c r="D37" s="59" t="s">
        <v>1080</v>
      </c>
      <c r="E37" s="59"/>
      <c r="F37" s="59"/>
      <c r="G37" s="59"/>
      <c r="H37" s="60">
        <v>1383.29</v>
      </c>
      <c r="I37" s="60">
        <v>1403.54</v>
      </c>
      <c r="J37" s="60" t="s">
        <v>994</v>
      </c>
      <c r="K37" s="61">
        <v>4</v>
      </c>
      <c r="L37" s="80">
        <v>0.75</v>
      </c>
      <c r="M37" s="80" t="s">
        <v>1012</v>
      </c>
      <c r="N37" s="82"/>
      <c r="O37" s="67">
        <v>42.5</v>
      </c>
      <c r="P37" s="68">
        <f t="shared" si="2"/>
        <v>127.5</v>
      </c>
    </row>
    <row r="38" spans="2:19" ht="15" customHeight="1" x14ac:dyDescent="0.3">
      <c r="B38" s="61">
        <v>4</v>
      </c>
      <c r="C38" s="58" t="s">
        <v>1081</v>
      </c>
      <c r="D38" s="59" t="s">
        <v>1080</v>
      </c>
      <c r="E38" s="59"/>
      <c r="F38" s="59"/>
      <c r="G38" s="59"/>
      <c r="H38" s="60">
        <v>1383.29</v>
      </c>
      <c r="I38" s="60">
        <v>1403.54</v>
      </c>
      <c r="J38" s="60" t="s">
        <v>994</v>
      </c>
      <c r="K38" s="61">
        <v>4</v>
      </c>
      <c r="L38" s="80">
        <v>0.75</v>
      </c>
      <c r="M38" s="80" t="s">
        <v>1013</v>
      </c>
      <c r="N38" s="82"/>
      <c r="O38" s="67">
        <v>44.921999999999997</v>
      </c>
      <c r="P38" s="68">
        <f t="shared" si="2"/>
        <v>134.76599999999999</v>
      </c>
    </row>
    <row r="39" spans="2:19" ht="15" customHeight="1" x14ac:dyDescent="0.3">
      <c r="B39" s="109">
        <v>4</v>
      </c>
      <c r="C39" s="110" t="s">
        <v>1087</v>
      </c>
      <c r="D39" s="111" t="s">
        <v>1088</v>
      </c>
      <c r="E39" s="111"/>
      <c r="F39" s="111"/>
      <c r="G39" s="111"/>
      <c r="H39" s="112">
        <v>1403.54</v>
      </c>
      <c r="I39" s="112">
        <v>1423.79</v>
      </c>
      <c r="J39" s="112" t="s">
        <v>994</v>
      </c>
      <c r="K39" s="109">
        <v>4</v>
      </c>
      <c r="L39" s="113">
        <v>0.75</v>
      </c>
      <c r="M39" s="113" t="s">
        <v>1008</v>
      </c>
      <c r="N39" s="114"/>
      <c r="O39" s="115">
        <v>33.408000000000001</v>
      </c>
      <c r="P39" s="116">
        <f t="shared" ref="P39:P44" si="3">+ROUND(PRODUCT(K39:O39),3)</f>
        <v>100.224</v>
      </c>
      <c r="S39" s="105"/>
    </row>
    <row r="40" spans="2:19" ht="15" customHeight="1" x14ac:dyDescent="0.3">
      <c r="B40" s="61">
        <v>4</v>
      </c>
      <c r="C40" s="58" t="s">
        <v>1087</v>
      </c>
      <c r="D40" s="59" t="s">
        <v>1088</v>
      </c>
      <c r="E40" s="59"/>
      <c r="F40" s="59"/>
      <c r="G40" s="59"/>
      <c r="H40" s="60">
        <v>1403.54</v>
      </c>
      <c r="I40" s="60">
        <v>1423.79</v>
      </c>
      <c r="J40" s="60" t="s">
        <v>994</v>
      </c>
      <c r="K40" s="61">
        <v>4</v>
      </c>
      <c r="L40" s="80">
        <v>0.75</v>
      </c>
      <c r="M40" s="80" t="s">
        <v>1009</v>
      </c>
      <c r="N40" s="82"/>
      <c r="O40" s="67">
        <v>35.640999999999998</v>
      </c>
      <c r="P40" s="68">
        <f t="shared" si="3"/>
        <v>106.923</v>
      </c>
    </row>
    <row r="41" spans="2:19" ht="15" customHeight="1" x14ac:dyDescent="0.3">
      <c r="B41" s="61">
        <v>4</v>
      </c>
      <c r="C41" s="58" t="s">
        <v>1087</v>
      </c>
      <c r="D41" s="59" t="s">
        <v>1088</v>
      </c>
      <c r="E41" s="59"/>
      <c r="F41" s="59"/>
      <c r="G41" s="59"/>
      <c r="H41" s="60">
        <v>1403.54</v>
      </c>
      <c r="I41" s="60">
        <v>1423.79</v>
      </c>
      <c r="J41" s="60" t="s">
        <v>994</v>
      </c>
      <c r="K41" s="61">
        <v>4</v>
      </c>
      <c r="L41" s="80">
        <v>0.75</v>
      </c>
      <c r="M41" s="80" t="s">
        <v>1010</v>
      </c>
      <c r="N41" s="82"/>
      <c r="O41" s="67">
        <v>37.960999999999999</v>
      </c>
      <c r="P41" s="68">
        <f t="shared" si="3"/>
        <v>113.883</v>
      </c>
    </row>
    <row r="42" spans="2:19" ht="15" customHeight="1" x14ac:dyDescent="0.3">
      <c r="B42" s="61">
        <v>4</v>
      </c>
      <c r="C42" s="58" t="s">
        <v>1087</v>
      </c>
      <c r="D42" s="59" t="s">
        <v>1088</v>
      </c>
      <c r="E42" s="59"/>
      <c r="F42" s="59"/>
      <c r="G42" s="59"/>
      <c r="H42" s="60">
        <v>1403.54</v>
      </c>
      <c r="I42" s="60">
        <v>1423.79</v>
      </c>
      <c r="J42" s="60" t="s">
        <v>994</v>
      </c>
      <c r="K42" s="61">
        <v>5</v>
      </c>
      <c r="L42" s="80">
        <v>0.75</v>
      </c>
      <c r="M42" s="80" t="s">
        <v>1011</v>
      </c>
      <c r="N42" s="82"/>
      <c r="O42" s="67">
        <v>40.220999999999997</v>
      </c>
      <c r="P42" s="68">
        <f t="shared" si="3"/>
        <v>150.82900000000001</v>
      </c>
    </row>
    <row r="43" spans="2:19" ht="15" customHeight="1" x14ac:dyDescent="0.3">
      <c r="B43" s="61">
        <v>4</v>
      </c>
      <c r="C43" s="58" t="s">
        <v>1087</v>
      </c>
      <c r="D43" s="59" t="s">
        <v>1088</v>
      </c>
      <c r="E43" s="59"/>
      <c r="F43" s="59"/>
      <c r="G43" s="59"/>
      <c r="H43" s="60">
        <v>1403.54</v>
      </c>
      <c r="I43" s="60">
        <v>1423.79</v>
      </c>
      <c r="J43" s="60" t="s">
        <v>994</v>
      </c>
      <c r="K43" s="61">
        <v>5</v>
      </c>
      <c r="L43" s="80">
        <v>0.75</v>
      </c>
      <c r="M43" s="80" t="s">
        <v>1012</v>
      </c>
      <c r="N43" s="82"/>
      <c r="O43" s="67">
        <v>42.5</v>
      </c>
      <c r="P43" s="68">
        <f t="shared" si="3"/>
        <v>159.375</v>
      </c>
    </row>
    <row r="44" spans="2:19" ht="15" customHeight="1" x14ac:dyDescent="0.3">
      <c r="B44" s="61">
        <v>4</v>
      </c>
      <c r="C44" s="58" t="s">
        <v>1087</v>
      </c>
      <c r="D44" s="59" t="s">
        <v>1088</v>
      </c>
      <c r="E44" s="59"/>
      <c r="F44" s="59"/>
      <c r="G44" s="59"/>
      <c r="H44" s="60">
        <v>1403.54</v>
      </c>
      <c r="I44" s="60">
        <v>1423.79</v>
      </c>
      <c r="J44" s="60" t="s">
        <v>994</v>
      </c>
      <c r="K44" s="61">
        <v>5</v>
      </c>
      <c r="L44" s="80">
        <v>0.75</v>
      </c>
      <c r="M44" s="80" t="s">
        <v>1013</v>
      </c>
      <c r="N44" s="82"/>
      <c r="O44" s="67">
        <v>44.921999999999997</v>
      </c>
      <c r="P44" s="68">
        <f t="shared" si="3"/>
        <v>168.458</v>
      </c>
    </row>
    <row r="45" spans="2:19" ht="15" customHeight="1" x14ac:dyDescent="0.3">
      <c r="B45" s="109">
        <v>4</v>
      </c>
      <c r="C45" s="110" t="s">
        <v>1093</v>
      </c>
      <c r="D45" s="111" t="s">
        <v>1094</v>
      </c>
      <c r="E45" s="111"/>
      <c r="F45" s="111"/>
      <c r="G45" s="111"/>
      <c r="H45" s="60">
        <v>1423.79</v>
      </c>
      <c r="I45" s="112">
        <v>1438.24</v>
      </c>
      <c r="J45" s="112" t="s">
        <v>994</v>
      </c>
      <c r="K45" s="109">
        <v>3</v>
      </c>
      <c r="L45" s="113">
        <v>0.75</v>
      </c>
      <c r="M45" s="113" t="s">
        <v>1008</v>
      </c>
      <c r="N45" s="114"/>
      <c r="O45" s="115">
        <v>33.408000000000001</v>
      </c>
      <c r="P45" s="116">
        <f t="shared" ref="P45:P52" si="4">+ROUND(PRODUCT(K45:O45),3)</f>
        <v>75.168000000000006</v>
      </c>
      <c r="R45" s="105"/>
      <c r="S45" s="105"/>
    </row>
    <row r="46" spans="2:19" ht="15" customHeight="1" x14ac:dyDescent="0.3">
      <c r="B46" s="61">
        <v>4</v>
      </c>
      <c r="C46" s="58" t="s">
        <v>1093</v>
      </c>
      <c r="D46" s="59" t="s">
        <v>1094</v>
      </c>
      <c r="E46" s="59"/>
      <c r="F46" s="59"/>
      <c r="G46" s="59"/>
      <c r="H46" s="60">
        <v>1423.79</v>
      </c>
      <c r="I46" s="112">
        <v>1438.24</v>
      </c>
      <c r="J46" s="60" t="s">
        <v>994</v>
      </c>
      <c r="K46" s="61">
        <v>3</v>
      </c>
      <c r="L46" s="80">
        <v>0.75</v>
      </c>
      <c r="M46" s="80" t="s">
        <v>1009</v>
      </c>
      <c r="N46" s="82"/>
      <c r="O46" s="67">
        <v>35.640999999999998</v>
      </c>
      <c r="P46" s="68">
        <f t="shared" si="4"/>
        <v>80.191999999999993</v>
      </c>
    </row>
    <row r="47" spans="2:19" ht="15" customHeight="1" x14ac:dyDescent="0.3">
      <c r="B47" s="61">
        <v>4</v>
      </c>
      <c r="C47" s="58" t="s">
        <v>1093</v>
      </c>
      <c r="D47" s="59" t="s">
        <v>1094</v>
      </c>
      <c r="E47" s="59"/>
      <c r="F47" s="59"/>
      <c r="G47" s="59"/>
      <c r="H47" s="60">
        <v>1423.79</v>
      </c>
      <c r="I47" s="112">
        <v>1438.24</v>
      </c>
      <c r="J47" s="60" t="s">
        <v>994</v>
      </c>
      <c r="K47" s="61">
        <v>3</v>
      </c>
      <c r="L47" s="80">
        <v>0.75</v>
      </c>
      <c r="M47" s="80" t="s">
        <v>1010</v>
      </c>
      <c r="N47" s="82"/>
      <c r="O47" s="67">
        <v>37.960999999999999</v>
      </c>
      <c r="P47" s="68">
        <f t="shared" si="4"/>
        <v>85.412000000000006</v>
      </c>
    </row>
    <row r="48" spans="2:19" ht="15" customHeight="1" x14ac:dyDescent="0.3">
      <c r="B48" s="61">
        <v>4</v>
      </c>
      <c r="C48" s="58" t="s">
        <v>1093</v>
      </c>
      <c r="D48" s="59" t="s">
        <v>1094</v>
      </c>
      <c r="E48" s="59"/>
      <c r="F48" s="59"/>
      <c r="G48" s="59"/>
      <c r="H48" s="60">
        <v>1423.79</v>
      </c>
      <c r="I48" s="112">
        <v>1438.24</v>
      </c>
      <c r="J48" s="60" t="s">
        <v>994</v>
      </c>
      <c r="K48" s="61">
        <v>3</v>
      </c>
      <c r="L48" s="80">
        <v>0.75</v>
      </c>
      <c r="M48" s="80" t="s">
        <v>1011</v>
      </c>
      <c r="N48" s="82"/>
      <c r="O48" s="67">
        <v>40.220999999999997</v>
      </c>
      <c r="P48" s="68">
        <f t="shared" si="4"/>
        <v>90.497</v>
      </c>
    </row>
    <row r="49" spans="2:16" ht="15" customHeight="1" x14ac:dyDescent="0.3">
      <c r="B49" s="61">
        <v>4</v>
      </c>
      <c r="C49" s="58" t="s">
        <v>1093</v>
      </c>
      <c r="D49" s="59" t="s">
        <v>1094</v>
      </c>
      <c r="E49" s="59"/>
      <c r="F49" s="59"/>
      <c r="G49" s="59"/>
      <c r="H49" s="60">
        <v>1423.79</v>
      </c>
      <c r="I49" s="112">
        <v>1438.24</v>
      </c>
      <c r="J49" s="60" t="s">
        <v>994</v>
      </c>
      <c r="K49" s="61">
        <v>3</v>
      </c>
      <c r="L49" s="80">
        <v>0.75</v>
      </c>
      <c r="M49" s="80" t="s">
        <v>1012</v>
      </c>
      <c r="N49" s="82"/>
      <c r="O49" s="67">
        <v>42.5</v>
      </c>
      <c r="P49" s="68">
        <f t="shared" si="4"/>
        <v>95.625</v>
      </c>
    </row>
    <row r="50" spans="2:16" ht="15" customHeight="1" x14ac:dyDescent="0.3">
      <c r="B50" s="61">
        <v>4</v>
      </c>
      <c r="C50" s="58" t="s">
        <v>1093</v>
      </c>
      <c r="D50" s="59" t="s">
        <v>1094</v>
      </c>
      <c r="E50" s="59"/>
      <c r="F50" s="59"/>
      <c r="G50" s="59"/>
      <c r="H50" s="60">
        <v>1423.79</v>
      </c>
      <c r="I50" s="112">
        <v>1438.24</v>
      </c>
      <c r="J50" s="60" t="s">
        <v>994</v>
      </c>
      <c r="K50" s="61">
        <v>3</v>
      </c>
      <c r="L50" s="80">
        <v>0.75</v>
      </c>
      <c r="M50" s="80" t="s">
        <v>1013</v>
      </c>
      <c r="N50" s="82"/>
      <c r="O50" s="67">
        <v>44.921999999999997</v>
      </c>
      <c r="P50" s="68">
        <f t="shared" si="4"/>
        <v>101.075</v>
      </c>
    </row>
    <row r="51" spans="2:16" ht="15" customHeight="1" x14ac:dyDescent="0.3">
      <c r="B51" s="61">
        <v>4</v>
      </c>
      <c r="C51" s="58" t="s">
        <v>1093</v>
      </c>
      <c r="D51" s="59" t="s">
        <v>1094</v>
      </c>
      <c r="E51" s="59"/>
      <c r="F51" s="59"/>
      <c r="G51" s="59"/>
      <c r="H51" s="60">
        <v>1423.79</v>
      </c>
      <c r="I51" s="112">
        <v>1438.24</v>
      </c>
      <c r="J51" s="60" t="s">
        <v>994</v>
      </c>
      <c r="K51" s="61">
        <v>1</v>
      </c>
      <c r="L51" s="80">
        <v>0.65</v>
      </c>
      <c r="M51" s="80" t="s">
        <v>1013</v>
      </c>
      <c r="N51" s="82"/>
      <c r="O51" s="67">
        <v>44.921999999999997</v>
      </c>
      <c r="P51" s="68">
        <f t="shared" ref="P51" si="5">+ROUND(PRODUCT(K51:O51),3)</f>
        <v>29.199000000000002</v>
      </c>
    </row>
    <row r="52" spans="2:16" ht="15" customHeight="1" x14ac:dyDescent="0.3">
      <c r="B52" s="61">
        <v>4</v>
      </c>
      <c r="C52" s="58" t="s">
        <v>1093</v>
      </c>
      <c r="D52" s="59" t="s">
        <v>1094</v>
      </c>
      <c r="E52" s="59"/>
      <c r="F52" s="59"/>
      <c r="G52" s="59"/>
      <c r="H52" s="60">
        <v>1423.79</v>
      </c>
      <c r="I52" s="112">
        <v>1438.24</v>
      </c>
      <c r="J52" s="60" t="s">
        <v>994</v>
      </c>
      <c r="K52" s="61">
        <v>1</v>
      </c>
      <c r="L52" s="80">
        <v>0.3</v>
      </c>
      <c r="M52" s="80" t="s">
        <v>1013</v>
      </c>
      <c r="N52" s="82"/>
      <c r="O52" s="67">
        <v>44.921999999999997</v>
      </c>
      <c r="P52" s="68">
        <f t="shared" si="4"/>
        <v>13.477</v>
      </c>
    </row>
    <row r="53" spans="2:16" ht="15" customHeight="1" x14ac:dyDescent="0.3">
      <c r="B53" s="54" t="s">
        <v>1016</v>
      </c>
      <c r="C53" s="93"/>
      <c r="D53" s="48"/>
      <c r="E53" s="48"/>
      <c r="F53" s="48"/>
      <c r="G53" s="48"/>
      <c r="H53" s="49"/>
      <c r="I53" s="49"/>
      <c r="J53" s="49"/>
      <c r="K53" s="50"/>
      <c r="L53" s="50"/>
      <c r="M53" s="51"/>
      <c r="N53" s="51"/>
      <c r="O53" s="52"/>
      <c r="P53" s="53"/>
    </row>
    <row r="54" spans="2:16" ht="15" customHeight="1" x14ac:dyDescent="0.3">
      <c r="B54" s="106" t="s">
        <v>982</v>
      </c>
      <c r="C54" s="106" t="s">
        <v>992</v>
      </c>
      <c r="D54" s="107" t="s">
        <v>991</v>
      </c>
      <c r="E54" s="107"/>
      <c r="F54" s="107"/>
      <c r="G54" s="107"/>
      <c r="H54" s="106" t="s">
        <v>989</v>
      </c>
      <c r="I54" s="106" t="s">
        <v>988</v>
      </c>
      <c r="J54" s="106" t="s">
        <v>993</v>
      </c>
      <c r="K54" s="106" t="s">
        <v>990</v>
      </c>
      <c r="L54" s="106" t="s">
        <v>986</v>
      </c>
      <c r="M54" s="108" t="s">
        <v>13</v>
      </c>
      <c r="N54" s="106"/>
      <c r="O54" s="108" t="s">
        <v>984</v>
      </c>
      <c r="P54" s="108" t="s">
        <v>15</v>
      </c>
    </row>
    <row r="55" spans="2:16" ht="15" customHeight="1" x14ac:dyDescent="0.3">
      <c r="B55" s="118">
        <v>3</v>
      </c>
      <c r="C55" s="119" t="s">
        <v>1062</v>
      </c>
      <c r="D55" s="120" t="s">
        <v>1063</v>
      </c>
      <c r="E55" s="120"/>
      <c r="F55" s="120"/>
      <c r="G55" s="120"/>
      <c r="H55" s="121">
        <v>1356.66</v>
      </c>
      <c r="I55" s="121">
        <v>1359.29</v>
      </c>
      <c r="J55" s="121" t="s">
        <v>1006</v>
      </c>
      <c r="K55" s="118">
        <v>1</v>
      </c>
      <c r="L55" s="122">
        <v>0.38</v>
      </c>
      <c r="M55" s="122" t="s">
        <v>1023</v>
      </c>
      <c r="N55" s="188"/>
      <c r="O55" s="174">
        <v>1.484</v>
      </c>
      <c r="P55" s="189">
        <f t="shared" ref="P55:P64" si="6">+ROUND(PRODUCT(K55:O55),3)</f>
        <v>0.56399999999999995</v>
      </c>
    </row>
    <row r="56" spans="2:16" ht="15" customHeight="1" x14ac:dyDescent="0.3">
      <c r="B56" s="61">
        <v>3</v>
      </c>
      <c r="C56" s="58" t="s">
        <v>1062</v>
      </c>
      <c r="D56" s="59" t="s">
        <v>1063</v>
      </c>
      <c r="E56" s="59"/>
      <c r="F56" s="59"/>
      <c r="G56" s="59"/>
      <c r="H56" s="60">
        <v>1356.66</v>
      </c>
      <c r="I56" s="60">
        <v>1359.29</v>
      </c>
      <c r="J56" s="60" t="s">
        <v>1006</v>
      </c>
      <c r="K56" s="61">
        <v>1</v>
      </c>
      <c r="L56" s="80">
        <v>0.75</v>
      </c>
      <c r="M56" s="80" t="s">
        <v>1025</v>
      </c>
      <c r="N56" s="82"/>
      <c r="O56" s="67">
        <v>1.55</v>
      </c>
      <c r="P56" s="68">
        <f t="shared" si="6"/>
        <v>1.163</v>
      </c>
    </row>
    <row r="57" spans="2:16" ht="15" customHeight="1" x14ac:dyDescent="0.3">
      <c r="B57" s="61">
        <v>3</v>
      </c>
      <c r="C57" s="58" t="s">
        <v>1062</v>
      </c>
      <c r="D57" s="59" t="s">
        <v>1063</v>
      </c>
      <c r="E57" s="59"/>
      <c r="F57" s="59"/>
      <c r="G57" s="59"/>
      <c r="H57" s="60">
        <v>1356.66</v>
      </c>
      <c r="I57" s="60">
        <v>1359.29</v>
      </c>
      <c r="J57" s="60" t="s">
        <v>1006</v>
      </c>
      <c r="K57" s="61">
        <v>1</v>
      </c>
      <c r="L57" s="80">
        <v>0.75</v>
      </c>
      <c r="M57" s="80" t="s">
        <v>1026</v>
      </c>
      <c r="N57" s="82"/>
      <c r="O57" s="67">
        <v>1.601</v>
      </c>
      <c r="P57" s="68">
        <f t="shared" si="6"/>
        <v>1.2010000000000001</v>
      </c>
    </row>
    <row r="58" spans="2:16" ht="15" customHeight="1" x14ac:dyDescent="0.3">
      <c r="B58" s="36">
        <v>3</v>
      </c>
      <c r="C58" s="46" t="s">
        <v>1062</v>
      </c>
      <c r="D58" s="56" t="s">
        <v>1063</v>
      </c>
      <c r="E58" s="56"/>
      <c r="F58" s="56"/>
      <c r="G58" s="56"/>
      <c r="H58" s="47">
        <v>1356.66</v>
      </c>
      <c r="I58" s="47">
        <v>1359.29</v>
      </c>
      <c r="J58" s="47" t="s">
        <v>1006</v>
      </c>
      <c r="K58" s="36">
        <v>1</v>
      </c>
      <c r="L58" s="125">
        <v>0.75</v>
      </c>
      <c r="M58" s="125" t="s">
        <v>1027</v>
      </c>
      <c r="N58" s="126"/>
      <c r="O58" s="69">
        <v>1.635</v>
      </c>
      <c r="P58" s="57">
        <f t="shared" si="6"/>
        <v>1.226</v>
      </c>
    </row>
    <row r="59" spans="2:16" ht="15" customHeight="1" x14ac:dyDescent="0.3">
      <c r="B59" s="118">
        <v>3</v>
      </c>
      <c r="C59" s="119" t="s">
        <v>1067</v>
      </c>
      <c r="D59" s="120" t="s">
        <v>1068</v>
      </c>
      <c r="E59" s="120"/>
      <c r="F59" s="120"/>
      <c r="G59" s="120"/>
      <c r="H59" s="121">
        <v>1359.29</v>
      </c>
      <c r="I59" s="121">
        <v>1382.54</v>
      </c>
      <c r="J59" s="121" t="s">
        <v>1006</v>
      </c>
      <c r="K59" s="118">
        <v>5</v>
      </c>
      <c r="L59" s="122">
        <v>0.75</v>
      </c>
      <c r="M59" s="122" t="s">
        <v>1023</v>
      </c>
      <c r="N59" s="123"/>
      <c r="O59" s="117">
        <v>1.484</v>
      </c>
      <c r="P59" s="124">
        <f t="shared" si="6"/>
        <v>5.5650000000000004</v>
      </c>
    </row>
    <row r="60" spans="2:16" ht="15" customHeight="1" x14ac:dyDescent="0.3">
      <c r="B60" s="61">
        <v>3</v>
      </c>
      <c r="C60" s="58" t="s">
        <v>1067</v>
      </c>
      <c r="D60" s="59" t="s">
        <v>1068</v>
      </c>
      <c r="E60" s="59"/>
      <c r="F60" s="59"/>
      <c r="G60" s="59"/>
      <c r="H60" s="60">
        <v>1359.29</v>
      </c>
      <c r="I60" s="60">
        <v>1382.54</v>
      </c>
      <c r="J60" s="60" t="s">
        <v>1006</v>
      </c>
      <c r="K60" s="61">
        <v>5</v>
      </c>
      <c r="L60" s="80">
        <v>0.75</v>
      </c>
      <c r="M60" s="80" t="s">
        <v>1025</v>
      </c>
      <c r="N60" s="82"/>
      <c r="O60" s="67">
        <v>1.55</v>
      </c>
      <c r="P60" s="68">
        <f t="shared" si="6"/>
        <v>5.8129999999999997</v>
      </c>
    </row>
    <row r="61" spans="2:16" ht="15" customHeight="1" x14ac:dyDescent="0.3">
      <c r="B61" s="61">
        <v>3</v>
      </c>
      <c r="C61" s="58" t="s">
        <v>1067</v>
      </c>
      <c r="D61" s="59" t="s">
        <v>1068</v>
      </c>
      <c r="E61" s="59"/>
      <c r="F61" s="59"/>
      <c r="G61" s="59"/>
      <c r="H61" s="60">
        <v>1359.29</v>
      </c>
      <c r="I61" s="60">
        <v>1382.54</v>
      </c>
      <c r="J61" s="60" t="s">
        <v>1006</v>
      </c>
      <c r="K61" s="61">
        <v>5</v>
      </c>
      <c r="L61" s="80">
        <v>0.75</v>
      </c>
      <c r="M61" s="80" t="s">
        <v>1026</v>
      </c>
      <c r="N61" s="82"/>
      <c r="O61" s="67">
        <v>1.601</v>
      </c>
      <c r="P61" s="68">
        <f t="shared" si="6"/>
        <v>6.0039999999999996</v>
      </c>
    </row>
    <row r="62" spans="2:16" ht="15" customHeight="1" x14ac:dyDescent="0.3">
      <c r="B62" s="61">
        <v>3</v>
      </c>
      <c r="C62" s="58" t="s">
        <v>1067</v>
      </c>
      <c r="D62" s="59" t="s">
        <v>1068</v>
      </c>
      <c r="E62" s="59"/>
      <c r="F62" s="59"/>
      <c r="G62" s="59"/>
      <c r="H62" s="60">
        <v>1359.29</v>
      </c>
      <c r="I62" s="60">
        <v>1382.54</v>
      </c>
      <c r="J62" s="60" t="s">
        <v>1006</v>
      </c>
      <c r="K62" s="61">
        <v>5</v>
      </c>
      <c r="L62" s="80">
        <v>0.75</v>
      </c>
      <c r="M62" s="80" t="s">
        <v>1027</v>
      </c>
      <c r="N62" s="82"/>
      <c r="O62" s="67">
        <v>1.635</v>
      </c>
      <c r="P62" s="68">
        <f t="shared" si="6"/>
        <v>6.1310000000000002</v>
      </c>
    </row>
    <row r="63" spans="2:16" ht="15" customHeight="1" x14ac:dyDescent="0.3">
      <c r="B63" s="61">
        <v>3</v>
      </c>
      <c r="C63" s="58" t="s">
        <v>1067</v>
      </c>
      <c r="D63" s="59" t="s">
        <v>1068</v>
      </c>
      <c r="E63" s="59"/>
      <c r="F63" s="59"/>
      <c r="G63" s="59"/>
      <c r="H63" s="60">
        <v>1359.29</v>
      </c>
      <c r="I63" s="60">
        <v>1382.54</v>
      </c>
      <c r="J63" s="60" t="s">
        <v>1006</v>
      </c>
      <c r="K63" s="61">
        <v>6</v>
      </c>
      <c r="L63" s="80">
        <v>0.75</v>
      </c>
      <c r="M63" s="80" t="s">
        <v>1028</v>
      </c>
      <c r="N63" s="82"/>
      <c r="O63" s="67">
        <v>1.673</v>
      </c>
      <c r="P63" s="68">
        <f t="shared" si="6"/>
        <v>7.5289999999999999</v>
      </c>
    </row>
    <row r="64" spans="2:16" ht="15" customHeight="1" x14ac:dyDescent="0.3">
      <c r="B64" s="36">
        <v>3</v>
      </c>
      <c r="C64" s="46" t="s">
        <v>1067</v>
      </c>
      <c r="D64" s="56" t="s">
        <v>1068</v>
      </c>
      <c r="E64" s="56"/>
      <c r="F64" s="56"/>
      <c r="G64" s="56"/>
      <c r="H64" s="47">
        <v>1359.29</v>
      </c>
      <c r="I64" s="47">
        <v>1382.54</v>
      </c>
      <c r="J64" s="47" t="s">
        <v>1006</v>
      </c>
      <c r="K64" s="36">
        <v>5</v>
      </c>
      <c r="L64" s="125">
        <v>0.75</v>
      </c>
      <c r="M64" s="125" t="s">
        <v>1024</v>
      </c>
      <c r="N64" s="126"/>
      <c r="O64" s="69">
        <v>1.72</v>
      </c>
      <c r="P64" s="57">
        <f t="shared" si="6"/>
        <v>6.45</v>
      </c>
    </row>
    <row r="65" spans="2:18" ht="15" customHeight="1" x14ac:dyDescent="0.3">
      <c r="B65" s="118">
        <v>4</v>
      </c>
      <c r="C65" s="119" t="s">
        <v>1081</v>
      </c>
      <c r="D65" s="120" t="s">
        <v>1080</v>
      </c>
      <c r="E65" s="120"/>
      <c r="F65" s="120"/>
      <c r="G65" s="120"/>
      <c r="H65" s="121">
        <v>1382.54</v>
      </c>
      <c r="I65" s="121">
        <v>1399.04</v>
      </c>
      <c r="J65" s="121" t="s">
        <v>1006</v>
      </c>
      <c r="K65" s="118">
        <v>4</v>
      </c>
      <c r="L65" s="122">
        <v>0.75</v>
      </c>
      <c r="M65" s="122" t="s">
        <v>1023</v>
      </c>
      <c r="N65" s="123"/>
      <c r="O65" s="117">
        <v>1.484</v>
      </c>
      <c r="P65" s="124">
        <f t="shared" ref="P65:P70" si="7">+ROUND(PRODUCT(K65:O65),3)</f>
        <v>4.452</v>
      </c>
    </row>
    <row r="66" spans="2:18" ht="15" customHeight="1" x14ac:dyDescent="0.3">
      <c r="B66" s="61">
        <v>4</v>
      </c>
      <c r="C66" s="58" t="s">
        <v>1081</v>
      </c>
      <c r="D66" s="59" t="s">
        <v>1080</v>
      </c>
      <c r="E66" s="59"/>
      <c r="F66" s="59"/>
      <c r="G66" s="59"/>
      <c r="H66" s="60">
        <v>1382.54</v>
      </c>
      <c r="I66" s="60">
        <v>1399.04</v>
      </c>
      <c r="J66" s="60" t="s">
        <v>1006</v>
      </c>
      <c r="K66" s="61">
        <v>4</v>
      </c>
      <c r="L66" s="80">
        <v>0.75</v>
      </c>
      <c r="M66" s="80" t="s">
        <v>1025</v>
      </c>
      <c r="N66" s="82"/>
      <c r="O66" s="67">
        <v>1.55</v>
      </c>
      <c r="P66" s="68">
        <f t="shared" si="7"/>
        <v>4.6500000000000004</v>
      </c>
    </row>
    <row r="67" spans="2:18" ht="15" customHeight="1" x14ac:dyDescent="0.3">
      <c r="B67" s="61">
        <v>4</v>
      </c>
      <c r="C67" s="58" t="s">
        <v>1081</v>
      </c>
      <c r="D67" s="59" t="s">
        <v>1080</v>
      </c>
      <c r="E67" s="59"/>
      <c r="F67" s="59"/>
      <c r="G67" s="59"/>
      <c r="H67" s="60">
        <v>1382.54</v>
      </c>
      <c r="I67" s="60">
        <v>1399.04</v>
      </c>
      <c r="J67" s="60" t="s">
        <v>1006</v>
      </c>
      <c r="K67" s="61">
        <v>4</v>
      </c>
      <c r="L67" s="80">
        <v>0.75</v>
      </c>
      <c r="M67" s="80" t="s">
        <v>1026</v>
      </c>
      <c r="N67" s="82"/>
      <c r="O67" s="67">
        <v>1.601</v>
      </c>
      <c r="P67" s="68">
        <f t="shared" si="7"/>
        <v>4.8029999999999999</v>
      </c>
    </row>
    <row r="68" spans="2:18" ht="15" customHeight="1" x14ac:dyDescent="0.3">
      <c r="B68" s="61">
        <v>4</v>
      </c>
      <c r="C68" s="58" t="s">
        <v>1081</v>
      </c>
      <c r="D68" s="59" t="s">
        <v>1080</v>
      </c>
      <c r="E68" s="59"/>
      <c r="F68" s="59"/>
      <c r="G68" s="59"/>
      <c r="H68" s="60">
        <v>1382.54</v>
      </c>
      <c r="I68" s="60">
        <v>1399.04</v>
      </c>
      <c r="J68" s="60" t="s">
        <v>1006</v>
      </c>
      <c r="K68" s="61">
        <v>3</v>
      </c>
      <c r="L68" s="80">
        <v>0.75</v>
      </c>
      <c r="M68" s="80" t="s">
        <v>1027</v>
      </c>
      <c r="N68" s="82"/>
      <c r="O68" s="67">
        <v>1.635</v>
      </c>
      <c r="P68" s="68">
        <f t="shared" si="7"/>
        <v>3.6789999999999998</v>
      </c>
    </row>
    <row r="69" spans="2:18" ht="15" customHeight="1" x14ac:dyDescent="0.3">
      <c r="B69" s="61">
        <v>4</v>
      </c>
      <c r="C69" s="58" t="s">
        <v>1081</v>
      </c>
      <c r="D69" s="59" t="s">
        <v>1080</v>
      </c>
      <c r="E69" s="59"/>
      <c r="F69" s="59"/>
      <c r="G69" s="59"/>
      <c r="H69" s="60">
        <v>1382.54</v>
      </c>
      <c r="I69" s="60">
        <v>1399.04</v>
      </c>
      <c r="J69" s="60" t="s">
        <v>1006</v>
      </c>
      <c r="K69" s="61">
        <v>3</v>
      </c>
      <c r="L69" s="80">
        <v>0.75</v>
      </c>
      <c r="M69" s="80" t="s">
        <v>1028</v>
      </c>
      <c r="N69" s="82"/>
      <c r="O69" s="67">
        <v>1.673</v>
      </c>
      <c r="P69" s="68">
        <f t="shared" si="7"/>
        <v>3.7639999999999998</v>
      </c>
    </row>
    <row r="70" spans="2:18" ht="15" customHeight="1" x14ac:dyDescent="0.3">
      <c r="B70" s="36">
        <v>4</v>
      </c>
      <c r="C70" s="46" t="s">
        <v>1081</v>
      </c>
      <c r="D70" s="56" t="s">
        <v>1080</v>
      </c>
      <c r="E70" s="56"/>
      <c r="F70" s="56"/>
      <c r="G70" s="56"/>
      <c r="H70" s="47">
        <v>1382.54</v>
      </c>
      <c r="I70" s="47">
        <v>1399.04</v>
      </c>
      <c r="J70" s="47" t="s">
        <v>1006</v>
      </c>
      <c r="K70" s="36">
        <v>4</v>
      </c>
      <c r="L70" s="125">
        <v>0.75</v>
      </c>
      <c r="M70" s="125" t="s">
        <v>1024</v>
      </c>
      <c r="N70" s="126"/>
      <c r="O70" s="69">
        <v>1.72</v>
      </c>
      <c r="P70" s="57">
        <f t="shared" si="7"/>
        <v>5.16</v>
      </c>
    </row>
    <row r="71" spans="2:18" ht="15" customHeight="1" x14ac:dyDescent="0.3">
      <c r="B71" s="109">
        <v>4</v>
      </c>
      <c r="C71" s="110" t="s">
        <v>1087</v>
      </c>
      <c r="D71" s="111" t="s">
        <v>1088</v>
      </c>
      <c r="E71" s="111"/>
      <c r="F71" s="111"/>
      <c r="G71" s="111"/>
      <c r="H71" s="112">
        <v>1399.04</v>
      </c>
      <c r="I71" s="112">
        <v>1417.79</v>
      </c>
      <c r="J71" s="112" t="s">
        <v>1006</v>
      </c>
      <c r="K71" s="109">
        <v>4</v>
      </c>
      <c r="L71" s="113">
        <v>0.75</v>
      </c>
      <c r="M71" s="113" t="s">
        <v>1023</v>
      </c>
      <c r="N71" s="114"/>
      <c r="O71" s="115">
        <v>1.484</v>
      </c>
      <c r="P71" s="116">
        <f t="shared" ref="P71:P76" si="8">+ROUND(PRODUCT(K71:O71),3)</f>
        <v>4.452</v>
      </c>
      <c r="R71" s="105"/>
    </row>
    <row r="72" spans="2:18" ht="15" customHeight="1" x14ac:dyDescent="0.3">
      <c r="B72" s="61">
        <v>4</v>
      </c>
      <c r="C72" s="58" t="s">
        <v>1087</v>
      </c>
      <c r="D72" s="59" t="s">
        <v>1088</v>
      </c>
      <c r="E72" s="59"/>
      <c r="F72" s="59"/>
      <c r="G72" s="59"/>
      <c r="H72" s="60">
        <v>1399.04</v>
      </c>
      <c r="I72" s="60">
        <v>1417.79</v>
      </c>
      <c r="J72" s="60" t="s">
        <v>1006</v>
      </c>
      <c r="K72" s="61">
        <v>4</v>
      </c>
      <c r="L72" s="80">
        <v>0.75</v>
      </c>
      <c r="M72" s="80" t="s">
        <v>1025</v>
      </c>
      <c r="N72" s="82"/>
      <c r="O72" s="67">
        <v>1.55</v>
      </c>
      <c r="P72" s="68">
        <f t="shared" si="8"/>
        <v>4.6500000000000004</v>
      </c>
    </row>
    <row r="73" spans="2:18" ht="15" customHeight="1" x14ac:dyDescent="0.3">
      <c r="B73" s="61">
        <v>4</v>
      </c>
      <c r="C73" s="58" t="s">
        <v>1087</v>
      </c>
      <c r="D73" s="59" t="s">
        <v>1088</v>
      </c>
      <c r="E73" s="59"/>
      <c r="F73" s="59"/>
      <c r="G73" s="59"/>
      <c r="H73" s="60">
        <v>1399.04</v>
      </c>
      <c r="I73" s="60">
        <v>1417.79</v>
      </c>
      <c r="J73" s="60" t="s">
        <v>1006</v>
      </c>
      <c r="K73" s="61">
        <v>4</v>
      </c>
      <c r="L73" s="80">
        <v>0.75</v>
      </c>
      <c r="M73" s="80" t="s">
        <v>1026</v>
      </c>
      <c r="N73" s="82"/>
      <c r="O73" s="67">
        <v>1.601</v>
      </c>
      <c r="P73" s="68">
        <f t="shared" si="8"/>
        <v>4.8029999999999999</v>
      </c>
    </row>
    <row r="74" spans="2:18" ht="15" customHeight="1" x14ac:dyDescent="0.3">
      <c r="B74" s="61">
        <v>4</v>
      </c>
      <c r="C74" s="58" t="s">
        <v>1087</v>
      </c>
      <c r="D74" s="59" t="s">
        <v>1088</v>
      </c>
      <c r="E74" s="59"/>
      <c r="F74" s="59"/>
      <c r="G74" s="59"/>
      <c r="H74" s="60">
        <v>1399.04</v>
      </c>
      <c r="I74" s="60">
        <v>1417.79</v>
      </c>
      <c r="J74" s="60" t="s">
        <v>1006</v>
      </c>
      <c r="K74" s="61">
        <v>5</v>
      </c>
      <c r="L74" s="80">
        <v>0.75</v>
      </c>
      <c r="M74" s="80" t="s">
        <v>1027</v>
      </c>
      <c r="N74" s="82"/>
      <c r="O74" s="67">
        <v>1.635</v>
      </c>
      <c r="P74" s="68">
        <f t="shared" si="8"/>
        <v>6.1310000000000002</v>
      </c>
    </row>
    <row r="75" spans="2:18" ht="15" customHeight="1" x14ac:dyDescent="0.3">
      <c r="B75" s="61">
        <v>4</v>
      </c>
      <c r="C75" s="58" t="s">
        <v>1087</v>
      </c>
      <c r="D75" s="59" t="s">
        <v>1088</v>
      </c>
      <c r="E75" s="59"/>
      <c r="F75" s="59"/>
      <c r="G75" s="59"/>
      <c r="H75" s="60">
        <v>1399.04</v>
      </c>
      <c r="I75" s="60">
        <v>1417.79</v>
      </c>
      <c r="J75" s="60" t="s">
        <v>1006</v>
      </c>
      <c r="K75" s="61">
        <v>4</v>
      </c>
      <c r="L75" s="80">
        <v>0.75</v>
      </c>
      <c r="M75" s="80" t="s">
        <v>1028</v>
      </c>
      <c r="N75" s="82"/>
      <c r="O75" s="67">
        <v>1.673</v>
      </c>
      <c r="P75" s="68">
        <f t="shared" si="8"/>
        <v>5.0190000000000001</v>
      </c>
    </row>
    <row r="76" spans="2:18" ht="15" customHeight="1" x14ac:dyDescent="0.3">
      <c r="B76" s="61">
        <v>4</v>
      </c>
      <c r="C76" s="58" t="s">
        <v>1087</v>
      </c>
      <c r="D76" s="59" t="s">
        <v>1088</v>
      </c>
      <c r="E76" s="59"/>
      <c r="F76" s="59"/>
      <c r="G76" s="59"/>
      <c r="H76" s="60">
        <v>1399.04</v>
      </c>
      <c r="I76" s="60">
        <v>1417.79</v>
      </c>
      <c r="J76" s="60" t="s">
        <v>1006</v>
      </c>
      <c r="K76" s="61">
        <v>4</v>
      </c>
      <c r="L76" s="80">
        <v>0.75</v>
      </c>
      <c r="M76" s="80" t="s">
        <v>1024</v>
      </c>
      <c r="N76" s="82"/>
      <c r="O76" s="67">
        <v>1.72</v>
      </c>
      <c r="P76" s="68">
        <f t="shared" si="8"/>
        <v>5.16</v>
      </c>
    </row>
    <row r="77" spans="2:18" ht="15" customHeight="1" x14ac:dyDescent="0.3">
      <c r="B77" s="109">
        <v>4</v>
      </c>
      <c r="C77" s="110" t="s">
        <v>1093</v>
      </c>
      <c r="D77" s="111" t="s">
        <v>1094</v>
      </c>
      <c r="E77" s="111"/>
      <c r="F77" s="111"/>
      <c r="G77" s="111"/>
      <c r="H77" s="112">
        <v>1417.79</v>
      </c>
      <c r="I77" s="112">
        <v>1431.29</v>
      </c>
      <c r="J77" s="112" t="s">
        <v>1006</v>
      </c>
      <c r="K77" s="109">
        <v>3</v>
      </c>
      <c r="L77" s="113">
        <v>0.75</v>
      </c>
      <c r="M77" s="113" t="s">
        <v>1023</v>
      </c>
      <c r="N77" s="114"/>
      <c r="O77" s="115">
        <v>1.484</v>
      </c>
      <c r="P77" s="116">
        <f t="shared" ref="P77:P82" si="9">+ROUND(PRODUCT(K77:O77),3)</f>
        <v>3.339</v>
      </c>
      <c r="R77" s="105"/>
    </row>
    <row r="78" spans="2:18" ht="15" customHeight="1" x14ac:dyDescent="0.3">
      <c r="B78" s="61">
        <v>4</v>
      </c>
      <c r="C78" s="58" t="s">
        <v>1093</v>
      </c>
      <c r="D78" s="59" t="s">
        <v>1094</v>
      </c>
      <c r="E78" s="59"/>
      <c r="F78" s="59"/>
      <c r="G78" s="59"/>
      <c r="H78" s="60">
        <v>1417.79</v>
      </c>
      <c r="I78" s="60">
        <v>1431.29</v>
      </c>
      <c r="J78" s="60" t="s">
        <v>1006</v>
      </c>
      <c r="K78" s="61">
        <v>3</v>
      </c>
      <c r="L78" s="80">
        <v>0.75</v>
      </c>
      <c r="M78" s="80" t="s">
        <v>1025</v>
      </c>
      <c r="N78" s="82"/>
      <c r="O78" s="67">
        <v>1.55</v>
      </c>
      <c r="P78" s="68">
        <f t="shared" si="9"/>
        <v>3.488</v>
      </c>
    </row>
    <row r="79" spans="2:18" ht="15" customHeight="1" x14ac:dyDescent="0.3">
      <c r="B79" s="61">
        <v>4</v>
      </c>
      <c r="C79" s="58" t="s">
        <v>1093</v>
      </c>
      <c r="D79" s="59" t="s">
        <v>1094</v>
      </c>
      <c r="E79" s="59"/>
      <c r="F79" s="59"/>
      <c r="G79" s="59"/>
      <c r="H79" s="60">
        <v>1417.79</v>
      </c>
      <c r="I79" s="60">
        <v>1431.29</v>
      </c>
      <c r="J79" s="60" t="s">
        <v>1006</v>
      </c>
      <c r="K79" s="61">
        <v>3</v>
      </c>
      <c r="L79" s="80">
        <v>0.75</v>
      </c>
      <c r="M79" s="80" t="s">
        <v>1026</v>
      </c>
      <c r="N79" s="82"/>
      <c r="O79" s="67">
        <v>1.601</v>
      </c>
      <c r="P79" s="68">
        <f t="shared" si="9"/>
        <v>3.6019999999999999</v>
      </c>
    </row>
    <row r="80" spans="2:18" ht="15" customHeight="1" x14ac:dyDescent="0.3">
      <c r="B80" s="61">
        <v>4</v>
      </c>
      <c r="C80" s="58" t="s">
        <v>1093</v>
      </c>
      <c r="D80" s="59" t="s">
        <v>1094</v>
      </c>
      <c r="E80" s="59"/>
      <c r="F80" s="59"/>
      <c r="G80" s="59"/>
      <c r="H80" s="60">
        <v>1417.79</v>
      </c>
      <c r="I80" s="60">
        <v>1431.29</v>
      </c>
      <c r="J80" s="60" t="s">
        <v>1006</v>
      </c>
      <c r="K80" s="61">
        <v>3</v>
      </c>
      <c r="L80" s="80">
        <v>0.75</v>
      </c>
      <c r="M80" s="80" t="s">
        <v>1027</v>
      </c>
      <c r="N80" s="82"/>
      <c r="O80" s="67">
        <v>1.635</v>
      </c>
      <c r="P80" s="68">
        <f t="shared" si="9"/>
        <v>3.6789999999999998</v>
      </c>
    </row>
    <row r="81" spans="2:19" ht="15" customHeight="1" x14ac:dyDescent="0.3">
      <c r="B81" s="61">
        <v>4</v>
      </c>
      <c r="C81" s="58" t="s">
        <v>1093</v>
      </c>
      <c r="D81" s="59" t="s">
        <v>1094</v>
      </c>
      <c r="E81" s="59"/>
      <c r="F81" s="59"/>
      <c r="G81" s="59"/>
      <c r="H81" s="60">
        <v>1417.79</v>
      </c>
      <c r="I81" s="60">
        <v>1431.29</v>
      </c>
      <c r="J81" s="60" t="s">
        <v>1006</v>
      </c>
      <c r="K81" s="61">
        <v>3</v>
      </c>
      <c r="L81" s="80">
        <v>0.75</v>
      </c>
      <c r="M81" s="80" t="s">
        <v>1028</v>
      </c>
      <c r="N81" s="82"/>
      <c r="O81" s="67">
        <v>1.673</v>
      </c>
      <c r="P81" s="68">
        <f t="shared" si="9"/>
        <v>3.7639999999999998</v>
      </c>
      <c r="S81" s="105">
        <f>+I83-H83</f>
        <v>6.9500000000000455</v>
      </c>
    </row>
    <row r="82" spans="2:19" ht="15" customHeight="1" x14ac:dyDescent="0.3">
      <c r="B82" s="61">
        <v>4</v>
      </c>
      <c r="C82" s="58" t="s">
        <v>1093</v>
      </c>
      <c r="D82" s="59" t="s">
        <v>1094</v>
      </c>
      <c r="E82" s="59"/>
      <c r="F82" s="59"/>
      <c r="G82" s="59"/>
      <c r="H82" s="60">
        <v>1417.79</v>
      </c>
      <c r="I82" s="60">
        <v>1431.29</v>
      </c>
      <c r="J82" s="60" t="s">
        <v>1006</v>
      </c>
      <c r="K82" s="61">
        <v>3</v>
      </c>
      <c r="L82" s="80">
        <v>0.75</v>
      </c>
      <c r="M82" s="80" t="s">
        <v>1024</v>
      </c>
      <c r="N82" s="82"/>
      <c r="O82" s="67">
        <v>1.72</v>
      </c>
      <c r="P82" s="68">
        <f t="shared" si="9"/>
        <v>3.87</v>
      </c>
    </row>
    <row r="83" spans="2:19" ht="15" customHeight="1" x14ac:dyDescent="0.3">
      <c r="B83" s="109">
        <v>5</v>
      </c>
      <c r="C83" s="110" t="s">
        <v>1099</v>
      </c>
      <c r="D83" s="111" t="s">
        <v>1100</v>
      </c>
      <c r="E83" s="111"/>
      <c r="F83" s="111"/>
      <c r="G83" s="111"/>
      <c r="H83" s="60">
        <v>1431.29</v>
      </c>
      <c r="I83" s="60">
        <v>1438.24</v>
      </c>
      <c r="J83" s="112" t="s">
        <v>1006</v>
      </c>
      <c r="K83" s="109">
        <v>1</v>
      </c>
      <c r="L83" s="113">
        <v>0.75</v>
      </c>
      <c r="M83" s="113" t="s">
        <v>1023</v>
      </c>
      <c r="N83" s="114"/>
      <c r="O83" s="115">
        <v>1.484</v>
      </c>
      <c r="P83" s="116">
        <f t="shared" ref="P83:P88" si="10">+ROUND(PRODUCT(K83:O83),3)</f>
        <v>1.113</v>
      </c>
      <c r="R83" s="105">
        <f>+K83*L83</f>
        <v>0.75</v>
      </c>
    </row>
    <row r="84" spans="2:19" ht="15" customHeight="1" x14ac:dyDescent="0.3">
      <c r="B84" s="61">
        <v>5</v>
      </c>
      <c r="C84" s="58" t="s">
        <v>1099</v>
      </c>
      <c r="D84" s="59" t="s">
        <v>1100</v>
      </c>
      <c r="E84" s="59"/>
      <c r="F84" s="59"/>
      <c r="G84" s="59"/>
      <c r="H84" s="60">
        <v>1431.29</v>
      </c>
      <c r="I84" s="60">
        <v>1438.24</v>
      </c>
      <c r="J84" s="60" t="s">
        <v>1006</v>
      </c>
      <c r="K84" s="61">
        <v>1</v>
      </c>
      <c r="L84" s="80">
        <v>0.75</v>
      </c>
      <c r="M84" s="80" t="s">
        <v>1025</v>
      </c>
      <c r="N84" s="82"/>
      <c r="O84" s="67">
        <v>1.55</v>
      </c>
      <c r="P84" s="68">
        <f t="shared" si="10"/>
        <v>1.163</v>
      </c>
      <c r="R84" s="105">
        <f t="shared" ref="R84:R90" si="11">+K84*L84</f>
        <v>0.75</v>
      </c>
    </row>
    <row r="85" spans="2:19" ht="15" customHeight="1" x14ac:dyDescent="0.3">
      <c r="B85" s="61">
        <v>5</v>
      </c>
      <c r="C85" s="58" t="s">
        <v>1099</v>
      </c>
      <c r="D85" s="59" t="s">
        <v>1100</v>
      </c>
      <c r="E85" s="59"/>
      <c r="F85" s="59"/>
      <c r="G85" s="59"/>
      <c r="H85" s="60">
        <v>1431.29</v>
      </c>
      <c r="I85" s="60">
        <v>1438.24</v>
      </c>
      <c r="J85" s="60" t="s">
        <v>1006</v>
      </c>
      <c r="K85" s="61">
        <v>1</v>
      </c>
      <c r="L85" s="80">
        <v>0.75</v>
      </c>
      <c r="M85" s="80" t="s">
        <v>1026</v>
      </c>
      <c r="N85" s="82"/>
      <c r="O85" s="67">
        <v>1.601</v>
      </c>
      <c r="P85" s="68">
        <f t="shared" si="10"/>
        <v>1.2010000000000001</v>
      </c>
      <c r="R85" s="105">
        <f t="shared" si="11"/>
        <v>0.75</v>
      </c>
    </row>
    <row r="86" spans="2:19" ht="15" customHeight="1" x14ac:dyDescent="0.3">
      <c r="B86" s="61">
        <v>5</v>
      </c>
      <c r="C86" s="58" t="s">
        <v>1099</v>
      </c>
      <c r="D86" s="59" t="s">
        <v>1100</v>
      </c>
      <c r="E86" s="59"/>
      <c r="F86" s="59"/>
      <c r="G86" s="59"/>
      <c r="H86" s="60">
        <v>1431.29</v>
      </c>
      <c r="I86" s="60">
        <v>1438.24</v>
      </c>
      <c r="J86" s="60" t="s">
        <v>1006</v>
      </c>
      <c r="K86" s="61">
        <v>1</v>
      </c>
      <c r="L86" s="80">
        <v>0.75</v>
      </c>
      <c r="M86" s="80" t="s">
        <v>1027</v>
      </c>
      <c r="N86" s="82"/>
      <c r="O86" s="67">
        <v>1.635</v>
      </c>
      <c r="P86" s="68">
        <f t="shared" si="10"/>
        <v>1.226</v>
      </c>
      <c r="R86" s="105">
        <f t="shared" si="11"/>
        <v>0.75</v>
      </c>
    </row>
    <row r="87" spans="2:19" ht="15" customHeight="1" x14ac:dyDescent="0.3">
      <c r="B87" s="61">
        <v>5</v>
      </c>
      <c r="C87" s="58" t="s">
        <v>1099</v>
      </c>
      <c r="D87" s="59" t="s">
        <v>1100</v>
      </c>
      <c r="E87" s="59"/>
      <c r="F87" s="59"/>
      <c r="G87" s="59"/>
      <c r="H87" s="60">
        <v>1431.29</v>
      </c>
      <c r="I87" s="60">
        <v>1438.24</v>
      </c>
      <c r="J87" s="60" t="s">
        <v>1006</v>
      </c>
      <c r="K87" s="61">
        <v>2</v>
      </c>
      <c r="L87" s="80">
        <v>0.75</v>
      </c>
      <c r="M87" s="80" t="s">
        <v>1028</v>
      </c>
      <c r="N87" s="82"/>
      <c r="O87" s="67">
        <v>1.673</v>
      </c>
      <c r="P87" s="68">
        <f t="shared" si="10"/>
        <v>2.5099999999999998</v>
      </c>
      <c r="R87" s="105">
        <f t="shared" si="11"/>
        <v>1.5</v>
      </c>
    </row>
    <row r="88" spans="2:19" ht="15" customHeight="1" x14ac:dyDescent="0.3">
      <c r="B88" s="61">
        <v>5</v>
      </c>
      <c r="C88" s="58" t="s">
        <v>1099</v>
      </c>
      <c r="D88" s="59" t="s">
        <v>1100</v>
      </c>
      <c r="E88" s="59"/>
      <c r="F88" s="59"/>
      <c r="G88" s="59"/>
      <c r="H88" s="60">
        <v>1431.29</v>
      </c>
      <c r="I88" s="60">
        <v>1438.24</v>
      </c>
      <c r="J88" s="60" t="s">
        <v>1006</v>
      </c>
      <c r="K88" s="61">
        <v>2</v>
      </c>
      <c r="L88" s="80">
        <v>0.75</v>
      </c>
      <c r="M88" s="80" t="s">
        <v>1024</v>
      </c>
      <c r="N88" s="82"/>
      <c r="O88" s="67">
        <v>1.72</v>
      </c>
      <c r="P88" s="68">
        <f t="shared" si="10"/>
        <v>2.58</v>
      </c>
      <c r="R88" s="105">
        <f t="shared" si="11"/>
        <v>1.5</v>
      </c>
    </row>
    <row r="89" spans="2:19" ht="15" customHeight="1" x14ac:dyDescent="0.3">
      <c r="B89" s="61">
        <v>5</v>
      </c>
      <c r="C89" s="58" t="s">
        <v>1099</v>
      </c>
      <c r="D89" s="59" t="s">
        <v>1100</v>
      </c>
      <c r="E89" s="59"/>
      <c r="F89" s="59"/>
      <c r="G89" s="59"/>
      <c r="H89" s="60">
        <v>1431.29</v>
      </c>
      <c r="I89" s="60">
        <v>1438.24</v>
      </c>
      <c r="J89" s="60" t="s">
        <v>1006</v>
      </c>
      <c r="K89" s="61">
        <v>1</v>
      </c>
      <c r="L89" s="80">
        <v>0.65</v>
      </c>
      <c r="M89" s="80" t="s">
        <v>1024</v>
      </c>
      <c r="N89" s="82"/>
      <c r="O89" s="67">
        <v>1.72</v>
      </c>
      <c r="P89" s="68">
        <f t="shared" ref="P89" si="12">+ROUND(PRODUCT(K89:O89),3)</f>
        <v>1.1180000000000001</v>
      </c>
      <c r="R89" s="105">
        <f t="shared" si="11"/>
        <v>0.65</v>
      </c>
    </row>
    <row r="90" spans="2:19" ht="15" customHeight="1" x14ac:dyDescent="0.3">
      <c r="B90" s="61">
        <v>5</v>
      </c>
      <c r="C90" s="58" t="s">
        <v>1099</v>
      </c>
      <c r="D90" s="59" t="s">
        <v>1100</v>
      </c>
      <c r="E90" s="59"/>
      <c r="F90" s="59"/>
      <c r="G90" s="59"/>
      <c r="H90" s="60">
        <v>1431.29</v>
      </c>
      <c r="I90" s="60">
        <v>1438.24</v>
      </c>
      <c r="J90" s="60" t="s">
        <v>1006</v>
      </c>
      <c r="K90" s="61">
        <v>1</v>
      </c>
      <c r="L90" s="80">
        <v>0.3</v>
      </c>
      <c r="M90" s="80" t="s">
        <v>1024</v>
      </c>
      <c r="N90" s="82"/>
      <c r="O90" s="67">
        <v>1.72</v>
      </c>
      <c r="P90" s="68">
        <f t="shared" ref="P90" si="13">+ROUND(PRODUCT(K90:O90),3)</f>
        <v>0.51600000000000001</v>
      </c>
      <c r="R90" s="105">
        <f t="shared" si="11"/>
        <v>0.3</v>
      </c>
    </row>
    <row r="91" spans="2:19" ht="15" customHeight="1" x14ac:dyDescent="0.3">
      <c r="B91" s="54" t="s">
        <v>1005</v>
      </c>
      <c r="C91" s="93"/>
      <c r="D91" s="48"/>
      <c r="E91" s="48"/>
      <c r="F91" s="48"/>
      <c r="G91" s="48"/>
      <c r="H91" s="49"/>
      <c r="I91" s="49"/>
      <c r="J91" s="49"/>
      <c r="K91" s="50"/>
      <c r="L91" s="50"/>
      <c r="M91" s="51"/>
      <c r="N91" s="51"/>
      <c r="O91" s="52"/>
      <c r="P91" s="53"/>
    </row>
    <row r="92" spans="2:19" ht="15" customHeight="1" x14ac:dyDescent="0.3">
      <c r="B92" s="106" t="s">
        <v>982</v>
      </c>
      <c r="C92" s="106" t="s">
        <v>992</v>
      </c>
      <c r="D92" s="107" t="s">
        <v>998</v>
      </c>
      <c r="E92" s="107"/>
      <c r="F92" s="107"/>
      <c r="G92" s="107"/>
      <c r="H92" s="127"/>
      <c r="I92" s="106" t="s">
        <v>999</v>
      </c>
      <c r="J92" s="106" t="s">
        <v>993</v>
      </c>
      <c r="K92" s="106" t="s">
        <v>990</v>
      </c>
      <c r="L92" s="106" t="s">
        <v>985</v>
      </c>
      <c r="M92" s="108" t="s">
        <v>986</v>
      </c>
      <c r="N92" s="106" t="s">
        <v>987</v>
      </c>
      <c r="O92" s="108" t="s">
        <v>984</v>
      </c>
      <c r="P92" s="108" t="s">
        <v>15</v>
      </c>
    </row>
    <row r="93" spans="2:19" ht="15" customHeight="1" x14ac:dyDescent="0.3">
      <c r="B93" s="118">
        <v>3</v>
      </c>
      <c r="C93" s="119" t="s">
        <v>1062</v>
      </c>
      <c r="D93" s="120" t="s">
        <v>997</v>
      </c>
      <c r="E93" s="120"/>
      <c r="F93" s="120"/>
      <c r="G93" s="120"/>
      <c r="H93" s="131"/>
      <c r="I93" s="132">
        <v>5</v>
      </c>
      <c r="J93" s="121" t="s">
        <v>994</v>
      </c>
      <c r="K93" s="118">
        <v>2</v>
      </c>
      <c r="L93" s="118"/>
      <c r="M93" s="133">
        <f t="shared" ref="M93:M99" si="14">+I93/100</f>
        <v>0.05</v>
      </c>
      <c r="N93" s="133"/>
      <c r="O93" s="117">
        <v>33.408000000000001</v>
      </c>
      <c r="P93" s="124">
        <f t="shared" ref="P93:P99" si="15">+ROUND(PRODUCT(K93:O93),3)</f>
        <v>3.3410000000000002</v>
      </c>
    </row>
    <row r="94" spans="2:19" ht="15" customHeight="1" x14ac:dyDescent="0.3">
      <c r="B94" s="61">
        <v>3</v>
      </c>
      <c r="C94" s="58" t="s">
        <v>1062</v>
      </c>
      <c r="D94" s="59" t="s">
        <v>1000</v>
      </c>
      <c r="E94" s="59"/>
      <c r="F94" s="59"/>
      <c r="G94" s="59"/>
      <c r="H94" s="64"/>
      <c r="I94" s="63">
        <v>5</v>
      </c>
      <c r="J94" s="60" t="s">
        <v>994</v>
      </c>
      <c r="K94" s="61">
        <v>2</v>
      </c>
      <c r="L94" s="61"/>
      <c r="M94" s="62">
        <f t="shared" si="14"/>
        <v>0.05</v>
      </c>
      <c r="N94" s="62"/>
      <c r="O94" s="67">
        <v>35.640999999999998</v>
      </c>
      <c r="P94" s="68">
        <f t="shared" si="15"/>
        <v>3.5640000000000001</v>
      </c>
    </row>
    <row r="95" spans="2:19" ht="15" customHeight="1" x14ac:dyDescent="0.3">
      <c r="B95" s="61">
        <v>3</v>
      </c>
      <c r="C95" s="58" t="s">
        <v>1062</v>
      </c>
      <c r="D95" s="59" t="s">
        <v>1065</v>
      </c>
      <c r="E95" s="59"/>
      <c r="F95" s="59"/>
      <c r="G95" s="59"/>
      <c r="H95" s="64"/>
      <c r="I95" s="63">
        <v>10</v>
      </c>
      <c r="J95" s="60" t="s">
        <v>994</v>
      </c>
      <c r="K95" s="61">
        <v>1</v>
      </c>
      <c r="L95" s="61"/>
      <c r="M95" s="62">
        <f>+I95/100</f>
        <v>0.1</v>
      </c>
      <c r="N95" s="62"/>
      <c r="O95" s="67">
        <v>8</v>
      </c>
      <c r="P95" s="68">
        <f>+ROUND(PRODUCT(K95:O95),3)</f>
        <v>0.8</v>
      </c>
    </row>
    <row r="96" spans="2:19" ht="15" customHeight="1" x14ac:dyDescent="0.3">
      <c r="B96" s="61">
        <v>3</v>
      </c>
      <c r="C96" s="58" t="s">
        <v>1062</v>
      </c>
      <c r="D96" s="59" t="s">
        <v>1001</v>
      </c>
      <c r="E96" s="59"/>
      <c r="F96" s="59"/>
      <c r="G96" s="59"/>
      <c r="H96" s="64"/>
      <c r="I96" s="63">
        <v>5</v>
      </c>
      <c r="J96" s="60" t="s">
        <v>994</v>
      </c>
      <c r="K96" s="61">
        <v>2</v>
      </c>
      <c r="L96" s="61"/>
      <c r="M96" s="62">
        <f t="shared" si="14"/>
        <v>0.05</v>
      </c>
      <c r="N96" s="62"/>
      <c r="O96" s="67">
        <v>37.960999999999999</v>
      </c>
      <c r="P96" s="68">
        <f t="shared" si="15"/>
        <v>3.7959999999999998</v>
      </c>
    </row>
    <row r="97" spans="2:16" ht="15" customHeight="1" x14ac:dyDescent="0.3">
      <c r="B97" s="61">
        <v>3</v>
      </c>
      <c r="C97" s="58" t="s">
        <v>1062</v>
      </c>
      <c r="D97" s="59" t="s">
        <v>1002</v>
      </c>
      <c r="E97" s="59"/>
      <c r="F97" s="59"/>
      <c r="G97" s="59"/>
      <c r="H97" s="64"/>
      <c r="I97" s="63">
        <v>5</v>
      </c>
      <c r="J97" s="60" t="s">
        <v>994</v>
      </c>
      <c r="K97" s="61">
        <v>2</v>
      </c>
      <c r="L97" s="61"/>
      <c r="M97" s="62">
        <f t="shared" si="14"/>
        <v>0.05</v>
      </c>
      <c r="N97" s="62"/>
      <c r="O97" s="67">
        <v>40.220999999999997</v>
      </c>
      <c r="P97" s="68">
        <f t="shared" si="15"/>
        <v>4.0220000000000002</v>
      </c>
    </row>
    <row r="98" spans="2:16" ht="15" customHeight="1" x14ac:dyDescent="0.3">
      <c r="B98" s="61">
        <v>3</v>
      </c>
      <c r="C98" s="58" t="s">
        <v>1062</v>
      </c>
      <c r="D98" s="59" t="s">
        <v>1003</v>
      </c>
      <c r="E98" s="59"/>
      <c r="F98" s="59"/>
      <c r="G98" s="59"/>
      <c r="H98" s="64"/>
      <c r="I98" s="63">
        <v>5</v>
      </c>
      <c r="J98" s="60" t="s">
        <v>994</v>
      </c>
      <c r="K98" s="61">
        <v>2</v>
      </c>
      <c r="L98" s="61"/>
      <c r="M98" s="62">
        <f t="shared" si="14"/>
        <v>0.05</v>
      </c>
      <c r="N98" s="62"/>
      <c r="O98" s="67">
        <v>42.5</v>
      </c>
      <c r="P98" s="68">
        <f t="shared" si="15"/>
        <v>4.25</v>
      </c>
    </row>
    <row r="99" spans="2:16" ht="15" customHeight="1" x14ac:dyDescent="0.3">
      <c r="B99" s="36">
        <v>3</v>
      </c>
      <c r="C99" s="46" t="s">
        <v>1062</v>
      </c>
      <c r="D99" s="56" t="s">
        <v>1004</v>
      </c>
      <c r="E99" s="56"/>
      <c r="F99" s="56"/>
      <c r="G99" s="56"/>
      <c r="H99" s="71"/>
      <c r="I99" s="134">
        <v>15</v>
      </c>
      <c r="J99" s="47" t="s">
        <v>994</v>
      </c>
      <c r="K99" s="36">
        <v>1</v>
      </c>
      <c r="L99" s="36"/>
      <c r="M99" s="135">
        <f t="shared" si="14"/>
        <v>0.15</v>
      </c>
      <c r="N99" s="135"/>
      <c r="O99" s="69">
        <v>44.921999999999997</v>
      </c>
      <c r="P99" s="57">
        <f t="shared" si="15"/>
        <v>6.7380000000000004</v>
      </c>
    </row>
    <row r="100" spans="2:16" ht="15" customHeight="1" x14ac:dyDescent="0.3">
      <c r="B100" s="118">
        <v>3</v>
      </c>
      <c r="C100" s="119" t="s">
        <v>1067</v>
      </c>
      <c r="D100" s="120" t="s">
        <v>997</v>
      </c>
      <c r="E100" s="120"/>
      <c r="F100" s="120"/>
      <c r="G100" s="120"/>
      <c r="H100" s="131"/>
      <c r="I100" s="132">
        <v>5</v>
      </c>
      <c r="J100" s="121" t="s">
        <v>994</v>
      </c>
      <c r="K100" s="118">
        <v>4</v>
      </c>
      <c r="L100" s="118"/>
      <c r="M100" s="133">
        <f t="shared" ref="M100:M101" si="16">+I100/100</f>
        <v>0.05</v>
      </c>
      <c r="N100" s="133"/>
      <c r="O100" s="117">
        <v>33.408000000000001</v>
      </c>
      <c r="P100" s="124">
        <f t="shared" ref="P100:P101" si="17">+ROUND(PRODUCT(K100:O100),3)</f>
        <v>6.6820000000000004</v>
      </c>
    </row>
    <row r="101" spans="2:16" ht="15" customHeight="1" x14ac:dyDescent="0.3">
      <c r="B101" s="61">
        <v>3</v>
      </c>
      <c r="C101" s="58" t="s">
        <v>1067</v>
      </c>
      <c r="D101" s="59" t="s">
        <v>1000</v>
      </c>
      <c r="E101" s="59"/>
      <c r="F101" s="59"/>
      <c r="G101" s="59"/>
      <c r="H101" s="64"/>
      <c r="I101" s="63">
        <v>5</v>
      </c>
      <c r="J101" s="60" t="s">
        <v>994</v>
      </c>
      <c r="K101" s="61">
        <v>4</v>
      </c>
      <c r="L101" s="61"/>
      <c r="M101" s="62">
        <f t="shared" si="16"/>
        <v>0.05</v>
      </c>
      <c r="N101" s="62"/>
      <c r="O101" s="67">
        <v>35.640999999999998</v>
      </c>
      <c r="P101" s="68">
        <f t="shared" si="17"/>
        <v>7.1280000000000001</v>
      </c>
    </row>
    <row r="102" spans="2:16" ht="15" customHeight="1" x14ac:dyDescent="0.3">
      <c r="B102" s="61">
        <v>3</v>
      </c>
      <c r="C102" s="58" t="s">
        <v>1067</v>
      </c>
      <c r="D102" s="59" t="s">
        <v>1065</v>
      </c>
      <c r="E102" s="59"/>
      <c r="F102" s="59"/>
      <c r="G102" s="59"/>
      <c r="H102" s="64"/>
      <c r="I102" s="63">
        <v>10</v>
      </c>
      <c r="J102" s="60" t="s">
        <v>994</v>
      </c>
      <c r="K102" s="61">
        <v>2</v>
      </c>
      <c r="L102" s="61"/>
      <c r="M102" s="62">
        <f>+I102/100</f>
        <v>0.1</v>
      </c>
      <c r="N102" s="62"/>
      <c r="O102" s="67">
        <v>8</v>
      </c>
      <c r="P102" s="68">
        <f>+ROUND(PRODUCT(K102:O102),3)</f>
        <v>1.6</v>
      </c>
    </row>
    <row r="103" spans="2:16" ht="15" customHeight="1" x14ac:dyDescent="0.3">
      <c r="B103" s="61">
        <v>3</v>
      </c>
      <c r="C103" s="58" t="s">
        <v>1067</v>
      </c>
      <c r="D103" s="59" t="s">
        <v>1001</v>
      </c>
      <c r="E103" s="59"/>
      <c r="F103" s="59"/>
      <c r="G103" s="59"/>
      <c r="H103" s="64"/>
      <c r="I103" s="63">
        <v>5</v>
      </c>
      <c r="J103" s="60" t="s">
        <v>994</v>
      </c>
      <c r="K103" s="61">
        <v>4</v>
      </c>
      <c r="L103" s="61"/>
      <c r="M103" s="62">
        <f t="shared" ref="M103:M109" si="18">+I103/100</f>
        <v>0.05</v>
      </c>
      <c r="N103" s="62"/>
      <c r="O103" s="67">
        <v>37.960999999999999</v>
      </c>
      <c r="P103" s="68">
        <f t="shared" ref="P103:P109" si="19">+ROUND(PRODUCT(K103:O103),3)</f>
        <v>7.5919999999999996</v>
      </c>
    </row>
    <row r="104" spans="2:16" ht="15" customHeight="1" x14ac:dyDescent="0.3">
      <c r="B104" s="61">
        <v>3</v>
      </c>
      <c r="C104" s="58" t="s">
        <v>1067</v>
      </c>
      <c r="D104" s="59" t="s">
        <v>1002</v>
      </c>
      <c r="E104" s="59"/>
      <c r="F104" s="59"/>
      <c r="G104" s="59"/>
      <c r="H104" s="64"/>
      <c r="I104" s="63">
        <v>5</v>
      </c>
      <c r="J104" s="60" t="s">
        <v>994</v>
      </c>
      <c r="K104" s="61">
        <v>4</v>
      </c>
      <c r="L104" s="61"/>
      <c r="M104" s="62">
        <f t="shared" si="18"/>
        <v>0.05</v>
      </c>
      <c r="N104" s="62"/>
      <c r="O104" s="67">
        <v>40.220999999999997</v>
      </c>
      <c r="P104" s="68">
        <f t="shared" si="19"/>
        <v>8.0440000000000005</v>
      </c>
    </row>
    <row r="105" spans="2:16" ht="15" customHeight="1" x14ac:dyDescent="0.3">
      <c r="B105" s="61">
        <v>3</v>
      </c>
      <c r="C105" s="58" t="s">
        <v>1067</v>
      </c>
      <c r="D105" s="59" t="s">
        <v>1069</v>
      </c>
      <c r="E105" s="59"/>
      <c r="F105" s="59"/>
      <c r="G105" s="59"/>
      <c r="H105" s="64"/>
      <c r="I105" s="63">
        <v>10</v>
      </c>
      <c r="J105" s="60" t="s">
        <v>994</v>
      </c>
      <c r="K105" s="61">
        <v>2</v>
      </c>
      <c r="L105" s="61"/>
      <c r="M105" s="62">
        <f>+I105/100</f>
        <v>0.1</v>
      </c>
      <c r="N105" s="62"/>
      <c r="O105" s="67">
        <v>8</v>
      </c>
      <c r="P105" s="68">
        <f>+ROUND(PRODUCT(K105:O105),3)</f>
        <v>1.6</v>
      </c>
    </row>
    <row r="106" spans="2:16" ht="15" customHeight="1" x14ac:dyDescent="0.3">
      <c r="B106" s="61">
        <v>3</v>
      </c>
      <c r="C106" s="58" t="s">
        <v>1067</v>
      </c>
      <c r="D106" s="59" t="s">
        <v>1003</v>
      </c>
      <c r="E106" s="59"/>
      <c r="F106" s="59"/>
      <c r="G106" s="59"/>
      <c r="H106" s="64"/>
      <c r="I106" s="63">
        <v>5</v>
      </c>
      <c r="J106" s="60" t="s">
        <v>994</v>
      </c>
      <c r="K106" s="61">
        <v>4</v>
      </c>
      <c r="L106" s="61"/>
      <c r="M106" s="62">
        <f t="shared" si="18"/>
        <v>0.05</v>
      </c>
      <c r="N106" s="62"/>
      <c r="O106" s="67">
        <v>42.5</v>
      </c>
      <c r="P106" s="68">
        <f t="shared" si="19"/>
        <v>8.5</v>
      </c>
    </row>
    <row r="107" spans="2:16" ht="15" customHeight="1" x14ac:dyDescent="0.3">
      <c r="B107" s="36">
        <v>3</v>
      </c>
      <c r="C107" s="46" t="s">
        <v>1067</v>
      </c>
      <c r="D107" s="56" t="s">
        <v>1004</v>
      </c>
      <c r="E107" s="56"/>
      <c r="F107" s="56"/>
      <c r="G107" s="56"/>
      <c r="H107" s="71"/>
      <c r="I107" s="134">
        <v>15</v>
      </c>
      <c r="J107" s="47" t="s">
        <v>994</v>
      </c>
      <c r="K107" s="36">
        <v>5</v>
      </c>
      <c r="L107" s="36"/>
      <c r="M107" s="135">
        <f t="shared" si="18"/>
        <v>0.15</v>
      </c>
      <c r="N107" s="135"/>
      <c r="O107" s="69">
        <v>44.921999999999997</v>
      </c>
      <c r="P107" s="57">
        <f t="shared" si="19"/>
        <v>33.692</v>
      </c>
    </row>
    <row r="108" spans="2:16" ht="15" customHeight="1" x14ac:dyDescent="0.3">
      <c r="B108" s="118">
        <v>4</v>
      </c>
      <c r="C108" s="119" t="s">
        <v>1081</v>
      </c>
      <c r="D108" s="120" t="s">
        <v>997</v>
      </c>
      <c r="E108" s="120"/>
      <c r="F108" s="120"/>
      <c r="G108" s="120"/>
      <c r="H108" s="131"/>
      <c r="I108" s="132">
        <v>5</v>
      </c>
      <c r="J108" s="121" t="s">
        <v>994</v>
      </c>
      <c r="K108" s="118">
        <v>5</v>
      </c>
      <c r="L108" s="118"/>
      <c r="M108" s="133">
        <f t="shared" si="18"/>
        <v>0.05</v>
      </c>
      <c r="N108" s="133"/>
      <c r="O108" s="117">
        <v>33.408000000000001</v>
      </c>
      <c r="P108" s="124">
        <f t="shared" si="19"/>
        <v>8.3520000000000003</v>
      </c>
    </row>
    <row r="109" spans="2:16" ht="15" customHeight="1" x14ac:dyDescent="0.3">
      <c r="B109" s="61">
        <v>4</v>
      </c>
      <c r="C109" s="58" t="s">
        <v>1081</v>
      </c>
      <c r="D109" s="59" t="s">
        <v>1000</v>
      </c>
      <c r="E109" s="59"/>
      <c r="F109" s="59"/>
      <c r="G109" s="59"/>
      <c r="H109" s="64"/>
      <c r="I109" s="63">
        <v>5</v>
      </c>
      <c r="J109" s="60" t="s">
        <v>994</v>
      </c>
      <c r="K109" s="61">
        <v>5</v>
      </c>
      <c r="L109" s="61"/>
      <c r="M109" s="62">
        <f t="shared" si="18"/>
        <v>0.05</v>
      </c>
      <c r="N109" s="62"/>
      <c r="O109" s="67">
        <v>35.640999999999998</v>
      </c>
      <c r="P109" s="68">
        <f t="shared" si="19"/>
        <v>8.91</v>
      </c>
    </row>
    <row r="110" spans="2:16" ht="15" customHeight="1" x14ac:dyDescent="0.3">
      <c r="B110" s="61">
        <v>4</v>
      </c>
      <c r="C110" s="58" t="s">
        <v>1081</v>
      </c>
      <c r="D110" s="59" t="s">
        <v>1001</v>
      </c>
      <c r="E110" s="59"/>
      <c r="F110" s="59"/>
      <c r="G110" s="59"/>
      <c r="H110" s="64"/>
      <c r="I110" s="63">
        <v>5</v>
      </c>
      <c r="J110" s="60" t="s">
        <v>994</v>
      </c>
      <c r="K110" s="61">
        <v>5</v>
      </c>
      <c r="L110" s="61"/>
      <c r="M110" s="62">
        <f t="shared" ref="M110:M111" si="20">+I110/100</f>
        <v>0.05</v>
      </c>
      <c r="N110" s="62"/>
      <c r="O110" s="67">
        <v>37.960999999999999</v>
      </c>
      <c r="P110" s="68">
        <f t="shared" ref="P110:P111" si="21">+ROUND(PRODUCT(K110:O110),3)</f>
        <v>9.49</v>
      </c>
    </row>
    <row r="111" spans="2:16" ht="15" customHeight="1" x14ac:dyDescent="0.3">
      <c r="B111" s="61">
        <v>4</v>
      </c>
      <c r="C111" s="58" t="s">
        <v>1081</v>
      </c>
      <c r="D111" s="59" t="s">
        <v>1002</v>
      </c>
      <c r="E111" s="59"/>
      <c r="F111" s="59"/>
      <c r="G111" s="59"/>
      <c r="H111" s="64"/>
      <c r="I111" s="63">
        <v>5</v>
      </c>
      <c r="J111" s="60" t="s">
        <v>994</v>
      </c>
      <c r="K111" s="61">
        <v>4</v>
      </c>
      <c r="L111" s="61"/>
      <c r="M111" s="62">
        <f t="shared" si="20"/>
        <v>0.05</v>
      </c>
      <c r="N111" s="62"/>
      <c r="O111" s="67">
        <v>40.220999999999997</v>
      </c>
      <c r="P111" s="68">
        <f t="shared" si="21"/>
        <v>8.0440000000000005</v>
      </c>
    </row>
    <row r="112" spans="2:16" ht="15" customHeight="1" x14ac:dyDescent="0.3">
      <c r="B112" s="61">
        <v>4</v>
      </c>
      <c r="C112" s="58" t="s">
        <v>1081</v>
      </c>
      <c r="D112" s="59" t="s">
        <v>1069</v>
      </c>
      <c r="E112" s="59"/>
      <c r="F112" s="59"/>
      <c r="G112" s="59"/>
      <c r="H112" s="64"/>
      <c r="I112" s="63">
        <v>10</v>
      </c>
      <c r="J112" s="60" t="s">
        <v>994</v>
      </c>
      <c r="K112" s="61">
        <v>2</v>
      </c>
      <c r="L112" s="61"/>
      <c r="M112" s="62">
        <f>+I112/100</f>
        <v>0.1</v>
      </c>
      <c r="N112" s="62"/>
      <c r="O112" s="67">
        <v>8</v>
      </c>
      <c r="P112" s="68">
        <f>+ROUND(PRODUCT(K112:O112),3)</f>
        <v>1.6</v>
      </c>
    </row>
    <row r="113" spans="2:16" ht="15" customHeight="1" x14ac:dyDescent="0.3">
      <c r="B113" s="61">
        <v>4</v>
      </c>
      <c r="C113" s="58" t="s">
        <v>1081</v>
      </c>
      <c r="D113" s="59" t="s">
        <v>1003</v>
      </c>
      <c r="E113" s="59"/>
      <c r="F113" s="59"/>
      <c r="G113" s="59"/>
      <c r="H113" s="64"/>
      <c r="I113" s="63">
        <v>5</v>
      </c>
      <c r="J113" s="60" t="s">
        <v>994</v>
      </c>
      <c r="K113" s="61">
        <v>4</v>
      </c>
      <c r="L113" s="61"/>
      <c r="M113" s="62">
        <f t="shared" ref="M113:M116" si="22">+I113/100</f>
        <v>0.05</v>
      </c>
      <c r="N113" s="62"/>
      <c r="O113" s="67">
        <v>42.5</v>
      </c>
      <c r="P113" s="68">
        <f t="shared" ref="P113:P116" si="23">+ROUND(PRODUCT(K113:O113),3)</f>
        <v>8.5</v>
      </c>
    </row>
    <row r="114" spans="2:16" ht="15" customHeight="1" x14ac:dyDescent="0.3">
      <c r="B114" s="36">
        <v>4</v>
      </c>
      <c r="C114" s="46" t="s">
        <v>1081</v>
      </c>
      <c r="D114" s="56" t="s">
        <v>1004</v>
      </c>
      <c r="E114" s="56"/>
      <c r="F114" s="56"/>
      <c r="G114" s="56"/>
      <c r="H114" s="71"/>
      <c r="I114" s="134">
        <v>15</v>
      </c>
      <c r="J114" s="47" t="s">
        <v>994</v>
      </c>
      <c r="K114" s="36">
        <v>4</v>
      </c>
      <c r="L114" s="36"/>
      <c r="M114" s="135">
        <f t="shared" si="22"/>
        <v>0.15</v>
      </c>
      <c r="N114" s="135"/>
      <c r="O114" s="69">
        <v>44.921999999999997</v>
      </c>
      <c r="P114" s="57">
        <f t="shared" si="23"/>
        <v>26.952999999999999</v>
      </c>
    </row>
    <row r="115" spans="2:16" ht="15" customHeight="1" x14ac:dyDescent="0.3">
      <c r="B115" s="109">
        <v>4</v>
      </c>
      <c r="C115" s="110" t="s">
        <v>1087</v>
      </c>
      <c r="D115" s="111" t="s">
        <v>997</v>
      </c>
      <c r="E115" s="111"/>
      <c r="F115" s="111"/>
      <c r="G115" s="111"/>
      <c r="H115" s="128"/>
      <c r="I115" s="129">
        <v>5</v>
      </c>
      <c r="J115" s="112" t="s">
        <v>994</v>
      </c>
      <c r="K115" s="109">
        <v>4</v>
      </c>
      <c r="L115" s="109"/>
      <c r="M115" s="130">
        <f t="shared" si="22"/>
        <v>0.05</v>
      </c>
      <c r="N115" s="130"/>
      <c r="O115" s="115">
        <v>33.408000000000001</v>
      </c>
      <c r="P115" s="116">
        <f t="shared" si="23"/>
        <v>6.6820000000000004</v>
      </c>
    </row>
    <row r="116" spans="2:16" ht="15" customHeight="1" x14ac:dyDescent="0.3">
      <c r="B116" s="61">
        <v>4</v>
      </c>
      <c r="C116" s="58" t="s">
        <v>1087</v>
      </c>
      <c r="D116" s="59" t="s">
        <v>1000</v>
      </c>
      <c r="E116" s="59"/>
      <c r="F116" s="59"/>
      <c r="G116" s="59"/>
      <c r="H116" s="64"/>
      <c r="I116" s="63">
        <v>5</v>
      </c>
      <c r="J116" s="60" t="s">
        <v>994</v>
      </c>
      <c r="K116" s="61">
        <v>4</v>
      </c>
      <c r="L116" s="61"/>
      <c r="M116" s="62">
        <f t="shared" si="22"/>
        <v>0.05</v>
      </c>
      <c r="N116" s="62"/>
      <c r="O116" s="67">
        <v>35.640999999999998</v>
      </c>
      <c r="P116" s="68">
        <f t="shared" si="23"/>
        <v>7.1280000000000001</v>
      </c>
    </row>
    <row r="117" spans="2:16" ht="15" customHeight="1" x14ac:dyDescent="0.3">
      <c r="B117" s="61">
        <v>4</v>
      </c>
      <c r="C117" s="58" t="s">
        <v>1087</v>
      </c>
      <c r="D117" s="59" t="s">
        <v>1065</v>
      </c>
      <c r="E117" s="59"/>
      <c r="F117" s="59"/>
      <c r="G117" s="59"/>
      <c r="H117" s="64"/>
      <c r="I117" s="63">
        <v>10</v>
      </c>
      <c r="J117" s="60" t="s">
        <v>994</v>
      </c>
      <c r="K117" s="61">
        <v>4</v>
      </c>
      <c r="L117" s="61"/>
      <c r="M117" s="62">
        <f>+I117/100</f>
        <v>0.1</v>
      </c>
      <c r="N117" s="62"/>
      <c r="O117" s="67">
        <v>8</v>
      </c>
      <c r="P117" s="68">
        <f>+ROUND(PRODUCT(K117:O117),3)</f>
        <v>3.2</v>
      </c>
    </row>
    <row r="118" spans="2:16" ht="15" customHeight="1" x14ac:dyDescent="0.3">
      <c r="B118" s="61">
        <v>4</v>
      </c>
      <c r="C118" s="58" t="s">
        <v>1087</v>
      </c>
      <c r="D118" s="59" t="s">
        <v>1001</v>
      </c>
      <c r="E118" s="59"/>
      <c r="F118" s="59"/>
      <c r="G118" s="59"/>
      <c r="H118" s="64"/>
      <c r="I118" s="63">
        <v>5</v>
      </c>
      <c r="J118" s="60" t="s">
        <v>994</v>
      </c>
      <c r="K118" s="61">
        <v>4</v>
      </c>
      <c r="L118" s="61"/>
      <c r="M118" s="62">
        <f t="shared" ref="M118:M119" si="24">+I118/100</f>
        <v>0.05</v>
      </c>
      <c r="N118" s="62"/>
      <c r="O118" s="67">
        <v>37.960999999999999</v>
      </c>
      <c r="P118" s="68">
        <f t="shared" ref="P118:P119" si="25">+ROUND(PRODUCT(K118:O118),3)</f>
        <v>7.5919999999999996</v>
      </c>
    </row>
    <row r="119" spans="2:16" ht="15" customHeight="1" x14ac:dyDescent="0.3">
      <c r="B119" s="61">
        <v>4</v>
      </c>
      <c r="C119" s="58" t="s">
        <v>1087</v>
      </c>
      <c r="D119" s="59" t="s">
        <v>1002</v>
      </c>
      <c r="E119" s="59"/>
      <c r="F119" s="59"/>
      <c r="G119" s="59"/>
      <c r="H119" s="64"/>
      <c r="I119" s="63">
        <v>5</v>
      </c>
      <c r="J119" s="60" t="s">
        <v>994</v>
      </c>
      <c r="K119" s="61">
        <v>5</v>
      </c>
      <c r="L119" s="61"/>
      <c r="M119" s="62">
        <f t="shared" si="24"/>
        <v>0.05</v>
      </c>
      <c r="N119" s="62"/>
      <c r="O119" s="67">
        <v>40.220999999999997</v>
      </c>
      <c r="P119" s="68">
        <f t="shared" si="25"/>
        <v>10.055</v>
      </c>
    </row>
    <row r="120" spans="2:16" ht="15" customHeight="1" x14ac:dyDescent="0.3">
      <c r="B120" s="61">
        <v>4</v>
      </c>
      <c r="C120" s="58" t="s">
        <v>1087</v>
      </c>
      <c r="D120" s="59" t="s">
        <v>1069</v>
      </c>
      <c r="E120" s="59"/>
      <c r="F120" s="59"/>
      <c r="G120" s="59"/>
      <c r="H120" s="64"/>
      <c r="I120" s="63">
        <v>10</v>
      </c>
      <c r="J120" s="60" t="s">
        <v>994</v>
      </c>
      <c r="K120" s="61">
        <v>2</v>
      </c>
      <c r="L120" s="61"/>
      <c r="M120" s="62">
        <f>+I120/100</f>
        <v>0.1</v>
      </c>
      <c r="N120" s="62"/>
      <c r="O120" s="67">
        <v>8</v>
      </c>
      <c r="P120" s="68">
        <f>+ROUND(PRODUCT(K120:O120),3)</f>
        <v>1.6</v>
      </c>
    </row>
    <row r="121" spans="2:16" ht="15" customHeight="1" x14ac:dyDescent="0.3">
      <c r="B121" s="61">
        <v>4</v>
      </c>
      <c r="C121" s="58" t="s">
        <v>1087</v>
      </c>
      <c r="D121" s="59" t="s">
        <v>1003</v>
      </c>
      <c r="E121" s="59"/>
      <c r="F121" s="59"/>
      <c r="G121" s="59"/>
      <c r="H121" s="64"/>
      <c r="I121" s="63">
        <v>5</v>
      </c>
      <c r="J121" s="60" t="s">
        <v>994</v>
      </c>
      <c r="K121" s="61">
        <v>5</v>
      </c>
      <c r="L121" s="61"/>
      <c r="M121" s="62">
        <f t="shared" ref="M121:M124" si="26">+I121/100</f>
        <v>0.05</v>
      </c>
      <c r="N121" s="62"/>
      <c r="O121" s="67">
        <v>42.5</v>
      </c>
      <c r="P121" s="68">
        <f t="shared" ref="P121:P124" si="27">+ROUND(PRODUCT(K121:O121),3)</f>
        <v>10.625</v>
      </c>
    </row>
    <row r="122" spans="2:16" ht="15" customHeight="1" x14ac:dyDescent="0.3">
      <c r="B122" s="61">
        <v>4</v>
      </c>
      <c r="C122" s="58" t="s">
        <v>1087</v>
      </c>
      <c r="D122" s="59" t="s">
        <v>1004</v>
      </c>
      <c r="E122" s="59"/>
      <c r="F122" s="59"/>
      <c r="G122" s="59"/>
      <c r="H122" s="64"/>
      <c r="I122" s="63">
        <v>15</v>
      </c>
      <c r="J122" s="60" t="s">
        <v>994</v>
      </c>
      <c r="K122" s="61">
        <v>5</v>
      </c>
      <c r="L122" s="61"/>
      <c r="M122" s="62">
        <f t="shared" si="26"/>
        <v>0.15</v>
      </c>
      <c r="N122" s="62"/>
      <c r="O122" s="67">
        <v>44.921999999999997</v>
      </c>
      <c r="P122" s="68">
        <f t="shared" si="27"/>
        <v>33.692</v>
      </c>
    </row>
    <row r="123" spans="2:16" ht="15" customHeight="1" x14ac:dyDescent="0.3">
      <c r="B123" s="109">
        <v>4</v>
      </c>
      <c r="C123" s="110" t="s">
        <v>1093</v>
      </c>
      <c r="D123" s="111" t="s">
        <v>997</v>
      </c>
      <c r="E123" s="111"/>
      <c r="F123" s="111"/>
      <c r="G123" s="111"/>
      <c r="H123" s="128"/>
      <c r="I123" s="129">
        <v>5</v>
      </c>
      <c r="J123" s="112" t="s">
        <v>994</v>
      </c>
      <c r="K123" s="109">
        <v>3</v>
      </c>
      <c r="L123" s="109"/>
      <c r="M123" s="130">
        <f t="shared" si="26"/>
        <v>0.05</v>
      </c>
      <c r="N123" s="130"/>
      <c r="O123" s="115">
        <v>33.408000000000001</v>
      </c>
      <c r="P123" s="116">
        <f t="shared" si="27"/>
        <v>5.0110000000000001</v>
      </c>
    </row>
    <row r="124" spans="2:16" ht="15" customHeight="1" x14ac:dyDescent="0.3">
      <c r="B124" s="61">
        <v>4</v>
      </c>
      <c r="C124" s="58" t="s">
        <v>1093</v>
      </c>
      <c r="D124" s="59" t="s">
        <v>1000</v>
      </c>
      <c r="E124" s="59"/>
      <c r="F124" s="59"/>
      <c r="G124" s="59"/>
      <c r="H124" s="64"/>
      <c r="I124" s="63">
        <v>5</v>
      </c>
      <c r="J124" s="60" t="s">
        <v>994</v>
      </c>
      <c r="K124" s="61">
        <v>3</v>
      </c>
      <c r="L124" s="61"/>
      <c r="M124" s="62">
        <f t="shared" si="26"/>
        <v>0.05</v>
      </c>
      <c r="N124" s="62"/>
      <c r="O124" s="67">
        <v>35.640999999999998</v>
      </c>
      <c r="P124" s="68">
        <f t="shared" si="27"/>
        <v>5.3460000000000001</v>
      </c>
    </row>
    <row r="125" spans="2:16" ht="15" customHeight="1" x14ac:dyDescent="0.3">
      <c r="B125" s="61">
        <v>4</v>
      </c>
      <c r="C125" s="58" t="s">
        <v>1093</v>
      </c>
      <c r="D125" s="59" t="s">
        <v>1001</v>
      </c>
      <c r="E125" s="59"/>
      <c r="F125" s="59"/>
      <c r="G125" s="59"/>
      <c r="H125" s="64"/>
      <c r="I125" s="63">
        <v>5</v>
      </c>
      <c r="J125" s="60" t="s">
        <v>994</v>
      </c>
      <c r="K125" s="61">
        <v>3</v>
      </c>
      <c r="L125" s="61"/>
      <c r="M125" s="62">
        <f t="shared" ref="M125:M126" si="28">+I125/100</f>
        <v>0.05</v>
      </c>
      <c r="N125" s="62"/>
      <c r="O125" s="67">
        <v>37.960999999999999</v>
      </c>
      <c r="P125" s="68">
        <f t="shared" ref="P125:P126" si="29">+ROUND(PRODUCT(K125:O125),3)</f>
        <v>5.694</v>
      </c>
    </row>
    <row r="126" spans="2:16" ht="15" customHeight="1" x14ac:dyDescent="0.3">
      <c r="B126" s="61">
        <v>4</v>
      </c>
      <c r="C126" s="58" t="s">
        <v>1093</v>
      </c>
      <c r="D126" s="59" t="s">
        <v>1002</v>
      </c>
      <c r="E126" s="59"/>
      <c r="F126" s="59"/>
      <c r="G126" s="59"/>
      <c r="H126" s="64"/>
      <c r="I126" s="63">
        <v>5</v>
      </c>
      <c r="J126" s="60" t="s">
        <v>994</v>
      </c>
      <c r="K126" s="61">
        <v>3</v>
      </c>
      <c r="L126" s="61"/>
      <c r="M126" s="62">
        <f t="shared" si="28"/>
        <v>0.05</v>
      </c>
      <c r="N126" s="62"/>
      <c r="O126" s="67">
        <v>40.220999999999997</v>
      </c>
      <c r="P126" s="68">
        <f t="shared" si="29"/>
        <v>6.0330000000000004</v>
      </c>
    </row>
    <row r="127" spans="2:16" ht="15" customHeight="1" x14ac:dyDescent="0.3">
      <c r="B127" s="61">
        <v>4</v>
      </c>
      <c r="C127" s="58" t="s">
        <v>1093</v>
      </c>
      <c r="D127" s="59" t="s">
        <v>1003</v>
      </c>
      <c r="E127" s="59"/>
      <c r="F127" s="59"/>
      <c r="G127" s="59"/>
      <c r="H127" s="64"/>
      <c r="I127" s="63">
        <v>5</v>
      </c>
      <c r="J127" s="60" t="s">
        <v>994</v>
      </c>
      <c r="K127" s="61">
        <v>3</v>
      </c>
      <c r="L127" s="61"/>
      <c r="M127" s="62">
        <f t="shared" ref="M127:M129" si="30">+I127/100</f>
        <v>0.05</v>
      </c>
      <c r="N127" s="62"/>
      <c r="O127" s="67">
        <v>42.5</v>
      </c>
      <c r="P127" s="68">
        <f t="shared" ref="P127:P129" si="31">+ROUND(PRODUCT(K127:O127),3)</f>
        <v>6.375</v>
      </c>
    </row>
    <row r="128" spans="2:16" ht="15" customHeight="1" x14ac:dyDescent="0.3">
      <c r="B128" s="61">
        <v>4</v>
      </c>
      <c r="C128" s="58" t="s">
        <v>1093</v>
      </c>
      <c r="D128" s="59" t="s">
        <v>1004</v>
      </c>
      <c r="E128" s="59"/>
      <c r="F128" s="59"/>
      <c r="G128" s="59"/>
      <c r="H128" s="64"/>
      <c r="I128" s="63">
        <v>5</v>
      </c>
      <c r="J128" s="60" t="s">
        <v>994</v>
      </c>
      <c r="K128" s="61">
        <v>1</v>
      </c>
      <c r="L128" s="61"/>
      <c r="M128" s="62">
        <f t="shared" si="30"/>
        <v>0.05</v>
      </c>
      <c r="N128" s="62"/>
      <c r="O128" s="67">
        <v>44.921999999999997</v>
      </c>
      <c r="P128" s="68">
        <f t="shared" si="31"/>
        <v>2.246</v>
      </c>
    </row>
    <row r="129" spans="2:31" ht="15" customHeight="1" x14ac:dyDescent="0.3">
      <c r="B129" s="61">
        <v>4</v>
      </c>
      <c r="C129" s="58" t="s">
        <v>1093</v>
      </c>
      <c r="D129" s="59" t="s">
        <v>1004</v>
      </c>
      <c r="E129" s="59"/>
      <c r="F129" s="59"/>
      <c r="G129" s="59"/>
      <c r="H129" s="64"/>
      <c r="I129" s="63">
        <v>15</v>
      </c>
      <c r="J129" s="60" t="s">
        <v>994</v>
      </c>
      <c r="K129" s="61">
        <v>2</v>
      </c>
      <c r="L129" s="61"/>
      <c r="M129" s="62">
        <f t="shared" si="30"/>
        <v>0.15</v>
      </c>
      <c r="N129" s="62"/>
      <c r="O129" s="67">
        <v>44.921999999999997</v>
      </c>
      <c r="P129" s="68">
        <f t="shared" si="31"/>
        <v>13.477</v>
      </c>
    </row>
    <row r="130" spans="2:31" ht="15" customHeight="1" x14ac:dyDescent="0.3">
      <c r="B130" s="61">
        <v>4</v>
      </c>
      <c r="C130" s="58" t="s">
        <v>1093</v>
      </c>
      <c r="D130" s="59" t="s">
        <v>1004</v>
      </c>
      <c r="E130" s="59"/>
      <c r="F130" s="59"/>
      <c r="G130" s="59"/>
      <c r="H130" s="64"/>
      <c r="I130" s="63">
        <v>30</v>
      </c>
      <c r="J130" s="60" t="s">
        <v>994</v>
      </c>
      <c r="K130" s="61">
        <v>1</v>
      </c>
      <c r="L130" s="61"/>
      <c r="M130" s="62">
        <f t="shared" ref="M130" si="32">+I130/100</f>
        <v>0.3</v>
      </c>
      <c r="N130" s="62"/>
      <c r="O130" s="67">
        <v>44.921999999999997</v>
      </c>
      <c r="P130" s="68">
        <f t="shared" ref="P130" si="33">+ROUND(PRODUCT(K130:O130),3)</f>
        <v>13.477</v>
      </c>
    </row>
    <row r="131" spans="2:31" ht="4.95" customHeight="1" x14ac:dyDescent="0.3">
      <c r="B131" s="39"/>
      <c r="C131" s="42"/>
      <c r="D131" s="40"/>
      <c r="E131" s="40"/>
      <c r="F131" s="40"/>
      <c r="G131" s="40"/>
      <c r="H131" s="41"/>
      <c r="I131" s="41"/>
      <c r="J131" s="41"/>
      <c r="K131" s="41"/>
      <c r="L131" s="41"/>
      <c r="M131" s="41"/>
      <c r="N131" s="41"/>
      <c r="O131" s="42"/>
      <c r="P131" s="43"/>
    </row>
    <row r="132" spans="2:31" ht="19.95" customHeight="1" x14ac:dyDescent="0.3">
      <c r="C132" s="29"/>
      <c r="D132" s="32"/>
      <c r="E132" s="32"/>
      <c r="F132" s="32"/>
      <c r="G132" s="32"/>
      <c r="H132" s="11"/>
      <c r="I132" s="11"/>
      <c r="J132" s="11"/>
      <c r="K132" s="11"/>
      <c r="L132" s="11"/>
      <c r="M132" s="11"/>
      <c r="N132" s="11"/>
      <c r="O132" s="29"/>
    </row>
    <row r="133" spans="2:31" ht="30" customHeight="1" x14ac:dyDescent="0.3">
      <c r="B133" s="193" t="s">
        <v>7</v>
      </c>
      <c r="C133" s="194"/>
      <c r="D133" s="193" t="s">
        <v>8</v>
      </c>
      <c r="E133" s="195"/>
      <c r="F133" s="195"/>
      <c r="G133" s="195"/>
      <c r="H133" s="195"/>
      <c r="I133" s="195"/>
      <c r="J133" s="195"/>
      <c r="K133" s="195"/>
      <c r="L133" s="195"/>
      <c r="M133" s="33" t="s">
        <v>9</v>
      </c>
      <c r="N133" s="104" t="s">
        <v>1077</v>
      </c>
      <c r="O133" s="104" t="s">
        <v>1078</v>
      </c>
      <c r="P133" s="34" t="s">
        <v>1079</v>
      </c>
    </row>
    <row r="134" spans="2:31" ht="30" customHeight="1" x14ac:dyDescent="0.3">
      <c r="B134" s="199" t="s">
        <v>125</v>
      </c>
      <c r="C134" s="200"/>
      <c r="D134" s="197" t="str">
        <f>+VLOOKUP(B134,[1]Liste!B:E,2,FALSE)</f>
        <v>Püskürtme Beton (Tünel ve Şaftlarda)</v>
      </c>
      <c r="E134" s="198"/>
      <c r="F134" s="198"/>
      <c r="G134" s="198"/>
      <c r="H134" s="198"/>
      <c r="I134" s="198"/>
      <c r="J134" s="198"/>
      <c r="K134" s="198"/>
      <c r="L134" s="198"/>
      <c r="M134" s="35" t="str">
        <f>+VLOOKUP(B134,[1]Liste!B:E,3,FALSE)</f>
        <v>m³</v>
      </c>
      <c r="N134" s="66">
        <v>868.58399999999995</v>
      </c>
      <c r="O134" s="66">
        <f>+P134-N134</f>
        <v>0</v>
      </c>
      <c r="P134" s="66">
        <f>+ROUND(SUM(P135:P251),3)</f>
        <v>868.58399999999995</v>
      </c>
      <c r="AA134" s="9">
        <f>+VLOOKUP(B134,[2]Liste!$B$2:$F$483,5,FALSE)</f>
        <v>15334</v>
      </c>
      <c r="AC134" s="9">
        <f>+AA134*N134</f>
        <v>13318867.056</v>
      </c>
      <c r="AD134" s="9">
        <f>+AA134*O134</f>
        <v>0</v>
      </c>
      <c r="AE134" s="9">
        <f>+AA134*P134</f>
        <v>13318867.056</v>
      </c>
    </row>
    <row r="135" spans="2:31" ht="15" customHeight="1" x14ac:dyDescent="0.3">
      <c r="B135" s="54" t="s">
        <v>1015</v>
      </c>
      <c r="C135" s="93"/>
      <c r="D135" s="48"/>
      <c r="E135" s="48"/>
      <c r="F135" s="48"/>
      <c r="G135" s="48"/>
      <c r="H135" s="49"/>
      <c r="I135" s="49"/>
      <c r="J135" s="49"/>
      <c r="K135" s="50"/>
      <c r="L135" s="50"/>
      <c r="M135" s="51"/>
      <c r="N135" s="51"/>
      <c r="O135" s="52"/>
      <c r="P135" s="53"/>
    </row>
    <row r="136" spans="2:31" ht="30" customHeight="1" x14ac:dyDescent="0.3">
      <c r="B136" s="106" t="s">
        <v>982</v>
      </c>
      <c r="C136" s="106" t="s">
        <v>992</v>
      </c>
      <c r="D136" s="107" t="s">
        <v>991</v>
      </c>
      <c r="E136" s="107"/>
      <c r="F136" s="107"/>
      <c r="G136" s="107"/>
      <c r="H136" s="106" t="s">
        <v>989</v>
      </c>
      <c r="I136" s="106" t="s">
        <v>988</v>
      </c>
      <c r="J136" s="106" t="s">
        <v>993</v>
      </c>
      <c r="K136" s="106" t="s">
        <v>990</v>
      </c>
      <c r="L136" s="108" t="s">
        <v>1007</v>
      </c>
      <c r="M136" s="106" t="s">
        <v>986</v>
      </c>
      <c r="N136" s="108" t="s">
        <v>13</v>
      </c>
      <c r="O136" s="108" t="s">
        <v>984</v>
      </c>
      <c r="P136" s="108" t="s">
        <v>15</v>
      </c>
    </row>
    <row r="137" spans="2:31" ht="15" customHeight="1" x14ac:dyDescent="0.3">
      <c r="B137" s="118">
        <v>3</v>
      </c>
      <c r="C137" s="119" t="s">
        <v>1062</v>
      </c>
      <c r="D137" s="120" t="s">
        <v>1063</v>
      </c>
      <c r="E137" s="120"/>
      <c r="F137" s="120"/>
      <c r="G137" s="120"/>
      <c r="H137" s="121">
        <v>1356.66</v>
      </c>
      <c r="I137" s="121">
        <v>1364.54</v>
      </c>
      <c r="J137" s="121" t="s">
        <v>994</v>
      </c>
      <c r="K137" s="118">
        <v>1</v>
      </c>
      <c r="L137" s="190">
        <v>0.9</v>
      </c>
      <c r="M137" s="122">
        <v>0.38</v>
      </c>
      <c r="N137" s="122" t="s">
        <v>1008</v>
      </c>
      <c r="O137" s="174">
        <v>4.8230000000000004</v>
      </c>
      <c r="P137" s="189">
        <f t="shared" ref="P137" si="34">+ROUND(PRODUCT(K137:O137),3)</f>
        <v>1.649</v>
      </c>
    </row>
    <row r="138" spans="2:31" ht="15" customHeight="1" x14ac:dyDescent="0.3">
      <c r="B138" s="61">
        <v>3</v>
      </c>
      <c r="C138" s="58" t="s">
        <v>1062</v>
      </c>
      <c r="D138" s="59" t="s">
        <v>1063</v>
      </c>
      <c r="E138" s="59"/>
      <c r="F138" s="59"/>
      <c r="G138" s="59"/>
      <c r="H138" s="60">
        <v>1356.66</v>
      </c>
      <c r="I138" s="60">
        <v>1364.54</v>
      </c>
      <c r="J138" s="60" t="s">
        <v>994</v>
      </c>
      <c r="K138" s="61">
        <v>1</v>
      </c>
      <c r="L138" s="87">
        <v>0.9</v>
      </c>
      <c r="M138" s="80">
        <v>0.75</v>
      </c>
      <c r="N138" s="80" t="s">
        <v>1008</v>
      </c>
      <c r="O138" s="67">
        <v>4.8230000000000004</v>
      </c>
      <c r="P138" s="68">
        <f t="shared" ref="P138:P149" si="35">+ROUND(PRODUCT(K138:O138),3)</f>
        <v>3.2559999999999998</v>
      </c>
    </row>
    <row r="139" spans="2:31" ht="15" customHeight="1" x14ac:dyDescent="0.3">
      <c r="B139" s="61">
        <v>3</v>
      </c>
      <c r="C139" s="58" t="s">
        <v>1062</v>
      </c>
      <c r="D139" s="59" t="s">
        <v>1063</v>
      </c>
      <c r="E139" s="59"/>
      <c r="F139" s="59"/>
      <c r="G139" s="59"/>
      <c r="H139" s="60">
        <v>1356.66</v>
      </c>
      <c r="I139" s="60">
        <v>1364.54</v>
      </c>
      <c r="J139" s="60" t="s">
        <v>994</v>
      </c>
      <c r="K139" s="61">
        <v>2</v>
      </c>
      <c r="L139" s="87">
        <v>0.9</v>
      </c>
      <c r="M139" s="80">
        <v>0.75</v>
      </c>
      <c r="N139" s="80" t="s">
        <v>1009</v>
      </c>
      <c r="O139" s="67">
        <v>4.9390000000000001</v>
      </c>
      <c r="P139" s="68">
        <f t="shared" si="35"/>
        <v>6.6680000000000001</v>
      </c>
    </row>
    <row r="140" spans="2:31" ht="15" customHeight="1" x14ac:dyDescent="0.3">
      <c r="B140" s="61">
        <v>3</v>
      </c>
      <c r="C140" s="58" t="s">
        <v>1062</v>
      </c>
      <c r="D140" s="59" t="s">
        <v>1063</v>
      </c>
      <c r="E140" s="59"/>
      <c r="F140" s="59"/>
      <c r="G140" s="59"/>
      <c r="H140" s="60">
        <v>1356.66</v>
      </c>
      <c r="I140" s="60">
        <v>1364.54</v>
      </c>
      <c r="J140" s="60" t="s">
        <v>994</v>
      </c>
      <c r="K140" s="61">
        <v>2</v>
      </c>
      <c r="L140" s="87">
        <v>0.9</v>
      </c>
      <c r="M140" s="80">
        <v>0.75</v>
      </c>
      <c r="N140" s="80" t="s">
        <v>1010</v>
      </c>
      <c r="O140" s="67">
        <v>5.1100000000000003</v>
      </c>
      <c r="P140" s="68">
        <f t="shared" si="35"/>
        <v>6.899</v>
      </c>
    </row>
    <row r="141" spans="2:31" ht="15" customHeight="1" x14ac:dyDescent="0.3">
      <c r="B141" s="61">
        <v>3</v>
      </c>
      <c r="C141" s="58" t="s">
        <v>1062</v>
      </c>
      <c r="D141" s="59" t="s">
        <v>1063</v>
      </c>
      <c r="E141" s="59"/>
      <c r="F141" s="59"/>
      <c r="G141" s="59"/>
      <c r="H141" s="60">
        <v>1356.66</v>
      </c>
      <c r="I141" s="60">
        <v>1364.54</v>
      </c>
      <c r="J141" s="60" t="s">
        <v>994</v>
      </c>
      <c r="K141" s="61">
        <v>2</v>
      </c>
      <c r="L141" s="87">
        <v>0.9</v>
      </c>
      <c r="M141" s="80">
        <v>0.75</v>
      </c>
      <c r="N141" s="80" t="s">
        <v>1011</v>
      </c>
      <c r="O141" s="67">
        <v>5.29</v>
      </c>
      <c r="P141" s="68">
        <f t="shared" si="35"/>
        <v>7.1420000000000003</v>
      </c>
    </row>
    <row r="142" spans="2:31" ht="15" customHeight="1" x14ac:dyDescent="0.3">
      <c r="B142" s="61">
        <v>3</v>
      </c>
      <c r="C142" s="58" t="s">
        <v>1062</v>
      </c>
      <c r="D142" s="59" t="s">
        <v>1063</v>
      </c>
      <c r="E142" s="59"/>
      <c r="F142" s="59"/>
      <c r="G142" s="59"/>
      <c r="H142" s="60">
        <v>1356.66</v>
      </c>
      <c r="I142" s="60">
        <v>1364.54</v>
      </c>
      <c r="J142" s="60" t="s">
        <v>994</v>
      </c>
      <c r="K142" s="61">
        <v>2</v>
      </c>
      <c r="L142" s="87">
        <v>0.9</v>
      </c>
      <c r="M142" s="80">
        <v>0.75</v>
      </c>
      <c r="N142" s="80" t="s">
        <v>1012</v>
      </c>
      <c r="O142" s="67">
        <v>5.4560000000000004</v>
      </c>
      <c r="P142" s="68">
        <f t="shared" si="35"/>
        <v>7.3659999999999997</v>
      </c>
    </row>
    <row r="143" spans="2:31" ht="15" customHeight="1" x14ac:dyDescent="0.3">
      <c r="B143" s="61">
        <v>3</v>
      </c>
      <c r="C143" s="58" t="s">
        <v>1062</v>
      </c>
      <c r="D143" s="59" t="s">
        <v>1063</v>
      </c>
      <c r="E143" s="59"/>
      <c r="F143" s="59"/>
      <c r="G143" s="59"/>
      <c r="H143" s="60">
        <v>1356.66</v>
      </c>
      <c r="I143" s="60">
        <v>1364.54</v>
      </c>
      <c r="J143" s="60" t="s">
        <v>994</v>
      </c>
      <c r="K143" s="61">
        <v>1</v>
      </c>
      <c r="L143" s="87">
        <v>0.9</v>
      </c>
      <c r="M143" s="80">
        <v>0.75</v>
      </c>
      <c r="N143" s="80" t="s">
        <v>1013</v>
      </c>
      <c r="O143" s="67">
        <v>5.6120000000000001</v>
      </c>
      <c r="P143" s="68">
        <f t="shared" si="35"/>
        <v>3.7879999999999998</v>
      </c>
    </row>
    <row r="144" spans="2:31" ht="15" customHeight="1" x14ac:dyDescent="0.3">
      <c r="B144" s="118">
        <v>3</v>
      </c>
      <c r="C144" s="119" t="s">
        <v>1067</v>
      </c>
      <c r="D144" s="120" t="s">
        <v>1068</v>
      </c>
      <c r="E144" s="120"/>
      <c r="F144" s="120"/>
      <c r="G144" s="120"/>
      <c r="H144" s="121">
        <v>1364.54</v>
      </c>
      <c r="I144" s="121">
        <v>1383.29</v>
      </c>
      <c r="J144" s="121" t="s">
        <v>994</v>
      </c>
      <c r="K144" s="118">
        <v>4</v>
      </c>
      <c r="L144" s="137">
        <v>0.9</v>
      </c>
      <c r="M144" s="122">
        <v>0.75</v>
      </c>
      <c r="N144" s="122" t="s">
        <v>1008</v>
      </c>
      <c r="O144" s="117">
        <v>4.8230000000000004</v>
      </c>
      <c r="P144" s="124">
        <f t="shared" si="35"/>
        <v>13.022</v>
      </c>
    </row>
    <row r="145" spans="2:16" ht="15" customHeight="1" x14ac:dyDescent="0.3">
      <c r="B145" s="61">
        <v>3</v>
      </c>
      <c r="C145" s="58" t="s">
        <v>1067</v>
      </c>
      <c r="D145" s="59" t="s">
        <v>1068</v>
      </c>
      <c r="E145" s="59"/>
      <c r="F145" s="59"/>
      <c r="G145" s="59"/>
      <c r="H145" s="60">
        <v>1364.54</v>
      </c>
      <c r="I145" s="60">
        <v>1383.29</v>
      </c>
      <c r="J145" s="60" t="s">
        <v>994</v>
      </c>
      <c r="K145" s="61">
        <v>4</v>
      </c>
      <c r="L145" s="87">
        <v>0.9</v>
      </c>
      <c r="M145" s="80">
        <v>0.75</v>
      </c>
      <c r="N145" s="80" t="s">
        <v>1009</v>
      </c>
      <c r="O145" s="67">
        <v>4.9390000000000001</v>
      </c>
      <c r="P145" s="68">
        <f t="shared" si="35"/>
        <v>13.335000000000001</v>
      </c>
    </row>
    <row r="146" spans="2:16" ht="15" customHeight="1" x14ac:dyDescent="0.3">
      <c r="B146" s="61">
        <v>3</v>
      </c>
      <c r="C146" s="58" t="s">
        <v>1067</v>
      </c>
      <c r="D146" s="59" t="s">
        <v>1068</v>
      </c>
      <c r="E146" s="59"/>
      <c r="F146" s="59"/>
      <c r="G146" s="59"/>
      <c r="H146" s="60">
        <v>1364.54</v>
      </c>
      <c r="I146" s="60">
        <v>1383.29</v>
      </c>
      <c r="J146" s="60" t="s">
        <v>994</v>
      </c>
      <c r="K146" s="61">
        <v>4</v>
      </c>
      <c r="L146" s="87">
        <v>0.9</v>
      </c>
      <c r="M146" s="80">
        <v>0.75</v>
      </c>
      <c r="N146" s="80" t="s">
        <v>1010</v>
      </c>
      <c r="O146" s="67">
        <v>5.1100000000000003</v>
      </c>
      <c r="P146" s="68">
        <f t="shared" si="35"/>
        <v>13.797000000000001</v>
      </c>
    </row>
    <row r="147" spans="2:16" ht="15" customHeight="1" x14ac:dyDescent="0.3">
      <c r="B147" s="61">
        <v>3</v>
      </c>
      <c r="C147" s="58" t="s">
        <v>1067</v>
      </c>
      <c r="D147" s="59" t="s">
        <v>1068</v>
      </c>
      <c r="E147" s="59"/>
      <c r="F147" s="59"/>
      <c r="G147" s="59"/>
      <c r="H147" s="60">
        <v>1364.54</v>
      </c>
      <c r="I147" s="60">
        <v>1383.29</v>
      </c>
      <c r="J147" s="60" t="s">
        <v>994</v>
      </c>
      <c r="K147" s="61">
        <v>4</v>
      </c>
      <c r="L147" s="87">
        <v>0.9</v>
      </c>
      <c r="M147" s="80">
        <v>0.75</v>
      </c>
      <c r="N147" s="80" t="s">
        <v>1011</v>
      </c>
      <c r="O147" s="67">
        <v>5.29</v>
      </c>
      <c r="P147" s="68">
        <f t="shared" si="35"/>
        <v>14.282999999999999</v>
      </c>
    </row>
    <row r="148" spans="2:16" ht="15" customHeight="1" x14ac:dyDescent="0.3">
      <c r="B148" s="61">
        <v>3</v>
      </c>
      <c r="C148" s="58" t="s">
        <v>1067</v>
      </c>
      <c r="D148" s="59" t="s">
        <v>1068</v>
      </c>
      <c r="E148" s="59"/>
      <c r="F148" s="59"/>
      <c r="G148" s="59"/>
      <c r="H148" s="60">
        <v>1364.54</v>
      </c>
      <c r="I148" s="60">
        <v>1383.29</v>
      </c>
      <c r="J148" s="60" t="s">
        <v>994</v>
      </c>
      <c r="K148" s="61">
        <v>4</v>
      </c>
      <c r="L148" s="87">
        <v>0.9</v>
      </c>
      <c r="M148" s="80">
        <v>0.75</v>
      </c>
      <c r="N148" s="80" t="s">
        <v>1012</v>
      </c>
      <c r="O148" s="67">
        <v>5.4560000000000004</v>
      </c>
      <c r="P148" s="68">
        <f t="shared" si="35"/>
        <v>14.731</v>
      </c>
    </row>
    <row r="149" spans="2:16" ht="15" customHeight="1" x14ac:dyDescent="0.3">
      <c r="B149" s="61">
        <v>3</v>
      </c>
      <c r="C149" s="58" t="s">
        <v>1067</v>
      </c>
      <c r="D149" s="59" t="s">
        <v>1068</v>
      </c>
      <c r="E149" s="59"/>
      <c r="F149" s="59"/>
      <c r="G149" s="59"/>
      <c r="H149" s="60">
        <v>1364.54</v>
      </c>
      <c r="I149" s="60">
        <v>1383.29</v>
      </c>
      <c r="J149" s="60" t="s">
        <v>994</v>
      </c>
      <c r="K149" s="61">
        <v>5</v>
      </c>
      <c r="L149" s="87">
        <v>0.9</v>
      </c>
      <c r="M149" s="80">
        <v>0.75</v>
      </c>
      <c r="N149" s="80" t="s">
        <v>1013</v>
      </c>
      <c r="O149" s="67">
        <v>5.6120000000000001</v>
      </c>
      <c r="P149" s="68">
        <f t="shared" si="35"/>
        <v>18.940999999999999</v>
      </c>
    </row>
    <row r="150" spans="2:16" ht="15" customHeight="1" x14ac:dyDescent="0.3">
      <c r="B150" s="118">
        <v>4</v>
      </c>
      <c r="C150" s="119" t="s">
        <v>1081</v>
      </c>
      <c r="D150" s="120" t="s">
        <v>1080</v>
      </c>
      <c r="E150" s="120"/>
      <c r="F150" s="120"/>
      <c r="G150" s="120"/>
      <c r="H150" s="121">
        <v>1383.29</v>
      </c>
      <c r="I150" s="121">
        <v>1403.54</v>
      </c>
      <c r="J150" s="121" t="s">
        <v>994</v>
      </c>
      <c r="K150" s="118">
        <v>5</v>
      </c>
      <c r="L150" s="137">
        <v>0.9</v>
      </c>
      <c r="M150" s="122">
        <v>0.75</v>
      </c>
      <c r="N150" s="122" t="s">
        <v>1008</v>
      </c>
      <c r="O150" s="117">
        <v>4.8230000000000004</v>
      </c>
      <c r="P150" s="124">
        <f t="shared" ref="P150:P155" si="36">+ROUND(PRODUCT(K150:O150),3)</f>
        <v>16.277999999999999</v>
      </c>
    </row>
    <row r="151" spans="2:16" ht="15" customHeight="1" x14ac:dyDescent="0.3">
      <c r="B151" s="61">
        <v>4</v>
      </c>
      <c r="C151" s="58" t="s">
        <v>1081</v>
      </c>
      <c r="D151" s="59" t="s">
        <v>1080</v>
      </c>
      <c r="E151" s="59"/>
      <c r="F151" s="59"/>
      <c r="G151" s="59"/>
      <c r="H151" s="60">
        <v>1383.29</v>
      </c>
      <c r="I151" s="60">
        <v>1403.54</v>
      </c>
      <c r="J151" s="60" t="s">
        <v>994</v>
      </c>
      <c r="K151" s="61">
        <v>5</v>
      </c>
      <c r="L151" s="87">
        <v>0.9</v>
      </c>
      <c r="M151" s="80">
        <v>0.75</v>
      </c>
      <c r="N151" s="80" t="s">
        <v>1009</v>
      </c>
      <c r="O151" s="67">
        <v>4.9390000000000001</v>
      </c>
      <c r="P151" s="68">
        <f t="shared" si="36"/>
        <v>16.669</v>
      </c>
    </row>
    <row r="152" spans="2:16" ht="15" customHeight="1" x14ac:dyDescent="0.3">
      <c r="B152" s="61">
        <v>4</v>
      </c>
      <c r="C152" s="58" t="s">
        <v>1081</v>
      </c>
      <c r="D152" s="59" t="s">
        <v>1080</v>
      </c>
      <c r="E152" s="59"/>
      <c r="F152" s="59"/>
      <c r="G152" s="59"/>
      <c r="H152" s="60">
        <v>1383.29</v>
      </c>
      <c r="I152" s="60">
        <v>1403.54</v>
      </c>
      <c r="J152" s="60" t="s">
        <v>994</v>
      </c>
      <c r="K152" s="61">
        <v>5</v>
      </c>
      <c r="L152" s="87">
        <v>0.9</v>
      </c>
      <c r="M152" s="80">
        <v>0.75</v>
      </c>
      <c r="N152" s="80" t="s">
        <v>1010</v>
      </c>
      <c r="O152" s="67">
        <v>5.1100000000000003</v>
      </c>
      <c r="P152" s="68">
        <f t="shared" si="36"/>
        <v>17.245999999999999</v>
      </c>
    </row>
    <row r="153" spans="2:16" ht="15" customHeight="1" x14ac:dyDescent="0.3">
      <c r="B153" s="61">
        <v>4</v>
      </c>
      <c r="C153" s="58" t="s">
        <v>1081</v>
      </c>
      <c r="D153" s="59" t="s">
        <v>1080</v>
      </c>
      <c r="E153" s="59"/>
      <c r="F153" s="59"/>
      <c r="G153" s="59"/>
      <c r="H153" s="60">
        <v>1383.29</v>
      </c>
      <c r="I153" s="60">
        <v>1403.54</v>
      </c>
      <c r="J153" s="60" t="s">
        <v>994</v>
      </c>
      <c r="K153" s="61">
        <v>4</v>
      </c>
      <c r="L153" s="87">
        <v>0.9</v>
      </c>
      <c r="M153" s="80">
        <v>0.75</v>
      </c>
      <c r="N153" s="80" t="s">
        <v>1011</v>
      </c>
      <c r="O153" s="67">
        <v>5.29</v>
      </c>
      <c r="P153" s="68">
        <f t="shared" si="36"/>
        <v>14.282999999999999</v>
      </c>
    </row>
    <row r="154" spans="2:16" ht="15" customHeight="1" x14ac:dyDescent="0.3">
      <c r="B154" s="61">
        <v>4</v>
      </c>
      <c r="C154" s="58" t="s">
        <v>1081</v>
      </c>
      <c r="D154" s="59" t="s">
        <v>1080</v>
      </c>
      <c r="E154" s="59"/>
      <c r="F154" s="59"/>
      <c r="G154" s="59"/>
      <c r="H154" s="60">
        <v>1383.29</v>
      </c>
      <c r="I154" s="60">
        <v>1403.54</v>
      </c>
      <c r="J154" s="60" t="s">
        <v>994</v>
      </c>
      <c r="K154" s="61">
        <v>4</v>
      </c>
      <c r="L154" s="87">
        <v>0.9</v>
      </c>
      <c r="M154" s="80">
        <v>0.75</v>
      </c>
      <c r="N154" s="80" t="s">
        <v>1012</v>
      </c>
      <c r="O154" s="67">
        <v>5.4560000000000004</v>
      </c>
      <c r="P154" s="68">
        <f t="shared" si="36"/>
        <v>14.731</v>
      </c>
    </row>
    <row r="155" spans="2:16" ht="15" customHeight="1" x14ac:dyDescent="0.3">
      <c r="B155" s="61">
        <v>4</v>
      </c>
      <c r="C155" s="58" t="s">
        <v>1081</v>
      </c>
      <c r="D155" s="59" t="s">
        <v>1080</v>
      </c>
      <c r="E155" s="59"/>
      <c r="F155" s="59"/>
      <c r="G155" s="59"/>
      <c r="H155" s="60">
        <v>1383.29</v>
      </c>
      <c r="I155" s="60">
        <v>1403.54</v>
      </c>
      <c r="J155" s="60" t="s">
        <v>994</v>
      </c>
      <c r="K155" s="61">
        <v>4</v>
      </c>
      <c r="L155" s="87">
        <v>0.9</v>
      </c>
      <c r="M155" s="80">
        <v>0.75</v>
      </c>
      <c r="N155" s="80" t="s">
        <v>1013</v>
      </c>
      <c r="O155" s="67">
        <v>5.6120000000000001</v>
      </c>
      <c r="P155" s="68">
        <f t="shared" si="36"/>
        <v>15.151999999999999</v>
      </c>
    </row>
    <row r="156" spans="2:16" ht="15" customHeight="1" x14ac:dyDescent="0.3">
      <c r="B156" s="109">
        <v>4</v>
      </c>
      <c r="C156" s="110" t="s">
        <v>1087</v>
      </c>
      <c r="D156" s="111" t="s">
        <v>1088</v>
      </c>
      <c r="E156" s="111"/>
      <c r="F156" s="111"/>
      <c r="G156" s="111"/>
      <c r="H156" s="112">
        <v>1403.54</v>
      </c>
      <c r="I156" s="112">
        <v>1423.79</v>
      </c>
      <c r="J156" s="112" t="s">
        <v>994</v>
      </c>
      <c r="K156" s="109">
        <v>4</v>
      </c>
      <c r="L156" s="136">
        <v>0.9</v>
      </c>
      <c r="M156" s="113">
        <v>0.75</v>
      </c>
      <c r="N156" s="113" t="s">
        <v>1008</v>
      </c>
      <c r="O156" s="115">
        <v>4.8230000000000004</v>
      </c>
      <c r="P156" s="116">
        <f t="shared" ref="P156:P161" si="37">+ROUND(PRODUCT(K156:O156),3)</f>
        <v>13.022</v>
      </c>
    </row>
    <row r="157" spans="2:16" ht="15" customHeight="1" x14ac:dyDescent="0.3">
      <c r="B157" s="61">
        <v>4</v>
      </c>
      <c r="C157" s="58" t="s">
        <v>1087</v>
      </c>
      <c r="D157" s="59" t="s">
        <v>1088</v>
      </c>
      <c r="E157" s="59"/>
      <c r="F157" s="59"/>
      <c r="G157" s="59"/>
      <c r="H157" s="60">
        <v>1403.54</v>
      </c>
      <c r="I157" s="60">
        <v>1423.79</v>
      </c>
      <c r="J157" s="60" t="s">
        <v>994</v>
      </c>
      <c r="K157" s="61">
        <v>4</v>
      </c>
      <c r="L157" s="87">
        <v>0.9</v>
      </c>
      <c r="M157" s="80">
        <v>0.75</v>
      </c>
      <c r="N157" s="80" t="s">
        <v>1009</v>
      </c>
      <c r="O157" s="67">
        <v>4.9390000000000001</v>
      </c>
      <c r="P157" s="68">
        <f t="shared" si="37"/>
        <v>13.335000000000001</v>
      </c>
    </row>
    <row r="158" spans="2:16" ht="15" customHeight="1" x14ac:dyDescent="0.3">
      <c r="B158" s="61">
        <v>4</v>
      </c>
      <c r="C158" s="58" t="s">
        <v>1087</v>
      </c>
      <c r="D158" s="59" t="s">
        <v>1088</v>
      </c>
      <c r="E158" s="59"/>
      <c r="F158" s="59"/>
      <c r="G158" s="59"/>
      <c r="H158" s="60">
        <v>1403.54</v>
      </c>
      <c r="I158" s="60">
        <v>1423.79</v>
      </c>
      <c r="J158" s="60" t="s">
        <v>994</v>
      </c>
      <c r="K158" s="61">
        <v>4</v>
      </c>
      <c r="L158" s="87">
        <v>0.9</v>
      </c>
      <c r="M158" s="80">
        <v>0.75</v>
      </c>
      <c r="N158" s="80" t="s">
        <v>1010</v>
      </c>
      <c r="O158" s="67">
        <v>5.1100000000000003</v>
      </c>
      <c r="P158" s="68">
        <f t="shared" si="37"/>
        <v>13.797000000000001</v>
      </c>
    </row>
    <row r="159" spans="2:16" ht="15" customHeight="1" x14ac:dyDescent="0.3">
      <c r="B159" s="61">
        <v>4</v>
      </c>
      <c r="C159" s="58" t="s">
        <v>1087</v>
      </c>
      <c r="D159" s="59" t="s">
        <v>1088</v>
      </c>
      <c r="E159" s="59"/>
      <c r="F159" s="59"/>
      <c r="G159" s="59"/>
      <c r="H159" s="60">
        <v>1403.54</v>
      </c>
      <c r="I159" s="60">
        <v>1423.79</v>
      </c>
      <c r="J159" s="60" t="s">
        <v>994</v>
      </c>
      <c r="K159" s="61">
        <v>5</v>
      </c>
      <c r="L159" s="87">
        <v>0.9</v>
      </c>
      <c r="M159" s="80">
        <v>0.75</v>
      </c>
      <c r="N159" s="80" t="s">
        <v>1011</v>
      </c>
      <c r="O159" s="67">
        <v>5.29</v>
      </c>
      <c r="P159" s="68">
        <f t="shared" si="37"/>
        <v>17.853999999999999</v>
      </c>
    </row>
    <row r="160" spans="2:16" ht="15" customHeight="1" x14ac:dyDescent="0.3">
      <c r="B160" s="61">
        <v>4</v>
      </c>
      <c r="C160" s="58" t="s">
        <v>1087</v>
      </c>
      <c r="D160" s="59" t="s">
        <v>1088</v>
      </c>
      <c r="E160" s="59"/>
      <c r="F160" s="59"/>
      <c r="G160" s="59"/>
      <c r="H160" s="60">
        <v>1403.54</v>
      </c>
      <c r="I160" s="60">
        <v>1423.79</v>
      </c>
      <c r="J160" s="60" t="s">
        <v>994</v>
      </c>
      <c r="K160" s="61">
        <v>5</v>
      </c>
      <c r="L160" s="87">
        <v>0.9</v>
      </c>
      <c r="M160" s="80">
        <v>0.75</v>
      </c>
      <c r="N160" s="80" t="s">
        <v>1012</v>
      </c>
      <c r="O160" s="67">
        <v>5.4560000000000004</v>
      </c>
      <c r="P160" s="68">
        <f t="shared" si="37"/>
        <v>18.414000000000001</v>
      </c>
    </row>
    <row r="161" spans="2:16" ht="15" customHeight="1" x14ac:dyDescent="0.3">
      <c r="B161" s="61">
        <v>4</v>
      </c>
      <c r="C161" s="58" t="s">
        <v>1087</v>
      </c>
      <c r="D161" s="59" t="s">
        <v>1088</v>
      </c>
      <c r="E161" s="59"/>
      <c r="F161" s="59"/>
      <c r="G161" s="59"/>
      <c r="H161" s="60">
        <v>1403.54</v>
      </c>
      <c r="I161" s="60">
        <v>1423.79</v>
      </c>
      <c r="J161" s="60" t="s">
        <v>994</v>
      </c>
      <c r="K161" s="61">
        <v>5</v>
      </c>
      <c r="L161" s="87">
        <v>0.9</v>
      </c>
      <c r="M161" s="80">
        <v>0.75</v>
      </c>
      <c r="N161" s="80" t="s">
        <v>1013</v>
      </c>
      <c r="O161" s="67">
        <v>5.6120000000000001</v>
      </c>
      <c r="P161" s="68">
        <f t="shared" si="37"/>
        <v>18.940999999999999</v>
      </c>
    </row>
    <row r="162" spans="2:16" ht="15" customHeight="1" x14ac:dyDescent="0.3">
      <c r="B162" s="109">
        <v>4</v>
      </c>
      <c r="C162" s="110" t="s">
        <v>1093</v>
      </c>
      <c r="D162" s="111" t="s">
        <v>1094</v>
      </c>
      <c r="E162" s="111"/>
      <c r="F162" s="111"/>
      <c r="G162" s="111"/>
      <c r="H162" s="60">
        <v>1423.79</v>
      </c>
      <c r="I162" s="112">
        <v>1438.24</v>
      </c>
      <c r="J162" s="112" t="s">
        <v>994</v>
      </c>
      <c r="K162" s="109">
        <v>3</v>
      </c>
      <c r="L162" s="136">
        <v>0.9</v>
      </c>
      <c r="M162" s="113">
        <v>0.75</v>
      </c>
      <c r="N162" s="113" t="s">
        <v>1008</v>
      </c>
      <c r="O162" s="115">
        <v>4.8230000000000004</v>
      </c>
      <c r="P162" s="116">
        <f t="shared" ref="P162:P169" si="38">+ROUND(PRODUCT(K162:O162),3)</f>
        <v>9.7669999999999995</v>
      </c>
    </row>
    <row r="163" spans="2:16" ht="15" customHeight="1" x14ac:dyDescent="0.3">
      <c r="B163" s="61">
        <v>4</v>
      </c>
      <c r="C163" s="58" t="s">
        <v>1093</v>
      </c>
      <c r="D163" s="59" t="s">
        <v>1094</v>
      </c>
      <c r="E163" s="59"/>
      <c r="F163" s="59"/>
      <c r="G163" s="59"/>
      <c r="H163" s="60">
        <v>1423.79</v>
      </c>
      <c r="I163" s="112">
        <v>1438.24</v>
      </c>
      <c r="J163" s="60" t="s">
        <v>994</v>
      </c>
      <c r="K163" s="61">
        <v>3</v>
      </c>
      <c r="L163" s="87">
        <v>0.9</v>
      </c>
      <c r="M163" s="80">
        <v>0.75</v>
      </c>
      <c r="N163" s="80" t="s">
        <v>1009</v>
      </c>
      <c r="O163" s="67">
        <v>4.9390000000000001</v>
      </c>
      <c r="P163" s="68">
        <f t="shared" si="38"/>
        <v>10.000999999999999</v>
      </c>
    </row>
    <row r="164" spans="2:16" ht="15" customHeight="1" x14ac:dyDescent="0.3">
      <c r="B164" s="61">
        <v>4</v>
      </c>
      <c r="C164" s="58" t="s">
        <v>1093</v>
      </c>
      <c r="D164" s="59" t="s">
        <v>1094</v>
      </c>
      <c r="E164" s="59"/>
      <c r="F164" s="59"/>
      <c r="G164" s="59"/>
      <c r="H164" s="60">
        <v>1423.79</v>
      </c>
      <c r="I164" s="112">
        <v>1438.24</v>
      </c>
      <c r="J164" s="60" t="s">
        <v>994</v>
      </c>
      <c r="K164" s="61">
        <v>3</v>
      </c>
      <c r="L164" s="87">
        <v>0.9</v>
      </c>
      <c r="M164" s="80">
        <v>0.75</v>
      </c>
      <c r="N164" s="80" t="s">
        <v>1010</v>
      </c>
      <c r="O164" s="67">
        <v>5.1100000000000003</v>
      </c>
      <c r="P164" s="68">
        <f t="shared" si="38"/>
        <v>10.348000000000001</v>
      </c>
    </row>
    <row r="165" spans="2:16" ht="15" customHeight="1" x14ac:dyDescent="0.3">
      <c r="B165" s="61">
        <v>4</v>
      </c>
      <c r="C165" s="58" t="s">
        <v>1093</v>
      </c>
      <c r="D165" s="59" t="s">
        <v>1094</v>
      </c>
      <c r="E165" s="59"/>
      <c r="F165" s="59"/>
      <c r="G165" s="59"/>
      <c r="H165" s="60">
        <v>1423.79</v>
      </c>
      <c r="I165" s="112">
        <v>1438.24</v>
      </c>
      <c r="J165" s="60" t="s">
        <v>994</v>
      </c>
      <c r="K165" s="61">
        <v>3</v>
      </c>
      <c r="L165" s="87">
        <v>0.9</v>
      </c>
      <c r="M165" s="80">
        <v>0.75</v>
      </c>
      <c r="N165" s="80" t="s">
        <v>1011</v>
      </c>
      <c r="O165" s="67">
        <v>5.29</v>
      </c>
      <c r="P165" s="68">
        <f t="shared" si="38"/>
        <v>10.712</v>
      </c>
    </row>
    <row r="166" spans="2:16" ht="15" customHeight="1" x14ac:dyDescent="0.3">
      <c r="B166" s="61">
        <v>4</v>
      </c>
      <c r="C166" s="58" t="s">
        <v>1093</v>
      </c>
      <c r="D166" s="59" t="s">
        <v>1094</v>
      </c>
      <c r="E166" s="59"/>
      <c r="F166" s="59"/>
      <c r="G166" s="59"/>
      <c r="H166" s="60">
        <v>1423.79</v>
      </c>
      <c r="I166" s="112">
        <v>1438.24</v>
      </c>
      <c r="J166" s="60" t="s">
        <v>994</v>
      </c>
      <c r="K166" s="61">
        <v>3</v>
      </c>
      <c r="L166" s="87">
        <v>0.9</v>
      </c>
      <c r="M166" s="80">
        <v>0.75</v>
      </c>
      <c r="N166" s="80" t="s">
        <v>1012</v>
      </c>
      <c r="O166" s="67">
        <v>5.4560000000000004</v>
      </c>
      <c r="P166" s="68">
        <f t="shared" si="38"/>
        <v>11.048</v>
      </c>
    </row>
    <row r="167" spans="2:16" ht="15" customHeight="1" x14ac:dyDescent="0.3">
      <c r="B167" s="61">
        <v>4</v>
      </c>
      <c r="C167" s="58" t="s">
        <v>1093</v>
      </c>
      <c r="D167" s="59" t="s">
        <v>1094</v>
      </c>
      <c r="E167" s="59"/>
      <c r="F167" s="59"/>
      <c r="G167" s="59"/>
      <c r="H167" s="60">
        <v>1423.79</v>
      </c>
      <c r="I167" s="112">
        <v>1438.24</v>
      </c>
      <c r="J167" s="60" t="s">
        <v>994</v>
      </c>
      <c r="K167" s="61">
        <v>3</v>
      </c>
      <c r="L167" s="87">
        <v>0.9</v>
      </c>
      <c r="M167" s="80">
        <v>0.75</v>
      </c>
      <c r="N167" s="80" t="s">
        <v>1013</v>
      </c>
      <c r="O167" s="67">
        <v>5.6120000000000001</v>
      </c>
      <c r="P167" s="68">
        <f t="shared" si="38"/>
        <v>11.364000000000001</v>
      </c>
    </row>
    <row r="168" spans="2:16" ht="15" customHeight="1" x14ac:dyDescent="0.3">
      <c r="B168" s="61">
        <v>4</v>
      </c>
      <c r="C168" s="58" t="s">
        <v>1093</v>
      </c>
      <c r="D168" s="59" t="s">
        <v>1094</v>
      </c>
      <c r="E168" s="59"/>
      <c r="F168" s="59"/>
      <c r="G168" s="59"/>
      <c r="H168" s="60">
        <v>1423.79</v>
      </c>
      <c r="I168" s="112">
        <v>1438.24</v>
      </c>
      <c r="J168" s="60" t="s">
        <v>994</v>
      </c>
      <c r="K168" s="61">
        <v>1</v>
      </c>
      <c r="L168" s="87">
        <v>0.9</v>
      </c>
      <c r="M168" s="80">
        <v>0.65</v>
      </c>
      <c r="N168" s="80" t="s">
        <v>1013</v>
      </c>
      <c r="O168" s="67">
        <v>5.6120000000000001</v>
      </c>
      <c r="P168" s="68">
        <f t="shared" ref="P168" si="39">+ROUND(PRODUCT(K168:O168),3)</f>
        <v>3.2829999999999999</v>
      </c>
    </row>
    <row r="169" spans="2:16" ht="15" customHeight="1" x14ac:dyDescent="0.3">
      <c r="B169" s="61">
        <v>4</v>
      </c>
      <c r="C169" s="58" t="s">
        <v>1093</v>
      </c>
      <c r="D169" s="59" t="s">
        <v>1094</v>
      </c>
      <c r="E169" s="59"/>
      <c r="F169" s="59"/>
      <c r="G169" s="59"/>
      <c r="H169" s="60">
        <v>1423.79</v>
      </c>
      <c r="I169" s="112">
        <v>1438.24</v>
      </c>
      <c r="J169" s="60" t="s">
        <v>994</v>
      </c>
      <c r="K169" s="61">
        <v>1</v>
      </c>
      <c r="L169" s="87">
        <v>0.9</v>
      </c>
      <c r="M169" s="80">
        <v>0.3</v>
      </c>
      <c r="N169" s="80" t="s">
        <v>1013</v>
      </c>
      <c r="O169" s="67">
        <v>5.6120000000000001</v>
      </c>
      <c r="P169" s="68">
        <f t="shared" si="38"/>
        <v>1.5149999999999999</v>
      </c>
    </row>
    <row r="170" spans="2:16" ht="15" customHeight="1" x14ac:dyDescent="0.3">
      <c r="B170" s="61">
        <v>5</v>
      </c>
      <c r="C170" s="58" t="s">
        <v>1102</v>
      </c>
      <c r="D170" s="59" t="s">
        <v>1103</v>
      </c>
      <c r="E170" s="59"/>
      <c r="F170" s="59"/>
      <c r="G170" s="59"/>
      <c r="H170" s="60">
        <v>1356.66</v>
      </c>
      <c r="I170" s="112">
        <v>1438.24</v>
      </c>
      <c r="J170" s="60" t="s">
        <v>994</v>
      </c>
      <c r="K170" s="61">
        <v>1</v>
      </c>
      <c r="L170" s="87">
        <v>0.1</v>
      </c>
      <c r="M170" s="191">
        <f>+I170-H170</f>
        <v>81.579999999999927</v>
      </c>
      <c r="N170" s="80" t="s">
        <v>1104</v>
      </c>
      <c r="O170" s="67">
        <v>5.2050000000000001</v>
      </c>
      <c r="P170" s="68">
        <f t="shared" ref="P170" si="40">+ROUND(PRODUCT(K170:O170),3)</f>
        <v>42.462000000000003</v>
      </c>
    </row>
    <row r="171" spans="2:16" ht="15" customHeight="1" x14ac:dyDescent="0.3">
      <c r="B171" s="54" t="s">
        <v>1016</v>
      </c>
      <c r="C171" s="93"/>
      <c r="D171" s="48"/>
      <c r="E171" s="48"/>
      <c r="F171" s="48"/>
      <c r="G171" s="48"/>
      <c r="H171" s="49"/>
      <c r="I171" s="49"/>
      <c r="J171" s="49"/>
      <c r="K171" s="50"/>
      <c r="L171" s="50"/>
      <c r="M171" s="51"/>
      <c r="N171" s="51"/>
      <c r="O171" s="52"/>
      <c r="P171" s="53"/>
    </row>
    <row r="172" spans="2:16" ht="15" customHeight="1" x14ac:dyDescent="0.3">
      <c r="B172" s="106" t="s">
        <v>982</v>
      </c>
      <c r="C172" s="106" t="s">
        <v>992</v>
      </c>
      <c r="D172" s="107" t="s">
        <v>991</v>
      </c>
      <c r="E172" s="107"/>
      <c r="F172" s="107"/>
      <c r="G172" s="107"/>
      <c r="H172" s="106" t="s">
        <v>989</v>
      </c>
      <c r="I172" s="106" t="s">
        <v>988</v>
      </c>
      <c r="J172" s="106" t="s">
        <v>993</v>
      </c>
      <c r="K172" s="106" t="s">
        <v>990</v>
      </c>
      <c r="L172" s="106" t="s">
        <v>986</v>
      </c>
      <c r="M172" s="108" t="s">
        <v>13</v>
      </c>
      <c r="N172" s="106"/>
      <c r="O172" s="108" t="s">
        <v>984</v>
      </c>
      <c r="P172" s="108" t="s">
        <v>15</v>
      </c>
    </row>
    <row r="173" spans="2:16" ht="15" customHeight="1" x14ac:dyDescent="0.3">
      <c r="B173" s="118">
        <v>3</v>
      </c>
      <c r="C173" s="119" t="s">
        <v>1062</v>
      </c>
      <c r="D173" s="120" t="s">
        <v>1063</v>
      </c>
      <c r="E173" s="120"/>
      <c r="F173" s="120"/>
      <c r="G173" s="120"/>
      <c r="H173" s="121">
        <v>1356.66</v>
      </c>
      <c r="I173" s="121">
        <v>1359.29</v>
      </c>
      <c r="J173" s="121" t="s">
        <v>1006</v>
      </c>
      <c r="K173" s="118">
        <v>1</v>
      </c>
      <c r="L173" s="122">
        <v>0.38</v>
      </c>
      <c r="M173" s="122" t="s">
        <v>1023</v>
      </c>
      <c r="N173" s="188"/>
      <c r="O173" s="174">
        <v>1.484</v>
      </c>
      <c r="P173" s="189">
        <f t="shared" ref="P173:P182" si="41">+ROUND(PRODUCT(K173:O173),3)</f>
        <v>0.56399999999999995</v>
      </c>
    </row>
    <row r="174" spans="2:16" ht="15" customHeight="1" x14ac:dyDescent="0.3">
      <c r="B174" s="61">
        <v>3</v>
      </c>
      <c r="C174" s="58" t="s">
        <v>1062</v>
      </c>
      <c r="D174" s="59" t="s">
        <v>1063</v>
      </c>
      <c r="E174" s="59"/>
      <c r="F174" s="59"/>
      <c r="G174" s="59"/>
      <c r="H174" s="60">
        <v>1356.66</v>
      </c>
      <c r="I174" s="60">
        <v>1359.29</v>
      </c>
      <c r="J174" s="60" t="s">
        <v>1006</v>
      </c>
      <c r="K174" s="61">
        <v>1</v>
      </c>
      <c r="L174" s="80">
        <v>0.75</v>
      </c>
      <c r="M174" s="80" t="s">
        <v>1025</v>
      </c>
      <c r="N174" s="100"/>
      <c r="O174" s="85">
        <v>1.55</v>
      </c>
      <c r="P174" s="101">
        <f t="shared" si="41"/>
        <v>1.163</v>
      </c>
    </row>
    <row r="175" spans="2:16" ht="15" customHeight="1" x14ac:dyDescent="0.3">
      <c r="B175" s="61">
        <v>3</v>
      </c>
      <c r="C175" s="58" t="s">
        <v>1062</v>
      </c>
      <c r="D175" s="59" t="s">
        <v>1063</v>
      </c>
      <c r="E175" s="59"/>
      <c r="F175" s="59"/>
      <c r="G175" s="59"/>
      <c r="H175" s="60">
        <v>1356.66</v>
      </c>
      <c r="I175" s="60">
        <v>1359.29</v>
      </c>
      <c r="J175" s="60" t="s">
        <v>1006</v>
      </c>
      <c r="K175" s="61">
        <v>1</v>
      </c>
      <c r="L175" s="80">
        <v>0.75</v>
      </c>
      <c r="M175" s="80" t="s">
        <v>1026</v>
      </c>
      <c r="N175" s="82"/>
      <c r="O175" s="67">
        <v>1.601</v>
      </c>
      <c r="P175" s="68">
        <f t="shared" si="41"/>
        <v>1.2010000000000001</v>
      </c>
    </row>
    <row r="176" spans="2:16" ht="15" customHeight="1" x14ac:dyDescent="0.3">
      <c r="B176" s="36">
        <v>3</v>
      </c>
      <c r="C176" s="46" t="s">
        <v>1062</v>
      </c>
      <c r="D176" s="56" t="s">
        <v>1063</v>
      </c>
      <c r="E176" s="56"/>
      <c r="F176" s="56"/>
      <c r="G176" s="56"/>
      <c r="H176" s="47">
        <v>1356.66</v>
      </c>
      <c r="I176" s="47">
        <v>1359.29</v>
      </c>
      <c r="J176" s="47" t="s">
        <v>1006</v>
      </c>
      <c r="K176" s="36">
        <v>1</v>
      </c>
      <c r="L176" s="125">
        <v>0.75</v>
      </c>
      <c r="M176" s="125" t="s">
        <v>1027</v>
      </c>
      <c r="N176" s="126"/>
      <c r="O176" s="69">
        <v>1.635</v>
      </c>
      <c r="P176" s="57">
        <f t="shared" si="41"/>
        <v>1.226</v>
      </c>
    </row>
    <row r="177" spans="2:16" ht="15" customHeight="1" x14ac:dyDescent="0.3">
      <c r="B177" s="118">
        <v>3</v>
      </c>
      <c r="C177" s="119" t="s">
        <v>1067</v>
      </c>
      <c r="D177" s="120" t="s">
        <v>1068</v>
      </c>
      <c r="E177" s="120"/>
      <c r="F177" s="120"/>
      <c r="G177" s="120"/>
      <c r="H177" s="121">
        <v>1359.29</v>
      </c>
      <c r="I177" s="121">
        <v>1382.54</v>
      </c>
      <c r="J177" s="121" t="s">
        <v>1006</v>
      </c>
      <c r="K177" s="118">
        <v>5</v>
      </c>
      <c r="L177" s="122">
        <v>0.75</v>
      </c>
      <c r="M177" s="122" t="s">
        <v>1023</v>
      </c>
      <c r="N177" s="123"/>
      <c r="O177" s="117">
        <v>1.484</v>
      </c>
      <c r="P177" s="124">
        <f t="shared" si="41"/>
        <v>5.5650000000000004</v>
      </c>
    </row>
    <row r="178" spans="2:16" ht="15" customHeight="1" x14ac:dyDescent="0.3">
      <c r="B178" s="61">
        <v>3</v>
      </c>
      <c r="C178" s="58" t="s">
        <v>1067</v>
      </c>
      <c r="D178" s="59" t="s">
        <v>1068</v>
      </c>
      <c r="E178" s="59"/>
      <c r="F178" s="59"/>
      <c r="G178" s="59"/>
      <c r="H178" s="60">
        <v>1359.29</v>
      </c>
      <c r="I178" s="60">
        <v>1382.54</v>
      </c>
      <c r="J178" s="60" t="s">
        <v>1006</v>
      </c>
      <c r="K178" s="61">
        <v>5</v>
      </c>
      <c r="L178" s="80">
        <v>0.75</v>
      </c>
      <c r="M178" s="80" t="s">
        <v>1025</v>
      </c>
      <c r="N178" s="82"/>
      <c r="O178" s="67">
        <v>1.55</v>
      </c>
      <c r="P178" s="68">
        <f t="shared" si="41"/>
        <v>5.8129999999999997</v>
      </c>
    </row>
    <row r="179" spans="2:16" ht="15" customHeight="1" x14ac:dyDescent="0.3">
      <c r="B179" s="61">
        <v>3</v>
      </c>
      <c r="C179" s="58" t="s">
        <v>1067</v>
      </c>
      <c r="D179" s="59" t="s">
        <v>1068</v>
      </c>
      <c r="E179" s="59"/>
      <c r="F179" s="59"/>
      <c r="G179" s="59"/>
      <c r="H179" s="60">
        <v>1359.29</v>
      </c>
      <c r="I179" s="60">
        <v>1382.54</v>
      </c>
      <c r="J179" s="60" t="s">
        <v>1006</v>
      </c>
      <c r="K179" s="61">
        <v>5</v>
      </c>
      <c r="L179" s="80">
        <v>0.75</v>
      </c>
      <c r="M179" s="80" t="s">
        <v>1026</v>
      </c>
      <c r="N179" s="82"/>
      <c r="O179" s="67">
        <v>1.601</v>
      </c>
      <c r="P179" s="68">
        <f t="shared" si="41"/>
        <v>6.0039999999999996</v>
      </c>
    </row>
    <row r="180" spans="2:16" ht="15" customHeight="1" x14ac:dyDescent="0.3">
      <c r="B180" s="61">
        <v>3</v>
      </c>
      <c r="C180" s="58" t="s">
        <v>1067</v>
      </c>
      <c r="D180" s="59" t="s">
        <v>1068</v>
      </c>
      <c r="E180" s="59"/>
      <c r="F180" s="59"/>
      <c r="G180" s="59"/>
      <c r="H180" s="60">
        <v>1359.29</v>
      </c>
      <c r="I180" s="60">
        <v>1382.54</v>
      </c>
      <c r="J180" s="60" t="s">
        <v>1006</v>
      </c>
      <c r="K180" s="61">
        <v>5</v>
      </c>
      <c r="L180" s="80">
        <v>0.75</v>
      </c>
      <c r="M180" s="80" t="s">
        <v>1027</v>
      </c>
      <c r="N180" s="82"/>
      <c r="O180" s="67">
        <v>1.635</v>
      </c>
      <c r="P180" s="68">
        <f t="shared" si="41"/>
        <v>6.1310000000000002</v>
      </c>
    </row>
    <row r="181" spans="2:16" ht="15" customHeight="1" x14ac:dyDescent="0.3">
      <c r="B181" s="61">
        <v>3</v>
      </c>
      <c r="C181" s="58" t="s">
        <v>1067</v>
      </c>
      <c r="D181" s="59" t="s">
        <v>1068</v>
      </c>
      <c r="E181" s="59"/>
      <c r="F181" s="59"/>
      <c r="G181" s="59"/>
      <c r="H181" s="60">
        <v>1359.29</v>
      </c>
      <c r="I181" s="60">
        <v>1382.54</v>
      </c>
      <c r="J181" s="60" t="s">
        <v>1006</v>
      </c>
      <c r="K181" s="61">
        <v>6</v>
      </c>
      <c r="L181" s="80">
        <v>0.75</v>
      </c>
      <c r="M181" s="80" t="s">
        <v>1028</v>
      </c>
      <c r="N181" s="82"/>
      <c r="O181" s="67">
        <v>1.673</v>
      </c>
      <c r="P181" s="68">
        <f t="shared" si="41"/>
        <v>7.5289999999999999</v>
      </c>
    </row>
    <row r="182" spans="2:16" ht="15" customHeight="1" x14ac:dyDescent="0.3">
      <c r="B182" s="36">
        <v>3</v>
      </c>
      <c r="C182" s="46" t="s">
        <v>1067</v>
      </c>
      <c r="D182" s="56" t="s">
        <v>1068</v>
      </c>
      <c r="E182" s="56"/>
      <c r="F182" s="56"/>
      <c r="G182" s="56"/>
      <c r="H182" s="47">
        <v>1359.29</v>
      </c>
      <c r="I182" s="47">
        <v>1382.54</v>
      </c>
      <c r="J182" s="47" t="s">
        <v>1006</v>
      </c>
      <c r="K182" s="36">
        <v>5</v>
      </c>
      <c r="L182" s="125">
        <v>0.75</v>
      </c>
      <c r="M182" s="125" t="s">
        <v>1024</v>
      </c>
      <c r="N182" s="126"/>
      <c r="O182" s="69">
        <v>1.72</v>
      </c>
      <c r="P182" s="57">
        <f t="shared" si="41"/>
        <v>6.45</v>
      </c>
    </row>
    <row r="183" spans="2:16" ht="15" customHeight="1" x14ac:dyDescent="0.3">
      <c r="B183" s="118">
        <v>4</v>
      </c>
      <c r="C183" s="119" t="s">
        <v>1081</v>
      </c>
      <c r="D183" s="120" t="s">
        <v>1080</v>
      </c>
      <c r="E183" s="120"/>
      <c r="F183" s="120"/>
      <c r="G183" s="120"/>
      <c r="H183" s="121">
        <v>1382.54</v>
      </c>
      <c r="I183" s="121">
        <v>1399.04</v>
      </c>
      <c r="J183" s="121" t="s">
        <v>1006</v>
      </c>
      <c r="K183" s="118">
        <v>4</v>
      </c>
      <c r="L183" s="122">
        <v>0.75</v>
      </c>
      <c r="M183" s="122" t="s">
        <v>1023</v>
      </c>
      <c r="N183" s="123"/>
      <c r="O183" s="117">
        <v>1.484</v>
      </c>
      <c r="P183" s="124">
        <f t="shared" ref="P183:P188" si="42">+ROUND(PRODUCT(K183:O183),3)</f>
        <v>4.452</v>
      </c>
    </row>
    <row r="184" spans="2:16" ht="15" customHeight="1" x14ac:dyDescent="0.3">
      <c r="B184" s="61">
        <v>4</v>
      </c>
      <c r="C184" s="58" t="s">
        <v>1081</v>
      </c>
      <c r="D184" s="59" t="s">
        <v>1080</v>
      </c>
      <c r="E184" s="59"/>
      <c r="F184" s="59"/>
      <c r="G184" s="59"/>
      <c r="H184" s="60">
        <v>1382.54</v>
      </c>
      <c r="I184" s="60">
        <v>1399.04</v>
      </c>
      <c r="J184" s="60" t="s">
        <v>1006</v>
      </c>
      <c r="K184" s="61">
        <v>4</v>
      </c>
      <c r="L184" s="80">
        <v>0.75</v>
      </c>
      <c r="M184" s="80" t="s">
        <v>1025</v>
      </c>
      <c r="N184" s="82"/>
      <c r="O184" s="67">
        <v>1.55</v>
      </c>
      <c r="P184" s="68">
        <f t="shared" si="42"/>
        <v>4.6500000000000004</v>
      </c>
    </row>
    <row r="185" spans="2:16" ht="15" customHeight="1" x14ac:dyDescent="0.3">
      <c r="B185" s="61">
        <v>4</v>
      </c>
      <c r="C185" s="58" t="s">
        <v>1081</v>
      </c>
      <c r="D185" s="59" t="s">
        <v>1080</v>
      </c>
      <c r="E185" s="59"/>
      <c r="F185" s="59"/>
      <c r="G185" s="59"/>
      <c r="H185" s="60">
        <v>1382.54</v>
      </c>
      <c r="I185" s="60">
        <v>1399.04</v>
      </c>
      <c r="J185" s="60" t="s">
        <v>1006</v>
      </c>
      <c r="K185" s="61">
        <v>4</v>
      </c>
      <c r="L185" s="80">
        <v>0.75</v>
      </c>
      <c r="M185" s="80" t="s">
        <v>1026</v>
      </c>
      <c r="N185" s="82"/>
      <c r="O185" s="67">
        <v>1.601</v>
      </c>
      <c r="P185" s="68">
        <f t="shared" si="42"/>
        <v>4.8029999999999999</v>
      </c>
    </row>
    <row r="186" spans="2:16" ht="15" customHeight="1" x14ac:dyDescent="0.3">
      <c r="B186" s="61">
        <v>4</v>
      </c>
      <c r="C186" s="58" t="s">
        <v>1081</v>
      </c>
      <c r="D186" s="59" t="s">
        <v>1080</v>
      </c>
      <c r="E186" s="59"/>
      <c r="F186" s="59"/>
      <c r="G186" s="59"/>
      <c r="H186" s="60">
        <v>1382.54</v>
      </c>
      <c r="I186" s="60">
        <v>1399.04</v>
      </c>
      <c r="J186" s="60" t="s">
        <v>1006</v>
      </c>
      <c r="K186" s="61">
        <v>3</v>
      </c>
      <c r="L186" s="80">
        <v>0.75</v>
      </c>
      <c r="M186" s="80" t="s">
        <v>1027</v>
      </c>
      <c r="N186" s="82"/>
      <c r="O186" s="67">
        <v>1.635</v>
      </c>
      <c r="P186" s="68">
        <f t="shared" si="42"/>
        <v>3.6789999999999998</v>
      </c>
    </row>
    <row r="187" spans="2:16" ht="15" customHeight="1" x14ac:dyDescent="0.3">
      <c r="B187" s="61">
        <v>4</v>
      </c>
      <c r="C187" s="58" t="s">
        <v>1081</v>
      </c>
      <c r="D187" s="59" t="s">
        <v>1080</v>
      </c>
      <c r="E187" s="59"/>
      <c r="F187" s="59"/>
      <c r="G187" s="59"/>
      <c r="H187" s="60">
        <v>1382.54</v>
      </c>
      <c r="I187" s="60">
        <v>1399.04</v>
      </c>
      <c r="J187" s="60" t="s">
        <v>1006</v>
      </c>
      <c r="K187" s="61">
        <v>3</v>
      </c>
      <c r="L187" s="80">
        <v>0.75</v>
      </c>
      <c r="M187" s="80" t="s">
        <v>1028</v>
      </c>
      <c r="N187" s="82"/>
      <c r="O187" s="67">
        <v>1.673</v>
      </c>
      <c r="P187" s="68">
        <f t="shared" si="42"/>
        <v>3.7639999999999998</v>
      </c>
    </row>
    <row r="188" spans="2:16" ht="15" customHeight="1" x14ac:dyDescent="0.3">
      <c r="B188" s="36">
        <v>4</v>
      </c>
      <c r="C188" s="46" t="s">
        <v>1081</v>
      </c>
      <c r="D188" s="56" t="s">
        <v>1080</v>
      </c>
      <c r="E188" s="56"/>
      <c r="F188" s="56"/>
      <c r="G188" s="56"/>
      <c r="H188" s="47">
        <v>1382.54</v>
      </c>
      <c r="I188" s="47">
        <v>1399.04</v>
      </c>
      <c r="J188" s="47" t="s">
        <v>1006</v>
      </c>
      <c r="K188" s="36">
        <v>4</v>
      </c>
      <c r="L188" s="125">
        <v>0.75</v>
      </c>
      <c r="M188" s="125" t="s">
        <v>1024</v>
      </c>
      <c r="N188" s="126"/>
      <c r="O188" s="69">
        <v>1.72</v>
      </c>
      <c r="P188" s="57">
        <f t="shared" si="42"/>
        <v>5.16</v>
      </c>
    </row>
    <row r="189" spans="2:16" ht="15" customHeight="1" x14ac:dyDescent="0.3">
      <c r="B189" s="109">
        <v>4</v>
      </c>
      <c r="C189" s="110" t="s">
        <v>1087</v>
      </c>
      <c r="D189" s="111" t="s">
        <v>1088</v>
      </c>
      <c r="E189" s="111"/>
      <c r="F189" s="111"/>
      <c r="G189" s="111"/>
      <c r="H189" s="112">
        <v>1399.04</v>
      </c>
      <c r="I189" s="112">
        <v>1417.79</v>
      </c>
      <c r="J189" s="112" t="s">
        <v>1006</v>
      </c>
      <c r="K189" s="109">
        <v>4</v>
      </c>
      <c r="L189" s="113">
        <v>0.75</v>
      </c>
      <c r="M189" s="113" t="s">
        <v>1023</v>
      </c>
      <c r="N189" s="114"/>
      <c r="O189" s="115">
        <v>1.484</v>
      </c>
      <c r="P189" s="116">
        <f t="shared" ref="P189:P208" si="43">+ROUND(PRODUCT(K189:O189),3)</f>
        <v>4.452</v>
      </c>
    </row>
    <row r="190" spans="2:16" ht="15" customHeight="1" x14ac:dyDescent="0.3">
      <c r="B190" s="61">
        <v>4</v>
      </c>
      <c r="C190" s="58" t="s">
        <v>1087</v>
      </c>
      <c r="D190" s="59" t="s">
        <v>1088</v>
      </c>
      <c r="E190" s="59"/>
      <c r="F190" s="59"/>
      <c r="G190" s="59"/>
      <c r="H190" s="60">
        <v>1399.04</v>
      </c>
      <c r="I190" s="60">
        <v>1417.79</v>
      </c>
      <c r="J190" s="60" t="s">
        <v>1006</v>
      </c>
      <c r="K190" s="61">
        <v>4</v>
      </c>
      <c r="L190" s="80">
        <v>0.75</v>
      </c>
      <c r="M190" s="80" t="s">
        <v>1025</v>
      </c>
      <c r="N190" s="82"/>
      <c r="O190" s="67">
        <v>1.55</v>
      </c>
      <c r="P190" s="68">
        <f t="shared" si="43"/>
        <v>4.6500000000000004</v>
      </c>
    </row>
    <row r="191" spans="2:16" ht="15" customHeight="1" x14ac:dyDescent="0.3">
      <c r="B191" s="61">
        <v>4</v>
      </c>
      <c r="C191" s="58" t="s">
        <v>1087</v>
      </c>
      <c r="D191" s="59" t="s">
        <v>1088</v>
      </c>
      <c r="E191" s="59"/>
      <c r="F191" s="59"/>
      <c r="G191" s="59"/>
      <c r="H191" s="60">
        <v>1399.04</v>
      </c>
      <c r="I191" s="60">
        <v>1417.79</v>
      </c>
      <c r="J191" s="60" t="s">
        <v>1006</v>
      </c>
      <c r="K191" s="61">
        <v>4</v>
      </c>
      <c r="L191" s="80">
        <v>0.75</v>
      </c>
      <c r="M191" s="80" t="s">
        <v>1026</v>
      </c>
      <c r="N191" s="82"/>
      <c r="O191" s="67">
        <v>1.601</v>
      </c>
      <c r="P191" s="68">
        <f t="shared" si="43"/>
        <v>4.8029999999999999</v>
      </c>
    </row>
    <row r="192" spans="2:16" ht="15" customHeight="1" x14ac:dyDescent="0.3">
      <c r="B192" s="61">
        <v>4</v>
      </c>
      <c r="C192" s="58" t="s">
        <v>1087</v>
      </c>
      <c r="D192" s="59" t="s">
        <v>1088</v>
      </c>
      <c r="E192" s="59"/>
      <c r="F192" s="59"/>
      <c r="G192" s="59"/>
      <c r="H192" s="60">
        <v>1399.04</v>
      </c>
      <c r="I192" s="60">
        <v>1417.79</v>
      </c>
      <c r="J192" s="60" t="s">
        <v>1006</v>
      </c>
      <c r="K192" s="61">
        <v>5</v>
      </c>
      <c r="L192" s="80">
        <v>0.75</v>
      </c>
      <c r="M192" s="80" t="s">
        <v>1027</v>
      </c>
      <c r="N192" s="82"/>
      <c r="O192" s="67">
        <v>1.635</v>
      </c>
      <c r="P192" s="68">
        <f t="shared" si="43"/>
        <v>6.1310000000000002</v>
      </c>
    </row>
    <row r="193" spans="2:18" ht="15" customHeight="1" x14ac:dyDescent="0.3">
      <c r="B193" s="61">
        <v>4</v>
      </c>
      <c r="C193" s="58" t="s">
        <v>1087</v>
      </c>
      <c r="D193" s="59" t="s">
        <v>1088</v>
      </c>
      <c r="E193" s="59"/>
      <c r="F193" s="59"/>
      <c r="G193" s="59"/>
      <c r="H193" s="60">
        <v>1399.04</v>
      </c>
      <c r="I193" s="60">
        <v>1417.79</v>
      </c>
      <c r="J193" s="60" t="s">
        <v>1006</v>
      </c>
      <c r="K193" s="61">
        <v>4</v>
      </c>
      <c r="L193" s="80">
        <v>0.75</v>
      </c>
      <c r="M193" s="80" t="s">
        <v>1028</v>
      </c>
      <c r="N193" s="82"/>
      <c r="O193" s="67">
        <v>1.673</v>
      </c>
      <c r="P193" s="68">
        <f t="shared" si="43"/>
        <v>5.0190000000000001</v>
      </c>
    </row>
    <row r="194" spans="2:18" ht="15" customHeight="1" x14ac:dyDescent="0.3">
      <c r="B194" s="61">
        <v>4</v>
      </c>
      <c r="C194" s="58" t="s">
        <v>1087</v>
      </c>
      <c r="D194" s="59" t="s">
        <v>1088</v>
      </c>
      <c r="E194" s="59"/>
      <c r="F194" s="59"/>
      <c r="G194" s="59"/>
      <c r="H194" s="60">
        <v>1399.04</v>
      </c>
      <c r="I194" s="60">
        <v>1417.79</v>
      </c>
      <c r="J194" s="60" t="s">
        <v>1006</v>
      </c>
      <c r="K194" s="61">
        <v>4</v>
      </c>
      <c r="L194" s="80">
        <v>0.75</v>
      </c>
      <c r="M194" s="80" t="s">
        <v>1024</v>
      </c>
      <c r="N194" s="82"/>
      <c r="O194" s="67">
        <v>1.72</v>
      </c>
      <c r="P194" s="68">
        <f t="shared" si="43"/>
        <v>5.16</v>
      </c>
    </row>
    <row r="195" spans="2:18" ht="15" customHeight="1" x14ac:dyDescent="0.3">
      <c r="B195" s="109">
        <v>4</v>
      </c>
      <c r="C195" s="110" t="s">
        <v>1093</v>
      </c>
      <c r="D195" s="111" t="s">
        <v>1094</v>
      </c>
      <c r="E195" s="111"/>
      <c r="F195" s="111"/>
      <c r="G195" s="111"/>
      <c r="H195" s="112">
        <v>1417.79</v>
      </c>
      <c r="I195" s="112">
        <v>1431.29</v>
      </c>
      <c r="J195" s="112" t="s">
        <v>1006</v>
      </c>
      <c r="K195" s="109">
        <v>3</v>
      </c>
      <c r="L195" s="113">
        <v>0.75</v>
      </c>
      <c r="M195" s="113" t="s">
        <v>1023</v>
      </c>
      <c r="N195" s="114"/>
      <c r="O195" s="115">
        <v>1.484</v>
      </c>
      <c r="P195" s="116">
        <f t="shared" si="43"/>
        <v>3.339</v>
      </c>
      <c r="R195" s="105"/>
    </row>
    <row r="196" spans="2:18" ht="15" customHeight="1" x14ac:dyDescent="0.3">
      <c r="B196" s="61">
        <v>4</v>
      </c>
      <c r="C196" s="58" t="s">
        <v>1093</v>
      </c>
      <c r="D196" s="59" t="s">
        <v>1094</v>
      </c>
      <c r="E196" s="59"/>
      <c r="F196" s="59"/>
      <c r="G196" s="59"/>
      <c r="H196" s="60">
        <v>1417.79</v>
      </c>
      <c r="I196" s="60">
        <v>1431.29</v>
      </c>
      <c r="J196" s="60" t="s">
        <v>1006</v>
      </c>
      <c r="K196" s="61">
        <v>3</v>
      </c>
      <c r="L196" s="80">
        <v>0.75</v>
      </c>
      <c r="M196" s="80" t="s">
        <v>1025</v>
      </c>
      <c r="N196" s="82"/>
      <c r="O196" s="67">
        <v>1.55</v>
      </c>
      <c r="P196" s="68">
        <f t="shared" si="43"/>
        <v>3.488</v>
      </c>
    </row>
    <row r="197" spans="2:18" ht="15" customHeight="1" x14ac:dyDescent="0.3">
      <c r="B197" s="61">
        <v>4</v>
      </c>
      <c r="C197" s="58" t="s">
        <v>1093</v>
      </c>
      <c r="D197" s="59" t="s">
        <v>1094</v>
      </c>
      <c r="E197" s="59"/>
      <c r="F197" s="59"/>
      <c r="G197" s="59"/>
      <c r="H197" s="60">
        <v>1417.79</v>
      </c>
      <c r="I197" s="60">
        <v>1431.29</v>
      </c>
      <c r="J197" s="60" t="s">
        <v>1006</v>
      </c>
      <c r="K197" s="61">
        <v>3</v>
      </c>
      <c r="L197" s="80">
        <v>0.75</v>
      </c>
      <c r="M197" s="80" t="s">
        <v>1026</v>
      </c>
      <c r="N197" s="82"/>
      <c r="O197" s="67">
        <v>1.601</v>
      </c>
      <c r="P197" s="68">
        <f t="shared" si="43"/>
        <v>3.6019999999999999</v>
      </c>
    </row>
    <row r="198" spans="2:18" ht="15" customHeight="1" x14ac:dyDescent="0.3">
      <c r="B198" s="61">
        <v>4</v>
      </c>
      <c r="C198" s="58" t="s">
        <v>1093</v>
      </c>
      <c r="D198" s="59" t="s">
        <v>1094</v>
      </c>
      <c r="E198" s="59"/>
      <c r="F198" s="59"/>
      <c r="G198" s="59"/>
      <c r="H198" s="60">
        <v>1417.79</v>
      </c>
      <c r="I198" s="60">
        <v>1431.29</v>
      </c>
      <c r="J198" s="60" t="s">
        <v>1006</v>
      </c>
      <c r="K198" s="61">
        <v>3</v>
      </c>
      <c r="L198" s="80">
        <v>0.75</v>
      </c>
      <c r="M198" s="80" t="s">
        <v>1027</v>
      </c>
      <c r="N198" s="82"/>
      <c r="O198" s="67">
        <v>1.635</v>
      </c>
      <c r="P198" s="68">
        <f t="shared" si="43"/>
        <v>3.6789999999999998</v>
      </c>
    </row>
    <row r="199" spans="2:18" ht="15" customHeight="1" x14ac:dyDescent="0.3">
      <c r="B199" s="61">
        <v>4</v>
      </c>
      <c r="C199" s="58" t="s">
        <v>1093</v>
      </c>
      <c r="D199" s="59" t="s">
        <v>1094</v>
      </c>
      <c r="E199" s="59"/>
      <c r="F199" s="59"/>
      <c r="G199" s="59"/>
      <c r="H199" s="60">
        <v>1417.79</v>
      </c>
      <c r="I199" s="60">
        <v>1431.29</v>
      </c>
      <c r="J199" s="60" t="s">
        <v>1006</v>
      </c>
      <c r="K199" s="61">
        <v>3</v>
      </c>
      <c r="L199" s="80">
        <v>0.75</v>
      </c>
      <c r="M199" s="80" t="s">
        <v>1028</v>
      </c>
      <c r="N199" s="82"/>
      <c r="O199" s="67">
        <v>1.673</v>
      </c>
      <c r="P199" s="68">
        <f t="shared" si="43"/>
        <v>3.7639999999999998</v>
      </c>
    </row>
    <row r="200" spans="2:18" ht="15" customHeight="1" x14ac:dyDescent="0.3">
      <c r="B200" s="61">
        <v>4</v>
      </c>
      <c r="C200" s="58" t="s">
        <v>1093</v>
      </c>
      <c r="D200" s="59" t="s">
        <v>1094</v>
      </c>
      <c r="E200" s="59"/>
      <c r="F200" s="59"/>
      <c r="G200" s="59"/>
      <c r="H200" s="60">
        <v>1417.79</v>
      </c>
      <c r="I200" s="60">
        <v>1431.29</v>
      </c>
      <c r="J200" s="60" t="s">
        <v>1006</v>
      </c>
      <c r="K200" s="61">
        <v>3</v>
      </c>
      <c r="L200" s="80">
        <v>0.75</v>
      </c>
      <c r="M200" s="80" t="s">
        <v>1024</v>
      </c>
      <c r="N200" s="82"/>
      <c r="O200" s="67">
        <v>1.72</v>
      </c>
      <c r="P200" s="68">
        <f t="shared" si="43"/>
        <v>3.87</v>
      </c>
    </row>
    <row r="201" spans="2:18" ht="15" customHeight="1" x14ac:dyDescent="0.3">
      <c r="B201" s="109">
        <v>5</v>
      </c>
      <c r="C201" s="110" t="s">
        <v>1099</v>
      </c>
      <c r="D201" s="111" t="s">
        <v>1100</v>
      </c>
      <c r="E201" s="111"/>
      <c r="F201" s="111"/>
      <c r="G201" s="111"/>
      <c r="H201" s="60">
        <v>1431.29</v>
      </c>
      <c r="I201" s="60">
        <v>1438.24</v>
      </c>
      <c r="J201" s="112" t="s">
        <v>1006</v>
      </c>
      <c r="K201" s="109">
        <v>1</v>
      </c>
      <c r="L201" s="113">
        <v>0.75</v>
      </c>
      <c r="M201" s="113" t="s">
        <v>1023</v>
      </c>
      <c r="N201" s="114"/>
      <c r="O201" s="115">
        <v>1.484</v>
      </c>
      <c r="P201" s="116">
        <f t="shared" si="43"/>
        <v>1.113</v>
      </c>
      <c r="R201" s="105">
        <f>+K201*L201</f>
        <v>0.75</v>
      </c>
    </row>
    <row r="202" spans="2:18" ht="15" customHeight="1" x14ac:dyDescent="0.3">
      <c r="B202" s="61">
        <v>5</v>
      </c>
      <c r="C202" s="58" t="s">
        <v>1099</v>
      </c>
      <c r="D202" s="59" t="s">
        <v>1100</v>
      </c>
      <c r="E202" s="59"/>
      <c r="F202" s="59"/>
      <c r="G202" s="59"/>
      <c r="H202" s="60">
        <v>1431.29</v>
      </c>
      <c r="I202" s="60">
        <v>1438.24</v>
      </c>
      <c r="J202" s="60" t="s">
        <v>1006</v>
      </c>
      <c r="K202" s="61">
        <v>1</v>
      </c>
      <c r="L202" s="80">
        <v>0.75</v>
      </c>
      <c r="M202" s="80" t="s">
        <v>1025</v>
      </c>
      <c r="N202" s="82"/>
      <c r="O202" s="67">
        <v>1.55</v>
      </c>
      <c r="P202" s="68">
        <f t="shared" si="43"/>
        <v>1.163</v>
      </c>
      <c r="R202" s="105">
        <f t="shared" ref="R202:R208" si="44">+K202*L202</f>
        <v>0.75</v>
      </c>
    </row>
    <row r="203" spans="2:18" ht="15" customHeight="1" x14ac:dyDescent="0.3">
      <c r="B203" s="61">
        <v>5</v>
      </c>
      <c r="C203" s="58" t="s">
        <v>1099</v>
      </c>
      <c r="D203" s="59" t="s">
        <v>1100</v>
      </c>
      <c r="E203" s="59"/>
      <c r="F203" s="59"/>
      <c r="G203" s="59"/>
      <c r="H203" s="60">
        <v>1431.29</v>
      </c>
      <c r="I203" s="60">
        <v>1438.24</v>
      </c>
      <c r="J203" s="60" t="s">
        <v>1006</v>
      </c>
      <c r="K203" s="61">
        <v>1</v>
      </c>
      <c r="L203" s="80">
        <v>0.75</v>
      </c>
      <c r="M203" s="80" t="s">
        <v>1026</v>
      </c>
      <c r="N203" s="82"/>
      <c r="O203" s="67">
        <v>1.601</v>
      </c>
      <c r="P203" s="68">
        <f t="shared" si="43"/>
        <v>1.2010000000000001</v>
      </c>
      <c r="R203" s="105">
        <f t="shared" si="44"/>
        <v>0.75</v>
      </c>
    </row>
    <row r="204" spans="2:18" ht="15" customHeight="1" x14ac:dyDescent="0.3">
      <c r="B204" s="61">
        <v>5</v>
      </c>
      <c r="C204" s="58" t="s">
        <v>1099</v>
      </c>
      <c r="D204" s="59" t="s">
        <v>1100</v>
      </c>
      <c r="E204" s="59"/>
      <c r="F204" s="59"/>
      <c r="G204" s="59"/>
      <c r="H204" s="60">
        <v>1431.29</v>
      </c>
      <c r="I204" s="60">
        <v>1438.24</v>
      </c>
      <c r="J204" s="60" t="s">
        <v>1006</v>
      </c>
      <c r="K204" s="61">
        <v>1</v>
      </c>
      <c r="L204" s="80">
        <v>0.75</v>
      </c>
      <c r="M204" s="80" t="s">
        <v>1027</v>
      </c>
      <c r="N204" s="82"/>
      <c r="O204" s="67">
        <v>1.635</v>
      </c>
      <c r="P204" s="68">
        <f t="shared" si="43"/>
        <v>1.226</v>
      </c>
      <c r="R204" s="105">
        <f t="shared" si="44"/>
        <v>0.75</v>
      </c>
    </row>
    <row r="205" spans="2:18" ht="15" customHeight="1" x14ac:dyDescent="0.3">
      <c r="B205" s="61">
        <v>5</v>
      </c>
      <c r="C205" s="58" t="s">
        <v>1099</v>
      </c>
      <c r="D205" s="59" t="s">
        <v>1100</v>
      </c>
      <c r="E205" s="59"/>
      <c r="F205" s="59"/>
      <c r="G205" s="59"/>
      <c r="H205" s="60">
        <v>1431.29</v>
      </c>
      <c r="I205" s="60">
        <v>1438.24</v>
      </c>
      <c r="J205" s="60" t="s">
        <v>1006</v>
      </c>
      <c r="K205" s="61">
        <v>2</v>
      </c>
      <c r="L205" s="80">
        <v>0.75</v>
      </c>
      <c r="M205" s="80" t="s">
        <v>1028</v>
      </c>
      <c r="N205" s="82"/>
      <c r="O205" s="67">
        <v>1.673</v>
      </c>
      <c r="P205" s="68">
        <f t="shared" si="43"/>
        <v>2.5099999999999998</v>
      </c>
      <c r="R205" s="105">
        <f t="shared" si="44"/>
        <v>1.5</v>
      </c>
    </row>
    <row r="206" spans="2:18" ht="15" customHeight="1" x14ac:dyDescent="0.3">
      <c r="B206" s="61">
        <v>5</v>
      </c>
      <c r="C206" s="58" t="s">
        <v>1099</v>
      </c>
      <c r="D206" s="59" t="s">
        <v>1100</v>
      </c>
      <c r="E206" s="59"/>
      <c r="F206" s="59"/>
      <c r="G206" s="59"/>
      <c r="H206" s="60">
        <v>1431.29</v>
      </c>
      <c r="I206" s="60">
        <v>1438.24</v>
      </c>
      <c r="J206" s="60" t="s">
        <v>1006</v>
      </c>
      <c r="K206" s="61">
        <v>2</v>
      </c>
      <c r="L206" s="80">
        <v>0.75</v>
      </c>
      <c r="M206" s="80" t="s">
        <v>1024</v>
      </c>
      <c r="N206" s="82"/>
      <c r="O206" s="67">
        <v>1.72</v>
      </c>
      <c r="P206" s="68">
        <f t="shared" si="43"/>
        <v>2.58</v>
      </c>
      <c r="R206" s="105">
        <f t="shared" si="44"/>
        <v>1.5</v>
      </c>
    </row>
    <row r="207" spans="2:18" ht="15" customHeight="1" x14ac:dyDescent="0.3">
      <c r="B207" s="61">
        <v>5</v>
      </c>
      <c r="C207" s="58" t="s">
        <v>1099</v>
      </c>
      <c r="D207" s="59" t="s">
        <v>1100</v>
      </c>
      <c r="E207" s="59"/>
      <c r="F207" s="59"/>
      <c r="G207" s="59"/>
      <c r="H207" s="60">
        <v>1431.29</v>
      </c>
      <c r="I207" s="60">
        <v>1438.24</v>
      </c>
      <c r="J207" s="60" t="s">
        <v>1006</v>
      </c>
      <c r="K207" s="61">
        <v>1</v>
      </c>
      <c r="L207" s="80">
        <v>0.65</v>
      </c>
      <c r="M207" s="80" t="s">
        <v>1024</v>
      </c>
      <c r="N207" s="82"/>
      <c r="O207" s="67">
        <v>1.72</v>
      </c>
      <c r="P207" s="68">
        <f t="shared" si="43"/>
        <v>1.1180000000000001</v>
      </c>
      <c r="R207" s="105">
        <f t="shared" si="44"/>
        <v>0.65</v>
      </c>
    </row>
    <row r="208" spans="2:18" ht="15" customHeight="1" x14ac:dyDescent="0.3">
      <c r="B208" s="61">
        <v>5</v>
      </c>
      <c r="C208" s="58" t="s">
        <v>1099</v>
      </c>
      <c r="D208" s="59" t="s">
        <v>1100</v>
      </c>
      <c r="E208" s="59"/>
      <c r="F208" s="59"/>
      <c r="G208" s="59"/>
      <c r="H208" s="60">
        <v>1431.29</v>
      </c>
      <c r="I208" s="60">
        <v>1438.24</v>
      </c>
      <c r="J208" s="60" t="s">
        <v>1006</v>
      </c>
      <c r="K208" s="61">
        <v>1</v>
      </c>
      <c r="L208" s="80">
        <v>0.3</v>
      </c>
      <c r="M208" s="80" t="s">
        <v>1024</v>
      </c>
      <c r="N208" s="82"/>
      <c r="O208" s="67">
        <v>1.72</v>
      </c>
      <c r="P208" s="68">
        <f t="shared" si="43"/>
        <v>0.51600000000000001</v>
      </c>
      <c r="R208" s="105">
        <f t="shared" si="44"/>
        <v>0.3</v>
      </c>
    </row>
    <row r="209" spans="2:16" ht="15" customHeight="1" x14ac:dyDescent="0.3">
      <c r="B209" s="54" t="s">
        <v>1108</v>
      </c>
      <c r="C209" s="93"/>
      <c r="D209" s="48"/>
      <c r="E209" s="48"/>
      <c r="F209" s="48"/>
      <c r="G209" s="48"/>
      <c r="H209" s="49"/>
      <c r="I209" s="49"/>
      <c r="J209" s="49"/>
      <c r="K209" s="50"/>
      <c r="L209" s="50"/>
      <c r="M209" s="51"/>
      <c r="N209" s="51"/>
      <c r="O209" s="52"/>
      <c r="P209" s="53"/>
    </row>
    <row r="210" spans="2:16" ht="15" customHeight="1" x14ac:dyDescent="0.3">
      <c r="B210" s="37" t="s">
        <v>982</v>
      </c>
      <c r="C210" s="37" t="s">
        <v>992</v>
      </c>
      <c r="D210" s="55" t="s">
        <v>998</v>
      </c>
      <c r="E210" s="55"/>
      <c r="F210" s="55"/>
      <c r="G210" s="55"/>
      <c r="H210" s="65"/>
      <c r="I210" s="37" t="s">
        <v>999</v>
      </c>
      <c r="J210" s="37" t="s">
        <v>993</v>
      </c>
      <c r="K210" s="37" t="s">
        <v>990</v>
      </c>
      <c r="L210" s="37" t="s">
        <v>985</v>
      </c>
      <c r="M210" s="38" t="s">
        <v>986</v>
      </c>
      <c r="N210" s="37" t="s">
        <v>987</v>
      </c>
      <c r="O210" s="38" t="s">
        <v>984</v>
      </c>
      <c r="P210" s="38" t="s">
        <v>15</v>
      </c>
    </row>
    <row r="211" spans="2:16" ht="15" hidden="1" customHeight="1" x14ac:dyDescent="0.3">
      <c r="B211" s="138">
        <v>0</v>
      </c>
      <c r="C211" s="139" t="s">
        <v>1034</v>
      </c>
      <c r="D211" s="140" t="s">
        <v>1033</v>
      </c>
      <c r="E211" s="140"/>
      <c r="F211" s="140"/>
      <c r="G211" s="140"/>
      <c r="H211" s="141"/>
      <c r="I211" s="142">
        <v>30</v>
      </c>
      <c r="J211" s="143" t="s">
        <v>994</v>
      </c>
      <c r="K211" s="138">
        <v>0</v>
      </c>
      <c r="L211" s="138"/>
      <c r="M211" s="144">
        <f t="shared" ref="M211:M213" si="45">+I211/100</f>
        <v>0.3</v>
      </c>
      <c r="N211" s="144"/>
      <c r="O211" s="145">
        <v>39.299999999999997</v>
      </c>
      <c r="P211" s="146">
        <f t="shared" ref="P211:P213" si="46">+ROUND(PRODUCT(K211:O211),3)</f>
        <v>0</v>
      </c>
    </row>
    <row r="212" spans="2:16" ht="15" customHeight="1" x14ac:dyDescent="0.3">
      <c r="B212" s="118">
        <v>3</v>
      </c>
      <c r="C212" s="119" t="s">
        <v>1062</v>
      </c>
      <c r="D212" s="120" t="s">
        <v>997</v>
      </c>
      <c r="E212" s="120"/>
      <c r="F212" s="120"/>
      <c r="G212" s="120"/>
      <c r="H212" s="131"/>
      <c r="I212" s="132">
        <v>5</v>
      </c>
      <c r="J212" s="121" t="s">
        <v>994</v>
      </c>
      <c r="K212" s="118">
        <v>2</v>
      </c>
      <c r="L212" s="118"/>
      <c r="M212" s="133">
        <f t="shared" si="45"/>
        <v>0.05</v>
      </c>
      <c r="N212" s="133"/>
      <c r="O212" s="117">
        <v>33.408000000000001</v>
      </c>
      <c r="P212" s="124">
        <f t="shared" si="46"/>
        <v>3.3410000000000002</v>
      </c>
    </row>
    <row r="213" spans="2:16" ht="15" customHeight="1" x14ac:dyDescent="0.3">
      <c r="B213" s="61">
        <v>3</v>
      </c>
      <c r="C213" s="58" t="s">
        <v>1062</v>
      </c>
      <c r="D213" s="59" t="s">
        <v>1000</v>
      </c>
      <c r="E213" s="59"/>
      <c r="F213" s="59"/>
      <c r="G213" s="59"/>
      <c r="H213" s="64"/>
      <c r="I213" s="63">
        <v>5</v>
      </c>
      <c r="J213" s="60" t="s">
        <v>994</v>
      </c>
      <c r="K213" s="61">
        <v>2</v>
      </c>
      <c r="L213" s="61"/>
      <c r="M213" s="62">
        <f t="shared" si="45"/>
        <v>0.05</v>
      </c>
      <c r="N213" s="62"/>
      <c r="O213" s="67">
        <v>35.640999999999998</v>
      </c>
      <c r="P213" s="68">
        <f t="shared" si="46"/>
        <v>3.5640000000000001</v>
      </c>
    </row>
    <row r="214" spans="2:16" ht="15" customHeight="1" x14ac:dyDescent="0.3">
      <c r="B214" s="61">
        <v>3</v>
      </c>
      <c r="C214" s="58" t="s">
        <v>1062</v>
      </c>
      <c r="D214" s="59" t="s">
        <v>1065</v>
      </c>
      <c r="E214" s="59"/>
      <c r="F214" s="59"/>
      <c r="G214" s="59"/>
      <c r="H214" s="64"/>
      <c r="I214" s="63">
        <v>10</v>
      </c>
      <c r="J214" s="60" t="s">
        <v>994</v>
      </c>
      <c r="K214" s="61">
        <v>1</v>
      </c>
      <c r="L214" s="61"/>
      <c r="M214" s="62">
        <f>+I214/100</f>
        <v>0.1</v>
      </c>
      <c r="N214" s="62"/>
      <c r="O214" s="67">
        <v>8</v>
      </c>
      <c r="P214" s="68">
        <f>+ROUND(PRODUCT(K214:O214),3)</f>
        <v>0.8</v>
      </c>
    </row>
    <row r="215" spans="2:16" ht="15" customHeight="1" x14ac:dyDescent="0.3">
      <c r="B215" s="61">
        <v>3</v>
      </c>
      <c r="C215" s="58" t="s">
        <v>1062</v>
      </c>
      <c r="D215" s="59" t="s">
        <v>1001</v>
      </c>
      <c r="E215" s="59"/>
      <c r="F215" s="59"/>
      <c r="G215" s="59"/>
      <c r="H215" s="64"/>
      <c r="I215" s="63">
        <v>5</v>
      </c>
      <c r="J215" s="60" t="s">
        <v>994</v>
      </c>
      <c r="K215" s="61">
        <v>2</v>
      </c>
      <c r="L215" s="61"/>
      <c r="M215" s="62">
        <f t="shared" ref="M215:M220" si="47">+I215/100</f>
        <v>0.05</v>
      </c>
      <c r="N215" s="62"/>
      <c r="O215" s="67">
        <v>37.960999999999999</v>
      </c>
      <c r="P215" s="68">
        <f t="shared" ref="P215:P220" si="48">+ROUND(PRODUCT(K215:O215),3)</f>
        <v>3.7959999999999998</v>
      </c>
    </row>
    <row r="216" spans="2:16" ht="15" customHeight="1" x14ac:dyDescent="0.3">
      <c r="B216" s="61">
        <v>3</v>
      </c>
      <c r="C216" s="58" t="s">
        <v>1062</v>
      </c>
      <c r="D216" s="59" t="s">
        <v>1002</v>
      </c>
      <c r="E216" s="59"/>
      <c r="F216" s="59"/>
      <c r="G216" s="59"/>
      <c r="H216" s="64"/>
      <c r="I216" s="63">
        <v>5</v>
      </c>
      <c r="J216" s="60" t="s">
        <v>994</v>
      </c>
      <c r="K216" s="61">
        <v>2</v>
      </c>
      <c r="L216" s="61"/>
      <c r="M216" s="62">
        <f t="shared" si="47"/>
        <v>0.05</v>
      </c>
      <c r="N216" s="62"/>
      <c r="O216" s="67">
        <v>40.220999999999997</v>
      </c>
      <c r="P216" s="68">
        <f t="shared" si="48"/>
        <v>4.0220000000000002</v>
      </c>
    </row>
    <row r="217" spans="2:16" ht="15" customHeight="1" x14ac:dyDescent="0.3">
      <c r="B217" s="61">
        <v>3</v>
      </c>
      <c r="C217" s="58" t="s">
        <v>1062</v>
      </c>
      <c r="D217" s="59" t="s">
        <v>1003</v>
      </c>
      <c r="E217" s="59"/>
      <c r="F217" s="59"/>
      <c r="G217" s="59"/>
      <c r="H217" s="64"/>
      <c r="I217" s="63">
        <v>5</v>
      </c>
      <c r="J217" s="60" t="s">
        <v>994</v>
      </c>
      <c r="K217" s="61">
        <v>2</v>
      </c>
      <c r="L217" s="61"/>
      <c r="M217" s="62">
        <f t="shared" si="47"/>
        <v>0.05</v>
      </c>
      <c r="N217" s="62"/>
      <c r="O217" s="67">
        <v>42.5</v>
      </c>
      <c r="P217" s="68">
        <f t="shared" si="48"/>
        <v>4.25</v>
      </c>
    </row>
    <row r="218" spans="2:16" ht="15" customHeight="1" x14ac:dyDescent="0.3">
      <c r="B218" s="36">
        <v>3</v>
      </c>
      <c r="C218" s="46" t="s">
        <v>1062</v>
      </c>
      <c r="D218" s="56" t="s">
        <v>1004</v>
      </c>
      <c r="E218" s="56"/>
      <c r="F218" s="56"/>
      <c r="G218" s="56"/>
      <c r="H218" s="71"/>
      <c r="I218" s="134">
        <v>15</v>
      </c>
      <c r="J218" s="47" t="s">
        <v>994</v>
      </c>
      <c r="K218" s="36">
        <v>1</v>
      </c>
      <c r="L218" s="36"/>
      <c r="M218" s="135">
        <f t="shared" si="47"/>
        <v>0.15</v>
      </c>
      <c r="N218" s="135"/>
      <c r="O218" s="69">
        <v>44.921999999999997</v>
      </c>
      <c r="P218" s="57">
        <f t="shared" si="48"/>
        <v>6.7380000000000004</v>
      </c>
    </row>
    <row r="219" spans="2:16" ht="15" customHeight="1" x14ac:dyDescent="0.3">
      <c r="B219" s="118">
        <v>3</v>
      </c>
      <c r="C219" s="119" t="s">
        <v>1067</v>
      </c>
      <c r="D219" s="120" t="s">
        <v>997</v>
      </c>
      <c r="E219" s="120"/>
      <c r="F219" s="120"/>
      <c r="G219" s="120"/>
      <c r="H219" s="131"/>
      <c r="I219" s="132">
        <v>5</v>
      </c>
      <c r="J219" s="121" t="s">
        <v>994</v>
      </c>
      <c r="K219" s="118">
        <v>4</v>
      </c>
      <c r="L219" s="118"/>
      <c r="M219" s="133">
        <f t="shared" si="47"/>
        <v>0.05</v>
      </c>
      <c r="N219" s="133"/>
      <c r="O219" s="117">
        <v>33.408000000000001</v>
      </c>
      <c r="P219" s="124">
        <f t="shared" si="48"/>
        <v>6.6820000000000004</v>
      </c>
    </row>
    <row r="220" spans="2:16" ht="15" customHeight="1" x14ac:dyDescent="0.3">
      <c r="B220" s="61">
        <v>3</v>
      </c>
      <c r="C220" s="58" t="s">
        <v>1067</v>
      </c>
      <c r="D220" s="59" t="s">
        <v>1000</v>
      </c>
      <c r="E220" s="59"/>
      <c r="F220" s="59"/>
      <c r="G220" s="59"/>
      <c r="H220" s="64"/>
      <c r="I220" s="63">
        <v>5</v>
      </c>
      <c r="J220" s="60" t="s">
        <v>994</v>
      </c>
      <c r="K220" s="61">
        <v>4</v>
      </c>
      <c r="L220" s="61"/>
      <c r="M220" s="62">
        <f t="shared" si="47"/>
        <v>0.05</v>
      </c>
      <c r="N220" s="62"/>
      <c r="O220" s="67">
        <v>35.640999999999998</v>
      </c>
      <c r="P220" s="68">
        <f t="shared" si="48"/>
        <v>7.1280000000000001</v>
      </c>
    </row>
    <row r="221" spans="2:16" ht="15" customHeight="1" x14ac:dyDescent="0.3">
      <c r="B221" s="61">
        <v>3</v>
      </c>
      <c r="C221" s="58" t="s">
        <v>1067</v>
      </c>
      <c r="D221" s="59" t="s">
        <v>1065</v>
      </c>
      <c r="E221" s="59"/>
      <c r="F221" s="59"/>
      <c r="G221" s="59"/>
      <c r="H221" s="64"/>
      <c r="I221" s="63">
        <v>10</v>
      </c>
      <c r="J221" s="60" t="s">
        <v>994</v>
      </c>
      <c r="K221" s="61">
        <v>2</v>
      </c>
      <c r="L221" s="61"/>
      <c r="M221" s="62">
        <f>+I221/100</f>
        <v>0.1</v>
      </c>
      <c r="N221" s="62"/>
      <c r="O221" s="67">
        <v>8</v>
      </c>
      <c r="P221" s="68">
        <f>+ROUND(PRODUCT(K221:O221),3)</f>
        <v>1.6</v>
      </c>
    </row>
    <row r="222" spans="2:16" ht="15" customHeight="1" x14ac:dyDescent="0.3">
      <c r="B222" s="61">
        <v>3</v>
      </c>
      <c r="C222" s="58" t="s">
        <v>1067</v>
      </c>
      <c r="D222" s="59" t="s">
        <v>1001</v>
      </c>
      <c r="E222" s="59"/>
      <c r="F222" s="59"/>
      <c r="G222" s="59"/>
      <c r="H222" s="64"/>
      <c r="I222" s="63">
        <v>5</v>
      </c>
      <c r="J222" s="60" t="s">
        <v>994</v>
      </c>
      <c r="K222" s="61">
        <v>4</v>
      </c>
      <c r="L222" s="61"/>
      <c r="M222" s="62">
        <f t="shared" ref="M222:M223" si="49">+I222/100</f>
        <v>0.05</v>
      </c>
      <c r="N222" s="62"/>
      <c r="O222" s="67">
        <v>37.960999999999999</v>
      </c>
      <c r="P222" s="68">
        <f t="shared" ref="P222:P223" si="50">+ROUND(PRODUCT(K222:O222),3)</f>
        <v>7.5919999999999996</v>
      </c>
    </row>
    <row r="223" spans="2:16" ht="15" customHeight="1" x14ac:dyDescent="0.3">
      <c r="B223" s="61">
        <v>3</v>
      </c>
      <c r="C223" s="58" t="s">
        <v>1067</v>
      </c>
      <c r="D223" s="59" t="s">
        <v>1002</v>
      </c>
      <c r="E223" s="59"/>
      <c r="F223" s="59"/>
      <c r="G223" s="59"/>
      <c r="H223" s="64"/>
      <c r="I223" s="63">
        <v>5</v>
      </c>
      <c r="J223" s="60" t="s">
        <v>994</v>
      </c>
      <c r="K223" s="61">
        <v>4</v>
      </c>
      <c r="L223" s="61"/>
      <c r="M223" s="62">
        <f t="shared" si="49"/>
        <v>0.05</v>
      </c>
      <c r="N223" s="62"/>
      <c r="O223" s="67">
        <v>40.220999999999997</v>
      </c>
      <c r="P223" s="68">
        <f t="shared" si="50"/>
        <v>8.0440000000000005</v>
      </c>
    </row>
    <row r="224" spans="2:16" ht="15" customHeight="1" x14ac:dyDescent="0.3">
      <c r="B224" s="61">
        <v>3</v>
      </c>
      <c r="C224" s="58" t="s">
        <v>1067</v>
      </c>
      <c r="D224" s="59" t="s">
        <v>1069</v>
      </c>
      <c r="E224" s="59"/>
      <c r="F224" s="59"/>
      <c r="G224" s="59"/>
      <c r="H224" s="64"/>
      <c r="I224" s="63">
        <v>10</v>
      </c>
      <c r="J224" s="60" t="s">
        <v>994</v>
      </c>
      <c r="K224" s="61">
        <v>2</v>
      </c>
      <c r="L224" s="61"/>
      <c r="M224" s="62">
        <f>+I224/100</f>
        <v>0.1</v>
      </c>
      <c r="N224" s="62"/>
      <c r="O224" s="67">
        <v>8</v>
      </c>
      <c r="P224" s="68">
        <f>+ROUND(PRODUCT(K224:O224),3)</f>
        <v>1.6</v>
      </c>
    </row>
    <row r="225" spans="2:16" ht="15" customHeight="1" x14ac:dyDescent="0.3">
      <c r="B225" s="61">
        <v>3</v>
      </c>
      <c r="C225" s="58" t="s">
        <v>1067</v>
      </c>
      <c r="D225" s="59" t="s">
        <v>1003</v>
      </c>
      <c r="E225" s="59"/>
      <c r="F225" s="59"/>
      <c r="G225" s="59"/>
      <c r="H225" s="64"/>
      <c r="I225" s="63">
        <v>5</v>
      </c>
      <c r="J225" s="60" t="s">
        <v>994</v>
      </c>
      <c r="K225" s="61">
        <v>4</v>
      </c>
      <c r="L225" s="61"/>
      <c r="M225" s="62">
        <f t="shared" ref="M225:M230" si="51">+I225/100</f>
        <v>0.05</v>
      </c>
      <c r="N225" s="62"/>
      <c r="O225" s="67">
        <v>42.5</v>
      </c>
      <c r="P225" s="68">
        <f t="shared" ref="P225:P230" si="52">+ROUND(PRODUCT(K225:O225),3)</f>
        <v>8.5</v>
      </c>
    </row>
    <row r="226" spans="2:16" ht="15" customHeight="1" x14ac:dyDescent="0.3">
      <c r="B226" s="36">
        <v>3</v>
      </c>
      <c r="C226" s="46" t="s">
        <v>1067</v>
      </c>
      <c r="D226" s="56" t="s">
        <v>1004</v>
      </c>
      <c r="E226" s="56"/>
      <c r="F226" s="56"/>
      <c r="G226" s="56"/>
      <c r="H226" s="71"/>
      <c r="I226" s="134">
        <v>15</v>
      </c>
      <c r="J226" s="47" t="s">
        <v>994</v>
      </c>
      <c r="K226" s="36">
        <v>5</v>
      </c>
      <c r="L226" s="36"/>
      <c r="M226" s="135">
        <f t="shared" si="51"/>
        <v>0.15</v>
      </c>
      <c r="N226" s="135"/>
      <c r="O226" s="69">
        <v>44.921999999999997</v>
      </c>
      <c r="P226" s="57">
        <f t="shared" si="52"/>
        <v>33.692</v>
      </c>
    </row>
    <row r="227" spans="2:16" ht="15" customHeight="1" x14ac:dyDescent="0.3">
      <c r="B227" s="118">
        <v>4</v>
      </c>
      <c r="C227" s="119" t="s">
        <v>1081</v>
      </c>
      <c r="D227" s="120" t="s">
        <v>997</v>
      </c>
      <c r="E227" s="120"/>
      <c r="F227" s="120"/>
      <c r="G227" s="120"/>
      <c r="H227" s="131"/>
      <c r="I227" s="132">
        <v>5</v>
      </c>
      <c r="J227" s="121" t="s">
        <v>994</v>
      </c>
      <c r="K227" s="118">
        <v>5</v>
      </c>
      <c r="L227" s="118"/>
      <c r="M227" s="133">
        <f t="shared" si="51"/>
        <v>0.05</v>
      </c>
      <c r="N227" s="133"/>
      <c r="O227" s="117">
        <v>33.408000000000001</v>
      </c>
      <c r="P227" s="124">
        <f t="shared" si="52"/>
        <v>8.3520000000000003</v>
      </c>
    </row>
    <row r="228" spans="2:16" ht="15" customHeight="1" x14ac:dyDescent="0.3">
      <c r="B228" s="61">
        <v>4</v>
      </c>
      <c r="C228" s="58" t="s">
        <v>1081</v>
      </c>
      <c r="D228" s="59" t="s">
        <v>1000</v>
      </c>
      <c r="E228" s="59"/>
      <c r="F228" s="59"/>
      <c r="G228" s="59"/>
      <c r="H228" s="64"/>
      <c r="I228" s="63">
        <v>5</v>
      </c>
      <c r="J228" s="60" t="s">
        <v>994</v>
      </c>
      <c r="K228" s="61">
        <v>5</v>
      </c>
      <c r="L228" s="61"/>
      <c r="M228" s="62">
        <f t="shared" si="51"/>
        <v>0.05</v>
      </c>
      <c r="N228" s="62"/>
      <c r="O228" s="67">
        <v>35.640999999999998</v>
      </c>
      <c r="P228" s="68">
        <f t="shared" si="52"/>
        <v>8.91</v>
      </c>
    </row>
    <row r="229" spans="2:16" ht="15" customHeight="1" x14ac:dyDescent="0.3">
      <c r="B229" s="61">
        <v>4</v>
      </c>
      <c r="C229" s="58" t="s">
        <v>1081</v>
      </c>
      <c r="D229" s="59" t="s">
        <v>1001</v>
      </c>
      <c r="E229" s="59"/>
      <c r="F229" s="59"/>
      <c r="G229" s="59"/>
      <c r="H229" s="64"/>
      <c r="I229" s="63">
        <v>5</v>
      </c>
      <c r="J229" s="60" t="s">
        <v>994</v>
      </c>
      <c r="K229" s="61">
        <v>5</v>
      </c>
      <c r="L229" s="61"/>
      <c r="M229" s="62">
        <f t="shared" si="51"/>
        <v>0.05</v>
      </c>
      <c r="N229" s="62"/>
      <c r="O229" s="67">
        <v>37.960999999999999</v>
      </c>
      <c r="P229" s="68">
        <f t="shared" si="52"/>
        <v>9.49</v>
      </c>
    </row>
    <row r="230" spans="2:16" ht="15" customHeight="1" x14ac:dyDescent="0.3">
      <c r="B230" s="61">
        <v>4</v>
      </c>
      <c r="C230" s="58" t="s">
        <v>1081</v>
      </c>
      <c r="D230" s="59" t="s">
        <v>1002</v>
      </c>
      <c r="E230" s="59"/>
      <c r="F230" s="59"/>
      <c r="G230" s="59"/>
      <c r="H230" s="64"/>
      <c r="I230" s="63">
        <v>5</v>
      </c>
      <c r="J230" s="60" t="s">
        <v>994</v>
      </c>
      <c r="K230" s="61">
        <v>4</v>
      </c>
      <c r="L230" s="61"/>
      <c r="M230" s="62">
        <f t="shared" si="51"/>
        <v>0.05</v>
      </c>
      <c r="N230" s="62"/>
      <c r="O230" s="67">
        <v>40.220999999999997</v>
      </c>
      <c r="P230" s="68">
        <f t="shared" si="52"/>
        <v>8.0440000000000005</v>
      </c>
    </row>
    <row r="231" spans="2:16" ht="15" customHeight="1" x14ac:dyDescent="0.3">
      <c r="B231" s="61">
        <v>4</v>
      </c>
      <c r="C231" s="58" t="s">
        <v>1081</v>
      </c>
      <c r="D231" s="59" t="s">
        <v>1069</v>
      </c>
      <c r="E231" s="59"/>
      <c r="F231" s="59"/>
      <c r="G231" s="59"/>
      <c r="H231" s="64"/>
      <c r="I231" s="63">
        <v>10</v>
      </c>
      <c r="J231" s="60" t="s">
        <v>994</v>
      </c>
      <c r="K231" s="61">
        <v>2</v>
      </c>
      <c r="L231" s="61"/>
      <c r="M231" s="62">
        <f>+I231/100</f>
        <v>0.1</v>
      </c>
      <c r="N231" s="62"/>
      <c r="O231" s="67">
        <v>8</v>
      </c>
      <c r="P231" s="68">
        <f>+ROUND(PRODUCT(K231:O231),3)</f>
        <v>1.6</v>
      </c>
    </row>
    <row r="232" spans="2:16" ht="15" customHeight="1" x14ac:dyDescent="0.3">
      <c r="B232" s="61">
        <v>4</v>
      </c>
      <c r="C232" s="58" t="s">
        <v>1081</v>
      </c>
      <c r="D232" s="59" t="s">
        <v>1003</v>
      </c>
      <c r="E232" s="59"/>
      <c r="F232" s="59"/>
      <c r="G232" s="59"/>
      <c r="H232" s="64"/>
      <c r="I232" s="63">
        <v>5</v>
      </c>
      <c r="J232" s="60" t="s">
        <v>994</v>
      </c>
      <c r="K232" s="61">
        <v>4</v>
      </c>
      <c r="L232" s="61"/>
      <c r="M232" s="62">
        <f t="shared" ref="M232:M235" si="53">+I232/100</f>
        <v>0.05</v>
      </c>
      <c r="N232" s="62"/>
      <c r="O232" s="67">
        <v>42.5</v>
      </c>
      <c r="P232" s="68">
        <f t="shared" ref="P232:P235" si="54">+ROUND(PRODUCT(K232:O232),3)</f>
        <v>8.5</v>
      </c>
    </row>
    <row r="233" spans="2:16" ht="15" customHeight="1" x14ac:dyDescent="0.3">
      <c r="B233" s="36">
        <v>4</v>
      </c>
      <c r="C233" s="46" t="s">
        <v>1081</v>
      </c>
      <c r="D233" s="56" t="s">
        <v>1004</v>
      </c>
      <c r="E233" s="56"/>
      <c r="F233" s="56"/>
      <c r="G233" s="56"/>
      <c r="H233" s="71"/>
      <c r="I233" s="134">
        <v>15</v>
      </c>
      <c r="J233" s="47" t="s">
        <v>994</v>
      </c>
      <c r="K233" s="36">
        <v>4</v>
      </c>
      <c r="L233" s="36"/>
      <c r="M233" s="135">
        <f t="shared" si="53"/>
        <v>0.15</v>
      </c>
      <c r="N233" s="135"/>
      <c r="O233" s="69">
        <v>44.921999999999997</v>
      </c>
      <c r="P233" s="57">
        <f t="shared" si="54"/>
        <v>26.952999999999999</v>
      </c>
    </row>
    <row r="234" spans="2:16" ht="15" customHeight="1" x14ac:dyDescent="0.3">
      <c r="B234" s="109">
        <v>4</v>
      </c>
      <c r="C234" s="110" t="s">
        <v>1087</v>
      </c>
      <c r="D234" s="111" t="s">
        <v>997</v>
      </c>
      <c r="E234" s="111"/>
      <c r="F234" s="111"/>
      <c r="G234" s="111"/>
      <c r="H234" s="128"/>
      <c r="I234" s="129">
        <v>5</v>
      </c>
      <c r="J234" s="112" t="s">
        <v>994</v>
      </c>
      <c r="K234" s="109">
        <v>4</v>
      </c>
      <c r="L234" s="109"/>
      <c r="M234" s="130">
        <f t="shared" si="53"/>
        <v>0.05</v>
      </c>
      <c r="N234" s="130"/>
      <c r="O234" s="115">
        <v>33.408000000000001</v>
      </c>
      <c r="P234" s="116">
        <f t="shared" si="54"/>
        <v>6.6820000000000004</v>
      </c>
    </row>
    <row r="235" spans="2:16" ht="15" customHeight="1" x14ac:dyDescent="0.3">
      <c r="B235" s="61">
        <v>4</v>
      </c>
      <c r="C235" s="58" t="s">
        <v>1087</v>
      </c>
      <c r="D235" s="59" t="s">
        <v>1000</v>
      </c>
      <c r="E235" s="59"/>
      <c r="F235" s="59"/>
      <c r="G235" s="59"/>
      <c r="H235" s="64"/>
      <c r="I235" s="63">
        <v>5</v>
      </c>
      <c r="J235" s="60" t="s">
        <v>994</v>
      </c>
      <c r="K235" s="61">
        <v>4</v>
      </c>
      <c r="L235" s="61"/>
      <c r="M235" s="62">
        <f t="shared" si="53"/>
        <v>0.05</v>
      </c>
      <c r="N235" s="62"/>
      <c r="O235" s="67">
        <v>35.640999999999998</v>
      </c>
      <c r="P235" s="68">
        <f t="shared" si="54"/>
        <v>7.1280000000000001</v>
      </c>
    </row>
    <row r="236" spans="2:16" ht="15" customHeight="1" x14ac:dyDescent="0.3">
      <c r="B236" s="61">
        <v>4</v>
      </c>
      <c r="C236" s="58" t="s">
        <v>1087</v>
      </c>
      <c r="D236" s="59" t="s">
        <v>1065</v>
      </c>
      <c r="E236" s="59"/>
      <c r="F236" s="59"/>
      <c r="G236" s="59"/>
      <c r="H236" s="64"/>
      <c r="I236" s="63">
        <v>10</v>
      </c>
      <c r="J236" s="60" t="s">
        <v>994</v>
      </c>
      <c r="K236" s="61">
        <v>4</v>
      </c>
      <c r="L236" s="61"/>
      <c r="M236" s="62">
        <f>+I236/100</f>
        <v>0.1</v>
      </c>
      <c r="N236" s="62"/>
      <c r="O236" s="67">
        <v>8</v>
      </c>
      <c r="P236" s="68">
        <f>+ROUND(PRODUCT(K236:O236),3)</f>
        <v>3.2</v>
      </c>
    </row>
    <row r="237" spans="2:16" ht="15" customHeight="1" x14ac:dyDescent="0.3">
      <c r="B237" s="61">
        <v>4</v>
      </c>
      <c r="C237" s="58" t="s">
        <v>1087</v>
      </c>
      <c r="D237" s="59" t="s">
        <v>1001</v>
      </c>
      <c r="E237" s="59"/>
      <c r="F237" s="59"/>
      <c r="G237" s="59"/>
      <c r="H237" s="64"/>
      <c r="I237" s="63">
        <v>5</v>
      </c>
      <c r="J237" s="60" t="s">
        <v>994</v>
      </c>
      <c r="K237" s="61">
        <v>4</v>
      </c>
      <c r="L237" s="61"/>
      <c r="M237" s="62">
        <f t="shared" ref="M237:M238" si="55">+I237/100</f>
        <v>0.05</v>
      </c>
      <c r="N237" s="62"/>
      <c r="O237" s="67">
        <v>37.960999999999999</v>
      </c>
      <c r="P237" s="68">
        <f t="shared" ref="P237:P238" si="56">+ROUND(PRODUCT(K237:O237),3)</f>
        <v>7.5919999999999996</v>
      </c>
    </row>
    <row r="238" spans="2:16" ht="15" customHeight="1" x14ac:dyDescent="0.3">
      <c r="B238" s="61">
        <v>4</v>
      </c>
      <c r="C238" s="58" t="s">
        <v>1087</v>
      </c>
      <c r="D238" s="59" t="s">
        <v>1002</v>
      </c>
      <c r="E238" s="59"/>
      <c r="F238" s="59"/>
      <c r="G238" s="59"/>
      <c r="H238" s="64"/>
      <c r="I238" s="63">
        <v>5</v>
      </c>
      <c r="J238" s="60" t="s">
        <v>994</v>
      </c>
      <c r="K238" s="61">
        <v>5</v>
      </c>
      <c r="L238" s="61"/>
      <c r="M238" s="62">
        <f t="shared" si="55"/>
        <v>0.05</v>
      </c>
      <c r="N238" s="62"/>
      <c r="O238" s="67">
        <v>40.220999999999997</v>
      </c>
      <c r="P238" s="68">
        <f t="shared" si="56"/>
        <v>10.055</v>
      </c>
    </row>
    <row r="239" spans="2:16" ht="15" customHeight="1" x14ac:dyDescent="0.3">
      <c r="B239" s="61">
        <v>4</v>
      </c>
      <c r="C239" s="58" t="s">
        <v>1087</v>
      </c>
      <c r="D239" s="59" t="s">
        <v>1069</v>
      </c>
      <c r="E239" s="59"/>
      <c r="F239" s="59"/>
      <c r="G239" s="59"/>
      <c r="H239" s="64"/>
      <c r="I239" s="63">
        <v>10</v>
      </c>
      <c r="J239" s="60" t="s">
        <v>994</v>
      </c>
      <c r="K239" s="61">
        <v>2</v>
      </c>
      <c r="L239" s="61"/>
      <c r="M239" s="62">
        <f>+I239/100</f>
        <v>0.1</v>
      </c>
      <c r="N239" s="62"/>
      <c r="O239" s="67">
        <v>8</v>
      </c>
      <c r="P239" s="68">
        <f>+ROUND(PRODUCT(K239:O239),3)</f>
        <v>1.6</v>
      </c>
    </row>
    <row r="240" spans="2:16" ht="15" customHeight="1" x14ac:dyDescent="0.3">
      <c r="B240" s="61">
        <v>4</v>
      </c>
      <c r="C240" s="58" t="s">
        <v>1087</v>
      </c>
      <c r="D240" s="59" t="s">
        <v>1003</v>
      </c>
      <c r="E240" s="59"/>
      <c r="F240" s="59"/>
      <c r="G240" s="59"/>
      <c r="H240" s="64"/>
      <c r="I240" s="63">
        <v>5</v>
      </c>
      <c r="J240" s="60" t="s">
        <v>994</v>
      </c>
      <c r="K240" s="61">
        <v>5</v>
      </c>
      <c r="L240" s="61"/>
      <c r="M240" s="62">
        <f t="shared" ref="M240:M249" si="57">+I240/100</f>
        <v>0.05</v>
      </c>
      <c r="N240" s="62"/>
      <c r="O240" s="67">
        <v>42.5</v>
      </c>
      <c r="P240" s="68">
        <f t="shared" ref="P240:P249" si="58">+ROUND(PRODUCT(K240:O240),3)</f>
        <v>10.625</v>
      </c>
    </row>
    <row r="241" spans="2:31" ht="15" customHeight="1" x14ac:dyDescent="0.3">
      <c r="B241" s="61">
        <v>4</v>
      </c>
      <c r="C241" s="58" t="s">
        <v>1087</v>
      </c>
      <c r="D241" s="59" t="s">
        <v>1004</v>
      </c>
      <c r="E241" s="59"/>
      <c r="F241" s="59"/>
      <c r="G241" s="59"/>
      <c r="H241" s="64"/>
      <c r="I241" s="63">
        <v>15</v>
      </c>
      <c r="J241" s="60" t="s">
        <v>994</v>
      </c>
      <c r="K241" s="61">
        <v>5</v>
      </c>
      <c r="L241" s="61"/>
      <c r="M241" s="62">
        <f t="shared" si="57"/>
        <v>0.15</v>
      </c>
      <c r="N241" s="62"/>
      <c r="O241" s="67">
        <v>44.921999999999997</v>
      </c>
      <c r="P241" s="68">
        <f t="shared" si="58"/>
        <v>33.692</v>
      </c>
    </row>
    <row r="242" spans="2:31" ht="15" customHeight="1" x14ac:dyDescent="0.3">
      <c r="B242" s="109">
        <v>4</v>
      </c>
      <c r="C242" s="110" t="s">
        <v>1093</v>
      </c>
      <c r="D242" s="111" t="s">
        <v>997</v>
      </c>
      <c r="E242" s="111"/>
      <c r="F242" s="111"/>
      <c r="G242" s="111"/>
      <c r="H242" s="128"/>
      <c r="I242" s="129">
        <v>5</v>
      </c>
      <c r="J242" s="112" t="s">
        <v>994</v>
      </c>
      <c r="K242" s="109">
        <v>3</v>
      </c>
      <c r="L242" s="109"/>
      <c r="M242" s="130">
        <f t="shared" si="57"/>
        <v>0.05</v>
      </c>
      <c r="N242" s="130"/>
      <c r="O242" s="115">
        <v>33.408000000000001</v>
      </c>
      <c r="P242" s="116">
        <f t="shared" si="58"/>
        <v>5.0110000000000001</v>
      </c>
    </row>
    <row r="243" spans="2:31" ht="15" customHeight="1" x14ac:dyDescent="0.3">
      <c r="B243" s="61">
        <v>4</v>
      </c>
      <c r="C243" s="58" t="s">
        <v>1093</v>
      </c>
      <c r="D243" s="59" t="s">
        <v>1000</v>
      </c>
      <c r="E243" s="59"/>
      <c r="F243" s="59"/>
      <c r="G243" s="59"/>
      <c r="H243" s="64"/>
      <c r="I243" s="63">
        <v>5</v>
      </c>
      <c r="J243" s="60" t="s">
        <v>994</v>
      </c>
      <c r="K243" s="61">
        <v>3</v>
      </c>
      <c r="L243" s="61"/>
      <c r="M243" s="62">
        <f t="shared" si="57"/>
        <v>0.05</v>
      </c>
      <c r="N243" s="62"/>
      <c r="O243" s="67">
        <v>35.640999999999998</v>
      </c>
      <c r="P243" s="68">
        <f t="shared" si="58"/>
        <v>5.3460000000000001</v>
      </c>
    </row>
    <row r="244" spans="2:31" ht="15" customHeight="1" x14ac:dyDescent="0.3">
      <c r="B244" s="61">
        <v>4</v>
      </c>
      <c r="C244" s="58" t="s">
        <v>1093</v>
      </c>
      <c r="D244" s="59" t="s">
        <v>1001</v>
      </c>
      <c r="E244" s="59"/>
      <c r="F244" s="59"/>
      <c r="G244" s="59"/>
      <c r="H244" s="64"/>
      <c r="I244" s="63">
        <v>5</v>
      </c>
      <c r="J244" s="60" t="s">
        <v>994</v>
      </c>
      <c r="K244" s="61">
        <v>3</v>
      </c>
      <c r="L244" s="61"/>
      <c r="M244" s="62">
        <f t="shared" si="57"/>
        <v>0.05</v>
      </c>
      <c r="N244" s="62"/>
      <c r="O244" s="67">
        <v>37.960999999999999</v>
      </c>
      <c r="P244" s="68">
        <f t="shared" si="58"/>
        <v>5.694</v>
      </c>
    </row>
    <row r="245" spans="2:31" ht="15" customHeight="1" x14ac:dyDescent="0.3">
      <c r="B245" s="61">
        <v>4</v>
      </c>
      <c r="C245" s="58" t="s">
        <v>1093</v>
      </c>
      <c r="D245" s="59" t="s">
        <v>1002</v>
      </c>
      <c r="E245" s="59"/>
      <c r="F245" s="59"/>
      <c r="G245" s="59"/>
      <c r="H245" s="64"/>
      <c r="I245" s="63">
        <v>5</v>
      </c>
      <c r="J245" s="60" t="s">
        <v>994</v>
      </c>
      <c r="K245" s="61">
        <v>3</v>
      </c>
      <c r="L245" s="61"/>
      <c r="M245" s="62">
        <f t="shared" si="57"/>
        <v>0.05</v>
      </c>
      <c r="N245" s="62"/>
      <c r="O245" s="67">
        <v>40.220999999999997</v>
      </c>
      <c r="P245" s="68">
        <f t="shared" si="58"/>
        <v>6.0330000000000004</v>
      </c>
    </row>
    <row r="246" spans="2:31" ht="15" customHeight="1" x14ac:dyDescent="0.3">
      <c r="B246" s="61">
        <v>4</v>
      </c>
      <c r="C246" s="58" t="s">
        <v>1093</v>
      </c>
      <c r="D246" s="59" t="s">
        <v>1003</v>
      </c>
      <c r="E246" s="59"/>
      <c r="F246" s="59"/>
      <c r="G246" s="59"/>
      <c r="H246" s="64"/>
      <c r="I246" s="63">
        <v>5</v>
      </c>
      <c r="J246" s="60" t="s">
        <v>994</v>
      </c>
      <c r="K246" s="61">
        <v>3</v>
      </c>
      <c r="L246" s="61"/>
      <c r="M246" s="62">
        <f t="shared" si="57"/>
        <v>0.05</v>
      </c>
      <c r="N246" s="62"/>
      <c r="O246" s="67">
        <v>42.5</v>
      </c>
      <c r="P246" s="68">
        <f t="shared" si="58"/>
        <v>6.375</v>
      </c>
    </row>
    <row r="247" spans="2:31" ht="15" customHeight="1" x14ac:dyDescent="0.3">
      <c r="B247" s="61">
        <v>4</v>
      </c>
      <c r="C247" s="58" t="s">
        <v>1093</v>
      </c>
      <c r="D247" s="59" t="s">
        <v>1004</v>
      </c>
      <c r="E247" s="59"/>
      <c r="F247" s="59"/>
      <c r="G247" s="59"/>
      <c r="H247" s="64"/>
      <c r="I247" s="63">
        <v>5</v>
      </c>
      <c r="J247" s="60" t="s">
        <v>994</v>
      </c>
      <c r="K247" s="61">
        <v>1</v>
      </c>
      <c r="L247" s="61"/>
      <c r="M247" s="62">
        <f t="shared" si="57"/>
        <v>0.05</v>
      </c>
      <c r="N247" s="62"/>
      <c r="O247" s="67">
        <v>44.921999999999997</v>
      </c>
      <c r="P247" s="68">
        <f t="shared" si="58"/>
        <v>2.246</v>
      </c>
    </row>
    <row r="248" spans="2:31" ht="15" customHeight="1" x14ac:dyDescent="0.3">
      <c r="B248" s="61">
        <v>4</v>
      </c>
      <c r="C248" s="58" t="s">
        <v>1093</v>
      </c>
      <c r="D248" s="59" t="s">
        <v>1004</v>
      </c>
      <c r="E248" s="59"/>
      <c r="F248" s="59"/>
      <c r="G248" s="59"/>
      <c r="H248" s="64"/>
      <c r="I248" s="63">
        <v>15</v>
      </c>
      <c r="J248" s="60" t="s">
        <v>994</v>
      </c>
      <c r="K248" s="61">
        <v>2</v>
      </c>
      <c r="L248" s="61"/>
      <c r="M248" s="62">
        <f t="shared" si="57"/>
        <v>0.15</v>
      </c>
      <c r="N248" s="62"/>
      <c r="O248" s="67">
        <v>44.921999999999997</v>
      </c>
      <c r="P248" s="68">
        <f t="shared" si="58"/>
        <v>13.477</v>
      </c>
    </row>
    <row r="249" spans="2:31" ht="15" customHeight="1" x14ac:dyDescent="0.3">
      <c r="B249" s="61">
        <v>4</v>
      </c>
      <c r="C249" s="58" t="s">
        <v>1093</v>
      </c>
      <c r="D249" s="59" t="s">
        <v>1004</v>
      </c>
      <c r="E249" s="59"/>
      <c r="F249" s="59"/>
      <c r="G249" s="59"/>
      <c r="H249" s="64"/>
      <c r="I249" s="63">
        <v>30</v>
      </c>
      <c r="J249" s="60" t="s">
        <v>994</v>
      </c>
      <c r="K249" s="61">
        <v>1</v>
      </c>
      <c r="L249" s="61"/>
      <c r="M249" s="62">
        <f t="shared" si="57"/>
        <v>0.3</v>
      </c>
      <c r="N249" s="62"/>
      <c r="O249" s="67">
        <v>44.921999999999997</v>
      </c>
      <c r="P249" s="68">
        <f t="shared" si="58"/>
        <v>13.477</v>
      </c>
    </row>
    <row r="250" spans="2:31" ht="15" customHeight="1" x14ac:dyDescent="0.3">
      <c r="B250" s="61">
        <v>5</v>
      </c>
      <c r="C250" s="58" t="s">
        <v>1099</v>
      </c>
      <c r="D250" s="59" t="s">
        <v>1101</v>
      </c>
      <c r="E250" s="59"/>
      <c r="F250" s="59"/>
      <c r="G250" s="59"/>
      <c r="H250" s="64"/>
      <c r="I250" s="63">
        <v>30</v>
      </c>
      <c r="J250" s="60" t="s">
        <v>994</v>
      </c>
      <c r="K250" s="61">
        <v>1</v>
      </c>
      <c r="L250" s="61"/>
      <c r="M250" s="62">
        <f t="shared" ref="M250" si="59">+I250/100</f>
        <v>0.3</v>
      </c>
      <c r="N250" s="62"/>
      <c r="O250" s="67">
        <v>1.72</v>
      </c>
      <c r="P250" s="68">
        <f t="shared" ref="P250" si="60">+ROUND(PRODUCT(K250:O250),3)</f>
        <v>0.51600000000000001</v>
      </c>
    </row>
    <row r="251" spans="2:31" ht="4.95" customHeight="1" x14ac:dyDescent="0.3">
      <c r="B251" s="39"/>
      <c r="C251" s="42"/>
      <c r="D251" s="40"/>
      <c r="E251" s="40"/>
      <c r="F251" s="40"/>
      <c r="G251" s="40"/>
      <c r="H251" s="41"/>
      <c r="I251" s="41"/>
      <c r="J251" s="41"/>
      <c r="K251" s="41"/>
      <c r="L251" s="41"/>
      <c r="M251" s="41"/>
      <c r="N251" s="41"/>
      <c r="O251" s="42"/>
      <c r="P251" s="43"/>
    </row>
    <row r="252" spans="2:31" ht="15" customHeight="1" x14ac:dyDescent="0.3">
      <c r="C252" s="29"/>
      <c r="D252" s="32"/>
      <c r="E252" s="32"/>
      <c r="F252" s="32"/>
      <c r="G252" s="32"/>
      <c r="H252" s="11"/>
      <c r="I252" s="11"/>
      <c r="J252" s="11"/>
      <c r="K252" s="11"/>
      <c r="L252" s="11"/>
      <c r="M252" s="11"/>
      <c r="N252" s="11"/>
      <c r="O252" s="29"/>
    </row>
    <row r="253" spans="2:31" ht="30" customHeight="1" x14ac:dyDescent="0.3">
      <c r="B253" s="193" t="s">
        <v>7</v>
      </c>
      <c r="C253" s="194"/>
      <c r="D253" s="193" t="s">
        <v>8</v>
      </c>
      <c r="E253" s="195"/>
      <c r="F253" s="195"/>
      <c r="G253" s="195"/>
      <c r="H253" s="195"/>
      <c r="I253" s="195"/>
      <c r="J253" s="195"/>
      <c r="K253" s="195"/>
      <c r="L253" s="195"/>
      <c r="M253" s="33" t="s">
        <v>9</v>
      </c>
      <c r="N253" s="104" t="s">
        <v>1077</v>
      </c>
      <c r="O253" s="104" t="s">
        <v>1078</v>
      </c>
      <c r="P253" s="34" t="s">
        <v>1079</v>
      </c>
    </row>
    <row r="254" spans="2:31" ht="30" customHeight="1" x14ac:dyDescent="0.3">
      <c r="B254" s="199" t="s">
        <v>132</v>
      </c>
      <c r="C254" s="200"/>
      <c r="D254" s="197" t="str">
        <f>+VLOOKUP(B254,[1]Liste!B:E,2,FALSE)</f>
        <v>L=4 m Kaya Bulonu</v>
      </c>
      <c r="E254" s="198"/>
      <c r="F254" s="198"/>
      <c r="G254" s="198"/>
      <c r="H254" s="198"/>
      <c r="I254" s="198"/>
      <c r="J254" s="198"/>
      <c r="K254" s="198"/>
      <c r="L254" s="198"/>
      <c r="M254" s="35" t="str">
        <f>+VLOOKUP(B254,[1]Liste!B:E,3,FALSE)</f>
        <v>adet</v>
      </c>
      <c r="N254" s="66">
        <v>486</v>
      </c>
      <c r="O254" s="66">
        <f>+P254-N254</f>
        <v>0</v>
      </c>
      <c r="P254" s="66">
        <f>+SUM(P255:P260)</f>
        <v>486</v>
      </c>
      <c r="AA254" s="9">
        <f>+VLOOKUP(B254,[2]Liste!$B$2:$F$483,5,FALSE)</f>
        <v>8000</v>
      </c>
      <c r="AC254" s="9">
        <f>+AA254*N254</f>
        <v>3888000</v>
      </c>
      <c r="AD254" s="9">
        <f>+AA254*O254</f>
        <v>0</v>
      </c>
      <c r="AE254" s="9">
        <f>+AA254*P254</f>
        <v>3888000</v>
      </c>
    </row>
    <row r="255" spans="2:31" ht="15" customHeight="1" x14ac:dyDescent="0.3">
      <c r="B255" s="37" t="s">
        <v>982</v>
      </c>
      <c r="C255" s="37" t="s">
        <v>992</v>
      </c>
      <c r="D255" s="55" t="s">
        <v>991</v>
      </c>
      <c r="E255" s="55"/>
      <c r="F255" s="55"/>
      <c r="G255" s="55"/>
      <c r="H255" s="70"/>
      <c r="I255" s="70"/>
      <c r="J255" s="70"/>
      <c r="K255" s="37" t="s">
        <v>990</v>
      </c>
      <c r="L255" s="72"/>
      <c r="M255" s="73"/>
      <c r="N255" s="74"/>
      <c r="O255" s="75" t="s">
        <v>1029</v>
      </c>
      <c r="P255" s="38" t="s">
        <v>15</v>
      </c>
    </row>
    <row r="256" spans="2:31" ht="15" customHeight="1" x14ac:dyDescent="0.3">
      <c r="B256" s="61">
        <v>3</v>
      </c>
      <c r="C256" s="46" t="s">
        <v>1067</v>
      </c>
      <c r="D256" s="56" t="s">
        <v>1068</v>
      </c>
      <c r="E256" s="56"/>
      <c r="F256" s="56"/>
      <c r="G256" s="56"/>
      <c r="H256" s="71"/>
      <c r="I256" s="71"/>
      <c r="J256" s="71"/>
      <c r="K256" s="36">
        <v>1</v>
      </c>
      <c r="L256" s="76"/>
      <c r="M256" s="77"/>
      <c r="N256" s="77"/>
      <c r="O256" s="78">
        <v>122</v>
      </c>
      <c r="P256" s="57">
        <f>+ROUND(PRODUCT(K256:O256),3)</f>
        <v>122</v>
      </c>
    </row>
    <row r="257" spans="2:31" ht="15" customHeight="1" x14ac:dyDescent="0.3">
      <c r="B257" s="61">
        <v>4</v>
      </c>
      <c r="C257" s="46" t="s">
        <v>1081</v>
      </c>
      <c r="D257" s="56" t="s">
        <v>1080</v>
      </c>
      <c r="E257" s="56"/>
      <c r="F257" s="56"/>
      <c r="G257" s="56"/>
      <c r="H257" s="71"/>
      <c r="I257" s="71"/>
      <c r="J257" s="71"/>
      <c r="K257" s="36">
        <v>1</v>
      </c>
      <c r="L257" s="76"/>
      <c r="M257" s="77"/>
      <c r="N257" s="77"/>
      <c r="O257" s="78">
        <v>139</v>
      </c>
      <c r="P257" s="57">
        <f>+ROUND(PRODUCT(K257:O257),3)</f>
        <v>139</v>
      </c>
    </row>
    <row r="258" spans="2:31" ht="15" customHeight="1" x14ac:dyDescent="0.3">
      <c r="B258" s="61">
        <v>4</v>
      </c>
      <c r="C258" s="46" t="s">
        <v>1087</v>
      </c>
      <c r="D258" s="56" t="s">
        <v>1088</v>
      </c>
      <c r="E258" s="56"/>
      <c r="F258" s="56"/>
      <c r="G258" s="56"/>
      <c r="H258" s="71"/>
      <c r="I258" s="71"/>
      <c r="J258" s="71"/>
      <c r="K258" s="36">
        <v>1</v>
      </c>
      <c r="L258" s="76"/>
      <c r="M258" s="77"/>
      <c r="N258" s="77"/>
      <c r="O258" s="78">
        <v>86</v>
      </c>
      <c r="P258" s="57">
        <f>+ROUND(PRODUCT(K258:O258),3)</f>
        <v>86</v>
      </c>
    </row>
    <row r="259" spans="2:31" ht="15" customHeight="1" x14ac:dyDescent="0.3">
      <c r="B259" s="61">
        <v>4</v>
      </c>
      <c r="C259" s="46" t="s">
        <v>1093</v>
      </c>
      <c r="D259" s="56" t="s">
        <v>1094</v>
      </c>
      <c r="E259" s="56"/>
      <c r="F259" s="56"/>
      <c r="G259" s="56"/>
      <c r="H259" s="71"/>
      <c r="I259" s="71"/>
      <c r="J259" s="71"/>
      <c r="K259" s="36">
        <v>1</v>
      </c>
      <c r="L259" s="76"/>
      <c r="M259" s="77"/>
      <c r="N259" s="77"/>
      <c r="O259" s="78">
        <v>139</v>
      </c>
      <c r="P259" s="57">
        <f>+ROUND(PRODUCT(K259:O259),3)</f>
        <v>139</v>
      </c>
    </row>
    <row r="260" spans="2:31" ht="4.95" customHeight="1" x14ac:dyDescent="0.3">
      <c r="B260" s="39"/>
      <c r="C260" s="42"/>
      <c r="D260" s="40"/>
      <c r="E260" s="40"/>
      <c r="F260" s="40"/>
      <c r="G260" s="40"/>
      <c r="H260" s="41"/>
      <c r="I260" s="41"/>
      <c r="J260" s="41"/>
      <c r="K260" s="41"/>
      <c r="L260" s="41"/>
      <c r="M260" s="41"/>
      <c r="N260" s="41"/>
      <c r="O260" s="42"/>
      <c r="P260" s="43"/>
    </row>
    <row r="261" spans="2:31" ht="19.95" customHeight="1" x14ac:dyDescent="0.3"/>
    <row r="262" spans="2:31" ht="30" customHeight="1" x14ac:dyDescent="0.3">
      <c r="B262" s="193" t="s">
        <v>7</v>
      </c>
      <c r="C262" s="194"/>
      <c r="D262" s="193" t="s">
        <v>8</v>
      </c>
      <c r="E262" s="195"/>
      <c r="F262" s="195"/>
      <c r="G262" s="195"/>
      <c r="H262" s="195"/>
      <c r="I262" s="195"/>
      <c r="J262" s="195"/>
      <c r="K262" s="195"/>
      <c r="L262" s="195"/>
      <c r="M262" s="33" t="s">
        <v>9</v>
      </c>
      <c r="N262" s="104" t="s">
        <v>1077</v>
      </c>
      <c r="O262" s="104" t="s">
        <v>1078</v>
      </c>
      <c r="P262" s="34" t="s">
        <v>1079</v>
      </c>
    </row>
    <row r="263" spans="2:31" ht="30" customHeight="1" x14ac:dyDescent="0.3">
      <c r="B263" s="199" t="s">
        <v>135</v>
      </c>
      <c r="C263" s="200"/>
      <c r="D263" s="197" t="str">
        <f>+VLOOKUP(B263,[1]Liste!B:E,2,FALSE)</f>
        <v>L=8 m Kaya Bulonu</v>
      </c>
      <c r="E263" s="198"/>
      <c r="F263" s="198"/>
      <c r="G263" s="198"/>
      <c r="H263" s="198"/>
      <c r="I263" s="198"/>
      <c r="J263" s="198"/>
      <c r="K263" s="198"/>
      <c r="L263" s="198"/>
      <c r="M263" s="35" t="str">
        <f>+VLOOKUP(B263,[1]Liste!B:E,3,FALSE)</f>
        <v>adet</v>
      </c>
      <c r="N263" s="66">
        <v>557</v>
      </c>
      <c r="O263" s="66">
        <f>+P263-N263</f>
        <v>0</v>
      </c>
      <c r="P263" s="66">
        <f>+SUM(P264:P270)</f>
        <v>557</v>
      </c>
      <c r="AA263" s="9">
        <f>+VLOOKUP(B263,[2]Liste!$B$2:$F$483,5,FALSE)</f>
        <v>28000</v>
      </c>
      <c r="AC263" s="9">
        <f>+AA263*N263</f>
        <v>15596000</v>
      </c>
      <c r="AD263" s="9">
        <f>+AA263*O263</f>
        <v>0</v>
      </c>
      <c r="AE263" s="9">
        <f>+AA263*P263</f>
        <v>15596000</v>
      </c>
    </row>
    <row r="264" spans="2:31" ht="15" customHeight="1" x14ac:dyDescent="0.3">
      <c r="B264" s="37" t="s">
        <v>982</v>
      </c>
      <c r="C264" s="37" t="s">
        <v>992</v>
      </c>
      <c r="D264" s="55" t="s">
        <v>991</v>
      </c>
      <c r="E264" s="55"/>
      <c r="F264" s="55"/>
      <c r="G264" s="55"/>
      <c r="H264" s="70"/>
      <c r="I264" s="70"/>
      <c r="J264" s="70"/>
      <c r="K264" s="37" t="s">
        <v>990</v>
      </c>
      <c r="L264" s="72"/>
      <c r="M264" s="73"/>
      <c r="N264" s="74"/>
      <c r="O264" s="75" t="s">
        <v>1029</v>
      </c>
      <c r="P264" s="38" t="s">
        <v>15</v>
      </c>
    </row>
    <row r="265" spans="2:31" ht="15" customHeight="1" x14ac:dyDescent="0.3">
      <c r="B265" s="61">
        <v>3</v>
      </c>
      <c r="C265" s="46" t="s">
        <v>1067</v>
      </c>
      <c r="D265" s="56" t="s">
        <v>1068</v>
      </c>
      <c r="E265" s="56"/>
      <c r="F265" s="56"/>
      <c r="G265" s="56"/>
      <c r="H265" s="71"/>
      <c r="I265" s="71"/>
      <c r="J265" s="71"/>
      <c r="K265" s="36">
        <v>1</v>
      </c>
      <c r="L265" s="76"/>
      <c r="M265" s="77"/>
      <c r="N265" s="77"/>
      <c r="O265" s="78">
        <v>86</v>
      </c>
      <c r="P265" s="57">
        <f>+ROUND(PRODUCT(K265:O265),3)</f>
        <v>86</v>
      </c>
    </row>
    <row r="266" spans="2:31" ht="15" customHeight="1" x14ac:dyDescent="0.3">
      <c r="B266" s="61">
        <v>4</v>
      </c>
      <c r="C266" s="46" t="s">
        <v>1081</v>
      </c>
      <c r="D266" s="56" t="s">
        <v>1080</v>
      </c>
      <c r="E266" s="56"/>
      <c r="F266" s="56"/>
      <c r="G266" s="56"/>
      <c r="H266" s="71"/>
      <c r="I266" s="71"/>
      <c r="J266" s="71"/>
      <c r="K266" s="36">
        <v>1</v>
      </c>
      <c r="L266" s="76"/>
      <c r="M266" s="77"/>
      <c r="N266" s="77"/>
      <c r="O266" s="78">
        <v>93</v>
      </c>
      <c r="P266" s="57">
        <f>+ROUND(PRODUCT(K266:O266),3)</f>
        <v>93</v>
      </c>
    </row>
    <row r="267" spans="2:31" ht="15" customHeight="1" x14ac:dyDescent="0.3">
      <c r="B267" s="61">
        <v>4</v>
      </c>
      <c r="C267" s="46" t="s">
        <v>1087</v>
      </c>
      <c r="D267" s="56" t="s">
        <v>1088</v>
      </c>
      <c r="E267" s="56"/>
      <c r="F267" s="56"/>
      <c r="G267" s="56"/>
      <c r="H267" s="71"/>
      <c r="I267" s="71"/>
      <c r="J267" s="71"/>
      <c r="K267" s="36">
        <v>1</v>
      </c>
      <c r="L267" s="76"/>
      <c r="M267" s="77"/>
      <c r="N267" s="77"/>
      <c r="O267" s="78">
        <v>57</v>
      </c>
      <c r="P267" s="57">
        <f>+ROUND(PRODUCT(K267:O267),3)</f>
        <v>57</v>
      </c>
    </row>
    <row r="268" spans="2:31" ht="15" customHeight="1" x14ac:dyDescent="0.3">
      <c r="B268" s="61">
        <v>4</v>
      </c>
      <c r="C268" s="46" t="s">
        <v>1093</v>
      </c>
      <c r="D268" s="56" t="s">
        <v>1094</v>
      </c>
      <c r="E268" s="56"/>
      <c r="F268" s="56"/>
      <c r="G268" s="56"/>
      <c r="H268" s="71"/>
      <c r="I268" s="71"/>
      <c r="J268" s="71"/>
      <c r="K268" s="36">
        <v>1</v>
      </c>
      <c r="L268" s="76"/>
      <c r="M268" s="77"/>
      <c r="N268" s="77"/>
      <c r="O268" s="78">
        <v>93</v>
      </c>
      <c r="P268" s="57">
        <f>+ROUND(PRODUCT(K268:O268),3)</f>
        <v>93</v>
      </c>
    </row>
    <row r="269" spans="2:31" ht="15" customHeight="1" x14ac:dyDescent="0.3">
      <c r="B269" s="61">
        <v>5</v>
      </c>
      <c r="C269" s="46" t="s">
        <v>1102</v>
      </c>
      <c r="D269" s="56" t="s">
        <v>1103</v>
      </c>
      <c r="E269" s="56"/>
      <c r="F269" s="56"/>
      <c r="G269" s="56"/>
      <c r="H269" s="71"/>
      <c r="I269" s="71"/>
      <c r="J269" s="71"/>
      <c r="K269" s="36">
        <v>1</v>
      </c>
      <c r="L269" s="76"/>
      <c r="M269" s="77"/>
      <c r="N269" s="77"/>
      <c r="O269" s="78">
        <v>228</v>
      </c>
      <c r="P269" s="57">
        <f>+ROUND(PRODUCT(K269:O269),3)</f>
        <v>228</v>
      </c>
    </row>
    <row r="270" spans="2:31" ht="4.95" customHeight="1" x14ac:dyDescent="0.3">
      <c r="B270" s="39"/>
      <c r="C270" s="42"/>
      <c r="D270" s="40"/>
      <c r="E270" s="40"/>
      <c r="F270" s="40"/>
      <c r="G270" s="40"/>
      <c r="H270" s="41"/>
      <c r="I270" s="41"/>
      <c r="J270" s="41"/>
      <c r="K270" s="41"/>
      <c r="L270" s="41"/>
      <c r="M270" s="41"/>
      <c r="N270" s="41"/>
      <c r="O270" s="42"/>
      <c r="P270" s="43"/>
    </row>
    <row r="271" spans="2:31" ht="19.95" customHeight="1" x14ac:dyDescent="0.3">
      <c r="C271" s="29"/>
      <c r="D271" s="32"/>
      <c r="E271" s="32"/>
      <c r="F271" s="32"/>
      <c r="G271" s="32"/>
      <c r="H271" s="11"/>
      <c r="I271" s="11"/>
      <c r="J271" s="11"/>
      <c r="K271" s="11"/>
      <c r="L271" s="11"/>
      <c r="M271" s="11"/>
      <c r="N271" s="11"/>
      <c r="O271" s="29"/>
    </row>
    <row r="272" spans="2:31" ht="30" customHeight="1" x14ac:dyDescent="0.3">
      <c r="B272" s="193" t="s">
        <v>7</v>
      </c>
      <c r="C272" s="194"/>
      <c r="D272" s="193" t="s">
        <v>8</v>
      </c>
      <c r="E272" s="195"/>
      <c r="F272" s="195"/>
      <c r="G272" s="195"/>
      <c r="H272" s="195"/>
      <c r="I272" s="195"/>
      <c r="J272" s="195"/>
      <c r="K272" s="195"/>
      <c r="L272" s="195"/>
      <c r="M272" s="33" t="s">
        <v>9</v>
      </c>
      <c r="N272" s="104" t="s">
        <v>1077</v>
      </c>
      <c r="O272" s="104" t="s">
        <v>1078</v>
      </c>
      <c r="P272" s="34" t="s">
        <v>1079</v>
      </c>
    </row>
    <row r="273" spans="2:31" ht="30" customHeight="1" x14ac:dyDescent="0.3">
      <c r="B273" s="199" t="s">
        <v>137</v>
      </c>
      <c r="C273" s="200"/>
      <c r="D273" s="197" t="str">
        <f>+VLOOKUP(B273,[1]Liste!B:E,2,FALSE)</f>
        <v>125 mm Delik İçine 14 mm Kalınlığında S420a ile Zemin Çivisi Teşkili</v>
      </c>
      <c r="E273" s="198"/>
      <c r="F273" s="198"/>
      <c r="G273" s="198"/>
      <c r="H273" s="198"/>
      <c r="I273" s="198"/>
      <c r="J273" s="198"/>
      <c r="K273" s="198"/>
      <c r="L273" s="198"/>
      <c r="M273" s="35" t="str">
        <f>+VLOOKUP(B273,[1]Liste!B:E,3,FALSE)</f>
        <v>m</v>
      </c>
      <c r="N273" s="66">
        <v>3420</v>
      </c>
      <c r="O273" s="66">
        <f>+P273-N273</f>
        <v>0</v>
      </c>
      <c r="P273" s="66">
        <f>+SUM(P274:P280)</f>
        <v>3420</v>
      </c>
      <c r="AA273" s="9">
        <f>+VLOOKUP(B273,[2]Liste!$B$2:$F$483,5,FALSE)</f>
        <v>375</v>
      </c>
      <c r="AC273" s="9">
        <f>+AA273*N273</f>
        <v>1282500</v>
      </c>
      <c r="AD273" s="9">
        <f>+AA273*O273</f>
        <v>0</v>
      </c>
      <c r="AE273" s="9">
        <f>+AA273*P273</f>
        <v>1282500</v>
      </c>
    </row>
    <row r="274" spans="2:31" ht="15.6" customHeight="1" x14ac:dyDescent="0.3">
      <c r="B274" s="37" t="s">
        <v>982</v>
      </c>
      <c r="C274" s="37" t="s">
        <v>992</v>
      </c>
      <c r="D274" s="55" t="s">
        <v>991</v>
      </c>
      <c r="E274" s="55"/>
      <c r="F274" s="55"/>
      <c r="G274" s="55"/>
      <c r="H274" s="70"/>
      <c r="I274" s="70"/>
      <c r="J274" s="70"/>
      <c r="K274" s="37" t="s">
        <v>990</v>
      </c>
      <c r="L274" s="72"/>
      <c r="M274" s="73"/>
      <c r="N274" s="74"/>
      <c r="O274" s="75" t="s">
        <v>986</v>
      </c>
      <c r="P274" s="38" t="s">
        <v>15</v>
      </c>
    </row>
    <row r="275" spans="2:31" ht="15.6" customHeight="1" x14ac:dyDescent="0.3">
      <c r="B275" s="61">
        <v>3</v>
      </c>
      <c r="C275" s="46" t="s">
        <v>1062</v>
      </c>
      <c r="D275" s="56" t="s">
        <v>1063</v>
      </c>
      <c r="E275" s="59"/>
      <c r="F275" s="59"/>
      <c r="G275" s="59"/>
      <c r="H275" s="64"/>
      <c r="I275" s="64"/>
      <c r="J275" s="64"/>
      <c r="K275" s="61">
        <v>1</v>
      </c>
      <c r="L275" s="97"/>
      <c r="M275" s="98"/>
      <c r="N275" s="98"/>
      <c r="O275" s="90">
        <v>198</v>
      </c>
      <c r="P275" s="68">
        <f>+ROUND(PRODUCT(K275:O275),3)</f>
        <v>198</v>
      </c>
    </row>
    <row r="276" spans="2:31" ht="15.6" customHeight="1" x14ac:dyDescent="0.3">
      <c r="B276" s="61">
        <v>3</v>
      </c>
      <c r="C276" s="46" t="s">
        <v>1067</v>
      </c>
      <c r="D276" s="56" t="s">
        <v>1068</v>
      </c>
      <c r="E276" s="59"/>
      <c r="F276" s="59"/>
      <c r="G276" s="59"/>
      <c r="H276" s="64"/>
      <c r="I276" s="64"/>
      <c r="J276" s="64"/>
      <c r="K276" s="61">
        <v>1</v>
      </c>
      <c r="L276" s="97"/>
      <c r="M276" s="98"/>
      <c r="N276" s="98"/>
      <c r="O276" s="90">
        <v>990</v>
      </c>
      <c r="P276" s="68">
        <f>+ROUND(PRODUCT(K276:O276),3)</f>
        <v>990</v>
      </c>
    </row>
    <row r="277" spans="2:31" ht="15.6" customHeight="1" x14ac:dyDescent="0.3">
      <c r="B277" s="61">
        <v>4</v>
      </c>
      <c r="C277" s="46" t="s">
        <v>1081</v>
      </c>
      <c r="D277" s="56" t="s">
        <v>1080</v>
      </c>
      <c r="E277" s="59"/>
      <c r="F277" s="59"/>
      <c r="G277" s="59"/>
      <c r="H277" s="64"/>
      <c r="I277" s="64"/>
      <c r="J277" s="64"/>
      <c r="K277" s="61">
        <v>1</v>
      </c>
      <c r="L277" s="97"/>
      <c r="M277" s="98"/>
      <c r="N277" s="98"/>
      <c r="O277" s="90">
        <v>846</v>
      </c>
      <c r="P277" s="68">
        <f>+ROUND(PRODUCT(K277:O277),3)</f>
        <v>846</v>
      </c>
    </row>
    <row r="278" spans="2:31" ht="15.6" customHeight="1" x14ac:dyDescent="0.3">
      <c r="B278" s="61">
        <v>4</v>
      </c>
      <c r="C278" s="46" t="s">
        <v>1087</v>
      </c>
      <c r="D278" s="56" t="s">
        <v>1088</v>
      </c>
      <c r="E278" s="59"/>
      <c r="F278" s="59"/>
      <c r="G278" s="59"/>
      <c r="H278" s="64"/>
      <c r="I278" s="64"/>
      <c r="J278" s="64"/>
      <c r="K278" s="61">
        <v>1</v>
      </c>
      <c r="L278" s="97"/>
      <c r="M278" s="98"/>
      <c r="N278" s="98"/>
      <c r="O278" s="90">
        <v>990</v>
      </c>
      <c r="P278" s="68">
        <f>+ROUND(PRODUCT(K278:O278),3)</f>
        <v>990</v>
      </c>
    </row>
    <row r="279" spans="2:31" ht="15.6" customHeight="1" x14ac:dyDescent="0.3">
      <c r="B279" s="61">
        <v>4</v>
      </c>
      <c r="C279" s="46" t="s">
        <v>1093</v>
      </c>
      <c r="D279" s="56" t="s">
        <v>1094</v>
      </c>
      <c r="E279" s="59"/>
      <c r="F279" s="59"/>
      <c r="G279" s="59"/>
      <c r="H279" s="64"/>
      <c r="I279" s="64"/>
      <c r="J279" s="64"/>
      <c r="K279" s="61">
        <v>1</v>
      </c>
      <c r="L279" s="97"/>
      <c r="M279" s="98"/>
      <c r="N279" s="98"/>
      <c r="O279" s="90">
        <v>396</v>
      </c>
      <c r="P279" s="68">
        <f>+ROUND(PRODUCT(K279:O279),3)</f>
        <v>396</v>
      </c>
    </row>
    <row r="280" spans="2:31" ht="4.95" customHeight="1" x14ac:dyDescent="0.3">
      <c r="B280" s="39"/>
      <c r="C280" s="42"/>
      <c r="D280" s="40"/>
      <c r="E280" s="40"/>
      <c r="F280" s="40"/>
      <c r="G280" s="40"/>
      <c r="H280" s="41"/>
      <c r="I280" s="41"/>
      <c r="J280" s="41"/>
      <c r="K280" s="41"/>
      <c r="L280" s="41"/>
      <c r="M280" s="41"/>
      <c r="N280" s="41"/>
      <c r="O280" s="42"/>
      <c r="P280" s="43"/>
    </row>
    <row r="281" spans="2:31" ht="19.95" customHeight="1" x14ac:dyDescent="0.3">
      <c r="C281" s="29"/>
      <c r="D281" s="32"/>
      <c r="E281" s="32"/>
      <c r="F281" s="32"/>
      <c r="G281" s="32"/>
      <c r="H281" s="11"/>
      <c r="I281" s="11"/>
      <c r="J281" s="11"/>
      <c r="K281" s="11"/>
      <c r="L281" s="11"/>
      <c r="M281" s="11"/>
      <c r="N281" s="11"/>
      <c r="O281" s="29"/>
    </row>
    <row r="282" spans="2:31" ht="30" customHeight="1" x14ac:dyDescent="0.3">
      <c r="B282" s="193" t="s">
        <v>7</v>
      </c>
      <c r="C282" s="194"/>
      <c r="D282" s="193" t="s">
        <v>8</v>
      </c>
      <c r="E282" s="195"/>
      <c r="F282" s="195"/>
      <c r="G282" s="195"/>
      <c r="H282" s="195"/>
      <c r="I282" s="195"/>
      <c r="J282" s="195"/>
      <c r="K282" s="195"/>
      <c r="L282" s="195"/>
      <c r="M282" s="33" t="s">
        <v>9</v>
      </c>
      <c r="N282" s="104" t="s">
        <v>1077</v>
      </c>
      <c r="O282" s="104" t="s">
        <v>1078</v>
      </c>
      <c r="P282" s="34" t="s">
        <v>1079</v>
      </c>
    </row>
    <row r="283" spans="2:31" ht="30" customHeight="1" x14ac:dyDescent="0.3">
      <c r="B283" s="199" t="s">
        <v>139</v>
      </c>
      <c r="C283" s="200"/>
      <c r="D283" s="197" t="str">
        <f>+VLOOKUP(B283,[1]Liste!B:E,2,FALSE)</f>
        <v>Çelik İksa (Tünel ve Şaftlarda)</v>
      </c>
      <c r="E283" s="198"/>
      <c r="F283" s="198"/>
      <c r="G283" s="198"/>
      <c r="H283" s="198"/>
      <c r="I283" s="198"/>
      <c r="J283" s="198"/>
      <c r="K283" s="198"/>
      <c r="L283" s="198"/>
      <c r="M283" s="35" t="str">
        <f>+VLOOKUP(B283,[1]Liste!B:E,3,FALSE)</f>
        <v>ton</v>
      </c>
      <c r="N283" s="66">
        <v>164.48599999999999</v>
      </c>
      <c r="O283" s="66">
        <f>+P283-N283</f>
        <v>0</v>
      </c>
      <c r="P283" s="66">
        <f>+ROUND(SUM(P284:P352),3)</f>
        <v>164.48599999999999</v>
      </c>
      <c r="AA283" s="9">
        <f>+VLOOKUP(B283,[2]Liste!$B$2:$F$483,5,FALSE)</f>
        <v>102000</v>
      </c>
      <c r="AC283" s="9">
        <f>+AA283*N283</f>
        <v>16777572</v>
      </c>
      <c r="AD283" s="9">
        <f>+AA283*O283</f>
        <v>0</v>
      </c>
      <c r="AE283" s="9">
        <f>+AA283*P283</f>
        <v>16777572</v>
      </c>
    </row>
    <row r="284" spans="2:31" ht="15" customHeight="1" x14ac:dyDescent="0.3">
      <c r="B284" s="54" t="s">
        <v>1015</v>
      </c>
      <c r="C284" s="93"/>
      <c r="D284" s="48"/>
      <c r="E284" s="48"/>
      <c r="F284" s="48"/>
      <c r="G284" s="48"/>
      <c r="H284" s="49"/>
      <c r="I284" s="49"/>
      <c r="J284" s="49"/>
      <c r="K284" s="50"/>
      <c r="L284" s="50"/>
      <c r="M284" s="51"/>
      <c r="N284" s="51"/>
      <c r="O284" s="52"/>
      <c r="P284" s="53"/>
    </row>
    <row r="285" spans="2:31" ht="15" customHeight="1" x14ac:dyDescent="0.3">
      <c r="B285" s="106" t="s">
        <v>982</v>
      </c>
      <c r="C285" s="106" t="s">
        <v>992</v>
      </c>
      <c r="D285" s="107" t="s">
        <v>991</v>
      </c>
      <c r="E285" s="107"/>
      <c r="F285" s="107"/>
      <c r="G285" s="107"/>
      <c r="H285" s="106" t="s">
        <v>989</v>
      </c>
      <c r="I285" s="106" t="s">
        <v>988</v>
      </c>
      <c r="J285" s="106" t="s">
        <v>993</v>
      </c>
      <c r="K285" s="106" t="s">
        <v>990</v>
      </c>
      <c r="L285" s="147" t="s">
        <v>13</v>
      </c>
      <c r="M285" s="148"/>
      <c r="N285" s="149"/>
      <c r="O285" s="108" t="s">
        <v>996</v>
      </c>
      <c r="P285" s="108" t="s">
        <v>15</v>
      </c>
    </row>
    <row r="286" spans="2:31" ht="15" customHeight="1" x14ac:dyDescent="0.3">
      <c r="B286" s="118">
        <v>3</v>
      </c>
      <c r="C286" s="119" t="s">
        <v>1062</v>
      </c>
      <c r="D286" s="120" t="s">
        <v>1063</v>
      </c>
      <c r="E286" s="120"/>
      <c r="F286" s="120"/>
      <c r="G286" s="120"/>
      <c r="H286" s="121">
        <v>1356.66</v>
      </c>
      <c r="I286" s="121">
        <v>1364.54</v>
      </c>
      <c r="J286" s="121" t="s">
        <v>994</v>
      </c>
      <c r="K286" s="118">
        <v>2</v>
      </c>
      <c r="L286" s="122" t="s">
        <v>1008</v>
      </c>
      <c r="M286" s="152"/>
      <c r="N286" s="123"/>
      <c r="O286" s="153">
        <v>1128.7577499999998</v>
      </c>
      <c r="P286" s="124">
        <f t="shared" ref="P286:P315" si="61">+ROUND(K286*O286/1000,3)</f>
        <v>2.258</v>
      </c>
    </row>
    <row r="287" spans="2:31" ht="15" customHeight="1" x14ac:dyDescent="0.3">
      <c r="B287" s="61">
        <v>3</v>
      </c>
      <c r="C287" s="58" t="s">
        <v>1062</v>
      </c>
      <c r="D287" s="59" t="s">
        <v>1063</v>
      </c>
      <c r="E287" s="59"/>
      <c r="F287" s="59"/>
      <c r="G287" s="59"/>
      <c r="H287" s="60">
        <v>1356.66</v>
      </c>
      <c r="I287" s="60">
        <v>1364.54</v>
      </c>
      <c r="J287" s="60" t="s">
        <v>994</v>
      </c>
      <c r="K287" s="61">
        <v>2</v>
      </c>
      <c r="L287" s="80" t="s">
        <v>1009</v>
      </c>
      <c r="M287" s="81"/>
      <c r="N287" s="82"/>
      <c r="O287" s="84">
        <v>1154.6827999999998</v>
      </c>
      <c r="P287" s="68">
        <f t="shared" si="61"/>
        <v>2.3090000000000002</v>
      </c>
    </row>
    <row r="288" spans="2:31" ht="15" customHeight="1" x14ac:dyDescent="0.3">
      <c r="B288" s="61">
        <v>3</v>
      </c>
      <c r="C288" s="58" t="s">
        <v>1062</v>
      </c>
      <c r="D288" s="59" t="s">
        <v>1063</v>
      </c>
      <c r="E288" s="59"/>
      <c r="F288" s="59"/>
      <c r="G288" s="59"/>
      <c r="H288" s="60">
        <v>1356.66</v>
      </c>
      <c r="I288" s="60">
        <v>1364.54</v>
      </c>
      <c r="J288" s="60" t="s">
        <v>994</v>
      </c>
      <c r="K288" s="61">
        <v>2</v>
      </c>
      <c r="L288" s="80" t="s">
        <v>1010</v>
      </c>
      <c r="M288" s="81"/>
      <c r="N288" s="82"/>
      <c r="O288" s="84">
        <v>1189.8641499999997</v>
      </c>
      <c r="P288" s="68">
        <f t="shared" si="61"/>
        <v>2.38</v>
      </c>
    </row>
    <row r="289" spans="2:16" ht="15" customHeight="1" x14ac:dyDescent="0.3">
      <c r="B289" s="61">
        <v>3</v>
      </c>
      <c r="C289" s="58" t="s">
        <v>1062</v>
      </c>
      <c r="D289" s="59" t="s">
        <v>1063</v>
      </c>
      <c r="E289" s="59"/>
      <c r="F289" s="59"/>
      <c r="G289" s="59"/>
      <c r="H289" s="60">
        <v>1356.66</v>
      </c>
      <c r="I289" s="60">
        <v>1364.54</v>
      </c>
      <c r="J289" s="60" t="s">
        <v>994</v>
      </c>
      <c r="K289" s="61">
        <v>2</v>
      </c>
      <c r="L289" s="80" t="s">
        <v>1011</v>
      </c>
      <c r="M289" s="81"/>
      <c r="N289" s="82"/>
      <c r="O289" s="84">
        <v>1230.2123499999998</v>
      </c>
      <c r="P289" s="68">
        <f t="shared" si="61"/>
        <v>2.46</v>
      </c>
    </row>
    <row r="290" spans="2:16" ht="15" customHeight="1" x14ac:dyDescent="0.3">
      <c r="B290" s="61">
        <v>3</v>
      </c>
      <c r="C290" s="58" t="s">
        <v>1062</v>
      </c>
      <c r="D290" s="59" t="s">
        <v>1063</v>
      </c>
      <c r="E290" s="59"/>
      <c r="F290" s="59"/>
      <c r="G290" s="59"/>
      <c r="H290" s="60">
        <v>1356.66</v>
      </c>
      <c r="I290" s="60">
        <v>1364.54</v>
      </c>
      <c r="J290" s="60" t="s">
        <v>994</v>
      </c>
      <c r="K290" s="61">
        <v>2</v>
      </c>
      <c r="L290" s="80" t="s">
        <v>1012</v>
      </c>
      <c r="M290" s="81"/>
      <c r="N290" s="82"/>
      <c r="O290" s="84">
        <v>1263.5931555555555</v>
      </c>
      <c r="P290" s="68">
        <f t="shared" si="61"/>
        <v>2.5270000000000001</v>
      </c>
    </row>
    <row r="291" spans="2:16" ht="15" customHeight="1" x14ac:dyDescent="0.3">
      <c r="B291" s="36">
        <v>3</v>
      </c>
      <c r="C291" s="46" t="s">
        <v>1062</v>
      </c>
      <c r="D291" s="56" t="s">
        <v>1063</v>
      </c>
      <c r="E291" s="56"/>
      <c r="F291" s="56"/>
      <c r="G291" s="56"/>
      <c r="H291" s="47">
        <v>1356.66</v>
      </c>
      <c r="I291" s="47">
        <v>1364.54</v>
      </c>
      <c r="J291" s="47" t="s">
        <v>994</v>
      </c>
      <c r="K291" s="36">
        <v>1</v>
      </c>
      <c r="L291" s="125" t="s">
        <v>1013</v>
      </c>
      <c r="M291" s="154"/>
      <c r="N291" s="126"/>
      <c r="O291" s="155">
        <v>1299.5360499999999</v>
      </c>
      <c r="P291" s="57">
        <f t="shared" si="61"/>
        <v>1.3</v>
      </c>
    </row>
    <row r="292" spans="2:16" ht="15" customHeight="1" x14ac:dyDescent="0.3">
      <c r="B292" s="118">
        <v>3</v>
      </c>
      <c r="C292" s="119" t="s">
        <v>1067</v>
      </c>
      <c r="D292" s="120" t="s">
        <v>1063</v>
      </c>
      <c r="E292" s="120"/>
      <c r="F292" s="120"/>
      <c r="G292" s="120"/>
      <c r="H292" s="121">
        <v>1364.54</v>
      </c>
      <c r="I292" s="121">
        <v>1383.29</v>
      </c>
      <c r="J292" s="121" t="s">
        <v>994</v>
      </c>
      <c r="K292" s="118">
        <v>4</v>
      </c>
      <c r="L292" s="122" t="s">
        <v>1008</v>
      </c>
      <c r="M292" s="152"/>
      <c r="N292" s="123"/>
      <c r="O292" s="153">
        <v>1128.7577499999998</v>
      </c>
      <c r="P292" s="124">
        <f t="shared" si="61"/>
        <v>4.5149999999999997</v>
      </c>
    </row>
    <row r="293" spans="2:16" ht="15" customHeight="1" x14ac:dyDescent="0.3">
      <c r="B293" s="61">
        <v>3</v>
      </c>
      <c r="C293" s="58" t="s">
        <v>1067</v>
      </c>
      <c r="D293" s="59" t="s">
        <v>1063</v>
      </c>
      <c r="E293" s="59"/>
      <c r="F293" s="59"/>
      <c r="G293" s="59"/>
      <c r="H293" s="60">
        <v>1364.54</v>
      </c>
      <c r="I293" s="60">
        <v>1383.29</v>
      </c>
      <c r="J293" s="60" t="s">
        <v>994</v>
      </c>
      <c r="K293" s="61">
        <v>4</v>
      </c>
      <c r="L293" s="80" t="s">
        <v>1009</v>
      </c>
      <c r="M293" s="81"/>
      <c r="N293" s="82"/>
      <c r="O293" s="84">
        <v>1154.6827999999998</v>
      </c>
      <c r="P293" s="68">
        <f t="shared" si="61"/>
        <v>4.6189999999999998</v>
      </c>
    </row>
    <row r="294" spans="2:16" ht="15" customHeight="1" x14ac:dyDescent="0.3">
      <c r="B294" s="61">
        <v>3</v>
      </c>
      <c r="C294" s="58" t="s">
        <v>1067</v>
      </c>
      <c r="D294" s="59" t="s">
        <v>1063</v>
      </c>
      <c r="E294" s="59"/>
      <c r="F294" s="59"/>
      <c r="G294" s="59"/>
      <c r="H294" s="60">
        <v>1364.54</v>
      </c>
      <c r="I294" s="60">
        <v>1383.29</v>
      </c>
      <c r="J294" s="60" t="s">
        <v>994</v>
      </c>
      <c r="K294" s="61">
        <v>4</v>
      </c>
      <c r="L294" s="80" t="s">
        <v>1010</v>
      </c>
      <c r="M294" s="81"/>
      <c r="N294" s="82"/>
      <c r="O294" s="84">
        <v>1189.8641499999997</v>
      </c>
      <c r="P294" s="68">
        <f t="shared" si="61"/>
        <v>4.7590000000000003</v>
      </c>
    </row>
    <row r="295" spans="2:16" ht="15" customHeight="1" x14ac:dyDescent="0.3">
      <c r="B295" s="61">
        <v>3</v>
      </c>
      <c r="C295" s="58" t="s">
        <v>1067</v>
      </c>
      <c r="D295" s="59" t="s">
        <v>1063</v>
      </c>
      <c r="E295" s="59"/>
      <c r="F295" s="59"/>
      <c r="G295" s="59"/>
      <c r="H295" s="60">
        <v>1364.54</v>
      </c>
      <c r="I295" s="60">
        <v>1383.29</v>
      </c>
      <c r="J295" s="60" t="s">
        <v>994</v>
      </c>
      <c r="K295" s="61">
        <v>4</v>
      </c>
      <c r="L295" s="80" t="s">
        <v>1011</v>
      </c>
      <c r="M295" s="81"/>
      <c r="N295" s="82"/>
      <c r="O295" s="84">
        <v>1230.2123499999998</v>
      </c>
      <c r="P295" s="68">
        <f t="shared" si="61"/>
        <v>4.9210000000000003</v>
      </c>
    </row>
    <row r="296" spans="2:16" ht="15" customHeight="1" x14ac:dyDescent="0.3">
      <c r="B296" s="61">
        <v>3</v>
      </c>
      <c r="C296" s="58" t="s">
        <v>1067</v>
      </c>
      <c r="D296" s="59" t="s">
        <v>1063</v>
      </c>
      <c r="E296" s="59"/>
      <c r="F296" s="59"/>
      <c r="G296" s="59"/>
      <c r="H296" s="60">
        <v>1364.54</v>
      </c>
      <c r="I296" s="60">
        <v>1383.29</v>
      </c>
      <c r="J296" s="60" t="s">
        <v>994</v>
      </c>
      <c r="K296" s="61">
        <v>4</v>
      </c>
      <c r="L296" s="80" t="s">
        <v>1012</v>
      </c>
      <c r="M296" s="81"/>
      <c r="N296" s="82"/>
      <c r="O296" s="84">
        <v>1263.5931555555555</v>
      </c>
      <c r="P296" s="68">
        <f t="shared" si="61"/>
        <v>5.0540000000000003</v>
      </c>
    </row>
    <row r="297" spans="2:16" ht="15" customHeight="1" x14ac:dyDescent="0.3">
      <c r="B297" s="36">
        <v>3</v>
      </c>
      <c r="C297" s="46" t="s">
        <v>1067</v>
      </c>
      <c r="D297" s="56" t="s">
        <v>1063</v>
      </c>
      <c r="E297" s="56"/>
      <c r="F297" s="56"/>
      <c r="G297" s="56"/>
      <c r="H297" s="47">
        <v>1364.54</v>
      </c>
      <c r="I297" s="47">
        <v>1383.29</v>
      </c>
      <c r="J297" s="47" t="s">
        <v>994</v>
      </c>
      <c r="K297" s="36">
        <v>5</v>
      </c>
      <c r="L297" s="125" t="s">
        <v>1013</v>
      </c>
      <c r="M297" s="154"/>
      <c r="N297" s="126"/>
      <c r="O297" s="155">
        <v>1299.5360499999999</v>
      </c>
      <c r="P297" s="57">
        <f t="shared" si="61"/>
        <v>6.4980000000000002</v>
      </c>
    </row>
    <row r="298" spans="2:16" ht="15" customHeight="1" x14ac:dyDescent="0.3">
      <c r="B298" s="118">
        <v>4</v>
      </c>
      <c r="C298" s="119" t="s">
        <v>1081</v>
      </c>
      <c r="D298" s="120" t="s">
        <v>1080</v>
      </c>
      <c r="E298" s="120"/>
      <c r="F298" s="120"/>
      <c r="G298" s="120"/>
      <c r="H298" s="121">
        <v>1383.29</v>
      </c>
      <c r="I298" s="121">
        <v>1403.54</v>
      </c>
      <c r="J298" s="121" t="s">
        <v>994</v>
      </c>
      <c r="K298" s="118">
        <v>5</v>
      </c>
      <c r="L298" s="122" t="s">
        <v>1008</v>
      </c>
      <c r="M298" s="152"/>
      <c r="N298" s="123"/>
      <c r="O298" s="153">
        <v>1128.7577499999998</v>
      </c>
      <c r="P298" s="124">
        <f t="shared" si="61"/>
        <v>5.6440000000000001</v>
      </c>
    </row>
    <row r="299" spans="2:16" ht="15" customHeight="1" x14ac:dyDescent="0.3">
      <c r="B299" s="61">
        <v>4</v>
      </c>
      <c r="C299" s="58" t="s">
        <v>1081</v>
      </c>
      <c r="D299" s="59" t="s">
        <v>1080</v>
      </c>
      <c r="E299" s="59"/>
      <c r="F299" s="59"/>
      <c r="G299" s="59"/>
      <c r="H299" s="60">
        <v>1383.29</v>
      </c>
      <c r="I299" s="60">
        <v>1403.54</v>
      </c>
      <c r="J299" s="60" t="s">
        <v>994</v>
      </c>
      <c r="K299" s="61">
        <v>5</v>
      </c>
      <c r="L299" s="80" t="s">
        <v>1009</v>
      </c>
      <c r="M299" s="81"/>
      <c r="N299" s="82"/>
      <c r="O299" s="84">
        <v>1154.6827999999998</v>
      </c>
      <c r="P299" s="68">
        <f t="shared" si="61"/>
        <v>5.7729999999999997</v>
      </c>
    </row>
    <row r="300" spans="2:16" ht="15" customHeight="1" x14ac:dyDescent="0.3">
      <c r="B300" s="61">
        <v>4</v>
      </c>
      <c r="C300" s="58" t="s">
        <v>1081</v>
      </c>
      <c r="D300" s="59" t="s">
        <v>1080</v>
      </c>
      <c r="E300" s="59"/>
      <c r="F300" s="59"/>
      <c r="G300" s="59"/>
      <c r="H300" s="60">
        <v>1383.29</v>
      </c>
      <c r="I300" s="60">
        <v>1403.54</v>
      </c>
      <c r="J300" s="60" t="s">
        <v>994</v>
      </c>
      <c r="K300" s="61">
        <v>5</v>
      </c>
      <c r="L300" s="80" t="s">
        <v>1010</v>
      </c>
      <c r="M300" s="81"/>
      <c r="N300" s="82"/>
      <c r="O300" s="84">
        <v>1189.8641499999997</v>
      </c>
      <c r="P300" s="68">
        <f t="shared" si="61"/>
        <v>5.9489999999999998</v>
      </c>
    </row>
    <row r="301" spans="2:16" ht="15" customHeight="1" x14ac:dyDescent="0.3">
      <c r="B301" s="61">
        <v>4</v>
      </c>
      <c r="C301" s="58" t="s">
        <v>1081</v>
      </c>
      <c r="D301" s="59" t="s">
        <v>1080</v>
      </c>
      <c r="E301" s="59"/>
      <c r="F301" s="59"/>
      <c r="G301" s="59"/>
      <c r="H301" s="60">
        <v>1383.29</v>
      </c>
      <c r="I301" s="60">
        <v>1403.54</v>
      </c>
      <c r="J301" s="60" t="s">
        <v>994</v>
      </c>
      <c r="K301" s="61">
        <v>4</v>
      </c>
      <c r="L301" s="80" t="s">
        <v>1011</v>
      </c>
      <c r="M301" s="81"/>
      <c r="N301" s="82"/>
      <c r="O301" s="84">
        <v>1230.2123499999998</v>
      </c>
      <c r="P301" s="68">
        <f t="shared" si="61"/>
        <v>4.9210000000000003</v>
      </c>
    </row>
    <row r="302" spans="2:16" ht="15" customHeight="1" x14ac:dyDescent="0.3">
      <c r="B302" s="61">
        <v>4</v>
      </c>
      <c r="C302" s="58" t="s">
        <v>1081</v>
      </c>
      <c r="D302" s="59" t="s">
        <v>1080</v>
      </c>
      <c r="E302" s="59"/>
      <c r="F302" s="59"/>
      <c r="G302" s="59"/>
      <c r="H302" s="60">
        <v>1383.29</v>
      </c>
      <c r="I302" s="60">
        <v>1403.54</v>
      </c>
      <c r="J302" s="60" t="s">
        <v>994</v>
      </c>
      <c r="K302" s="61">
        <v>4</v>
      </c>
      <c r="L302" s="80" t="s">
        <v>1012</v>
      </c>
      <c r="M302" s="81"/>
      <c r="N302" s="82"/>
      <c r="O302" s="84">
        <v>1263.5931555555555</v>
      </c>
      <c r="P302" s="68">
        <f t="shared" si="61"/>
        <v>5.0540000000000003</v>
      </c>
    </row>
    <row r="303" spans="2:16" ht="15" customHeight="1" x14ac:dyDescent="0.3">
      <c r="B303" s="36">
        <v>4</v>
      </c>
      <c r="C303" s="46" t="s">
        <v>1081</v>
      </c>
      <c r="D303" s="56" t="s">
        <v>1080</v>
      </c>
      <c r="E303" s="56"/>
      <c r="F303" s="56"/>
      <c r="G303" s="56"/>
      <c r="H303" s="47">
        <v>1383.29</v>
      </c>
      <c r="I303" s="47">
        <v>1403.54</v>
      </c>
      <c r="J303" s="47" t="s">
        <v>994</v>
      </c>
      <c r="K303" s="36">
        <v>4</v>
      </c>
      <c r="L303" s="125" t="s">
        <v>1013</v>
      </c>
      <c r="M303" s="154"/>
      <c r="N303" s="126"/>
      <c r="O303" s="155">
        <v>1299.5360499999999</v>
      </c>
      <c r="P303" s="57">
        <f t="shared" si="61"/>
        <v>5.1980000000000004</v>
      </c>
    </row>
    <row r="304" spans="2:16" ht="15" customHeight="1" x14ac:dyDescent="0.3">
      <c r="B304" s="109">
        <v>4</v>
      </c>
      <c r="C304" s="110" t="s">
        <v>1087</v>
      </c>
      <c r="D304" s="111" t="s">
        <v>1088</v>
      </c>
      <c r="E304" s="111"/>
      <c r="F304" s="111"/>
      <c r="G304" s="111"/>
      <c r="H304" s="112">
        <v>1403.54</v>
      </c>
      <c r="I304" s="112">
        <v>1423.79</v>
      </c>
      <c r="J304" s="112" t="s">
        <v>994</v>
      </c>
      <c r="K304" s="109">
        <v>4</v>
      </c>
      <c r="L304" s="113" t="s">
        <v>1008</v>
      </c>
      <c r="M304" s="150"/>
      <c r="N304" s="114"/>
      <c r="O304" s="151">
        <v>1128.7577499999998</v>
      </c>
      <c r="P304" s="116">
        <f t="shared" si="61"/>
        <v>4.5149999999999997</v>
      </c>
    </row>
    <row r="305" spans="2:16" ht="15" customHeight="1" x14ac:dyDescent="0.3">
      <c r="B305" s="61">
        <v>4</v>
      </c>
      <c r="C305" s="58" t="s">
        <v>1087</v>
      </c>
      <c r="D305" s="59" t="s">
        <v>1088</v>
      </c>
      <c r="E305" s="59"/>
      <c r="F305" s="59"/>
      <c r="G305" s="59"/>
      <c r="H305" s="60">
        <v>1403.54</v>
      </c>
      <c r="I305" s="60">
        <v>1423.79</v>
      </c>
      <c r="J305" s="60" t="s">
        <v>994</v>
      </c>
      <c r="K305" s="61">
        <v>4</v>
      </c>
      <c r="L305" s="80" t="s">
        <v>1009</v>
      </c>
      <c r="M305" s="81"/>
      <c r="N305" s="82"/>
      <c r="O305" s="84">
        <v>1154.6827999999998</v>
      </c>
      <c r="P305" s="68">
        <f t="shared" si="61"/>
        <v>4.6189999999999998</v>
      </c>
    </row>
    <row r="306" spans="2:16" ht="15" customHeight="1" x14ac:dyDescent="0.3">
      <c r="B306" s="61">
        <v>4</v>
      </c>
      <c r="C306" s="58" t="s">
        <v>1087</v>
      </c>
      <c r="D306" s="59" t="s">
        <v>1088</v>
      </c>
      <c r="E306" s="59"/>
      <c r="F306" s="59"/>
      <c r="G306" s="59"/>
      <c r="H306" s="60">
        <v>1403.54</v>
      </c>
      <c r="I306" s="60">
        <v>1423.79</v>
      </c>
      <c r="J306" s="60" t="s">
        <v>994</v>
      </c>
      <c r="K306" s="61">
        <v>4</v>
      </c>
      <c r="L306" s="80" t="s">
        <v>1010</v>
      </c>
      <c r="M306" s="81"/>
      <c r="N306" s="82"/>
      <c r="O306" s="84">
        <v>1189.8641499999997</v>
      </c>
      <c r="P306" s="68">
        <f t="shared" si="61"/>
        <v>4.7590000000000003</v>
      </c>
    </row>
    <row r="307" spans="2:16" ht="15" customHeight="1" x14ac:dyDescent="0.3">
      <c r="B307" s="61">
        <v>4</v>
      </c>
      <c r="C307" s="58" t="s">
        <v>1087</v>
      </c>
      <c r="D307" s="59" t="s">
        <v>1088</v>
      </c>
      <c r="E307" s="59"/>
      <c r="F307" s="59"/>
      <c r="G307" s="59"/>
      <c r="H307" s="60">
        <v>1403.54</v>
      </c>
      <c r="I307" s="60">
        <v>1423.79</v>
      </c>
      <c r="J307" s="60" t="s">
        <v>994</v>
      </c>
      <c r="K307" s="61">
        <v>5</v>
      </c>
      <c r="L307" s="80" t="s">
        <v>1011</v>
      </c>
      <c r="M307" s="81"/>
      <c r="N307" s="82"/>
      <c r="O307" s="84">
        <v>1230.2123499999998</v>
      </c>
      <c r="P307" s="68">
        <f t="shared" si="61"/>
        <v>6.1509999999999998</v>
      </c>
    </row>
    <row r="308" spans="2:16" ht="15" customHeight="1" x14ac:dyDescent="0.3">
      <c r="B308" s="61">
        <v>4</v>
      </c>
      <c r="C308" s="58" t="s">
        <v>1087</v>
      </c>
      <c r="D308" s="59" t="s">
        <v>1088</v>
      </c>
      <c r="E308" s="59"/>
      <c r="F308" s="59"/>
      <c r="G308" s="59"/>
      <c r="H308" s="60">
        <v>1403.54</v>
      </c>
      <c r="I308" s="60">
        <v>1423.79</v>
      </c>
      <c r="J308" s="60" t="s">
        <v>994</v>
      </c>
      <c r="K308" s="61">
        <v>5</v>
      </c>
      <c r="L308" s="80" t="s">
        <v>1012</v>
      </c>
      <c r="M308" s="81"/>
      <c r="N308" s="82"/>
      <c r="O308" s="84">
        <v>1263.5931555555555</v>
      </c>
      <c r="P308" s="68">
        <f t="shared" si="61"/>
        <v>6.3179999999999996</v>
      </c>
    </row>
    <row r="309" spans="2:16" ht="15" customHeight="1" x14ac:dyDescent="0.3">
      <c r="B309" s="61">
        <v>4</v>
      </c>
      <c r="C309" s="58" t="s">
        <v>1087</v>
      </c>
      <c r="D309" s="59" t="s">
        <v>1088</v>
      </c>
      <c r="E309" s="59"/>
      <c r="F309" s="59"/>
      <c r="G309" s="59"/>
      <c r="H309" s="60">
        <v>1403.54</v>
      </c>
      <c r="I309" s="60">
        <v>1423.79</v>
      </c>
      <c r="J309" s="60" t="s">
        <v>994</v>
      </c>
      <c r="K309" s="61">
        <v>5</v>
      </c>
      <c r="L309" s="80" t="s">
        <v>1013</v>
      </c>
      <c r="M309" s="81"/>
      <c r="N309" s="82"/>
      <c r="O309" s="84">
        <v>1299.5360499999999</v>
      </c>
      <c r="P309" s="68">
        <f t="shared" si="61"/>
        <v>6.4980000000000002</v>
      </c>
    </row>
    <row r="310" spans="2:16" ht="15" customHeight="1" x14ac:dyDescent="0.3">
      <c r="B310" s="109">
        <v>4</v>
      </c>
      <c r="C310" s="110" t="s">
        <v>1093</v>
      </c>
      <c r="D310" s="111" t="s">
        <v>1094</v>
      </c>
      <c r="E310" s="111"/>
      <c r="F310" s="111"/>
      <c r="G310" s="111"/>
      <c r="H310" s="60">
        <v>1423.79</v>
      </c>
      <c r="I310" s="112">
        <v>1438.24</v>
      </c>
      <c r="J310" s="112" t="s">
        <v>994</v>
      </c>
      <c r="K310" s="109">
        <v>3</v>
      </c>
      <c r="L310" s="113" t="s">
        <v>1008</v>
      </c>
      <c r="M310" s="150"/>
      <c r="N310" s="114"/>
      <c r="O310" s="151">
        <v>1128.7577499999998</v>
      </c>
      <c r="P310" s="116">
        <f t="shared" si="61"/>
        <v>3.3860000000000001</v>
      </c>
    </row>
    <row r="311" spans="2:16" ht="15" customHeight="1" x14ac:dyDescent="0.3">
      <c r="B311" s="61">
        <v>4</v>
      </c>
      <c r="C311" s="58" t="s">
        <v>1093</v>
      </c>
      <c r="D311" s="59" t="s">
        <v>1094</v>
      </c>
      <c r="E311" s="59"/>
      <c r="F311" s="59"/>
      <c r="G311" s="59"/>
      <c r="H311" s="60">
        <v>1423.79</v>
      </c>
      <c r="I311" s="112">
        <v>1438.24</v>
      </c>
      <c r="J311" s="60" t="s">
        <v>994</v>
      </c>
      <c r="K311" s="61">
        <v>3</v>
      </c>
      <c r="L311" s="80" t="s">
        <v>1009</v>
      </c>
      <c r="M311" s="81"/>
      <c r="N311" s="82"/>
      <c r="O311" s="84">
        <v>1154.6827999999998</v>
      </c>
      <c r="P311" s="68">
        <f t="shared" si="61"/>
        <v>3.464</v>
      </c>
    </row>
    <row r="312" spans="2:16" ht="15" customHeight="1" x14ac:dyDescent="0.3">
      <c r="B312" s="61">
        <v>4</v>
      </c>
      <c r="C312" s="58" t="s">
        <v>1093</v>
      </c>
      <c r="D312" s="59" t="s">
        <v>1094</v>
      </c>
      <c r="E312" s="59"/>
      <c r="F312" s="59"/>
      <c r="G312" s="59"/>
      <c r="H312" s="60">
        <v>1423.79</v>
      </c>
      <c r="I312" s="112">
        <v>1438.24</v>
      </c>
      <c r="J312" s="60" t="s">
        <v>994</v>
      </c>
      <c r="K312" s="61">
        <v>3</v>
      </c>
      <c r="L312" s="80" t="s">
        <v>1010</v>
      </c>
      <c r="M312" s="81"/>
      <c r="N312" s="82"/>
      <c r="O312" s="84">
        <v>1189.8641499999997</v>
      </c>
      <c r="P312" s="68">
        <f t="shared" si="61"/>
        <v>3.57</v>
      </c>
    </row>
    <row r="313" spans="2:16" ht="15" customHeight="1" x14ac:dyDescent="0.3">
      <c r="B313" s="61">
        <v>4</v>
      </c>
      <c r="C313" s="58" t="s">
        <v>1093</v>
      </c>
      <c r="D313" s="59" t="s">
        <v>1094</v>
      </c>
      <c r="E313" s="59"/>
      <c r="F313" s="59"/>
      <c r="G313" s="59"/>
      <c r="H313" s="60">
        <v>1423.79</v>
      </c>
      <c r="I313" s="112">
        <v>1438.24</v>
      </c>
      <c r="J313" s="60" t="s">
        <v>994</v>
      </c>
      <c r="K313" s="61">
        <v>3</v>
      </c>
      <c r="L313" s="80" t="s">
        <v>1011</v>
      </c>
      <c r="M313" s="81"/>
      <c r="N313" s="82"/>
      <c r="O313" s="84">
        <v>1230.2123499999998</v>
      </c>
      <c r="P313" s="68">
        <f t="shared" si="61"/>
        <v>3.6909999999999998</v>
      </c>
    </row>
    <row r="314" spans="2:16" ht="15" customHeight="1" x14ac:dyDescent="0.3">
      <c r="B314" s="61">
        <v>4</v>
      </c>
      <c r="C314" s="58" t="s">
        <v>1093</v>
      </c>
      <c r="D314" s="59" t="s">
        <v>1094</v>
      </c>
      <c r="E314" s="59"/>
      <c r="F314" s="59"/>
      <c r="G314" s="59"/>
      <c r="H314" s="60">
        <v>1423.79</v>
      </c>
      <c r="I314" s="112">
        <v>1438.24</v>
      </c>
      <c r="J314" s="60" t="s">
        <v>994</v>
      </c>
      <c r="K314" s="61">
        <v>3</v>
      </c>
      <c r="L314" s="80" t="s">
        <v>1012</v>
      </c>
      <c r="M314" s="81"/>
      <c r="N314" s="82"/>
      <c r="O314" s="84">
        <v>1263.5931555555555</v>
      </c>
      <c r="P314" s="68">
        <f t="shared" si="61"/>
        <v>3.7909999999999999</v>
      </c>
    </row>
    <row r="315" spans="2:16" ht="15" customHeight="1" x14ac:dyDescent="0.3">
      <c r="B315" s="61">
        <v>4</v>
      </c>
      <c r="C315" s="58" t="s">
        <v>1093</v>
      </c>
      <c r="D315" s="59" t="s">
        <v>1094</v>
      </c>
      <c r="E315" s="59"/>
      <c r="F315" s="59"/>
      <c r="G315" s="59"/>
      <c r="H315" s="60">
        <v>1423.79</v>
      </c>
      <c r="I315" s="112">
        <v>1438.24</v>
      </c>
      <c r="J315" s="60" t="s">
        <v>994</v>
      </c>
      <c r="K315" s="61">
        <v>4</v>
      </c>
      <c r="L315" s="80" t="s">
        <v>1013</v>
      </c>
      <c r="M315" s="81"/>
      <c r="N315" s="82"/>
      <c r="O315" s="84">
        <v>1299.5360499999999</v>
      </c>
      <c r="P315" s="68">
        <f t="shared" si="61"/>
        <v>5.1980000000000004</v>
      </c>
    </row>
    <row r="316" spans="2:16" ht="15" customHeight="1" x14ac:dyDescent="0.3">
      <c r="B316" s="54" t="s">
        <v>1016</v>
      </c>
      <c r="C316" s="93"/>
      <c r="D316" s="48"/>
      <c r="E316" s="48"/>
      <c r="F316" s="48"/>
      <c r="G316" s="48"/>
      <c r="H316" s="49"/>
      <c r="I316" s="49"/>
      <c r="J316" s="49"/>
      <c r="K316" s="50"/>
      <c r="L316" s="50"/>
      <c r="M316" s="51"/>
      <c r="N316" s="51"/>
      <c r="O316" s="52"/>
      <c r="P316" s="53"/>
    </row>
    <row r="317" spans="2:16" ht="15" customHeight="1" x14ac:dyDescent="0.3">
      <c r="B317" s="106" t="s">
        <v>982</v>
      </c>
      <c r="C317" s="106" t="s">
        <v>992</v>
      </c>
      <c r="D317" s="107" t="s">
        <v>991</v>
      </c>
      <c r="E317" s="107"/>
      <c r="F317" s="107"/>
      <c r="G317" s="107"/>
      <c r="H317" s="106" t="s">
        <v>989</v>
      </c>
      <c r="I317" s="106" t="s">
        <v>988</v>
      </c>
      <c r="J317" s="106" t="s">
        <v>993</v>
      </c>
      <c r="K317" s="106" t="s">
        <v>990</v>
      </c>
      <c r="L317" s="147" t="s">
        <v>13</v>
      </c>
      <c r="M317" s="148"/>
      <c r="N317" s="149"/>
      <c r="O317" s="108" t="s">
        <v>996</v>
      </c>
      <c r="P317" s="108" t="s">
        <v>15</v>
      </c>
    </row>
    <row r="318" spans="2:16" ht="15" customHeight="1" x14ac:dyDescent="0.3">
      <c r="B318" s="118">
        <v>3</v>
      </c>
      <c r="C318" s="119" t="s">
        <v>1062</v>
      </c>
      <c r="D318" s="120" t="s">
        <v>1063</v>
      </c>
      <c r="E318" s="120"/>
      <c r="F318" s="120"/>
      <c r="G318" s="120"/>
      <c r="H318" s="121">
        <v>1356.66</v>
      </c>
      <c r="I318" s="121">
        <v>1359.29</v>
      </c>
      <c r="J318" s="121" t="s">
        <v>1006</v>
      </c>
      <c r="K318" s="118">
        <v>1</v>
      </c>
      <c r="L318" s="122" t="s">
        <v>1023</v>
      </c>
      <c r="M318" s="152"/>
      <c r="N318" s="123"/>
      <c r="O318" s="153">
        <v>275.25959999999998</v>
      </c>
      <c r="P318" s="124">
        <f t="shared" ref="P318:P345" si="62">+ROUND(K318*O318/1000,3)</f>
        <v>0.27500000000000002</v>
      </c>
    </row>
    <row r="319" spans="2:16" ht="15" customHeight="1" x14ac:dyDescent="0.3">
      <c r="B319" s="61">
        <v>3</v>
      </c>
      <c r="C319" s="58" t="s">
        <v>1062</v>
      </c>
      <c r="D319" s="59" t="s">
        <v>1063</v>
      </c>
      <c r="E319" s="59"/>
      <c r="F319" s="59"/>
      <c r="G319" s="59"/>
      <c r="H319" s="60">
        <v>1356.66</v>
      </c>
      <c r="I319" s="60">
        <v>1359.29</v>
      </c>
      <c r="J319" s="60" t="s">
        <v>1006</v>
      </c>
      <c r="K319" s="61">
        <v>1</v>
      </c>
      <c r="L319" s="80" t="s">
        <v>1025</v>
      </c>
      <c r="M319" s="81"/>
      <c r="N319" s="82"/>
      <c r="O319" s="84">
        <v>286.42080000000004</v>
      </c>
      <c r="P319" s="68">
        <f t="shared" si="62"/>
        <v>0.28599999999999998</v>
      </c>
    </row>
    <row r="320" spans="2:16" ht="15" customHeight="1" x14ac:dyDescent="0.3">
      <c r="B320" s="61">
        <v>3</v>
      </c>
      <c r="C320" s="58" t="s">
        <v>1062</v>
      </c>
      <c r="D320" s="59" t="s">
        <v>1063</v>
      </c>
      <c r="E320" s="59"/>
      <c r="F320" s="59"/>
      <c r="G320" s="59"/>
      <c r="H320" s="60">
        <v>1356.66</v>
      </c>
      <c r="I320" s="60">
        <v>1359.29</v>
      </c>
      <c r="J320" s="60" t="s">
        <v>1006</v>
      </c>
      <c r="K320" s="61">
        <v>1</v>
      </c>
      <c r="L320" s="80" t="s">
        <v>1026</v>
      </c>
      <c r="M320" s="81"/>
      <c r="N320" s="82"/>
      <c r="O320" s="84">
        <v>295.28160000000003</v>
      </c>
      <c r="P320" s="68">
        <f t="shared" si="62"/>
        <v>0.29499999999999998</v>
      </c>
    </row>
    <row r="321" spans="2:16" ht="15" customHeight="1" x14ac:dyDescent="0.3">
      <c r="B321" s="36">
        <v>3</v>
      </c>
      <c r="C321" s="46" t="s">
        <v>1062</v>
      </c>
      <c r="D321" s="56" t="s">
        <v>1063</v>
      </c>
      <c r="E321" s="56"/>
      <c r="F321" s="56"/>
      <c r="G321" s="56"/>
      <c r="H321" s="47">
        <v>1356.66</v>
      </c>
      <c r="I321" s="47">
        <v>1359.29</v>
      </c>
      <c r="J321" s="47" t="s">
        <v>1006</v>
      </c>
      <c r="K321" s="36">
        <v>1</v>
      </c>
      <c r="L321" s="125" t="s">
        <v>1027</v>
      </c>
      <c r="M321" s="154"/>
      <c r="N321" s="126"/>
      <c r="O321" s="155">
        <v>301.24560000000002</v>
      </c>
      <c r="P321" s="57">
        <f t="shared" si="62"/>
        <v>0.30099999999999999</v>
      </c>
    </row>
    <row r="322" spans="2:16" ht="15" customHeight="1" x14ac:dyDescent="0.3">
      <c r="B322" s="118">
        <v>3</v>
      </c>
      <c r="C322" s="119" t="s">
        <v>1067</v>
      </c>
      <c r="D322" s="120" t="s">
        <v>1068</v>
      </c>
      <c r="E322" s="120"/>
      <c r="F322" s="120"/>
      <c r="G322" s="120"/>
      <c r="H322" s="121">
        <v>1359.29</v>
      </c>
      <c r="I322" s="121">
        <v>1382.54</v>
      </c>
      <c r="J322" s="121" t="s">
        <v>1006</v>
      </c>
      <c r="K322" s="118">
        <v>5</v>
      </c>
      <c r="L322" s="122" t="s">
        <v>1023</v>
      </c>
      <c r="M322" s="152"/>
      <c r="N322" s="123"/>
      <c r="O322" s="153">
        <v>275.25959999999998</v>
      </c>
      <c r="P322" s="124">
        <f t="shared" si="62"/>
        <v>1.3759999999999999</v>
      </c>
    </row>
    <row r="323" spans="2:16" ht="15" customHeight="1" x14ac:dyDescent="0.3">
      <c r="B323" s="61">
        <v>3</v>
      </c>
      <c r="C323" s="58" t="s">
        <v>1067</v>
      </c>
      <c r="D323" s="59" t="s">
        <v>1068</v>
      </c>
      <c r="E323" s="59"/>
      <c r="F323" s="59"/>
      <c r="G323" s="59"/>
      <c r="H323" s="60">
        <v>1359.29</v>
      </c>
      <c r="I323" s="60">
        <v>1382.54</v>
      </c>
      <c r="J323" s="60" t="s">
        <v>1006</v>
      </c>
      <c r="K323" s="61">
        <v>5</v>
      </c>
      <c r="L323" s="80" t="s">
        <v>1025</v>
      </c>
      <c r="M323" s="81"/>
      <c r="N323" s="82"/>
      <c r="O323" s="84">
        <v>286.42080000000004</v>
      </c>
      <c r="P323" s="68">
        <f t="shared" si="62"/>
        <v>1.4319999999999999</v>
      </c>
    </row>
    <row r="324" spans="2:16" ht="15" customHeight="1" x14ac:dyDescent="0.3">
      <c r="B324" s="61">
        <v>3</v>
      </c>
      <c r="C324" s="58" t="s">
        <v>1067</v>
      </c>
      <c r="D324" s="59" t="s">
        <v>1068</v>
      </c>
      <c r="E324" s="59"/>
      <c r="F324" s="59"/>
      <c r="G324" s="59"/>
      <c r="H324" s="60">
        <v>1359.29</v>
      </c>
      <c r="I324" s="60">
        <v>1382.54</v>
      </c>
      <c r="J324" s="60" t="s">
        <v>1006</v>
      </c>
      <c r="K324" s="61">
        <v>5</v>
      </c>
      <c r="L324" s="80" t="s">
        <v>1026</v>
      </c>
      <c r="M324" s="81"/>
      <c r="N324" s="82"/>
      <c r="O324" s="84">
        <v>295.28160000000003</v>
      </c>
      <c r="P324" s="68">
        <f t="shared" si="62"/>
        <v>1.476</v>
      </c>
    </row>
    <row r="325" spans="2:16" ht="15" customHeight="1" x14ac:dyDescent="0.3">
      <c r="B325" s="61">
        <v>3</v>
      </c>
      <c r="C325" s="58" t="s">
        <v>1067</v>
      </c>
      <c r="D325" s="59" t="s">
        <v>1068</v>
      </c>
      <c r="E325" s="59"/>
      <c r="F325" s="59"/>
      <c r="G325" s="59"/>
      <c r="H325" s="60">
        <v>1359.29</v>
      </c>
      <c r="I325" s="60">
        <v>1382.54</v>
      </c>
      <c r="J325" s="60" t="s">
        <v>1006</v>
      </c>
      <c r="K325" s="61">
        <v>5</v>
      </c>
      <c r="L325" s="80" t="s">
        <v>1027</v>
      </c>
      <c r="M325" s="81"/>
      <c r="N325" s="82"/>
      <c r="O325" s="84">
        <v>301.24560000000002</v>
      </c>
      <c r="P325" s="68">
        <f t="shared" si="62"/>
        <v>1.506</v>
      </c>
    </row>
    <row r="326" spans="2:16" ht="15" customHeight="1" x14ac:dyDescent="0.3">
      <c r="B326" s="61">
        <v>3</v>
      </c>
      <c r="C326" s="58" t="s">
        <v>1067</v>
      </c>
      <c r="D326" s="59" t="s">
        <v>1068</v>
      </c>
      <c r="E326" s="59"/>
      <c r="F326" s="59"/>
      <c r="G326" s="59"/>
      <c r="H326" s="60">
        <v>1359.29</v>
      </c>
      <c r="I326" s="60">
        <v>1382.54</v>
      </c>
      <c r="J326" s="60" t="s">
        <v>1006</v>
      </c>
      <c r="K326" s="61">
        <v>6</v>
      </c>
      <c r="L326" s="80" t="s">
        <v>1028</v>
      </c>
      <c r="M326" s="81"/>
      <c r="N326" s="82"/>
      <c r="O326" s="84">
        <v>307.7208</v>
      </c>
      <c r="P326" s="68">
        <f t="shared" si="62"/>
        <v>1.8460000000000001</v>
      </c>
    </row>
    <row r="327" spans="2:16" ht="15" customHeight="1" x14ac:dyDescent="0.3">
      <c r="B327" s="36">
        <v>3</v>
      </c>
      <c r="C327" s="46" t="s">
        <v>1067</v>
      </c>
      <c r="D327" s="56" t="s">
        <v>1068</v>
      </c>
      <c r="E327" s="56"/>
      <c r="F327" s="56"/>
      <c r="G327" s="56"/>
      <c r="H327" s="47">
        <v>1359.29</v>
      </c>
      <c r="I327" s="47">
        <v>1382.54</v>
      </c>
      <c r="J327" s="47" t="s">
        <v>1006</v>
      </c>
      <c r="K327" s="36">
        <v>5</v>
      </c>
      <c r="L327" s="125" t="s">
        <v>1024</v>
      </c>
      <c r="M327" s="154"/>
      <c r="N327" s="126"/>
      <c r="O327" s="155">
        <v>315.89999999999998</v>
      </c>
      <c r="P327" s="57">
        <f t="shared" si="62"/>
        <v>1.58</v>
      </c>
    </row>
    <row r="328" spans="2:16" ht="15" customHeight="1" x14ac:dyDescent="0.3">
      <c r="B328" s="118">
        <v>4</v>
      </c>
      <c r="C328" s="119" t="s">
        <v>1081</v>
      </c>
      <c r="D328" s="120" t="s">
        <v>1080</v>
      </c>
      <c r="E328" s="120"/>
      <c r="F328" s="120"/>
      <c r="G328" s="120"/>
      <c r="H328" s="121">
        <v>1382.54</v>
      </c>
      <c r="I328" s="121">
        <v>1399.04</v>
      </c>
      <c r="J328" s="121" t="s">
        <v>1006</v>
      </c>
      <c r="K328" s="118">
        <v>4</v>
      </c>
      <c r="L328" s="122" t="s">
        <v>1023</v>
      </c>
      <c r="M328" s="152"/>
      <c r="N328" s="123"/>
      <c r="O328" s="153">
        <v>275.25959999999998</v>
      </c>
      <c r="P328" s="124">
        <f t="shared" si="62"/>
        <v>1.101</v>
      </c>
    </row>
    <row r="329" spans="2:16" ht="15" customHeight="1" x14ac:dyDescent="0.3">
      <c r="B329" s="61">
        <v>4</v>
      </c>
      <c r="C329" s="58" t="s">
        <v>1081</v>
      </c>
      <c r="D329" s="59" t="s">
        <v>1080</v>
      </c>
      <c r="E329" s="59"/>
      <c r="F329" s="59"/>
      <c r="G329" s="59"/>
      <c r="H329" s="60">
        <v>1382.54</v>
      </c>
      <c r="I329" s="60">
        <v>1399.04</v>
      </c>
      <c r="J329" s="60" t="s">
        <v>1006</v>
      </c>
      <c r="K329" s="61">
        <v>4</v>
      </c>
      <c r="L329" s="80" t="s">
        <v>1025</v>
      </c>
      <c r="M329" s="81"/>
      <c r="N329" s="82"/>
      <c r="O329" s="84">
        <v>286.42080000000004</v>
      </c>
      <c r="P329" s="68">
        <f t="shared" si="62"/>
        <v>1.1459999999999999</v>
      </c>
    </row>
    <row r="330" spans="2:16" ht="15" customHeight="1" x14ac:dyDescent="0.3">
      <c r="B330" s="61">
        <v>4</v>
      </c>
      <c r="C330" s="58" t="s">
        <v>1081</v>
      </c>
      <c r="D330" s="59" t="s">
        <v>1080</v>
      </c>
      <c r="E330" s="59"/>
      <c r="F330" s="59"/>
      <c r="G330" s="59"/>
      <c r="H330" s="60">
        <v>1382.54</v>
      </c>
      <c r="I330" s="60">
        <v>1399.04</v>
      </c>
      <c r="J330" s="60" t="s">
        <v>1006</v>
      </c>
      <c r="K330" s="61">
        <v>4</v>
      </c>
      <c r="L330" s="80" t="s">
        <v>1026</v>
      </c>
      <c r="M330" s="81"/>
      <c r="N330" s="82"/>
      <c r="O330" s="84">
        <v>295.28160000000003</v>
      </c>
      <c r="P330" s="68">
        <f t="shared" si="62"/>
        <v>1.181</v>
      </c>
    </row>
    <row r="331" spans="2:16" ht="15" customHeight="1" x14ac:dyDescent="0.3">
      <c r="B331" s="61">
        <v>4</v>
      </c>
      <c r="C331" s="58" t="s">
        <v>1081</v>
      </c>
      <c r="D331" s="59" t="s">
        <v>1080</v>
      </c>
      <c r="E331" s="59"/>
      <c r="F331" s="59"/>
      <c r="G331" s="59"/>
      <c r="H331" s="60">
        <v>1382.54</v>
      </c>
      <c r="I331" s="60">
        <v>1399.04</v>
      </c>
      <c r="J331" s="60" t="s">
        <v>1006</v>
      </c>
      <c r="K331" s="61">
        <v>3</v>
      </c>
      <c r="L331" s="80" t="s">
        <v>1027</v>
      </c>
      <c r="M331" s="81"/>
      <c r="N331" s="82"/>
      <c r="O331" s="84">
        <v>301.24560000000002</v>
      </c>
      <c r="P331" s="68">
        <f t="shared" si="62"/>
        <v>0.90400000000000003</v>
      </c>
    </row>
    <row r="332" spans="2:16" ht="15" customHeight="1" x14ac:dyDescent="0.3">
      <c r="B332" s="61">
        <v>4</v>
      </c>
      <c r="C332" s="58" t="s">
        <v>1081</v>
      </c>
      <c r="D332" s="59" t="s">
        <v>1080</v>
      </c>
      <c r="E332" s="59"/>
      <c r="F332" s="59"/>
      <c r="G332" s="59"/>
      <c r="H332" s="60">
        <v>1382.54</v>
      </c>
      <c r="I332" s="60">
        <v>1399.04</v>
      </c>
      <c r="J332" s="60" t="s">
        <v>1006</v>
      </c>
      <c r="K332" s="61">
        <v>3</v>
      </c>
      <c r="L332" s="80" t="s">
        <v>1028</v>
      </c>
      <c r="M332" s="81"/>
      <c r="N332" s="82"/>
      <c r="O332" s="84">
        <v>307.7208</v>
      </c>
      <c r="P332" s="68">
        <f t="shared" si="62"/>
        <v>0.92300000000000004</v>
      </c>
    </row>
    <row r="333" spans="2:16" ht="15" customHeight="1" x14ac:dyDescent="0.3">
      <c r="B333" s="36">
        <v>4</v>
      </c>
      <c r="C333" s="46" t="s">
        <v>1081</v>
      </c>
      <c r="D333" s="56" t="s">
        <v>1080</v>
      </c>
      <c r="E333" s="56"/>
      <c r="F333" s="56"/>
      <c r="G333" s="56"/>
      <c r="H333" s="47">
        <v>1382.54</v>
      </c>
      <c r="I333" s="47">
        <v>1399.04</v>
      </c>
      <c r="J333" s="47" t="s">
        <v>1006</v>
      </c>
      <c r="K333" s="36">
        <v>4</v>
      </c>
      <c r="L333" s="125" t="s">
        <v>1024</v>
      </c>
      <c r="M333" s="154"/>
      <c r="N333" s="126"/>
      <c r="O333" s="155">
        <v>315.89999999999998</v>
      </c>
      <c r="P333" s="57">
        <f t="shared" si="62"/>
        <v>1.264</v>
      </c>
    </row>
    <row r="334" spans="2:16" ht="15" customHeight="1" x14ac:dyDescent="0.3">
      <c r="B334" s="109">
        <v>4</v>
      </c>
      <c r="C334" s="110" t="s">
        <v>1087</v>
      </c>
      <c r="D334" s="111" t="s">
        <v>1088</v>
      </c>
      <c r="E334" s="111"/>
      <c r="F334" s="111"/>
      <c r="G334" s="111"/>
      <c r="H334" s="112">
        <v>1399.04</v>
      </c>
      <c r="I334" s="112">
        <v>1417.79</v>
      </c>
      <c r="J334" s="112" t="s">
        <v>1006</v>
      </c>
      <c r="K334" s="109">
        <v>4</v>
      </c>
      <c r="L334" s="113" t="s">
        <v>1023</v>
      </c>
      <c r="M334" s="150"/>
      <c r="N334" s="114"/>
      <c r="O334" s="151">
        <v>275.25959999999998</v>
      </c>
      <c r="P334" s="116">
        <f t="shared" si="62"/>
        <v>1.101</v>
      </c>
    </row>
    <row r="335" spans="2:16" ht="15" customHeight="1" x14ac:dyDescent="0.3">
      <c r="B335" s="61">
        <v>4</v>
      </c>
      <c r="C335" s="58" t="s">
        <v>1087</v>
      </c>
      <c r="D335" s="59" t="s">
        <v>1088</v>
      </c>
      <c r="E335" s="59"/>
      <c r="F335" s="59"/>
      <c r="G335" s="59"/>
      <c r="H335" s="60">
        <v>1399.04</v>
      </c>
      <c r="I335" s="60">
        <v>1417.79</v>
      </c>
      <c r="J335" s="60" t="s">
        <v>1006</v>
      </c>
      <c r="K335" s="61">
        <v>4</v>
      </c>
      <c r="L335" s="80" t="s">
        <v>1025</v>
      </c>
      <c r="M335" s="81"/>
      <c r="N335" s="82"/>
      <c r="O335" s="84">
        <v>286.42080000000004</v>
      </c>
      <c r="P335" s="68">
        <f t="shared" si="62"/>
        <v>1.1459999999999999</v>
      </c>
    </row>
    <row r="336" spans="2:16" ht="15" customHeight="1" x14ac:dyDescent="0.3">
      <c r="B336" s="61">
        <v>4</v>
      </c>
      <c r="C336" s="58" t="s">
        <v>1087</v>
      </c>
      <c r="D336" s="59" t="s">
        <v>1088</v>
      </c>
      <c r="E336" s="59"/>
      <c r="F336" s="59"/>
      <c r="G336" s="59"/>
      <c r="H336" s="60">
        <v>1399.04</v>
      </c>
      <c r="I336" s="60">
        <v>1417.79</v>
      </c>
      <c r="J336" s="60" t="s">
        <v>1006</v>
      </c>
      <c r="K336" s="61">
        <v>4</v>
      </c>
      <c r="L336" s="80" t="s">
        <v>1026</v>
      </c>
      <c r="M336" s="81"/>
      <c r="N336" s="82"/>
      <c r="O336" s="84">
        <v>295.28160000000003</v>
      </c>
      <c r="P336" s="68">
        <f t="shared" si="62"/>
        <v>1.181</v>
      </c>
    </row>
    <row r="337" spans="2:16" ht="15" customHeight="1" x14ac:dyDescent="0.3">
      <c r="B337" s="61">
        <v>4</v>
      </c>
      <c r="C337" s="58" t="s">
        <v>1087</v>
      </c>
      <c r="D337" s="59" t="s">
        <v>1088</v>
      </c>
      <c r="E337" s="59"/>
      <c r="F337" s="59"/>
      <c r="G337" s="59"/>
      <c r="H337" s="60">
        <v>1399.04</v>
      </c>
      <c r="I337" s="60">
        <v>1417.79</v>
      </c>
      <c r="J337" s="60" t="s">
        <v>1006</v>
      </c>
      <c r="K337" s="61">
        <v>5</v>
      </c>
      <c r="L337" s="80" t="s">
        <v>1027</v>
      </c>
      <c r="M337" s="81"/>
      <c r="N337" s="82"/>
      <c r="O337" s="84">
        <v>301.24560000000002</v>
      </c>
      <c r="P337" s="68">
        <f t="shared" si="62"/>
        <v>1.506</v>
      </c>
    </row>
    <row r="338" spans="2:16" ht="15" customHeight="1" x14ac:dyDescent="0.3">
      <c r="B338" s="61">
        <v>4</v>
      </c>
      <c r="C338" s="58" t="s">
        <v>1087</v>
      </c>
      <c r="D338" s="59" t="s">
        <v>1088</v>
      </c>
      <c r="E338" s="59"/>
      <c r="F338" s="59"/>
      <c r="G338" s="59"/>
      <c r="H338" s="60">
        <v>1399.04</v>
      </c>
      <c r="I338" s="60">
        <v>1417.79</v>
      </c>
      <c r="J338" s="60" t="s">
        <v>1006</v>
      </c>
      <c r="K338" s="61">
        <v>4</v>
      </c>
      <c r="L338" s="80" t="s">
        <v>1028</v>
      </c>
      <c r="M338" s="81"/>
      <c r="N338" s="82"/>
      <c r="O338" s="84">
        <v>307.7208</v>
      </c>
      <c r="P338" s="68">
        <f t="shared" si="62"/>
        <v>1.2310000000000001</v>
      </c>
    </row>
    <row r="339" spans="2:16" ht="15" customHeight="1" x14ac:dyDescent="0.3">
      <c r="B339" s="61">
        <v>4</v>
      </c>
      <c r="C339" s="58" t="s">
        <v>1087</v>
      </c>
      <c r="D339" s="59" t="s">
        <v>1088</v>
      </c>
      <c r="E339" s="59"/>
      <c r="F339" s="59"/>
      <c r="G339" s="59"/>
      <c r="H339" s="60">
        <v>1399.04</v>
      </c>
      <c r="I339" s="60">
        <v>1417.79</v>
      </c>
      <c r="J339" s="60" t="s">
        <v>1006</v>
      </c>
      <c r="K339" s="61">
        <v>4</v>
      </c>
      <c r="L339" s="80" t="s">
        <v>1024</v>
      </c>
      <c r="M339" s="81"/>
      <c r="N339" s="82"/>
      <c r="O339" s="84">
        <v>315.89999999999998</v>
      </c>
      <c r="P339" s="68">
        <f t="shared" si="62"/>
        <v>1.264</v>
      </c>
    </row>
    <row r="340" spans="2:16" ht="15" customHeight="1" x14ac:dyDescent="0.3">
      <c r="B340" s="109">
        <v>4</v>
      </c>
      <c r="C340" s="110" t="s">
        <v>1093</v>
      </c>
      <c r="D340" s="111" t="s">
        <v>1094</v>
      </c>
      <c r="E340" s="111"/>
      <c r="F340" s="111"/>
      <c r="G340" s="111"/>
      <c r="H340" s="112">
        <v>1417.79</v>
      </c>
      <c r="I340" s="112">
        <v>1431.29</v>
      </c>
      <c r="J340" s="112" t="s">
        <v>1006</v>
      </c>
      <c r="K340" s="109">
        <v>3</v>
      </c>
      <c r="L340" s="113" t="s">
        <v>1023</v>
      </c>
      <c r="M340" s="150"/>
      <c r="N340" s="114"/>
      <c r="O340" s="151">
        <v>275.25959999999998</v>
      </c>
      <c r="P340" s="116">
        <f t="shared" si="62"/>
        <v>0.82599999999999996</v>
      </c>
    </row>
    <row r="341" spans="2:16" ht="15" customHeight="1" x14ac:dyDescent="0.3">
      <c r="B341" s="61">
        <v>4</v>
      </c>
      <c r="C341" s="58" t="s">
        <v>1093</v>
      </c>
      <c r="D341" s="59" t="s">
        <v>1094</v>
      </c>
      <c r="E341" s="59"/>
      <c r="F341" s="59"/>
      <c r="G341" s="59"/>
      <c r="H341" s="60">
        <v>1417.79</v>
      </c>
      <c r="I341" s="60">
        <v>1431.29</v>
      </c>
      <c r="J341" s="60" t="s">
        <v>1006</v>
      </c>
      <c r="K341" s="61">
        <v>3</v>
      </c>
      <c r="L341" s="80" t="s">
        <v>1025</v>
      </c>
      <c r="M341" s="81"/>
      <c r="N341" s="82"/>
      <c r="O341" s="84">
        <v>286.42080000000004</v>
      </c>
      <c r="P341" s="68">
        <f t="shared" si="62"/>
        <v>0.85899999999999999</v>
      </c>
    </row>
    <row r="342" spans="2:16" ht="15" customHeight="1" x14ac:dyDescent="0.3">
      <c r="B342" s="61">
        <v>4</v>
      </c>
      <c r="C342" s="58" t="s">
        <v>1093</v>
      </c>
      <c r="D342" s="59" t="s">
        <v>1094</v>
      </c>
      <c r="E342" s="59"/>
      <c r="F342" s="59"/>
      <c r="G342" s="59"/>
      <c r="H342" s="60">
        <v>1417.79</v>
      </c>
      <c r="I342" s="60">
        <v>1431.29</v>
      </c>
      <c r="J342" s="60" t="s">
        <v>1006</v>
      </c>
      <c r="K342" s="61">
        <v>3</v>
      </c>
      <c r="L342" s="80" t="s">
        <v>1026</v>
      </c>
      <c r="M342" s="81"/>
      <c r="N342" s="82"/>
      <c r="O342" s="84">
        <v>295.28160000000003</v>
      </c>
      <c r="P342" s="68">
        <f t="shared" si="62"/>
        <v>0.88600000000000001</v>
      </c>
    </row>
    <row r="343" spans="2:16" ht="15" customHeight="1" x14ac:dyDescent="0.3">
      <c r="B343" s="61">
        <v>4</v>
      </c>
      <c r="C343" s="58" t="s">
        <v>1093</v>
      </c>
      <c r="D343" s="59" t="s">
        <v>1094</v>
      </c>
      <c r="E343" s="59"/>
      <c r="F343" s="59"/>
      <c r="G343" s="59"/>
      <c r="H343" s="60">
        <v>1417.79</v>
      </c>
      <c r="I343" s="60">
        <v>1431.29</v>
      </c>
      <c r="J343" s="60" t="s">
        <v>1006</v>
      </c>
      <c r="K343" s="61">
        <v>3</v>
      </c>
      <c r="L343" s="80" t="s">
        <v>1027</v>
      </c>
      <c r="M343" s="81"/>
      <c r="N343" s="82"/>
      <c r="O343" s="84">
        <v>301.24560000000002</v>
      </c>
      <c r="P343" s="68">
        <f t="shared" si="62"/>
        <v>0.90400000000000003</v>
      </c>
    </row>
    <row r="344" spans="2:16" ht="15" customHeight="1" x14ac:dyDescent="0.3">
      <c r="B344" s="61">
        <v>4</v>
      </c>
      <c r="C344" s="58" t="s">
        <v>1093</v>
      </c>
      <c r="D344" s="59" t="s">
        <v>1094</v>
      </c>
      <c r="E344" s="59"/>
      <c r="F344" s="59"/>
      <c r="G344" s="59"/>
      <c r="H344" s="60">
        <v>1417.79</v>
      </c>
      <c r="I344" s="60">
        <v>1431.29</v>
      </c>
      <c r="J344" s="60" t="s">
        <v>1006</v>
      </c>
      <c r="K344" s="61">
        <v>3</v>
      </c>
      <c r="L344" s="80" t="s">
        <v>1028</v>
      </c>
      <c r="M344" s="81"/>
      <c r="N344" s="82"/>
      <c r="O344" s="84">
        <v>307.7208</v>
      </c>
      <c r="P344" s="68">
        <f t="shared" si="62"/>
        <v>0.92300000000000004</v>
      </c>
    </row>
    <row r="345" spans="2:16" ht="15" customHeight="1" x14ac:dyDescent="0.3">
      <c r="B345" s="61">
        <v>4</v>
      </c>
      <c r="C345" s="58" t="s">
        <v>1093</v>
      </c>
      <c r="D345" s="59" t="s">
        <v>1094</v>
      </c>
      <c r="E345" s="59"/>
      <c r="F345" s="59"/>
      <c r="G345" s="59"/>
      <c r="H345" s="60">
        <v>1417.79</v>
      </c>
      <c r="I345" s="60">
        <v>1431.29</v>
      </c>
      <c r="J345" s="60" t="s">
        <v>1006</v>
      </c>
      <c r="K345" s="61">
        <v>3</v>
      </c>
      <c r="L345" s="80" t="s">
        <v>1024</v>
      </c>
      <c r="M345" s="81"/>
      <c r="N345" s="82"/>
      <c r="O345" s="84">
        <v>315.89999999999998</v>
      </c>
      <c r="P345" s="68">
        <f t="shared" si="62"/>
        <v>0.94799999999999995</v>
      </c>
    </row>
    <row r="346" spans="2:16" ht="15" customHeight="1" x14ac:dyDescent="0.3">
      <c r="B346" s="109">
        <v>5</v>
      </c>
      <c r="C346" s="110" t="s">
        <v>1099</v>
      </c>
      <c r="D346" s="111" t="s">
        <v>1100</v>
      </c>
      <c r="E346" s="111"/>
      <c r="F346" s="111"/>
      <c r="G346" s="111"/>
      <c r="H346" s="60">
        <v>1431.29</v>
      </c>
      <c r="I346" s="60">
        <v>1438.24</v>
      </c>
      <c r="J346" s="112" t="s">
        <v>1006</v>
      </c>
      <c r="K346" s="109">
        <v>1</v>
      </c>
      <c r="L346" s="113" t="s">
        <v>1023</v>
      </c>
      <c r="M346" s="150"/>
      <c r="N346" s="114"/>
      <c r="O346" s="151">
        <v>275.25959999999998</v>
      </c>
      <c r="P346" s="116">
        <f t="shared" ref="P346:P351" si="63">+ROUND(K346*O346/1000,3)</f>
        <v>0.27500000000000002</v>
      </c>
    </row>
    <row r="347" spans="2:16" ht="15" customHeight="1" x14ac:dyDescent="0.3">
      <c r="B347" s="61">
        <v>5</v>
      </c>
      <c r="C347" s="58" t="s">
        <v>1099</v>
      </c>
      <c r="D347" s="59" t="s">
        <v>1100</v>
      </c>
      <c r="E347" s="59"/>
      <c r="F347" s="59"/>
      <c r="G347" s="59"/>
      <c r="H347" s="60">
        <v>1431.29</v>
      </c>
      <c r="I347" s="60">
        <v>1438.24</v>
      </c>
      <c r="J347" s="60" t="s">
        <v>1006</v>
      </c>
      <c r="K347" s="61">
        <v>1</v>
      </c>
      <c r="L347" s="80" t="s">
        <v>1025</v>
      </c>
      <c r="M347" s="81"/>
      <c r="N347" s="82"/>
      <c r="O347" s="84">
        <v>286.42080000000004</v>
      </c>
      <c r="P347" s="68">
        <f t="shared" si="63"/>
        <v>0.28599999999999998</v>
      </c>
    </row>
    <row r="348" spans="2:16" ht="15" customHeight="1" x14ac:dyDescent="0.3">
      <c r="B348" s="61">
        <v>5</v>
      </c>
      <c r="C348" s="58" t="s">
        <v>1099</v>
      </c>
      <c r="D348" s="59" t="s">
        <v>1100</v>
      </c>
      <c r="E348" s="59"/>
      <c r="F348" s="59"/>
      <c r="G348" s="59"/>
      <c r="H348" s="60">
        <v>1431.29</v>
      </c>
      <c r="I348" s="60">
        <v>1438.24</v>
      </c>
      <c r="J348" s="60" t="s">
        <v>1006</v>
      </c>
      <c r="K348" s="61">
        <v>1</v>
      </c>
      <c r="L348" s="80" t="s">
        <v>1026</v>
      </c>
      <c r="M348" s="81"/>
      <c r="N348" s="82"/>
      <c r="O348" s="84">
        <v>295.28160000000003</v>
      </c>
      <c r="P348" s="68">
        <f t="shared" si="63"/>
        <v>0.29499999999999998</v>
      </c>
    </row>
    <row r="349" spans="2:16" ht="15" customHeight="1" x14ac:dyDescent="0.3">
      <c r="B349" s="61">
        <v>5</v>
      </c>
      <c r="C349" s="58" t="s">
        <v>1099</v>
      </c>
      <c r="D349" s="59" t="s">
        <v>1100</v>
      </c>
      <c r="E349" s="59"/>
      <c r="F349" s="59"/>
      <c r="G349" s="59"/>
      <c r="H349" s="60">
        <v>1431.29</v>
      </c>
      <c r="I349" s="60">
        <v>1438.24</v>
      </c>
      <c r="J349" s="60" t="s">
        <v>1006</v>
      </c>
      <c r="K349" s="61">
        <v>1</v>
      </c>
      <c r="L349" s="80" t="s">
        <v>1027</v>
      </c>
      <c r="M349" s="81"/>
      <c r="N349" s="82"/>
      <c r="O349" s="84">
        <v>301.24560000000002</v>
      </c>
      <c r="P349" s="68">
        <f t="shared" si="63"/>
        <v>0.30099999999999999</v>
      </c>
    </row>
    <row r="350" spans="2:16" ht="15" customHeight="1" x14ac:dyDescent="0.3">
      <c r="B350" s="61">
        <v>5</v>
      </c>
      <c r="C350" s="58" t="s">
        <v>1099</v>
      </c>
      <c r="D350" s="59" t="s">
        <v>1100</v>
      </c>
      <c r="E350" s="59"/>
      <c r="F350" s="59"/>
      <c r="G350" s="59"/>
      <c r="H350" s="60">
        <v>1431.29</v>
      </c>
      <c r="I350" s="60">
        <v>1438.24</v>
      </c>
      <c r="J350" s="60" t="s">
        <v>1006</v>
      </c>
      <c r="K350" s="61">
        <v>2</v>
      </c>
      <c r="L350" s="80" t="s">
        <v>1028</v>
      </c>
      <c r="M350" s="81"/>
      <c r="N350" s="82"/>
      <c r="O350" s="84">
        <v>307.7208</v>
      </c>
      <c r="P350" s="68">
        <f t="shared" si="63"/>
        <v>0.61499999999999999</v>
      </c>
    </row>
    <row r="351" spans="2:16" ht="15" customHeight="1" x14ac:dyDescent="0.3">
      <c r="B351" s="61">
        <v>5</v>
      </c>
      <c r="C351" s="58" t="s">
        <v>1099</v>
      </c>
      <c r="D351" s="59" t="s">
        <v>1100</v>
      </c>
      <c r="E351" s="59"/>
      <c r="F351" s="59"/>
      <c r="G351" s="59"/>
      <c r="H351" s="60">
        <v>1431.29</v>
      </c>
      <c r="I351" s="60">
        <v>1438.24</v>
      </c>
      <c r="J351" s="60" t="s">
        <v>1006</v>
      </c>
      <c r="K351" s="61">
        <v>3</v>
      </c>
      <c r="L351" s="80" t="s">
        <v>1024</v>
      </c>
      <c r="M351" s="81"/>
      <c r="N351" s="82"/>
      <c r="O351" s="84">
        <v>315.89999999999998</v>
      </c>
      <c r="P351" s="68">
        <f t="shared" si="63"/>
        <v>0.94799999999999995</v>
      </c>
    </row>
    <row r="352" spans="2:16" ht="4.95" customHeight="1" x14ac:dyDescent="0.3">
      <c r="B352" s="39"/>
      <c r="C352" s="42"/>
      <c r="D352" s="40"/>
      <c r="E352" s="40"/>
      <c r="F352" s="40"/>
      <c r="G352" s="40"/>
      <c r="H352" s="41"/>
      <c r="I352" s="41"/>
      <c r="J352" s="41"/>
      <c r="K352" s="41"/>
      <c r="L352" s="41"/>
      <c r="M352" s="41"/>
      <c r="N352" s="41"/>
      <c r="O352" s="42"/>
      <c r="P352" s="43"/>
    </row>
    <row r="353" spans="2:31" ht="19.95" customHeight="1" x14ac:dyDescent="0.3"/>
    <row r="354" spans="2:31" ht="30" customHeight="1" x14ac:dyDescent="0.3">
      <c r="B354" s="193" t="s">
        <v>7</v>
      </c>
      <c r="C354" s="194"/>
      <c r="D354" s="193" t="s">
        <v>8</v>
      </c>
      <c r="E354" s="195"/>
      <c r="F354" s="195"/>
      <c r="G354" s="195"/>
      <c r="H354" s="195"/>
      <c r="I354" s="195"/>
      <c r="J354" s="195"/>
      <c r="K354" s="195"/>
      <c r="L354" s="195"/>
      <c r="M354" s="33" t="s">
        <v>9</v>
      </c>
      <c r="N354" s="104" t="s">
        <v>1077</v>
      </c>
      <c r="O354" s="104" t="s">
        <v>1078</v>
      </c>
      <c r="P354" s="34" t="s">
        <v>1079</v>
      </c>
    </row>
    <row r="355" spans="2:31" ht="30" customHeight="1" x14ac:dyDescent="0.3">
      <c r="B355" s="199" t="s">
        <v>141</v>
      </c>
      <c r="C355" s="200"/>
      <c r="D355" s="197" t="str">
        <f>+VLOOKUP(B355,[1]Liste!B:E,2,FALSE)</f>
        <v>Umbrella Arch Yapılması</v>
      </c>
      <c r="E355" s="198"/>
      <c r="F355" s="198"/>
      <c r="G355" s="198"/>
      <c r="H355" s="198"/>
      <c r="I355" s="198"/>
      <c r="J355" s="198"/>
      <c r="K355" s="198"/>
      <c r="L355" s="198"/>
      <c r="M355" s="35" t="str">
        <f>+VLOOKUP(B355,[1]Liste!B:E,3,FALSE)</f>
        <v>m</v>
      </c>
      <c r="N355" s="66">
        <v>9351</v>
      </c>
      <c r="O355" s="66">
        <f>+P355-N355</f>
        <v>0</v>
      </c>
      <c r="P355" s="66">
        <f>+SUM(P356:P362)</f>
        <v>9351</v>
      </c>
      <c r="AA355" s="9">
        <f>+VLOOKUP(B355,[2]Liste!$B$2:$F$483,5,FALSE)</f>
        <v>3400</v>
      </c>
      <c r="AC355" s="9">
        <f>+AA355*N355</f>
        <v>31793400</v>
      </c>
      <c r="AD355" s="9">
        <f>+AA355*O355</f>
        <v>0</v>
      </c>
      <c r="AE355" s="9">
        <f>+AA355*P355</f>
        <v>31793400</v>
      </c>
    </row>
    <row r="356" spans="2:31" ht="15" customHeight="1" x14ac:dyDescent="0.3">
      <c r="B356" s="106" t="s">
        <v>982</v>
      </c>
      <c r="C356" s="106" t="s">
        <v>992</v>
      </c>
      <c r="D356" s="107" t="s">
        <v>991</v>
      </c>
      <c r="E356" s="107"/>
      <c r="F356" s="107"/>
      <c r="G356" s="107"/>
      <c r="H356" s="156"/>
      <c r="I356" s="156"/>
      <c r="J356" s="156"/>
      <c r="K356" s="106" t="s">
        <v>990</v>
      </c>
      <c r="L356" s="157"/>
      <c r="M356" s="158"/>
      <c r="N356" s="159"/>
      <c r="O356" s="108" t="s">
        <v>986</v>
      </c>
      <c r="P356" s="108" t="s">
        <v>15</v>
      </c>
    </row>
    <row r="357" spans="2:31" ht="15" customHeight="1" x14ac:dyDescent="0.3">
      <c r="B357" s="21">
        <v>3</v>
      </c>
      <c r="C357" s="160" t="s">
        <v>1062</v>
      </c>
      <c r="D357" s="161" t="s">
        <v>1063</v>
      </c>
      <c r="E357" s="161"/>
      <c r="F357" s="161"/>
      <c r="G357" s="161"/>
      <c r="H357" s="162"/>
      <c r="I357" s="162"/>
      <c r="J357" s="162"/>
      <c r="K357" s="21">
        <v>1</v>
      </c>
      <c r="L357" s="163"/>
      <c r="M357" s="51"/>
      <c r="N357" s="51"/>
      <c r="O357" s="164">
        <v>1044</v>
      </c>
      <c r="P357" s="86">
        <f>+ROUND(PRODUCT(K357:O357),3)</f>
        <v>1044</v>
      </c>
    </row>
    <row r="358" spans="2:31" ht="15" customHeight="1" x14ac:dyDescent="0.3">
      <c r="B358" s="21">
        <v>3</v>
      </c>
      <c r="C358" s="160" t="s">
        <v>1067</v>
      </c>
      <c r="D358" s="161" t="s">
        <v>1068</v>
      </c>
      <c r="E358" s="161"/>
      <c r="F358" s="161"/>
      <c r="G358" s="161"/>
      <c r="H358" s="162"/>
      <c r="I358" s="162"/>
      <c r="J358" s="162"/>
      <c r="K358" s="21">
        <v>1</v>
      </c>
      <c r="L358" s="163"/>
      <c r="M358" s="51"/>
      <c r="N358" s="51"/>
      <c r="O358" s="164">
        <v>2610</v>
      </c>
      <c r="P358" s="86">
        <f>+ROUND(PRODUCT(K358:O358),3)</f>
        <v>2610</v>
      </c>
    </row>
    <row r="359" spans="2:31" ht="15" customHeight="1" x14ac:dyDescent="0.3">
      <c r="B359" s="21">
        <v>4</v>
      </c>
      <c r="C359" s="160" t="s">
        <v>1081</v>
      </c>
      <c r="D359" s="161" t="s">
        <v>1080</v>
      </c>
      <c r="E359" s="161"/>
      <c r="F359" s="161"/>
      <c r="G359" s="161"/>
      <c r="H359" s="162"/>
      <c r="I359" s="162"/>
      <c r="J359" s="162"/>
      <c r="K359" s="21">
        <v>1</v>
      </c>
      <c r="L359" s="163"/>
      <c r="M359" s="51"/>
      <c r="N359" s="51"/>
      <c r="O359" s="164">
        <v>2088</v>
      </c>
      <c r="P359" s="86">
        <f>+ROUND(PRODUCT(K359:O359),3)</f>
        <v>2088</v>
      </c>
    </row>
    <row r="360" spans="2:31" ht="15" customHeight="1" x14ac:dyDescent="0.3">
      <c r="B360" s="165">
        <v>4</v>
      </c>
      <c r="C360" s="166" t="s">
        <v>1087</v>
      </c>
      <c r="D360" s="111" t="s">
        <v>1088</v>
      </c>
      <c r="E360" s="167"/>
      <c r="F360" s="167"/>
      <c r="G360" s="167"/>
      <c r="H360" s="168"/>
      <c r="I360" s="168"/>
      <c r="J360" s="168"/>
      <c r="K360" s="165">
        <v>1</v>
      </c>
      <c r="L360" s="169"/>
      <c r="M360" s="170"/>
      <c r="N360" s="170"/>
      <c r="O360" s="171">
        <v>2610</v>
      </c>
      <c r="P360" s="172">
        <f>+ROUND(PRODUCT(K360:O360),3)</f>
        <v>2610</v>
      </c>
    </row>
    <row r="361" spans="2:31" ht="15" customHeight="1" x14ac:dyDescent="0.3">
      <c r="B361" s="165">
        <v>4</v>
      </c>
      <c r="C361" s="166" t="s">
        <v>1093</v>
      </c>
      <c r="D361" s="111" t="s">
        <v>1094</v>
      </c>
      <c r="E361" s="167"/>
      <c r="F361" s="167"/>
      <c r="G361" s="167"/>
      <c r="H361" s="168"/>
      <c r="I361" s="168"/>
      <c r="J361" s="168"/>
      <c r="K361" s="165">
        <v>1</v>
      </c>
      <c r="L361" s="169"/>
      <c r="M361" s="170"/>
      <c r="N361" s="170"/>
      <c r="O361" s="171">
        <v>999</v>
      </c>
      <c r="P361" s="172">
        <f>+ROUND(PRODUCT(K361:O361),3)</f>
        <v>999</v>
      </c>
    </row>
    <row r="362" spans="2:31" ht="4.95" customHeight="1" x14ac:dyDescent="0.3">
      <c r="B362" s="39"/>
      <c r="C362" s="42"/>
      <c r="D362" s="40"/>
      <c r="E362" s="40"/>
      <c r="F362" s="40"/>
      <c r="G362" s="40"/>
      <c r="H362" s="41"/>
      <c r="I362" s="41"/>
      <c r="J362" s="41"/>
      <c r="K362" s="41"/>
      <c r="L362" s="41"/>
      <c r="M362" s="41"/>
      <c r="N362" s="41"/>
      <c r="O362" s="42"/>
      <c r="P362" s="43"/>
    </row>
    <row r="363" spans="2:31" ht="19.95" customHeight="1" x14ac:dyDescent="0.3">
      <c r="C363" s="29"/>
      <c r="D363" s="32"/>
      <c r="E363" s="32"/>
      <c r="F363" s="32"/>
      <c r="G363" s="32"/>
      <c r="H363" s="11"/>
      <c r="I363" s="11"/>
      <c r="J363" s="11"/>
      <c r="K363" s="11"/>
      <c r="L363" s="11"/>
      <c r="M363" s="11"/>
      <c r="N363" s="11"/>
      <c r="O363" s="29"/>
    </row>
    <row r="364" spans="2:31" ht="30" customHeight="1" x14ac:dyDescent="0.3">
      <c r="B364" s="193" t="s">
        <v>7</v>
      </c>
      <c r="C364" s="194"/>
      <c r="D364" s="193" t="s">
        <v>8</v>
      </c>
      <c r="E364" s="195"/>
      <c r="F364" s="195"/>
      <c r="G364" s="195"/>
      <c r="H364" s="195"/>
      <c r="I364" s="195"/>
      <c r="J364" s="195"/>
      <c r="K364" s="195"/>
      <c r="L364" s="195"/>
      <c r="M364" s="33" t="s">
        <v>9</v>
      </c>
      <c r="N364" s="104" t="s">
        <v>1077</v>
      </c>
      <c r="O364" s="104" t="s">
        <v>1078</v>
      </c>
      <c r="P364" s="34" t="s">
        <v>1079</v>
      </c>
    </row>
    <row r="365" spans="2:31" ht="30" customHeight="1" x14ac:dyDescent="0.3">
      <c r="B365" s="199" t="s">
        <v>163</v>
      </c>
      <c r="C365" s="200"/>
      <c r="D365" s="197" t="str">
        <f>+VLOOKUP(B365,[1]Liste!B:E,2,FALSE)</f>
        <v>Çelik Donatı (S220 )</v>
      </c>
      <c r="E365" s="198"/>
      <c r="F365" s="198"/>
      <c r="G365" s="198"/>
      <c r="H365" s="198"/>
      <c r="I365" s="198"/>
      <c r="J365" s="198"/>
      <c r="K365" s="198"/>
      <c r="L365" s="198"/>
      <c r="M365" s="35" t="str">
        <f>+VLOOKUP(B365,[1]Liste!B:E,3,FALSE)</f>
        <v>ton</v>
      </c>
      <c r="N365" s="66">
        <v>12.284000000000001</v>
      </c>
      <c r="O365" s="66">
        <f>+P365-N365</f>
        <v>0</v>
      </c>
      <c r="P365" s="66">
        <f>+ROUND(SUM(P366:P413),3)</f>
        <v>12.284000000000001</v>
      </c>
      <c r="AA365" s="9">
        <f>+VLOOKUP(B365,[2]Liste!$B$2:$F$483,5,FALSE)</f>
        <v>46250</v>
      </c>
      <c r="AC365" s="9">
        <f>+AA365*N365</f>
        <v>568135</v>
      </c>
      <c r="AD365" s="9">
        <f>+AA365*O365</f>
        <v>0</v>
      </c>
      <c r="AE365" s="9">
        <f>+AA365*P365</f>
        <v>568135</v>
      </c>
    </row>
    <row r="366" spans="2:31" ht="15" customHeight="1" x14ac:dyDescent="0.3">
      <c r="B366" s="37" t="s">
        <v>982</v>
      </c>
      <c r="C366" s="70" t="s">
        <v>995</v>
      </c>
      <c r="D366" s="55"/>
      <c r="E366" s="55"/>
      <c r="F366" s="55"/>
      <c r="G366" s="55"/>
      <c r="H366" s="55" t="s">
        <v>13</v>
      </c>
      <c r="I366" s="70"/>
      <c r="J366" s="70"/>
      <c r="K366" s="37" t="s">
        <v>990</v>
      </c>
      <c r="L366" s="79" t="s">
        <v>1021</v>
      </c>
      <c r="M366" s="83"/>
      <c r="N366" s="70" t="s">
        <v>996</v>
      </c>
      <c r="O366" s="75" t="s">
        <v>986</v>
      </c>
      <c r="P366" s="38" t="s">
        <v>15</v>
      </c>
    </row>
    <row r="367" spans="2:31" ht="15" customHeight="1" x14ac:dyDescent="0.3">
      <c r="B367" s="61">
        <v>3</v>
      </c>
      <c r="C367" s="91" t="s">
        <v>1022</v>
      </c>
      <c r="D367" s="92"/>
      <c r="E367" s="92"/>
      <c r="F367" s="59"/>
      <c r="G367" s="59"/>
      <c r="H367" s="59" t="s">
        <v>1032</v>
      </c>
      <c r="I367" s="64"/>
      <c r="J367" s="64"/>
      <c r="K367" s="61">
        <v>60</v>
      </c>
      <c r="L367" s="80">
        <f>SUM($K$286:$K$291)</f>
        <v>11</v>
      </c>
      <c r="M367" s="82"/>
      <c r="N367" s="89">
        <v>0.88800000000000001</v>
      </c>
      <c r="O367" s="90">
        <v>1.5</v>
      </c>
      <c r="P367" s="68">
        <f>+ROUND(PRODUCT(K367:O367)/1000,3)</f>
        <v>0.879</v>
      </c>
      <c r="S367" s="88"/>
    </row>
    <row r="368" spans="2:31" ht="15" customHeight="1" x14ac:dyDescent="0.3">
      <c r="B368" s="61">
        <v>3</v>
      </c>
      <c r="C368" s="91" t="s">
        <v>1022</v>
      </c>
      <c r="D368" s="92"/>
      <c r="E368" s="92"/>
      <c r="F368" s="59"/>
      <c r="G368" s="59"/>
      <c r="H368" s="59" t="s">
        <v>1032</v>
      </c>
      <c r="I368" s="64"/>
      <c r="J368" s="64"/>
      <c r="K368" s="61">
        <v>60</v>
      </c>
      <c r="L368" s="80">
        <f>SUM($K$292:$K$297)</f>
        <v>25</v>
      </c>
      <c r="M368" s="82"/>
      <c r="N368" s="89">
        <v>0.88800000000000001</v>
      </c>
      <c r="O368" s="90">
        <v>1.5</v>
      </c>
      <c r="P368" s="68">
        <f>+ROUND(PRODUCT(K368:O368)/1000,3)</f>
        <v>1.998</v>
      </c>
      <c r="S368" s="88"/>
    </row>
    <row r="369" spans="2:19" ht="15" customHeight="1" x14ac:dyDescent="0.3">
      <c r="B369" s="61">
        <v>4</v>
      </c>
      <c r="C369" s="91" t="s">
        <v>1022</v>
      </c>
      <c r="D369" s="92"/>
      <c r="E369" s="92"/>
      <c r="F369" s="59"/>
      <c r="G369" s="59"/>
      <c r="H369" s="59" t="s">
        <v>1032</v>
      </c>
      <c r="I369" s="64"/>
      <c r="J369" s="64"/>
      <c r="K369" s="61">
        <v>60</v>
      </c>
      <c r="L369" s="80">
        <f>SUM($K$298:$K$303)</f>
        <v>27</v>
      </c>
      <c r="M369" s="82"/>
      <c r="N369" s="89">
        <v>0.88800000000000001</v>
      </c>
      <c r="O369" s="90">
        <v>1.5</v>
      </c>
      <c r="P369" s="68">
        <f>+ROUND(PRODUCT(K369:O369)/1000,3)</f>
        <v>2.1579999999999999</v>
      </c>
      <c r="S369" s="88"/>
    </row>
    <row r="370" spans="2:19" ht="15" customHeight="1" x14ac:dyDescent="0.3">
      <c r="B370" s="61">
        <v>4</v>
      </c>
      <c r="C370" s="91" t="s">
        <v>1022</v>
      </c>
      <c r="D370" s="92"/>
      <c r="E370" s="92"/>
      <c r="F370" s="59"/>
      <c r="G370" s="59"/>
      <c r="H370" s="59" t="s">
        <v>1032</v>
      </c>
      <c r="I370" s="64"/>
      <c r="J370" s="64"/>
      <c r="K370" s="61">
        <v>60</v>
      </c>
      <c r="L370" s="80">
        <f>SUM($K$304:$K$309)</f>
        <v>27</v>
      </c>
      <c r="M370" s="82"/>
      <c r="N370" s="89">
        <v>0.88800000000000001</v>
      </c>
      <c r="O370" s="90">
        <v>1.5</v>
      </c>
      <c r="P370" s="68">
        <f>+ROUND(PRODUCT(K370:O370)/1000,3)</f>
        <v>2.1579999999999999</v>
      </c>
      <c r="S370" s="88"/>
    </row>
    <row r="371" spans="2:19" ht="15" customHeight="1" x14ac:dyDescent="0.3">
      <c r="B371" s="61">
        <v>4</v>
      </c>
      <c r="C371" s="91" t="s">
        <v>1022</v>
      </c>
      <c r="D371" s="92"/>
      <c r="E371" s="92"/>
      <c r="F371" s="59"/>
      <c r="G371" s="59"/>
      <c r="H371" s="59" t="s">
        <v>1032</v>
      </c>
      <c r="I371" s="64"/>
      <c r="J371" s="64"/>
      <c r="K371" s="61">
        <v>60</v>
      </c>
      <c r="L371" s="80">
        <f>SUM($K$310:$K$316)</f>
        <v>19</v>
      </c>
      <c r="M371" s="82"/>
      <c r="N371" s="89">
        <v>0.88800000000000001</v>
      </c>
      <c r="O371" s="90">
        <v>1.5</v>
      </c>
      <c r="P371" s="68">
        <f>+ROUND(PRODUCT(K371:O371)/1000,3)</f>
        <v>1.518</v>
      </c>
      <c r="S371" s="88"/>
    </row>
    <row r="372" spans="2:19" ht="15" customHeight="1" x14ac:dyDescent="0.3">
      <c r="B372" s="54" t="s">
        <v>1015</v>
      </c>
      <c r="C372" s="93"/>
      <c r="D372" s="48"/>
      <c r="E372" s="48"/>
      <c r="F372" s="48"/>
      <c r="G372" s="48"/>
      <c r="H372" s="49"/>
      <c r="I372" s="49"/>
      <c r="J372" s="49"/>
      <c r="K372" s="50"/>
      <c r="L372" s="50"/>
      <c r="M372" s="51"/>
      <c r="N372" s="51"/>
      <c r="O372" s="52"/>
      <c r="P372" s="53"/>
    </row>
    <row r="373" spans="2:19" ht="15" customHeight="1" x14ac:dyDescent="0.3">
      <c r="B373" s="37" t="s">
        <v>982</v>
      </c>
      <c r="C373" s="70" t="s">
        <v>995</v>
      </c>
      <c r="D373" s="55"/>
      <c r="E373" s="55"/>
      <c r="F373" s="55"/>
      <c r="G373" s="55"/>
      <c r="H373" s="55" t="s">
        <v>13</v>
      </c>
      <c r="I373" s="70"/>
      <c r="J373" s="70"/>
      <c r="K373" s="37" t="s">
        <v>990</v>
      </c>
      <c r="L373" s="79" t="s">
        <v>1021</v>
      </c>
      <c r="M373" s="83"/>
      <c r="N373" s="70" t="s">
        <v>996</v>
      </c>
      <c r="O373" s="75" t="s">
        <v>986</v>
      </c>
      <c r="P373" s="38" t="s">
        <v>15</v>
      </c>
    </row>
    <row r="374" spans="2:19" ht="15" customHeight="1" x14ac:dyDescent="0.3">
      <c r="B374" s="61">
        <v>3</v>
      </c>
      <c r="C374" s="91" t="s">
        <v>1022</v>
      </c>
      <c r="D374" s="92"/>
      <c r="E374" s="92"/>
      <c r="F374" s="59"/>
      <c r="G374" s="59"/>
      <c r="H374" s="59" t="s">
        <v>1031</v>
      </c>
      <c r="I374" s="64"/>
      <c r="J374" s="64"/>
      <c r="K374" s="61">
        <v>9</v>
      </c>
      <c r="L374" s="80">
        <f>SUM($K$286:$K$291)</f>
        <v>11</v>
      </c>
      <c r="M374" s="82"/>
      <c r="N374" s="89">
        <v>1.208</v>
      </c>
      <c r="O374" s="90">
        <v>0.95</v>
      </c>
      <c r="P374" s="68">
        <f t="shared" ref="P374:P379" si="64">+ROUND(PRODUCT(K374:O374)/1000,3)</f>
        <v>0.114</v>
      </c>
      <c r="S374" s="88"/>
    </row>
    <row r="375" spans="2:19" ht="15" customHeight="1" x14ac:dyDescent="0.3">
      <c r="B375" s="61">
        <v>3</v>
      </c>
      <c r="C375" s="91" t="s">
        <v>1075</v>
      </c>
      <c r="D375" s="92"/>
      <c r="E375" s="92"/>
      <c r="F375" s="59"/>
      <c r="G375" s="59"/>
      <c r="H375" s="59" t="s">
        <v>1076</v>
      </c>
      <c r="I375" s="64"/>
      <c r="J375" s="64"/>
      <c r="K375" s="61">
        <v>6</v>
      </c>
      <c r="L375" s="80">
        <f>SUM($K$286:$K$291)</f>
        <v>11</v>
      </c>
      <c r="M375" s="82"/>
      <c r="N375" s="89">
        <v>1.208</v>
      </c>
      <c r="O375" s="90">
        <v>0.95</v>
      </c>
      <c r="P375" s="68">
        <f t="shared" si="64"/>
        <v>7.5999999999999998E-2</v>
      </c>
      <c r="S375" s="88"/>
    </row>
    <row r="376" spans="2:19" ht="15.6" customHeight="1" x14ac:dyDescent="0.3">
      <c r="B376" s="61">
        <v>3</v>
      </c>
      <c r="C376" s="91" t="s">
        <v>1022</v>
      </c>
      <c r="D376" s="92"/>
      <c r="E376" s="92"/>
      <c r="F376" s="59"/>
      <c r="G376" s="59"/>
      <c r="H376" s="59" t="s">
        <v>1031</v>
      </c>
      <c r="I376" s="64"/>
      <c r="J376" s="64"/>
      <c r="K376" s="61">
        <v>9</v>
      </c>
      <c r="L376" s="80">
        <f>SUM($K$292:$K$297)</f>
        <v>25</v>
      </c>
      <c r="M376" s="82"/>
      <c r="N376" s="89">
        <v>1.208</v>
      </c>
      <c r="O376" s="90">
        <v>0.95</v>
      </c>
      <c r="P376" s="68">
        <f t="shared" si="64"/>
        <v>0.25800000000000001</v>
      </c>
      <c r="S376" s="88"/>
    </row>
    <row r="377" spans="2:19" ht="15.6" customHeight="1" x14ac:dyDescent="0.3">
      <c r="B377" s="61">
        <v>3</v>
      </c>
      <c r="C377" s="91" t="s">
        <v>1075</v>
      </c>
      <c r="D377" s="92"/>
      <c r="E377" s="92"/>
      <c r="F377" s="59"/>
      <c r="G377" s="59"/>
      <c r="H377" s="59" t="s">
        <v>1076</v>
      </c>
      <c r="I377" s="64"/>
      <c r="J377" s="64"/>
      <c r="K377" s="61">
        <v>6</v>
      </c>
      <c r="L377" s="80">
        <f>SUM($K$292:$K$297)</f>
        <v>25</v>
      </c>
      <c r="M377" s="82"/>
      <c r="N377" s="89">
        <v>1.208</v>
      </c>
      <c r="O377" s="90">
        <v>0.95</v>
      </c>
      <c r="P377" s="68">
        <f t="shared" si="64"/>
        <v>0.17199999999999999</v>
      </c>
      <c r="S377" s="88"/>
    </row>
    <row r="378" spans="2:19" ht="15.6" customHeight="1" x14ac:dyDescent="0.3">
      <c r="B378" s="61">
        <v>4</v>
      </c>
      <c r="C378" s="91" t="s">
        <v>1022</v>
      </c>
      <c r="D378" s="92"/>
      <c r="E378" s="92"/>
      <c r="F378" s="59"/>
      <c r="G378" s="59"/>
      <c r="H378" s="59" t="s">
        <v>1031</v>
      </c>
      <c r="I378" s="64"/>
      <c r="J378" s="64"/>
      <c r="K378" s="61">
        <v>9</v>
      </c>
      <c r="L378" s="80">
        <f t="shared" ref="L378:L379" si="65">SUM($K$298:$K$303)</f>
        <v>27</v>
      </c>
      <c r="M378" s="82"/>
      <c r="N378" s="89">
        <v>1.208</v>
      </c>
      <c r="O378" s="90">
        <v>0.95</v>
      </c>
      <c r="P378" s="68">
        <f t="shared" si="64"/>
        <v>0.27900000000000003</v>
      </c>
      <c r="S378" s="88"/>
    </row>
    <row r="379" spans="2:19" ht="15.6" customHeight="1" x14ac:dyDescent="0.3">
      <c r="B379" s="61">
        <v>4</v>
      </c>
      <c r="C379" s="91" t="s">
        <v>1075</v>
      </c>
      <c r="D379" s="92"/>
      <c r="E379" s="92"/>
      <c r="F379" s="59"/>
      <c r="G379" s="59"/>
      <c r="H379" s="59" t="s">
        <v>1076</v>
      </c>
      <c r="I379" s="64"/>
      <c r="J379" s="64"/>
      <c r="K379" s="61">
        <v>6</v>
      </c>
      <c r="L379" s="80">
        <f t="shared" si="65"/>
        <v>27</v>
      </c>
      <c r="M379" s="82"/>
      <c r="N379" s="89">
        <v>1.208</v>
      </c>
      <c r="O379" s="90">
        <v>0.95</v>
      </c>
      <c r="P379" s="68">
        <f t="shared" si="64"/>
        <v>0.186</v>
      </c>
      <c r="S379" s="88"/>
    </row>
    <row r="380" spans="2:19" ht="15.6" customHeight="1" x14ac:dyDescent="0.3">
      <c r="B380" s="61">
        <v>4</v>
      </c>
      <c r="C380" s="91" t="s">
        <v>1022</v>
      </c>
      <c r="D380" s="92"/>
      <c r="E380" s="92"/>
      <c r="F380" s="59"/>
      <c r="G380" s="59"/>
      <c r="H380" s="59" t="s">
        <v>1031</v>
      </c>
      <c r="I380" s="64"/>
      <c r="J380" s="64"/>
      <c r="K380" s="61">
        <v>9</v>
      </c>
      <c r="L380" s="80">
        <f t="shared" ref="L380:L381" si="66">SUM($K$304:$K$309)</f>
        <v>27</v>
      </c>
      <c r="M380" s="82"/>
      <c r="N380" s="89">
        <v>1.208</v>
      </c>
      <c r="O380" s="90">
        <v>0.95</v>
      </c>
      <c r="P380" s="68">
        <f t="shared" ref="P380:P381" si="67">+ROUND(PRODUCT(K380:O380)/1000,3)</f>
        <v>0.27900000000000003</v>
      </c>
      <c r="S380" s="88"/>
    </row>
    <row r="381" spans="2:19" ht="15.6" customHeight="1" x14ac:dyDescent="0.3">
      <c r="B381" s="61">
        <v>4</v>
      </c>
      <c r="C381" s="91" t="s">
        <v>1075</v>
      </c>
      <c r="D381" s="92"/>
      <c r="E381" s="92"/>
      <c r="F381" s="59"/>
      <c r="G381" s="59"/>
      <c r="H381" s="59" t="s">
        <v>1076</v>
      </c>
      <c r="I381" s="64"/>
      <c r="J381" s="64"/>
      <c r="K381" s="61">
        <v>6</v>
      </c>
      <c r="L381" s="80">
        <f t="shared" si="66"/>
        <v>27</v>
      </c>
      <c r="M381" s="82"/>
      <c r="N381" s="89">
        <v>1.208</v>
      </c>
      <c r="O381" s="90">
        <v>0.95</v>
      </c>
      <c r="P381" s="68">
        <f t="shared" si="67"/>
        <v>0.186</v>
      </c>
      <c r="S381" s="88"/>
    </row>
    <row r="382" spans="2:19" ht="15.6" customHeight="1" x14ac:dyDescent="0.3">
      <c r="B382" s="61">
        <v>4</v>
      </c>
      <c r="C382" s="91" t="s">
        <v>1022</v>
      </c>
      <c r="D382" s="92"/>
      <c r="E382" s="92"/>
      <c r="F382" s="59"/>
      <c r="G382" s="59"/>
      <c r="H382" s="59" t="s">
        <v>1031</v>
      </c>
      <c r="I382" s="64"/>
      <c r="J382" s="64"/>
      <c r="K382" s="61">
        <v>9</v>
      </c>
      <c r="L382" s="80">
        <f t="shared" ref="L382:L383" si="68">SUM($K$310:$K$316)</f>
        <v>19</v>
      </c>
      <c r="M382" s="82"/>
      <c r="N382" s="89">
        <v>1.208</v>
      </c>
      <c r="O382" s="90">
        <v>0.95</v>
      </c>
      <c r="P382" s="68">
        <f t="shared" ref="P382:P383" si="69">+ROUND(PRODUCT(K382:O382)/1000,3)</f>
        <v>0.19600000000000001</v>
      </c>
      <c r="S382" s="88"/>
    </row>
    <row r="383" spans="2:19" ht="15.6" customHeight="1" x14ac:dyDescent="0.3">
      <c r="B383" s="61">
        <v>4</v>
      </c>
      <c r="C383" s="91" t="s">
        <v>1075</v>
      </c>
      <c r="D383" s="92"/>
      <c r="E383" s="92"/>
      <c r="F383" s="59"/>
      <c r="G383" s="59"/>
      <c r="H383" s="59" t="s">
        <v>1076</v>
      </c>
      <c r="I383" s="64"/>
      <c r="J383" s="64"/>
      <c r="K383" s="61">
        <v>6</v>
      </c>
      <c r="L383" s="80">
        <f t="shared" si="68"/>
        <v>19</v>
      </c>
      <c r="M383" s="82"/>
      <c r="N383" s="89">
        <v>1.208</v>
      </c>
      <c r="O383" s="90">
        <v>0.95</v>
      </c>
      <c r="P383" s="68">
        <f t="shared" si="69"/>
        <v>0.13100000000000001</v>
      </c>
      <c r="S383" s="88"/>
    </row>
    <row r="384" spans="2:19" ht="15" customHeight="1" x14ac:dyDescent="0.3">
      <c r="B384" s="54" t="s">
        <v>1016</v>
      </c>
      <c r="C384" s="93"/>
      <c r="D384" s="48"/>
      <c r="E384" s="48"/>
      <c r="F384" s="48"/>
      <c r="G384" s="48"/>
      <c r="H384" s="49"/>
      <c r="I384" s="49"/>
      <c r="J384" s="49"/>
      <c r="K384" s="50"/>
      <c r="L384" s="50"/>
      <c r="M384" s="51"/>
      <c r="N384" s="51"/>
      <c r="O384" s="52"/>
      <c r="P384" s="53"/>
    </row>
    <row r="385" spans="2:19" ht="15" customHeight="1" x14ac:dyDescent="0.3">
      <c r="B385" s="37" t="s">
        <v>982</v>
      </c>
      <c r="C385" s="70" t="s">
        <v>995</v>
      </c>
      <c r="D385" s="55"/>
      <c r="E385" s="55"/>
      <c r="F385" s="55"/>
      <c r="G385" s="55"/>
      <c r="H385" s="55" t="s">
        <v>13</v>
      </c>
      <c r="I385" s="70"/>
      <c r="J385" s="70"/>
      <c r="K385" s="37" t="s">
        <v>990</v>
      </c>
      <c r="L385" s="79" t="s">
        <v>1021</v>
      </c>
      <c r="M385" s="83"/>
      <c r="N385" s="70" t="s">
        <v>996</v>
      </c>
      <c r="O385" s="75" t="s">
        <v>986</v>
      </c>
      <c r="P385" s="38" t="s">
        <v>15</v>
      </c>
    </row>
    <row r="386" spans="2:19" ht="15" customHeight="1" x14ac:dyDescent="0.3">
      <c r="B386" s="61">
        <v>3</v>
      </c>
      <c r="C386" s="91" t="s">
        <v>1075</v>
      </c>
      <c r="D386" s="92"/>
      <c r="E386" s="92"/>
      <c r="F386" s="59"/>
      <c r="G386" s="59"/>
      <c r="H386" s="59" t="s">
        <v>1076</v>
      </c>
      <c r="I386" s="64"/>
      <c r="J386" s="64"/>
      <c r="K386" s="61">
        <v>6</v>
      </c>
      <c r="L386" s="80">
        <f>SUM($K$318:$K$321)</f>
        <v>4</v>
      </c>
      <c r="M386" s="82"/>
      <c r="N386" s="89">
        <v>1.208</v>
      </c>
      <c r="O386" s="90">
        <v>0.95</v>
      </c>
      <c r="P386" s="68">
        <f t="shared" ref="P386:P391" si="70">+ROUND(PRODUCT(K386:O386)/1000,3)</f>
        <v>2.8000000000000001E-2</v>
      </c>
      <c r="S386" s="88"/>
    </row>
    <row r="387" spans="2:19" ht="15" customHeight="1" x14ac:dyDescent="0.3">
      <c r="B387" s="61">
        <v>3</v>
      </c>
      <c r="C387" s="91" t="s">
        <v>1075</v>
      </c>
      <c r="D387" s="92"/>
      <c r="E387" s="92"/>
      <c r="F387" s="59"/>
      <c r="G387" s="59"/>
      <c r="H387" s="59" t="s">
        <v>1076</v>
      </c>
      <c r="I387" s="64"/>
      <c r="J387" s="64"/>
      <c r="K387" s="61">
        <v>6</v>
      </c>
      <c r="L387" s="80">
        <f>SUM($K$322:$K$327)</f>
        <v>31</v>
      </c>
      <c r="M387" s="82"/>
      <c r="N387" s="89">
        <v>1.208</v>
      </c>
      <c r="O387" s="90">
        <v>0.95</v>
      </c>
      <c r="P387" s="68">
        <f t="shared" si="70"/>
        <v>0.21299999999999999</v>
      </c>
      <c r="S387" s="88"/>
    </row>
    <row r="388" spans="2:19" ht="15" customHeight="1" x14ac:dyDescent="0.3">
      <c r="B388" s="61">
        <v>4</v>
      </c>
      <c r="C388" s="91" t="s">
        <v>1075</v>
      </c>
      <c r="D388" s="92"/>
      <c r="E388" s="92"/>
      <c r="F388" s="59"/>
      <c r="G388" s="59"/>
      <c r="H388" s="59" t="s">
        <v>1076</v>
      </c>
      <c r="I388" s="64"/>
      <c r="J388" s="64"/>
      <c r="K388" s="61">
        <v>6</v>
      </c>
      <c r="L388" s="80">
        <f>SUM($K$328:$K$333)</f>
        <v>22</v>
      </c>
      <c r="M388" s="82"/>
      <c r="N388" s="89">
        <v>1.208</v>
      </c>
      <c r="O388" s="90">
        <v>0.95</v>
      </c>
      <c r="P388" s="68">
        <f t="shared" si="70"/>
        <v>0.151</v>
      </c>
      <c r="S388" s="88"/>
    </row>
    <row r="389" spans="2:19" ht="15" customHeight="1" x14ac:dyDescent="0.3">
      <c r="B389" s="61">
        <v>4</v>
      </c>
      <c r="C389" s="91" t="s">
        <v>1075</v>
      </c>
      <c r="D389" s="92"/>
      <c r="E389" s="92"/>
      <c r="F389" s="59"/>
      <c r="G389" s="59"/>
      <c r="H389" s="59" t="s">
        <v>1076</v>
      </c>
      <c r="I389" s="64"/>
      <c r="J389" s="64"/>
      <c r="K389" s="61">
        <v>6</v>
      </c>
      <c r="L389" s="80">
        <f>SUM($K$334:$K$339)</f>
        <v>25</v>
      </c>
      <c r="M389" s="82"/>
      <c r="N389" s="89">
        <v>1.208</v>
      </c>
      <c r="O389" s="90">
        <v>0.95</v>
      </c>
      <c r="P389" s="68">
        <f t="shared" si="70"/>
        <v>0.17199999999999999</v>
      </c>
      <c r="S389" s="88"/>
    </row>
    <row r="390" spans="2:19" ht="15" customHeight="1" x14ac:dyDescent="0.3">
      <c r="B390" s="61">
        <v>4</v>
      </c>
      <c r="C390" s="91" t="s">
        <v>1075</v>
      </c>
      <c r="D390" s="92"/>
      <c r="E390" s="92"/>
      <c r="F390" s="59"/>
      <c r="G390" s="59"/>
      <c r="H390" s="59" t="s">
        <v>1076</v>
      </c>
      <c r="I390" s="64"/>
      <c r="J390" s="64"/>
      <c r="K390" s="61">
        <v>6</v>
      </c>
      <c r="L390" s="80">
        <f>SUM($K$340:$K$345)</f>
        <v>18</v>
      </c>
      <c r="M390" s="82"/>
      <c r="N390" s="89">
        <v>1.208</v>
      </c>
      <c r="O390" s="90">
        <v>0.95</v>
      </c>
      <c r="P390" s="68">
        <f t="shared" si="70"/>
        <v>0.124</v>
      </c>
      <c r="S390" s="88"/>
    </row>
    <row r="391" spans="2:19" ht="15" customHeight="1" x14ac:dyDescent="0.3">
      <c r="B391" s="61">
        <v>5</v>
      </c>
      <c r="C391" s="91" t="s">
        <v>1075</v>
      </c>
      <c r="D391" s="92"/>
      <c r="E391" s="92"/>
      <c r="F391" s="59"/>
      <c r="G391" s="59"/>
      <c r="H391" s="59" t="s">
        <v>1076</v>
      </c>
      <c r="I391" s="64"/>
      <c r="J391" s="64"/>
      <c r="K391" s="61">
        <v>6</v>
      </c>
      <c r="L391" s="80">
        <v>7</v>
      </c>
      <c r="M391" s="82"/>
      <c r="N391" s="89">
        <v>1.208</v>
      </c>
      <c r="O391" s="90">
        <v>0.95</v>
      </c>
      <c r="P391" s="68">
        <f t="shared" si="70"/>
        <v>4.8000000000000001E-2</v>
      </c>
      <c r="S391" s="88"/>
    </row>
    <row r="392" spans="2:19" ht="15" customHeight="1" x14ac:dyDescent="0.3">
      <c r="B392" s="61">
        <v>5</v>
      </c>
      <c r="C392" s="91" t="s">
        <v>1075</v>
      </c>
      <c r="D392" s="92"/>
      <c r="E392" s="92"/>
      <c r="F392" s="59"/>
      <c r="G392" s="59"/>
      <c r="H392" s="59" t="s">
        <v>1076</v>
      </c>
      <c r="I392" s="64"/>
      <c r="J392" s="64"/>
      <c r="K392" s="61">
        <v>6</v>
      </c>
      <c r="L392" s="80">
        <v>1</v>
      </c>
      <c r="M392" s="82"/>
      <c r="N392" s="89">
        <v>1.208</v>
      </c>
      <c r="O392" s="90">
        <v>0.85</v>
      </c>
      <c r="P392" s="68">
        <f t="shared" ref="P392" si="71">+ROUND(PRODUCT(K392:O392)/1000,3)</f>
        <v>6.0000000000000001E-3</v>
      </c>
      <c r="S392" s="88"/>
    </row>
    <row r="393" spans="2:19" ht="15" customHeight="1" x14ac:dyDescent="0.3">
      <c r="B393" s="54" t="s">
        <v>1030</v>
      </c>
      <c r="C393" s="93"/>
      <c r="D393" s="48"/>
      <c r="E393" s="48"/>
      <c r="F393" s="48"/>
      <c r="G393" s="48"/>
      <c r="H393" s="49"/>
      <c r="I393" s="49"/>
      <c r="J393" s="49"/>
      <c r="K393" s="50"/>
      <c r="L393" s="50"/>
      <c r="M393" s="51"/>
      <c r="N393" s="51"/>
      <c r="O393" s="52"/>
      <c r="P393" s="53"/>
      <c r="S393" s="88"/>
    </row>
    <row r="394" spans="2:19" ht="15" customHeight="1" x14ac:dyDescent="0.3">
      <c r="B394" s="106" t="s">
        <v>982</v>
      </c>
      <c r="C394" s="106" t="s">
        <v>992</v>
      </c>
      <c r="D394" s="107" t="s">
        <v>991</v>
      </c>
      <c r="E394" s="107"/>
      <c r="F394" s="107"/>
      <c r="G394" s="107"/>
      <c r="H394" s="156"/>
      <c r="I394" s="156"/>
      <c r="J394" s="156"/>
      <c r="K394" s="106" t="s">
        <v>990</v>
      </c>
      <c r="L394" s="147" t="s">
        <v>13</v>
      </c>
      <c r="M394" s="177"/>
      <c r="N394" s="156" t="s">
        <v>996</v>
      </c>
      <c r="O394" s="178" t="s">
        <v>986</v>
      </c>
      <c r="P394" s="108" t="s">
        <v>15</v>
      </c>
      <c r="S394" s="88"/>
    </row>
    <row r="395" spans="2:19" ht="15" customHeight="1" x14ac:dyDescent="0.3">
      <c r="B395" s="118">
        <v>3</v>
      </c>
      <c r="C395" s="119" t="s">
        <v>1062</v>
      </c>
      <c r="D395" s="120" t="s">
        <v>1063</v>
      </c>
      <c r="E395" s="120"/>
      <c r="F395" s="120"/>
      <c r="G395" s="120"/>
      <c r="H395" s="131"/>
      <c r="I395" s="131"/>
      <c r="J395" s="131"/>
      <c r="K395" s="118">
        <v>30</v>
      </c>
      <c r="L395" s="122" t="s">
        <v>1064</v>
      </c>
      <c r="M395" s="123"/>
      <c r="N395" s="181">
        <v>0.88800000000000001</v>
      </c>
      <c r="O395" s="182">
        <v>2</v>
      </c>
      <c r="P395" s="124">
        <f t="shared" ref="P395:P400" si="72">+ROUND(PRODUCT(K395:O395)/1000,3)</f>
        <v>5.2999999999999999E-2</v>
      </c>
      <c r="S395" s="88"/>
    </row>
    <row r="396" spans="2:19" ht="15" customHeight="1" x14ac:dyDescent="0.3">
      <c r="B396" s="36">
        <v>3</v>
      </c>
      <c r="C396" s="46" t="s">
        <v>1062</v>
      </c>
      <c r="D396" s="56" t="s">
        <v>1063</v>
      </c>
      <c r="E396" s="56"/>
      <c r="F396" s="56"/>
      <c r="G396" s="56"/>
      <c r="H396" s="71"/>
      <c r="I396" s="71"/>
      <c r="J396" s="71"/>
      <c r="K396" s="36">
        <v>30</v>
      </c>
      <c r="L396" s="125" t="s">
        <v>1066</v>
      </c>
      <c r="M396" s="126"/>
      <c r="N396" s="183">
        <v>0.88800000000000001</v>
      </c>
      <c r="O396" s="78">
        <v>2</v>
      </c>
      <c r="P396" s="57">
        <f t="shared" si="72"/>
        <v>5.2999999999999999E-2</v>
      </c>
      <c r="S396" s="88"/>
    </row>
    <row r="397" spans="2:19" ht="15" customHeight="1" x14ac:dyDescent="0.3">
      <c r="B397" s="118">
        <v>3</v>
      </c>
      <c r="C397" s="119" t="s">
        <v>1067</v>
      </c>
      <c r="D397" s="120" t="s">
        <v>1068</v>
      </c>
      <c r="E397" s="120"/>
      <c r="F397" s="120"/>
      <c r="G397" s="120"/>
      <c r="H397" s="131"/>
      <c r="I397" s="131"/>
      <c r="J397" s="131"/>
      <c r="K397" s="118">
        <v>30</v>
      </c>
      <c r="L397" s="122" t="s">
        <v>1070</v>
      </c>
      <c r="M397" s="123"/>
      <c r="N397" s="181">
        <v>0.88800000000000001</v>
      </c>
      <c r="O397" s="182">
        <v>2</v>
      </c>
      <c r="P397" s="124">
        <f t="shared" si="72"/>
        <v>5.2999999999999999E-2</v>
      </c>
      <c r="S397" s="88"/>
    </row>
    <row r="398" spans="2:19" ht="15" customHeight="1" x14ac:dyDescent="0.3">
      <c r="B398" s="61">
        <v>3</v>
      </c>
      <c r="C398" s="58" t="s">
        <v>1067</v>
      </c>
      <c r="D398" s="59" t="s">
        <v>1068</v>
      </c>
      <c r="E398" s="59"/>
      <c r="F398" s="59"/>
      <c r="G398" s="59"/>
      <c r="H398" s="64"/>
      <c r="I398" s="64"/>
      <c r="J398" s="64"/>
      <c r="K398" s="61">
        <v>30</v>
      </c>
      <c r="L398" s="80" t="s">
        <v>1071</v>
      </c>
      <c r="M398" s="82"/>
      <c r="N398" s="89">
        <v>0.88800000000000001</v>
      </c>
      <c r="O398" s="90">
        <v>2</v>
      </c>
      <c r="P398" s="68">
        <f t="shared" si="72"/>
        <v>5.2999999999999999E-2</v>
      </c>
      <c r="S398" s="88"/>
    </row>
    <row r="399" spans="2:19" ht="15" customHeight="1" x14ac:dyDescent="0.3">
      <c r="B399" s="61">
        <v>3</v>
      </c>
      <c r="C399" s="58" t="s">
        <v>1067</v>
      </c>
      <c r="D399" s="59" t="s">
        <v>1068</v>
      </c>
      <c r="E399" s="59"/>
      <c r="F399" s="59"/>
      <c r="G399" s="59"/>
      <c r="H399" s="64"/>
      <c r="I399" s="64"/>
      <c r="J399" s="64"/>
      <c r="K399" s="61">
        <v>30</v>
      </c>
      <c r="L399" s="80" t="s">
        <v>1072</v>
      </c>
      <c r="M399" s="82"/>
      <c r="N399" s="89">
        <v>0.88800000000000001</v>
      </c>
      <c r="O399" s="90">
        <v>2</v>
      </c>
      <c r="P399" s="68">
        <f t="shared" si="72"/>
        <v>5.2999999999999999E-2</v>
      </c>
      <c r="S399" s="88"/>
    </row>
    <row r="400" spans="2:19" ht="15" customHeight="1" x14ac:dyDescent="0.3">
      <c r="B400" s="36">
        <v>3</v>
      </c>
      <c r="C400" s="46" t="s">
        <v>1067</v>
      </c>
      <c r="D400" s="56" t="s">
        <v>1068</v>
      </c>
      <c r="E400" s="56"/>
      <c r="F400" s="56"/>
      <c r="G400" s="56"/>
      <c r="H400" s="71"/>
      <c r="I400" s="71"/>
      <c r="J400" s="71"/>
      <c r="K400" s="36">
        <v>30</v>
      </c>
      <c r="L400" s="125" t="s">
        <v>1074</v>
      </c>
      <c r="M400" s="126"/>
      <c r="N400" s="183">
        <v>0.88800000000000001</v>
      </c>
      <c r="O400" s="78">
        <v>2</v>
      </c>
      <c r="P400" s="57">
        <f t="shared" si="72"/>
        <v>5.2999999999999999E-2</v>
      </c>
      <c r="S400" s="88"/>
    </row>
    <row r="401" spans="2:19" ht="15" customHeight="1" x14ac:dyDescent="0.3">
      <c r="B401" s="118">
        <v>4</v>
      </c>
      <c r="C401" s="119" t="s">
        <v>1081</v>
      </c>
      <c r="D401" s="120" t="s">
        <v>1080</v>
      </c>
      <c r="E401" s="120"/>
      <c r="F401" s="120"/>
      <c r="G401" s="120"/>
      <c r="H401" s="131"/>
      <c r="I401" s="131"/>
      <c r="J401" s="131"/>
      <c r="K401" s="118">
        <v>30</v>
      </c>
      <c r="L401" s="122" t="s">
        <v>1082</v>
      </c>
      <c r="M401" s="123"/>
      <c r="N401" s="181">
        <v>0.88800000000000001</v>
      </c>
      <c r="O401" s="182">
        <v>2</v>
      </c>
      <c r="P401" s="124">
        <f t="shared" ref="P401:P405" si="73">+ROUND(PRODUCT(K401:O401)/1000,3)</f>
        <v>5.2999999999999999E-2</v>
      </c>
      <c r="S401" s="88"/>
    </row>
    <row r="402" spans="2:19" ht="15" customHeight="1" x14ac:dyDescent="0.3">
      <c r="B402" s="61">
        <v>4</v>
      </c>
      <c r="C402" s="58" t="s">
        <v>1081</v>
      </c>
      <c r="D402" s="59" t="s">
        <v>1080</v>
      </c>
      <c r="E402" s="59"/>
      <c r="F402" s="59"/>
      <c r="G402" s="59"/>
      <c r="H402" s="64"/>
      <c r="I402" s="64"/>
      <c r="J402" s="64"/>
      <c r="K402" s="61">
        <v>30</v>
      </c>
      <c r="L402" s="80" t="s">
        <v>1083</v>
      </c>
      <c r="M402" s="82"/>
      <c r="N402" s="89">
        <v>0.88800000000000001</v>
      </c>
      <c r="O402" s="90">
        <v>2</v>
      </c>
      <c r="P402" s="68">
        <f t="shared" si="73"/>
        <v>5.2999999999999999E-2</v>
      </c>
      <c r="S402" s="88"/>
    </row>
    <row r="403" spans="2:19" ht="15" customHeight="1" x14ac:dyDescent="0.3">
      <c r="B403" s="61">
        <v>4</v>
      </c>
      <c r="C403" s="58" t="s">
        <v>1081</v>
      </c>
      <c r="D403" s="59" t="s">
        <v>1080</v>
      </c>
      <c r="E403" s="59"/>
      <c r="F403" s="59"/>
      <c r="G403" s="59"/>
      <c r="H403" s="64"/>
      <c r="I403" s="64"/>
      <c r="J403" s="64"/>
      <c r="K403" s="61">
        <v>30</v>
      </c>
      <c r="L403" s="80" t="s">
        <v>1084</v>
      </c>
      <c r="M403" s="82"/>
      <c r="N403" s="89">
        <v>0.88800000000000001</v>
      </c>
      <c r="O403" s="90">
        <v>2</v>
      </c>
      <c r="P403" s="68">
        <f t="shared" si="73"/>
        <v>5.2999999999999999E-2</v>
      </c>
      <c r="S403" s="88"/>
    </row>
    <row r="404" spans="2:19" ht="15" customHeight="1" x14ac:dyDescent="0.3">
      <c r="B404" s="61">
        <v>4</v>
      </c>
      <c r="C404" s="58" t="s">
        <v>1081</v>
      </c>
      <c r="D404" s="59" t="s">
        <v>1080</v>
      </c>
      <c r="E404" s="59"/>
      <c r="F404" s="59"/>
      <c r="G404" s="59"/>
      <c r="H404" s="64"/>
      <c r="I404" s="64"/>
      <c r="J404" s="64"/>
      <c r="K404" s="61">
        <v>30</v>
      </c>
      <c r="L404" s="80" t="s">
        <v>1085</v>
      </c>
      <c r="M404" s="82"/>
      <c r="N404" s="89">
        <v>0.88800000000000001</v>
      </c>
      <c r="O404" s="90">
        <v>2</v>
      </c>
      <c r="P404" s="68">
        <f t="shared" si="73"/>
        <v>5.2999999999999999E-2</v>
      </c>
      <c r="S404" s="88"/>
    </row>
    <row r="405" spans="2:19" ht="15" customHeight="1" x14ac:dyDescent="0.3">
      <c r="B405" s="36">
        <v>4</v>
      </c>
      <c r="C405" s="46" t="s">
        <v>1081</v>
      </c>
      <c r="D405" s="56" t="s">
        <v>1080</v>
      </c>
      <c r="E405" s="56"/>
      <c r="F405" s="56"/>
      <c r="G405" s="56"/>
      <c r="H405" s="71"/>
      <c r="I405" s="71"/>
      <c r="J405" s="71"/>
      <c r="K405" s="36">
        <v>30</v>
      </c>
      <c r="L405" s="125" t="s">
        <v>1086</v>
      </c>
      <c r="M405" s="126"/>
      <c r="N405" s="183">
        <v>0.88800000000000001</v>
      </c>
      <c r="O405" s="78">
        <v>2</v>
      </c>
      <c r="P405" s="57">
        <f t="shared" si="73"/>
        <v>5.2999999999999999E-2</v>
      </c>
      <c r="S405" s="88"/>
    </row>
    <row r="406" spans="2:19" ht="15" customHeight="1" x14ac:dyDescent="0.3">
      <c r="B406" s="109">
        <v>4</v>
      </c>
      <c r="C406" s="110" t="s">
        <v>1087</v>
      </c>
      <c r="D406" s="111" t="s">
        <v>1088</v>
      </c>
      <c r="E406" s="111"/>
      <c r="F406" s="111"/>
      <c r="G406" s="111"/>
      <c r="H406" s="128"/>
      <c r="I406" s="128"/>
      <c r="J406" s="128"/>
      <c r="K406" s="109">
        <v>30</v>
      </c>
      <c r="L406" s="113" t="s">
        <v>1089</v>
      </c>
      <c r="M406" s="114"/>
      <c r="N406" s="179">
        <v>0.88800000000000001</v>
      </c>
      <c r="O406" s="180">
        <v>2</v>
      </c>
      <c r="P406" s="116">
        <f t="shared" ref="P406:P409" si="74">+ROUND(PRODUCT(K406:O406)/1000,3)</f>
        <v>5.2999999999999999E-2</v>
      </c>
      <c r="S406" s="88"/>
    </row>
    <row r="407" spans="2:19" ht="15" customHeight="1" x14ac:dyDescent="0.3">
      <c r="B407" s="61">
        <v>4</v>
      </c>
      <c r="C407" s="58" t="s">
        <v>1087</v>
      </c>
      <c r="D407" s="59" t="s">
        <v>1088</v>
      </c>
      <c r="E407" s="59"/>
      <c r="F407" s="59"/>
      <c r="G407" s="59"/>
      <c r="H407" s="64"/>
      <c r="I407" s="64"/>
      <c r="J407" s="64"/>
      <c r="K407" s="61">
        <v>30</v>
      </c>
      <c r="L407" s="80" t="s">
        <v>1090</v>
      </c>
      <c r="M407" s="82"/>
      <c r="N407" s="89">
        <v>0.88800000000000001</v>
      </c>
      <c r="O407" s="90">
        <v>2</v>
      </c>
      <c r="P407" s="68">
        <f t="shared" si="74"/>
        <v>5.2999999999999999E-2</v>
      </c>
      <c r="S407" s="88"/>
    </row>
    <row r="408" spans="2:19" ht="15" customHeight="1" x14ac:dyDescent="0.3">
      <c r="B408" s="61">
        <v>4</v>
      </c>
      <c r="C408" s="58" t="s">
        <v>1087</v>
      </c>
      <c r="D408" s="59" t="s">
        <v>1088</v>
      </c>
      <c r="E408" s="59"/>
      <c r="F408" s="59"/>
      <c r="G408" s="59"/>
      <c r="H408" s="64"/>
      <c r="I408" s="64"/>
      <c r="J408" s="64"/>
      <c r="K408" s="61">
        <v>30</v>
      </c>
      <c r="L408" s="80" t="s">
        <v>1091</v>
      </c>
      <c r="M408" s="82"/>
      <c r="N408" s="89">
        <v>0.88800000000000001</v>
      </c>
      <c r="O408" s="90">
        <v>2</v>
      </c>
      <c r="P408" s="68">
        <f t="shared" si="74"/>
        <v>5.2999999999999999E-2</v>
      </c>
      <c r="S408" s="88"/>
    </row>
    <row r="409" spans="2:19" ht="15" customHeight="1" x14ac:dyDescent="0.3">
      <c r="B409" s="61">
        <v>4</v>
      </c>
      <c r="C409" s="58" t="s">
        <v>1087</v>
      </c>
      <c r="D409" s="59" t="s">
        <v>1088</v>
      </c>
      <c r="E409" s="59"/>
      <c r="F409" s="59"/>
      <c r="G409" s="59"/>
      <c r="H409" s="64"/>
      <c r="I409" s="64"/>
      <c r="J409" s="64"/>
      <c r="K409" s="61">
        <v>30</v>
      </c>
      <c r="L409" s="80" t="s">
        <v>1092</v>
      </c>
      <c r="M409" s="82"/>
      <c r="N409" s="89">
        <v>0.88800000000000001</v>
      </c>
      <c r="O409" s="90">
        <v>2</v>
      </c>
      <c r="P409" s="68">
        <f t="shared" si="74"/>
        <v>5.2999999999999999E-2</v>
      </c>
      <c r="S409" s="88"/>
    </row>
    <row r="410" spans="2:19" ht="15" customHeight="1" x14ac:dyDescent="0.3">
      <c r="B410" s="61">
        <v>4</v>
      </c>
      <c r="C410" s="58" t="s">
        <v>1093</v>
      </c>
      <c r="D410" s="59" t="s">
        <v>1094</v>
      </c>
      <c r="E410" s="59"/>
      <c r="F410" s="59"/>
      <c r="G410" s="59"/>
      <c r="H410" s="64"/>
      <c r="I410" s="64"/>
      <c r="J410" s="64"/>
      <c r="K410" s="61">
        <v>30</v>
      </c>
      <c r="L410" s="80" t="s">
        <v>1095</v>
      </c>
      <c r="M410" s="82"/>
      <c r="N410" s="89">
        <v>0.88800000000000001</v>
      </c>
      <c r="O410" s="90">
        <v>2</v>
      </c>
      <c r="P410" s="68">
        <f t="shared" ref="P410:P412" si="75">+ROUND(PRODUCT(K410:O410)/1000,3)</f>
        <v>5.2999999999999999E-2</v>
      </c>
      <c r="S410" s="88"/>
    </row>
    <row r="411" spans="2:19" ht="15" customHeight="1" x14ac:dyDescent="0.3">
      <c r="B411" s="61">
        <v>4</v>
      </c>
      <c r="C411" s="58" t="s">
        <v>1093</v>
      </c>
      <c r="D411" s="59" t="s">
        <v>1094</v>
      </c>
      <c r="E411" s="59"/>
      <c r="F411" s="59"/>
      <c r="G411" s="59"/>
      <c r="H411" s="64"/>
      <c r="I411" s="64"/>
      <c r="J411" s="64"/>
      <c r="K411" s="61">
        <v>30</v>
      </c>
      <c r="L411" s="80" t="s">
        <v>1096</v>
      </c>
      <c r="M411" s="82"/>
      <c r="N411" s="89">
        <v>0.88800000000000001</v>
      </c>
      <c r="O411" s="90">
        <v>2</v>
      </c>
      <c r="P411" s="68">
        <f t="shared" si="75"/>
        <v>5.2999999999999999E-2</v>
      </c>
      <c r="S411" s="88"/>
    </row>
    <row r="412" spans="2:19" ht="15" customHeight="1" x14ac:dyDescent="0.3">
      <c r="B412" s="61">
        <v>4</v>
      </c>
      <c r="C412" s="58" t="s">
        <v>1093</v>
      </c>
      <c r="D412" s="59" t="s">
        <v>1094</v>
      </c>
      <c r="E412" s="59"/>
      <c r="F412" s="59"/>
      <c r="G412" s="59"/>
      <c r="H412" s="64"/>
      <c r="I412" s="64"/>
      <c r="J412" s="64"/>
      <c r="K412" s="61">
        <v>30</v>
      </c>
      <c r="L412" s="80" t="s">
        <v>1097</v>
      </c>
      <c r="M412" s="82"/>
      <c r="N412" s="89">
        <v>0.88800000000000001</v>
      </c>
      <c r="O412" s="90">
        <v>2</v>
      </c>
      <c r="P412" s="68">
        <f t="shared" si="75"/>
        <v>5.2999999999999999E-2</v>
      </c>
      <c r="S412" s="88"/>
    </row>
    <row r="413" spans="2:19" ht="4.95" customHeight="1" x14ac:dyDescent="0.3">
      <c r="B413" s="39"/>
      <c r="C413" s="42"/>
      <c r="D413" s="40"/>
      <c r="E413" s="40"/>
      <c r="F413" s="40"/>
      <c r="G413" s="40"/>
      <c r="H413" s="41"/>
      <c r="I413" s="41"/>
      <c r="J413" s="41"/>
      <c r="K413" s="41"/>
      <c r="L413" s="41"/>
      <c r="M413" s="41"/>
      <c r="N413" s="41"/>
      <c r="O413" s="42"/>
      <c r="P413" s="43"/>
    </row>
    <row r="414" spans="2:19" ht="19.95" hidden="1" customHeight="1" x14ac:dyDescent="0.3">
      <c r="C414" s="29"/>
      <c r="D414" s="32"/>
      <c r="E414" s="32"/>
      <c r="F414" s="32"/>
      <c r="G414" s="32"/>
      <c r="H414" s="11"/>
      <c r="I414" s="11"/>
      <c r="J414" s="11"/>
      <c r="K414" s="11"/>
      <c r="L414" s="11"/>
      <c r="M414" s="11"/>
      <c r="N414" s="11"/>
      <c r="O414" s="29"/>
    </row>
    <row r="415" spans="2:19" ht="30" hidden="1" customHeight="1" x14ac:dyDescent="0.3">
      <c r="B415" s="193" t="s">
        <v>7</v>
      </c>
      <c r="C415" s="194"/>
      <c r="D415" s="193" t="s">
        <v>8</v>
      </c>
      <c r="E415" s="195"/>
      <c r="F415" s="195"/>
      <c r="G415" s="195"/>
      <c r="H415" s="195"/>
      <c r="I415" s="195"/>
      <c r="J415" s="195"/>
      <c r="K415" s="195"/>
      <c r="L415" s="195"/>
      <c r="M415" s="195"/>
      <c r="N415" s="194"/>
      <c r="O415" s="33" t="s">
        <v>9</v>
      </c>
      <c r="P415" s="34" t="s">
        <v>10</v>
      </c>
    </row>
    <row r="416" spans="2:19" ht="30" hidden="1" customHeight="1" x14ac:dyDescent="0.3">
      <c r="B416" s="199" t="s">
        <v>165</v>
      </c>
      <c r="C416" s="200"/>
      <c r="D416" s="197" t="str">
        <f>+VLOOKUP(B416,Liste!B:E,2,FALSE)</f>
        <v>Çelik Donatı (S420a )</v>
      </c>
      <c r="E416" s="198"/>
      <c r="F416" s="198"/>
      <c r="G416" s="198"/>
      <c r="H416" s="198"/>
      <c r="I416" s="198"/>
      <c r="J416" s="198"/>
      <c r="K416" s="198"/>
      <c r="L416" s="198"/>
      <c r="M416" s="198"/>
      <c r="N416" s="218"/>
      <c r="O416" s="35" t="str">
        <f>+VLOOKUP(B416,Liste!B:E,3,FALSE)</f>
        <v>ton</v>
      </c>
      <c r="P416" s="66">
        <f>+ROUND(SUM(P417:P425),3)</f>
        <v>0</v>
      </c>
    </row>
    <row r="417" spans="2:31" ht="15" hidden="1" customHeight="1" x14ac:dyDescent="0.3">
      <c r="B417" s="54" t="s">
        <v>1030</v>
      </c>
      <c r="C417" s="93"/>
      <c r="D417" s="48"/>
      <c r="E417" s="48"/>
      <c r="F417" s="48"/>
      <c r="G417" s="48"/>
      <c r="H417" s="49"/>
      <c r="I417" s="49"/>
      <c r="J417" s="49"/>
      <c r="K417" s="50"/>
      <c r="L417" s="50"/>
      <c r="M417" s="51"/>
      <c r="N417" s="51"/>
      <c r="O417" s="52"/>
      <c r="P417" s="53"/>
      <c r="S417" s="88"/>
    </row>
    <row r="418" spans="2:31" ht="15" hidden="1" customHeight="1" x14ac:dyDescent="0.3">
      <c r="B418" s="37" t="s">
        <v>982</v>
      </c>
      <c r="C418" s="37" t="s">
        <v>992</v>
      </c>
      <c r="D418" s="55" t="s">
        <v>991</v>
      </c>
      <c r="E418" s="55"/>
      <c r="F418" s="55"/>
      <c r="G418" s="55"/>
      <c r="H418" s="70"/>
      <c r="I418" s="70"/>
      <c r="J418" s="70"/>
      <c r="K418" s="37" t="s">
        <v>990</v>
      </c>
      <c r="L418" s="79" t="s">
        <v>13</v>
      </c>
      <c r="M418" s="83"/>
      <c r="N418" s="70" t="s">
        <v>996</v>
      </c>
      <c r="O418" s="75" t="s">
        <v>986</v>
      </c>
      <c r="P418" s="38" t="s">
        <v>15</v>
      </c>
      <c r="S418" s="88"/>
    </row>
    <row r="419" spans="2:31" ht="15" hidden="1" customHeight="1" x14ac:dyDescent="0.3">
      <c r="B419" s="61">
        <v>3</v>
      </c>
      <c r="C419" s="58" t="s">
        <v>1062</v>
      </c>
      <c r="D419" s="59" t="s">
        <v>1063</v>
      </c>
      <c r="E419" s="59"/>
      <c r="F419" s="59"/>
      <c r="G419" s="59"/>
      <c r="H419" s="64"/>
      <c r="I419" s="64"/>
      <c r="J419" s="64"/>
      <c r="K419" s="61">
        <v>30</v>
      </c>
      <c r="L419" s="80" t="s">
        <v>1064</v>
      </c>
      <c r="M419" s="82"/>
      <c r="N419" s="89">
        <v>0.88800000000000001</v>
      </c>
      <c r="O419" s="90">
        <v>0</v>
      </c>
      <c r="P419" s="68">
        <f t="shared" ref="P419:P424" si="76">+ROUND(PRODUCT(K419:O419)/1000,3)</f>
        <v>0</v>
      </c>
      <c r="S419" s="88"/>
    </row>
    <row r="420" spans="2:31" ht="15" hidden="1" customHeight="1" x14ac:dyDescent="0.3">
      <c r="B420" s="61">
        <v>3</v>
      </c>
      <c r="C420" s="58" t="s">
        <v>1062</v>
      </c>
      <c r="D420" s="59" t="s">
        <v>1063</v>
      </c>
      <c r="E420" s="59"/>
      <c r="F420" s="59"/>
      <c r="G420" s="59"/>
      <c r="H420" s="64"/>
      <c r="I420" s="64"/>
      <c r="J420" s="64"/>
      <c r="K420" s="61">
        <v>30</v>
      </c>
      <c r="L420" s="80" t="s">
        <v>1066</v>
      </c>
      <c r="M420" s="82"/>
      <c r="N420" s="89">
        <v>0.88800000000000001</v>
      </c>
      <c r="O420" s="90">
        <v>0</v>
      </c>
      <c r="P420" s="68">
        <f t="shared" si="76"/>
        <v>0</v>
      </c>
      <c r="S420" s="88"/>
    </row>
    <row r="421" spans="2:31" ht="15" hidden="1" customHeight="1" x14ac:dyDescent="0.3">
      <c r="B421" s="61">
        <v>3</v>
      </c>
      <c r="C421" s="46" t="s">
        <v>1067</v>
      </c>
      <c r="D421" s="59" t="s">
        <v>1068</v>
      </c>
      <c r="E421" s="59"/>
      <c r="F421" s="59"/>
      <c r="G421" s="59"/>
      <c r="H421" s="64"/>
      <c r="I421" s="64"/>
      <c r="J421" s="64"/>
      <c r="K421" s="61">
        <v>30</v>
      </c>
      <c r="L421" s="80" t="s">
        <v>1070</v>
      </c>
      <c r="M421" s="82"/>
      <c r="N421" s="89">
        <v>0.88800000000000001</v>
      </c>
      <c r="O421" s="90">
        <v>0</v>
      </c>
      <c r="P421" s="68">
        <f t="shared" si="76"/>
        <v>0</v>
      </c>
      <c r="S421" s="88"/>
    </row>
    <row r="422" spans="2:31" ht="15" hidden="1" customHeight="1" x14ac:dyDescent="0.3">
      <c r="B422" s="61">
        <v>3</v>
      </c>
      <c r="C422" s="46" t="s">
        <v>1067</v>
      </c>
      <c r="D422" s="59" t="s">
        <v>1068</v>
      </c>
      <c r="E422" s="59"/>
      <c r="F422" s="59"/>
      <c r="G422" s="59"/>
      <c r="H422" s="64"/>
      <c r="I422" s="64"/>
      <c r="J422" s="64"/>
      <c r="K422" s="61">
        <v>30</v>
      </c>
      <c r="L422" s="80" t="s">
        <v>1071</v>
      </c>
      <c r="M422" s="82"/>
      <c r="N422" s="89">
        <v>0.88800000000000001</v>
      </c>
      <c r="O422" s="90">
        <v>0</v>
      </c>
      <c r="P422" s="68">
        <f t="shared" si="76"/>
        <v>0</v>
      </c>
      <c r="S422" s="88"/>
    </row>
    <row r="423" spans="2:31" ht="15" hidden="1" customHeight="1" x14ac:dyDescent="0.3">
      <c r="B423" s="61">
        <v>3</v>
      </c>
      <c r="C423" s="46" t="s">
        <v>1067</v>
      </c>
      <c r="D423" s="59" t="s">
        <v>1068</v>
      </c>
      <c r="E423" s="59"/>
      <c r="F423" s="59"/>
      <c r="G423" s="59"/>
      <c r="H423" s="64"/>
      <c r="I423" s="64"/>
      <c r="J423" s="64"/>
      <c r="K423" s="61">
        <v>30</v>
      </c>
      <c r="L423" s="80" t="s">
        <v>1072</v>
      </c>
      <c r="M423" s="82"/>
      <c r="N423" s="89">
        <v>0.88800000000000001</v>
      </c>
      <c r="O423" s="90">
        <v>0</v>
      </c>
      <c r="P423" s="68">
        <f t="shared" si="76"/>
        <v>0</v>
      </c>
      <c r="S423" s="88"/>
    </row>
    <row r="424" spans="2:31" ht="15" hidden="1" customHeight="1" x14ac:dyDescent="0.3">
      <c r="B424" s="61">
        <v>3</v>
      </c>
      <c r="C424" s="46" t="s">
        <v>1067</v>
      </c>
      <c r="D424" s="59" t="s">
        <v>1068</v>
      </c>
      <c r="E424" s="59"/>
      <c r="F424" s="59"/>
      <c r="G424" s="59"/>
      <c r="H424" s="64"/>
      <c r="I424" s="64"/>
      <c r="J424" s="64"/>
      <c r="K424" s="61">
        <v>30</v>
      </c>
      <c r="L424" s="80" t="s">
        <v>1074</v>
      </c>
      <c r="M424" s="82"/>
      <c r="N424" s="89">
        <v>0.88800000000000001</v>
      </c>
      <c r="O424" s="90">
        <v>0</v>
      </c>
      <c r="P424" s="68">
        <f t="shared" si="76"/>
        <v>0</v>
      </c>
      <c r="S424" s="88"/>
    </row>
    <row r="425" spans="2:31" ht="4.95" hidden="1" customHeight="1" x14ac:dyDescent="0.3">
      <c r="B425" s="39"/>
      <c r="C425" s="42"/>
      <c r="D425" s="40"/>
      <c r="E425" s="40"/>
      <c r="F425" s="40"/>
      <c r="G425" s="40"/>
      <c r="H425" s="41"/>
      <c r="I425" s="41"/>
      <c r="J425" s="41"/>
      <c r="K425" s="41"/>
      <c r="L425" s="41"/>
      <c r="M425" s="41"/>
      <c r="N425" s="41"/>
      <c r="O425" s="42"/>
      <c r="P425" s="43"/>
    </row>
    <row r="427" spans="2:31" ht="30" customHeight="1" x14ac:dyDescent="0.3">
      <c r="B427" s="193" t="s">
        <v>7</v>
      </c>
      <c r="C427" s="194"/>
      <c r="D427" s="193" t="s">
        <v>8</v>
      </c>
      <c r="E427" s="195"/>
      <c r="F427" s="195"/>
      <c r="G427" s="195"/>
      <c r="H427" s="195"/>
      <c r="I427" s="195"/>
      <c r="J427" s="195"/>
      <c r="K427" s="195"/>
      <c r="L427" s="195"/>
      <c r="M427" s="33" t="s">
        <v>9</v>
      </c>
      <c r="N427" s="104" t="s">
        <v>1077</v>
      </c>
      <c r="O427" s="104" t="s">
        <v>1078</v>
      </c>
      <c r="P427" s="34" t="s">
        <v>1079</v>
      </c>
    </row>
    <row r="428" spans="2:31" ht="30" customHeight="1" x14ac:dyDescent="0.3">
      <c r="B428" s="199" t="s">
        <v>167</v>
      </c>
      <c r="C428" s="200"/>
      <c r="D428" s="197" t="str">
        <f>+VLOOKUP(B428,[1]Liste!B:E,2,FALSE)</f>
        <v>Çelik hasır (S500 )</v>
      </c>
      <c r="E428" s="198"/>
      <c r="F428" s="198"/>
      <c r="G428" s="198"/>
      <c r="H428" s="198"/>
      <c r="I428" s="198"/>
      <c r="J428" s="198"/>
      <c r="K428" s="198"/>
      <c r="L428" s="198"/>
      <c r="M428" s="35" t="str">
        <f>+VLOOKUP(B428,[1]Liste!B:E,3,FALSE)</f>
        <v>ton</v>
      </c>
      <c r="N428" s="66">
        <v>55.661000000000001</v>
      </c>
      <c r="O428" s="66">
        <f>+P428-N428</f>
        <v>0</v>
      </c>
      <c r="P428" s="66">
        <f>+ROUND(SUM(P429:P458),3)</f>
        <v>55.661000000000001</v>
      </c>
      <c r="AA428" s="9">
        <f>+VLOOKUP(B428,[2]Liste!$B$2:$F$483,5,FALSE)</f>
        <v>97333</v>
      </c>
      <c r="AC428" s="9">
        <f>+AA428*N428</f>
        <v>5417652.1129999999</v>
      </c>
      <c r="AD428" s="9">
        <f>+AA428*O428</f>
        <v>0</v>
      </c>
      <c r="AE428" s="9">
        <f>+AA428*P428</f>
        <v>5417652.1129999999</v>
      </c>
    </row>
    <row r="429" spans="2:31" ht="15" customHeight="1" x14ac:dyDescent="0.3">
      <c r="B429" s="54" t="s">
        <v>1015</v>
      </c>
      <c r="C429" s="93"/>
      <c r="D429" s="48"/>
      <c r="E429" s="48"/>
      <c r="F429" s="48"/>
      <c r="G429" s="48"/>
      <c r="H429" s="49"/>
      <c r="I429" s="49"/>
      <c r="J429" s="49"/>
      <c r="K429" s="50"/>
      <c r="L429" s="50"/>
      <c r="M429" s="51"/>
      <c r="N429" s="51"/>
      <c r="O429" s="52"/>
      <c r="P429" s="53"/>
    </row>
    <row r="430" spans="2:31" ht="15" customHeight="1" x14ac:dyDescent="0.3">
      <c r="B430" s="37" t="s">
        <v>982</v>
      </c>
      <c r="C430" s="37" t="s">
        <v>992</v>
      </c>
      <c r="D430" s="55" t="s">
        <v>991</v>
      </c>
      <c r="E430" s="55"/>
      <c r="F430" s="55"/>
      <c r="G430" s="55"/>
      <c r="H430" s="37" t="s">
        <v>989</v>
      </c>
      <c r="I430" s="37" t="s">
        <v>988</v>
      </c>
      <c r="J430" s="37" t="s">
        <v>993</v>
      </c>
      <c r="K430" s="37" t="s">
        <v>990</v>
      </c>
      <c r="L430" s="72"/>
      <c r="M430" s="74" t="s">
        <v>986</v>
      </c>
      <c r="N430" s="75"/>
      <c r="O430" s="38" t="s">
        <v>1036</v>
      </c>
      <c r="P430" s="38" t="s">
        <v>15</v>
      </c>
    </row>
    <row r="431" spans="2:31" ht="15" customHeight="1" x14ac:dyDescent="0.3">
      <c r="B431" s="61">
        <v>3</v>
      </c>
      <c r="C431" s="58" t="s">
        <v>1062</v>
      </c>
      <c r="D431" s="59" t="s">
        <v>1063</v>
      </c>
      <c r="E431" s="59"/>
      <c r="F431" s="59"/>
      <c r="G431" s="59"/>
      <c r="H431" s="60">
        <v>1356.66</v>
      </c>
      <c r="I431" s="60">
        <v>1364.54</v>
      </c>
      <c r="J431" s="60" t="s">
        <v>994</v>
      </c>
      <c r="K431" s="61">
        <v>1</v>
      </c>
      <c r="L431" s="97"/>
      <c r="M431" s="102">
        <f>+I431-H431</f>
        <v>7.8799999999998818</v>
      </c>
      <c r="N431" s="103"/>
      <c r="O431" s="67">
        <f>343.758/0.75</f>
        <v>458.34399999999999</v>
      </c>
      <c r="P431" s="68">
        <f>+ROUND(PRODUCT(K431:O431)/1000,3)</f>
        <v>3.6120000000000001</v>
      </c>
    </row>
    <row r="432" spans="2:31" ht="15" customHeight="1" x14ac:dyDescent="0.3">
      <c r="B432" s="61">
        <v>3</v>
      </c>
      <c r="C432" s="58" t="s">
        <v>1067</v>
      </c>
      <c r="D432" s="59" t="s">
        <v>1068</v>
      </c>
      <c r="E432" s="59"/>
      <c r="F432" s="59"/>
      <c r="G432" s="59"/>
      <c r="H432" s="60">
        <v>1364.54</v>
      </c>
      <c r="I432" s="60">
        <v>1383.29</v>
      </c>
      <c r="J432" s="60" t="s">
        <v>994</v>
      </c>
      <c r="K432" s="61">
        <v>1</v>
      </c>
      <c r="L432" s="97"/>
      <c r="M432" s="102">
        <f>+I432-H432</f>
        <v>18.75</v>
      </c>
      <c r="N432" s="103"/>
      <c r="O432" s="67">
        <f>343.758/0.75</f>
        <v>458.34399999999999</v>
      </c>
      <c r="P432" s="68">
        <f>+ROUND(PRODUCT(K432:O432)/1000,3)</f>
        <v>8.5939999999999994</v>
      </c>
    </row>
    <row r="433" spans="2:16" ht="15" customHeight="1" x14ac:dyDescent="0.3">
      <c r="B433" s="61">
        <v>4</v>
      </c>
      <c r="C433" s="58" t="s">
        <v>1081</v>
      </c>
      <c r="D433" s="59" t="s">
        <v>1080</v>
      </c>
      <c r="E433" s="59"/>
      <c r="F433" s="59"/>
      <c r="G433" s="59"/>
      <c r="H433" s="60">
        <v>1383.29</v>
      </c>
      <c r="I433" s="60">
        <v>1403.54</v>
      </c>
      <c r="J433" s="60" t="s">
        <v>994</v>
      </c>
      <c r="K433" s="61">
        <v>1</v>
      </c>
      <c r="L433" s="97"/>
      <c r="M433" s="102">
        <f>+I433-H433</f>
        <v>20.25</v>
      </c>
      <c r="N433" s="103"/>
      <c r="O433" s="67">
        <f>343.758/0.75</f>
        <v>458.34399999999999</v>
      </c>
      <c r="P433" s="68">
        <f>+ROUND(PRODUCT(K433:O433)/1000,3)</f>
        <v>9.2810000000000006</v>
      </c>
    </row>
    <row r="434" spans="2:16" ht="15" customHeight="1" x14ac:dyDescent="0.3">
      <c r="B434" s="61">
        <v>4</v>
      </c>
      <c r="C434" s="58" t="s">
        <v>1087</v>
      </c>
      <c r="D434" s="59" t="s">
        <v>1088</v>
      </c>
      <c r="E434" s="59"/>
      <c r="F434" s="59"/>
      <c r="G434" s="59"/>
      <c r="H434" s="60">
        <v>1403.54</v>
      </c>
      <c r="I434" s="60">
        <v>1423.79</v>
      </c>
      <c r="J434" s="60" t="s">
        <v>994</v>
      </c>
      <c r="K434" s="61">
        <v>1</v>
      </c>
      <c r="L434" s="97"/>
      <c r="M434" s="102">
        <f>+I434-H434</f>
        <v>20.25</v>
      </c>
      <c r="N434" s="103"/>
      <c r="O434" s="67">
        <f>343.758/0.75</f>
        <v>458.34399999999999</v>
      </c>
      <c r="P434" s="68">
        <f>+ROUND(PRODUCT(K434:O434)/1000,3)</f>
        <v>9.2810000000000006</v>
      </c>
    </row>
    <row r="435" spans="2:16" ht="15" customHeight="1" x14ac:dyDescent="0.3">
      <c r="B435" s="61">
        <v>4</v>
      </c>
      <c r="C435" s="58" t="s">
        <v>1093</v>
      </c>
      <c r="D435" s="59" t="s">
        <v>1094</v>
      </c>
      <c r="E435" s="59"/>
      <c r="F435" s="59"/>
      <c r="G435" s="59"/>
      <c r="H435" s="60">
        <v>1423.79</v>
      </c>
      <c r="I435" s="112">
        <v>1438.24</v>
      </c>
      <c r="J435" s="60" t="s">
        <v>994</v>
      </c>
      <c r="K435" s="61">
        <v>1</v>
      </c>
      <c r="L435" s="97"/>
      <c r="M435" s="102">
        <f>+I435-H435</f>
        <v>14.450000000000045</v>
      </c>
      <c r="N435" s="103"/>
      <c r="O435" s="67">
        <f>343.758/0.75</f>
        <v>458.34399999999999</v>
      </c>
      <c r="P435" s="68">
        <f>+ROUND(PRODUCT(K435:O435)/1000,3)</f>
        <v>6.6230000000000002</v>
      </c>
    </row>
    <row r="436" spans="2:16" ht="15" customHeight="1" x14ac:dyDescent="0.3">
      <c r="B436" s="54" t="s">
        <v>1016</v>
      </c>
      <c r="C436" s="93"/>
      <c r="D436" s="48"/>
      <c r="E436" s="48"/>
      <c r="F436" s="48"/>
      <c r="G436" s="48"/>
      <c r="H436" s="49"/>
      <c r="I436" s="49"/>
      <c r="J436" s="49"/>
      <c r="K436" s="50"/>
      <c r="L436" s="50"/>
      <c r="M436" s="51"/>
      <c r="N436" s="51"/>
      <c r="O436" s="52"/>
      <c r="P436" s="53"/>
    </row>
    <row r="437" spans="2:16" ht="15" customHeight="1" x14ac:dyDescent="0.3">
      <c r="B437" s="37" t="s">
        <v>982</v>
      </c>
      <c r="C437" s="37" t="s">
        <v>992</v>
      </c>
      <c r="D437" s="55" t="s">
        <v>991</v>
      </c>
      <c r="E437" s="55"/>
      <c r="F437" s="55"/>
      <c r="G437" s="55"/>
      <c r="H437" s="37" t="s">
        <v>989</v>
      </c>
      <c r="I437" s="37" t="s">
        <v>988</v>
      </c>
      <c r="J437" s="37" t="s">
        <v>993</v>
      </c>
      <c r="K437" s="37" t="s">
        <v>990</v>
      </c>
      <c r="L437" s="72"/>
      <c r="M437" s="74" t="s">
        <v>986</v>
      </c>
      <c r="N437" s="75"/>
      <c r="O437" s="38" t="s">
        <v>1036</v>
      </c>
      <c r="P437" s="38" t="s">
        <v>15</v>
      </c>
    </row>
    <row r="438" spans="2:16" ht="15" customHeight="1" x14ac:dyDescent="0.3">
      <c r="B438" s="61">
        <v>3</v>
      </c>
      <c r="C438" s="58" t="s">
        <v>1062</v>
      </c>
      <c r="D438" s="59" t="s">
        <v>1063</v>
      </c>
      <c r="E438" s="59"/>
      <c r="F438" s="59"/>
      <c r="G438" s="59"/>
      <c r="H438" s="60">
        <v>1356.66</v>
      </c>
      <c r="I438" s="60">
        <v>1359.29</v>
      </c>
      <c r="J438" s="60" t="s">
        <v>1006</v>
      </c>
      <c r="K438" s="61">
        <v>1</v>
      </c>
      <c r="L438" s="97"/>
      <c r="M438" s="102">
        <f t="shared" ref="M438:M443" si="77">+I438-H438</f>
        <v>2.6299999999998818</v>
      </c>
      <c r="N438" s="103"/>
      <c r="O438" s="67">
        <f>127.905/0.75</f>
        <v>170.54</v>
      </c>
      <c r="P438" s="68">
        <f t="shared" ref="P438:P443" si="78">+ROUND(PRODUCT(K438:O438)/1000,3)</f>
        <v>0.44900000000000001</v>
      </c>
    </row>
    <row r="439" spans="2:16" ht="15" customHeight="1" x14ac:dyDescent="0.3">
      <c r="B439" s="36">
        <v>3</v>
      </c>
      <c r="C439" s="58" t="s">
        <v>1067</v>
      </c>
      <c r="D439" s="59" t="s">
        <v>1068</v>
      </c>
      <c r="E439" s="56"/>
      <c r="F439" s="56"/>
      <c r="G439" s="56"/>
      <c r="H439" s="47">
        <v>1359.29</v>
      </c>
      <c r="I439" s="47">
        <v>1382.54</v>
      </c>
      <c r="J439" s="47" t="s">
        <v>1006</v>
      </c>
      <c r="K439" s="36">
        <v>1</v>
      </c>
      <c r="L439" s="97"/>
      <c r="M439" s="102">
        <f t="shared" si="77"/>
        <v>23.25</v>
      </c>
      <c r="N439" s="103"/>
      <c r="O439" s="67">
        <f t="shared" ref="O439:O443" si="79">127.905/0.75</f>
        <v>170.54</v>
      </c>
      <c r="P439" s="68">
        <f t="shared" si="78"/>
        <v>3.9649999999999999</v>
      </c>
    </row>
    <row r="440" spans="2:16" ht="15" customHeight="1" x14ac:dyDescent="0.3">
      <c r="B440" s="36">
        <v>4</v>
      </c>
      <c r="C440" s="58" t="s">
        <v>1081</v>
      </c>
      <c r="D440" s="59" t="s">
        <v>1080</v>
      </c>
      <c r="E440" s="56"/>
      <c r="F440" s="56"/>
      <c r="G440" s="56"/>
      <c r="H440" s="47">
        <v>1382.54</v>
      </c>
      <c r="I440" s="47">
        <v>1399.04</v>
      </c>
      <c r="J440" s="47" t="s">
        <v>1006</v>
      </c>
      <c r="K440" s="36">
        <v>1</v>
      </c>
      <c r="L440" s="97"/>
      <c r="M440" s="102">
        <f t="shared" si="77"/>
        <v>16.5</v>
      </c>
      <c r="N440" s="103"/>
      <c r="O440" s="67">
        <f t="shared" si="79"/>
        <v>170.54</v>
      </c>
      <c r="P440" s="68">
        <f t="shared" si="78"/>
        <v>2.8140000000000001</v>
      </c>
    </row>
    <row r="441" spans="2:16" ht="15" customHeight="1" x14ac:dyDescent="0.3">
      <c r="B441" s="36">
        <v>4</v>
      </c>
      <c r="C441" s="58" t="s">
        <v>1087</v>
      </c>
      <c r="D441" s="59" t="s">
        <v>1088</v>
      </c>
      <c r="E441" s="56"/>
      <c r="F441" s="56"/>
      <c r="G441" s="56"/>
      <c r="H441" s="47">
        <v>1399.04</v>
      </c>
      <c r="I441" s="47">
        <v>1417.79</v>
      </c>
      <c r="J441" s="47" t="s">
        <v>1006</v>
      </c>
      <c r="K441" s="36">
        <v>1</v>
      </c>
      <c r="L441" s="97"/>
      <c r="M441" s="102">
        <f t="shared" si="77"/>
        <v>18.75</v>
      </c>
      <c r="N441" s="103"/>
      <c r="O441" s="67">
        <f t="shared" si="79"/>
        <v>170.54</v>
      </c>
      <c r="P441" s="68">
        <f t="shared" si="78"/>
        <v>3.198</v>
      </c>
    </row>
    <row r="442" spans="2:16" ht="15" customHeight="1" x14ac:dyDescent="0.3">
      <c r="B442" s="36">
        <v>4</v>
      </c>
      <c r="C442" s="58" t="s">
        <v>1093</v>
      </c>
      <c r="D442" s="59" t="s">
        <v>1094</v>
      </c>
      <c r="E442" s="56"/>
      <c r="F442" s="56"/>
      <c r="G442" s="56"/>
      <c r="H442" s="47">
        <v>1417.79</v>
      </c>
      <c r="I442" s="47">
        <v>1431.29</v>
      </c>
      <c r="J442" s="47" t="s">
        <v>1006</v>
      </c>
      <c r="K442" s="36">
        <v>1</v>
      </c>
      <c r="L442" s="97"/>
      <c r="M442" s="102">
        <f t="shared" si="77"/>
        <v>13.5</v>
      </c>
      <c r="N442" s="103"/>
      <c r="O442" s="67">
        <f t="shared" si="79"/>
        <v>170.54</v>
      </c>
      <c r="P442" s="68">
        <f t="shared" si="78"/>
        <v>2.302</v>
      </c>
    </row>
    <row r="443" spans="2:16" ht="15" customHeight="1" x14ac:dyDescent="0.3">
      <c r="B443" s="36">
        <v>5</v>
      </c>
      <c r="C443" s="58" t="s">
        <v>1099</v>
      </c>
      <c r="D443" s="59" t="s">
        <v>1100</v>
      </c>
      <c r="E443" s="59"/>
      <c r="F443" s="59"/>
      <c r="G443" s="59"/>
      <c r="H443" s="60">
        <v>1431.29</v>
      </c>
      <c r="I443" s="60">
        <v>1438.24</v>
      </c>
      <c r="J443" s="47" t="s">
        <v>1006</v>
      </c>
      <c r="K443" s="36">
        <v>1</v>
      </c>
      <c r="L443" s="97"/>
      <c r="M443" s="102">
        <f t="shared" si="77"/>
        <v>6.9500000000000455</v>
      </c>
      <c r="N443" s="103"/>
      <c r="O443" s="67">
        <f t="shared" si="79"/>
        <v>170.54</v>
      </c>
      <c r="P443" s="68">
        <f t="shared" si="78"/>
        <v>1.1850000000000001</v>
      </c>
    </row>
    <row r="444" spans="2:16" ht="15" customHeight="1" x14ac:dyDescent="0.3">
      <c r="B444" s="54" t="s">
        <v>1019</v>
      </c>
      <c r="C444" s="93"/>
      <c r="D444" s="48"/>
      <c r="E444" s="48"/>
      <c r="F444" s="48"/>
      <c r="G444" s="48"/>
      <c r="H444" s="49"/>
      <c r="I444" s="49"/>
      <c r="J444" s="49"/>
      <c r="K444" s="50"/>
      <c r="L444" s="50"/>
      <c r="M444" s="51"/>
      <c r="N444" s="51"/>
      <c r="O444" s="52"/>
      <c r="P444" s="53"/>
    </row>
    <row r="445" spans="2:16" ht="60" customHeight="1" x14ac:dyDescent="0.3">
      <c r="B445" s="106" t="s">
        <v>982</v>
      </c>
      <c r="C445" s="106" t="s">
        <v>992</v>
      </c>
      <c r="D445" s="107" t="s">
        <v>998</v>
      </c>
      <c r="E445" s="107"/>
      <c r="F445" s="107"/>
      <c r="G445" s="107"/>
      <c r="H445" s="127"/>
      <c r="I445" s="156"/>
      <c r="J445" s="106" t="s">
        <v>993</v>
      </c>
      <c r="K445" s="106" t="s">
        <v>990</v>
      </c>
      <c r="L445" s="106" t="s">
        <v>1018</v>
      </c>
      <c r="M445" s="108" t="s">
        <v>984</v>
      </c>
      <c r="N445" s="108" t="s">
        <v>1020</v>
      </c>
      <c r="O445" s="108" t="s">
        <v>1040</v>
      </c>
      <c r="P445" s="108" t="s">
        <v>15</v>
      </c>
    </row>
    <row r="446" spans="2:16" ht="30" customHeight="1" x14ac:dyDescent="0.3">
      <c r="B446" s="118">
        <v>3</v>
      </c>
      <c r="C446" s="119" t="s">
        <v>1059</v>
      </c>
      <c r="D446" s="207" t="s">
        <v>1060</v>
      </c>
      <c r="E446" s="208"/>
      <c r="F446" s="208"/>
      <c r="G446" s="208"/>
      <c r="H446" s="208"/>
      <c r="I446" s="209"/>
      <c r="J446" s="121" t="s">
        <v>994</v>
      </c>
      <c r="K446" s="118">
        <v>1</v>
      </c>
      <c r="L446" s="118" t="s">
        <v>1014</v>
      </c>
      <c r="M446" s="133">
        <v>8</v>
      </c>
      <c r="N446" s="137"/>
      <c r="O446" s="174">
        <v>3.47</v>
      </c>
      <c r="P446" s="124">
        <f>+ROUND(PRODUCT(M446:O446)*K446/1000,3)</f>
        <v>2.8000000000000001E-2</v>
      </c>
    </row>
    <row r="447" spans="2:16" ht="30" customHeight="1" x14ac:dyDescent="0.3">
      <c r="B447" s="36">
        <v>3</v>
      </c>
      <c r="C447" s="46" t="s">
        <v>1059</v>
      </c>
      <c r="D447" s="202" t="s">
        <v>1017</v>
      </c>
      <c r="E447" s="203"/>
      <c r="F447" s="203"/>
      <c r="G447" s="203"/>
      <c r="H447" s="203"/>
      <c r="I447" s="204"/>
      <c r="J447" s="47" t="s">
        <v>994</v>
      </c>
      <c r="K447" s="36">
        <v>1</v>
      </c>
      <c r="L447" s="36" t="s">
        <v>1014</v>
      </c>
      <c r="M447" s="135"/>
      <c r="N447" s="175">
        <v>0.44</v>
      </c>
      <c r="O447" s="176">
        <v>416.54</v>
      </c>
      <c r="P447" s="57">
        <f t="shared" ref="P447" si="80">+ROUND(PRODUCT(M447:O447)*K447/1000,3)</f>
        <v>0.183</v>
      </c>
    </row>
    <row r="448" spans="2:16" ht="30" customHeight="1" x14ac:dyDescent="0.3">
      <c r="B448" s="118">
        <v>3</v>
      </c>
      <c r="C448" s="119" t="s">
        <v>1067</v>
      </c>
      <c r="D448" s="207" t="s">
        <v>1060</v>
      </c>
      <c r="E448" s="208"/>
      <c r="F448" s="208"/>
      <c r="G448" s="208"/>
      <c r="H448" s="208"/>
      <c r="I448" s="209"/>
      <c r="J448" s="121" t="s">
        <v>994</v>
      </c>
      <c r="K448" s="118">
        <v>2</v>
      </c>
      <c r="L448" s="118" t="s">
        <v>1014</v>
      </c>
      <c r="M448" s="133">
        <v>8</v>
      </c>
      <c r="N448" s="137"/>
      <c r="O448" s="174">
        <v>3.47</v>
      </c>
      <c r="P448" s="124">
        <f>+ROUND(PRODUCT(M448:O448)*K448/1000,3)</f>
        <v>5.6000000000000001E-2</v>
      </c>
    </row>
    <row r="449" spans="2:16" ht="30" customHeight="1" x14ac:dyDescent="0.3">
      <c r="B449" s="61">
        <v>3</v>
      </c>
      <c r="C449" s="58" t="s">
        <v>1067</v>
      </c>
      <c r="D449" s="213" t="s">
        <v>1073</v>
      </c>
      <c r="E449" s="214"/>
      <c r="F449" s="214"/>
      <c r="G449" s="214"/>
      <c r="H449" s="214"/>
      <c r="I449" s="215"/>
      <c r="J449" s="60" t="s">
        <v>994</v>
      </c>
      <c r="K449" s="61">
        <v>2</v>
      </c>
      <c r="L449" s="61" t="s">
        <v>1014</v>
      </c>
      <c r="M449" s="62">
        <v>8</v>
      </c>
      <c r="N449" s="87"/>
      <c r="O449" s="85">
        <v>3.47</v>
      </c>
      <c r="P449" s="68">
        <f>+ROUND(PRODUCT(M449:O449)*K449/1000,3)</f>
        <v>5.6000000000000001E-2</v>
      </c>
    </row>
    <row r="450" spans="2:16" ht="30" customHeight="1" x14ac:dyDescent="0.3">
      <c r="B450" s="36">
        <v>3</v>
      </c>
      <c r="C450" s="46" t="s">
        <v>1067</v>
      </c>
      <c r="D450" s="202" t="s">
        <v>1017</v>
      </c>
      <c r="E450" s="203"/>
      <c r="F450" s="203"/>
      <c r="G450" s="203"/>
      <c r="H450" s="203"/>
      <c r="I450" s="204"/>
      <c r="J450" s="47" t="s">
        <v>994</v>
      </c>
      <c r="K450" s="36">
        <v>5</v>
      </c>
      <c r="L450" s="36" t="s">
        <v>1014</v>
      </c>
      <c r="M450" s="135"/>
      <c r="N450" s="175">
        <v>0.44</v>
      </c>
      <c r="O450" s="176">
        <v>416.54</v>
      </c>
      <c r="P450" s="57">
        <f t="shared" ref="P450" si="81">+ROUND(PRODUCT(M450:O450)*K450/1000,3)</f>
        <v>0.91600000000000004</v>
      </c>
    </row>
    <row r="451" spans="2:16" ht="30" customHeight="1" x14ac:dyDescent="0.3">
      <c r="B451" s="118">
        <v>4</v>
      </c>
      <c r="C451" s="119" t="s">
        <v>1081</v>
      </c>
      <c r="D451" s="207" t="s">
        <v>1073</v>
      </c>
      <c r="E451" s="208"/>
      <c r="F451" s="208"/>
      <c r="G451" s="208"/>
      <c r="H451" s="208"/>
      <c r="I451" s="209"/>
      <c r="J451" s="121" t="s">
        <v>994</v>
      </c>
      <c r="K451" s="118">
        <v>2</v>
      </c>
      <c r="L451" s="118" t="s">
        <v>1014</v>
      </c>
      <c r="M451" s="133">
        <v>8</v>
      </c>
      <c r="N451" s="137"/>
      <c r="O451" s="174">
        <v>3.47</v>
      </c>
      <c r="P451" s="124">
        <f>+ROUND(PRODUCT(M451:O451)*K451/1000,3)</f>
        <v>5.6000000000000001E-2</v>
      </c>
    </row>
    <row r="452" spans="2:16" ht="30" customHeight="1" x14ac:dyDescent="0.3">
      <c r="B452" s="36">
        <v>4</v>
      </c>
      <c r="C452" s="46" t="s">
        <v>1081</v>
      </c>
      <c r="D452" s="202" t="s">
        <v>1017</v>
      </c>
      <c r="E452" s="203"/>
      <c r="F452" s="203"/>
      <c r="G452" s="203"/>
      <c r="H452" s="203"/>
      <c r="I452" s="204"/>
      <c r="J452" s="47" t="s">
        <v>994</v>
      </c>
      <c r="K452" s="36">
        <v>4</v>
      </c>
      <c r="L452" s="36" t="s">
        <v>1014</v>
      </c>
      <c r="M452" s="135"/>
      <c r="N452" s="175">
        <v>0.44</v>
      </c>
      <c r="O452" s="176">
        <v>416.54</v>
      </c>
      <c r="P452" s="57">
        <f t="shared" ref="P452" si="82">+ROUND(PRODUCT(M452:O452)*K452/1000,3)</f>
        <v>0.73299999999999998</v>
      </c>
    </row>
    <row r="453" spans="2:16" ht="30" customHeight="1" x14ac:dyDescent="0.3">
      <c r="B453" s="109">
        <v>4</v>
      </c>
      <c r="C453" s="110" t="s">
        <v>1087</v>
      </c>
      <c r="D453" s="210" t="s">
        <v>1060</v>
      </c>
      <c r="E453" s="211"/>
      <c r="F453" s="211"/>
      <c r="G453" s="211"/>
      <c r="H453" s="211"/>
      <c r="I453" s="212"/>
      <c r="J453" s="112" t="s">
        <v>994</v>
      </c>
      <c r="K453" s="109">
        <v>4</v>
      </c>
      <c r="L453" s="109" t="s">
        <v>1014</v>
      </c>
      <c r="M453" s="130">
        <v>8</v>
      </c>
      <c r="N453" s="136"/>
      <c r="O453" s="173">
        <v>3.47</v>
      </c>
      <c r="P453" s="116">
        <f>+ROUND(PRODUCT(M453:O453)*K453/1000,3)</f>
        <v>0.111</v>
      </c>
    </row>
    <row r="454" spans="2:16" ht="30" customHeight="1" x14ac:dyDescent="0.3">
      <c r="B454" s="61">
        <v>4</v>
      </c>
      <c r="C454" s="58" t="s">
        <v>1087</v>
      </c>
      <c r="D454" s="213" t="s">
        <v>1073</v>
      </c>
      <c r="E454" s="214"/>
      <c r="F454" s="214"/>
      <c r="G454" s="214"/>
      <c r="H454" s="214"/>
      <c r="I454" s="215"/>
      <c r="J454" s="60" t="s">
        <v>994</v>
      </c>
      <c r="K454" s="61">
        <v>2</v>
      </c>
      <c r="L454" s="61" t="s">
        <v>1014</v>
      </c>
      <c r="M454" s="62">
        <v>8</v>
      </c>
      <c r="N454" s="87"/>
      <c r="O454" s="85">
        <v>3.47</v>
      </c>
      <c r="P454" s="68">
        <f>+ROUND(PRODUCT(M454:O454)*K454/1000,3)</f>
        <v>5.6000000000000001E-2</v>
      </c>
    </row>
    <row r="455" spans="2:16" ht="30" customHeight="1" x14ac:dyDescent="0.3">
      <c r="B455" s="61">
        <v>4</v>
      </c>
      <c r="C455" s="58" t="s">
        <v>1087</v>
      </c>
      <c r="D455" s="213" t="s">
        <v>1017</v>
      </c>
      <c r="E455" s="216"/>
      <c r="F455" s="216"/>
      <c r="G455" s="216"/>
      <c r="H455" s="216"/>
      <c r="I455" s="217"/>
      <c r="J455" s="60" t="s">
        <v>994</v>
      </c>
      <c r="K455" s="61">
        <v>5</v>
      </c>
      <c r="L455" s="61" t="s">
        <v>1014</v>
      </c>
      <c r="M455" s="62"/>
      <c r="N455" s="87">
        <v>0.44</v>
      </c>
      <c r="O455" s="85">
        <v>416.54</v>
      </c>
      <c r="P455" s="68">
        <f t="shared" ref="P455:P456" si="83">+ROUND(PRODUCT(M455:O455)*K455/1000,3)</f>
        <v>0.91600000000000004</v>
      </c>
    </row>
    <row r="456" spans="2:16" ht="30" customHeight="1" x14ac:dyDescent="0.3">
      <c r="B456" s="61">
        <v>4</v>
      </c>
      <c r="C456" s="58" t="s">
        <v>1093</v>
      </c>
      <c r="D456" s="213" t="s">
        <v>1017</v>
      </c>
      <c r="E456" s="216"/>
      <c r="F456" s="216"/>
      <c r="G456" s="216"/>
      <c r="H456" s="216"/>
      <c r="I456" s="217"/>
      <c r="J456" s="60" t="s">
        <v>994</v>
      </c>
      <c r="K456" s="61">
        <v>2</v>
      </c>
      <c r="L456" s="61" t="s">
        <v>1014</v>
      </c>
      <c r="M456" s="62"/>
      <c r="N456" s="87">
        <v>0.44</v>
      </c>
      <c r="O456" s="85">
        <v>416.54</v>
      </c>
      <c r="P456" s="68">
        <f t="shared" si="83"/>
        <v>0.36699999999999999</v>
      </c>
    </row>
    <row r="457" spans="2:16" ht="30" customHeight="1" x14ac:dyDescent="0.3">
      <c r="B457" s="61">
        <v>4</v>
      </c>
      <c r="C457" s="58" t="s">
        <v>1093</v>
      </c>
      <c r="D457" s="213" t="s">
        <v>1017</v>
      </c>
      <c r="E457" s="216"/>
      <c r="F457" s="216"/>
      <c r="G457" s="216"/>
      <c r="H457" s="216"/>
      <c r="I457" s="217"/>
      <c r="J457" s="60" t="s">
        <v>994</v>
      </c>
      <c r="K457" s="61">
        <v>1</v>
      </c>
      <c r="L457" s="61" t="s">
        <v>1098</v>
      </c>
      <c r="M457" s="62"/>
      <c r="N457" s="87">
        <v>0.44</v>
      </c>
      <c r="O457" s="85">
        <v>1997.87</v>
      </c>
      <c r="P457" s="68">
        <f t="shared" ref="P457" si="84">+ROUND(PRODUCT(M457:O457)*K457/1000,3)</f>
        <v>0.879</v>
      </c>
    </row>
    <row r="458" spans="2:16" ht="4.95" customHeight="1" x14ac:dyDescent="0.3">
      <c r="B458" s="39"/>
      <c r="C458" s="42"/>
      <c r="D458" s="40"/>
      <c r="E458" s="40"/>
      <c r="F458" s="40"/>
      <c r="G458" s="40"/>
      <c r="H458" s="41"/>
      <c r="I458" s="41"/>
      <c r="J458" s="41"/>
      <c r="K458" s="41"/>
      <c r="L458" s="41"/>
      <c r="M458" s="41"/>
      <c r="N458" s="41"/>
      <c r="O458" s="42"/>
      <c r="P458" s="43"/>
    </row>
    <row r="459" spans="2:16" ht="15" customHeight="1" x14ac:dyDescent="0.3">
      <c r="C459" s="29"/>
      <c r="D459" s="32"/>
      <c r="E459" s="32"/>
      <c r="F459" s="32"/>
      <c r="G459" s="32"/>
      <c r="H459" s="11"/>
      <c r="I459" s="11"/>
      <c r="J459" s="11"/>
      <c r="K459" s="11"/>
      <c r="L459" s="11"/>
      <c r="M459" s="11"/>
      <c r="N459" s="11"/>
      <c r="O459" s="29"/>
    </row>
    <row r="460" spans="2:16" ht="15" customHeight="1" x14ac:dyDescent="0.3">
      <c r="C460" s="29"/>
      <c r="D460" s="32"/>
      <c r="E460" s="32"/>
      <c r="F460" s="32"/>
      <c r="G460" s="32"/>
      <c r="H460" s="11"/>
      <c r="I460" s="11"/>
      <c r="J460" s="11"/>
      <c r="K460" s="11"/>
      <c r="L460" s="11"/>
      <c r="M460" s="11"/>
      <c r="N460" s="11"/>
      <c r="O460" s="29"/>
    </row>
    <row r="461" spans="2:16" ht="15" customHeight="1" x14ac:dyDescent="0.3">
      <c r="C461" s="29"/>
      <c r="D461" s="32"/>
      <c r="E461" s="32"/>
      <c r="F461" s="32"/>
      <c r="G461" s="32"/>
      <c r="H461" s="11"/>
      <c r="I461" s="11"/>
      <c r="J461" s="11"/>
      <c r="K461" s="11"/>
      <c r="L461" s="11"/>
      <c r="M461" s="11"/>
      <c r="N461" s="11"/>
      <c r="O461" s="29"/>
    </row>
    <row r="462" spans="2:16" ht="15" customHeight="1" x14ac:dyDescent="0.3">
      <c r="C462" s="29"/>
      <c r="D462" s="32"/>
      <c r="E462" s="32"/>
      <c r="F462" s="32"/>
      <c r="G462" s="32"/>
      <c r="H462" s="11"/>
      <c r="I462" s="11"/>
      <c r="J462" s="11"/>
      <c r="K462" s="11"/>
      <c r="L462" s="11"/>
      <c r="M462" s="11"/>
      <c r="N462" s="11"/>
      <c r="O462" s="29"/>
    </row>
    <row r="463" spans="2:16" ht="15" customHeight="1" x14ac:dyDescent="0.3">
      <c r="C463" s="29"/>
      <c r="D463" s="32"/>
      <c r="E463" s="32"/>
      <c r="F463" s="32"/>
      <c r="G463" s="32"/>
      <c r="H463" s="11"/>
      <c r="I463" s="11"/>
      <c r="J463" s="11"/>
      <c r="K463" s="11"/>
      <c r="L463" s="11"/>
      <c r="M463" s="11"/>
      <c r="N463" s="11"/>
      <c r="O463" s="29"/>
    </row>
    <row r="464" spans="2:16" ht="15" customHeight="1" x14ac:dyDescent="0.3">
      <c r="C464" s="29"/>
      <c r="D464" s="32"/>
      <c r="E464" s="32"/>
      <c r="F464" s="32"/>
      <c r="G464" s="32"/>
      <c r="H464" s="11"/>
      <c r="I464" s="11"/>
      <c r="J464" s="11"/>
      <c r="K464" s="11"/>
      <c r="L464" s="11"/>
      <c r="M464" s="11"/>
      <c r="N464" s="11"/>
      <c r="O464" s="29"/>
    </row>
    <row r="465" spans="3:15" ht="15" customHeight="1" x14ac:dyDescent="0.3">
      <c r="C465" s="29"/>
      <c r="D465" s="32"/>
      <c r="E465" s="32"/>
      <c r="F465" s="32"/>
      <c r="G465" s="32"/>
      <c r="H465" s="11"/>
      <c r="I465" s="11"/>
      <c r="J465" s="11"/>
      <c r="K465" s="11"/>
      <c r="L465" s="11"/>
      <c r="M465" s="11"/>
      <c r="N465" s="11"/>
      <c r="O465" s="29"/>
    </row>
    <row r="466" spans="3:15" ht="15" customHeight="1" x14ac:dyDescent="0.3">
      <c r="C466" s="29"/>
      <c r="D466" s="32"/>
      <c r="E466" s="32"/>
      <c r="F466" s="32"/>
      <c r="G466" s="32"/>
      <c r="H466" s="11"/>
      <c r="I466" s="11"/>
      <c r="J466" s="11"/>
      <c r="K466" s="11"/>
      <c r="L466" s="11"/>
      <c r="M466" s="11"/>
      <c r="N466" s="11"/>
      <c r="O466" s="29"/>
    </row>
    <row r="467" spans="3:15" ht="15" customHeight="1" x14ac:dyDescent="0.3">
      <c r="C467" s="29"/>
      <c r="D467" s="32"/>
      <c r="E467" s="32"/>
      <c r="F467" s="32"/>
      <c r="G467" s="32"/>
      <c r="H467" s="11"/>
      <c r="I467" s="11"/>
      <c r="J467" s="11"/>
      <c r="K467" s="11"/>
      <c r="L467" s="11"/>
      <c r="M467" s="11"/>
      <c r="N467" s="11"/>
      <c r="O467" s="29"/>
    </row>
    <row r="468" spans="3:15" ht="15" customHeight="1" x14ac:dyDescent="0.3">
      <c r="C468" s="29"/>
      <c r="D468" s="32"/>
      <c r="E468" s="32"/>
      <c r="F468" s="32"/>
      <c r="G468" s="32"/>
      <c r="H468" s="11"/>
      <c r="I468" s="11"/>
      <c r="J468" s="11"/>
      <c r="K468" s="11"/>
      <c r="L468" s="11"/>
      <c r="M468" s="11"/>
      <c r="N468" s="11"/>
      <c r="O468" s="29"/>
    </row>
    <row r="469" spans="3:15" ht="15" customHeight="1" x14ac:dyDescent="0.3">
      <c r="C469" s="29"/>
      <c r="D469" s="32"/>
      <c r="E469" s="32"/>
      <c r="F469" s="32"/>
      <c r="G469" s="32"/>
      <c r="H469" s="11"/>
      <c r="I469" s="11"/>
      <c r="J469" s="11"/>
      <c r="K469" s="11"/>
      <c r="L469" s="11"/>
      <c r="M469" s="11"/>
      <c r="N469" s="11"/>
      <c r="O469" s="29"/>
    </row>
    <row r="470" spans="3:15" ht="15" customHeight="1" x14ac:dyDescent="0.3">
      <c r="C470" s="29"/>
      <c r="D470" s="32"/>
      <c r="E470" s="32"/>
      <c r="F470" s="32"/>
      <c r="G470" s="32"/>
      <c r="H470" s="11"/>
      <c r="I470" s="11"/>
      <c r="J470" s="11"/>
      <c r="K470" s="11"/>
      <c r="L470" s="11"/>
      <c r="M470" s="11"/>
      <c r="N470" s="11"/>
      <c r="O470" s="29"/>
    </row>
    <row r="471" spans="3:15" ht="15" customHeight="1" x14ac:dyDescent="0.3">
      <c r="C471" s="29"/>
      <c r="D471" s="32"/>
      <c r="E471" s="32"/>
      <c r="F471" s="32"/>
      <c r="G471" s="32"/>
      <c r="H471" s="11"/>
      <c r="I471" s="11"/>
      <c r="J471" s="11"/>
      <c r="K471" s="11"/>
      <c r="L471" s="11"/>
      <c r="M471" s="11"/>
      <c r="N471" s="11"/>
      <c r="O471" s="29"/>
    </row>
    <row r="472" spans="3:15" ht="15" customHeight="1" x14ac:dyDescent="0.3">
      <c r="C472" s="29"/>
      <c r="D472" s="32"/>
      <c r="E472" s="32"/>
      <c r="F472" s="32"/>
      <c r="G472" s="32"/>
      <c r="H472" s="11"/>
      <c r="I472" s="11"/>
      <c r="J472" s="11"/>
      <c r="K472" s="11"/>
      <c r="L472" s="11"/>
      <c r="M472" s="11"/>
      <c r="N472" s="11"/>
      <c r="O472" s="29"/>
    </row>
    <row r="473" spans="3:15" ht="15" customHeight="1" x14ac:dyDescent="0.3">
      <c r="C473" s="29"/>
      <c r="D473" s="32"/>
      <c r="E473" s="32"/>
      <c r="F473" s="32"/>
      <c r="G473" s="32"/>
      <c r="H473" s="11"/>
      <c r="I473" s="11"/>
      <c r="J473" s="11"/>
      <c r="K473" s="11"/>
      <c r="L473" s="11"/>
      <c r="M473" s="11"/>
      <c r="N473" s="11"/>
      <c r="O473" s="29"/>
    </row>
    <row r="474" spans="3:15" ht="15" customHeight="1" x14ac:dyDescent="0.3">
      <c r="C474" s="29"/>
      <c r="D474" s="32"/>
      <c r="E474" s="32"/>
      <c r="F474" s="32"/>
      <c r="G474" s="32"/>
      <c r="H474" s="11"/>
      <c r="I474" s="11"/>
      <c r="J474" s="11"/>
      <c r="K474" s="11"/>
      <c r="L474" s="11"/>
      <c r="M474" s="11"/>
      <c r="N474" s="11"/>
      <c r="O474" s="29"/>
    </row>
    <row r="475" spans="3:15" ht="15" customHeight="1" x14ac:dyDescent="0.3">
      <c r="C475" s="29"/>
      <c r="D475" s="32"/>
      <c r="E475" s="32"/>
      <c r="F475" s="32"/>
      <c r="G475" s="32"/>
      <c r="H475" s="11"/>
      <c r="I475" s="11"/>
      <c r="J475" s="11"/>
      <c r="K475" s="11"/>
      <c r="L475" s="11"/>
      <c r="M475" s="11"/>
      <c r="N475" s="11"/>
      <c r="O475" s="29"/>
    </row>
    <row r="476" spans="3:15" ht="15" customHeight="1" x14ac:dyDescent="0.3">
      <c r="C476" s="29"/>
      <c r="D476" s="32"/>
      <c r="E476" s="32"/>
      <c r="F476" s="32"/>
      <c r="G476" s="32"/>
      <c r="H476" s="11"/>
      <c r="I476" s="11"/>
      <c r="J476" s="11"/>
      <c r="K476" s="11"/>
      <c r="L476" s="11"/>
      <c r="M476" s="11"/>
      <c r="N476" s="11"/>
      <c r="O476" s="29"/>
    </row>
    <row r="477" spans="3:15" ht="15" customHeight="1" x14ac:dyDescent="0.3">
      <c r="C477" s="29"/>
      <c r="D477" s="32"/>
      <c r="E477" s="32"/>
      <c r="F477" s="32"/>
      <c r="G477" s="32"/>
      <c r="H477" s="11"/>
      <c r="I477" s="11"/>
      <c r="J477" s="11"/>
      <c r="K477" s="11"/>
      <c r="L477" s="11"/>
      <c r="M477" s="11"/>
      <c r="N477" s="11"/>
      <c r="O477" s="29"/>
    </row>
    <row r="478" spans="3:15" ht="15" customHeight="1" x14ac:dyDescent="0.3">
      <c r="C478" s="29"/>
      <c r="D478" s="32"/>
      <c r="E478" s="32"/>
      <c r="F478" s="32"/>
      <c r="G478" s="32"/>
      <c r="H478" s="11"/>
      <c r="I478" s="11"/>
      <c r="J478" s="11"/>
      <c r="K478" s="11"/>
      <c r="L478" s="11"/>
      <c r="M478" s="11"/>
      <c r="N478" s="11"/>
      <c r="O478" s="29"/>
    </row>
    <row r="479" spans="3:15" ht="15" customHeight="1" x14ac:dyDescent="0.3">
      <c r="C479" s="29"/>
      <c r="D479" s="32"/>
      <c r="E479" s="32"/>
      <c r="F479" s="32"/>
      <c r="G479" s="32"/>
      <c r="H479" s="11"/>
      <c r="I479" s="11"/>
      <c r="J479" s="11"/>
      <c r="K479" s="11"/>
      <c r="L479" s="11"/>
      <c r="M479" s="11"/>
      <c r="N479" s="11"/>
      <c r="O479" s="29"/>
    </row>
    <row r="480" spans="3:15" ht="15" customHeight="1" x14ac:dyDescent="0.3">
      <c r="C480" s="29"/>
      <c r="D480" s="32"/>
      <c r="E480" s="32"/>
      <c r="F480" s="32"/>
      <c r="G480" s="32"/>
      <c r="H480" s="11"/>
      <c r="I480" s="11"/>
      <c r="J480" s="11"/>
      <c r="K480" s="11"/>
      <c r="L480" s="11"/>
      <c r="M480" s="11"/>
      <c r="N480" s="11"/>
      <c r="O480" s="29"/>
    </row>
    <row r="481" spans="3:15" ht="15" customHeight="1" x14ac:dyDescent="0.3">
      <c r="C481" s="29"/>
      <c r="D481" s="32"/>
      <c r="E481" s="32"/>
      <c r="F481" s="32"/>
      <c r="G481" s="32"/>
      <c r="H481" s="11"/>
      <c r="I481" s="11"/>
      <c r="J481" s="11"/>
      <c r="K481" s="11"/>
      <c r="L481" s="11"/>
      <c r="M481" s="11"/>
      <c r="N481" s="11"/>
      <c r="O481" s="29"/>
    </row>
    <row r="482" spans="3:15" ht="15" customHeight="1" x14ac:dyDescent="0.3">
      <c r="C482" s="29"/>
      <c r="D482" s="32"/>
      <c r="E482" s="32"/>
      <c r="F482" s="32"/>
      <c r="G482" s="32"/>
      <c r="H482" s="11"/>
      <c r="I482" s="11"/>
      <c r="J482" s="11"/>
      <c r="K482" s="11"/>
      <c r="L482" s="11"/>
      <c r="M482" s="11"/>
      <c r="N482" s="11"/>
      <c r="O482" s="29"/>
    </row>
    <row r="483" spans="3:15" ht="15" customHeight="1" x14ac:dyDescent="0.3">
      <c r="C483" s="29"/>
      <c r="D483" s="32"/>
      <c r="E483" s="32"/>
      <c r="F483" s="32"/>
      <c r="G483" s="32"/>
      <c r="H483" s="11"/>
      <c r="I483" s="11"/>
      <c r="J483" s="11"/>
      <c r="K483" s="11"/>
      <c r="L483" s="11"/>
      <c r="M483" s="11"/>
      <c r="N483" s="11"/>
      <c r="O483" s="29"/>
    </row>
    <row r="484" spans="3:15" ht="15" customHeight="1" x14ac:dyDescent="0.3">
      <c r="C484" s="29"/>
      <c r="D484" s="32"/>
      <c r="E484" s="32"/>
      <c r="F484" s="32"/>
      <c r="G484" s="32"/>
      <c r="H484" s="11"/>
      <c r="I484" s="11"/>
      <c r="J484" s="11"/>
      <c r="K484" s="11"/>
      <c r="L484" s="11"/>
      <c r="M484" s="11"/>
      <c r="N484" s="11"/>
      <c r="O484" s="29"/>
    </row>
    <row r="485" spans="3:15" ht="15" customHeight="1" x14ac:dyDescent="0.3">
      <c r="C485" s="29"/>
      <c r="D485" s="32"/>
      <c r="E485" s="32"/>
      <c r="F485" s="32"/>
      <c r="G485" s="32"/>
      <c r="H485" s="11"/>
      <c r="I485" s="11"/>
      <c r="J485" s="11"/>
      <c r="K485" s="11"/>
      <c r="L485" s="11"/>
      <c r="M485" s="11"/>
      <c r="N485" s="11"/>
      <c r="O485" s="29"/>
    </row>
    <row r="486" spans="3:15" ht="15" customHeight="1" x14ac:dyDescent="0.3">
      <c r="C486" s="29"/>
      <c r="D486" s="32"/>
      <c r="E486" s="32"/>
      <c r="F486" s="32"/>
      <c r="G486" s="32"/>
      <c r="H486" s="11"/>
      <c r="I486" s="11"/>
      <c r="J486" s="11"/>
      <c r="K486" s="11"/>
      <c r="L486" s="11"/>
      <c r="M486" s="11"/>
      <c r="N486" s="11"/>
      <c r="O486" s="29"/>
    </row>
    <row r="487" spans="3:15" ht="15" customHeight="1" x14ac:dyDescent="0.3">
      <c r="C487" s="29"/>
      <c r="D487" s="32"/>
      <c r="E487" s="32"/>
      <c r="F487" s="32"/>
      <c r="G487" s="32"/>
      <c r="H487" s="11"/>
      <c r="I487" s="11"/>
      <c r="J487" s="11"/>
      <c r="K487" s="11"/>
      <c r="L487" s="11"/>
      <c r="M487" s="11"/>
      <c r="N487" s="11"/>
      <c r="O487" s="29"/>
    </row>
    <row r="488" spans="3:15" ht="15" customHeight="1" x14ac:dyDescent="0.3">
      <c r="C488" s="29"/>
      <c r="D488" s="32"/>
      <c r="E488" s="32"/>
      <c r="F488" s="32"/>
      <c r="G488" s="32"/>
      <c r="H488" s="11"/>
      <c r="I488" s="11"/>
      <c r="J488" s="11"/>
      <c r="K488" s="11"/>
      <c r="L488" s="11"/>
      <c r="M488" s="11"/>
      <c r="N488" s="11"/>
      <c r="O488" s="29"/>
    </row>
    <row r="489" spans="3:15" ht="15" customHeight="1" x14ac:dyDescent="0.3">
      <c r="C489" s="29"/>
      <c r="D489" s="32"/>
      <c r="E489" s="32"/>
      <c r="F489" s="32"/>
      <c r="G489" s="32"/>
      <c r="H489" s="11"/>
      <c r="I489" s="11"/>
      <c r="J489" s="11"/>
      <c r="K489" s="11"/>
      <c r="L489" s="11"/>
      <c r="M489" s="11"/>
      <c r="N489" s="11"/>
      <c r="O489" s="29"/>
    </row>
    <row r="490" spans="3:15" ht="15" customHeight="1" x14ac:dyDescent="0.3">
      <c r="C490" s="29"/>
      <c r="D490" s="32"/>
      <c r="E490" s="32"/>
      <c r="F490" s="32"/>
      <c r="G490" s="32"/>
      <c r="H490" s="11"/>
      <c r="I490" s="11"/>
      <c r="J490" s="11"/>
      <c r="K490" s="11"/>
      <c r="L490" s="11"/>
      <c r="M490" s="11"/>
      <c r="N490" s="11"/>
      <c r="O490" s="29"/>
    </row>
    <row r="491" spans="3:15" ht="15" customHeight="1" x14ac:dyDescent="0.3">
      <c r="C491" s="29"/>
      <c r="D491" s="32"/>
      <c r="E491" s="32"/>
      <c r="F491" s="32"/>
      <c r="G491" s="32"/>
      <c r="H491" s="11"/>
      <c r="I491" s="11"/>
      <c r="J491" s="11"/>
      <c r="K491" s="11"/>
      <c r="L491" s="11"/>
      <c r="M491" s="11"/>
      <c r="N491" s="11"/>
      <c r="O491" s="29"/>
    </row>
    <row r="492" spans="3:15" ht="15" customHeight="1" x14ac:dyDescent="0.3">
      <c r="C492" s="29"/>
      <c r="D492" s="32"/>
      <c r="E492" s="32"/>
      <c r="F492" s="32"/>
      <c r="G492" s="32"/>
      <c r="H492" s="11"/>
      <c r="I492" s="11"/>
      <c r="J492" s="11"/>
      <c r="K492" s="11"/>
      <c r="L492" s="11"/>
      <c r="M492" s="11"/>
      <c r="N492" s="11"/>
      <c r="O492" s="29"/>
    </row>
    <row r="493" spans="3:15" ht="15" customHeight="1" x14ac:dyDescent="0.3">
      <c r="C493" s="29"/>
      <c r="D493" s="32"/>
      <c r="E493" s="32"/>
      <c r="F493" s="32"/>
      <c r="G493" s="32"/>
      <c r="H493" s="11"/>
      <c r="I493" s="11"/>
      <c r="J493" s="11"/>
      <c r="K493" s="11"/>
      <c r="L493" s="11"/>
      <c r="M493" s="11"/>
      <c r="N493" s="11"/>
      <c r="O493" s="29"/>
    </row>
    <row r="494" spans="3:15" ht="15" customHeight="1" x14ac:dyDescent="0.3">
      <c r="C494" s="29"/>
      <c r="D494" s="32"/>
      <c r="E494" s="32"/>
      <c r="F494" s="32"/>
      <c r="G494" s="32"/>
      <c r="H494" s="11"/>
      <c r="I494" s="11"/>
      <c r="J494" s="11"/>
      <c r="K494" s="11"/>
      <c r="L494" s="11"/>
      <c r="M494" s="11"/>
      <c r="N494" s="11"/>
      <c r="O494" s="29"/>
    </row>
    <row r="495" spans="3:15" ht="15" customHeight="1" x14ac:dyDescent="0.3">
      <c r="C495" s="29"/>
      <c r="D495" s="32"/>
      <c r="E495" s="32"/>
      <c r="F495" s="32"/>
      <c r="G495" s="32"/>
      <c r="H495" s="11"/>
      <c r="I495" s="11"/>
      <c r="J495" s="11"/>
      <c r="K495" s="11"/>
      <c r="L495" s="11"/>
      <c r="M495" s="11"/>
      <c r="N495" s="11"/>
      <c r="O495" s="29"/>
    </row>
    <row r="498" spans="2:16" ht="15" customHeight="1" x14ac:dyDescent="0.3">
      <c r="B498" s="205"/>
      <c r="C498" s="205"/>
      <c r="D498" s="205"/>
      <c r="E498" s="205"/>
      <c r="F498" s="205"/>
      <c r="G498" s="205"/>
      <c r="H498" s="206"/>
      <c r="I498" s="206"/>
      <c r="J498" s="206"/>
      <c r="K498" s="206"/>
      <c r="L498" s="206"/>
      <c r="M498" s="205"/>
      <c r="N498" s="205"/>
      <c r="O498" s="205"/>
      <c r="P498" s="205"/>
    </row>
    <row r="505" spans="2:16" ht="15" customHeight="1" x14ac:dyDescent="0.3">
      <c r="B505" s="201"/>
      <c r="C505" s="201"/>
      <c r="D505" s="201"/>
      <c r="E505" s="201"/>
      <c r="F505" s="201"/>
      <c r="G505" s="201"/>
      <c r="H505" s="201"/>
      <c r="I505" s="201"/>
      <c r="J505" s="201"/>
      <c r="K505" s="201"/>
      <c r="L505" s="201"/>
      <c r="M505" s="201"/>
      <c r="N505" s="201"/>
      <c r="O505" s="201"/>
      <c r="P505" s="201"/>
    </row>
    <row r="506" spans="2:16" ht="15" customHeight="1" x14ac:dyDescent="0.3">
      <c r="B506" s="201"/>
      <c r="C506" s="201"/>
      <c r="D506" s="201"/>
      <c r="E506" s="201"/>
      <c r="F506" s="201"/>
      <c r="G506" s="201"/>
      <c r="H506" s="201"/>
      <c r="I506" s="201"/>
      <c r="J506" s="201"/>
      <c r="K506" s="201"/>
      <c r="L506" s="201"/>
      <c r="M506" s="201"/>
      <c r="N506" s="201"/>
      <c r="O506" s="201"/>
      <c r="P506" s="201"/>
    </row>
  </sheetData>
  <mergeCells count="68">
    <mergeCell ref="D262:L262"/>
    <mergeCell ref="D263:L263"/>
    <mergeCell ref="D272:L272"/>
    <mergeCell ref="D273:L273"/>
    <mergeCell ref="D282:L282"/>
    <mergeCell ref="B283:C283"/>
    <mergeCell ref="D283:L283"/>
    <mergeCell ref="D354:L354"/>
    <mergeCell ref="D415:N415"/>
    <mergeCell ref="D416:N416"/>
    <mergeCell ref="B416:C416"/>
    <mergeCell ref="B415:C415"/>
    <mergeCell ref="B355:C355"/>
    <mergeCell ref="D355:L355"/>
    <mergeCell ref="D364:L364"/>
    <mergeCell ref="D365:L365"/>
    <mergeCell ref="B365:C365"/>
    <mergeCell ref="B364:C364"/>
    <mergeCell ref="B262:C262"/>
    <mergeCell ref="B263:C263"/>
    <mergeCell ref="B505:G505"/>
    <mergeCell ref="H505:L505"/>
    <mergeCell ref="B427:C427"/>
    <mergeCell ref="B428:C428"/>
    <mergeCell ref="D446:I446"/>
    <mergeCell ref="D449:I449"/>
    <mergeCell ref="D450:I450"/>
    <mergeCell ref="D448:I448"/>
    <mergeCell ref="D427:L427"/>
    <mergeCell ref="D428:L428"/>
    <mergeCell ref="B272:C272"/>
    <mergeCell ref="B273:C273"/>
    <mergeCell ref="B354:C354"/>
    <mergeCell ref="B282:C282"/>
    <mergeCell ref="M506:P506"/>
    <mergeCell ref="M505:P505"/>
    <mergeCell ref="D447:I447"/>
    <mergeCell ref="M498:P498"/>
    <mergeCell ref="B506:G506"/>
    <mergeCell ref="H506:L506"/>
    <mergeCell ref="B498:G498"/>
    <mergeCell ref="H498:L498"/>
    <mergeCell ref="D451:I451"/>
    <mergeCell ref="D452:I452"/>
    <mergeCell ref="D453:I453"/>
    <mergeCell ref="D454:I454"/>
    <mergeCell ref="D455:I455"/>
    <mergeCell ref="D457:I457"/>
    <mergeCell ref="D456:I456"/>
    <mergeCell ref="B17:C17"/>
    <mergeCell ref="B253:C253"/>
    <mergeCell ref="B254:C254"/>
    <mergeCell ref="B134:C134"/>
    <mergeCell ref="B133:C133"/>
    <mergeCell ref="D17:L17"/>
    <mergeCell ref="D133:L133"/>
    <mergeCell ref="D134:L134"/>
    <mergeCell ref="D253:L253"/>
    <mergeCell ref="D254:L254"/>
    <mergeCell ref="D14:E14"/>
    <mergeCell ref="B16:C16"/>
    <mergeCell ref="D16:L16"/>
    <mergeCell ref="A11:Q11"/>
    <mergeCell ref="A2:Q2"/>
    <mergeCell ref="A3:Q3"/>
    <mergeCell ref="A4:Q4"/>
    <mergeCell ref="A7:Q7"/>
    <mergeCell ref="A9:Q9"/>
  </mergeCells>
  <phoneticPr fontId="12" type="noConversion"/>
  <pageMargins left="0.43307086614173229" right="0.23622047244094491" top="0.35433070866141736" bottom="0.94488188976377963" header="0.31496062992125984" footer="0.31496062992125984"/>
  <pageSetup paperSize="9" scale="54" fitToHeight="0" orientation="portrait" r:id="rId1"/>
  <headerFooter>
    <oddFooter>&amp;C&amp;G</oddFooter>
  </headerFooter>
  <rowBreaks count="6" manualBreakCount="6">
    <brk id="82" max="16" man="1"/>
    <brk id="149" max="16" man="1"/>
    <brk id="218" max="16" man="1"/>
    <brk id="281" max="16" man="1"/>
    <brk id="345" max="16" man="1"/>
    <brk id="426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zoomScaleNormal="100" workbookViewId="0">
      <selection activeCell="H485" sqref="H485"/>
    </sheetView>
  </sheetViews>
  <sheetFormatPr defaultColWidth="8.88671875"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664062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6" t="s">
        <v>11</v>
      </c>
      <c r="B1" s="17" t="s">
        <v>12</v>
      </c>
      <c r="C1" s="17" t="s">
        <v>13</v>
      </c>
      <c r="D1" s="18" t="s">
        <v>14</v>
      </c>
      <c r="E1" s="18" t="s">
        <v>15</v>
      </c>
      <c r="F1" s="18" t="s">
        <v>16</v>
      </c>
      <c r="G1" s="18" t="s">
        <v>17</v>
      </c>
    </row>
    <row r="2" spans="1:7" hidden="1" x14ac:dyDescent="0.3">
      <c r="A2" s="19">
        <v>1</v>
      </c>
      <c r="B2" s="20" t="s">
        <v>18</v>
      </c>
      <c r="C2" s="19" t="s">
        <v>19</v>
      </c>
      <c r="D2" s="21" t="s">
        <v>20</v>
      </c>
      <c r="E2" s="22">
        <v>4600</v>
      </c>
      <c r="F2" s="23">
        <v>500</v>
      </c>
      <c r="G2" s="24">
        <f>+E2*F2</f>
        <v>2300000</v>
      </c>
    </row>
    <row r="3" spans="1:7" hidden="1" x14ac:dyDescent="0.3">
      <c r="A3" s="19">
        <v>2</v>
      </c>
      <c r="B3" s="19" t="s">
        <v>21</v>
      </c>
      <c r="C3" s="19" t="s">
        <v>22</v>
      </c>
      <c r="D3" s="21" t="s">
        <v>23</v>
      </c>
      <c r="E3" s="19">
        <v>528.66</v>
      </c>
      <c r="F3" s="23">
        <v>4063</v>
      </c>
      <c r="G3" s="24">
        <f t="shared" ref="G3:G66" si="0">+E3*F3</f>
        <v>2147945.58</v>
      </c>
    </row>
    <row r="4" spans="1:7" hidden="1" x14ac:dyDescent="0.3">
      <c r="A4" s="19">
        <v>3</v>
      </c>
      <c r="B4" s="19" t="s">
        <v>24</v>
      </c>
      <c r="C4" s="19" t="s">
        <v>25</v>
      </c>
      <c r="D4" s="21" t="s">
        <v>23</v>
      </c>
      <c r="E4" s="19">
        <v>550.69000000000005</v>
      </c>
      <c r="F4" s="23">
        <v>2000</v>
      </c>
      <c r="G4" s="24">
        <f t="shared" si="0"/>
        <v>1101380</v>
      </c>
    </row>
    <row r="5" spans="1:7" hidden="1" x14ac:dyDescent="0.3">
      <c r="A5" s="19">
        <v>4</v>
      </c>
      <c r="B5" s="19" t="s">
        <v>26</v>
      </c>
      <c r="C5" s="19" t="s">
        <v>27</v>
      </c>
      <c r="D5" s="21" t="s">
        <v>23</v>
      </c>
      <c r="E5" s="19">
        <v>440.55</v>
      </c>
      <c r="F5" s="23">
        <v>10500</v>
      </c>
      <c r="G5" s="24">
        <f t="shared" si="0"/>
        <v>4625775</v>
      </c>
    </row>
    <row r="6" spans="1:7" hidden="1" x14ac:dyDescent="0.3">
      <c r="A6" s="19">
        <v>5</v>
      </c>
      <c r="B6" s="20" t="s">
        <v>28</v>
      </c>
      <c r="C6" s="19" t="s">
        <v>29</v>
      </c>
      <c r="D6" s="21" t="s">
        <v>23</v>
      </c>
      <c r="E6" s="25">
        <v>175497.85</v>
      </c>
      <c r="F6" s="23">
        <v>1485</v>
      </c>
      <c r="G6" s="24">
        <f t="shared" si="0"/>
        <v>260614307.25</v>
      </c>
    </row>
    <row r="7" spans="1:7" hidden="1" x14ac:dyDescent="0.3">
      <c r="A7" s="19">
        <v>6</v>
      </c>
      <c r="B7" s="19" t="s">
        <v>30</v>
      </c>
      <c r="C7" s="19" t="s">
        <v>31</v>
      </c>
      <c r="D7" s="21" t="s">
        <v>23</v>
      </c>
      <c r="E7" s="25">
        <v>26184.71</v>
      </c>
      <c r="F7" s="23">
        <v>300</v>
      </c>
      <c r="G7" s="24">
        <f t="shared" si="0"/>
        <v>7855413</v>
      </c>
    </row>
    <row r="8" spans="1:7" hidden="1" x14ac:dyDescent="0.3">
      <c r="A8" s="19">
        <v>7</v>
      </c>
      <c r="B8" s="19" t="s">
        <v>32</v>
      </c>
      <c r="C8" s="19" t="s">
        <v>33</v>
      </c>
      <c r="D8" s="21" t="s">
        <v>23</v>
      </c>
      <c r="E8" s="25">
        <v>27657.96</v>
      </c>
      <c r="F8" s="23">
        <v>1500</v>
      </c>
      <c r="G8" s="24">
        <f t="shared" si="0"/>
        <v>41486940</v>
      </c>
    </row>
    <row r="9" spans="1:7" hidden="1" x14ac:dyDescent="0.3">
      <c r="A9" s="19">
        <v>8</v>
      </c>
      <c r="B9" s="20" t="s">
        <v>34</v>
      </c>
      <c r="C9" s="19" t="s">
        <v>35</v>
      </c>
      <c r="D9" s="21" t="s">
        <v>23</v>
      </c>
      <c r="E9" s="22">
        <v>1734</v>
      </c>
      <c r="F9" s="23">
        <v>17500</v>
      </c>
      <c r="G9" s="24">
        <f t="shared" si="0"/>
        <v>30345000</v>
      </c>
    </row>
    <row r="10" spans="1:7" hidden="1" x14ac:dyDescent="0.3">
      <c r="A10" s="19">
        <v>9</v>
      </c>
      <c r="B10" s="19" t="s">
        <v>36</v>
      </c>
      <c r="C10" s="19" t="s">
        <v>37</v>
      </c>
      <c r="D10" s="21" t="s">
        <v>38</v>
      </c>
      <c r="E10" s="22">
        <v>1884</v>
      </c>
      <c r="F10" s="23">
        <v>1050</v>
      </c>
      <c r="G10" s="24">
        <f t="shared" si="0"/>
        <v>1978200</v>
      </c>
    </row>
    <row r="11" spans="1:7" hidden="1" x14ac:dyDescent="0.3">
      <c r="A11" s="19">
        <v>10</v>
      </c>
      <c r="B11" s="19" t="s">
        <v>39</v>
      </c>
      <c r="C11" s="19" t="s">
        <v>40</v>
      </c>
      <c r="D11" s="21" t="s">
        <v>38</v>
      </c>
      <c r="E11" s="19">
        <v>960</v>
      </c>
      <c r="F11" s="23">
        <v>1200</v>
      </c>
      <c r="G11" s="24">
        <f t="shared" si="0"/>
        <v>1152000</v>
      </c>
    </row>
    <row r="12" spans="1:7" hidden="1" x14ac:dyDescent="0.3">
      <c r="A12" s="19">
        <v>11</v>
      </c>
      <c r="B12" s="19" t="s">
        <v>41</v>
      </c>
      <c r="C12" s="19" t="s">
        <v>42</v>
      </c>
      <c r="D12" s="21" t="s">
        <v>43</v>
      </c>
      <c r="E12" s="19">
        <v>530</v>
      </c>
      <c r="F12" s="23">
        <v>2475</v>
      </c>
      <c r="G12" s="24">
        <f t="shared" si="0"/>
        <v>1311750</v>
      </c>
    </row>
    <row r="13" spans="1:7" hidden="1" x14ac:dyDescent="0.3">
      <c r="A13" s="19">
        <v>12</v>
      </c>
      <c r="B13" s="19" t="s">
        <v>44</v>
      </c>
      <c r="C13" s="19" t="s">
        <v>45</v>
      </c>
      <c r="D13" s="21" t="s">
        <v>43</v>
      </c>
      <c r="E13" s="19">
        <v>408</v>
      </c>
      <c r="F13" s="23">
        <v>3900</v>
      </c>
      <c r="G13" s="24">
        <f t="shared" si="0"/>
        <v>1591200</v>
      </c>
    </row>
    <row r="14" spans="1:7" hidden="1" x14ac:dyDescent="0.3">
      <c r="A14" s="19">
        <v>13</v>
      </c>
      <c r="B14" s="19" t="s">
        <v>46</v>
      </c>
      <c r="C14" s="19" t="s">
        <v>47</v>
      </c>
      <c r="D14" s="21" t="s">
        <v>43</v>
      </c>
      <c r="E14" s="19">
        <v>396</v>
      </c>
      <c r="F14" s="23">
        <v>4125</v>
      </c>
      <c r="G14" s="24">
        <f t="shared" si="0"/>
        <v>1633500</v>
      </c>
    </row>
    <row r="15" spans="1:7" hidden="1" x14ac:dyDescent="0.3">
      <c r="A15" s="19">
        <v>14</v>
      </c>
      <c r="B15" s="19" t="s">
        <v>48</v>
      </c>
      <c r="C15" s="19" t="s">
        <v>49</v>
      </c>
      <c r="D15" s="21" t="s">
        <v>43</v>
      </c>
      <c r="E15" s="19">
        <v>396</v>
      </c>
      <c r="F15" s="23">
        <v>5850</v>
      </c>
      <c r="G15" s="24">
        <f t="shared" si="0"/>
        <v>2316600</v>
      </c>
    </row>
    <row r="16" spans="1:7" hidden="1" x14ac:dyDescent="0.3">
      <c r="A16" s="19">
        <v>15</v>
      </c>
      <c r="B16" s="20" t="s">
        <v>50</v>
      </c>
      <c r="C16" s="19" t="s">
        <v>51</v>
      </c>
      <c r="D16" s="21" t="s">
        <v>20</v>
      </c>
      <c r="E16" s="25">
        <v>138744.07</v>
      </c>
      <c r="F16" s="23">
        <v>3140</v>
      </c>
      <c r="G16" s="24">
        <f t="shared" si="0"/>
        <v>435656379.80000001</v>
      </c>
    </row>
    <row r="17" spans="1:7" hidden="1" x14ac:dyDescent="0.3">
      <c r="A17" s="19">
        <v>16</v>
      </c>
      <c r="B17" s="19" t="s">
        <v>52</v>
      </c>
      <c r="C17" s="19" t="s">
        <v>53</v>
      </c>
      <c r="D17" s="21" t="s">
        <v>23</v>
      </c>
      <c r="E17" s="25">
        <v>43459.98</v>
      </c>
      <c r="F17" s="23">
        <v>3504</v>
      </c>
      <c r="G17" s="24">
        <f t="shared" si="0"/>
        <v>152283769.92000002</v>
      </c>
    </row>
    <row r="18" spans="1:7" hidden="1" x14ac:dyDescent="0.3">
      <c r="A18" s="19">
        <v>17</v>
      </c>
      <c r="B18" s="19" t="s">
        <v>54</v>
      </c>
      <c r="C18" s="19" t="s">
        <v>55</v>
      </c>
      <c r="D18" s="21" t="s">
        <v>23</v>
      </c>
      <c r="E18" s="25">
        <v>115476.85</v>
      </c>
      <c r="F18" s="23">
        <v>6114</v>
      </c>
      <c r="G18" s="24">
        <f t="shared" si="0"/>
        <v>706025460.89999998</v>
      </c>
    </row>
    <row r="19" spans="1:7" hidden="1" x14ac:dyDescent="0.3">
      <c r="A19" s="19">
        <v>18</v>
      </c>
      <c r="B19" s="19" t="s">
        <v>56</v>
      </c>
      <c r="C19" s="19" t="s">
        <v>57</v>
      </c>
      <c r="D19" s="21" t="s">
        <v>58</v>
      </c>
      <c r="E19" s="25">
        <v>20487.48</v>
      </c>
      <c r="F19" s="23">
        <v>75316</v>
      </c>
      <c r="G19" s="24">
        <f t="shared" si="0"/>
        <v>1543035043.6800001</v>
      </c>
    </row>
    <row r="20" spans="1:7" hidden="1" x14ac:dyDescent="0.3">
      <c r="A20" s="19">
        <v>19</v>
      </c>
      <c r="B20" s="19" t="s">
        <v>59</v>
      </c>
      <c r="C20" s="19" t="s">
        <v>60</v>
      </c>
      <c r="D20" s="21" t="s">
        <v>58</v>
      </c>
      <c r="E20" s="19">
        <v>67.77</v>
      </c>
      <c r="F20" s="23">
        <v>87125</v>
      </c>
      <c r="G20" s="24">
        <f t="shared" si="0"/>
        <v>5904461.25</v>
      </c>
    </row>
    <row r="21" spans="1:7" hidden="1" x14ac:dyDescent="0.3">
      <c r="A21" s="19">
        <v>20</v>
      </c>
      <c r="B21" s="19" t="s">
        <v>61</v>
      </c>
      <c r="C21" s="19" t="s">
        <v>62</v>
      </c>
      <c r="D21" s="21" t="s">
        <v>20</v>
      </c>
      <c r="E21" s="25">
        <v>42149.53</v>
      </c>
      <c r="F21" s="23">
        <v>5196</v>
      </c>
      <c r="G21" s="24">
        <f t="shared" si="0"/>
        <v>219008957.88</v>
      </c>
    </row>
    <row r="22" spans="1:7" hidden="1" x14ac:dyDescent="0.3">
      <c r="A22" s="19">
        <v>21</v>
      </c>
      <c r="B22" s="19" t="s">
        <v>63</v>
      </c>
      <c r="C22" s="19" t="s">
        <v>64</v>
      </c>
      <c r="D22" s="21" t="s">
        <v>20</v>
      </c>
      <c r="E22" s="25">
        <v>12946.85</v>
      </c>
      <c r="F22" s="23">
        <v>1535</v>
      </c>
      <c r="G22" s="24">
        <f t="shared" si="0"/>
        <v>19873414.75</v>
      </c>
    </row>
    <row r="23" spans="1:7" hidden="1" x14ac:dyDescent="0.3">
      <c r="A23" s="19">
        <v>22</v>
      </c>
      <c r="B23" s="19" t="s">
        <v>65</v>
      </c>
      <c r="C23" s="19" t="s">
        <v>66</v>
      </c>
      <c r="D23" s="21" t="s">
        <v>20</v>
      </c>
      <c r="E23" s="25">
        <v>12871.85</v>
      </c>
      <c r="F23" s="23">
        <v>1462</v>
      </c>
      <c r="G23" s="24">
        <f t="shared" si="0"/>
        <v>18818644.699999999</v>
      </c>
    </row>
    <row r="24" spans="1:7" hidden="1" x14ac:dyDescent="0.3">
      <c r="A24" s="19">
        <v>23</v>
      </c>
      <c r="B24" s="20" t="s">
        <v>67</v>
      </c>
      <c r="C24" s="19" t="s">
        <v>68</v>
      </c>
      <c r="D24" s="21" t="s">
        <v>38</v>
      </c>
      <c r="E24" s="25">
        <v>14706.45</v>
      </c>
      <c r="F24" s="23">
        <v>2094</v>
      </c>
      <c r="G24" s="24">
        <f t="shared" si="0"/>
        <v>30795306.300000001</v>
      </c>
    </row>
    <row r="25" spans="1:7" hidden="1" x14ac:dyDescent="0.3">
      <c r="A25" s="19">
        <v>24</v>
      </c>
      <c r="B25" s="19" t="s">
        <v>69</v>
      </c>
      <c r="C25" s="19" t="s">
        <v>70</v>
      </c>
      <c r="D25" s="21" t="s">
        <v>20</v>
      </c>
      <c r="E25" s="25">
        <v>3073.23</v>
      </c>
      <c r="F25" s="23">
        <v>37481</v>
      </c>
      <c r="G25" s="24">
        <f t="shared" si="0"/>
        <v>115187733.63</v>
      </c>
    </row>
    <row r="26" spans="1:7" hidden="1" x14ac:dyDescent="0.3">
      <c r="A26" s="19">
        <v>25</v>
      </c>
      <c r="B26" s="19" t="s">
        <v>71</v>
      </c>
      <c r="C26" s="19" t="s">
        <v>72</v>
      </c>
      <c r="D26" s="21" t="s">
        <v>20</v>
      </c>
      <c r="E26" s="25">
        <v>2679.52</v>
      </c>
      <c r="F26" s="23">
        <v>43633</v>
      </c>
      <c r="G26" s="24">
        <f t="shared" si="0"/>
        <v>116915496.16</v>
      </c>
    </row>
    <row r="27" spans="1:7" hidden="1" x14ac:dyDescent="0.3">
      <c r="A27" s="19">
        <v>26</v>
      </c>
      <c r="B27" s="19" t="s">
        <v>73</v>
      </c>
      <c r="C27" s="19" t="s">
        <v>74</v>
      </c>
      <c r="D27" s="21" t="s">
        <v>20</v>
      </c>
      <c r="E27" s="25">
        <v>4321.2299999999996</v>
      </c>
      <c r="F27" s="23">
        <v>23682</v>
      </c>
      <c r="G27" s="24">
        <f t="shared" si="0"/>
        <v>102335368.85999998</v>
      </c>
    </row>
    <row r="28" spans="1:7" hidden="1" x14ac:dyDescent="0.3">
      <c r="A28" s="19">
        <v>27</v>
      </c>
      <c r="B28" s="19" t="s">
        <v>75</v>
      </c>
      <c r="C28" s="19" t="s">
        <v>76</v>
      </c>
      <c r="D28" s="21" t="s">
        <v>20</v>
      </c>
      <c r="E28" s="25">
        <v>8103.7</v>
      </c>
      <c r="F28" s="23">
        <v>26351</v>
      </c>
      <c r="G28" s="24">
        <f t="shared" si="0"/>
        <v>213540598.69999999</v>
      </c>
    </row>
    <row r="29" spans="1:7" hidden="1" x14ac:dyDescent="0.3">
      <c r="A29" s="19">
        <v>28</v>
      </c>
      <c r="B29" s="19" t="s">
        <v>77</v>
      </c>
      <c r="C29" s="19" t="s">
        <v>78</v>
      </c>
      <c r="D29" s="21" t="s">
        <v>20</v>
      </c>
      <c r="E29" s="25">
        <v>3944.25</v>
      </c>
      <c r="F29" s="23">
        <v>36167</v>
      </c>
      <c r="G29" s="24">
        <f t="shared" si="0"/>
        <v>142651689.75</v>
      </c>
    </row>
    <row r="30" spans="1:7" hidden="1" x14ac:dyDescent="0.3">
      <c r="A30" s="19">
        <v>29</v>
      </c>
      <c r="B30" s="19" t="s">
        <v>79</v>
      </c>
      <c r="C30" s="19" t="s">
        <v>80</v>
      </c>
      <c r="D30" s="21" t="s">
        <v>20</v>
      </c>
      <c r="E30" s="19">
        <v>920.13</v>
      </c>
      <c r="F30" s="23">
        <v>36167</v>
      </c>
      <c r="G30" s="24">
        <f t="shared" si="0"/>
        <v>33278341.710000001</v>
      </c>
    </row>
    <row r="31" spans="1:7" hidden="1" x14ac:dyDescent="0.3">
      <c r="A31" s="19">
        <v>30</v>
      </c>
      <c r="B31" s="19" t="s">
        <v>81</v>
      </c>
      <c r="C31" s="19" t="s">
        <v>82</v>
      </c>
      <c r="D31" s="21" t="s">
        <v>83</v>
      </c>
      <c r="E31" s="19">
        <v>1</v>
      </c>
      <c r="F31" s="23">
        <v>1125000</v>
      </c>
      <c r="G31" s="24">
        <f t="shared" si="0"/>
        <v>1125000</v>
      </c>
    </row>
    <row r="32" spans="1:7" hidden="1" x14ac:dyDescent="0.3">
      <c r="A32" s="19">
        <v>31</v>
      </c>
      <c r="B32" s="19" t="s">
        <v>84</v>
      </c>
      <c r="C32" s="19" t="s">
        <v>85</v>
      </c>
      <c r="D32" s="21" t="s">
        <v>83</v>
      </c>
      <c r="E32" s="19">
        <v>1</v>
      </c>
      <c r="F32" s="23">
        <v>1125000</v>
      </c>
      <c r="G32" s="24">
        <f t="shared" si="0"/>
        <v>1125000</v>
      </c>
    </row>
    <row r="33" spans="1:7" hidden="1" x14ac:dyDescent="0.3">
      <c r="A33" s="19">
        <v>32</v>
      </c>
      <c r="B33" s="19" t="s">
        <v>86</v>
      </c>
      <c r="C33" s="19" t="s">
        <v>87</v>
      </c>
      <c r="D33" s="21" t="s">
        <v>83</v>
      </c>
      <c r="E33" s="19">
        <v>1</v>
      </c>
      <c r="F33" s="23">
        <v>3000000</v>
      </c>
      <c r="G33" s="24">
        <f t="shared" si="0"/>
        <v>3000000</v>
      </c>
    </row>
    <row r="34" spans="1:7" hidden="1" x14ac:dyDescent="0.3">
      <c r="A34" s="19">
        <v>33</v>
      </c>
      <c r="B34" s="19" t="s">
        <v>88</v>
      </c>
      <c r="C34" s="19" t="s">
        <v>89</v>
      </c>
      <c r="D34" s="21" t="s">
        <v>83</v>
      </c>
      <c r="E34" s="19">
        <v>1</v>
      </c>
      <c r="F34" s="23">
        <v>2250000</v>
      </c>
      <c r="G34" s="24">
        <f t="shared" si="0"/>
        <v>2250000</v>
      </c>
    </row>
    <row r="35" spans="1:7" hidden="1" x14ac:dyDescent="0.3">
      <c r="A35" s="19">
        <v>34</v>
      </c>
      <c r="B35" s="19" t="s">
        <v>90</v>
      </c>
      <c r="C35" s="19" t="s">
        <v>91</v>
      </c>
      <c r="D35" s="21" t="s">
        <v>20</v>
      </c>
      <c r="E35" s="22">
        <v>5500</v>
      </c>
      <c r="F35" s="23">
        <v>2400</v>
      </c>
      <c r="G35" s="24">
        <f t="shared" si="0"/>
        <v>13200000</v>
      </c>
    </row>
    <row r="36" spans="1:7" hidden="1" x14ac:dyDescent="0.3">
      <c r="A36" s="19">
        <v>35</v>
      </c>
      <c r="B36" s="19" t="s">
        <v>92</v>
      </c>
      <c r="C36" s="19" t="s">
        <v>93</v>
      </c>
      <c r="D36" s="21" t="s">
        <v>20</v>
      </c>
      <c r="E36" s="22">
        <v>6500</v>
      </c>
      <c r="F36" s="23">
        <v>2400</v>
      </c>
      <c r="G36" s="24">
        <f t="shared" si="0"/>
        <v>15600000</v>
      </c>
    </row>
    <row r="37" spans="1:7" hidden="1" x14ac:dyDescent="0.3">
      <c r="A37" s="19">
        <v>36</v>
      </c>
      <c r="B37" s="19" t="s">
        <v>94</v>
      </c>
      <c r="C37" s="19" t="s">
        <v>95</v>
      </c>
      <c r="D37" s="21" t="s">
        <v>20</v>
      </c>
      <c r="E37" s="22">
        <v>8000</v>
      </c>
      <c r="F37" s="23">
        <v>2400</v>
      </c>
      <c r="G37" s="24">
        <f t="shared" si="0"/>
        <v>19200000</v>
      </c>
    </row>
    <row r="38" spans="1:7" hidden="1" x14ac:dyDescent="0.3">
      <c r="A38" s="19">
        <v>37</v>
      </c>
      <c r="B38" s="19" t="s">
        <v>96</v>
      </c>
      <c r="C38" s="19" t="s">
        <v>97</v>
      </c>
      <c r="D38" s="21" t="s">
        <v>20</v>
      </c>
      <c r="E38" s="22">
        <v>20500</v>
      </c>
      <c r="F38" s="23">
        <v>2400</v>
      </c>
      <c r="G38" s="24">
        <f t="shared" si="0"/>
        <v>49200000</v>
      </c>
    </row>
    <row r="39" spans="1:7" hidden="1" x14ac:dyDescent="0.3">
      <c r="A39" s="19">
        <v>38</v>
      </c>
      <c r="B39" s="19" t="s">
        <v>98</v>
      </c>
      <c r="C39" s="19" t="s">
        <v>99</v>
      </c>
      <c r="D39" s="21" t="s">
        <v>83</v>
      </c>
      <c r="E39" s="19">
        <v>1</v>
      </c>
      <c r="F39" s="23">
        <v>6167886</v>
      </c>
      <c r="G39" s="24">
        <f t="shared" si="0"/>
        <v>6167886</v>
      </c>
    </row>
    <row r="40" spans="1:7" hidden="1" x14ac:dyDescent="0.3">
      <c r="A40" s="19">
        <v>39</v>
      </c>
      <c r="B40" s="19" t="s">
        <v>100</v>
      </c>
      <c r="C40" s="19" t="s">
        <v>101</v>
      </c>
      <c r="D40" s="21" t="s">
        <v>83</v>
      </c>
      <c r="E40" s="19">
        <v>1</v>
      </c>
      <c r="F40" s="23">
        <v>6167886</v>
      </c>
      <c r="G40" s="24">
        <f t="shared" si="0"/>
        <v>6167886</v>
      </c>
    </row>
    <row r="41" spans="1:7" hidden="1" x14ac:dyDescent="0.3">
      <c r="A41" s="19">
        <v>40</v>
      </c>
      <c r="B41" s="19" t="s">
        <v>102</v>
      </c>
      <c r="C41" s="19" t="s">
        <v>103</v>
      </c>
      <c r="D41" s="21" t="s">
        <v>83</v>
      </c>
      <c r="E41" s="19">
        <v>1</v>
      </c>
      <c r="F41" s="23">
        <v>14017922</v>
      </c>
      <c r="G41" s="24">
        <f t="shared" si="0"/>
        <v>14017922</v>
      </c>
    </row>
    <row r="42" spans="1:7" hidden="1" x14ac:dyDescent="0.3">
      <c r="A42" s="19">
        <v>41</v>
      </c>
      <c r="B42" s="19" t="s">
        <v>104</v>
      </c>
      <c r="C42" s="19" t="s">
        <v>105</v>
      </c>
      <c r="D42" s="21" t="s">
        <v>83</v>
      </c>
      <c r="E42" s="19">
        <v>1</v>
      </c>
      <c r="F42" s="23">
        <v>14017922</v>
      </c>
      <c r="G42" s="24">
        <f t="shared" si="0"/>
        <v>14017922</v>
      </c>
    </row>
    <row r="43" spans="1:7" hidden="1" x14ac:dyDescent="0.3">
      <c r="A43" s="19">
        <v>42</v>
      </c>
      <c r="B43" s="19" t="s">
        <v>106</v>
      </c>
      <c r="C43" s="19" t="s">
        <v>107</v>
      </c>
      <c r="D43" s="21" t="s">
        <v>83</v>
      </c>
      <c r="E43" s="19">
        <v>1</v>
      </c>
      <c r="F43" s="23">
        <v>6167886</v>
      </c>
      <c r="G43" s="24">
        <f t="shared" si="0"/>
        <v>6167886</v>
      </c>
    </row>
    <row r="44" spans="1:7" hidden="1" x14ac:dyDescent="0.3">
      <c r="A44" s="19">
        <v>43</v>
      </c>
      <c r="B44" s="19" t="s">
        <v>108</v>
      </c>
      <c r="C44" s="19" t="s">
        <v>109</v>
      </c>
      <c r="D44" s="21" t="s">
        <v>83</v>
      </c>
      <c r="E44" s="19">
        <v>1</v>
      </c>
      <c r="F44" s="23">
        <v>15419714</v>
      </c>
      <c r="G44" s="24">
        <f t="shared" si="0"/>
        <v>15419714</v>
      </c>
    </row>
    <row r="45" spans="1:7" hidden="1" x14ac:dyDescent="0.3">
      <c r="A45" s="19">
        <v>44</v>
      </c>
      <c r="B45" s="19" t="s">
        <v>110</v>
      </c>
      <c r="C45" s="19" t="s">
        <v>111</v>
      </c>
      <c r="D45" s="21" t="s">
        <v>83</v>
      </c>
      <c r="E45" s="19">
        <v>1</v>
      </c>
      <c r="F45" s="23">
        <v>4205377</v>
      </c>
      <c r="G45" s="24">
        <f t="shared" si="0"/>
        <v>4205377</v>
      </c>
    </row>
    <row r="46" spans="1:7" hidden="1" x14ac:dyDescent="0.3">
      <c r="A46" s="19">
        <v>45</v>
      </c>
      <c r="B46" s="19" t="s">
        <v>112</v>
      </c>
      <c r="C46" s="19" t="s">
        <v>113</v>
      </c>
      <c r="D46" s="21" t="s">
        <v>83</v>
      </c>
      <c r="E46" s="19">
        <v>1</v>
      </c>
      <c r="F46" s="23">
        <v>4205377</v>
      </c>
      <c r="G46" s="24">
        <f t="shared" si="0"/>
        <v>4205377</v>
      </c>
    </row>
    <row r="47" spans="1:7" hidden="1" x14ac:dyDescent="0.3">
      <c r="A47" s="19">
        <v>46</v>
      </c>
      <c r="B47" s="19" t="s">
        <v>114</v>
      </c>
      <c r="C47" s="19" t="s">
        <v>115</v>
      </c>
      <c r="D47" s="21" t="s">
        <v>83</v>
      </c>
      <c r="E47" s="19">
        <v>1</v>
      </c>
      <c r="F47" s="23">
        <v>5326810</v>
      </c>
      <c r="G47" s="24">
        <f t="shared" si="0"/>
        <v>5326810</v>
      </c>
    </row>
    <row r="48" spans="1:7" hidden="1" x14ac:dyDescent="0.3">
      <c r="A48" s="19">
        <v>47</v>
      </c>
      <c r="B48" s="19" t="s">
        <v>116</v>
      </c>
      <c r="C48" s="19" t="s">
        <v>117</v>
      </c>
      <c r="D48" s="21" t="s">
        <v>83</v>
      </c>
      <c r="E48" s="19">
        <v>1</v>
      </c>
      <c r="F48" s="23">
        <v>5326810</v>
      </c>
      <c r="G48" s="24">
        <f t="shared" si="0"/>
        <v>5326810</v>
      </c>
    </row>
    <row r="49" spans="1:8" hidden="1" x14ac:dyDescent="0.3">
      <c r="A49" s="19">
        <v>48</v>
      </c>
      <c r="B49" s="19" t="s">
        <v>118</v>
      </c>
      <c r="C49" s="19" t="s">
        <v>119</v>
      </c>
      <c r="D49" s="21" t="s">
        <v>83</v>
      </c>
      <c r="E49" s="19">
        <v>1</v>
      </c>
      <c r="F49" s="23">
        <v>4205377</v>
      </c>
      <c r="G49" s="24">
        <f t="shared" si="0"/>
        <v>4205377</v>
      </c>
    </row>
    <row r="50" spans="1:8" x14ac:dyDescent="0.3">
      <c r="A50" s="19">
        <v>49</v>
      </c>
      <c r="B50" s="20" t="s">
        <v>120</v>
      </c>
      <c r="C50" s="19" t="s">
        <v>121</v>
      </c>
      <c r="D50" s="21" t="s">
        <v>23</v>
      </c>
      <c r="E50" s="25">
        <v>186392.65</v>
      </c>
      <c r="F50" s="23">
        <v>5075</v>
      </c>
      <c r="G50" s="24">
        <f t="shared" si="0"/>
        <v>945942698.75</v>
      </c>
      <c r="H50" s="9">
        <f>+İcmal!M20</f>
        <v>3641.1030000000001</v>
      </c>
    </row>
    <row r="51" spans="1:8" x14ac:dyDescent="0.3">
      <c r="A51" s="19">
        <v>50</v>
      </c>
      <c r="B51" s="19" t="s">
        <v>122</v>
      </c>
      <c r="C51" s="19" t="s">
        <v>123</v>
      </c>
      <c r="D51" s="21" t="s">
        <v>23</v>
      </c>
      <c r="E51" s="19">
        <v>910</v>
      </c>
      <c r="F51" s="23">
        <v>600</v>
      </c>
      <c r="G51" s="24">
        <f t="shared" si="0"/>
        <v>546000</v>
      </c>
      <c r="H51" s="9" t="str">
        <f>+İcmal!M21</f>
        <v/>
      </c>
    </row>
    <row r="52" spans="1:8" x14ac:dyDescent="0.3">
      <c r="A52" s="19">
        <v>51</v>
      </c>
      <c r="B52" s="19" t="s">
        <v>124</v>
      </c>
      <c r="C52" s="19" t="s">
        <v>33</v>
      </c>
      <c r="D52" s="21" t="s">
        <v>23</v>
      </c>
      <c r="E52" s="22">
        <v>1785</v>
      </c>
      <c r="F52" s="23">
        <v>1500</v>
      </c>
      <c r="G52" s="24">
        <f t="shared" si="0"/>
        <v>2677500</v>
      </c>
      <c r="H52" s="9" t="str">
        <f>+İcmal!M22</f>
        <v/>
      </c>
    </row>
    <row r="53" spans="1:8" x14ac:dyDescent="0.3">
      <c r="A53" s="19">
        <v>52</v>
      </c>
      <c r="B53" s="20" t="s">
        <v>125</v>
      </c>
      <c r="C53" s="19" t="s">
        <v>126</v>
      </c>
      <c r="D53" s="21" t="s">
        <v>23</v>
      </c>
      <c r="E53" s="25">
        <v>38798.589999999997</v>
      </c>
      <c r="F53" s="23">
        <v>15334</v>
      </c>
      <c r="G53" s="24">
        <f t="shared" si="0"/>
        <v>594937579.05999994</v>
      </c>
      <c r="H53" s="9">
        <f>+İcmal!M23</f>
        <v>868.58399999999995</v>
      </c>
    </row>
    <row r="54" spans="1:8" x14ac:dyDescent="0.3">
      <c r="A54" s="19">
        <v>53</v>
      </c>
      <c r="B54" s="19" t="s">
        <v>127</v>
      </c>
      <c r="C54" s="19" t="s">
        <v>128</v>
      </c>
      <c r="D54" s="21" t="s">
        <v>38</v>
      </c>
      <c r="E54" s="25">
        <v>19569.89</v>
      </c>
      <c r="F54" s="23">
        <v>248</v>
      </c>
      <c r="G54" s="24">
        <f t="shared" si="0"/>
        <v>4853332.72</v>
      </c>
      <c r="H54" s="9" t="str">
        <f>+İcmal!M24</f>
        <v/>
      </c>
    </row>
    <row r="55" spans="1:8" x14ac:dyDescent="0.3">
      <c r="A55" s="19">
        <v>54</v>
      </c>
      <c r="B55" s="19" t="s">
        <v>129</v>
      </c>
      <c r="C55" s="19" t="s">
        <v>130</v>
      </c>
      <c r="D55" s="21" t="s">
        <v>38</v>
      </c>
      <c r="E55" s="25">
        <v>10655.78</v>
      </c>
      <c r="F55" s="23">
        <v>371</v>
      </c>
      <c r="G55" s="24">
        <f t="shared" si="0"/>
        <v>3953294.3800000004</v>
      </c>
      <c r="H55" s="9" t="str">
        <f>+İcmal!M25</f>
        <v/>
      </c>
    </row>
    <row r="56" spans="1:8" x14ac:dyDescent="0.3">
      <c r="A56" s="19">
        <v>55</v>
      </c>
      <c r="B56" s="19" t="s">
        <v>131</v>
      </c>
      <c r="C56" s="19" t="s">
        <v>42</v>
      </c>
      <c r="D56" s="21" t="s">
        <v>43</v>
      </c>
      <c r="E56" s="19">
        <v>800</v>
      </c>
      <c r="F56" s="23">
        <v>2250</v>
      </c>
      <c r="G56" s="24">
        <f t="shared" si="0"/>
        <v>1800000</v>
      </c>
      <c r="H56" s="9" t="str">
        <f>+İcmal!M26</f>
        <v/>
      </c>
    </row>
    <row r="57" spans="1:8" x14ac:dyDescent="0.3">
      <c r="A57" s="19">
        <v>56</v>
      </c>
      <c r="B57" s="19" t="s">
        <v>132</v>
      </c>
      <c r="C57" s="19" t="s">
        <v>45</v>
      </c>
      <c r="D57" s="21" t="s">
        <v>43</v>
      </c>
      <c r="E57" s="25">
        <v>2466.42</v>
      </c>
      <c r="F57" s="23">
        <v>8000</v>
      </c>
      <c r="G57" s="24">
        <f t="shared" si="0"/>
        <v>19731360</v>
      </c>
      <c r="H57" s="9">
        <f>+İcmal!M27</f>
        <v>486</v>
      </c>
    </row>
    <row r="58" spans="1:8" x14ac:dyDescent="0.3">
      <c r="A58" s="19">
        <v>57</v>
      </c>
      <c r="B58" s="19" t="s">
        <v>133</v>
      </c>
      <c r="C58" s="19" t="s">
        <v>47</v>
      </c>
      <c r="D58" s="21" t="s">
        <v>43</v>
      </c>
      <c r="E58" s="25">
        <v>2401.3000000000002</v>
      </c>
      <c r="F58" s="23">
        <v>8288</v>
      </c>
      <c r="G58" s="24">
        <f t="shared" si="0"/>
        <v>19901974.400000002</v>
      </c>
      <c r="H58" s="9" t="str">
        <f>+İcmal!M28</f>
        <v/>
      </c>
    </row>
    <row r="59" spans="1:8" x14ac:dyDescent="0.3">
      <c r="A59" s="19">
        <v>58</v>
      </c>
      <c r="B59" s="19" t="s">
        <v>134</v>
      </c>
      <c r="C59" s="19" t="s">
        <v>49</v>
      </c>
      <c r="D59" s="21" t="s">
        <v>43</v>
      </c>
      <c r="E59" s="22">
        <v>2970</v>
      </c>
      <c r="F59" s="23">
        <v>12000</v>
      </c>
      <c r="G59" s="24">
        <f t="shared" si="0"/>
        <v>35640000</v>
      </c>
      <c r="H59" s="9" t="str">
        <f>+İcmal!M29</f>
        <v/>
      </c>
    </row>
    <row r="60" spans="1:8" x14ac:dyDescent="0.3">
      <c r="A60" s="19">
        <v>59</v>
      </c>
      <c r="B60" s="19" t="s">
        <v>135</v>
      </c>
      <c r="C60" s="19" t="s">
        <v>136</v>
      </c>
      <c r="D60" s="21" t="s">
        <v>43</v>
      </c>
      <c r="E60" s="25">
        <v>7008.23</v>
      </c>
      <c r="F60" s="23">
        <v>28000</v>
      </c>
      <c r="G60" s="24">
        <f t="shared" si="0"/>
        <v>196230440</v>
      </c>
      <c r="H60" s="9">
        <f>+İcmal!M30</f>
        <v>557</v>
      </c>
    </row>
    <row r="61" spans="1:8" x14ac:dyDescent="0.3">
      <c r="A61" s="19">
        <v>60</v>
      </c>
      <c r="B61" s="19" t="s">
        <v>137</v>
      </c>
      <c r="C61" s="19" t="s">
        <v>37</v>
      </c>
      <c r="D61" s="21" t="s">
        <v>38</v>
      </c>
      <c r="E61" s="25">
        <v>156606.89000000001</v>
      </c>
      <c r="F61" s="23">
        <v>375</v>
      </c>
      <c r="G61" s="24">
        <f t="shared" si="0"/>
        <v>58727583.750000007</v>
      </c>
      <c r="H61" s="9">
        <f>+İcmal!M31</f>
        <v>3420</v>
      </c>
    </row>
    <row r="62" spans="1:8" x14ac:dyDescent="0.3">
      <c r="A62" s="19">
        <v>61</v>
      </c>
      <c r="B62" s="19" t="s">
        <v>138</v>
      </c>
      <c r="C62" s="19" t="s">
        <v>40</v>
      </c>
      <c r="D62" s="21" t="s">
        <v>38</v>
      </c>
      <c r="E62" s="22">
        <v>145635</v>
      </c>
      <c r="F62" s="23">
        <v>388</v>
      </c>
      <c r="G62" s="24">
        <f t="shared" si="0"/>
        <v>56506380</v>
      </c>
      <c r="H62" s="9" t="str">
        <f>+İcmal!M32</f>
        <v/>
      </c>
    </row>
    <row r="63" spans="1:8" x14ac:dyDescent="0.3">
      <c r="A63" s="19">
        <v>62</v>
      </c>
      <c r="B63" s="20" t="s">
        <v>139</v>
      </c>
      <c r="C63" s="19" t="s">
        <v>140</v>
      </c>
      <c r="D63" s="21" t="s">
        <v>58</v>
      </c>
      <c r="E63" s="22">
        <v>8410</v>
      </c>
      <c r="F63" s="23">
        <v>102000</v>
      </c>
      <c r="G63" s="24">
        <f t="shared" si="0"/>
        <v>857820000</v>
      </c>
      <c r="H63" s="9">
        <f>+İcmal!M33</f>
        <v>164.48599999999999</v>
      </c>
    </row>
    <row r="64" spans="1:8" x14ac:dyDescent="0.3">
      <c r="A64" s="19">
        <v>63</v>
      </c>
      <c r="B64" s="20" t="s">
        <v>141</v>
      </c>
      <c r="C64" s="19" t="s">
        <v>142</v>
      </c>
      <c r="D64" s="21" t="s">
        <v>38</v>
      </c>
      <c r="E64" s="25">
        <v>360205.7</v>
      </c>
      <c r="F64" s="23">
        <v>3400</v>
      </c>
      <c r="G64" s="24">
        <f t="shared" si="0"/>
        <v>1224699380</v>
      </c>
      <c r="H64" s="9">
        <f>+İcmal!M34</f>
        <v>9351</v>
      </c>
    </row>
    <row r="65" spans="1:8" x14ac:dyDescent="0.3">
      <c r="A65" s="19">
        <v>64</v>
      </c>
      <c r="B65" s="19" t="s">
        <v>143</v>
      </c>
      <c r="C65" s="19" t="s">
        <v>144</v>
      </c>
      <c r="D65" s="21" t="s">
        <v>20</v>
      </c>
      <c r="E65" s="25">
        <v>78502.509999999995</v>
      </c>
      <c r="F65" s="23">
        <v>510</v>
      </c>
      <c r="G65" s="24">
        <f t="shared" si="0"/>
        <v>40036280.099999994</v>
      </c>
      <c r="H65" s="9" t="str">
        <f>+İcmal!M35</f>
        <v/>
      </c>
    </row>
    <row r="66" spans="1:8" x14ac:dyDescent="0.3">
      <c r="A66" s="19">
        <v>65</v>
      </c>
      <c r="B66" s="19" t="s">
        <v>145</v>
      </c>
      <c r="C66" s="19" t="s">
        <v>146</v>
      </c>
      <c r="D66" s="21" t="s">
        <v>20</v>
      </c>
      <c r="E66" s="25">
        <v>67207.820000000007</v>
      </c>
      <c r="F66" s="23">
        <v>1200</v>
      </c>
      <c r="G66" s="24">
        <f t="shared" si="0"/>
        <v>80649384.000000015</v>
      </c>
      <c r="H66" s="9" t="str">
        <f>+İcmal!M36</f>
        <v/>
      </c>
    </row>
    <row r="67" spans="1:8" x14ac:dyDescent="0.3">
      <c r="A67" s="19">
        <v>66</v>
      </c>
      <c r="B67" s="20" t="s">
        <v>147</v>
      </c>
      <c r="C67" s="19" t="s">
        <v>148</v>
      </c>
      <c r="D67" s="21" t="s">
        <v>38</v>
      </c>
      <c r="E67" s="25">
        <v>11190.19</v>
      </c>
      <c r="F67" s="23">
        <v>2160</v>
      </c>
      <c r="G67" s="24">
        <f t="shared" ref="G67:G130" si="1">+E67*F67</f>
        <v>24170810.400000002</v>
      </c>
      <c r="H67" s="9" t="str">
        <f>+İcmal!M37</f>
        <v/>
      </c>
    </row>
    <row r="68" spans="1:8" x14ac:dyDescent="0.3">
      <c r="A68" s="19">
        <v>67</v>
      </c>
      <c r="B68" s="19" t="s">
        <v>149</v>
      </c>
      <c r="C68" s="19" t="s">
        <v>150</v>
      </c>
      <c r="D68" s="21" t="s">
        <v>20</v>
      </c>
      <c r="E68" s="25">
        <v>24185.25</v>
      </c>
      <c r="F68" s="23">
        <v>4150</v>
      </c>
      <c r="G68" s="24">
        <f t="shared" si="1"/>
        <v>100368787.5</v>
      </c>
      <c r="H68" s="9" t="str">
        <f>+İcmal!M38</f>
        <v/>
      </c>
    </row>
    <row r="69" spans="1:8" x14ac:dyDescent="0.3">
      <c r="A69" s="19">
        <v>68</v>
      </c>
      <c r="B69" s="19" t="s">
        <v>151</v>
      </c>
      <c r="C69" s="19" t="s">
        <v>152</v>
      </c>
      <c r="D69" s="21" t="s">
        <v>20</v>
      </c>
      <c r="E69" s="25">
        <v>59207.42</v>
      </c>
      <c r="F69" s="23">
        <v>1500</v>
      </c>
      <c r="G69" s="24">
        <f t="shared" si="1"/>
        <v>88811130</v>
      </c>
      <c r="H69" s="9" t="str">
        <f>+İcmal!M39</f>
        <v/>
      </c>
    </row>
    <row r="70" spans="1:8" x14ac:dyDescent="0.3">
      <c r="A70" s="19">
        <v>69</v>
      </c>
      <c r="B70" s="19" t="s">
        <v>153</v>
      </c>
      <c r="C70" s="19" t="s">
        <v>154</v>
      </c>
      <c r="D70" s="21" t="s">
        <v>20</v>
      </c>
      <c r="E70" s="25">
        <v>36357.33</v>
      </c>
      <c r="F70" s="23">
        <v>500</v>
      </c>
      <c r="G70" s="24">
        <f t="shared" si="1"/>
        <v>18178665</v>
      </c>
      <c r="H70" s="9" t="str">
        <f>+İcmal!M40</f>
        <v/>
      </c>
    </row>
    <row r="71" spans="1:8" x14ac:dyDescent="0.3">
      <c r="A71" s="19">
        <v>70</v>
      </c>
      <c r="B71" s="19" t="s">
        <v>155</v>
      </c>
      <c r="C71" s="19" t="s">
        <v>156</v>
      </c>
      <c r="D71" s="21" t="s">
        <v>23</v>
      </c>
      <c r="E71" s="25">
        <v>3898.42</v>
      </c>
      <c r="F71" s="23">
        <v>6030</v>
      </c>
      <c r="G71" s="24">
        <f t="shared" si="1"/>
        <v>23507472.600000001</v>
      </c>
      <c r="H71" s="9" t="str">
        <f>+İcmal!M41</f>
        <v/>
      </c>
    </row>
    <row r="72" spans="1:8" x14ac:dyDescent="0.3">
      <c r="A72" s="19">
        <v>71</v>
      </c>
      <c r="B72" s="19" t="s">
        <v>157</v>
      </c>
      <c r="C72" s="19" t="s">
        <v>158</v>
      </c>
      <c r="D72" s="21" t="s">
        <v>23</v>
      </c>
      <c r="E72" s="25">
        <v>14995.14</v>
      </c>
      <c r="F72" s="23">
        <v>10355</v>
      </c>
      <c r="G72" s="24">
        <f t="shared" si="1"/>
        <v>155274674.69999999</v>
      </c>
      <c r="H72" s="9" t="str">
        <f>+İcmal!M42</f>
        <v/>
      </c>
    </row>
    <row r="73" spans="1:8" x14ac:dyDescent="0.3">
      <c r="A73" s="19">
        <v>72</v>
      </c>
      <c r="B73" s="19" t="s">
        <v>159</v>
      </c>
      <c r="C73" s="19" t="s">
        <v>160</v>
      </c>
      <c r="D73" s="21" t="s">
        <v>23</v>
      </c>
      <c r="E73" s="25">
        <v>29458.35</v>
      </c>
      <c r="F73" s="23">
        <v>10355</v>
      </c>
      <c r="G73" s="24">
        <f t="shared" si="1"/>
        <v>305041214.25</v>
      </c>
      <c r="H73" s="9" t="str">
        <f>+İcmal!M43</f>
        <v/>
      </c>
    </row>
    <row r="74" spans="1:8" x14ac:dyDescent="0.3">
      <c r="A74" s="19">
        <v>73</v>
      </c>
      <c r="B74" s="19" t="s">
        <v>161</v>
      </c>
      <c r="C74" s="19" t="s">
        <v>162</v>
      </c>
      <c r="D74" s="21" t="s">
        <v>23</v>
      </c>
      <c r="E74" s="25">
        <v>3917.38</v>
      </c>
      <c r="F74" s="23">
        <v>10355</v>
      </c>
      <c r="G74" s="24">
        <f t="shared" si="1"/>
        <v>40564469.899999999</v>
      </c>
      <c r="H74" s="9" t="str">
        <f>+İcmal!M44</f>
        <v/>
      </c>
    </row>
    <row r="75" spans="1:8" x14ac:dyDescent="0.3">
      <c r="A75" s="19">
        <v>74</v>
      </c>
      <c r="B75" s="19" t="s">
        <v>163</v>
      </c>
      <c r="C75" s="19" t="s">
        <v>164</v>
      </c>
      <c r="D75" s="21" t="s">
        <v>58</v>
      </c>
      <c r="E75" s="19">
        <v>62.29</v>
      </c>
      <c r="F75" s="23">
        <v>46250</v>
      </c>
      <c r="G75" s="24">
        <f t="shared" si="1"/>
        <v>2880912.5</v>
      </c>
      <c r="H75" s="9">
        <f>+İcmal!M45</f>
        <v>12.284000000000001</v>
      </c>
    </row>
    <row r="76" spans="1:8" x14ac:dyDescent="0.3">
      <c r="A76" s="19">
        <v>75</v>
      </c>
      <c r="B76" s="19" t="s">
        <v>165</v>
      </c>
      <c r="C76" s="19" t="s">
        <v>166</v>
      </c>
      <c r="D76" s="21" t="s">
        <v>58</v>
      </c>
      <c r="E76" s="25">
        <v>4367.51</v>
      </c>
      <c r="F76" s="23">
        <v>92500</v>
      </c>
      <c r="G76" s="24">
        <f t="shared" si="1"/>
        <v>403994675</v>
      </c>
      <c r="H76" s="9">
        <f>+İcmal!M46</f>
        <v>0</v>
      </c>
    </row>
    <row r="77" spans="1:8" x14ac:dyDescent="0.3">
      <c r="A77" s="19">
        <v>76</v>
      </c>
      <c r="B77" s="19" t="s">
        <v>167</v>
      </c>
      <c r="C77" s="19" t="s">
        <v>168</v>
      </c>
      <c r="D77" s="21" t="s">
        <v>58</v>
      </c>
      <c r="E77" s="25">
        <v>2581.33</v>
      </c>
      <c r="F77" s="23">
        <v>97333</v>
      </c>
      <c r="G77" s="24">
        <f t="shared" si="1"/>
        <v>251248592.88999999</v>
      </c>
      <c r="H77" s="9">
        <f>+İcmal!M47</f>
        <v>55.661000000000001</v>
      </c>
    </row>
    <row r="78" spans="1:8" x14ac:dyDescent="0.3">
      <c r="A78" s="19">
        <v>77</v>
      </c>
      <c r="B78" s="19" t="s">
        <v>169</v>
      </c>
      <c r="C78" s="19" t="s">
        <v>170</v>
      </c>
      <c r="D78" s="21" t="s">
        <v>171</v>
      </c>
      <c r="E78" s="22">
        <v>3500</v>
      </c>
      <c r="F78" s="23">
        <v>150</v>
      </c>
      <c r="G78" s="24">
        <f t="shared" si="1"/>
        <v>525000</v>
      </c>
      <c r="H78" s="9" t="str">
        <f>+İcmal!M48</f>
        <v/>
      </c>
    </row>
    <row r="79" spans="1:8" x14ac:dyDescent="0.3">
      <c r="A79" s="19">
        <v>78</v>
      </c>
      <c r="B79" s="19" t="s">
        <v>172</v>
      </c>
      <c r="C79" s="19" t="s">
        <v>173</v>
      </c>
      <c r="D79" s="21" t="s">
        <v>171</v>
      </c>
      <c r="E79" s="22">
        <v>4500</v>
      </c>
      <c r="F79" s="23">
        <v>180</v>
      </c>
      <c r="G79" s="24">
        <f t="shared" si="1"/>
        <v>810000</v>
      </c>
      <c r="H79" s="9" t="str">
        <f>+İcmal!M49</f>
        <v/>
      </c>
    </row>
    <row r="80" spans="1:8" hidden="1" x14ac:dyDescent="0.3">
      <c r="A80" s="19">
        <v>79</v>
      </c>
      <c r="B80" s="20" t="s">
        <v>174</v>
      </c>
      <c r="C80" s="19" t="s">
        <v>4</v>
      </c>
      <c r="D80" s="21" t="s">
        <v>38</v>
      </c>
      <c r="E80" s="25">
        <v>8960.4699999999993</v>
      </c>
      <c r="F80" s="23">
        <v>340200</v>
      </c>
      <c r="G80" s="24">
        <f t="shared" si="1"/>
        <v>3048351894</v>
      </c>
    </row>
    <row r="81" spans="1:7" hidden="1" x14ac:dyDescent="0.3">
      <c r="A81" s="19">
        <v>80</v>
      </c>
      <c r="B81" s="20" t="s">
        <v>175</v>
      </c>
      <c r="C81" s="19" t="s">
        <v>176</v>
      </c>
      <c r="D81" s="21" t="s">
        <v>38</v>
      </c>
      <c r="E81" s="22">
        <v>2750</v>
      </c>
      <c r="F81" s="23">
        <v>3750</v>
      </c>
      <c r="G81" s="24">
        <f t="shared" si="1"/>
        <v>10312500</v>
      </c>
    </row>
    <row r="82" spans="1:7" hidden="1" x14ac:dyDescent="0.3">
      <c r="A82" s="19">
        <v>81</v>
      </c>
      <c r="B82" s="20" t="s">
        <v>177</v>
      </c>
      <c r="C82" s="19" t="s">
        <v>178</v>
      </c>
      <c r="D82" s="21" t="s">
        <v>83</v>
      </c>
      <c r="E82" s="19">
        <v>1</v>
      </c>
      <c r="F82" s="23">
        <v>108000000</v>
      </c>
      <c r="G82" s="24">
        <f t="shared" si="1"/>
        <v>108000000</v>
      </c>
    </row>
    <row r="83" spans="1:7" hidden="1" x14ac:dyDescent="0.3">
      <c r="A83" s="19">
        <v>82</v>
      </c>
      <c r="B83" s="20" t="s">
        <v>179</v>
      </c>
      <c r="C83" s="19" t="s">
        <v>180</v>
      </c>
      <c r="D83" s="21" t="s">
        <v>83</v>
      </c>
      <c r="E83" s="19">
        <v>1</v>
      </c>
      <c r="F83" s="23">
        <v>42000000</v>
      </c>
      <c r="G83" s="24">
        <f t="shared" si="1"/>
        <v>42000000</v>
      </c>
    </row>
    <row r="84" spans="1:7" hidden="1" x14ac:dyDescent="0.3">
      <c r="A84" s="19">
        <v>83</v>
      </c>
      <c r="B84" s="20" t="s">
        <v>181</v>
      </c>
      <c r="C84" s="19" t="s">
        <v>182</v>
      </c>
      <c r="D84" s="21" t="s">
        <v>20</v>
      </c>
      <c r="E84" s="25">
        <v>3033.68</v>
      </c>
      <c r="F84" s="23">
        <v>1040</v>
      </c>
      <c r="G84" s="24">
        <f t="shared" si="1"/>
        <v>3155027.1999999997</v>
      </c>
    </row>
    <row r="85" spans="1:7" hidden="1" x14ac:dyDescent="0.3">
      <c r="A85" s="19">
        <v>84</v>
      </c>
      <c r="B85" s="20" t="s">
        <v>183</v>
      </c>
      <c r="C85" s="19" t="s">
        <v>184</v>
      </c>
      <c r="D85" s="21" t="s">
        <v>20</v>
      </c>
      <c r="E85" s="25">
        <v>23957.52</v>
      </c>
      <c r="F85" s="23">
        <v>988</v>
      </c>
      <c r="G85" s="24">
        <f t="shared" si="1"/>
        <v>23670029.760000002</v>
      </c>
    </row>
    <row r="86" spans="1:7" hidden="1" x14ac:dyDescent="0.3">
      <c r="A86" s="19">
        <v>85</v>
      </c>
      <c r="B86" s="20" t="s">
        <v>185</v>
      </c>
      <c r="C86" s="19" t="s">
        <v>186</v>
      </c>
      <c r="D86" s="21" t="s">
        <v>23</v>
      </c>
      <c r="E86" s="19">
        <v>958.3</v>
      </c>
      <c r="F86" s="23">
        <v>4072</v>
      </c>
      <c r="G86" s="24">
        <f t="shared" si="1"/>
        <v>3902197.5999999996</v>
      </c>
    </row>
    <row r="87" spans="1:7" hidden="1" x14ac:dyDescent="0.3">
      <c r="A87" s="19">
        <v>86</v>
      </c>
      <c r="B87" s="19" t="s">
        <v>187</v>
      </c>
      <c r="C87" s="19" t="s">
        <v>188</v>
      </c>
      <c r="D87" s="21" t="s">
        <v>20</v>
      </c>
      <c r="E87" s="25">
        <v>23920.44</v>
      </c>
      <c r="F87" s="23">
        <v>1849</v>
      </c>
      <c r="G87" s="24">
        <f t="shared" si="1"/>
        <v>44228893.559999995</v>
      </c>
    </row>
    <row r="88" spans="1:7" hidden="1" x14ac:dyDescent="0.3">
      <c r="A88" s="19">
        <v>87</v>
      </c>
      <c r="B88" s="19" t="s">
        <v>189</v>
      </c>
      <c r="C88" s="19" t="s">
        <v>190</v>
      </c>
      <c r="D88" s="21" t="s">
        <v>20</v>
      </c>
      <c r="E88" s="25">
        <v>3058.14</v>
      </c>
      <c r="F88" s="23">
        <v>1849</v>
      </c>
      <c r="G88" s="24">
        <f t="shared" si="1"/>
        <v>5654500.8599999994</v>
      </c>
    </row>
    <row r="89" spans="1:7" hidden="1" x14ac:dyDescent="0.3">
      <c r="A89" s="19">
        <v>88</v>
      </c>
      <c r="B89" s="19" t="s">
        <v>191</v>
      </c>
      <c r="C89" s="19" t="s">
        <v>192</v>
      </c>
      <c r="D89" s="21" t="s">
        <v>20</v>
      </c>
      <c r="E89" s="25">
        <v>3419.9</v>
      </c>
      <c r="F89" s="23">
        <v>1849</v>
      </c>
      <c r="G89" s="24">
        <f t="shared" si="1"/>
        <v>6323395.1000000006</v>
      </c>
    </row>
    <row r="90" spans="1:7" hidden="1" x14ac:dyDescent="0.3">
      <c r="A90" s="19">
        <v>89</v>
      </c>
      <c r="B90" s="19" t="s">
        <v>193</v>
      </c>
      <c r="C90" s="19" t="s">
        <v>194</v>
      </c>
      <c r="D90" s="21" t="s">
        <v>20</v>
      </c>
      <c r="E90" s="19">
        <v>880.44</v>
      </c>
      <c r="F90" s="23">
        <v>3999</v>
      </c>
      <c r="G90" s="24">
        <f t="shared" si="1"/>
        <v>3520879.56</v>
      </c>
    </row>
    <row r="91" spans="1:7" hidden="1" x14ac:dyDescent="0.3">
      <c r="A91" s="19">
        <v>90</v>
      </c>
      <c r="B91" s="19" t="s">
        <v>195</v>
      </c>
      <c r="C91" s="19" t="s">
        <v>196</v>
      </c>
      <c r="D91" s="21" t="s">
        <v>20</v>
      </c>
      <c r="E91" s="25">
        <v>1076.47</v>
      </c>
      <c r="F91" s="23">
        <v>3999</v>
      </c>
      <c r="G91" s="24">
        <f t="shared" si="1"/>
        <v>4304803.53</v>
      </c>
    </row>
    <row r="92" spans="1:7" hidden="1" x14ac:dyDescent="0.3">
      <c r="A92" s="19">
        <v>91</v>
      </c>
      <c r="B92" s="19" t="s">
        <v>197</v>
      </c>
      <c r="C92" s="19" t="s">
        <v>198</v>
      </c>
      <c r="D92" s="21" t="s">
        <v>20</v>
      </c>
      <c r="E92" s="19">
        <v>291.58</v>
      </c>
      <c r="F92" s="23">
        <v>3999</v>
      </c>
      <c r="G92" s="24">
        <f t="shared" si="1"/>
        <v>1166028.42</v>
      </c>
    </row>
    <row r="93" spans="1:7" hidden="1" x14ac:dyDescent="0.3">
      <c r="A93" s="19">
        <v>92</v>
      </c>
      <c r="B93" s="19" t="s">
        <v>199</v>
      </c>
      <c r="C93" s="19" t="s">
        <v>200</v>
      </c>
      <c r="D93" s="21" t="s">
        <v>20</v>
      </c>
      <c r="E93" s="19">
        <v>619.36</v>
      </c>
      <c r="F93" s="23">
        <v>3999</v>
      </c>
      <c r="G93" s="24">
        <f t="shared" si="1"/>
        <v>2476820.64</v>
      </c>
    </row>
    <row r="94" spans="1:7" hidden="1" x14ac:dyDescent="0.3">
      <c r="A94" s="19">
        <v>93</v>
      </c>
      <c r="B94" s="19" t="s">
        <v>201</v>
      </c>
      <c r="C94" s="19" t="s">
        <v>202</v>
      </c>
      <c r="D94" s="21" t="s">
        <v>20</v>
      </c>
      <c r="E94" s="19">
        <v>493.2</v>
      </c>
      <c r="F94" s="23">
        <v>3924</v>
      </c>
      <c r="G94" s="24">
        <f t="shared" si="1"/>
        <v>1935316.8</v>
      </c>
    </row>
    <row r="95" spans="1:7" hidden="1" x14ac:dyDescent="0.3">
      <c r="A95" s="19">
        <v>94</v>
      </c>
      <c r="B95" s="19" t="s">
        <v>203</v>
      </c>
      <c r="C95" s="19" t="s">
        <v>204</v>
      </c>
      <c r="D95" s="21" t="s">
        <v>20</v>
      </c>
      <c r="E95" s="19">
        <v>493.2</v>
      </c>
      <c r="F95" s="23">
        <v>4295</v>
      </c>
      <c r="G95" s="24">
        <f t="shared" si="1"/>
        <v>2118294</v>
      </c>
    </row>
    <row r="96" spans="1:7" hidden="1" x14ac:dyDescent="0.3">
      <c r="A96" s="19">
        <v>95</v>
      </c>
      <c r="B96" s="19" t="s">
        <v>205</v>
      </c>
      <c r="C96" s="19" t="s">
        <v>206</v>
      </c>
      <c r="D96" s="21" t="s">
        <v>20</v>
      </c>
      <c r="E96" s="19">
        <v>493.2</v>
      </c>
      <c r="F96" s="23">
        <v>4295</v>
      </c>
      <c r="G96" s="24">
        <f t="shared" si="1"/>
        <v>2118294</v>
      </c>
    </row>
    <row r="97" spans="1:7" hidden="1" x14ac:dyDescent="0.3">
      <c r="A97" s="19">
        <v>96</v>
      </c>
      <c r="B97" s="19" t="s">
        <v>207</v>
      </c>
      <c r="C97" s="19" t="s">
        <v>208</v>
      </c>
      <c r="D97" s="21" t="s">
        <v>20</v>
      </c>
      <c r="E97" s="25">
        <v>1892.35</v>
      </c>
      <c r="F97" s="23">
        <v>3924</v>
      </c>
      <c r="G97" s="24">
        <f t="shared" si="1"/>
        <v>7425581.3999999994</v>
      </c>
    </row>
    <row r="98" spans="1:7" hidden="1" x14ac:dyDescent="0.3">
      <c r="A98" s="19">
        <v>97</v>
      </c>
      <c r="B98" s="19" t="s">
        <v>209</v>
      </c>
      <c r="C98" s="19" t="s">
        <v>210</v>
      </c>
      <c r="D98" s="21" t="s">
        <v>20</v>
      </c>
      <c r="E98" s="25">
        <v>1892.35</v>
      </c>
      <c r="F98" s="23">
        <v>4295</v>
      </c>
      <c r="G98" s="24">
        <f t="shared" si="1"/>
        <v>8127643.25</v>
      </c>
    </row>
    <row r="99" spans="1:7" hidden="1" x14ac:dyDescent="0.3">
      <c r="A99" s="19">
        <v>98</v>
      </c>
      <c r="B99" s="19" t="s">
        <v>211</v>
      </c>
      <c r="C99" s="19" t="s">
        <v>212</v>
      </c>
      <c r="D99" s="21" t="s">
        <v>20</v>
      </c>
      <c r="E99" s="25">
        <v>1892.35</v>
      </c>
      <c r="F99" s="23">
        <v>4295</v>
      </c>
      <c r="G99" s="24">
        <f t="shared" si="1"/>
        <v>8127643.25</v>
      </c>
    </row>
    <row r="100" spans="1:7" hidden="1" x14ac:dyDescent="0.3">
      <c r="A100" s="19">
        <v>99</v>
      </c>
      <c r="B100" s="20" t="s">
        <v>213</v>
      </c>
      <c r="C100" s="19" t="s">
        <v>214</v>
      </c>
      <c r="D100" s="21" t="s">
        <v>20</v>
      </c>
      <c r="E100" s="19">
        <v>528.38</v>
      </c>
      <c r="F100" s="23">
        <v>3952</v>
      </c>
      <c r="G100" s="24">
        <f t="shared" si="1"/>
        <v>2088157.76</v>
      </c>
    </row>
    <row r="101" spans="1:7" hidden="1" x14ac:dyDescent="0.3">
      <c r="A101" s="19">
        <v>100</v>
      </c>
      <c r="B101" s="20" t="s">
        <v>215</v>
      </c>
      <c r="C101" s="19" t="s">
        <v>216</v>
      </c>
      <c r="D101" s="21" t="s">
        <v>20</v>
      </c>
      <c r="E101" s="25">
        <v>2117.79</v>
      </c>
      <c r="F101" s="23">
        <v>5743</v>
      </c>
      <c r="G101" s="24">
        <f t="shared" si="1"/>
        <v>12162467.970000001</v>
      </c>
    </row>
    <row r="102" spans="1:7" hidden="1" x14ac:dyDescent="0.3">
      <c r="A102" s="19">
        <v>101</v>
      </c>
      <c r="B102" s="20" t="s">
        <v>217</v>
      </c>
      <c r="C102" s="19" t="s">
        <v>218</v>
      </c>
      <c r="D102" s="21" t="s">
        <v>20</v>
      </c>
      <c r="E102" s="25">
        <v>14111.21</v>
      </c>
      <c r="F102" s="23">
        <v>910</v>
      </c>
      <c r="G102" s="24">
        <f t="shared" si="1"/>
        <v>12841201.1</v>
      </c>
    </row>
    <row r="103" spans="1:7" hidden="1" x14ac:dyDescent="0.3">
      <c r="A103" s="19">
        <v>102</v>
      </c>
      <c r="B103" s="20" t="s">
        <v>219</v>
      </c>
      <c r="C103" s="19" t="s">
        <v>220</v>
      </c>
      <c r="D103" s="21" t="s">
        <v>38</v>
      </c>
      <c r="E103" s="19">
        <v>250</v>
      </c>
      <c r="F103" s="23">
        <v>1625</v>
      </c>
      <c r="G103" s="24">
        <f t="shared" si="1"/>
        <v>406250</v>
      </c>
    </row>
    <row r="104" spans="1:7" hidden="1" x14ac:dyDescent="0.3">
      <c r="A104" s="19">
        <v>103</v>
      </c>
      <c r="B104" s="20" t="s">
        <v>221</v>
      </c>
      <c r="C104" s="19" t="s">
        <v>222</v>
      </c>
      <c r="D104" s="21" t="s">
        <v>20</v>
      </c>
      <c r="E104" s="19">
        <v>482.96</v>
      </c>
      <c r="F104" s="23">
        <v>1121</v>
      </c>
      <c r="G104" s="24">
        <f t="shared" si="1"/>
        <v>541398.16</v>
      </c>
    </row>
    <row r="105" spans="1:7" hidden="1" x14ac:dyDescent="0.3">
      <c r="A105" s="19">
        <v>104</v>
      </c>
      <c r="B105" s="20" t="s">
        <v>223</v>
      </c>
      <c r="C105" s="19" t="s">
        <v>224</v>
      </c>
      <c r="D105" s="21" t="s">
        <v>38</v>
      </c>
      <c r="E105" s="25">
        <v>3805.85</v>
      </c>
      <c r="F105" s="23">
        <v>2600</v>
      </c>
      <c r="G105" s="24">
        <f t="shared" si="1"/>
        <v>9895210</v>
      </c>
    </row>
    <row r="106" spans="1:7" hidden="1" x14ac:dyDescent="0.3">
      <c r="A106" s="19">
        <v>105</v>
      </c>
      <c r="B106" s="19" t="s">
        <v>225</v>
      </c>
      <c r="C106" s="19" t="s">
        <v>226</v>
      </c>
      <c r="D106" s="21" t="s">
        <v>38</v>
      </c>
      <c r="E106" s="25">
        <v>1252.8800000000001</v>
      </c>
      <c r="F106" s="23">
        <v>2275</v>
      </c>
      <c r="G106" s="24">
        <f t="shared" si="1"/>
        <v>2850302.0000000005</v>
      </c>
    </row>
    <row r="107" spans="1:7" hidden="1" x14ac:dyDescent="0.3">
      <c r="A107" s="19">
        <v>106</v>
      </c>
      <c r="B107" s="19" t="s">
        <v>227</v>
      </c>
      <c r="C107" s="19" t="s">
        <v>228</v>
      </c>
      <c r="D107" s="21" t="s">
        <v>38</v>
      </c>
      <c r="E107" s="19">
        <v>605.75</v>
      </c>
      <c r="F107" s="23">
        <v>2275</v>
      </c>
      <c r="G107" s="24">
        <f t="shared" si="1"/>
        <v>1378081.25</v>
      </c>
    </row>
    <row r="108" spans="1:7" hidden="1" x14ac:dyDescent="0.3">
      <c r="A108" s="19">
        <v>107</v>
      </c>
      <c r="B108" s="19" t="s">
        <v>229</v>
      </c>
      <c r="C108" s="19" t="s">
        <v>230</v>
      </c>
      <c r="D108" s="21" t="s">
        <v>38</v>
      </c>
      <c r="E108" s="19">
        <v>605.75</v>
      </c>
      <c r="F108" s="23">
        <v>2925</v>
      </c>
      <c r="G108" s="24">
        <f t="shared" si="1"/>
        <v>1771818.75</v>
      </c>
    </row>
    <row r="109" spans="1:7" hidden="1" x14ac:dyDescent="0.3">
      <c r="A109" s="19">
        <v>108</v>
      </c>
      <c r="B109" s="19" t="s">
        <v>231</v>
      </c>
      <c r="C109" s="19" t="s">
        <v>232</v>
      </c>
      <c r="D109" s="21" t="s">
        <v>20</v>
      </c>
      <c r="E109" s="19">
        <v>560.04</v>
      </c>
      <c r="F109" s="23">
        <v>1560</v>
      </c>
      <c r="G109" s="24">
        <f t="shared" si="1"/>
        <v>873662.39999999991</v>
      </c>
    </row>
    <row r="110" spans="1:7" hidden="1" x14ac:dyDescent="0.3">
      <c r="A110" s="19">
        <v>109</v>
      </c>
      <c r="B110" s="19" t="s">
        <v>233</v>
      </c>
      <c r="C110" s="19" t="s">
        <v>234</v>
      </c>
      <c r="D110" s="21" t="s">
        <v>20</v>
      </c>
      <c r="E110" s="25">
        <v>20987.8</v>
      </c>
      <c r="F110" s="23">
        <v>2600</v>
      </c>
      <c r="G110" s="24">
        <f t="shared" si="1"/>
        <v>54568280</v>
      </c>
    </row>
    <row r="111" spans="1:7" hidden="1" x14ac:dyDescent="0.3">
      <c r="A111" s="19">
        <v>110</v>
      </c>
      <c r="B111" s="20" t="s">
        <v>235</v>
      </c>
      <c r="C111" s="19" t="s">
        <v>236</v>
      </c>
      <c r="D111" s="21" t="s">
        <v>20</v>
      </c>
      <c r="E111" s="25">
        <v>17353.38</v>
      </c>
      <c r="F111" s="23">
        <v>1300</v>
      </c>
      <c r="G111" s="24">
        <f t="shared" si="1"/>
        <v>22559394</v>
      </c>
    </row>
    <row r="112" spans="1:7" hidden="1" x14ac:dyDescent="0.3">
      <c r="A112" s="19">
        <v>111</v>
      </c>
      <c r="B112" s="19" t="s">
        <v>237</v>
      </c>
      <c r="C112" s="19" t="s">
        <v>238</v>
      </c>
      <c r="D112" s="21" t="s">
        <v>38</v>
      </c>
      <c r="E112" s="25">
        <v>4497.83</v>
      </c>
      <c r="F112" s="23">
        <v>1235</v>
      </c>
      <c r="G112" s="24">
        <f t="shared" si="1"/>
        <v>5554820.0499999998</v>
      </c>
    </row>
    <row r="113" spans="1:7" hidden="1" x14ac:dyDescent="0.3">
      <c r="A113" s="19">
        <v>112</v>
      </c>
      <c r="B113" s="19" t="s">
        <v>239</v>
      </c>
      <c r="C113" s="19" t="s">
        <v>240</v>
      </c>
      <c r="D113" s="21" t="s">
        <v>38</v>
      </c>
      <c r="E113" s="25">
        <v>2909.43</v>
      </c>
      <c r="F113" s="23">
        <v>1235</v>
      </c>
      <c r="G113" s="24">
        <f t="shared" si="1"/>
        <v>3593146.05</v>
      </c>
    </row>
    <row r="114" spans="1:7" hidden="1" x14ac:dyDescent="0.3">
      <c r="A114" s="19">
        <v>113</v>
      </c>
      <c r="B114" s="20" t="s">
        <v>241</v>
      </c>
      <c r="C114" s="19" t="s">
        <v>242</v>
      </c>
      <c r="D114" s="21" t="s">
        <v>20</v>
      </c>
      <c r="E114" s="25">
        <v>1158.7</v>
      </c>
      <c r="F114" s="23">
        <v>4680</v>
      </c>
      <c r="G114" s="24">
        <f t="shared" si="1"/>
        <v>5422716</v>
      </c>
    </row>
    <row r="115" spans="1:7" hidden="1" x14ac:dyDescent="0.3">
      <c r="A115" s="19">
        <v>114</v>
      </c>
      <c r="B115" s="19" t="s">
        <v>243</v>
      </c>
      <c r="C115" s="19" t="s">
        <v>244</v>
      </c>
      <c r="D115" s="21" t="s">
        <v>20</v>
      </c>
      <c r="E115" s="25">
        <v>13116.45</v>
      </c>
      <c r="F115" s="23">
        <v>6175</v>
      </c>
      <c r="G115" s="24">
        <f t="shared" si="1"/>
        <v>80994078.75</v>
      </c>
    </row>
    <row r="116" spans="1:7" hidden="1" x14ac:dyDescent="0.3">
      <c r="A116" s="19">
        <v>115</v>
      </c>
      <c r="B116" s="19" t="s">
        <v>245</v>
      </c>
      <c r="C116" s="19" t="s">
        <v>246</v>
      </c>
      <c r="D116" s="21" t="s">
        <v>20</v>
      </c>
      <c r="E116" s="25">
        <v>2140.9299999999998</v>
      </c>
      <c r="F116" s="23">
        <v>6175</v>
      </c>
      <c r="G116" s="24">
        <f t="shared" si="1"/>
        <v>13220242.749999998</v>
      </c>
    </row>
    <row r="117" spans="1:7" hidden="1" x14ac:dyDescent="0.3">
      <c r="A117" s="19">
        <v>116</v>
      </c>
      <c r="B117" s="19" t="s">
        <v>247</v>
      </c>
      <c r="C117" s="19" t="s">
        <v>248</v>
      </c>
      <c r="D117" s="21" t="s">
        <v>20</v>
      </c>
      <c r="E117" s="25">
        <v>2465.06</v>
      </c>
      <c r="F117" s="23">
        <v>6175</v>
      </c>
      <c r="G117" s="24">
        <f t="shared" si="1"/>
        <v>15221745.5</v>
      </c>
    </row>
    <row r="118" spans="1:7" hidden="1" x14ac:dyDescent="0.3">
      <c r="A118" s="19">
        <v>117</v>
      </c>
      <c r="B118" s="19" t="s">
        <v>249</v>
      </c>
      <c r="C118" s="19" t="s">
        <v>250</v>
      </c>
      <c r="D118" s="21" t="s">
        <v>20</v>
      </c>
      <c r="E118" s="19">
        <v>609.66</v>
      </c>
      <c r="F118" s="23">
        <v>3900</v>
      </c>
      <c r="G118" s="24">
        <f t="shared" si="1"/>
        <v>2377674</v>
      </c>
    </row>
    <row r="119" spans="1:7" hidden="1" x14ac:dyDescent="0.3">
      <c r="A119" s="19">
        <v>118</v>
      </c>
      <c r="B119" s="19" t="s">
        <v>251</v>
      </c>
      <c r="C119" s="19" t="s">
        <v>252</v>
      </c>
      <c r="D119" s="21" t="s">
        <v>20</v>
      </c>
      <c r="E119" s="19">
        <v>547.5</v>
      </c>
      <c r="F119" s="23">
        <v>8775</v>
      </c>
      <c r="G119" s="24">
        <f t="shared" si="1"/>
        <v>4804312.5</v>
      </c>
    </row>
    <row r="120" spans="1:7" hidden="1" x14ac:dyDescent="0.3">
      <c r="A120" s="19">
        <v>119</v>
      </c>
      <c r="B120" s="19" t="s">
        <v>253</v>
      </c>
      <c r="C120" s="19" t="s">
        <v>254</v>
      </c>
      <c r="D120" s="21" t="s">
        <v>20</v>
      </c>
      <c r="E120" s="19">
        <v>547.5</v>
      </c>
      <c r="F120" s="23">
        <v>8775</v>
      </c>
      <c r="G120" s="24">
        <f t="shared" si="1"/>
        <v>4804312.5</v>
      </c>
    </row>
    <row r="121" spans="1:7" hidden="1" x14ac:dyDescent="0.3">
      <c r="A121" s="19">
        <v>120</v>
      </c>
      <c r="B121" s="19" t="s">
        <v>255</v>
      </c>
      <c r="C121" s="19" t="s">
        <v>256</v>
      </c>
      <c r="D121" s="21" t="s">
        <v>20</v>
      </c>
      <c r="E121" s="25">
        <v>2991.9</v>
      </c>
      <c r="F121" s="23">
        <v>8775</v>
      </c>
      <c r="G121" s="24">
        <f t="shared" si="1"/>
        <v>26253922.5</v>
      </c>
    </row>
    <row r="122" spans="1:7" hidden="1" x14ac:dyDescent="0.3">
      <c r="A122" s="19">
        <v>121</v>
      </c>
      <c r="B122" s="19" t="s">
        <v>257</v>
      </c>
      <c r="C122" s="19" t="s">
        <v>258</v>
      </c>
      <c r="D122" s="21" t="s">
        <v>20</v>
      </c>
      <c r="E122" s="19">
        <v>800</v>
      </c>
      <c r="F122" s="23">
        <v>4185</v>
      </c>
      <c r="G122" s="24">
        <f t="shared" si="1"/>
        <v>3348000</v>
      </c>
    </row>
    <row r="123" spans="1:7" hidden="1" x14ac:dyDescent="0.3">
      <c r="A123" s="19">
        <v>122</v>
      </c>
      <c r="B123" s="19" t="s">
        <v>259</v>
      </c>
      <c r="C123" s="19" t="s">
        <v>260</v>
      </c>
      <c r="D123" s="21" t="s">
        <v>20</v>
      </c>
      <c r="E123" s="19">
        <v>800</v>
      </c>
      <c r="F123" s="23">
        <v>4425</v>
      </c>
      <c r="G123" s="24">
        <f t="shared" si="1"/>
        <v>3540000</v>
      </c>
    </row>
    <row r="124" spans="1:7" hidden="1" x14ac:dyDescent="0.3">
      <c r="A124" s="19">
        <v>123</v>
      </c>
      <c r="B124" s="19" t="s">
        <v>261</v>
      </c>
      <c r="C124" s="19" t="s">
        <v>262</v>
      </c>
      <c r="D124" s="21" t="s">
        <v>20</v>
      </c>
      <c r="E124" s="19">
        <v>800</v>
      </c>
      <c r="F124" s="23">
        <v>4425</v>
      </c>
      <c r="G124" s="24">
        <f t="shared" si="1"/>
        <v>3540000</v>
      </c>
    </row>
    <row r="125" spans="1:7" hidden="1" x14ac:dyDescent="0.3">
      <c r="A125" s="19">
        <v>124</v>
      </c>
      <c r="B125" s="19" t="s">
        <v>263</v>
      </c>
      <c r="C125" s="19" t="s">
        <v>264</v>
      </c>
      <c r="D125" s="21" t="s">
        <v>20</v>
      </c>
      <c r="E125" s="22">
        <v>2640</v>
      </c>
      <c r="F125" s="23">
        <v>8215</v>
      </c>
      <c r="G125" s="24">
        <f t="shared" si="1"/>
        <v>21687600</v>
      </c>
    </row>
    <row r="126" spans="1:7" hidden="1" x14ac:dyDescent="0.3">
      <c r="A126" s="19">
        <v>125</v>
      </c>
      <c r="B126" s="19" t="s">
        <v>265</v>
      </c>
      <c r="C126" s="19" t="s">
        <v>266</v>
      </c>
      <c r="D126" s="21" t="s">
        <v>20</v>
      </c>
      <c r="E126" s="22">
        <v>2640</v>
      </c>
      <c r="F126" s="23">
        <v>8599</v>
      </c>
      <c r="G126" s="24">
        <f t="shared" si="1"/>
        <v>22701360</v>
      </c>
    </row>
    <row r="127" spans="1:7" hidden="1" x14ac:dyDescent="0.3">
      <c r="A127" s="19">
        <v>126</v>
      </c>
      <c r="B127" s="19" t="s">
        <v>267</v>
      </c>
      <c r="C127" s="19" t="s">
        <v>268</v>
      </c>
      <c r="D127" s="21" t="s">
        <v>20</v>
      </c>
      <c r="E127" s="22">
        <v>2640</v>
      </c>
      <c r="F127" s="23">
        <v>8599</v>
      </c>
      <c r="G127" s="24">
        <f t="shared" si="1"/>
        <v>22701360</v>
      </c>
    </row>
    <row r="128" spans="1:7" hidden="1" x14ac:dyDescent="0.3">
      <c r="A128" s="19">
        <v>127</v>
      </c>
      <c r="B128" s="20" t="s">
        <v>269</v>
      </c>
      <c r="C128" s="19" t="s">
        <v>270</v>
      </c>
      <c r="D128" s="21" t="s">
        <v>20</v>
      </c>
      <c r="E128" s="19">
        <v>607.15</v>
      </c>
      <c r="F128" s="23">
        <v>2311</v>
      </c>
      <c r="G128" s="24">
        <f t="shared" si="1"/>
        <v>1403123.65</v>
      </c>
    </row>
    <row r="129" spans="1:7" hidden="1" x14ac:dyDescent="0.3">
      <c r="A129" s="19">
        <v>128</v>
      </c>
      <c r="B129" s="20" t="s">
        <v>271</v>
      </c>
      <c r="C129" s="19" t="s">
        <v>272</v>
      </c>
      <c r="D129" s="21" t="s">
        <v>20</v>
      </c>
      <c r="E129" s="19">
        <v>240.25</v>
      </c>
      <c r="F129" s="23">
        <v>2311</v>
      </c>
      <c r="G129" s="24">
        <f t="shared" si="1"/>
        <v>555217.75</v>
      </c>
    </row>
    <row r="130" spans="1:7" hidden="1" x14ac:dyDescent="0.3">
      <c r="A130" s="19">
        <v>129</v>
      </c>
      <c r="B130" s="19" t="s">
        <v>273</v>
      </c>
      <c r="C130" s="19" t="s">
        <v>274</v>
      </c>
      <c r="D130" s="21" t="s">
        <v>20</v>
      </c>
      <c r="E130" s="19">
        <v>476</v>
      </c>
      <c r="F130" s="23">
        <v>3120</v>
      </c>
      <c r="G130" s="24">
        <f t="shared" si="1"/>
        <v>1485120</v>
      </c>
    </row>
    <row r="131" spans="1:7" hidden="1" x14ac:dyDescent="0.3">
      <c r="A131" s="19">
        <v>130</v>
      </c>
      <c r="B131" s="19" t="s">
        <v>275</v>
      </c>
      <c r="C131" s="19" t="s">
        <v>276</v>
      </c>
      <c r="D131" s="21" t="s">
        <v>20</v>
      </c>
      <c r="E131" s="19">
        <v>26.5</v>
      </c>
      <c r="F131" s="23">
        <v>3640</v>
      </c>
      <c r="G131" s="24">
        <f t="shared" ref="G131:G194" si="2">+E131*F131</f>
        <v>96460</v>
      </c>
    </row>
    <row r="132" spans="1:7" hidden="1" x14ac:dyDescent="0.3">
      <c r="A132" s="19">
        <v>131</v>
      </c>
      <c r="B132" s="19" t="s">
        <v>277</v>
      </c>
      <c r="C132" s="19" t="s">
        <v>278</v>
      </c>
      <c r="D132" s="21" t="s">
        <v>20</v>
      </c>
      <c r="E132" s="19">
        <v>173.36</v>
      </c>
      <c r="F132" s="23">
        <v>2746</v>
      </c>
      <c r="G132" s="24">
        <f t="shared" si="2"/>
        <v>476046.56000000006</v>
      </c>
    </row>
    <row r="133" spans="1:7" hidden="1" x14ac:dyDescent="0.3">
      <c r="A133" s="19">
        <v>132</v>
      </c>
      <c r="B133" s="19" t="s">
        <v>279</v>
      </c>
      <c r="C133" s="19" t="s">
        <v>280</v>
      </c>
      <c r="D133" s="21" t="s">
        <v>20</v>
      </c>
      <c r="E133" s="25">
        <v>28308.66</v>
      </c>
      <c r="F133" s="23">
        <v>3081</v>
      </c>
      <c r="G133" s="24">
        <f t="shared" si="2"/>
        <v>87218981.459999993</v>
      </c>
    </row>
    <row r="134" spans="1:7" hidden="1" x14ac:dyDescent="0.3">
      <c r="A134" s="19">
        <v>133</v>
      </c>
      <c r="B134" s="20" t="s">
        <v>281</v>
      </c>
      <c r="C134" s="19" t="s">
        <v>282</v>
      </c>
      <c r="D134" s="21" t="s">
        <v>20</v>
      </c>
      <c r="E134" s="25">
        <v>87933.56</v>
      </c>
      <c r="F134" s="23">
        <v>936</v>
      </c>
      <c r="G134" s="24">
        <f t="shared" si="2"/>
        <v>82305812.159999996</v>
      </c>
    </row>
    <row r="135" spans="1:7" hidden="1" x14ac:dyDescent="0.3">
      <c r="A135" s="19">
        <v>134</v>
      </c>
      <c r="B135" s="20" t="s">
        <v>283</v>
      </c>
      <c r="C135" s="19" t="s">
        <v>284</v>
      </c>
      <c r="D135" s="21" t="s">
        <v>20</v>
      </c>
      <c r="E135" s="19">
        <v>400</v>
      </c>
      <c r="F135" s="23">
        <v>1014</v>
      </c>
      <c r="G135" s="24">
        <f t="shared" si="2"/>
        <v>405600</v>
      </c>
    </row>
    <row r="136" spans="1:7" hidden="1" x14ac:dyDescent="0.3">
      <c r="A136" s="19">
        <v>135</v>
      </c>
      <c r="B136" s="20" t="s">
        <v>285</v>
      </c>
      <c r="C136" s="19" t="s">
        <v>286</v>
      </c>
      <c r="D136" s="21" t="s">
        <v>20</v>
      </c>
      <c r="E136" s="25">
        <v>94845.71</v>
      </c>
      <c r="F136" s="23">
        <v>286</v>
      </c>
      <c r="G136" s="24">
        <f t="shared" si="2"/>
        <v>27125873.060000002</v>
      </c>
    </row>
    <row r="137" spans="1:7" hidden="1" x14ac:dyDescent="0.3">
      <c r="A137" s="19">
        <v>136</v>
      </c>
      <c r="B137" s="20" t="s">
        <v>287</v>
      </c>
      <c r="C137" s="19" t="s">
        <v>288</v>
      </c>
      <c r="D137" s="21" t="s">
        <v>20</v>
      </c>
      <c r="E137" s="25">
        <v>2234.29</v>
      </c>
      <c r="F137" s="23">
        <v>11050</v>
      </c>
      <c r="G137" s="24">
        <f t="shared" si="2"/>
        <v>24688904.5</v>
      </c>
    </row>
    <row r="138" spans="1:7" hidden="1" x14ac:dyDescent="0.3">
      <c r="A138" s="19">
        <v>137</v>
      </c>
      <c r="B138" s="20" t="s">
        <v>289</v>
      </c>
      <c r="C138" s="19" t="s">
        <v>290</v>
      </c>
      <c r="D138" s="21" t="s">
        <v>38</v>
      </c>
      <c r="E138" s="25">
        <v>7567.18</v>
      </c>
      <c r="F138" s="23">
        <v>9750</v>
      </c>
      <c r="G138" s="24">
        <f t="shared" si="2"/>
        <v>73780005</v>
      </c>
    </row>
    <row r="139" spans="1:7" hidden="1" x14ac:dyDescent="0.3">
      <c r="A139" s="19">
        <v>138</v>
      </c>
      <c r="B139" s="20" t="s">
        <v>291</v>
      </c>
      <c r="C139" s="19" t="s">
        <v>292</v>
      </c>
      <c r="D139" s="21" t="s">
        <v>38</v>
      </c>
      <c r="E139" s="25">
        <v>1532.04</v>
      </c>
      <c r="F139" s="23">
        <v>10400</v>
      </c>
      <c r="G139" s="24">
        <f t="shared" si="2"/>
        <v>15933216</v>
      </c>
    </row>
    <row r="140" spans="1:7" hidden="1" x14ac:dyDescent="0.3">
      <c r="A140" s="19">
        <v>139</v>
      </c>
      <c r="B140" s="20" t="s">
        <v>293</v>
      </c>
      <c r="C140" s="19" t="s">
        <v>294</v>
      </c>
      <c r="D140" s="21" t="s">
        <v>38</v>
      </c>
      <c r="E140" s="25">
        <v>9871.18</v>
      </c>
      <c r="F140" s="23">
        <v>7150</v>
      </c>
      <c r="G140" s="24">
        <f t="shared" si="2"/>
        <v>70578937</v>
      </c>
    </row>
    <row r="141" spans="1:7" hidden="1" x14ac:dyDescent="0.3">
      <c r="A141" s="19">
        <v>140</v>
      </c>
      <c r="B141" s="20" t="s">
        <v>295</v>
      </c>
      <c r="C141" s="19" t="s">
        <v>296</v>
      </c>
      <c r="D141" s="21" t="s">
        <v>20</v>
      </c>
      <c r="E141" s="19">
        <v>120</v>
      </c>
      <c r="F141" s="23">
        <v>17550</v>
      </c>
      <c r="G141" s="24">
        <f t="shared" si="2"/>
        <v>2106000</v>
      </c>
    </row>
    <row r="142" spans="1:7" hidden="1" x14ac:dyDescent="0.3">
      <c r="A142" s="19">
        <v>141</v>
      </c>
      <c r="B142" s="20" t="s">
        <v>297</v>
      </c>
      <c r="C142" s="19" t="s">
        <v>298</v>
      </c>
      <c r="D142" s="21" t="s">
        <v>38</v>
      </c>
      <c r="E142" s="19">
        <v>463.6</v>
      </c>
      <c r="F142" s="23">
        <v>7800</v>
      </c>
      <c r="G142" s="24">
        <f t="shared" si="2"/>
        <v>3616080</v>
      </c>
    </row>
    <row r="143" spans="1:7" hidden="1" x14ac:dyDescent="0.3">
      <c r="A143" s="19">
        <v>142</v>
      </c>
      <c r="B143" s="20" t="s">
        <v>299</v>
      </c>
      <c r="C143" s="19" t="s">
        <v>300</v>
      </c>
      <c r="D143" s="21" t="s">
        <v>43</v>
      </c>
      <c r="E143" s="19">
        <v>262</v>
      </c>
      <c r="F143" s="23">
        <v>13000</v>
      </c>
      <c r="G143" s="24">
        <f t="shared" si="2"/>
        <v>3406000</v>
      </c>
    </row>
    <row r="144" spans="1:7" hidden="1" x14ac:dyDescent="0.3">
      <c r="A144" s="19">
        <v>143</v>
      </c>
      <c r="B144" s="19" t="s">
        <v>301</v>
      </c>
      <c r="C144" s="19" t="s">
        <v>302</v>
      </c>
      <c r="D144" s="21" t="s">
        <v>43</v>
      </c>
      <c r="E144" s="19">
        <v>191</v>
      </c>
      <c r="F144" s="23">
        <v>5525</v>
      </c>
      <c r="G144" s="24">
        <f t="shared" si="2"/>
        <v>1055275</v>
      </c>
    </row>
    <row r="145" spans="1:7" hidden="1" x14ac:dyDescent="0.3">
      <c r="A145" s="19">
        <v>144</v>
      </c>
      <c r="B145" s="19" t="s">
        <v>303</v>
      </c>
      <c r="C145" s="19" t="s">
        <v>304</v>
      </c>
      <c r="D145" s="21" t="s">
        <v>43</v>
      </c>
      <c r="E145" s="19">
        <v>76</v>
      </c>
      <c r="F145" s="23">
        <v>9490</v>
      </c>
      <c r="G145" s="24">
        <f t="shared" si="2"/>
        <v>721240</v>
      </c>
    </row>
    <row r="146" spans="1:7" hidden="1" x14ac:dyDescent="0.3">
      <c r="A146" s="19">
        <v>145</v>
      </c>
      <c r="B146" s="19" t="s">
        <v>305</v>
      </c>
      <c r="C146" s="19" t="s">
        <v>306</v>
      </c>
      <c r="D146" s="21" t="s">
        <v>43</v>
      </c>
      <c r="E146" s="19">
        <v>46</v>
      </c>
      <c r="F146" s="23">
        <v>40950</v>
      </c>
      <c r="G146" s="24">
        <f t="shared" si="2"/>
        <v>1883700</v>
      </c>
    </row>
    <row r="147" spans="1:7" hidden="1" x14ac:dyDescent="0.3">
      <c r="A147" s="19">
        <v>146</v>
      </c>
      <c r="B147" s="19" t="s">
        <v>307</v>
      </c>
      <c r="C147" s="19" t="s">
        <v>308</v>
      </c>
      <c r="D147" s="21" t="s">
        <v>43</v>
      </c>
      <c r="E147" s="19">
        <v>61</v>
      </c>
      <c r="F147" s="23">
        <v>32500</v>
      </c>
      <c r="G147" s="24">
        <f t="shared" si="2"/>
        <v>1982500</v>
      </c>
    </row>
    <row r="148" spans="1:7" hidden="1" x14ac:dyDescent="0.3">
      <c r="A148" s="19">
        <v>147</v>
      </c>
      <c r="B148" s="19" t="s">
        <v>309</v>
      </c>
      <c r="C148" s="19" t="s">
        <v>310</v>
      </c>
      <c r="D148" s="21" t="s">
        <v>43</v>
      </c>
      <c r="E148" s="19">
        <v>90</v>
      </c>
      <c r="F148" s="23">
        <v>5590</v>
      </c>
      <c r="G148" s="24">
        <f t="shared" si="2"/>
        <v>503100</v>
      </c>
    </row>
    <row r="149" spans="1:7" hidden="1" x14ac:dyDescent="0.3">
      <c r="A149" s="19">
        <v>148</v>
      </c>
      <c r="B149" s="19" t="s">
        <v>311</v>
      </c>
      <c r="C149" s="19" t="s">
        <v>312</v>
      </c>
      <c r="D149" s="21" t="s">
        <v>43</v>
      </c>
      <c r="E149" s="19">
        <v>52</v>
      </c>
      <c r="F149" s="23">
        <v>2860</v>
      </c>
      <c r="G149" s="24">
        <f t="shared" si="2"/>
        <v>148720</v>
      </c>
    </row>
    <row r="150" spans="1:7" hidden="1" x14ac:dyDescent="0.3">
      <c r="A150" s="19">
        <v>149</v>
      </c>
      <c r="B150" s="19" t="s">
        <v>313</v>
      </c>
      <c r="C150" s="19" t="s">
        <v>314</v>
      </c>
      <c r="D150" s="21" t="s">
        <v>43</v>
      </c>
      <c r="E150" s="19">
        <v>512</v>
      </c>
      <c r="F150" s="23">
        <v>5460</v>
      </c>
      <c r="G150" s="24">
        <f t="shared" si="2"/>
        <v>2795520</v>
      </c>
    </row>
    <row r="151" spans="1:7" hidden="1" x14ac:dyDescent="0.3">
      <c r="A151" s="19">
        <v>150</v>
      </c>
      <c r="B151" s="19" t="s">
        <v>315</v>
      </c>
      <c r="C151" s="19" t="s">
        <v>316</v>
      </c>
      <c r="D151" s="21" t="s">
        <v>43</v>
      </c>
      <c r="E151" s="19">
        <v>90</v>
      </c>
      <c r="F151" s="23">
        <v>5460</v>
      </c>
      <c r="G151" s="24">
        <f t="shared" si="2"/>
        <v>491400</v>
      </c>
    </row>
    <row r="152" spans="1:7" hidden="1" x14ac:dyDescent="0.3">
      <c r="A152" s="19">
        <v>151</v>
      </c>
      <c r="B152" s="19" t="s">
        <v>317</v>
      </c>
      <c r="C152" s="19" t="s">
        <v>318</v>
      </c>
      <c r="D152" s="21" t="s">
        <v>43</v>
      </c>
      <c r="E152" s="19">
        <v>8</v>
      </c>
      <c r="F152" s="23">
        <v>46800</v>
      </c>
      <c r="G152" s="24">
        <f t="shared" si="2"/>
        <v>374400</v>
      </c>
    </row>
    <row r="153" spans="1:7" hidden="1" x14ac:dyDescent="0.3">
      <c r="A153" s="19">
        <v>152</v>
      </c>
      <c r="B153" s="19" t="s">
        <v>319</v>
      </c>
      <c r="C153" s="19" t="s">
        <v>320</v>
      </c>
      <c r="D153" s="21" t="s">
        <v>43</v>
      </c>
      <c r="E153" s="19">
        <v>8</v>
      </c>
      <c r="F153" s="23">
        <v>42900</v>
      </c>
      <c r="G153" s="24">
        <f t="shared" si="2"/>
        <v>343200</v>
      </c>
    </row>
    <row r="154" spans="1:7" hidden="1" x14ac:dyDescent="0.3">
      <c r="A154" s="19">
        <v>153</v>
      </c>
      <c r="B154" s="19" t="s">
        <v>321</v>
      </c>
      <c r="C154" s="19" t="s">
        <v>322</v>
      </c>
      <c r="D154" s="21" t="s">
        <v>43</v>
      </c>
      <c r="E154" s="19">
        <v>3</v>
      </c>
      <c r="F154" s="23">
        <v>36400</v>
      </c>
      <c r="G154" s="24">
        <f t="shared" si="2"/>
        <v>109200</v>
      </c>
    </row>
    <row r="155" spans="1:7" hidden="1" x14ac:dyDescent="0.3">
      <c r="A155" s="19">
        <v>154</v>
      </c>
      <c r="B155" s="19" t="s">
        <v>323</v>
      </c>
      <c r="C155" s="19" t="s">
        <v>324</v>
      </c>
      <c r="D155" s="21" t="s">
        <v>43</v>
      </c>
      <c r="E155" s="19">
        <v>5</v>
      </c>
      <c r="F155" s="23">
        <v>31200</v>
      </c>
      <c r="G155" s="24">
        <f t="shared" si="2"/>
        <v>156000</v>
      </c>
    </row>
    <row r="156" spans="1:7" hidden="1" x14ac:dyDescent="0.3">
      <c r="A156" s="19">
        <v>155</v>
      </c>
      <c r="B156" s="19" t="s">
        <v>325</v>
      </c>
      <c r="C156" s="19" t="s">
        <v>326</v>
      </c>
      <c r="D156" s="21" t="s">
        <v>43</v>
      </c>
      <c r="E156" s="19">
        <v>3</v>
      </c>
      <c r="F156" s="23">
        <v>35100</v>
      </c>
      <c r="G156" s="24">
        <f t="shared" si="2"/>
        <v>105300</v>
      </c>
    </row>
    <row r="157" spans="1:7" hidden="1" x14ac:dyDescent="0.3">
      <c r="A157" s="19">
        <v>156</v>
      </c>
      <c r="B157" s="19" t="s">
        <v>327</v>
      </c>
      <c r="C157" s="19" t="s">
        <v>328</v>
      </c>
      <c r="D157" s="21" t="s">
        <v>43</v>
      </c>
      <c r="E157" s="19">
        <v>50</v>
      </c>
      <c r="F157" s="23">
        <v>31200</v>
      </c>
      <c r="G157" s="24">
        <f t="shared" si="2"/>
        <v>1560000</v>
      </c>
    </row>
    <row r="158" spans="1:7" hidden="1" x14ac:dyDescent="0.3">
      <c r="A158" s="19">
        <v>157</v>
      </c>
      <c r="B158" s="19" t="s">
        <v>329</v>
      </c>
      <c r="C158" s="19" t="s">
        <v>330</v>
      </c>
      <c r="D158" s="21" t="s">
        <v>43</v>
      </c>
      <c r="E158" s="19">
        <v>2</v>
      </c>
      <c r="F158" s="23">
        <v>27300</v>
      </c>
      <c r="G158" s="24">
        <f t="shared" si="2"/>
        <v>54600</v>
      </c>
    </row>
    <row r="159" spans="1:7" hidden="1" x14ac:dyDescent="0.3">
      <c r="A159" s="19">
        <v>158</v>
      </c>
      <c r="B159" s="19" t="s">
        <v>331</v>
      </c>
      <c r="C159" s="19" t="s">
        <v>332</v>
      </c>
      <c r="D159" s="21" t="s">
        <v>43</v>
      </c>
      <c r="E159" s="19">
        <v>154</v>
      </c>
      <c r="F159" s="23">
        <v>24700</v>
      </c>
      <c r="G159" s="24">
        <f t="shared" si="2"/>
        <v>3803800</v>
      </c>
    </row>
    <row r="160" spans="1:7" hidden="1" x14ac:dyDescent="0.3">
      <c r="A160" s="19">
        <v>159</v>
      </c>
      <c r="B160" s="19" t="s">
        <v>333</v>
      </c>
      <c r="C160" s="19" t="s">
        <v>334</v>
      </c>
      <c r="D160" s="21" t="s">
        <v>43</v>
      </c>
      <c r="E160" s="19">
        <v>6</v>
      </c>
      <c r="F160" s="23">
        <v>13000</v>
      </c>
      <c r="G160" s="24">
        <f t="shared" si="2"/>
        <v>78000</v>
      </c>
    </row>
    <row r="161" spans="1:7" hidden="1" x14ac:dyDescent="0.3">
      <c r="A161" s="19">
        <v>160</v>
      </c>
      <c r="B161" s="19" t="s">
        <v>335</v>
      </c>
      <c r="C161" s="19" t="s">
        <v>336</v>
      </c>
      <c r="D161" s="21" t="s">
        <v>43</v>
      </c>
      <c r="E161" s="19">
        <v>134</v>
      </c>
      <c r="F161" s="23">
        <v>11700</v>
      </c>
      <c r="G161" s="24">
        <f t="shared" si="2"/>
        <v>1567800</v>
      </c>
    </row>
    <row r="162" spans="1:7" hidden="1" x14ac:dyDescent="0.3">
      <c r="A162" s="19">
        <v>161</v>
      </c>
      <c r="B162" s="19" t="s">
        <v>337</v>
      </c>
      <c r="C162" s="19" t="s">
        <v>338</v>
      </c>
      <c r="D162" s="21" t="s">
        <v>43</v>
      </c>
      <c r="E162" s="19">
        <v>13</v>
      </c>
      <c r="F162" s="23">
        <v>11700</v>
      </c>
      <c r="G162" s="24">
        <f t="shared" si="2"/>
        <v>152100</v>
      </c>
    </row>
    <row r="163" spans="1:7" hidden="1" x14ac:dyDescent="0.3">
      <c r="A163" s="19">
        <v>162</v>
      </c>
      <c r="B163" s="19" t="s">
        <v>339</v>
      </c>
      <c r="C163" s="19" t="s">
        <v>340</v>
      </c>
      <c r="D163" s="21" t="s">
        <v>43</v>
      </c>
      <c r="E163" s="19">
        <v>28</v>
      </c>
      <c r="F163" s="23">
        <v>28600</v>
      </c>
      <c r="G163" s="24">
        <f t="shared" si="2"/>
        <v>800800</v>
      </c>
    </row>
    <row r="164" spans="1:7" hidden="1" x14ac:dyDescent="0.3">
      <c r="A164" s="19">
        <v>163</v>
      </c>
      <c r="B164" s="19" t="s">
        <v>341</v>
      </c>
      <c r="C164" s="19" t="s">
        <v>342</v>
      </c>
      <c r="D164" s="21" t="s">
        <v>43</v>
      </c>
      <c r="E164" s="19">
        <v>34</v>
      </c>
      <c r="F164" s="23">
        <v>13000</v>
      </c>
      <c r="G164" s="24">
        <f t="shared" si="2"/>
        <v>442000</v>
      </c>
    </row>
    <row r="165" spans="1:7" hidden="1" x14ac:dyDescent="0.3">
      <c r="A165" s="19">
        <v>164</v>
      </c>
      <c r="B165" s="20" t="s">
        <v>343</v>
      </c>
      <c r="C165" s="19" t="s">
        <v>344</v>
      </c>
      <c r="D165" s="21" t="s">
        <v>171</v>
      </c>
      <c r="E165" s="19">
        <v>120</v>
      </c>
      <c r="F165" s="23">
        <v>1235</v>
      </c>
      <c r="G165" s="24">
        <f t="shared" si="2"/>
        <v>148200</v>
      </c>
    </row>
    <row r="166" spans="1:7" hidden="1" x14ac:dyDescent="0.3">
      <c r="A166" s="19">
        <v>165</v>
      </c>
      <c r="B166" s="20" t="s">
        <v>345</v>
      </c>
      <c r="C166" s="19" t="s">
        <v>346</v>
      </c>
      <c r="D166" s="21" t="s">
        <v>20</v>
      </c>
      <c r="E166" s="19">
        <v>29.3</v>
      </c>
      <c r="F166" s="23">
        <v>5850</v>
      </c>
      <c r="G166" s="24">
        <f t="shared" si="2"/>
        <v>171405</v>
      </c>
    </row>
    <row r="167" spans="1:7" hidden="1" x14ac:dyDescent="0.3">
      <c r="A167" s="19">
        <v>166</v>
      </c>
      <c r="B167" s="20" t="s">
        <v>347</v>
      </c>
      <c r="C167" s="19" t="s">
        <v>348</v>
      </c>
      <c r="D167" s="21" t="s">
        <v>38</v>
      </c>
      <c r="E167" s="19">
        <v>703.32</v>
      </c>
      <c r="F167" s="23">
        <v>975</v>
      </c>
      <c r="G167" s="24">
        <f t="shared" si="2"/>
        <v>685737</v>
      </c>
    </row>
    <row r="168" spans="1:7" hidden="1" x14ac:dyDescent="0.3">
      <c r="A168" s="19">
        <v>167</v>
      </c>
      <c r="B168" s="20" t="s">
        <v>349</v>
      </c>
      <c r="C168" s="19" t="s">
        <v>350</v>
      </c>
      <c r="D168" s="21" t="s">
        <v>38</v>
      </c>
      <c r="E168" s="19">
        <v>41.15</v>
      </c>
      <c r="F168" s="23">
        <v>8450</v>
      </c>
      <c r="G168" s="24">
        <f t="shared" si="2"/>
        <v>347717.5</v>
      </c>
    </row>
    <row r="169" spans="1:7" hidden="1" x14ac:dyDescent="0.3">
      <c r="A169" s="19">
        <v>168</v>
      </c>
      <c r="B169" s="20" t="s">
        <v>351</v>
      </c>
      <c r="C169" s="19" t="s">
        <v>352</v>
      </c>
      <c r="D169" s="21" t="s">
        <v>43</v>
      </c>
      <c r="E169" s="19">
        <v>980</v>
      </c>
      <c r="F169" s="23">
        <v>5850</v>
      </c>
      <c r="G169" s="24">
        <f t="shared" si="2"/>
        <v>5733000</v>
      </c>
    </row>
    <row r="170" spans="1:7" hidden="1" x14ac:dyDescent="0.3">
      <c r="A170" s="19">
        <v>169</v>
      </c>
      <c r="B170" s="20" t="s">
        <v>353</v>
      </c>
      <c r="C170" s="19" t="s">
        <v>354</v>
      </c>
      <c r="D170" s="21" t="s">
        <v>20</v>
      </c>
      <c r="E170" s="19">
        <v>162.5</v>
      </c>
      <c r="F170" s="23">
        <v>9750</v>
      </c>
      <c r="G170" s="24">
        <f t="shared" si="2"/>
        <v>1584375</v>
      </c>
    </row>
    <row r="171" spans="1:7" hidden="1" x14ac:dyDescent="0.3">
      <c r="A171" s="19">
        <v>170</v>
      </c>
      <c r="B171" s="20" t="s">
        <v>355</v>
      </c>
      <c r="C171" s="19" t="s">
        <v>356</v>
      </c>
      <c r="D171" s="21" t="s">
        <v>20</v>
      </c>
      <c r="E171" s="19">
        <v>16.25</v>
      </c>
      <c r="F171" s="23">
        <v>9750</v>
      </c>
      <c r="G171" s="24">
        <f t="shared" si="2"/>
        <v>158437.5</v>
      </c>
    </row>
    <row r="172" spans="1:7" hidden="1" x14ac:dyDescent="0.3">
      <c r="A172" s="19">
        <v>171</v>
      </c>
      <c r="B172" s="20" t="s">
        <v>357</v>
      </c>
      <c r="C172" s="19" t="s">
        <v>358</v>
      </c>
      <c r="D172" s="21" t="s">
        <v>43</v>
      </c>
      <c r="E172" s="19">
        <v>80</v>
      </c>
      <c r="F172" s="23">
        <v>7800</v>
      </c>
      <c r="G172" s="24">
        <f t="shared" si="2"/>
        <v>624000</v>
      </c>
    </row>
    <row r="173" spans="1:7" hidden="1" x14ac:dyDescent="0.3">
      <c r="A173" s="19">
        <v>172</v>
      </c>
      <c r="B173" s="20" t="s">
        <v>359</v>
      </c>
      <c r="C173" s="19" t="s">
        <v>360</v>
      </c>
      <c r="D173" s="21" t="s">
        <v>20</v>
      </c>
      <c r="E173" s="19">
        <v>80</v>
      </c>
      <c r="F173" s="23">
        <v>26000</v>
      </c>
      <c r="G173" s="24">
        <f t="shared" si="2"/>
        <v>2080000</v>
      </c>
    </row>
    <row r="174" spans="1:7" hidden="1" x14ac:dyDescent="0.3">
      <c r="A174" s="19">
        <v>173</v>
      </c>
      <c r="B174" s="20" t="s">
        <v>361</v>
      </c>
      <c r="C174" s="19" t="s">
        <v>362</v>
      </c>
      <c r="D174" s="21" t="s">
        <v>20</v>
      </c>
      <c r="E174" s="19">
        <v>64.42</v>
      </c>
      <c r="F174" s="23">
        <v>26000</v>
      </c>
      <c r="G174" s="24">
        <f t="shared" si="2"/>
        <v>1674920</v>
      </c>
    </row>
    <row r="175" spans="1:7" hidden="1" x14ac:dyDescent="0.3">
      <c r="A175" s="19">
        <v>174</v>
      </c>
      <c r="B175" s="19" t="s">
        <v>363</v>
      </c>
      <c r="C175" s="19" t="s">
        <v>364</v>
      </c>
      <c r="D175" s="21" t="s">
        <v>20</v>
      </c>
      <c r="E175" s="19">
        <v>465</v>
      </c>
      <c r="F175" s="23">
        <v>26000</v>
      </c>
      <c r="G175" s="24">
        <f t="shared" si="2"/>
        <v>12090000</v>
      </c>
    </row>
    <row r="176" spans="1:7" hidden="1" x14ac:dyDescent="0.3">
      <c r="A176" s="19">
        <v>175</v>
      </c>
      <c r="B176" s="19" t="s">
        <v>365</v>
      </c>
      <c r="C176" s="19" t="s">
        <v>366</v>
      </c>
      <c r="D176" s="21" t="s">
        <v>20</v>
      </c>
      <c r="E176" s="19">
        <v>33</v>
      </c>
      <c r="F176" s="23">
        <v>32500</v>
      </c>
      <c r="G176" s="24">
        <f t="shared" si="2"/>
        <v>1072500</v>
      </c>
    </row>
    <row r="177" spans="1:7" hidden="1" x14ac:dyDescent="0.3">
      <c r="A177" s="19">
        <v>176</v>
      </c>
      <c r="B177" s="20" t="s">
        <v>367</v>
      </c>
      <c r="C177" s="19" t="s">
        <v>368</v>
      </c>
      <c r="D177" s="21" t="s">
        <v>43</v>
      </c>
      <c r="E177" s="19">
        <v>4</v>
      </c>
      <c r="F177" s="23">
        <v>32500</v>
      </c>
      <c r="G177" s="24">
        <f t="shared" si="2"/>
        <v>130000</v>
      </c>
    </row>
    <row r="178" spans="1:7" hidden="1" x14ac:dyDescent="0.3">
      <c r="A178" s="19">
        <v>177</v>
      </c>
      <c r="B178" s="20" t="s">
        <v>369</v>
      </c>
      <c r="C178" s="19" t="s">
        <v>370</v>
      </c>
      <c r="D178" s="21" t="s">
        <v>20</v>
      </c>
      <c r="E178" s="19">
        <v>114.4</v>
      </c>
      <c r="F178" s="23">
        <v>21645</v>
      </c>
      <c r="G178" s="24">
        <f t="shared" si="2"/>
        <v>2476188</v>
      </c>
    </row>
    <row r="179" spans="1:7" hidden="1" x14ac:dyDescent="0.3">
      <c r="A179" s="19">
        <v>178</v>
      </c>
      <c r="B179" s="20" t="s">
        <v>371</v>
      </c>
      <c r="C179" s="19" t="s">
        <v>372</v>
      </c>
      <c r="D179" s="21" t="s">
        <v>38</v>
      </c>
      <c r="E179" s="19">
        <v>754</v>
      </c>
      <c r="F179" s="23">
        <v>5850</v>
      </c>
      <c r="G179" s="24">
        <f t="shared" si="2"/>
        <v>4410900</v>
      </c>
    </row>
    <row r="180" spans="1:7" hidden="1" x14ac:dyDescent="0.3">
      <c r="A180" s="19">
        <v>179</v>
      </c>
      <c r="B180" s="20" t="s">
        <v>373</v>
      </c>
      <c r="C180" s="19" t="s">
        <v>374</v>
      </c>
      <c r="D180" s="21" t="s">
        <v>171</v>
      </c>
      <c r="E180" s="22">
        <v>10500</v>
      </c>
      <c r="F180" s="23">
        <v>260</v>
      </c>
      <c r="G180" s="24">
        <f t="shared" si="2"/>
        <v>2730000</v>
      </c>
    </row>
    <row r="181" spans="1:7" hidden="1" x14ac:dyDescent="0.3">
      <c r="A181" s="19">
        <v>180</v>
      </c>
      <c r="B181" s="20" t="s">
        <v>375</v>
      </c>
      <c r="C181" s="19" t="s">
        <v>376</v>
      </c>
      <c r="D181" s="21" t="s">
        <v>171</v>
      </c>
      <c r="E181" s="22">
        <v>122584</v>
      </c>
      <c r="F181" s="23">
        <v>156</v>
      </c>
      <c r="G181" s="24">
        <f t="shared" si="2"/>
        <v>19123104</v>
      </c>
    </row>
    <row r="182" spans="1:7" hidden="1" x14ac:dyDescent="0.3">
      <c r="A182" s="19">
        <v>181</v>
      </c>
      <c r="B182" s="20" t="s">
        <v>377</v>
      </c>
      <c r="C182" s="19" t="s">
        <v>378</v>
      </c>
      <c r="D182" s="21" t="s">
        <v>20</v>
      </c>
      <c r="E182" s="25">
        <v>8531.25</v>
      </c>
      <c r="F182" s="23">
        <v>585</v>
      </c>
      <c r="G182" s="24">
        <f t="shared" si="2"/>
        <v>4990781.25</v>
      </c>
    </row>
    <row r="183" spans="1:7" hidden="1" x14ac:dyDescent="0.3">
      <c r="A183" s="19">
        <v>182</v>
      </c>
      <c r="B183" s="20" t="s">
        <v>379</v>
      </c>
      <c r="C183" s="19" t="s">
        <v>380</v>
      </c>
      <c r="D183" s="21" t="s">
        <v>43</v>
      </c>
      <c r="E183" s="19">
        <v>4</v>
      </c>
      <c r="F183" s="23">
        <v>156000</v>
      </c>
      <c r="G183" s="24">
        <f t="shared" si="2"/>
        <v>624000</v>
      </c>
    </row>
    <row r="184" spans="1:7" hidden="1" x14ac:dyDescent="0.3">
      <c r="A184" s="19">
        <v>183</v>
      </c>
      <c r="B184" s="20" t="s">
        <v>381</v>
      </c>
      <c r="C184" s="19" t="s">
        <v>382</v>
      </c>
      <c r="D184" s="21" t="s">
        <v>43</v>
      </c>
      <c r="E184" s="19">
        <v>8</v>
      </c>
      <c r="F184" s="23">
        <v>227500</v>
      </c>
      <c r="G184" s="24">
        <f t="shared" si="2"/>
        <v>1820000</v>
      </c>
    </row>
    <row r="185" spans="1:7" hidden="1" x14ac:dyDescent="0.3">
      <c r="A185" s="19">
        <v>184</v>
      </c>
      <c r="B185" s="20" t="s">
        <v>383</v>
      </c>
      <c r="C185" s="19" t="s">
        <v>384</v>
      </c>
      <c r="D185" s="21" t="s">
        <v>43</v>
      </c>
      <c r="E185" s="19">
        <v>4</v>
      </c>
      <c r="F185" s="23">
        <v>292500</v>
      </c>
      <c r="G185" s="24">
        <f t="shared" si="2"/>
        <v>1170000</v>
      </c>
    </row>
    <row r="186" spans="1:7" hidden="1" x14ac:dyDescent="0.3">
      <c r="A186" s="19">
        <v>185</v>
      </c>
      <c r="B186" s="20" t="s">
        <v>385</v>
      </c>
      <c r="C186" s="19" t="s">
        <v>386</v>
      </c>
      <c r="D186" s="21" t="s">
        <v>83</v>
      </c>
      <c r="E186" s="19">
        <v>1</v>
      </c>
      <c r="F186" s="23">
        <v>11275750</v>
      </c>
      <c r="G186" s="24">
        <f t="shared" si="2"/>
        <v>11275750</v>
      </c>
    </row>
    <row r="187" spans="1:7" hidden="1" x14ac:dyDescent="0.3">
      <c r="A187" s="19">
        <v>186</v>
      </c>
      <c r="B187" s="19" t="s">
        <v>387</v>
      </c>
      <c r="C187" s="19" t="s">
        <v>388</v>
      </c>
      <c r="D187" s="21" t="s">
        <v>83</v>
      </c>
      <c r="E187" s="19">
        <v>1</v>
      </c>
      <c r="F187" s="23">
        <v>22517035</v>
      </c>
      <c r="G187" s="24">
        <f t="shared" si="2"/>
        <v>22517035</v>
      </c>
    </row>
    <row r="188" spans="1:7" hidden="1" x14ac:dyDescent="0.3">
      <c r="A188" s="19">
        <v>187</v>
      </c>
      <c r="B188" s="19" t="s">
        <v>389</v>
      </c>
      <c r="C188" s="19" t="s">
        <v>390</v>
      </c>
      <c r="D188" s="21" t="s">
        <v>83</v>
      </c>
      <c r="E188" s="19">
        <v>1</v>
      </c>
      <c r="F188" s="23">
        <v>15921572</v>
      </c>
      <c r="G188" s="24">
        <f t="shared" si="2"/>
        <v>15921572</v>
      </c>
    </row>
    <row r="189" spans="1:7" hidden="1" x14ac:dyDescent="0.3">
      <c r="A189" s="19">
        <v>188</v>
      </c>
      <c r="B189" s="19" t="s">
        <v>391</v>
      </c>
      <c r="C189" s="19" t="s">
        <v>392</v>
      </c>
      <c r="D189" s="21" t="s">
        <v>83</v>
      </c>
      <c r="E189" s="19">
        <v>1</v>
      </c>
      <c r="F189" s="23">
        <v>15921572</v>
      </c>
      <c r="G189" s="24">
        <f t="shared" si="2"/>
        <v>15921572</v>
      </c>
    </row>
    <row r="190" spans="1:7" hidden="1" x14ac:dyDescent="0.3">
      <c r="A190" s="19">
        <v>189</v>
      </c>
      <c r="B190" s="19" t="s">
        <v>393</v>
      </c>
      <c r="C190" s="19" t="s">
        <v>394</v>
      </c>
      <c r="D190" s="21" t="s">
        <v>83</v>
      </c>
      <c r="E190" s="19">
        <v>1</v>
      </c>
      <c r="F190" s="23">
        <v>15921572</v>
      </c>
      <c r="G190" s="24">
        <f t="shared" si="2"/>
        <v>15921572</v>
      </c>
    </row>
    <row r="191" spans="1:7" hidden="1" x14ac:dyDescent="0.3">
      <c r="A191" s="19">
        <v>190</v>
      </c>
      <c r="B191" s="19" t="s">
        <v>395</v>
      </c>
      <c r="C191" s="19" t="s">
        <v>396</v>
      </c>
      <c r="D191" s="21" t="s">
        <v>83</v>
      </c>
      <c r="E191" s="19">
        <v>1</v>
      </c>
      <c r="F191" s="23">
        <v>25772110</v>
      </c>
      <c r="G191" s="24">
        <f t="shared" si="2"/>
        <v>25772110</v>
      </c>
    </row>
    <row r="192" spans="1:7" hidden="1" x14ac:dyDescent="0.3">
      <c r="A192" s="19">
        <v>191</v>
      </c>
      <c r="B192" s="19" t="s">
        <v>397</v>
      </c>
      <c r="C192" s="19" t="s">
        <v>398</v>
      </c>
      <c r="D192" s="21" t="s">
        <v>83</v>
      </c>
      <c r="E192" s="19">
        <v>1</v>
      </c>
      <c r="F192" s="23">
        <v>8305760</v>
      </c>
      <c r="G192" s="24">
        <f t="shared" si="2"/>
        <v>8305760</v>
      </c>
    </row>
    <row r="193" spans="1:7" hidden="1" x14ac:dyDescent="0.3">
      <c r="A193" s="19">
        <v>192</v>
      </c>
      <c r="B193" s="19" t="s">
        <v>399</v>
      </c>
      <c r="C193" s="19" t="s">
        <v>400</v>
      </c>
      <c r="D193" s="21" t="s">
        <v>83</v>
      </c>
      <c r="E193" s="19">
        <v>1</v>
      </c>
      <c r="F193" s="23">
        <v>8305760</v>
      </c>
      <c r="G193" s="24">
        <f t="shared" si="2"/>
        <v>8305760</v>
      </c>
    </row>
    <row r="194" spans="1:7" hidden="1" x14ac:dyDescent="0.3">
      <c r="A194" s="19">
        <v>193</v>
      </c>
      <c r="B194" s="19" t="s">
        <v>401</v>
      </c>
      <c r="C194" s="19" t="s">
        <v>402</v>
      </c>
      <c r="D194" s="21" t="s">
        <v>83</v>
      </c>
      <c r="E194" s="19">
        <v>1</v>
      </c>
      <c r="F194" s="23">
        <v>8305760</v>
      </c>
      <c r="G194" s="24">
        <f t="shared" si="2"/>
        <v>8305760</v>
      </c>
    </row>
    <row r="195" spans="1:7" hidden="1" x14ac:dyDescent="0.3">
      <c r="A195" s="19">
        <v>194</v>
      </c>
      <c r="B195" s="19" t="s">
        <v>403</v>
      </c>
      <c r="C195" s="19" t="s">
        <v>404</v>
      </c>
      <c r="D195" s="21" t="s">
        <v>83</v>
      </c>
      <c r="E195" s="19">
        <v>1</v>
      </c>
      <c r="F195" s="23">
        <v>8305760</v>
      </c>
      <c r="G195" s="24">
        <f t="shared" ref="G195:G258" si="3">+E195*F195</f>
        <v>8305760</v>
      </c>
    </row>
    <row r="196" spans="1:7" hidden="1" x14ac:dyDescent="0.3">
      <c r="A196" s="19">
        <v>195</v>
      </c>
      <c r="B196" s="19" t="s">
        <v>405</v>
      </c>
      <c r="C196" s="19" t="s">
        <v>406</v>
      </c>
      <c r="D196" s="21" t="s">
        <v>83</v>
      </c>
      <c r="E196" s="19">
        <v>1</v>
      </c>
      <c r="F196" s="23">
        <v>8305760</v>
      </c>
      <c r="G196" s="24">
        <f t="shared" si="3"/>
        <v>8305760</v>
      </c>
    </row>
    <row r="197" spans="1:7" hidden="1" x14ac:dyDescent="0.3">
      <c r="A197" s="19">
        <v>196</v>
      </c>
      <c r="B197" s="19" t="s">
        <v>407</v>
      </c>
      <c r="C197" s="19" t="s">
        <v>408</v>
      </c>
      <c r="D197" s="21" t="s">
        <v>83</v>
      </c>
      <c r="E197" s="19">
        <v>1</v>
      </c>
      <c r="F197" s="23">
        <v>12296950</v>
      </c>
      <c r="G197" s="24">
        <f t="shared" si="3"/>
        <v>12296950</v>
      </c>
    </row>
    <row r="198" spans="1:7" hidden="1" x14ac:dyDescent="0.3">
      <c r="A198" s="19">
        <v>197</v>
      </c>
      <c r="B198" s="19" t="s">
        <v>409</v>
      </c>
      <c r="C198" s="19" t="s">
        <v>410</v>
      </c>
      <c r="D198" s="21" t="s">
        <v>83</v>
      </c>
      <c r="E198" s="19">
        <v>1</v>
      </c>
      <c r="F198" s="23">
        <v>12296950</v>
      </c>
      <c r="G198" s="24">
        <f t="shared" si="3"/>
        <v>12296950</v>
      </c>
    </row>
    <row r="199" spans="1:7" hidden="1" x14ac:dyDescent="0.3">
      <c r="A199" s="19">
        <v>198</v>
      </c>
      <c r="B199" s="19" t="s">
        <v>411</v>
      </c>
      <c r="C199" s="19" t="s">
        <v>412</v>
      </c>
      <c r="D199" s="21" t="s">
        <v>83</v>
      </c>
      <c r="E199" s="19">
        <v>1</v>
      </c>
      <c r="F199" s="23">
        <v>12296950</v>
      </c>
      <c r="G199" s="24">
        <f t="shared" si="3"/>
        <v>12296950</v>
      </c>
    </row>
    <row r="200" spans="1:7" hidden="1" x14ac:dyDescent="0.3">
      <c r="A200" s="19">
        <v>199</v>
      </c>
      <c r="B200" s="19" t="s">
        <v>413</v>
      </c>
      <c r="C200" s="19" t="s">
        <v>414</v>
      </c>
      <c r="D200" s="21" t="s">
        <v>83</v>
      </c>
      <c r="E200" s="19">
        <v>1</v>
      </c>
      <c r="F200" s="23">
        <v>12296950</v>
      </c>
      <c r="G200" s="24">
        <f t="shared" si="3"/>
        <v>12296950</v>
      </c>
    </row>
    <row r="201" spans="1:7" hidden="1" x14ac:dyDescent="0.3">
      <c r="A201" s="19">
        <v>200</v>
      </c>
      <c r="B201" s="19" t="s">
        <v>415</v>
      </c>
      <c r="C201" s="19" t="s">
        <v>416</v>
      </c>
      <c r="D201" s="21" t="s">
        <v>83</v>
      </c>
      <c r="E201" s="19">
        <v>1</v>
      </c>
      <c r="F201" s="23">
        <v>12296950</v>
      </c>
      <c r="G201" s="24">
        <f t="shared" si="3"/>
        <v>12296950</v>
      </c>
    </row>
    <row r="202" spans="1:7" hidden="1" x14ac:dyDescent="0.3">
      <c r="A202" s="19">
        <v>201</v>
      </c>
      <c r="B202" s="19" t="s">
        <v>417</v>
      </c>
      <c r="C202" s="19" t="s">
        <v>418</v>
      </c>
      <c r="D202" s="21" t="s">
        <v>83</v>
      </c>
      <c r="E202" s="19">
        <v>1</v>
      </c>
      <c r="F202" s="23">
        <v>10347418</v>
      </c>
      <c r="G202" s="24">
        <f t="shared" si="3"/>
        <v>10347418</v>
      </c>
    </row>
    <row r="203" spans="1:7" hidden="1" x14ac:dyDescent="0.3">
      <c r="A203" s="19">
        <v>202</v>
      </c>
      <c r="B203" s="19" t="s">
        <v>419</v>
      </c>
      <c r="C203" s="19" t="s">
        <v>420</v>
      </c>
      <c r="D203" s="21" t="s">
        <v>83</v>
      </c>
      <c r="E203" s="19">
        <v>1</v>
      </c>
      <c r="F203" s="23">
        <v>11316761</v>
      </c>
      <c r="G203" s="24">
        <f t="shared" si="3"/>
        <v>11316761</v>
      </c>
    </row>
    <row r="204" spans="1:7" hidden="1" x14ac:dyDescent="0.3">
      <c r="A204" s="19">
        <v>203</v>
      </c>
      <c r="B204" s="19" t="s">
        <v>421</v>
      </c>
      <c r="C204" s="19" t="s">
        <v>422</v>
      </c>
      <c r="D204" s="21" t="s">
        <v>83</v>
      </c>
      <c r="E204" s="19">
        <v>1</v>
      </c>
      <c r="F204" s="23">
        <v>12286105</v>
      </c>
      <c r="G204" s="24">
        <f t="shared" si="3"/>
        <v>12286105</v>
      </c>
    </row>
    <row r="205" spans="1:7" hidden="1" x14ac:dyDescent="0.3">
      <c r="A205" s="19">
        <v>204</v>
      </c>
      <c r="B205" s="19" t="s">
        <v>423</v>
      </c>
      <c r="C205" s="19" t="s">
        <v>424</v>
      </c>
      <c r="D205" s="21" t="s">
        <v>83</v>
      </c>
      <c r="E205" s="19">
        <v>1</v>
      </c>
      <c r="F205" s="23">
        <v>11962990</v>
      </c>
      <c r="G205" s="24">
        <f t="shared" si="3"/>
        <v>11962990</v>
      </c>
    </row>
    <row r="206" spans="1:7" hidden="1" x14ac:dyDescent="0.3">
      <c r="A206" s="19">
        <v>205</v>
      </c>
      <c r="B206" s="19" t="s">
        <v>425</v>
      </c>
      <c r="C206" s="19" t="s">
        <v>426</v>
      </c>
      <c r="D206" s="21" t="s">
        <v>83</v>
      </c>
      <c r="E206" s="19">
        <v>1</v>
      </c>
      <c r="F206" s="23">
        <v>12286105</v>
      </c>
      <c r="G206" s="24">
        <f t="shared" si="3"/>
        <v>12286105</v>
      </c>
    </row>
    <row r="207" spans="1:7" hidden="1" x14ac:dyDescent="0.3">
      <c r="A207" s="19">
        <v>206</v>
      </c>
      <c r="B207" s="19" t="s">
        <v>427</v>
      </c>
      <c r="C207" s="19" t="s">
        <v>428</v>
      </c>
      <c r="D207" s="21" t="s">
        <v>83</v>
      </c>
      <c r="E207" s="19">
        <v>1</v>
      </c>
      <c r="F207" s="23">
        <v>28101296</v>
      </c>
      <c r="G207" s="24">
        <f t="shared" si="3"/>
        <v>28101296</v>
      </c>
    </row>
    <row r="208" spans="1:7" hidden="1" x14ac:dyDescent="0.3">
      <c r="A208" s="19">
        <v>207</v>
      </c>
      <c r="B208" s="19" t="s">
        <v>429</v>
      </c>
      <c r="C208" s="19" t="s">
        <v>430</v>
      </c>
      <c r="D208" s="21" t="s">
        <v>83</v>
      </c>
      <c r="E208" s="19">
        <v>1</v>
      </c>
      <c r="F208" s="23">
        <v>1415706</v>
      </c>
      <c r="G208" s="24">
        <f t="shared" si="3"/>
        <v>1415706</v>
      </c>
    </row>
    <row r="209" spans="1:7" hidden="1" x14ac:dyDescent="0.3">
      <c r="A209" s="19">
        <v>208</v>
      </c>
      <c r="B209" s="19" t="s">
        <v>431</v>
      </c>
      <c r="C209" s="19" t="s">
        <v>432</v>
      </c>
      <c r="D209" s="21" t="s">
        <v>83</v>
      </c>
      <c r="E209" s="19">
        <v>1</v>
      </c>
      <c r="F209" s="23">
        <v>1415706</v>
      </c>
      <c r="G209" s="24">
        <f t="shared" si="3"/>
        <v>1415706</v>
      </c>
    </row>
    <row r="210" spans="1:7" hidden="1" x14ac:dyDescent="0.3">
      <c r="A210" s="19">
        <v>209</v>
      </c>
      <c r="B210" s="19" t="s">
        <v>433</v>
      </c>
      <c r="C210" s="19" t="s">
        <v>434</v>
      </c>
      <c r="D210" s="21" t="s">
        <v>83</v>
      </c>
      <c r="E210" s="19">
        <v>1</v>
      </c>
      <c r="F210" s="23">
        <v>1415706</v>
      </c>
      <c r="G210" s="24">
        <f t="shared" si="3"/>
        <v>1415706</v>
      </c>
    </row>
    <row r="211" spans="1:7" hidden="1" x14ac:dyDescent="0.3">
      <c r="A211" s="19">
        <v>210</v>
      </c>
      <c r="B211" s="19" t="s">
        <v>435</v>
      </c>
      <c r="C211" s="19" t="s">
        <v>436</v>
      </c>
      <c r="D211" s="21" t="s">
        <v>83</v>
      </c>
      <c r="E211" s="19">
        <v>1</v>
      </c>
      <c r="F211" s="23">
        <v>1415706</v>
      </c>
      <c r="G211" s="24">
        <f t="shared" si="3"/>
        <v>1415706</v>
      </c>
    </row>
    <row r="212" spans="1:7" hidden="1" x14ac:dyDescent="0.3">
      <c r="A212" s="19">
        <v>211</v>
      </c>
      <c r="B212" s="19" t="s">
        <v>437</v>
      </c>
      <c r="C212" s="19" t="s">
        <v>438</v>
      </c>
      <c r="D212" s="21" t="s">
        <v>83</v>
      </c>
      <c r="E212" s="19">
        <v>1</v>
      </c>
      <c r="F212" s="23">
        <v>1415706</v>
      </c>
      <c r="G212" s="24">
        <f t="shared" si="3"/>
        <v>1415706</v>
      </c>
    </row>
    <row r="213" spans="1:7" hidden="1" x14ac:dyDescent="0.3">
      <c r="A213" s="19">
        <v>212</v>
      </c>
      <c r="B213" s="19" t="s">
        <v>439</v>
      </c>
      <c r="C213" s="19" t="s">
        <v>440</v>
      </c>
      <c r="D213" s="21" t="s">
        <v>83</v>
      </c>
      <c r="E213" s="19">
        <v>1</v>
      </c>
      <c r="F213" s="23">
        <v>17873116</v>
      </c>
      <c r="G213" s="24">
        <f t="shared" si="3"/>
        <v>17873116</v>
      </c>
    </row>
    <row r="214" spans="1:7" hidden="1" x14ac:dyDescent="0.3">
      <c r="A214" s="19">
        <v>213</v>
      </c>
      <c r="B214" s="19" t="s">
        <v>441</v>
      </c>
      <c r="C214" s="19" t="s">
        <v>442</v>
      </c>
      <c r="D214" s="21" t="s">
        <v>83</v>
      </c>
      <c r="E214" s="19">
        <v>1</v>
      </c>
      <c r="F214" s="23">
        <v>21676260</v>
      </c>
      <c r="G214" s="24">
        <f t="shared" si="3"/>
        <v>21676260</v>
      </c>
    </row>
    <row r="215" spans="1:7" hidden="1" x14ac:dyDescent="0.3">
      <c r="A215" s="19">
        <v>214</v>
      </c>
      <c r="B215" s="19" t="s">
        <v>443</v>
      </c>
      <c r="C215" s="19" t="s">
        <v>444</v>
      </c>
      <c r="D215" s="21" t="s">
        <v>83</v>
      </c>
      <c r="E215" s="19">
        <v>1</v>
      </c>
      <c r="F215" s="23">
        <v>19075108</v>
      </c>
      <c r="G215" s="24">
        <f t="shared" si="3"/>
        <v>19075108</v>
      </c>
    </row>
    <row r="216" spans="1:7" hidden="1" x14ac:dyDescent="0.3">
      <c r="A216" s="19">
        <v>215</v>
      </c>
      <c r="B216" s="19" t="s">
        <v>445</v>
      </c>
      <c r="C216" s="19" t="s">
        <v>446</v>
      </c>
      <c r="D216" s="21" t="s">
        <v>83</v>
      </c>
      <c r="E216" s="19">
        <v>1</v>
      </c>
      <c r="F216" s="23">
        <v>19075108</v>
      </c>
      <c r="G216" s="24">
        <f t="shared" si="3"/>
        <v>19075108</v>
      </c>
    </row>
    <row r="217" spans="1:7" hidden="1" x14ac:dyDescent="0.3">
      <c r="A217" s="19">
        <v>216</v>
      </c>
      <c r="B217" s="19" t="s">
        <v>447</v>
      </c>
      <c r="C217" s="19" t="s">
        <v>448</v>
      </c>
      <c r="D217" s="21" t="s">
        <v>83</v>
      </c>
      <c r="E217" s="19">
        <v>1</v>
      </c>
      <c r="F217" s="23">
        <v>19075108</v>
      </c>
      <c r="G217" s="24">
        <f t="shared" si="3"/>
        <v>19075108</v>
      </c>
    </row>
    <row r="218" spans="1:7" hidden="1" x14ac:dyDescent="0.3">
      <c r="A218" s="19">
        <v>217</v>
      </c>
      <c r="B218" s="19" t="s">
        <v>449</v>
      </c>
      <c r="C218" s="19" t="s">
        <v>450</v>
      </c>
      <c r="D218" s="21" t="s">
        <v>83</v>
      </c>
      <c r="E218" s="19">
        <v>1</v>
      </c>
      <c r="F218" s="23">
        <v>23121344</v>
      </c>
      <c r="G218" s="24">
        <f t="shared" si="3"/>
        <v>23121344</v>
      </c>
    </row>
    <row r="219" spans="1:7" hidden="1" x14ac:dyDescent="0.3">
      <c r="A219" s="19">
        <v>218</v>
      </c>
      <c r="B219" s="19" t="s">
        <v>451</v>
      </c>
      <c r="C219" s="19" t="s">
        <v>452</v>
      </c>
      <c r="D219" s="21" t="s">
        <v>83</v>
      </c>
      <c r="E219" s="19">
        <v>1</v>
      </c>
      <c r="F219" s="23">
        <v>43080843</v>
      </c>
      <c r="G219" s="24">
        <f t="shared" si="3"/>
        <v>43080843</v>
      </c>
    </row>
    <row r="220" spans="1:7" hidden="1" x14ac:dyDescent="0.3">
      <c r="A220" s="19">
        <v>219</v>
      </c>
      <c r="B220" s="19" t="s">
        <v>453</v>
      </c>
      <c r="C220" s="19" t="s">
        <v>454</v>
      </c>
      <c r="D220" s="21" t="s">
        <v>83</v>
      </c>
      <c r="E220" s="19">
        <v>1</v>
      </c>
      <c r="F220" s="23">
        <v>2427741</v>
      </c>
      <c r="G220" s="24">
        <f t="shared" si="3"/>
        <v>2427741</v>
      </c>
    </row>
    <row r="221" spans="1:7" hidden="1" x14ac:dyDescent="0.3">
      <c r="A221" s="19">
        <v>220</v>
      </c>
      <c r="B221" s="19" t="s">
        <v>455</v>
      </c>
      <c r="C221" s="19" t="s">
        <v>456</v>
      </c>
      <c r="D221" s="21" t="s">
        <v>83</v>
      </c>
      <c r="E221" s="19">
        <v>1</v>
      </c>
      <c r="F221" s="23">
        <v>2554908</v>
      </c>
      <c r="G221" s="24">
        <f t="shared" si="3"/>
        <v>2554908</v>
      </c>
    </row>
    <row r="222" spans="1:7" hidden="1" x14ac:dyDescent="0.3">
      <c r="A222" s="19">
        <v>221</v>
      </c>
      <c r="B222" s="19" t="s">
        <v>457</v>
      </c>
      <c r="C222" s="19" t="s">
        <v>458</v>
      </c>
      <c r="D222" s="21" t="s">
        <v>83</v>
      </c>
      <c r="E222" s="19">
        <v>1</v>
      </c>
      <c r="F222" s="23">
        <v>2630053</v>
      </c>
      <c r="G222" s="24">
        <f t="shared" si="3"/>
        <v>2630053</v>
      </c>
    </row>
    <row r="223" spans="1:7" hidden="1" x14ac:dyDescent="0.3">
      <c r="A223" s="19">
        <v>222</v>
      </c>
      <c r="B223" s="19" t="s">
        <v>459</v>
      </c>
      <c r="C223" s="19" t="s">
        <v>460</v>
      </c>
      <c r="D223" s="21" t="s">
        <v>83</v>
      </c>
      <c r="E223" s="19">
        <v>1</v>
      </c>
      <c r="F223" s="23">
        <v>2745660</v>
      </c>
      <c r="G223" s="24">
        <f t="shared" si="3"/>
        <v>2745660</v>
      </c>
    </row>
    <row r="224" spans="1:7" hidden="1" x14ac:dyDescent="0.3">
      <c r="A224" s="19">
        <v>223</v>
      </c>
      <c r="B224" s="19" t="s">
        <v>461</v>
      </c>
      <c r="C224" s="19" t="s">
        <v>462</v>
      </c>
      <c r="D224" s="21" t="s">
        <v>83</v>
      </c>
      <c r="E224" s="19">
        <v>1</v>
      </c>
      <c r="F224" s="23">
        <v>2861266</v>
      </c>
      <c r="G224" s="24">
        <f t="shared" si="3"/>
        <v>2861266</v>
      </c>
    </row>
    <row r="225" spans="1:7" hidden="1" x14ac:dyDescent="0.3">
      <c r="A225" s="19">
        <v>224</v>
      </c>
      <c r="B225" s="19" t="s">
        <v>463</v>
      </c>
      <c r="C225" s="19" t="s">
        <v>464</v>
      </c>
      <c r="D225" s="21" t="s">
        <v>83</v>
      </c>
      <c r="E225" s="19">
        <v>1</v>
      </c>
      <c r="F225" s="23">
        <v>6098559</v>
      </c>
      <c r="G225" s="24">
        <f t="shared" si="3"/>
        <v>6098559</v>
      </c>
    </row>
    <row r="226" spans="1:7" hidden="1" x14ac:dyDescent="0.3">
      <c r="A226" s="19">
        <v>225</v>
      </c>
      <c r="B226" s="19" t="s">
        <v>465</v>
      </c>
      <c r="C226" s="19" t="s">
        <v>466</v>
      </c>
      <c r="D226" s="21" t="s">
        <v>83</v>
      </c>
      <c r="E226" s="19">
        <v>1</v>
      </c>
      <c r="F226" s="23">
        <v>6098559</v>
      </c>
      <c r="G226" s="24">
        <f t="shared" si="3"/>
        <v>6098559</v>
      </c>
    </row>
    <row r="227" spans="1:7" hidden="1" x14ac:dyDescent="0.3">
      <c r="A227" s="19">
        <v>226</v>
      </c>
      <c r="B227" s="19" t="s">
        <v>467</v>
      </c>
      <c r="C227" s="19" t="s">
        <v>468</v>
      </c>
      <c r="D227" s="21" t="s">
        <v>83</v>
      </c>
      <c r="E227" s="19">
        <v>1</v>
      </c>
      <c r="F227" s="23">
        <v>6098559</v>
      </c>
      <c r="G227" s="24">
        <f t="shared" si="3"/>
        <v>6098559</v>
      </c>
    </row>
    <row r="228" spans="1:7" hidden="1" x14ac:dyDescent="0.3">
      <c r="A228" s="19">
        <v>227</v>
      </c>
      <c r="B228" s="19" t="s">
        <v>469</v>
      </c>
      <c r="C228" s="19" t="s">
        <v>470</v>
      </c>
      <c r="D228" s="21" t="s">
        <v>83</v>
      </c>
      <c r="E228" s="19">
        <v>1</v>
      </c>
      <c r="F228" s="23">
        <v>6098559</v>
      </c>
      <c r="G228" s="24">
        <f t="shared" si="3"/>
        <v>6098559</v>
      </c>
    </row>
    <row r="229" spans="1:7" hidden="1" x14ac:dyDescent="0.3">
      <c r="A229" s="19">
        <v>228</v>
      </c>
      <c r="B229" s="19" t="s">
        <v>471</v>
      </c>
      <c r="C229" s="19" t="s">
        <v>472</v>
      </c>
      <c r="D229" s="21" t="s">
        <v>83</v>
      </c>
      <c r="E229" s="19">
        <v>1</v>
      </c>
      <c r="F229" s="23">
        <v>6098559</v>
      </c>
      <c r="G229" s="24">
        <f t="shared" si="3"/>
        <v>6098559</v>
      </c>
    </row>
    <row r="230" spans="1:7" hidden="1" x14ac:dyDescent="0.3">
      <c r="A230" s="19">
        <v>229</v>
      </c>
      <c r="B230" s="19" t="s">
        <v>473</v>
      </c>
      <c r="C230" s="19" t="s">
        <v>474</v>
      </c>
      <c r="D230" s="21" t="s">
        <v>83</v>
      </c>
      <c r="E230" s="19">
        <v>1</v>
      </c>
      <c r="F230" s="23">
        <v>2604464</v>
      </c>
      <c r="G230" s="24">
        <f t="shared" si="3"/>
        <v>2604464</v>
      </c>
    </row>
    <row r="231" spans="1:7" hidden="1" x14ac:dyDescent="0.3">
      <c r="A231" s="19">
        <v>230</v>
      </c>
      <c r="B231" s="19" t="s">
        <v>475</v>
      </c>
      <c r="C231" s="19" t="s">
        <v>476</v>
      </c>
      <c r="D231" s="21" t="s">
        <v>83</v>
      </c>
      <c r="E231" s="19">
        <v>1</v>
      </c>
      <c r="F231" s="23">
        <v>2604464</v>
      </c>
      <c r="G231" s="24">
        <f t="shared" si="3"/>
        <v>2604464</v>
      </c>
    </row>
    <row r="232" spans="1:7" hidden="1" x14ac:dyDescent="0.3">
      <c r="A232" s="19">
        <v>231</v>
      </c>
      <c r="B232" s="19" t="s">
        <v>477</v>
      </c>
      <c r="C232" s="19" t="s">
        <v>478</v>
      </c>
      <c r="D232" s="21" t="s">
        <v>83</v>
      </c>
      <c r="E232" s="19">
        <v>1</v>
      </c>
      <c r="F232" s="23">
        <v>2604464</v>
      </c>
      <c r="G232" s="24">
        <f t="shared" si="3"/>
        <v>2604464</v>
      </c>
    </row>
    <row r="233" spans="1:7" hidden="1" x14ac:dyDescent="0.3">
      <c r="A233" s="19">
        <v>232</v>
      </c>
      <c r="B233" s="19" t="s">
        <v>479</v>
      </c>
      <c r="C233" s="19" t="s">
        <v>480</v>
      </c>
      <c r="D233" s="21" t="s">
        <v>83</v>
      </c>
      <c r="E233" s="19">
        <v>1</v>
      </c>
      <c r="F233" s="23">
        <v>2604464</v>
      </c>
      <c r="G233" s="24">
        <f t="shared" si="3"/>
        <v>2604464</v>
      </c>
    </row>
    <row r="234" spans="1:7" hidden="1" x14ac:dyDescent="0.3">
      <c r="A234" s="19">
        <v>233</v>
      </c>
      <c r="B234" s="19" t="s">
        <v>481</v>
      </c>
      <c r="C234" s="19" t="s">
        <v>482</v>
      </c>
      <c r="D234" s="21" t="s">
        <v>83</v>
      </c>
      <c r="E234" s="19">
        <v>1</v>
      </c>
      <c r="F234" s="23">
        <v>2604464</v>
      </c>
      <c r="G234" s="24">
        <f t="shared" si="3"/>
        <v>2604464</v>
      </c>
    </row>
    <row r="235" spans="1:7" hidden="1" x14ac:dyDescent="0.3">
      <c r="A235" s="19">
        <v>234</v>
      </c>
      <c r="B235" s="19" t="s">
        <v>483</v>
      </c>
      <c r="C235" s="19" t="s">
        <v>484</v>
      </c>
      <c r="D235" s="21" t="s">
        <v>83</v>
      </c>
      <c r="E235" s="19">
        <v>1</v>
      </c>
      <c r="F235" s="23">
        <v>30210926</v>
      </c>
      <c r="G235" s="24">
        <f t="shared" si="3"/>
        <v>30210926</v>
      </c>
    </row>
    <row r="236" spans="1:7" hidden="1" x14ac:dyDescent="0.3">
      <c r="A236" s="19">
        <v>235</v>
      </c>
      <c r="B236" s="19" t="s">
        <v>485</v>
      </c>
      <c r="C236" s="19" t="s">
        <v>486</v>
      </c>
      <c r="D236" s="21" t="s">
        <v>83</v>
      </c>
      <c r="E236" s="19">
        <v>1</v>
      </c>
      <c r="F236" s="23">
        <v>26408621</v>
      </c>
      <c r="G236" s="24">
        <f t="shared" si="3"/>
        <v>26408621</v>
      </c>
    </row>
    <row r="237" spans="1:7" hidden="1" x14ac:dyDescent="0.3">
      <c r="A237" s="19">
        <v>236</v>
      </c>
      <c r="B237" s="19" t="s">
        <v>487</v>
      </c>
      <c r="C237" s="19" t="s">
        <v>488</v>
      </c>
      <c r="D237" s="21" t="s">
        <v>83</v>
      </c>
      <c r="E237" s="19">
        <v>1</v>
      </c>
      <c r="F237" s="23">
        <v>28071623</v>
      </c>
      <c r="G237" s="24">
        <f t="shared" si="3"/>
        <v>28071623</v>
      </c>
    </row>
    <row r="238" spans="1:7" hidden="1" x14ac:dyDescent="0.3">
      <c r="A238" s="19">
        <v>237</v>
      </c>
      <c r="B238" s="19" t="s">
        <v>489</v>
      </c>
      <c r="C238" s="19" t="s">
        <v>490</v>
      </c>
      <c r="D238" s="21" t="s">
        <v>83</v>
      </c>
      <c r="E238" s="19">
        <v>1</v>
      </c>
      <c r="F238" s="23">
        <v>28062953</v>
      </c>
      <c r="G238" s="24">
        <f t="shared" si="3"/>
        <v>28062953</v>
      </c>
    </row>
    <row r="239" spans="1:7" hidden="1" x14ac:dyDescent="0.3">
      <c r="A239" s="19">
        <v>238</v>
      </c>
      <c r="B239" s="19" t="s">
        <v>491</v>
      </c>
      <c r="C239" s="19" t="s">
        <v>492</v>
      </c>
      <c r="D239" s="21" t="s">
        <v>83</v>
      </c>
      <c r="E239" s="19">
        <v>1</v>
      </c>
      <c r="F239" s="23">
        <v>33286064</v>
      </c>
      <c r="G239" s="24">
        <f t="shared" si="3"/>
        <v>33286064</v>
      </c>
    </row>
    <row r="240" spans="1:7" hidden="1" x14ac:dyDescent="0.3">
      <c r="A240" s="19">
        <v>239</v>
      </c>
      <c r="B240" s="19" t="s">
        <v>493</v>
      </c>
      <c r="C240" s="19" t="s">
        <v>494</v>
      </c>
      <c r="D240" s="21" t="s">
        <v>83</v>
      </c>
      <c r="E240" s="19">
        <v>1</v>
      </c>
      <c r="F240" s="23">
        <v>56812609</v>
      </c>
      <c r="G240" s="24">
        <f t="shared" si="3"/>
        <v>56812609</v>
      </c>
    </row>
    <row r="241" spans="1:7" hidden="1" x14ac:dyDescent="0.3">
      <c r="A241" s="19">
        <v>240</v>
      </c>
      <c r="B241" s="19" t="s">
        <v>495</v>
      </c>
      <c r="C241" s="19" t="s">
        <v>496</v>
      </c>
      <c r="D241" s="21" t="s">
        <v>83</v>
      </c>
      <c r="E241" s="19">
        <v>1</v>
      </c>
      <c r="F241" s="23">
        <v>22283195</v>
      </c>
      <c r="G241" s="24">
        <f t="shared" si="3"/>
        <v>22283195</v>
      </c>
    </row>
    <row r="242" spans="1:7" hidden="1" x14ac:dyDescent="0.3">
      <c r="A242" s="19">
        <v>241</v>
      </c>
      <c r="B242" s="19" t="s">
        <v>497</v>
      </c>
      <c r="C242" s="19" t="s">
        <v>498</v>
      </c>
      <c r="D242" s="21" t="s">
        <v>83</v>
      </c>
      <c r="E242" s="19">
        <v>1</v>
      </c>
      <c r="F242" s="23">
        <v>19971061</v>
      </c>
      <c r="G242" s="24">
        <f t="shared" si="3"/>
        <v>19971061</v>
      </c>
    </row>
    <row r="243" spans="1:7" hidden="1" x14ac:dyDescent="0.3">
      <c r="A243" s="19">
        <v>242</v>
      </c>
      <c r="B243" s="19" t="s">
        <v>499</v>
      </c>
      <c r="C243" s="19" t="s">
        <v>500</v>
      </c>
      <c r="D243" s="21" t="s">
        <v>83</v>
      </c>
      <c r="E243" s="19">
        <v>1</v>
      </c>
      <c r="F243" s="23">
        <v>19971061</v>
      </c>
      <c r="G243" s="24">
        <f t="shared" si="3"/>
        <v>19971061</v>
      </c>
    </row>
    <row r="244" spans="1:7" hidden="1" x14ac:dyDescent="0.3">
      <c r="A244" s="19">
        <v>243</v>
      </c>
      <c r="B244" s="19" t="s">
        <v>501</v>
      </c>
      <c r="C244" s="19" t="s">
        <v>502</v>
      </c>
      <c r="D244" s="21" t="s">
        <v>83</v>
      </c>
      <c r="E244" s="19">
        <v>1</v>
      </c>
      <c r="F244" s="23">
        <v>19971061</v>
      </c>
      <c r="G244" s="24">
        <f t="shared" si="3"/>
        <v>19971061</v>
      </c>
    </row>
    <row r="245" spans="1:7" hidden="1" x14ac:dyDescent="0.3">
      <c r="A245" s="19">
        <v>244</v>
      </c>
      <c r="B245" s="19" t="s">
        <v>503</v>
      </c>
      <c r="C245" s="19" t="s">
        <v>504</v>
      </c>
      <c r="D245" s="21" t="s">
        <v>83</v>
      </c>
      <c r="E245" s="19">
        <v>1</v>
      </c>
      <c r="F245" s="23">
        <v>23439262</v>
      </c>
      <c r="G245" s="24">
        <f t="shared" si="3"/>
        <v>23439262</v>
      </c>
    </row>
    <row r="246" spans="1:7" hidden="1" x14ac:dyDescent="0.3">
      <c r="A246" s="19">
        <v>245</v>
      </c>
      <c r="B246" s="19" t="s">
        <v>505</v>
      </c>
      <c r="C246" s="19" t="s">
        <v>506</v>
      </c>
      <c r="D246" s="21" t="s">
        <v>83</v>
      </c>
      <c r="E246" s="19">
        <v>1</v>
      </c>
      <c r="F246" s="23">
        <v>48019562</v>
      </c>
      <c r="G246" s="24">
        <f t="shared" si="3"/>
        <v>48019562</v>
      </c>
    </row>
    <row r="247" spans="1:7" hidden="1" x14ac:dyDescent="0.3">
      <c r="A247" s="19">
        <v>246</v>
      </c>
      <c r="B247" s="19" t="s">
        <v>507</v>
      </c>
      <c r="C247" s="19" t="s">
        <v>508</v>
      </c>
      <c r="D247" s="21" t="s">
        <v>83</v>
      </c>
      <c r="E247" s="19">
        <v>1</v>
      </c>
      <c r="F247" s="23">
        <v>33525948</v>
      </c>
      <c r="G247" s="24">
        <f t="shared" si="3"/>
        <v>33525948</v>
      </c>
    </row>
    <row r="248" spans="1:7" hidden="1" x14ac:dyDescent="0.3">
      <c r="A248" s="19">
        <v>247</v>
      </c>
      <c r="B248" s="19" t="s">
        <v>509</v>
      </c>
      <c r="C248" s="19" t="s">
        <v>510</v>
      </c>
      <c r="D248" s="21" t="s">
        <v>83</v>
      </c>
      <c r="E248" s="19">
        <v>1</v>
      </c>
      <c r="F248" s="23">
        <v>33525948</v>
      </c>
      <c r="G248" s="24">
        <f t="shared" si="3"/>
        <v>33525948</v>
      </c>
    </row>
    <row r="249" spans="1:7" hidden="1" x14ac:dyDescent="0.3">
      <c r="A249" s="19">
        <v>248</v>
      </c>
      <c r="B249" s="19" t="s">
        <v>511</v>
      </c>
      <c r="C249" s="19" t="s">
        <v>512</v>
      </c>
      <c r="D249" s="21" t="s">
        <v>83</v>
      </c>
      <c r="E249" s="19">
        <v>1</v>
      </c>
      <c r="F249" s="23">
        <v>33525948</v>
      </c>
      <c r="G249" s="24">
        <f t="shared" si="3"/>
        <v>33525948</v>
      </c>
    </row>
    <row r="250" spans="1:7" hidden="1" x14ac:dyDescent="0.3">
      <c r="A250" s="19">
        <v>249</v>
      </c>
      <c r="B250" s="19" t="s">
        <v>513</v>
      </c>
      <c r="C250" s="19" t="s">
        <v>514</v>
      </c>
      <c r="D250" s="21" t="s">
        <v>83</v>
      </c>
      <c r="E250" s="19">
        <v>1</v>
      </c>
      <c r="F250" s="23">
        <v>33525948</v>
      </c>
      <c r="G250" s="24">
        <f t="shared" si="3"/>
        <v>33525948</v>
      </c>
    </row>
    <row r="251" spans="1:7" hidden="1" x14ac:dyDescent="0.3">
      <c r="A251" s="19">
        <v>250</v>
      </c>
      <c r="B251" s="19" t="s">
        <v>515</v>
      </c>
      <c r="C251" s="19" t="s">
        <v>516</v>
      </c>
      <c r="D251" s="21" t="s">
        <v>83</v>
      </c>
      <c r="E251" s="19">
        <v>1</v>
      </c>
      <c r="F251" s="23">
        <v>47398754</v>
      </c>
      <c r="G251" s="24">
        <f t="shared" si="3"/>
        <v>47398754</v>
      </c>
    </row>
    <row r="252" spans="1:7" hidden="1" x14ac:dyDescent="0.3">
      <c r="A252" s="19">
        <v>251</v>
      </c>
      <c r="B252" s="19" t="s">
        <v>517</v>
      </c>
      <c r="C252" s="19" t="s">
        <v>518</v>
      </c>
      <c r="D252" s="21" t="s">
        <v>83</v>
      </c>
      <c r="E252" s="19">
        <v>1</v>
      </c>
      <c r="F252" s="23">
        <v>15780317</v>
      </c>
      <c r="G252" s="24">
        <f t="shared" si="3"/>
        <v>15780317</v>
      </c>
    </row>
    <row r="253" spans="1:7" hidden="1" x14ac:dyDescent="0.3">
      <c r="A253" s="19">
        <v>252</v>
      </c>
      <c r="B253" s="19" t="s">
        <v>519</v>
      </c>
      <c r="C253" s="19" t="s">
        <v>520</v>
      </c>
      <c r="D253" s="21" t="s">
        <v>83</v>
      </c>
      <c r="E253" s="19">
        <v>1</v>
      </c>
      <c r="F253" s="23">
        <v>15780317</v>
      </c>
      <c r="G253" s="24">
        <f t="shared" si="3"/>
        <v>15780317</v>
      </c>
    </row>
    <row r="254" spans="1:7" hidden="1" x14ac:dyDescent="0.3">
      <c r="A254" s="19">
        <v>253</v>
      </c>
      <c r="B254" s="19" t="s">
        <v>521</v>
      </c>
      <c r="C254" s="19" t="s">
        <v>522</v>
      </c>
      <c r="D254" s="21" t="s">
        <v>83</v>
      </c>
      <c r="E254" s="19">
        <v>1</v>
      </c>
      <c r="F254" s="23">
        <v>15780317</v>
      </c>
      <c r="G254" s="24">
        <f t="shared" si="3"/>
        <v>15780317</v>
      </c>
    </row>
    <row r="255" spans="1:7" hidden="1" x14ac:dyDescent="0.3">
      <c r="A255" s="19">
        <v>254</v>
      </c>
      <c r="B255" s="19" t="s">
        <v>523</v>
      </c>
      <c r="C255" s="19" t="s">
        <v>524</v>
      </c>
      <c r="D255" s="21" t="s">
        <v>83</v>
      </c>
      <c r="E255" s="19">
        <v>1</v>
      </c>
      <c r="F255" s="23">
        <v>15780317</v>
      </c>
      <c r="G255" s="24">
        <f t="shared" si="3"/>
        <v>15780317</v>
      </c>
    </row>
    <row r="256" spans="1:7" hidden="1" x14ac:dyDescent="0.3">
      <c r="A256" s="19">
        <v>255</v>
      </c>
      <c r="B256" s="19" t="s">
        <v>525</v>
      </c>
      <c r="C256" s="19" t="s">
        <v>526</v>
      </c>
      <c r="D256" s="21" t="s">
        <v>83</v>
      </c>
      <c r="E256" s="19">
        <v>1</v>
      </c>
      <c r="F256" s="23">
        <v>25144461</v>
      </c>
      <c r="G256" s="24">
        <f t="shared" si="3"/>
        <v>25144461</v>
      </c>
    </row>
    <row r="257" spans="1:7" hidden="1" x14ac:dyDescent="0.3">
      <c r="A257" s="19">
        <v>256</v>
      </c>
      <c r="B257" s="19" t="s">
        <v>527</v>
      </c>
      <c r="C257" s="19" t="s">
        <v>528</v>
      </c>
      <c r="D257" s="21" t="s">
        <v>83</v>
      </c>
      <c r="E257" s="19">
        <v>1</v>
      </c>
      <c r="F257" s="23">
        <v>38641545</v>
      </c>
      <c r="G257" s="24">
        <f t="shared" si="3"/>
        <v>38641545</v>
      </c>
    </row>
    <row r="258" spans="1:7" hidden="1" x14ac:dyDescent="0.3">
      <c r="A258" s="19">
        <v>257</v>
      </c>
      <c r="B258" s="19" t="s">
        <v>529</v>
      </c>
      <c r="C258" s="19" t="s">
        <v>530</v>
      </c>
      <c r="D258" s="21" t="s">
        <v>83</v>
      </c>
      <c r="E258" s="19">
        <v>1</v>
      </c>
      <c r="F258" s="23">
        <v>90828122</v>
      </c>
      <c r="G258" s="24">
        <f t="shared" si="3"/>
        <v>90828122</v>
      </c>
    </row>
    <row r="259" spans="1:7" hidden="1" x14ac:dyDescent="0.3">
      <c r="A259" s="19">
        <v>258</v>
      </c>
      <c r="B259" s="19" t="s">
        <v>531</v>
      </c>
      <c r="C259" s="19" t="s">
        <v>532</v>
      </c>
      <c r="D259" s="21" t="s">
        <v>38</v>
      </c>
      <c r="E259" s="22">
        <v>2500</v>
      </c>
      <c r="F259" s="23">
        <v>11835</v>
      </c>
      <c r="G259" s="24">
        <f t="shared" ref="G259:G322" si="4">+E259*F259</f>
        <v>29587500</v>
      </c>
    </row>
    <row r="260" spans="1:7" hidden="1" x14ac:dyDescent="0.3">
      <c r="A260" s="19">
        <v>259</v>
      </c>
      <c r="B260" s="19" t="s">
        <v>533</v>
      </c>
      <c r="C260" s="19" t="s">
        <v>534</v>
      </c>
      <c r="D260" s="21" t="s">
        <v>38</v>
      </c>
      <c r="E260" s="22">
        <v>14000</v>
      </c>
      <c r="F260" s="23">
        <v>6676</v>
      </c>
      <c r="G260" s="24">
        <f t="shared" si="4"/>
        <v>93464000</v>
      </c>
    </row>
    <row r="261" spans="1:7" hidden="1" x14ac:dyDescent="0.3">
      <c r="A261" s="19">
        <v>260</v>
      </c>
      <c r="B261" s="19" t="s">
        <v>535</v>
      </c>
      <c r="C261" s="19" t="s">
        <v>536</v>
      </c>
      <c r="D261" s="21" t="s">
        <v>83</v>
      </c>
      <c r="E261" s="19">
        <v>1</v>
      </c>
      <c r="F261" s="23">
        <v>22543310</v>
      </c>
      <c r="G261" s="24">
        <f t="shared" si="4"/>
        <v>22543310</v>
      </c>
    </row>
    <row r="262" spans="1:7" hidden="1" x14ac:dyDescent="0.3">
      <c r="A262" s="19">
        <v>261</v>
      </c>
      <c r="B262" s="20" t="s">
        <v>537</v>
      </c>
      <c r="C262" s="19" t="s">
        <v>538</v>
      </c>
      <c r="D262" s="21" t="s">
        <v>539</v>
      </c>
      <c r="E262" s="19">
        <v>1</v>
      </c>
      <c r="F262" s="23">
        <v>283693978</v>
      </c>
      <c r="G262" s="24">
        <f t="shared" si="4"/>
        <v>283693978</v>
      </c>
    </row>
    <row r="263" spans="1:7" hidden="1" x14ac:dyDescent="0.3">
      <c r="A263" s="19">
        <v>262</v>
      </c>
      <c r="B263" s="20" t="s">
        <v>540</v>
      </c>
      <c r="C263" s="19" t="s">
        <v>541</v>
      </c>
      <c r="D263" s="21" t="s">
        <v>83</v>
      </c>
      <c r="E263" s="19">
        <v>1</v>
      </c>
      <c r="F263" s="23">
        <v>143604252</v>
      </c>
      <c r="G263" s="24">
        <f t="shared" si="4"/>
        <v>143604252</v>
      </c>
    </row>
    <row r="264" spans="1:7" hidden="1" x14ac:dyDescent="0.3">
      <c r="A264" s="19">
        <v>263</v>
      </c>
      <c r="B264" s="20" t="s">
        <v>542</v>
      </c>
      <c r="C264" s="19" t="s">
        <v>543</v>
      </c>
      <c r="D264" s="21" t="s">
        <v>83</v>
      </c>
      <c r="E264" s="19">
        <v>1</v>
      </c>
      <c r="F264" s="23">
        <v>95736168</v>
      </c>
      <c r="G264" s="24">
        <f t="shared" si="4"/>
        <v>95736168</v>
      </c>
    </row>
    <row r="265" spans="1:7" hidden="1" x14ac:dyDescent="0.3">
      <c r="A265" s="19">
        <v>264</v>
      </c>
      <c r="B265" s="19" t="s">
        <v>544</v>
      </c>
      <c r="C265" s="19" t="s">
        <v>545</v>
      </c>
      <c r="D265" s="21" t="s">
        <v>83</v>
      </c>
      <c r="E265" s="19">
        <v>1</v>
      </c>
      <c r="F265" s="23">
        <v>1668787435</v>
      </c>
      <c r="G265" s="24">
        <f t="shared" si="4"/>
        <v>1668787435</v>
      </c>
    </row>
    <row r="266" spans="1:7" hidden="1" x14ac:dyDescent="0.3">
      <c r="A266" s="19">
        <v>265</v>
      </c>
      <c r="B266" s="19" t="s">
        <v>546</v>
      </c>
      <c r="C266" s="19" t="s">
        <v>547</v>
      </c>
      <c r="D266" s="21" t="s">
        <v>83</v>
      </c>
      <c r="E266" s="19">
        <v>1</v>
      </c>
      <c r="F266" s="23">
        <v>450401959</v>
      </c>
      <c r="G266" s="24">
        <f t="shared" si="4"/>
        <v>450401959</v>
      </c>
    </row>
    <row r="267" spans="1:7" hidden="1" x14ac:dyDescent="0.3">
      <c r="A267" s="19">
        <v>266</v>
      </c>
      <c r="B267" s="19" t="s">
        <v>548</v>
      </c>
      <c r="C267" s="19" t="s">
        <v>549</v>
      </c>
      <c r="D267" s="21" t="s">
        <v>43</v>
      </c>
      <c r="E267" s="19">
        <v>29</v>
      </c>
      <c r="F267" s="23">
        <v>99900</v>
      </c>
      <c r="G267" s="24">
        <f t="shared" si="4"/>
        <v>2897100</v>
      </c>
    </row>
    <row r="268" spans="1:7" hidden="1" x14ac:dyDescent="0.3">
      <c r="A268" s="19">
        <v>267</v>
      </c>
      <c r="B268" s="19" t="s">
        <v>550</v>
      </c>
      <c r="C268" s="19" t="s">
        <v>551</v>
      </c>
      <c r="D268" s="21" t="s">
        <v>43</v>
      </c>
      <c r="E268" s="19">
        <v>29</v>
      </c>
      <c r="F268" s="23">
        <v>111000</v>
      </c>
      <c r="G268" s="24">
        <f t="shared" si="4"/>
        <v>3219000</v>
      </c>
    </row>
    <row r="269" spans="1:7" hidden="1" x14ac:dyDescent="0.3">
      <c r="A269" s="19">
        <v>268</v>
      </c>
      <c r="B269" s="19" t="s">
        <v>552</v>
      </c>
      <c r="C269" s="19" t="s">
        <v>553</v>
      </c>
      <c r="D269" s="21" t="s">
        <v>43</v>
      </c>
      <c r="E269" s="19">
        <v>13</v>
      </c>
      <c r="F269" s="23">
        <v>3496500</v>
      </c>
      <c r="G269" s="24">
        <f t="shared" si="4"/>
        <v>45454500</v>
      </c>
    </row>
    <row r="270" spans="1:7" hidden="1" x14ac:dyDescent="0.3">
      <c r="A270" s="19">
        <v>269</v>
      </c>
      <c r="B270" s="20" t="s">
        <v>554</v>
      </c>
      <c r="C270" s="19" t="s">
        <v>555</v>
      </c>
      <c r="D270" s="21" t="s">
        <v>83</v>
      </c>
      <c r="E270" s="19">
        <v>44</v>
      </c>
      <c r="F270" s="23">
        <v>14652117</v>
      </c>
      <c r="G270" s="24">
        <f t="shared" si="4"/>
        <v>644693148</v>
      </c>
    </row>
    <row r="271" spans="1:7" hidden="1" x14ac:dyDescent="0.3">
      <c r="A271" s="19">
        <v>270</v>
      </c>
      <c r="B271" s="19" t="s">
        <v>556</v>
      </c>
      <c r="C271" s="19" t="s">
        <v>557</v>
      </c>
      <c r="D271" s="21" t="s">
        <v>83</v>
      </c>
      <c r="E271" s="19">
        <v>1</v>
      </c>
      <c r="F271" s="23">
        <v>3871125</v>
      </c>
      <c r="G271" s="24">
        <f t="shared" si="4"/>
        <v>3871125</v>
      </c>
    </row>
    <row r="272" spans="1:7" hidden="1" x14ac:dyDescent="0.3">
      <c r="A272" s="19">
        <v>271</v>
      </c>
      <c r="B272" s="19" t="s">
        <v>558</v>
      </c>
      <c r="C272" s="19" t="s">
        <v>559</v>
      </c>
      <c r="D272" s="21" t="s">
        <v>83</v>
      </c>
      <c r="E272" s="19">
        <v>1</v>
      </c>
      <c r="F272" s="23">
        <v>2150625</v>
      </c>
      <c r="G272" s="24">
        <f t="shared" si="4"/>
        <v>2150625</v>
      </c>
    </row>
    <row r="273" spans="1:7" hidden="1" x14ac:dyDescent="0.3">
      <c r="A273" s="19">
        <v>272</v>
      </c>
      <c r="B273" s="19" t="s">
        <v>560</v>
      </c>
      <c r="C273" s="19" t="s">
        <v>561</v>
      </c>
      <c r="D273" s="21" t="s">
        <v>83</v>
      </c>
      <c r="E273" s="19">
        <v>1</v>
      </c>
      <c r="F273" s="23">
        <v>2368000</v>
      </c>
      <c r="G273" s="24">
        <f t="shared" si="4"/>
        <v>2368000</v>
      </c>
    </row>
    <row r="274" spans="1:7" hidden="1" x14ac:dyDescent="0.3">
      <c r="A274" s="19">
        <v>273</v>
      </c>
      <c r="B274" s="19" t="s">
        <v>562</v>
      </c>
      <c r="C274" s="19" t="s">
        <v>563</v>
      </c>
      <c r="D274" s="21" t="s">
        <v>83</v>
      </c>
      <c r="E274" s="19">
        <v>1</v>
      </c>
      <c r="F274" s="23">
        <v>2890625</v>
      </c>
      <c r="G274" s="24">
        <f t="shared" si="4"/>
        <v>2890625</v>
      </c>
    </row>
    <row r="275" spans="1:7" hidden="1" x14ac:dyDescent="0.3">
      <c r="A275" s="19">
        <v>274</v>
      </c>
      <c r="B275" s="19" t="s">
        <v>564</v>
      </c>
      <c r="C275" s="19" t="s">
        <v>565</v>
      </c>
      <c r="D275" s="21" t="s">
        <v>83</v>
      </c>
      <c r="E275" s="19">
        <v>1</v>
      </c>
      <c r="F275" s="23">
        <v>1077625</v>
      </c>
      <c r="G275" s="24">
        <f t="shared" si="4"/>
        <v>1077625</v>
      </c>
    </row>
    <row r="276" spans="1:7" hidden="1" x14ac:dyDescent="0.3">
      <c r="A276" s="19">
        <v>275</v>
      </c>
      <c r="B276" s="19" t="s">
        <v>566</v>
      </c>
      <c r="C276" s="19" t="s">
        <v>567</v>
      </c>
      <c r="D276" s="21" t="s">
        <v>83</v>
      </c>
      <c r="E276" s="19">
        <v>1</v>
      </c>
      <c r="F276" s="23">
        <v>1077625</v>
      </c>
      <c r="G276" s="24">
        <f t="shared" si="4"/>
        <v>1077625</v>
      </c>
    </row>
    <row r="277" spans="1:7" hidden="1" x14ac:dyDescent="0.3">
      <c r="A277" s="19">
        <v>276</v>
      </c>
      <c r="B277" s="19" t="s">
        <v>568</v>
      </c>
      <c r="C277" s="19" t="s">
        <v>569</v>
      </c>
      <c r="D277" s="21" t="s">
        <v>83</v>
      </c>
      <c r="E277" s="19">
        <v>1</v>
      </c>
      <c r="F277" s="23">
        <v>434750</v>
      </c>
      <c r="G277" s="24">
        <f t="shared" si="4"/>
        <v>434750</v>
      </c>
    </row>
    <row r="278" spans="1:7" hidden="1" x14ac:dyDescent="0.3">
      <c r="A278" s="19">
        <v>277</v>
      </c>
      <c r="B278" s="19" t="s">
        <v>570</v>
      </c>
      <c r="C278" s="19" t="s">
        <v>571</v>
      </c>
      <c r="D278" s="21" t="s">
        <v>83</v>
      </c>
      <c r="E278" s="19">
        <v>1</v>
      </c>
      <c r="F278" s="23">
        <v>1077625</v>
      </c>
      <c r="G278" s="24">
        <f t="shared" si="4"/>
        <v>1077625</v>
      </c>
    </row>
    <row r="279" spans="1:7" hidden="1" x14ac:dyDescent="0.3">
      <c r="A279" s="19">
        <v>278</v>
      </c>
      <c r="B279" s="19" t="s">
        <v>572</v>
      </c>
      <c r="C279" s="19" t="s">
        <v>573</v>
      </c>
      <c r="D279" s="21" t="s">
        <v>83</v>
      </c>
      <c r="E279" s="19">
        <v>1</v>
      </c>
      <c r="F279" s="23">
        <v>864875</v>
      </c>
      <c r="G279" s="24">
        <f t="shared" si="4"/>
        <v>864875</v>
      </c>
    </row>
    <row r="280" spans="1:7" hidden="1" x14ac:dyDescent="0.3">
      <c r="A280" s="19">
        <v>279</v>
      </c>
      <c r="B280" s="19" t="s">
        <v>574</v>
      </c>
      <c r="C280" s="19" t="s">
        <v>575</v>
      </c>
      <c r="D280" s="21" t="s">
        <v>83</v>
      </c>
      <c r="E280" s="19">
        <v>1</v>
      </c>
      <c r="F280" s="23">
        <v>864875</v>
      </c>
      <c r="G280" s="24">
        <f t="shared" si="4"/>
        <v>864875</v>
      </c>
    </row>
    <row r="281" spans="1:7" hidden="1" x14ac:dyDescent="0.3">
      <c r="A281" s="19">
        <v>280</v>
      </c>
      <c r="B281" s="19" t="s">
        <v>576</v>
      </c>
      <c r="C281" s="19" t="s">
        <v>577</v>
      </c>
      <c r="D281" s="21" t="s">
        <v>83</v>
      </c>
      <c r="E281" s="19">
        <v>1</v>
      </c>
      <c r="F281" s="23">
        <v>11119432</v>
      </c>
      <c r="G281" s="24">
        <f t="shared" si="4"/>
        <v>11119432</v>
      </c>
    </row>
    <row r="282" spans="1:7" hidden="1" x14ac:dyDescent="0.3">
      <c r="A282" s="19">
        <v>281</v>
      </c>
      <c r="B282" s="19" t="s">
        <v>578</v>
      </c>
      <c r="C282" s="19" t="s">
        <v>579</v>
      </c>
      <c r="D282" s="21" t="s">
        <v>83</v>
      </c>
      <c r="E282" s="19">
        <v>1</v>
      </c>
      <c r="F282" s="23">
        <v>12141908</v>
      </c>
      <c r="G282" s="24">
        <f t="shared" si="4"/>
        <v>12141908</v>
      </c>
    </row>
    <row r="283" spans="1:7" hidden="1" x14ac:dyDescent="0.3">
      <c r="A283" s="19">
        <v>282</v>
      </c>
      <c r="B283" s="19" t="s">
        <v>580</v>
      </c>
      <c r="C283" s="19" t="s">
        <v>581</v>
      </c>
      <c r="D283" s="21" t="s">
        <v>83</v>
      </c>
      <c r="E283" s="19">
        <v>1</v>
      </c>
      <c r="F283" s="23">
        <v>12780956</v>
      </c>
      <c r="G283" s="24">
        <f>+E283*F283</f>
        <v>12780956</v>
      </c>
    </row>
    <row r="284" spans="1:7" hidden="1" x14ac:dyDescent="0.3">
      <c r="A284" s="19">
        <v>283</v>
      </c>
      <c r="B284" s="19" t="s">
        <v>582</v>
      </c>
      <c r="C284" s="19" t="s">
        <v>583</v>
      </c>
      <c r="D284" s="21" t="s">
        <v>83</v>
      </c>
      <c r="E284" s="19">
        <v>1</v>
      </c>
      <c r="F284" s="23">
        <v>11502861</v>
      </c>
      <c r="G284" s="24">
        <f t="shared" si="4"/>
        <v>11502861</v>
      </c>
    </row>
    <row r="285" spans="1:7" hidden="1" x14ac:dyDescent="0.3">
      <c r="A285" s="19">
        <v>284</v>
      </c>
      <c r="B285" s="19" t="s">
        <v>584</v>
      </c>
      <c r="C285" s="19" t="s">
        <v>585</v>
      </c>
      <c r="D285" s="21" t="s">
        <v>83</v>
      </c>
      <c r="E285" s="19">
        <v>1</v>
      </c>
      <c r="F285" s="23">
        <v>12141908</v>
      </c>
      <c r="G285" s="24">
        <f t="shared" si="4"/>
        <v>12141908</v>
      </c>
    </row>
    <row r="286" spans="1:7" hidden="1" x14ac:dyDescent="0.3">
      <c r="A286" s="19">
        <v>285</v>
      </c>
      <c r="B286" s="19" t="s">
        <v>586</v>
      </c>
      <c r="C286" s="19" t="s">
        <v>587</v>
      </c>
      <c r="D286" s="21" t="s">
        <v>83</v>
      </c>
      <c r="E286" s="19">
        <v>1</v>
      </c>
      <c r="F286" s="23">
        <v>1254994</v>
      </c>
      <c r="G286" s="24">
        <f t="shared" si="4"/>
        <v>1254994</v>
      </c>
    </row>
    <row r="287" spans="1:7" hidden="1" x14ac:dyDescent="0.3">
      <c r="A287" s="19">
        <v>286</v>
      </c>
      <c r="B287" s="19" t="s">
        <v>588</v>
      </c>
      <c r="C287" s="19" t="s">
        <v>589</v>
      </c>
      <c r="D287" s="21" t="s">
        <v>83</v>
      </c>
      <c r="E287" s="19">
        <v>1</v>
      </c>
      <c r="F287" s="23">
        <v>15222263</v>
      </c>
      <c r="G287" s="24">
        <f t="shared" si="4"/>
        <v>15222263</v>
      </c>
    </row>
    <row r="288" spans="1:7" hidden="1" x14ac:dyDescent="0.3">
      <c r="A288" s="19">
        <v>287</v>
      </c>
      <c r="B288" s="19" t="s">
        <v>590</v>
      </c>
      <c r="C288" s="19" t="s">
        <v>591</v>
      </c>
      <c r="D288" s="21" t="s">
        <v>83</v>
      </c>
      <c r="E288" s="19">
        <v>1</v>
      </c>
      <c r="F288" s="23">
        <v>3008331</v>
      </c>
      <c r="G288" s="24">
        <f t="shared" si="4"/>
        <v>3008331</v>
      </c>
    </row>
    <row r="289" spans="1:7" hidden="1" x14ac:dyDescent="0.3">
      <c r="A289" s="19">
        <v>288</v>
      </c>
      <c r="B289" s="19" t="s">
        <v>592</v>
      </c>
      <c r="C289" s="19" t="s">
        <v>593</v>
      </c>
      <c r="D289" s="21" t="s">
        <v>83</v>
      </c>
      <c r="E289" s="19">
        <v>1</v>
      </c>
      <c r="F289" s="23">
        <v>3008331</v>
      </c>
      <c r="G289" s="24">
        <f t="shared" si="4"/>
        <v>3008331</v>
      </c>
    </row>
    <row r="290" spans="1:7" hidden="1" x14ac:dyDescent="0.3">
      <c r="A290" s="19">
        <v>289</v>
      </c>
      <c r="B290" s="19" t="s">
        <v>594</v>
      </c>
      <c r="C290" s="19" t="s">
        <v>595</v>
      </c>
      <c r="D290" s="21" t="s">
        <v>83</v>
      </c>
      <c r="E290" s="19">
        <v>1</v>
      </c>
      <c r="F290" s="23">
        <v>3008331</v>
      </c>
      <c r="G290" s="24">
        <f t="shared" si="4"/>
        <v>3008331</v>
      </c>
    </row>
    <row r="291" spans="1:7" hidden="1" x14ac:dyDescent="0.3">
      <c r="A291" s="19">
        <v>290</v>
      </c>
      <c r="B291" s="19" t="s">
        <v>596</v>
      </c>
      <c r="C291" s="19" t="s">
        <v>597</v>
      </c>
      <c r="D291" s="21" t="s">
        <v>83</v>
      </c>
      <c r="E291" s="19">
        <v>1</v>
      </c>
      <c r="F291" s="23">
        <v>3008331</v>
      </c>
      <c r="G291" s="24">
        <f t="shared" si="4"/>
        <v>3008331</v>
      </c>
    </row>
    <row r="292" spans="1:7" hidden="1" x14ac:dyDescent="0.3">
      <c r="A292" s="19">
        <v>291</v>
      </c>
      <c r="B292" s="19" t="s">
        <v>598</v>
      </c>
      <c r="C292" s="19" t="s">
        <v>599</v>
      </c>
      <c r="D292" s="21" t="s">
        <v>83</v>
      </c>
      <c r="E292" s="19">
        <v>1</v>
      </c>
      <c r="F292" s="23">
        <v>3008331</v>
      </c>
      <c r="G292" s="24">
        <f t="shared" si="4"/>
        <v>3008331</v>
      </c>
    </row>
    <row r="293" spans="1:7" hidden="1" x14ac:dyDescent="0.3">
      <c r="A293" s="19">
        <v>292</v>
      </c>
      <c r="B293" s="19" t="s">
        <v>600</v>
      </c>
      <c r="C293" s="19" t="s">
        <v>601</v>
      </c>
      <c r="D293" s="21" t="s">
        <v>83</v>
      </c>
      <c r="E293" s="19">
        <v>1</v>
      </c>
      <c r="F293" s="23">
        <v>9226875</v>
      </c>
      <c r="G293" s="24">
        <f t="shared" si="4"/>
        <v>9226875</v>
      </c>
    </row>
    <row r="294" spans="1:7" hidden="1" x14ac:dyDescent="0.3">
      <c r="A294" s="19">
        <v>293</v>
      </c>
      <c r="B294" s="19" t="s">
        <v>602</v>
      </c>
      <c r="C294" s="19" t="s">
        <v>603</v>
      </c>
      <c r="D294" s="21" t="s">
        <v>83</v>
      </c>
      <c r="E294" s="19">
        <v>1</v>
      </c>
      <c r="F294" s="23">
        <v>2510820</v>
      </c>
      <c r="G294" s="24">
        <f t="shared" si="4"/>
        <v>2510820</v>
      </c>
    </row>
    <row r="295" spans="1:7" hidden="1" x14ac:dyDescent="0.3">
      <c r="A295" s="19">
        <v>294</v>
      </c>
      <c r="B295" s="19" t="s">
        <v>604</v>
      </c>
      <c r="C295" s="19" t="s">
        <v>605</v>
      </c>
      <c r="D295" s="21" t="s">
        <v>83</v>
      </c>
      <c r="E295" s="19">
        <v>1</v>
      </c>
      <c r="F295" s="23">
        <v>2741700</v>
      </c>
      <c r="G295" s="24">
        <f t="shared" si="4"/>
        <v>2741700</v>
      </c>
    </row>
    <row r="296" spans="1:7" hidden="1" x14ac:dyDescent="0.3">
      <c r="A296" s="19">
        <v>295</v>
      </c>
      <c r="B296" s="19" t="s">
        <v>606</v>
      </c>
      <c r="C296" s="19" t="s">
        <v>607</v>
      </c>
      <c r="D296" s="21" t="s">
        <v>83</v>
      </c>
      <c r="E296" s="19">
        <v>1</v>
      </c>
      <c r="F296" s="23">
        <v>2886000</v>
      </c>
      <c r="G296" s="24">
        <f t="shared" si="4"/>
        <v>2886000</v>
      </c>
    </row>
    <row r="297" spans="1:7" hidden="1" x14ac:dyDescent="0.3">
      <c r="A297" s="19">
        <v>296</v>
      </c>
      <c r="B297" s="19" t="s">
        <v>608</v>
      </c>
      <c r="C297" s="19" t="s">
        <v>609</v>
      </c>
      <c r="D297" s="21" t="s">
        <v>83</v>
      </c>
      <c r="E297" s="19">
        <v>1</v>
      </c>
      <c r="F297" s="23">
        <v>2597400</v>
      </c>
      <c r="G297" s="24">
        <f t="shared" si="4"/>
        <v>2597400</v>
      </c>
    </row>
    <row r="298" spans="1:7" hidden="1" x14ac:dyDescent="0.3">
      <c r="A298" s="19">
        <v>297</v>
      </c>
      <c r="B298" s="19" t="s">
        <v>610</v>
      </c>
      <c r="C298" s="19" t="s">
        <v>611</v>
      </c>
      <c r="D298" s="21" t="s">
        <v>83</v>
      </c>
      <c r="E298" s="19">
        <v>1</v>
      </c>
      <c r="F298" s="23">
        <v>2741700</v>
      </c>
      <c r="G298" s="24">
        <f t="shared" si="4"/>
        <v>2741700</v>
      </c>
    </row>
    <row r="299" spans="1:7" hidden="1" x14ac:dyDescent="0.3">
      <c r="A299" s="19">
        <v>298</v>
      </c>
      <c r="B299" s="19" t="s">
        <v>612</v>
      </c>
      <c r="C299" s="19" t="s">
        <v>613</v>
      </c>
      <c r="D299" s="21" t="s">
        <v>83</v>
      </c>
      <c r="E299" s="19">
        <v>1</v>
      </c>
      <c r="F299" s="23">
        <v>5295625</v>
      </c>
      <c r="G299" s="24">
        <f t="shared" si="4"/>
        <v>5295625</v>
      </c>
    </row>
    <row r="300" spans="1:7" hidden="1" x14ac:dyDescent="0.3">
      <c r="A300" s="19">
        <v>299</v>
      </c>
      <c r="B300" s="19" t="s">
        <v>614</v>
      </c>
      <c r="C300" s="19" t="s">
        <v>615</v>
      </c>
      <c r="D300" s="21" t="s">
        <v>83</v>
      </c>
      <c r="E300" s="19">
        <v>1</v>
      </c>
      <c r="F300" s="23">
        <v>4551786</v>
      </c>
      <c r="G300" s="24">
        <f t="shared" si="4"/>
        <v>4551786</v>
      </c>
    </row>
    <row r="301" spans="1:7" hidden="1" x14ac:dyDescent="0.3">
      <c r="A301" s="19">
        <v>300</v>
      </c>
      <c r="B301" s="19" t="s">
        <v>616</v>
      </c>
      <c r="C301" s="19" t="s">
        <v>617</v>
      </c>
      <c r="D301" s="21" t="s">
        <v>83</v>
      </c>
      <c r="E301" s="19">
        <v>1</v>
      </c>
      <c r="F301" s="23">
        <v>6679425</v>
      </c>
      <c r="G301" s="24">
        <f t="shared" si="4"/>
        <v>6679425</v>
      </c>
    </row>
    <row r="302" spans="1:7" hidden="1" x14ac:dyDescent="0.3">
      <c r="A302" s="19">
        <v>301</v>
      </c>
      <c r="B302" s="19" t="s">
        <v>618</v>
      </c>
      <c r="C302" s="19" t="s">
        <v>619</v>
      </c>
      <c r="D302" s="21" t="s">
        <v>83</v>
      </c>
      <c r="E302" s="19">
        <v>1</v>
      </c>
      <c r="F302" s="23">
        <v>7293625</v>
      </c>
      <c r="G302" s="24">
        <f t="shared" si="4"/>
        <v>7293625</v>
      </c>
    </row>
    <row r="303" spans="1:7" hidden="1" x14ac:dyDescent="0.3">
      <c r="A303" s="19">
        <v>302</v>
      </c>
      <c r="B303" s="19" t="s">
        <v>620</v>
      </c>
      <c r="C303" s="19" t="s">
        <v>621</v>
      </c>
      <c r="D303" s="21" t="s">
        <v>83</v>
      </c>
      <c r="E303" s="19">
        <v>1</v>
      </c>
      <c r="F303" s="23">
        <v>7677500</v>
      </c>
      <c r="G303" s="24">
        <f>+E303*F303</f>
        <v>7677500</v>
      </c>
    </row>
    <row r="304" spans="1:7" hidden="1" x14ac:dyDescent="0.3">
      <c r="A304" s="19">
        <v>303</v>
      </c>
      <c r="B304" s="19" t="s">
        <v>622</v>
      </c>
      <c r="C304" s="19" t="s">
        <v>623</v>
      </c>
      <c r="D304" s="21" t="s">
        <v>83</v>
      </c>
      <c r="E304" s="19">
        <v>1</v>
      </c>
      <c r="F304" s="23">
        <v>6909750</v>
      </c>
      <c r="G304" s="24">
        <f t="shared" si="4"/>
        <v>6909750</v>
      </c>
    </row>
    <row r="305" spans="1:7" hidden="1" x14ac:dyDescent="0.3">
      <c r="A305" s="19">
        <v>304</v>
      </c>
      <c r="B305" s="19" t="s">
        <v>624</v>
      </c>
      <c r="C305" s="19" t="s">
        <v>625</v>
      </c>
      <c r="D305" s="21" t="s">
        <v>83</v>
      </c>
      <c r="E305" s="19">
        <v>1</v>
      </c>
      <c r="F305" s="23">
        <v>7293625</v>
      </c>
      <c r="G305" s="24">
        <f t="shared" si="4"/>
        <v>7293625</v>
      </c>
    </row>
    <row r="306" spans="1:7" hidden="1" x14ac:dyDescent="0.3">
      <c r="A306" s="19">
        <v>305</v>
      </c>
      <c r="B306" s="19" t="s">
        <v>626</v>
      </c>
      <c r="C306" s="19" t="s">
        <v>627</v>
      </c>
      <c r="D306" s="21" t="s">
        <v>83</v>
      </c>
      <c r="E306" s="19">
        <v>1</v>
      </c>
      <c r="F306" s="23">
        <v>38724553</v>
      </c>
      <c r="G306" s="24">
        <f t="shared" si="4"/>
        <v>38724553</v>
      </c>
    </row>
    <row r="307" spans="1:7" hidden="1" x14ac:dyDescent="0.3">
      <c r="A307" s="19">
        <v>306</v>
      </c>
      <c r="B307" s="19" t="s">
        <v>628</v>
      </c>
      <c r="C307" s="19" t="s">
        <v>629</v>
      </c>
      <c r="D307" s="21" t="s">
        <v>83</v>
      </c>
      <c r="E307" s="19">
        <v>1</v>
      </c>
      <c r="F307" s="23">
        <v>4556411</v>
      </c>
      <c r="G307" s="24">
        <f t="shared" si="4"/>
        <v>4556411</v>
      </c>
    </row>
    <row r="308" spans="1:7" hidden="1" x14ac:dyDescent="0.3">
      <c r="A308" s="19">
        <v>307</v>
      </c>
      <c r="B308" s="19" t="s">
        <v>630</v>
      </c>
      <c r="C308" s="19" t="s">
        <v>631</v>
      </c>
      <c r="D308" s="21" t="s">
        <v>83</v>
      </c>
      <c r="E308" s="19">
        <v>1</v>
      </c>
      <c r="F308" s="23">
        <v>3358141</v>
      </c>
      <c r="G308" s="24">
        <f t="shared" si="4"/>
        <v>3358141</v>
      </c>
    </row>
    <row r="309" spans="1:7" hidden="1" x14ac:dyDescent="0.3">
      <c r="A309" s="19">
        <v>308</v>
      </c>
      <c r="B309" s="19" t="s">
        <v>632</v>
      </c>
      <c r="C309" s="19" t="s">
        <v>633</v>
      </c>
      <c r="D309" s="21" t="s">
        <v>83</v>
      </c>
      <c r="E309" s="19">
        <v>1</v>
      </c>
      <c r="F309" s="23">
        <v>3666936</v>
      </c>
      <c r="G309" s="24">
        <f t="shared" si="4"/>
        <v>3666936</v>
      </c>
    </row>
    <row r="310" spans="1:7" hidden="1" x14ac:dyDescent="0.3">
      <c r="A310" s="19">
        <v>309</v>
      </c>
      <c r="B310" s="19" t="s">
        <v>634</v>
      </c>
      <c r="C310" s="19" t="s">
        <v>635</v>
      </c>
      <c r="D310" s="21" t="s">
        <v>83</v>
      </c>
      <c r="E310" s="19">
        <v>1</v>
      </c>
      <c r="F310" s="23">
        <v>3859933</v>
      </c>
      <c r="G310" s="24">
        <f t="shared" si="4"/>
        <v>3859933</v>
      </c>
    </row>
    <row r="311" spans="1:7" hidden="1" x14ac:dyDescent="0.3">
      <c r="A311" s="19">
        <v>310</v>
      </c>
      <c r="B311" s="19" t="s">
        <v>636</v>
      </c>
      <c r="C311" s="19" t="s">
        <v>637</v>
      </c>
      <c r="D311" s="21" t="s">
        <v>83</v>
      </c>
      <c r="E311" s="19">
        <v>1</v>
      </c>
      <c r="F311" s="23">
        <v>3473939</v>
      </c>
      <c r="G311" s="24">
        <f t="shared" si="4"/>
        <v>3473939</v>
      </c>
    </row>
    <row r="312" spans="1:7" hidden="1" x14ac:dyDescent="0.3">
      <c r="A312" s="19">
        <v>311</v>
      </c>
      <c r="B312" s="19" t="s">
        <v>638</v>
      </c>
      <c r="C312" s="19" t="s">
        <v>639</v>
      </c>
      <c r="D312" s="21" t="s">
        <v>83</v>
      </c>
      <c r="E312" s="19">
        <v>1</v>
      </c>
      <c r="F312" s="23">
        <v>3666936</v>
      </c>
      <c r="G312" s="24">
        <f t="shared" si="4"/>
        <v>3666936</v>
      </c>
    </row>
    <row r="313" spans="1:7" hidden="1" x14ac:dyDescent="0.3">
      <c r="A313" s="19">
        <v>312</v>
      </c>
      <c r="B313" s="19" t="s">
        <v>640</v>
      </c>
      <c r="C313" s="19" t="s">
        <v>641</v>
      </c>
      <c r="D313" s="21" t="s">
        <v>83</v>
      </c>
      <c r="E313" s="19">
        <v>1</v>
      </c>
      <c r="F313" s="23">
        <v>2070501</v>
      </c>
      <c r="G313" s="24">
        <f t="shared" si="4"/>
        <v>2070501</v>
      </c>
    </row>
    <row r="314" spans="1:7" hidden="1" x14ac:dyDescent="0.3">
      <c r="A314" s="19">
        <v>313</v>
      </c>
      <c r="B314" s="19" t="s">
        <v>642</v>
      </c>
      <c r="C314" s="19" t="s">
        <v>643</v>
      </c>
      <c r="D314" s="21" t="s">
        <v>83</v>
      </c>
      <c r="E314" s="19">
        <v>1</v>
      </c>
      <c r="F314" s="23">
        <v>5740604</v>
      </c>
      <c r="G314" s="24">
        <f t="shared" si="4"/>
        <v>5740604</v>
      </c>
    </row>
    <row r="315" spans="1:7" hidden="1" x14ac:dyDescent="0.3">
      <c r="A315" s="19">
        <v>314</v>
      </c>
      <c r="B315" s="19" t="s">
        <v>644</v>
      </c>
      <c r="C315" s="19" t="s">
        <v>645</v>
      </c>
      <c r="D315" s="21" t="s">
        <v>83</v>
      </c>
      <c r="E315" s="19">
        <v>1</v>
      </c>
      <c r="F315" s="23">
        <v>6268475</v>
      </c>
      <c r="G315" s="24">
        <f t="shared" si="4"/>
        <v>6268475</v>
      </c>
    </row>
    <row r="316" spans="1:7" hidden="1" x14ac:dyDescent="0.3">
      <c r="A316" s="19">
        <v>315</v>
      </c>
      <c r="B316" s="19" t="s">
        <v>646</v>
      </c>
      <c r="C316" s="19" t="s">
        <v>647</v>
      </c>
      <c r="D316" s="21" t="s">
        <v>83</v>
      </c>
      <c r="E316" s="19">
        <v>1</v>
      </c>
      <c r="F316" s="23">
        <v>6598395</v>
      </c>
      <c r="G316" s="24">
        <f t="shared" si="4"/>
        <v>6598395</v>
      </c>
    </row>
    <row r="317" spans="1:7" hidden="1" x14ac:dyDescent="0.3">
      <c r="A317" s="19">
        <v>316</v>
      </c>
      <c r="B317" s="19" t="s">
        <v>648</v>
      </c>
      <c r="C317" s="19" t="s">
        <v>649</v>
      </c>
      <c r="D317" s="21" t="s">
        <v>83</v>
      </c>
      <c r="E317" s="19">
        <v>1</v>
      </c>
      <c r="F317" s="23">
        <v>5938556</v>
      </c>
      <c r="G317" s="24">
        <f t="shared" si="4"/>
        <v>5938556</v>
      </c>
    </row>
    <row r="318" spans="1:7" hidden="1" x14ac:dyDescent="0.3">
      <c r="A318" s="19">
        <v>317</v>
      </c>
      <c r="B318" s="19" t="s">
        <v>650</v>
      </c>
      <c r="C318" s="19" t="s">
        <v>651</v>
      </c>
      <c r="D318" s="21" t="s">
        <v>83</v>
      </c>
      <c r="E318" s="19">
        <v>1</v>
      </c>
      <c r="F318" s="23">
        <v>6268475</v>
      </c>
      <c r="G318" s="24">
        <f t="shared" si="4"/>
        <v>6268475</v>
      </c>
    </row>
    <row r="319" spans="1:7" hidden="1" x14ac:dyDescent="0.3">
      <c r="A319" s="19">
        <v>318</v>
      </c>
      <c r="B319" s="19" t="s">
        <v>652</v>
      </c>
      <c r="C319" s="19" t="s">
        <v>653</v>
      </c>
      <c r="D319" s="21" t="s">
        <v>83</v>
      </c>
      <c r="E319" s="19">
        <v>1</v>
      </c>
      <c r="F319" s="23">
        <v>21648954</v>
      </c>
      <c r="G319" s="24">
        <f t="shared" si="4"/>
        <v>21648954</v>
      </c>
    </row>
    <row r="320" spans="1:7" hidden="1" x14ac:dyDescent="0.3">
      <c r="A320" s="19">
        <v>319</v>
      </c>
      <c r="B320" s="19" t="s">
        <v>654</v>
      </c>
      <c r="C320" s="19" t="s">
        <v>655</v>
      </c>
      <c r="D320" s="21" t="s">
        <v>83</v>
      </c>
      <c r="E320" s="19">
        <v>1</v>
      </c>
      <c r="F320" s="23">
        <v>518000</v>
      </c>
      <c r="G320" s="24">
        <f t="shared" si="4"/>
        <v>518000</v>
      </c>
    </row>
    <row r="321" spans="1:7" hidden="1" x14ac:dyDescent="0.3">
      <c r="A321" s="19">
        <v>320</v>
      </c>
      <c r="B321" s="19" t="s">
        <v>656</v>
      </c>
      <c r="C321" s="19" t="s">
        <v>657</v>
      </c>
      <c r="D321" s="21" t="s">
        <v>83</v>
      </c>
      <c r="E321" s="19">
        <v>1</v>
      </c>
      <c r="F321" s="23">
        <v>518000</v>
      </c>
      <c r="G321" s="24">
        <f t="shared" si="4"/>
        <v>518000</v>
      </c>
    </row>
    <row r="322" spans="1:7" hidden="1" x14ac:dyDescent="0.3">
      <c r="A322" s="19">
        <v>321</v>
      </c>
      <c r="B322" s="19" t="s">
        <v>658</v>
      </c>
      <c r="C322" s="19" t="s">
        <v>659</v>
      </c>
      <c r="D322" s="21" t="s">
        <v>83</v>
      </c>
      <c r="E322" s="19">
        <v>1</v>
      </c>
      <c r="F322" s="23">
        <v>518000</v>
      </c>
      <c r="G322" s="24">
        <f t="shared" si="4"/>
        <v>518000</v>
      </c>
    </row>
    <row r="323" spans="1:7" hidden="1" x14ac:dyDescent="0.3">
      <c r="A323" s="19">
        <v>322</v>
      </c>
      <c r="B323" s="19" t="s">
        <v>660</v>
      </c>
      <c r="C323" s="19" t="s">
        <v>661</v>
      </c>
      <c r="D323" s="21" t="s">
        <v>83</v>
      </c>
      <c r="E323" s="19">
        <v>1</v>
      </c>
      <c r="F323" s="23">
        <v>518000</v>
      </c>
      <c r="G323" s="24">
        <f t="shared" ref="G323:G386" si="5">+E323*F323</f>
        <v>518000</v>
      </c>
    </row>
    <row r="324" spans="1:7" hidden="1" x14ac:dyDescent="0.3">
      <c r="A324" s="19">
        <v>323</v>
      </c>
      <c r="B324" s="19" t="s">
        <v>662</v>
      </c>
      <c r="C324" s="19" t="s">
        <v>663</v>
      </c>
      <c r="D324" s="21" t="s">
        <v>83</v>
      </c>
      <c r="E324" s="19">
        <v>1</v>
      </c>
      <c r="F324" s="23">
        <v>518000</v>
      </c>
      <c r="G324" s="24">
        <f t="shared" si="5"/>
        <v>518000</v>
      </c>
    </row>
    <row r="325" spans="1:7" hidden="1" x14ac:dyDescent="0.3">
      <c r="A325" s="19">
        <v>324</v>
      </c>
      <c r="B325" s="19" t="s">
        <v>664</v>
      </c>
      <c r="C325" s="19" t="s">
        <v>665</v>
      </c>
      <c r="D325" s="21" t="s">
        <v>83</v>
      </c>
      <c r="E325" s="19">
        <v>1</v>
      </c>
      <c r="F325" s="23">
        <v>971250</v>
      </c>
      <c r="G325" s="24">
        <f t="shared" si="5"/>
        <v>971250</v>
      </c>
    </row>
    <row r="326" spans="1:7" hidden="1" x14ac:dyDescent="0.3">
      <c r="A326" s="19">
        <v>325</v>
      </c>
      <c r="B326" s="19" t="s">
        <v>666</v>
      </c>
      <c r="C326" s="19" t="s">
        <v>667</v>
      </c>
      <c r="D326" s="21" t="s">
        <v>83</v>
      </c>
      <c r="E326" s="19">
        <v>1</v>
      </c>
      <c r="F326" s="23">
        <v>3586388</v>
      </c>
      <c r="G326" s="24">
        <f t="shared" si="5"/>
        <v>3586388</v>
      </c>
    </row>
    <row r="327" spans="1:7" hidden="1" x14ac:dyDescent="0.3">
      <c r="A327" s="19">
        <v>326</v>
      </c>
      <c r="B327" s="19" t="s">
        <v>668</v>
      </c>
      <c r="C327" s="19" t="s">
        <v>669</v>
      </c>
      <c r="D327" s="21" t="s">
        <v>83</v>
      </c>
      <c r="E327" s="19">
        <v>1</v>
      </c>
      <c r="F327" s="23">
        <v>3916171</v>
      </c>
      <c r="G327" s="24">
        <f t="shared" si="5"/>
        <v>3916171</v>
      </c>
    </row>
    <row r="328" spans="1:7" hidden="1" x14ac:dyDescent="0.3">
      <c r="A328" s="19">
        <v>327</v>
      </c>
      <c r="B328" s="19" t="s">
        <v>670</v>
      </c>
      <c r="C328" s="19" t="s">
        <v>671</v>
      </c>
      <c r="D328" s="21" t="s">
        <v>83</v>
      </c>
      <c r="E328" s="19">
        <v>1</v>
      </c>
      <c r="F328" s="23">
        <v>4122285</v>
      </c>
      <c r="G328" s="24">
        <f t="shared" si="5"/>
        <v>4122285</v>
      </c>
    </row>
    <row r="329" spans="1:7" hidden="1" x14ac:dyDescent="0.3">
      <c r="A329" s="19">
        <v>328</v>
      </c>
      <c r="B329" s="19" t="s">
        <v>672</v>
      </c>
      <c r="C329" s="19" t="s">
        <v>673</v>
      </c>
      <c r="D329" s="21" t="s">
        <v>83</v>
      </c>
      <c r="E329" s="19">
        <v>1</v>
      </c>
      <c r="F329" s="23">
        <v>3710056</v>
      </c>
      <c r="G329" s="24">
        <f t="shared" si="5"/>
        <v>3710056</v>
      </c>
    </row>
    <row r="330" spans="1:7" hidden="1" x14ac:dyDescent="0.3">
      <c r="A330" s="19">
        <v>329</v>
      </c>
      <c r="B330" s="19" t="s">
        <v>674</v>
      </c>
      <c r="C330" s="19" t="s">
        <v>675</v>
      </c>
      <c r="D330" s="21" t="s">
        <v>83</v>
      </c>
      <c r="E330" s="19">
        <v>1</v>
      </c>
      <c r="F330" s="23">
        <v>3916171</v>
      </c>
      <c r="G330" s="24">
        <f t="shared" si="5"/>
        <v>3916171</v>
      </c>
    </row>
    <row r="331" spans="1:7" hidden="1" x14ac:dyDescent="0.3">
      <c r="A331" s="19">
        <v>330</v>
      </c>
      <c r="B331" s="19" t="s">
        <v>676</v>
      </c>
      <c r="C331" s="19" t="s">
        <v>677</v>
      </c>
      <c r="D331" s="21" t="s">
        <v>83</v>
      </c>
      <c r="E331" s="19">
        <v>1</v>
      </c>
      <c r="F331" s="23">
        <v>1860887</v>
      </c>
      <c r="G331" s="24">
        <f t="shared" si="5"/>
        <v>1860887</v>
      </c>
    </row>
    <row r="332" spans="1:7" hidden="1" x14ac:dyDescent="0.3">
      <c r="A332" s="19">
        <v>331</v>
      </c>
      <c r="B332" s="19" t="s">
        <v>678</v>
      </c>
      <c r="C332" s="19" t="s">
        <v>679</v>
      </c>
      <c r="D332" s="21" t="s">
        <v>83</v>
      </c>
      <c r="E332" s="19">
        <v>1</v>
      </c>
      <c r="F332" s="23">
        <v>929625</v>
      </c>
      <c r="G332" s="24">
        <f t="shared" si="5"/>
        <v>929625</v>
      </c>
    </row>
    <row r="333" spans="1:7" hidden="1" x14ac:dyDescent="0.3">
      <c r="A333" s="19">
        <v>332</v>
      </c>
      <c r="B333" s="19" t="s">
        <v>680</v>
      </c>
      <c r="C333" s="19" t="s">
        <v>681</v>
      </c>
      <c r="D333" s="21" t="s">
        <v>83</v>
      </c>
      <c r="E333" s="19">
        <v>1</v>
      </c>
      <c r="F333" s="23">
        <v>929625</v>
      </c>
      <c r="G333" s="24">
        <f t="shared" si="5"/>
        <v>929625</v>
      </c>
    </row>
    <row r="334" spans="1:7" hidden="1" x14ac:dyDescent="0.3">
      <c r="A334" s="19">
        <v>333</v>
      </c>
      <c r="B334" s="19" t="s">
        <v>682</v>
      </c>
      <c r="C334" s="19" t="s">
        <v>683</v>
      </c>
      <c r="D334" s="21" t="s">
        <v>83</v>
      </c>
      <c r="E334" s="19">
        <v>1</v>
      </c>
      <c r="F334" s="23">
        <v>929625</v>
      </c>
      <c r="G334" s="24">
        <f t="shared" si="5"/>
        <v>929625</v>
      </c>
    </row>
    <row r="335" spans="1:7" hidden="1" x14ac:dyDescent="0.3">
      <c r="A335" s="19">
        <v>334</v>
      </c>
      <c r="B335" s="19" t="s">
        <v>684</v>
      </c>
      <c r="C335" s="19" t="s">
        <v>685</v>
      </c>
      <c r="D335" s="21" t="s">
        <v>83</v>
      </c>
      <c r="E335" s="19">
        <v>1</v>
      </c>
      <c r="F335" s="23">
        <v>929625</v>
      </c>
      <c r="G335" s="24">
        <f t="shared" si="5"/>
        <v>929625</v>
      </c>
    </row>
    <row r="336" spans="1:7" hidden="1" x14ac:dyDescent="0.3">
      <c r="A336" s="19">
        <v>335</v>
      </c>
      <c r="B336" s="19" t="s">
        <v>686</v>
      </c>
      <c r="C336" s="19" t="s">
        <v>687</v>
      </c>
      <c r="D336" s="21" t="s">
        <v>83</v>
      </c>
      <c r="E336" s="19">
        <v>1</v>
      </c>
      <c r="F336" s="23">
        <v>929625</v>
      </c>
      <c r="G336" s="24">
        <f t="shared" si="5"/>
        <v>929625</v>
      </c>
    </row>
    <row r="337" spans="1:7" hidden="1" x14ac:dyDescent="0.3">
      <c r="A337" s="19">
        <v>336</v>
      </c>
      <c r="B337" s="19" t="s">
        <v>688</v>
      </c>
      <c r="C337" s="19" t="s">
        <v>689</v>
      </c>
      <c r="D337" s="21" t="s">
        <v>83</v>
      </c>
      <c r="E337" s="19">
        <v>1</v>
      </c>
      <c r="F337" s="23">
        <v>1859250</v>
      </c>
      <c r="G337" s="24">
        <f t="shared" si="5"/>
        <v>1859250</v>
      </c>
    </row>
    <row r="338" spans="1:7" hidden="1" x14ac:dyDescent="0.3">
      <c r="A338" s="19">
        <v>337</v>
      </c>
      <c r="B338" s="19" t="s">
        <v>690</v>
      </c>
      <c r="C338" s="19" t="s">
        <v>691</v>
      </c>
      <c r="D338" s="21" t="s">
        <v>43</v>
      </c>
      <c r="E338" s="19">
        <v>64</v>
      </c>
      <c r="F338" s="23">
        <v>132000</v>
      </c>
      <c r="G338" s="24">
        <f t="shared" si="5"/>
        <v>8448000</v>
      </c>
    </row>
    <row r="339" spans="1:7" hidden="1" x14ac:dyDescent="0.3">
      <c r="A339" s="19">
        <v>338</v>
      </c>
      <c r="B339" s="19" t="s">
        <v>692</v>
      </c>
      <c r="C339" s="19" t="s">
        <v>693</v>
      </c>
      <c r="D339" s="21" t="s">
        <v>43</v>
      </c>
      <c r="E339" s="19">
        <v>10</v>
      </c>
      <c r="F339" s="23">
        <v>165000</v>
      </c>
      <c r="G339" s="24">
        <f t="shared" si="5"/>
        <v>1650000</v>
      </c>
    </row>
    <row r="340" spans="1:7" hidden="1" x14ac:dyDescent="0.3">
      <c r="A340" s="19">
        <v>339</v>
      </c>
      <c r="B340" s="19" t="s">
        <v>694</v>
      </c>
      <c r="C340" s="19" t="s">
        <v>695</v>
      </c>
      <c r="D340" s="21" t="s">
        <v>83</v>
      </c>
      <c r="E340" s="19">
        <v>1</v>
      </c>
      <c r="F340" s="23">
        <v>22000000</v>
      </c>
      <c r="G340" s="24">
        <f t="shared" si="5"/>
        <v>22000000</v>
      </c>
    </row>
    <row r="341" spans="1:7" hidden="1" x14ac:dyDescent="0.3">
      <c r="A341" s="19">
        <v>340</v>
      </c>
      <c r="B341" s="20" t="s">
        <v>696</v>
      </c>
      <c r="C341" s="19" t="s">
        <v>697</v>
      </c>
      <c r="D341" s="21" t="s">
        <v>83</v>
      </c>
      <c r="E341" s="19">
        <v>1</v>
      </c>
      <c r="F341" s="23">
        <v>20070000</v>
      </c>
      <c r="G341" s="24">
        <f t="shared" si="5"/>
        <v>20070000</v>
      </c>
    </row>
    <row r="342" spans="1:7" hidden="1" x14ac:dyDescent="0.3">
      <c r="A342" s="19">
        <v>341</v>
      </c>
      <c r="B342" s="20" t="s">
        <v>698</v>
      </c>
      <c r="C342" s="19" t="s">
        <v>699</v>
      </c>
      <c r="D342" s="21" t="s">
        <v>83</v>
      </c>
      <c r="E342" s="19">
        <v>1</v>
      </c>
      <c r="F342" s="23">
        <v>8989594</v>
      </c>
      <c r="G342" s="24">
        <f t="shared" si="5"/>
        <v>8989594</v>
      </c>
    </row>
    <row r="343" spans="1:7" hidden="1" x14ac:dyDescent="0.3">
      <c r="A343" s="19">
        <v>342</v>
      </c>
      <c r="B343" s="20" t="s">
        <v>700</v>
      </c>
      <c r="C343" s="19" t="s">
        <v>701</v>
      </c>
      <c r="D343" s="21" t="s">
        <v>83</v>
      </c>
      <c r="E343" s="19">
        <v>1</v>
      </c>
      <c r="F343" s="23">
        <v>3641429</v>
      </c>
      <c r="G343" s="24">
        <f t="shared" si="5"/>
        <v>3641429</v>
      </c>
    </row>
    <row r="344" spans="1:7" hidden="1" x14ac:dyDescent="0.3">
      <c r="A344" s="19">
        <v>343</v>
      </c>
      <c r="B344" s="20" t="s">
        <v>702</v>
      </c>
      <c r="C344" s="19" t="s">
        <v>703</v>
      </c>
      <c r="D344" s="21" t="s">
        <v>83</v>
      </c>
      <c r="E344" s="19">
        <v>1</v>
      </c>
      <c r="F344" s="23">
        <v>6993000</v>
      </c>
      <c r="G344" s="24">
        <f t="shared" si="5"/>
        <v>6993000</v>
      </c>
    </row>
    <row r="345" spans="1:7" hidden="1" x14ac:dyDescent="0.3">
      <c r="A345" s="19">
        <v>344</v>
      </c>
      <c r="B345" s="20" t="s">
        <v>704</v>
      </c>
      <c r="C345" s="19" t="s">
        <v>705</v>
      </c>
      <c r="D345" s="21" t="s">
        <v>83</v>
      </c>
      <c r="E345" s="19">
        <v>1</v>
      </c>
      <c r="F345" s="23">
        <v>1656379</v>
      </c>
      <c r="G345" s="24">
        <f t="shared" si="5"/>
        <v>1656379</v>
      </c>
    </row>
    <row r="346" spans="1:7" hidden="1" x14ac:dyDescent="0.3">
      <c r="A346" s="19">
        <v>345</v>
      </c>
      <c r="B346" s="20" t="s">
        <v>706</v>
      </c>
      <c r="C346" s="19" t="s">
        <v>707</v>
      </c>
      <c r="D346" s="21" t="s">
        <v>83</v>
      </c>
      <c r="E346" s="19">
        <v>1</v>
      </c>
      <c r="F346" s="23">
        <v>10963100</v>
      </c>
      <c r="G346" s="24">
        <f t="shared" si="5"/>
        <v>10963100</v>
      </c>
    </row>
    <row r="347" spans="1:7" hidden="1" x14ac:dyDescent="0.3">
      <c r="A347" s="19">
        <v>346</v>
      </c>
      <c r="B347" s="20" t="s">
        <v>708</v>
      </c>
      <c r="C347" s="19" t="s">
        <v>709</v>
      </c>
      <c r="D347" s="21" t="s">
        <v>83</v>
      </c>
      <c r="E347" s="19">
        <v>1</v>
      </c>
      <c r="F347" s="23">
        <v>377400</v>
      </c>
      <c r="G347" s="24">
        <f t="shared" si="5"/>
        <v>377400</v>
      </c>
    </row>
    <row r="348" spans="1:7" hidden="1" x14ac:dyDescent="0.3">
      <c r="A348" s="19">
        <v>347</v>
      </c>
      <c r="B348" s="20" t="s">
        <v>710</v>
      </c>
      <c r="C348" s="19" t="s">
        <v>711</v>
      </c>
      <c r="D348" s="21" t="s">
        <v>83</v>
      </c>
      <c r="E348" s="19">
        <v>1</v>
      </c>
      <c r="F348" s="23">
        <v>521700</v>
      </c>
      <c r="G348" s="24">
        <f t="shared" si="5"/>
        <v>521700</v>
      </c>
    </row>
    <row r="349" spans="1:7" hidden="1" x14ac:dyDescent="0.3">
      <c r="A349" s="19">
        <v>348</v>
      </c>
      <c r="B349" s="20" t="s">
        <v>712</v>
      </c>
      <c r="C349" s="19" t="s">
        <v>713</v>
      </c>
      <c r="D349" s="21" t="s">
        <v>83</v>
      </c>
      <c r="E349" s="19">
        <v>1</v>
      </c>
      <c r="F349" s="23">
        <v>9020600</v>
      </c>
      <c r="G349" s="24">
        <f t="shared" si="5"/>
        <v>9020600</v>
      </c>
    </row>
    <row r="350" spans="1:7" hidden="1" x14ac:dyDescent="0.3">
      <c r="A350" s="19">
        <v>349</v>
      </c>
      <c r="B350" s="20" t="s">
        <v>714</v>
      </c>
      <c r="C350" s="19" t="s">
        <v>715</v>
      </c>
      <c r="D350" s="21" t="s">
        <v>83</v>
      </c>
      <c r="E350" s="19">
        <v>1</v>
      </c>
      <c r="F350" s="23">
        <v>1487400</v>
      </c>
      <c r="G350" s="24">
        <f t="shared" si="5"/>
        <v>1487400</v>
      </c>
    </row>
    <row r="351" spans="1:7" hidden="1" x14ac:dyDescent="0.3">
      <c r="A351" s="19">
        <v>350</v>
      </c>
      <c r="B351" s="19" t="s">
        <v>716</v>
      </c>
      <c r="C351" s="19" t="s">
        <v>717</v>
      </c>
      <c r="D351" s="21" t="s">
        <v>83</v>
      </c>
      <c r="E351" s="19">
        <v>1</v>
      </c>
      <c r="F351" s="23">
        <v>5075000</v>
      </c>
      <c r="G351" s="24">
        <f t="shared" si="5"/>
        <v>5075000</v>
      </c>
    </row>
    <row r="352" spans="1:7" hidden="1" x14ac:dyDescent="0.3">
      <c r="A352" s="19">
        <v>351</v>
      </c>
      <c r="B352" s="19" t="s">
        <v>718</v>
      </c>
      <c r="C352" s="19" t="s">
        <v>719</v>
      </c>
      <c r="D352" s="21" t="s">
        <v>83</v>
      </c>
      <c r="E352" s="19">
        <v>1</v>
      </c>
      <c r="F352" s="23">
        <v>2081250</v>
      </c>
      <c r="G352" s="24">
        <f t="shared" si="5"/>
        <v>2081250</v>
      </c>
    </row>
    <row r="353" spans="1:7" hidden="1" x14ac:dyDescent="0.3">
      <c r="A353" s="19">
        <v>352</v>
      </c>
      <c r="B353" s="19" t="s">
        <v>720</v>
      </c>
      <c r="C353" s="19" t="s">
        <v>721</v>
      </c>
      <c r="D353" s="21" t="s">
        <v>83</v>
      </c>
      <c r="E353" s="19">
        <v>1</v>
      </c>
      <c r="F353" s="23">
        <v>2081250</v>
      </c>
      <c r="G353" s="24">
        <f t="shared" si="5"/>
        <v>2081250</v>
      </c>
    </row>
    <row r="354" spans="1:7" hidden="1" x14ac:dyDescent="0.3">
      <c r="A354" s="19">
        <v>353</v>
      </c>
      <c r="B354" s="19" t="s">
        <v>722</v>
      </c>
      <c r="C354" s="19" t="s">
        <v>723</v>
      </c>
      <c r="D354" s="21" t="s">
        <v>83</v>
      </c>
      <c r="E354" s="19">
        <v>1</v>
      </c>
      <c r="F354" s="23">
        <v>17280388</v>
      </c>
      <c r="G354" s="24">
        <f t="shared" si="5"/>
        <v>17280388</v>
      </c>
    </row>
    <row r="355" spans="1:7" hidden="1" x14ac:dyDescent="0.3">
      <c r="A355" s="19">
        <v>354</v>
      </c>
      <c r="B355" s="19" t="s">
        <v>724</v>
      </c>
      <c r="C355" s="19" t="s">
        <v>725</v>
      </c>
      <c r="D355" s="21" t="s">
        <v>83</v>
      </c>
      <c r="E355" s="19">
        <v>1</v>
      </c>
      <c r="F355" s="23">
        <v>17280388</v>
      </c>
      <c r="G355" s="24">
        <f t="shared" si="5"/>
        <v>17280388</v>
      </c>
    </row>
    <row r="356" spans="1:7" hidden="1" x14ac:dyDescent="0.3">
      <c r="A356" s="19">
        <v>355</v>
      </c>
      <c r="B356" s="19" t="s">
        <v>726</v>
      </c>
      <c r="C356" s="19" t="s">
        <v>727</v>
      </c>
      <c r="D356" s="21" t="s">
        <v>83</v>
      </c>
      <c r="E356" s="19">
        <v>1</v>
      </c>
      <c r="F356" s="23">
        <v>17280388</v>
      </c>
      <c r="G356" s="24">
        <f t="shared" si="5"/>
        <v>17280388</v>
      </c>
    </row>
    <row r="357" spans="1:7" hidden="1" x14ac:dyDescent="0.3">
      <c r="A357" s="19">
        <v>356</v>
      </c>
      <c r="B357" s="19" t="s">
        <v>728</v>
      </c>
      <c r="C357" s="19" t="s">
        <v>729</v>
      </c>
      <c r="D357" s="21" t="s">
        <v>83</v>
      </c>
      <c r="E357" s="19">
        <v>1</v>
      </c>
      <c r="F357" s="23">
        <v>17280388</v>
      </c>
      <c r="G357" s="24">
        <f t="shared" si="5"/>
        <v>17280388</v>
      </c>
    </row>
    <row r="358" spans="1:7" hidden="1" x14ac:dyDescent="0.3">
      <c r="A358" s="19">
        <v>357</v>
      </c>
      <c r="B358" s="19" t="s">
        <v>730</v>
      </c>
      <c r="C358" s="19" t="s">
        <v>731</v>
      </c>
      <c r="D358" s="21" t="s">
        <v>83</v>
      </c>
      <c r="E358" s="19">
        <v>1</v>
      </c>
      <c r="F358" s="23">
        <v>17280388</v>
      </c>
      <c r="G358" s="24">
        <f t="shared" si="5"/>
        <v>17280388</v>
      </c>
    </row>
    <row r="359" spans="1:7" hidden="1" x14ac:dyDescent="0.3">
      <c r="A359" s="19">
        <v>358</v>
      </c>
      <c r="B359" s="19" t="s">
        <v>732</v>
      </c>
      <c r="C359" s="19" t="s">
        <v>733</v>
      </c>
      <c r="D359" s="21" t="s">
        <v>83</v>
      </c>
      <c r="E359" s="19">
        <v>1</v>
      </c>
      <c r="F359" s="23">
        <v>30092779</v>
      </c>
      <c r="G359" s="24">
        <f t="shared" si="5"/>
        <v>30092779</v>
      </c>
    </row>
    <row r="360" spans="1:7" hidden="1" x14ac:dyDescent="0.3">
      <c r="A360" s="19">
        <v>359</v>
      </c>
      <c r="B360" s="19" t="s">
        <v>734</v>
      </c>
      <c r="C360" s="19" t="s">
        <v>735</v>
      </c>
      <c r="D360" s="21" t="s">
        <v>83</v>
      </c>
      <c r="E360" s="19">
        <v>1</v>
      </c>
      <c r="F360" s="23">
        <v>32859931</v>
      </c>
      <c r="G360" s="24">
        <f t="shared" si="5"/>
        <v>32859931</v>
      </c>
    </row>
    <row r="361" spans="1:7" hidden="1" x14ac:dyDescent="0.3">
      <c r="A361" s="19">
        <v>360</v>
      </c>
      <c r="B361" s="19" t="s">
        <v>736</v>
      </c>
      <c r="C361" s="19" t="s">
        <v>737</v>
      </c>
      <c r="D361" s="21" t="s">
        <v>83</v>
      </c>
      <c r="E361" s="19">
        <v>1</v>
      </c>
      <c r="F361" s="23">
        <v>34589401</v>
      </c>
      <c r="G361" s="24">
        <f t="shared" si="5"/>
        <v>34589401</v>
      </c>
    </row>
    <row r="362" spans="1:7" hidden="1" x14ac:dyDescent="0.3">
      <c r="A362" s="19">
        <v>361</v>
      </c>
      <c r="B362" s="19" t="s">
        <v>738</v>
      </c>
      <c r="C362" s="19" t="s">
        <v>739</v>
      </c>
      <c r="D362" s="21" t="s">
        <v>83</v>
      </c>
      <c r="E362" s="19">
        <v>1</v>
      </c>
      <c r="F362" s="23">
        <v>31130461</v>
      </c>
      <c r="G362" s="24">
        <f t="shared" si="5"/>
        <v>31130461</v>
      </c>
    </row>
    <row r="363" spans="1:7" hidden="1" x14ac:dyDescent="0.3">
      <c r="A363" s="19">
        <v>362</v>
      </c>
      <c r="B363" s="19" t="s">
        <v>740</v>
      </c>
      <c r="C363" s="19" t="s">
        <v>741</v>
      </c>
      <c r="D363" s="21" t="s">
        <v>83</v>
      </c>
      <c r="E363" s="19">
        <v>1</v>
      </c>
      <c r="F363" s="23">
        <v>32859931</v>
      </c>
      <c r="G363" s="24">
        <f t="shared" si="5"/>
        <v>32859931</v>
      </c>
    </row>
    <row r="364" spans="1:7" hidden="1" x14ac:dyDescent="0.3">
      <c r="A364" s="19">
        <v>363</v>
      </c>
      <c r="B364" s="19" t="s">
        <v>742</v>
      </c>
      <c r="C364" s="19" t="s">
        <v>743</v>
      </c>
      <c r="D364" s="21" t="s">
        <v>83</v>
      </c>
      <c r="E364" s="19">
        <v>1</v>
      </c>
      <c r="F364" s="23">
        <v>3427125</v>
      </c>
      <c r="G364" s="24">
        <f t="shared" si="5"/>
        <v>3427125</v>
      </c>
    </row>
    <row r="365" spans="1:7" hidden="1" x14ac:dyDescent="0.3">
      <c r="A365" s="19">
        <v>364</v>
      </c>
      <c r="B365" s="19" t="s">
        <v>744</v>
      </c>
      <c r="C365" s="19" t="s">
        <v>745</v>
      </c>
      <c r="D365" s="21" t="s">
        <v>83</v>
      </c>
      <c r="E365" s="19">
        <v>1</v>
      </c>
      <c r="F365" s="23">
        <v>3427125</v>
      </c>
      <c r="G365" s="24">
        <f t="shared" si="5"/>
        <v>3427125</v>
      </c>
    </row>
    <row r="366" spans="1:7" hidden="1" x14ac:dyDescent="0.3">
      <c r="A366" s="19">
        <v>365</v>
      </c>
      <c r="B366" s="19" t="s">
        <v>746</v>
      </c>
      <c r="C366" s="19" t="s">
        <v>747</v>
      </c>
      <c r="D366" s="21" t="s">
        <v>83</v>
      </c>
      <c r="E366" s="19">
        <v>1</v>
      </c>
      <c r="F366" s="23">
        <v>3427125</v>
      </c>
      <c r="G366" s="24">
        <f t="shared" si="5"/>
        <v>3427125</v>
      </c>
    </row>
    <row r="367" spans="1:7" hidden="1" x14ac:dyDescent="0.3">
      <c r="A367" s="19">
        <v>366</v>
      </c>
      <c r="B367" s="19" t="s">
        <v>748</v>
      </c>
      <c r="C367" s="19" t="s">
        <v>749</v>
      </c>
      <c r="D367" s="21" t="s">
        <v>83</v>
      </c>
      <c r="E367" s="19">
        <v>1</v>
      </c>
      <c r="F367" s="23">
        <v>3427125</v>
      </c>
      <c r="G367" s="24">
        <f t="shared" si="5"/>
        <v>3427125</v>
      </c>
    </row>
    <row r="368" spans="1:7" hidden="1" x14ac:dyDescent="0.3">
      <c r="A368" s="19">
        <v>367</v>
      </c>
      <c r="B368" s="19" t="s">
        <v>750</v>
      </c>
      <c r="C368" s="19" t="s">
        <v>751</v>
      </c>
      <c r="D368" s="21" t="s">
        <v>83</v>
      </c>
      <c r="E368" s="19">
        <v>1</v>
      </c>
      <c r="F368" s="23">
        <v>3427125</v>
      </c>
      <c r="G368" s="24">
        <f t="shared" si="5"/>
        <v>3427125</v>
      </c>
    </row>
    <row r="369" spans="1:7" hidden="1" x14ac:dyDescent="0.3">
      <c r="A369" s="19">
        <v>368</v>
      </c>
      <c r="B369" s="19" t="s">
        <v>752</v>
      </c>
      <c r="C369" s="19" t="s">
        <v>753</v>
      </c>
      <c r="D369" s="21" t="s">
        <v>83</v>
      </c>
      <c r="E369" s="19">
        <v>1</v>
      </c>
      <c r="F369" s="23">
        <v>2747944</v>
      </c>
      <c r="G369" s="24">
        <f t="shared" si="5"/>
        <v>2747944</v>
      </c>
    </row>
    <row r="370" spans="1:7" hidden="1" x14ac:dyDescent="0.3">
      <c r="A370" s="19">
        <v>369</v>
      </c>
      <c r="B370" s="19" t="s">
        <v>754</v>
      </c>
      <c r="C370" s="19" t="s">
        <v>755</v>
      </c>
      <c r="D370" s="21" t="s">
        <v>83</v>
      </c>
      <c r="E370" s="19">
        <v>1</v>
      </c>
      <c r="F370" s="23">
        <v>2747944</v>
      </c>
      <c r="G370" s="24">
        <f t="shared" si="5"/>
        <v>2747944</v>
      </c>
    </row>
    <row r="371" spans="1:7" hidden="1" x14ac:dyDescent="0.3">
      <c r="A371" s="19">
        <v>370</v>
      </c>
      <c r="B371" s="19" t="s">
        <v>756</v>
      </c>
      <c r="C371" s="19" t="s">
        <v>757</v>
      </c>
      <c r="D371" s="21" t="s">
        <v>83</v>
      </c>
      <c r="E371" s="19">
        <v>1</v>
      </c>
      <c r="F371" s="23">
        <v>2747944</v>
      </c>
      <c r="G371" s="24">
        <f t="shared" si="5"/>
        <v>2747944</v>
      </c>
    </row>
    <row r="372" spans="1:7" hidden="1" x14ac:dyDescent="0.3">
      <c r="A372" s="19">
        <v>371</v>
      </c>
      <c r="B372" s="19" t="s">
        <v>758</v>
      </c>
      <c r="C372" s="19" t="s">
        <v>759</v>
      </c>
      <c r="D372" s="21" t="s">
        <v>83</v>
      </c>
      <c r="E372" s="19">
        <v>1</v>
      </c>
      <c r="F372" s="23">
        <v>2747944</v>
      </c>
      <c r="G372" s="24">
        <f t="shared" si="5"/>
        <v>2747944</v>
      </c>
    </row>
    <row r="373" spans="1:7" hidden="1" x14ac:dyDescent="0.3">
      <c r="A373" s="19">
        <v>372</v>
      </c>
      <c r="B373" s="19" t="s">
        <v>760</v>
      </c>
      <c r="C373" s="19" t="s">
        <v>761</v>
      </c>
      <c r="D373" s="21" t="s">
        <v>83</v>
      </c>
      <c r="E373" s="19">
        <v>1</v>
      </c>
      <c r="F373" s="23">
        <v>2747944</v>
      </c>
      <c r="G373" s="24">
        <f t="shared" si="5"/>
        <v>2747944</v>
      </c>
    </row>
    <row r="374" spans="1:7" hidden="1" x14ac:dyDescent="0.3">
      <c r="A374" s="19">
        <v>373</v>
      </c>
      <c r="B374" s="19" t="s">
        <v>762</v>
      </c>
      <c r="C374" s="19" t="s">
        <v>763</v>
      </c>
      <c r="D374" s="21" t="s">
        <v>83</v>
      </c>
      <c r="E374" s="19">
        <v>1</v>
      </c>
      <c r="F374" s="23">
        <v>2747944</v>
      </c>
      <c r="G374" s="24">
        <f t="shared" si="5"/>
        <v>2747944</v>
      </c>
    </row>
    <row r="375" spans="1:7" hidden="1" x14ac:dyDescent="0.3">
      <c r="A375" s="19">
        <v>374</v>
      </c>
      <c r="B375" s="19" t="s">
        <v>764</v>
      </c>
      <c r="C375" s="19" t="s">
        <v>765</v>
      </c>
      <c r="D375" s="21" t="s">
        <v>83</v>
      </c>
      <c r="E375" s="19">
        <v>1</v>
      </c>
      <c r="F375" s="23">
        <v>5779751</v>
      </c>
      <c r="G375" s="24">
        <f t="shared" si="5"/>
        <v>5779751</v>
      </c>
    </row>
    <row r="376" spans="1:7" hidden="1" x14ac:dyDescent="0.3">
      <c r="A376" s="19">
        <v>375</v>
      </c>
      <c r="B376" s="19" t="s">
        <v>766</v>
      </c>
      <c r="C376" s="19" t="s">
        <v>767</v>
      </c>
      <c r="D376" s="21" t="s">
        <v>83</v>
      </c>
      <c r="E376" s="19">
        <v>1</v>
      </c>
      <c r="F376" s="23">
        <v>6311222</v>
      </c>
      <c r="G376" s="24">
        <f t="shared" si="5"/>
        <v>6311222</v>
      </c>
    </row>
    <row r="377" spans="1:7" hidden="1" x14ac:dyDescent="0.3">
      <c r="A377" s="19">
        <v>376</v>
      </c>
      <c r="B377" s="19" t="s">
        <v>768</v>
      </c>
      <c r="C377" s="19" t="s">
        <v>769</v>
      </c>
      <c r="D377" s="21" t="s">
        <v>83</v>
      </c>
      <c r="E377" s="19">
        <v>1</v>
      </c>
      <c r="F377" s="23">
        <v>6643392</v>
      </c>
      <c r="G377" s="24">
        <f t="shared" si="5"/>
        <v>6643392</v>
      </c>
    </row>
    <row r="378" spans="1:7" hidden="1" x14ac:dyDescent="0.3">
      <c r="A378" s="19">
        <v>377</v>
      </c>
      <c r="B378" s="19" t="s">
        <v>770</v>
      </c>
      <c r="C378" s="19" t="s">
        <v>771</v>
      </c>
      <c r="D378" s="21" t="s">
        <v>83</v>
      </c>
      <c r="E378" s="19">
        <v>1</v>
      </c>
      <c r="F378" s="23">
        <v>5979052</v>
      </c>
      <c r="G378" s="24">
        <f t="shared" si="5"/>
        <v>5979052</v>
      </c>
    </row>
    <row r="379" spans="1:7" hidden="1" x14ac:dyDescent="0.3">
      <c r="A379" s="19">
        <v>378</v>
      </c>
      <c r="B379" s="19" t="s">
        <v>772</v>
      </c>
      <c r="C379" s="19" t="s">
        <v>773</v>
      </c>
      <c r="D379" s="21" t="s">
        <v>83</v>
      </c>
      <c r="E379" s="19">
        <v>1</v>
      </c>
      <c r="F379" s="23">
        <v>6311222</v>
      </c>
      <c r="G379" s="24">
        <f t="shared" si="5"/>
        <v>6311222</v>
      </c>
    </row>
    <row r="380" spans="1:7" hidden="1" x14ac:dyDescent="0.3">
      <c r="A380" s="19">
        <v>379</v>
      </c>
      <c r="B380" s="19" t="s">
        <v>774</v>
      </c>
      <c r="C380" s="19" t="s">
        <v>775</v>
      </c>
      <c r="D380" s="21" t="s">
        <v>83</v>
      </c>
      <c r="E380" s="19">
        <v>1</v>
      </c>
      <c r="F380" s="23">
        <v>1769063</v>
      </c>
      <c r="G380" s="24">
        <f t="shared" si="5"/>
        <v>1769063</v>
      </c>
    </row>
    <row r="381" spans="1:7" hidden="1" x14ac:dyDescent="0.3">
      <c r="A381" s="19">
        <v>380</v>
      </c>
      <c r="B381" s="19" t="s">
        <v>776</v>
      </c>
      <c r="C381" s="19" t="s">
        <v>777</v>
      </c>
      <c r="D381" s="21" t="s">
        <v>83</v>
      </c>
      <c r="E381" s="19">
        <v>1</v>
      </c>
      <c r="F381" s="23">
        <v>23957287</v>
      </c>
      <c r="G381" s="24">
        <f t="shared" si="5"/>
        <v>23957287</v>
      </c>
    </row>
    <row r="382" spans="1:7" hidden="1" x14ac:dyDescent="0.3">
      <c r="A382" s="19">
        <v>381</v>
      </c>
      <c r="B382" s="19" t="s">
        <v>778</v>
      </c>
      <c r="C382" s="19" t="s">
        <v>779</v>
      </c>
      <c r="D382" s="21" t="s">
        <v>83</v>
      </c>
      <c r="E382" s="19">
        <v>1</v>
      </c>
      <c r="F382" s="23">
        <v>26160256</v>
      </c>
      <c r="G382" s="24">
        <f t="shared" si="5"/>
        <v>26160256</v>
      </c>
    </row>
    <row r="383" spans="1:7" hidden="1" x14ac:dyDescent="0.3">
      <c r="A383" s="19">
        <v>382</v>
      </c>
      <c r="B383" s="19" t="s">
        <v>780</v>
      </c>
      <c r="C383" s="19" t="s">
        <v>781</v>
      </c>
      <c r="D383" s="21" t="s">
        <v>83</v>
      </c>
      <c r="E383" s="19">
        <v>1</v>
      </c>
      <c r="F383" s="23">
        <v>27537111</v>
      </c>
      <c r="G383" s="24">
        <f t="shared" si="5"/>
        <v>27537111</v>
      </c>
    </row>
    <row r="384" spans="1:7" hidden="1" x14ac:dyDescent="0.3">
      <c r="A384" s="19">
        <v>383</v>
      </c>
      <c r="B384" s="19" t="s">
        <v>782</v>
      </c>
      <c r="C384" s="19" t="s">
        <v>783</v>
      </c>
      <c r="D384" s="21" t="s">
        <v>83</v>
      </c>
      <c r="E384" s="19">
        <v>1</v>
      </c>
      <c r="F384" s="23">
        <v>24783400</v>
      </c>
      <c r="G384" s="24">
        <f t="shared" si="5"/>
        <v>24783400</v>
      </c>
    </row>
    <row r="385" spans="1:7" hidden="1" x14ac:dyDescent="0.3">
      <c r="A385" s="19">
        <v>384</v>
      </c>
      <c r="B385" s="19" t="s">
        <v>784</v>
      </c>
      <c r="C385" s="19" t="s">
        <v>785</v>
      </c>
      <c r="D385" s="21" t="s">
        <v>83</v>
      </c>
      <c r="E385" s="19">
        <v>1</v>
      </c>
      <c r="F385" s="23">
        <v>26160256</v>
      </c>
      <c r="G385" s="24">
        <f t="shared" si="5"/>
        <v>26160256</v>
      </c>
    </row>
    <row r="386" spans="1:7" hidden="1" x14ac:dyDescent="0.3">
      <c r="A386" s="19">
        <v>385</v>
      </c>
      <c r="B386" s="19" t="s">
        <v>786</v>
      </c>
      <c r="C386" s="19" t="s">
        <v>787</v>
      </c>
      <c r="D386" s="21" t="s">
        <v>83</v>
      </c>
      <c r="E386" s="19">
        <v>1</v>
      </c>
      <c r="F386" s="23">
        <v>61312053</v>
      </c>
      <c r="G386" s="24">
        <f t="shared" si="5"/>
        <v>61312053</v>
      </c>
    </row>
    <row r="387" spans="1:7" hidden="1" x14ac:dyDescent="0.3">
      <c r="A387" s="19">
        <v>386</v>
      </c>
      <c r="B387" s="19" t="s">
        <v>788</v>
      </c>
      <c r="C387" s="19" t="s">
        <v>789</v>
      </c>
      <c r="D387" s="21" t="s">
        <v>83</v>
      </c>
      <c r="E387" s="19">
        <v>1</v>
      </c>
      <c r="F387" s="23">
        <v>7050905</v>
      </c>
      <c r="G387" s="24">
        <f t="shared" ref="G387:G450" si="6">+E387*F387</f>
        <v>7050905</v>
      </c>
    </row>
    <row r="388" spans="1:7" hidden="1" x14ac:dyDescent="0.3">
      <c r="A388" s="19">
        <v>387</v>
      </c>
      <c r="B388" s="19" t="s">
        <v>790</v>
      </c>
      <c r="C388" s="19" t="s">
        <v>791</v>
      </c>
      <c r="D388" s="21" t="s">
        <v>83</v>
      </c>
      <c r="E388" s="19">
        <v>1</v>
      </c>
      <c r="F388" s="23">
        <v>7050905</v>
      </c>
      <c r="G388" s="24">
        <f t="shared" si="6"/>
        <v>7050905</v>
      </c>
    </row>
    <row r="389" spans="1:7" hidden="1" x14ac:dyDescent="0.3">
      <c r="A389" s="19">
        <v>388</v>
      </c>
      <c r="B389" s="19" t="s">
        <v>792</v>
      </c>
      <c r="C389" s="19" t="s">
        <v>793</v>
      </c>
      <c r="D389" s="21" t="s">
        <v>83</v>
      </c>
      <c r="E389" s="19">
        <v>1</v>
      </c>
      <c r="F389" s="23">
        <v>7050905</v>
      </c>
      <c r="G389" s="24">
        <f t="shared" si="6"/>
        <v>7050905</v>
      </c>
    </row>
    <row r="390" spans="1:7" hidden="1" x14ac:dyDescent="0.3">
      <c r="A390" s="19">
        <v>389</v>
      </c>
      <c r="B390" s="19" t="s">
        <v>794</v>
      </c>
      <c r="C390" s="19" t="s">
        <v>795</v>
      </c>
      <c r="D390" s="21" t="s">
        <v>83</v>
      </c>
      <c r="E390" s="19">
        <v>1</v>
      </c>
      <c r="F390" s="23">
        <v>7050905</v>
      </c>
      <c r="G390" s="24">
        <f t="shared" si="6"/>
        <v>7050905</v>
      </c>
    </row>
    <row r="391" spans="1:7" hidden="1" x14ac:dyDescent="0.3">
      <c r="A391" s="19">
        <v>390</v>
      </c>
      <c r="B391" s="19" t="s">
        <v>796</v>
      </c>
      <c r="C391" s="19" t="s">
        <v>797</v>
      </c>
      <c r="D391" s="21" t="s">
        <v>83</v>
      </c>
      <c r="E391" s="19">
        <v>1</v>
      </c>
      <c r="F391" s="23">
        <v>7050905</v>
      </c>
      <c r="G391" s="24">
        <f t="shared" si="6"/>
        <v>7050905</v>
      </c>
    </row>
    <row r="392" spans="1:7" hidden="1" x14ac:dyDescent="0.3">
      <c r="A392" s="19">
        <v>391</v>
      </c>
      <c r="B392" s="19" t="s">
        <v>798</v>
      </c>
      <c r="C392" s="19" t="s">
        <v>799</v>
      </c>
      <c r="D392" s="21" t="s">
        <v>83</v>
      </c>
      <c r="E392" s="19">
        <v>1</v>
      </c>
      <c r="F392" s="23">
        <v>3644778</v>
      </c>
      <c r="G392" s="24">
        <f t="shared" si="6"/>
        <v>3644778</v>
      </c>
    </row>
    <row r="393" spans="1:7" hidden="1" x14ac:dyDescent="0.3">
      <c r="A393" s="19">
        <v>392</v>
      </c>
      <c r="B393" s="19" t="s">
        <v>800</v>
      </c>
      <c r="C393" s="19" t="s">
        <v>801</v>
      </c>
      <c r="D393" s="21" t="s">
        <v>83</v>
      </c>
      <c r="E393" s="19">
        <v>1</v>
      </c>
      <c r="F393" s="23">
        <v>3644778</v>
      </c>
      <c r="G393" s="24">
        <f t="shared" si="6"/>
        <v>3644778</v>
      </c>
    </row>
    <row r="394" spans="1:7" hidden="1" x14ac:dyDescent="0.3">
      <c r="A394" s="19">
        <v>393</v>
      </c>
      <c r="B394" s="19" t="s">
        <v>802</v>
      </c>
      <c r="C394" s="19" t="s">
        <v>803</v>
      </c>
      <c r="D394" s="21" t="s">
        <v>83</v>
      </c>
      <c r="E394" s="19">
        <v>1</v>
      </c>
      <c r="F394" s="23">
        <v>3644778</v>
      </c>
      <c r="G394" s="24">
        <f t="shared" si="6"/>
        <v>3644778</v>
      </c>
    </row>
    <row r="395" spans="1:7" hidden="1" x14ac:dyDescent="0.3">
      <c r="A395" s="19">
        <v>394</v>
      </c>
      <c r="B395" s="19" t="s">
        <v>804</v>
      </c>
      <c r="C395" s="19" t="s">
        <v>805</v>
      </c>
      <c r="D395" s="21" t="s">
        <v>83</v>
      </c>
      <c r="E395" s="19">
        <v>1</v>
      </c>
      <c r="F395" s="23">
        <v>3644778</v>
      </c>
      <c r="G395" s="24">
        <f t="shared" si="6"/>
        <v>3644778</v>
      </c>
    </row>
    <row r="396" spans="1:7" hidden="1" x14ac:dyDescent="0.3">
      <c r="A396" s="19">
        <v>395</v>
      </c>
      <c r="B396" s="19" t="s">
        <v>806</v>
      </c>
      <c r="C396" s="19" t="s">
        <v>807</v>
      </c>
      <c r="D396" s="21" t="s">
        <v>83</v>
      </c>
      <c r="E396" s="19">
        <v>1</v>
      </c>
      <c r="F396" s="23">
        <v>3644778</v>
      </c>
      <c r="G396" s="24">
        <f t="shared" si="6"/>
        <v>3644778</v>
      </c>
    </row>
    <row r="397" spans="1:7" hidden="1" x14ac:dyDescent="0.3">
      <c r="A397" s="19">
        <v>396</v>
      </c>
      <c r="B397" s="19" t="s">
        <v>808</v>
      </c>
      <c r="C397" s="19" t="s">
        <v>809</v>
      </c>
      <c r="D397" s="21" t="s">
        <v>83</v>
      </c>
      <c r="E397" s="19">
        <v>1</v>
      </c>
      <c r="F397" s="23">
        <v>1341518</v>
      </c>
      <c r="G397" s="24">
        <f t="shared" si="6"/>
        <v>1341518</v>
      </c>
    </row>
    <row r="398" spans="1:7" hidden="1" x14ac:dyDescent="0.3">
      <c r="A398" s="19">
        <v>397</v>
      </c>
      <c r="B398" s="19" t="s">
        <v>810</v>
      </c>
      <c r="C398" s="19" t="s">
        <v>811</v>
      </c>
      <c r="D398" s="21" t="s">
        <v>83</v>
      </c>
      <c r="E398" s="19">
        <v>1</v>
      </c>
      <c r="F398" s="23">
        <v>1464876</v>
      </c>
      <c r="G398" s="24">
        <f t="shared" si="6"/>
        <v>1464876</v>
      </c>
    </row>
    <row r="399" spans="1:7" hidden="1" x14ac:dyDescent="0.3">
      <c r="A399" s="19">
        <v>398</v>
      </c>
      <c r="B399" s="19" t="s">
        <v>812</v>
      </c>
      <c r="C399" s="19" t="s">
        <v>813</v>
      </c>
      <c r="D399" s="21" t="s">
        <v>83</v>
      </c>
      <c r="E399" s="19">
        <v>1</v>
      </c>
      <c r="F399" s="23">
        <v>1541975</v>
      </c>
      <c r="G399" s="24">
        <f t="shared" si="6"/>
        <v>1541975</v>
      </c>
    </row>
    <row r="400" spans="1:7" hidden="1" x14ac:dyDescent="0.3">
      <c r="A400" s="19">
        <v>399</v>
      </c>
      <c r="B400" s="19" t="s">
        <v>814</v>
      </c>
      <c r="C400" s="19" t="s">
        <v>815</v>
      </c>
      <c r="D400" s="21" t="s">
        <v>83</v>
      </c>
      <c r="E400" s="19">
        <v>1</v>
      </c>
      <c r="F400" s="23">
        <v>1387778</v>
      </c>
      <c r="G400" s="24">
        <f t="shared" si="6"/>
        <v>1387778</v>
      </c>
    </row>
    <row r="401" spans="1:7" hidden="1" x14ac:dyDescent="0.3">
      <c r="A401" s="19">
        <v>400</v>
      </c>
      <c r="B401" s="19" t="s">
        <v>816</v>
      </c>
      <c r="C401" s="19" t="s">
        <v>817</v>
      </c>
      <c r="D401" s="21" t="s">
        <v>83</v>
      </c>
      <c r="E401" s="19">
        <v>1</v>
      </c>
      <c r="F401" s="23">
        <v>1464876</v>
      </c>
      <c r="G401" s="24">
        <f t="shared" si="6"/>
        <v>1464876</v>
      </c>
    </row>
    <row r="402" spans="1:7" hidden="1" x14ac:dyDescent="0.3">
      <c r="A402" s="19">
        <v>401</v>
      </c>
      <c r="B402" s="19" t="s">
        <v>818</v>
      </c>
      <c r="C402" s="19" t="s">
        <v>819</v>
      </c>
      <c r="D402" s="21" t="s">
        <v>83</v>
      </c>
      <c r="E402" s="19">
        <v>1</v>
      </c>
      <c r="F402" s="23">
        <v>9231212</v>
      </c>
      <c r="G402" s="24">
        <f t="shared" si="6"/>
        <v>9231212</v>
      </c>
    </row>
    <row r="403" spans="1:7" hidden="1" x14ac:dyDescent="0.3">
      <c r="A403" s="19">
        <v>402</v>
      </c>
      <c r="B403" s="19" t="s">
        <v>820</v>
      </c>
      <c r="C403" s="19" t="s">
        <v>821</v>
      </c>
      <c r="D403" s="21" t="s">
        <v>83</v>
      </c>
      <c r="E403" s="19">
        <v>1</v>
      </c>
      <c r="F403" s="23">
        <v>11006961</v>
      </c>
      <c r="G403" s="24">
        <f t="shared" si="6"/>
        <v>11006961</v>
      </c>
    </row>
    <row r="404" spans="1:7" hidden="1" x14ac:dyDescent="0.3">
      <c r="A404" s="19">
        <v>403</v>
      </c>
      <c r="B404" s="19" t="s">
        <v>822</v>
      </c>
      <c r="C404" s="19" t="s">
        <v>823</v>
      </c>
      <c r="D404" s="21" t="s">
        <v>83</v>
      </c>
      <c r="E404" s="19">
        <v>1</v>
      </c>
      <c r="F404" s="23">
        <v>12196079</v>
      </c>
      <c r="G404" s="24">
        <f t="shared" si="6"/>
        <v>12196079</v>
      </c>
    </row>
    <row r="405" spans="1:7" hidden="1" x14ac:dyDescent="0.3">
      <c r="A405" s="19">
        <v>404</v>
      </c>
      <c r="B405" s="19" t="s">
        <v>824</v>
      </c>
      <c r="C405" s="19" t="s">
        <v>825</v>
      </c>
      <c r="D405" s="21" t="s">
        <v>83</v>
      </c>
      <c r="E405" s="19">
        <v>1</v>
      </c>
      <c r="F405" s="23">
        <v>9878824</v>
      </c>
      <c r="G405" s="24">
        <f t="shared" si="6"/>
        <v>9878824</v>
      </c>
    </row>
    <row r="406" spans="1:7" hidden="1" x14ac:dyDescent="0.3">
      <c r="A406" s="19">
        <v>405</v>
      </c>
      <c r="B406" s="19" t="s">
        <v>826</v>
      </c>
      <c r="C406" s="19" t="s">
        <v>827</v>
      </c>
      <c r="D406" s="21" t="s">
        <v>83</v>
      </c>
      <c r="E406" s="19">
        <v>1</v>
      </c>
      <c r="F406" s="23">
        <v>11006961</v>
      </c>
      <c r="G406" s="24">
        <f t="shared" si="6"/>
        <v>11006961</v>
      </c>
    </row>
    <row r="407" spans="1:7" hidden="1" x14ac:dyDescent="0.3">
      <c r="A407" s="19">
        <v>406</v>
      </c>
      <c r="B407" s="19" t="s">
        <v>828</v>
      </c>
      <c r="C407" s="19" t="s">
        <v>829</v>
      </c>
      <c r="D407" s="21" t="s">
        <v>83</v>
      </c>
      <c r="E407" s="19">
        <v>1</v>
      </c>
      <c r="F407" s="23">
        <v>7293625</v>
      </c>
      <c r="G407" s="24">
        <f t="shared" si="6"/>
        <v>7293625</v>
      </c>
    </row>
    <row r="408" spans="1:7" hidden="1" x14ac:dyDescent="0.3">
      <c r="A408" s="19">
        <v>407</v>
      </c>
      <c r="B408" s="20" t="s">
        <v>830</v>
      </c>
      <c r="C408" s="19" t="s">
        <v>831</v>
      </c>
      <c r="D408" s="21" t="s">
        <v>83</v>
      </c>
      <c r="E408" s="19">
        <v>1</v>
      </c>
      <c r="F408" s="23">
        <v>3750000</v>
      </c>
      <c r="G408" s="24">
        <f t="shared" si="6"/>
        <v>3750000</v>
      </c>
    </row>
    <row r="409" spans="1:7" hidden="1" x14ac:dyDescent="0.3">
      <c r="A409" s="19">
        <v>408</v>
      </c>
      <c r="B409" s="19" t="s">
        <v>832</v>
      </c>
      <c r="C409" s="19" t="s">
        <v>833</v>
      </c>
      <c r="D409" s="21" t="s">
        <v>43</v>
      </c>
      <c r="E409" s="19">
        <v>30</v>
      </c>
      <c r="F409" s="23">
        <v>5273388</v>
      </c>
      <c r="G409" s="24">
        <f t="shared" si="6"/>
        <v>158201640</v>
      </c>
    </row>
    <row r="410" spans="1:7" hidden="1" x14ac:dyDescent="0.3">
      <c r="A410" s="19">
        <v>409</v>
      </c>
      <c r="B410" s="19" t="s">
        <v>834</v>
      </c>
      <c r="C410" s="19" t="s">
        <v>835</v>
      </c>
      <c r="D410" s="21" t="s">
        <v>43</v>
      </c>
      <c r="E410" s="19">
        <v>2</v>
      </c>
      <c r="F410" s="23">
        <v>5494500</v>
      </c>
      <c r="G410" s="24">
        <f t="shared" si="6"/>
        <v>10989000</v>
      </c>
    </row>
    <row r="411" spans="1:7" hidden="1" x14ac:dyDescent="0.3">
      <c r="A411" s="19">
        <v>410</v>
      </c>
      <c r="B411" s="19" t="s">
        <v>836</v>
      </c>
      <c r="C411" s="19" t="s">
        <v>837</v>
      </c>
      <c r="D411" s="21" t="s">
        <v>43</v>
      </c>
      <c r="E411" s="19">
        <v>2</v>
      </c>
      <c r="F411" s="23">
        <v>6160500</v>
      </c>
      <c r="G411" s="24">
        <f t="shared" si="6"/>
        <v>12321000</v>
      </c>
    </row>
    <row r="412" spans="1:7" hidden="1" x14ac:dyDescent="0.3">
      <c r="A412" s="19">
        <v>411</v>
      </c>
      <c r="B412" s="19" t="s">
        <v>838</v>
      </c>
      <c r="C412" s="19" t="s">
        <v>839</v>
      </c>
      <c r="D412" s="21" t="s">
        <v>43</v>
      </c>
      <c r="E412" s="19">
        <v>5</v>
      </c>
      <c r="F412" s="23">
        <v>2705625</v>
      </c>
      <c r="G412" s="24">
        <f t="shared" si="6"/>
        <v>13528125</v>
      </c>
    </row>
    <row r="413" spans="1:7" hidden="1" x14ac:dyDescent="0.3">
      <c r="A413" s="19">
        <v>412</v>
      </c>
      <c r="B413" s="19" t="s">
        <v>840</v>
      </c>
      <c r="C413" s="19" t="s">
        <v>841</v>
      </c>
      <c r="D413" s="21" t="s">
        <v>43</v>
      </c>
      <c r="E413" s="19">
        <v>4</v>
      </c>
      <c r="F413" s="23">
        <v>3371625</v>
      </c>
      <c r="G413" s="24">
        <f t="shared" si="6"/>
        <v>13486500</v>
      </c>
    </row>
    <row r="414" spans="1:7" hidden="1" x14ac:dyDescent="0.3">
      <c r="A414" s="19">
        <v>413</v>
      </c>
      <c r="B414" s="19" t="s">
        <v>842</v>
      </c>
      <c r="C414" s="19" t="s">
        <v>843</v>
      </c>
      <c r="D414" s="21" t="s">
        <v>43</v>
      </c>
      <c r="E414" s="19">
        <v>10</v>
      </c>
      <c r="F414" s="23">
        <v>3454875</v>
      </c>
      <c r="G414" s="24">
        <f t="shared" si="6"/>
        <v>34548750</v>
      </c>
    </row>
    <row r="415" spans="1:7" hidden="1" x14ac:dyDescent="0.3">
      <c r="A415" s="19">
        <v>414</v>
      </c>
      <c r="B415" s="19" t="s">
        <v>844</v>
      </c>
      <c r="C415" s="19" t="s">
        <v>845</v>
      </c>
      <c r="D415" s="21" t="s">
        <v>43</v>
      </c>
      <c r="E415" s="19">
        <v>10</v>
      </c>
      <c r="F415" s="23">
        <v>3538125</v>
      </c>
      <c r="G415" s="24">
        <f t="shared" si="6"/>
        <v>35381250</v>
      </c>
    </row>
    <row r="416" spans="1:7" hidden="1" x14ac:dyDescent="0.3">
      <c r="A416" s="19">
        <v>415</v>
      </c>
      <c r="B416" s="19" t="s">
        <v>846</v>
      </c>
      <c r="C416" s="19" t="s">
        <v>847</v>
      </c>
      <c r="D416" s="21" t="s">
        <v>43</v>
      </c>
      <c r="E416" s="19">
        <v>10</v>
      </c>
      <c r="F416" s="23">
        <v>3621375</v>
      </c>
      <c r="G416" s="24">
        <f t="shared" si="6"/>
        <v>36213750</v>
      </c>
    </row>
    <row r="417" spans="1:7" hidden="1" x14ac:dyDescent="0.3">
      <c r="A417" s="19">
        <v>416</v>
      </c>
      <c r="B417" s="20" t="s">
        <v>848</v>
      </c>
      <c r="C417" s="19" t="s">
        <v>849</v>
      </c>
      <c r="D417" s="21" t="s">
        <v>83</v>
      </c>
      <c r="E417" s="19">
        <v>1</v>
      </c>
      <c r="F417" s="23">
        <v>3750000</v>
      </c>
      <c r="G417" s="24">
        <f t="shared" si="6"/>
        <v>3750000</v>
      </c>
    </row>
    <row r="418" spans="1:7" hidden="1" x14ac:dyDescent="0.3">
      <c r="A418" s="19">
        <v>417</v>
      </c>
      <c r="B418" s="20" t="s">
        <v>850</v>
      </c>
      <c r="C418" s="19" t="s">
        <v>851</v>
      </c>
      <c r="D418" s="21" t="s">
        <v>38</v>
      </c>
      <c r="E418" s="25">
        <v>9555.85</v>
      </c>
      <c r="F418" s="23">
        <v>7088</v>
      </c>
      <c r="G418" s="24">
        <f t="shared" si="6"/>
        <v>67731864.799999997</v>
      </c>
    </row>
    <row r="419" spans="1:7" hidden="1" x14ac:dyDescent="0.3">
      <c r="A419" s="19">
        <v>418</v>
      </c>
      <c r="B419" s="19" t="s">
        <v>852</v>
      </c>
      <c r="C419" s="19" t="s">
        <v>853</v>
      </c>
      <c r="D419" s="21" t="s">
        <v>38</v>
      </c>
      <c r="E419" s="25">
        <v>11306.44</v>
      </c>
      <c r="F419" s="23">
        <v>37178</v>
      </c>
      <c r="G419" s="24">
        <f t="shared" si="6"/>
        <v>420350826.31999999</v>
      </c>
    </row>
    <row r="420" spans="1:7" hidden="1" x14ac:dyDescent="0.3">
      <c r="A420" s="19">
        <v>419</v>
      </c>
      <c r="B420" s="19" t="s">
        <v>854</v>
      </c>
      <c r="C420" s="19" t="s">
        <v>855</v>
      </c>
      <c r="D420" s="21" t="s">
        <v>43</v>
      </c>
      <c r="E420" s="19">
        <v>4</v>
      </c>
      <c r="F420" s="23">
        <v>4375000</v>
      </c>
      <c r="G420" s="24">
        <f t="shared" si="6"/>
        <v>17500000</v>
      </c>
    </row>
    <row r="421" spans="1:7" hidden="1" x14ac:dyDescent="0.3">
      <c r="A421" s="19">
        <v>420</v>
      </c>
      <c r="B421" s="19" t="s">
        <v>856</v>
      </c>
      <c r="C421" s="19" t="s">
        <v>857</v>
      </c>
      <c r="D421" s="21" t="s">
        <v>43</v>
      </c>
      <c r="E421" s="19">
        <v>4</v>
      </c>
      <c r="F421" s="23">
        <v>4687500</v>
      </c>
      <c r="G421" s="24">
        <f t="shared" si="6"/>
        <v>18750000</v>
      </c>
    </row>
    <row r="422" spans="1:7" hidden="1" x14ac:dyDescent="0.3">
      <c r="A422" s="19">
        <v>421</v>
      </c>
      <c r="B422" s="20" t="s">
        <v>858</v>
      </c>
      <c r="C422" s="19" t="s">
        <v>859</v>
      </c>
      <c r="D422" s="21" t="s">
        <v>43</v>
      </c>
      <c r="E422" s="19">
        <v>2</v>
      </c>
      <c r="F422" s="23">
        <v>6875000</v>
      </c>
      <c r="G422" s="24">
        <f t="shared" si="6"/>
        <v>13750000</v>
      </c>
    </row>
    <row r="423" spans="1:7" hidden="1" x14ac:dyDescent="0.3">
      <c r="A423" s="19">
        <v>422</v>
      </c>
      <c r="B423" s="20" t="s">
        <v>860</v>
      </c>
      <c r="C423" s="19" t="s">
        <v>861</v>
      </c>
      <c r="D423" s="21" t="s">
        <v>43</v>
      </c>
      <c r="E423" s="19">
        <v>2</v>
      </c>
      <c r="F423" s="23">
        <v>437500</v>
      </c>
      <c r="G423" s="24">
        <f t="shared" si="6"/>
        <v>875000</v>
      </c>
    </row>
    <row r="424" spans="1:7" hidden="1" x14ac:dyDescent="0.3">
      <c r="A424" s="19">
        <v>423</v>
      </c>
      <c r="B424" s="20" t="s">
        <v>862</v>
      </c>
      <c r="C424" s="19" t="s">
        <v>863</v>
      </c>
      <c r="D424" s="21" t="s">
        <v>83</v>
      </c>
      <c r="E424" s="19">
        <v>1</v>
      </c>
      <c r="F424" s="23">
        <v>3125000</v>
      </c>
      <c r="G424" s="24">
        <f t="shared" si="6"/>
        <v>3125000</v>
      </c>
    </row>
    <row r="425" spans="1:7" hidden="1" x14ac:dyDescent="0.3">
      <c r="A425" s="19">
        <v>424</v>
      </c>
      <c r="B425" s="20" t="s">
        <v>864</v>
      </c>
      <c r="C425" s="19" t="s">
        <v>865</v>
      </c>
      <c r="D425" s="21" t="s">
        <v>20</v>
      </c>
      <c r="E425" s="19">
        <v>65</v>
      </c>
      <c r="F425" s="23">
        <v>19688</v>
      </c>
      <c r="G425" s="24">
        <f t="shared" si="6"/>
        <v>1279720</v>
      </c>
    </row>
    <row r="426" spans="1:7" hidden="1" x14ac:dyDescent="0.3">
      <c r="A426" s="19">
        <v>425</v>
      </c>
      <c r="B426" s="20" t="s">
        <v>866</v>
      </c>
      <c r="C426" s="19" t="s">
        <v>867</v>
      </c>
      <c r="D426" s="21" t="s">
        <v>83</v>
      </c>
      <c r="E426" s="19">
        <v>1</v>
      </c>
      <c r="F426" s="23">
        <v>29785000</v>
      </c>
      <c r="G426" s="24">
        <f t="shared" si="6"/>
        <v>29785000</v>
      </c>
    </row>
    <row r="427" spans="1:7" hidden="1" x14ac:dyDescent="0.3">
      <c r="A427" s="19">
        <v>426</v>
      </c>
      <c r="B427" s="20" t="s">
        <v>868</v>
      </c>
      <c r="C427" s="19" t="s">
        <v>869</v>
      </c>
      <c r="D427" s="21" t="s">
        <v>83</v>
      </c>
      <c r="E427" s="19">
        <v>1</v>
      </c>
      <c r="F427" s="23">
        <v>119140000</v>
      </c>
      <c r="G427" s="24">
        <f t="shared" si="6"/>
        <v>119140000</v>
      </c>
    </row>
    <row r="428" spans="1:7" hidden="1" x14ac:dyDescent="0.3">
      <c r="A428" s="19">
        <v>427</v>
      </c>
      <c r="B428" s="20" t="s">
        <v>870</v>
      </c>
      <c r="C428" s="19" t="s">
        <v>871</v>
      </c>
      <c r="D428" s="21" t="s">
        <v>83</v>
      </c>
      <c r="E428" s="19">
        <v>1</v>
      </c>
      <c r="F428" s="23">
        <v>3869750</v>
      </c>
      <c r="G428" s="24">
        <f t="shared" si="6"/>
        <v>3869750</v>
      </c>
    </row>
    <row r="429" spans="1:7" hidden="1" x14ac:dyDescent="0.3">
      <c r="A429" s="19">
        <v>428</v>
      </c>
      <c r="B429" s="20" t="s">
        <v>872</v>
      </c>
      <c r="C429" s="19" t="s">
        <v>873</v>
      </c>
      <c r="D429" s="21" t="s">
        <v>83</v>
      </c>
      <c r="E429" s="19">
        <v>1</v>
      </c>
      <c r="F429" s="23">
        <v>69000000</v>
      </c>
      <c r="G429" s="24">
        <f t="shared" si="6"/>
        <v>69000000</v>
      </c>
    </row>
    <row r="430" spans="1:7" hidden="1" x14ac:dyDescent="0.3">
      <c r="A430" s="19">
        <v>429</v>
      </c>
      <c r="B430" s="20" t="s">
        <v>874</v>
      </c>
      <c r="C430" s="19" t="s">
        <v>875</v>
      </c>
      <c r="D430" s="21" t="s">
        <v>83</v>
      </c>
      <c r="E430" s="19">
        <v>1</v>
      </c>
      <c r="F430" s="23">
        <v>3920576</v>
      </c>
      <c r="G430" s="24">
        <f t="shared" si="6"/>
        <v>3920576</v>
      </c>
    </row>
    <row r="431" spans="1:7" hidden="1" x14ac:dyDescent="0.3">
      <c r="A431" s="19">
        <v>430</v>
      </c>
      <c r="B431" s="19" t="s">
        <v>876</v>
      </c>
      <c r="C431" s="19" t="s">
        <v>877</v>
      </c>
      <c r="D431" s="21" t="s">
        <v>83</v>
      </c>
      <c r="E431" s="19">
        <v>1</v>
      </c>
      <c r="F431" s="23">
        <v>17953221</v>
      </c>
      <c r="G431" s="24">
        <f t="shared" si="6"/>
        <v>17953221</v>
      </c>
    </row>
    <row r="432" spans="1:7" hidden="1" x14ac:dyDescent="0.3">
      <c r="A432" s="19">
        <v>431</v>
      </c>
      <c r="B432" s="19" t="s">
        <v>878</v>
      </c>
      <c r="C432" s="19" t="s">
        <v>879</v>
      </c>
      <c r="D432" s="21" t="s">
        <v>83</v>
      </c>
      <c r="E432" s="19">
        <v>1</v>
      </c>
      <c r="F432" s="23">
        <v>11111515</v>
      </c>
      <c r="G432" s="24">
        <f t="shared" si="6"/>
        <v>11111515</v>
      </c>
    </row>
    <row r="433" spans="1:7" hidden="1" x14ac:dyDescent="0.3">
      <c r="A433" s="19">
        <v>432</v>
      </c>
      <c r="B433" s="19" t="s">
        <v>880</v>
      </c>
      <c r="C433" s="19" t="s">
        <v>881</v>
      </c>
      <c r="D433" s="21" t="s">
        <v>83</v>
      </c>
      <c r="E433" s="19">
        <v>1</v>
      </c>
      <c r="F433" s="23">
        <v>19526276</v>
      </c>
      <c r="G433" s="24">
        <f t="shared" si="6"/>
        <v>19526276</v>
      </c>
    </row>
    <row r="434" spans="1:7" hidden="1" x14ac:dyDescent="0.3">
      <c r="A434" s="19">
        <v>433</v>
      </c>
      <c r="B434" s="19" t="s">
        <v>882</v>
      </c>
      <c r="C434" s="19" t="s">
        <v>883</v>
      </c>
      <c r="D434" s="21" t="s">
        <v>83</v>
      </c>
      <c r="E434" s="19">
        <v>1</v>
      </c>
      <c r="F434" s="23">
        <v>17245708</v>
      </c>
      <c r="G434" s="24">
        <f t="shared" si="6"/>
        <v>17245708</v>
      </c>
    </row>
    <row r="435" spans="1:7" hidden="1" x14ac:dyDescent="0.3">
      <c r="A435" s="19">
        <v>434</v>
      </c>
      <c r="B435" s="19" t="s">
        <v>884</v>
      </c>
      <c r="C435" s="19" t="s">
        <v>885</v>
      </c>
      <c r="D435" s="21" t="s">
        <v>83</v>
      </c>
      <c r="E435" s="19">
        <v>1</v>
      </c>
      <c r="F435" s="23">
        <v>17453800</v>
      </c>
      <c r="G435" s="24">
        <f t="shared" si="6"/>
        <v>17453800</v>
      </c>
    </row>
    <row r="436" spans="1:7" hidden="1" x14ac:dyDescent="0.3">
      <c r="A436" s="19">
        <v>435</v>
      </c>
      <c r="B436" s="19" t="s">
        <v>886</v>
      </c>
      <c r="C436" s="19" t="s">
        <v>887</v>
      </c>
      <c r="D436" s="21" t="s">
        <v>83</v>
      </c>
      <c r="E436" s="19">
        <v>1</v>
      </c>
      <c r="F436" s="23">
        <v>8928056</v>
      </c>
      <c r="G436" s="24">
        <f t="shared" si="6"/>
        <v>8928056</v>
      </c>
    </row>
    <row r="437" spans="1:7" hidden="1" x14ac:dyDescent="0.3">
      <c r="A437" s="19">
        <v>436</v>
      </c>
      <c r="B437" s="19" t="s">
        <v>888</v>
      </c>
      <c r="C437" s="19" t="s">
        <v>889</v>
      </c>
      <c r="D437" s="21" t="s">
        <v>83</v>
      </c>
      <c r="E437" s="19">
        <v>1</v>
      </c>
      <c r="F437" s="23">
        <v>6744596</v>
      </c>
      <c r="G437" s="24">
        <f t="shared" si="6"/>
        <v>6744596</v>
      </c>
    </row>
    <row r="438" spans="1:7" hidden="1" x14ac:dyDescent="0.3">
      <c r="A438" s="19">
        <v>437</v>
      </c>
      <c r="B438" s="19" t="s">
        <v>890</v>
      </c>
      <c r="C438" s="19" t="s">
        <v>891</v>
      </c>
      <c r="D438" s="21" t="s">
        <v>83</v>
      </c>
      <c r="E438" s="19">
        <v>1</v>
      </c>
      <c r="F438" s="23">
        <v>8969674</v>
      </c>
      <c r="G438" s="24">
        <f t="shared" si="6"/>
        <v>8969674</v>
      </c>
    </row>
    <row r="439" spans="1:7" hidden="1" x14ac:dyDescent="0.3">
      <c r="A439" s="19">
        <v>438</v>
      </c>
      <c r="B439" s="19" t="s">
        <v>892</v>
      </c>
      <c r="C439" s="19" t="s">
        <v>893</v>
      </c>
      <c r="D439" s="21" t="s">
        <v>83</v>
      </c>
      <c r="E439" s="19">
        <v>1</v>
      </c>
      <c r="F439" s="23">
        <v>8928056</v>
      </c>
      <c r="G439" s="24">
        <f t="shared" si="6"/>
        <v>8928056</v>
      </c>
    </row>
    <row r="440" spans="1:7" hidden="1" x14ac:dyDescent="0.3">
      <c r="A440" s="19">
        <v>439</v>
      </c>
      <c r="B440" s="19" t="s">
        <v>894</v>
      </c>
      <c r="C440" s="19" t="s">
        <v>895</v>
      </c>
      <c r="D440" s="21" t="s">
        <v>83</v>
      </c>
      <c r="E440" s="19">
        <v>1</v>
      </c>
      <c r="F440" s="23">
        <v>4464028</v>
      </c>
      <c r="G440" s="24">
        <f t="shared" si="6"/>
        <v>4464028</v>
      </c>
    </row>
    <row r="441" spans="1:7" hidden="1" x14ac:dyDescent="0.3">
      <c r="A441" s="19">
        <v>440</v>
      </c>
      <c r="B441" s="19" t="s">
        <v>896</v>
      </c>
      <c r="C441" s="19" t="s">
        <v>897</v>
      </c>
      <c r="D441" s="21" t="s">
        <v>83</v>
      </c>
      <c r="E441" s="19">
        <v>1</v>
      </c>
      <c r="F441" s="23">
        <v>4505646</v>
      </c>
      <c r="G441" s="24">
        <f t="shared" si="6"/>
        <v>4505646</v>
      </c>
    </row>
    <row r="442" spans="1:7" hidden="1" x14ac:dyDescent="0.3">
      <c r="A442" s="19">
        <v>441</v>
      </c>
      <c r="B442" s="19" t="s">
        <v>898</v>
      </c>
      <c r="C442" s="19" t="s">
        <v>899</v>
      </c>
      <c r="D442" s="21" t="s">
        <v>83</v>
      </c>
      <c r="E442" s="19">
        <v>1</v>
      </c>
      <c r="F442" s="23">
        <v>2280569</v>
      </c>
      <c r="G442" s="24">
        <f t="shared" si="6"/>
        <v>2280569</v>
      </c>
    </row>
    <row r="443" spans="1:7" hidden="1" x14ac:dyDescent="0.3">
      <c r="A443" s="19">
        <v>442</v>
      </c>
      <c r="B443" s="19" t="s">
        <v>900</v>
      </c>
      <c r="C443" s="19" t="s">
        <v>901</v>
      </c>
      <c r="D443" s="21" t="s">
        <v>83</v>
      </c>
      <c r="E443" s="19">
        <v>1</v>
      </c>
      <c r="F443" s="23">
        <v>20326677</v>
      </c>
      <c r="G443" s="24">
        <f t="shared" si="6"/>
        <v>20326677</v>
      </c>
    </row>
    <row r="444" spans="1:7" hidden="1" x14ac:dyDescent="0.3">
      <c r="A444" s="19">
        <v>443</v>
      </c>
      <c r="B444" s="19" t="s">
        <v>902</v>
      </c>
      <c r="C444" s="19" t="s">
        <v>903</v>
      </c>
      <c r="D444" s="21" t="s">
        <v>83</v>
      </c>
      <c r="E444" s="19">
        <v>1</v>
      </c>
      <c r="F444" s="23">
        <v>46314363</v>
      </c>
      <c r="G444" s="24">
        <f t="shared" si="6"/>
        <v>46314363</v>
      </c>
    </row>
    <row r="445" spans="1:7" hidden="1" x14ac:dyDescent="0.3">
      <c r="A445" s="19">
        <v>444</v>
      </c>
      <c r="B445" s="19" t="s">
        <v>904</v>
      </c>
      <c r="C445" s="19" t="s">
        <v>905</v>
      </c>
      <c r="D445" s="21" t="s">
        <v>83</v>
      </c>
      <c r="E445" s="19">
        <v>1</v>
      </c>
      <c r="F445" s="23">
        <v>46314363</v>
      </c>
      <c r="G445" s="24">
        <f t="shared" si="6"/>
        <v>46314363</v>
      </c>
    </row>
    <row r="446" spans="1:7" hidden="1" x14ac:dyDescent="0.3">
      <c r="A446" s="19">
        <v>445</v>
      </c>
      <c r="B446" s="19" t="s">
        <v>906</v>
      </c>
      <c r="C446" s="19" t="s">
        <v>907</v>
      </c>
      <c r="D446" s="21" t="s">
        <v>83</v>
      </c>
      <c r="E446" s="19">
        <v>1</v>
      </c>
      <c r="F446" s="23">
        <v>46314363</v>
      </c>
      <c r="G446" s="24">
        <f t="shared" si="6"/>
        <v>46314363</v>
      </c>
    </row>
    <row r="447" spans="1:7" hidden="1" x14ac:dyDescent="0.3">
      <c r="A447" s="19">
        <v>446</v>
      </c>
      <c r="B447" s="19" t="s">
        <v>908</v>
      </c>
      <c r="C447" s="19" t="s">
        <v>909</v>
      </c>
      <c r="D447" s="21" t="s">
        <v>83</v>
      </c>
      <c r="E447" s="19">
        <v>1</v>
      </c>
      <c r="F447" s="23">
        <v>46314363</v>
      </c>
      <c r="G447" s="24">
        <f t="shared" si="6"/>
        <v>46314363</v>
      </c>
    </row>
    <row r="448" spans="1:7" hidden="1" x14ac:dyDescent="0.3">
      <c r="A448" s="19">
        <v>447</v>
      </c>
      <c r="B448" s="19" t="s">
        <v>910</v>
      </c>
      <c r="C448" s="19" t="s">
        <v>911</v>
      </c>
      <c r="D448" s="21" t="s">
        <v>83</v>
      </c>
      <c r="E448" s="19">
        <v>1</v>
      </c>
      <c r="F448" s="23">
        <v>46314363</v>
      </c>
      <c r="G448" s="24">
        <f t="shared" si="6"/>
        <v>46314363</v>
      </c>
    </row>
    <row r="449" spans="1:7" hidden="1" x14ac:dyDescent="0.3">
      <c r="A449" s="19">
        <v>448</v>
      </c>
      <c r="B449" s="19" t="s">
        <v>912</v>
      </c>
      <c r="C449" s="19" t="s">
        <v>913</v>
      </c>
      <c r="D449" s="21" t="s">
        <v>83</v>
      </c>
      <c r="E449" s="19">
        <v>1</v>
      </c>
      <c r="F449" s="23">
        <v>46314363</v>
      </c>
      <c r="G449" s="24">
        <f t="shared" si="6"/>
        <v>46314363</v>
      </c>
    </row>
    <row r="450" spans="1:7" hidden="1" x14ac:dyDescent="0.3">
      <c r="A450" s="19">
        <v>449</v>
      </c>
      <c r="B450" s="19" t="s">
        <v>914</v>
      </c>
      <c r="C450" s="19" t="s">
        <v>915</v>
      </c>
      <c r="D450" s="21" t="s">
        <v>83</v>
      </c>
      <c r="E450" s="19">
        <v>1</v>
      </c>
      <c r="F450" s="23">
        <v>46314363</v>
      </c>
      <c r="G450" s="24">
        <f t="shared" si="6"/>
        <v>46314363</v>
      </c>
    </row>
    <row r="451" spans="1:7" hidden="1" x14ac:dyDescent="0.3">
      <c r="A451" s="19">
        <v>450</v>
      </c>
      <c r="B451" s="19" t="s">
        <v>916</v>
      </c>
      <c r="C451" s="19" t="s">
        <v>917</v>
      </c>
      <c r="D451" s="21" t="s">
        <v>83</v>
      </c>
      <c r="E451" s="19">
        <v>1</v>
      </c>
      <c r="F451" s="23">
        <v>19421929</v>
      </c>
      <c r="G451" s="24">
        <f t="shared" ref="G451:G483" si="7">+E451*F451</f>
        <v>19421929</v>
      </c>
    </row>
    <row r="452" spans="1:7" hidden="1" x14ac:dyDescent="0.3">
      <c r="A452" s="19">
        <v>451</v>
      </c>
      <c r="B452" s="19" t="s">
        <v>918</v>
      </c>
      <c r="C452" s="19" t="s">
        <v>919</v>
      </c>
      <c r="D452" s="21" t="s">
        <v>83</v>
      </c>
      <c r="E452" s="19">
        <v>1</v>
      </c>
      <c r="F452" s="23">
        <v>4578026</v>
      </c>
      <c r="G452" s="24">
        <f t="shared" si="7"/>
        <v>4578026</v>
      </c>
    </row>
    <row r="453" spans="1:7" hidden="1" x14ac:dyDescent="0.3">
      <c r="A453" s="19">
        <v>452</v>
      </c>
      <c r="B453" s="19" t="s">
        <v>920</v>
      </c>
      <c r="C453" s="19" t="s">
        <v>921</v>
      </c>
      <c r="D453" s="21" t="s">
        <v>83</v>
      </c>
      <c r="E453" s="19">
        <v>1</v>
      </c>
      <c r="F453" s="23">
        <v>2080921</v>
      </c>
      <c r="G453" s="24">
        <f t="shared" si="7"/>
        <v>2080921</v>
      </c>
    </row>
    <row r="454" spans="1:7" hidden="1" x14ac:dyDescent="0.3">
      <c r="A454" s="19">
        <v>453</v>
      </c>
      <c r="B454" s="19" t="s">
        <v>922</v>
      </c>
      <c r="C454" s="19" t="s">
        <v>923</v>
      </c>
      <c r="D454" s="21" t="s">
        <v>83</v>
      </c>
      <c r="E454" s="19">
        <v>1</v>
      </c>
      <c r="F454" s="23">
        <v>46314363</v>
      </c>
      <c r="G454" s="24">
        <f t="shared" si="7"/>
        <v>46314363</v>
      </c>
    </row>
    <row r="455" spans="1:7" hidden="1" x14ac:dyDescent="0.3">
      <c r="A455" s="19">
        <v>454</v>
      </c>
      <c r="B455" s="19" t="s">
        <v>924</v>
      </c>
      <c r="C455" s="19" t="s">
        <v>925</v>
      </c>
      <c r="D455" s="21" t="s">
        <v>83</v>
      </c>
      <c r="E455" s="19">
        <v>1</v>
      </c>
      <c r="F455" s="23">
        <v>19421929</v>
      </c>
      <c r="G455" s="24">
        <f t="shared" si="7"/>
        <v>19421929</v>
      </c>
    </row>
    <row r="456" spans="1:7" hidden="1" x14ac:dyDescent="0.3">
      <c r="A456" s="19">
        <v>455</v>
      </c>
      <c r="B456" s="19" t="s">
        <v>926</v>
      </c>
      <c r="C456" s="19" t="s">
        <v>927</v>
      </c>
      <c r="D456" s="21" t="s">
        <v>83</v>
      </c>
      <c r="E456" s="19">
        <v>1</v>
      </c>
      <c r="F456" s="23">
        <v>904748</v>
      </c>
      <c r="G456" s="24">
        <f t="shared" si="7"/>
        <v>904748</v>
      </c>
    </row>
    <row r="457" spans="1:7" hidden="1" x14ac:dyDescent="0.3">
      <c r="A457" s="19">
        <v>456</v>
      </c>
      <c r="B457" s="19" t="s">
        <v>928</v>
      </c>
      <c r="C457" s="19" t="s">
        <v>929</v>
      </c>
      <c r="D457" s="21" t="s">
        <v>38</v>
      </c>
      <c r="E457" s="22">
        <v>5390</v>
      </c>
      <c r="F457" s="23">
        <v>5127</v>
      </c>
      <c r="G457" s="24">
        <f t="shared" si="7"/>
        <v>27634530</v>
      </c>
    </row>
    <row r="458" spans="1:7" hidden="1" x14ac:dyDescent="0.3">
      <c r="A458" s="19">
        <v>457</v>
      </c>
      <c r="B458" s="19" t="s">
        <v>930</v>
      </c>
      <c r="C458" s="19" t="s">
        <v>931</v>
      </c>
      <c r="D458" s="21" t="s">
        <v>38</v>
      </c>
      <c r="E458" s="22">
        <v>4660</v>
      </c>
      <c r="F458" s="23">
        <v>5127</v>
      </c>
      <c r="G458" s="24">
        <f t="shared" si="7"/>
        <v>23891820</v>
      </c>
    </row>
    <row r="459" spans="1:7" hidden="1" x14ac:dyDescent="0.3">
      <c r="A459" s="19">
        <v>458</v>
      </c>
      <c r="B459" s="19" t="s">
        <v>932</v>
      </c>
      <c r="C459" s="19" t="s">
        <v>933</v>
      </c>
      <c r="D459" s="21" t="s">
        <v>38</v>
      </c>
      <c r="E459" s="22">
        <v>3210</v>
      </c>
      <c r="F459" s="23">
        <v>5127</v>
      </c>
      <c r="G459" s="24">
        <f t="shared" si="7"/>
        <v>16457670</v>
      </c>
    </row>
    <row r="460" spans="1:7" hidden="1" x14ac:dyDescent="0.3">
      <c r="A460" s="19">
        <v>459</v>
      </c>
      <c r="B460" s="19" t="s">
        <v>934</v>
      </c>
      <c r="C460" s="19" t="s">
        <v>935</v>
      </c>
      <c r="D460" s="21" t="s">
        <v>38</v>
      </c>
      <c r="E460" s="22">
        <v>2630</v>
      </c>
      <c r="F460" s="23">
        <v>5127</v>
      </c>
      <c r="G460" s="24">
        <f t="shared" si="7"/>
        <v>13484010</v>
      </c>
    </row>
    <row r="461" spans="1:7" hidden="1" x14ac:dyDescent="0.3">
      <c r="A461" s="19">
        <v>460</v>
      </c>
      <c r="B461" s="19" t="s">
        <v>936</v>
      </c>
      <c r="C461" s="19" t="s">
        <v>937</v>
      </c>
      <c r="D461" s="21" t="s">
        <v>38</v>
      </c>
      <c r="E461" s="22">
        <v>1730</v>
      </c>
      <c r="F461" s="23">
        <v>5127</v>
      </c>
      <c r="G461" s="24">
        <f t="shared" si="7"/>
        <v>8869710</v>
      </c>
    </row>
    <row r="462" spans="1:7" hidden="1" x14ac:dyDescent="0.3">
      <c r="A462" s="19">
        <v>461</v>
      </c>
      <c r="B462" s="19" t="s">
        <v>938</v>
      </c>
      <c r="C462" s="19" t="s">
        <v>939</v>
      </c>
      <c r="D462" s="21" t="s">
        <v>38</v>
      </c>
      <c r="E462" s="22">
        <v>3180</v>
      </c>
      <c r="F462" s="23">
        <v>5127</v>
      </c>
      <c r="G462" s="24">
        <f t="shared" si="7"/>
        <v>16303860</v>
      </c>
    </row>
    <row r="463" spans="1:7" hidden="1" x14ac:dyDescent="0.3">
      <c r="A463" s="19">
        <v>462</v>
      </c>
      <c r="B463" s="19" t="s">
        <v>940</v>
      </c>
      <c r="C463" s="19" t="s">
        <v>941</v>
      </c>
      <c r="D463" s="21" t="s">
        <v>38</v>
      </c>
      <c r="E463" s="22">
        <v>2695</v>
      </c>
      <c r="F463" s="23">
        <v>5127</v>
      </c>
      <c r="G463" s="24">
        <f t="shared" si="7"/>
        <v>13817265</v>
      </c>
    </row>
    <row r="464" spans="1:7" hidden="1" x14ac:dyDescent="0.3">
      <c r="A464" s="19">
        <v>463</v>
      </c>
      <c r="B464" s="19" t="s">
        <v>942</v>
      </c>
      <c r="C464" s="19" t="s">
        <v>943</v>
      </c>
      <c r="D464" s="21" t="s">
        <v>38</v>
      </c>
      <c r="E464" s="19">
        <v>520</v>
      </c>
      <c r="F464" s="23">
        <v>5127</v>
      </c>
      <c r="G464" s="24">
        <f t="shared" si="7"/>
        <v>2666040</v>
      </c>
    </row>
    <row r="465" spans="1:7" hidden="1" x14ac:dyDescent="0.3">
      <c r="A465" s="19">
        <v>464</v>
      </c>
      <c r="B465" s="19" t="s">
        <v>944</v>
      </c>
      <c r="C465" s="19" t="s">
        <v>945</v>
      </c>
      <c r="D465" s="21" t="s">
        <v>38</v>
      </c>
      <c r="E465" s="22">
        <v>3040</v>
      </c>
      <c r="F465" s="23">
        <v>5127</v>
      </c>
      <c r="G465" s="24">
        <f t="shared" si="7"/>
        <v>15586080</v>
      </c>
    </row>
    <row r="466" spans="1:7" hidden="1" x14ac:dyDescent="0.3">
      <c r="A466" s="19">
        <v>465</v>
      </c>
      <c r="B466" s="19" t="s">
        <v>946</v>
      </c>
      <c r="C466" s="19" t="s">
        <v>947</v>
      </c>
      <c r="D466" s="21" t="s">
        <v>38</v>
      </c>
      <c r="E466" s="22">
        <v>1780</v>
      </c>
      <c r="F466" s="23">
        <v>5127</v>
      </c>
      <c r="G466" s="24">
        <f t="shared" si="7"/>
        <v>9126060</v>
      </c>
    </row>
    <row r="467" spans="1:7" hidden="1" x14ac:dyDescent="0.3">
      <c r="A467" s="19">
        <v>466</v>
      </c>
      <c r="B467" s="19" t="s">
        <v>948</v>
      </c>
      <c r="C467" s="19" t="s">
        <v>949</v>
      </c>
      <c r="D467" s="21" t="s">
        <v>83</v>
      </c>
      <c r="E467" s="19">
        <v>1</v>
      </c>
      <c r="F467" s="23">
        <v>3124595</v>
      </c>
      <c r="G467" s="24">
        <f t="shared" si="7"/>
        <v>3124595</v>
      </c>
    </row>
    <row r="468" spans="1:7" hidden="1" x14ac:dyDescent="0.3">
      <c r="A468" s="19">
        <v>467</v>
      </c>
      <c r="B468" s="19" t="s">
        <v>950</v>
      </c>
      <c r="C468" s="19" t="s">
        <v>951</v>
      </c>
      <c r="D468" s="21" t="s">
        <v>83</v>
      </c>
      <c r="E468" s="19">
        <v>1</v>
      </c>
      <c r="F468" s="23">
        <v>3124595</v>
      </c>
      <c r="G468" s="24">
        <f t="shared" si="7"/>
        <v>3124595</v>
      </c>
    </row>
    <row r="469" spans="1:7" hidden="1" x14ac:dyDescent="0.3">
      <c r="A469" s="19">
        <v>468</v>
      </c>
      <c r="B469" s="19" t="s">
        <v>952</v>
      </c>
      <c r="C469" s="19" t="s">
        <v>953</v>
      </c>
      <c r="D469" s="21" t="s">
        <v>83</v>
      </c>
      <c r="E469" s="19">
        <v>1</v>
      </c>
      <c r="F469" s="23">
        <v>3124595</v>
      </c>
      <c r="G469" s="24">
        <f t="shared" si="7"/>
        <v>3124595</v>
      </c>
    </row>
    <row r="470" spans="1:7" hidden="1" x14ac:dyDescent="0.3">
      <c r="A470" s="19">
        <v>469</v>
      </c>
      <c r="B470" s="19" t="s">
        <v>954</v>
      </c>
      <c r="C470" s="19" t="s">
        <v>955</v>
      </c>
      <c r="D470" s="21" t="s">
        <v>83</v>
      </c>
      <c r="E470" s="19">
        <v>1</v>
      </c>
      <c r="F470" s="23">
        <v>3124595</v>
      </c>
      <c r="G470" s="24">
        <f t="shared" si="7"/>
        <v>3124595</v>
      </c>
    </row>
    <row r="471" spans="1:7" hidden="1" x14ac:dyDescent="0.3">
      <c r="A471" s="19">
        <v>470</v>
      </c>
      <c r="B471" s="19" t="s">
        <v>956</v>
      </c>
      <c r="C471" s="19" t="s">
        <v>957</v>
      </c>
      <c r="D471" s="21" t="s">
        <v>83</v>
      </c>
      <c r="E471" s="19">
        <v>1</v>
      </c>
      <c r="F471" s="23">
        <v>3124595</v>
      </c>
      <c r="G471" s="24">
        <f t="shared" si="7"/>
        <v>3124595</v>
      </c>
    </row>
    <row r="472" spans="1:7" hidden="1" x14ac:dyDescent="0.3">
      <c r="A472" s="19">
        <v>471</v>
      </c>
      <c r="B472" s="19" t="s">
        <v>958</v>
      </c>
      <c r="C472" s="19" t="s">
        <v>959</v>
      </c>
      <c r="D472" s="21" t="s">
        <v>83</v>
      </c>
      <c r="E472" s="19">
        <v>1</v>
      </c>
      <c r="F472" s="23">
        <v>3124595</v>
      </c>
      <c r="G472" s="24">
        <f t="shared" si="7"/>
        <v>3124595</v>
      </c>
    </row>
    <row r="473" spans="1:7" hidden="1" x14ac:dyDescent="0.3">
      <c r="A473" s="19">
        <v>472</v>
      </c>
      <c r="B473" s="19" t="s">
        <v>960</v>
      </c>
      <c r="C473" s="19" t="s">
        <v>961</v>
      </c>
      <c r="D473" s="21" t="s">
        <v>83</v>
      </c>
      <c r="E473" s="19">
        <v>1</v>
      </c>
      <c r="F473" s="23">
        <v>3124595</v>
      </c>
      <c r="G473" s="24">
        <f t="shared" si="7"/>
        <v>3124595</v>
      </c>
    </row>
    <row r="474" spans="1:7" hidden="1" x14ac:dyDescent="0.3">
      <c r="A474" s="19">
        <v>473</v>
      </c>
      <c r="B474" s="19" t="s">
        <v>962</v>
      </c>
      <c r="C474" s="19" t="s">
        <v>963</v>
      </c>
      <c r="D474" s="21" t="s">
        <v>83</v>
      </c>
      <c r="E474" s="19">
        <v>1</v>
      </c>
      <c r="F474" s="23">
        <v>3124595</v>
      </c>
      <c r="G474" s="24">
        <f t="shared" si="7"/>
        <v>3124595</v>
      </c>
    </row>
    <row r="475" spans="1:7" hidden="1" x14ac:dyDescent="0.3">
      <c r="A475" s="19">
        <v>474</v>
      </c>
      <c r="B475" s="19" t="s">
        <v>964</v>
      </c>
      <c r="C475" s="19" t="s">
        <v>965</v>
      </c>
      <c r="D475" s="21" t="s">
        <v>83</v>
      </c>
      <c r="E475" s="19">
        <v>1</v>
      </c>
      <c r="F475" s="23">
        <v>3124595</v>
      </c>
      <c r="G475" s="24">
        <f t="shared" si="7"/>
        <v>3124595</v>
      </c>
    </row>
    <row r="476" spans="1:7" hidden="1" x14ac:dyDescent="0.3">
      <c r="A476" s="19">
        <v>475</v>
      </c>
      <c r="B476" s="19" t="s">
        <v>966</v>
      </c>
      <c r="C476" s="19" t="s">
        <v>967</v>
      </c>
      <c r="D476" s="21" t="s">
        <v>83</v>
      </c>
      <c r="E476" s="19">
        <v>1</v>
      </c>
      <c r="F476" s="23">
        <v>3124595</v>
      </c>
      <c r="G476" s="24">
        <f t="shared" si="7"/>
        <v>3124595</v>
      </c>
    </row>
    <row r="477" spans="1:7" hidden="1" x14ac:dyDescent="0.3">
      <c r="A477" s="19">
        <v>476</v>
      </c>
      <c r="B477" s="19" t="s">
        <v>968</v>
      </c>
      <c r="C477" s="19" t="s">
        <v>969</v>
      </c>
      <c r="D477" s="21" t="s">
        <v>83</v>
      </c>
      <c r="E477" s="19">
        <v>1</v>
      </c>
      <c r="F477" s="23">
        <v>3124595</v>
      </c>
      <c r="G477" s="24">
        <f t="shared" si="7"/>
        <v>3124595</v>
      </c>
    </row>
    <row r="478" spans="1:7" hidden="1" x14ac:dyDescent="0.3">
      <c r="A478" s="19">
        <v>477</v>
      </c>
      <c r="B478" s="19" t="s">
        <v>970</v>
      </c>
      <c r="C478" s="19" t="s">
        <v>971</v>
      </c>
      <c r="D478" s="21" t="s">
        <v>83</v>
      </c>
      <c r="E478" s="19">
        <v>1</v>
      </c>
      <c r="F478" s="23">
        <v>3124595</v>
      </c>
      <c r="G478" s="24">
        <f t="shared" si="7"/>
        <v>3124595</v>
      </c>
    </row>
    <row r="479" spans="1:7" hidden="1" x14ac:dyDescent="0.3">
      <c r="A479" s="19">
        <v>478</v>
      </c>
      <c r="B479" s="19" t="s">
        <v>972</v>
      </c>
      <c r="C479" s="19" t="s">
        <v>973</v>
      </c>
      <c r="D479" s="21" t="s">
        <v>83</v>
      </c>
      <c r="E479" s="19">
        <v>1</v>
      </c>
      <c r="F479" s="23">
        <v>3124595</v>
      </c>
      <c r="G479" s="24">
        <f t="shared" si="7"/>
        <v>3124595</v>
      </c>
    </row>
    <row r="480" spans="1:7" hidden="1" x14ac:dyDescent="0.3">
      <c r="A480" s="19">
        <v>479</v>
      </c>
      <c r="B480" s="19" t="s">
        <v>974</v>
      </c>
      <c r="C480" s="19" t="s">
        <v>975</v>
      </c>
      <c r="D480" s="21" t="s">
        <v>83</v>
      </c>
      <c r="E480" s="19">
        <v>1</v>
      </c>
      <c r="F480" s="23">
        <v>3124595</v>
      </c>
      <c r="G480" s="24">
        <f t="shared" si="7"/>
        <v>3124595</v>
      </c>
    </row>
    <row r="481" spans="1:8" hidden="1" x14ac:dyDescent="0.3">
      <c r="A481" s="19">
        <v>480</v>
      </c>
      <c r="B481" s="19" t="s">
        <v>976</v>
      </c>
      <c r="C481" s="19" t="s">
        <v>977</v>
      </c>
      <c r="D481" s="21" t="s">
        <v>83</v>
      </c>
      <c r="E481" s="19">
        <v>1</v>
      </c>
      <c r="F481" s="23">
        <v>24981566.850000001</v>
      </c>
      <c r="G481" s="24">
        <f t="shared" si="7"/>
        <v>24981566.850000001</v>
      </c>
    </row>
    <row r="482" spans="1:8" hidden="1" x14ac:dyDescent="0.3">
      <c r="A482" s="19">
        <v>481</v>
      </c>
      <c r="B482" s="20" t="s">
        <v>978</v>
      </c>
      <c r="C482" s="19" t="s">
        <v>979</v>
      </c>
      <c r="D482" s="21" t="s">
        <v>43</v>
      </c>
      <c r="E482" s="19">
        <v>1</v>
      </c>
      <c r="F482" s="23">
        <v>75000000</v>
      </c>
      <c r="G482" s="24">
        <f t="shared" si="7"/>
        <v>75000000</v>
      </c>
    </row>
    <row r="483" spans="1:8" hidden="1" x14ac:dyDescent="0.3">
      <c r="A483" s="19">
        <v>482</v>
      </c>
      <c r="B483" s="20" t="s">
        <v>980</v>
      </c>
      <c r="C483" s="19" t="s">
        <v>981</v>
      </c>
      <c r="D483" s="21" t="s">
        <v>43</v>
      </c>
      <c r="E483" s="19">
        <v>1</v>
      </c>
      <c r="F483" s="23">
        <v>75000000</v>
      </c>
      <c r="G483" s="24">
        <f t="shared" si="7"/>
        <v>75000000</v>
      </c>
    </row>
    <row r="484" spans="1:8" hidden="1" x14ac:dyDescent="0.3">
      <c r="G484" s="26">
        <f>SUM(G2:G483)</f>
        <v>21982860999.999992</v>
      </c>
    </row>
    <row r="485" spans="1:8" x14ac:dyDescent="0.3">
      <c r="G485" s="27"/>
      <c r="H485" s="99">
        <f>+SUMPRODUCT(F50:F79,H50:H79)</f>
        <v>107120723.89400001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2026-04-23T13:27:07Z</cp:lastPrinted>
  <dcterms:created xsi:type="dcterms:W3CDTF">2015-06-05T18:19:34Z</dcterms:created>
  <dcterms:modified xsi:type="dcterms:W3CDTF">2026-05-12T06:48:44Z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2025-11-26T13:14:13Z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8bd1a931-4169-4fe1-a0f9-ae26e62070d6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