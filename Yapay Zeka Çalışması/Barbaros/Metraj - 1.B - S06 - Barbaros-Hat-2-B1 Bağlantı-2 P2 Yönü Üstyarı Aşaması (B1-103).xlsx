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6F6F9FB1-F47B-4E97-BDAC-F0A021602F57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Metraj!$A$2:$Q$179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66" i="6"/>
  <c r="AE166" i="6" s="1"/>
  <c r="AA144" i="6"/>
  <c r="AE144" i="6" s="1"/>
  <c r="AA137" i="6"/>
  <c r="AE137" i="6" s="1"/>
  <c r="AA119" i="6"/>
  <c r="AE119" i="6" s="1"/>
  <c r="AA113" i="6"/>
  <c r="AE113" i="6" s="1"/>
  <c r="AA107" i="6"/>
  <c r="AE107" i="6" s="1"/>
  <c r="AA100" i="6"/>
  <c r="AD100" i="6" s="1"/>
  <c r="AA58" i="6"/>
  <c r="AE58" i="6" s="1"/>
  <c r="AA17" i="6"/>
  <c r="R22" i="6"/>
  <c r="R23" i="6"/>
  <c r="R24" i="6"/>
  <c r="R25" i="6"/>
  <c r="R26" i="6"/>
  <c r="R27" i="6"/>
  <c r="R29" i="6"/>
  <c r="R30" i="6"/>
  <c r="R31" i="6"/>
  <c r="R32" i="6"/>
  <c r="R33" i="6"/>
  <c r="R34" i="6"/>
  <c r="R35" i="6"/>
  <c r="R28" i="6"/>
  <c r="S29" i="6"/>
  <c r="AC58" i="6" l="1"/>
  <c r="AC166" i="6"/>
  <c r="AC144" i="6"/>
  <c r="AC137" i="6"/>
  <c r="AC119" i="6"/>
  <c r="AC113" i="6"/>
  <c r="AC107" i="6"/>
  <c r="AD107" i="6"/>
  <c r="AC100" i="6"/>
  <c r="AE100" i="6"/>
  <c r="AC17" i="6"/>
  <c r="AE17" i="6"/>
  <c r="P147" i="6"/>
  <c r="P151" i="6"/>
  <c r="M77" i="6"/>
  <c r="P77" i="6"/>
  <c r="C16" i="2"/>
  <c r="C15" i="2"/>
  <c r="AC2" i="6" l="1"/>
  <c r="P177" i="6"/>
  <c r="O170" i="6" l="1"/>
  <c r="M170" i="6"/>
  <c r="P170" i="6" s="1"/>
  <c r="P152" i="6"/>
  <c r="P148" i="6"/>
  <c r="P140" i="6"/>
  <c r="P133" i="6"/>
  <c r="P132" i="6"/>
  <c r="P131" i="6"/>
  <c r="P130" i="6"/>
  <c r="P129" i="6"/>
  <c r="P128" i="6"/>
  <c r="P76" i="6"/>
  <c r="P75" i="6"/>
  <c r="P74" i="6"/>
  <c r="P73" i="6"/>
  <c r="P72" i="6"/>
  <c r="P71" i="6"/>
  <c r="P70" i="6"/>
  <c r="P69" i="6"/>
  <c r="M96" i="6"/>
  <c r="P96" i="6" s="1"/>
  <c r="M95" i="6"/>
  <c r="P95" i="6" s="1"/>
  <c r="M94" i="6"/>
  <c r="P94" i="6" s="1"/>
  <c r="M93" i="6"/>
  <c r="P93" i="6" s="1"/>
  <c r="M92" i="6"/>
  <c r="P92" i="6" s="1"/>
  <c r="M91" i="6"/>
  <c r="P91" i="6" s="1"/>
  <c r="M90" i="6"/>
  <c r="P90" i="6" s="1"/>
  <c r="M89" i="6"/>
  <c r="P89" i="6" s="1"/>
  <c r="M54" i="6"/>
  <c r="P54" i="6" s="1"/>
  <c r="M52" i="6"/>
  <c r="P52" i="6" s="1"/>
  <c r="M38" i="6"/>
  <c r="M53" i="6"/>
  <c r="P53" i="6" s="1"/>
  <c r="M51" i="6"/>
  <c r="P51" i="6" s="1"/>
  <c r="M50" i="6"/>
  <c r="P50" i="6" s="1"/>
  <c r="M49" i="6"/>
  <c r="P49" i="6" s="1"/>
  <c r="M48" i="6"/>
  <c r="P48" i="6" s="1"/>
  <c r="M47" i="6"/>
  <c r="P47" i="6" s="1"/>
  <c r="P35" i="6"/>
  <c r="P34" i="6"/>
  <c r="P33" i="6"/>
  <c r="P32" i="6"/>
  <c r="P31" i="6"/>
  <c r="P30" i="6"/>
  <c r="P29" i="6"/>
  <c r="P28" i="6"/>
  <c r="P127" i="6" l="1"/>
  <c r="P126" i="6"/>
  <c r="P125" i="6"/>
  <c r="P124" i="6"/>
  <c r="P123" i="6"/>
  <c r="P122" i="6"/>
  <c r="L150" i="6"/>
  <c r="M88" i="6"/>
  <c r="P88" i="6" s="1"/>
  <c r="M87" i="6"/>
  <c r="P87" i="6" s="1"/>
  <c r="M86" i="6"/>
  <c r="P86" i="6" s="1"/>
  <c r="M85" i="6"/>
  <c r="P85" i="6" s="1"/>
  <c r="M84" i="6"/>
  <c r="P84" i="6" s="1"/>
  <c r="M83" i="6"/>
  <c r="P83" i="6" s="1"/>
  <c r="P25" i="6"/>
  <c r="P23" i="6"/>
  <c r="O173" i="6"/>
  <c r="M173" i="6"/>
  <c r="P102" i="6"/>
  <c r="P100" i="6" s="1"/>
  <c r="O100" i="6"/>
  <c r="M100" i="6"/>
  <c r="D100" i="6"/>
  <c r="M80" i="6"/>
  <c r="P80" i="6" s="1"/>
  <c r="P68" i="6"/>
  <c r="P67" i="6"/>
  <c r="P66" i="6"/>
  <c r="P65" i="6"/>
  <c r="P64" i="6"/>
  <c r="P63" i="6"/>
  <c r="P38" i="6"/>
  <c r="M46" i="6"/>
  <c r="P46" i="6" s="1"/>
  <c r="M45" i="6"/>
  <c r="P45" i="6" s="1"/>
  <c r="M44" i="6"/>
  <c r="P44" i="6" s="1"/>
  <c r="M43" i="6"/>
  <c r="P43" i="6" s="1"/>
  <c r="M42" i="6"/>
  <c r="P42" i="6" s="1"/>
  <c r="M41" i="6"/>
  <c r="P41" i="6" s="1"/>
  <c r="P173" i="6" l="1"/>
  <c r="M169" i="6" l="1"/>
  <c r="O169" i="6"/>
  <c r="P155" i="6"/>
  <c r="P169" i="6" l="1"/>
  <c r="P22" i="6" l="1"/>
  <c r="P20" i="6"/>
  <c r="M166" i="6"/>
  <c r="D166" i="6"/>
  <c r="M144" i="6"/>
  <c r="D144" i="6"/>
  <c r="M137" i="6"/>
  <c r="D137" i="6"/>
  <c r="M119" i="6"/>
  <c r="D119" i="6"/>
  <c r="M113" i="6"/>
  <c r="D113" i="6"/>
  <c r="O107" i="6"/>
  <c r="M107" i="6"/>
  <c r="D107" i="6"/>
  <c r="M58" i="6"/>
  <c r="D58" i="6"/>
  <c r="M17" i="6"/>
  <c r="D17" i="6"/>
  <c r="P61" i="6"/>
  <c r="P62" i="6"/>
  <c r="P21" i="6"/>
  <c r="P24" i="6"/>
  <c r="P26" i="6"/>
  <c r="P27" i="6"/>
  <c r="P176" i="6" l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159" i="6"/>
  <c r="D159" i="6"/>
  <c r="H51" i="5" l="1"/>
  <c r="L21" i="2"/>
  <c r="H54" i="5"/>
  <c r="L24" i="2"/>
  <c r="H55" i="5"/>
  <c r="L25" i="2"/>
  <c r="H56" i="5"/>
  <c r="L26" i="2"/>
  <c r="H58" i="5"/>
  <c r="L28" i="2"/>
  <c r="H59" i="5"/>
  <c r="L29" i="2"/>
  <c r="H62" i="5"/>
  <c r="L32" i="2"/>
  <c r="H65" i="5"/>
  <c r="L35" i="2"/>
  <c r="H66" i="5"/>
  <c r="L36" i="2"/>
  <c r="H67" i="5"/>
  <c r="L37" i="2"/>
  <c r="H68" i="5"/>
  <c r="L38" i="2"/>
  <c r="H52" i="5"/>
  <c r="L22" i="2"/>
  <c r="H69" i="5"/>
  <c r="L39" i="2"/>
  <c r="H70" i="5"/>
  <c r="L40" i="2"/>
  <c r="H71" i="5"/>
  <c r="L41" i="2"/>
  <c r="H72" i="5"/>
  <c r="L42" i="2"/>
  <c r="H73" i="5"/>
  <c r="L43" i="2"/>
  <c r="H74" i="5"/>
  <c r="L44" i="2"/>
  <c r="H78" i="5"/>
  <c r="L48" i="2"/>
  <c r="H79" i="5"/>
  <c r="L49" i="2"/>
  <c r="P162" i="6"/>
  <c r="M27" i="2"/>
  <c r="P109" i="6"/>
  <c r="P107" i="6" s="1"/>
  <c r="M30" i="2" s="1"/>
  <c r="H60" i="5" l="1"/>
  <c r="L30" i="2"/>
  <c r="H57" i="5"/>
  <c r="L27" i="2"/>
  <c r="P150" i="6" l="1"/>
  <c r="AA28" i="2" l="1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46" i="6"/>
  <c r="P144" i="6" s="1"/>
  <c r="P159" i="6"/>
  <c r="M46" i="2" s="1"/>
  <c r="M45" i="2" l="1"/>
  <c r="H75" i="5" s="1"/>
  <c r="O144" i="6"/>
  <c r="AD144" i="6" s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AA29" i="2"/>
  <c r="L45" i="2" l="1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B29" i="2"/>
  <c r="AC29" i="2" s="1"/>
  <c r="AD29" i="2" s="1"/>
  <c r="AE29" i="2" s="1"/>
  <c r="AF29" i="2" s="1"/>
  <c r="AG29" i="2" s="1"/>
  <c r="AH29" i="2" s="1"/>
  <c r="AI29" i="2" s="1"/>
  <c r="AA40" i="2"/>
  <c r="AB40" i="2" s="1"/>
  <c r="P166" i="6"/>
  <c r="M47" i="2" s="1"/>
  <c r="L47" i="2" l="1"/>
  <c r="O166" i="6"/>
  <c r="AD166" i="6" s="1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115" i="6"/>
  <c r="P113" i="6" s="1"/>
  <c r="M31" i="2" s="1"/>
  <c r="P139" i="6"/>
  <c r="P137" i="6" s="1"/>
  <c r="M34" i="2" s="1"/>
  <c r="AA47" i="2" l="1"/>
  <c r="H61" i="5"/>
  <c r="O113" i="6"/>
  <c r="AD113" i="6" s="1"/>
  <c r="H77" i="5"/>
  <c r="H64" i="5"/>
  <c r="O137" i="6"/>
  <c r="AD137" i="6" s="1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A30" i="2"/>
  <c r="AB30" i="2" s="1"/>
  <c r="AC30" i="2" s="1"/>
  <c r="AD30" i="2" s="1"/>
  <c r="AE30" i="2" s="1"/>
  <c r="AF30" i="2" s="1"/>
  <c r="AG30" i="2" s="1"/>
  <c r="AH30" i="2" s="1"/>
  <c r="AI30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119" i="6"/>
  <c r="M33" i="2" s="1"/>
  <c r="AA34" i="2" l="1"/>
  <c r="AB34" i="2" s="1"/>
  <c r="AB47" i="2"/>
  <c r="AC47" i="2" s="1"/>
  <c r="AA31" i="2"/>
  <c r="AB31" i="2" s="1"/>
  <c r="AC31" i="2" s="1"/>
  <c r="AA33" i="2"/>
  <c r="L31" i="2"/>
  <c r="L34" i="2"/>
  <c r="O119" i="6"/>
  <c r="AD119" i="6" s="1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58" i="6"/>
  <c r="M23" i="2" s="1"/>
  <c r="AC34" i="2" l="1"/>
  <c r="AD34" i="2" s="1"/>
  <c r="AD47" i="2"/>
  <c r="AE47" i="2" s="1"/>
  <c r="AF47" i="2" s="1"/>
  <c r="AD31" i="2"/>
  <c r="AE31" i="2" s="1"/>
  <c r="AF31" i="2" s="1"/>
  <c r="AG31" i="2" s="1"/>
  <c r="AH31" i="2" s="1"/>
  <c r="AI31" i="2" s="1"/>
  <c r="AB33" i="2"/>
  <c r="AC33" i="2" s="1"/>
  <c r="L23" i="2"/>
  <c r="O58" i="6"/>
  <c r="AD58" i="6" s="1"/>
  <c r="H63" i="5"/>
  <c r="L33" i="2"/>
  <c r="AH48" i="2"/>
  <c r="AI48" i="2" s="1"/>
  <c r="AH22" i="2"/>
  <c r="AI22" i="2" s="1"/>
  <c r="A12" i="2"/>
  <c r="AE34" i="2" l="1"/>
  <c r="AF34" i="2" s="1"/>
  <c r="AG34" i="2" s="1"/>
  <c r="AA23" i="2"/>
  <c r="AG47" i="2"/>
  <c r="AH47" i="2" s="1"/>
  <c r="AI47" i="2" s="1"/>
  <c r="AD33" i="2"/>
  <c r="AE33" i="2" s="1"/>
  <c r="AF33" i="2" s="1"/>
  <c r="AG33" i="2" s="1"/>
  <c r="AH33" i="2" s="1"/>
  <c r="H53" i="5"/>
  <c r="P17" i="6"/>
  <c r="M20" i="2" s="1"/>
  <c r="AH34" i="2" l="1"/>
  <c r="AI34" i="2" s="1"/>
  <c r="AB23" i="2"/>
  <c r="AC23" i="2" s="1"/>
  <c r="AA20" i="2"/>
  <c r="AI33" i="2"/>
  <c r="L20" i="2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D23" i="2" l="1"/>
  <c r="AE23" i="2" s="1"/>
  <c r="AF23" i="2" s="1"/>
  <c r="AG23" i="2" s="1"/>
  <c r="AH23" i="2" s="1"/>
  <c r="AI23" i="2" s="1"/>
  <c r="AB20" i="2"/>
  <c r="AC20" i="2" s="1"/>
  <c r="AD20" i="2" s="1"/>
  <c r="H50" i="5"/>
  <c r="H485" i="5" s="1"/>
  <c r="O1" i="2" s="1"/>
  <c r="C14" i="6"/>
  <c r="C13" i="6"/>
  <c r="AE20" i="2" l="1"/>
  <c r="AF20" i="2" s="1"/>
  <c r="A24" i="1"/>
  <c r="AG20" i="2" l="1"/>
  <c r="AH20" i="2" s="1"/>
  <c r="AI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  <c r="AA45" i="2" l="1"/>
  <c r="AB45" i="2" l="1"/>
  <c r="AC45" i="2" s="1"/>
  <c r="AD45" i="2" s="1"/>
  <c r="AE45" i="2" l="1"/>
  <c r="AF45" i="2" l="1"/>
  <c r="AG45" i="2" s="1"/>
  <c r="AH45" i="2" l="1"/>
  <c r="AI45" i="2" s="1"/>
</calcChain>
</file>

<file path=xl/sharedStrings.xml><?xml version="1.0" encoding="utf-8"?>
<sst xmlns="http://schemas.openxmlformats.org/spreadsheetml/2006/main" count="2133" uniqueCount="1076">
  <si>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</si>
  <si>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</si>
  <si>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</si>
  <si>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</si>
  <si>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</si>
  <si>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</si>
  <si>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</si>
  <si>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</si>
  <si>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</si>
  <si>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</si>
  <si>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</si>
  <si>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</si>
  <si>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</si>
  <si>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</si>
  <si>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</si>
  <si>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</si>
  <si>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</si>
  <si>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</si>
  <si>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</si>
  <si>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</si>
  <si>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</si>
  <si>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</si>
  <si>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</si>
  <si>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</si>
  <si>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</si>
  <si>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</si>
  <si>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</si>
  <si>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</si>
  <si>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</si>
  <si>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</si>
  <si>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</si>
  <si>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</si>
  <si>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</si>
  <si>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</si>
  <si>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</si>
  <si>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</si>
  <si>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</si>
  <si>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</si>
  <si>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</si>
  <si>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</si>
  <si>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</si>
  <si>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</si>
  <si>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</si>
  <si>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</si>
  <si>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</si>
  <si>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</si>
  <si>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</si>
  <si>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</si>
  <si>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</si>
  <si>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</si>
  <si>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</si>
  <si>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</si>
  <si>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</si>
  <si>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</si>
  <si>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</si>
  <si>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</si>
  <si>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</si>
  <si>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</si>
  <si>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</si>
  <si>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</si>
  <si>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</si>
  <si>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</si>
  <si>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</si>
  <si>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</si>
  <si>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</si>
  <si>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</si>
  <si>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</si>
  <si>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</si>
  <si>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</si>
  <si>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</si>
  <si>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</si>
  <si>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</si>
  <si>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</si>
  <si>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</si>
  <si>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</si>
  <si>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</si>
  <si>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</si>
  <si>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</si>
  <si>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</si>
  <si>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</si>
  <si>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</si>
  <si>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</si>
  <si>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</si>
  <si>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</si>
  <si>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</si>
  <si>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</si>
  <si>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</si>
  <si>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</si>
  <si>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</si>
  <si>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</si>
  <si>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</si>
  <si>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</si>
  <si>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</si>
  <si>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</si>
  <si>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</si>
  <si>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</si>
  <si>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</si>
  <si>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</si>
  <si>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</si>
  <si>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</si>
  <si>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</si>
  <si>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</si>
  <si>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</si>
  <si>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</si>
  <si>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</si>
  <si>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</si>
  <si>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</si>
  <si>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</si>
  <si>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</si>
  <si>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</si>
  <si>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</si>
  <si>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</si>
  <si>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</si>
  <si>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</si>
  <si>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</si>
  <si>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</si>
  <si>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</si>
  <si>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</si>
  <si>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</si>
  <si>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</si>
  <si>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</si>
  <si>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</si>
  <si>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</si>
  <si>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</si>
  <si>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</si>
  <si>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</si>
  <si>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</si>
  <si>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</si>
  <si>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</si>
  <si>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</si>
  <si>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</si>
  <si>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</si>
  <si>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</si>
  <si>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</si>
  <si>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</si>
  <si>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</si>
  <si>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</si>
  <si>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</si>
  <si>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</si>
  <si>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</si>
  <si>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</si>
  <si>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</si>
  <si>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</si>
  <si>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</si>
  <si>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</si>
  <si>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</si>
  <si>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</si>
  <si>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</si>
  <si>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</si>
  <si>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</si>
  <si>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</si>
  <si>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</si>
  <si>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</si>
  <si>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</si>
  <si>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</si>
  <si>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</si>
  <si>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</si>
  <si>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</si>
  <si>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</si>
  <si>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</si>
  <si>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</si>
  <si>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</si>
  <si>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</si>
  <si>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</si>
  <si>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</si>
  <si>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</si>
  <si>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</si>
  <si>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</si>
  <si>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</si>
  <si>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</si>
  <si>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</si>
  <si>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</si>
  <si>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</si>
  <si>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</si>
  <si>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</si>
  <si>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</si>
  <si>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</si>
  <si>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</si>
  <si>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</si>
  <si>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</si>
  <si>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</si>
  <si>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</si>
  <si>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</si>
  <si>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</si>
  <si>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</si>
  <si>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</si>
  <si>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</si>
  <si>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</si>
  <si>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</si>
  <si>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</si>
  <si>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</si>
  <si>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</si>
  <si>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</si>
  <si>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</si>
  <si>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</si>
  <si>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</si>
  <si>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</si>
  <si>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</si>
  <si>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</si>
  <si>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</si>
  <si>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</si>
  <si>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</si>
  <si>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</si>
  <si>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</si>
  <si>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</si>
  <si>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</si>
  <si>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</si>
  <si>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</si>
  <si>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</si>
  <si>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</si>
  <si>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</si>
  <si>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</si>
  <si>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</si>
  <si>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</si>
  <si>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</si>
  <si>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</si>
  <si>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</si>
  <si>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</si>
  <si>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</si>
  <si>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</si>
  <si>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</si>
  <si>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</si>
  <si>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</si>
  <si>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</si>
  <si>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</si>
  <si>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</si>
  <si>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</si>
  <si>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</si>
  <si>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</si>
  <si>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</si>
  <si>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</si>
  <si>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</si>
  <si>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</si>
  <si>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</si>
  <si>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</si>
  <si>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</si>
  <si>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</si>
  <si>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</si>
  <si>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</si>
  <si>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</si>
  <si>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</si>
  <si>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</si>
  <si>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</si>
  <si>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</si>
  <si>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</si>
  <si>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</si>
  <si>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</si>
  <si>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</si>
  <si>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</si>
  <si>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</si>
  <si>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</si>
  <si>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</si>
  <si>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</si>
  <si>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</si>
  <si>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</si>
  <si>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</si>
  <si>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</si>
  <si>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</si>
  <si>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</si>
  <si>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</si>
  <si>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</si>
  <si>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</si>
  <si>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</si>
  <si>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</si>
  <si>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</si>
  <si>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</si>
  <si>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</si>
  <si>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</si>
  <si>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</si>
  <si>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</si>
  <si>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</si>
  <si>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</si>
  <si>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</si>
  <si>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</si>
  <si>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</si>
  <si>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</si>
  <si>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</si>
  <si>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</si>
  <si>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</si>
  <si>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</si>
  <si>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</si>
  <si>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</si>
  <si>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</si>
  <si>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</si>
  <si>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</si>
  <si>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</si>
  <si>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</si>
  <si>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</si>
  <si>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</si>
  <si>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</si>
  <si>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</si>
  <si>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</si>
  <si>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</si>
  <si>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</si>
  <si>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</si>
  <si>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</si>
  <si>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</si>
  <si>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</si>
  <si>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</si>
  <si>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</si>
  <si>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</si>
  <si>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</si>
  <si>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</si>
  <si>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</si>
  <si>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</si>
  <si>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</si>
  <si>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</si>
  <si>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</si>
  <si>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</si>
  <si>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</si>
  <si>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</si>
  <si>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</si>
  <si>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</si>
  <si>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</si>
  <si>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</si>
  <si>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</si>
  <si>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</si>
  <si>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</si>
  <si>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</si>
  <si>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</si>
  <si>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</si>
  <si>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</si>
  <si>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</si>
  <si>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</si>
  <si>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</si>
  <si>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</si>
  <si>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</si>
  <si>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</si>
  <si>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</si>
  <si>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</si>
  <si>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</si>
  <si>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</si>
  <si>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</si>
  <si>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</si>
  <si>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</si>
  <si>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</si>
  <si>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</si>
  <si>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</si>
  <si>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</si>
  <si>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</si>
  <si>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</si>
  <si>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</si>
  <si>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</si>
  <si>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</si>
  <si>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</si>
  <si>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</si>
  <si>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</si>
  <si>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</si>
  <si>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</si>
  <si>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</si>
  <si>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</si>
  <si>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</si>
  <si>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</si>
  <si>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</si>
  <si>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</si>
  <si>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</si>
  <si>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</si>
  <si>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</si>
  <si>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</si>
  <si>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</si>
  <si>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</si>
  <si>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</si>
  <si>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</si>
  <si>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</si>
  <si>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</si>
  <si>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</si>
  <si>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</si>
  <si>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</si>
  <si>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</si>
  <si>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</si>
  <si>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</si>
  <si>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</si>
  <si>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</si>
  <si>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</si>
  <si>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</si>
  <si>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</si>
  <si>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</si>
  <si>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</si>
  <si>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</si>
  <si>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</si>
  <si>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</si>
  <si>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</si>
  <si>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</si>
  <si>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</si>
  <si>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</si>
  <si>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</si>
  <si>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</si>
  <si>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</si>
  <si>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</si>
  <si>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</si>
  <si>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</si>
  <si>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</si>
  <si>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</si>
  <si>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</si>
  <si>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</si>
  <si>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</si>
  <si>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</si>
  <si>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</si>
  <si>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</si>
  <si>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</si>
  <si>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</si>
  <si>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</si>
  <si>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</si>
  <si>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</si>
  <si>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</si>
  <si>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</si>
  <si>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</si>
  <si>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</si>
  <si>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</si>
  <si>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</si>
  <si>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</si>
  <si>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</si>
  <si>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</si>
  <si>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</si>
  <si>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</si>
  <si>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</si>
  <si>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</si>
  <si>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</si>
  <si>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</si>
  <si>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</si>
  <si>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</si>
  <si>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</si>
  <si>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</si>
  <si>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</si>
  <si>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</si>
  <si>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</si>
  <si>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</si>
  <si>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</si>
  <si>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</si>
  <si>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</si>
  <si>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</si>
  <si>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</si>
  <si>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</si>
  <si>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</si>
  <si>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</si>
  <si>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</si>
  <si>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</si>
  <si>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</si>
  <si>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</si>
  <si>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</si>
  <si>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</si>
  <si>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</si>
  <si>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</si>
  <si>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</si>
  <si>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</si>
  <si>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</si>
  <si>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</si>
  <si>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</si>
  <si>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</si>
  <si>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</si>
  <si>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</si>
  <si>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</si>
  <si>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</si>
  <si>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</si>
  <si>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</si>
  <si>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</si>
  <si>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</si>
  <si>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</si>
  <si>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</si>
  <si>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</si>
  <si>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</si>
  <si>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</si>
  <si>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</si>
  <si>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</si>
  <si>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</si>
  <si>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</si>
  <si>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</si>
  <si>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</si>
  <si>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</si>
  <si>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</si>
  <si>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</si>
  <si>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</si>
  <si>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</si>
  <si>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</si>
  <si>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</si>
  <si>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</si>
  <si>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</si>
  <si>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</si>
  <si>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</si>
  <si>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</si>
  <si>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</si>
  <si>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</si>
  <si>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</si>
  <si>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</si>
  <si>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</si>
  <si>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</si>
  <si>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</si>
  <si>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</si>
  <si>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</si>
  <si>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</si>
  <si>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</si>
  <si>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</si>
  <si>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</si>
  <si>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</si>
  <si>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</si>
  <si>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</si>
  <si>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</si>
  <si>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</si>
  <si>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</si>
  <si>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</si>
  <si>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</si>
  <si>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</si>
  <si>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</si>
  <si>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</si>
  <si>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</si>
  <si>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</si>
  <si>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</si>
  <si>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</si>
  <si>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</si>
  <si>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</si>
  <si>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</si>
  <si>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</si>
  <si>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</si>
  <si>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</si>
  <si>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</si>
  <si>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</si>
  <si>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</si>
  <si>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</si>
  <si>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</si>
  <si>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</si>
  <si>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</si>
  <si>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</si>
  <si>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</si>
  <si>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</si>
  <si>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</si>
  <si>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</si>
  <si>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</si>
  <si>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</si>
  <si>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</si>
  <si>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</si>
  <si>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</si>
  <si>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</si>
  <si>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</si>
  <si>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</si>
  <si>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</si>
  <si>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</si>
  <si>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</si>
  <si>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</si>
  <si>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</si>
  <si>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</si>
  <si>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</si>
  <si>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</si>
  <si>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</si>
  <si>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</si>
  <si>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</si>
  <si>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</si>
  <si>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</si>
  <si>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</si>
  <si>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</si>
  <si>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</si>
  <si>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</si>
  <si>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</si>
  <si>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</si>
  <si>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</si>
  <si>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</si>
  <si>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</si>
  <si>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</si>
  <si>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</si>
  <si>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</si>
  <si>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</si>
  <si>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</si>
  <si>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</si>
  <si>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</si>
  <si>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</si>
  <si>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</si>
  <si>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</si>
  <si>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</si>
  <si>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</si>
  <si>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</si>
  <si>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</si>
  <si>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</si>
  <si>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</si>
  <si>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</si>
  <si>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</si>
  <si>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</si>
  <si>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</si>
  <si>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</si>
  <si>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</si>
  <si>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</si>
  <si>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</si>
  <si>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</si>
  <si>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</si>
  <si>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</si>
  <si>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</si>
  <si>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</si>
  <si>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</si>
  <si>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</si>
  <si>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</si>
  <si>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</si>
  <si>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</si>
  <si>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</si>
  <si>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</si>
  <si>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</si>
  <si>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</si>
  <si>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</si>
  <si>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</si>
  <si>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</si>
  <si>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</si>
  <si>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</si>
  <si>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</si>
  <si>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</si>
  <si>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</si>
  <si>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</si>
  <si>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</si>
  <si>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</si>
  <si>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</si>
  <si>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</si>
  <si>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</si>
  <si>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</si>
  <si>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</si>
  <si>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</si>
  <si>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</si>
  <si>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</si>
  <si>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</si>
  <si>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</si>
  <si>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</si>
  <si>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</si>
  <si>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</si>
  <si>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</si>
  <si>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</si>
  <si>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</si>
  <si>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</si>
  <si>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</si>
  <si>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</si>
  <si>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</si>
  <si>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</si>
  <si>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</si>
  <si>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</si>
  <si>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</si>
  <si>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</si>
  <si>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</si>
  <si>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</si>
  <si>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</si>
  <si>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</si>
  <si>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</si>
  <si>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</si>
  <si>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</si>
  <si>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</si>
  <si>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</si>
  <si>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</si>
  <si>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</si>
  <si>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</si>
  <si>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</si>
  <si>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</si>
  <si>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</si>
  <si>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</si>
  <si>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</si>
  <si>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</si>
  <si>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</si>
  <si>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</si>
  <si>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</si>
  <si>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</si>
  <si>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</si>
  <si>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</si>
  <si>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</si>
  <si>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</si>
  <si>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</si>
  <si>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</si>
  <si>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</si>
  <si>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</si>
  <si>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</si>
  <si>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</si>
  <si>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</si>
  <si>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</si>
  <si>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</si>
  <si>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</si>
  <si>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</si>
  <si>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</si>
  <si>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</si>
  <si>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</si>
  <si>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</si>
  <si>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</si>
  <si>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</si>
  <si>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</si>
  <si>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</si>
  <si>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</si>
  <si>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</si>
  <si>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</si>
  <si>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</si>
  <si>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</si>
  <si>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</si>
  <si>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</si>
  <si>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</si>
  <si>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</si>
  <si>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</si>
  <si>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</si>
  <si>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</si>
  <si>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</si>
  <si>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</si>
  <si>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</si>
  <si>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</si>
  <si>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</si>
  <si>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</si>
  <si>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</si>
  <si>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</si>
  <si>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</si>
  <si>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</si>
  <si>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</si>
  <si>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</si>
  <si>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</si>
  <si>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</si>
  <si>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</si>
  <si>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</si>
  <si>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</si>
  <si>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</si>
  <si>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</si>
  <si>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</si>
  <si>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</si>
  <si>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</si>
  <si>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</si>
  <si>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</si>
  <si>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</si>
  <si>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</si>
  <si>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</si>
  <si>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</si>
  <si>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</si>
  <si>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</si>
  <si>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</si>
  <si>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</si>
  <si>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</si>
  <si>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</si>
  <si>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</si>
  <si>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</si>
  <si>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</si>
  <si>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</si>
  <si>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</si>
  <si>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</si>
  <si>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</si>
  <si>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</si>
  <si>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</si>
  <si>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</si>
  <si>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</si>
  <si>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</si>
  <si>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</si>
  <si>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</si>
  <si>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</si>
  <si>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</si>
  <si>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</si>
  <si>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</si>
  <si>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</si>
  <si>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</si>
  <si>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</si>
  <si>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</si>
  <si>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</si>
  <si>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</si>
  <si>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</si>
  <si>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</si>
  <si>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</si>
  <si>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</si>
  <si>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</si>
  <si>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</si>
  <si>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</si>
  <si>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</si>
  <si>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</si>
  <si>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</si>
  <si>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</si>
  <si>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</si>
  <si>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</si>
  <si>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</si>
  <si>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</si>
  <si>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</si>
  <si>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</si>
  <si>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</si>
  <si>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</si>
  <si>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</si>
  <si>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</si>
  <si>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</si>
  <si>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</si>
  <si>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</si>
  <si>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</si>
  <si>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</si>
  <si>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</si>
  <si>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</si>
  <si>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</si>
  <si>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</si>
  <si>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</si>
  <si>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</si>
  <si>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</si>
  <si>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</si>
  <si>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</si>
  <si>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</si>
  <si>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</si>
  <si>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</si>
  <si>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</si>
  <si>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</si>
  <si>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</si>
  <si>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</si>
  <si>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</si>
  <si>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</si>
  <si>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</si>
  <si>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</si>
  <si>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</si>
  <si>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</si>
  <si>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</si>
  <si>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</si>
  <si>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</si>
  <si>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</si>
  <si>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</si>
  <si>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</si>
  <si>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</si>
  <si>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</si>
  <si>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</si>
  <si>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</si>
  <si>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</si>
  <si>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</si>
  <si>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</si>
  <si>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</si>
  <si>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</si>
  <si>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</si>
  <si>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</si>
  <si>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</si>
  <si>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</si>
  <si>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</si>
  <si>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</si>
  <si>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</si>
  <si>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</si>
  <si>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</si>
  <si>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</si>
  <si>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</si>
  <si>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</si>
  <si>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</si>
  <si>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</si>
  <si>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</si>
  <si>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</si>
  <si>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</si>
  <si>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</si>
  <si>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</si>
  <si>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</si>
  <si>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</si>
  <si>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</si>
  <si>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</si>
  <si>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</si>
  <si>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</si>
  <si>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</si>
  <si>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</si>
  <si>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</si>
  <si>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</si>
  <si>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</si>
  <si>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</si>
  <si>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</si>
  <si>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</si>
  <si>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</si>
  <si>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</si>
  <si>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</si>
  <si>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</si>
  <si>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</si>
  <si>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</si>
  <si>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</si>
  <si>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</si>
  <si>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</si>
  <si>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</si>
  <si>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</si>
  <si>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</si>
  <si>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</si>
  <si>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</si>
  <si>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</si>
  <si>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</si>
  <si>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</si>
  <si>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</si>
  <si>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</si>
  <si>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</si>
  <si>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</si>
  <si>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</si>
  <si>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</si>
  <si>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</si>
  <si>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</si>
  <si>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</si>
  <si>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</si>
  <si>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</si>
  <si>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</si>
  <si>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</si>
  <si>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</si>
  <si>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</si>
  <si>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</si>
  <si>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</si>
  <si>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</si>
  <si>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</si>
  <si>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</si>
  <si>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</si>
  <si>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</si>
  <si>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</si>
  <si>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</si>
  <si>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</si>
  <si>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</si>
  <si>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</si>
  <si>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</si>
  <si>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</si>
  <si>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</si>
  <si>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</si>
  <si>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</si>
  <si>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</si>
  <si>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</si>
  <si>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</si>
  <si>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</si>
  <si>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</si>
  <si>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</si>
  <si>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</si>
  <si>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</si>
  <si>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</si>
  <si>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</si>
  <si>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</si>
  <si>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</si>
  <si>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</si>
  <si>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</si>
  <si>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</si>
  <si>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</si>
  <si>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</si>
  <si>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</si>
  <si>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</si>
  <si>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</si>
  <si>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</si>
  <si>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</si>
  <si>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</si>
  <si>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</si>
  <si>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</si>
  <si>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</si>
  <si>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</si>
  <si>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</si>
  <si>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</si>
  <si>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</si>
  <si>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</si>
  <si>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</si>
  <si>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</si>
  <si>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</si>
  <si>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</si>
  <si>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</si>
  <si>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</si>
  <si>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</si>
  <si>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</si>
  <si>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</si>
  <si>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</si>
  <si>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</si>
  <si>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</si>
  <si>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</si>
  <si>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</si>
  <si>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</si>
  <si>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</si>
  <si>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</si>
  <si>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</si>
  <si>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</si>
  <si>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</si>
  <si>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</si>
  <si>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</si>
  <si>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</si>
  <si>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</si>
  <si>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</si>
  <si>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</si>
  <si>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</si>
  <si>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</si>
  <si>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</si>
  <si>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</si>
  <si>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</si>
  <si>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</si>
  <si>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</si>
  <si>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</si>
  <si>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</si>
  <si>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</si>
  <si>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</si>
  <si>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</si>
  <si>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</si>
  <si>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</si>
  <si>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</si>
  <si>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</si>
  <si>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</si>
  <si>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</si>
  <si>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</si>
  <si>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</si>
  <si>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</si>
  <si>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</si>
  <si>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</si>
  <si>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</si>
  <si>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</si>
  <si>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</si>
  <si>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</si>
  <si>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</si>
  <si>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</si>
  <si>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</si>
  <si>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</si>
  <si>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</si>
  <si>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</si>
  <si>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</si>
  <si>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</si>
  <si>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</si>
  <si>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</si>
  <si>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</si>
  <si>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</si>
  <si>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</si>
  <si>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</si>
  <si>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</si>
  <si>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</si>
  <si>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</si>
  <si>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</si>
  <si>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</si>
  <si>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</si>
  <si>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</si>
  <si>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</si>
  <si>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</si>
  <si>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</si>
  <si>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</si>
  <si>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</si>
  <si>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</si>
  <si>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</si>
  <si>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</si>
  <si>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</si>
  <si>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</si>
  <si>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</si>
  <si>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</si>
  <si>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</si>
  <si>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</si>
  <si>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</si>
  <si>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</si>
  <si>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</si>
  <si>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</si>
  <si>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</si>
  <si>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</si>
  <si>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</si>
  <si>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</si>
  <si>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</si>
  <si>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</si>
  <si>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</si>
  <si>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</si>
  <si>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</si>
  <si>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</si>
  <si>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</si>
  <si>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</si>
  <si>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</si>
  <si>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</si>
  <si>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</si>
  <si>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</si>
  <si>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</si>
  <si>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</si>
  <si>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</si>
  <si>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</si>
  <si>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</si>
  <si>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</si>
  <si>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</si>
  <si>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</si>
  <si>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</si>
  <si>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</si>
  <si>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</si>
  <si>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</si>
  <si>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</si>
  <si>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</si>
  <si>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</si>
  <si>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</si>
  <si>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</si>
  <si>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</si>
  <si>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</si>
  <si>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</si>
  <si>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</si>
  <si>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</si>
  <si>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</si>
  <si>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</si>
  <si>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</si>
  <si>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</si>
  <si>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</si>
  <si>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</si>
  <si>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</si>
  <si>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</si>
  <si>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0+053,44 KM Pah donatısı</t>
  </si>
  <si>
    <t>2025.12-006</t>
  </si>
  <si>
    <t>S06.H2.B1.BAĞ1-P2.-Ü-001</t>
  </si>
  <si>
    <t>2026.01-003</t>
  </si>
  <si>
    <t>S06.H2.B1.BAĞ2-P2.-Ü-002</t>
  </si>
  <si>
    <t>6 Nolu İksa Tipi Ayna Geçici İnvert</t>
  </si>
  <si>
    <t>Q377/377</t>
  </si>
  <si>
    <t>2026.03-016</t>
  </si>
  <si>
    <t>S06.H2.B1.BAĞ2-P2.-Ü-003</t>
  </si>
  <si>
    <t>Aralık</t>
  </si>
  <si>
    <t>Metraj - 1.B - S06 - Barbaros-Hat-2-B1 Bağlantı-2 P2 Yönü Üstyarı Aşaması (B1-103)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</si>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</sst>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  <numFmt numFmtId="170" formatCode="_-* #,##0.000_-;\-* #,##0.000_-;_-* &quot;-&quot;?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vertical="center"/>
    </xf>
    <xf numFmtId="170" fontId="0" fillId="0" borderId="0" xfId="0" applyNumberFormat="1" applyAlignment="1">
      <alignment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2">
          <cell r="L22">
            <v>0</v>
          </cell>
        </row>
        <row r="29">
          <cell r="L29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Q11" sqref="Q11"/>
    </sheetView>
  </sheetViews>
  <sheetFormatPr defaultRowHeight="15" customHeight="1" x14ac:dyDescent="0.3"/>
  <cols>
    <col min="1" max="9" width="12.77734375" customWidth="1"/>
    <col min="10" max="10" width="15.88671875" customWidth="1"/>
  </cols>
  <sheetData>
    <row r="5" spans="1:10" s="2" customFormat="1" ht="29.4" x14ac:dyDescent="0.55000000000000004">
      <c r="A5" s="143" t="s">
        <v>0</v>
      </c>
      <c r="B5" s="143"/>
      <c r="C5" s="143"/>
      <c r="D5" s="143"/>
      <c r="E5" s="143"/>
      <c r="F5" s="143"/>
      <c r="G5" s="143"/>
      <c r="H5" s="143"/>
      <c r="I5" s="143"/>
      <c r="J5" s="143"/>
    </row>
    <row r="6" spans="1:10" s="2" customFormat="1" ht="29.4" x14ac:dyDescent="0.55000000000000004">
      <c r="A6" s="143" t="s">
        <v>1</v>
      </c>
      <c r="B6" s="143"/>
      <c r="C6" s="143"/>
      <c r="D6" s="143"/>
      <c r="E6" s="143"/>
      <c r="F6" s="143"/>
      <c r="G6" s="143"/>
      <c r="H6" s="143"/>
      <c r="I6" s="143"/>
      <c r="J6" s="143"/>
    </row>
    <row r="7" spans="1:10" s="2" customFormat="1" ht="29.4" customHeight="1" x14ac:dyDescent="0.35">
      <c r="A7" s="142" t="s">
        <v>1020</v>
      </c>
      <c r="B7" s="142"/>
      <c r="C7" s="142"/>
      <c r="D7" s="142"/>
      <c r="E7" s="142"/>
      <c r="F7" s="142"/>
      <c r="G7" s="142"/>
      <c r="H7" s="142"/>
      <c r="I7" s="142"/>
      <c r="J7" s="142"/>
    </row>
    <row r="8" spans="1:10" s="2" customFormat="1" ht="29.4" customHeight="1" x14ac:dyDescent="0.35">
      <c r="A8" s="142"/>
      <c r="B8" s="142"/>
      <c r="C8" s="142"/>
      <c r="D8" s="142"/>
      <c r="E8" s="142"/>
      <c r="F8" s="142"/>
      <c r="G8" s="142"/>
      <c r="H8" s="142"/>
      <c r="I8" s="142"/>
      <c r="J8" s="142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2" t="s">
        <v>2</v>
      </c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s="1" customFormat="1" ht="22.95" customHeight="1" x14ac:dyDescent="0.3">
      <c r="A13" s="142"/>
      <c r="B13" s="142"/>
      <c r="C13" s="142"/>
      <c r="D13" s="142"/>
      <c r="E13" s="142"/>
      <c r="F13" s="142"/>
      <c r="G13" s="142"/>
      <c r="H13" s="142"/>
      <c r="I13" s="142"/>
      <c r="J13" s="142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4">
        <f>+İcmal!C15</f>
        <v>5</v>
      </c>
      <c r="B24" s="144"/>
      <c r="C24" s="144"/>
      <c r="D24" s="144"/>
      <c r="E24" s="144"/>
      <c r="F24" s="144"/>
      <c r="G24" s="144"/>
      <c r="H24" s="144"/>
      <c r="I24" s="144"/>
      <c r="J24" s="144"/>
    </row>
    <row r="28" spans="1:10" ht="15" customHeight="1" x14ac:dyDescent="0.3">
      <c r="A28" s="141" t="s">
        <v>1069</v>
      </c>
      <c r="B28" s="140"/>
      <c r="C28" s="140"/>
      <c r="D28" s="140"/>
      <c r="E28" s="140"/>
      <c r="F28" s="140"/>
      <c r="G28" s="140"/>
      <c r="H28" s="140"/>
      <c r="I28" s="140"/>
      <c r="J28" s="140"/>
    </row>
    <row r="29" spans="1:10" ht="15" customHeight="1" x14ac:dyDescent="0.3">
      <c r="A29" s="140"/>
      <c r="B29" s="140"/>
      <c r="C29" s="140"/>
      <c r="D29" s="140"/>
      <c r="E29" s="140"/>
      <c r="F29" s="140"/>
      <c r="G29" s="140"/>
      <c r="H29" s="140"/>
      <c r="I29" s="140"/>
      <c r="J29" s="140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40" t="s">
        <v>3</v>
      </c>
      <c r="B33" s="140"/>
      <c r="C33" s="140"/>
      <c r="D33" s="140"/>
      <c r="E33" s="140"/>
      <c r="F33" s="140"/>
      <c r="G33" s="140"/>
      <c r="H33" s="140"/>
      <c r="I33" s="140"/>
      <c r="J33" s="140"/>
    </row>
    <row r="34" spans="1:10" ht="15" customHeight="1" x14ac:dyDescent="0.3">
      <c r="A34" s="140"/>
      <c r="B34" s="140"/>
      <c r="C34" s="140"/>
      <c r="D34" s="140"/>
      <c r="E34" s="140"/>
      <c r="F34" s="140"/>
      <c r="G34" s="140"/>
      <c r="H34" s="140"/>
      <c r="I34" s="140"/>
      <c r="J34" s="140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9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3" width="8.88671875" style="9"/>
    <col min="24" max="24" width="12.88671875" style="9" customWidth="1"/>
    <col min="25" max="16384" width="8.88671875" style="9"/>
  </cols>
  <sheetData>
    <row r="1" spans="1:24" s="122" customFormat="1" ht="15" customHeight="1" x14ac:dyDescent="0.3">
      <c r="O1" s="124">
        <f>+Liste!H485</f>
        <v>9718830.3540000003</v>
      </c>
    </row>
    <row r="2" spans="1:24" s="122" customFormat="1" ht="15" customHeight="1" x14ac:dyDescent="0.3"/>
    <row r="3" spans="1:24" s="122" customFormat="1" ht="15" customHeight="1" x14ac:dyDescent="0.3"/>
    <row r="4" spans="1:24" s="122" customFormat="1" ht="15" customHeight="1" x14ac:dyDescent="0.3"/>
    <row r="5" spans="1:24" s="122" customFormat="1" ht="15" customHeight="1" x14ac:dyDescent="0.3">
      <c r="A5" s="138" t="s">
        <v>0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spans="1:24" s="122" customFormat="1" ht="15" customHeight="1" x14ac:dyDescent="0.3">
      <c r="A6" s="138" t="s">
        <v>1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</row>
    <row r="7" spans="1:24" s="122" customFormat="1" ht="15" customHeight="1" x14ac:dyDescent="0.3">
      <c r="A7" s="138" t="s">
        <v>1020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</row>
    <row r="8" spans="1:24" s="122" customFormat="1" ht="15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</row>
    <row r="9" spans="1:24" s="122" customFormat="1" ht="15" customHeight="1" x14ac:dyDescent="0.3">
      <c r="A9" s="123"/>
    </row>
    <row r="10" spans="1:24" s="122" customFormat="1" ht="15" customHeight="1" x14ac:dyDescent="0.3">
      <c r="A10" s="138" t="s">
        <v>2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24" s="122" customFormat="1" ht="15" customHeight="1" x14ac:dyDescent="0.3">
      <c r="A11" s="123"/>
    </row>
    <row r="12" spans="1:24" s="122" customFormat="1" ht="15" customHeight="1" x14ac:dyDescent="0.3">
      <c r="A12" s="138" t="str">
        <f>+Kapak!A28</f>
        <v>Metraj - 1.B - S06 - Barbaros-Hat-2-B1 Bağlantı-2 P2 Yönü Üstyarı Aşaması (B1-103)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  <row r="13" spans="1:2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24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24" ht="15" customHeight="1" x14ac:dyDescent="0.3">
      <c r="B16" s="14" t="s">
        <v>6</v>
      </c>
      <c r="C16" s="13">
        <f>+[3]Veri!$C$22</f>
        <v>46112</v>
      </c>
      <c r="D16" s="11"/>
      <c r="E16" s="11"/>
      <c r="X16" s="125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1022</v>
      </c>
      <c r="Q18" s="20" t="s">
        <v>1022</v>
      </c>
      <c r="R18" s="20" t="s">
        <v>1022</v>
      </c>
      <c r="S18" s="20" t="s">
        <v>1022</v>
      </c>
      <c r="T18" s="20" t="s">
        <v>1022</v>
      </c>
      <c r="U18" s="20" t="s">
        <v>1022</v>
      </c>
      <c r="V18" s="20" t="s">
        <v>1022</v>
      </c>
      <c r="W18" s="20" t="s">
        <v>1022</v>
      </c>
      <c r="X18" s="20" t="s">
        <v>1022</v>
      </c>
      <c r="Y18" s="20" t="s">
        <v>1022</v>
      </c>
      <c r="Z18" s="20" t="s">
        <v>1022</v>
      </c>
      <c r="AA18" s="20" t="s">
        <v>1022</v>
      </c>
      <c r="AB18" s="20" t="s">
        <v>1022</v>
      </c>
      <c r="AC18" s="20" t="s">
        <v>1022</v>
      </c>
      <c r="AD18" s="20" t="s">
        <v>1022</v>
      </c>
      <c r="AE18" s="20" t="s">
        <v>1022</v>
      </c>
      <c r="AF18" s="20" t="s">
        <v>1022</v>
      </c>
      <c r="AG18" s="20" t="s">
        <v>1022</v>
      </c>
      <c r="AH18" s="20" t="s">
        <v>1022</v>
      </c>
      <c r="AI18" s="20" t="s">
        <v>1022</v>
      </c>
    </row>
    <row r="19" spans="2:35" ht="30" customHeight="1" x14ac:dyDescent="0.3">
      <c r="B19" s="15" t="s">
        <v>7</v>
      </c>
      <c r="C19" s="146" t="s">
        <v>8</v>
      </c>
      <c r="D19" s="146"/>
      <c r="E19" s="146"/>
      <c r="F19" s="146"/>
      <c r="G19" s="146"/>
      <c r="H19" s="147"/>
      <c r="I19" s="46"/>
      <c r="J19" s="15" t="s">
        <v>9</v>
      </c>
      <c r="K19" s="16" t="s">
        <v>1053</v>
      </c>
      <c r="L19" s="16" t="s">
        <v>1054</v>
      </c>
      <c r="M19" s="16" t="s">
        <v>1055</v>
      </c>
      <c r="O19" s="99"/>
      <c r="P19" s="21" t="s">
        <v>1023</v>
      </c>
      <c r="Q19" s="21" t="s">
        <v>1024</v>
      </c>
      <c r="R19" s="21" t="s">
        <v>1026</v>
      </c>
      <c r="S19" s="21" t="s">
        <v>1027</v>
      </c>
      <c r="T19" s="21" t="s">
        <v>1028</v>
      </c>
      <c r="U19" s="21" t="s">
        <v>1029</v>
      </c>
      <c r="V19" s="21" t="s">
        <v>1030</v>
      </c>
      <c r="W19" s="21" t="s">
        <v>1031</v>
      </c>
      <c r="X19" s="21" t="s">
        <v>1032</v>
      </c>
      <c r="Y19" s="21" t="s">
        <v>1033</v>
      </c>
      <c r="Z19" s="21" t="s">
        <v>1034</v>
      </c>
      <c r="AA19" s="21" t="s">
        <v>1035</v>
      </c>
      <c r="AB19" s="21" t="s">
        <v>1036</v>
      </c>
      <c r="AC19" s="21" t="s">
        <v>1037</v>
      </c>
      <c r="AD19" s="21" t="s">
        <v>1038</v>
      </c>
      <c r="AE19" s="21" t="s">
        <v>1039</v>
      </c>
      <c r="AF19" s="21" t="s">
        <v>1040</v>
      </c>
      <c r="AG19" s="21" t="s">
        <v>1041</v>
      </c>
      <c r="AH19" s="21" t="s">
        <v>1042</v>
      </c>
      <c r="AI19" s="21" t="s">
        <v>1043</v>
      </c>
    </row>
    <row r="20" spans="2:35" ht="30" customHeight="1" x14ac:dyDescent="0.3">
      <c r="B20" s="29" t="s">
        <v>120</v>
      </c>
      <c r="C20" s="148" t="str">
        <f>+VLOOKUP(B20,Liste!B:E,2,FALSE)</f>
        <v>Geleneksel (NATM) Tünel Kazısı</v>
      </c>
      <c r="D20" s="148"/>
      <c r="E20" s="148"/>
      <c r="F20" s="148"/>
      <c r="G20" s="148"/>
      <c r="H20" s="149"/>
      <c r="I20" s="47"/>
      <c r="J20" s="22" t="str">
        <f>+VLOOKUP(B20,Liste!B:E,3,FALSE)</f>
        <v>m³</v>
      </c>
      <c r="K20" s="22">
        <v>354.87</v>
      </c>
      <c r="L20" s="120">
        <f>+M20-K20</f>
        <v>0</v>
      </c>
      <c r="M20" s="91">
        <f>+IFERROR(VLOOKUP(B20,Metraj!B:P,15,FALSE),"0")</f>
        <v>354.87</v>
      </c>
      <c r="O20" s="99"/>
      <c r="P20" s="97"/>
      <c r="Q20" s="97"/>
      <c r="R20" s="97"/>
      <c r="S20" s="97"/>
      <c r="T20" s="91"/>
      <c r="U20" s="91"/>
      <c r="V20" s="91"/>
      <c r="W20" s="91">
        <v>25.29</v>
      </c>
      <c r="X20" s="91">
        <v>329.58</v>
      </c>
      <c r="Y20" s="91">
        <v>0</v>
      </c>
      <c r="Z20" s="91">
        <v>0</v>
      </c>
      <c r="AA20" s="91">
        <f>$M20-SUM($P20:Z20)</f>
        <v>0</v>
      </c>
      <c r="AB20" s="91">
        <f>$M20-SUM($P20:AA20)</f>
        <v>0</v>
      </c>
      <c r="AC20" s="91">
        <f>$M20-SUM($P20:AB20)</f>
        <v>0</v>
      </c>
      <c r="AD20" s="91">
        <f>$M20-SUM($P20:AC20)</f>
        <v>0</v>
      </c>
      <c r="AE20" s="91">
        <f>$M20-SUM($P20:AD20)</f>
        <v>0</v>
      </c>
      <c r="AF20" s="91">
        <f>$M20-SUM($P20:AE20)</f>
        <v>0</v>
      </c>
      <c r="AG20" s="91">
        <f>$M20-SUM($P20:AF20)</f>
        <v>0</v>
      </c>
      <c r="AH20" s="91">
        <f>$M20-SUM($P20:AG20)</f>
        <v>0</v>
      </c>
      <c r="AI20" s="91">
        <f>$M20-SUM($P20:AH20)</f>
        <v>0</v>
      </c>
    </row>
    <row r="21" spans="2:35" ht="30" customHeight="1" x14ac:dyDescent="0.3">
      <c r="B21" s="29" t="s">
        <v>122</v>
      </c>
      <c r="C21" s="148" t="str">
        <f>+VLOOKUP(B21,Liste!B:E,2,FALSE)</f>
        <v>Kazıdan çıkan veya Ariyetten alınan malzeme ile geri dolgu yapılması</v>
      </c>
      <c r="D21" s="148"/>
      <c r="E21" s="148"/>
      <c r="F21" s="148"/>
      <c r="G21" s="148"/>
      <c r="H21" s="149"/>
      <c r="I21" s="47"/>
      <c r="J21" s="22" t="str">
        <f>+VLOOKUP(B21,Liste!B:E,3,FALSE)</f>
        <v>m³</v>
      </c>
      <c r="K21" s="22" t="s">
        <v>1075</v>
      </c>
      <c r="L21" s="120" t="e">
        <f t="shared" ref="L21:L49" si="0">+M21-K21</f>
        <v>#VALUE!</v>
      </c>
      <c r="M21" s="91" t="str">
        <f>+IFERROR(VLOOKUP(B21,Metraj!B:P,15,FALSE),"")</f>
        <v/>
      </c>
      <c r="P21" s="97"/>
      <c r="Q21" s="97"/>
      <c r="R21" s="97"/>
      <c r="S21" s="97"/>
      <c r="T21" s="91"/>
      <c r="U21" s="91"/>
      <c r="V21" s="91"/>
      <c r="W21" s="91">
        <v>0</v>
      </c>
      <c r="X21" s="91">
        <v>0</v>
      </c>
      <c r="Y21" s="91">
        <v>0</v>
      </c>
      <c r="Z21" s="91">
        <v>0</v>
      </c>
      <c r="AA21" s="91">
        <f>+IFERROR($M21-SUM($P21:Z21),0)</f>
        <v>0</v>
      </c>
      <c r="AB21" s="91">
        <f>+IFERROR($M21-SUM($P21:AA21),0)</f>
        <v>0</v>
      </c>
      <c r="AC21" s="91">
        <f>+IFERROR($M21-SUM($P21:AB21),0)</f>
        <v>0</v>
      </c>
      <c r="AD21" s="91">
        <f>+IFERROR($M21-SUM($P21:AC21),0)</f>
        <v>0</v>
      </c>
      <c r="AE21" s="91">
        <f>+IFERROR($M21-SUM($P21:AD21),0)</f>
        <v>0</v>
      </c>
      <c r="AF21" s="91">
        <f>+IFERROR($M21-SUM($P21:AE21),0)</f>
        <v>0</v>
      </c>
      <c r="AG21" s="91">
        <f>+IFERROR($M21-SUM($P21:AF21),0)</f>
        <v>0</v>
      </c>
      <c r="AH21" s="91">
        <f>+IFERROR($M21-SUM($P21:AG21),0)</f>
        <v>0</v>
      </c>
      <c r="AI21" s="91">
        <f>+IFERROR($M21-SUM($P21:AH21),0)</f>
        <v>0</v>
      </c>
    </row>
    <row r="22" spans="2:35" ht="30" customHeight="1" x14ac:dyDescent="0.3">
      <c r="B22" s="29" t="s">
        <v>124</v>
      </c>
      <c r="C22" s="148" t="str">
        <f>+VLOOKUP(B22,Liste!B:E,2,FALSE)</f>
        <v>Kum, Çakıl, Kırma Tas ve Benzeri Malzeme ile Dolgu Yapılması</v>
      </c>
      <c r="D22" s="148"/>
      <c r="E22" s="148"/>
      <c r="F22" s="148"/>
      <c r="G22" s="148"/>
      <c r="H22" s="149"/>
      <c r="I22" s="47"/>
      <c r="J22" s="22" t="str">
        <f>+VLOOKUP(B22,Liste!B:E,3,FALSE)</f>
        <v>m³</v>
      </c>
      <c r="K22" s="22" t="s">
        <v>1075</v>
      </c>
      <c r="L22" s="120" t="e">
        <f t="shared" si="0"/>
        <v>#VALUE!</v>
      </c>
      <c r="M22" s="91" t="str">
        <f>+IFERROR(VLOOKUP(B22,Metraj!B:P,15,FALSE),"")</f>
        <v/>
      </c>
      <c r="P22" s="97"/>
      <c r="Q22" s="97"/>
      <c r="R22" s="97"/>
      <c r="S22" s="97"/>
      <c r="T22" s="91"/>
      <c r="U22" s="91"/>
      <c r="V22" s="91"/>
      <c r="W22" s="91">
        <v>0</v>
      </c>
      <c r="X22" s="91">
        <v>0</v>
      </c>
      <c r="Y22" s="91">
        <v>0</v>
      </c>
      <c r="Z22" s="91">
        <v>0</v>
      </c>
      <c r="AA22" s="91">
        <f>+IFERROR($M22-SUM($P22:Z22),0)</f>
        <v>0</v>
      </c>
      <c r="AB22" s="91">
        <f>+IFERROR($M22-SUM($P22:AA22),0)</f>
        <v>0</v>
      </c>
      <c r="AC22" s="91">
        <f>+IFERROR($M22-SUM($P22:AB22),0)</f>
        <v>0</v>
      </c>
      <c r="AD22" s="91">
        <f>+IFERROR($M22-SUM($P22:AC22),0)</f>
        <v>0</v>
      </c>
      <c r="AE22" s="91">
        <f>+IFERROR($M22-SUM($P22:AD22),0)</f>
        <v>0</v>
      </c>
      <c r="AF22" s="91">
        <f>+IFERROR($M22-SUM($P22:AE22),0)</f>
        <v>0</v>
      </c>
      <c r="AG22" s="91">
        <f>+IFERROR($M22-SUM($P22:AF22),0)</f>
        <v>0</v>
      </c>
      <c r="AH22" s="91">
        <f>+IFERROR($M22-SUM($P22:AG22),0)</f>
        <v>0</v>
      </c>
      <c r="AI22" s="91">
        <f>+IFERROR($M22-SUM($P22:AH22),0)</f>
        <v>0</v>
      </c>
    </row>
    <row r="23" spans="2:35" ht="30" customHeight="1" x14ac:dyDescent="0.3">
      <c r="B23" s="29" t="s">
        <v>125</v>
      </c>
      <c r="C23" s="148" t="str">
        <f>+VLOOKUP(B23,Liste!B:E,2,FALSE)</f>
        <v>Püskürtme Beton (Tünel ve Şaftlarda)</v>
      </c>
      <c r="D23" s="148"/>
      <c r="E23" s="148"/>
      <c r="F23" s="148"/>
      <c r="G23" s="148"/>
      <c r="H23" s="149"/>
      <c r="I23" s="47"/>
      <c r="J23" s="22" t="str">
        <f>+VLOOKUP(B23,Liste!B:E,3,FALSE)</f>
        <v>m³</v>
      </c>
      <c r="K23" s="22">
        <v>99.96</v>
      </c>
      <c r="L23" s="120">
        <f t="shared" si="0"/>
        <v>0</v>
      </c>
      <c r="M23" s="91">
        <f>+IFERROR(VLOOKUP(B23,Metraj!B:P,15,FALSE),"0")</f>
        <v>99.96</v>
      </c>
      <c r="O23" s="99"/>
      <c r="P23" s="97"/>
      <c r="Q23" s="97"/>
      <c r="R23" s="97"/>
      <c r="S23" s="97"/>
      <c r="T23" s="91"/>
      <c r="U23" s="91"/>
      <c r="V23" s="91"/>
      <c r="W23" s="91">
        <v>21.003</v>
      </c>
      <c r="X23" s="125">
        <v>75.319999999999993</v>
      </c>
      <c r="Y23" s="91">
        <v>0</v>
      </c>
      <c r="Z23" s="91">
        <v>3.6370000000000005</v>
      </c>
      <c r="AA23" s="91">
        <f>$M23-SUM($P23:Z23)</f>
        <v>0</v>
      </c>
      <c r="AB23" s="91">
        <f>$M23-SUM($P23:AA23)</f>
        <v>0</v>
      </c>
      <c r="AC23" s="91">
        <f>$M23-SUM($P23:AB23)</f>
        <v>0</v>
      </c>
      <c r="AD23" s="91">
        <f>$M23-SUM($P23:AC23)</f>
        <v>0</v>
      </c>
      <c r="AE23" s="91">
        <f>$M23-SUM($P23:AD23)</f>
        <v>0</v>
      </c>
      <c r="AF23" s="91">
        <f>$M23-SUM($P23:AE23)</f>
        <v>0</v>
      </c>
      <c r="AG23" s="91">
        <f>$M23-SUM($P23:AF23)</f>
        <v>0</v>
      </c>
      <c r="AH23" s="91">
        <f>$M23-SUM($P23:AG23)</f>
        <v>0</v>
      </c>
      <c r="AI23" s="91">
        <f>$M23-SUM($P23:AH23)</f>
        <v>0</v>
      </c>
    </row>
    <row r="24" spans="2:35" ht="30" customHeight="1" x14ac:dyDescent="0.3">
      <c r="B24" s="29" t="s">
        <v>127</v>
      </c>
      <c r="C24" s="148" t="str">
        <f>+VLOOKUP(B24,Liste!B:E,2,FALSE)</f>
        <v>Delgi boyu =&lt; 30m</v>
      </c>
      <c r="D24" s="148"/>
      <c r="E24" s="148"/>
      <c r="F24" s="148"/>
      <c r="G24" s="148"/>
      <c r="H24" s="149"/>
      <c r="I24" s="47"/>
      <c r="J24" s="22" t="str">
        <f>+VLOOKUP(B24,Liste!B:E,3,FALSE)</f>
        <v>m</v>
      </c>
      <c r="K24" s="22" t="s">
        <v>1075</v>
      </c>
      <c r="L24" s="120" t="e">
        <f t="shared" si="0"/>
        <v>#VALUE!</v>
      </c>
      <c r="M24" s="91" t="str">
        <f>+IFERROR(VLOOKUP(B24,Metraj!B:P,15,FALSE),"")</f>
        <v/>
      </c>
      <c r="P24" s="97"/>
      <c r="Q24" s="97"/>
      <c r="R24" s="97"/>
      <c r="S24" s="97"/>
      <c r="T24" s="91"/>
      <c r="U24" s="91"/>
      <c r="V24" s="91"/>
      <c r="W24" s="91">
        <v>0</v>
      </c>
      <c r="X24" s="91">
        <v>0</v>
      </c>
      <c r="Y24" s="91">
        <v>0</v>
      </c>
      <c r="Z24" s="91">
        <v>0</v>
      </c>
      <c r="AA24" s="91">
        <f>+IFERROR($M24-SUM($P24:Z24),0)</f>
        <v>0</v>
      </c>
      <c r="AB24" s="91">
        <f>+IFERROR($M24-SUM($P24:AA24),0)</f>
        <v>0</v>
      </c>
      <c r="AC24" s="91">
        <f>+IFERROR($M24-SUM($P24:AB24),0)</f>
        <v>0</v>
      </c>
      <c r="AD24" s="91">
        <f>+IFERROR($M24-SUM($P24:AC24),0)</f>
        <v>0</v>
      </c>
      <c r="AE24" s="91">
        <f>+IFERROR($M24-SUM($P24:AD24),0)</f>
        <v>0</v>
      </c>
      <c r="AF24" s="91">
        <f>+IFERROR($M24-SUM($P24:AE24),0)</f>
        <v>0</v>
      </c>
      <c r="AG24" s="91">
        <f>+IFERROR($M24-SUM($P24:AF24),0)</f>
        <v>0</v>
      </c>
      <c r="AH24" s="91">
        <f>+IFERROR($M24-SUM($P24:AG24),0)</f>
        <v>0</v>
      </c>
      <c r="AI24" s="91">
        <f>+IFERROR($M24-SUM($P24:AH24),0)</f>
        <v>0</v>
      </c>
    </row>
    <row r="25" spans="2:35" ht="30" customHeight="1" x14ac:dyDescent="0.3">
      <c r="B25" s="29" t="s">
        <v>129</v>
      </c>
      <c r="C25" s="148" t="str">
        <f>+VLOOKUP(B25,Liste!B:E,2,FALSE)</f>
        <v>Delgi boyu &gt; 30m</v>
      </c>
      <c r="D25" s="148"/>
      <c r="E25" s="148"/>
      <c r="F25" s="148"/>
      <c r="G25" s="148"/>
      <c r="H25" s="149"/>
      <c r="I25" s="47"/>
      <c r="J25" s="22" t="str">
        <f>+VLOOKUP(B25,Liste!B:E,3,FALSE)</f>
        <v>m</v>
      </c>
      <c r="K25" s="22" t="s">
        <v>1075</v>
      </c>
      <c r="L25" s="120" t="e">
        <f t="shared" si="0"/>
        <v>#VALUE!</v>
      </c>
      <c r="M25" s="91" t="str">
        <f>+IFERROR(VLOOKUP(B25,Metraj!B:P,15,FALSE),"")</f>
        <v/>
      </c>
      <c r="P25" s="97"/>
      <c r="Q25" s="97"/>
      <c r="R25" s="97"/>
      <c r="S25" s="97"/>
      <c r="T25" s="91"/>
      <c r="U25" s="91"/>
      <c r="V25" s="91"/>
      <c r="W25" s="91">
        <v>0</v>
      </c>
      <c r="X25" s="91">
        <v>0</v>
      </c>
      <c r="Y25" s="91">
        <v>0</v>
      </c>
      <c r="Z25" s="91">
        <v>0</v>
      </c>
      <c r="AA25" s="91">
        <f>+IFERROR($M25-SUM($P25:Z25),0)</f>
        <v>0</v>
      </c>
      <c r="AB25" s="91">
        <f>+IFERROR($M25-SUM($P25:AA25),0)</f>
        <v>0</v>
      </c>
      <c r="AC25" s="91">
        <f>+IFERROR($M25-SUM($P25:AB25),0)</f>
        <v>0</v>
      </c>
      <c r="AD25" s="91">
        <f>+IFERROR($M25-SUM($P25:AC25),0)</f>
        <v>0</v>
      </c>
      <c r="AE25" s="91">
        <f>+IFERROR($M25-SUM($P25:AD25),0)</f>
        <v>0</v>
      </c>
      <c r="AF25" s="91">
        <f>+IFERROR($M25-SUM($P25:AE25),0)</f>
        <v>0</v>
      </c>
      <c r="AG25" s="91">
        <f>+IFERROR($M25-SUM($P25:AF25),0)</f>
        <v>0</v>
      </c>
      <c r="AH25" s="91">
        <f>+IFERROR($M25-SUM($P25:AG25),0)</f>
        <v>0</v>
      </c>
      <c r="AI25" s="91">
        <f>+IFERROR($M25-SUM($P25:AH25),0)</f>
        <v>0</v>
      </c>
    </row>
    <row r="26" spans="2:35" ht="30" customHeight="1" x14ac:dyDescent="0.3">
      <c r="B26" s="29" t="s">
        <v>131</v>
      </c>
      <c r="C26" s="148" t="str">
        <f>+VLOOKUP(B26,Liste!B:E,2,FALSE)</f>
        <v>L=3 m Kaya Bulonu</v>
      </c>
      <c r="D26" s="148"/>
      <c r="E26" s="148"/>
      <c r="F26" s="148"/>
      <c r="G26" s="148"/>
      <c r="H26" s="149"/>
      <c r="I26" s="47"/>
      <c r="J26" s="22" t="str">
        <f>+VLOOKUP(B26,Liste!B:E,3,FALSE)</f>
        <v>adet</v>
      </c>
      <c r="K26" s="22" t="s">
        <v>1075</v>
      </c>
      <c r="L26" s="120" t="e">
        <f t="shared" si="0"/>
        <v>#VALUE!</v>
      </c>
      <c r="M26" s="91" t="str">
        <f>+IFERROR(VLOOKUP(B26,Metraj!B:P,15,FALSE),"")</f>
        <v/>
      </c>
      <c r="P26" s="97"/>
      <c r="Q26" s="97"/>
      <c r="R26" s="97"/>
      <c r="S26" s="97"/>
      <c r="T26" s="91"/>
      <c r="U26" s="91"/>
      <c r="V26" s="91"/>
      <c r="W26" s="91">
        <v>0</v>
      </c>
      <c r="X26" s="91">
        <v>0</v>
      </c>
      <c r="Y26" s="91">
        <v>0</v>
      </c>
      <c r="Z26" s="91">
        <v>0</v>
      </c>
      <c r="AA26" s="91">
        <f>+IFERROR($M26-SUM($P26:Z26),0)</f>
        <v>0</v>
      </c>
      <c r="AB26" s="91">
        <f>+IFERROR($M26-SUM($P26:AA26),0)</f>
        <v>0</v>
      </c>
      <c r="AC26" s="91">
        <f>+IFERROR($M26-SUM($P26:AB26),0)</f>
        <v>0</v>
      </c>
      <c r="AD26" s="91">
        <f>+IFERROR($M26-SUM($P26:AC26),0)</f>
        <v>0</v>
      </c>
      <c r="AE26" s="91">
        <f>+IFERROR($M26-SUM($P26:AD26),0)</f>
        <v>0</v>
      </c>
      <c r="AF26" s="91">
        <f>+IFERROR($M26-SUM($P26:AE26),0)</f>
        <v>0</v>
      </c>
      <c r="AG26" s="91">
        <f>+IFERROR($M26-SUM($P26:AF26),0)</f>
        <v>0</v>
      </c>
      <c r="AH26" s="91">
        <f>+IFERROR($M26-SUM($P26:AG26),0)</f>
        <v>0</v>
      </c>
      <c r="AI26" s="91">
        <f>+IFERROR($M26-SUM($P26:AH26),0)</f>
        <v>0</v>
      </c>
    </row>
    <row r="27" spans="2:35" ht="30" customHeight="1" x14ac:dyDescent="0.3">
      <c r="B27" s="29" t="s">
        <v>132</v>
      </c>
      <c r="C27" s="148" t="str">
        <f>+VLOOKUP(B27,Liste!B:E,2,FALSE)</f>
        <v>L=4 m Kaya Bulonu</v>
      </c>
      <c r="D27" s="148"/>
      <c r="E27" s="148"/>
      <c r="F27" s="148"/>
      <c r="G27" s="148"/>
      <c r="H27" s="149"/>
      <c r="I27" s="47"/>
      <c r="J27" s="22" t="str">
        <f>+VLOOKUP(B27,Liste!B:E,3,FALSE)</f>
        <v>adet</v>
      </c>
      <c r="K27" s="22" t="s">
        <v>1075</v>
      </c>
      <c r="L27" s="120" t="e">
        <f t="shared" si="0"/>
        <v>#VALUE!</v>
      </c>
      <c r="M27" s="91" t="str">
        <f>+IFERROR(VLOOKUP(B27,Metraj!B:P,15,FALSE),"")</f>
        <v/>
      </c>
      <c r="P27" s="97"/>
      <c r="Q27" s="97"/>
      <c r="R27" s="97"/>
      <c r="S27" s="97"/>
      <c r="T27" s="91"/>
      <c r="U27" s="91"/>
      <c r="V27" s="91"/>
      <c r="W27" s="91">
        <v>0</v>
      </c>
      <c r="X27" s="91">
        <v>0</v>
      </c>
      <c r="Y27" s="91">
        <v>0</v>
      </c>
      <c r="Z27" s="91">
        <v>0</v>
      </c>
      <c r="AA27" s="91">
        <f>+IFERROR($M27-SUM($P27:Z27),0)</f>
        <v>0</v>
      </c>
      <c r="AB27" s="91">
        <f>+IFERROR($M27-SUM($P27:AA27),0)</f>
        <v>0</v>
      </c>
      <c r="AC27" s="91">
        <f>+IFERROR($M27-SUM($P27:AB27),0)</f>
        <v>0</v>
      </c>
      <c r="AD27" s="91">
        <f>+IFERROR($M27-SUM($P27:AC27),0)</f>
        <v>0</v>
      </c>
      <c r="AE27" s="91">
        <f>+IFERROR($M27-SUM($P27:AD27),0)</f>
        <v>0</v>
      </c>
      <c r="AF27" s="91">
        <f>+IFERROR($M27-SUM($P27:AE27),0)</f>
        <v>0</v>
      </c>
      <c r="AG27" s="91">
        <f>+IFERROR($M27-SUM($P27:AF27),0)</f>
        <v>0</v>
      </c>
      <c r="AH27" s="91">
        <f>+IFERROR($M27-SUM($P27:AG27),0)</f>
        <v>0</v>
      </c>
      <c r="AI27" s="91">
        <f>+IFERROR($M27-SUM($P27:AH27),0)</f>
        <v>0</v>
      </c>
    </row>
    <row r="28" spans="2:35" ht="30" customHeight="1" x14ac:dyDescent="0.3">
      <c r="B28" s="29" t="s">
        <v>133</v>
      </c>
      <c r="C28" s="148" t="str">
        <f>+VLOOKUP(B28,Liste!B:E,2,FALSE)</f>
        <v>L=5 m Kaya Bulonu</v>
      </c>
      <c r="D28" s="148"/>
      <c r="E28" s="148"/>
      <c r="F28" s="148"/>
      <c r="G28" s="148"/>
      <c r="H28" s="149"/>
      <c r="I28" s="47"/>
      <c r="J28" s="22" t="str">
        <f>+VLOOKUP(B28,Liste!B:E,3,FALSE)</f>
        <v>adet</v>
      </c>
      <c r="K28" s="22" t="s">
        <v>1075</v>
      </c>
      <c r="L28" s="120" t="e">
        <f t="shared" si="0"/>
        <v>#VALUE!</v>
      </c>
      <c r="M28" s="91" t="str">
        <f>+IFERROR(VLOOKUP(B28,Metraj!B:P,15,FALSE),"")</f>
        <v/>
      </c>
      <c r="P28" s="97"/>
      <c r="Q28" s="97"/>
      <c r="R28" s="97"/>
      <c r="S28" s="97"/>
      <c r="T28" s="91"/>
      <c r="U28" s="91"/>
      <c r="V28" s="91"/>
      <c r="W28" s="91">
        <v>0</v>
      </c>
      <c r="X28" s="91">
        <v>0</v>
      </c>
      <c r="Y28" s="91">
        <v>0</v>
      </c>
      <c r="Z28" s="91">
        <v>0</v>
      </c>
      <c r="AA28" s="91">
        <f>+IFERROR($M28-SUM($P28:Z28),0)</f>
        <v>0</v>
      </c>
      <c r="AB28" s="91">
        <f>+IFERROR($M28-SUM($P28:AA28),0)</f>
        <v>0</v>
      </c>
      <c r="AC28" s="91">
        <f>+IFERROR($M28-SUM($P28:AB28),0)</f>
        <v>0</v>
      </c>
      <c r="AD28" s="91">
        <f>+IFERROR($M28-SUM($P28:AC28),0)</f>
        <v>0</v>
      </c>
      <c r="AE28" s="91">
        <f>+IFERROR($M28-SUM($P28:AD28),0)</f>
        <v>0</v>
      </c>
      <c r="AF28" s="91">
        <f>+IFERROR($M28-SUM($P28:AE28),0)</f>
        <v>0</v>
      </c>
      <c r="AG28" s="91">
        <f>+IFERROR($M28-SUM($P28:AF28),0)</f>
        <v>0</v>
      </c>
      <c r="AH28" s="91">
        <f>+IFERROR($M28-SUM($P28:AG28),0)</f>
        <v>0</v>
      </c>
      <c r="AI28" s="91">
        <f>+IFERROR($M28-SUM($P28:AH28),0)</f>
        <v>0</v>
      </c>
    </row>
    <row r="29" spans="2:35" ht="30" customHeight="1" x14ac:dyDescent="0.3">
      <c r="B29" s="29" t="s">
        <v>134</v>
      </c>
      <c r="C29" s="148" t="str">
        <f>+VLOOKUP(B29,Liste!B:E,2,FALSE)</f>
        <v>L=6 m Kaya Bulonu</v>
      </c>
      <c r="D29" s="148"/>
      <c r="E29" s="148"/>
      <c r="F29" s="148"/>
      <c r="G29" s="148"/>
      <c r="H29" s="149"/>
      <c r="I29" s="47"/>
      <c r="J29" s="22" t="str">
        <f>+VLOOKUP(B29,Liste!B:E,3,FALSE)</f>
        <v>adet</v>
      </c>
      <c r="K29" s="22">
        <v>175</v>
      </c>
      <c r="L29" s="120">
        <f t="shared" si="0"/>
        <v>0</v>
      </c>
      <c r="M29" s="91">
        <f>+IFERROR(VLOOKUP(B29,Metraj!B:P,15,FALSE),"")</f>
        <v>175</v>
      </c>
      <c r="P29" s="97"/>
      <c r="Q29" s="97"/>
      <c r="R29" s="97"/>
      <c r="S29" s="97"/>
      <c r="T29" s="91"/>
      <c r="U29" s="91"/>
      <c r="V29" s="91"/>
      <c r="W29" s="91">
        <v>0</v>
      </c>
      <c r="X29" s="91">
        <v>175</v>
      </c>
      <c r="Y29" s="91">
        <v>0</v>
      </c>
      <c r="Z29" s="91">
        <v>0</v>
      </c>
      <c r="AA29" s="91">
        <f>+IFERROR($M29-SUM($P29:Z29),0)</f>
        <v>0</v>
      </c>
      <c r="AB29" s="91">
        <f>+IFERROR($M29-SUM($P29:AA29),0)</f>
        <v>0</v>
      </c>
      <c r="AC29" s="91">
        <f>+IFERROR($M29-SUM($P29:AB29),0)</f>
        <v>0</v>
      </c>
      <c r="AD29" s="91">
        <f>+IFERROR($M29-SUM($P29:AC29),0)</f>
        <v>0</v>
      </c>
      <c r="AE29" s="91">
        <f>+IFERROR($M29-SUM($P29:AD29),0)</f>
        <v>0</v>
      </c>
      <c r="AF29" s="91">
        <f>+IFERROR($M29-SUM($P29:AE29),0)</f>
        <v>0</v>
      </c>
      <c r="AG29" s="91">
        <f>+IFERROR($M29-SUM($P29:AF29),0)</f>
        <v>0</v>
      </c>
      <c r="AH29" s="91">
        <f>+IFERROR($M29-SUM($P29:AG29),0)</f>
        <v>0</v>
      </c>
      <c r="AI29" s="91">
        <f>+IFERROR($M29-SUM($P29:AH29),0)</f>
        <v>0</v>
      </c>
    </row>
    <row r="30" spans="2:35" ht="30" customHeight="1" x14ac:dyDescent="0.3">
      <c r="B30" s="29" t="s">
        <v>135</v>
      </c>
      <c r="C30" s="148" t="str">
        <f>+VLOOKUP(B30,Liste!B:E,2,FALSE)</f>
        <v>L=8 m Kaya Bulonu</v>
      </c>
      <c r="D30" s="148"/>
      <c r="E30" s="148"/>
      <c r="F30" s="148"/>
      <c r="G30" s="148"/>
      <c r="H30" s="149"/>
      <c r="I30" s="47"/>
      <c r="J30" s="22" t="str">
        <f>+VLOOKUP(B30,Liste!B:E,3,FALSE)</f>
        <v>adet</v>
      </c>
      <c r="K30" s="22">
        <v>20</v>
      </c>
      <c r="L30" s="120">
        <f t="shared" si="0"/>
        <v>0</v>
      </c>
      <c r="M30" s="91">
        <f>+IFERROR(VLOOKUP(B30,Metraj!B:P,15,FALSE),"")</f>
        <v>20</v>
      </c>
      <c r="P30" s="97"/>
      <c r="Q30" s="97"/>
      <c r="R30" s="97"/>
      <c r="S30" s="97"/>
      <c r="T30" s="91"/>
      <c r="U30" s="91"/>
      <c r="V30" s="91"/>
      <c r="W30" s="91">
        <v>20</v>
      </c>
      <c r="X30" s="91">
        <v>0</v>
      </c>
      <c r="Y30" s="91">
        <v>0</v>
      </c>
      <c r="Z30" s="91">
        <v>0</v>
      </c>
      <c r="AA30" s="91">
        <f>+IFERROR($M30-SUM($P30:Z30),0)</f>
        <v>0</v>
      </c>
      <c r="AB30" s="91">
        <f>+IFERROR($M30-SUM($P30:AA30),0)</f>
        <v>0</v>
      </c>
      <c r="AC30" s="91">
        <f>+IFERROR($M30-SUM($P30:AB30),0)</f>
        <v>0</v>
      </c>
      <c r="AD30" s="91">
        <f>+IFERROR($M30-SUM($P30:AC30),0)</f>
        <v>0</v>
      </c>
      <c r="AE30" s="91">
        <f>+IFERROR($M30-SUM($P30:AD30),0)</f>
        <v>0</v>
      </c>
      <c r="AF30" s="91">
        <f>+IFERROR($M30-SUM($P30:AE30),0)</f>
        <v>0</v>
      </c>
      <c r="AG30" s="91">
        <f>+IFERROR($M30-SUM($P30:AF30),0)</f>
        <v>0</v>
      </c>
      <c r="AH30" s="91">
        <f>+IFERROR($M30-SUM($P30:AG30),0)</f>
        <v>0</v>
      </c>
      <c r="AI30" s="91">
        <f>+IFERROR($M30-SUM($P30:AH30),0)</f>
        <v>0</v>
      </c>
    </row>
    <row r="31" spans="2:35" ht="30" customHeight="1" x14ac:dyDescent="0.3">
      <c r="B31" s="29" t="s">
        <v>137</v>
      </c>
      <c r="C31" s="148" t="str">
        <f>+VLOOKUP(B31,Liste!B:E,2,FALSE)</f>
        <v>125 mm Delik İçine 14 mm Kalınlığında S420a ile Zemin Çivisi Teşkili</v>
      </c>
      <c r="D31" s="148"/>
      <c r="E31" s="148"/>
      <c r="F31" s="148"/>
      <c r="G31" s="148"/>
      <c r="H31" s="149"/>
      <c r="I31" s="47"/>
      <c r="J31" s="22" t="str">
        <f>+VLOOKUP(B31,Liste!B:E,3,FALSE)</f>
        <v>m</v>
      </c>
      <c r="K31" s="22">
        <v>360</v>
      </c>
      <c r="L31" s="120">
        <f t="shared" si="0"/>
        <v>0</v>
      </c>
      <c r="M31" s="91">
        <f>+IFERROR(VLOOKUP(B31,Metraj!B:P,15,FALSE),"0")</f>
        <v>360</v>
      </c>
      <c r="P31" s="97"/>
      <c r="Q31" s="97"/>
      <c r="R31" s="97"/>
      <c r="S31" s="97"/>
      <c r="T31" s="91"/>
      <c r="U31" s="91"/>
      <c r="V31" s="91"/>
      <c r="W31" s="91">
        <v>0</v>
      </c>
      <c r="X31" s="91">
        <v>360</v>
      </c>
      <c r="Y31" s="91">
        <v>0</v>
      </c>
      <c r="Z31" s="91">
        <v>0</v>
      </c>
      <c r="AA31" s="91">
        <f>$M31-SUM($P31:Z31)</f>
        <v>0</v>
      </c>
      <c r="AB31" s="91">
        <f>$M31-SUM($P31:AA31)</f>
        <v>0</v>
      </c>
      <c r="AC31" s="91">
        <f>$M31-SUM($P31:AB31)</f>
        <v>0</v>
      </c>
      <c r="AD31" s="91">
        <f>$M31-SUM($P31:AC31)</f>
        <v>0</v>
      </c>
      <c r="AE31" s="91">
        <f>$M31-SUM($P31:AD31)</f>
        <v>0</v>
      </c>
      <c r="AF31" s="91">
        <f>$M31-SUM($P31:AE31)</f>
        <v>0</v>
      </c>
      <c r="AG31" s="91">
        <f>$M31-SUM($P31:AF31)</f>
        <v>0</v>
      </c>
      <c r="AH31" s="91">
        <f>$M31-SUM($P31:AG31)</f>
        <v>0</v>
      </c>
      <c r="AI31" s="91">
        <f>$M31-SUM($P31:AH31)</f>
        <v>0</v>
      </c>
    </row>
    <row r="32" spans="2:35" ht="30" customHeight="1" x14ac:dyDescent="0.3">
      <c r="B32" s="29" t="s">
        <v>138</v>
      </c>
      <c r="C32" s="148" t="str">
        <f>+VLOOKUP(B32,Liste!B:E,2,FALSE)</f>
        <v>125 mm Delik İçine 26 mm Kalınlığında S420a ile Zemin Çivisi Teşkili</v>
      </c>
      <c r="D32" s="148"/>
      <c r="E32" s="148"/>
      <c r="F32" s="148"/>
      <c r="G32" s="148"/>
      <c r="H32" s="149"/>
      <c r="I32" s="47"/>
      <c r="J32" s="22" t="str">
        <f>+VLOOKUP(B32,Liste!B:E,3,FALSE)</f>
        <v>m</v>
      </c>
      <c r="K32" s="22" t="s">
        <v>1075</v>
      </c>
      <c r="L32" s="120" t="e">
        <f t="shared" si="0"/>
        <v>#VALUE!</v>
      </c>
      <c r="M32" s="91" t="str">
        <f>+IFERROR(VLOOKUP(B32,Metraj!B:P,15,FALSE),"")</f>
        <v/>
      </c>
      <c r="P32" s="97"/>
      <c r="Q32" s="97"/>
      <c r="R32" s="97"/>
      <c r="S32" s="97"/>
      <c r="T32" s="91"/>
      <c r="U32" s="91"/>
      <c r="V32" s="91"/>
      <c r="W32" s="91">
        <v>0</v>
      </c>
      <c r="X32" s="91">
        <v>0</v>
      </c>
      <c r="Y32" s="91">
        <v>0</v>
      </c>
      <c r="Z32" s="91">
        <v>0</v>
      </c>
      <c r="AA32" s="91">
        <f>+IFERROR($M32-SUM($P32:Z32),0)</f>
        <v>0</v>
      </c>
      <c r="AB32" s="91">
        <f>+IFERROR($M32-SUM($P32:AA32),0)</f>
        <v>0</v>
      </c>
      <c r="AC32" s="91">
        <f>+IFERROR($M32-SUM($P32:AB32),0)</f>
        <v>0</v>
      </c>
      <c r="AD32" s="91">
        <f>+IFERROR($M32-SUM($P32:AC32),0)</f>
        <v>0</v>
      </c>
      <c r="AE32" s="91">
        <f>+IFERROR($M32-SUM($P32:AD32),0)</f>
        <v>0</v>
      </c>
      <c r="AF32" s="91">
        <f>+IFERROR($M32-SUM($P32:AE32),0)</f>
        <v>0</v>
      </c>
      <c r="AG32" s="91">
        <f>+IFERROR($M32-SUM($P32:AF32),0)</f>
        <v>0</v>
      </c>
      <c r="AH32" s="91">
        <f>+IFERROR($M32-SUM($P32:AG32),0)</f>
        <v>0</v>
      </c>
      <c r="AI32" s="91">
        <f>+IFERROR($M32-SUM($P32:AH32),0)</f>
        <v>0</v>
      </c>
    </row>
    <row r="33" spans="2:35" ht="30" customHeight="1" x14ac:dyDescent="0.3">
      <c r="B33" s="29" t="s">
        <v>139</v>
      </c>
      <c r="C33" s="148" t="str">
        <f>+VLOOKUP(B33,Liste!B:E,2,FALSE)</f>
        <v>Çelik İksa (Tünel ve Şaftlarda)</v>
      </c>
      <c r="D33" s="148"/>
      <c r="E33" s="148"/>
      <c r="F33" s="148"/>
      <c r="G33" s="148"/>
      <c r="H33" s="149"/>
      <c r="I33" s="47"/>
      <c r="J33" s="22" t="str">
        <f>+VLOOKUP(B33,Liste!B:E,3,FALSE)</f>
        <v>ton</v>
      </c>
      <c r="K33" s="22">
        <v>8.8510000000000009</v>
      </c>
      <c r="L33" s="120">
        <f t="shared" si="0"/>
        <v>0</v>
      </c>
      <c r="M33" s="91">
        <f>+IFERROR(VLOOKUP(B33,Metraj!B:P,15,FALSE),"0")</f>
        <v>8.8510000000000009</v>
      </c>
      <c r="P33" s="97"/>
      <c r="Q33" s="97"/>
      <c r="R33" s="97"/>
      <c r="S33" s="97"/>
      <c r="T33" s="91"/>
      <c r="U33" s="91"/>
      <c r="V33" s="91"/>
      <c r="W33" s="91">
        <v>1.5609999999999999</v>
      </c>
      <c r="X33" s="91">
        <v>7.2900000000000009</v>
      </c>
      <c r="Y33" s="91">
        <v>0</v>
      </c>
      <c r="Z33" s="91">
        <v>0</v>
      </c>
      <c r="AA33" s="91">
        <f>$M33-SUM($P33:Z33)</f>
        <v>0</v>
      </c>
      <c r="AB33" s="91">
        <f>$M33-SUM($P33:AA33)</f>
        <v>0</v>
      </c>
      <c r="AC33" s="91">
        <f>$M33-SUM($P33:AB33)</f>
        <v>0</v>
      </c>
      <c r="AD33" s="91">
        <f>$M33-SUM($P33:AC33)</f>
        <v>0</v>
      </c>
      <c r="AE33" s="91">
        <f>$M33-SUM($P33:AD33)</f>
        <v>0</v>
      </c>
      <c r="AF33" s="91">
        <f>$M33-SUM($P33:AE33)</f>
        <v>0</v>
      </c>
      <c r="AG33" s="91">
        <f>$M33-SUM($P33:AF33)</f>
        <v>0</v>
      </c>
      <c r="AH33" s="91">
        <f>$M33-SUM($P33:AG33)</f>
        <v>0</v>
      </c>
      <c r="AI33" s="91">
        <f>$M33-SUM($P33:AH33)</f>
        <v>0</v>
      </c>
    </row>
    <row r="34" spans="2:35" ht="30" customHeight="1" x14ac:dyDescent="0.3">
      <c r="B34" s="29" t="s">
        <v>141</v>
      </c>
      <c r="C34" s="148" t="str">
        <f>+VLOOKUP(B34,Liste!B:E,2,FALSE)</f>
        <v>Umbrella Arch Yapılması</v>
      </c>
      <c r="D34" s="148"/>
      <c r="E34" s="148"/>
      <c r="F34" s="148"/>
      <c r="G34" s="148"/>
      <c r="H34" s="149"/>
      <c r="I34" s="47"/>
      <c r="J34" s="22" t="str">
        <f>+VLOOKUP(B34,Liste!B:E,3,FALSE)</f>
        <v>m</v>
      </c>
      <c r="K34" s="22">
        <v>666</v>
      </c>
      <c r="L34" s="120">
        <f t="shared" si="0"/>
        <v>0</v>
      </c>
      <c r="M34" s="91">
        <f>+IFERROR(VLOOKUP(B34,Metraj!B:P,15,FALSE),"0")</f>
        <v>666</v>
      </c>
      <c r="P34" s="97"/>
      <c r="Q34" s="97"/>
      <c r="R34" s="97"/>
      <c r="S34" s="97"/>
      <c r="T34" s="91"/>
      <c r="U34" s="91"/>
      <c r="V34" s="91"/>
      <c r="W34" s="91">
        <v>333</v>
      </c>
      <c r="X34" s="91">
        <v>333</v>
      </c>
      <c r="Y34" s="91">
        <v>0</v>
      </c>
      <c r="Z34" s="91">
        <v>0</v>
      </c>
      <c r="AA34" s="91">
        <f>$M34-SUM($P34:Z34)</f>
        <v>0</v>
      </c>
      <c r="AB34" s="91">
        <f>$M34-SUM($P34:AA34)</f>
        <v>0</v>
      </c>
      <c r="AC34" s="91">
        <f>$M34-SUM($P34:AB34)</f>
        <v>0</v>
      </c>
      <c r="AD34" s="91">
        <f>$M34-SUM($P34:AC34)</f>
        <v>0</v>
      </c>
      <c r="AE34" s="91">
        <f>$M34-SUM($P34:AD34)</f>
        <v>0</v>
      </c>
      <c r="AF34" s="91">
        <f>$M34-SUM($P34:AE34)</f>
        <v>0</v>
      </c>
      <c r="AG34" s="91">
        <f>$M34-SUM($P34:AF34)</f>
        <v>0</v>
      </c>
      <c r="AH34" s="91">
        <f>$M34-SUM($P34:AG34)</f>
        <v>0</v>
      </c>
      <c r="AI34" s="91">
        <f>$M34-SUM($P34:AH34)</f>
        <v>0</v>
      </c>
    </row>
    <row r="35" spans="2:35" ht="30" customHeight="1" x14ac:dyDescent="0.3">
      <c r="B35" s="29" t="s">
        <v>143</v>
      </c>
      <c r="C35" s="148" t="str">
        <f>+VLOOKUP(B35,Liste!B:E,2,FALSE)</f>
        <v>Tünel ve şaftlarda su yalıtımı, birim ağırlığı &gt;=500 g/metrekare geotekstil keçe</v>
      </c>
      <c r="D35" s="148"/>
      <c r="E35" s="148"/>
      <c r="F35" s="148"/>
      <c r="G35" s="148"/>
      <c r="H35" s="149"/>
      <c r="I35" s="47"/>
      <c r="J35" s="22" t="str">
        <f>+VLOOKUP(B35,Liste!B:E,3,FALSE)</f>
        <v>m²</v>
      </c>
      <c r="K35" s="22" t="s">
        <v>1075</v>
      </c>
      <c r="L35" s="120" t="e">
        <f t="shared" si="0"/>
        <v>#VALUE!</v>
      </c>
      <c r="M35" s="91" t="str">
        <f>+IFERROR(VLOOKUP(B35,Metraj!B:P,15,FALSE),"")</f>
        <v/>
      </c>
      <c r="P35" s="97"/>
      <c r="Q35" s="97"/>
      <c r="R35" s="97"/>
      <c r="S35" s="97"/>
      <c r="T35" s="91"/>
      <c r="U35" s="91"/>
      <c r="V35" s="91"/>
      <c r="W35" s="91">
        <v>0</v>
      </c>
      <c r="X35" s="91">
        <v>0</v>
      </c>
      <c r="Y35" s="91">
        <v>0</v>
      </c>
      <c r="Z35" s="91">
        <v>0</v>
      </c>
      <c r="AA35" s="91">
        <f>+IFERROR($M35-SUM($P35:Z35),0)</f>
        <v>0</v>
      </c>
      <c r="AB35" s="91">
        <f>+IFERROR($M35-SUM($P35:AA35),0)</f>
        <v>0</v>
      </c>
      <c r="AC35" s="91">
        <f>+IFERROR($M35-SUM($P35:AB35),0)</f>
        <v>0</v>
      </c>
      <c r="AD35" s="91">
        <f>+IFERROR($M35-SUM($P35:AC35),0)</f>
        <v>0</v>
      </c>
      <c r="AE35" s="91">
        <f>+IFERROR($M35-SUM($P35:AD35),0)</f>
        <v>0</v>
      </c>
      <c r="AF35" s="91">
        <f>+IFERROR($M35-SUM($P35:AE35),0)</f>
        <v>0</v>
      </c>
      <c r="AG35" s="91">
        <f>+IFERROR($M35-SUM($P35:AF35),0)</f>
        <v>0</v>
      </c>
      <c r="AH35" s="91">
        <f>+IFERROR($M35-SUM($P35:AG35),0)</f>
        <v>0</v>
      </c>
      <c r="AI35" s="91">
        <f>+IFERROR($M35-SUM($P35:AH35),0)</f>
        <v>0</v>
      </c>
    </row>
    <row r="36" spans="2:35" ht="30" customHeight="1" x14ac:dyDescent="0.3">
      <c r="B36" s="29" t="s">
        <v>145</v>
      </c>
      <c r="C36" s="148" t="str">
        <f>+VLOOKUP(B36,Liste!B:E,2,FALSE)</f>
        <v>Tünel ve şaftlarda su yalıtımı, 2mm kalınlıklı PVC membran</v>
      </c>
      <c r="D36" s="148"/>
      <c r="E36" s="148"/>
      <c r="F36" s="148"/>
      <c r="G36" s="148"/>
      <c r="H36" s="149"/>
      <c r="I36" s="47"/>
      <c r="J36" s="22" t="str">
        <f>+VLOOKUP(B36,Liste!B:E,3,FALSE)</f>
        <v>m²</v>
      </c>
      <c r="K36" s="22" t="s">
        <v>1075</v>
      </c>
      <c r="L36" s="120" t="e">
        <f t="shared" si="0"/>
        <v>#VALUE!</v>
      </c>
      <c r="M36" s="91" t="str">
        <f>+IFERROR(VLOOKUP(B36,Metraj!B:P,15,FALSE),"")</f>
        <v/>
      </c>
      <c r="P36" s="97"/>
      <c r="Q36" s="97"/>
      <c r="R36" s="97"/>
      <c r="S36" s="97"/>
      <c r="T36" s="91"/>
      <c r="U36" s="91"/>
      <c r="V36" s="91"/>
      <c r="W36" s="91">
        <v>0</v>
      </c>
      <c r="X36" s="91">
        <v>0</v>
      </c>
      <c r="Y36" s="91">
        <v>0</v>
      </c>
      <c r="Z36" s="91">
        <v>0</v>
      </c>
      <c r="AA36" s="91">
        <f>+IFERROR($M36-SUM($P36:Z36),0)</f>
        <v>0</v>
      </c>
      <c r="AB36" s="91">
        <f>+IFERROR($M36-SUM($P36:AA36),0)</f>
        <v>0</v>
      </c>
      <c r="AC36" s="91">
        <f>+IFERROR($M36-SUM($P36:AB36),0)</f>
        <v>0</v>
      </c>
      <c r="AD36" s="91">
        <f>+IFERROR($M36-SUM($P36:AC36),0)</f>
        <v>0</v>
      </c>
      <c r="AE36" s="91">
        <f>+IFERROR($M36-SUM($P36:AD36),0)</f>
        <v>0</v>
      </c>
      <c r="AF36" s="91">
        <f>+IFERROR($M36-SUM($P36:AE36),0)</f>
        <v>0</v>
      </c>
      <c r="AG36" s="91">
        <f>+IFERROR($M36-SUM($P36:AF36),0)</f>
        <v>0</v>
      </c>
      <c r="AH36" s="91">
        <f>+IFERROR($M36-SUM($P36:AG36),0)</f>
        <v>0</v>
      </c>
      <c r="AI36" s="91">
        <f>+IFERROR($M36-SUM($P36:AH36),0)</f>
        <v>0</v>
      </c>
    </row>
    <row r="37" spans="2:35" ht="30" customHeight="1" x14ac:dyDescent="0.3">
      <c r="B37" s="29" t="s">
        <v>147</v>
      </c>
      <c r="C37" s="148" t="str">
        <f>+VLOOKUP(B37,Liste!B:E,2,FALSE)</f>
        <v>Su Tutucular (Tünel ve Şaftlarda)</v>
      </c>
      <c r="D37" s="148"/>
      <c r="E37" s="148"/>
      <c r="F37" s="148"/>
      <c r="G37" s="148"/>
      <c r="H37" s="149"/>
      <c r="I37" s="47"/>
      <c r="J37" s="22" t="str">
        <f>+VLOOKUP(B37,Liste!B:E,3,FALSE)</f>
        <v>m</v>
      </c>
      <c r="K37" s="22" t="s">
        <v>1075</v>
      </c>
      <c r="L37" s="120" t="e">
        <f t="shared" si="0"/>
        <v>#VALUE!</v>
      </c>
      <c r="M37" s="91" t="str">
        <f>+IFERROR(VLOOKUP(B37,Metraj!B:P,15,FALSE),"")</f>
        <v/>
      </c>
      <c r="P37" s="97"/>
      <c r="Q37" s="97"/>
      <c r="R37" s="97"/>
      <c r="S37" s="97"/>
      <c r="T37" s="91"/>
      <c r="U37" s="91"/>
      <c r="V37" s="91"/>
      <c r="W37" s="91">
        <v>0</v>
      </c>
      <c r="X37" s="91">
        <v>0</v>
      </c>
      <c r="Y37" s="91">
        <v>0</v>
      </c>
      <c r="Z37" s="91">
        <v>0</v>
      </c>
      <c r="AA37" s="91">
        <f>+IFERROR($M37-SUM($P37:Z37),0)</f>
        <v>0</v>
      </c>
      <c r="AB37" s="91">
        <f>+IFERROR($M37-SUM($P37:AA37),0)</f>
        <v>0</v>
      </c>
      <c r="AC37" s="91">
        <f>+IFERROR($M37-SUM($P37:AB37),0)</f>
        <v>0</v>
      </c>
      <c r="AD37" s="91">
        <f>+IFERROR($M37-SUM($P37:AC37),0)</f>
        <v>0</v>
      </c>
      <c r="AE37" s="91">
        <f>+IFERROR($M37-SUM($P37:AD37),0)</f>
        <v>0</v>
      </c>
      <c r="AF37" s="91">
        <f>+IFERROR($M37-SUM($P37:AE37),0)</f>
        <v>0</v>
      </c>
      <c r="AG37" s="91">
        <f>+IFERROR($M37-SUM($P37:AF37),0)</f>
        <v>0</v>
      </c>
      <c r="AH37" s="91">
        <f>+IFERROR($M37-SUM($P37:AG37),0)</f>
        <v>0</v>
      </c>
      <c r="AI37" s="91">
        <f>+IFERROR($M37-SUM($P37:AH37),0)</f>
        <v>0</v>
      </c>
    </row>
    <row r="38" spans="2:35" ht="30" customHeight="1" x14ac:dyDescent="0.3">
      <c r="B38" s="29" t="s">
        <v>149</v>
      </c>
      <c r="C38" s="148" t="str">
        <f>+VLOOKUP(B38,Liste!B:E,2,FALSE)</f>
        <v>Kalıp (invert ve şaft için)</v>
      </c>
      <c r="D38" s="148"/>
      <c r="E38" s="148"/>
      <c r="F38" s="148"/>
      <c r="G38" s="148"/>
      <c r="H38" s="149"/>
      <c r="I38" s="47"/>
      <c r="J38" s="22" t="str">
        <f>+VLOOKUP(B38,Liste!B:E,3,FALSE)</f>
        <v>m²</v>
      </c>
      <c r="K38" s="22" t="s">
        <v>1075</v>
      </c>
      <c r="L38" s="120" t="e">
        <f t="shared" si="0"/>
        <v>#VALUE!</v>
      </c>
      <c r="M38" s="91" t="str">
        <f>+IFERROR(VLOOKUP(B38,Metraj!B:P,15,FALSE),"")</f>
        <v/>
      </c>
      <c r="P38" s="97"/>
      <c r="Q38" s="97"/>
      <c r="R38" s="97"/>
      <c r="S38" s="97"/>
      <c r="T38" s="91"/>
      <c r="U38" s="91"/>
      <c r="V38" s="91"/>
      <c r="W38" s="91">
        <v>0</v>
      </c>
      <c r="X38" s="91">
        <v>0</v>
      </c>
      <c r="Y38" s="91">
        <v>0</v>
      </c>
      <c r="Z38" s="91">
        <v>0</v>
      </c>
      <c r="AA38" s="91">
        <f>+IFERROR($M38-SUM($P38:Z38),0)</f>
        <v>0</v>
      </c>
      <c r="AB38" s="91">
        <f>+IFERROR($M38-SUM($P38:AA38),0)</f>
        <v>0</v>
      </c>
      <c r="AC38" s="91">
        <f>+IFERROR($M38-SUM($P38:AB38),0)</f>
        <v>0</v>
      </c>
      <c r="AD38" s="91">
        <f>+IFERROR($M38-SUM($P38:AC38),0)</f>
        <v>0</v>
      </c>
      <c r="AE38" s="91">
        <f>+IFERROR($M38-SUM($P38:AD38),0)</f>
        <v>0</v>
      </c>
      <c r="AF38" s="91">
        <f>+IFERROR($M38-SUM($P38:AE38),0)</f>
        <v>0</v>
      </c>
      <c r="AG38" s="91">
        <f>+IFERROR($M38-SUM($P38:AF38),0)</f>
        <v>0</v>
      </c>
      <c r="AH38" s="91">
        <f>+IFERROR($M38-SUM($P38:AG38),0)</f>
        <v>0</v>
      </c>
      <c r="AI38" s="91">
        <f>+IFERROR($M38-SUM($P38:AH38),0)</f>
        <v>0</v>
      </c>
    </row>
    <row r="39" spans="2:35" ht="30" customHeight="1" x14ac:dyDescent="0.3">
      <c r="B39" s="29" t="s">
        <v>151</v>
      </c>
      <c r="C39" s="148" t="str">
        <f>+VLOOKUP(B39,Liste!B:E,2,FALSE)</f>
        <v>Kalıp (duvar ve kemer İçin)</v>
      </c>
      <c r="D39" s="148"/>
      <c r="E39" s="148"/>
      <c r="F39" s="148"/>
      <c r="G39" s="148"/>
      <c r="H39" s="149"/>
      <c r="I39" s="47"/>
      <c r="J39" s="22" t="str">
        <f>+VLOOKUP(B39,Liste!B:E,3,FALSE)</f>
        <v>m²</v>
      </c>
      <c r="K39" s="22" t="s">
        <v>1075</v>
      </c>
      <c r="L39" s="120" t="e">
        <f t="shared" si="0"/>
        <v>#VALUE!</v>
      </c>
      <c r="M39" s="91" t="str">
        <f>+IFERROR(VLOOKUP(B39,Metraj!B:P,15,FALSE),"")</f>
        <v/>
      </c>
      <c r="P39" s="97"/>
      <c r="Q39" s="97"/>
      <c r="R39" s="97"/>
      <c r="S39" s="97"/>
      <c r="T39" s="91"/>
      <c r="U39" s="91"/>
      <c r="V39" s="91"/>
      <c r="W39" s="91">
        <v>0</v>
      </c>
      <c r="X39" s="91">
        <v>0</v>
      </c>
      <c r="Y39" s="91">
        <v>0</v>
      </c>
      <c r="Z39" s="91">
        <v>0</v>
      </c>
      <c r="AA39" s="91">
        <f>+IFERROR($M39-SUM($P39:Z39),0)</f>
        <v>0</v>
      </c>
      <c r="AB39" s="91">
        <f>+IFERROR($M39-SUM($P39:AA39),0)</f>
        <v>0</v>
      </c>
      <c r="AC39" s="91">
        <f>+IFERROR($M39-SUM($P39:AB39),0)</f>
        <v>0</v>
      </c>
      <c r="AD39" s="91">
        <f>+IFERROR($M39-SUM($P39:AC39),0)</f>
        <v>0</v>
      </c>
      <c r="AE39" s="91">
        <f>+IFERROR($M39-SUM($P39:AD39),0)</f>
        <v>0</v>
      </c>
      <c r="AF39" s="91">
        <f>+IFERROR($M39-SUM($P39:AE39),0)</f>
        <v>0</v>
      </c>
      <c r="AG39" s="91">
        <f>+IFERROR($M39-SUM($P39:AF39),0)</f>
        <v>0</v>
      </c>
      <c r="AH39" s="91">
        <f>+IFERROR($M39-SUM($P39:AG39),0)</f>
        <v>0</v>
      </c>
      <c r="AI39" s="91">
        <f>+IFERROR($M39-SUM($P39:AH39),0)</f>
        <v>0</v>
      </c>
    </row>
    <row r="40" spans="2:35" ht="30" customHeight="1" x14ac:dyDescent="0.3">
      <c r="B40" s="29" t="s">
        <v>153</v>
      </c>
      <c r="C40" s="148" t="str">
        <f>+VLOOKUP(B40,Liste!B:E,2,FALSE)</f>
        <v>Tip Kesit Dışı Konstrüksiyon Kalıbı, Tünel Alın Kalıbı</v>
      </c>
      <c r="D40" s="148"/>
      <c r="E40" s="148"/>
      <c r="F40" s="148"/>
      <c r="G40" s="148"/>
      <c r="H40" s="149"/>
      <c r="I40" s="47"/>
      <c r="J40" s="22" t="str">
        <f>+VLOOKUP(B40,Liste!B:E,3,FALSE)</f>
        <v>m²</v>
      </c>
      <c r="K40" s="22" t="s">
        <v>1075</v>
      </c>
      <c r="L40" s="120" t="e">
        <f t="shared" si="0"/>
        <v>#VALUE!</v>
      </c>
      <c r="M40" s="91" t="str">
        <f>+IFERROR(VLOOKUP(B40,Metraj!B:P,15,FALSE),"")</f>
        <v/>
      </c>
      <c r="P40" s="97"/>
      <c r="Q40" s="97"/>
      <c r="R40" s="97"/>
      <c r="S40" s="97"/>
      <c r="T40" s="91"/>
      <c r="U40" s="91"/>
      <c r="V40" s="91"/>
      <c r="W40" s="91">
        <v>0</v>
      </c>
      <c r="X40" s="91">
        <v>0</v>
      </c>
      <c r="Y40" s="91">
        <v>0</v>
      </c>
      <c r="Z40" s="91">
        <v>0</v>
      </c>
      <c r="AA40" s="91">
        <f>+IFERROR($M40-SUM($P40:Z40),0)</f>
        <v>0</v>
      </c>
      <c r="AB40" s="91">
        <f>+IFERROR($M40-SUM($P40:AA40),0)</f>
        <v>0</v>
      </c>
      <c r="AC40" s="91">
        <f>+IFERROR($M40-SUM($P40:AB40),0)</f>
        <v>0</v>
      </c>
      <c r="AD40" s="91">
        <f>+IFERROR($M40-SUM($P40:AC40),0)</f>
        <v>0</v>
      </c>
      <c r="AE40" s="91">
        <f>+IFERROR($M40-SUM($P40:AD40),0)</f>
        <v>0</v>
      </c>
      <c r="AF40" s="91">
        <f>+IFERROR($M40-SUM($P40:AE40),0)</f>
        <v>0</v>
      </c>
      <c r="AG40" s="91">
        <f>+IFERROR($M40-SUM($P40:AF40),0)</f>
        <v>0</v>
      </c>
      <c r="AH40" s="91">
        <f>+IFERROR($M40-SUM($P40:AG40),0)</f>
        <v>0</v>
      </c>
      <c r="AI40" s="91">
        <f>+IFERROR($M40-SUM($P40:AH40),0)</f>
        <v>0</v>
      </c>
    </row>
    <row r="41" spans="2:35" ht="30" customHeight="1" x14ac:dyDescent="0.3">
      <c r="B41" s="29" t="s">
        <v>155</v>
      </c>
      <c r="C41" s="148" t="str">
        <f>+VLOOKUP(B41,Liste!B:E,2,FALSE)</f>
        <v>C16 Beton İmali ve Dökülmesi (Tünel ve Şaftlarda)</v>
      </c>
      <c r="D41" s="148"/>
      <c r="E41" s="148"/>
      <c r="F41" s="148"/>
      <c r="G41" s="148"/>
      <c r="H41" s="149"/>
      <c r="I41" s="47"/>
      <c r="J41" s="22" t="str">
        <f>+VLOOKUP(B41,Liste!B:E,3,FALSE)</f>
        <v>m³</v>
      </c>
      <c r="K41" s="22" t="s">
        <v>1075</v>
      </c>
      <c r="L41" s="120" t="e">
        <f t="shared" si="0"/>
        <v>#VALUE!</v>
      </c>
      <c r="M41" s="91" t="str">
        <f>+IFERROR(VLOOKUP(B41,Metraj!B:P,15,FALSE),"")</f>
        <v/>
      </c>
      <c r="P41" s="97"/>
      <c r="Q41" s="97"/>
      <c r="R41" s="97"/>
      <c r="S41" s="97"/>
      <c r="T41" s="91"/>
      <c r="U41" s="91"/>
      <c r="V41" s="91"/>
      <c r="W41" s="91">
        <v>0</v>
      </c>
      <c r="X41" s="91">
        <v>0</v>
      </c>
      <c r="Y41" s="91">
        <v>0</v>
      </c>
      <c r="Z41" s="91">
        <v>0</v>
      </c>
      <c r="AA41" s="91">
        <f>+IFERROR($M41-SUM($P41:Z41),0)</f>
        <v>0</v>
      </c>
      <c r="AB41" s="91">
        <f>+IFERROR($M41-SUM($P41:AA41),0)</f>
        <v>0</v>
      </c>
      <c r="AC41" s="91">
        <f>+IFERROR($M41-SUM($P41:AB41),0)</f>
        <v>0</v>
      </c>
      <c r="AD41" s="91">
        <f>+IFERROR($M41-SUM($P41:AC41),0)</f>
        <v>0</v>
      </c>
      <c r="AE41" s="91">
        <f>+IFERROR($M41-SUM($P41:AD41),0)</f>
        <v>0</v>
      </c>
      <c r="AF41" s="91">
        <f>+IFERROR($M41-SUM($P41:AE41),0)</f>
        <v>0</v>
      </c>
      <c r="AG41" s="91">
        <f>+IFERROR($M41-SUM($P41:AF41),0)</f>
        <v>0</v>
      </c>
      <c r="AH41" s="91">
        <f>+IFERROR($M41-SUM($P41:AG41),0)</f>
        <v>0</v>
      </c>
      <c r="AI41" s="91">
        <f>+IFERROR($M41-SUM($P41:AH41),0)</f>
        <v>0</v>
      </c>
    </row>
    <row r="42" spans="2:35" ht="30" customHeight="1" x14ac:dyDescent="0.3">
      <c r="B42" s="29" t="s">
        <v>157</v>
      </c>
      <c r="C42" s="148" t="str">
        <f>+VLOOKUP(B42,Liste!B:E,2,FALSE)</f>
        <v>C30 Beton İmali ve Dökülmesi (Tünel ve Şaftlarda) Tünel kaplaması, invert ve şaftlardaki alt döşeme</v>
      </c>
      <c r="D42" s="148"/>
      <c r="E42" s="148"/>
      <c r="F42" s="148"/>
      <c r="G42" s="148"/>
      <c r="H42" s="149"/>
      <c r="I42" s="47"/>
      <c r="J42" s="22" t="str">
        <f>+VLOOKUP(B42,Liste!B:E,3,FALSE)</f>
        <v>m³</v>
      </c>
      <c r="K42" s="22" t="s">
        <v>1075</v>
      </c>
      <c r="L42" s="120" t="e">
        <f t="shared" si="0"/>
        <v>#VALUE!</v>
      </c>
      <c r="M42" s="91" t="str">
        <f>+IFERROR(VLOOKUP(B42,Metraj!B:P,15,FALSE),"")</f>
        <v/>
      </c>
      <c r="P42" s="97"/>
      <c r="Q42" s="97"/>
      <c r="R42" s="97"/>
      <c r="S42" s="97"/>
      <c r="T42" s="91"/>
      <c r="U42" s="91"/>
      <c r="V42" s="91"/>
      <c r="W42" s="91">
        <v>0</v>
      </c>
      <c r="X42" s="91">
        <v>0</v>
      </c>
      <c r="Y42" s="91">
        <v>0</v>
      </c>
      <c r="Z42" s="91">
        <v>0</v>
      </c>
      <c r="AA42" s="91">
        <f>+IFERROR($M42-SUM($P42:Z42),0)</f>
        <v>0</v>
      </c>
      <c r="AB42" s="91">
        <f>+IFERROR($M42-SUM($P42:AA42),0)</f>
        <v>0</v>
      </c>
      <c r="AC42" s="91">
        <f>+IFERROR($M42-SUM($P42:AB42),0)</f>
        <v>0</v>
      </c>
      <c r="AD42" s="91">
        <f>+IFERROR($M42-SUM($P42:AC42),0)</f>
        <v>0</v>
      </c>
      <c r="AE42" s="91">
        <f>+IFERROR($M42-SUM($P42:AD42),0)</f>
        <v>0</v>
      </c>
      <c r="AF42" s="91">
        <f>+IFERROR($M42-SUM($P42:AE42),0)</f>
        <v>0</v>
      </c>
      <c r="AG42" s="91">
        <f>+IFERROR($M42-SUM($P42:AF42),0)</f>
        <v>0</v>
      </c>
      <c r="AH42" s="91">
        <f>+IFERROR($M42-SUM($P42:AG42),0)</f>
        <v>0</v>
      </c>
      <c r="AI42" s="91">
        <f>+IFERROR($M42-SUM($P42:AH42),0)</f>
        <v>0</v>
      </c>
    </row>
    <row r="43" spans="2:35" ht="30" customHeight="1" x14ac:dyDescent="0.3">
      <c r="B43" s="29" t="s">
        <v>159</v>
      </c>
      <c r="C43" s="148" t="str">
        <f>+VLOOKUP(B43,Liste!B:E,2,FALSE)</f>
        <v>C30 Beton İmali ve Dökülmesi (Tünel ve Şaftlarda) Yan duvarlar, kemer</v>
      </c>
      <c r="D43" s="148"/>
      <c r="E43" s="148"/>
      <c r="F43" s="148"/>
      <c r="G43" s="148"/>
      <c r="H43" s="149"/>
      <c r="I43" s="47"/>
      <c r="J43" s="22" t="str">
        <f>+VLOOKUP(B43,Liste!B:E,3,FALSE)</f>
        <v>m³</v>
      </c>
      <c r="K43" s="22" t="s">
        <v>1075</v>
      </c>
      <c r="L43" s="120" t="e">
        <f t="shared" si="0"/>
        <v>#VALUE!</v>
      </c>
      <c r="M43" s="91" t="str">
        <f>+IFERROR(VLOOKUP(B43,Metraj!B:P,15,FALSE),"")</f>
        <v/>
      </c>
      <c r="P43" s="97"/>
      <c r="Q43" s="97"/>
      <c r="R43" s="97"/>
      <c r="S43" s="97"/>
      <c r="T43" s="91"/>
      <c r="U43" s="91"/>
      <c r="V43" s="91"/>
      <c r="W43" s="91">
        <v>0</v>
      </c>
      <c r="X43" s="91">
        <v>0</v>
      </c>
      <c r="Y43" s="91">
        <v>0</v>
      </c>
      <c r="Z43" s="91">
        <v>0</v>
      </c>
      <c r="AA43" s="91">
        <f>+IFERROR($M43-SUM($P43:Z43),0)</f>
        <v>0</v>
      </c>
      <c r="AB43" s="91">
        <f>+IFERROR($M43-SUM($P43:AA43),0)</f>
        <v>0</v>
      </c>
      <c r="AC43" s="91">
        <f>+IFERROR($M43-SUM($P43:AB43),0)</f>
        <v>0</v>
      </c>
      <c r="AD43" s="91">
        <f>+IFERROR($M43-SUM($P43:AC43),0)</f>
        <v>0</v>
      </c>
      <c r="AE43" s="91">
        <f>+IFERROR($M43-SUM($P43:AD43),0)</f>
        <v>0</v>
      </c>
      <c r="AF43" s="91">
        <f>+IFERROR($M43-SUM($P43:AE43),0)</f>
        <v>0</v>
      </c>
      <c r="AG43" s="91">
        <f>+IFERROR($M43-SUM($P43:AF43),0)</f>
        <v>0</v>
      </c>
      <c r="AH43" s="91">
        <f>+IFERROR($M43-SUM($P43:AG43),0)</f>
        <v>0</v>
      </c>
      <c r="AI43" s="91">
        <f>+IFERROR($M43-SUM($P43:AH43),0)</f>
        <v>0</v>
      </c>
    </row>
    <row r="44" spans="2:35" ht="30" customHeight="1" x14ac:dyDescent="0.3">
      <c r="B44" s="29" t="s">
        <v>161</v>
      </c>
      <c r="C44" s="148" t="str">
        <f>+VLOOKUP(B44,Liste!B:E,2,FALSE)</f>
        <v>Diğer Kesit Dışındaki Yapıların Betonu C30</v>
      </c>
      <c r="D44" s="148"/>
      <c r="E44" s="148"/>
      <c r="F44" s="148"/>
      <c r="G44" s="148"/>
      <c r="H44" s="149"/>
      <c r="I44" s="47"/>
      <c r="J44" s="22" t="str">
        <f>+VLOOKUP(B44,Liste!B:E,3,FALSE)</f>
        <v>m³</v>
      </c>
      <c r="K44" s="22" t="s">
        <v>1075</v>
      </c>
      <c r="L44" s="120" t="e">
        <f t="shared" si="0"/>
        <v>#VALUE!</v>
      </c>
      <c r="M44" s="91" t="str">
        <f>+IFERROR(VLOOKUP(B44,Metraj!B:P,15,FALSE),"")</f>
        <v/>
      </c>
      <c r="P44" s="97"/>
      <c r="Q44" s="97"/>
      <c r="R44" s="97"/>
      <c r="S44" s="97"/>
      <c r="T44" s="91"/>
      <c r="U44" s="91"/>
      <c r="V44" s="91"/>
      <c r="W44" s="91">
        <v>0</v>
      </c>
      <c r="X44" s="91">
        <v>0</v>
      </c>
      <c r="Y44" s="91">
        <v>0</v>
      </c>
      <c r="Z44" s="91">
        <v>0</v>
      </c>
      <c r="AA44" s="91">
        <f>+IFERROR($M44-SUM($P44:Z44),0)</f>
        <v>0</v>
      </c>
      <c r="AB44" s="91">
        <f>+IFERROR($M44-SUM($P44:AA44),0)</f>
        <v>0</v>
      </c>
      <c r="AC44" s="91">
        <f>+IFERROR($M44-SUM($P44:AB44),0)</f>
        <v>0</v>
      </c>
      <c r="AD44" s="91">
        <f>+IFERROR($M44-SUM($P44:AC44),0)</f>
        <v>0</v>
      </c>
      <c r="AE44" s="91">
        <f>+IFERROR($M44-SUM($P44:AD44),0)</f>
        <v>0</v>
      </c>
      <c r="AF44" s="91">
        <f>+IFERROR($M44-SUM($P44:AE44),0)</f>
        <v>0</v>
      </c>
      <c r="AG44" s="91">
        <f>+IFERROR($M44-SUM($P44:AF44),0)</f>
        <v>0</v>
      </c>
      <c r="AH44" s="91">
        <f>+IFERROR($M44-SUM($P44:AG44),0)</f>
        <v>0</v>
      </c>
      <c r="AI44" s="91">
        <f>+IFERROR($M44-SUM($P44:AH44),0)</f>
        <v>0</v>
      </c>
    </row>
    <row r="45" spans="2:35" ht="30" customHeight="1" x14ac:dyDescent="0.3">
      <c r="B45" s="29" t="s">
        <v>163</v>
      </c>
      <c r="C45" s="148" t="str">
        <f>+VLOOKUP(B45,Liste!B:E,2,FALSE)</f>
        <v>Çelik Donatı (S220 )</v>
      </c>
      <c r="D45" s="148"/>
      <c r="E45" s="148"/>
      <c r="F45" s="148"/>
      <c r="G45" s="148"/>
      <c r="H45" s="149"/>
      <c r="I45" s="47"/>
      <c r="J45" s="22" t="str">
        <f>+VLOOKUP(B45,Liste!B:E,3,FALSE)</f>
        <v>ton</v>
      </c>
      <c r="K45" s="22">
        <v>0.498</v>
      </c>
      <c r="L45" s="120">
        <f t="shared" si="0"/>
        <v>0</v>
      </c>
      <c r="M45" s="91">
        <f>+IFERROR(VLOOKUP(B45,Metraj!B:P,15,FALSE),"0")</f>
        <v>0.498</v>
      </c>
      <c r="O45" s="125"/>
      <c r="P45" s="97"/>
      <c r="Q45" s="97"/>
      <c r="R45" s="97"/>
      <c r="S45" s="97"/>
      <c r="T45" s="91"/>
      <c r="U45" s="91"/>
      <c r="V45" s="91"/>
      <c r="W45" s="91">
        <v>4.4999999999999998E-2</v>
      </c>
      <c r="X45" s="91">
        <v>0.45300000000000001</v>
      </c>
      <c r="Y45" s="91">
        <v>0</v>
      </c>
      <c r="Z45" s="91">
        <v>0</v>
      </c>
      <c r="AA45" s="91">
        <f>$M45-SUM($P45:Z45)</f>
        <v>0</v>
      </c>
      <c r="AB45" s="91">
        <f>$M45-SUM($P45:AA45)</f>
        <v>0</v>
      </c>
      <c r="AC45" s="91">
        <f>$M45-SUM($P45:AB45)</f>
        <v>0</v>
      </c>
      <c r="AD45" s="91">
        <f>$M45-SUM($P45:AC45)</f>
        <v>0</v>
      </c>
      <c r="AE45" s="91">
        <f>$M45-SUM($P45:AD45)</f>
        <v>0</v>
      </c>
      <c r="AF45" s="91">
        <f>$M45-SUM($P45:AE45)</f>
        <v>0</v>
      </c>
      <c r="AG45" s="91">
        <f>$M45-SUM($P45:AF45)</f>
        <v>0</v>
      </c>
      <c r="AH45" s="91">
        <f>$M45-SUM($P45:AG45)</f>
        <v>0</v>
      </c>
      <c r="AI45" s="91">
        <f>$M45-SUM($P45:AH45)</f>
        <v>0</v>
      </c>
    </row>
    <row r="46" spans="2:35" ht="30" customHeight="1" x14ac:dyDescent="0.3">
      <c r="B46" s="29" t="s">
        <v>165</v>
      </c>
      <c r="C46" s="148" t="str">
        <f>+VLOOKUP(B46,Liste!B:E,2,FALSE)</f>
        <v>Çelik Donatı (S420a )</v>
      </c>
      <c r="D46" s="148"/>
      <c r="E46" s="148"/>
      <c r="F46" s="148"/>
      <c r="G46" s="148"/>
      <c r="H46" s="149"/>
      <c r="I46" s="47"/>
      <c r="J46" s="22" t="str">
        <f>+VLOOKUP(B46,Liste!B:E,3,FALSE)</f>
        <v>ton</v>
      </c>
      <c r="K46" s="22">
        <v>0</v>
      </c>
      <c r="L46" s="120">
        <f t="shared" si="0"/>
        <v>0</v>
      </c>
      <c r="M46" s="91">
        <f>+IFERROR(VLOOKUP(B46,Metraj!B:P,15,FALSE),"")</f>
        <v>0</v>
      </c>
      <c r="P46" s="97"/>
      <c r="Q46" s="97"/>
      <c r="R46" s="97"/>
      <c r="S46" s="97"/>
      <c r="T46" s="91"/>
      <c r="U46" s="91"/>
      <c r="V46" s="91"/>
      <c r="W46" s="91">
        <v>0</v>
      </c>
      <c r="X46" s="91">
        <v>0</v>
      </c>
      <c r="Y46" s="91">
        <v>0</v>
      </c>
      <c r="Z46" s="91">
        <v>0</v>
      </c>
      <c r="AA46" s="91">
        <f>+IFERROR($M46-SUM($P46:Z46),0)</f>
        <v>0</v>
      </c>
      <c r="AB46" s="91">
        <f>+IFERROR($M46-SUM($P46:AA46),0)</f>
        <v>0</v>
      </c>
      <c r="AC46" s="91">
        <f>+IFERROR($M46-SUM($P46:AB46),0)</f>
        <v>0</v>
      </c>
      <c r="AD46" s="91">
        <f>+IFERROR($M46-SUM($P46:AC46),0)</f>
        <v>0</v>
      </c>
      <c r="AE46" s="91">
        <f>+IFERROR($M46-SUM($P46:AD46),0)</f>
        <v>0</v>
      </c>
      <c r="AF46" s="91">
        <f>+IFERROR($M46-SUM($P46:AE46),0)</f>
        <v>0</v>
      </c>
      <c r="AG46" s="91">
        <f>+IFERROR($M46-SUM($P46:AF46),0)</f>
        <v>0</v>
      </c>
      <c r="AH46" s="91">
        <f>+IFERROR($M46-SUM($P46:AG46),0)</f>
        <v>0</v>
      </c>
      <c r="AI46" s="91">
        <f>+IFERROR($M46-SUM($P46:AH46),0)</f>
        <v>0</v>
      </c>
    </row>
    <row r="47" spans="2:35" ht="30" customHeight="1" x14ac:dyDescent="0.3">
      <c r="B47" s="29" t="s">
        <v>167</v>
      </c>
      <c r="C47" s="148" t="str">
        <f>+VLOOKUP(B47,Liste!B:E,2,FALSE)</f>
        <v>Çelik hasır (S500 )</v>
      </c>
      <c r="D47" s="148"/>
      <c r="E47" s="148"/>
      <c r="F47" s="148"/>
      <c r="G47" s="148"/>
      <c r="H47" s="149"/>
      <c r="I47" s="47"/>
      <c r="J47" s="22" t="str">
        <f>+VLOOKUP(B47,Liste!B:E,3,FALSE)</f>
        <v>ton</v>
      </c>
      <c r="K47" s="22">
        <v>4.1079999999999997</v>
      </c>
      <c r="L47" s="120">
        <f t="shared" si="0"/>
        <v>0</v>
      </c>
      <c r="M47" s="91">
        <f>+IFERROR(VLOOKUP(B47,Metraj!B:P,15,FALSE),"0")</f>
        <v>4.1079999999999997</v>
      </c>
      <c r="O47" s="99"/>
      <c r="P47" s="97"/>
      <c r="Q47" s="97"/>
      <c r="R47" s="97"/>
      <c r="S47" s="97"/>
      <c r="T47" s="91"/>
      <c r="U47" s="91"/>
      <c r="V47" s="91"/>
      <c r="W47" s="91">
        <v>0.154</v>
      </c>
      <c r="X47" s="91">
        <v>3.9539999999999997</v>
      </c>
      <c r="Y47" s="91">
        <v>0</v>
      </c>
      <c r="Z47" s="91">
        <v>0</v>
      </c>
      <c r="AA47" s="91">
        <f>$M47-SUM($P47:Z47)</f>
        <v>0</v>
      </c>
      <c r="AB47" s="91">
        <f>$M47-SUM($P47:AA47)</f>
        <v>0</v>
      </c>
      <c r="AC47" s="91">
        <f>$M47-SUM($P47:AB47)</f>
        <v>0</v>
      </c>
      <c r="AD47" s="91">
        <f>$M47-SUM($P47:AC47)</f>
        <v>0</v>
      </c>
      <c r="AE47" s="91">
        <f>$M47-SUM($P47:AD47)</f>
        <v>0</v>
      </c>
      <c r="AF47" s="91">
        <f>$M47-SUM($P47:AE47)</f>
        <v>0</v>
      </c>
      <c r="AG47" s="91">
        <f>$M47-SUM($P47:AF47)</f>
        <v>0</v>
      </c>
      <c r="AH47" s="91">
        <f>$M47-SUM($P47:AG47)</f>
        <v>0</v>
      </c>
      <c r="AI47" s="91">
        <f>$M47-SUM($P47:AH47)</f>
        <v>0</v>
      </c>
    </row>
    <row r="48" spans="2:35" ht="30" customHeight="1" x14ac:dyDescent="0.3">
      <c r="B48" s="29" t="s">
        <v>169</v>
      </c>
      <c r="C48" s="148" t="str">
        <f>+VLOOKUP(B48,Liste!B:E,2,FALSE)</f>
        <v>Paslanmaz Çelik Plaka</v>
      </c>
      <c r="D48" s="148"/>
      <c r="E48" s="148"/>
      <c r="F48" s="148"/>
      <c r="G48" s="148"/>
      <c r="H48" s="149"/>
      <c r="I48" s="47"/>
      <c r="J48" s="22" t="str">
        <f>+VLOOKUP(B48,Liste!B:E,3,FALSE)</f>
        <v>kg</v>
      </c>
      <c r="K48" s="22" t="s">
        <v>1075</v>
      </c>
      <c r="L48" s="120" t="e">
        <f t="shared" si="0"/>
        <v>#VALUE!</v>
      </c>
      <c r="M48" s="91" t="str">
        <f>+IFERROR(VLOOKUP(B48,Metraj!B:P,15,FALSE),"")</f>
        <v/>
      </c>
      <c r="P48" s="97"/>
      <c r="Q48" s="97"/>
      <c r="R48" s="97"/>
      <c r="S48" s="97"/>
      <c r="T48" s="91"/>
      <c r="U48" s="91"/>
      <c r="V48" s="91"/>
      <c r="W48" s="91">
        <v>0</v>
      </c>
      <c r="X48" s="91">
        <v>0</v>
      </c>
      <c r="Y48" s="91">
        <v>0</v>
      </c>
      <c r="Z48" s="91">
        <v>0</v>
      </c>
      <c r="AA48" s="91">
        <f>+IFERROR($M48-SUM($P48:Z48),0)</f>
        <v>0</v>
      </c>
      <c r="AB48" s="91">
        <f>+IFERROR($M48-SUM($P48:AA48),0)</f>
        <v>0</v>
      </c>
      <c r="AC48" s="91">
        <f>+IFERROR($M48-SUM($P48:AB48),0)</f>
        <v>0</v>
      </c>
      <c r="AD48" s="91">
        <f>+IFERROR($M48-SUM($P48:AC48),0)</f>
        <v>0</v>
      </c>
      <c r="AE48" s="91">
        <f>+IFERROR($M48-SUM($P48:AD48),0)</f>
        <v>0</v>
      </c>
      <c r="AF48" s="91">
        <f>+IFERROR($M48-SUM($P48:AE48),0)</f>
        <v>0</v>
      </c>
      <c r="AG48" s="91">
        <f>+IFERROR($M48-SUM($P48:AF48),0)</f>
        <v>0</v>
      </c>
      <c r="AH48" s="91">
        <f>+IFERROR($M48-SUM($P48:AG48),0)</f>
        <v>0</v>
      </c>
      <c r="AI48" s="91">
        <f>+IFERROR($M48-SUM($P48:AH48),0)</f>
        <v>0</v>
      </c>
    </row>
    <row r="49" spans="2:35" ht="30" customHeight="1" x14ac:dyDescent="0.3">
      <c r="B49" s="29" t="s">
        <v>172</v>
      </c>
      <c r="C49" s="148" t="str">
        <f>+VLOOKUP(B49,Liste!B:E,2,FALSE)</f>
        <v>Block-out Kutusu</v>
      </c>
      <c r="D49" s="148"/>
      <c r="E49" s="148"/>
      <c r="F49" s="148"/>
      <c r="G49" s="148"/>
      <c r="H49" s="149"/>
      <c r="I49" s="47"/>
      <c r="J49" s="22" t="str">
        <f>+VLOOKUP(B49,Liste!B:E,3,FALSE)</f>
        <v>kg</v>
      </c>
      <c r="K49" s="22" t="s">
        <v>1075</v>
      </c>
      <c r="L49" s="120" t="e">
        <f t="shared" si="0"/>
        <v>#VALUE!</v>
      </c>
      <c r="M49" s="91" t="str">
        <f>+IFERROR(VLOOKUP(B49,Metraj!B:P,15,FALSE),"")</f>
        <v/>
      </c>
      <c r="P49" s="97"/>
      <c r="Q49" s="97"/>
      <c r="R49" s="97"/>
      <c r="S49" s="97"/>
      <c r="T49" s="91"/>
      <c r="U49" s="91"/>
      <c r="V49" s="91"/>
      <c r="W49" s="91">
        <v>0</v>
      </c>
      <c r="X49" s="91">
        <v>0</v>
      </c>
      <c r="Y49" s="91">
        <v>0</v>
      </c>
      <c r="Z49" s="91">
        <v>0</v>
      </c>
      <c r="AA49" s="91">
        <f>+IFERROR($M49-SUM($P49:Z49),0)</f>
        <v>0</v>
      </c>
      <c r="AB49" s="91">
        <f>+IFERROR($M49-SUM($P49:AA49),0)</f>
        <v>0</v>
      </c>
      <c r="AC49" s="91">
        <f>+IFERROR($M49-SUM($P49:AB49),0)</f>
        <v>0</v>
      </c>
      <c r="AD49" s="91">
        <f>+IFERROR($M49-SUM($P49:AC49),0)</f>
        <v>0</v>
      </c>
      <c r="AE49" s="91">
        <f>+IFERROR($M49-SUM($P49:AD49),0)</f>
        <v>0</v>
      </c>
      <c r="AF49" s="91">
        <f>+IFERROR($M49-SUM($P49:AE49),0)</f>
        <v>0</v>
      </c>
      <c r="AG49" s="91">
        <f>+IFERROR($M49-SUM($P49:AF49),0)</f>
        <v>0</v>
      </c>
      <c r="AH49" s="91">
        <f>+IFERROR($M49-SUM($P49:AG49),0)</f>
        <v>0</v>
      </c>
      <c r="AI49" s="91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50"/>
      <c r="C56" s="150"/>
      <c r="D56" s="150"/>
      <c r="E56" s="151"/>
      <c r="F56" s="151"/>
      <c r="G56" s="151"/>
      <c r="H56" s="150"/>
      <c r="I56" s="150"/>
      <c r="J56" s="150"/>
      <c r="K56" s="150"/>
      <c r="L56" s="150"/>
      <c r="M56" s="150"/>
    </row>
    <row r="57" spans="2:35" ht="15" customHeight="1" x14ac:dyDescent="0.3">
      <c r="B57" s="145"/>
      <c r="C57" s="145"/>
      <c r="D57" s="145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2:35" ht="15" customHeight="1" x14ac:dyDescent="0.3">
      <c r="B58" s="30"/>
      <c r="C58" s="30"/>
      <c r="D58" s="31"/>
      <c r="E58" s="31"/>
      <c r="F58" s="31"/>
      <c r="G58" s="32"/>
      <c r="H58" s="152"/>
      <c r="I58" s="152"/>
      <c r="J58" s="152"/>
      <c r="K58" s="152"/>
      <c r="L58" s="152"/>
      <c r="M58" s="152"/>
    </row>
    <row r="59" spans="2:35" ht="15" customHeight="1" x14ac:dyDescent="0.3">
      <c r="H59" s="152"/>
      <c r="I59" s="152"/>
      <c r="J59" s="152"/>
      <c r="K59" s="152"/>
      <c r="L59" s="152"/>
      <c r="M59" s="152"/>
    </row>
    <row r="67" spans="2:13" ht="15" customHeight="1" x14ac:dyDescent="0.3"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</row>
    <row r="68" spans="2:13" ht="15" customHeight="1" x14ac:dyDescent="0.3"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79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31" width="15.33203125" style="9" bestFit="1" customWidth="1"/>
    <col min="32" max="16384" width="8.88671875" style="9"/>
  </cols>
  <sheetData>
    <row r="1" spans="1:31" ht="15" customHeight="1" x14ac:dyDescent="0.3">
      <c r="AC1" s="9" t="s">
        <v>1071</v>
      </c>
      <c r="AD1" s="9" t="s">
        <v>1072</v>
      </c>
      <c r="AE1" s="9" t="s">
        <v>1073</v>
      </c>
    </row>
    <row r="2" spans="1:31" s="122" customFormat="1" ht="15" customHeight="1" x14ac:dyDescent="0.3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AC2" s="122">
        <f>+SUM(AC17:AC1000)</f>
        <v>9718830.3540000003</v>
      </c>
      <c r="AD2" s="122">
        <f>+SUM(AD17:AD1000)</f>
        <v>0</v>
      </c>
      <c r="AE2" s="122">
        <f>+SUM(AE17:AE1000)</f>
        <v>9718830.3540000003</v>
      </c>
    </row>
    <row r="3" spans="1:31" s="122" customFormat="1" ht="15" customHeight="1" x14ac:dyDescent="0.3">
      <c r="A3" s="138" t="s">
        <v>1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</row>
    <row r="4" spans="1:31" s="122" customFormat="1" ht="15" customHeight="1" x14ac:dyDescent="0.3">
      <c r="A4" s="138" t="s">
        <v>1020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31" s="122" customFormat="1" ht="15" customHeigh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31" s="122" customFormat="1" ht="15" customHeight="1" x14ac:dyDescent="0.3">
      <c r="A6" s="123"/>
      <c r="B6" s="123"/>
    </row>
    <row r="7" spans="1:31" s="122" customFormat="1" ht="15" customHeight="1" x14ac:dyDescent="0.3">
      <c r="A7" s="138" t="s">
        <v>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31" s="122" customFormat="1" ht="15" customHeight="1" x14ac:dyDescent="0.3">
      <c r="A8" s="123"/>
      <c r="B8" s="123"/>
    </row>
    <row r="9" spans="1:31" s="122" customFormat="1" ht="15" customHeight="1" x14ac:dyDescent="0.3">
      <c r="A9" s="138" t="str">
        <f>+Kapak!A28</f>
        <v>Metraj - 1.B - S06 - Barbaros-Hat-2-B1 Bağlantı-2 P2 Yönü Üstyarı Aşaması (B1-103)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</row>
    <row r="10" spans="1:31" s="122" customFormat="1" ht="15" customHeight="1" x14ac:dyDescent="0.3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1:31" s="122" customFormat="1" ht="15" customHeight="1" x14ac:dyDescent="0.3">
      <c r="A11" s="138" t="s">
        <v>983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</row>
    <row r="13" spans="1:31" ht="15" customHeight="1" x14ac:dyDescent="0.3">
      <c r="B13" s="14" t="s">
        <v>5</v>
      </c>
      <c r="C13" s="95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6">
        <f>+İcmal!C16</f>
        <v>46112</v>
      </c>
      <c r="D14" s="139"/>
      <c r="E14" s="139"/>
      <c r="F14" s="13"/>
      <c r="G14" s="13"/>
      <c r="H14" s="11"/>
      <c r="I14" s="11"/>
      <c r="J14" s="11"/>
    </row>
    <row r="16" spans="1:31" ht="30" customHeight="1" x14ac:dyDescent="0.3">
      <c r="B16" s="132" t="s">
        <v>7</v>
      </c>
      <c r="C16" s="134"/>
      <c r="D16" s="132" t="s">
        <v>8</v>
      </c>
      <c r="E16" s="133"/>
      <c r="F16" s="133"/>
      <c r="G16" s="133"/>
      <c r="H16" s="133"/>
      <c r="I16" s="133"/>
      <c r="J16" s="133"/>
      <c r="K16" s="133"/>
      <c r="L16" s="133"/>
      <c r="M16" s="34" t="s">
        <v>9</v>
      </c>
      <c r="N16" s="113" t="s">
        <v>1053</v>
      </c>
      <c r="O16" s="113" t="s">
        <v>1054</v>
      </c>
      <c r="P16" s="35" t="s">
        <v>1055</v>
      </c>
    </row>
    <row r="17" spans="2:31" ht="30" customHeight="1" x14ac:dyDescent="0.3">
      <c r="B17" s="136" t="s">
        <v>120</v>
      </c>
      <c r="C17" s="137"/>
      <c r="D17" s="130" t="str">
        <f>+VLOOKUP(B17,[1]Liste!B:E,2,FALSE)</f>
        <v>Geleneksel (NATM) Tünel Kazısı</v>
      </c>
      <c r="E17" s="131"/>
      <c r="F17" s="131"/>
      <c r="G17" s="131"/>
      <c r="H17" s="131"/>
      <c r="I17" s="131"/>
      <c r="J17" s="131"/>
      <c r="K17" s="131"/>
      <c r="L17" s="131"/>
      <c r="M17" s="36" t="str">
        <f>+VLOOKUP(B17,[1]Liste!B:E,3,FALSE)</f>
        <v>m³</v>
      </c>
      <c r="N17" s="68">
        <v>354.87</v>
      </c>
      <c r="O17" s="68">
        <f>+P17-N17</f>
        <v>0</v>
      </c>
      <c r="P17" s="68">
        <f>+ROUND(SUM(P18:P55),3)</f>
        <v>354.87</v>
      </c>
      <c r="AA17" s="9">
        <f>+VLOOKUP(B17,[2]Liste!$B$2:$F$483,5,FALSE)</f>
        <v>5075</v>
      </c>
      <c r="AC17" s="9">
        <f>+AA17*N17</f>
        <v>1800965.25</v>
      </c>
      <c r="AD17" s="9">
        <f>+AA17*O17</f>
        <v>0</v>
      </c>
      <c r="AE17" s="9">
        <f>+AA17*P17</f>
        <v>1800965.25</v>
      </c>
    </row>
    <row r="18" spans="2:31" ht="15" customHeight="1" x14ac:dyDescent="0.3">
      <c r="B18" s="56" t="s">
        <v>1046</v>
      </c>
      <c r="C18" s="94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992</v>
      </c>
      <c r="D19" s="57" t="s">
        <v>991</v>
      </c>
      <c r="E19" s="57"/>
      <c r="F19" s="57"/>
      <c r="G19" s="57"/>
      <c r="H19" s="39" t="s">
        <v>989</v>
      </c>
      <c r="I19" s="39" t="s">
        <v>988</v>
      </c>
      <c r="J19" s="39" t="s">
        <v>993</v>
      </c>
      <c r="K19" s="39" t="s">
        <v>990</v>
      </c>
      <c r="L19" s="40" t="s">
        <v>986</v>
      </c>
      <c r="M19" s="112" t="s">
        <v>13</v>
      </c>
      <c r="N19" s="111"/>
      <c r="O19" s="40" t="s">
        <v>984</v>
      </c>
      <c r="P19" s="40" t="s">
        <v>15</v>
      </c>
    </row>
    <row r="20" spans="2:31" ht="15" hidden="1" customHeight="1" x14ac:dyDescent="0.3">
      <c r="B20" s="37">
        <v>4</v>
      </c>
      <c r="C20" s="48" t="s">
        <v>1060</v>
      </c>
      <c r="D20" s="58" t="s">
        <v>1061</v>
      </c>
      <c r="E20" s="58"/>
      <c r="F20" s="58"/>
      <c r="G20" s="58"/>
      <c r="H20" s="49">
        <v>56.69</v>
      </c>
      <c r="I20" s="49">
        <v>56.19</v>
      </c>
      <c r="J20" s="62" t="s">
        <v>994</v>
      </c>
      <c r="K20" s="63">
        <v>0</v>
      </c>
      <c r="L20" s="83">
        <v>0.75</v>
      </c>
      <c r="M20" s="83" t="s">
        <v>1056</v>
      </c>
      <c r="N20" s="85"/>
      <c r="O20" s="90">
        <v>45.981000000000002</v>
      </c>
      <c r="P20" s="69">
        <f t="shared" ref="P20" si="0">+ROUND(PRODUCT(K20:O20),3)</f>
        <v>0</v>
      </c>
    </row>
    <row r="21" spans="2:31" ht="15" hidden="1" customHeight="1" x14ac:dyDescent="0.3">
      <c r="B21" s="37">
        <v>4</v>
      </c>
      <c r="C21" s="48" t="s">
        <v>1060</v>
      </c>
      <c r="D21" s="58" t="s">
        <v>1061</v>
      </c>
      <c r="E21" s="58"/>
      <c r="F21" s="58"/>
      <c r="G21" s="58"/>
      <c r="H21" s="49">
        <v>56.69</v>
      </c>
      <c r="I21" s="49">
        <v>56.19</v>
      </c>
      <c r="J21" s="62" t="s">
        <v>994</v>
      </c>
      <c r="K21" s="63">
        <v>0</v>
      </c>
      <c r="L21" s="83">
        <v>0.75</v>
      </c>
      <c r="M21" s="83" t="s">
        <v>1008</v>
      </c>
      <c r="N21" s="85"/>
      <c r="O21" s="90">
        <v>45.981000000000002</v>
      </c>
      <c r="P21" s="69">
        <f t="shared" ref="P21:P27" si="1">+ROUND(PRODUCT(K21:O21),3)</f>
        <v>0</v>
      </c>
    </row>
    <row r="22" spans="2:31" ht="15" customHeight="1" x14ac:dyDescent="0.3">
      <c r="B22" s="37">
        <v>4</v>
      </c>
      <c r="C22" s="48" t="s">
        <v>1060</v>
      </c>
      <c r="D22" s="58" t="s">
        <v>1061</v>
      </c>
      <c r="E22" s="58"/>
      <c r="F22" s="58"/>
      <c r="G22" s="58"/>
      <c r="H22" s="49">
        <v>56.69</v>
      </c>
      <c r="I22" s="49">
        <v>56.19</v>
      </c>
      <c r="J22" s="62" t="s">
        <v>994</v>
      </c>
      <c r="K22" s="63">
        <v>1</v>
      </c>
      <c r="L22" s="83">
        <v>0.5</v>
      </c>
      <c r="M22" s="83" t="s">
        <v>1009</v>
      </c>
      <c r="N22" s="85"/>
      <c r="O22" s="90">
        <v>45.981000000000002</v>
      </c>
      <c r="P22" s="69">
        <f t="shared" ref="P22:P23" si="2">+ROUND(PRODUCT(K22:O22),3)</f>
        <v>22.991</v>
      </c>
      <c r="R22" s="9">
        <f t="shared" ref="R22:R27" si="3">+L22*K22</f>
        <v>0.5</v>
      </c>
    </row>
    <row r="23" spans="2:31" ht="15" hidden="1" customHeight="1" x14ac:dyDescent="0.3">
      <c r="B23" s="37">
        <v>4</v>
      </c>
      <c r="C23" s="48" t="s">
        <v>1060</v>
      </c>
      <c r="D23" s="58" t="s">
        <v>1061</v>
      </c>
      <c r="E23" s="58"/>
      <c r="F23" s="58"/>
      <c r="G23" s="58"/>
      <c r="H23" s="49">
        <v>56.69</v>
      </c>
      <c r="I23" s="49">
        <v>56.19</v>
      </c>
      <c r="J23" s="62" t="s">
        <v>994</v>
      </c>
      <c r="K23" s="63">
        <v>0</v>
      </c>
      <c r="L23" s="83">
        <v>0.75</v>
      </c>
      <c r="M23" s="83" t="s">
        <v>1009</v>
      </c>
      <c r="N23" s="85"/>
      <c r="O23" s="90">
        <v>45.981000000000002</v>
      </c>
      <c r="P23" s="69">
        <f t="shared" si="2"/>
        <v>0</v>
      </c>
      <c r="R23" s="9">
        <f t="shared" si="3"/>
        <v>0</v>
      </c>
    </row>
    <row r="24" spans="2:31" ht="15" hidden="1" customHeight="1" x14ac:dyDescent="0.3">
      <c r="B24" s="37">
        <v>4</v>
      </c>
      <c r="C24" s="48" t="s">
        <v>1060</v>
      </c>
      <c r="D24" s="58" t="s">
        <v>1061</v>
      </c>
      <c r="E24" s="58"/>
      <c r="F24" s="58"/>
      <c r="G24" s="58"/>
      <c r="H24" s="49">
        <v>56.69</v>
      </c>
      <c r="I24" s="49">
        <v>56.19</v>
      </c>
      <c r="J24" s="62" t="s">
        <v>994</v>
      </c>
      <c r="K24" s="63">
        <v>0</v>
      </c>
      <c r="L24" s="83">
        <v>0.5</v>
      </c>
      <c r="M24" s="83" t="s">
        <v>1010</v>
      </c>
      <c r="N24" s="85"/>
      <c r="O24" s="90">
        <v>45.981000000000002</v>
      </c>
      <c r="P24" s="69">
        <f t="shared" si="1"/>
        <v>0</v>
      </c>
      <c r="R24" s="9">
        <f t="shared" si="3"/>
        <v>0</v>
      </c>
    </row>
    <row r="25" spans="2:31" ht="15" hidden="1" customHeight="1" x14ac:dyDescent="0.3">
      <c r="B25" s="37">
        <v>4</v>
      </c>
      <c r="C25" s="48" t="s">
        <v>1060</v>
      </c>
      <c r="D25" s="58" t="s">
        <v>1061</v>
      </c>
      <c r="E25" s="58"/>
      <c r="F25" s="58"/>
      <c r="G25" s="58"/>
      <c r="H25" s="49">
        <v>56.69</v>
      </c>
      <c r="I25" s="49">
        <v>56.19</v>
      </c>
      <c r="J25" s="62" t="s">
        <v>994</v>
      </c>
      <c r="K25" s="63">
        <v>0</v>
      </c>
      <c r="L25" s="83">
        <v>0.75</v>
      </c>
      <c r="M25" s="83" t="s">
        <v>1010</v>
      </c>
      <c r="N25" s="85"/>
      <c r="O25" s="90">
        <v>45.981000000000002</v>
      </c>
      <c r="P25" s="69">
        <f t="shared" si="1"/>
        <v>0</v>
      </c>
      <c r="R25" s="9">
        <f t="shared" si="3"/>
        <v>0</v>
      </c>
    </row>
    <row r="26" spans="2:31" ht="15" hidden="1" customHeight="1" x14ac:dyDescent="0.3">
      <c r="B26" s="37">
        <v>4</v>
      </c>
      <c r="C26" s="48" t="s">
        <v>1060</v>
      </c>
      <c r="D26" s="58" t="s">
        <v>1061</v>
      </c>
      <c r="E26" s="58"/>
      <c r="F26" s="58"/>
      <c r="G26" s="58"/>
      <c r="H26" s="49">
        <v>56.69</v>
      </c>
      <c r="I26" s="49">
        <v>56.19</v>
      </c>
      <c r="J26" s="62" t="s">
        <v>994</v>
      </c>
      <c r="K26" s="63">
        <v>0</v>
      </c>
      <c r="L26" s="83">
        <v>0.75</v>
      </c>
      <c r="M26" s="83" t="s">
        <v>1011</v>
      </c>
      <c r="N26" s="85"/>
      <c r="O26" s="90">
        <v>45.981000000000002</v>
      </c>
      <c r="P26" s="69">
        <f t="shared" si="1"/>
        <v>0</v>
      </c>
      <c r="R26" s="9">
        <f t="shared" si="3"/>
        <v>0</v>
      </c>
    </row>
    <row r="27" spans="2:31" ht="15" hidden="1" customHeight="1" x14ac:dyDescent="0.3">
      <c r="B27" s="37">
        <v>4</v>
      </c>
      <c r="C27" s="48" t="s">
        <v>1060</v>
      </c>
      <c r="D27" s="58" t="s">
        <v>1061</v>
      </c>
      <c r="E27" s="58"/>
      <c r="F27" s="58"/>
      <c r="G27" s="58"/>
      <c r="H27" s="49">
        <v>56.69</v>
      </c>
      <c r="I27" s="49">
        <v>56.19</v>
      </c>
      <c r="J27" s="49" t="s">
        <v>994</v>
      </c>
      <c r="K27" s="37">
        <v>0</v>
      </c>
      <c r="L27" s="83">
        <v>0.75</v>
      </c>
      <c r="M27" s="83" t="s">
        <v>1012</v>
      </c>
      <c r="N27" s="85"/>
      <c r="O27" s="90">
        <v>45.981000000000002</v>
      </c>
      <c r="P27" s="69">
        <f t="shared" si="1"/>
        <v>0</v>
      </c>
      <c r="R27" s="9">
        <f t="shared" si="3"/>
        <v>0</v>
      </c>
    </row>
    <row r="28" spans="2:31" ht="15" customHeight="1" x14ac:dyDescent="0.3">
      <c r="B28" s="37">
        <v>5</v>
      </c>
      <c r="C28" s="48" t="s">
        <v>1062</v>
      </c>
      <c r="D28" s="58" t="s">
        <v>1063</v>
      </c>
      <c r="E28" s="58"/>
      <c r="F28" s="58"/>
      <c r="G28" s="58"/>
      <c r="H28" s="49">
        <v>56.19</v>
      </c>
      <c r="I28" s="49">
        <v>49.69</v>
      </c>
      <c r="J28" s="62" t="s">
        <v>994</v>
      </c>
      <c r="K28" s="63">
        <v>1</v>
      </c>
      <c r="L28" s="83">
        <v>0.75</v>
      </c>
      <c r="M28" s="83" t="s">
        <v>1056</v>
      </c>
      <c r="N28" s="85"/>
      <c r="O28" s="90">
        <v>45.981000000000002</v>
      </c>
      <c r="P28" s="69">
        <f t="shared" ref="P28:P35" si="4">+ROUND(PRODUCT(K28:O28),3)</f>
        <v>34.485999999999997</v>
      </c>
      <c r="R28" s="9">
        <f>+L28*K28</f>
        <v>0.75</v>
      </c>
    </row>
    <row r="29" spans="2:31" ht="15" customHeight="1" x14ac:dyDescent="0.3">
      <c r="B29" s="37">
        <v>5</v>
      </c>
      <c r="C29" s="48" t="s">
        <v>1062</v>
      </c>
      <c r="D29" s="58" t="s">
        <v>1063</v>
      </c>
      <c r="E29" s="58"/>
      <c r="F29" s="58"/>
      <c r="G29" s="58"/>
      <c r="H29" s="49">
        <v>56.19</v>
      </c>
      <c r="I29" s="49">
        <v>49.69</v>
      </c>
      <c r="J29" s="62" t="s">
        <v>994</v>
      </c>
      <c r="K29" s="63">
        <v>1</v>
      </c>
      <c r="L29" s="83">
        <v>0.75</v>
      </c>
      <c r="M29" s="83" t="s">
        <v>1008</v>
      </c>
      <c r="N29" s="85"/>
      <c r="O29" s="90">
        <v>45.981000000000002</v>
      </c>
      <c r="P29" s="69">
        <f t="shared" si="4"/>
        <v>34.485999999999997</v>
      </c>
      <c r="R29" s="9">
        <f t="shared" ref="R29:R35" si="5">+L29*K29</f>
        <v>0.75</v>
      </c>
      <c r="S29" s="119">
        <f>+H28-I28</f>
        <v>6.5</v>
      </c>
    </row>
    <row r="30" spans="2:31" ht="15" hidden="1" customHeight="1" x14ac:dyDescent="0.3">
      <c r="B30" s="37">
        <v>5</v>
      </c>
      <c r="C30" s="48" t="s">
        <v>1062</v>
      </c>
      <c r="D30" s="58" t="s">
        <v>1063</v>
      </c>
      <c r="E30" s="58"/>
      <c r="F30" s="58"/>
      <c r="G30" s="58"/>
      <c r="H30" s="49">
        <v>56.19</v>
      </c>
      <c r="I30" s="49">
        <v>49.69</v>
      </c>
      <c r="J30" s="62" t="s">
        <v>994</v>
      </c>
      <c r="K30" s="63">
        <v>0</v>
      </c>
      <c r="L30" s="83">
        <v>0.5</v>
      </c>
      <c r="M30" s="83" t="s">
        <v>1009</v>
      </c>
      <c r="N30" s="85"/>
      <c r="O30" s="90">
        <v>45.981000000000002</v>
      </c>
      <c r="P30" s="69">
        <f t="shared" si="4"/>
        <v>0</v>
      </c>
      <c r="R30" s="9">
        <f t="shared" si="5"/>
        <v>0</v>
      </c>
    </row>
    <row r="31" spans="2:31" ht="15" customHeight="1" x14ac:dyDescent="0.3">
      <c r="B31" s="37">
        <v>5</v>
      </c>
      <c r="C31" s="48" t="s">
        <v>1062</v>
      </c>
      <c r="D31" s="58" t="s">
        <v>1063</v>
      </c>
      <c r="E31" s="58"/>
      <c r="F31" s="58"/>
      <c r="G31" s="58"/>
      <c r="H31" s="49">
        <v>56.19</v>
      </c>
      <c r="I31" s="49">
        <v>49.69</v>
      </c>
      <c r="J31" s="62" t="s">
        <v>994</v>
      </c>
      <c r="K31" s="63">
        <v>1</v>
      </c>
      <c r="L31" s="83">
        <v>0.75</v>
      </c>
      <c r="M31" s="83" t="s">
        <v>1009</v>
      </c>
      <c r="N31" s="85"/>
      <c r="O31" s="90">
        <v>45.981000000000002</v>
      </c>
      <c r="P31" s="69">
        <f t="shared" si="4"/>
        <v>34.485999999999997</v>
      </c>
      <c r="R31" s="9">
        <f t="shared" si="5"/>
        <v>0.75</v>
      </c>
    </row>
    <row r="32" spans="2:31" ht="15" customHeight="1" x14ac:dyDescent="0.3">
      <c r="B32" s="37">
        <v>5</v>
      </c>
      <c r="C32" s="48" t="s">
        <v>1062</v>
      </c>
      <c r="D32" s="58" t="s">
        <v>1063</v>
      </c>
      <c r="E32" s="58"/>
      <c r="F32" s="58"/>
      <c r="G32" s="58"/>
      <c r="H32" s="49">
        <v>56.19</v>
      </c>
      <c r="I32" s="49">
        <v>49.69</v>
      </c>
      <c r="J32" s="62" t="s">
        <v>994</v>
      </c>
      <c r="K32" s="63">
        <v>1</v>
      </c>
      <c r="L32" s="83">
        <v>0.5</v>
      </c>
      <c r="M32" s="83" t="s">
        <v>1010</v>
      </c>
      <c r="N32" s="85"/>
      <c r="O32" s="90">
        <v>45.981000000000002</v>
      </c>
      <c r="P32" s="69">
        <f t="shared" si="4"/>
        <v>22.991</v>
      </c>
      <c r="R32" s="9">
        <f t="shared" si="5"/>
        <v>0.5</v>
      </c>
    </row>
    <row r="33" spans="2:18" ht="15" customHeight="1" x14ac:dyDescent="0.3">
      <c r="B33" s="37">
        <v>5</v>
      </c>
      <c r="C33" s="48" t="s">
        <v>1062</v>
      </c>
      <c r="D33" s="58" t="s">
        <v>1063</v>
      </c>
      <c r="E33" s="58"/>
      <c r="F33" s="58"/>
      <c r="G33" s="58"/>
      <c r="H33" s="49">
        <v>56.19</v>
      </c>
      <c r="I33" s="49">
        <v>49.69</v>
      </c>
      <c r="J33" s="62" t="s">
        <v>994</v>
      </c>
      <c r="K33" s="63">
        <v>1</v>
      </c>
      <c r="L33" s="83">
        <v>0.75</v>
      </c>
      <c r="M33" s="83" t="s">
        <v>1010</v>
      </c>
      <c r="N33" s="85"/>
      <c r="O33" s="90">
        <v>45.981000000000002</v>
      </c>
      <c r="P33" s="69">
        <f t="shared" si="4"/>
        <v>34.485999999999997</v>
      </c>
      <c r="R33" s="9">
        <f t="shared" si="5"/>
        <v>0.75</v>
      </c>
    </row>
    <row r="34" spans="2:18" ht="15" customHeight="1" x14ac:dyDescent="0.3">
      <c r="B34" s="37">
        <v>5</v>
      </c>
      <c r="C34" s="48" t="s">
        <v>1062</v>
      </c>
      <c r="D34" s="58" t="s">
        <v>1063</v>
      </c>
      <c r="E34" s="58"/>
      <c r="F34" s="58"/>
      <c r="G34" s="58"/>
      <c r="H34" s="49">
        <v>56.19</v>
      </c>
      <c r="I34" s="49">
        <v>49.69</v>
      </c>
      <c r="J34" s="62" t="s">
        <v>994</v>
      </c>
      <c r="K34" s="63">
        <v>2</v>
      </c>
      <c r="L34" s="83">
        <v>0.75</v>
      </c>
      <c r="M34" s="83" t="s">
        <v>1011</v>
      </c>
      <c r="N34" s="85"/>
      <c r="O34" s="90">
        <v>45.981000000000002</v>
      </c>
      <c r="P34" s="69">
        <f t="shared" si="4"/>
        <v>68.971999999999994</v>
      </c>
      <c r="R34" s="9">
        <f t="shared" si="5"/>
        <v>1.5</v>
      </c>
    </row>
    <row r="35" spans="2:18" ht="15" customHeight="1" x14ac:dyDescent="0.3">
      <c r="B35" s="37">
        <v>5</v>
      </c>
      <c r="C35" s="48" t="s">
        <v>1062</v>
      </c>
      <c r="D35" s="58" t="s">
        <v>1063</v>
      </c>
      <c r="E35" s="58"/>
      <c r="F35" s="58"/>
      <c r="G35" s="58"/>
      <c r="H35" s="49">
        <v>56.19</v>
      </c>
      <c r="I35" s="49">
        <v>49.69</v>
      </c>
      <c r="J35" s="49" t="s">
        <v>994</v>
      </c>
      <c r="K35" s="37">
        <v>2</v>
      </c>
      <c r="L35" s="83">
        <v>0.75</v>
      </c>
      <c r="M35" s="83" t="s">
        <v>1012</v>
      </c>
      <c r="N35" s="85"/>
      <c r="O35" s="90">
        <v>45.981000000000002</v>
      </c>
      <c r="P35" s="69">
        <f t="shared" si="4"/>
        <v>68.971999999999994</v>
      </c>
      <c r="R35" s="9">
        <f t="shared" si="5"/>
        <v>1.5</v>
      </c>
    </row>
    <row r="36" spans="2:18" ht="15" customHeight="1" x14ac:dyDescent="0.3">
      <c r="B36" s="56" t="s">
        <v>1047</v>
      </c>
      <c r="C36" s="94"/>
      <c r="D36" s="50"/>
      <c r="E36" s="50"/>
      <c r="F36" s="50"/>
      <c r="G36" s="50"/>
      <c r="H36" s="51"/>
      <c r="I36" s="51"/>
      <c r="J36" s="51"/>
      <c r="K36" s="52"/>
      <c r="L36" s="52"/>
      <c r="M36" s="53"/>
      <c r="N36" s="53"/>
      <c r="O36" s="54"/>
      <c r="P36" s="55"/>
    </row>
    <row r="37" spans="2:18" ht="15" customHeight="1" x14ac:dyDescent="0.3">
      <c r="B37" s="39" t="s">
        <v>982</v>
      </c>
      <c r="C37" s="39" t="s">
        <v>992</v>
      </c>
      <c r="D37" s="57" t="s">
        <v>991</v>
      </c>
      <c r="E37" s="57"/>
      <c r="F37" s="57"/>
      <c r="G37" s="57"/>
      <c r="H37" s="39" t="s">
        <v>989</v>
      </c>
      <c r="I37" s="39" t="s">
        <v>988</v>
      </c>
      <c r="J37" s="39" t="s">
        <v>993</v>
      </c>
      <c r="K37" s="39" t="s">
        <v>990</v>
      </c>
      <c r="L37" s="39" t="s">
        <v>985</v>
      </c>
      <c r="M37" s="40" t="s">
        <v>986</v>
      </c>
      <c r="N37" s="39" t="s">
        <v>987</v>
      </c>
      <c r="O37" s="40" t="s">
        <v>984</v>
      </c>
      <c r="P37" s="40" t="s">
        <v>15</v>
      </c>
    </row>
    <row r="38" spans="2:18" ht="15" customHeight="1" x14ac:dyDescent="0.3">
      <c r="B38" s="37">
        <v>5</v>
      </c>
      <c r="C38" s="48" t="s">
        <v>1062</v>
      </c>
      <c r="D38" s="58" t="s">
        <v>1063</v>
      </c>
      <c r="E38" s="58"/>
      <c r="F38" s="58"/>
      <c r="G38" s="58"/>
      <c r="H38" s="49">
        <v>56.69</v>
      </c>
      <c r="I38" s="49">
        <v>49.69</v>
      </c>
      <c r="J38" s="49" t="s">
        <v>1006</v>
      </c>
      <c r="K38" s="37">
        <v>1</v>
      </c>
      <c r="L38" s="37"/>
      <c r="M38" s="102">
        <f>+H38-I38</f>
        <v>7</v>
      </c>
      <c r="N38" s="102"/>
      <c r="O38" s="103">
        <v>1.43</v>
      </c>
      <c r="P38" s="104">
        <f>+ROUND(PRODUCT(K38:O38),3)</f>
        <v>10.01</v>
      </c>
    </row>
    <row r="39" spans="2:18" ht="15" customHeight="1" x14ac:dyDescent="0.3">
      <c r="B39" s="56" t="s">
        <v>1005</v>
      </c>
      <c r="C39" s="94"/>
      <c r="D39" s="50"/>
      <c r="E39" s="50"/>
      <c r="F39" s="50"/>
      <c r="G39" s="50"/>
      <c r="H39" s="51"/>
      <c r="I39" s="51"/>
      <c r="J39" s="51"/>
      <c r="K39" s="52"/>
      <c r="L39" s="52"/>
      <c r="M39" s="53"/>
      <c r="N39" s="53"/>
      <c r="O39" s="54"/>
      <c r="P39" s="55"/>
    </row>
    <row r="40" spans="2:18" ht="15" customHeight="1" x14ac:dyDescent="0.3">
      <c r="B40" s="39" t="s">
        <v>982</v>
      </c>
      <c r="C40" s="39" t="s">
        <v>992</v>
      </c>
      <c r="D40" s="57" t="s">
        <v>998</v>
      </c>
      <c r="E40" s="57"/>
      <c r="F40" s="57"/>
      <c r="G40" s="57"/>
      <c r="H40" s="67"/>
      <c r="I40" s="39" t="s">
        <v>999</v>
      </c>
      <c r="J40" s="39" t="s">
        <v>993</v>
      </c>
      <c r="K40" s="39" t="s">
        <v>990</v>
      </c>
      <c r="L40" s="39" t="s">
        <v>985</v>
      </c>
      <c r="M40" s="40" t="s">
        <v>986</v>
      </c>
      <c r="N40" s="39" t="s">
        <v>987</v>
      </c>
      <c r="O40" s="40" t="s">
        <v>984</v>
      </c>
      <c r="P40" s="40" t="s">
        <v>15</v>
      </c>
    </row>
    <row r="41" spans="2:18" ht="15" hidden="1" customHeight="1" x14ac:dyDescent="0.3">
      <c r="B41" s="63">
        <v>4</v>
      </c>
      <c r="C41" s="48" t="s">
        <v>1060</v>
      </c>
      <c r="D41" s="61" t="s">
        <v>997</v>
      </c>
      <c r="E41" s="61"/>
      <c r="F41" s="61"/>
      <c r="G41" s="61"/>
      <c r="H41" s="66"/>
      <c r="I41" s="65">
        <v>5</v>
      </c>
      <c r="J41" s="62" t="s">
        <v>994</v>
      </c>
      <c r="K41" s="63">
        <v>0</v>
      </c>
      <c r="L41" s="63"/>
      <c r="M41" s="100">
        <f t="shared" ref="M41:M46" si="6">+I41/100</f>
        <v>0.05</v>
      </c>
      <c r="N41" s="100"/>
      <c r="O41" s="90">
        <v>45.981000000000002</v>
      </c>
      <c r="P41" s="101">
        <f t="shared" ref="P41:P46" si="7">+ROUND(PRODUCT(K41:O41),3)</f>
        <v>0</v>
      </c>
    </row>
    <row r="42" spans="2:18" ht="15" hidden="1" customHeight="1" x14ac:dyDescent="0.3">
      <c r="B42" s="63">
        <v>4</v>
      </c>
      <c r="C42" s="48" t="s">
        <v>1060</v>
      </c>
      <c r="D42" s="61" t="s">
        <v>1000</v>
      </c>
      <c r="E42" s="61"/>
      <c r="F42" s="61"/>
      <c r="G42" s="61"/>
      <c r="H42" s="66"/>
      <c r="I42" s="65">
        <v>5</v>
      </c>
      <c r="J42" s="62" t="s">
        <v>994</v>
      </c>
      <c r="K42" s="63">
        <v>0</v>
      </c>
      <c r="L42" s="63"/>
      <c r="M42" s="100">
        <f t="shared" si="6"/>
        <v>0.05</v>
      </c>
      <c r="N42" s="100"/>
      <c r="O42" s="90">
        <v>45.981000000000002</v>
      </c>
      <c r="P42" s="101">
        <f t="shared" si="7"/>
        <v>0</v>
      </c>
    </row>
    <row r="43" spans="2:18" ht="15" customHeight="1" x14ac:dyDescent="0.3">
      <c r="B43" s="63">
        <v>4</v>
      </c>
      <c r="C43" s="48" t="s">
        <v>1060</v>
      </c>
      <c r="D43" s="61" t="s">
        <v>1001</v>
      </c>
      <c r="E43" s="61"/>
      <c r="F43" s="61"/>
      <c r="G43" s="61"/>
      <c r="H43" s="66"/>
      <c r="I43" s="65">
        <v>5</v>
      </c>
      <c r="J43" s="62" t="s">
        <v>994</v>
      </c>
      <c r="K43" s="63">
        <v>1</v>
      </c>
      <c r="L43" s="63"/>
      <c r="M43" s="100">
        <f t="shared" si="6"/>
        <v>0.05</v>
      </c>
      <c r="N43" s="100"/>
      <c r="O43" s="90">
        <v>45.981000000000002</v>
      </c>
      <c r="P43" s="101">
        <f t="shared" si="7"/>
        <v>2.2989999999999999</v>
      </c>
    </row>
    <row r="44" spans="2:18" ht="15" hidden="1" customHeight="1" x14ac:dyDescent="0.3">
      <c r="B44" s="63">
        <v>4</v>
      </c>
      <c r="C44" s="48" t="s">
        <v>1060</v>
      </c>
      <c r="D44" s="61" t="s">
        <v>1002</v>
      </c>
      <c r="E44" s="61"/>
      <c r="F44" s="61"/>
      <c r="G44" s="61"/>
      <c r="H44" s="66"/>
      <c r="I44" s="65">
        <v>5</v>
      </c>
      <c r="J44" s="62" t="s">
        <v>994</v>
      </c>
      <c r="K44" s="63">
        <v>0</v>
      </c>
      <c r="L44" s="63"/>
      <c r="M44" s="100">
        <f t="shared" si="6"/>
        <v>0.05</v>
      </c>
      <c r="N44" s="100"/>
      <c r="O44" s="90">
        <v>45.981000000000002</v>
      </c>
      <c r="P44" s="101">
        <f t="shared" si="7"/>
        <v>0</v>
      </c>
    </row>
    <row r="45" spans="2:18" ht="15" hidden="1" customHeight="1" x14ac:dyDescent="0.3">
      <c r="B45" s="63">
        <v>4</v>
      </c>
      <c r="C45" s="48" t="s">
        <v>1060</v>
      </c>
      <c r="D45" s="61" t="s">
        <v>1003</v>
      </c>
      <c r="E45" s="61"/>
      <c r="F45" s="61"/>
      <c r="G45" s="61"/>
      <c r="H45" s="66"/>
      <c r="I45" s="65">
        <v>5</v>
      </c>
      <c r="J45" s="62" t="s">
        <v>994</v>
      </c>
      <c r="K45" s="63">
        <v>0</v>
      </c>
      <c r="L45" s="63"/>
      <c r="M45" s="100">
        <f t="shared" si="6"/>
        <v>0.05</v>
      </c>
      <c r="N45" s="100"/>
      <c r="O45" s="90">
        <v>45.981000000000002</v>
      </c>
      <c r="P45" s="101">
        <f t="shared" si="7"/>
        <v>0</v>
      </c>
    </row>
    <row r="46" spans="2:18" ht="15" hidden="1" customHeight="1" x14ac:dyDescent="0.3">
      <c r="B46" s="63">
        <v>4</v>
      </c>
      <c r="C46" s="48" t="s">
        <v>1060</v>
      </c>
      <c r="D46" s="61" t="s">
        <v>1004</v>
      </c>
      <c r="E46" s="61"/>
      <c r="F46" s="61"/>
      <c r="G46" s="61"/>
      <c r="H46" s="66"/>
      <c r="I46" s="65">
        <v>10</v>
      </c>
      <c r="J46" s="62" t="s">
        <v>994</v>
      </c>
      <c r="K46" s="63">
        <v>0</v>
      </c>
      <c r="L46" s="63"/>
      <c r="M46" s="100">
        <f t="shared" si="6"/>
        <v>0.1</v>
      </c>
      <c r="N46" s="100"/>
      <c r="O46" s="90">
        <v>45.981000000000002</v>
      </c>
      <c r="P46" s="101">
        <f t="shared" si="7"/>
        <v>0</v>
      </c>
    </row>
    <row r="47" spans="2:18" ht="15" customHeight="1" x14ac:dyDescent="0.3">
      <c r="B47" s="63">
        <v>5</v>
      </c>
      <c r="C47" s="48" t="s">
        <v>1062</v>
      </c>
      <c r="D47" s="61" t="s">
        <v>997</v>
      </c>
      <c r="E47" s="61"/>
      <c r="F47" s="61"/>
      <c r="G47" s="61"/>
      <c r="H47" s="66"/>
      <c r="I47" s="65">
        <v>5</v>
      </c>
      <c r="J47" s="62" t="s">
        <v>994</v>
      </c>
      <c r="K47" s="63">
        <v>1</v>
      </c>
      <c r="L47" s="63"/>
      <c r="M47" s="100">
        <f t="shared" ref="M47:M53" si="8">+I47/100</f>
        <v>0.05</v>
      </c>
      <c r="N47" s="100"/>
      <c r="O47" s="90">
        <v>45.981000000000002</v>
      </c>
      <c r="P47" s="101">
        <f t="shared" ref="P47:P53" si="9">+ROUND(PRODUCT(K47:O47),3)</f>
        <v>2.2989999999999999</v>
      </c>
    </row>
    <row r="48" spans="2:18" ht="15" customHeight="1" x14ac:dyDescent="0.3">
      <c r="B48" s="63">
        <v>5</v>
      </c>
      <c r="C48" s="48" t="s">
        <v>1062</v>
      </c>
      <c r="D48" s="61" t="s">
        <v>1000</v>
      </c>
      <c r="E48" s="61"/>
      <c r="F48" s="61"/>
      <c r="G48" s="61"/>
      <c r="H48" s="66"/>
      <c r="I48" s="65">
        <v>5</v>
      </c>
      <c r="J48" s="62" t="s">
        <v>994</v>
      </c>
      <c r="K48" s="63">
        <v>1</v>
      </c>
      <c r="L48" s="63"/>
      <c r="M48" s="100">
        <f t="shared" si="8"/>
        <v>0.05</v>
      </c>
      <c r="N48" s="100"/>
      <c r="O48" s="90">
        <v>45.981000000000002</v>
      </c>
      <c r="P48" s="101">
        <f t="shared" si="9"/>
        <v>2.2989999999999999</v>
      </c>
    </row>
    <row r="49" spans="2:31" ht="15" customHeight="1" x14ac:dyDescent="0.3">
      <c r="B49" s="63">
        <v>5</v>
      </c>
      <c r="C49" s="48" t="s">
        <v>1062</v>
      </c>
      <c r="D49" s="61" t="s">
        <v>1001</v>
      </c>
      <c r="E49" s="61"/>
      <c r="F49" s="61"/>
      <c r="G49" s="61"/>
      <c r="H49" s="66"/>
      <c r="I49" s="65">
        <v>5</v>
      </c>
      <c r="J49" s="62" t="s">
        <v>994</v>
      </c>
      <c r="K49" s="63">
        <v>1</v>
      </c>
      <c r="L49" s="63"/>
      <c r="M49" s="100">
        <f t="shared" si="8"/>
        <v>0.05</v>
      </c>
      <c r="N49" s="100"/>
      <c r="O49" s="90">
        <v>45.981000000000002</v>
      </c>
      <c r="P49" s="101">
        <f t="shared" si="9"/>
        <v>2.2989999999999999</v>
      </c>
    </row>
    <row r="50" spans="2:31" ht="15" customHeight="1" x14ac:dyDescent="0.3">
      <c r="B50" s="63">
        <v>5</v>
      </c>
      <c r="C50" s="48" t="s">
        <v>1062</v>
      </c>
      <c r="D50" s="61" t="s">
        <v>1002</v>
      </c>
      <c r="E50" s="61"/>
      <c r="F50" s="61"/>
      <c r="G50" s="61"/>
      <c r="H50" s="66"/>
      <c r="I50" s="65">
        <v>5</v>
      </c>
      <c r="J50" s="62" t="s">
        <v>994</v>
      </c>
      <c r="K50" s="63">
        <v>2</v>
      </c>
      <c r="L50" s="63"/>
      <c r="M50" s="100">
        <f t="shared" si="8"/>
        <v>0.05</v>
      </c>
      <c r="N50" s="100"/>
      <c r="O50" s="90">
        <v>45.981000000000002</v>
      </c>
      <c r="P50" s="101">
        <f t="shared" si="9"/>
        <v>4.5979999999999999</v>
      </c>
    </row>
    <row r="51" spans="2:31" ht="15" customHeight="1" x14ac:dyDescent="0.3">
      <c r="B51" s="63">
        <v>5</v>
      </c>
      <c r="C51" s="48" t="s">
        <v>1062</v>
      </c>
      <c r="D51" s="61" t="s">
        <v>1003</v>
      </c>
      <c r="E51" s="61"/>
      <c r="F51" s="61"/>
      <c r="G51" s="61"/>
      <c r="H51" s="66"/>
      <c r="I51" s="65">
        <v>5</v>
      </c>
      <c r="J51" s="62" t="s">
        <v>994</v>
      </c>
      <c r="K51" s="63">
        <v>2</v>
      </c>
      <c r="L51" s="63"/>
      <c r="M51" s="100">
        <f t="shared" si="8"/>
        <v>0.05</v>
      </c>
      <c r="N51" s="100"/>
      <c r="O51" s="90">
        <v>45.981000000000002</v>
      </c>
      <c r="P51" s="101">
        <f t="shared" si="9"/>
        <v>4.5979999999999999</v>
      </c>
    </row>
    <row r="52" spans="2:31" ht="15" customHeight="1" x14ac:dyDescent="0.3">
      <c r="B52" s="63">
        <v>5</v>
      </c>
      <c r="C52" s="48" t="s">
        <v>1062</v>
      </c>
      <c r="D52" s="61" t="s">
        <v>1004</v>
      </c>
      <c r="E52" s="61"/>
      <c r="F52" s="61"/>
      <c r="G52" s="61"/>
      <c r="H52" s="66"/>
      <c r="I52" s="65">
        <v>10</v>
      </c>
      <c r="J52" s="62" t="s">
        <v>994</v>
      </c>
      <c r="K52" s="63">
        <v>1</v>
      </c>
      <c r="L52" s="63"/>
      <c r="M52" s="100">
        <f t="shared" ref="M52" si="10">+I52/100</f>
        <v>0.1</v>
      </c>
      <c r="N52" s="100"/>
      <c r="O52" s="90">
        <v>45.981000000000002</v>
      </c>
      <c r="P52" s="101">
        <f t="shared" ref="P52" si="11">+ROUND(PRODUCT(K52:O52),3)</f>
        <v>4.5979999999999999</v>
      </c>
    </row>
    <row r="53" spans="2:31" ht="15" hidden="1" customHeight="1" x14ac:dyDescent="0.3">
      <c r="B53" s="63">
        <v>5</v>
      </c>
      <c r="C53" s="48" t="s">
        <v>1062</v>
      </c>
      <c r="D53" s="61" t="s">
        <v>1004</v>
      </c>
      <c r="E53" s="61"/>
      <c r="F53" s="61"/>
      <c r="G53" s="61"/>
      <c r="H53" s="66"/>
      <c r="I53" s="65">
        <v>30</v>
      </c>
      <c r="J53" s="62" t="s">
        <v>994</v>
      </c>
      <c r="K53" s="63">
        <v>0</v>
      </c>
      <c r="L53" s="63"/>
      <c r="M53" s="100">
        <f t="shared" si="8"/>
        <v>0.3</v>
      </c>
      <c r="N53" s="100"/>
      <c r="O53" s="90">
        <v>45.981000000000002</v>
      </c>
      <c r="P53" s="101">
        <f t="shared" si="9"/>
        <v>0</v>
      </c>
    </row>
    <row r="54" spans="2:31" ht="15" hidden="1" customHeight="1" x14ac:dyDescent="0.3">
      <c r="B54" s="63">
        <v>5</v>
      </c>
      <c r="C54" s="48" t="s">
        <v>1062</v>
      </c>
      <c r="D54" s="61" t="s">
        <v>1064</v>
      </c>
      <c r="E54" s="61"/>
      <c r="F54" s="61"/>
      <c r="G54" s="61"/>
      <c r="H54" s="66"/>
      <c r="I54" s="65">
        <v>30</v>
      </c>
      <c r="J54" s="62" t="s">
        <v>994</v>
      </c>
      <c r="K54" s="63">
        <v>0</v>
      </c>
      <c r="L54" s="63"/>
      <c r="M54" s="100">
        <f t="shared" ref="M54" si="12">+I54/100</f>
        <v>0.3</v>
      </c>
      <c r="N54" s="100"/>
      <c r="O54" s="103">
        <v>1.43</v>
      </c>
      <c r="P54" s="101">
        <f t="shared" ref="P54" si="13">+ROUND(PRODUCT(K54:O54),3)</f>
        <v>0</v>
      </c>
    </row>
    <row r="55" spans="2:31" ht="4.95" customHeight="1" x14ac:dyDescent="0.3">
      <c r="B55" s="41"/>
      <c r="C55" s="44"/>
      <c r="D55" s="42"/>
      <c r="E55" s="42"/>
      <c r="F55" s="42"/>
      <c r="G55" s="42"/>
      <c r="H55" s="43"/>
      <c r="I55" s="43"/>
      <c r="J55" s="43"/>
      <c r="K55" s="43"/>
      <c r="L55" s="43"/>
      <c r="M55" s="43"/>
      <c r="N55" s="43"/>
      <c r="O55" s="44"/>
      <c r="P55" s="45"/>
    </row>
    <row r="57" spans="2:31" ht="30" customHeight="1" x14ac:dyDescent="0.3">
      <c r="B57" s="132" t="s">
        <v>7</v>
      </c>
      <c r="C57" s="134"/>
      <c r="D57" s="132" t="s">
        <v>8</v>
      </c>
      <c r="E57" s="133"/>
      <c r="F57" s="133"/>
      <c r="G57" s="133"/>
      <c r="H57" s="133"/>
      <c r="I57" s="133"/>
      <c r="J57" s="133"/>
      <c r="K57" s="133"/>
      <c r="L57" s="133"/>
      <c r="M57" s="34" t="s">
        <v>9</v>
      </c>
      <c r="N57" s="113" t="s">
        <v>1053</v>
      </c>
      <c r="O57" s="113" t="s">
        <v>1054</v>
      </c>
      <c r="P57" s="35" t="s">
        <v>1055</v>
      </c>
    </row>
    <row r="58" spans="2:31" ht="30" customHeight="1" x14ac:dyDescent="0.3">
      <c r="B58" s="136" t="s">
        <v>125</v>
      </c>
      <c r="C58" s="137"/>
      <c r="D58" s="130" t="str">
        <f>+VLOOKUP(B58,[1]Liste!B:E,2,FALSE)</f>
        <v>Püskürtme Beton (Tünel ve Şaftlarda)</v>
      </c>
      <c r="E58" s="131"/>
      <c r="F58" s="131"/>
      <c r="G58" s="131"/>
      <c r="H58" s="131"/>
      <c r="I58" s="131"/>
      <c r="J58" s="131"/>
      <c r="K58" s="131"/>
      <c r="L58" s="131"/>
      <c r="M58" s="36" t="str">
        <f>+VLOOKUP(B58,[1]Liste!B:E,3,FALSE)</f>
        <v>m³</v>
      </c>
      <c r="N58" s="68">
        <v>99.96</v>
      </c>
      <c r="O58" s="68">
        <f>+P58-N58</f>
        <v>0</v>
      </c>
      <c r="P58" s="68">
        <f>+ROUND(SUM(P59:P97),3)</f>
        <v>99.96</v>
      </c>
      <c r="AA58" s="9">
        <f>+VLOOKUP(B58,[2]Liste!$B$2:$F$483,5,FALSE)</f>
        <v>15334</v>
      </c>
      <c r="AC58" s="9">
        <f>+AA58*N58</f>
        <v>1532786.64</v>
      </c>
      <c r="AD58" s="9">
        <f>+AA58*O58</f>
        <v>0</v>
      </c>
      <c r="AE58" s="9">
        <f>+AA58*P58</f>
        <v>1532786.64</v>
      </c>
    </row>
    <row r="59" spans="2:31" ht="15" customHeight="1" x14ac:dyDescent="0.3">
      <c r="B59" s="56" t="s">
        <v>1046</v>
      </c>
      <c r="C59" s="94"/>
      <c r="D59" s="50"/>
      <c r="E59" s="50"/>
      <c r="F59" s="50"/>
      <c r="G59" s="50"/>
      <c r="H59" s="51"/>
      <c r="I59" s="51"/>
      <c r="J59" s="51"/>
      <c r="K59" s="52"/>
      <c r="L59" s="52"/>
      <c r="M59" s="53"/>
      <c r="N59" s="53"/>
      <c r="O59" s="54"/>
      <c r="P59" s="55"/>
    </row>
    <row r="60" spans="2:31" ht="28.8" x14ac:dyDescent="0.3">
      <c r="B60" s="39" t="s">
        <v>982</v>
      </c>
      <c r="C60" s="39" t="s">
        <v>992</v>
      </c>
      <c r="D60" s="57" t="s">
        <v>991</v>
      </c>
      <c r="E60" s="57"/>
      <c r="F60" s="57"/>
      <c r="G60" s="57"/>
      <c r="H60" s="39" t="s">
        <v>989</v>
      </c>
      <c r="I60" s="39" t="s">
        <v>988</v>
      </c>
      <c r="J60" s="39" t="s">
        <v>993</v>
      </c>
      <c r="K60" s="39" t="s">
        <v>990</v>
      </c>
      <c r="L60" s="40" t="s">
        <v>1007</v>
      </c>
      <c r="M60" s="40" t="s">
        <v>986</v>
      </c>
      <c r="N60" s="39" t="s">
        <v>13</v>
      </c>
      <c r="O60" s="39" t="s">
        <v>1057</v>
      </c>
      <c r="P60" s="39" t="s">
        <v>15</v>
      </c>
    </row>
    <row r="61" spans="2:31" ht="15" hidden="1" customHeight="1" x14ac:dyDescent="0.3">
      <c r="B61" s="37">
        <v>4</v>
      </c>
      <c r="C61" s="48" t="s">
        <v>1060</v>
      </c>
      <c r="D61" s="58" t="s">
        <v>1061</v>
      </c>
      <c r="E61" s="58"/>
      <c r="F61" s="58"/>
      <c r="G61" s="58"/>
      <c r="H61" s="49">
        <v>56.69</v>
      </c>
      <c r="I61" s="49">
        <v>56.19</v>
      </c>
      <c r="J61" s="62" t="s">
        <v>994</v>
      </c>
      <c r="K61" s="63">
        <v>0</v>
      </c>
      <c r="L61" s="38">
        <v>0.9</v>
      </c>
      <c r="M61" s="83">
        <v>0.75</v>
      </c>
      <c r="N61" s="83" t="s">
        <v>1056</v>
      </c>
      <c r="O61" s="89">
        <v>5.1959999999999997</v>
      </c>
      <c r="P61" s="69">
        <f t="shared" ref="P61:P62" si="14">+ROUND(PRODUCT(K61:O61),3)</f>
        <v>0</v>
      </c>
    </row>
    <row r="62" spans="2:31" ht="15" hidden="1" customHeight="1" x14ac:dyDescent="0.3">
      <c r="B62" s="37">
        <v>4</v>
      </c>
      <c r="C62" s="48" t="s">
        <v>1060</v>
      </c>
      <c r="D62" s="58" t="s">
        <v>1061</v>
      </c>
      <c r="E62" s="58"/>
      <c r="F62" s="58"/>
      <c r="G62" s="58"/>
      <c r="H62" s="49">
        <v>56.69</v>
      </c>
      <c r="I62" s="49">
        <v>56.19</v>
      </c>
      <c r="J62" s="49" t="s">
        <v>994</v>
      </c>
      <c r="K62" s="63">
        <v>0</v>
      </c>
      <c r="L62" s="38">
        <v>0.9</v>
      </c>
      <c r="M62" s="83">
        <v>0.75</v>
      </c>
      <c r="N62" s="83" t="s">
        <v>1008</v>
      </c>
      <c r="O62" s="89">
        <v>5.1959999999999997</v>
      </c>
      <c r="P62" s="69">
        <f t="shared" si="14"/>
        <v>0</v>
      </c>
    </row>
    <row r="63" spans="2:31" ht="15" customHeight="1" x14ac:dyDescent="0.3">
      <c r="B63" s="37">
        <v>4</v>
      </c>
      <c r="C63" s="48" t="s">
        <v>1060</v>
      </c>
      <c r="D63" s="58" t="s">
        <v>1061</v>
      </c>
      <c r="E63" s="58"/>
      <c r="F63" s="58"/>
      <c r="G63" s="58"/>
      <c r="H63" s="49">
        <v>56.69</v>
      </c>
      <c r="I63" s="49">
        <v>56.19</v>
      </c>
      <c r="J63" s="62" t="s">
        <v>994</v>
      </c>
      <c r="K63" s="63">
        <v>1</v>
      </c>
      <c r="L63" s="38">
        <v>0.9</v>
      </c>
      <c r="M63" s="83">
        <v>0.5</v>
      </c>
      <c r="N63" s="83" t="s">
        <v>1009</v>
      </c>
      <c r="O63" s="89">
        <v>5.1959999999999997</v>
      </c>
      <c r="P63" s="69">
        <f t="shared" ref="P63:P70" si="15">+ROUND(PRODUCT(K63:O63),3)</f>
        <v>2.3380000000000001</v>
      </c>
      <c r="R63" s="119"/>
    </row>
    <row r="64" spans="2:31" ht="15" hidden="1" customHeight="1" x14ac:dyDescent="0.3">
      <c r="B64" s="37">
        <v>4</v>
      </c>
      <c r="C64" s="48" t="s">
        <v>1060</v>
      </c>
      <c r="D64" s="58" t="s">
        <v>1061</v>
      </c>
      <c r="E64" s="58"/>
      <c r="F64" s="58"/>
      <c r="G64" s="58"/>
      <c r="H64" s="49">
        <v>56.69</v>
      </c>
      <c r="I64" s="49">
        <v>56.19</v>
      </c>
      <c r="J64" s="62" t="s">
        <v>994</v>
      </c>
      <c r="K64" s="63"/>
      <c r="L64" s="38">
        <v>0.9</v>
      </c>
      <c r="M64" s="83">
        <v>0.75</v>
      </c>
      <c r="N64" s="83" t="s">
        <v>1009</v>
      </c>
      <c r="O64" s="89">
        <v>5.1959999999999997</v>
      </c>
      <c r="P64" s="69">
        <f t="shared" si="15"/>
        <v>3.5070000000000001</v>
      </c>
      <c r="R64" s="119"/>
    </row>
    <row r="65" spans="2:18" ht="15" hidden="1" customHeight="1" x14ac:dyDescent="0.3">
      <c r="B65" s="37">
        <v>4</v>
      </c>
      <c r="C65" s="48" t="s">
        <v>1060</v>
      </c>
      <c r="D65" s="58" t="s">
        <v>1061</v>
      </c>
      <c r="E65" s="58"/>
      <c r="F65" s="58"/>
      <c r="G65" s="58"/>
      <c r="H65" s="49">
        <v>56.69</v>
      </c>
      <c r="I65" s="49">
        <v>56.19</v>
      </c>
      <c r="J65" s="62" t="s">
        <v>994</v>
      </c>
      <c r="K65" s="63"/>
      <c r="L65" s="38">
        <v>0.9</v>
      </c>
      <c r="M65" s="83">
        <v>0.5</v>
      </c>
      <c r="N65" s="83" t="s">
        <v>1010</v>
      </c>
      <c r="O65" s="89">
        <v>5.1959999999999997</v>
      </c>
      <c r="P65" s="69">
        <f t="shared" si="15"/>
        <v>2.3380000000000001</v>
      </c>
      <c r="R65" s="119"/>
    </row>
    <row r="66" spans="2:18" ht="15" hidden="1" customHeight="1" x14ac:dyDescent="0.3">
      <c r="B66" s="37">
        <v>4</v>
      </c>
      <c r="C66" s="48" t="s">
        <v>1060</v>
      </c>
      <c r="D66" s="58" t="s">
        <v>1061</v>
      </c>
      <c r="E66" s="58"/>
      <c r="F66" s="58"/>
      <c r="G66" s="58"/>
      <c r="H66" s="49">
        <v>56.69</v>
      </c>
      <c r="I66" s="49">
        <v>56.19</v>
      </c>
      <c r="J66" s="62" t="s">
        <v>994</v>
      </c>
      <c r="K66" s="63"/>
      <c r="L66" s="38">
        <v>0.9</v>
      </c>
      <c r="M66" s="83">
        <v>0.75</v>
      </c>
      <c r="N66" s="83" t="s">
        <v>1010</v>
      </c>
      <c r="O66" s="89">
        <v>5.1959999999999997</v>
      </c>
      <c r="P66" s="69">
        <f t="shared" si="15"/>
        <v>3.5070000000000001</v>
      </c>
      <c r="R66" s="119"/>
    </row>
    <row r="67" spans="2:18" ht="15" hidden="1" customHeight="1" x14ac:dyDescent="0.3">
      <c r="B67" s="37">
        <v>4</v>
      </c>
      <c r="C67" s="48" t="s">
        <v>1060</v>
      </c>
      <c r="D67" s="58" t="s">
        <v>1061</v>
      </c>
      <c r="E67" s="58"/>
      <c r="F67" s="58"/>
      <c r="G67" s="58"/>
      <c r="H67" s="49">
        <v>56.69</v>
      </c>
      <c r="I67" s="49">
        <v>56.19</v>
      </c>
      <c r="J67" s="62" t="s">
        <v>994</v>
      </c>
      <c r="K67" s="63"/>
      <c r="L67" s="38">
        <v>0.9</v>
      </c>
      <c r="M67" s="83">
        <v>0.75</v>
      </c>
      <c r="N67" s="83" t="s">
        <v>1011</v>
      </c>
      <c r="O67" s="89">
        <v>5.1959999999999997</v>
      </c>
      <c r="P67" s="69">
        <f t="shared" si="15"/>
        <v>3.5070000000000001</v>
      </c>
      <c r="R67" s="119"/>
    </row>
    <row r="68" spans="2:18" ht="15" hidden="1" customHeight="1" x14ac:dyDescent="0.3">
      <c r="B68" s="37">
        <v>4</v>
      </c>
      <c r="C68" s="48" t="s">
        <v>1060</v>
      </c>
      <c r="D68" s="58" t="s">
        <v>1061</v>
      </c>
      <c r="E68" s="58"/>
      <c r="F68" s="58"/>
      <c r="G68" s="58"/>
      <c r="H68" s="49">
        <v>56.69</v>
      </c>
      <c r="I68" s="49">
        <v>56.19</v>
      </c>
      <c r="J68" s="49" t="s">
        <v>994</v>
      </c>
      <c r="K68" s="37"/>
      <c r="L68" s="38">
        <v>0.9</v>
      </c>
      <c r="M68" s="83">
        <v>0.75</v>
      </c>
      <c r="N68" s="83" t="s">
        <v>1012</v>
      </c>
      <c r="O68" s="89">
        <v>5.1959999999999997</v>
      </c>
      <c r="P68" s="69">
        <f t="shared" si="15"/>
        <v>3.5070000000000001</v>
      </c>
      <c r="R68" s="119"/>
    </row>
    <row r="69" spans="2:18" ht="15" customHeight="1" x14ac:dyDescent="0.3">
      <c r="B69" s="37">
        <v>5</v>
      </c>
      <c r="C69" s="48" t="s">
        <v>1062</v>
      </c>
      <c r="D69" s="58" t="s">
        <v>1063</v>
      </c>
      <c r="E69" s="58"/>
      <c r="F69" s="58"/>
      <c r="G69" s="58"/>
      <c r="H69" s="49">
        <v>56.19</v>
      </c>
      <c r="I69" s="49">
        <v>49.69</v>
      </c>
      <c r="J69" s="62" t="s">
        <v>994</v>
      </c>
      <c r="K69" s="63">
        <v>1</v>
      </c>
      <c r="L69" s="38">
        <v>0.9</v>
      </c>
      <c r="M69" s="83">
        <v>0.75</v>
      </c>
      <c r="N69" s="83" t="s">
        <v>1056</v>
      </c>
      <c r="O69" s="89">
        <v>5.1959999999999997</v>
      </c>
      <c r="P69" s="69">
        <f t="shared" si="15"/>
        <v>3.5070000000000001</v>
      </c>
      <c r="R69" s="119"/>
    </row>
    <row r="70" spans="2:18" ht="15" customHeight="1" x14ac:dyDescent="0.3">
      <c r="B70" s="37">
        <v>5</v>
      </c>
      <c r="C70" s="48" t="s">
        <v>1062</v>
      </c>
      <c r="D70" s="58" t="s">
        <v>1063</v>
      </c>
      <c r="E70" s="58"/>
      <c r="F70" s="58"/>
      <c r="G70" s="58"/>
      <c r="H70" s="49">
        <v>56.19</v>
      </c>
      <c r="I70" s="49">
        <v>49.69</v>
      </c>
      <c r="J70" s="49" t="s">
        <v>994</v>
      </c>
      <c r="K70" s="63">
        <v>1</v>
      </c>
      <c r="L70" s="38">
        <v>0.9</v>
      </c>
      <c r="M70" s="83">
        <v>0.75</v>
      </c>
      <c r="N70" s="83" t="s">
        <v>1008</v>
      </c>
      <c r="O70" s="89">
        <v>5.1959999999999997</v>
      </c>
      <c r="P70" s="69">
        <f t="shared" si="15"/>
        <v>3.5070000000000001</v>
      </c>
      <c r="R70" s="119"/>
    </row>
    <row r="71" spans="2:18" ht="15" hidden="1" customHeight="1" x14ac:dyDescent="0.3">
      <c r="B71" s="37">
        <v>5</v>
      </c>
      <c r="C71" s="48" t="s">
        <v>1062</v>
      </c>
      <c r="D71" s="58" t="s">
        <v>1063</v>
      </c>
      <c r="E71" s="58"/>
      <c r="F71" s="58"/>
      <c r="G71" s="58"/>
      <c r="H71" s="49">
        <v>56.19</v>
      </c>
      <c r="I71" s="49">
        <v>49.69</v>
      </c>
      <c r="J71" s="62" t="s">
        <v>994</v>
      </c>
      <c r="K71" s="63">
        <v>0</v>
      </c>
      <c r="L71" s="38">
        <v>0.9</v>
      </c>
      <c r="M71" s="83">
        <v>0.5</v>
      </c>
      <c r="N71" s="83" t="s">
        <v>1009</v>
      </c>
      <c r="O71" s="89">
        <v>5.1959999999999997</v>
      </c>
      <c r="P71" s="69">
        <f t="shared" ref="P71:P76" si="16">+ROUND(PRODUCT(K71:O71),3)</f>
        <v>0</v>
      </c>
      <c r="R71" s="119"/>
    </row>
    <row r="72" spans="2:18" ht="15" customHeight="1" x14ac:dyDescent="0.3">
      <c r="B72" s="37">
        <v>5</v>
      </c>
      <c r="C72" s="48" t="s">
        <v>1062</v>
      </c>
      <c r="D72" s="58" t="s">
        <v>1063</v>
      </c>
      <c r="E72" s="58"/>
      <c r="F72" s="58"/>
      <c r="G72" s="58"/>
      <c r="H72" s="49">
        <v>56.19</v>
      </c>
      <c r="I72" s="49">
        <v>49.69</v>
      </c>
      <c r="J72" s="62" t="s">
        <v>994</v>
      </c>
      <c r="K72" s="63">
        <v>1</v>
      </c>
      <c r="L72" s="38">
        <v>0.9</v>
      </c>
      <c r="M72" s="83">
        <v>0.75</v>
      </c>
      <c r="N72" s="83" t="s">
        <v>1009</v>
      </c>
      <c r="O72" s="89">
        <v>5.1959999999999997</v>
      </c>
      <c r="P72" s="69">
        <f t="shared" si="16"/>
        <v>3.5070000000000001</v>
      </c>
      <c r="R72" s="119"/>
    </row>
    <row r="73" spans="2:18" ht="15" customHeight="1" x14ac:dyDescent="0.3">
      <c r="B73" s="37">
        <v>5</v>
      </c>
      <c r="C73" s="48" t="s">
        <v>1062</v>
      </c>
      <c r="D73" s="58" t="s">
        <v>1063</v>
      </c>
      <c r="E73" s="58"/>
      <c r="F73" s="58"/>
      <c r="G73" s="58"/>
      <c r="H73" s="49">
        <v>56.19</v>
      </c>
      <c r="I73" s="49">
        <v>49.69</v>
      </c>
      <c r="J73" s="62" t="s">
        <v>994</v>
      </c>
      <c r="K73" s="63">
        <v>1</v>
      </c>
      <c r="L73" s="38">
        <v>0.9</v>
      </c>
      <c r="M73" s="83">
        <v>0.5</v>
      </c>
      <c r="N73" s="83" t="s">
        <v>1010</v>
      </c>
      <c r="O73" s="89">
        <v>5.1959999999999997</v>
      </c>
      <c r="P73" s="69">
        <f t="shared" si="16"/>
        <v>2.3380000000000001</v>
      </c>
      <c r="R73" s="119"/>
    </row>
    <row r="74" spans="2:18" ht="15" customHeight="1" x14ac:dyDescent="0.3">
      <c r="B74" s="37">
        <v>5</v>
      </c>
      <c r="C74" s="48" t="s">
        <v>1062</v>
      </c>
      <c r="D74" s="58" t="s">
        <v>1063</v>
      </c>
      <c r="E74" s="58"/>
      <c r="F74" s="58"/>
      <c r="G74" s="58"/>
      <c r="H74" s="49">
        <v>56.19</v>
      </c>
      <c r="I74" s="49">
        <v>49.69</v>
      </c>
      <c r="J74" s="62" t="s">
        <v>994</v>
      </c>
      <c r="K74" s="63">
        <v>1</v>
      </c>
      <c r="L74" s="38">
        <v>0.9</v>
      </c>
      <c r="M74" s="83">
        <v>0.75</v>
      </c>
      <c r="N74" s="83" t="s">
        <v>1010</v>
      </c>
      <c r="O74" s="89">
        <v>5.1959999999999997</v>
      </c>
      <c r="P74" s="69">
        <f t="shared" si="16"/>
        <v>3.5070000000000001</v>
      </c>
      <c r="R74" s="119"/>
    </row>
    <row r="75" spans="2:18" ht="15" customHeight="1" x14ac:dyDescent="0.3">
      <c r="B75" s="37">
        <v>5</v>
      </c>
      <c r="C75" s="48" t="s">
        <v>1062</v>
      </c>
      <c r="D75" s="58" t="s">
        <v>1063</v>
      </c>
      <c r="E75" s="58"/>
      <c r="F75" s="58"/>
      <c r="G75" s="58"/>
      <c r="H75" s="49">
        <v>56.19</v>
      </c>
      <c r="I75" s="49">
        <v>49.69</v>
      </c>
      <c r="J75" s="62" t="s">
        <v>994</v>
      </c>
      <c r="K75" s="63">
        <v>2</v>
      </c>
      <c r="L75" s="38">
        <v>0.9</v>
      </c>
      <c r="M75" s="83">
        <v>0.75</v>
      </c>
      <c r="N75" s="83" t="s">
        <v>1011</v>
      </c>
      <c r="O75" s="89">
        <v>5.1959999999999997</v>
      </c>
      <c r="P75" s="69">
        <f t="shared" si="16"/>
        <v>7.0149999999999997</v>
      </c>
      <c r="R75" s="119"/>
    </row>
    <row r="76" spans="2:18" ht="15" customHeight="1" x14ac:dyDescent="0.3">
      <c r="B76" s="37">
        <v>5</v>
      </c>
      <c r="C76" s="48" t="s">
        <v>1062</v>
      </c>
      <c r="D76" s="58" t="s">
        <v>1063</v>
      </c>
      <c r="E76" s="58"/>
      <c r="F76" s="58"/>
      <c r="G76" s="58"/>
      <c r="H76" s="49">
        <v>56.19</v>
      </c>
      <c r="I76" s="49">
        <v>49.69</v>
      </c>
      <c r="J76" s="49" t="s">
        <v>994</v>
      </c>
      <c r="K76" s="37">
        <v>2</v>
      </c>
      <c r="L76" s="38">
        <v>0.9</v>
      </c>
      <c r="M76" s="83">
        <v>0.75</v>
      </c>
      <c r="N76" s="83" t="s">
        <v>1012</v>
      </c>
      <c r="O76" s="89">
        <v>5.1959999999999997</v>
      </c>
      <c r="P76" s="69">
        <f t="shared" si="16"/>
        <v>7.0149999999999997</v>
      </c>
      <c r="R76" s="119"/>
    </row>
    <row r="77" spans="2:18" ht="15" customHeight="1" x14ac:dyDescent="0.3">
      <c r="B77" s="37">
        <v>5</v>
      </c>
      <c r="C77" s="48" t="s">
        <v>1066</v>
      </c>
      <c r="D77" s="58" t="s">
        <v>1067</v>
      </c>
      <c r="E77" s="58"/>
      <c r="F77" s="58"/>
      <c r="G77" s="58"/>
      <c r="H77" s="49">
        <v>56.69</v>
      </c>
      <c r="I77" s="49">
        <v>49.69</v>
      </c>
      <c r="J77" s="49" t="s">
        <v>994</v>
      </c>
      <c r="K77" s="37">
        <v>1</v>
      </c>
      <c r="L77" s="38">
        <v>0.1</v>
      </c>
      <c r="M77" s="126">
        <f>+H77-I77</f>
        <v>7</v>
      </c>
      <c r="N77" s="83" t="s">
        <v>1070</v>
      </c>
      <c r="O77" s="89">
        <v>5.1959999999999997</v>
      </c>
      <c r="P77" s="69">
        <f t="shared" ref="P77" si="17">+ROUND(PRODUCT(K77:O77),3)</f>
        <v>3.637</v>
      </c>
    </row>
    <row r="78" spans="2:18" ht="15" customHeight="1" x14ac:dyDescent="0.3">
      <c r="B78" s="56" t="s">
        <v>1047</v>
      </c>
      <c r="C78" s="94"/>
      <c r="D78" s="50"/>
      <c r="E78" s="50"/>
      <c r="F78" s="50"/>
      <c r="G78" s="50"/>
      <c r="H78" s="51"/>
      <c r="I78" s="51"/>
      <c r="J78" s="51"/>
      <c r="K78" s="52"/>
      <c r="L78" s="52"/>
      <c r="M78" s="53"/>
      <c r="N78" s="53"/>
      <c r="O78" s="54"/>
      <c r="P78" s="55"/>
    </row>
    <row r="79" spans="2:18" ht="15" customHeight="1" x14ac:dyDescent="0.3">
      <c r="B79" s="39" t="s">
        <v>982</v>
      </c>
      <c r="C79" s="39" t="s">
        <v>992</v>
      </c>
      <c r="D79" s="57" t="s">
        <v>991</v>
      </c>
      <c r="E79" s="57"/>
      <c r="F79" s="57"/>
      <c r="G79" s="57"/>
      <c r="H79" s="39" t="s">
        <v>989</v>
      </c>
      <c r="I79" s="39" t="s">
        <v>988</v>
      </c>
      <c r="J79" s="39" t="s">
        <v>993</v>
      </c>
      <c r="K79" s="39" t="s">
        <v>990</v>
      </c>
      <c r="L79" s="39" t="s">
        <v>985</v>
      </c>
      <c r="M79" s="40" t="s">
        <v>986</v>
      </c>
      <c r="N79" s="39" t="s">
        <v>987</v>
      </c>
      <c r="O79" s="40" t="s">
        <v>984</v>
      </c>
      <c r="P79" s="40" t="s">
        <v>15</v>
      </c>
    </row>
    <row r="80" spans="2:18" ht="15" customHeight="1" x14ac:dyDescent="0.3">
      <c r="B80" s="37">
        <v>5</v>
      </c>
      <c r="C80" s="48" t="s">
        <v>1062</v>
      </c>
      <c r="D80" s="58" t="s">
        <v>1063</v>
      </c>
      <c r="E80" s="58"/>
      <c r="F80" s="58"/>
      <c r="G80" s="58"/>
      <c r="H80" s="49">
        <v>56.69</v>
      </c>
      <c r="I80" s="49">
        <v>49.69</v>
      </c>
      <c r="J80" s="49" t="s">
        <v>1006</v>
      </c>
      <c r="K80" s="37">
        <v>1</v>
      </c>
      <c r="L80" s="37"/>
      <c r="M80" s="102">
        <f>+H80-I80</f>
        <v>7</v>
      </c>
      <c r="N80" s="102"/>
      <c r="O80" s="103">
        <v>1.43</v>
      </c>
      <c r="P80" s="104">
        <f>+ROUND(PRODUCT(K80:O80),3)</f>
        <v>10.01</v>
      </c>
    </row>
    <row r="81" spans="2:16" ht="15" customHeight="1" x14ac:dyDescent="0.3">
      <c r="B81" s="56" t="s">
        <v>1074</v>
      </c>
      <c r="C81" s="94"/>
      <c r="D81" s="50"/>
      <c r="E81" s="50"/>
      <c r="F81" s="50"/>
      <c r="G81" s="50"/>
      <c r="H81" s="51"/>
      <c r="I81" s="51"/>
      <c r="J81" s="51"/>
      <c r="K81" s="52"/>
      <c r="L81" s="52"/>
      <c r="M81" s="53"/>
      <c r="N81" s="53"/>
      <c r="O81" s="54"/>
      <c r="P81" s="55"/>
    </row>
    <row r="82" spans="2:16" ht="15" customHeight="1" x14ac:dyDescent="0.3">
      <c r="B82" s="39" t="s">
        <v>982</v>
      </c>
      <c r="C82" s="39" t="s">
        <v>992</v>
      </c>
      <c r="D82" s="57" t="s">
        <v>998</v>
      </c>
      <c r="E82" s="57"/>
      <c r="F82" s="57"/>
      <c r="G82" s="57"/>
      <c r="H82" s="67"/>
      <c r="I82" s="39" t="s">
        <v>999</v>
      </c>
      <c r="J82" s="39" t="s">
        <v>993</v>
      </c>
      <c r="K82" s="39" t="s">
        <v>990</v>
      </c>
      <c r="L82" s="39" t="s">
        <v>985</v>
      </c>
      <c r="M82" s="40" t="s">
        <v>986</v>
      </c>
      <c r="N82" s="39" t="s">
        <v>987</v>
      </c>
      <c r="O82" s="40" t="s">
        <v>984</v>
      </c>
      <c r="P82" s="40" t="s">
        <v>15</v>
      </c>
    </row>
    <row r="83" spans="2:16" ht="15" hidden="1" customHeight="1" x14ac:dyDescent="0.3">
      <c r="B83" s="63">
        <v>4</v>
      </c>
      <c r="C83" s="48" t="s">
        <v>1060</v>
      </c>
      <c r="D83" s="61" t="s">
        <v>997</v>
      </c>
      <c r="E83" s="61"/>
      <c r="F83" s="61"/>
      <c r="G83" s="61"/>
      <c r="H83" s="66"/>
      <c r="I83" s="65">
        <v>5</v>
      </c>
      <c r="J83" s="62" t="s">
        <v>994</v>
      </c>
      <c r="K83" s="63">
        <v>0</v>
      </c>
      <c r="L83" s="63"/>
      <c r="M83" s="100">
        <f t="shared" ref="M83:M96" si="18">+I83/100</f>
        <v>0.05</v>
      </c>
      <c r="N83" s="100"/>
      <c r="O83" s="90">
        <v>45.981000000000002</v>
      </c>
      <c r="P83" s="101">
        <f t="shared" ref="P83:P96" si="19">+ROUND(PRODUCT(K83:O83),3)</f>
        <v>0</v>
      </c>
    </row>
    <row r="84" spans="2:16" ht="15" hidden="1" customHeight="1" x14ac:dyDescent="0.3">
      <c r="B84" s="63">
        <v>4</v>
      </c>
      <c r="C84" s="48" t="s">
        <v>1060</v>
      </c>
      <c r="D84" s="61" t="s">
        <v>1000</v>
      </c>
      <c r="E84" s="61"/>
      <c r="F84" s="61"/>
      <c r="G84" s="61"/>
      <c r="H84" s="66"/>
      <c r="I84" s="65">
        <v>5</v>
      </c>
      <c r="J84" s="62" t="s">
        <v>994</v>
      </c>
      <c r="K84" s="63">
        <v>0</v>
      </c>
      <c r="L84" s="63"/>
      <c r="M84" s="100">
        <f t="shared" si="18"/>
        <v>0.05</v>
      </c>
      <c r="N84" s="100"/>
      <c r="O84" s="90">
        <v>45.981000000000002</v>
      </c>
      <c r="P84" s="101">
        <f t="shared" si="19"/>
        <v>0</v>
      </c>
    </row>
    <row r="85" spans="2:16" ht="15" customHeight="1" x14ac:dyDescent="0.3">
      <c r="B85" s="63">
        <v>4</v>
      </c>
      <c r="C85" s="48" t="s">
        <v>1060</v>
      </c>
      <c r="D85" s="61" t="s">
        <v>1001</v>
      </c>
      <c r="E85" s="61"/>
      <c r="F85" s="61"/>
      <c r="G85" s="61"/>
      <c r="H85" s="66"/>
      <c r="I85" s="65">
        <v>5</v>
      </c>
      <c r="J85" s="62" t="s">
        <v>994</v>
      </c>
      <c r="K85" s="63">
        <v>1</v>
      </c>
      <c r="L85" s="63"/>
      <c r="M85" s="100">
        <f t="shared" si="18"/>
        <v>0.05</v>
      </c>
      <c r="N85" s="100"/>
      <c r="O85" s="90">
        <v>45.981000000000002</v>
      </c>
      <c r="P85" s="101">
        <f t="shared" si="19"/>
        <v>2.2989999999999999</v>
      </c>
    </row>
    <row r="86" spans="2:16" ht="15" hidden="1" customHeight="1" x14ac:dyDescent="0.3">
      <c r="B86" s="63">
        <v>4</v>
      </c>
      <c r="C86" s="48" t="s">
        <v>1060</v>
      </c>
      <c r="D86" s="61" t="s">
        <v>1002</v>
      </c>
      <c r="E86" s="61"/>
      <c r="F86" s="61"/>
      <c r="G86" s="61"/>
      <c r="H86" s="66"/>
      <c r="I86" s="65">
        <v>5</v>
      </c>
      <c r="J86" s="62" t="s">
        <v>994</v>
      </c>
      <c r="K86" s="63">
        <v>0</v>
      </c>
      <c r="L86" s="63"/>
      <c r="M86" s="100">
        <f t="shared" si="18"/>
        <v>0.05</v>
      </c>
      <c r="N86" s="100"/>
      <c r="O86" s="90">
        <v>45.981000000000002</v>
      </c>
      <c r="P86" s="101">
        <f t="shared" si="19"/>
        <v>0</v>
      </c>
    </row>
    <row r="87" spans="2:16" ht="15" hidden="1" customHeight="1" x14ac:dyDescent="0.3">
      <c r="B87" s="63">
        <v>4</v>
      </c>
      <c r="C87" s="48" t="s">
        <v>1060</v>
      </c>
      <c r="D87" s="61" t="s">
        <v>1003</v>
      </c>
      <c r="E87" s="61"/>
      <c r="F87" s="61"/>
      <c r="G87" s="61"/>
      <c r="H87" s="66"/>
      <c r="I87" s="65">
        <v>5</v>
      </c>
      <c r="J87" s="62" t="s">
        <v>994</v>
      </c>
      <c r="K87" s="63">
        <v>0</v>
      </c>
      <c r="L87" s="63"/>
      <c r="M87" s="100">
        <f t="shared" si="18"/>
        <v>0.05</v>
      </c>
      <c r="N87" s="100"/>
      <c r="O87" s="90">
        <v>45.981000000000002</v>
      </c>
      <c r="P87" s="101">
        <f t="shared" si="19"/>
        <v>0</v>
      </c>
    </row>
    <row r="88" spans="2:16" ht="15" hidden="1" customHeight="1" x14ac:dyDescent="0.3">
      <c r="B88" s="63">
        <v>4</v>
      </c>
      <c r="C88" s="48" t="s">
        <v>1060</v>
      </c>
      <c r="D88" s="61" t="s">
        <v>1004</v>
      </c>
      <c r="E88" s="61"/>
      <c r="F88" s="61"/>
      <c r="G88" s="61"/>
      <c r="H88" s="66"/>
      <c r="I88" s="65">
        <v>10</v>
      </c>
      <c r="J88" s="62" t="s">
        <v>994</v>
      </c>
      <c r="K88" s="63">
        <v>0</v>
      </c>
      <c r="L88" s="63"/>
      <c r="M88" s="100">
        <f t="shared" si="18"/>
        <v>0.1</v>
      </c>
      <c r="N88" s="100"/>
      <c r="O88" s="90">
        <v>45.981000000000002</v>
      </c>
      <c r="P88" s="101">
        <f t="shared" si="19"/>
        <v>0</v>
      </c>
    </row>
    <row r="89" spans="2:16" ht="15" customHeight="1" x14ac:dyDescent="0.3">
      <c r="B89" s="63">
        <v>5</v>
      </c>
      <c r="C89" s="48" t="s">
        <v>1062</v>
      </c>
      <c r="D89" s="61" t="s">
        <v>997</v>
      </c>
      <c r="E89" s="61"/>
      <c r="F89" s="61"/>
      <c r="G89" s="61"/>
      <c r="H89" s="66"/>
      <c r="I89" s="65">
        <v>5</v>
      </c>
      <c r="J89" s="62" t="s">
        <v>994</v>
      </c>
      <c r="K89" s="63">
        <v>1</v>
      </c>
      <c r="L89" s="63"/>
      <c r="M89" s="100">
        <f t="shared" si="18"/>
        <v>0.05</v>
      </c>
      <c r="N89" s="100"/>
      <c r="O89" s="90">
        <v>45.981000000000002</v>
      </c>
      <c r="P89" s="101">
        <f t="shared" si="19"/>
        <v>2.2989999999999999</v>
      </c>
    </row>
    <row r="90" spans="2:16" ht="15" customHeight="1" x14ac:dyDescent="0.3">
      <c r="B90" s="63">
        <v>5</v>
      </c>
      <c r="C90" s="48" t="s">
        <v>1062</v>
      </c>
      <c r="D90" s="61" t="s">
        <v>1000</v>
      </c>
      <c r="E90" s="61"/>
      <c r="F90" s="61"/>
      <c r="G90" s="61"/>
      <c r="H90" s="66"/>
      <c r="I90" s="65">
        <v>5</v>
      </c>
      <c r="J90" s="62" t="s">
        <v>994</v>
      </c>
      <c r="K90" s="63">
        <v>1</v>
      </c>
      <c r="L90" s="63"/>
      <c r="M90" s="100">
        <f t="shared" si="18"/>
        <v>0.05</v>
      </c>
      <c r="N90" s="100"/>
      <c r="O90" s="90">
        <v>45.981000000000002</v>
      </c>
      <c r="P90" s="101">
        <f t="shared" si="19"/>
        <v>2.2989999999999999</v>
      </c>
    </row>
    <row r="91" spans="2:16" ht="15" customHeight="1" x14ac:dyDescent="0.3">
      <c r="B91" s="63">
        <v>5</v>
      </c>
      <c r="C91" s="48" t="s">
        <v>1062</v>
      </c>
      <c r="D91" s="61" t="s">
        <v>1001</v>
      </c>
      <c r="E91" s="61"/>
      <c r="F91" s="61"/>
      <c r="G91" s="61"/>
      <c r="H91" s="66"/>
      <c r="I91" s="65">
        <v>5</v>
      </c>
      <c r="J91" s="62" t="s">
        <v>994</v>
      </c>
      <c r="K91" s="63">
        <v>1</v>
      </c>
      <c r="L91" s="63"/>
      <c r="M91" s="100">
        <f t="shared" si="18"/>
        <v>0.05</v>
      </c>
      <c r="N91" s="100"/>
      <c r="O91" s="90">
        <v>45.981000000000002</v>
      </c>
      <c r="P91" s="101">
        <f t="shared" si="19"/>
        <v>2.2989999999999999</v>
      </c>
    </row>
    <row r="92" spans="2:16" ht="15" customHeight="1" x14ac:dyDescent="0.3">
      <c r="B92" s="63">
        <v>5</v>
      </c>
      <c r="C92" s="48" t="s">
        <v>1062</v>
      </c>
      <c r="D92" s="61" t="s">
        <v>1002</v>
      </c>
      <c r="E92" s="61"/>
      <c r="F92" s="61"/>
      <c r="G92" s="61"/>
      <c r="H92" s="66"/>
      <c r="I92" s="65">
        <v>5</v>
      </c>
      <c r="J92" s="62" t="s">
        <v>994</v>
      </c>
      <c r="K92" s="63">
        <v>2</v>
      </c>
      <c r="L92" s="63"/>
      <c r="M92" s="100">
        <f t="shared" si="18"/>
        <v>0.05</v>
      </c>
      <c r="N92" s="100"/>
      <c r="O92" s="90">
        <v>45.981000000000002</v>
      </c>
      <c r="P92" s="101">
        <f t="shared" si="19"/>
        <v>4.5979999999999999</v>
      </c>
    </row>
    <row r="93" spans="2:16" ht="15" customHeight="1" x14ac:dyDescent="0.3">
      <c r="B93" s="63">
        <v>5</v>
      </c>
      <c r="C93" s="48" t="s">
        <v>1062</v>
      </c>
      <c r="D93" s="61" t="s">
        <v>1003</v>
      </c>
      <c r="E93" s="61"/>
      <c r="F93" s="61"/>
      <c r="G93" s="61"/>
      <c r="H93" s="66"/>
      <c r="I93" s="65">
        <v>5</v>
      </c>
      <c r="J93" s="62" t="s">
        <v>994</v>
      </c>
      <c r="K93" s="63">
        <v>2</v>
      </c>
      <c r="L93" s="63"/>
      <c r="M93" s="100">
        <f t="shared" si="18"/>
        <v>0.05</v>
      </c>
      <c r="N93" s="100"/>
      <c r="O93" s="90">
        <v>45.981000000000002</v>
      </c>
      <c r="P93" s="101">
        <f t="shared" si="19"/>
        <v>4.5979999999999999</v>
      </c>
    </row>
    <row r="94" spans="2:16" ht="15" customHeight="1" x14ac:dyDescent="0.3">
      <c r="B94" s="63">
        <v>5</v>
      </c>
      <c r="C94" s="48" t="s">
        <v>1062</v>
      </c>
      <c r="D94" s="61" t="s">
        <v>1004</v>
      </c>
      <c r="E94" s="61"/>
      <c r="F94" s="61"/>
      <c r="G94" s="61"/>
      <c r="H94" s="66"/>
      <c r="I94" s="65">
        <v>10</v>
      </c>
      <c r="J94" s="62" t="s">
        <v>994</v>
      </c>
      <c r="K94" s="63">
        <v>1</v>
      </c>
      <c r="L94" s="63"/>
      <c r="M94" s="100">
        <f t="shared" si="18"/>
        <v>0.1</v>
      </c>
      <c r="N94" s="100"/>
      <c r="O94" s="90">
        <v>45.981000000000002</v>
      </c>
      <c r="P94" s="101">
        <f t="shared" si="19"/>
        <v>4.5979999999999999</v>
      </c>
    </row>
    <row r="95" spans="2:16" ht="15" customHeight="1" x14ac:dyDescent="0.3">
      <c r="B95" s="63">
        <v>5</v>
      </c>
      <c r="C95" s="48" t="s">
        <v>1062</v>
      </c>
      <c r="D95" s="61" t="s">
        <v>1004</v>
      </c>
      <c r="E95" s="61"/>
      <c r="F95" s="61"/>
      <c r="G95" s="61"/>
      <c r="H95" s="66"/>
      <c r="I95" s="65">
        <v>30</v>
      </c>
      <c r="J95" s="62" t="s">
        <v>994</v>
      </c>
      <c r="K95" s="63">
        <v>1</v>
      </c>
      <c r="L95" s="63"/>
      <c r="M95" s="100">
        <f t="shared" si="18"/>
        <v>0.3</v>
      </c>
      <c r="N95" s="100"/>
      <c r="O95" s="90">
        <v>45.981000000000002</v>
      </c>
      <c r="P95" s="101">
        <f t="shared" si="19"/>
        <v>13.794</v>
      </c>
    </row>
    <row r="96" spans="2:16" ht="15" customHeight="1" x14ac:dyDescent="0.3">
      <c r="B96" s="63">
        <v>5</v>
      </c>
      <c r="C96" s="48" t="s">
        <v>1062</v>
      </c>
      <c r="D96" s="61" t="s">
        <v>1064</v>
      </c>
      <c r="E96" s="61"/>
      <c r="F96" s="61"/>
      <c r="G96" s="61"/>
      <c r="H96" s="66"/>
      <c r="I96" s="65">
        <v>30</v>
      </c>
      <c r="J96" s="62" t="s">
        <v>994</v>
      </c>
      <c r="K96" s="63">
        <v>1</v>
      </c>
      <c r="L96" s="63"/>
      <c r="M96" s="100">
        <f t="shared" si="18"/>
        <v>0.3</v>
      </c>
      <c r="N96" s="100"/>
      <c r="O96" s="103">
        <v>1.43</v>
      </c>
      <c r="P96" s="101">
        <f t="shared" si="19"/>
        <v>0.42899999999999999</v>
      </c>
    </row>
    <row r="97" spans="2:31" ht="4.95" customHeight="1" x14ac:dyDescent="0.3">
      <c r="B97" s="41"/>
      <c r="C97" s="44"/>
      <c r="D97" s="42"/>
      <c r="E97" s="42"/>
      <c r="F97" s="42"/>
      <c r="G97" s="42"/>
      <c r="H97" s="43"/>
      <c r="I97" s="43"/>
      <c r="J97" s="43"/>
      <c r="K97" s="43"/>
      <c r="L97" s="43"/>
      <c r="M97" s="43"/>
      <c r="N97" s="43"/>
      <c r="O97" s="44"/>
      <c r="P97" s="45"/>
    </row>
    <row r="99" spans="2:31" ht="30" customHeight="1" x14ac:dyDescent="0.3">
      <c r="B99" s="132" t="s">
        <v>7</v>
      </c>
      <c r="C99" s="134"/>
      <c r="D99" s="132" t="s">
        <v>8</v>
      </c>
      <c r="E99" s="133"/>
      <c r="F99" s="133"/>
      <c r="G99" s="133"/>
      <c r="H99" s="133"/>
      <c r="I99" s="133"/>
      <c r="J99" s="133"/>
      <c r="K99" s="133"/>
      <c r="L99" s="133"/>
      <c r="M99" s="34" t="s">
        <v>9</v>
      </c>
      <c r="N99" s="113" t="s">
        <v>1053</v>
      </c>
      <c r="O99" s="113" t="s">
        <v>1054</v>
      </c>
      <c r="P99" s="35" t="s">
        <v>1055</v>
      </c>
    </row>
    <row r="100" spans="2:31" ht="30" customHeight="1" x14ac:dyDescent="0.3">
      <c r="B100" s="136" t="s">
        <v>134</v>
      </c>
      <c r="C100" s="137"/>
      <c r="D100" s="130" t="str">
        <f>+VLOOKUP(B100,[1]Liste!B:E,2,FALSE)</f>
        <v>L=6 m Kaya Bulonu</v>
      </c>
      <c r="E100" s="131"/>
      <c r="F100" s="131"/>
      <c r="G100" s="131"/>
      <c r="H100" s="131"/>
      <c r="I100" s="131"/>
      <c r="J100" s="131"/>
      <c r="K100" s="131"/>
      <c r="L100" s="131"/>
      <c r="M100" s="36" t="str">
        <f>+VLOOKUP(B100,[1]Liste!B:E,3,FALSE)</f>
        <v>adet</v>
      </c>
      <c r="N100" s="68">
        <v>175</v>
      </c>
      <c r="O100" s="68">
        <f>+[1]İcmal!L22</f>
        <v>0</v>
      </c>
      <c r="P100" s="68">
        <f>+SUM(P101:P103)</f>
        <v>175</v>
      </c>
      <c r="AA100" s="9">
        <f>+VLOOKUP(B100,[2]Liste!$B$2:$F$483,5,FALSE)</f>
        <v>12000</v>
      </c>
      <c r="AC100" s="9">
        <f>+AA100*N100</f>
        <v>2100000</v>
      </c>
      <c r="AD100" s="9">
        <f>+AA100*O100</f>
        <v>0</v>
      </c>
      <c r="AE100" s="9">
        <f>+AA100*P100</f>
        <v>2100000</v>
      </c>
    </row>
    <row r="101" spans="2:31" ht="15" customHeight="1" x14ac:dyDescent="0.3">
      <c r="B101" s="39" t="s">
        <v>982</v>
      </c>
      <c r="C101" s="39" t="s">
        <v>992</v>
      </c>
      <c r="D101" s="57" t="s">
        <v>991</v>
      </c>
      <c r="E101" s="57"/>
      <c r="F101" s="57"/>
      <c r="G101" s="57"/>
      <c r="H101" s="71"/>
      <c r="I101" s="71"/>
      <c r="J101" s="71"/>
      <c r="K101" s="39" t="s">
        <v>990</v>
      </c>
      <c r="L101" s="73"/>
      <c r="M101" s="74"/>
      <c r="N101" s="75"/>
      <c r="O101" s="76" t="s">
        <v>1018</v>
      </c>
      <c r="P101" s="40" t="s">
        <v>15</v>
      </c>
    </row>
    <row r="102" spans="2:31" ht="15" customHeight="1" x14ac:dyDescent="0.3">
      <c r="B102" s="37">
        <v>3</v>
      </c>
      <c r="C102" s="48" t="s">
        <v>1062</v>
      </c>
      <c r="D102" s="58" t="s">
        <v>1063</v>
      </c>
      <c r="E102" s="58"/>
      <c r="F102" s="58"/>
      <c r="G102" s="58"/>
      <c r="H102" s="72"/>
      <c r="I102" s="72"/>
      <c r="J102" s="72"/>
      <c r="K102" s="37">
        <v>1</v>
      </c>
      <c r="L102" s="77"/>
      <c r="M102" s="78"/>
      <c r="N102" s="78"/>
      <c r="O102" s="79">
        <v>175</v>
      </c>
      <c r="P102" s="59">
        <f>+ROUND(PRODUCT(K102:O102),3)</f>
        <v>175</v>
      </c>
    </row>
    <row r="103" spans="2:31" ht="4.95" customHeight="1" x14ac:dyDescent="0.3">
      <c r="B103" s="41"/>
      <c r="C103" s="44"/>
      <c r="D103" s="42"/>
      <c r="E103" s="42"/>
      <c r="F103" s="42"/>
      <c r="G103" s="42"/>
      <c r="H103" s="43"/>
      <c r="I103" s="43"/>
      <c r="J103" s="43"/>
      <c r="K103" s="43"/>
      <c r="L103" s="43"/>
      <c r="M103" s="43"/>
      <c r="N103" s="43"/>
      <c r="O103" s="44"/>
      <c r="P103" s="45"/>
    </row>
    <row r="104" spans="2:31" ht="19.95" customHeight="1" x14ac:dyDescent="0.3">
      <c r="C104" s="30"/>
      <c r="D104" s="33"/>
      <c r="E104" s="33"/>
      <c r="F104" s="33"/>
      <c r="G104" s="33"/>
      <c r="H104" s="12"/>
      <c r="I104" s="12"/>
      <c r="J104" s="12"/>
      <c r="K104" s="12"/>
      <c r="L104" s="12"/>
      <c r="M104" s="12"/>
      <c r="N104" s="12"/>
      <c r="O104" s="30"/>
    </row>
    <row r="106" spans="2:31" ht="30" customHeight="1" x14ac:dyDescent="0.3">
      <c r="B106" s="132" t="s">
        <v>7</v>
      </c>
      <c r="C106" s="134"/>
      <c r="D106" s="132" t="s">
        <v>8</v>
      </c>
      <c r="E106" s="133"/>
      <c r="F106" s="133"/>
      <c r="G106" s="133"/>
      <c r="H106" s="133"/>
      <c r="I106" s="133"/>
      <c r="J106" s="133"/>
      <c r="K106" s="133"/>
      <c r="L106" s="133"/>
      <c r="M106" s="34" t="s">
        <v>9</v>
      </c>
      <c r="N106" s="113" t="s">
        <v>1053</v>
      </c>
      <c r="O106" s="113" t="s">
        <v>1054</v>
      </c>
      <c r="P106" s="35" t="s">
        <v>1055</v>
      </c>
    </row>
    <row r="107" spans="2:31" ht="30" customHeight="1" x14ac:dyDescent="0.3">
      <c r="B107" s="136" t="s">
        <v>135</v>
      </c>
      <c r="C107" s="137"/>
      <c r="D107" s="130" t="str">
        <f>+VLOOKUP(B107,[1]Liste!B:E,2,FALSE)</f>
        <v>L=8 m Kaya Bulonu</v>
      </c>
      <c r="E107" s="131"/>
      <c r="F107" s="131"/>
      <c r="G107" s="131"/>
      <c r="H107" s="131"/>
      <c r="I107" s="131"/>
      <c r="J107" s="131"/>
      <c r="K107" s="131"/>
      <c r="L107" s="131"/>
      <c r="M107" s="36" t="str">
        <f>+VLOOKUP(B107,[1]Liste!B:E,3,FALSE)</f>
        <v>adet</v>
      </c>
      <c r="N107" s="68">
        <v>20</v>
      </c>
      <c r="O107" s="68">
        <f>+[1]İcmal!L29</f>
        <v>0</v>
      </c>
      <c r="P107" s="68">
        <f>+SUM(P108:P110)</f>
        <v>20</v>
      </c>
      <c r="AA107" s="9">
        <f>+VLOOKUP(B107,[2]Liste!$B$2:$F$483,5,FALSE)</f>
        <v>28000</v>
      </c>
      <c r="AC107" s="9">
        <f>+AA107*N107</f>
        <v>560000</v>
      </c>
      <c r="AD107" s="9">
        <f>+AA107*O107</f>
        <v>0</v>
      </c>
      <c r="AE107" s="9">
        <f>+AA107*P107</f>
        <v>560000</v>
      </c>
    </row>
    <row r="108" spans="2:31" ht="15" customHeight="1" x14ac:dyDescent="0.3">
      <c r="B108" s="39" t="s">
        <v>982</v>
      </c>
      <c r="C108" s="39" t="s">
        <v>992</v>
      </c>
      <c r="D108" s="57" t="s">
        <v>991</v>
      </c>
      <c r="E108" s="57"/>
      <c r="F108" s="57"/>
      <c r="G108" s="57"/>
      <c r="H108" s="71"/>
      <c r="I108" s="71"/>
      <c r="J108" s="71"/>
      <c r="K108" s="39" t="s">
        <v>990</v>
      </c>
      <c r="L108" s="73"/>
      <c r="M108" s="74"/>
      <c r="N108" s="75"/>
      <c r="O108" s="76" t="s">
        <v>1018</v>
      </c>
      <c r="P108" s="40" t="s">
        <v>15</v>
      </c>
    </row>
    <row r="109" spans="2:31" ht="15" customHeight="1" x14ac:dyDescent="0.3">
      <c r="B109" s="37">
        <v>4</v>
      </c>
      <c r="C109" s="48" t="s">
        <v>1060</v>
      </c>
      <c r="D109" s="58" t="s">
        <v>1061</v>
      </c>
      <c r="E109" s="58"/>
      <c r="F109" s="58"/>
      <c r="G109" s="58"/>
      <c r="H109" s="72"/>
      <c r="I109" s="72"/>
      <c r="J109" s="72"/>
      <c r="K109" s="37">
        <v>1</v>
      </c>
      <c r="L109" s="77"/>
      <c r="M109" s="78"/>
      <c r="N109" s="78"/>
      <c r="O109" s="79">
        <v>20</v>
      </c>
      <c r="P109" s="59">
        <f>+ROUND(PRODUCT(K109:O109),3)</f>
        <v>20</v>
      </c>
    </row>
    <row r="110" spans="2:31" ht="4.95" customHeight="1" x14ac:dyDescent="0.3">
      <c r="B110" s="41"/>
      <c r="C110" s="44"/>
      <c r="D110" s="42"/>
      <c r="E110" s="42"/>
      <c r="F110" s="42"/>
      <c r="G110" s="42"/>
      <c r="H110" s="43"/>
      <c r="I110" s="43"/>
      <c r="J110" s="43"/>
      <c r="K110" s="43"/>
      <c r="L110" s="43"/>
      <c r="M110" s="43"/>
      <c r="N110" s="43"/>
      <c r="O110" s="44"/>
      <c r="P110" s="45"/>
    </row>
    <row r="111" spans="2:31" ht="19.95" customHeight="1" x14ac:dyDescent="0.3">
      <c r="C111" s="30"/>
      <c r="D111" s="33"/>
      <c r="E111" s="33"/>
      <c r="F111" s="33"/>
      <c r="G111" s="33"/>
      <c r="H111" s="12"/>
      <c r="I111" s="12"/>
      <c r="J111" s="12"/>
      <c r="K111" s="12"/>
      <c r="L111" s="12"/>
      <c r="M111" s="12"/>
      <c r="N111" s="12"/>
      <c r="O111" s="30"/>
    </row>
    <row r="112" spans="2:31" ht="30" customHeight="1" x14ac:dyDescent="0.3">
      <c r="B112" s="132" t="s">
        <v>7</v>
      </c>
      <c r="C112" s="134"/>
      <c r="D112" s="132" t="s">
        <v>8</v>
      </c>
      <c r="E112" s="133"/>
      <c r="F112" s="133"/>
      <c r="G112" s="133"/>
      <c r="H112" s="133"/>
      <c r="I112" s="133"/>
      <c r="J112" s="133"/>
      <c r="K112" s="133"/>
      <c r="L112" s="133"/>
      <c r="M112" s="34" t="s">
        <v>9</v>
      </c>
      <c r="N112" s="113" t="s">
        <v>1053</v>
      </c>
      <c r="O112" s="113" t="s">
        <v>1054</v>
      </c>
      <c r="P112" s="35" t="s">
        <v>1055</v>
      </c>
    </row>
    <row r="113" spans="2:31" ht="30" customHeight="1" x14ac:dyDescent="0.3">
      <c r="B113" s="136" t="s">
        <v>137</v>
      </c>
      <c r="C113" s="137"/>
      <c r="D113" s="130" t="str">
        <f>+VLOOKUP(B113,[1]Liste!B:E,2,FALSE)</f>
        <v>125 mm Delik İçine 14 mm Kalınlığında S420a ile Zemin Çivisi Teşkili</v>
      </c>
      <c r="E113" s="131"/>
      <c r="F113" s="131"/>
      <c r="G113" s="131"/>
      <c r="H113" s="131"/>
      <c r="I113" s="131"/>
      <c r="J113" s="131"/>
      <c r="K113" s="131"/>
      <c r="L113" s="131"/>
      <c r="M113" s="36" t="str">
        <f>+VLOOKUP(B113,[1]Liste!B:E,3,FALSE)</f>
        <v>m</v>
      </c>
      <c r="N113" s="68">
        <v>360</v>
      </c>
      <c r="O113" s="68">
        <f>+P113-N113</f>
        <v>0</v>
      </c>
      <c r="P113" s="68">
        <f>+SUM(P114:P116)</f>
        <v>360</v>
      </c>
      <c r="AA113" s="9">
        <f>+VLOOKUP(B113,[2]Liste!$B$2:$F$483,5,FALSE)</f>
        <v>375</v>
      </c>
      <c r="AC113" s="9">
        <f>+AA113*N113</f>
        <v>135000</v>
      </c>
      <c r="AD113" s="9">
        <f>+AA113*O113</f>
        <v>0</v>
      </c>
      <c r="AE113" s="9">
        <f>+AA113*P113</f>
        <v>135000</v>
      </c>
    </row>
    <row r="114" spans="2:31" ht="15.6" customHeight="1" x14ac:dyDescent="0.3">
      <c r="B114" s="39" t="s">
        <v>982</v>
      </c>
      <c r="C114" s="39" t="s">
        <v>992</v>
      </c>
      <c r="D114" s="57" t="s">
        <v>991</v>
      </c>
      <c r="E114" s="57"/>
      <c r="F114" s="57"/>
      <c r="G114" s="57"/>
      <c r="H114" s="71"/>
      <c r="I114" s="71"/>
      <c r="J114" s="71"/>
      <c r="K114" s="39" t="s">
        <v>990</v>
      </c>
      <c r="L114" s="73"/>
      <c r="M114" s="74"/>
      <c r="N114" s="75"/>
      <c r="O114" s="76" t="s">
        <v>986</v>
      </c>
      <c r="P114" s="40" t="s">
        <v>15</v>
      </c>
    </row>
    <row r="115" spans="2:31" ht="15.6" customHeight="1" x14ac:dyDescent="0.3">
      <c r="B115" s="37">
        <v>5</v>
      </c>
      <c r="C115" s="48" t="s">
        <v>1062</v>
      </c>
      <c r="D115" s="58" t="s">
        <v>1063</v>
      </c>
      <c r="E115" s="58"/>
      <c r="F115" s="58"/>
      <c r="G115" s="58"/>
      <c r="H115" s="72"/>
      <c r="I115" s="72"/>
      <c r="J115" s="72"/>
      <c r="K115" s="37">
        <v>1</v>
      </c>
      <c r="L115" s="77"/>
      <c r="M115" s="78"/>
      <c r="N115" s="78"/>
      <c r="O115" s="79">
        <v>360</v>
      </c>
      <c r="P115" s="59">
        <f>+ROUND(PRODUCT(K115:O115),3)</f>
        <v>360</v>
      </c>
    </row>
    <row r="116" spans="2:31" ht="4.95" customHeight="1" x14ac:dyDescent="0.3">
      <c r="B116" s="41"/>
      <c r="C116" s="44"/>
      <c r="D116" s="42"/>
      <c r="E116" s="42"/>
      <c r="F116" s="42"/>
      <c r="G116" s="42"/>
      <c r="H116" s="43"/>
      <c r="I116" s="43"/>
      <c r="J116" s="43"/>
      <c r="K116" s="43"/>
      <c r="L116" s="43"/>
      <c r="M116" s="43"/>
      <c r="N116" s="43"/>
      <c r="O116" s="44"/>
      <c r="P116" s="45"/>
    </row>
    <row r="117" spans="2:31" ht="19.95" customHeight="1" x14ac:dyDescent="0.3">
      <c r="C117" s="30"/>
      <c r="D117" s="33"/>
      <c r="E117" s="33"/>
      <c r="F117" s="33"/>
      <c r="G117" s="33"/>
      <c r="H117" s="12"/>
      <c r="I117" s="12"/>
      <c r="J117" s="12"/>
      <c r="K117" s="12"/>
      <c r="L117" s="12"/>
      <c r="M117" s="12"/>
      <c r="N117" s="12"/>
      <c r="O117" s="30"/>
    </row>
    <row r="118" spans="2:31" ht="30" customHeight="1" x14ac:dyDescent="0.3">
      <c r="B118" s="132" t="s">
        <v>7</v>
      </c>
      <c r="C118" s="134"/>
      <c r="D118" s="132" t="s">
        <v>8</v>
      </c>
      <c r="E118" s="133"/>
      <c r="F118" s="133"/>
      <c r="G118" s="133"/>
      <c r="H118" s="133"/>
      <c r="I118" s="133"/>
      <c r="J118" s="133"/>
      <c r="K118" s="133"/>
      <c r="L118" s="133"/>
      <c r="M118" s="34" t="s">
        <v>9</v>
      </c>
      <c r="N118" s="113" t="s">
        <v>1053</v>
      </c>
      <c r="O118" s="113" t="s">
        <v>1054</v>
      </c>
      <c r="P118" s="35" t="s">
        <v>1055</v>
      </c>
    </row>
    <row r="119" spans="2:31" ht="30" customHeight="1" x14ac:dyDescent="0.3">
      <c r="B119" s="136" t="s">
        <v>139</v>
      </c>
      <c r="C119" s="137"/>
      <c r="D119" s="130" t="str">
        <f>+VLOOKUP(B119,[1]Liste!B:E,2,FALSE)</f>
        <v>Çelik İksa (Tünel ve Şaftlarda)</v>
      </c>
      <c r="E119" s="131"/>
      <c r="F119" s="131"/>
      <c r="G119" s="131"/>
      <c r="H119" s="131"/>
      <c r="I119" s="131"/>
      <c r="J119" s="131"/>
      <c r="K119" s="131"/>
      <c r="L119" s="131"/>
      <c r="M119" s="36" t="str">
        <f>+VLOOKUP(B119,[1]Liste!B:E,3,FALSE)</f>
        <v>ton</v>
      </c>
      <c r="N119" s="68">
        <v>8.8510000000000009</v>
      </c>
      <c r="O119" s="68">
        <f>+P119-N119</f>
        <v>0</v>
      </c>
      <c r="P119" s="68">
        <f>+ROUND(SUM(P120:P134),3)</f>
        <v>8.8510000000000009</v>
      </c>
      <c r="AA119" s="9">
        <f>+VLOOKUP(B119,[2]Liste!$B$2:$F$483,5,FALSE)</f>
        <v>102000</v>
      </c>
      <c r="AC119" s="9">
        <f>+AA119*N119</f>
        <v>902802.00000000012</v>
      </c>
      <c r="AD119" s="9">
        <f>+AA119*O119</f>
        <v>0</v>
      </c>
      <c r="AE119" s="9">
        <f>+AA119*P119</f>
        <v>902802.00000000012</v>
      </c>
    </row>
    <row r="120" spans="2:31" ht="15" customHeight="1" x14ac:dyDescent="0.3">
      <c r="B120" s="56" t="s">
        <v>1046</v>
      </c>
      <c r="C120" s="94"/>
      <c r="D120" s="50"/>
      <c r="E120" s="50"/>
      <c r="F120" s="50"/>
      <c r="G120" s="50"/>
      <c r="H120" s="51"/>
      <c r="I120" s="51"/>
      <c r="J120" s="51"/>
      <c r="K120" s="52"/>
      <c r="L120" s="52"/>
      <c r="M120" s="53"/>
      <c r="N120" s="53"/>
      <c r="O120" s="54"/>
      <c r="P120" s="55"/>
    </row>
    <row r="121" spans="2:31" ht="15" customHeight="1" x14ac:dyDescent="0.3">
      <c r="B121" s="39" t="s">
        <v>982</v>
      </c>
      <c r="C121" s="39" t="s">
        <v>992</v>
      </c>
      <c r="D121" s="57" t="s">
        <v>991</v>
      </c>
      <c r="E121" s="57"/>
      <c r="F121" s="57"/>
      <c r="G121" s="57"/>
      <c r="H121" s="39" t="s">
        <v>989</v>
      </c>
      <c r="I121" s="39" t="s">
        <v>988</v>
      </c>
      <c r="J121" s="39" t="s">
        <v>993</v>
      </c>
      <c r="K121" s="39" t="s">
        <v>990</v>
      </c>
      <c r="L121" s="80" t="s">
        <v>13</v>
      </c>
      <c r="M121" s="81"/>
      <c r="N121" s="82"/>
      <c r="O121" s="40" t="s">
        <v>996</v>
      </c>
      <c r="P121" s="40" t="s">
        <v>15</v>
      </c>
    </row>
    <row r="122" spans="2:31" ht="15" hidden="1" customHeight="1" x14ac:dyDescent="0.3">
      <c r="B122" s="37">
        <v>4</v>
      </c>
      <c r="C122" s="48" t="s">
        <v>1060</v>
      </c>
      <c r="D122" s="58" t="s">
        <v>1061</v>
      </c>
      <c r="E122" s="58"/>
      <c r="F122" s="58"/>
      <c r="G122" s="58"/>
      <c r="H122" s="49">
        <v>56.69</v>
      </c>
      <c r="I122" s="49">
        <v>56.19</v>
      </c>
      <c r="J122" s="62" t="s">
        <v>994</v>
      </c>
      <c r="K122" s="63">
        <v>0</v>
      </c>
      <c r="L122" s="83" t="s">
        <v>1056</v>
      </c>
      <c r="M122" s="84"/>
      <c r="N122" s="85"/>
      <c r="O122" s="90">
        <v>758.16399999999999</v>
      </c>
      <c r="P122" s="69">
        <f t="shared" ref="P122:P127" si="20">+ROUND(K122*O122/1000,3)</f>
        <v>0</v>
      </c>
    </row>
    <row r="123" spans="2:31" ht="15" customHeight="1" x14ac:dyDescent="0.3">
      <c r="B123" s="37">
        <v>4</v>
      </c>
      <c r="C123" s="48" t="s">
        <v>1060</v>
      </c>
      <c r="D123" s="58" t="s">
        <v>1061</v>
      </c>
      <c r="E123" s="58"/>
      <c r="F123" s="58"/>
      <c r="G123" s="58"/>
      <c r="H123" s="49">
        <v>56.69</v>
      </c>
      <c r="I123" s="49">
        <v>56.19</v>
      </c>
      <c r="J123" s="62" t="s">
        <v>994</v>
      </c>
      <c r="K123" s="63">
        <v>1</v>
      </c>
      <c r="L123" s="83" t="s">
        <v>1008</v>
      </c>
      <c r="M123" s="84"/>
      <c r="N123" s="85"/>
      <c r="O123" s="90">
        <v>771.976</v>
      </c>
      <c r="P123" s="69">
        <f t="shared" si="20"/>
        <v>0.77200000000000002</v>
      </c>
    </row>
    <row r="124" spans="2:31" ht="15" customHeight="1" x14ac:dyDescent="0.3">
      <c r="B124" s="37">
        <v>4</v>
      </c>
      <c r="C124" s="48" t="s">
        <v>1060</v>
      </c>
      <c r="D124" s="58" t="s">
        <v>1061</v>
      </c>
      <c r="E124" s="58"/>
      <c r="F124" s="58"/>
      <c r="G124" s="58"/>
      <c r="H124" s="49">
        <v>56.69</v>
      </c>
      <c r="I124" s="49">
        <v>56.19</v>
      </c>
      <c r="J124" s="62" t="s">
        <v>994</v>
      </c>
      <c r="K124" s="63">
        <v>1</v>
      </c>
      <c r="L124" s="83" t="s">
        <v>1009</v>
      </c>
      <c r="M124" s="84"/>
      <c r="N124" s="85"/>
      <c r="O124" s="90">
        <v>789.36900000000003</v>
      </c>
      <c r="P124" s="69">
        <f t="shared" si="20"/>
        <v>0.78900000000000003</v>
      </c>
    </row>
    <row r="125" spans="2:31" ht="15" hidden="1" customHeight="1" x14ac:dyDescent="0.3">
      <c r="B125" s="37">
        <v>4</v>
      </c>
      <c r="C125" s="48" t="s">
        <v>1060</v>
      </c>
      <c r="D125" s="58" t="s">
        <v>1061</v>
      </c>
      <c r="E125" s="58"/>
      <c r="F125" s="58"/>
      <c r="G125" s="58"/>
      <c r="H125" s="49">
        <v>56.69</v>
      </c>
      <c r="I125" s="49">
        <v>56.19</v>
      </c>
      <c r="J125" s="62" t="s">
        <v>994</v>
      </c>
      <c r="K125" s="63">
        <v>0</v>
      </c>
      <c r="L125" s="83" t="s">
        <v>1010</v>
      </c>
      <c r="M125" s="84"/>
      <c r="N125" s="85"/>
      <c r="O125" s="90">
        <v>811.76</v>
      </c>
      <c r="P125" s="69">
        <f t="shared" si="20"/>
        <v>0</v>
      </c>
    </row>
    <row r="126" spans="2:31" ht="15" hidden="1" customHeight="1" x14ac:dyDescent="0.3">
      <c r="B126" s="37">
        <v>4</v>
      </c>
      <c r="C126" s="48" t="s">
        <v>1060</v>
      </c>
      <c r="D126" s="58" t="s">
        <v>1061</v>
      </c>
      <c r="E126" s="58"/>
      <c r="F126" s="58"/>
      <c r="G126" s="58"/>
      <c r="H126" s="49">
        <v>56.69</v>
      </c>
      <c r="I126" s="49">
        <v>56.19</v>
      </c>
      <c r="J126" s="62" t="s">
        <v>994</v>
      </c>
      <c r="K126" s="63">
        <v>0</v>
      </c>
      <c r="L126" s="83" t="s">
        <v>1011</v>
      </c>
      <c r="M126" s="84"/>
      <c r="N126" s="85"/>
      <c r="O126" s="90">
        <v>830.09100000000001</v>
      </c>
      <c r="P126" s="69">
        <f t="shared" si="20"/>
        <v>0</v>
      </c>
    </row>
    <row r="127" spans="2:31" ht="15" hidden="1" customHeight="1" x14ac:dyDescent="0.3">
      <c r="B127" s="37">
        <v>4</v>
      </c>
      <c r="C127" s="48" t="s">
        <v>1060</v>
      </c>
      <c r="D127" s="58" t="s">
        <v>1061</v>
      </c>
      <c r="E127" s="58"/>
      <c r="F127" s="58"/>
      <c r="G127" s="58"/>
      <c r="H127" s="49">
        <v>56.69</v>
      </c>
      <c r="I127" s="49">
        <v>56.19</v>
      </c>
      <c r="J127" s="49" t="s">
        <v>994</v>
      </c>
      <c r="K127" s="37">
        <v>0</v>
      </c>
      <c r="L127" s="83" t="s">
        <v>1012</v>
      </c>
      <c r="M127" s="84"/>
      <c r="N127" s="85"/>
      <c r="O127" s="90">
        <v>843.64700000000005</v>
      </c>
      <c r="P127" s="59">
        <f t="shared" si="20"/>
        <v>0</v>
      </c>
    </row>
    <row r="128" spans="2:31" ht="15" customHeight="1" x14ac:dyDescent="0.3">
      <c r="B128" s="37">
        <v>5</v>
      </c>
      <c r="C128" s="48" t="s">
        <v>1062</v>
      </c>
      <c r="D128" s="58" t="s">
        <v>1063</v>
      </c>
      <c r="E128" s="58"/>
      <c r="F128" s="58"/>
      <c r="G128" s="58"/>
      <c r="H128" s="49">
        <v>56.19</v>
      </c>
      <c r="I128" s="49">
        <v>49.69</v>
      </c>
      <c r="J128" s="62" t="s">
        <v>994</v>
      </c>
      <c r="K128" s="63">
        <v>1</v>
      </c>
      <c r="L128" s="83" t="s">
        <v>1056</v>
      </c>
      <c r="M128" s="84"/>
      <c r="N128" s="85"/>
      <c r="O128" s="90">
        <v>758.16399999999999</v>
      </c>
      <c r="P128" s="69">
        <f t="shared" ref="P128:P133" si="21">+ROUND(K128*O128/1000,3)</f>
        <v>0.75800000000000001</v>
      </c>
    </row>
    <row r="129" spans="2:31" ht="15" customHeight="1" x14ac:dyDescent="0.3">
      <c r="B129" s="37">
        <v>5</v>
      </c>
      <c r="C129" s="48" t="s">
        <v>1062</v>
      </c>
      <c r="D129" s="58" t="s">
        <v>1063</v>
      </c>
      <c r="E129" s="58"/>
      <c r="F129" s="58"/>
      <c r="G129" s="58"/>
      <c r="H129" s="49">
        <v>56.19</v>
      </c>
      <c r="I129" s="49">
        <v>49.69</v>
      </c>
      <c r="J129" s="62" t="s">
        <v>994</v>
      </c>
      <c r="K129" s="63">
        <v>1</v>
      </c>
      <c r="L129" s="83" t="s">
        <v>1008</v>
      </c>
      <c r="M129" s="84"/>
      <c r="N129" s="85"/>
      <c r="O129" s="90">
        <v>771.976</v>
      </c>
      <c r="P129" s="69">
        <f t="shared" si="21"/>
        <v>0.77200000000000002</v>
      </c>
    </row>
    <row r="130" spans="2:31" ht="15" customHeight="1" x14ac:dyDescent="0.3">
      <c r="B130" s="37">
        <v>5</v>
      </c>
      <c r="C130" s="48" t="s">
        <v>1062</v>
      </c>
      <c r="D130" s="58" t="s">
        <v>1063</v>
      </c>
      <c r="E130" s="58"/>
      <c r="F130" s="58"/>
      <c r="G130" s="58"/>
      <c r="H130" s="49">
        <v>56.19</v>
      </c>
      <c r="I130" s="49">
        <v>49.69</v>
      </c>
      <c r="J130" s="62" t="s">
        <v>994</v>
      </c>
      <c r="K130" s="63">
        <v>1</v>
      </c>
      <c r="L130" s="83" t="s">
        <v>1009</v>
      </c>
      <c r="M130" s="84"/>
      <c r="N130" s="85"/>
      <c r="O130" s="90">
        <v>789.36900000000003</v>
      </c>
      <c r="P130" s="69">
        <f t="shared" si="21"/>
        <v>0.78900000000000003</v>
      </c>
    </row>
    <row r="131" spans="2:31" ht="15" customHeight="1" x14ac:dyDescent="0.3">
      <c r="B131" s="37">
        <v>5</v>
      </c>
      <c r="C131" s="48" t="s">
        <v>1062</v>
      </c>
      <c r="D131" s="58" t="s">
        <v>1063</v>
      </c>
      <c r="E131" s="58"/>
      <c r="F131" s="58"/>
      <c r="G131" s="58"/>
      <c r="H131" s="49">
        <v>56.19</v>
      </c>
      <c r="I131" s="49">
        <v>49.69</v>
      </c>
      <c r="J131" s="62" t="s">
        <v>994</v>
      </c>
      <c r="K131" s="63">
        <v>2</v>
      </c>
      <c r="L131" s="83" t="s">
        <v>1010</v>
      </c>
      <c r="M131" s="84"/>
      <c r="N131" s="85"/>
      <c r="O131" s="90">
        <v>811.76</v>
      </c>
      <c r="P131" s="69">
        <f t="shared" si="21"/>
        <v>1.6240000000000001</v>
      </c>
    </row>
    <row r="132" spans="2:31" ht="15" customHeight="1" x14ac:dyDescent="0.3">
      <c r="B132" s="37">
        <v>5</v>
      </c>
      <c r="C132" s="48" t="s">
        <v>1062</v>
      </c>
      <c r="D132" s="58" t="s">
        <v>1063</v>
      </c>
      <c r="E132" s="58"/>
      <c r="F132" s="58"/>
      <c r="G132" s="58"/>
      <c r="H132" s="49">
        <v>56.19</v>
      </c>
      <c r="I132" s="49">
        <v>49.69</v>
      </c>
      <c r="J132" s="62" t="s">
        <v>994</v>
      </c>
      <c r="K132" s="63">
        <v>2</v>
      </c>
      <c r="L132" s="83" t="s">
        <v>1011</v>
      </c>
      <c r="M132" s="84"/>
      <c r="N132" s="85"/>
      <c r="O132" s="90">
        <v>830.09100000000001</v>
      </c>
      <c r="P132" s="69">
        <f t="shared" si="21"/>
        <v>1.66</v>
      </c>
    </row>
    <row r="133" spans="2:31" ht="15" customHeight="1" x14ac:dyDescent="0.3">
      <c r="B133" s="37">
        <v>5</v>
      </c>
      <c r="C133" s="48" t="s">
        <v>1062</v>
      </c>
      <c r="D133" s="58" t="s">
        <v>1063</v>
      </c>
      <c r="E133" s="58"/>
      <c r="F133" s="58"/>
      <c r="G133" s="58"/>
      <c r="H133" s="49">
        <v>56.19</v>
      </c>
      <c r="I133" s="49">
        <v>49.69</v>
      </c>
      <c r="J133" s="49" t="s">
        <v>994</v>
      </c>
      <c r="K133" s="37">
        <v>2</v>
      </c>
      <c r="L133" s="83" t="s">
        <v>1012</v>
      </c>
      <c r="M133" s="84"/>
      <c r="N133" s="85"/>
      <c r="O133" s="90">
        <v>843.64700000000005</v>
      </c>
      <c r="P133" s="59">
        <f t="shared" si="21"/>
        <v>1.6870000000000001</v>
      </c>
    </row>
    <row r="134" spans="2:31" ht="4.95" customHeight="1" x14ac:dyDescent="0.3">
      <c r="B134" s="41"/>
      <c r="C134" s="44"/>
      <c r="D134" s="42"/>
      <c r="E134" s="42"/>
      <c r="F134" s="42"/>
      <c r="G134" s="42"/>
      <c r="H134" s="43"/>
      <c r="I134" s="43"/>
      <c r="J134" s="43"/>
      <c r="K134" s="43"/>
      <c r="L134" s="43"/>
      <c r="M134" s="43"/>
      <c r="N134" s="43"/>
      <c r="O134" s="44"/>
      <c r="P134" s="45"/>
    </row>
    <row r="136" spans="2:31" ht="30" customHeight="1" x14ac:dyDescent="0.3">
      <c r="B136" s="132" t="s">
        <v>7</v>
      </c>
      <c r="C136" s="134"/>
      <c r="D136" s="132" t="s">
        <v>8</v>
      </c>
      <c r="E136" s="133"/>
      <c r="F136" s="133"/>
      <c r="G136" s="133"/>
      <c r="H136" s="133"/>
      <c r="I136" s="133"/>
      <c r="J136" s="133"/>
      <c r="K136" s="133"/>
      <c r="L136" s="133"/>
      <c r="M136" s="34" t="s">
        <v>9</v>
      </c>
      <c r="N136" s="113" t="s">
        <v>1053</v>
      </c>
      <c r="O136" s="113" t="s">
        <v>1054</v>
      </c>
      <c r="P136" s="35" t="s">
        <v>1055</v>
      </c>
    </row>
    <row r="137" spans="2:31" ht="30" customHeight="1" x14ac:dyDescent="0.3">
      <c r="B137" s="136" t="s">
        <v>141</v>
      </c>
      <c r="C137" s="137"/>
      <c r="D137" s="130" t="str">
        <f>+VLOOKUP(B137,[1]Liste!B:E,2,FALSE)</f>
        <v>Umbrella Arch Yapılması</v>
      </c>
      <c r="E137" s="131"/>
      <c r="F137" s="131"/>
      <c r="G137" s="131"/>
      <c r="H137" s="131"/>
      <c r="I137" s="131"/>
      <c r="J137" s="131"/>
      <c r="K137" s="131"/>
      <c r="L137" s="131"/>
      <c r="M137" s="36" t="str">
        <f>+VLOOKUP(B137,[1]Liste!B:E,3,FALSE)</f>
        <v>m</v>
      </c>
      <c r="N137" s="68">
        <v>666</v>
      </c>
      <c r="O137" s="68">
        <f>+P137-N137</f>
        <v>0</v>
      </c>
      <c r="P137" s="68">
        <f>+SUM(P138:P141)</f>
        <v>666</v>
      </c>
      <c r="AA137" s="9">
        <f>+VLOOKUP(B137,[2]Liste!$B$2:$F$483,5,FALSE)</f>
        <v>3400</v>
      </c>
      <c r="AC137" s="9">
        <f>+AA137*N137</f>
        <v>2264400</v>
      </c>
      <c r="AD137" s="9">
        <f>+AA137*O137</f>
        <v>0</v>
      </c>
      <c r="AE137" s="9">
        <f>+AA137*P137</f>
        <v>2264400</v>
      </c>
    </row>
    <row r="138" spans="2:31" ht="15" customHeight="1" x14ac:dyDescent="0.3">
      <c r="B138" s="39" t="s">
        <v>982</v>
      </c>
      <c r="C138" s="39" t="s">
        <v>992</v>
      </c>
      <c r="D138" s="57" t="s">
        <v>991</v>
      </c>
      <c r="E138" s="57"/>
      <c r="F138" s="57"/>
      <c r="G138" s="57"/>
      <c r="H138" s="71"/>
      <c r="I138" s="71"/>
      <c r="J138" s="71"/>
      <c r="K138" s="39" t="s">
        <v>990</v>
      </c>
      <c r="L138" s="73"/>
      <c r="M138" s="74"/>
      <c r="N138" s="75"/>
      <c r="O138" s="40" t="s">
        <v>986</v>
      </c>
      <c r="P138" s="40" t="s">
        <v>15</v>
      </c>
    </row>
    <row r="139" spans="2:31" ht="15" customHeight="1" x14ac:dyDescent="0.3">
      <c r="B139" s="37">
        <v>4</v>
      </c>
      <c r="C139" s="48" t="s">
        <v>1060</v>
      </c>
      <c r="D139" s="58" t="s">
        <v>1061</v>
      </c>
      <c r="E139" s="58"/>
      <c r="F139" s="58"/>
      <c r="G139" s="58"/>
      <c r="H139" s="72"/>
      <c r="I139" s="72"/>
      <c r="J139" s="72"/>
      <c r="K139" s="37">
        <v>1</v>
      </c>
      <c r="L139" s="77"/>
      <c r="M139" s="78"/>
      <c r="N139" s="78"/>
      <c r="O139" s="70">
        <v>333</v>
      </c>
      <c r="P139" s="59">
        <f>+ROUND(PRODUCT(K139:O139),3)</f>
        <v>333</v>
      </c>
    </row>
    <row r="140" spans="2:31" ht="15" customHeight="1" x14ac:dyDescent="0.3">
      <c r="B140" s="37">
        <v>5</v>
      </c>
      <c r="C140" s="48" t="s">
        <v>1062</v>
      </c>
      <c r="D140" s="58" t="s">
        <v>1063</v>
      </c>
      <c r="E140" s="58"/>
      <c r="F140" s="58"/>
      <c r="G140" s="58"/>
      <c r="H140" s="72"/>
      <c r="I140" s="72"/>
      <c r="J140" s="72"/>
      <c r="K140" s="37">
        <v>1</v>
      </c>
      <c r="L140" s="77"/>
      <c r="M140" s="78"/>
      <c r="N140" s="78"/>
      <c r="O140" s="70">
        <v>333</v>
      </c>
      <c r="P140" s="59">
        <f>+ROUND(PRODUCT(K140:O140),3)</f>
        <v>333</v>
      </c>
    </row>
    <row r="141" spans="2:31" ht="4.95" customHeight="1" x14ac:dyDescent="0.3">
      <c r="B141" s="41"/>
      <c r="C141" s="44"/>
      <c r="D141" s="42"/>
      <c r="E141" s="42"/>
      <c r="F141" s="42"/>
      <c r="G141" s="42"/>
      <c r="H141" s="43"/>
      <c r="I141" s="43"/>
      <c r="J141" s="43"/>
      <c r="K141" s="43"/>
      <c r="L141" s="43"/>
      <c r="M141" s="43"/>
      <c r="N141" s="43"/>
      <c r="O141" s="44"/>
      <c r="P141" s="45"/>
    </row>
    <row r="142" spans="2:31" ht="19.95" customHeight="1" x14ac:dyDescent="0.3">
      <c r="C142" s="30"/>
      <c r="D142" s="33"/>
      <c r="E142" s="33"/>
      <c r="F142" s="33"/>
      <c r="G142" s="33"/>
      <c r="H142" s="12"/>
      <c r="I142" s="12"/>
      <c r="J142" s="12"/>
      <c r="K142" s="12"/>
      <c r="L142" s="12"/>
      <c r="M142" s="12"/>
      <c r="N142" s="12"/>
      <c r="O142" s="30"/>
    </row>
    <row r="143" spans="2:31" ht="30" customHeight="1" x14ac:dyDescent="0.3">
      <c r="B143" s="132" t="s">
        <v>7</v>
      </c>
      <c r="C143" s="134"/>
      <c r="D143" s="132" t="s">
        <v>8</v>
      </c>
      <c r="E143" s="133"/>
      <c r="F143" s="133"/>
      <c r="G143" s="133"/>
      <c r="H143" s="133"/>
      <c r="I143" s="133"/>
      <c r="J143" s="133"/>
      <c r="K143" s="133"/>
      <c r="L143" s="133"/>
      <c r="M143" s="34" t="s">
        <v>9</v>
      </c>
      <c r="N143" s="113" t="s">
        <v>1053</v>
      </c>
      <c r="O143" s="113" t="s">
        <v>1054</v>
      </c>
      <c r="P143" s="35" t="s">
        <v>1055</v>
      </c>
    </row>
    <row r="144" spans="2:31" ht="30" customHeight="1" x14ac:dyDescent="0.3">
      <c r="B144" s="136" t="s">
        <v>163</v>
      </c>
      <c r="C144" s="137"/>
      <c r="D144" s="130" t="str">
        <f>+VLOOKUP(B144,[1]Liste!B:E,2,FALSE)</f>
        <v>Çelik Donatı (S220 )</v>
      </c>
      <c r="E144" s="131"/>
      <c r="F144" s="131"/>
      <c r="G144" s="131"/>
      <c r="H144" s="131"/>
      <c r="I144" s="131"/>
      <c r="J144" s="131"/>
      <c r="K144" s="131"/>
      <c r="L144" s="131"/>
      <c r="M144" s="36" t="str">
        <f>+VLOOKUP(B144,[1]Liste!B:E,3,FALSE)</f>
        <v>ton</v>
      </c>
      <c r="N144" s="68">
        <v>0.498</v>
      </c>
      <c r="O144" s="68">
        <f>+P144-N144</f>
        <v>0</v>
      </c>
      <c r="P144" s="68">
        <f>+ROUND(SUM(P145:P156),3)</f>
        <v>0.498</v>
      </c>
      <c r="AA144" s="9">
        <f>+VLOOKUP(B144,[2]Liste!$B$2:$F$483,5,FALSE)</f>
        <v>46250</v>
      </c>
      <c r="AC144" s="9">
        <f>+AA144*N144</f>
        <v>23032.5</v>
      </c>
      <c r="AD144" s="9">
        <f>+AA144*O144</f>
        <v>0</v>
      </c>
      <c r="AE144" s="9">
        <f>+AA144*P144</f>
        <v>23032.5</v>
      </c>
    </row>
    <row r="145" spans="2:19" ht="15" customHeight="1" x14ac:dyDescent="0.3">
      <c r="B145" s="39" t="s">
        <v>982</v>
      </c>
      <c r="C145" s="71" t="s">
        <v>995</v>
      </c>
      <c r="D145" s="57"/>
      <c r="E145" s="57"/>
      <c r="F145" s="57"/>
      <c r="G145" s="57"/>
      <c r="H145" s="57" t="s">
        <v>13</v>
      </c>
      <c r="I145" s="71"/>
      <c r="J145" s="71"/>
      <c r="K145" s="39" t="s">
        <v>990</v>
      </c>
      <c r="L145" s="80" t="s">
        <v>1017</v>
      </c>
      <c r="M145" s="86"/>
      <c r="N145" s="71" t="s">
        <v>996</v>
      </c>
      <c r="O145" s="76" t="s">
        <v>986</v>
      </c>
      <c r="P145" s="40" t="s">
        <v>15</v>
      </c>
    </row>
    <row r="146" spans="2:19" ht="15" customHeight="1" x14ac:dyDescent="0.3">
      <c r="B146" s="37">
        <v>5</v>
      </c>
      <c r="C146" s="105" t="s">
        <v>1058</v>
      </c>
      <c r="D146" s="106"/>
      <c r="E146" s="106"/>
      <c r="F146" s="58"/>
      <c r="G146" s="58"/>
      <c r="H146" s="58" t="s">
        <v>1050</v>
      </c>
      <c r="I146" s="72"/>
      <c r="J146" s="72"/>
      <c r="K146" s="37">
        <v>16</v>
      </c>
      <c r="L146" s="98">
        <v>1</v>
      </c>
      <c r="M146" s="87"/>
      <c r="N146" s="88">
        <v>0.88800000000000001</v>
      </c>
      <c r="O146" s="79">
        <v>1.5</v>
      </c>
      <c r="P146" s="59">
        <f>+ROUND(PRODUCT(K146:O146)/1000,3)</f>
        <v>2.1000000000000001E-2</v>
      </c>
      <c r="R146" s="9" t="s">
        <v>1068</v>
      </c>
      <c r="S146" s="93"/>
    </row>
    <row r="147" spans="2:19" ht="15" customHeight="1" x14ac:dyDescent="0.3">
      <c r="B147" s="37">
        <v>5</v>
      </c>
      <c r="C147" s="105" t="s">
        <v>1058</v>
      </c>
      <c r="D147" s="106"/>
      <c r="E147" s="106"/>
      <c r="F147" s="58"/>
      <c r="G147" s="58"/>
      <c r="H147" s="58" t="s">
        <v>1050</v>
      </c>
      <c r="I147" s="72"/>
      <c r="J147" s="72"/>
      <c r="K147" s="37">
        <v>16</v>
      </c>
      <c r="L147" s="98">
        <v>1</v>
      </c>
      <c r="M147" s="87"/>
      <c r="N147" s="88">
        <v>0.88800000000000001</v>
      </c>
      <c r="O147" s="79">
        <v>1.5</v>
      </c>
      <c r="P147" s="59">
        <f>+ROUND(PRODUCT(K147:O147)/1000,3)</f>
        <v>2.1000000000000001E-2</v>
      </c>
      <c r="S147" s="93"/>
    </row>
    <row r="148" spans="2:19" ht="15" customHeight="1" x14ac:dyDescent="0.3">
      <c r="B148" s="37">
        <v>5</v>
      </c>
      <c r="C148" s="105" t="s">
        <v>1058</v>
      </c>
      <c r="D148" s="106"/>
      <c r="E148" s="106"/>
      <c r="F148" s="58"/>
      <c r="G148" s="58"/>
      <c r="H148" s="58" t="s">
        <v>1050</v>
      </c>
      <c r="I148" s="72"/>
      <c r="J148" s="72"/>
      <c r="K148" s="37">
        <v>20</v>
      </c>
      <c r="L148" s="98">
        <v>8</v>
      </c>
      <c r="M148" s="87"/>
      <c r="N148" s="88">
        <v>0.88800000000000001</v>
      </c>
      <c r="O148" s="79">
        <v>1.5</v>
      </c>
      <c r="P148" s="59">
        <f>+ROUND(PRODUCT(K148:O148)/1000,3)</f>
        <v>0.21299999999999999</v>
      </c>
      <c r="S148" s="93"/>
    </row>
    <row r="149" spans="2:19" ht="15" customHeight="1" x14ac:dyDescent="0.3">
      <c r="B149" s="39" t="s">
        <v>982</v>
      </c>
      <c r="C149" s="71" t="s">
        <v>995</v>
      </c>
      <c r="D149" s="57"/>
      <c r="E149" s="57"/>
      <c r="F149" s="57"/>
      <c r="G149" s="57"/>
      <c r="H149" s="57" t="s">
        <v>13</v>
      </c>
      <c r="I149" s="71"/>
      <c r="J149" s="71"/>
      <c r="K149" s="39" t="s">
        <v>990</v>
      </c>
      <c r="L149" s="80" t="s">
        <v>1017</v>
      </c>
      <c r="M149" s="86"/>
      <c r="N149" s="71" t="s">
        <v>996</v>
      </c>
      <c r="O149" s="76" t="s">
        <v>986</v>
      </c>
      <c r="P149" s="40" t="s">
        <v>15</v>
      </c>
    </row>
    <row r="150" spans="2:19" ht="15" customHeight="1" x14ac:dyDescent="0.3">
      <c r="B150" s="37">
        <v>5</v>
      </c>
      <c r="C150" s="105" t="s">
        <v>1049</v>
      </c>
      <c r="D150" s="106"/>
      <c r="E150" s="106"/>
      <c r="F150" s="58"/>
      <c r="G150" s="58"/>
      <c r="H150" s="58" t="s">
        <v>1051</v>
      </c>
      <c r="I150" s="72"/>
      <c r="J150" s="72"/>
      <c r="K150" s="37">
        <v>16</v>
      </c>
      <c r="L150" s="98">
        <f>SUM($K$122:$K$123)</f>
        <v>1</v>
      </c>
      <c r="M150" s="87"/>
      <c r="N150" s="118">
        <v>1.208</v>
      </c>
      <c r="O150" s="79">
        <v>0.7</v>
      </c>
      <c r="P150" s="59">
        <f>+ROUND(PRODUCT(K150:O150)/1000,3)</f>
        <v>1.4E-2</v>
      </c>
      <c r="R150" s="9" t="s">
        <v>1068</v>
      </c>
      <c r="S150" s="93"/>
    </row>
    <row r="151" spans="2:19" ht="15" customHeight="1" x14ac:dyDescent="0.3">
      <c r="B151" s="37">
        <v>5</v>
      </c>
      <c r="C151" s="105" t="s">
        <v>1049</v>
      </c>
      <c r="D151" s="106"/>
      <c r="E151" s="106"/>
      <c r="F151" s="58"/>
      <c r="G151" s="58"/>
      <c r="H151" s="58" t="s">
        <v>1051</v>
      </c>
      <c r="I151" s="72"/>
      <c r="J151" s="72"/>
      <c r="K151" s="37">
        <v>16</v>
      </c>
      <c r="L151" s="98">
        <v>1</v>
      </c>
      <c r="M151" s="87"/>
      <c r="N151" s="118">
        <v>1.208</v>
      </c>
      <c r="O151" s="79">
        <v>0.7</v>
      </c>
      <c r="P151" s="59">
        <f>+ROUND(PRODUCT(K151:O151)/1000,3)</f>
        <v>1.4E-2</v>
      </c>
      <c r="S151" s="93"/>
    </row>
    <row r="152" spans="2:19" ht="15" customHeight="1" x14ac:dyDescent="0.3">
      <c r="B152" s="37">
        <v>5</v>
      </c>
      <c r="C152" s="105" t="s">
        <v>1049</v>
      </c>
      <c r="D152" s="106"/>
      <c r="E152" s="106"/>
      <c r="F152" s="58"/>
      <c r="G152" s="58"/>
      <c r="H152" s="58" t="s">
        <v>1051</v>
      </c>
      <c r="I152" s="72"/>
      <c r="J152" s="72"/>
      <c r="K152" s="37">
        <v>16</v>
      </c>
      <c r="L152" s="98">
        <v>8</v>
      </c>
      <c r="M152" s="87"/>
      <c r="N152" s="118">
        <v>1.208</v>
      </c>
      <c r="O152" s="79">
        <v>0.95</v>
      </c>
      <c r="P152" s="59">
        <f>+ROUND(PRODUCT(K152:O152)/1000,3)</f>
        <v>0.14699999999999999</v>
      </c>
      <c r="S152" s="93"/>
    </row>
    <row r="153" spans="2:19" ht="15" customHeight="1" x14ac:dyDescent="0.3">
      <c r="B153" s="56" t="s">
        <v>1019</v>
      </c>
      <c r="C153" s="94"/>
      <c r="D153" s="50"/>
      <c r="E153" s="50"/>
      <c r="F153" s="50"/>
      <c r="G153" s="50"/>
      <c r="H153" s="51"/>
      <c r="I153" s="51"/>
      <c r="J153" s="51"/>
      <c r="K153" s="52"/>
      <c r="L153" s="52"/>
      <c r="M153" s="53"/>
      <c r="N153" s="53"/>
      <c r="O153" s="54"/>
      <c r="P153" s="55"/>
      <c r="S153" s="93"/>
    </row>
    <row r="154" spans="2:19" ht="15" customHeight="1" x14ac:dyDescent="0.3">
      <c r="B154" s="39" t="s">
        <v>982</v>
      </c>
      <c r="C154" s="39" t="s">
        <v>992</v>
      </c>
      <c r="D154" s="57" t="s">
        <v>991</v>
      </c>
      <c r="E154" s="57"/>
      <c r="F154" s="57"/>
      <c r="G154" s="57"/>
      <c r="H154" s="71"/>
      <c r="I154" s="71"/>
      <c r="J154" s="71"/>
      <c r="K154" s="39" t="s">
        <v>990</v>
      </c>
      <c r="L154" s="80" t="s">
        <v>13</v>
      </c>
      <c r="M154" s="86"/>
      <c r="N154" s="71" t="s">
        <v>996</v>
      </c>
      <c r="O154" s="76" t="s">
        <v>986</v>
      </c>
      <c r="P154" s="40" t="s">
        <v>15</v>
      </c>
      <c r="S154" s="93"/>
    </row>
    <row r="155" spans="2:19" ht="15" customHeight="1" x14ac:dyDescent="0.3">
      <c r="B155" s="63">
        <v>5</v>
      </c>
      <c r="C155" s="48" t="s">
        <v>1062</v>
      </c>
      <c r="D155" s="58" t="s">
        <v>1061</v>
      </c>
      <c r="E155" s="58"/>
      <c r="F155" s="58"/>
      <c r="G155" s="58"/>
      <c r="H155" s="66"/>
      <c r="I155" s="66"/>
      <c r="J155" s="66"/>
      <c r="K155" s="63">
        <v>45</v>
      </c>
      <c r="L155" s="83" t="s">
        <v>1059</v>
      </c>
      <c r="M155" s="85"/>
      <c r="N155" s="109">
        <v>0.88800000000000001</v>
      </c>
      <c r="O155" s="117">
        <v>1.7</v>
      </c>
      <c r="P155" s="69">
        <f t="shared" ref="P155" si="22">+ROUND(PRODUCT(K155:O155)/1000,3)</f>
        <v>6.8000000000000005E-2</v>
      </c>
      <c r="S155" s="93"/>
    </row>
    <row r="156" spans="2:19" ht="4.95" customHeight="1" x14ac:dyDescent="0.3">
      <c r="B156" s="41"/>
      <c r="C156" s="44"/>
      <c r="D156" s="42"/>
      <c r="E156" s="42"/>
      <c r="F156" s="42"/>
      <c r="G156" s="42"/>
      <c r="H156" s="43"/>
      <c r="I156" s="43"/>
      <c r="J156" s="43"/>
      <c r="K156" s="43"/>
      <c r="L156" s="43"/>
      <c r="M156" s="43"/>
      <c r="N156" s="43"/>
      <c r="O156" s="44"/>
      <c r="P156" s="45"/>
    </row>
    <row r="157" spans="2:19" ht="19.95" customHeight="1" x14ac:dyDescent="0.3">
      <c r="C157" s="30"/>
      <c r="D157" s="33"/>
      <c r="E157" s="33"/>
      <c r="F157" s="33"/>
      <c r="G157" s="33"/>
      <c r="H157" s="12"/>
      <c r="I157" s="12"/>
      <c r="J157" s="12"/>
      <c r="K157" s="12"/>
      <c r="L157" s="12"/>
      <c r="M157" s="12"/>
      <c r="N157" s="12"/>
      <c r="O157" s="30"/>
    </row>
    <row r="158" spans="2:19" ht="30" hidden="1" customHeight="1" x14ac:dyDescent="0.3">
      <c r="B158" s="132" t="s">
        <v>7</v>
      </c>
      <c r="C158" s="134"/>
      <c r="D158" s="132" t="s">
        <v>8</v>
      </c>
      <c r="E158" s="133"/>
      <c r="F158" s="133"/>
      <c r="G158" s="133"/>
      <c r="H158" s="133"/>
      <c r="I158" s="133"/>
      <c r="J158" s="133"/>
      <c r="K158" s="133"/>
      <c r="L158" s="133"/>
      <c r="M158" s="133"/>
      <c r="N158" s="134"/>
      <c r="O158" s="34" t="s">
        <v>9</v>
      </c>
      <c r="P158" s="35" t="s">
        <v>10</v>
      </c>
    </row>
    <row r="159" spans="2:19" ht="30" hidden="1" customHeight="1" x14ac:dyDescent="0.3">
      <c r="B159" s="136" t="s">
        <v>165</v>
      </c>
      <c r="C159" s="137"/>
      <c r="D159" s="130" t="str">
        <f>+VLOOKUP(B159,Liste!B:E,2,FALSE)</f>
        <v>Çelik Donatı (S420a )</v>
      </c>
      <c r="E159" s="131"/>
      <c r="F159" s="131"/>
      <c r="G159" s="131"/>
      <c r="H159" s="131"/>
      <c r="I159" s="131"/>
      <c r="J159" s="131"/>
      <c r="K159" s="131"/>
      <c r="L159" s="131"/>
      <c r="M159" s="131"/>
      <c r="N159" s="135"/>
      <c r="O159" s="36" t="str">
        <f>+VLOOKUP(B159,Liste!B:E,3,FALSE)</f>
        <v>ton</v>
      </c>
      <c r="P159" s="68">
        <f>+ROUND(SUM(P160:P163),3)</f>
        <v>0</v>
      </c>
    </row>
    <row r="160" spans="2:19" ht="15" hidden="1" customHeight="1" x14ac:dyDescent="0.3">
      <c r="B160" s="56" t="s">
        <v>1019</v>
      </c>
      <c r="C160" s="94"/>
      <c r="D160" s="50"/>
      <c r="E160" s="50"/>
      <c r="F160" s="50"/>
      <c r="G160" s="50"/>
      <c r="H160" s="51"/>
      <c r="I160" s="51"/>
      <c r="J160" s="51"/>
      <c r="K160" s="52"/>
      <c r="L160" s="52"/>
      <c r="M160" s="53"/>
      <c r="N160" s="53"/>
      <c r="O160" s="54"/>
      <c r="P160" s="55"/>
      <c r="S160" s="93"/>
    </row>
    <row r="161" spans="2:31" ht="15" hidden="1" customHeight="1" x14ac:dyDescent="0.3">
      <c r="B161" s="39" t="s">
        <v>982</v>
      </c>
      <c r="C161" s="39" t="s">
        <v>992</v>
      </c>
      <c r="D161" s="57" t="s">
        <v>991</v>
      </c>
      <c r="E161" s="57"/>
      <c r="F161" s="57"/>
      <c r="G161" s="57"/>
      <c r="H161" s="71"/>
      <c r="I161" s="71"/>
      <c r="J161" s="71"/>
      <c r="K161" s="39" t="s">
        <v>990</v>
      </c>
      <c r="L161" s="80" t="s">
        <v>13</v>
      </c>
      <c r="M161" s="86"/>
      <c r="N161" s="71" t="s">
        <v>996</v>
      </c>
      <c r="O161" s="76" t="s">
        <v>986</v>
      </c>
      <c r="P161" s="40" t="s">
        <v>15</v>
      </c>
      <c r="S161" s="93"/>
    </row>
    <row r="162" spans="2:31" ht="15" hidden="1" customHeight="1" x14ac:dyDescent="0.3">
      <c r="B162" s="63">
        <v>3</v>
      </c>
      <c r="C162" s="60" t="s">
        <v>1044</v>
      </c>
      <c r="D162" s="61" t="s">
        <v>1045</v>
      </c>
      <c r="E162" s="61"/>
      <c r="F162" s="61"/>
      <c r="G162" s="61"/>
      <c r="H162" s="66"/>
      <c r="I162" s="66"/>
      <c r="J162" s="66"/>
      <c r="K162" s="63">
        <v>0</v>
      </c>
      <c r="L162" s="83" t="s">
        <v>1052</v>
      </c>
      <c r="M162" s="108"/>
      <c r="N162" s="109">
        <v>0.88800000000000001</v>
      </c>
      <c r="O162" s="110">
        <v>1.7</v>
      </c>
      <c r="P162" s="101">
        <f>+ROUND(PRODUCT(K162:O162)/1000,3)</f>
        <v>0</v>
      </c>
      <c r="S162" s="93"/>
    </row>
    <row r="163" spans="2:31" ht="4.95" hidden="1" customHeight="1" x14ac:dyDescent="0.3">
      <c r="B163" s="41"/>
      <c r="C163" s="44"/>
      <c r="D163" s="42"/>
      <c r="E163" s="42"/>
      <c r="F163" s="42"/>
      <c r="G163" s="42"/>
      <c r="H163" s="43"/>
      <c r="I163" s="43"/>
      <c r="J163" s="43"/>
      <c r="K163" s="43"/>
      <c r="L163" s="43"/>
      <c r="M163" s="43"/>
      <c r="N163" s="43"/>
      <c r="O163" s="44"/>
      <c r="P163" s="45"/>
    </row>
    <row r="164" spans="2:31" ht="19.95" hidden="1" customHeight="1" x14ac:dyDescent="0.3">
      <c r="C164" s="30"/>
      <c r="D164" s="33"/>
      <c r="E164" s="33"/>
      <c r="F164" s="33"/>
      <c r="G164" s="33"/>
      <c r="H164" s="12"/>
      <c r="I164" s="12"/>
      <c r="J164" s="12"/>
      <c r="K164" s="12"/>
      <c r="L164" s="12"/>
      <c r="M164" s="12"/>
      <c r="N164" s="12"/>
      <c r="O164" s="30"/>
    </row>
    <row r="165" spans="2:31" ht="30" customHeight="1" x14ac:dyDescent="0.3">
      <c r="B165" s="132" t="s">
        <v>7</v>
      </c>
      <c r="C165" s="134"/>
      <c r="D165" s="132" t="s">
        <v>8</v>
      </c>
      <c r="E165" s="133"/>
      <c r="F165" s="133"/>
      <c r="G165" s="133"/>
      <c r="H165" s="133"/>
      <c r="I165" s="133"/>
      <c r="J165" s="133"/>
      <c r="K165" s="133"/>
      <c r="L165" s="133"/>
      <c r="M165" s="34" t="s">
        <v>9</v>
      </c>
      <c r="N165" s="113" t="s">
        <v>1053</v>
      </c>
      <c r="O165" s="113" t="s">
        <v>1054</v>
      </c>
      <c r="P165" s="35" t="s">
        <v>1055</v>
      </c>
    </row>
    <row r="166" spans="2:31" ht="30" customHeight="1" x14ac:dyDescent="0.3">
      <c r="B166" s="136" t="s">
        <v>167</v>
      </c>
      <c r="C166" s="137"/>
      <c r="D166" s="130" t="str">
        <f>+VLOOKUP(B166,[1]Liste!B:E,2,FALSE)</f>
        <v>Çelik hasır (S500 )</v>
      </c>
      <c r="E166" s="131"/>
      <c r="F166" s="131"/>
      <c r="G166" s="131"/>
      <c r="H166" s="131"/>
      <c r="I166" s="131"/>
      <c r="J166" s="131"/>
      <c r="K166" s="131"/>
      <c r="L166" s="131"/>
      <c r="M166" s="36" t="str">
        <f>+VLOOKUP(B166,[1]Liste!B:E,3,FALSE)</f>
        <v>ton</v>
      </c>
      <c r="N166" s="68">
        <v>4.1079999999999997</v>
      </c>
      <c r="O166" s="68">
        <f>+P166-N166</f>
        <v>0</v>
      </c>
      <c r="P166" s="68">
        <f>+ROUND(SUM(P167:P178),3)</f>
        <v>4.1079999999999997</v>
      </c>
      <c r="AA166" s="9">
        <f>+VLOOKUP(B166,[2]Liste!$B$2:$F$483,5,FALSE)</f>
        <v>97333</v>
      </c>
      <c r="AC166" s="9">
        <f>+AA166*N166</f>
        <v>399843.96399999998</v>
      </c>
      <c r="AD166" s="9">
        <f>+AA166*O166</f>
        <v>0</v>
      </c>
      <c r="AE166" s="9">
        <f>+AA166*P166</f>
        <v>399843.96399999998</v>
      </c>
    </row>
    <row r="167" spans="2:31" ht="15" customHeight="1" x14ac:dyDescent="0.3">
      <c r="B167" s="56" t="s">
        <v>1046</v>
      </c>
      <c r="C167" s="94"/>
      <c r="D167" s="50"/>
      <c r="E167" s="50"/>
      <c r="F167" s="50"/>
      <c r="G167" s="50"/>
      <c r="H167" s="51"/>
      <c r="I167" s="51"/>
      <c r="J167" s="51"/>
      <c r="K167" s="52"/>
      <c r="L167" s="52"/>
      <c r="M167" s="53"/>
      <c r="N167" s="53"/>
      <c r="O167" s="54"/>
      <c r="P167" s="55"/>
    </row>
    <row r="168" spans="2:31" ht="15" customHeight="1" x14ac:dyDescent="0.3">
      <c r="B168" s="39" t="s">
        <v>982</v>
      </c>
      <c r="C168" s="39" t="s">
        <v>992</v>
      </c>
      <c r="D168" s="57" t="s">
        <v>991</v>
      </c>
      <c r="E168" s="57"/>
      <c r="F168" s="57"/>
      <c r="G168" s="57"/>
      <c r="H168" s="39" t="s">
        <v>989</v>
      </c>
      <c r="I168" s="39" t="s">
        <v>988</v>
      </c>
      <c r="J168" s="39" t="s">
        <v>993</v>
      </c>
      <c r="K168" s="39" t="s">
        <v>990</v>
      </c>
      <c r="L168" s="73"/>
      <c r="M168" s="75" t="s">
        <v>986</v>
      </c>
      <c r="N168" s="76"/>
      <c r="O168" s="40" t="s">
        <v>1021</v>
      </c>
      <c r="P168" s="40" t="s">
        <v>15</v>
      </c>
    </row>
    <row r="169" spans="2:31" ht="15" customHeight="1" x14ac:dyDescent="0.3">
      <c r="B169" s="37">
        <v>4</v>
      </c>
      <c r="C169" s="48" t="s">
        <v>1060</v>
      </c>
      <c r="D169" s="58" t="s">
        <v>1061</v>
      </c>
      <c r="E169" s="58"/>
      <c r="F169" s="58"/>
      <c r="G169" s="58"/>
      <c r="H169" s="49">
        <v>56.69</v>
      </c>
      <c r="I169" s="49">
        <v>56.19</v>
      </c>
      <c r="J169" s="49" t="s">
        <v>994</v>
      </c>
      <c r="K169" s="37">
        <v>1</v>
      </c>
      <c r="L169" s="114"/>
      <c r="M169" s="115">
        <f>+H169-I169</f>
        <v>0.5</v>
      </c>
      <c r="N169" s="116"/>
      <c r="O169" s="90">
        <f>231.745/0.75</f>
        <v>308.99333333333334</v>
      </c>
      <c r="P169" s="69">
        <f>+ROUND(PRODUCT(K169:O169)/1000,3)</f>
        <v>0.154</v>
      </c>
    </row>
    <row r="170" spans="2:31" ht="15" customHeight="1" x14ac:dyDescent="0.3">
      <c r="B170" s="37">
        <v>5</v>
      </c>
      <c r="C170" s="48" t="s">
        <v>1062</v>
      </c>
      <c r="D170" s="58" t="s">
        <v>1063</v>
      </c>
      <c r="E170" s="58"/>
      <c r="F170" s="58"/>
      <c r="G170" s="58"/>
      <c r="H170" s="49">
        <v>56.19</v>
      </c>
      <c r="I170" s="49">
        <v>49.69</v>
      </c>
      <c r="J170" s="49" t="s">
        <v>994</v>
      </c>
      <c r="K170" s="37">
        <v>1</v>
      </c>
      <c r="L170" s="114"/>
      <c r="M170" s="115">
        <f>+H170-I170</f>
        <v>6.5</v>
      </c>
      <c r="N170" s="116"/>
      <c r="O170" s="90">
        <f>231.745/0.75</f>
        <v>308.99333333333334</v>
      </c>
      <c r="P170" s="69">
        <f>+ROUND(PRODUCT(K170:O170)/1000,3)</f>
        <v>2.008</v>
      </c>
    </row>
    <row r="171" spans="2:31" ht="15" customHeight="1" x14ac:dyDescent="0.3">
      <c r="B171" s="56" t="s">
        <v>1047</v>
      </c>
      <c r="C171" s="94"/>
      <c r="D171" s="50"/>
      <c r="E171" s="50"/>
      <c r="F171" s="50"/>
      <c r="G171" s="50"/>
      <c r="H171" s="51"/>
      <c r="I171" s="51"/>
      <c r="J171" s="51"/>
      <c r="K171" s="52"/>
      <c r="L171" s="52"/>
      <c r="M171" s="53"/>
      <c r="N171" s="53"/>
      <c r="O171" s="54"/>
      <c r="P171" s="55"/>
    </row>
    <row r="172" spans="2:31" ht="15" customHeight="1" x14ac:dyDescent="0.3">
      <c r="B172" s="39" t="s">
        <v>982</v>
      </c>
      <c r="C172" s="39" t="s">
        <v>992</v>
      </c>
      <c r="D172" s="57" t="s">
        <v>991</v>
      </c>
      <c r="E172" s="57"/>
      <c r="F172" s="57"/>
      <c r="G172" s="57"/>
      <c r="H172" s="39" t="s">
        <v>989</v>
      </c>
      <c r="I172" s="39" t="s">
        <v>988</v>
      </c>
      <c r="J172" s="39" t="s">
        <v>993</v>
      </c>
      <c r="K172" s="39" t="s">
        <v>990</v>
      </c>
      <c r="L172" s="73"/>
      <c r="M172" s="75" t="s">
        <v>986</v>
      </c>
      <c r="N172" s="76"/>
      <c r="O172" s="40" t="s">
        <v>1021</v>
      </c>
      <c r="P172" s="40" t="s">
        <v>15</v>
      </c>
    </row>
    <row r="173" spans="2:31" ht="15" customHeight="1" x14ac:dyDescent="0.3">
      <c r="B173" s="37">
        <v>5</v>
      </c>
      <c r="C173" s="48" t="s">
        <v>1062</v>
      </c>
      <c r="D173" s="58" t="s">
        <v>1063</v>
      </c>
      <c r="E173" s="58"/>
      <c r="F173" s="58"/>
      <c r="G173" s="58"/>
      <c r="H173" s="49">
        <v>56.69</v>
      </c>
      <c r="I173" s="49">
        <v>49.69</v>
      </c>
      <c r="J173" s="49" t="s">
        <v>1006</v>
      </c>
      <c r="K173" s="37">
        <v>1</v>
      </c>
      <c r="L173" s="114"/>
      <c r="M173" s="115">
        <f>+H173-I173</f>
        <v>7</v>
      </c>
      <c r="N173" s="116"/>
      <c r="O173" s="90">
        <f>115.499/0.75</f>
        <v>153.99866666666665</v>
      </c>
      <c r="P173" s="69">
        <f>+ROUND(PRODUCT(K173:O173)/1000,3)</f>
        <v>1.0780000000000001</v>
      </c>
    </row>
    <row r="174" spans="2:31" ht="10.199999999999999" customHeight="1" x14ac:dyDescent="0.3">
      <c r="B174" s="56" t="s">
        <v>1015</v>
      </c>
      <c r="C174" s="94"/>
      <c r="D174" s="50"/>
      <c r="E174" s="50"/>
      <c r="F174" s="50"/>
      <c r="G174" s="50"/>
      <c r="H174" s="51"/>
      <c r="I174" s="51"/>
      <c r="J174" s="51"/>
      <c r="K174" s="52"/>
      <c r="L174" s="52"/>
      <c r="M174" s="53"/>
      <c r="N174" s="53"/>
      <c r="O174" s="54"/>
      <c r="P174" s="55"/>
    </row>
    <row r="175" spans="2:31" ht="60" customHeight="1" x14ac:dyDescent="0.3">
      <c r="B175" s="39" t="s">
        <v>982</v>
      </c>
      <c r="C175" s="39" t="s">
        <v>992</v>
      </c>
      <c r="D175" s="57" t="s">
        <v>998</v>
      </c>
      <c r="E175" s="57"/>
      <c r="F175" s="57"/>
      <c r="G175" s="57"/>
      <c r="H175" s="67"/>
      <c r="I175" s="71"/>
      <c r="J175" s="39" t="s">
        <v>993</v>
      </c>
      <c r="K175" s="39" t="s">
        <v>990</v>
      </c>
      <c r="L175" s="39" t="s">
        <v>1014</v>
      </c>
      <c r="M175" s="40" t="s">
        <v>984</v>
      </c>
      <c r="N175" s="40" t="s">
        <v>1016</v>
      </c>
      <c r="O175" s="40" t="s">
        <v>1025</v>
      </c>
      <c r="P175" s="40" t="s">
        <v>15</v>
      </c>
    </row>
    <row r="176" spans="2:31" ht="30" customHeight="1" x14ac:dyDescent="0.3">
      <c r="B176" s="63">
        <v>4</v>
      </c>
      <c r="C176" s="60" t="s">
        <v>1060</v>
      </c>
      <c r="D176" s="127" t="s">
        <v>1048</v>
      </c>
      <c r="E176" s="128"/>
      <c r="F176" s="128"/>
      <c r="G176" s="128"/>
      <c r="H176" s="128"/>
      <c r="I176" s="129"/>
      <c r="J176" s="62" t="s">
        <v>994</v>
      </c>
      <c r="K176" s="63">
        <v>1</v>
      </c>
      <c r="L176" s="63" t="s">
        <v>1013</v>
      </c>
      <c r="M176" s="64"/>
      <c r="N176" s="92">
        <v>0.84</v>
      </c>
      <c r="O176" s="90">
        <v>258.48</v>
      </c>
      <c r="P176" s="69">
        <f t="shared" ref="P176:P177" si="23">+ROUND(PRODUCT(M176:O176)*K176/1000,3)</f>
        <v>0.217</v>
      </c>
    </row>
    <row r="177" spans="2:16" ht="30" customHeight="1" x14ac:dyDescent="0.3">
      <c r="B177" s="63">
        <v>5</v>
      </c>
      <c r="C177" s="48" t="s">
        <v>1062</v>
      </c>
      <c r="D177" s="127" t="s">
        <v>1048</v>
      </c>
      <c r="E177" s="128"/>
      <c r="F177" s="128"/>
      <c r="G177" s="128"/>
      <c r="H177" s="128"/>
      <c r="I177" s="129"/>
      <c r="J177" s="62" t="s">
        <v>994</v>
      </c>
      <c r="K177" s="63">
        <v>1</v>
      </c>
      <c r="L177" s="63" t="s">
        <v>1065</v>
      </c>
      <c r="M177" s="64"/>
      <c r="N177" s="92">
        <v>0.84</v>
      </c>
      <c r="O177" s="90">
        <v>775.05</v>
      </c>
      <c r="P177" s="69">
        <f t="shared" si="23"/>
        <v>0.65100000000000002</v>
      </c>
    </row>
    <row r="178" spans="2:16" ht="4.95" customHeight="1" x14ac:dyDescent="0.3">
      <c r="B178" s="41"/>
      <c r="C178" s="44"/>
      <c r="D178" s="42"/>
      <c r="E178" s="42"/>
      <c r="F178" s="42"/>
      <c r="G178" s="42"/>
      <c r="H178" s="43"/>
      <c r="I178" s="43"/>
      <c r="J178" s="43"/>
      <c r="K178" s="43"/>
      <c r="L178" s="43"/>
      <c r="M178" s="43"/>
      <c r="N178" s="43"/>
      <c r="O178" s="44"/>
      <c r="P178" s="45"/>
    </row>
    <row r="179" spans="2:16" ht="15" customHeight="1" x14ac:dyDescent="0.3">
      <c r="C179" s="30"/>
      <c r="D179" s="33"/>
      <c r="E179" s="33"/>
      <c r="F179" s="33"/>
      <c r="G179" s="33"/>
      <c r="H179" s="12"/>
      <c r="I179" s="12"/>
      <c r="J179" s="12"/>
      <c r="K179" s="12"/>
      <c r="L179" s="12"/>
      <c r="M179" s="12"/>
      <c r="N179" s="12"/>
      <c r="O179" s="30"/>
    </row>
  </sheetData>
  <mergeCells count="49">
    <mergeCell ref="B165:C165"/>
    <mergeCell ref="B166:C166"/>
    <mergeCell ref="B118:C118"/>
    <mergeCell ref="B58:C58"/>
    <mergeCell ref="D16:L16"/>
    <mergeCell ref="D17:L17"/>
    <mergeCell ref="D57:L57"/>
    <mergeCell ref="D58:L58"/>
    <mergeCell ref="D106:L106"/>
    <mergeCell ref="D107:L107"/>
    <mergeCell ref="D112:L112"/>
    <mergeCell ref="D113:L113"/>
    <mergeCell ref="D118:L118"/>
    <mergeCell ref="D119:L119"/>
    <mergeCell ref="D136:L136"/>
    <mergeCell ref="D137:L137"/>
    <mergeCell ref="B106:C106"/>
    <mergeCell ref="B107:C107"/>
    <mergeCell ref="B113:C113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57:C57"/>
    <mergeCell ref="B99:C99"/>
    <mergeCell ref="D99:L99"/>
    <mergeCell ref="B100:C100"/>
    <mergeCell ref="B137:C137"/>
    <mergeCell ref="B112:C112"/>
    <mergeCell ref="B159:C159"/>
    <mergeCell ref="B158:C158"/>
    <mergeCell ref="B144:C144"/>
    <mergeCell ref="B143:C143"/>
    <mergeCell ref="B136:C136"/>
    <mergeCell ref="B119:C119"/>
    <mergeCell ref="D177:I177"/>
    <mergeCell ref="D100:L100"/>
    <mergeCell ref="D176:I176"/>
    <mergeCell ref="D158:N158"/>
    <mergeCell ref="D159:N159"/>
    <mergeCell ref="D143:L143"/>
    <mergeCell ref="D144:L144"/>
    <mergeCell ref="D165:L165"/>
    <mergeCell ref="D166:L166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113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354.87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99.96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/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175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360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8.8510000000000009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666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0.498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4.1079999999999997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7">
        <f>+SUMPRODUCT(F50:F79,H50:H79)</f>
        <v>9718830.3540000003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2026-04-23T13:26:24Z</cp:lastPrinted>
  <dcterms:created xsi:type="dcterms:W3CDTF">2015-06-05T18:19:34Z</dcterms:created>
  <dcterms:modified xsi:type="dcterms:W3CDTF">2026-05-12T05:40:01Z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