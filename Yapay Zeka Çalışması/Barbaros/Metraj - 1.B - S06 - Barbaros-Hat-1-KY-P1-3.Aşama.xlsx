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A6ED3D5A-7F2B-4C1A-8C30-6BFA1C076435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İcmal!$A$19:$M$49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İcmal!$A$1:$L$51</definedName>
    <definedName name="_xlnm.Print_Area" localSheetId="2">Metraj!$A$2:$Q$164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6" l="1"/>
  <c r="C16" i="2"/>
  <c r="C15" i="2"/>
  <c r="O160" i="6"/>
  <c r="P160" i="6" s="1"/>
  <c r="M160" i="6"/>
  <c r="L131" i="6"/>
  <c r="P136" i="6"/>
  <c r="P131" i="6"/>
  <c r="P116" i="6"/>
  <c r="P115" i="6"/>
  <c r="P114" i="6"/>
  <c r="P113" i="6"/>
  <c r="P112" i="6"/>
  <c r="P111" i="6"/>
  <c r="M71" i="6"/>
  <c r="P71" i="6"/>
  <c r="P70" i="6"/>
  <c r="P69" i="6"/>
  <c r="P68" i="6"/>
  <c r="P67" i="6"/>
  <c r="P66" i="6"/>
  <c r="P65" i="6"/>
  <c r="S43" i="6"/>
  <c r="P43" i="6"/>
  <c r="S42" i="6"/>
  <c r="P42" i="6"/>
  <c r="S41" i="6"/>
  <c r="P41" i="6"/>
  <c r="S40" i="6"/>
  <c r="P40" i="6"/>
  <c r="S39" i="6"/>
  <c r="P39" i="6"/>
  <c r="T38" i="6"/>
  <c r="S38" i="6"/>
  <c r="P38" i="6"/>
  <c r="P88" i="6"/>
  <c r="AA155" i="6"/>
  <c r="AA127" i="6"/>
  <c r="AA96" i="6"/>
  <c r="AA85" i="6"/>
  <c r="AA47" i="6"/>
  <c r="AA17" i="6"/>
  <c r="M64" i="6"/>
  <c r="P64" i="6"/>
  <c r="O159" i="6"/>
  <c r="M159" i="6"/>
  <c r="P159" i="6" s="1"/>
  <c r="L135" i="6"/>
  <c r="P135" i="6" s="1"/>
  <c r="L130" i="6"/>
  <c r="P130" i="6" s="1"/>
  <c r="P110" i="6"/>
  <c r="P109" i="6"/>
  <c r="P108" i="6"/>
  <c r="P107" i="6"/>
  <c r="P106" i="6"/>
  <c r="P105" i="6"/>
  <c r="P63" i="6"/>
  <c r="P62" i="6"/>
  <c r="P61" i="6"/>
  <c r="P60" i="6"/>
  <c r="P59" i="6"/>
  <c r="P58" i="6"/>
  <c r="S33" i="6"/>
  <c r="P33" i="6"/>
  <c r="S32" i="6"/>
  <c r="P32" i="6"/>
  <c r="S31" i="6"/>
  <c r="P31" i="6"/>
  <c r="S30" i="6"/>
  <c r="P30" i="6"/>
  <c r="S29" i="6"/>
  <c r="P29" i="6"/>
  <c r="T28" i="6"/>
  <c r="S28" i="6"/>
  <c r="P28" i="6"/>
  <c r="P55" i="6"/>
  <c r="T20" i="6"/>
  <c r="S26" i="6"/>
  <c r="P26" i="6"/>
  <c r="AC155" i="6" l="1"/>
  <c r="AC127" i="6"/>
  <c r="AC96" i="6"/>
  <c r="AC85" i="6"/>
  <c r="AC47" i="6"/>
  <c r="AC17" i="6"/>
  <c r="O158" i="6"/>
  <c r="M158" i="6" l="1"/>
  <c r="P163" i="6"/>
  <c r="M36" i="6"/>
  <c r="P36" i="6" s="1"/>
  <c r="S21" i="6" l="1"/>
  <c r="S22" i="6"/>
  <c r="S23" i="6"/>
  <c r="S24" i="6"/>
  <c r="S25" i="6"/>
  <c r="S27" i="6"/>
  <c r="S20" i="6"/>
  <c r="P104" i="6"/>
  <c r="P103" i="6"/>
  <c r="P102" i="6"/>
  <c r="P101" i="6"/>
  <c r="P100" i="6"/>
  <c r="P99" i="6"/>
  <c r="P20" i="6" l="1"/>
  <c r="P21" i="6" l="1"/>
  <c r="P22" i="6"/>
  <c r="P23" i="6"/>
  <c r="P24" i="6"/>
  <c r="P25" i="6"/>
  <c r="M155" i="6" l="1"/>
  <c r="D155" i="6"/>
  <c r="M127" i="6"/>
  <c r="D127" i="6"/>
  <c r="M120" i="6"/>
  <c r="D120" i="6"/>
  <c r="M96" i="6"/>
  <c r="D96" i="6"/>
  <c r="M85" i="6"/>
  <c r="D85" i="6"/>
  <c r="M77" i="6"/>
  <c r="D77" i="6"/>
  <c r="M47" i="6"/>
  <c r="D47" i="6"/>
  <c r="M17" i="6"/>
  <c r="D17" i="6"/>
  <c r="P50" i="6" l="1"/>
  <c r="P57" i="6"/>
  <c r="P56" i="6"/>
  <c r="P54" i="6"/>
  <c r="P53" i="6"/>
  <c r="P52" i="6"/>
  <c r="P51" i="6"/>
  <c r="P27" i="6" l="1"/>
  <c r="P151" i="6" l="1"/>
  <c r="P150" i="6"/>
  <c r="P149" i="6"/>
  <c r="P73" i="6"/>
  <c r="P37" i="6" l="1"/>
  <c r="P147" i="6"/>
  <c r="P87" i="6"/>
  <c r="P158" i="6"/>
  <c r="P144" i="6"/>
  <c r="P145" i="6"/>
  <c r="P146" i="6"/>
  <c r="L134" i="6"/>
  <c r="P134" i="6" s="1"/>
  <c r="L129" i="6"/>
  <c r="P129" i="6" s="1"/>
  <c r="P143" i="6" l="1"/>
  <c r="L49" i="2" l="1"/>
  <c r="L48" i="2"/>
  <c r="L44" i="2"/>
  <c r="L43" i="2"/>
  <c r="L42" i="2"/>
  <c r="L41" i="2"/>
  <c r="L40" i="2"/>
  <c r="L39" i="2"/>
  <c r="L38" i="2"/>
  <c r="L37" i="2"/>
  <c r="L36" i="2"/>
  <c r="L35" i="2"/>
  <c r="L32" i="2"/>
  <c r="L29" i="2"/>
  <c r="L28" i="2"/>
  <c r="L26" i="2"/>
  <c r="L25" i="2"/>
  <c r="L24" i="2"/>
  <c r="L22" i="2"/>
  <c r="L21" i="2"/>
  <c r="O140" i="6"/>
  <c r="D140" i="6"/>
  <c r="H62" i="5" l="1"/>
  <c r="K32" i="2"/>
  <c r="H54" i="5"/>
  <c r="K24" i="2"/>
  <c r="H67" i="5"/>
  <c r="K37" i="2"/>
  <c r="H71" i="5"/>
  <c r="K41" i="2"/>
  <c r="H52" i="5"/>
  <c r="K22" i="2"/>
  <c r="H65" i="5"/>
  <c r="K35" i="2"/>
  <c r="H72" i="5"/>
  <c r="K42" i="2"/>
  <c r="H56" i="5"/>
  <c r="K26" i="2"/>
  <c r="H66" i="5"/>
  <c r="K36" i="2"/>
  <c r="H73" i="5"/>
  <c r="K43" i="2"/>
  <c r="H55" i="5"/>
  <c r="K25" i="2"/>
  <c r="H68" i="5"/>
  <c r="K38" i="2"/>
  <c r="H74" i="5"/>
  <c r="K44" i="2"/>
  <c r="H58" i="5"/>
  <c r="K28" i="2"/>
  <c r="H69" i="5"/>
  <c r="K39" i="2"/>
  <c r="H78" i="5"/>
  <c r="K48" i="2"/>
  <c r="H51" i="5"/>
  <c r="K21" i="2"/>
  <c r="H59" i="5"/>
  <c r="K29" i="2"/>
  <c r="H70" i="5"/>
  <c r="K40" i="2"/>
  <c r="H79" i="5"/>
  <c r="K49" i="2"/>
  <c r="P148" i="6"/>
  <c r="P85" i="6" l="1"/>
  <c r="P77" i="6"/>
  <c r="L27" i="2" s="1"/>
  <c r="L30" i="2" l="1"/>
  <c r="AE85" i="6"/>
  <c r="O77" i="6"/>
  <c r="O85" i="6"/>
  <c r="AD85" i="6" s="1"/>
  <c r="Z25" i="2"/>
  <c r="Z27" i="2" l="1"/>
  <c r="AA27" i="2" s="1"/>
  <c r="K30" i="2"/>
  <c r="H60" i="5"/>
  <c r="H57" i="5"/>
  <c r="K27" i="2"/>
  <c r="Z21" i="2"/>
  <c r="Z48" i="2"/>
  <c r="AA48" i="2" s="1"/>
  <c r="AA25" i="2"/>
  <c r="AB25" i="2" s="1"/>
  <c r="Z37" i="2"/>
  <c r="AA37" i="2" s="1"/>
  <c r="Z30" i="2" l="1"/>
  <c r="AA30" i="2" s="1"/>
  <c r="AB27" i="2"/>
  <c r="AC27" i="2" s="1"/>
  <c r="Z24" i="2"/>
  <c r="AA24" i="2" s="1"/>
  <c r="Z40" i="2"/>
  <c r="AA21" i="2"/>
  <c r="AB21" i="2" s="1"/>
  <c r="Z26" i="2"/>
  <c r="AC25" i="2"/>
  <c r="AD25" i="2" s="1"/>
  <c r="Z42" i="2"/>
  <c r="AA42" i="2" s="1"/>
  <c r="AB42" i="2" s="1"/>
  <c r="AB48" i="2"/>
  <c r="AC48" i="2" s="1"/>
  <c r="AB37" i="2"/>
  <c r="AC37" i="2" s="1"/>
  <c r="AD37" i="2" s="1"/>
  <c r="AE37" i="2" s="1"/>
  <c r="AF37" i="2" s="1"/>
  <c r="AG37" i="2" s="1"/>
  <c r="AH37" i="2" s="1"/>
  <c r="Z41" i="2"/>
  <c r="P140" i="6"/>
  <c r="L46" i="2" s="1"/>
  <c r="AB30" i="2" l="1"/>
  <c r="AC30" i="2" s="1"/>
  <c r="AD27" i="2"/>
  <c r="AE27" i="2" s="1"/>
  <c r="P127" i="6"/>
  <c r="H76" i="5"/>
  <c r="K46" i="2"/>
  <c r="AA40" i="2"/>
  <c r="AB40" i="2" s="1"/>
  <c r="AC40" i="2" s="1"/>
  <c r="AD40" i="2" s="1"/>
  <c r="AE40" i="2" s="1"/>
  <c r="AF40" i="2" s="1"/>
  <c r="AG40" i="2" s="1"/>
  <c r="AH40" i="2" s="1"/>
  <c r="Z29" i="2"/>
  <c r="AA29" i="2" s="1"/>
  <c r="Z22" i="2"/>
  <c r="Z49" i="2"/>
  <c r="AD48" i="2"/>
  <c r="AE48" i="2" s="1"/>
  <c r="Z35" i="2"/>
  <c r="AA35" i="2" s="1"/>
  <c r="AB24" i="2"/>
  <c r="AC24" i="2" s="1"/>
  <c r="AA26" i="2"/>
  <c r="AC42" i="2"/>
  <c r="Z28" i="2"/>
  <c r="AE25" i="2"/>
  <c r="AC21" i="2"/>
  <c r="AD21" i="2" s="1"/>
  <c r="AE21" i="2" s="1"/>
  <c r="Z38" i="2"/>
  <c r="AA38" i="2" s="1"/>
  <c r="AB38" i="2" s="1"/>
  <c r="AC38" i="2" s="1"/>
  <c r="AD38" i="2" s="1"/>
  <c r="AE38" i="2" s="1"/>
  <c r="AF38" i="2" s="1"/>
  <c r="AG38" i="2" s="1"/>
  <c r="AA41" i="2"/>
  <c r="AB41" i="2" s="1"/>
  <c r="AC41" i="2" s="1"/>
  <c r="AD41" i="2" s="1"/>
  <c r="AE41" i="2" s="1"/>
  <c r="AF41" i="2" s="1"/>
  <c r="L45" i="2" l="1"/>
  <c r="Z45" i="2" s="1"/>
  <c r="AA45" i="2" s="1"/>
  <c r="AB45" i="2" s="1"/>
  <c r="AE127" i="6"/>
  <c r="AE2" i="6" s="1"/>
  <c r="AD30" i="2"/>
  <c r="AE30" i="2" s="1"/>
  <c r="AF30" i="2" s="1"/>
  <c r="AF27" i="2"/>
  <c r="AG27" i="2" s="1"/>
  <c r="AH27" i="2" s="1"/>
  <c r="O127" i="6"/>
  <c r="AD127" i="6" s="1"/>
  <c r="AD2" i="6" s="1"/>
  <c r="AB29" i="2"/>
  <c r="AC29" i="2" s="1"/>
  <c r="Z44" i="2"/>
  <c r="AA44" i="2" s="1"/>
  <c r="AA49" i="2"/>
  <c r="AB49" i="2" s="1"/>
  <c r="AF48" i="2"/>
  <c r="AG48" i="2" s="1"/>
  <c r="AH48" i="2" s="1"/>
  <c r="AA22" i="2"/>
  <c r="Z43" i="2"/>
  <c r="AD24" i="2"/>
  <c r="AE24" i="2" s="1"/>
  <c r="AF24" i="2" s="1"/>
  <c r="AG24" i="2" s="1"/>
  <c r="AH24" i="2" s="1"/>
  <c r="AB26" i="2"/>
  <c r="AB35" i="2"/>
  <c r="AD42" i="2"/>
  <c r="AF21" i="2"/>
  <c r="AG21" i="2" s="1"/>
  <c r="AH21" i="2" s="1"/>
  <c r="AF25" i="2"/>
  <c r="AG25" i="2" s="1"/>
  <c r="AH25" i="2" s="1"/>
  <c r="Z32" i="2"/>
  <c r="AA32" i="2" s="1"/>
  <c r="AA28" i="2"/>
  <c r="AB28" i="2" s="1"/>
  <c r="AC28" i="2" s="1"/>
  <c r="AG41" i="2"/>
  <c r="AH41" i="2" s="1"/>
  <c r="AH38" i="2"/>
  <c r="AG30" i="2" l="1"/>
  <c r="AH30" i="2" s="1"/>
  <c r="AC45" i="2"/>
  <c r="AD45" i="2" s="1"/>
  <c r="AE45" i="2" s="1"/>
  <c r="P155" i="6"/>
  <c r="H75" i="5"/>
  <c r="K45" i="2"/>
  <c r="AD29" i="2"/>
  <c r="AE29" i="2" s="1"/>
  <c r="AC49" i="2"/>
  <c r="AD49" i="2" s="1"/>
  <c r="AE49" i="2" s="1"/>
  <c r="AA43" i="2"/>
  <c r="AB43" i="2" s="1"/>
  <c r="AC43" i="2" s="1"/>
  <c r="AD43" i="2" s="1"/>
  <c r="AE43" i="2" s="1"/>
  <c r="AF43" i="2" s="1"/>
  <c r="AG43" i="2" s="1"/>
  <c r="AH43" i="2" s="1"/>
  <c r="AB22" i="2"/>
  <c r="AC22" i="2" s="1"/>
  <c r="AD22" i="2" s="1"/>
  <c r="AE22" i="2" s="1"/>
  <c r="AF22" i="2" s="1"/>
  <c r="AG22" i="2" s="1"/>
  <c r="AH22" i="2" s="1"/>
  <c r="AC35" i="2"/>
  <c r="AD35" i="2" s="1"/>
  <c r="AE35" i="2" s="1"/>
  <c r="AF35" i="2" s="1"/>
  <c r="AG35" i="2" s="1"/>
  <c r="AH35" i="2" s="1"/>
  <c r="AE42" i="2"/>
  <c r="AF42" i="2" s="1"/>
  <c r="AG42" i="2" s="1"/>
  <c r="AB32" i="2"/>
  <c r="AC32" i="2" s="1"/>
  <c r="Z39" i="2"/>
  <c r="AC26" i="2"/>
  <c r="AD26" i="2" s="1"/>
  <c r="AE26" i="2" s="1"/>
  <c r="AF26" i="2" s="1"/>
  <c r="AG26" i="2" s="1"/>
  <c r="AH26" i="2" s="1"/>
  <c r="Z36" i="2"/>
  <c r="AD28" i="2"/>
  <c r="AE28" i="2" s="1"/>
  <c r="AF28" i="2" s="1"/>
  <c r="AG28" i="2" s="1"/>
  <c r="AH28" i="2" s="1"/>
  <c r="AB44" i="2"/>
  <c r="A9" i="6"/>
  <c r="L47" i="2" l="1"/>
  <c r="AE155" i="6"/>
  <c r="AF45" i="2"/>
  <c r="AG45" i="2" s="1"/>
  <c r="AH45" i="2" s="1"/>
  <c r="L31" i="2"/>
  <c r="P120" i="6"/>
  <c r="L34" i="2" s="1"/>
  <c r="O155" i="6"/>
  <c r="AD155" i="6" s="1"/>
  <c r="AF29" i="2"/>
  <c r="AG29" i="2" s="1"/>
  <c r="AH29" i="2" s="1"/>
  <c r="AF49" i="2"/>
  <c r="AG49" i="2" s="1"/>
  <c r="AH49" i="2" s="1"/>
  <c r="AA39" i="2"/>
  <c r="AB39" i="2" s="1"/>
  <c r="AC39" i="2" s="1"/>
  <c r="AD39" i="2" s="1"/>
  <c r="AE39" i="2" s="1"/>
  <c r="AF39" i="2" s="1"/>
  <c r="AG39" i="2" s="1"/>
  <c r="AH39" i="2" s="1"/>
  <c r="AA36" i="2"/>
  <c r="AB36" i="2" s="1"/>
  <c r="AH42" i="2"/>
  <c r="AC44" i="2"/>
  <c r="AD32" i="2"/>
  <c r="AE32" i="2" s="1"/>
  <c r="P96" i="6"/>
  <c r="L33" i="2" l="1"/>
  <c r="Z33" i="2" s="1"/>
  <c r="AE96" i="6"/>
  <c r="Z47" i="2"/>
  <c r="AA47" i="2" s="1"/>
  <c r="AB47" i="2" s="1"/>
  <c r="AC47" i="2" s="1"/>
  <c r="AD47" i="2" s="1"/>
  <c r="AE47" i="2" s="1"/>
  <c r="O96" i="6"/>
  <c r="AD96" i="6" s="1"/>
  <c r="H77" i="5"/>
  <c r="K47" i="2"/>
  <c r="O120" i="6"/>
  <c r="AD44" i="2"/>
  <c r="AE44" i="2" s="1"/>
  <c r="AF44" i="2" s="1"/>
  <c r="AG44" i="2" s="1"/>
  <c r="AH44" i="2" s="1"/>
  <c r="AC36" i="2"/>
  <c r="AD36" i="2" s="1"/>
  <c r="AE36" i="2" s="1"/>
  <c r="AF36" i="2" s="1"/>
  <c r="AF32" i="2"/>
  <c r="AG32" i="2" s="1"/>
  <c r="AH32" i="2" s="1"/>
  <c r="P47" i="6"/>
  <c r="H63" i="5" l="1"/>
  <c r="L23" i="2"/>
  <c r="AE47" i="6"/>
  <c r="Z34" i="2"/>
  <c r="AA33" i="2"/>
  <c r="AB33" i="2" s="1"/>
  <c r="AC33" i="2" s="1"/>
  <c r="AD33" i="2" s="1"/>
  <c r="AE33" i="2" s="1"/>
  <c r="AF47" i="2"/>
  <c r="AG47" i="2" s="1"/>
  <c r="AH47" i="2" s="1"/>
  <c r="Z31" i="2"/>
  <c r="K33" i="2"/>
  <c r="K31" i="2"/>
  <c r="H61" i="5"/>
  <c r="K34" i="2"/>
  <c r="H64" i="5"/>
  <c r="O47" i="6"/>
  <c r="AD47" i="6" s="1"/>
  <c r="AG36" i="2"/>
  <c r="AH36" i="2" s="1"/>
  <c r="A12" i="2"/>
  <c r="AA34" i="2" l="1"/>
  <c r="AB34" i="2" s="1"/>
  <c r="AC34" i="2" s="1"/>
  <c r="AA31" i="2"/>
  <c r="AB31" i="2" s="1"/>
  <c r="Z23" i="2"/>
  <c r="AF33" i="2"/>
  <c r="AG33" i="2" s="1"/>
  <c r="AH33" i="2" s="1"/>
  <c r="H53" i="5"/>
  <c r="K23" i="2"/>
  <c r="Z46" i="2"/>
  <c r="AA46" i="2" s="1"/>
  <c r="AC31" i="2" l="1"/>
  <c r="AD31" i="2" s="1"/>
  <c r="AE31" i="2" s="1"/>
  <c r="AF31" i="2" s="1"/>
  <c r="AG31" i="2" s="1"/>
  <c r="AH31" i="2" s="1"/>
  <c r="AD34" i="2"/>
  <c r="AE34" i="2" s="1"/>
  <c r="AF34" i="2" s="1"/>
  <c r="AG34" i="2" s="1"/>
  <c r="AH34" i="2" s="1"/>
  <c r="AA23" i="2"/>
  <c r="AB23" i="2" s="1"/>
  <c r="P17" i="6"/>
  <c r="AB46" i="2"/>
  <c r="AC46" i="2" s="1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L20" i="2" l="1"/>
  <c r="AE17" i="6"/>
  <c r="AC23" i="2"/>
  <c r="AD23" i="2" s="1"/>
  <c r="AE23" i="2" s="1"/>
  <c r="O17" i="6"/>
  <c r="AD17" i="6" s="1"/>
  <c r="AD46" i="2"/>
  <c r="AE46" i="2" s="1"/>
  <c r="AF46" i="2" s="1"/>
  <c r="AG46" i="2" s="1"/>
  <c r="AH46" i="2" s="1"/>
  <c r="C14" i="6"/>
  <c r="C13" i="6"/>
  <c r="AF23" i="2" l="1"/>
  <c r="AG23" i="2" s="1"/>
  <c r="AH23" i="2" s="1"/>
  <c r="H50" i="5"/>
  <c r="H485" i="5" s="1"/>
  <c r="N1" i="2" s="1"/>
  <c r="K20" i="2"/>
  <c r="A24" i="1"/>
  <c r="Z20" i="2" l="1"/>
  <c r="AA20" i="2" s="1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B20" i="2" l="1"/>
  <c r="AC20" i="2" s="1"/>
  <c r="AD20" i="2" s="1"/>
  <c r="AE20" i="2" s="1"/>
  <c r="AF20" i="2" s="1"/>
  <c r="AG20" i="2" s="1"/>
  <c r="AH20" i="2" s="1"/>
  <c r="G484" i="5"/>
</calcChain>
</file>

<file path=xl/sharedStrings.xml><?xml version="1.0" encoding="utf-8"?>
<sst xmlns="http://schemas.openxmlformats.org/spreadsheetml/2006/main" count="2084" uniqueCount="1075">
  <si>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</si>
  <si>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</si>
  <si>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</si>
  <si>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</si>
  <si>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</si>
  <si>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</si>
  <si>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</si>
  <si>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</si>
  <si>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</si>
  <si>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</si>
  <si>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</si>
  <si>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</si>
  <si>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</si>
  <si>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</si>
  <si>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</si>
  <si>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</si>
  <si>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</si>
  <si>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</si>
  <si>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</si>
  <si>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</si>
  <si>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</si>
  <si>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</si>
  <si>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</si>
  <si>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</si>
  <si>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</si>
  <si>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</si>
  <si>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</si>
  <si>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</si>
  <si>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</si>
  <si>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</si>
  <si>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</si>
  <si>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</si>
  <si>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</si>
  <si>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</si>
  <si>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</si>
  <si>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</si>
  <si>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</si>
  <si>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</si>
  <si>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</si>
  <si>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</si>
  <si>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</si>
  <si>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</si>
  <si>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</si>
  <si>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</si>
  <si>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</si>
  <si>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</si>
  <si>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</si>
  <si>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</si>
  <si>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</si>
  <si>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</si>
  <si>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</si>
  <si>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</si>
  <si>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</si>
  <si>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</si>
  <si>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</si>
  <si>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</si>
  <si>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</si>
  <si>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</si>
  <si>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</si>
  <si>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</si>
  <si>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</si>
  <si>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</si>
  <si>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</si>
  <si>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</si>
  <si>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</si>
  <si>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</si>
  <si>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</si>
  <si>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</si>
  <si>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</si>
  <si>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</si>
  <si>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</si>
  <si>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</si>
  <si>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</si>
  <si>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</si>
  <si>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</si>
  <si>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</si>
  <si>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</si>
  <si>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</si>
  <si>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</si>
  <si>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</si>
  <si>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</si>
  <si>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</si>
  <si>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</si>
  <si>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</si>
  <si>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</si>
  <si>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</si>
  <si>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</si>
  <si>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</si>
  <si>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</si>
  <si>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</si>
  <si>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</si>
  <si>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</si>
  <si>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</si>
  <si>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</si>
  <si>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</si>
  <si>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</si>
  <si>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</si>
  <si>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</si>
  <si>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</si>
  <si>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</si>
  <si>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</si>
  <si>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</si>
  <si>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</si>
  <si>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</si>
  <si>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</si>
  <si>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</si>
  <si>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</si>
  <si>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</si>
  <si>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</si>
  <si>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</si>
  <si>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</si>
  <si>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</si>
  <si>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</si>
  <si>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</si>
  <si>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</si>
  <si>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</si>
  <si>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</si>
  <si>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</si>
  <si>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</si>
  <si>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</si>
  <si>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</si>
  <si>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</si>
  <si>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</si>
  <si>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</si>
  <si>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</si>
  <si>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</si>
  <si>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</si>
  <si>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</si>
  <si>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</si>
  <si>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</si>
  <si>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</si>
  <si>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</si>
  <si>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</si>
  <si>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</si>
  <si>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</si>
  <si>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</si>
  <si>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</si>
  <si>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</si>
  <si>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</si>
  <si>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</si>
  <si>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</si>
  <si>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</si>
  <si>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</si>
  <si>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</si>
  <si>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</si>
  <si>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</si>
  <si>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</si>
  <si>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</si>
  <si>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</si>
  <si>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</si>
  <si>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</si>
  <si>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</si>
  <si>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</si>
  <si>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</si>
  <si>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</si>
  <si>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</si>
  <si>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</si>
  <si>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</si>
  <si>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</si>
  <si>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</si>
  <si>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</si>
  <si>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</si>
  <si>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</si>
  <si>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</si>
  <si>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</si>
  <si>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</si>
  <si>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</si>
  <si>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</si>
  <si>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</si>
  <si>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</si>
  <si>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</si>
  <si>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</si>
  <si>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</si>
  <si>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</si>
  <si>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</si>
  <si>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</si>
  <si>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</si>
  <si>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</si>
  <si>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</si>
  <si>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</si>
  <si>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</si>
  <si>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</si>
  <si>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</si>
  <si>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</si>
  <si>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</si>
  <si>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</si>
  <si>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</si>
  <si>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</si>
  <si>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</si>
  <si>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</si>
  <si>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</si>
  <si>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</si>
  <si>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</si>
  <si>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</si>
  <si>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</si>
  <si>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</si>
  <si>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</si>
  <si>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</si>
  <si>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</si>
  <si>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</si>
  <si>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</si>
  <si>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</si>
  <si>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</si>
  <si>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</si>
  <si>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</si>
  <si>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</si>
  <si>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</si>
  <si>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</si>
  <si>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</si>
  <si>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</si>
  <si>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</si>
  <si>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</si>
  <si>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</si>
  <si>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</si>
  <si>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</si>
  <si>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</si>
  <si>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</si>
  <si>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</si>
  <si>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</si>
  <si>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</si>
  <si>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</si>
  <si>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</si>
  <si>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</si>
  <si>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</si>
  <si>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</si>
  <si>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</si>
  <si>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</si>
  <si>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</si>
  <si>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</si>
  <si>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</si>
  <si>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</si>
  <si>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</si>
  <si>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</si>
  <si>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</si>
  <si>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</si>
  <si>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</si>
  <si>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</si>
  <si>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</si>
  <si>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</si>
  <si>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</si>
  <si>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</si>
  <si>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</si>
  <si>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</si>
  <si>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</si>
  <si>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</si>
  <si>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</si>
  <si>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</si>
  <si>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</si>
  <si>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</si>
  <si>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</si>
  <si>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</si>
  <si>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</si>
  <si>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</si>
  <si>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</si>
  <si>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</si>
  <si>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</si>
  <si>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</si>
  <si>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</si>
  <si>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</si>
  <si>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</si>
  <si>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</si>
  <si>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</si>
  <si>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</si>
  <si>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</si>
  <si>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</si>
  <si>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</si>
  <si>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</si>
  <si>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</si>
  <si>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</si>
  <si>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</si>
  <si>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</si>
  <si>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</si>
  <si>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</si>
  <si>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</si>
  <si>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</si>
  <si>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</si>
  <si>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</si>
  <si>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</si>
  <si>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</si>
  <si>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</si>
  <si>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</si>
  <si>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</si>
  <si>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</si>
  <si>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</si>
  <si>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</si>
  <si>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</si>
  <si>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</si>
  <si>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</si>
  <si>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</si>
  <si>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</si>
  <si>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</si>
  <si>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</si>
  <si>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</si>
  <si>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</si>
  <si>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</si>
  <si>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</si>
  <si>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</si>
  <si>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</si>
  <si>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</si>
  <si>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</si>
  <si>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</si>
  <si>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</si>
  <si>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</si>
  <si>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</si>
  <si>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</si>
  <si>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</si>
  <si>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</si>
  <si>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</si>
  <si>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</si>
  <si>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</si>
  <si>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</si>
  <si>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</si>
  <si>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</si>
  <si>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</si>
  <si>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</si>
  <si>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</si>
  <si>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</si>
  <si>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</si>
  <si>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</si>
  <si>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</si>
  <si>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</si>
  <si>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</si>
  <si>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</si>
  <si>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</si>
  <si>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</si>
  <si>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</si>
  <si>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</si>
  <si>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</si>
  <si>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</si>
  <si>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</si>
  <si>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</si>
  <si>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</si>
  <si>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</si>
  <si>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</si>
  <si>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</si>
  <si>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</si>
  <si>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</si>
  <si>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</si>
  <si>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</si>
  <si>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</si>
  <si>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</si>
  <si>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</si>
  <si>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</si>
  <si>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</si>
  <si>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</si>
  <si>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</si>
  <si>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</si>
  <si>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</si>
  <si>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</si>
  <si>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</si>
  <si>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</si>
  <si>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</si>
  <si>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</si>
  <si>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</si>
  <si>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</si>
  <si>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</si>
  <si>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</si>
  <si>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</si>
  <si>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</si>
  <si>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</si>
  <si>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</si>
  <si>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</si>
  <si>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</si>
  <si>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</si>
  <si>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</si>
  <si>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</si>
  <si>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</si>
  <si>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</si>
  <si>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</si>
  <si>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</si>
  <si>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</si>
  <si>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</si>
  <si>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</si>
  <si>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</si>
  <si>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</si>
  <si>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</si>
  <si>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</si>
  <si>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</si>
  <si>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</si>
  <si>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</si>
  <si>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</si>
  <si>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</si>
  <si>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</si>
  <si>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</si>
  <si>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</si>
  <si>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</si>
  <si>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</si>
  <si>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</si>
  <si>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</si>
  <si>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</si>
  <si>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</si>
  <si>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</si>
  <si>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</si>
  <si>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</si>
  <si>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</si>
  <si>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</si>
  <si>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</si>
  <si>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</si>
  <si>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</si>
  <si>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</si>
  <si>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</si>
  <si>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</si>
  <si>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</si>
  <si>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</si>
  <si>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</si>
  <si>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</si>
  <si>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</si>
  <si>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</si>
  <si>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</si>
  <si>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</si>
  <si>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</si>
  <si>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</si>
  <si>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</si>
  <si>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</si>
  <si>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</si>
  <si>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</si>
  <si>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</si>
  <si>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</si>
  <si>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</si>
  <si>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</si>
  <si>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</si>
  <si>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</si>
  <si>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</si>
  <si>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</si>
  <si>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</si>
  <si>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</si>
  <si>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</si>
  <si>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</si>
  <si>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</si>
  <si>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</si>
  <si>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</si>
  <si>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</si>
  <si>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</si>
  <si>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</si>
  <si>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</si>
  <si>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</si>
  <si>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</si>
  <si>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</si>
  <si>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</si>
  <si>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</si>
  <si>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</si>
  <si>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</si>
  <si>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</si>
  <si>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</si>
  <si>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</si>
  <si>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</si>
  <si>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</si>
  <si>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</si>
  <si>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</si>
  <si>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</si>
  <si>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</si>
  <si>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</si>
  <si>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</si>
  <si>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</si>
  <si>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</si>
  <si>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</si>
  <si>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</si>
  <si>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</si>
  <si>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</si>
  <si>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</si>
  <si>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</si>
  <si>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</si>
  <si>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</si>
  <si>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</si>
  <si>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</si>
  <si>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</si>
  <si>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</si>
  <si>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</si>
  <si>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</si>
  <si>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</si>
  <si>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</si>
  <si>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</si>
  <si>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</si>
  <si>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</si>
  <si>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</si>
  <si>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</si>
  <si>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</si>
  <si>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</si>
  <si>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</si>
  <si>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</si>
  <si>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</si>
  <si>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</si>
  <si>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</si>
  <si>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</si>
  <si>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</si>
  <si>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</si>
  <si>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</si>
  <si>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</si>
  <si>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</si>
  <si>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</si>
  <si>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</si>
  <si>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</si>
  <si>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</si>
  <si>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</si>
  <si>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</si>
  <si>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</si>
  <si>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</si>
  <si>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</si>
  <si>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</si>
  <si>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</si>
  <si>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</si>
  <si>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</si>
  <si>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</si>
  <si>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</si>
  <si>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</si>
  <si>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</si>
  <si>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</si>
  <si>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</si>
  <si>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</si>
  <si>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</si>
  <si>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</si>
  <si>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</si>
  <si>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</si>
  <si>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</si>
  <si>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</si>
  <si>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</si>
  <si>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</si>
  <si>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</si>
  <si>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</si>
  <si>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</si>
  <si>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</si>
  <si>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</si>
  <si>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</si>
  <si>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</si>
  <si>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</si>
  <si>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</si>
  <si>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</si>
  <si>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</si>
  <si>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</si>
  <si>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</si>
  <si>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</si>
  <si>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</si>
  <si>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</si>
  <si>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</si>
  <si>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</si>
  <si>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</si>
  <si>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</si>
  <si>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</si>
  <si>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</si>
  <si>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</si>
  <si>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</si>
  <si>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</si>
  <si>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</si>
  <si>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</si>
  <si>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</si>
  <si>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</si>
  <si>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</si>
  <si>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</si>
  <si>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</si>
  <si>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</si>
  <si>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</si>
  <si>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</si>
  <si>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</si>
  <si>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</si>
  <si>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</si>
  <si>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</si>
  <si>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</si>
  <si>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</si>
  <si>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</si>
  <si>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</si>
  <si>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</si>
  <si>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</si>
  <si>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</si>
  <si>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</si>
  <si>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</si>
  <si>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</si>
  <si>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</si>
  <si>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</si>
  <si>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</si>
  <si>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</si>
  <si>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</si>
  <si>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</si>
  <si>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</si>
  <si>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</si>
  <si>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</si>
  <si>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</si>
  <si>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</si>
  <si>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</si>
  <si>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</si>
  <si>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</si>
  <si>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</si>
  <si>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</si>
  <si>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</si>
  <si>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</si>
  <si>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</si>
  <si>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</si>
  <si>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</si>
  <si>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</si>
  <si>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</si>
  <si>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</si>
  <si>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</si>
  <si>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</si>
  <si>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</si>
  <si>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</si>
  <si>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</si>
  <si>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</si>
  <si>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</si>
  <si>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</si>
  <si>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</si>
  <si>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</si>
  <si>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</si>
  <si>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</si>
  <si>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</si>
  <si>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</si>
  <si>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</si>
  <si>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</si>
  <si>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</si>
  <si>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</si>
  <si>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</si>
  <si>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</si>
  <si>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</si>
  <si>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</si>
  <si>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</si>
  <si>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</si>
  <si>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</si>
  <si>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</si>
  <si>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</si>
  <si>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</si>
  <si>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</si>
  <si>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</si>
  <si>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</si>
  <si>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</si>
  <si>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</si>
  <si>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</si>
  <si>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</si>
  <si>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</si>
  <si>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</si>
  <si>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</si>
  <si>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</si>
  <si>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</si>
  <si>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</si>
  <si>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</si>
  <si>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</si>
  <si>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</si>
  <si>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</si>
  <si>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</si>
  <si>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</si>
  <si>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</si>
  <si>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</si>
  <si>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</si>
  <si>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</si>
  <si>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</si>
  <si>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</si>
  <si>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</si>
  <si>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</si>
  <si>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</si>
  <si>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</si>
  <si>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</si>
  <si>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</si>
  <si>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</si>
  <si>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</si>
  <si>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</si>
  <si>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</si>
  <si>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</si>
  <si>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</si>
  <si>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</si>
  <si>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</si>
  <si>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</si>
  <si>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</si>
  <si>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</si>
  <si>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</si>
  <si>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</si>
  <si>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</si>
  <si>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</si>
  <si>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</si>
  <si>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</si>
  <si>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</si>
  <si>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</si>
  <si>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</si>
  <si>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</si>
  <si>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</si>
  <si>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</si>
  <si>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</si>
  <si>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</si>
  <si>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</si>
  <si>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</si>
  <si>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</si>
  <si>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</si>
  <si>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</si>
  <si>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</si>
  <si>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</si>
  <si>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</si>
  <si>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</si>
  <si>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</si>
  <si>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</si>
  <si>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</si>
  <si>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</si>
  <si>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</si>
  <si>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</si>
  <si>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</si>
  <si>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</si>
  <si>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</si>
  <si>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</si>
  <si>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</si>
  <si>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</si>
  <si>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</si>
  <si>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</si>
  <si>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</si>
  <si>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</si>
  <si>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</si>
  <si>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</si>
  <si>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</si>
  <si>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</si>
  <si>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</si>
  <si>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</si>
  <si>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</si>
  <si>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</si>
  <si>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</si>
  <si>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</si>
  <si>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</si>
  <si>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</si>
  <si>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</si>
  <si>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</si>
  <si>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</si>
  <si>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</si>
  <si>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</si>
  <si>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</si>
  <si>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</si>
  <si>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</si>
  <si>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</si>
  <si>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</si>
  <si>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</si>
  <si>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</si>
  <si>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</si>
  <si>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</si>
  <si>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</si>
  <si>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</si>
  <si>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</si>
  <si>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</si>
  <si>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</si>
  <si>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</si>
  <si>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</si>
  <si>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</si>
  <si>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</si>
  <si>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</si>
  <si>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</si>
  <si>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</si>
  <si>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</si>
  <si>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</si>
  <si>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</si>
  <si>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</si>
  <si>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</si>
  <si>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</si>
  <si>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</si>
  <si>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</si>
  <si>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</si>
  <si>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</si>
  <si>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</si>
  <si>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</si>
  <si>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</si>
  <si>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</si>
  <si>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</si>
  <si>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</si>
  <si>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</si>
  <si>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</si>
  <si>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</si>
  <si>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</si>
  <si>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</si>
  <si>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</si>
  <si>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</si>
  <si>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</si>
  <si>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</si>
  <si>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</si>
  <si>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</si>
  <si>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</si>
  <si>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</si>
  <si>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</si>
  <si>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</si>
  <si>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</si>
  <si>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</si>
  <si>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</si>
  <si>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</si>
  <si>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</si>
  <si>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</si>
  <si>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</si>
  <si>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</si>
  <si>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</si>
  <si>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</si>
  <si>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</si>
  <si>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</si>
  <si>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</si>
  <si>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</si>
  <si>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</si>
  <si>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</si>
  <si>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</si>
  <si>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</si>
  <si>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</si>
  <si>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</si>
  <si>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</si>
  <si>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</si>
  <si>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</si>
  <si>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</si>
  <si>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</si>
  <si>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</si>
  <si>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</si>
  <si>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</si>
  <si>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</si>
  <si>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</si>
  <si>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</si>
  <si>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</si>
  <si>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</si>
  <si>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</si>
  <si>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</si>
  <si>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</si>
  <si>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</si>
  <si>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</si>
  <si>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</si>
  <si>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</si>
  <si>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</si>
  <si>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</si>
  <si>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</si>
  <si>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</si>
  <si>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</si>
  <si>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</si>
  <si>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</si>
  <si>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</si>
  <si>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</si>
  <si>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</si>
  <si>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</si>
  <si>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</si>
  <si>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</si>
  <si>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</si>
  <si>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</si>
  <si>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</si>
  <si>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</si>
  <si>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</si>
  <si>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</si>
  <si>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</si>
  <si>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</si>
  <si>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</si>
  <si>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</si>
  <si>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</si>
  <si>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</si>
  <si>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</si>
  <si>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</si>
  <si>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</si>
  <si>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</si>
  <si>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</si>
  <si>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</si>
  <si>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</si>
  <si>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</si>
  <si>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</si>
  <si>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</si>
  <si>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</si>
  <si>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</si>
  <si>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</si>
  <si>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</si>
  <si>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</si>
  <si>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</si>
  <si>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</si>
  <si>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</si>
  <si>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</si>
  <si>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</si>
  <si>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</si>
  <si>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</si>
  <si>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</si>
  <si>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</si>
  <si>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</si>
  <si>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</si>
  <si>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</si>
  <si>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</si>
  <si>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</si>
  <si>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</si>
  <si>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</si>
  <si>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</si>
  <si>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</si>
  <si>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</si>
  <si>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</si>
  <si>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</si>
  <si>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</si>
  <si>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</si>
  <si>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</si>
  <si>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</si>
  <si>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</si>
  <si>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</si>
  <si>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</si>
  <si>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</si>
  <si>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</si>
  <si>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</si>
  <si>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</si>
  <si>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</si>
  <si>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</si>
  <si>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</si>
  <si>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</si>
  <si>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</si>
  <si>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</si>
  <si>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</si>
  <si>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</si>
  <si>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</si>
  <si>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</si>
  <si>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</si>
  <si>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</si>
  <si>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</si>
  <si>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</si>
  <si>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</si>
  <si>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</si>
  <si>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</si>
  <si>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</si>
  <si>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</si>
  <si>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</si>
  <si>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</si>
  <si>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</si>
  <si>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</si>
  <si>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</si>
  <si>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</si>
  <si>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</si>
  <si>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</si>
  <si>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</si>
  <si>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</si>
  <si>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</si>
  <si>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</si>
  <si>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</si>
  <si>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</si>
  <si>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</si>
  <si>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</si>
  <si>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</si>
  <si>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</si>
  <si>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</si>
  <si>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</si>
  <si>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</si>
  <si>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</si>
  <si>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</si>
  <si>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</si>
  <si>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</si>
  <si>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</si>
  <si>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</si>
  <si>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</si>
  <si>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</si>
  <si>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</si>
  <si>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</si>
  <si>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</si>
  <si>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</si>
  <si>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</si>
  <si>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</si>
  <si>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</si>
  <si>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</si>
  <si>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</si>
  <si>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</si>
  <si>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</si>
  <si>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</si>
  <si>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</si>
  <si>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</si>
  <si>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</si>
  <si>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</si>
  <si>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</si>
  <si>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</si>
  <si>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</si>
  <si>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</si>
  <si>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</si>
  <si>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</si>
  <si>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</si>
  <si>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</si>
  <si>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</si>
  <si>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</si>
  <si>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</si>
  <si>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</si>
  <si>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</si>
  <si>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</si>
  <si>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</si>
  <si>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</si>
  <si>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</si>
  <si>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</si>
  <si>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</si>
  <si>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</si>
  <si>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</si>
  <si>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</si>
  <si>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</si>
  <si>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</si>
  <si>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</si>
  <si>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</si>
  <si>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</si>
  <si>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</si>
  <si>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</si>
  <si>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</si>
  <si>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</si>
  <si>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</si>
  <si>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</si>
  <si>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</si>
  <si>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</si>
  <si>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</si>
  <si>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</si>
  <si>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</si>
  <si>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</si>
  <si>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</si>
  <si>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</si>
  <si>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</si>
  <si>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</si>
  <si>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</si>
  <si>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</si>
  <si>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</si>
  <si>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</si>
  <si>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</si>
  <si>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</si>
  <si>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</si>
  <si>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</si>
  <si>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</si>
  <si>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Ayna Kesit Tipi</t>
  </si>
  <si>
    <t>Kalınlık</t>
  </si>
  <si>
    <t>6 Nolu İksa Tipi Ayna</t>
  </si>
  <si>
    <t>Ayna Kırımları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</si>
  <si>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</si>
  <si>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</si>
  <si>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</si>
  <si>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</si>
  <si>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</si>
  <si>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</si>
  <si>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</si>
  <si>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</si>
  <si>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</si>
  <si>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</si>
  <si>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</si>
  <si>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</si>
  <si>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</si>
  <si>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Adeti</t>
  </si>
  <si>
    <t>Pah Bölgesi Z Donatıları</t>
  </si>
  <si>
    <t>Ø14  İşban Demiri (B2 Pozu)</t>
  </si>
  <si>
    <t>Ø12 L Donatı (B1 Pozu)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</si>
  <si>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</si>
  <si>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</si>
  <si>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</si>
  <si>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</si>
  <si>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</si>
  <si>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</si>
  <si>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</si>
  <si>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</si>
  <si>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</si>
  <si>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</si>
  <si>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</si>
  <si>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</si>
  <si>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</si>
  <si>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</si>
  <si>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</si>
  <si>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</si>
  <si>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</si>
  <si>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</si>
  <si>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</si>
  <si>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</si>
  <si>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</si>
  <si>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</si>
  <si>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</si>
  <si>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</si>
  <si>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2025.07-001</t>
  </si>
  <si>
    <t>S06.H1.HY.P1.A1.001</t>
  </si>
  <si>
    <t>1+363,88 KM Pah donatısı</t>
  </si>
  <si>
    <t>1+368,38 KM Pah donatısı</t>
  </si>
  <si>
    <t>2025.08-001</t>
  </si>
  <si>
    <t>S06.H1.HY.P1.A1.002</t>
  </si>
  <si>
    <t>1+372,88 KM Pah donatısı</t>
  </si>
  <si>
    <t>1+377,38 KM Pah donatısı</t>
  </si>
  <si>
    <t>1+381,88 KM Pah donatısı</t>
  </si>
  <si>
    <t>1+386,38 KM Pah donatısı</t>
  </si>
  <si>
    <t>2025.09-001</t>
  </si>
  <si>
    <t>S06.H1.HY.P1.A1.003</t>
  </si>
  <si>
    <t>1+390,88 KM Pah donatısı</t>
  </si>
  <si>
    <t>1+395,38 KM Pah donatısı</t>
  </si>
  <si>
    <t>1+399,88 KM Pah donatısı</t>
  </si>
  <si>
    <t>Q589/589</t>
  </si>
  <si>
    <t>ÖNCEKİ HAKEDİŞ MİKTARI</t>
  </si>
  <si>
    <t>BU HAKEDİŞ MİKTARI</t>
  </si>
  <si>
    <t>TOPLAM HAKEDİŞ MİKTARI</t>
  </si>
  <si>
    <t>Barbaros İstasyonu Hat - 1 Kirazlı Yönü P1 Tüneli 3.Aşama</t>
  </si>
  <si>
    <t>2026.02-008</t>
  </si>
  <si>
    <t>S06.H1.KY.P1.A3.001</t>
  </si>
  <si>
    <t>2026.03-006</t>
  </si>
  <si>
    <t>S06.H1.KY.P1.A3.002</t>
  </si>
  <si>
    <t>Kontak Enjeksiyon</t>
  </si>
  <si>
    <t>Önceki Hakediş</t>
  </si>
  <si>
    <t>Bu Hakediş Tutarı</t>
  </si>
  <si>
    <t>Kümülatif Hakediş</t>
  </si>
  <si>
    <t>Ayna Emniyet Shotcrete</t>
  </si>
  <si>
    <t/>
  </si>
  <si>
    <t>0</t>
  </si>
  <si>
    <t>3.Aşama İmalatları</t>
  </si>
  <si>
    <t>2026.04-003</t>
  </si>
  <si>
    <t>S06.H1.KY.P1.A3.003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</si>
</sst>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182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165" fontId="0" fillId="0" borderId="6" xfId="0" applyNumberFormat="1" applyBorder="1" applyAlignment="1">
      <alignment horizontal="center" vertical="center"/>
    </xf>
    <xf numFmtId="0" fontId="0" fillId="0" borderId="6" xfId="0" quotePrefix="1" applyBorder="1" applyAlignment="1">
      <alignment horizontal="centerContinuous" vertic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169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vertical="center"/>
    </xf>
    <xf numFmtId="0" fontId="3" fillId="2" borderId="5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43" fontId="0" fillId="0" borderId="12" xfId="1" applyFont="1" applyBorder="1" applyAlignment="1">
      <alignment horizontal="centerContinuous" vertical="center"/>
    </xf>
    <xf numFmtId="43" fontId="0" fillId="0" borderId="13" xfId="1" applyFont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6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8" fontId="0" fillId="0" borderId="6" xfId="1" applyNumberFormat="1" applyFont="1" applyBorder="1" applyAlignment="1">
      <alignment horizontal="centerContinuous" vertical="center"/>
    </xf>
    <xf numFmtId="167" fontId="0" fillId="0" borderId="13" xfId="2" applyNumberFormat="1" applyFont="1" applyBorder="1" applyAlignment="1">
      <alignment horizontal="right" vertical="center" indent="1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43" fontId="0" fillId="0" borderId="0" xfId="1" applyFont="1" applyAlignment="1">
      <alignment vertical="center"/>
    </xf>
    <xf numFmtId="0" fontId="0" fillId="0" borderId="11" xfId="0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43" fontId="0" fillId="0" borderId="13" xfId="1" applyFont="1" applyFill="1" applyBorder="1" applyAlignment="1">
      <alignment horizontal="center" vertical="center"/>
    </xf>
    <xf numFmtId="168" fontId="0" fillId="0" borderId="6" xfId="1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5" xfId="0" quotePrefix="1" applyFont="1" applyFill="1" applyBorder="1" applyAlignment="1">
      <alignment horizontal="centerContinuous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0" fillId="0" borderId="16" xfId="0" quotePrefix="1" applyBorder="1" applyAlignment="1">
      <alignment horizontal="centerContinuous" vertical="center"/>
    </xf>
    <xf numFmtId="167" fontId="0" fillId="0" borderId="16" xfId="2" applyNumberFormat="1" applyFont="1" applyBorder="1" applyAlignment="1">
      <alignment horizontal="right" vertical="center" indent="1"/>
    </xf>
    <xf numFmtId="168" fontId="0" fillId="0" borderId="16" xfId="1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left" vertical="center"/>
    </xf>
    <xf numFmtId="0" fontId="0" fillId="0" borderId="9" xfId="0" applyBorder="1" applyAlignment="1">
      <alignment vertical="center"/>
    </xf>
    <xf numFmtId="167" fontId="0" fillId="0" borderId="5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vertical="center"/>
    </xf>
    <xf numFmtId="0" fontId="0" fillId="0" borderId="7" xfId="0" applyBorder="1" applyAlignment="1">
      <alignment horizontal="centerContinuous" vertical="center"/>
    </xf>
    <xf numFmtId="43" fontId="0" fillId="0" borderId="9" xfId="1" applyFont="1" applyBorder="1" applyAlignment="1">
      <alignment horizontal="centerContinuous" vertical="center"/>
    </xf>
    <xf numFmtId="0" fontId="0" fillId="0" borderId="19" xfId="0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0" fillId="0" borderId="19" xfId="0" quotePrefix="1" applyBorder="1" applyAlignment="1">
      <alignment horizontal="centerContinuous" vertical="center"/>
    </xf>
    <xf numFmtId="166" fontId="0" fillId="0" borderId="19" xfId="0" applyNumberFormat="1" applyBorder="1" applyAlignment="1">
      <alignment horizontal="center" vertical="center"/>
    </xf>
    <xf numFmtId="0" fontId="0" fillId="0" borderId="10" xfId="0" applyBorder="1" applyAlignment="1">
      <alignment horizontal="centerContinuous" vertical="center"/>
    </xf>
    <xf numFmtId="43" fontId="0" fillId="0" borderId="20" xfId="1" applyFont="1" applyBorder="1" applyAlignment="1">
      <alignment horizontal="centerContinuous" vertical="center"/>
    </xf>
    <xf numFmtId="167" fontId="0" fillId="0" borderId="19" xfId="2" applyNumberFormat="1" applyFont="1" applyBorder="1" applyAlignment="1">
      <alignment horizontal="right" vertical="center" indent="1"/>
    </xf>
    <xf numFmtId="168" fontId="0" fillId="0" borderId="19" xfId="1" applyNumberFormat="1" applyFont="1" applyBorder="1" applyAlignment="1">
      <alignment vertical="center"/>
    </xf>
    <xf numFmtId="166" fontId="0" fillId="2" borderId="15" xfId="0" applyNumberFormat="1" applyFill="1" applyBorder="1" applyAlignment="1">
      <alignment horizontal="centerContinuous" vertical="center"/>
    </xf>
    <xf numFmtId="166" fontId="0" fillId="0" borderId="16" xfId="0" applyNumberFormat="1" applyBorder="1" applyAlignment="1">
      <alignment horizontal="centerContinuous" vertical="center"/>
    </xf>
    <xf numFmtId="166" fontId="0" fillId="0" borderId="19" xfId="0" applyNumberFormat="1" applyBorder="1" applyAlignment="1">
      <alignment horizontal="centerContinuous" vertical="center"/>
    </xf>
    <xf numFmtId="169" fontId="0" fillId="0" borderId="19" xfId="0" applyNumberFormat="1" applyBorder="1" applyAlignment="1">
      <alignment horizontal="center" vertical="center"/>
    </xf>
    <xf numFmtId="43" fontId="0" fillId="0" borderId="19" xfId="1" applyFont="1" applyBorder="1" applyAlignment="1">
      <alignment horizontal="left" vertical="center"/>
    </xf>
    <xf numFmtId="9" fontId="0" fillId="0" borderId="5" xfId="2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Continuous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0" fillId="0" borderId="24" xfId="1" applyFont="1" applyBorder="1" applyAlignment="1">
      <alignment horizontal="left" vertical="center"/>
    </xf>
    <xf numFmtId="167" fontId="0" fillId="0" borderId="18" xfId="2" applyNumberFormat="1" applyFont="1" applyBorder="1" applyAlignment="1">
      <alignment horizontal="right" vertical="center" indent="1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Continuous" vertical="center"/>
    </xf>
    <xf numFmtId="166" fontId="0" fillId="0" borderId="1" xfId="0" applyNumberFormat="1" applyBorder="1" applyAlignment="1">
      <alignment horizontal="centerContinuous" vertical="center"/>
    </xf>
    <xf numFmtId="0" fontId="0" fillId="0" borderId="2" xfId="0" applyBorder="1" applyAlignment="1">
      <alignment horizontal="center" vertical="center"/>
    </xf>
    <xf numFmtId="167" fontId="0" fillId="0" borderId="4" xfId="2" applyNumberFormat="1" applyFont="1" applyBorder="1" applyAlignment="1">
      <alignment horizontal="right" vertical="center" indent="1"/>
    </xf>
    <xf numFmtId="0" fontId="3" fillId="2" borderId="21" xfId="0" applyFont="1" applyFill="1" applyBorder="1" applyAlignment="1">
      <alignment horizontal="centerContinuous" vertical="center"/>
    </xf>
    <xf numFmtId="0" fontId="3" fillId="2" borderId="22" xfId="0" applyFont="1" applyFill="1" applyBorder="1" applyAlignment="1">
      <alignment horizontal="centerContinuous" vertical="center" wrapText="1"/>
    </xf>
    <xf numFmtId="0" fontId="3" fillId="2" borderId="23" xfId="0" applyFont="1" applyFill="1" applyBorder="1" applyAlignment="1">
      <alignment horizontal="centerContinuous" vertical="center"/>
    </xf>
    <xf numFmtId="43" fontId="0" fillId="0" borderId="8" xfId="1" applyFont="1" applyBorder="1" applyAlignment="1">
      <alignment horizontal="centerContinuous" vertical="center"/>
    </xf>
    <xf numFmtId="167" fontId="2" fillId="0" borderId="22" xfId="1" applyNumberFormat="1" applyFont="1" applyFill="1" applyBorder="1" applyAlignment="1">
      <alignment horizontal="center" vertical="center"/>
    </xf>
    <xf numFmtId="43" fontId="0" fillId="0" borderId="14" xfId="1" applyFont="1" applyBorder="1" applyAlignment="1">
      <alignment horizontal="centerContinuous" vertical="center"/>
    </xf>
    <xf numFmtId="167" fontId="2" fillId="0" borderId="25" xfId="1" applyNumberFormat="1" applyFont="1" applyFill="1" applyBorder="1" applyAlignment="1">
      <alignment horizontal="center" vertical="center"/>
    </xf>
    <xf numFmtId="167" fontId="0" fillId="0" borderId="1" xfId="2" applyNumberFormat="1" applyFont="1" applyBorder="1" applyAlignment="1">
      <alignment horizontal="right" vertical="center" indent="1"/>
    </xf>
    <xf numFmtId="166" fontId="0" fillId="0" borderId="1" xfId="0" applyNumberFormat="1" applyBorder="1" applyAlignment="1">
      <alignment horizontal="center" vertical="center"/>
    </xf>
    <xf numFmtId="43" fontId="0" fillId="0" borderId="3" xfId="4" applyFont="1" applyBorder="1" applyAlignment="1">
      <alignment horizontal="centerContinuous" vertical="center"/>
    </xf>
    <xf numFmtId="43" fontId="0" fillId="0" borderId="4" xfId="4" applyFont="1" applyBorder="1" applyAlignment="1">
      <alignment horizontal="left" vertical="center"/>
    </xf>
    <xf numFmtId="167" fontId="0" fillId="0" borderId="19" xfId="2" applyNumberFormat="1" applyFont="1" applyFill="1" applyBorder="1" applyAlignment="1">
      <alignment horizontal="right" vertical="center" indent="1"/>
    </xf>
    <xf numFmtId="0" fontId="3" fillId="2" borderId="3" xfId="0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left" vertical="center"/>
    </xf>
    <xf numFmtId="9" fontId="0" fillId="0" borderId="19" xfId="2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68" fontId="0" fillId="0" borderId="19" xfId="1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FCC145A-F961-4CA5-BEBA-F5A04E425F82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8.xlsx" TargetMode="External"/><Relationship Id="rId2" Type="http://schemas.openxmlformats.org/officeDocument/2006/relationships/externalLinkPath" Target="file:///C:\Users\rbasak\Desktop\28.xlsx" TargetMode="External"/><Relationship Id="rId1" Type="http://schemas.openxmlformats.org/officeDocument/2006/relationships/externalLinkPath" Target="/Users/rbasak/Desktop/28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___KHU_Hakedi&#351;_06.xlsx" TargetMode="External"/><Relationship Id="rId2" Type="http://schemas.openxmlformats.org/officeDocument/2006/relationships/externalLinkPath" Target="file:///C:\Users\rbasak\Desktop\Hk06\___KHU_Hakedi&#351;_06.xlsx" TargetMode="External"/><Relationship Id="rId1" Type="http://schemas.openxmlformats.org/officeDocument/2006/relationships/externalLinkPath" Target="/Users/rbasak/Desktop/Hk06/___KHU_Hakedi&#351;_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NT Ksnt Tkp (Çıktı Alınmayacak)"/>
      <sheetName val="EFF Ksnt Tkp(Çıktı Alınmayacak)"/>
      <sheetName val="İşçi Alacak"/>
      <sheetName val="İlan"/>
      <sheetName val="Kapak"/>
      <sheetName val="İcmal"/>
      <sheetName val="Teminat Mektupları"/>
      <sheetName val="Teminat Mektupları (FF)"/>
      <sheetName val="Fiyat Farkı İcmal"/>
      <sheetName val="Fiyat Farkı İcmal (2)"/>
      <sheetName val="FF 2502"/>
      <sheetName val="FF 2503"/>
      <sheetName val="FF"/>
      <sheetName val="Y.İ. KAPAK"/>
      <sheetName val="Yapılan İşler Dönemsel"/>
      <sheetName val="Yapılan İşler İcmali"/>
      <sheetName val="Yeşil Defter Kapak"/>
      <sheetName val="Y.D.KAPAK İL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6</v>
          </cell>
        </row>
        <row r="22">
          <cell r="C22">
            <v>46142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H21" sqref="H21"/>
    </sheetView>
  </sheetViews>
  <sheetFormatPr defaultRowHeight="15" customHeight="1" x14ac:dyDescent="0.3"/>
  <cols>
    <col min="1" max="10" width="12.6640625" customWidth="1"/>
  </cols>
  <sheetData>
    <row r="5" spans="1:10" s="2" customFormat="1" ht="29.4" x14ac:dyDescent="0.55000000000000004">
      <c r="A5" s="176" t="s">
        <v>0</v>
      </c>
      <c r="B5" s="176"/>
      <c r="C5" s="176"/>
      <c r="D5" s="176"/>
      <c r="E5" s="176"/>
      <c r="F5" s="176"/>
      <c r="G5" s="176"/>
      <c r="H5" s="176"/>
      <c r="I5" s="176"/>
      <c r="J5" s="176"/>
    </row>
    <row r="6" spans="1:10" s="2" customFormat="1" ht="29.4" x14ac:dyDescent="0.55000000000000004">
      <c r="A6" s="176" t="s">
        <v>1</v>
      </c>
      <c r="B6" s="176"/>
      <c r="C6" s="176"/>
      <c r="D6" s="176"/>
      <c r="E6" s="176"/>
      <c r="F6" s="176"/>
      <c r="G6" s="176"/>
      <c r="H6" s="176"/>
      <c r="I6" s="176"/>
      <c r="J6" s="176"/>
    </row>
    <row r="7" spans="1:10" s="2" customFormat="1" ht="29.4" customHeight="1" x14ac:dyDescent="0.35">
      <c r="A7" s="175" t="s">
        <v>1017</v>
      </c>
      <c r="B7" s="175"/>
      <c r="C7" s="175"/>
      <c r="D7" s="175"/>
      <c r="E7" s="175"/>
      <c r="F7" s="175"/>
      <c r="G7" s="175"/>
      <c r="H7" s="175"/>
      <c r="I7" s="175"/>
      <c r="J7" s="175"/>
    </row>
    <row r="8" spans="1:10" s="2" customFormat="1" ht="29.4" customHeight="1" x14ac:dyDescent="0.35">
      <c r="A8" s="175"/>
      <c r="B8" s="175"/>
      <c r="C8" s="175"/>
      <c r="D8" s="175"/>
      <c r="E8" s="175"/>
      <c r="F8" s="175"/>
      <c r="G8" s="175"/>
      <c r="H8" s="175"/>
      <c r="I8" s="175"/>
      <c r="J8" s="175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200000000000003" customHeight="1" x14ac:dyDescent="0.35">
      <c r="A12" s="175" t="s">
        <v>2</v>
      </c>
      <c r="B12" s="175"/>
      <c r="C12" s="175"/>
      <c r="D12" s="175"/>
      <c r="E12" s="175"/>
      <c r="F12" s="175"/>
      <c r="G12" s="175"/>
      <c r="H12" s="175"/>
      <c r="I12" s="175"/>
      <c r="J12" s="175"/>
    </row>
    <row r="13" spans="1:10" s="1" customFormat="1" ht="22.95" customHeight="1" x14ac:dyDescent="0.3">
      <c r="A13" s="175"/>
      <c r="B13" s="175"/>
      <c r="C13" s="175"/>
      <c r="D13" s="175"/>
      <c r="E13" s="175"/>
      <c r="F13" s="175"/>
      <c r="G13" s="175"/>
      <c r="H13" s="175"/>
      <c r="I13" s="175"/>
      <c r="J13" s="175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77">
        <f>+İcmal!C15</f>
        <v>6</v>
      </c>
      <c r="B24" s="177"/>
      <c r="C24" s="177"/>
      <c r="D24" s="177"/>
      <c r="E24" s="177"/>
      <c r="F24" s="177"/>
      <c r="G24" s="177"/>
      <c r="H24" s="177"/>
      <c r="I24" s="177"/>
      <c r="J24" s="177"/>
    </row>
    <row r="28" spans="1:10" ht="15" customHeight="1" x14ac:dyDescent="0.3">
      <c r="A28" s="174" t="s">
        <v>1060</v>
      </c>
      <c r="B28" s="174"/>
      <c r="C28" s="174"/>
      <c r="D28" s="174"/>
      <c r="E28" s="174"/>
      <c r="F28" s="174"/>
      <c r="G28" s="174"/>
      <c r="H28" s="174"/>
      <c r="I28" s="174"/>
      <c r="J28" s="174"/>
    </row>
    <row r="29" spans="1:10" ht="15" customHeight="1" x14ac:dyDescent="0.3">
      <c r="A29" s="174"/>
      <c r="B29" s="174"/>
      <c r="C29" s="174"/>
      <c r="D29" s="174"/>
      <c r="E29" s="174"/>
      <c r="F29" s="174"/>
      <c r="G29" s="174"/>
      <c r="H29" s="174"/>
      <c r="I29" s="174"/>
      <c r="J29" s="174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74" t="s">
        <v>3</v>
      </c>
      <c r="B33" s="174"/>
      <c r="C33" s="174"/>
      <c r="D33" s="174"/>
      <c r="E33" s="174"/>
      <c r="F33" s="174"/>
      <c r="G33" s="174"/>
      <c r="H33" s="174"/>
      <c r="I33" s="174"/>
      <c r="J33" s="174"/>
    </row>
    <row r="34" spans="1:10" ht="15" customHeight="1" x14ac:dyDescent="0.3">
      <c r="A34" s="174"/>
      <c r="B34" s="174"/>
      <c r="C34" s="174"/>
      <c r="D34" s="174"/>
      <c r="E34" s="174"/>
      <c r="F34" s="174"/>
      <c r="G34" s="174"/>
      <c r="H34" s="174"/>
      <c r="I34" s="174"/>
      <c r="J34" s="174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 filterMode="1">
    <tabColor rgb="FF00B050"/>
    <pageSetUpPr fitToPage="1"/>
  </sheetPr>
  <dimension ref="A1:AH87"/>
  <sheetViews>
    <sheetView tabSelected="1" view="pageBreakPreview" topLeftCell="B1" zoomScale="80" zoomScaleNormal="100" zoomScaleSheetLayoutView="80" workbookViewId="0">
      <selection activeCell="C17" sqref="C17"/>
    </sheetView>
  </sheetViews>
  <sheetFormatPr defaultColWidth="8.88671875" defaultRowHeight="15" customHeight="1" x14ac:dyDescent="0.3"/>
  <cols>
    <col min="1" max="1" width="5.6640625" style="9" hidden="1" customWidth="1"/>
    <col min="2" max="9" width="13.33203125" style="9" customWidth="1"/>
    <col min="10" max="10" width="21" style="9" bestFit="1" customWidth="1"/>
    <col min="11" max="11" width="16.77734375" style="9" bestFit="1" customWidth="1"/>
    <col min="12" max="12" width="21.77734375" style="9" bestFit="1" customWidth="1"/>
    <col min="13" max="13" width="5.6640625" style="9" customWidth="1"/>
    <col min="14" max="14" width="14.6640625" style="9" bestFit="1" customWidth="1"/>
    <col min="15" max="15" width="8.88671875" style="9"/>
    <col min="16" max="16" width="9.33203125" style="9" bestFit="1" customWidth="1"/>
    <col min="17" max="18" width="11" style="9" bestFit="1" customWidth="1"/>
    <col min="19" max="19" width="9.33203125" style="9" bestFit="1" customWidth="1"/>
    <col min="20" max="21" width="8.88671875" style="9"/>
    <col min="22" max="23" width="16" style="9" customWidth="1"/>
    <col min="24" max="24" width="10.109375" style="9" customWidth="1"/>
    <col min="25" max="25" width="10.88671875" style="9" customWidth="1"/>
    <col min="26" max="16384" width="8.88671875" style="9"/>
  </cols>
  <sheetData>
    <row r="1" spans="1:14" ht="15" customHeight="1" x14ac:dyDescent="0.3">
      <c r="N1" s="28">
        <f>+Liste!H485</f>
        <v>20949392.166999999</v>
      </c>
    </row>
    <row r="5" spans="1:14" s="154" customFormat="1" ht="15" customHeight="1" x14ac:dyDescent="0.3">
      <c r="A5" s="172" t="s">
        <v>0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</row>
    <row r="6" spans="1:14" s="154" customFormat="1" ht="15" customHeight="1" x14ac:dyDescent="0.3">
      <c r="A6" s="172" t="s">
        <v>1</v>
      </c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</row>
    <row r="7" spans="1:14" s="154" customFormat="1" ht="15" customHeight="1" x14ac:dyDescent="0.3">
      <c r="A7" s="172" t="s">
        <v>1017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</row>
    <row r="8" spans="1:14" s="154" customFormat="1" ht="15" customHeight="1" x14ac:dyDescent="0.3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</row>
    <row r="9" spans="1:14" s="154" customFormat="1" ht="15" customHeight="1" x14ac:dyDescent="0.3">
      <c r="A9" s="155"/>
    </row>
    <row r="10" spans="1:14" s="154" customFormat="1" ht="15" customHeight="1" x14ac:dyDescent="0.3">
      <c r="A10" s="172" t="s">
        <v>2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</row>
    <row r="11" spans="1:14" s="154" customFormat="1" ht="15" customHeight="1" x14ac:dyDescent="0.3">
      <c r="A11" s="155"/>
    </row>
    <row r="12" spans="1:14" s="154" customFormat="1" ht="15" customHeight="1" x14ac:dyDescent="0.3">
      <c r="A12" s="172" t="str">
        <f>+Kapak!A28</f>
        <v>Barbaros İstasyonu Hat - 1 Kirazlı Yönü P1 Tüneli 3.Aşama</v>
      </c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</row>
    <row r="13" spans="1:14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5" spans="1:14" ht="15" customHeight="1" x14ac:dyDescent="0.3">
      <c r="B15" s="14" t="s">
        <v>5</v>
      </c>
      <c r="C15" s="12">
        <f>+[3]Veri!$C$21</f>
        <v>6</v>
      </c>
      <c r="D15" s="12"/>
      <c r="E15" s="12"/>
    </row>
    <row r="16" spans="1:14" ht="15" customHeight="1" x14ac:dyDescent="0.3">
      <c r="B16" s="14" t="s">
        <v>6</v>
      </c>
      <c r="C16" s="13">
        <f>+[3]Veri!$C$22</f>
        <v>46142</v>
      </c>
      <c r="D16" s="11"/>
      <c r="E16" s="11"/>
    </row>
    <row r="17" spans="2:34" ht="15" customHeight="1" x14ac:dyDescent="0.3">
      <c r="B17" s="14"/>
      <c r="C17" s="13"/>
      <c r="D17" s="11"/>
      <c r="E17" s="11"/>
    </row>
    <row r="18" spans="2:34" ht="15" customHeight="1" x14ac:dyDescent="0.3">
      <c r="O18" s="20" t="s">
        <v>1019</v>
      </c>
      <c r="P18" s="20" t="s">
        <v>1019</v>
      </c>
      <c r="Q18" s="20" t="s">
        <v>1019</v>
      </c>
      <c r="R18" s="20" t="s">
        <v>1019</v>
      </c>
      <c r="S18" s="20" t="s">
        <v>1019</v>
      </c>
      <c r="T18" s="20" t="s">
        <v>1019</v>
      </c>
      <c r="U18" s="20" t="s">
        <v>1019</v>
      </c>
      <c r="V18" s="20" t="s">
        <v>1019</v>
      </c>
      <c r="W18" s="20" t="s">
        <v>1019</v>
      </c>
      <c r="X18" s="20" t="s">
        <v>1019</v>
      </c>
      <c r="Y18" s="20" t="s">
        <v>1019</v>
      </c>
      <c r="Z18" s="20" t="s">
        <v>1019</v>
      </c>
      <c r="AA18" s="20" t="s">
        <v>1019</v>
      </c>
      <c r="AB18" s="20" t="s">
        <v>1019</v>
      </c>
      <c r="AC18" s="20" t="s">
        <v>1019</v>
      </c>
      <c r="AD18" s="20" t="s">
        <v>1019</v>
      </c>
      <c r="AE18" s="20" t="s">
        <v>1019</v>
      </c>
      <c r="AF18" s="20" t="s">
        <v>1019</v>
      </c>
      <c r="AG18" s="20" t="s">
        <v>1019</v>
      </c>
      <c r="AH18" s="20" t="s">
        <v>1019</v>
      </c>
    </row>
    <row r="19" spans="2:34" ht="30" customHeight="1" x14ac:dyDescent="0.3">
      <c r="B19" s="15" t="s">
        <v>7</v>
      </c>
      <c r="C19" s="178" t="s">
        <v>8</v>
      </c>
      <c r="D19" s="178"/>
      <c r="E19" s="178"/>
      <c r="F19" s="178"/>
      <c r="G19" s="178"/>
      <c r="H19" s="179"/>
      <c r="I19" s="44" t="s">
        <v>9</v>
      </c>
      <c r="J19" s="148" t="s">
        <v>1057</v>
      </c>
      <c r="K19" s="148" t="s">
        <v>1058</v>
      </c>
      <c r="L19" s="16" t="s">
        <v>1059</v>
      </c>
      <c r="O19" s="21" t="s">
        <v>1020</v>
      </c>
      <c r="P19" s="21" t="s">
        <v>1021</v>
      </c>
      <c r="Q19" s="21" t="s">
        <v>1023</v>
      </c>
      <c r="R19" s="21" t="s">
        <v>1024</v>
      </c>
      <c r="S19" s="21" t="s">
        <v>1025</v>
      </c>
      <c r="T19" s="21" t="s">
        <v>1026</v>
      </c>
      <c r="U19" s="21" t="s">
        <v>1027</v>
      </c>
      <c r="V19" s="21" t="s">
        <v>1028</v>
      </c>
      <c r="W19" s="21" t="s">
        <v>1029</v>
      </c>
      <c r="X19" s="21" t="s">
        <v>1030</v>
      </c>
      <c r="Y19" s="21" t="s">
        <v>1031</v>
      </c>
      <c r="Z19" s="21" t="s">
        <v>1032</v>
      </c>
      <c r="AA19" s="21" t="s">
        <v>1033</v>
      </c>
      <c r="AB19" s="21" t="s">
        <v>1034</v>
      </c>
      <c r="AC19" s="21" t="s">
        <v>1035</v>
      </c>
      <c r="AD19" s="21" t="s">
        <v>1036</v>
      </c>
      <c r="AE19" s="21" t="s">
        <v>1037</v>
      </c>
      <c r="AF19" s="21" t="s">
        <v>1038</v>
      </c>
      <c r="AG19" s="21" t="s">
        <v>1039</v>
      </c>
      <c r="AH19" s="21" t="s">
        <v>1040</v>
      </c>
    </row>
    <row r="20" spans="2:34" ht="30" customHeight="1" x14ac:dyDescent="0.3">
      <c r="B20" s="29" t="s">
        <v>119</v>
      </c>
      <c r="C20" s="180" t="str">
        <f>+VLOOKUP(B20,Liste!B:E,2,FALSE)</f>
        <v>Geleneksel (NATM) Tünel Kazısı</v>
      </c>
      <c r="D20" s="180"/>
      <c r="E20" s="180"/>
      <c r="F20" s="180"/>
      <c r="G20" s="180"/>
      <c r="H20" s="181"/>
      <c r="I20" s="22" t="s">
        <v>22</v>
      </c>
      <c r="J20" s="90">
        <v>939.41800000000001</v>
      </c>
      <c r="K20" s="149">
        <f>+L20-J20</f>
        <v>95.164000000000101</v>
      </c>
      <c r="L20" s="71">
        <f>+IFERROR(VLOOKUP(B20,Metraj!B:P,15,FALSE),"0")</f>
        <v>1034.5820000000001</v>
      </c>
      <c r="O20" s="81"/>
      <c r="P20" s="71"/>
      <c r="Q20" s="71"/>
      <c r="R20" s="71"/>
      <c r="S20" s="71"/>
      <c r="T20" s="71"/>
      <c r="U20" s="71"/>
      <c r="V20" s="71"/>
      <c r="W20" s="71"/>
      <c r="X20" s="71">
        <v>201.64800000000002</v>
      </c>
      <c r="Y20" s="71">
        <v>737.77</v>
      </c>
      <c r="Z20" s="71">
        <f>$L20-SUM($O20:Y20)</f>
        <v>95.164000000000101</v>
      </c>
      <c r="AA20" s="71">
        <f>$L20-SUM($O20:Z20)</f>
        <v>0</v>
      </c>
      <c r="AB20" s="71">
        <f>$L20-SUM($O20:AA20)</f>
        <v>0</v>
      </c>
      <c r="AC20" s="71">
        <f>$L20-SUM($O20:AB20)</f>
        <v>0</v>
      </c>
      <c r="AD20" s="71">
        <f>$L20-SUM($O20:AC20)</f>
        <v>0</v>
      </c>
      <c r="AE20" s="71">
        <f>$L20-SUM($O20:AD20)</f>
        <v>0</v>
      </c>
      <c r="AF20" s="71">
        <f>$L20-SUM($O20:AE20)</f>
        <v>0</v>
      </c>
      <c r="AG20" s="71">
        <f>$L20-SUM($O20:AF20)</f>
        <v>0</v>
      </c>
      <c r="AH20" s="71">
        <f>$L20-SUM($O20:AG20)</f>
        <v>0</v>
      </c>
    </row>
    <row r="21" spans="2:34" ht="30" hidden="1" customHeight="1" x14ac:dyDescent="0.3">
      <c r="B21" s="29" t="s">
        <v>121</v>
      </c>
      <c r="C21" s="180" t="str">
        <f>+VLOOKUP(B21,Liste!B:E,2,FALSE)</f>
        <v>Kazıdan çıkan veya Ariyetten alınan malzeme ile geri dolgu yapılması</v>
      </c>
      <c r="D21" s="180"/>
      <c r="E21" s="180"/>
      <c r="F21" s="180"/>
      <c r="G21" s="180"/>
      <c r="H21" s="181"/>
      <c r="I21" s="22" t="s">
        <v>22</v>
      </c>
      <c r="J21" s="90" t="s">
        <v>1070</v>
      </c>
      <c r="K21" s="149" t="e">
        <f t="shared" ref="K21:K49" si="0">+L21-J21</f>
        <v>#VALUE!</v>
      </c>
      <c r="L21" s="71" t="str">
        <f>+IFERROR(VLOOKUP(B21,Metraj!B:P,15,FALSE),"")</f>
        <v/>
      </c>
      <c r="O21" s="81"/>
      <c r="P21" s="71"/>
      <c r="Q21" s="71"/>
      <c r="R21" s="71"/>
      <c r="S21" s="71"/>
      <c r="T21" s="71"/>
      <c r="U21" s="71"/>
      <c r="V21" s="71"/>
      <c r="W21" s="71"/>
      <c r="X21" s="71">
        <v>0</v>
      </c>
      <c r="Y21" s="71">
        <v>0</v>
      </c>
      <c r="Z21" s="71">
        <f>+IFERROR($L21-SUM($O21:Y21),0)</f>
        <v>0</v>
      </c>
      <c r="AA21" s="71">
        <f>+IFERROR($L21-SUM($O21:Z21),0)</f>
        <v>0</v>
      </c>
      <c r="AB21" s="71">
        <f>+IFERROR($L21-SUM($O21:AA21),0)</f>
        <v>0</v>
      </c>
      <c r="AC21" s="71">
        <f>+IFERROR($L21-SUM($O21:AB21),0)</f>
        <v>0</v>
      </c>
      <c r="AD21" s="71">
        <f>+IFERROR($L21-SUM($O21:AC21),0)</f>
        <v>0</v>
      </c>
      <c r="AE21" s="71">
        <f>+IFERROR($L21-SUM($O21:AD21),0)</f>
        <v>0</v>
      </c>
      <c r="AF21" s="71">
        <f>+IFERROR($L21-SUM($O21:AE21),0)</f>
        <v>0</v>
      </c>
      <c r="AG21" s="71">
        <f>+IFERROR($L21-SUM($O21:AF21),0)</f>
        <v>0</v>
      </c>
      <c r="AH21" s="71">
        <f>+IFERROR($L21-SUM($O21:AG21),0)</f>
        <v>0</v>
      </c>
    </row>
    <row r="22" spans="2:34" ht="30" hidden="1" customHeight="1" x14ac:dyDescent="0.3">
      <c r="B22" s="29" t="s">
        <v>123</v>
      </c>
      <c r="C22" s="180" t="str">
        <f>+VLOOKUP(B22,Liste!B:E,2,FALSE)</f>
        <v>Kum, Çakıl, Kırma Tas ve Benzeri Malzeme ile Dolgu Yapılması</v>
      </c>
      <c r="D22" s="180"/>
      <c r="E22" s="180"/>
      <c r="F22" s="180"/>
      <c r="G22" s="180"/>
      <c r="H22" s="181"/>
      <c r="I22" s="22" t="s">
        <v>22</v>
      </c>
      <c r="J22" s="90" t="s">
        <v>1070</v>
      </c>
      <c r="K22" s="149" t="e">
        <f t="shared" si="0"/>
        <v>#VALUE!</v>
      </c>
      <c r="L22" s="71" t="str">
        <f>+IFERROR(VLOOKUP(B22,Metraj!B:P,15,FALSE),"")</f>
        <v/>
      </c>
      <c r="O22" s="81"/>
      <c r="P22" s="71"/>
      <c r="Q22" s="71"/>
      <c r="R22" s="71"/>
      <c r="S22" s="71"/>
      <c r="T22" s="71"/>
      <c r="U22" s="71"/>
      <c r="V22" s="71"/>
      <c r="W22" s="71"/>
      <c r="X22" s="71">
        <v>0</v>
      </c>
      <c r="Y22" s="71">
        <v>0</v>
      </c>
      <c r="Z22" s="71">
        <f>+IFERROR($L22-SUM($O22:Y22),0)</f>
        <v>0</v>
      </c>
      <c r="AA22" s="71">
        <f>+IFERROR($L22-SUM($O22:Z22),0)</f>
        <v>0</v>
      </c>
      <c r="AB22" s="71">
        <f>+IFERROR($L22-SUM($O22:AA22),0)</f>
        <v>0</v>
      </c>
      <c r="AC22" s="71">
        <f>+IFERROR($L22-SUM($O22:AB22),0)</f>
        <v>0</v>
      </c>
      <c r="AD22" s="71">
        <f>+IFERROR($L22-SUM($O22:AC22),0)</f>
        <v>0</v>
      </c>
      <c r="AE22" s="71">
        <f>+IFERROR($L22-SUM($O22:AD22),0)</f>
        <v>0</v>
      </c>
      <c r="AF22" s="71">
        <f>+IFERROR($L22-SUM($O22:AE22),0)</f>
        <v>0</v>
      </c>
      <c r="AG22" s="71">
        <f>+IFERROR($L22-SUM($O22:AF22),0)</f>
        <v>0</v>
      </c>
      <c r="AH22" s="71">
        <f>+IFERROR($L22-SUM($O22:AG22),0)</f>
        <v>0</v>
      </c>
    </row>
    <row r="23" spans="2:34" ht="30" customHeight="1" x14ac:dyDescent="0.3">
      <c r="B23" s="29" t="s">
        <v>124</v>
      </c>
      <c r="C23" s="180" t="str">
        <f>+VLOOKUP(B23,Liste!B:E,2,FALSE)</f>
        <v>Püskürtme Beton (Tünel ve Şaftlarda)</v>
      </c>
      <c r="D23" s="180"/>
      <c r="E23" s="180"/>
      <c r="F23" s="180"/>
      <c r="G23" s="180"/>
      <c r="H23" s="181"/>
      <c r="I23" s="22" t="s">
        <v>22</v>
      </c>
      <c r="J23" s="90">
        <v>140.006</v>
      </c>
      <c r="K23" s="149">
        <f t="shared" si="0"/>
        <v>13.593999999999994</v>
      </c>
      <c r="L23" s="71">
        <f>+IFERROR(VLOOKUP(B23,Metraj!B:P,15,FALSE),"0")</f>
        <v>153.6</v>
      </c>
      <c r="O23" s="81"/>
      <c r="P23" s="71"/>
      <c r="Q23" s="71"/>
      <c r="R23" s="71"/>
      <c r="S23" s="71"/>
      <c r="T23" s="71"/>
      <c r="U23" s="71"/>
      <c r="V23" s="71"/>
      <c r="W23" s="71"/>
      <c r="X23" s="71">
        <v>32.260000000000005</v>
      </c>
      <c r="Y23" s="71">
        <v>107.746</v>
      </c>
      <c r="Z23" s="71">
        <f>$L23-SUM($O23:Y23)</f>
        <v>13.593999999999994</v>
      </c>
      <c r="AA23" s="71">
        <f>$L23-SUM($O23:Z23)</f>
        <v>0</v>
      </c>
      <c r="AB23" s="71">
        <f>$L23-SUM($O23:AA23)</f>
        <v>0</v>
      </c>
      <c r="AC23" s="71">
        <f>$L23-SUM($O23:AB23)</f>
        <v>0</v>
      </c>
      <c r="AD23" s="71">
        <f>$L23-SUM($O23:AC23)</f>
        <v>0</v>
      </c>
      <c r="AE23" s="71">
        <f>$L23-SUM($O23:AD23)</f>
        <v>0</v>
      </c>
      <c r="AF23" s="71">
        <f>$L23-SUM($O23:AE23)</f>
        <v>0</v>
      </c>
      <c r="AG23" s="71">
        <f>$L23-SUM($O23:AF23)</f>
        <v>0</v>
      </c>
      <c r="AH23" s="71">
        <f>$L23-SUM($O23:AG23)</f>
        <v>0</v>
      </c>
    </row>
    <row r="24" spans="2:34" ht="30" hidden="1" customHeight="1" x14ac:dyDescent="0.3">
      <c r="B24" s="29" t="s">
        <v>126</v>
      </c>
      <c r="C24" s="180" t="str">
        <f>+VLOOKUP(B24,Liste!B:E,2,FALSE)</f>
        <v>Delgi boyu =&lt; 30m</v>
      </c>
      <c r="D24" s="180"/>
      <c r="E24" s="180"/>
      <c r="F24" s="180"/>
      <c r="G24" s="180"/>
      <c r="H24" s="181"/>
      <c r="I24" s="22" t="s">
        <v>37</v>
      </c>
      <c r="J24" s="90" t="s">
        <v>1070</v>
      </c>
      <c r="K24" s="149" t="e">
        <f t="shared" si="0"/>
        <v>#VALUE!</v>
      </c>
      <c r="L24" s="71" t="str">
        <f>+IFERROR(VLOOKUP(B24,Metraj!B:P,15,FALSE),"")</f>
        <v/>
      </c>
      <c r="O24" s="81"/>
      <c r="P24" s="71"/>
      <c r="Q24" s="71"/>
      <c r="R24" s="71"/>
      <c r="S24" s="71"/>
      <c r="T24" s="71"/>
      <c r="U24" s="71"/>
      <c r="V24" s="71"/>
      <c r="W24" s="71"/>
      <c r="X24" s="71">
        <v>0</v>
      </c>
      <c r="Y24" s="71">
        <v>0</v>
      </c>
      <c r="Z24" s="71">
        <f>+IFERROR($L24-SUM($O24:Y24),0)</f>
        <v>0</v>
      </c>
      <c r="AA24" s="71">
        <f>+IFERROR($L24-SUM($O24:Z24),0)</f>
        <v>0</v>
      </c>
      <c r="AB24" s="71">
        <f>+IFERROR($L24-SUM($O24:AA24),0)</f>
        <v>0</v>
      </c>
      <c r="AC24" s="71">
        <f>+IFERROR($L24-SUM($O24:AB24),0)</f>
        <v>0</v>
      </c>
      <c r="AD24" s="71">
        <f>+IFERROR($L24-SUM($O24:AC24),0)</f>
        <v>0</v>
      </c>
      <c r="AE24" s="71">
        <f>+IFERROR($L24-SUM($O24:AD24),0)</f>
        <v>0</v>
      </c>
      <c r="AF24" s="71">
        <f>+IFERROR($L24-SUM($O24:AE24),0)</f>
        <v>0</v>
      </c>
      <c r="AG24" s="71">
        <f>+IFERROR($L24-SUM($O24:AF24),0)</f>
        <v>0</v>
      </c>
      <c r="AH24" s="71">
        <f>+IFERROR($L24-SUM($O24:AG24),0)</f>
        <v>0</v>
      </c>
    </row>
    <row r="25" spans="2:34" ht="30" hidden="1" customHeight="1" x14ac:dyDescent="0.3">
      <c r="B25" s="29" t="s">
        <v>128</v>
      </c>
      <c r="C25" s="180" t="str">
        <f>+VLOOKUP(B25,Liste!B:E,2,FALSE)</f>
        <v>Delgi boyu &gt; 30m</v>
      </c>
      <c r="D25" s="180"/>
      <c r="E25" s="180"/>
      <c r="F25" s="180"/>
      <c r="G25" s="180"/>
      <c r="H25" s="181"/>
      <c r="I25" s="22" t="s">
        <v>37</v>
      </c>
      <c r="J25" s="90" t="s">
        <v>1070</v>
      </c>
      <c r="K25" s="149" t="e">
        <f t="shared" si="0"/>
        <v>#VALUE!</v>
      </c>
      <c r="L25" s="71" t="str">
        <f>+IFERROR(VLOOKUP(B25,Metraj!B:P,15,FALSE),"")</f>
        <v/>
      </c>
      <c r="O25" s="81"/>
      <c r="P25" s="71"/>
      <c r="Q25" s="71"/>
      <c r="R25" s="71"/>
      <c r="S25" s="71"/>
      <c r="T25" s="71"/>
      <c r="U25" s="71"/>
      <c r="V25" s="71"/>
      <c r="W25" s="71"/>
      <c r="X25" s="71">
        <v>0</v>
      </c>
      <c r="Y25" s="71">
        <v>0</v>
      </c>
      <c r="Z25" s="71">
        <f>+IFERROR($L25-SUM($O25:Y25),0)</f>
        <v>0</v>
      </c>
      <c r="AA25" s="71">
        <f>+IFERROR($L25-SUM($O25:Z25),0)</f>
        <v>0</v>
      </c>
      <c r="AB25" s="71">
        <f>+IFERROR($L25-SUM($O25:AA25),0)</f>
        <v>0</v>
      </c>
      <c r="AC25" s="71">
        <f>+IFERROR($L25-SUM($O25:AB25),0)</f>
        <v>0</v>
      </c>
      <c r="AD25" s="71">
        <f>+IFERROR($L25-SUM($O25:AC25),0)</f>
        <v>0</v>
      </c>
      <c r="AE25" s="71">
        <f>+IFERROR($L25-SUM($O25:AD25),0)</f>
        <v>0</v>
      </c>
      <c r="AF25" s="71">
        <f>+IFERROR($L25-SUM($O25:AE25),0)</f>
        <v>0</v>
      </c>
      <c r="AG25" s="71">
        <f>+IFERROR($L25-SUM($O25:AF25),0)</f>
        <v>0</v>
      </c>
      <c r="AH25" s="71">
        <f>+IFERROR($L25-SUM($O25:AG25),0)</f>
        <v>0</v>
      </c>
    </row>
    <row r="26" spans="2:34" ht="30" hidden="1" customHeight="1" x14ac:dyDescent="0.3">
      <c r="B26" s="29" t="s">
        <v>130</v>
      </c>
      <c r="C26" s="180" t="str">
        <f>+VLOOKUP(B26,Liste!B:E,2,FALSE)</f>
        <v>L=3 m Kaya Bulonu</v>
      </c>
      <c r="D26" s="180"/>
      <c r="E26" s="180"/>
      <c r="F26" s="180"/>
      <c r="G26" s="180"/>
      <c r="H26" s="181"/>
      <c r="I26" s="22" t="s">
        <v>42</v>
      </c>
      <c r="J26" s="90" t="s">
        <v>1070</v>
      </c>
      <c r="K26" s="149" t="e">
        <f t="shared" si="0"/>
        <v>#VALUE!</v>
      </c>
      <c r="L26" s="71" t="str">
        <f>+IFERROR(VLOOKUP(B26,Metraj!B:P,15,FALSE),"")</f>
        <v/>
      </c>
      <c r="O26" s="81"/>
      <c r="P26" s="71"/>
      <c r="Q26" s="71"/>
      <c r="R26" s="71"/>
      <c r="S26" s="71"/>
      <c r="T26" s="71"/>
      <c r="U26" s="71"/>
      <c r="V26" s="71"/>
      <c r="W26" s="71"/>
      <c r="X26" s="71">
        <v>0</v>
      </c>
      <c r="Y26" s="71">
        <v>0</v>
      </c>
      <c r="Z26" s="71">
        <f>+IFERROR($L26-SUM($O26:Y26),0)</f>
        <v>0</v>
      </c>
      <c r="AA26" s="71">
        <f>+IFERROR($L26-SUM($O26:Z26),0)</f>
        <v>0</v>
      </c>
      <c r="AB26" s="71">
        <f>+IFERROR($L26-SUM($O26:AA26),0)</f>
        <v>0</v>
      </c>
      <c r="AC26" s="71">
        <f>+IFERROR($L26-SUM($O26:AB26),0)</f>
        <v>0</v>
      </c>
      <c r="AD26" s="71">
        <f>+IFERROR($L26-SUM($O26:AC26),0)</f>
        <v>0</v>
      </c>
      <c r="AE26" s="71">
        <f>+IFERROR($L26-SUM($O26:AD26),0)</f>
        <v>0</v>
      </c>
      <c r="AF26" s="71">
        <f>+IFERROR($L26-SUM($O26:AE26),0)</f>
        <v>0</v>
      </c>
      <c r="AG26" s="71">
        <f>+IFERROR($L26-SUM($O26:AF26),0)</f>
        <v>0</v>
      </c>
      <c r="AH26" s="71">
        <f>+IFERROR($L26-SUM($O26:AG26),0)</f>
        <v>0</v>
      </c>
    </row>
    <row r="27" spans="2:34" ht="30" hidden="1" customHeight="1" x14ac:dyDescent="0.3">
      <c r="B27" s="29" t="s">
        <v>131</v>
      </c>
      <c r="C27" s="180" t="str">
        <f>+VLOOKUP(B27,Liste!B:E,2,FALSE)</f>
        <v>L=4 m Kaya Bulonu</v>
      </c>
      <c r="D27" s="180"/>
      <c r="E27" s="180"/>
      <c r="F27" s="180"/>
      <c r="G27" s="180"/>
      <c r="H27" s="181"/>
      <c r="I27" s="22" t="s">
        <v>42</v>
      </c>
      <c r="J27" s="90">
        <v>0</v>
      </c>
      <c r="K27" s="149">
        <f t="shared" si="0"/>
        <v>0</v>
      </c>
      <c r="L27" s="71">
        <f>+IFERROR(VLOOKUP(B27,Metraj!B:P,15,FALSE),"0")</f>
        <v>0</v>
      </c>
      <c r="O27" s="81"/>
      <c r="P27" s="71"/>
      <c r="Q27" s="71"/>
      <c r="R27" s="71"/>
      <c r="S27" s="71"/>
      <c r="T27" s="71"/>
      <c r="U27" s="71"/>
      <c r="V27" s="71"/>
      <c r="W27" s="71"/>
      <c r="X27" s="71">
        <v>0</v>
      </c>
      <c r="Y27" s="71">
        <v>0</v>
      </c>
      <c r="Z27" s="71">
        <f>$L27-SUM($O27:Y27)</f>
        <v>0</v>
      </c>
      <c r="AA27" s="71">
        <f>$L27-SUM($O27:Z27)</f>
        <v>0</v>
      </c>
      <c r="AB27" s="71">
        <f>$L27-SUM($O27:AA27)</f>
        <v>0</v>
      </c>
      <c r="AC27" s="71">
        <f>$L27-SUM($O27:AB27)</f>
        <v>0</v>
      </c>
      <c r="AD27" s="71">
        <f>$L27-SUM($O27:AC27)</f>
        <v>0</v>
      </c>
      <c r="AE27" s="71">
        <f>$L27-SUM($O27:AD27)</f>
        <v>0</v>
      </c>
      <c r="AF27" s="71">
        <f>$L27-SUM($O27:AE27)</f>
        <v>0</v>
      </c>
      <c r="AG27" s="71">
        <f>$L27-SUM($O27:AF27)</f>
        <v>0</v>
      </c>
      <c r="AH27" s="71">
        <f>$L27-SUM($O27:AG27)</f>
        <v>0</v>
      </c>
    </row>
    <row r="28" spans="2:34" ht="30" hidden="1" customHeight="1" x14ac:dyDescent="0.3">
      <c r="B28" s="29" t="s">
        <v>132</v>
      </c>
      <c r="C28" s="180" t="str">
        <f>+VLOOKUP(B28,Liste!B:E,2,FALSE)</f>
        <v>L=5 m Kaya Bulonu</v>
      </c>
      <c r="D28" s="180"/>
      <c r="E28" s="180"/>
      <c r="F28" s="180"/>
      <c r="G28" s="180"/>
      <c r="H28" s="181"/>
      <c r="I28" s="22" t="s">
        <v>42</v>
      </c>
      <c r="J28" s="90" t="s">
        <v>1070</v>
      </c>
      <c r="K28" s="149" t="e">
        <f t="shared" si="0"/>
        <v>#VALUE!</v>
      </c>
      <c r="L28" s="71" t="str">
        <f>+IFERROR(VLOOKUP(B28,Metraj!B:P,15,FALSE),"")</f>
        <v/>
      </c>
      <c r="O28" s="81"/>
      <c r="P28" s="71"/>
      <c r="Q28" s="71"/>
      <c r="R28" s="71"/>
      <c r="S28" s="71"/>
      <c r="T28" s="71"/>
      <c r="U28" s="71"/>
      <c r="V28" s="71"/>
      <c r="W28" s="71"/>
      <c r="X28" s="71">
        <v>0</v>
      </c>
      <c r="Y28" s="71">
        <v>0</v>
      </c>
      <c r="Z28" s="71">
        <f>+IFERROR($L28-SUM($O28:Y28),0)</f>
        <v>0</v>
      </c>
      <c r="AA28" s="71">
        <f>+IFERROR($L28-SUM($O28:Z28),0)</f>
        <v>0</v>
      </c>
      <c r="AB28" s="71">
        <f>+IFERROR($L28-SUM($O28:AA28),0)</f>
        <v>0</v>
      </c>
      <c r="AC28" s="71">
        <f>+IFERROR($L28-SUM($O28:AB28),0)</f>
        <v>0</v>
      </c>
      <c r="AD28" s="71">
        <f>+IFERROR($L28-SUM($O28:AC28),0)</f>
        <v>0</v>
      </c>
      <c r="AE28" s="71">
        <f>+IFERROR($L28-SUM($O28:AD28),0)</f>
        <v>0</v>
      </c>
      <c r="AF28" s="71">
        <f>+IFERROR($L28-SUM($O28:AE28),0)</f>
        <v>0</v>
      </c>
      <c r="AG28" s="71">
        <f>+IFERROR($L28-SUM($O28:AF28),0)</f>
        <v>0</v>
      </c>
      <c r="AH28" s="71">
        <f>+IFERROR($L28-SUM($O28:AG28),0)</f>
        <v>0</v>
      </c>
    </row>
    <row r="29" spans="2:34" ht="30" hidden="1" customHeight="1" x14ac:dyDescent="0.3">
      <c r="B29" s="29" t="s">
        <v>133</v>
      </c>
      <c r="C29" s="180" t="str">
        <f>+VLOOKUP(B29,Liste!B:E,2,FALSE)</f>
        <v>L=6 m Kaya Bulonu</v>
      </c>
      <c r="D29" s="180"/>
      <c r="E29" s="180"/>
      <c r="F29" s="180"/>
      <c r="G29" s="180"/>
      <c r="H29" s="181"/>
      <c r="I29" s="22" t="s">
        <v>42</v>
      </c>
      <c r="J29" s="90" t="s">
        <v>1070</v>
      </c>
      <c r="K29" s="149" t="e">
        <f t="shared" si="0"/>
        <v>#VALUE!</v>
      </c>
      <c r="L29" s="71" t="str">
        <f>+IFERROR(VLOOKUP(B29,Metraj!B:P,15,FALSE),"")</f>
        <v/>
      </c>
      <c r="O29" s="81"/>
      <c r="P29" s="71"/>
      <c r="Q29" s="71"/>
      <c r="R29" s="71"/>
      <c r="S29" s="71"/>
      <c r="T29" s="71"/>
      <c r="U29" s="71"/>
      <c r="V29" s="71"/>
      <c r="W29" s="71"/>
      <c r="X29" s="71">
        <v>0</v>
      </c>
      <c r="Y29" s="71">
        <v>0</v>
      </c>
      <c r="Z29" s="71">
        <f>+IFERROR($L29-SUM($O29:Y29),0)</f>
        <v>0</v>
      </c>
      <c r="AA29" s="71">
        <f>+IFERROR($L29-SUM($O29:Z29),0)</f>
        <v>0</v>
      </c>
      <c r="AB29" s="71">
        <f>+IFERROR($L29-SUM($O29:AA29),0)</f>
        <v>0</v>
      </c>
      <c r="AC29" s="71">
        <f>+IFERROR($L29-SUM($O29:AB29),0)</f>
        <v>0</v>
      </c>
      <c r="AD29" s="71">
        <f>+IFERROR($L29-SUM($O29:AC29),0)</f>
        <v>0</v>
      </c>
      <c r="AE29" s="71">
        <f>+IFERROR($L29-SUM($O29:AD29),0)</f>
        <v>0</v>
      </c>
      <c r="AF29" s="71">
        <f>+IFERROR($L29-SUM($O29:AE29),0)</f>
        <v>0</v>
      </c>
      <c r="AG29" s="71">
        <f>+IFERROR($L29-SUM($O29:AF29),0)</f>
        <v>0</v>
      </c>
      <c r="AH29" s="71">
        <f>+IFERROR($L29-SUM($O29:AG29),0)</f>
        <v>0</v>
      </c>
    </row>
    <row r="30" spans="2:34" ht="30" customHeight="1" x14ac:dyDescent="0.3">
      <c r="B30" s="29" t="s">
        <v>134</v>
      </c>
      <c r="C30" s="180" t="str">
        <f>+VLOOKUP(B30,Liste!B:E,2,FALSE)</f>
        <v>L=8 m Kaya Bulonu</v>
      </c>
      <c r="D30" s="180"/>
      <c r="E30" s="180"/>
      <c r="F30" s="180"/>
      <c r="G30" s="180"/>
      <c r="H30" s="181"/>
      <c r="I30" s="22" t="s">
        <v>42</v>
      </c>
      <c r="J30" s="90">
        <v>171</v>
      </c>
      <c r="K30" s="149">
        <f t="shared" si="0"/>
        <v>99</v>
      </c>
      <c r="L30" s="71">
        <f>+IFERROR(VLOOKUP(B30,Metraj!B:P,15,FALSE),"0")</f>
        <v>270</v>
      </c>
      <c r="O30" s="81"/>
      <c r="P30" s="71"/>
      <c r="Q30" s="71"/>
      <c r="R30" s="71"/>
      <c r="S30" s="71"/>
      <c r="T30" s="71"/>
      <c r="U30" s="71"/>
      <c r="V30" s="71"/>
      <c r="W30" s="71"/>
      <c r="X30" s="71">
        <v>0</v>
      </c>
      <c r="Y30" s="71">
        <v>171</v>
      </c>
      <c r="Z30" s="71">
        <f>$L30-SUM($O30:Y30)</f>
        <v>99</v>
      </c>
      <c r="AA30" s="71">
        <f>$L30-SUM($O30:Z30)</f>
        <v>0</v>
      </c>
      <c r="AB30" s="71">
        <f>$L30-SUM($O30:AA30)</f>
        <v>0</v>
      </c>
      <c r="AC30" s="71">
        <f>$L30-SUM($O30:AB30)</f>
        <v>0</v>
      </c>
      <c r="AD30" s="71">
        <f>$L30-SUM($O30:AC30)</f>
        <v>0</v>
      </c>
      <c r="AE30" s="71">
        <f>$L30-SUM($O30:AD30)</f>
        <v>0</v>
      </c>
      <c r="AF30" s="71">
        <f>$L30-SUM($O30:AE30)</f>
        <v>0</v>
      </c>
      <c r="AG30" s="71">
        <f>$L30-SUM($O30:AF30)</f>
        <v>0</v>
      </c>
      <c r="AH30" s="71">
        <f>$L30-SUM($O30:AG30)</f>
        <v>0</v>
      </c>
    </row>
    <row r="31" spans="2:34" ht="30" hidden="1" customHeight="1" x14ac:dyDescent="0.3">
      <c r="B31" s="29" t="s">
        <v>136</v>
      </c>
      <c r="C31" s="180" t="str">
        <f>+VLOOKUP(B31,Liste!B:E,2,FALSE)</f>
        <v>125 mm Delik İçine 14 mm Kalınlığında S420a ile Zemin Çivisi Teşkili</v>
      </c>
      <c r="D31" s="180"/>
      <c r="E31" s="180"/>
      <c r="F31" s="180"/>
      <c r="G31" s="180"/>
      <c r="H31" s="181"/>
      <c r="I31" s="22" t="s">
        <v>37</v>
      </c>
      <c r="J31" s="90" t="s">
        <v>1071</v>
      </c>
      <c r="K31" s="149">
        <f t="shared" si="0"/>
        <v>0</v>
      </c>
      <c r="L31" s="71" t="str">
        <f>+IFERROR(VLOOKUP(B31,Metraj!B:P,15,FALSE),"0")</f>
        <v>0</v>
      </c>
      <c r="O31" s="81"/>
      <c r="P31" s="71"/>
      <c r="Q31" s="71"/>
      <c r="R31" s="71"/>
      <c r="S31" s="71"/>
      <c r="T31" s="71"/>
      <c r="U31" s="71"/>
      <c r="V31" s="71"/>
      <c r="W31" s="71"/>
      <c r="X31" s="71">
        <v>0</v>
      </c>
      <c r="Y31" s="71">
        <v>0</v>
      </c>
      <c r="Z31" s="71">
        <f>$L31-SUM($O31:Y31)</f>
        <v>0</v>
      </c>
      <c r="AA31" s="71">
        <f>$L31-SUM($O31:Z31)</f>
        <v>0</v>
      </c>
      <c r="AB31" s="71">
        <f>$L31-SUM($O31:AA31)</f>
        <v>0</v>
      </c>
      <c r="AC31" s="71">
        <f>$L31-SUM($O31:AB31)</f>
        <v>0</v>
      </c>
      <c r="AD31" s="71">
        <f>$L31-SUM($O31:AC31)</f>
        <v>0</v>
      </c>
      <c r="AE31" s="71">
        <f>$L31-SUM($O31:AD31)</f>
        <v>0</v>
      </c>
      <c r="AF31" s="71">
        <f>$L31-SUM($O31:AE31)</f>
        <v>0</v>
      </c>
      <c r="AG31" s="71">
        <f>$L31-SUM($O31:AF31)</f>
        <v>0</v>
      </c>
      <c r="AH31" s="71">
        <f>$L31-SUM($O31:AG31)</f>
        <v>0</v>
      </c>
    </row>
    <row r="32" spans="2:34" ht="30" hidden="1" customHeight="1" x14ac:dyDescent="0.3">
      <c r="B32" s="29" t="s">
        <v>137</v>
      </c>
      <c r="C32" s="180" t="str">
        <f>+VLOOKUP(B32,Liste!B:E,2,FALSE)</f>
        <v>125 mm Delik İçine 26 mm Kalınlığında S420a ile Zemin Çivisi Teşkili</v>
      </c>
      <c r="D32" s="180"/>
      <c r="E32" s="180"/>
      <c r="F32" s="180"/>
      <c r="G32" s="180"/>
      <c r="H32" s="181"/>
      <c r="I32" s="22" t="s">
        <v>37</v>
      </c>
      <c r="J32" s="90" t="s">
        <v>1070</v>
      </c>
      <c r="K32" s="149" t="e">
        <f t="shared" si="0"/>
        <v>#VALUE!</v>
      </c>
      <c r="L32" s="71" t="str">
        <f>+IFERROR(VLOOKUP(B32,Metraj!B:P,15,FALSE),"")</f>
        <v/>
      </c>
      <c r="O32" s="81"/>
      <c r="P32" s="71"/>
      <c r="Q32" s="71"/>
      <c r="R32" s="71"/>
      <c r="S32" s="71"/>
      <c r="T32" s="71"/>
      <c r="U32" s="71"/>
      <c r="V32" s="71"/>
      <c r="W32" s="71"/>
      <c r="X32" s="71">
        <v>0</v>
      </c>
      <c r="Y32" s="71">
        <v>0</v>
      </c>
      <c r="Z32" s="71">
        <f>+IFERROR($L32-SUM($O32:Y32),0)</f>
        <v>0</v>
      </c>
      <c r="AA32" s="71">
        <f>+IFERROR($L32-SUM($O32:Z32),0)</f>
        <v>0</v>
      </c>
      <c r="AB32" s="71">
        <f>+IFERROR($L32-SUM($O32:AA32),0)</f>
        <v>0</v>
      </c>
      <c r="AC32" s="71">
        <f>+IFERROR($L32-SUM($O32:AB32),0)</f>
        <v>0</v>
      </c>
      <c r="AD32" s="71">
        <f>+IFERROR($L32-SUM($O32:AC32),0)</f>
        <v>0</v>
      </c>
      <c r="AE32" s="71">
        <f>+IFERROR($L32-SUM($O32:AD32),0)</f>
        <v>0</v>
      </c>
      <c r="AF32" s="71">
        <f>+IFERROR($L32-SUM($O32:AE32),0)</f>
        <v>0</v>
      </c>
      <c r="AG32" s="71">
        <f>+IFERROR($L32-SUM($O32:AF32),0)</f>
        <v>0</v>
      </c>
      <c r="AH32" s="71">
        <f>+IFERROR($L32-SUM($O32:AG32),0)</f>
        <v>0</v>
      </c>
    </row>
    <row r="33" spans="2:34" ht="30" customHeight="1" x14ac:dyDescent="0.3">
      <c r="B33" s="29" t="s">
        <v>138</v>
      </c>
      <c r="C33" s="180" t="str">
        <f>+VLOOKUP(B33,Liste!B:E,2,FALSE)</f>
        <v>Çelik İksa (Tünel ve Şaftlarda)</v>
      </c>
      <c r="D33" s="180"/>
      <c r="E33" s="180"/>
      <c r="F33" s="180"/>
      <c r="G33" s="180"/>
      <c r="H33" s="181"/>
      <c r="I33" s="22" t="s">
        <v>57</v>
      </c>
      <c r="J33" s="90">
        <v>40.261000000000003</v>
      </c>
      <c r="K33" s="149">
        <f t="shared" si="0"/>
        <v>4.0919999999999987</v>
      </c>
      <c r="L33" s="71">
        <f>+IFERROR(VLOOKUP(B33,Metraj!B:P,15,FALSE),"0")</f>
        <v>44.353000000000002</v>
      </c>
      <c r="O33" s="81"/>
      <c r="P33" s="71"/>
      <c r="Q33" s="71"/>
      <c r="R33" s="71"/>
      <c r="S33" s="71"/>
      <c r="T33" s="71"/>
      <c r="U33" s="71"/>
      <c r="V33" s="71"/>
      <c r="W33" s="71"/>
      <c r="X33" s="71">
        <v>8.6989999999999998</v>
      </c>
      <c r="Y33" s="71">
        <v>31.562000000000005</v>
      </c>
      <c r="Z33" s="71">
        <f>$L33-SUM($O33:Y33)</f>
        <v>4.0919999999999987</v>
      </c>
      <c r="AA33" s="71">
        <f>$L33-SUM($O33:Z33)</f>
        <v>0</v>
      </c>
      <c r="AB33" s="71">
        <f>$L33-SUM($O33:AA33)</f>
        <v>0</v>
      </c>
      <c r="AC33" s="71">
        <f>$L33-SUM($O33:AB33)</f>
        <v>0</v>
      </c>
      <c r="AD33" s="71">
        <f>$L33-SUM($O33:AC33)</f>
        <v>0</v>
      </c>
      <c r="AE33" s="71">
        <f>$L33-SUM($O33:AD33)</f>
        <v>0</v>
      </c>
      <c r="AF33" s="71">
        <f>$L33-SUM($O33:AE33)</f>
        <v>0</v>
      </c>
      <c r="AG33" s="71">
        <f>$L33-SUM($O33:AF33)</f>
        <v>0</v>
      </c>
      <c r="AH33" s="71">
        <f>$L33-SUM($O33:AG33)</f>
        <v>0</v>
      </c>
    </row>
    <row r="34" spans="2:34" ht="30" hidden="1" customHeight="1" x14ac:dyDescent="0.3">
      <c r="B34" s="29" t="s">
        <v>140</v>
      </c>
      <c r="C34" s="180" t="str">
        <f>+VLOOKUP(B34,Liste!B:E,2,FALSE)</f>
        <v>Umbrella Arch Yapılması</v>
      </c>
      <c r="D34" s="180"/>
      <c r="E34" s="180"/>
      <c r="F34" s="180"/>
      <c r="G34" s="180"/>
      <c r="H34" s="181"/>
      <c r="I34" s="22" t="s">
        <v>37</v>
      </c>
      <c r="J34" s="90">
        <v>0</v>
      </c>
      <c r="K34" s="149">
        <f t="shared" si="0"/>
        <v>0</v>
      </c>
      <c r="L34" s="71">
        <f>+IFERROR(VLOOKUP(B34,Metraj!B:P,15,FALSE),"0")</f>
        <v>0</v>
      </c>
      <c r="O34" s="81"/>
      <c r="P34" s="71"/>
      <c r="Q34" s="71"/>
      <c r="R34" s="71"/>
      <c r="S34" s="71"/>
      <c r="T34" s="71"/>
      <c r="U34" s="71"/>
      <c r="V34" s="71"/>
      <c r="W34" s="71"/>
      <c r="X34" s="71">
        <v>0</v>
      </c>
      <c r="Y34" s="71">
        <v>0</v>
      </c>
      <c r="Z34" s="71">
        <f>$L34-SUM($O34:Y34)</f>
        <v>0</v>
      </c>
      <c r="AA34" s="71">
        <f>$L34-SUM($O34:Z34)</f>
        <v>0</v>
      </c>
      <c r="AB34" s="71">
        <f>$L34-SUM($O34:AA34)</f>
        <v>0</v>
      </c>
      <c r="AC34" s="71">
        <f>$L34-SUM($O34:AB34)</f>
        <v>0</v>
      </c>
      <c r="AD34" s="71">
        <f>$L34-SUM($O34:AC34)</f>
        <v>0</v>
      </c>
      <c r="AE34" s="71">
        <f>$L34-SUM($O34:AD34)</f>
        <v>0</v>
      </c>
      <c r="AF34" s="71">
        <f>$L34-SUM($O34:AE34)</f>
        <v>0</v>
      </c>
      <c r="AG34" s="71">
        <f>$L34-SUM($O34:AF34)</f>
        <v>0</v>
      </c>
      <c r="AH34" s="71">
        <f>$L34-SUM($O34:AG34)</f>
        <v>0</v>
      </c>
    </row>
    <row r="35" spans="2:34" ht="30" hidden="1" customHeight="1" x14ac:dyDescent="0.3">
      <c r="B35" s="29" t="s">
        <v>142</v>
      </c>
      <c r="C35" s="180" t="str">
        <f>+VLOOKUP(B35,Liste!B:E,2,FALSE)</f>
        <v>Tünel ve şaftlarda su yalıtımı, birim ağırlığı &gt;=500 g/metrekare geotekstil keçe</v>
      </c>
      <c r="D35" s="180"/>
      <c r="E35" s="180"/>
      <c r="F35" s="180"/>
      <c r="G35" s="180"/>
      <c r="H35" s="181"/>
      <c r="I35" s="22" t="s">
        <v>19</v>
      </c>
      <c r="J35" s="90" t="s">
        <v>1070</v>
      </c>
      <c r="K35" s="149" t="e">
        <f t="shared" si="0"/>
        <v>#VALUE!</v>
      </c>
      <c r="L35" s="71" t="str">
        <f>+IFERROR(VLOOKUP(B35,Metraj!B:P,15,FALSE),"")</f>
        <v/>
      </c>
      <c r="O35" s="81"/>
      <c r="P35" s="71"/>
      <c r="Q35" s="71"/>
      <c r="R35" s="71"/>
      <c r="S35" s="71"/>
      <c r="T35" s="71"/>
      <c r="U35" s="71"/>
      <c r="V35" s="71"/>
      <c r="W35" s="71"/>
      <c r="X35" s="71">
        <v>0</v>
      </c>
      <c r="Y35" s="71">
        <v>0</v>
      </c>
      <c r="Z35" s="71">
        <f>+IFERROR($L35-SUM($O35:Y35),0)</f>
        <v>0</v>
      </c>
      <c r="AA35" s="71">
        <f>+IFERROR($L35-SUM($O35:Z35),0)</f>
        <v>0</v>
      </c>
      <c r="AB35" s="71">
        <f>+IFERROR($L35-SUM($O35:AA35),0)</f>
        <v>0</v>
      </c>
      <c r="AC35" s="71">
        <f>+IFERROR($L35-SUM($O35:AB35),0)</f>
        <v>0</v>
      </c>
      <c r="AD35" s="71">
        <f>+IFERROR($L35-SUM($O35:AC35),0)</f>
        <v>0</v>
      </c>
      <c r="AE35" s="71">
        <f>+IFERROR($L35-SUM($O35:AD35),0)</f>
        <v>0</v>
      </c>
      <c r="AF35" s="71">
        <f>+IFERROR($L35-SUM($O35:AE35),0)</f>
        <v>0</v>
      </c>
      <c r="AG35" s="71">
        <f>+IFERROR($L35-SUM($O35:AF35),0)</f>
        <v>0</v>
      </c>
      <c r="AH35" s="71">
        <f>+IFERROR($L35-SUM($O35:AG35),0)</f>
        <v>0</v>
      </c>
    </row>
    <row r="36" spans="2:34" ht="30" hidden="1" customHeight="1" x14ac:dyDescent="0.3">
      <c r="B36" s="29" t="s">
        <v>144</v>
      </c>
      <c r="C36" s="180" t="str">
        <f>+VLOOKUP(B36,Liste!B:E,2,FALSE)</f>
        <v>Tünel ve şaftlarda su yalıtımı, 2mm kalınlıklı PVC membran</v>
      </c>
      <c r="D36" s="180"/>
      <c r="E36" s="180"/>
      <c r="F36" s="180"/>
      <c r="G36" s="180"/>
      <c r="H36" s="181"/>
      <c r="I36" s="22" t="s">
        <v>19</v>
      </c>
      <c r="J36" s="90" t="s">
        <v>1070</v>
      </c>
      <c r="K36" s="149" t="e">
        <f t="shared" si="0"/>
        <v>#VALUE!</v>
      </c>
      <c r="L36" s="71" t="str">
        <f>+IFERROR(VLOOKUP(B36,Metraj!B:P,15,FALSE),"")</f>
        <v/>
      </c>
      <c r="O36" s="81"/>
      <c r="P36" s="71"/>
      <c r="Q36" s="71"/>
      <c r="R36" s="71"/>
      <c r="S36" s="71"/>
      <c r="T36" s="71"/>
      <c r="U36" s="71"/>
      <c r="V36" s="71"/>
      <c r="W36" s="71"/>
      <c r="X36" s="71">
        <v>0</v>
      </c>
      <c r="Y36" s="71">
        <v>0</v>
      </c>
      <c r="Z36" s="71">
        <f>+IFERROR($L36-SUM($O36:Y36),0)</f>
        <v>0</v>
      </c>
      <c r="AA36" s="71">
        <f>+IFERROR($L36-SUM($O36:Z36),0)</f>
        <v>0</v>
      </c>
      <c r="AB36" s="71">
        <f>+IFERROR($L36-SUM($O36:AA36),0)</f>
        <v>0</v>
      </c>
      <c r="AC36" s="71">
        <f>+IFERROR($L36-SUM($O36:AB36),0)</f>
        <v>0</v>
      </c>
      <c r="AD36" s="71">
        <f>+IFERROR($L36-SUM($O36:AC36),0)</f>
        <v>0</v>
      </c>
      <c r="AE36" s="71">
        <f>+IFERROR($L36-SUM($O36:AD36),0)</f>
        <v>0</v>
      </c>
      <c r="AF36" s="71">
        <f>+IFERROR($L36-SUM($O36:AE36),0)</f>
        <v>0</v>
      </c>
      <c r="AG36" s="71">
        <f>+IFERROR($L36-SUM($O36:AF36),0)</f>
        <v>0</v>
      </c>
      <c r="AH36" s="71">
        <f>+IFERROR($L36-SUM($O36:AG36),0)</f>
        <v>0</v>
      </c>
    </row>
    <row r="37" spans="2:34" ht="30" hidden="1" customHeight="1" x14ac:dyDescent="0.3">
      <c r="B37" s="29" t="s">
        <v>146</v>
      </c>
      <c r="C37" s="180" t="str">
        <f>+VLOOKUP(B37,Liste!B:E,2,FALSE)</f>
        <v>Su Tutucular (Tünel ve Şaftlarda)</v>
      </c>
      <c r="D37" s="180"/>
      <c r="E37" s="180"/>
      <c r="F37" s="180"/>
      <c r="G37" s="180"/>
      <c r="H37" s="181"/>
      <c r="I37" s="22" t="s">
        <v>37</v>
      </c>
      <c r="J37" s="90" t="s">
        <v>1070</v>
      </c>
      <c r="K37" s="149" t="e">
        <f t="shared" si="0"/>
        <v>#VALUE!</v>
      </c>
      <c r="L37" s="71" t="str">
        <f>+IFERROR(VLOOKUP(B37,Metraj!B:P,15,FALSE),"")</f>
        <v/>
      </c>
      <c r="O37" s="81"/>
      <c r="P37" s="71"/>
      <c r="Q37" s="71"/>
      <c r="R37" s="71"/>
      <c r="S37" s="71"/>
      <c r="T37" s="71"/>
      <c r="U37" s="71"/>
      <c r="V37" s="71"/>
      <c r="W37" s="71"/>
      <c r="X37" s="71">
        <v>0</v>
      </c>
      <c r="Y37" s="71">
        <v>0</v>
      </c>
      <c r="Z37" s="71">
        <f>+IFERROR($L37-SUM($O37:Y37),0)</f>
        <v>0</v>
      </c>
      <c r="AA37" s="71">
        <f>+IFERROR($L37-SUM($O37:Z37),0)</f>
        <v>0</v>
      </c>
      <c r="AB37" s="71">
        <f>+IFERROR($L37-SUM($O37:AA37),0)</f>
        <v>0</v>
      </c>
      <c r="AC37" s="71">
        <f>+IFERROR($L37-SUM($O37:AB37),0)</f>
        <v>0</v>
      </c>
      <c r="AD37" s="71">
        <f>+IFERROR($L37-SUM($O37:AC37),0)</f>
        <v>0</v>
      </c>
      <c r="AE37" s="71">
        <f>+IFERROR($L37-SUM($O37:AD37),0)</f>
        <v>0</v>
      </c>
      <c r="AF37" s="71">
        <f>+IFERROR($L37-SUM($O37:AE37),0)</f>
        <v>0</v>
      </c>
      <c r="AG37" s="71">
        <f>+IFERROR($L37-SUM($O37:AF37),0)</f>
        <v>0</v>
      </c>
      <c r="AH37" s="71">
        <f>+IFERROR($L37-SUM($O37:AG37),0)</f>
        <v>0</v>
      </c>
    </row>
    <row r="38" spans="2:34" ht="30" hidden="1" customHeight="1" x14ac:dyDescent="0.3">
      <c r="B38" s="29" t="s">
        <v>148</v>
      </c>
      <c r="C38" s="180" t="str">
        <f>+VLOOKUP(B38,Liste!B:E,2,FALSE)</f>
        <v>Kalıp (invert ve şaft için)</v>
      </c>
      <c r="D38" s="180"/>
      <c r="E38" s="180"/>
      <c r="F38" s="180"/>
      <c r="G38" s="180"/>
      <c r="H38" s="181"/>
      <c r="I38" s="22" t="s">
        <v>19</v>
      </c>
      <c r="J38" s="90" t="s">
        <v>1070</v>
      </c>
      <c r="K38" s="149" t="e">
        <f t="shared" si="0"/>
        <v>#VALUE!</v>
      </c>
      <c r="L38" s="71" t="str">
        <f>+IFERROR(VLOOKUP(B38,Metraj!B:P,15,FALSE),"")</f>
        <v/>
      </c>
      <c r="O38" s="81"/>
      <c r="P38" s="71"/>
      <c r="Q38" s="71"/>
      <c r="R38" s="71"/>
      <c r="S38" s="71"/>
      <c r="T38" s="71"/>
      <c r="U38" s="71"/>
      <c r="V38" s="71"/>
      <c r="W38" s="71"/>
      <c r="X38" s="71">
        <v>0</v>
      </c>
      <c r="Y38" s="71">
        <v>0</v>
      </c>
      <c r="Z38" s="71">
        <f>+IFERROR($L38-SUM($O38:Y38),0)</f>
        <v>0</v>
      </c>
      <c r="AA38" s="71">
        <f>+IFERROR($L38-SUM($O38:Z38),0)</f>
        <v>0</v>
      </c>
      <c r="AB38" s="71">
        <f>+IFERROR($L38-SUM($O38:AA38),0)</f>
        <v>0</v>
      </c>
      <c r="AC38" s="71">
        <f>+IFERROR($L38-SUM($O38:AB38),0)</f>
        <v>0</v>
      </c>
      <c r="AD38" s="71">
        <f>+IFERROR($L38-SUM($O38:AC38),0)</f>
        <v>0</v>
      </c>
      <c r="AE38" s="71">
        <f>+IFERROR($L38-SUM($O38:AD38),0)</f>
        <v>0</v>
      </c>
      <c r="AF38" s="71">
        <f>+IFERROR($L38-SUM($O38:AE38),0)</f>
        <v>0</v>
      </c>
      <c r="AG38" s="71">
        <f>+IFERROR($L38-SUM($O38:AF38),0)</f>
        <v>0</v>
      </c>
      <c r="AH38" s="71">
        <f>+IFERROR($L38-SUM($O38:AG38),0)</f>
        <v>0</v>
      </c>
    </row>
    <row r="39" spans="2:34" ht="30" hidden="1" customHeight="1" x14ac:dyDescent="0.3">
      <c r="B39" s="29" t="s">
        <v>150</v>
      </c>
      <c r="C39" s="180" t="str">
        <f>+VLOOKUP(B39,Liste!B:E,2,FALSE)</f>
        <v>Kalıp (duvar ve kemer İçin)</v>
      </c>
      <c r="D39" s="180"/>
      <c r="E39" s="180"/>
      <c r="F39" s="180"/>
      <c r="G39" s="180"/>
      <c r="H39" s="181"/>
      <c r="I39" s="22" t="s">
        <v>19</v>
      </c>
      <c r="J39" s="90" t="s">
        <v>1070</v>
      </c>
      <c r="K39" s="149" t="e">
        <f t="shared" si="0"/>
        <v>#VALUE!</v>
      </c>
      <c r="L39" s="71" t="str">
        <f>+IFERROR(VLOOKUP(B39,Metraj!B:P,15,FALSE),"")</f>
        <v/>
      </c>
      <c r="O39" s="81"/>
      <c r="P39" s="71"/>
      <c r="Q39" s="71"/>
      <c r="R39" s="71"/>
      <c r="S39" s="71"/>
      <c r="T39" s="71"/>
      <c r="U39" s="71"/>
      <c r="V39" s="71"/>
      <c r="W39" s="71"/>
      <c r="X39" s="71">
        <v>0</v>
      </c>
      <c r="Y39" s="71">
        <v>0</v>
      </c>
      <c r="Z39" s="71">
        <f>+IFERROR($L39-SUM($O39:Y39),0)</f>
        <v>0</v>
      </c>
      <c r="AA39" s="71">
        <f>+IFERROR($L39-SUM($O39:Z39),0)</f>
        <v>0</v>
      </c>
      <c r="AB39" s="71">
        <f>+IFERROR($L39-SUM($O39:AA39),0)</f>
        <v>0</v>
      </c>
      <c r="AC39" s="71">
        <f>+IFERROR($L39-SUM($O39:AB39),0)</f>
        <v>0</v>
      </c>
      <c r="AD39" s="71">
        <f>+IFERROR($L39-SUM($O39:AC39),0)</f>
        <v>0</v>
      </c>
      <c r="AE39" s="71">
        <f>+IFERROR($L39-SUM($O39:AD39),0)</f>
        <v>0</v>
      </c>
      <c r="AF39" s="71">
        <f>+IFERROR($L39-SUM($O39:AE39),0)</f>
        <v>0</v>
      </c>
      <c r="AG39" s="71">
        <f>+IFERROR($L39-SUM($O39:AF39),0)</f>
        <v>0</v>
      </c>
      <c r="AH39" s="71">
        <f>+IFERROR($L39-SUM($O39:AG39),0)</f>
        <v>0</v>
      </c>
    </row>
    <row r="40" spans="2:34" ht="30" hidden="1" customHeight="1" x14ac:dyDescent="0.3">
      <c r="B40" s="29" t="s">
        <v>152</v>
      </c>
      <c r="C40" s="180" t="str">
        <f>+VLOOKUP(B40,Liste!B:E,2,FALSE)</f>
        <v>Tip Kesit Dışı Konstrüksiyon Kalıbı, Tünel Alın Kalıbı</v>
      </c>
      <c r="D40" s="180"/>
      <c r="E40" s="180"/>
      <c r="F40" s="180"/>
      <c r="G40" s="180"/>
      <c r="H40" s="181"/>
      <c r="I40" s="22" t="s">
        <v>19</v>
      </c>
      <c r="J40" s="90" t="s">
        <v>1070</v>
      </c>
      <c r="K40" s="149" t="e">
        <f t="shared" si="0"/>
        <v>#VALUE!</v>
      </c>
      <c r="L40" s="71" t="str">
        <f>+IFERROR(VLOOKUP(B40,Metraj!B:P,15,FALSE),"")</f>
        <v/>
      </c>
      <c r="O40" s="81"/>
      <c r="P40" s="71"/>
      <c r="Q40" s="71"/>
      <c r="R40" s="71"/>
      <c r="S40" s="71"/>
      <c r="T40" s="71"/>
      <c r="U40" s="71"/>
      <c r="V40" s="71"/>
      <c r="W40" s="71"/>
      <c r="X40" s="71">
        <v>0</v>
      </c>
      <c r="Y40" s="71">
        <v>0</v>
      </c>
      <c r="Z40" s="71">
        <f>+IFERROR($L40-SUM($O40:Y40),0)</f>
        <v>0</v>
      </c>
      <c r="AA40" s="71">
        <f>+IFERROR($L40-SUM($O40:Z40),0)</f>
        <v>0</v>
      </c>
      <c r="AB40" s="71">
        <f>+IFERROR($L40-SUM($O40:AA40),0)</f>
        <v>0</v>
      </c>
      <c r="AC40" s="71">
        <f>+IFERROR($L40-SUM($O40:AB40),0)</f>
        <v>0</v>
      </c>
      <c r="AD40" s="71">
        <f>+IFERROR($L40-SUM($O40:AC40),0)</f>
        <v>0</v>
      </c>
      <c r="AE40" s="71">
        <f>+IFERROR($L40-SUM($O40:AD40),0)</f>
        <v>0</v>
      </c>
      <c r="AF40" s="71">
        <f>+IFERROR($L40-SUM($O40:AE40),0)</f>
        <v>0</v>
      </c>
      <c r="AG40" s="71">
        <f>+IFERROR($L40-SUM($O40:AF40),0)</f>
        <v>0</v>
      </c>
      <c r="AH40" s="71">
        <f>+IFERROR($L40-SUM($O40:AG40),0)</f>
        <v>0</v>
      </c>
    </row>
    <row r="41" spans="2:34" ht="30" hidden="1" customHeight="1" x14ac:dyDescent="0.3">
      <c r="B41" s="29" t="s">
        <v>154</v>
      </c>
      <c r="C41" s="180" t="str">
        <f>+VLOOKUP(B41,Liste!B:E,2,FALSE)</f>
        <v>C16 Beton İmali ve Dökülmesi (Tünel ve Şaftlarda)</v>
      </c>
      <c r="D41" s="180"/>
      <c r="E41" s="180"/>
      <c r="F41" s="180"/>
      <c r="G41" s="180"/>
      <c r="H41" s="181"/>
      <c r="I41" s="22" t="s">
        <v>22</v>
      </c>
      <c r="J41" s="90" t="s">
        <v>1070</v>
      </c>
      <c r="K41" s="149" t="e">
        <f t="shared" si="0"/>
        <v>#VALUE!</v>
      </c>
      <c r="L41" s="71" t="str">
        <f>+IFERROR(VLOOKUP(B41,Metraj!B:P,15,FALSE),"")</f>
        <v/>
      </c>
      <c r="O41" s="81"/>
      <c r="P41" s="71"/>
      <c r="Q41" s="71"/>
      <c r="R41" s="71"/>
      <c r="S41" s="71"/>
      <c r="T41" s="71"/>
      <c r="U41" s="71"/>
      <c r="V41" s="71"/>
      <c r="W41" s="71"/>
      <c r="X41" s="71">
        <v>0</v>
      </c>
      <c r="Y41" s="71">
        <v>0</v>
      </c>
      <c r="Z41" s="71">
        <f>+IFERROR($L41-SUM($O41:Y41),0)</f>
        <v>0</v>
      </c>
      <c r="AA41" s="71">
        <f>+IFERROR($L41-SUM($O41:Z41),0)</f>
        <v>0</v>
      </c>
      <c r="AB41" s="71">
        <f>+IFERROR($L41-SUM($O41:AA41),0)</f>
        <v>0</v>
      </c>
      <c r="AC41" s="71">
        <f>+IFERROR($L41-SUM($O41:AB41),0)</f>
        <v>0</v>
      </c>
      <c r="AD41" s="71">
        <f>+IFERROR($L41-SUM($O41:AC41),0)</f>
        <v>0</v>
      </c>
      <c r="AE41" s="71">
        <f>+IFERROR($L41-SUM($O41:AD41),0)</f>
        <v>0</v>
      </c>
      <c r="AF41" s="71">
        <f>+IFERROR($L41-SUM($O41:AE41),0)</f>
        <v>0</v>
      </c>
      <c r="AG41" s="71">
        <f>+IFERROR($L41-SUM($O41:AF41),0)</f>
        <v>0</v>
      </c>
      <c r="AH41" s="71">
        <f>+IFERROR($L41-SUM($O41:AG41),0)</f>
        <v>0</v>
      </c>
    </row>
    <row r="42" spans="2:34" ht="30" hidden="1" customHeight="1" x14ac:dyDescent="0.3">
      <c r="B42" s="29" t="s">
        <v>156</v>
      </c>
      <c r="C42" s="180" t="str">
        <f>+VLOOKUP(B42,Liste!B:E,2,FALSE)</f>
        <v>C30 Beton İmali ve Dökülmesi (Tünel ve Şaftlarda) Tünel kaplaması, invert ve şaftlardaki alt döşeme</v>
      </c>
      <c r="D42" s="180"/>
      <c r="E42" s="180"/>
      <c r="F42" s="180"/>
      <c r="G42" s="180"/>
      <c r="H42" s="181"/>
      <c r="I42" s="22" t="s">
        <v>22</v>
      </c>
      <c r="J42" s="90" t="s">
        <v>1070</v>
      </c>
      <c r="K42" s="149" t="e">
        <f t="shared" si="0"/>
        <v>#VALUE!</v>
      </c>
      <c r="L42" s="71" t="str">
        <f>+IFERROR(VLOOKUP(B42,Metraj!B:P,15,FALSE),"")</f>
        <v/>
      </c>
      <c r="O42" s="81"/>
      <c r="P42" s="71"/>
      <c r="Q42" s="71"/>
      <c r="R42" s="71"/>
      <c r="S42" s="71"/>
      <c r="T42" s="71"/>
      <c r="U42" s="71"/>
      <c r="V42" s="71"/>
      <c r="W42" s="71"/>
      <c r="X42" s="71">
        <v>0</v>
      </c>
      <c r="Y42" s="71">
        <v>0</v>
      </c>
      <c r="Z42" s="71">
        <f>+IFERROR($L42-SUM($O42:Y42),0)</f>
        <v>0</v>
      </c>
      <c r="AA42" s="71">
        <f>+IFERROR($L42-SUM($O42:Z42),0)</f>
        <v>0</v>
      </c>
      <c r="AB42" s="71">
        <f>+IFERROR($L42-SUM($O42:AA42),0)</f>
        <v>0</v>
      </c>
      <c r="AC42" s="71">
        <f>+IFERROR($L42-SUM($O42:AB42),0)</f>
        <v>0</v>
      </c>
      <c r="AD42" s="71">
        <f>+IFERROR($L42-SUM($O42:AC42),0)</f>
        <v>0</v>
      </c>
      <c r="AE42" s="71">
        <f>+IFERROR($L42-SUM($O42:AD42),0)</f>
        <v>0</v>
      </c>
      <c r="AF42" s="71">
        <f>+IFERROR($L42-SUM($O42:AE42),0)</f>
        <v>0</v>
      </c>
      <c r="AG42" s="71">
        <f>+IFERROR($L42-SUM($O42:AF42),0)</f>
        <v>0</v>
      </c>
      <c r="AH42" s="71">
        <f>+IFERROR($L42-SUM($O42:AG42),0)</f>
        <v>0</v>
      </c>
    </row>
    <row r="43" spans="2:34" ht="30" hidden="1" customHeight="1" x14ac:dyDescent="0.3">
      <c r="B43" s="29" t="s">
        <v>158</v>
      </c>
      <c r="C43" s="180" t="str">
        <f>+VLOOKUP(B43,Liste!B:E,2,FALSE)</f>
        <v>C30 Beton İmali ve Dökülmesi (Tünel ve Şaftlarda) Yan duvarlar, kemer</v>
      </c>
      <c r="D43" s="180"/>
      <c r="E43" s="180"/>
      <c r="F43" s="180"/>
      <c r="G43" s="180"/>
      <c r="H43" s="181"/>
      <c r="I43" s="22" t="s">
        <v>22</v>
      </c>
      <c r="J43" s="90" t="s">
        <v>1070</v>
      </c>
      <c r="K43" s="149" t="e">
        <f t="shared" si="0"/>
        <v>#VALUE!</v>
      </c>
      <c r="L43" s="71" t="str">
        <f>+IFERROR(VLOOKUP(B43,Metraj!B:P,15,FALSE),"")</f>
        <v/>
      </c>
      <c r="O43" s="81"/>
      <c r="P43" s="71"/>
      <c r="Q43" s="71"/>
      <c r="R43" s="71"/>
      <c r="S43" s="71"/>
      <c r="T43" s="71"/>
      <c r="U43" s="71"/>
      <c r="V43" s="71"/>
      <c r="W43" s="71"/>
      <c r="X43" s="71">
        <v>0</v>
      </c>
      <c r="Y43" s="71">
        <v>0</v>
      </c>
      <c r="Z43" s="71">
        <f>+IFERROR($L43-SUM($O43:Y43),0)</f>
        <v>0</v>
      </c>
      <c r="AA43" s="71">
        <f>+IFERROR($L43-SUM($O43:Z43),0)</f>
        <v>0</v>
      </c>
      <c r="AB43" s="71">
        <f>+IFERROR($L43-SUM($O43:AA43),0)</f>
        <v>0</v>
      </c>
      <c r="AC43" s="71">
        <f>+IFERROR($L43-SUM($O43:AB43),0)</f>
        <v>0</v>
      </c>
      <c r="AD43" s="71">
        <f>+IFERROR($L43-SUM($O43:AC43),0)</f>
        <v>0</v>
      </c>
      <c r="AE43" s="71">
        <f>+IFERROR($L43-SUM($O43:AD43),0)</f>
        <v>0</v>
      </c>
      <c r="AF43" s="71">
        <f>+IFERROR($L43-SUM($O43:AE43),0)</f>
        <v>0</v>
      </c>
      <c r="AG43" s="71">
        <f>+IFERROR($L43-SUM($O43:AF43),0)</f>
        <v>0</v>
      </c>
      <c r="AH43" s="71">
        <f>+IFERROR($L43-SUM($O43:AG43),0)</f>
        <v>0</v>
      </c>
    </row>
    <row r="44" spans="2:34" ht="30" hidden="1" customHeight="1" x14ac:dyDescent="0.3">
      <c r="B44" s="29" t="s">
        <v>160</v>
      </c>
      <c r="C44" s="180" t="str">
        <f>+VLOOKUP(B44,Liste!B:E,2,FALSE)</f>
        <v>Diğer Kesit Dışındaki Yapıların Betonu C30</v>
      </c>
      <c r="D44" s="180"/>
      <c r="E44" s="180"/>
      <c r="F44" s="180"/>
      <c r="G44" s="180"/>
      <c r="H44" s="181"/>
      <c r="I44" s="22" t="s">
        <v>22</v>
      </c>
      <c r="J44" s="90" t="s">
        <v>1070</v>
      </c>
      <c r="K44" s="149" t="e">
        <f t="shared" si="0"/>
        <v>#VALUE!</v>
      </c>
      <c r="L44" s="71" t="str">
        <f>+IFERROR(VLOOKUP(B44,Metraj!B:P,15,FALSE),"")</f>
        <v/>
      </c>
      <c r="O44" s="81"/>
      <c r="P44" s="71"/>
      <c r="Q44" s="71"/>
      <c r="R44" s="71"/>
      <c r="S44" s="71"/>
      <c r="T44" s="71"/>
      <c r="U44" s="71"/>
      <c r="V44" s="71"/>
      <c r="W44" s="71"/>
      <c r="X44" s="71">
        <v>0</v>
      </c>
      <c r="Y44" s="71">
        <v>0</v>
      </c>
      <c r="Z44" s="71">
        <f>+IFERROR($L44-SUM($O44:Y44),0)</f>
        <v>0</v>
      </c>
      <c r="AA44" s="71">
        <f>+IFERROR($L44-SUM($O44:Z44),0)</f>
        <v>0</v>
      </c>
      <c r="AB44" s="71">
        <f>+IFERROR($L44-SUM($O44:AA44),0)</f>
        <v>0</v>
      </c>
      <c r="AC44" s="71">
        <f>+IFERROR($L44-SUM($O44:AB44),0)</f>
        <v>0</v>
      </c>
      <c r="AD44" s="71">
        <f>+IFERROR($L44-SUM($O44:AC44),0)</f>
        <v>0</v>
      </c>
      <c r="AE44" s="71">
        <f>+IFERROR($L44-SUM($O44:AD44),0)</f>
        <v>0</v>
      </c>
      <c r="AF44" s="71">
        <f>+IFERROR($L44-SUM($O44:AE44),0)</f>
        <v>0</v>
      </c>
      <c r="AG44" s="71">
        <f>+IFERROR($L44-SUM($O44:AF44),0)</f>
        <v>0</v>
      </c>
      <c r="AH44" s="71">
        <f>+IFERROR($L44-SUM($O44:AG44),0)</f>
        <v>0</v>
      </c>
    </row>
    <row r="45" spans="2:34" ht="30" customHeight="1" x14ac:dyDescent="0.3">
      <c r="B45" s="29" t="s">
        <v>162</v>
      </c>
      <c r="C45" s="180" t="str">
        <f>+VLOOKUP(B45,Liste!B:E,2,FALSE)</f>
        <v>Çelik Donatı (S220 )</v>
      </c>
      <c r="D45" s="180"/>
      <c r="E45" s="180"/>
      <c r="F45" s="180"/>
      <c r="G45" s="180"/>
      <c r="H45" s="181"/>
      <c r="I45" s="22" t="s">
        <v>57</v>
      </c>
      <c r="J45" s="90">
        <v>1.778</v>
      </c>
      <c r="K45" s="149">
        <f t="shared" si="0"/>
        <v>1.4670000000000001</v>
      </c>
      <c r="L45" s="71">
        <f>+IFERROR(VLOOKUP(B45,Metraj!B:P,15,FALSE),"0")</f>
        <v>3.2450000000000001</v>
      </c>
      <c r="O45" s="81"/>
      <c r="P45" s="71"/>
      <c r="Q45" s="71"/>
      <c r="R45" s="71"/>
      <c r="S45" s="71"/>
      <c r="T45" s="71"/>
      <c r="V45" s="71"/>
      <c r="W45" s="71"/>
      <c r="X45" s="71">
        <v>0.38400000000000001</v>
      </c>
      <c r="Y45" s="71">
        <v>1.3940000000000001</v>
      </c>
      <c r="Z45" s="71">
        <f>$L45-SUM($O45:Y45)</f>
        <v>1.4670000000000001</v>
      </c>
      <c r="AA45" s="71">
        <f>$L45-SUM($O45:Z45)</f>
        <v>0</v>
      </c>
      <c r="AB45" s="71">
        <f>$L45-SUM($O45:AA45)</f>
        <v>0</v>
      </c>
      <c r="AC45" s="71">
        <f>$L45-SUM($O45:AB45)</f>
        <v>0</v>
      </c>
      <c r="AD45" s="71">
        <f>$L45-SUM($O45:AC45)</f>
        <v>0</v>
      </c>
      <c r="AE45" s="71">
        <f>$L45-SUM($O45:AD45)</f>
        <v>0</v>
      </c>
      <c r="AF45" s="71">
        <f>$L45-SUM($O45:AE45)</f>
        <v>0</v>
      </c>
      <c r="AG45" s="71">
        <f>$L45-SUM($O45:AF45)</f>
        <v>0</v>
      </c>
      <c r="AH45" s="71">
        <f>$L45-SUM($O45:AG45)</f>
        <v>0</v>
      </c>
    </row>
    <row r="46" spans="2:34" ht="30" hidden="1" customHeight="1" x14ac:dyDescent="0.3">
      <c r="B46" s="29" t="s">
        <v>164</v>
      </c>
      <c r="C46" s="180" t="str">
        <f>+VLOOKUP(B46,Liste!B:E,2,FALSE)</f>
        <v>Çelik Donatı (S420a )</v>
      </c>
      <c r="D46" s="180"/>
      <c r="E46" s="180"/>
      <c r="F46" s="180"/>
      <c r="G46" s="180"/>
      <c r="H46" s="181"/>
      <c r="I46" s="22" t="s">
        <v>57</v>
      </c>
      <c r="J46" s="90">
        <v>0</v>
      </c>
      <c r="K46" s="149">
        <f t="shared" si="0"/>
        <v>0</v>
      </c>
      <c r="L46" s="71">
        <f>+IFERROR(VLOOKUP(B46,Metraj!B:P,15,FALSE),"")</f>
        <v>0</v>
      </c>
      <c r="O46" s="81"/>
      <c r="P46" s="71"/>
      <c r="Q46" s="71"/>
      <c r="R46" s="71"/>
      <c r="S46" s="71"/>
      <c r="T46" s="71"/>
      <c r="V46" s="71"/>
      <c r="W46" s="71"/>
      <c r="X46" s="71">
        <v>0</v>
      </c>
      <c r="Y46" s="71">
        <v>0</v>
      </c>
      <c r="Z46" s="71">
        <f>+IFERROR($L46-SUM($O46:Y46),0)</f>
        <v>0</v>
      </c>
      <c r="AA46" s="71">
        <f>+IFERROR($L46-SUM($O46:Z46),0)</f>
        <v>0</v>
      </c>
      <c r="AB46" s="71">
        <f>+IFERROR($L46-SUM($O46:AA46),0)</f>
        <v>0</v>
      </c>
      <c r="AC46" s="71">
        <f>+IFERROR($L46-SUM($O46:AB46),0)</f>
        <v>0</v>
      </c>
      <c r="AD46" s="71">
        <f>+IFERROR($L46-SUM($O46:AC46),0)</f>
        <v>0</v>
      </c>
      <c r="AE46" s="71">
        <f>+IFERROR($L46-SUM($O46:AD46),0)</f>
        <v>0</v>
      </c>
      <c r="AF46" s="71">
        <f>+IFERROR($L46-SUM($O46:AE46),0)</f>
        <v>0</v>
      </c>
      <c r="AG46" s="71">
        <f>+IFERROR($L46-SUM($O46:AF46),0)</f>
        <v>0</v>
      </c>
      <c r="AH46" s="71">
        <f>+IFERROR($L46-SUM($O46:AG46),0)</f>
        <v>0</v>
      </c>
    </row>
    <row r="47" spans="2:34" ht="30" customHeight="1" x14ac:dyDescent="0.3">
      <c r="B47" s="29" t="s">
        <v>166</v>
      </c>
      <c r="C47" s="180" t="str">
        <f>+VLOOKUP(B47,Liste!B:E,2,FALSE)</f>
        <v>Çelik hasır (S500 )</v>
      </c>
      <c r="D47" s="180"/>
      <c r="E47" s="180"/>
      <c r="F47" s="180"/>
      <c r="G47" s="180"/>
      <c r="H47" s="181"/>
      <c r="I47" s="22" t="s">
        <v>57</v>
      </c>
      <c r="J47" s="90">
        <v>10.364000000000001</v>
      </c>
      <c r="K47" s="149">
        <f t="shared" si="0"/>
        <v>1.0349999999999984</v>
      </c>
      <c r="L47" s="71">
        <f>+IFERROR(VLOOKUP(B47,Metraj!B:P,15,FALSE),"0")</f>
        <v>11.398999999999999</v>
      </c>
      <c r="O47" s="81"/>
      <c r="P47" s="71"/>
      <c r="Q47" s="71"/>
      <c r="R47" s="71"/>
      <c r="S47" s="71"/>
      <c r="T47" s="71"/>
      <c r="V47" s="71"/>
      <c r="W47" s="71"/>
      <c r="X47" s="71">
        <v>2.4269999999999996</v>
      </c>
      <c r="Y47" s="71">
        <v>7.9370000000000012</v>
      </c>
      <c r="Z47" s="71">
        <f>$L47-SUM($O47:Y47)</f>
        <v>1.0349999999999984</v>
      </c>
      <c r="AA47" s="71">
        <f>$L47-SUM($O47:Z47)</f>
        <v>0</v>
      </c>
      <c r="AB47" s="71">
        <f>$L47-SUM($O47:AA47)</f>
        <v>0</v>
      </c>
      <c r="AC47" s="71">
        <f>$L47-SUM($O47:AB47)</f>
        <v>0</v>
      </c>
      <c r="AD47" s="71">
        <f>$L47-SUM($O47:AC47)</f>
        <v>0</v>
      </c>
      <c r="AE47" s="71">
        <f>$L47-SUM($O47:AD47)</f>
        <v>0</v>
      </c>
      <c r="AF47" s="71">
        <f>$L47-SUM($O47:AE47)</f>
        <v>0</v>
      </c>
      <c r="AG47" s="71">
        <f>$L47-SUM($O47:AF47)</f>
        <v>0</v>
      </c>
      <c r="AH47" s="71">
        <f>$L47-SUM($O47:AG47)</f>
        <v>0</v>
      </c>
    </row>
    <row r="48" spans="2:34" ht="30" hidden="1" customHeight="1" x14ac:dyDescent="0.3">
      <c r="B48" s="29" t="s">
        <v>168</v>
      </c>
      <c r="C48" s="180" t="str">
        <f>+VLOOKUP(B48,Liste!B:E,2,FALSE)</f>
        <v>Paslanmaz Çelik Plaka</v>
      </c>
      <c r="D48" s="180"/>
      <c r="E48" s="180"/>
      <c r="F48" s="180"/>
      <c r="G48" s="180"/>
      <c r="H48" s="181"/>
      <c r="I48" s="22" t="s">
        <v>170</v>
      </c>
      <c r="J48" s="90" t="s">
        <v>1070</v>
      </c>
      <c r="K48" s="149" t="e">
        <f t="shared" si="0"/>
        <v>#VALUE!</v>
      </c>
      <c r="L48" s="71" t="str">
        <f>+IFERROR(VLOOKUP(B48,Metraj!B:P,15,FALSE),"")</f>
        <v/>
      </c>
      <c r="O48" s="81"/>
      <c r="P48" s="71"/>
      <c r="Q48" s="71"/>
      <c r="R48" s="71"/>
      <c r="S48" s="71"/>
      <c r="T48" s="71"/>
      <c r="U48" s="71"/>
      <c r="V48" s="71">
        <v>0</v>
      </c>
      <c r="W48" s="71"/>
      <c r="X48" s="71">
        <v>0</v>
      </c>
      <c r="Y48" s="71">
        <v>0</v>
      </c>
      <c r="Z48" s="71">
        <f>+IFERROR($L48-SUM($O48:Y48),0)</f>
        <v>0</v>
      </c>
      <c r="AA48" s="71">
        <f>+IFERROR($L48-SUM($O48:Z48),0)</f>
        <v>0</v>
      </c>
      <c r="AB48" s="71">
        <f>+IFERROR($L48-SUM($O48:AA48),0)</f>
        <v>0</v>
      </c>
      <c r="AC48" s="71">
        <f>+IFERROR($L48-SUM($O48:AB48),0)</f>
        <v>0</v>
      </c>
      <c r="AD48" s="71">
        <f>+IFERROR($L48-SUM($O48:AC48),0)</f>
        <v>0</v>
      </c>
      <c r="AE48" s="71">
        <f>+IFERROR($L48-SUM($O48:AD48),0)</f>
        <v>0</v>
      </c>
      <c r="AF48" s="71">
        <f>+IFERROR($L48-SUM($O48:AE48),0)</f>
        <v>0</v>
      </c>
      <c r="AG48" s="71">
        <f>+IFERROR($L48-SUM($O48:AF48),0)</f>
        <v>0</v>
      </c>
      <c r="AH48" s="71">
        <f>+IFERROR($L48-SUM($O48:AG48),0)</f>
        <v>0</v>
      </c>
    </row>
    <row r="49" spans="2:34" ht="30" hidden="1" customHeight="1" x14ac:dyDescent="0.3">
      <c r="B49" s="29" t="s">
        <v>171</v>
      </c>
      <c r="C49" s="180" t="str">
        <f>+VLOOKUP(B49,Liste!B:E,2,FALSE)</f>
        <v>Block-out Kutusu</v>
      </c>
      <c r="D49" s="180"/>
      <c r="E49" s="180"/>
      <c r="F49" s="180"/>
      <c r="G49" s="180"/>
      <c r="H49" s="181"/>
      <c r="I49" s="22" t="s">
        <v>170</v>
      </c>
      <c r="J49" s="90" t="s">
        <v>1070</v>
      </c>
      <c r="K49" s="149" t="e">
        <f t="shared" si="0"/>
        <v>#VALUE!</v>
      </c>
      <c r="L49" s="71" t="str">
        <f>+IFERROR(VLOOKUP(B49,Metraj!B:P,15,FALSE),"")</f>
        <v/>
      </c>
      <c r="O49" s="81"/>
      <c r="P49" s="71"/>
      <c r="Q49" s="71"/>
      <c r="R49" s="71"/>
      <c r="S49" s="71"/>
      <c r="T49" s="71"/>
      <c r="U49" s="71"/>
      <c r="V49" s="71">
        <v>0</v>
      </c>
      <c r="W49" s="71"/>
      <c r="X49" s="71">
        <v>0</v>
      </c>
      <c r="Y49" s="71">
        <v>0</v>
      </c>
      <c r="Z49" s="71">
        <f>+IFERROR($L49-SUM($O49:Y49),0)</f>
        <v>0</v>
      </c>
      <c r="AA49" s="71">
        <f>+IFERROR($L49-SUM($O49:Z49),0)</f>
        <v>0</v>
      </c>
      <c r="AB49" s="71">
        <f>+IFERROR($L49-SUM($O49:AA49),0)</f>
        <v>0</v>
      </c>
      <c r="AC49" s="71">
        <f>+IFERROR($L49-SUM($O49:AB49),0)</f>
        <v>0</v>
      </c>
      <c r="AD49" s="71">
        <f>+IFERROR($L49-SUM($O49:AC49),0)</f>
        <v>0</v>
      </c>
      <c r="AE49" s="71">
        <f>+IFERROR($L49-SUM($O49:AD49),0)</f>
        <v>0</v>
      </c>
      <c r="AF49" s="71">
        <f>+IFERROR($L49-SUM($O49:AE49),0)</f>
        <v>0</v>
      </c>
      <c r="AG49" s="71">
        <f>+IFERROR($L49-SUM($O49:AF49),0)</f>
        <v>0</v>
      </c>
      <c r="AH49" s="71">
        <f>+IFERROR($L49-SUM($O49:AG49),0)</f>
        <v>0</v>
      </c>
    </row>
    <row r="50" spans="2:34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30"/>
    </row>
    <row r="51" spans="2:34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30"/>
    </row>
    <row r="52" spans="2:34" ht="15" customHeight="1" x14ac:dyDescent="0.3">
      <c r="B52" s="30"/>
      <c r="C52" s="33"/>
      <c r="D52" s="12"/>
      <c r="E52" s="12"/>
      <c r="F52" s="12"/>
      <c r="G52" s="12"/>
      <c r="H52" s="12"/>
      <c r="I52" s="12"/>
      <c r="J52" s="12"/>
      <c r="K52" s="12"/>
      <c r="L52" s="30"/>
    </row>
    <row r="53" spans="2:34" ht="15" customHeight="1" x14ac:dyDescent="0.3">
      <c r="B53" s="30"/>
      <c r="C53" s="33"/>
      <c r="D53" s="12"/>
      <c r="E53" s="12"/>
      <c r="F53" s="12"/>
      <c r="G53" s="12"/>
      <c r="H53" s="12"/>
      <c r="I53" s="12"/>
      <c r="J53" s="12"/>
      <c r="K53" s="12"/>
      <c r="L53" s="30"/>
    </row>
    <row r="54" spans="2:34" ht="15" customHeight="1" x14ac:dyDescent="0.3">
      <c r="B54" s="30"/>
      <c r="C54" s="33"/>
      <c r="D54" s="12"/>
      <c r="E54" s="12"/>
      <c r="F54" s="12"/>
      <c r="G54" s="12"/>
      <c r="H54" s="12"/>
      <c r="I54" s="12"/>
      <c r="J54" s="12"/>
      <c r="K54" s="12"/>
      <c r="L54" s="30"/>
    </row>
    <row r="55" spans="2:34" ht="15" customHeight="1" x14ac:dyDescent="0.3">
      <c r="B55" s="30"/>
      <c r="C55" s="33"/>
      <c r="D55" s="12"/>
      <c r="E55" s="12"/>
      <c r="F55" s="12"/>
      <c r="G55" s="12"/>
      <c r="H55" s="12"/>
      <c r="I55" s="12"/>
      <c r="J55" s="12"/>
      <c r="K55" s="12"/>
      <c r="L55" s="30"/>
    </row>
    <row r="56" spans="2:34" ht="15" customHeight="1" x14ac:dyDescent="0.3">
      <c r="B56" s="30"/>
      <c r="C56" s="33"/>
      <c r="D56" s="12"/>
      <c r="E56" s="12"/>
      <c r="F56" s="12"/>
      <c r="G56" s="12"/>
      <c r="H56" s="12"/>
      <c r="I56" s="12"/>
      <c r="J56" s="12"/>
      <c r="K56" s="12"/>
      <c r="L56" s="30"/>
    </row>
    <row r="57" spans="2:34" ht="15" customHeight="1" x14ac:dyDescent="0.3">
      <c r="B57" s="30"/>
      <c r="C57" s="33"/>
      <c r="D57" s="12"/>
      <c r="E57" s="12"/>
      <c r="F57" s="12"/>
      <c r="G57" s="12"/>
      <c r="H57" s="12"/>
      <c r="I57" s="12"/>
      <c r="J57" s="12"/>
      <c r="K57" s="12"/>
      <c r="L57" s="30"/>
    </row>
    <row r="58" spans="2:34" ht="15" customHeight="1" x14ac:dyDescent="0.3">
      <c r="B58" s="30"/>
      <c r="C58" s="33"/>
      <c r="D58" s="12"/>
      <c r="E58" s="12"/>
      <c r="F58" s="12"/>
      <c r="G58" s="12"/>
      <c r="H58" s="12"/>
      <c r="I58" s="12"/>
      <c r="J58" s="12"/>
      <c r="K58" s="12"/>
      <c r="L58" s="30"/>
    </row>
    <row r="59" spans="2:34" ht="15" customHeight="1" x14ac:dyDescent="0.3">
      <c r="B59" s="30"/>
      <c r="C59" s="33"/>
      <c r="D59" s="12"/>
      <c r="E59" s="12"/>
      <c r="F59" s="12"/>
      <c r="G59" s="12"/>
      <c r="H59" s="12"/>
      <c r="I59" s="12"/>
      <c r="J59" s="12"/>
      <c r="K59" s="12"/>
      <c r="L59" s="30"/>
    </row>
    <row r="60" spans="2:34" ht="15" customHeight="1" x14ac:dyDescent="0.3">
      <c r="B60" s="30"/>
      <c r="C60" s="33"/>
      <c r="D60" s="12"/>
      <c r="E60" s="12"/>
      <c r="F60" s="12"/>
      <c r="G60" s="12"/>
      <c r="H60" s="12"/>
      <c r="I60" s="12"/>
      <c r="J60" s="12"/>
      <c r="K60" s="12"/>
      <c r="L60" s="30"/>
    </row>
    <row r="61" spans="2:34" ht="15" customHeight="1" x14ac:dyDescent="0.3">
      <c r="B61" s="30"/>
      <c r="C61" s="33"/>
      <c r="D61" s="12"/>
      <c r="E61" s="12"/>
      <c r="F61" s="12"/>
      <c r="G61" s="12"/>
      <c r="H61" s="12"/>
      <c r="I61" s="12"/>
      <c r="J61" s="12"/>
      <c r="K61" s="12"/>
      <c r="L61" s="30"/>
    </row>
    <row r="62" spans="2:34" ht="15" customHeight="1" x14ac:dyDescent="0.3">
      <c r="B62" s="30"/>
      <c r="C62" s="33"/>
      <c r="D62" s="12"/>
      <c r="E62" s="12"/>
      <c r="F62" s="12"/>
      <c r="G62" s="12"/>
      <c r="H62" s="12"/>
      <c r="I62" s="12"/>
      <c r="J62" s="12"/>
      <c r="K62" s="12"/>
      <c r="L62" s="30"/>
    </row>
    <row r="63" spans="2:34" ht="15" customHeight="1" x14ac:dyDescent="0.3">
      <c r="B63" s="30"/>
      <c r="C63" s="33"/>
      <c r="D63" s="12"/>
      <c r="E63" s="12"/>
      <c r="F63" s="12"/>
      <c r="G63" s="12"/>
      <c r="H63" s="12"/>
      <c r="I63" s="12"/>
      <c r="J63" s="12"/>
      <c r="K63" s="12"/>
      <c r="L63" s="30"/>
    </row>
    <row r="64" spans="2:34" ht="15" customHeight="1" x14ac:dyDescent="0.3">
      <c r="B64" s="30"/>
      <c r="C64" s="33"/>
      <c r="D64" s="12"/>
      <c r="E64" s="12"/>
      <c r="F64" s="12"/>
      <c r="G64" s="12"/>
      <c r="H64" s="12"/>
      <c r="I64" s="12"/>
      <c r="J64" s="12"/>
      <c r="K64" s="12"/>
      <c r="L64" s="30"/>
    </row>
    <row r="65" spans="2:12" ht="15" customHeight="1" x14ac:dyDescent="0.3">
      <c r="B65" s="30"/>
      <c r="C65" s="33"/>
      <c r="D65" s="12"/>
      <c r="E65" s="12"/>
      <c r="F65" s="12"/>
      <c r="G65" s="12"/>
      <c r="H65" s="12"/>
      <c r="I65" s="12"/>
      <c r="J65" s="12"/>
      <c r="K65" s="12"/>
      <c r="L65" s="30"/>
    </row>
    <row r="66" spans="2:12" ht="15" customHeight="1" x14ac:dyDescent="0.3">
      <c r="B66" s="30"/>
      <c r="C66" s="33"/>
      <c r="D66" s="12"/>
      <c r="E66" s="12"/>
      <c r="F66" s="12"/>
      <c r="G66" s="12"/>
      <c r="H66" s="12"/>
      <c r="I66" s="12"/>
      <c r="J66" s="12"/>
      <c r="K66" s="12"/>
      <c r="L66" s="30"/>
    </row>
    <row r="67" spans="2:12" ht="15" customHeight="1" x14ac:dyDescent="0.3">
      <c r="B67" s="30"/>
      <c r="C67" s="33"/>
      <c r="D67" s="12"/>
      <c r="E67" s="12"/>
      <c r="F67" s="12"/>
      <c r="G67" s="12"/>
      <c r="H67" s="12"/>
      <c r="I67" s="12"/>
      <c r="J67" s="12"/>
      <c r="K67" s="12"/>
      <c r="L67" s="30"/>
    </row>
    <row r="68" spans="2:12" ht="15" customHeight="1" x14ac:dyDescent="0.3">
      <c r="B68" s="30"/>
      <c r="C68" s="33"/>
      <c r="D68" s="12"/>
      <c r="E68" s="12"/>
      <c r="F68" s="12"/>
      <c r="G68" s="12"/>
      <c r="H68" s="12"/>
      <c r="I68" s="12"/>
      <c r="J68" s="12"/>
      <c r="K68" s="12"/>
      <c r="L68" s="30"/>
    </row>
    <row r="69" spans="2:12" ht="15" customHeight="1" x14ac:dyDescent="0.3">
      <c r="B69" s="30"/>
      <c r="C69" s="33"/>
      <c r="D69" s="12"/>
      <c r="E69" s="12"/>
      <c r="F69" s="12"/>
      <c r="G69" s="12"/>
      <c r="H69" s="12"/>
      <c r="I69" s="12"/>
      <c r="J69" s="12"/>
      <c r="K69" s="12"/>
      <c r="L69" s="30"/>
    </row>
    <row r="70" spans="2:12" ht="15" customHeight="1" x14ac:dyDescent="0.3">
      <c r="B70" s="30"/>
      <c r="C70" s="33"/>
      <c r="D70" s="12"/>
      <c r="E70" s="12"/>
      <c r="F70" s="12"/>
      <c r="G70" s="12"/>
      <c r="H70" s="12"/>
      <c r="I70" s="12"/>
      <c r="J70" s="12"/>
      <c r="K70" s="12"/>
      <c r="L70" s="30"/>
    </row>
    <row r="75" spans="2:12" ht="15" customHeight="1" x14ac:dyDescent="0.3">
      <c r="B75" s="163"/>
      <c r="C75" s="163"/>
      <c r="D75" s="163"/>
      <c r="E75" s="164"/>
      <c r="F75" s="164"/>
      <c r="G75" s="164"/>
      <c r="H75" s="163"/>
      <c r="I75" s="163"/>
      <c r="J75" s="163"/>
      <c r="K75" s="163"/>
      <c r="L75" s="163"/>
    </row>
    <row r="76" spans="2:12" ht="15" customHeight="1" x14ac:dyDescent="0.3">
      <c r="B76" s="161"/>
      <c r="C76" s="161"/>
      <c r="D76" s="161"/>
      <c r="E76" s="162"/>
      <c r="F76" s="162"/>
      <c r="G76" s="162"/>
      <c r="H76" s="162"/>
      <c r="I76" s="162"/>
      <c r="J76" s="162"/>
      <c r="K76" s="162"/>
      <c r="L76" s="162"/>
    </row>
    <row r="77" spans="2:12" ht="15" customHeight="1" x14ac:dyDescent="0.3">
      <c r="B77" s="30"/>
      <c r="C77" s="30"/>
      <c r="D77" s="31"/>
      <c r="E77" s="31"/>
      <c r="F77" s="31"/>
      <c r="G77" s="32"/>
      <c r="H77" s="162"/>
      <c r="I77" s="162"/>
      <c r="J77" s="162"/>
      <c r="K77" s="162"/>
      <c r="L77" s="162"/>
    </row>
    <row r="78" spans="2:12" ht="15" customHeight="1" x14ac:dyDescent="0.3">
      <c r="H78" s="162"/>
      <c r="I78" s="162"/>
      <c r="J78" s="162"/>
      <c r="K78" s="162"/>
      <c r="L78" s="162"/>
    </row>
    <row r="86" spans="2:12" ht="15" customHeight="1" x14ac:dyDescent="0.3"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</row>
    <row r="87" spans="2:12" ht="15" customHeight="1" x14ac:dyDescent="0.3"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</row>
  </sheetData>
  <autoFilter ref="A19:M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  <filterColumn colId="11">
      <filters>
        <filter val="1.034,582"/>
        <filter val="11,399"/>
        <filter val="153,600"/>
        <filter val="270,000"/>
        <filter val="3,252"/>
        <filter val="44,353"/>
      </filters>
    </filterColumn>
  </autoFilter>
  <mergeCells count="48">
    <mergeCell ref="C49:H49"/>
    <mergeCell ref="C44:H44"/>
    <mergeCell ref="C45:H45"/>
    <mergeCell ref="C46:H46"/>
    <mergeCell ref="C47:H47"/>
    <mergeCell ref="C48:H48"/>
    <mergeCell ref="C39:H39"/>
    <mergeCell ref="C40:H40"/>
    <mergeCell ref="C41:H41"/>
    <mergeCell ref="C42:H42"/>
    <mergeCell ref="C43:H43"/>
    <mergeCell ref="C34:H34"/>
    <mergeCell ref="C35:H35"/>
    <mergeCell ref="C36:H36"/>
    <mergeCell ref="C37:H37"/>
    <mergeCell ref="C38:H38"/>
    <mergeCell ref="C29:H29"/>
    <mergeCell ref="C30:H30"/>
    <mergeCell ref="C31:H31"/>
    <mergeCell ref="C32:H32"/>
    <mergeCell ref="C33:H33"/>
    <mergeCell ref="B76:D76"/>
    <mergeCell ref="H75:L75"/>
    <mergeCell ref="E75:G75"/>
    <mergeCell ref="H76:L78"/>
    <mergeCell ref="E76:G76"/>
    <mergeCell ref="C19:H19"/>
    <mergeCell ref="C20:H20"/>
    <mergeCell ref="B75:D75"/>
    <mergeCell ref="A5:M5"/>
    <mergeCell ref="A6:M6"/>
    <mergeCell ref="A7:M7"/>
    <mergeCell ref="A10:M10"/>
    <mergeCell ref="A12:M12"/>
    <mergeCell ref="C21:H21"/>
    <mergeCell ref="C22:H22"/>
    <mergeCell ref="C23:H23"/>
    <mergeCell ref="C24:H24"/>
    <mergeCell ref="C25:H25"/>
    <mergeCell ref="C26:H26"/>
    <mergeCell ref="C27:H27"/>
    <mergeCell ref="C28:H28"/>
    <mergeCell ref="B86:D86"/>
    <mergeCell ref="B87:D87"/>
    <mergeCell ref="H86:L86"/>
    <mergeCell ref="H87:L87"/>
    <mergeCell ref="E86:G86"/>
    <mergeCell ref="E87:G87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  <headerFooter>
    <oddFooter>&amp;L
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88"/>
  <sheetViews>
    <sheetView tabSelected="1" view="pageBreakPreview" topLeftCell="A114" zoomScale="85" zoomScaleNormal="100" zoomScaleSheetLayoutView="85" workbookViewId="0">
      <selection activeCell="C17" sqref="C17"/>
    </sheetView>
  </sheetViews>
  <sheetFormatPr defaultColWidth="8.88671875" defaultRowHeight="15" customHeight="1" x14ac:dyDescent="0.3"/>
  <cols>
    <col min="1" max="1" width="5.6640625" style="9" customWidth="1"/>
    <col min="2" max="2" width="10.6640625" style="9" customWidth="1"/>
    <col min="3" max="3" width="18.6640625" style="9" customWidth="1"/>
    <col min="4" max="7" width="7.33203125" style="9" customWidth="1"/>
    <col min="8" max="9" width="10.6640625" style="9" customWidth="1"/>
    <col min="10" max="10" width="7.33203125" style="9" bestFit="1" customWidth="1"/>
    <col min="11" max="11" width="7.33203125" style="9" customWidth="1"/>
    <col min="12" max="13" width="12.6640625" style="9" customWidth="1"/>
    <col min="14" max="14" width="17.33203125" style="9" bestFit="1" customWidth="1"/>
    <col min="15" max="15" width="12.6640625" style="9" customWidth="1"/>
    <col min="16" max="16" width="16.88671875" style="9" bestFit="1" customWidth="1"/>
    <col min="17" max="17" width="5.6640625" style="9" customWidth="1"/>
    <col min="18" max="26" width="0" style="9" hidden="1" customWidth="1"/>
    <col min="27" max="28" width="8.88671875" style="9"/>
    <col min="29" max="29" width="16.88671875" style="9" bestFit="1" customWidth="1"/>
    <col min="30" max="30" width="15.33203125" style="9" bestFit="1" customWidth="1"/>
    <col min="31" max="31" width="16.88671875" style="9" bestFit="1" customWidth="1"/>
    <col min="32" max="16384" width="8.88671875" style="9"/>
  </cols>
  <sheetData>
    <row r="1" spans="1:31" ht="15" customHeight="1" x14ac:dyDescent="0.3">
      <c r="AC1" s="9" t="s">
        <v>1066</v>
      </c>
      <c r="AD1" s="9" t="s">
        <v>1067</v>
      </c>
      <c r="AE1" s="9" t="s">
        <v>1068</v>
      </c>
    </row>
    <row r="2" spans="1:31" s="154" customFormat="1" ht="15" customHeight="1" x14ac:dyDescent="0.3">
      <c r="A2" s="172" t="s">
        <v>0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AC2" s="154">
        <f>+SUM(AC17:AC1000)</f>
        <v>16900012.066</v>
      </c>
      <c r="AD2" s="154">
        <f>+SUM(AD17:AD1000)</f>
        <v>4049380.1010000003</v>
      </c>
      <c r="AE2" s="154">
        <f>+SUM(AE17:AE1000)</f>
        <v>20949392.166999999</v>
      </c>
    </row>
    <row r="3" spans="1:31" s="154" customFormat="1" ht="15" customHeight="1" x14ac:dyDescent="0.3">
      <c r="A3" s="172" t="s">
        <v>1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</row>
    <row r="4" spans="1:31" s="154" customFormat="1" ht="15" customHeight="1" x14ac:dyDescent="0.3">
      <c r="A4" s="172" t="s">
        <v>1017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</row>
    <row r="5" spans="1:31" s="154" customFormat="1" ht="15" customHeight="1" x14ac:dyDescent="0.3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31" s="154" customFormat="1" ht="15" customHeight="1" x14ac:dyDescent="0.3">
      <c r="A6" s="155"/>
      <c r="B6" s="155"/>
    </row>
    <row r="7" spans="1:31" s="154" customFormat="1" ht="15" customHeight="1" x14ac:dyDescent="0.3">
      <c r="A7" s="172" t="s">
        <v>2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</row>
    <row r="8" spans="1:31" s="154" customFormat="1" ht="15" customHeight="1" x14ac:dyDescent="0.3">
      <c r="A8" s="155"/>
      <c r="B8" s="155"/>
    </row>
    <row r="9" spans="1:31" s="154" customFormat="1" ht="15" customHeight="1" x14ac:dyDescent="0.3">
      <c r="A9" s="172" t="str">
        <f>+Kapak!A28</f>
        <v>Barbaros İstasyonu Hat - 1 Kirazlı Yönü P1 Tüneli 3.Aşama</v>
      </c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</row>
    <row r="10" spans="1:31" s="154" customFormat="1" ht="15" customHeight="1" x14ac:dyDescent="0.3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</row>
    <row r="11" spans="1:31" s="154" customFormat="1" ht="15" customHeight="1" x14ac:dyDescent="0.3">
      <c r="A11" s="172" t="s">
        <v>982</v>
      </c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</row>
    <row r="13" spans="1:31" ht="15" customHeight="1" x14ac:dyDescent="0.3">
      <c r="B13" s="14" t="s">
        <v>5</v>
      </c>
      <c r="C13" s="79">
        <f>+İcmal!C15</f>
        <v>6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80">
        <f>+İcmal!C16</f>
        <v>46142</v>
      </c>
      <c r="D14" s="173"/>
      <c r="E14" s="173"/>
      <c r="F14" s="13"/>
      <c r="G14" s="13"/>
      <c r="H14" s="11"/>
      <c r="I14" s="11"/>
      <c r="J14" s="11"/>
    </row>
    <row r="16" spans="1:31" ht="30" customHeight="1" x14ac:dyDescent="0.3">
      <c r="B16" s="157" t="s">
        <v>7</v>
      </c>
      <c r="C16" s="169"/>
      <c r="D16" s="157" t="s">
        <v>8</v>
      </c>
      <c r="E16" s="158"/>
      <c r="F16" s="158"/>
      <c r="G16" s="158"/>
      <c r="H16" s="158"/>
      <c r="I16" s="158"/>
      <c r="J16" s="158"/>
      <c r="K16" s="158"/>
      <c r="L16" s="158"/>
      <c r="M16" s="34" t="s">
        <v>9</v>
      </c>
      <c r="N16" s="85" t="s">
        <v>1057</v>
      </c>
      <c r="O16" s="85" t="s">
        <v>1058</v>
      </c>
      <c r="P16" s="35" t="s">
        <v>1059</v>
      </c>
    </row>
    <row r="17" spans="2:31" ht="30" customHeight="1" x14ac:dyDescent="0.3">
      <c r="B17" s="170" t="s">
        <v>119</v>
      </c>
      <c r="C17" s="171"/>
      <c r="D17" s="159" t="str">
        <f>+VLOOKUP(B17,Liste!B:E,2,FALSE)</f>
        <v>Geleneksel (NATM) Tünel Kazısı</v>
      </c>
      <c r="E17" s="160"/>
      <c r="F17" s="160"/>
      <c r="G17" s="160"/>
      <c r="H17" s="160"/>
      <c r="I17" s="160"/>
      <c r="J17" s="160"/>
      <c r="K17" s="160"/>
      <c r="L17" s="160"/>
      <c r="M17" s="36" t="str">
        <f>+VLOOKUP(B17,Liste!B:E,3,FALSE)</f>
        <v>m³</v>
      </c>
      <c r="N17" s="60">
        <v>939.41800000000001</v>
      </c>
      <c r="O17" s="60">
        <f>+P17-N17</f>
        <v>95.164000000000101</v>
      </c>
      <c r="P17" s="60">
        <f>+ROUND(SUM(P18:P44),3)</f>
        <v>1034.5820000000001</v>
      </c>
      <c r="S17" s="88"/>
      <c r="AA17" s="9">
        <f>+VLOOKUP(B17,[1]Liste!$B$2:$F$483,5,FALSE)</f>
        <v>5075</v>
      </c>
      <c r="AC17" s="9">
        <f>+AA17*N17</f>
        <v>4767546.3499999996</v>
      </c>
      <c r="AD17" s="9">
        <f>+AA17*O17</f>
        <v>482957.30000000051</v>
      </c>
      <c r="AE17" s="9">
        <f>+AA17*P17</f>
        <v>5250503.6500000004</v>
      </c>
    </row>
    <row r="18" spans="2:31" ht="15" customHeight="1" x14ac:dyDescent="0.3">
      <c r="B18" s="51" t="s">
        <v>1072</v>
      </c>
      <c r="C18" s="78"/>
      <c r="D18" s="45"/>
      <c r="E18" s="45"/>
      <c r="F18" s="45"/>
      <c r="G18" s="45"/>
      <c r="H18" s="46"/>
      <c r="I18" s="46"/>
      <c r="J18" s="46"/>
      <c r="K18" s="47"/>
      <c r="L18" s="47"/>
      <c r="M18" s="48"/>
      <c r="N18" s="48"/>
      <c r="O18" s="49"/>
      <c r="P18" s="50"/>
    </row>
    <row r="19" spans="2:31" ht="15" customHeight="1" x14ac:dyDescent="0.3">
      <c r="B19" s="91" t="s">
        <v>981</v>
      </c>
      <c r="C19" s="91" t="s">
        <v>991</v>
      </c>
      <c r="D19" s="92" t="s">
        <v>990</v>
      </c>
      <c r="E19" s="92"/>
      <c r="F19" s="92"/>
      <c r="G19" s="92"/>
      <c r="H19" s="91" t="s">
        <v>988</v>
      </c>
      <c r="I19" s="91" t="s">
        <v>987</v>
      </c>
      <c r="J19" s="91" t="s">
        <v>992</v>
      </c>
      <c r="K19" s="91" t="s">
        <v>989</v>
      </c>
      <c r="L19" s="91" t="s">
        <v>985</v>
      </c>
      <c r="M19" s="91" t="s">
        <v>12</v>
      </c>
      <c r="N19" s="91"/>
      <c r="O19" s="93" t="s">
        <v>983</v>
      </c>
      <c r="P19" s="93" t="s">
        <v>14</v>
      </c>
    </row>
    <row r="20" spans="2:31" ht="15" customHeight="1" x14ac:dyDescent="0.3">
      <c r="B20" s="99">
        <v>5</v>
      </c>
      <c r="C20" s="100" t="s">
        <v>1061</v>
      </c>
      <c r="D20" s="101" t="s">
        <v>1062</v>
      </c>
      <c r="E20" s="101"/>
      <c r="F20" s="101"/>
      <c r="G20" s="101"/>
      <c r="H20" s="102">
        <v>1256.69</v>
      </c>
      <c r="I20" s="102">
        <v>1242.56</v>
      </c>
      <c r="J20" s="102" t="s">
        <v>993</v>
      </c>
      <c r="K20" s="99">
        <v>3</v>
      </c>
      <c r="L20" s="99">
        <v>0.75</v>
      </c>
      <c r="M20" s="103" t="s">
        <v>1001</v>
      </c>
      <c r="N20" s="104"/>
      <c r="O20" s="105">
        <v>13.353999999999999</v>
      </c>
      <c r="P20" s="106">
        <f t="shared" ref="P20:P25" si="0">+ROUND(PRODUCT(K20:O20),3)</f>
        <v>30.047000000000001</v>
      </c>
      <c r="S20" s="9">
        <f>+L20*K20</f>
        <v>2.25</v>
      </c>
      <c r="T20" s="88">
        <f>+H20-I20</f>
        <v>14.130000000000109</v>
      </c>
    </row>
    <row r="21" spans="2:31" ht="15" customHeight="1" x14ac:dyDescent="0.3">
      <c r="B21" s="56">
        <v>5</v>
      </c>
      <c r="C21" s="100" t="s">
        <v>1061</v>
      </c>
      <c r="D21" s="101" t="s">
        <v>1062</v>
      </c>
      <c r="E21" s="101"/>
      <c r="F21" s="101"/>
      <c r="G21" s="101"/>
      <c r="H21" s="102">
        <v>1256.69</v>
      </c>
      <c r="I21" s="102">
        <v>1242.56</v>
      </c>
      <c r="J21" s="55" t="s">
        <v>993</v>
      </c>
      <c r="K21" s="56">
        <v>3</v>
      </c>
      <c r="L21" s="56">
        <v>0.75</v>
      </c>
      <c r="M21" s="83" t="s">
        <v>1002</v>
      </c>
      <c r="N21" s="84"/>
      <c r="O21" s="61">
        <v>13.9</v>
      </c>
      <c r="P21" s="62">
        <f t="shared" si="0"/>
        <v>31.274999999999999</v>
      </c>
      <c r="S21" s="9">
        <f t="shared" ref="S21:S27" si="1">+L21*K21</f>
        <v>2.25</v>
      </c>
    </row>
    <row r="22" spans="2:31" ht="15" customHeight="1" x14ac:dyDescent="0.3">
      <c r="B22" s="56">
        <v>5</v>
      </c>
      <c r="C22" s="100" t="s">
        <v>1061</v>
      </c>
      <c r="D22" s="101" t="s">
        <v>1062</v>
      </c>
      <c r="E22" s="101"/>
      <c r="F22" s="101"/>
      <c r="G22" s="101"/>
      <c r="H22" s="102">
        <v>1256.69</v>
      </c>
      <c r="I22" s="102">
        <v>1242.56</v>
      </c>
      <c r="J22" s="55" t="s">
        <v>993</v>
      </c>
      <c r="K22" s="56">
        <v>3</v>
      </c>
      <c r="L22" s="56">
        <v>0.75</v>
      </c>
      <c r="M22" s="83" t="s">
        <v>1003</v>
      </c>
      <c r="N22" s="84"/>
      <c r="O22" s="61">
        <v>14.201000000000001</v>
      </c>
      <c r="P22" s="62">
        <f t="shared" si="0"/>
        <v>31.952000000000002</v>
      </c>
      <c r="S22" s="9">
        <f t="shared" si="1"/>
        <v>2.25</v>
      </c>
    </row>
    <row r="23" spans="2:31" ht="15" customHeight="1" x14ac:dyDescent="0.3">
      <c r="B23" s="56">
        <v>5</v>
      </c>
      <c r="C23" s="100" t="s">
        <v>1061</v>
      </c>
      <c r="D23" s="101" t="s">
        <v>1062</v>
      </c>
      <c r="E23" s="101"/>
      <c r="F23" s="101"/>
      <c r="G23" s="101"/>
      <c r="H23" s="102">
        <v>1256.69</v>
      </c>
      <c r="I23" s="102">
        <v>1242.56</v>
      </c>
      <c r="J23" s="55" t="s">
        <v>993</v>
      </c>
      <c r="K23" s="56">
        <v>3</v>
      </c>
      <c r="L23" s="56">
        <v>0.75</v>
      </c>
      <c r="M23" s="83" t="s">
        <v>1004</v>
      </c>
      <c r="N23" s="84"/>
      <c r="O23" s="61">
        <v>14.382</v>
      </c>
      <c r="P23" s="62">
        <f t="shared" si="0"/>
        <v>32.36</v>
      </c>
      <c r="S23" s="9">
        <f t="shared" si="1"/>
        <v>2.25</v>
      </c>
    </row>
    <row r="24" spans="2:31" ht="15" customHeight="1" x14ac:dyDescent="0.3">
      <c r="B24" s="56">
        <v>5</v>
      </c>
      <c r="C24" s="100" t="s">
        <v>1061</v>
      </c>
      <c r="D24" s="101" t="s">
        <v>1062</v>
      </c>
      <c r="E24" s="101"/>
      <c r="F24" s="101"/>
      <c r="G24" s="101"/>
      <c r="H24" s="102">
        <v>1256.69</v>
      </c>
      <c r="I24" s="102">
        <v>1242.56</v>
      </c>
      <c r="J24" s="55" t="s">
        <v>993</v>
      </c>
      <c r="K24" s="56">
        <v>3</v>
      </c>
      <c r="L24" s="56">
        <v>0.75</v>
      </c>
      <c r="M24" s="83" t="s">
        <v>1005</v>
      </c>
      <c r="N24" s="84"/>
      <c r="O24" s="61">
        <v>14.621</v>
      </c>
      <c r="P24" s="62">
        <f t="shared" si="0"/>
        <v>32.896999999999998</v>
      </c>
      <c r="S24" s="9">
        <f t="shared" si="1"/>
        <v>2.25</v>
      </c>
    </row>
    <row r="25" spans="2:31" ht="15" customHeight="1" x14ac:dyDescent="0.3">
      <c r="B25" s="56">
        <v>5</v>
      </c>
      <c r="C25" s="100" t="s">
        <v>1061</v>
      </c>
      <c r="D25" s="101" t="s">
        <v>1062</v>
      </c>
      <c r="E25" s="101"/>
      <c r="F25" s="101"/>
      <c r="G25" s="101"/>
      <c r="H25" s="102">
        <v>1256.69</v>
      </c>
      <c r="I25" s="102">
        <v>1242.56</v>
      </c>
      <c r="J25" s="55" t="s">
        <v>993</v>
      </c>
      <c r="K25" s="56">
        <v>2</v>
      </c>
      <c r="L25" s="56">
        <v>0.75</v>
      </c>
      <c r="M25" s="83" t="s">
        <v>1006</v>
      </c>
      <c r="N25" s="84"/>
      <c r="O25" s="61">
        <v>14.971</v>
      </c>
      <c r="P25" s="62">
        <f t="shared" si="0"/>
        <v>22.457000000000001</v>
      </c>
      <c r="S25" s="9">
        <f t="shared" si="1"/>
        <v>1.5</v>
      </c>
    </row>
    <row r="26" spans="2:31" ht="15" customHeight="1" x14ac:dyDescent="0.3">
      <c r="B26" s="56">
        <v>5</v>
      </c>
      <c r="C26" s="100" t="s">
        <v>1061</v>
      </c>
      <c r="D26" s="101" t="s">
        <v>1062</v>
      </c>
      <c r="E26" s="101"/>
      <c r="F26" s="101"/>
      <c r="G26" s="101"/>
      <c r="H26" s="102">
        <v>1256.69</v>
      </c>
      <c r="I26" s="102">
        <v>1242.56</v>
      </c>
      <c r="J26" s="55" t="s">
        <v>993</v>
      </c>
      <c r="K26" s="56">
        <v>2</v>
      </c>
      <c r="L26" s="56">
        <v>0.54</v>
      </c>
      <c r="M26" s="83" t="s">
        <v>1006</v>
      </c>
      <c r="N26" s="86"/>
      <c r="O26" s="70">
        <v>14.971</v>
      </c>
      <c r="P26" s="87">
        <f>+ROUND(PRODUCT(K26:O26),3)</f>
        <v>16.169</v>
      </c>
      <c r="S26" s="9">
        <f t="shared" ref="S26" si="2">+L26*K26</f>
        <v>1.08</v>
      </c>
    </row>
    <row r="27" spans="2:31" ht="15" customHeight="1" x14ac:dyDescent="0.3">
      <c r="B27" s="56">
        <v>5</v>
      </c>
      <c r="C27" s="100" t="s">
        <v>1061</v>
      </c>
      <c r="D27" s="101" t="s">
        <v>1062</v>
      </c>
      <c r="E27" s="101"/>
      <c r="F27" s="101"/>
      <c r="G27" s="101"/>
      <c r="H27" s="102">
        <v>1256.69</v>
      </c>
      <c r="I27" s="102">
        <v>1242.56</v>
      </c>
      <c r="J27" s="55" t="s">
        <v>993</v>
      </c>
      <c r="K27" s="56">
        <v>1</v>
      </c>
      <c r="L27" s="56">
        <v>0.3</v>
      </c>
      <c r="M27" s="83" t="s">
        <v>1006</v>
      </c>
      <c r="N27" s="86"/>
      <c r="O27" s="70">
        <v>14.971</v>
      </c>
      <c r="P27" s="87">
        <f>+ROUND(PRODUCT(K27:O27),3)</f>
        <v>4.4909999999999997</v>
      </c>
      <c r="S27" s="9">
        <f t="shared" si="1"/>
        <v>0.3</v>
      </c>
    </row>
    <row r="28" spans="2:31" ht="15" customHeight="1" x14ac:dyDescent="0.3">
      <c r="B28" s="99">
        <v>5</v>
      </c>
      <c r="C28" s="100" t="s">
        <v>1063</v>
      </c>
      <c r="D28" s="101" t="s">
        <v>1064</v>
      </c>
      <c r="E28" s="101"/>
      <c r="F28" s="101"/>
      <c r="G28" s="101"/>
      <c r="H28" s="102">
        <v>1308.44</v>
      </c>
      <c r="I28" s="102">
        <v>1256.69</v>
      </c>
      <c r="J28" s="102" t="s">
        <v>993</v>
      </c>
      <c r="K28" s="99">
        <v>11</v>
      </c>
      <c r="L28" s="99">
        <v>0.75</v>
      </c>
      <c r="M28" s="103" t="s">
        <v>1001</v>
      </c>
      <c r="N28" s="104"/>
      <c r="O28" s="105">
        <v>13.353999999999999</v>
      </c>
      <c r="P28" s="106">
        <f t="shared" ref="P28:P33" si="3">+ROUND(PRODUCT(K28:O28),3)</f>
        <v>110.17100000000001</v>
      </c>
      <c r="S28" s="9">
        <f>+L28*K28</f>
        <v>8.25</v>
      </c>
      <c r="T28" s="88">
        <f>+H28-I28</f>
        <v>51.75</v>
      </c>
    </row>
    <row r="29" spans="2:31" ht="15" customHeight="1" x14ac:dyDescent="0.3">
      <c r="B29" s="56">
        <v>5</v>
      </c>
      <c r="C29" s="100" t="s">
        <v>1063</v>
      </c>
      <c r="D29" s="101" t="s">
        <v>1064</v>
      </c>
      <c r="E29" s="101"/>
      <c r="F29" s="101"/>
      <c r="G29" s="101"/>
      <c r="H29" s="102">
        <v>1308.44</v>
      </c>
      <c r="I29" s="102">
        <v>1256.69</v>
      </c>
      <c r="J29" s="55" t="s">
        <v>993</v>
      </c>
      <c r="K29" s="56">
        <v>11</v>
      </c>
      <c r="L29" s="56">
        <v>0.75</v>
      </c>
      <c r="M29" s="83" t="s">
        <v>1002</v>
      </c>
      <c r="N29" s="84"/>
      <c r="O29" s="61">
        <v>13.9</v>
      </c>
      <c r="P29" s="62">
        <f t="shared" si="3"/>
        <v>114.675</v>
      </c>
      <c r="S29" s="9">
        <f t="shared" ref="S29:S33" si="4">+L29*K29</f>
        <v>8.25</v>
      </c>
    </row>
    <row r="30" spans="2:31" ht="15" customHeight="1" x14ac:dyDescent="0.3">
      <c r="B30" s="56">
        <v>5</v>
      </c>
      <c r="C30" s="100" t="s">
        <v>1063</v>
      </c>
      <c r="D30" s="101" t="s">
        <v>1064</v>
      </c>
      <c r="E30" s="101"/>
      <c r="F30" s="101"/>
      <c r="G30" s="101"/>
      <c r="H30" s="102">
        <v>1308.44</v>
      </c>
      <c r="I30" s="102">
        <v>1256.69</v>
      </c>
      <c r="J30" s="55" t="s">
        <v>993</v>
      </c>
      <c r="K30" s="56">
        <v>11</v>
      </c>
      <c r="L30" s="56">
        <v>0.75</v>
      </c>
      <c r="M30" s="83" t="s">
        <v>1003</v>
      </c>
      <c r="N30" s="84"/>
      <c r="O30" s="61">
        <v>14.201000000000001</v>
      </c>
      <c r="P30" s="62">
        <f t="shared" si="3"/>
        <v>117.158</v>
      </c>
      <c r="S30" s="9">
        <f t="shared" si="4"/>
        <v>8.25</v>
      </c>
    </row>
    <row r="31" spans="2:31" ht="15" customHeight="1" x14ac:dyDescent="0.3">
      <c r="B31" s="56">
        <v>5</v>
      </c>
      <c r="C31" s="100" t="s">
        <v>1063</v>
      </c>
      <c r="D31" s="101" t="s">
        <v>1064</v>
      </c>
      <c r="E31" s="101"/>
      <c r="F31" s="101"/>
      <c r="G31" s="101"/>
      <c r="H31" s="102">
        <v>1308.44</v>
      </c>
      <c r="I31" s="102">
        <v>1256.69</v>
      </c>
      <c r="J31" s="55" t="s">
        <v>993</v>
      </c>
      <c r="K31" s="56">
        <v>12</v>
      </c>
      <c r="L31" s="56">
        <v>0.75</v>
      </c>
      <c r="M31" s="83" t="s">
        <v>1004</v>
      </c>
      <c r="N31" s="84"/>
      <c r="O31" s="61">
        <v>14.382</v>
      </c>
      <c r="P31" s="62">
        <f t="shared" si="3"/>
        <v>129.43799999999999</v>
      </c>
      <c r="S31" s="9">
        <f t="shared" si="4"/>
        <v>9</v>
      </c>
    </row>
    <row r="32" spans="2:31" ht="15" customHeight="1" x14ac:dyDescent="0.3">
      <c r="B32" s="56">
        <v>5</v>
      </c>
      <c r="C32" s="100" t="s">
        <v>1063</v>
      </c>
      <c r="D32" s="101" t="s">
        <v>1064</v>
      </c>
      <c r="E32" s="101"/>
      <c r="F32" s="101"/>
      <c r="G32" s="101"/>
      <c r="H32" s="102">
        <v>1308.44</v>
      </c>
      <c r="I32" s="102">
        <v>1256.69</v>
      </c>
      <c r="J32" s="55" t="s">
        <v>993</v>
      </c>
      <c r="K32" s="56">
        <v>12</v>
      </c>
      <c r="L32" s="56">
        <v>0.75</v>
      </c>
      <c r="M32" s="83" t="s">
        <v>1005</v>
      </c>
      <c r="N32" s="84"/>
      <c r="O32" s="61">
        <v>14.621</v>
      </c>
      <c r="P32" s="62">
        <f t="shared" si="3"/>
        <v>131.589</v>
      </c>
      <c r="S32" s="9">
        <f t="shared" si="4"/>
        <v>9</v>
      </c>
    </row>
    <row r="33" spans="2:31" ht="15" customHeight="1" x14ac:dyDescent="0.3">
      <c r="B33" s="56">
        <v>5</v>
      </c>
      <c r="C33" s="100" t="s">
        <v>1063</v>
      </c>
      <c r="D33" s="101" t="s">
        <v>1064</v>
      </c>
      <c r="E33" s="101"/>
      <c r="F33" s="101"/>
      <c r="G33" s="101"/>
      <c r="H33" s="102">
        <v>1308.44</v>
      </c>
      <c r="I33" s="102">
        <v>1256.69</v>
      </c>
      <c r="J33" s="55" t="s">
        <v>993</v>
      </c>
      <c r="K33" s="56">
        <v>12</v>
      </c>
      <c r="L33" s="56">
        <v>0.75</v>
      </c>
      <c r="M33" s="83" t="s">
        <v>1006</v>
      </c>
      <c r="N33" s="84"/>
      <c r="O33" s="61">
        <v>14.971</v>
      </c>
      <c r="P33" s="62">
        <f t="shared" si="3"/>
        <v>134.739</v>
      </c>
      <c r="S33" s="9">
        <f t="shared" si="4"/>
        <v>9</v>
      </c>
    </row>
    <row r="34" spans="2:31" ht="15" hidden="1" customHeight="1" x14ac:dyDescent="0.3">
      <c r="B34" s="51" t="s">
        <v>999</v>
      </c>
      <c r="C34" s="78"/>
      <c r="D34" s="45"/>
      <c r="E34" s="45"/>
      <c r="F34" s="45"/>
      <c r="G34" s="45"/>
      <c r="H34" s="46"/>
      <c r="I34" s="46"/>
      <c r="J34" s="46"/>
      <c r="K34" s="47"/>
      <c r="L34" s="47"/>
      <c r="M34" s="48"/>
      <c r="N34" s="48"/>
      <c r="O34" s="49"/>
      <c r="P34" s="50"/>
    </row>
    <row r="35" spans="2:31" ht="15" hidden="1" customHeight="1" x14ac:dyDescent="0.3">
      <c r="B35" s="91" t="s">
        <v>981</v>
      </c>
      <c r="C35" s="91" t="s">
        <v>991</v>
      </c>
      <c r="D35" s="92" t="s">
        <v>996</v>
      </c>
      <c r="E35" s="92"/>
      <c r="F35" s="92"/>
      <c r="G35" s="92"/>
      <c r="H35" s="117"/>
      <c r="I35" s="91" t="s">
        <v>997</v>
      </c>
      <c r="J35" s="91" t="s">
        <v>992</v>
      </c>
      <c r="K35" s="91" t="s">
        <v>989</v>
      </c>
      <c r="L35" s="91" t="s">
        <v>984</v>
      </c>
      <c r="M35" s="93" t="s">
        <v>985</v>
      </c>
      <c r="N35" s="91" t="s">
        <v>986</v>
      </c>
      <c r="O35" s="93" t="s">
        <v>983</v>
      </c>
      <c r="P35" s="93" t="s">
        <v>14</v>
      </c>
    </row>
    <row r="36" spans="2:31" ht="15" hidden="1" customHeight="1" x14ac:dyDescent="0.3">
      <c r="B36" s="109">
        <v>5</v>
      </c>
      <c r="C36" s="100" t="s">
        <v>1061</v>
      </c>
      <c r="D36" s="111" t="s">
        <v>998</v>
      </c>
      <c r="E36" s="111"/>
      <c r="F36" s="111"/>
      <c r="G36" s="111"/>
      <c r="H36" s="119"/>
      <c r="I36" s="120">
        <v>30</v>
      </c>
      <c r="J36" s="112" t="s">
        <v>993</v>
      </c>
      <c r="K36" s="109">
        <v>0</v>
      </c>
      <c r="L36" s="109"/>
      <c r="M36" s="121">
        <f t="shared" ref="M36" si="5">+I36/100</f>
        <v>0.3</v>
      </c>
      <c r="N36" s="121"/>
      <c r="O36" s="115">
        <v>14.971</v>
      </c>
      <c r="P36" s="116">
        <f t="shared" ref="P36" si="6">+ROUND(PRODUCT(K36:O36),3)</f>
        <v>0</v>
      </c>
    </row>
    <row r="37" spans="2:31" ht="15" hidden="1" customHeight="1" x14ac:dyDescent="0.3">
      <c r="B37" s="56">
        <v>3</v>
      </c>
      <c r="C37" s="53" t="s">
        <v>1051</v>
      </c>
      <c r="D37" s="54" t="s">
        <v>998</v>
      </c>
      <c r="E37" s="54"/>
      <c r="F37" s="54"/>
      <c r="G37" s="54"/>
      <c r="H37" s="59"/>
      <c r="I37" s="58">
        <v>0</v>
      </c>
      <c r="J37" s="55" t="s">
        <v>993</v>
      </c>
      <c r="K37" s="56">
        <v>0</v>
      </c>
      <c r="L37" s="56"/>
      <c r="M37" s="57">
        <v>0</v>
      </c>
      <c r="N37" s="57"/>
      <c r="O37" s="61">
        <v>44.921999999999997</v>
      </c>
      <c r="P37" s="62">
        <f t="shared" ref="P37:P43" si="7">+ROUND(PRODUCT(K37:O37),3)</f>
        <v>0</v>
      </c>
    </row>
    <row r="38" spans="2:31" ht="15" customHeight="1" x14ac:dyDescent="0.3">
      <c r="B38" s="99">
        <v>6</v>
      </c>
      <c r="C38" s="100" t="s">
        <v>1073</v>
      </c>
      <c r="D38" s="101" t="s">
        <v>1074</v>
      </c>
      <c r="E38" s="101"/>
      <c r="F38" s="101"/>
      <c r="G38" s="101"/>
      <c r="H38" s="102">
        <v>1315.19</v>
      </c>
      <c r="I38" s="102">
        <v>1308.44</v>
      </c>
      <c r="J38" s="102" t="s">
        <v>993</v>
      </c>
      <c r="K38" s="99">
        <v>2</v>
      </c>
      <c r="L38" s="99">
        <v>0.75</v>
      </c>
      <c r="M38" s="103" t="s">
        <v>1001</v>
      </c>
      <c r="N38" s="104"/>
      <c r="O38" s="105">
        <v>13.353999999999999</v>
      </c>
      <c r="P38" s="106">
        <f t="shared" si="7"/>
        <v>20.030999999999999</v>
      </c>
      <c r="S38" s="9">
        <f>+L38*K38</f>
        <v>1.5</v>
      </c>
      <c r="T38" s="88">
        <f>+H38-I38</f>
        <v>6.75</v>
      </c>
      <c r="AA38" s="88"/>
    </row>
    <row r="39" spans="2:31" ht="15" customHeight="1" x14ac:dyDescent="0.3">
      <c r="B39" s="56">
        <v>6</v>
      </c>
      <c r="C39" s="100" t="s">
        <v>1073</v>
      </c>
      <c r="D39" s="101" t="s">
        <v>1074</v>
      </c>
      <c r="E39" s="101"/>
      <c r="F39" s="101"/>
      <c r="G39" s="101"/>
      <c r="H39" s="102">
        <v>1315.19</v>
      </c>
      <c r="I39" s="102">
        <v>1308.44</v>
      </c>
      <c r="J39" s="55" t="s">
        <v>993</v>
      </c>
      <c r="K39" s="56">
        <v>2</v>
      </c>
      <c r="L39" s="56">
        <v>0.75</v>
      </c>
      <c r="M39" s="83" t="s">
        <v>1002</v>
      </c>
      <c r="N39" s="84"/>
      <c r="O39" s="61">
        <v>13.9</v>
      </c>
      <c r="P39" s="62">
        <f t="shared" si="7"/>
        <v>20.85</v>
      </c>
      <c r="S39" s="9">
        <f t="shared" ref="S39:S43" si="8">+L39*K39</f>
        <v>1.5</v>
      </c>
      <c r="AA39" s="88"/>
    </row>
    <row r="40" spans="2:31" ht="15" customHeight="1" x14ac:dyDescent="0.3">
      <c r="B40" s="56">
        <v>6</v>
      </c>
      <c r="C40" s="100" t="s">
        <v>1073</v>
      </c>
      <c r="D40" s="101" t="s">
        <v>1074</v>
      </c>
      <c r="E40" s="101"/>
      <c r="F40" s="101"/>
      <c r="G40" s="101"/>
      <c r="H40" s="102">
        <v>1315.19</v>
      </c>
      <c r="I40" s="102">
        <v>1308.44</v>
      </c>
      <c r="J40" s="55" t="s">
        <v>993</v>
      </c>
      <c r="K40" s="56">
        <v>2</v>
      </c>
      <c r="L40" s="56">
        <v>0.75</v>
      </c>
      <c r="M40" s="83" t="s">
        <v>1003</v>
      </c>
      <c r="N40" s="84"/>
      <c r="O40" s="61">
        <v>14.201000000000001</v>
      </c>
      <c r="P40" s="62">
        <f t="shared" si="7"/>
        <v>21.302</v>
      </c>
      <c r="S40" s="9">
        <f t="shared" si="8"/>
        <v>1.5</v>
      </c>
      <c r="AA40" s="88"/>
    </row>
    <row r="41" spans="2:31" ht="15" customHeight="1" x14ac:dyDescent="0.3">
      <c r="B41" s="56">
        <v>6</v>
      </c>
      <c r="C41" s="100" t="s">
        <v>1073</v>
      </c>
      <c r="D41" s="101" t="s">
        <v>1074</v>
      </c>
      <c r="E41" s="101"/>
      <c r="F41" s="101"/>
      <c r="G41" s="101"/>
      <c r="H41" s="102">
        <v>1315.19</v>
      </c>
      <c r="I41" s="102">
        <v>1308.44</v>
      </c>
      <c r="J41" s="55" t="s">
        <v>993</v>
      </c>
      <c r="K41" s="56">
        <v>1</v>
      </c>
      <c r="L41" s="56">
        <v>0.75</v>
      </c>
      <c r="M41" s="83" t="s">
        <v>1004</v>
      </c>
      <c r="N41" s="84"/>
      <c r="O41" s="61">
        <v>14.382</v>
      </c>
      <c r="P41" s="62">
        <f t="shared" si="7"/>
        <v>10.787000000000001</v>
      </c>
      <c r="S41" s="9">
        <f t="shared" si="8"/>
        <v>0.75</v>
      </c>
      <c r="AA41" s="88"/>
    </row>
    <row r="42" spans="2:31" ht="15" customHeight="1" x14ac:dyDescent="0.3">
      <c r="B42" s="56">
        <v>6</v>
      </c>
      <c r="C42" s="100" t="s">
        <v>1073</v>
      </c>
      <c r="D42" s="101" t="s">
        <v>1074</v>
      </c>
      <c r="E42" s="101"/>
      <c r="F42" s="101"/>
      <c r="G42" s="101"/>
      <c r="H42" s="102">
        <v>1315.19</v>
      </c>
      <c r="I42" s="102">
        <v>1308.44</v>
      </c>
      <c r="J42" s="55" t="s">
        <v>993</v>
      </c>
      <c r="K42" s="56">
        <v>1</v>
      </c>
      <c r="L42" s="56">
        <v>0.75</v>
      </c>
      <c r="M42" s="83" t="s">
        <v>1005</v>
      </c>
      <c r="N42" s="84"/>
      <c r="O42" s="61">
        <v>14.621</v>
      </c>
      <c r="P42" s="62">
        <f t="shared" si="7"/>
        <v>10.965999999999999</v>
      </c>
      <c r="S42" s="9">
        <f t="shared" si="8"/>
        <v>0.75</v>
      </c>
      <c r="AA42" s="88"/>
    </row>
    <row r="43" spans="2:31" ht="15" customHeight="1" x14ac:dyDescent="0.3">
      <c r="B43" s="56">
        <v>6</v>
      </c>
      <c r="C43" s="100" t="s">
        <v>1073</v>
      </c>
      <c r="D43" s="101" t="s">
        <v>1074</v>
      </c>
      <c r="E43" s="101"/>
      <c r="F43" s="101"/>
      <c r="G43" s="101"/>
      <c r="H43" s="102">
        <v>1315.19</v>
      </c>
      <c r="I43" s="102">
        <v>1308.44</v>
      </c>
      <c r="J43" s="55" t="s">
        <v>993</v>
      </c>
      <c r="K43" s="56">
        <v>1</v>
      </c>
      <c r="L43" s="56">
        <v>0.75</v>
      </c>
      <c r="M43" s="83" t="s">
        <v>1006</v>
      </c>
      <c r="N43" s="84"/>
      <c r="O43" s="61">
        <v>14.971</v>
      </c>
      <c r="P43" s="62">
        <f t="shared" si="7"/>
        <v>11.228</v>
      </c>
      <c r="S43" s="9">
        <f t="shared" si="8"/>
        <v>0.75</v>
      </c>
      <c r="AA43" s="88"/>
    </row>
    <row r="44" spans="2:31" ht="15" customHeight="1" x14ac:dyDescent="0.3">
      <c r="B44" s="39"/>
      <c r="C44" s="42"/>
      <c r="D44" s="40"/>
      <c r="E44" s="40"/>
      <c r="F44" s="40"/>
      <c r="G44" s="40"/>
      <c r="H44" s="41"/>
      <c r="I44" s="41"/>
      <c r="J44" s="41"/>
      <c r="K44" s="41"/>
      <c r="L44" s="41"/>
      <c r="M44" s="41"/>
      <c r="N44" s="41"/>
      <c r="O44" s="42"/>
      <c r="P44" s="43"/>
    </row>
    <row r="45" spans="2:31" ht="15" customHeight="1" x14ac:dyDescent="0.3">
      <c r="C45" s="30"/>
      <c r="D45" s="33"/>
      <c r="E45" s="33"/>
      <c r="F45" s="33"/>
      <c r="G45" s="33"/>
      <c r="H45" s="12"/>
      <c r="I45" s="12"/>
      <c r="J45" s="12"/>
      <c r="K45" s="12"/>
      <c r="L45" s="12"/>
      <c r="M45" s="12"/>
      <c r="N45" s="12"/>
      <c r="O45" s="30"/>
    </row>
    <row r="46" spans="2:31" ht="30" customHeight="1" x14ac:dyDescent="0.3">
      <c r="B46" s="157" t="s">
        <v>7</v>
      </c>
      <c r="C46" s="169"/>
      <c r="D46" s="157" t="s">
        <v>8</v>
      </c>
      <c r="E46" s="158"/>
      <c r="F46" s="158"/>
      <c r="G46" s="158"/>
      <c r="H46" s="158"/>
      <c r="I46" s="158"/>
      <c r="J46" s="158"/>
      <c r="K46" s="158"/>
      <c r="L46" s="158"/>
      <c r="M46" s="34" t="s">
        <v>9</v>
      </c>
      <c r="N46" s="85" t="s">
        <v>1057</v>
      </c>
      <c r="O46" s="85" t="s">
        <v>1058</v>
      </c>
      <c r="P46" s="35" t="s">
        <v>1059</v>
      </c>
    </row>
    <row r="47" spans="2:31" ht="30" customHeight="1" x14ac:dyDescent="0.3">
      <c r="B47" s="170" t="s">
        <v>124</v>
      </c>
      <c r="C47" s="171"/>
      <c r="D47" s="159" t="str">
        <f>+VLOOKUP(B47,[2]Liste!B:E,2,FALSE)</f>
        <v>Püskürtme Beton (Tünel ve Şaftlarda)</v>
      </c>
      <c r="E47" s="160"/>
      <c r="F47" s="160"/>
      <c r="G47" s="160"/>
      <c r="H47" s="160"/>
      <c r="I47" s="160"/>
      <c r="J47" s="160"/>
      <c r="K47" s="160"/>
      <c r="L47" s="160"/>
      <c r="M47" s="36" t="str">
        <f>+VLOOKUP(B47,[2]Liste!B:E,3,FALSE)</f>
        <v>m³</v>
      </c>
      <c r="N47" s="60">
        <v>140.006</v>
      </c>
      <c r="O47" s="60">
        <f>+P47-N47</f>
        <v>13.593999999999994</v>
      </c>
      <c r="P47" s="60">
        <f>+ROUND(SUM(P48:P74),3)</f>
        <v>153.6</v>
      </c>
      <c r="AA47" s="9">
        <f>+VLOOKUP(B47,[1]Liste!$B$2:$F$483,5,FALSE)</f>
        <v>15334</v>
      </c>
      <c r="AC47" s="9">
        <f>+AA47*N47</f>
        <v>2146852.0040000002</v>
      </c>
      <c r="AD47" s="9">
        <f>+AA47*O47</f>
        <v>208450.39599999992</v>
      </c>
      <c r="AE47" s="9">
        <f>+AA47*P47</f>
        <v>2355302.3999999999</v>
      </c>
    </row>
    <row r="48" spans="2:31" ht="15" customHeight="1" x14ac:dyDescent="0.3">
      <c r="B48" s="51" t="s">
        <v>1072</v>
      </c>
      <c r="C48" s="78"/>
      <c r="D48" s="45"/>
      <c r="E48" s="45"/>
      <c r="F48" s="45"/>
      <c r="G48" s="45"/>
      <c r="H48" s="46"/>
      <c r="I48" s="46"/>
      <c r="J48" s="46"/>
      <c r="K48" s="47"/>
      <c r="L48" s="47"/>
      <c r="M48" s="48"/>
      <c r="N48" s="48"/>
      <c r="O48" s="49"/>
      <c r="P48" s="50"/>
    </row>
    <row r="49" spans="2:16" ht="30" customHeight="1" x14ac:dyDescent="0.3">
      <c r="B49" s="91" t="s">
        <v>981</v>
      </c>
      <c r="C49" s="91" t="s">
        <v>991</v>
      </c>
      <c r="D49" s="92" t="s">
        <v>990</v>
      </c>
      <c r="E49" s="92"/>
      <c r="F49" s="92"/>
      <c r="G49" s="92"/>
      <c r="H49" s="91" t="s">
        <v>988</v>
      </c>
      <c r="I49" s="91" t="s">
        <v>987</v>
      </c>
      <c r="J49" s="91" t="s">
        <v>992</v>
      </c>
      <c r="K49" s="91" t="s">
        <v>989</v>
      </c>
      <c r="L49" s="93" t="s">
        <v>1000</v>
      </c>
      <c r="M49" s="91" t="s">
        <v>12</v>
      </c>
      <c r="N49" s="91"/>
      <c r="O49" s="93" t="s">
        <v>983</v>
      </c>
      <c r="P49" s="93" t="s">
        <v>14</v>
      </c>
    </row>
    <row r="50" spans="2:16" ht="15" customHeight="1" x14ac:dyDescent="0.3">
      <c r="B50" s="99">
        <v>5</v>
      </c>
      <c r="C50" s="100" t="s">
        <v>1061</v>
      </c>
      <c r="D50" s="101" t="s">
        <v>1062</v>
      </c>
      <c r="E50" s="101"/>
      <c r="F50" s="101"/>
      <c r="G50" s="101"/>
      <c r="H50" s="102">
        <v>1256.69</v>
      </c>
      <c r="I50" s="102">
        <v>1242.56</v>
      </c>
      <c r="J50" s="102" t="s">
        <v>993</v>
      </c>
      <c r="K50" s="99">
        <v>3</v>
      </c>
      <c r="L50" s="122">
        <v>0.9</v>
      </c>
      <c r="M50" s="99">
        <v>0.75</v>
      </c>
      <c r="N50" s="103" t="s">
        <v>1001</v>
      </c>
      <c r="O50" s="105">
        <v>1.9390000000000001</v>
      </c>
      <c r="P50" s="106">
        <f t="shared" ref="P50:P56" si="9">+ROUND(PRODUCT(K50:O50),3)</f>
        <v>3.9260000000000002</v>
      </c>
    </row>
    <row r="51" spans="2:16" ht="15" customHeight="1" x14ac:dyDescent="0.3">
      <c r="B51" s="56">
        <v>5</v>
      </c>
      <c r="C51" s="100" t="s">
        <v>1061</v>
      </c>
      <c r="D51" s="54" t="s">
        <v>1062</v>
      </c>
      <c r="E51" s="54"/>
      <c r="F51" s="54"/>
      <c r="G51" s="54"/>
      <c r="H51" s="55">
        <v>1256.69</v>
      </c>
      <c r="I51" s="55">
        <v>1242.56</v>
      </c>
      <c r="J51" s="55" t="s">
        <v>993</v>
      </c>
      <c r="K51" s="56">
        <v>3</v>
      </c>
      <c r="L51" s="72">
        <v>0.9</v>
      </c>
      <c r="M51" s="56">
        <v>0.75</v>
      </c>
      <c r="N51" s="83" t="s">
        <v>1002</v>
      </c>
      <c r="O51" s="61">
        <v>1.998</v>
      </c>
      <c r="P51" s="62">
        <f t="shared" si="9"/>
        <v>4.0460000000000003</v>
      </c>
    </row>
    <row r="52" spans="2:16" ht="15" customHeight="1" x14ac:dyDescent="0.3">
      <c r="B52" s="56">
        <v>5</v>
      </c>
      <c r="C52" s="100" t="s">
        <v>1061</v>
      </c>
      <c r="D52" s="54" t="s">
        <v>1062</v>
      </c>
      <c r="E52" s="54"/>
      <c r="F52" s="54"/>
      <c r="G52" s="54"/>
      <c r="H52" s="55">
        <v>1256.69</v>
      </c>
      <c r="I52" s="55">
        <v>1242.56</v>
      </c>
      <c r="J52" s="55" t="s">
        <v>993</v>
      </c>
      <c r="K52" s="56">
        <v>3</v>
      </c>
      <c r="L52" s="72">
        <v>0.9</v>
      </c>
      <c r="M52" s="56">
        <v>0.75</v>
      </c>
      <c r="N52" s="83" t="s">
        <v>1003</v>
      </c>
      <c r="O52" s="61">
        <v>2.0270000000000001</v>
      </c>
      <c r="P52" s="62">
        <f t="shared" si="9"/>
        <v>4.1050000000000004</v>
      </c>
    </row>
    <row r="53" spans="2:16" ht="15" customHeight="1" x14ac:dyDescent="0.3">
      <c r="B53" s="56">
        <v>5</v>
      </c>
      <c r="C53" s="100" t="s">
        <v>1061</v>
      </c>
      <c r="D53" s="54" t="s">
        <v>1062</v>
      </c>
      <c r="E53" s="54"/>
      <c r="F53" s="54"/>
      <c r="G53" s="54"/>
      <c r="H53" s="55">
        <v>1256.69</v>
      </c>
      <c r="I53" s="55">
        <v>1242.56</v>
      </c>
      <c r="J53" s="55" t="s">
        <v>993</v>
      </c>
      <c r="K53" s="56">
        <v>3</v>
      </c>
      <c r="L53" s="72">
        <v>0.9</v>
      </c>
      <c r="M53" s="56">
        <v>0.75</v>
      </c>
      <c r="N53" s="83" t="s">
        <v>1004</v>
      </c>
      <c r="O53" s="61">
        <v>2.0390000000000001</v>
      </c>
      <c r="P53" s="62">
        <f t="shared" si="9"/>
        <v>4.1289999999999996</v>
      </c>
    </row>
    <row r="54" spans="2:16" ht="15" customHeight="1" x14ac:dyDescent="0.3">
      <c r="B54" s="56">
        <v>5</v>
      </c>
      <c r="C54" s="100" t="s">
        <v>1061</v>
      </c>
      <c r="D54" s="54" t="s">
        <v>1062</v>
      </c>
      <c r="E54" s="54"/>
      <c r="F54" s="54"/>
      <c r="G54" s="54"/>
      <c r="H54" s="55">
        <v>1256.69</v>
      </c>
      <c r="I54" s="55">
        <v>1242.56</v>
      </c>
      <c r="J54" s="55" t="s">
        <v>993</v>
      </c>
      <c r="K54" s="56">
        <v>3</v>
      </c>
      <c r="L54" s="72">
        <v>0.9</v>
      </c>
      <c r="M54" s="56">
        <v>0.75</v>
      </c>
      <c r="N54" s="83" t="s">
        <v>1005</v>
      </c>
      <c r="O54" s="61">
        <v>2.0579999999999998</v>
      </c>
      <c r="P54" s="62">
        <f t="shared" si="9"/>
        <v>4.1669999999999998</v>
      </c>
    </row>
    <row r="55" spans="2:16" ht="15" customHeight="1" x14ac:dyDescent="0.3">
      <c r="B55" s="56">
        <v>5</v>
      </c>
      <c r="C55" s="100" t="s">
        <v>1061</v>
      </c>
      <c r="D55" s="54" t="s">
        <v>1062</v>
      </c>
      <c r="E55" s="54"/>
      <c r="F55" s="54"/>
      <c r="G55" s="54"/>
      <c r="H55" s="55">
        <v>1256.69</v>
      </c>
      <c r="I55" s="55">
        <v>1242.56</v>
      </c>
      <c r="J55" s="55" t="s">
        <v>993</v>
      </c>
      <c r="K55" s="56">
        <v>2</v>
      </c>
      <c r="L55" s="72">
        <v>0.9</v>
      </c>
      <c r="M55" s="56">
        <v>0.75</v>
      </c>
      <c r="N55" s="83" t="s">
        <v>1006</v>
      </c>
      <c r="O55" s="61">
        <v>2.0910000000000002</v>
      </c>
      <c r="P55" s="62">
        <f t="shared" ref="P55" si="10">+ROUND(PRODUCT(K55:O55),3)</f>
        <v>2.823</v>
      </c>
    </row>
    <row r="56" spans="2:16" ht="15" customHeight="1" x14ac:dyDescent="0.3">
      <c r="B56" s="56">
        <v>5</v>
      </c>
      <c r="C56" s="100" t="s">
        <v>1061</v>
      </c>
      <c r="D56" s="54" t="s">
        <v>1062</v>
      </c>
      <c r="E56" s="54"/>
      <c r="F56" s="54"/>
      <c r="G56" s="54"/>
      <c r="H56" s="55">
        <v>1256.69</v>
      </c>
      <c r="I56" s="55">
        <v>1242.56</v>
      </c>
      <c r="J56" s="55" t="s">
        <v>993</v>
      </c>
      <c r="K56" s="56">
        <v>2</v>
      </c>
      <c r="L56" s="72">
        <v>0.9</v>
      </c>
      <c r="M56" s="56">
        <v>0.75</v>
      </c>
      <c r="N56" s="83" t="s">
        <v>1006</v>
      </c>
      <c r="O56" s="61">
        <v>2.0910000000000002</v>
      </c>
      <c r="P56" s="62">
        <f t="shared" si="9"/>
        <v>2.823</v>
      </c>
    </row>
    <row r="57" spans="2:16" ht="15" customHeight="1" x14ac:dyDescent="0.3">
      <c r="B57" s="109">
        <v>5</v>
      </c>
      <c r="C57" s="100" t="s">
        <v>1061</v>
      </c>
      <c r="D57" s="111" t="s">
        <v>1062</v>
      </c>
      <c r="E57" s="111"/>
      <c r="F57" s="111"/>
      <c r="G57" s="111"/>
      <c r="H57" s="112">
        <v>1256.69</v>
      </c>
      <c r="I57" s="112">
        <v>1242.56</v>
      </c>
      <c r="J57" s="112" t="s">
        <v>993</v>
      </c>
      <c r="K57" s="109">
        <v>1</v>
      </c>
      <c r="L57" s="150">
        <v>0.9</v>
      </c>
      <c r="M57" s="109">
        <v>0.93</v>
      </c>
      <c r="N57" s="151" t="s">
        <v>1006</v>
      </c>
      <c r="O57" s="147">
        <v>2.0910000000000002</v>
      </c>
      <c r="P57" s="152">
        <f>+ROUND(PRODUCT(K57:O57),3)</f>
        <v>1.75</v>
      </c>
    </row>
    <row r="58" spans="2:16" ht="15" customHeight="1" x14ac:dyDescent="0.3">
      <c r="B58" s="99">
        <v>5</v>
      </c>
      <c r="C58" s="100" t="s">
        <v>1063</v>
      </c>
      <c r="D58" s="101" t="s">
        <v>1064</v>
      </c>
      <c r="E58" s="101"/>
      <c r="F58" s="101"/>
      <c r="G58" s="101"/>
      <c r="H58" s="102">
        <v>1308.44</v>
      </c>
      <c r="I58" s="102">
        <v>1256.69</v>
      </c>
      <c r="J58" s="102" t="s">
        <v>993</v>
      </c>
      <c r="K58" s="99">
        <v>11</v>
      </c>
      <c r="L58" s="122">
        <v>0.9</v>
      </c>
      <c r="M58" s="99">
        <v>0.75</v>
      </c>
      <c r="N58" s="103" t="s">
        <v>1001</v>
      </c>
      <c r="O58" s="105">
        <v>1.9390000000000001</v>
      </c>
      <c r="P58" s="106">
        <f t="shared" ref="P58:P63" si="11">+ROUND(PRODUCT(K58:O58),3)</f>
        <v>14.397</v>
      </c>
    </row>
    <row r="59" spans="2:16" ht="15" customHeight="1" x14ac:dyDescent="0.3">
      <c r="B59" s="56">
        <v>5</v>
      </c>
      <c r="C59" s="100" t="s">
        <v>1063</v>
      </c>
      <c r="D59" s="54" t="s">
        <v>1064</v>
      </c>
      <c r="E59" s="54"/>
      <c r="F59" s="54"/>
      <c r="G59" s="54"/>
      <c r="H59" s="55">
        <v>1308.44</v>
      </c>
      <c r="I59" s="55">
        <v>1256.69</v>
      </c>
      <c r="J59" s="55" t="s">
        <v>993</v>
      </c>
      <c r="K59" s="56">
        <v>11</v>
      </c>
      <c r="L59" s="72">
        <v>0.9</v>
      </c>
      <c r="M59" s="56">
        <v>0.75</v>
      </c>
      <c r="N59" s="83" t="s">
        <v>1002</v>
      </c>
      <c r="O59" s="61">
        <v>1.998</v>
      </c>
      <c r="P59" s="62">
        <f t="shared" si="11"/>
        <v>14.835000000000001</v>
      </c>
    </row>
    <row r="60" spans="2:16" ht="15" customHeight="1" x14ac:dyDescent="0.3">
      <c r="B60" s="56">
        <v>5</v>
      </c>
      <c r="C60" s="100" t="s">
        <v>1063</v>
      </c>
      <c r="D60" s="54" t="s">
        <v>1064</v>
      </c>
      <c r="E60" s="54"/>
      <c r="F60" s="54"/>
      <c r="G60" s="54"/>
      <c r="H60" s="55">
        <v>1308.44</v>
      </c>
      <c r="I60" s="55">
        <v>1256.69</v>
      </c>
      <c r="J60" s="55" t="s">
        <v>993</v>
      </c>
      <c r="K60" s="56">
        <v>11</v>
      </c>
      <c r="L60" s="72">
        <v>0.9</v>
      </c>
      <c r="M60" s="56">
        <v>0.75</v>
      </c>
      <c r="N60" s="83" t="s">
        <v>1003</v>
      </c>
      <c r="O60" s="61">
        <v>2.0270000000000001</v>
      </c>
      <c r="P60" s="62">
        <f t="shared" si="11"/>
        <v>15.05</v>
      </c>
    </row>
    <row r="61" spans="2:16" ht="15" customHeight="1" x14ac:dyDescent="0.3">
      <c r="B61" s="56">
        <v>5</v>
      </c>
      <c r="C61" s="100" t="s">
        <v>1063</v>
      </c>
      <c r="D61" s="54" t="s">
        <v>1064</v>
      </c>
      <c r="E61" s="54"/>
      <c r="F61" s="54"/>
      <c r="G61" s="54"/>
      <c r="H61" s="55">
        <v>1308.44</v>
      </c>
      <c r="I61" s="55">
        <v>1256.69</v>
      </c>
      <c r="J61" s="55" t="s">
        <v>993</v>
      </c>
      <c r="K61" s="56">
        <v>12</v>
      </c>
      <c r="L61" s="72">
        <v>0.9</v>
      </c>
      <c r="M61" s="56">
        <v>0.75</v>
      </c>
      <c r="N61" s="83" t="s">
        <v>1004</v>
      </c>
      <c r="O61" s="61">
        <v>2.0390000000000001</v>
      </c>
      <c r="P61" s="62">
        <f t="shared" si="11"/>
        <v>16.515999999999998</v>
      </c>
    </row>
    <row r="62" spans="2:16" ht="15" customHeight="1" x14ac:dyDescent="0.3">
      <c r="B62" s="56">
        <v>5</v>
      </c>
      <c r="C62" s="100" t="s">
        <v>1063</v>
      </c>
      <c r="D62" s="54" t="s">
        <v>1064</v>
      </c>
      <c r="E62" s="54"/>
      <c r="F62" s="54"/>
      <c r="G62" s="54"/>
      <c r="H62" s="55">
        <v>1308.44</v>
      </c>
      <c r="I62" s="55">
        <v>1256.69</v>
      </c>
      <c r="J62" s="55" t="s">
        <v>993</v>
      </c>
      <c r="K62" s="56">
        <v>12</v>
      </c>
      <c r="L62" s="72">
        <v>0.9</v>
      </c>
      <c r="M62" s="56">
        <v>0.75</v>
      </c>
      <c r="N62" s="83" t="s">
        <v>1005</v>
      </c>
      <c r="O62" s="61">
        <v>2.0579999999999998</v>
      </c>
      <c r="P62" s="62">
        <f t="shared" si="11"/>
        <v>16.670000000000002</v>
      </c>
    </row>
    <row r="63" spans="2:16" ht="15" customHeight="1" x14ac:dyDescent="0.3">
      <c r="B63" s="56">
        <v>5</v>
      </c>
      <c r="C63" s="100" t="s">
        <v>1063</v>
      </c>
      <c r="D63" s="54" t="s">
        <v>1064</v>
      </c>
      <c r="E63" s="54"/>
      <c r="F63" s="54"/>
      <c r="G63" s="54"/>
      <c r="H63" s="55">
        <v>1308.44</v>
      </c>
      <c r="I63" s="55">
        <v>1256.69</v>
      </c>
      <c r="J63" s="55" t="s">
        <v>993</v>
      </c>
      <c r="K63" s="56">
        <v>12</v>
      </c>
      <c r="L63" s="72">
        <v>0.9</v>
      </c>
      <c r="M63" s="56">
        <v>0.75</v>
      </c>
      <c r="N63" s="83" t="s">
        <v>1006</v>
      </c>
      <c r="O63" s="61">
        <v>2.0910000000000002</v>
      </c>
      <c r="P63" s="62">
        <f t="shared" si="11"/>
        <v>16.937000000000001</v>
      </c>
    </row>
    <row r="64" spans="2:16" ht="15" customHeight="1" x14ac:dyDescent="0.3">
      <c r="B64" s="56">
        <v>5</v>
      </c>
      <c r="C64" s="100" t="s">
        <v>1063</v>
      </c>
      <c r="D64" s="54" t="s">
        <v>1064</v>
      </c>
      <c r="E64" s="54"/>
      <c r="F64" s="54"/>
      <c r="G64" s="54"/>
      <c r="H64" s="55">
        <v>1308.44</v>
      </c>
      <c r="I64" s="55">
        <v>1242.56</v>
      </c>
      <c r="J64" s="55" t="s">
        <v>993</v>
      </c>
      <c r="K64" s="56">
        <v>1</v>
      </c>
      <c r="L64" s="72">
        <v>0.1</v>
      </c>
      <c r="M64" s="156">
        <f>+H64-I64</f>
        <v>65.880000000000109</v>
      </c>
      <c r="N64" s="83" t="s">
        <v>1065</v>
      </c>
      <c r="O64" s="61">
        <v>2.0249999999999999</v>
      </c>
      <c r="P64" s="62">
        <f t="shared" ref="P64:P70" si="12">+ROUND(PRODUCT(K64:O64),3)</f>
        <v>13.340999999999999</v>
      </c>
    </row>
    <row r="65" spans="2:16" ht="15" customHeight="1" x14ac:dyDescent="0.3">
      <c r="B65" s="99">
        <v>6</v>
      </c>
      <c r="C65" s="100" t="s">
        <v>1073</v>
      </c>
      <c r="D65" s="101" t="s">
        <v>1074</v>
      </c>
      <c r="E65" s="101"/>
      <c r="F65" s="101"/>
      <c r="G65" s="101"/>
      <c r="H65" s="102">
        <v>1315.19</v>
      </c>
      <c r="I65" s="102">
        <v>1308.44</v>
      </c>
      <c r="J65" s="102" t="s">
        <v>993</v>
      </c>
      <c r="K65" s="99">
        <v>2</v>
      </c>
      <c r="L65" s="122">
        <v>0.9</v>
      </c>
      <c r="M65" s="99">
        <v>0.75</v>
      </c>
      <c r="N65" s="103" t="s">
        <v>1001</v>
      </c>
      <c r="O65" s="105">
        <v>1.9390000000000001</v>
      </c>
      <c r="P65" s="106">
        <f t="shared" si="12"/>
        <v>2.6179999999999999</v>
      </c>
    </row>
    <row r="66" spans="2:16" ht="15" customHeight="1" x14ac:dyDescent="0.3">
      <c r="B66" s="56">
        <v>6</v>
      </c>
      <c r="C66" s="100" t="s">
        <v>1073</v>
      </c>
      <c r="D66" s="54" t="s">
        <v>1074</v>
      </c>
      <c r="E66" s="54"/>
      <c r="F66" s="54"/>
      <c r="G66" s="54"/>
      <c r="H66" s="55">
        <v>1315.19</v>
      </c>
      <c r="I66" s="55">
        <v>1308.44</v>
      </c>
      <c r="J66" s="55" t="s">
        <v>993</v>
      </c>
      <c r="K66" s="56">
        <v>2</v>
      </c>
      <c r="L66" s="72">
        <v>0.9</v>
      </c>
      <c r="M66" s="56">
        <v>0.75</v>
      </c>
      <c r="N66" s="83" t="s">
        <v>1002</v>
      </c>
      <c r="O66" s="61">
        <v>1.998</v>
      </c>
      <c r="P66" s="62">
        <f t="shared" si="12"/>
        <v>2.6970000000000001</v>
      </c>
    </row>
    <row r="67" spans="2:16" ht="15" customHeight="1" x14ac:dyDescent="0.3">
      <c r="B67" s="56">
        <v>6</v>
      </c>
      <c r="C67" s="100" t="s">
        <v>1073</v>
      </c>
      <c r="D67" s="54" t="s">
        <v>1074</v>
      </c>
      <c r="E67" s="54"/>
      <c r="F67" s="54"/>
      <c r="G67" s="54"/>
      <c r="H67" s="55">
        <v>1315.19</v>
      </c>
      <c r="I67" s="55">
        <v>1308.44</v>
      </c>
      <c r="J67" s="55" t="s">
        <v>993</v>
      </c>
      <c r="K67" s="56">
        <v>2</v>
      </c>
      <c r="L67" s="72">
        <v>0.9</v>
      </c>
      <c r="M67" s="56">
        <v>0.75</v>
      </c>
      <c r="N67" s="83" t="s">
        <v>1003</v>
      </c>
      <c r="O67" s="61">
        <v>2.0270000000000001</v>
      </c>
      <c r="P67" s="62">
        <f t="shared" si="12"/>
        <v>2.7360000000000002</v>
      </c>
    </row>
    <row r="68" spans="2:16" ht="15" customHeight="1" x14ac:dyDescent="0.3">
      <c r="B68" s="56">
        <v>6</v>
      </c>
      <c r="C68" s="100" t="s">
        <v>1073</v>
      </c>
      <c r="D68" s="54" t="s">
        <v>1074</v>
      </c>
      <c r="E68" s="54"/>
      <c r="F68" s="54"/>
      <c r="G68" s="54"/>
      <c r="H68" s="55">
        <v>1315.19</v>
      </c>
      <c r="I68" s="55">
        <v>1308.44</v>
      </c>
      <c r="J68" s="55" t="s">
        <v>993</v>
      </c>
      <c r="K68" s="56">
        <v>1</v>
      </c>
      <c r="L68" s="72">
        <v>0.9</v>
      </c>
      <c r="M68" s="56">
        <v>0.75</v>
      </c>
      <c r="N68" s="83" t="s">
        <v>1004</v>
      </c>
      <c r="O68" s="61">
        <v>2.0390000000000001</v>
      </c>
      <c r="P68" s="62">
        <f t="shared" si="12"/>
        <v>1.3759999999999999</v>
      </c>
    </row>
    <row r="69" spans="2:16" ht="15" customHeight="1" x14ac:dyDescent="0.3">
      <c r="B69" s="56">
        <v>6</v>
      </c>
      <c r="C69" s="100" t="s">
        <v>1073</v>
      </c>
      <c r="D69" s="54" t="s">
        <v>1074</v>
      </c>
      <c r="E69" s="54"/>
      <c r="F69" s="54"/>
      <c r="G69" s="54"/>
      <c r="H69" s="55">
        <v>1315.19</v>
      </c>
      <c r="I69" s="55">
        <v>1308.44</v>
      </c>
      <c r="J69" s="55" t="s">
        <v>993</v>
      </c>
      <c r="K69" s="56">
        <v>1</v>
      </c>
      <c r="L69" s="72">
        <v>0.9</v>
      </c>
      <c r="M69" s="56">
        <v>0.75</v>
      </c>
      <c r="N69" s="83" t="s">
        <v>1005</v>
      </c>
      <c r="O69" s="61">
        <v>2.0579999999999998</v>
      </c>
      <c r="P69" s="62">
        <f t="shared" si="12"/>
        <v>1.389</v>
      </c>
    </row>
    <row r="70" spans="2:16" ht="15" customHeight="1" x14ac:dyDescent="0.3">
      <c r="B70" s="56">
        <v>6</v>
      </c>
      <c r="C70" s="100" t="s">
        <v>1073</v>
      </c>
      <c r="D70" s="54" t="s">
        <v>1074</v>
      </c>
      <c r="E70" s="54"/>
      <c r="F70" s="54"/>
      <c r="G70" s="54"/>
      <c r="H70" s="55">
        <v>1315.19</v>
      </c>
      <c r="I70" s="55">
        <v>1308.44</v>
      </c>
      <c r="J70" s="55" t="s">
        <v>993</v>
      </c>
      <c r="K70" s="56">
        <v>1</v>
      </c>
      <c r="L70" s="72">
        <v>0.9</v>
      </c>
      <c r="M70" s="56">
        <v>0.75</v>
      </c>
      <c r="N70" s="83" t="s">
        <v>1006</v>
      </c>
      <c r="O70" s="61">
        <v>2.0910000000000002</v>
      </c>
      <c r="P70" s="62">
        <f t="shared" si="12"/>
        <v>1.411</v>
      </c>
    </row>
    <row r="71" spans="2:16" ht="15" customHeight="1" x14ac:dyDescent="0.3">
      <c r="B71" s="56">
        <v>6</v>
      </c>
      <c r="C71" s="100" t="s">
        <v>1073</v>
      </c>
      <c r="D71" s="54" t="s">
        <v>1074</v>
      </c>
      <c r="E71" s="54"/>
      <c r="F71" s="54"/>
      <c r="G71" s="54"/>
      <c r="H71" s="55">
        <v>1315.19</v>
      </c>
      <c r="I71" s="55">
        <v>1308.44</v>
      </c>
      <c r="J71" s="55" t="s">
        <v>993</v>
      </c>
      <c r="K71" s="56">
        <v>1</v>
      </c>
      <c r="L71" s="72">
        <v>0.1</v>
      </c>
      <c r="M71" s="156">
        <f>+H71-I71</f>
        <v>6.75</v>
      </c>
      <c r="N71" s="83" t="s">
        <v>1065</v>
      </c>
      <c r="O71" s="61">
        <v>2.0249999999999999</v>
      </c>
      <c r="P71" s="62">
        <f t="shared" ref="P71" si="13">+ROUND(PRODUCT(K71:O71),3)</f>
        <v>1.367</v>
      </c>
    </row>
    <row r="72" spans="2:16" ht="15" customHeight="1" x14ac:dyDescent="0.3">
      <c r="B72" s="51" t="s">
        <v>1069</v>
      </c>
      <c r="C72" s="78"/>
      <c r="D72" s="45"/>
      <c r="E72" s="45"/>
      <c r="F72" s="45"/>
      <c r="G72" s="45"/>
      <c r="H72" s="46"/>
      <c r="I72" s="46"/>
      <c r="J72" s="46"/>
      <c r="K72" s="47"/>
      <c r="L72" s="47"/>
      <c r="M72" s="48"/>
      <c r="N72" s="48"/>
      <c r="O72" s="49"/>
      <c r="P72" s="50"/>
    </row>
    <row r="73" spans="2:16" ht="15" customHeight="1" x14ac:dyDescent="0.3">
      <c r="B73" s="109">
        <v>5</v>
      </c>
      <c r="C73" s="100" t="s">
        <v>1061</v>
      </c>
      <c r="D73" s="111" t="s">
        <v>998</v>
      </c>
      <c r="E73" s="111"/>
      <c r="F73" s="111"/>
      <c r="G73" s="111"/>
      <c r="H73" s="119"/>
      <c r="I73" s="120">
        <v>30</v>
      </c>
      <c r="J73" s="112" t="s">
        <v>993</v>
      </c>
      <c r="K73" s="109">
        <v>1</v>
      </c>
      <c r="L73" s="109"/>
      <c r="M73" s="121">
        <v>0.3</v>
      </c>
      <c r="N73" s="121"/>
      <c r="O73" s="115">
        <v>14.971</v>
      </c>
      <c r="P73" s="116">
        <f t="shared" ref="P73" si="14">+ROUND(PRODUCT(K73:O73),3)</f>
        <v>4.4909999999999997</v>
      </c>
    </row>
    <row r="74" spans="2:16" ht="4.95" customHeight="1" x14ac:dyDescent="0.3">
      <c r="B74" s="39"/>
      <c r="C74" s="42"/>
      <c r="D74" s="40"/>
      <c r="E74" s="40"/>
      <c r="F74" s="40"/>
      <c r="G74" s="40"/>
      <c r="H74" s="41"/>
      <c r="I74" s="41"/>
      <c r="J74" s="41"/>
      <c r="K74" s="41"/>
      <c r="L74" s="41"/>
      <c r="M74" s="41"/>
      <c r="N74" s="41"/>
      <c r="O74" s="42"/>
      <c r="P74" s="43"/>
    </row>
    <row r="75" spans="2:16" ht="19.95" customHeight="1" x14ac:dyDescent="0.3">
      <c r="C75" s="30"/>
      <c r="D75" s="33"/>
      <c r="E75" s="33"/>
      <c r="F75" s="33"/>
      <c r="G75" s="33"/>
      <c r="H75" s="12"/>
      <c r="I75" s="12"/>
      <c r="J75" s="12"/>
      <c r="K75" s="12"/>
      <c r="L75" s="12"/>
      <c r="M75" s="12"/>
      <c r="N75" s="12"/>
      <c r="O75" s="30"/>
    </row>
    <row r="76" spans="2:16" ht="30" hidden="1" customHeight="1" x14ac:dyDescent="0.3">
      <c r="B76" s="157" t="s">
        <v>7</v>
      </c>
      <c r="C76" s="169"/>
      <c r="D76" s="157" t="s">
        <v>8</v>
      </c>
      <c r="E76" s="158"/>
      <c r="F76" s="158"/>
      <c r="G76" s="158"/>
      <c r="H76" s="158"/>
      <c r="I76" s="158"/>
      <c r="J76" s="158"/>
      <c r="K76" s="158"/>
      <c r="L76" s="158"/>
      <c r="M76" s="34" t="s">
        <v>9</v>
      </c>
      <c r="N76" s="85" t="s">
        <v>1057</v>
      </c>
      <c r="O76" s="85" t="s">
        <v>1058</v>
      </c>
      <c r="P76" s="35" t="s">
        <v>1059</v>
      </c>
    </row>
    <row r="77" spans="2:16" ht="30" hidden="1" customHeight="1" x14ac:dyDescent="0.3">
      <c r="B77" s="170" t="s">
        <v>131</v>
      </c>
      <c r="C77" s="171"/>
      <c r="D77" s="159" t="str">
        <f>+VLOOKUP(B77,[2]Liste!B:E,2,FALSE)</f>
        <v>L=4 m Kaya Bulonu</v>
      </c>
      <c r="E77" s="160"/>
      <c r="F77" s="160"/>
      <c r="G77" s="160"/>
      <c r="H77" s="160"/>
      <c r="I77" s="160"/>
      <c r="J77" s="160"/>
      <c r="K77" s="160"/>
      <c r="L77" s="160"/>
      <c r="M77" s="36" t="str">
        <f>+VLOOKUP(B77,[2]Liste!B:E,3,FALSE)</f>
        <v>adet</v>
      </c>
      <c r="N77" s="60">
        <v>0</v>
      </c>
      <c r="O77" s="60">
        <f>+P77-N77</f>
        <v>0</v>
      </c>
      <c r="P77" s="60">
        <f>+SUM(P78:P82)</f>
        <v>0</v>
      </c>
    </row>
    <row r="78" spans="2:16" ht="15" hidden="1" customHeight="1" x14ac:dyDescent="0.3">
      <c r="B78" s="91" t="s">
        <v>981</v>
      </c>
      <c r="C78" s="91" t="s">
        <v>991</v>
      </c>
      <c r="D78" s="92" t="s">
        <v>990</v>
      </c>
      <c r="E78" s="92"/>
      <c r="F78" s="92"/>
      <c r="G78" s="92"/>
      <c r="H78" s="123"/>
      <c r="I78" s="123"/>
      <c r="J78" s="123"/>
      <c r="K78" s="91" t="s">
        <v>989</v>
      </c>
      <c r="L78" s="124"/>
      <c r="M78" s="125"/>
      <c r="N78" s="126"/>
      <c r="O78" s="127" t="s">
        <v>1013</v>
      </c>
      <c r="P78" s="93" t="s">
        <v>14</v>
      </c>
    </row>
    <row r="79" spans="2:16" ht="15" hidden="1" customHeight="1" x14ac:dyDescent="0.3">
      <c r="B79" s="22"/>
      <c r="C79" s="131"/>
      <c r="D79" s="132"/>
      <c r="E79" s="132"/>
      <c r="F79" s="132"/>
      <c r="G79" s="132"/>
      <c r="H79" s="133"/>
      <c r="I79" s="133"/>
      <c r="J79" s="133"/>
      <c r="K79" s="22"/>
      <c r="L79" s="134"/>
      <c r="M79" s="48"/>
      <c r="N79" s="48"/>
      <c r="O79" s="135"/>
      <c r="P79" s="71"/>
    </row>
    <row r="80" spans="2:16" ht="15" hidden="1" customHeight="1" x14ac:dyDescent="0.3">
      <c r="B80" s="22"/>
      <c r="C80" s="131"/>
      <c r="D80" s="132"/>
      <c r="E80" s="132"/>
      <c r="F80" s="132"/>
      <c r="G80" s="132"/>
      <c r="H80" s="133"/>
      <c r="I80" s="133"/>
      <c r="J80" s="133"/>
      <c r="K80" s="22"/>
      <c r="L80" s="134"/>
      <c r="M80" s="48"/>
      <c r="N80" s="48"/>
      <c r="O80" s="135"/>
      <c r="P80" s="71"/>
    </row>
    <row r="81" spans="2:31" ht="15" hidden="1" customHeight="1" x14ac:dyDescent="0.3">
      <c r="B81" s="94"/>
      <c r="C81" s="95"/>
      <c r="D81" s="96"/>
      <c r="E81" s="96"/>
      <c r="F81" s="96"/>
      <c r="G81" s="96"/>
      <c r="H81" s="118"/>
      <c r="I81" s="118"/>
      <c r="J81" s="118"/>
      <c r="K81" s="94"/>
      <c r="L81" s="128"/>
      <c r="M81" s="129"/>
      <c r="N81" s="129"/>
      <c r="O81" s="130"/>
      <c r="P81" s="98"/>
    </row>
    <row r="82" spans="2:31" ht="4.95" hidden="1" customHeight="1" x14ac:dyDescent="0.3">
      <c r="B82" s="39"/>
      <c r="C82" s="42"/>
      <c r="D82" s="40"/>
      <c r="E82" s="40"/>
      <c r="F82" s="40"/>
      <c r="G82" s="40"/>
      <c r="H82" s="41"/>
      <c r="I82" s="41"/>
      <c r="J82" s="41"/>
      <c r="K82" s="41"/>
      <c r="L82" s="41"/>
      <c r="M82" s="41"/>
      <c r="N82" s="41"/>
      <c r="O82" s="42"/>
      <c r="P82" s="43"/>
    </row>
    <row r="83" spans="2:31" ht="19.95" hidden="1" customHeight="1" x14ac:dyDescent="0.3"/>
    <row r="84" spans="2:31" ht="30" customHeight="1" x14ac:dyDescent="0.3">
      <c r="B84" s="157" t="s">
        <v>7</v>
      </c>
      <c r="C84" s="169"/>
      <c r="D84" s="157" t="s">
        <v>8</v>
      </c>
      <c r="E84" s="158"/>
      <c r="F84" s="158"/>
      <c r="G84" s="158"/>
      <c r="H84" s="158"/>
      <c r="I84" s="158"/>
      <c r="J84" s="158"/>
      <c r="K84" s="158"/>
      <c r="L84" s="158"/>
      <c r="M84" s="34" t="s">
        <v>9</v>
      </c>
      <c r="N84" s="85" t="s">
        <v>1057</v>
      </c>
      <c r="O84" s="85" t="s">
        <v>1058</v>
      </c>
      <c r="P84" s="35" t="s">
        <v>1059</v>
      </c>
    </row>
    <row r="85" spans="2:31" ht="30" customHeight="1" x14ac:dyDescent="0.3">
      <c r="B85" s="170" t="s">
        <v>134</v>
      </c>
      <c r="C85" s="171"/>
      <c r="D85" s="159" t="str">
        <f>+VLOOKUP(B85,[2]Liste!B:E,2,FALSE)</f>
        <v>L=8 m Kaya Bulonu</v>
      </c>
      <c r="E85" s="160"/>
      <c r="F85" s="160"/>
      <c r="G85" s="160"/>
      <c r="H85" s="160"/>
      <c r="I85" s="160"/>
      <c r="J85" s="160"/>
      <c r="K85" s="160"/>
      <c r="L85" s="160"/>
      <c r="M85" s="36" t="str">
        <f>+VLOOKUP(B85,[2]Liste!B:E,3,FALSE)</f>
        <v>adet</v>
      </c>
      <c r="N85" s="60">
        <v>171</v>
      </c>
      <c r="O85" s="60">
        <f>+P85-N85</f>
        <v>99</v>
      </c>
      <c r="P85" s="60">
        <f>+SUM(P86:P89)</f>
        <v>270</v>
      </c>
      <c r="AA85" s="9">
        <f>+VLOOKUP(B85,[1]Liste!$B$2:$F$483,5,FALSE)</f>
        <v>28000</v>
      </c>
      <c r="AC85" s="9">
        <f>+AA85*N85</f>
        <v>4788000</v>
      </c>
      <c r="AD85" s="9">
        <f>+AA85*O85</f>
        <v>2772000</v>
      </c>
      <c r="AE85" s="9">
        <f>+AA85*P85</f>
        <v>7560000</v>
      </c>
    </row>
    <row r="86" spans="2:31" ht="15" customHeight="1" x14ac:dyDescent="0.3">
      <c r="B86" s="91" t="s">
        <v>981</v>
      </c>
      <c r="C86" s="91" t="s">
        <v>991</v>
      </c>
      <c r="D86" s="92" t="s">
        <v>990</v>
      </c>
      <c r="E86" s="92"/>
      <c r="F86" s="92"/>
      <c r="G86" s="92"/>
      <c r="H86" s="123"/>
      <c r="I86" s="123"/>
      <c r="J86" s="123"/>
      <c r="K86" s="91" t="s">
        <v>989</v>
      </c>
      <c r="L86" s="124"/>
      <c r="M86" s="125"/>
      <c r="N86" s="126"/>
      <c r="O86" s="127" t="s">
        <v>1013</v>
      </c>
      <c r="P86" s="93" t="s">
        <v>14</v>
      </c>
    </row>
    <row r="87" spans="2:31" ht="15" customHeight="1" x14ac:dyDescent="0.3">
      <c r="B87" s="22">
        <v>5</v>
      </c>
      <c r="C87" s="110" t="s">
        <v>1063</v>
      </c>
      <c r="D87" s="111" t="s">
        <v>1064</v>
      </c>
      <c r="E87" s="132"/>
      <c r="F87" s="132"/>
      <c r="G87" s="132"/>
      <c r="H87" s="133"/>
      <c r="I87" s="133"/>
      <c r="J87" s="133"/>
      <c r="K87" s="22">
        <v>1</v>
      </c>
      <c r="L87" s="134"/>
      <c r="M87" s="48"/>
      <c r="N87" s="48"/>
      <c r="O87" s="135">
        <v>171</v>
      </c>
      <c r="P87" s="71">
        <f>+ROUND(PRODUCT(K87:O87),3)</f>
        <v>171</v>
      </c>
    </row>
    <row r="88" spans="2:31" ht="15" customHeight="1" x14ac:dyDescent="0.3">
      <c r="B88" s="22">
        <v>6</v>
      </c>
      <c r="C88" s="110" t="s">
        <v>1073</v>
      </c>
      <c r="D88" s="111" t="s">
        <v>1074</v>
      </c>
      <c r="E88" s="132"/>
      <c r="F88" s="132"/>
      <c r="G88" s="132"/>
      <c r="H88" s="133"/>
      <c r="I88" s="133"/>
      <c r="J88" s="133"/>
      <c r="K88" s="22">
        <v>1</v>
      </c>
      <c r="L88" s="134"/>
      <c r="M88" s="48"/>
      <c r="N88" s="48"/>
      <c r="O88" s="135">
        <v>99</v>
      </c>
      <c r="P88" s="71">
        <f>+ROUND(PRODUCT(K88:O88),3)</f>
        <v>99</v>
      </c>
    </row>
    <row r="89" spans="2:31" ht="4.95" customHeight="1" x14ac:dyDescent="0.3">
      <c r="B89" s="39"/>
      <c r="C89" s="42"/>
      <c r="D89" s="40"/>
      <c r="E89" s="40"/>
      <c r="F89" s="40"/>
      <c r="G89" s="40"/>
      <c r="H89" s="41"/>
      <c r="I89" s="41"/>
      <c r="J89" s="41"/>
      <c r="K89" s="41"/>
      <c r="L89" s="41"/>
      <c r="M89" s="41"/>
      <c r="N89" s="41"/>
      <c r="O89" s="42"/>
      <c r="P89" s="43"/>
    </row>
    <row r="90" spans="2:31" ht="15" customHeight="1" x14ac:dyDescent="0.3">
      <c r="C90" s="30"/>
      <c r="D90" s="33"/>
      <c r="E90" s="33"/>
      <c r="F90" s="33"/>
      <c r="G90" s="33"/>
      <c r="H90" s="12"/>
      <c r="I90" s="12"/>
      <c r="J90" s="12"/>
      <c r="K90" s="12"/>
      <c r="L90" s="12"/>
      <c r="M90" s="12"/>
      <c r="N90" s="12"/>
      <c r="O90" s="30"/>
    </row>
    <row r="91" spans="2:31" ht="19.95" hidden="1" customHeight="1" x14ac:dyDescent="0.3">
      <c r="C91" s="30"/>
      <c r="D91" s="33"/>
      <c r="E91" s="33"/>
      <c r="F91" s="33"/>
      <c r="G91" s="33"/>
      <c r="H91" s="12"/>
      <c r="I91" s="12"/>
      <c r="J91" s="12"/>
      <c r="K91" s="12"/>
      <c r="L91" s="12"/>
      <c r="M91" s="12"/>
      <c r="N91" s="12"/>
      <c r="O91" s="30"/>
    </row>
    <row r="92" spans="2:31" ht="19.95" hidden="1" customHeight="1" x14ac:dyDescent="0.3">
      <c r="C92" s="30"/>
      <c r="D92" s="33"/>
      <c r="E92" s="33"/>
      <c r="F92" s="33"/>
      <c r="G92" s="33"/>
      <c r="H92" s="12"/>
      <c r="I92" s="12"/>
      <c r="J92" s="12"/>
      <c r="K92" s="12"/>
      <c r="L92" s="12"/>
      <c r="M92" s="12"/>
      <c r="N92" s="12"/>
      <c r="O92" s="30"/>
    </row>
    <row r="93" spans="2:31" ht="19.95" hidden="1" customHeight="1" x14ac:dyDescent="0.3">
      <c r="C93" s="30"/>
      <c r="D93" s="33"/>
      <c r="E93" s="33"/>
      <c r="F93" s="33"/>
      <c r="G93" s="33"/>
      <c r="H93" s="12"/>
      <c r="I93" s="12"/>
      <c r="J93" s="12"/>
      <c r="K93" s="12"/>
      <c r="L93" s="12"/>
      <c r="M93" s="12"/>
      <c r="N93" s="12"/>
      <c r="O93" s="30"/>
    </row>
    <row r="94" spans="2:31" ht="19.95" hidden="1" customHeight="1" x14ac:dyDescent="0.3">
      <c r="C94" s="30"/>
      <c r="D94" s="33"/>
      <c r="E94" s="33"/>
      <c r="F94" s="33"/>
      <c r="G94" s="33"/>
      <c r="H94" s="12"/>
      <c r="I94" s="12"/>
      <c r="J94" s="12"/>
      <c r="K94" s="12"/>
      <c r="L94" s="12"/>
      <c r="M94" s="12"/>
      <c r="N94" s="12"/>
      <c r="O94" s="30"/>
    </row>
    <row r="95" spans="2:31" ht="30" customHeight="1" x14ac:dyDescent="0.3">
      <c r="B95" s="157" t="s">
        <v>7</v>
      </c>
      <c r="C95" s="169"/>
      <c r="D95" s="157" t="s">
        <v>8</v>
      </c>
      <c r="E95" s="158"/>
      <c r="F95" s="158"/>
      <c r="G95" s="158"/>
      <c r="H95" s="158"/>
      <c r="I95" s="158"/>
      <c r="J95" s="158"/>
      <c r="K95" s="158"/>
      <c r="L95" s="158"/>
      <c r="M95" s="34" t="s">
        <v>9</v>
      </c>
      <c r="N95" s="85" t="s">
        <v>1057</v>
      </c>
      <c r="O95" s="85" t="s">
        <v>1058</v>
      </c>
      <c r="P95" s="35" t="s">
        <v>1059</v>
      </c>
    </row>
    <row r="96" spans="2:31" ht="30" customHeight="1" x14ac:dyDescent="0.3">
      <c r="B96" s="170" t="s">
        <v>138</v>
      </c>
      <c r="C96" s="171"/>
      <c r="D96" s="159" t="str">
        <f>+VLOOKUP(B96,[2]Liste!B:E,2,FALSE)</f>
        <v>Çelik İksa (Tünel ve Şaftlarda)</v>
      </c>
      <c r="E96" s="160"/>
      <c r="F96" s="160"/>
      <c r="G96" s="160"/>
      <c r="H96" s="160"/>
      <c r="I96" s="160"/>
      <c r="J96" s="160"/>
      <c r="K96" s="160"/>
      <c r="L96" s="160"/>
      <c r="M96" s="36" t="str">
        <f>+VLOOKUP(B96,[2]Liste!B:E,3,FALSE)</f>
        <v>ton</v>
      </c>
      <c r="N96" s="60">
        <v>40.261000000000003</v>
      </c>
      <c r="O96" s="60">
        <f>+P96-N96</f>
        <v>4.0919999999999987</v>
      </c>
      <c r="P96" s="60">
        <f>+ROUND(SUM(P97:P117),3)</f>
        <v>44.353000000000002</v>
      </c>
      <c r="AA96" s="9">
        <f>+VLOOKUP(B96,[1]Liste!$B$2:$F$483,5,FALSE)</f>
        <v>102000</v>
      </c>
      <c r="AC96" s="9">
        <f>+AA96*N96</f>
        <v>4106622.0000000005</v>
      </c>
      <c r="AD96" s="9">
        <f>+AA96*O96</f>
        <v>417383.99999999988</v>
      </c>
      <c r="AE96" s="9">
        <f>+AA96*P96</f>
        <v>4524006</v>
      </c>
    </row>
    <row r="97" spans="2:16" ht="15" customHeight="1" x14ac:dyDescent="0.3">
      <c r="B97" s="51" t="s">
        <v>1072</v>
      </c>
      <c r="C97" s="78"/>
      <c r="D97" s="45"/>
      <c r="E97" s="45"/>
      <c r="F97" s="45"/>
      <c r="G97" s="45"/>
      <c r="H97" s="46"/>
      <c r="I97" s="46"/>
      <c r="J97" s="46"/>
      <c r="K97" s="47"/>
      <c r="L97" s="47"/>
      <c r="M97" s="48"/>
      <c r="N97" s="48"/>
      <c r="O97" s="49"/>
      <c r="P97" s="50"/>
    </row>
    <row r="98" spans="2:16" ht="15" customHeight="1" x14ac:dyDescent="0.3">
      <c r="B98" s="91" t="s">
        <v>981</v>
      </c>
      <c r="C98" s="91" t="s">
        <v>991</v>
      </c>
      <c r="D98" s="92" t="s">
        <v>990</v>
      </c>
      <c r="E98" s="92"/>
      <c r="F98" s="92"/>
      <c r="G98" s="92"/>
      <c r="H98" s="91" t="s">
        <v>988</v>
      </c>
      <c r="I98" s="91" t="s">
        <v>987</v>
      </c>
      <c r="J98" s="91" t="s">
        <v>992</v>
      </c>
      <c r="K98" s="91" t="s">
        <v>989</v>
      </c>
      <c r="L98" s="136" t="s">
        <v>12</v>
      </c>
      <c r="M98" s="137"/>
      <c r="N98" s="138"/>
      <c r="O98" s="93" t="s">
        <v>995</v>
      </c>
      <c r="P98" s="93" t="s">
        <v>14</v>
      </c>
    </row>
    <row r="99" spans="2:16" ht="15" customHeight="1" x14ac:dyDescent="0.3">
      <c r="B99" s="99">
        <v>5</v>
      </c>
      <c r="C99" s="100" t="s">
        <v>1061</v>
      </c>
      <c r="D99" s="101" t="s">
        <v>1062</v>
      </c>
      <c r="E99" s="101"/>
      <c r="F99" s="101"/>
      <c r="G99" s="101"/>
      <c r="H99" s="102">
        <v>1256.69</v>
      </c>
      <c r="I99" s="102">
        <v>1242.56</v>
      </c>
      <c r="J99" s="102" t="s">
        <v>993</v>
      </c>
      <c r="K99" s="99">
        <v>3</v>
      </c>
      <c r="L99" s="107" t="s">
        <v>1001</v>
      </c>
      <c r="M99" s="139"/>
      <c r="N99" s="108"/>
      <c r="O99" s="140">
        <v>440.21899999999999</v>
      </c>
      <c r="P99" s="106">
        <f t="shared" ref="P99:P104" si="15">+ROUND(K99*O99/1000,3)</f>
        <v>1.321</v>
      </c>
    </row>
    <row r="100" spans="2:16" ht="15" customHeight="1" x14ac:dyDescent="0.3">
      <c r="B100" s="56">
        <v>5</v>
      </c>
      <c r="C100" s="53" t="s">
        <v>1061</v>
      </c>
      <c r="D100" s="54" t="s">
        <v>1062</v>
      </c>
      <c r="E100" s="54"/>
      <c r="F100" s="54"/>
      <c r="G100" s="54"/>
      <c r="H100" s="55">
        <v>1256.69</v>
      </c>
      <c r="I100" s="55">
        <v>1242.56</v>
      </c>
      <c r="J100" s="55" t="s">
        <v>993</v>
      </c>
      <c r="K100" s="56">
        <v>3</v>
      </c>
      <c r="L100" s="66" t="s">
        <v>1002</v>
      </c>
      <c r="M100" s="67"/>
      <c r="N100" s="68"/>
      <c r="O100" s="89">
        <v>451.74400000000003</v>
      </c>
      <c r="P100" s="62">
        <f t="shared" si="15"/>
        <v>1.355</v>
      </c>
    </row>
    <row r="101" spans="2:16" ht="15" customHeight="1" x14ac:dyDescent="0.3">
      <c r="B101" s="56">
        <v>5</v>
      </c>
      <c r="C101" s="53" t="s">
        <v>1061</v>
      </c>
      <c r="D101" s="54" t="s">
        <v>1062</v>
      </c>
      <c r="E101" s="54"/>
      <c r="F101" s="54"/>
      <c r="G101" s="54"/>
      <c r="H101" s="55">
        <v>1256.69</v>
      </c>
      <c r="I101" s="55">
        <v>1242.56</v>
      </c>
      <c r="J101" s="55" t="s">
        <v>993</v>
      </c>
      <c r="K101" s="56">
        <v>3</v>
      </c>
      <c r="L101" s="66" t="s">
        <v>1003</v>
      </c>
      <c r="M101" s="67"/>
      <c r="N101" s="68"/>
      <c r="O101" s="89">
        <v>457.26100000000002</v>
      </c>
      <c r="P101" s="62">
        <f t="shared" si="15"/>
        <v>1.3720000000000001</v>
      </c>
    </row>
    <row r="102" spans="2:16" ht="15" customHeight="1" x14ac:dyDescent="0.3">
      <c r="B102" s="56">
        <v>5</v>
      </c>
      <c r="C102" s="53" t="s">
        <v>1061</v>
      </c>
      <c r="D102" s="54" t="s">
        <v>1062</v>
      </c>
      <c r="E102" s="54"/>
      <c r="F102" s="54"/>
      <c r="G102" s="54"/>
      <c r="H102" s="55">
        <v>1256.69</v>
      </c>
      <c r="I102" s="55">
        <v>1242.56</v>
      </c>
      <c r="J102" s="55" t="s">
        <v>993</v>
      </c>
      <c r="K102" s="56">
        <v>3</v>
      </c>
      <c r="L102" s="66" t="s">
        <v>1004</v>
      </c>
      <c r="M102" s="67"/>
      <c r="N102" s="68"/>
      <c r="O102" s="89">
        <v>459.529</v>
      </c>
      <c r="P102" s="62">
        <f t="shared" si="15"/>
        <v>1.379</v>
      </c>
    </row>
    <row r="103" spans="2:16" ht="15" customHeight="1" x14ac:dyDescent="0.3">
      <c r="B103" s="56">
        <v>5</v>
      </c>
      <c r="C103" s="53" t="s">
        <v>1061</v>
      </c>
      <c r="D103" s="54" t="s">
        <v>1062</v>
      </c>
      <c r="E103" s="54"/>
      <c r="F103" s="54"/>
      <c r="G103" s="54"/>
      <c r="H103" s="55">
        <v>1256.69</v>
      </c>
      <c r="I103" s="55">
        <v>1242.56</v>
      </c>
      <c r="J103" s="55" t="s">
        <v>993</v>
      </c>
      <c r="K103" s="56">
        <v>3</v>
      </c>
      <c r="L103" s="66" t="s">
        <v>1005</v>
      </c>
      <c r="M103" s="67"/>
      <c r="N103" s="68"/>
      <c r="O103" s="89">
        <v>463.57499999999999</v>
      </c>
      <c r="P103" s="62">
        <f t="shared" si="15"/>
        <v>1.391</v>
      </c>
    </row>
    <row r="104" spans="2:16" ht="15" customHeight="1" x14ac:dyDescent="0.3">
      <c r="B104" s="109">
        <v>5</v>
      </c>
      <c r="C104" s="110" t="s">
        <v>1061</v>
      </c>
      <c r="D104" s="111" t="s">
        <v>1062</v>
      </c>
      <c r="E104" s="111"/>
      <c r="F104" s="111"/>
      <c r="G104" s="111"/>
      <c r="H104" s="112">
        <v>1256.69</v>
      </c>
      <c r="I104" s="112">
        <v>1242.56</v>
      </c>
      <c r="J104" s="112" t="s">
        <v>993</v>
      </c>
      <c r="K104" s="109">
        <v>4</v>
      </c>
      <c r="L104" s="113" t="s">
        <v>1006</v>
      </c>
      <c r="M104" s="141"/>
      <c r="N104" s="114"/>
      <c r="O104" s="142">
        <v>470.31799999999998</v>
      </c>
      <c r="P104" s="116">
        <f t="shared" si="15"/>
        <v>1.881</v>
      </c>
    </row>
    <row r="105" spans="2:16" ht="15" customHeight="1" x14ac:dyDescent="0.3">
      <c r="B105" s="99">
        <v>5</v>
      </c>
      <c r="C105" s="100" t="s">
        <v>1063</v>
      </c>
      <c r="D105" s="101" t="s">
        <v>1064</v>
      </c>
      <c r="E105" s="101"/>
      <c r="F105" s="101"/>
      <c r="G105" s="101"/>
      <c r="H105" s="102">
        <v>1308.44</v>
      </c>
      <c r="I105" s="102">
        <v>1256.69</v>
      </c>
      <c r="J105" s="102" t="s">
        <v>993</v>
      </c>
      <c r="K105" s="99">
        <v>11</v>
      </c>
      <c r="L105" s="107" t="s">
        <v>1001</v>
      </c>
      <c r="M105" s="139"/>
      <c r="N105" s="108"/>
      <c r="O105" s="140">
        <v>440.21899999999999</v>
      </c>
      <c r="P105" s="106">
        <f t="shared" ref="P105:P116" si="16">+ROUND(K105*O105/1000,3)</f>
        <v>4.8419999999999996</v>
      </c>
    </row>
    <row r="106" spans="2:16" ht="15" customHeight="1" x14ac:dyDescent="0.3">
      <c r="B106" s="56">
        <v>5</v>
      </c>
      <c r="C106" s="53" t="s">
        <v>1063</v>
      </c>
      <c r="D106" s="54" t="s">
        <v>1064</v>
      </c>
      <c r="E106" s="54"/>
      <c r="F106" s="54"/>
      <c r="G106" s="54"/>
      <c r="H106" s="55">
        <v>1308.44</v>
      </c>
      <c r="I106" s="55">
        <v>1256.69</v>
      </c>
      <c r="J106" s="55" t="s">
        <v>993</v>
      </c>
      <c r="K106" s="56">
        <v>11</v>
      </c>
      <c r="L106" s="66" t="s">
        <v>1002</v>
      </c>
      <c r="M106" s="67"/>
      <c r="N106" s="68"/>
      <c r="O106" s="89">
        <v>451.74400000000003</v>
      </c>
      <c r="P106" s="62">
        <f t="shared" si="16"/>
        <v>4.9690000000000003</v>
      </c>
    </row>
    <row r="107" spans="2:16" ht="15" customHeight="1" x14ac:dyDescent="0.3">
      <c r="B107" s="56">
        <v>5</v>
      </c>
      <c r="C107" s="53" t="s">
        <v>1063</v>
      </c>
      <c r="D107" s="54" t="s">
        <v>1064</v>
      </c>
      <c r="E107" s="54"/>
      <c r="F107" s="54"/>
      <c r="G107" s="54"/>
      <c r="H107" s="55">
        <v>1308.44</v>
      </c>
      <c r="I107" s="55">
        <v>1256.69</v>
      </c>
      <c r="J107" s="55" t="s">
        <v>993</v>
      </c>
      <c r="K107" s="56">
        <v>11</v>
      </c>
      <c r="L107" s="66" t="s">
        <v>1003</v>
      </c>
      <c r="M107" s="67"/>
      <c r="N107" s="68"/>
      <c r="O107" s="89">
        <v>457.26100000000002</v>
      </c>
      <c r="P107" s="62">
        <f t="shared" si="16"/>
        <v>5.03</v>
      </c>
    </row>
    <row r="108" spans="2:16" ht="15" customHeight="1" x14ac:dyDescent="0.3">
      <c r="B108" s="56">
        <v>5</v>
      </c>
      <c r="C108" s="53" t="s">
        <v>1063</v>
      </c>
      <c r="D108" s="54" t="s">
        <v>1064</v>
      </c>
      <c r="E108" s="54"/>
      <c r="F108" s="54"/>
      <c r="G108" s="54"/>
      <c r="H108" s="55">
        <v>1308.44</v>
      </c>
      <c r="I108" s="55">
        <v>1256.69</v>
      </c>
      <c r="J108" s="55" t="s">
        <v>993</v>
      </c>
      <c r="K108" s="56">
        <v>12</v>
      </c>
      <c r="L108" s="66" t="s">
        <v>1004</v>
      </c>
      <c r="M108" s="67"/>
      <c r="N108" s="68"/>
      <c r="O108" s="89">
        <v>459.529</v>
      </c>
      <c r="P108" s="62">
        <f t="shared" si="16"/>
        <v>5.5140000000000002</v>
      </c>
    </row>
    <row r="109" spans="2:16" ht="15" customHeight="1" x14ac:dyDescent="0.3">
      <c r="B109" s="56">
        <v>5</v>
      </c>
      <c r="C109" s="53" t="s">
        <v>1063</v>
      </c>
      <c r="D109" s="54" t="s">
        <v>1064</v>
      </c>
      <c r="E109" s="54"/>
      <c r="F109" s="54"/>
      <c r="G109" s="54"/>
      <c r="H109" s="55">
        <v>1308.44</v>
      </c>
      <c r="I109" s="55">
        <v>1256.69</v>
      </c>
      <c r="J109" s="55" t="s">
        <v>993</v>
      </c>
      <c r="K109" s="56">
        <v>12</v>
      </c>
      <c r="L109" s="66" t="s">
        <v>1005</v>
      </c>
      <c r="M109" s="67"/>
      <c r="N109" s="68"/>
      <c r="O109" s="89">
        <v>463.57499999999999</v>
      </c>
      <c r="P109" s="62">
        <f t="shared" si="16"/>
        <v>5.5629999999999997</v>
      </c>
    </row>
    <row r="110" spans="2:16" ht="15" customHeight="1" x14ac:dyDescent="0.3">
      <c r="B110" s="109">
        <v>5</v>
      </c>
      <c r="C110" s="110" t="s">
        <v>1063</v>
      </c>
      <c r="D110" s="111" t="s">
        <v>1064</v>
      </c>
      <c r="E110" s="111"/>
      <c r="F110" s="111"/>
      <c r="G110" s="111"/>
      <c r="H110" s="112">
        <v>1308.44</v>
      </c>
      <c r="I110" s="112">
        <v>1256.69</v>
      </c>
      <c r="J110" s="112" t="s">
        <v>993</v>
      </c>
      <c r="K110" s="109">
        <v>12</v>
      </c>
      <c r="L110" s="113" t="s">
        <v>1006</v>
      </c>
      <c r="M110" s="141"/>
      <c r="N110" s="114"/>
      <c r="O110" s="142">
        <v>470.31799999999998</v>
      </c>
      <c r="P110" s="116">
        <f t="shared" si="16"/>
        <v>5.6440000000000001</v>
      </c>
    </row>
    <row r="111" spans="2:16" ht="15" customHeight="1" x14ac:dyDescent="0.3">
      <c r="B111" s="99">
        <v>6</v>
      </c>
      <c r="C111" s="100" t="s">
        <v>1073</v>
      </c>
      <c r="D111" s="101" t="s">
        <v>1074</v>
      </c>
      <c r="E111" s="101"/>
      <c r="F111" s="101"/>
      <c r="G111" s="101"/>
      <c r="H111" s="102">
        <v>1315.19</v>
      </c>
      <c r="I111" s="102">
        <v>1308.44</v>
      </c>
      <c r="J111" s="102" t="s">
        <v>993</v>
      </c>
      <c r="K111" s="99">
        <v>2</v>
      </c>
      <c r="L111" s="107" t="s">
        <v>1001</v>
      </c>
      <c r="M111" s="139"/>
      <c r="N111" s="108"/>
      <c r="O111" s="140">
        <v>440.21899999999999</v>
      </c>
      <c r="P111" s="106">
        <f t="shared" si="16"/>
        <v>0.88</v>
      </c>
    </row>
    <row r="112" spans="2:16" ht="15" customHeight="1" x14ac:dyDescent="0.3">
      <c r="B112" s="56">
        <v>6</v>
      </c>
      <c r="C112" s="53" t="s">
        <v>1073</v>
      </c>
      <c r="D112" s="54" t="s">
        <v>1074</v>
      </c>
      <c r="E112" s="54"/>
      <c r="F112" s="54"/>
      <c r="G112" s="54"/>
      <c r="H112" s="55">
        <v>1315.19</v>
      </c>
      <c r="I112" s="55">
        <v>1308.44</v>
      </c>
      <c r="J112" s="55" t="s">
        <v>993</v>
      </c>
      <c r="K112" s="56">
        <v>2</v>
      </c>
      <c r="L112" s="66" t="s">
        <v>1002</v>
      </c>
      <c r="M112" s="67"/>
      <c r="N112" s="68"/>
      <c r="O112" s="89">
        <v>451.74400000000003</v>
      </c>
      <c r="P112" s="62">
        <f t="shared" si="16"/>
        <v>0.90300000000000002</v>
      </c>
    </row>
    <row r="113" spans="2:31" ht="15" customHeight="1" x14ac:dyDescent="0.3">
      <c r="B113" s="56">
        <v>6</v>
      </c>
      <c r="C113" s="53" t="s">
        <v>1073</v>
      </c>
      <c r="D113" s="54" t="s">
        <v>1074</v>
      </c>
      <c r="E113" s="54"/>
      <c r="F113" s="54"/>
      <c r="G113" s="54"/>
      <c r="H113" s="55">
        <v>1315.19</v>
      </c>
      <c r="I113" s="55">
        <v>1308.44</v>
      </c>
      <c r="J113" s="55" t="s">
        <v>993</v>
      </c>
      <c r="K113" s="56">
        <v>2</v>
      </c>
      <c r="L113" s="66" t="s">
        <v>1003</v>
      </c>
      <c r="M113" s="67"/>
      <c r="N113" s="68"/>
      <c r="O113" s="89">
        <v>457.26100000000002</v>
      </c>
      <c r="P113" s="62">
        <f t="shared" si="16"/>
        <v>0.91500000000000004</v>
      </c>
    </row>
    <row r="114" spans="2:31" ht="15" customHeight="1" x14ac:dyDescent="0.3">
      <c r="B114" s="56">
        <v>6</v>
      </c>
      <c r="C114" s="53" t="s">
        <v>1073</v>
      </c>
      <c r="D114" s="54" t="s">
        <v>1074</v>
      </c>
      <c r="E114" s="54"/>
      <c r="F114" s="54"/>
      <c r="G114" s="54"/>
      <c r="H114" s="55">
        <v>1315.19</v>
      </c>
      <c r="I114" s="55">
        <v>1308.44</v>
      </c>
      <c r="J114" s="55" t="s">
        <v>993</v>
      </c>
      <c r="K114" s="56">
        <v>1</v>
      </c>
      <c r="L114" s="66" t="s">
        <v>1004</v>
      </c>
      <c r="M114" s="67"/>
      <c r="N114" s="68"/>
      <c r="O114" s="89">
        <v>459.529</v>
      </c>
      <c r="P114" s="62">
        <f t="shared" si="16"/>
        <v>0.46</v>
      </c>
    </row>
    <row r="115" spans="2:31" ht="15" customHeight="1" x14ac:dyDescent="0.3">
      <c r="B115" s="56">
        <v>6</v>
      </c>
      <c r="C115" s="53" t="s">
        <v>1073</v>
      </c>
      <c r="D115" s="54" t="s">
        <v>1074</v>
      </c>
      <c r="E115" s="54"/>
      <c r="F115" s="54"/>
      <c r="G115" s="54"/>
      <c r="H115" s="55">
        <v>1315.19</v>
      </c>
      <c r="I115" s="55">
        <v>1308.44</v>
      </c>
      <c r="J115" s="55" t="s">
        <v>993</v>
      </c>
      <c r="K115" s="56">
        <v>1</v>
      </c>
      <c r="L115" s="66" t="s">
        <v>1005</v>
      </c>
      <c r="M115" s="67"/>
      <c r="N115" s="68"/>
      <c r="O115" s="89">
        <v>463.57499999999999</v>
      </c>
      <c r="P115" s="62">
        <f t="shared" si="16"/>
        <v>0.46400000000000002</v>
      </c>
    </row>
    <row r="116" spans="2:31" ht="15" customHeight="1" x14ac:dyDescent="0.3">
      <c r="B116" s="109">
        <v>6</v>
      </c>
      <c r="C116" s="110" t="s">
        <v>1073</v>
      </c>
      <c r="D116" s="111" t="s">
        <v>1074</v>
      </c>
      <c r="E116" s="111"/>
      <c r="F116" s="111"/>
      <c r="G116" s="111"/>
      <c r="H116" s="112">
        <v>1315.19</v>
      </c>
      <c r="I116" s="112">
        <v>1308.44</v>
      </c>
      <c r="J116" s="112" t="s">
        <v>993</v>
      </c>
      <c r="K116" s="109">
        <v>1</v>
      </c>
      <c r="L116" s="113" t="s">
        <v>1006</v>
      </c>
      <c r="M116" s="141"/>
      <c r="N116" s="114"/>
      <c r="O116" s="142">
        <v>470.31799999999998</v>
      </c>
      <c r="P116" s="116">
        <f t="shared" si="16"/>
        <v>0.47</v>
      </c>
    </row>
    <row r="117" spans="2:31" ht="4.95" customHeight="1" x14ac:dyDescent="0.3">
      <c r="B117" s="39"/>
      <c r="C117" s="42"/>
      <c r="D117" s="40"/>
      <c r="E117" s="40"/>
      <c r="F117" s="40"/>
      <c r="G117" s="40"/>
      <c r="H117" s="41"/>
      <c r="I117" s="41"/>
      <c r="J117" s="41"/>
      <c r="K117" s="41"/>
      <c r="L117" s="41"/>
      <c r="M117" s="41"/>
      <c r="N117" s="41"/>
      <c r="O117" s="42"/>
      <c r="P117" s="43"/>
    </row>
    <row r="118" spans="2:31" ht="24.6" customHeight="1" x14ac:dyDescent="0.3"/>
    <row r="119" spans="2:31" ht="30" hidden="1" customHeight="1" x14ac:dyDescent="0.3">
      <c r="B119" s="157" t="s">
        <v>7</v>
      </c>
      <c r="C119" s="169"/>
      <c r="D119" s="157" t="s">
        <v>8</v>
      </c>
      <c r="E119" s="158"/>
      <c r="F119" s="158"/>
      <c r="G119" s="158"/>
      <c r="H119" s="158"/>
      <c r="I119" s="158"/>
      <c r="J119" s="158"/>
      <c r="K119" s="158"/>
      <c r="L119" s="158"/>
      <c r="M119" s="34" t="s">
        <v>9</v>
      </c>
      <c r="N119" s="85" t="s">
        <v>1057</v>
      </c>
      <c r="O119" s="85" t="s">
        <v>1058</v>
      </c>
      <c r="P119" s="35" t="s">
        <v>1059</v>
      </c>
    </row>
    <row r="120" spans="2:31" ht="30" hidden="1" customHeight="1" x14ac:dyDescent="0.3">
      <c r="B120" s="170" t="s">
        <v>140</v>
      </c>
      <c r="C120" s="171"/>
      <c r="D120" s="159" t="str">
        <f>+VLOOKUP(B120,[2]Liste!B:E,2,FALSE)</f>
        <v>Umbrella Arch Yapılması</v>
      </c>
      <c r="E120" s="160"/>
      <c r="F120" s="160"/>
      <c r="G120" s="160"/>
      <c r="H120" s="160"/>
      <c r="I120" s="160"/>
      <c r="J120" s="160"/>
      <c r="K120" s="160"/>
      <c r="L120" s="160"/>
      <c r="M120" s="36" t="str">
        <f>+VLOOKUP(B120,[2]Liste!B:E,3,FALSE)</f>
        <v>m</v>
      </c>
      <c r="N120" s="60">
        <v>0</v>
      </c>
      <c r="O120" s="60">
        <f>+P120-N120</f>
        <v>0</v>
      </c>
      <c r="P120" s="60">
        <f>+SUM(P121:P125)</f>
        <v>0</v>
      </c>
    </row>
    <row r="121" spans="2:31" ht="15" hidden="1" customHeight="1" x14ac:dyDescent="0.3">
      <c r="B121" s="91" t="s">
        <v>981</v>
      </c>
      <c r="C121" s="91" t="s">
        <v>991</v>
      </c>
      <c r="D121" s="92" t="s">
        <v>990</v>
      </c>
      <c r="E121" s="92"/>
      <c r="F121" s="92"/>
      <c r="G121" s="92"/>
      <c r="H121" s="123"/>
      <c r="I121" s="123"/>
      <c r="J121" s="123"/>
      <c r="K121" s="91" t="s">
        <v>989</v>
      </c>
      <c r="L121" s="124"/>
      <c r="M121" s="125"/>
      <c r="N121" s="126"/>
      <c r="O121" s="93" t="s">
        <v>985</v>
      </c>
      <c r="P121" s="93" t="s">
        <v>14</v>
      </c>
    </row>
    <row r="122" spans="2:31" ht="15" hidden="1" customHeight="1" x14ac:dyDescent="0.3">
      <c r="B122" s="22">
        <v>3</v>
      </c>
      <c r="C122" s="131"/>
      <c r="D122" s="132"/>
      <c r="E122" s="132"/>
      <c r="F122" s="132"/>
      <c r="G122" s="132"/>
      <c r="H122" s="133"/>
      <c r="I122" s="133"/>
      <c r="J122" s="133"/>
      <c r="K122" s="22"/>
      <c r="L122" s="134"/>
      <c r="M122" s="48"/>
      <c r="N122" s="48"/>
      <c r="O122" s="143"/>
      <c r="P122" s="71"/>
    </row>
    <row r="123" spans="2:31" ht="15" hidden="1" customHeight="1" x14ac:dyDescent="0.3">
      <c r="B123" s="22">
        <v>3</v>
      </c>
      <c r="C123" s="131"/>
      <c r="D123" s="132"/>
      <c r="E123" s="132"/>
      <c r="F123" s="132"/>
      <c r="G123" s="132"/>
      <c r="H123" s="133"/>
      <c r="I123" s="133"/>
      <c r="J123" s="133"/>
      <c r="K123" s="22"/>
      <c r="L123" s="134"/>
      <c r="M123" s="48"/>
      <c r="N123" s="48"/>
      <c r="O123" s="143"/>
      <c r="P123" s="71"/>
    </row>
    <row r="124" spans="2:31" ht="15" hidden="1" customHeight="1" x14ac:dyDescent="0.3">
      <c r="B124" s="94">
        <v>3</v>
      </c>
      <c r="C124" s="95"/>
      <c r="D124" s="96"/>
      <c r="E124" s="96"/>
      <c r="F124" s="96"/>
      <c r="G124" s="96"/>
      <c r="H124" s="118"/>
      <c r="I124" s="118"/>
      <c r="J124" s="118"/>
      <c r="K124" s="94"/>
      <c r="L124" s="128"/>
      <c r="M124" s="129"/>
      <c r="N124" s="129"/>
      <c r="O124" s="97"/>
      <c r="P124" s="98"/>
    </row>
    <row r="125" spans="2:31" ht="4.95" hidden="1" customHeight="1" x14ac:dyDescent="0.3">
      <c r="B125" s="39"/>
      <c r="C125" s="42"/>
      <c r="D125" s="40"/>
      <c r="E125" s="40"/>
      <c r="F125" s="40"/>
      <c r="G125" s="40"/>
      <c r="H125" s="41"/>
      <c r="I125" s="41"/>
      <c r="J125" s="41"/>
      <c r="K125" s="41"/>
      <c r="L125" s="41"/>
      <c r="M125" s="41"/>
      <c r="N125" s="41"/>
      <c r="O125" s="42"/>
      <c r="P125" s="43"/>
    </row>
    <row r="126" spans="2:31" ht="30" customHeight="1" x14ac:dyDescent="0.3">
      <c r="B126" s="157" t="s">
        <v>7</v>
      </c>
      <c r="C126" s="169"/>
      <c r="D126" s="157" t="s">
        <v>8</v>
      </c>
      <c r="E126" s="158"/>
      <c r="F126" s="158"/>
      <c r="G126" s="158"/>
      <c r="H126" s="158"/>
      <c r="I126" s="158"/>
      <c r="J126" s="158"/>
      <c r="K126" s="158"/>
      <c r="L126" s="158"/>
      <c r="M126" s="34" t="s">
        <v>9</v>
      </c>
      <c r="N126" s="85" t="s">
        <v>1057</v>
      </c>
      <c r="O126" s="85" t="s">
        <v>1058</v>
      </c>
      <c r="P126" s="35" t="s">
        <v>1059</v>
      </c>
    </row>
    <row r="127" spans="2:31" ht="30" customHeight="1" x14ac:dyDescent="0.3">
      <c r="B127" s="170" t="s">
        <v>162</v>
      </c>
      <c r="C127" s="171"/>
      <c r="D127" s="159" t="str">
        <f>+VLOOKUP(B127,[2]Liste!B:E,2,FALSE)</f>
        <v>Çelik Donatı (S220 )</v>
      </c>
      <c r="E127" s="160"/>
      <c r="F127" s="160"/>
      <c r="G127" s="160"/>
      <c r="H127" s="160"/>
      <c r="I127" s="160"/>
      <c r="J127" s="160"/>
      <c r="K127" s="160"/>
      <c r="L127" s="160"/>
      <c r="M127" s="36" t="str">
        <f>+VLOOKUP(B127,[2]Liste!B:E,3,FALSE)</f>
        <v>ton</v>
      </c>
      <c r="N127" s="60">
        <v>1.778</v>
      </c>
      <c r="O127" s="60">
        <f>+P127-N127</f>
        <v>1.4670000000000001</v>
      </c>
      <c r="P127" s="60">
        <f>+ROUND(SUM(P128:P137),3)</f>
        <v>3.2450000000000001</v>
      </c>
      <c r="AA127" s="9">
        <f>+VLOOKUP(B127,[1]Liste!$B$2:$F$483,5,FALSE)</f>
        <v>46250</v>
      </c>
      <c r="AC127" s="9">
        <f>+AA127*N127</f>
        <v>82232.5</v>
      </c>
      <c r="AD127" s="9">
        <f>+AA127*O127</f>
        <v>67848.75</v>
      </c>
      <c r="AE127" s="9">
        <f>+AA127*P127</f>
        <v>150081.25</v>
      </c>
    </row>
    <row r="128" spans="2:31" ht="15" customHeight="1" x14ac:dyDescent="0.3">
      <c r="B128" s="37" t="s">
        <v>981</v>
      </c>
      <c r="C128" s="63" t="s">
        <v>994</v>
      </c>
      <c r="D128" s="52"/>
      <c r="E128" s="52"/>
      <c r="F128" s="52"/>
      <c r="G128" s="52"/>
      <c r="H128" s="52" t="s">
        <v>12</v>
      </c>
      <c r="I128" s="63"/>
      <c r="J128" s="63"/>
      <c r="K128" s="37" t="s">
        <v>989</v>
      </c>
      <c r="L128" s="65" t="s">
        <v>1011</v>
      </c>
      <c r="M128" s="69"/>
      <c r="N128" s="63" t="s">
        <v>995</v>
      </c>
      <c r="O128" s="64" t="s">
        <v>985</v>
      </c>
      <c r="P128" s="38" t="s">
        <v>14</v>
      </c>
    </row>
    <row r="129" spans="2:19" ht="15" customHeight="1" x14ac:dyDescent="0.3">
      <c r="B129" s="56">
        <v>6</v>
      </c>
      <c r="C129" s="76" t="s">
        <v>1012</v>
      </c>
      <c r="D129" s="77"/>
      <c r="E129" s="77"/>
      <c r="F129" s="54"/>
      <c r="G129" s="54"/>
      <c r="H129" s="54" t="s">
        <v>1016</v>
      </c>
      <c r="I129" s="59"/>
      <c r="J129" s="59"/>
      <c r="K129" s="56">
        <v>20</v>
      </c>
      <c r="L129" s="66">
        <f>SUM($K$99:$K$104)</f>
        <v>19</v>
      </c>
      <c r="M129" s="68"/>
      <c r="N129" s="74">
        <v>0.88800000000000001</v>
      </c>
      <c r="O129" s="75">
        <v>1.5</v>
      </c>
      <c r="P129" s="62">
        <f>+ROUND(PRODUCT(K129:O129)/1000,3)</f>
        <v>0.50600000000000001</v>
      </c>
      <c r="S129" s="73"/>
    </row>
    <row r="130" spans="2:19" ht="15" customHeight="1" x14ac:dyDescent="0.3">
      <c r="B130" s="56">
        <v>6</v>
      </c>
      <c r="C130" s="76" t="s">
        <v>1012</v>
      </c>
      <c r="D130" s="77"/>
      <c r="E130" s="77"/>
      <c r="F130" s="54"/>
      <c r="G130" s="54"/>
      <c r="H130" s="54" t="s">
        <v>1016</v>
      </c>
      <c r="I130" s="59"/>
      <c r="J130" s="59"/>
      <c r="K130" s="56">
        <v>20</v>
      </c>
      <c r="L130" s="66">
        <f>SUM($K$105:$K$110)</f>
        <v>69</v>
      </c>
      <c r="M130" s="68"/>
      <c r="N130" s="74">
        <v>0.88800000000000001</v>
      </c>
      <c r="O130" s="75">
        <v>1.5</v>
      </c>
      <c r="P130" s="62">
        <f>+ROUND(PRODUCT(K130:O130)/1000,3)</f>
        <v>1.8380000000000001</v>
      </c>
      <c r="S130" s="73"/>
    </row>
    <row r="131" spans="2:19" ht="15" customHeight="1" x14ac:dyDescent="0.3">
      <c r="B131" s="56">
        <v>6</v>
      </c>
      <c r="C131" s="76" t="s">
        <v>1012</v>
      </c>
      <c r="D131" s="77"/>
      <c r="E131" s="77"/>
      <c r="F131" s="54"/>
      <c r="G131" s="54"/>
      <c r="H131" s="54" t="s">
        <v>1016</v>
      </c>
      <c r="I131" s="59"/>
      <c r="J131" s="59"/>
      <c r="K131" s="56">
        <v>20</v>
      </c>
      <c r="L131" s="66">
        <f>SUM($K$111:$K$116)</f>
        <v>9</v>
      </c>
      <c r="M131" s="68"/>
      <c r="N131" s="74">
        <v>0.88800000000000001</v>
      </c>
      <c r="O131" s="75">
        <v>1.5</v>
      </c>
      <c r="P131" s="62">
        <f>+ROUND(PRODUCT(K131:O131)/1000,3)</f>
        <v>0.24</v>
      </c>
      <c r="S131" s="73"/>
    </row>
    <row r="132" spans="2:19" ht="15" customHeight="1" x14ac:dyDescent="0.3">
      <c r="B132" s="51" t="s">
        <v>1072</v>
      </c>
      <c r="C132" s="78"/>
      <c r="D132" s="45"/>
      <c r="E132" s="45"/>
      <c r="F132" s="45"/>
      <c r="G132" s="45"/>
      <c r="H132" s="46"/>
      <c r="I132" s="46"/>
      <c r="J132" s="46"/>
      <c r="K132" s="47"/>
      <c r="L132" s="47"/>
      <c r="M132" s="48"/>
      <c r="N132" s="48"/>
      <c r="O132" s="49"/>
      <c r="P132" s="50"/>
      <c r="S132" s="73"/>
    </row>
    <row r="133" spans="2:19" ht="15" customHeight="1" x14ac:dyDescent="0.3">
      <c r="B133" s="37" t="s">
        <v>981</v>
      </c>
      <c r="C133" s="63" t="s">
        <v>994</v>
      </c>
      <c r="D133" s="52"/>
      <c r="E133" s="52"/>
      <c r="F133" s="52"/>
      <c r="G133" s="52"/>
      <c r="H133" s="52" t="s">
        <v>12</v>
      </c>
      <c r="I133" s="63"/>
      <c r="J133" s="63"/>
      <c r="K133" s="37" t="s">
        <v>989</v>
      </c>
      <c r="L133" s="65" t="s">
        <v>1011</v>
      </c>
      <c r="M133" s="69"/>
      <c r="N133" s="63" t="s">
        <v>995</v>
      </c>
      <c r="O133" s="64" t="s">
        <v>985</v>
      </c>
      <c r="P133" s="38" t="s">
        <v>14</v>
      </c>
    </row>
    <row r="134" spans="2:19" ht="15" customHeight="1" x14ac:dyDescent="0.3">
      <c r="B134" s="56">
        <v>5</v>
      </c>
      <c r="C134" s="76" t="s">
        <v>1012</v>
      </c>
      <c r="D134" s="77"/>
      <c r="E134" s="77"/>
      <c r="F134" s="54"/>
      <c r="G134" s="54"/>
      <c r="H134" s="54" t="s">
        <v>1015</v>
      </c>
      <c r="I134" s="59"/>
      <c r="J134" s="59"/>
      <c r="K134" s="56">
        <v>6</v>
      </c>
      <c r="L134" s="66">
        <f>SUM($K$99:$K$104)</f>
        <v>19</v>
      </c>
      <c r="M134" s="68"/>
      <c r="N134" s="74">
        <v>1.208</v>
      </c>
      <c r="O134" s="75">
        <v>0.95</v>
      </c>
      <c r="P134" s="62">
        <f t="shared" ref="P134" si="17">+ROUND(PRODUCT(K134:O134)/1000,3)</f>
        <v>0.13100000000000001</v>
      </c>
      <c r="S134" s="73"/>
    </row>
    <row r="135" spans="2:19" ht="15" customHeight="1" x14ac:dyDescent="0.3">
      <c r="B135" s="56">
        <v>5</v>
      </c>
      <c r="C135" s="76" t="s">
        <v>1012</v>
      </c>
      <c r="D135" s="77"/>
      <c r="E135" s="77"/>
      <c r="F135" s="54"/>
      <c r="G135" s="54"/>
      <c r="H135" s="54" t="s">
        <v>1015</v>
      </c>
      <c r="I135" s="59"/>
      <c r="J135" s="59"/>
      <c r="K135" s="56">
        <v>6</v>
      </c>
      <c r="L135" s="66">
        <f>SUM($K$105:$K$110)</f>
        <v>69</v>
      </c>
      <c r="M135" s="68"/>
      <c r="N135" s="74">
        <v>1.208</v>
      </c>
      <c r="O135" s="75">
        <v>0.95</v>
      </c>
      <c r="P135" s="62">
        <f t="shared" ref="P135" si="18">+ROUND(PRODUCT(K135:O135)/1000,3)</f>
        <v>0.47499999999999998</v>
      </c>
      <c r="S135" s="73"/>
    </row>
    <row r="136" spans="2:19" ht="15" customHeight="1" x14ac:dyDescent="0.3">
      <c r="B136" s="56">
        <v>6</v>
      </c>
      <c r="C136" s="76" t="s">
        <v>1012</v>
      </c>
      <c r="D136" s="77"/>
      <c r="E136" s="77"/>
      <c r="F136" s="54"/>
      <c r="G136" s="54"/>
      <c r="H136" s="54" t="s">
        <v>1015</v>
      </c>
      <c r="I136" s="59"/>
      <c r="J136" s="59"/>
      <c r="K136" s="56">
        <v>6</v>
      </c>
      <c r="L136" s="66">
        <v>8</v>
      </c>
      <c r="M136" s="68"/>
      <c r="N136" s="74">
        <v>1.208</v>
      </c>
      <c r="O136" s="75">
        <v>0.95</v>
      </c>
      <c r="P136" s="62">
        <f t="shared" ref="P136" si="19">+ROUND(PRODUCT(K136:O136)/1000,3)</f>
        <v>5.5E-2</v>
      </c>
      <c r="S136" s="73"/>
    </row>
    <row r="137" spans="2:19" ht="4.95" customHeight="1" x14ac:dyDescent="0.3">
      <c r="B137" s="39"/>
      <c r="C137" s="42"/>
      <c r="D137" s="40"/>
      <c r="E137" s="40"/>
      <c r="F137" s="40"/>
      <c r="G137" s="40"/>
      <c r="H137" s="41"/>
      <c r="I137" s="41"/>
      <c r="J137" s="41"/>
      <c r="K137" s="41"/>
      <c r="L137" s="41"/>
      <c r="M137" s="41"/>
      <c r="N137" s="41"/>
      <c r="O137" s="42"/>
      <c r="P137" s="43"/>
    </row>
    <row r="138" spans="2:19" ht="19.95" hidden="1" customHeight="1" x14ac:dyDescent="0.3">
      <c r="C138" s="30"/>
      <c r="D138" s="33"/>
      <c r="E138" s="33"/>
      <c r="F138" s="33"/>
      <c r="G138" s="33"/>
      <c r="H138" s="12"/>
      <c r="I138" s="12"/>
      <c r="J138" s="12"/>
      <c r="K138" s="12"/>
      <c r="L138" s="12"/>
      <c r="M138" s="12"/>
      <c r="N138" s="12"/>
      <c r="O138" s="30"/>
    </row>
    <row r="139" spans="2:19" ht="30" hidden="1" customHeight="1" x14ac:dyDescent="0.3">
      <c r="B139" s="157" t="s">
        <v>7</v>
      </c>
      <c r="C139" s="169"/>
      <c r="D139" s="157" t="s">
        <v>8</v>
      </c>
      <c r="E139" s="158"/>
      <c r="F139" s="158"/>
      <c r="G139" s="158"/>
      <c r="H139" s="158"/>
      <c r="I139" s="158"/>
      <c r="J139" s="158"/>
      <c r="K139" s="158"/>
      <c r="L139" s="158"/>
      <c r="M139" s="34" t="s">
        <v>9</v>
      </c>
      <c r="N139" s="85" t="s">
        <v>1057</v>
      </c>
      <c r="O139" s="85" t="s">
        <v>1058</v>
      </c>
      <c r="P139" s="35" t="s">
        <v>1059</v>
      </c>
    </row>
    <row r="140" spans="2:19" ht="30" hidden="1" customHeight="1" x14ac:dyDescent="0.3">
      <c r="B140" s="170" t="s">
        <v>164</v>
      </c>
      <c r="C140" s="171"/>
      <c r="D140" s="159" t="str">
        <f>+VLOOKUP(B140,Liste!B:E,2,FALSE)</f>
        <v>Çelik Donatı (S420a )</v>
      </c>
      <c r="E140" s="160"/>
      <c r="F140" s="160"/>
      <c r="G140" s="160"/>
      <c r="H140" s="160"/>
      <c r="I140" s="160"/>
      <c r="J140" s="160"/>
      <c r="K140" s="160"/>
      <c r="L140" s="160"/>
      <c r="M140" s="160"/>
      <c r="N140" s="168"/>
      <c r="O140" s="36" t="str">
        <f>+VLOOKUP(B140,Liste!B:E,3,FALSE)</f>
        <v>ton</v>
      </c>
      <c r="P140" s="60">
        <f>+ROUND(SUM(P141:P152),3)</f>
        <v>0</v>
      </c>
    </row>
    <row r="141" spans="2:19" ht="15" hidden="1" customHeight="1" x14ac:dyDescent="0.3">
      <c r="B141" s="51" t="s">
        <v>1014</v>
      </c>
      <c r="C141" s="78"/>
      <c r="D141" s="45"/>
      <c r="E141" s="45"/>
      <c r="F141" s="45"/>
      <c r="G141" s="45"/>
      <c r="H141" s="46"/>
      <c r="I141" s="46"/>
      <c r="J141" s="46"/>
      <c r="K141" s="47"/>
      <c r="L141" s="47"/>
      <c r="M141" s="48"/>
      <c r="N141" s="48"/>
      <c r="O141" s="49"/>
      <c r="P141" s="50"/>
      <c r="S141" s="73"/>
    </row>
    <row r="142" spans="2:19" ht="15" hidden="1" customHeight="1" x14ac:dyDescent="0.3">
      <c r="B142" s="37" t="s">
        <v>981</v>
      </c>
      <c r="C142" s="37" t="s">
        <v>991</v>
      </c>
      <c r="D142" s="52" t="s">
        <v>990</v>
      </c>
      <c r="E142" s="52"/>
      <c r="F142" s="52"/>
      <c r="G142" s="52"/>
      <c r="H142" s="63"/>
      <c r="I142" s="63"/>
      <c r="J142" s="63"/>
      <c r="K142" s="37" t="s">
        <v>989</v>
      </c>
      <c r="L142" s="65" t="s">
        <v>12</v>
      </c>
      <c r="M142" s="69"/>
      <c r="N142" s="63" t="s">
        <v>995</v>
      </c>
      <c r="O142" s="64" t="s">
        <v>985</v>
      </c>
      <c r="P142" s="38" t="s">
        <v>14</v>
      </c>
      <c r="S142" s="73"/>
    </row>
    <row r="143" spans="2:19" ht="15" hidden="1" customHeight="1" x14ac:dyDescent="0.3">
      <c r="B143" s="56">
        <v>3</v>
      </c>
      <c r="C143" s="53" t="s">
        <v>1041</v>
      </c>
      <c r="D143" s="54" t="s">
        <v>1042</v>
      </c>
      <c r="E143" s="54"/>
      <c r="F143" s="54"/>
      <c r="G143" s="54"/>
      <c r="H143" s="59"/>
      <c r="I143" s="59"/>
      <c r="J143" s="59"/>
      <c r="K143" s="56">
        <v>30</v>
      </c>
      <c r="L143" s="66" t="s">
        <v>1043</v>
      </c>
      <c r="M143" s="68"/>
      <c r="N143" s="74">
        <v>0.88800000000000001</v>
      </c>
      <c r="O143" s="75">
        <v>0</v>
      </c>
      <c r="P143" s="62">
        <f t="shared" ref="P143:P148" si="20">+ROUND(PRODUCT(K143:O143)/1000,3)</f>
        <v>0</v>
      </c>
      <c r="S143" s="73"/>
    </row>
    <row r="144" spans="2:19" ht="15" hidden="1" customHeight="1" x14ac:dyDescent="0.3">
      <c r="B144" s="56">
        <v>3</v>
      </c>
      <c r="C144" s="53" t="s">
        <v>1041</v>
      </c>
      <c r="D144" s="54" t="s">
        <v>1042</v>
      </c>
      <c r="E144" s="54"/>
      <c r="F144" s="54"/>
      <c r="G144" s="54"/>
      <c r="H144" s="59"/>
      <c r="I144" s="59"/>
      <c r="J144" s="59"/>
      <c r="K144" s="56">
        <v>30</v>
      </c>
      <c r="L144" s="66" t="s">
        <v>1044</v>
      </c>
      <c r="M144" s="68"/>
      <c r="N144" s="74">
        <v>0.88800000000000001</v>
      </c>
      <c r="O144" s="75">
        <v>0</v>
      </c>
      <c r="P144" s="62">
        <f t="shared" si="20"/>
        <v>0</v>
      </c>
      <c r="S144" s="73"/>
    </row>
    <row r="145" spans="2:31" ht="15" hidden="1" customHeight="1" x14ac:dyDescent="0.3">
      <c r="B145" s="56">
        <v>3</v>
      </c>
      <c r="C145" s="53" t="s">
        <v>1045</v>
      </c>
      <c r="D145" s="54" t="s">
        <v>1046</v>
      </c>
      <c r="E145" s="54"/>
      <c r="F145" s="54"/>
      <c r="G145" s="54"/>
      <c r="H145" s="59"/>
      <c r="I145" s="59"/>
      <c r="J145" s="59"/>
      <c r="K145" s="56">
        <v>30</v>
      </c>
      <c r="L145" s="66" t="s">
        <v>1047</v>
      </c>
      <c r="M145" s="68"/>
      <c r="N145" s="74">
        <v>0.88800000000000001</v>
      </c>
      <c r="O145" s="75">
        <v>0</v>
      </c>
      <c r="P145" s="62">
        <f t="shared" si="20"/>
        <v>0</v>
      </c>
      <c r="S145" s="73"/>
    </row>
    <row r="146" spans="2:31" ht="15" hidden="1" customHeight="1" x14ac:dyDescent="0.3">
      <c r="B146" s="56">
        <v>3</v>
      </c>
      <c r="C146" s="53" t="s">
        <v>1045</v>
      </c>
      <c r="D146" s="54" t="s">
        <v>1046</v>
      </c>
      <c r="E146" s="54"/>
      <c r="F146" s="54"/>
      <c r="G146" s="54"/>
      <c r="H146" s="59"/>
      <c r="I146" s="59"/>
      <c r="J146" s="59"/>
      <c r="K146" s="56">
        <v>30</v>
      </c>
      <c r="L146" s="66" t="s">
        <v>1048</v>
      </c>
      <c r="M146" s="68"/>
      <c r="N146" s="74">
        <v>0.88800000000000001</v>
      </c>
      <c r="O146" s="75">
        <v>0</v>
      </c>
      <c r="P146" s="62">
        <f t="shared" si="20"/>
        <v>0</v>
      </c>
      <c r="S146" s="73"/>
    </row>
    <row r="147" spans="2:31" ht="15" hidden="1" customHeight="1" x14ac:dyDescent="0.3">
      <c r="B147" s="56">
        <v>3</v>
      </c>
      <c r="C147" s="53" t="s">
        <v>1045</v>
      </c>
      <c r="D147" s="54" t="s">
        <v>1046</v>
      </c>
      <c r="E147" s="54"/>
      <c r="F147" s="54"/>
      <c r="G147" s="54"/>
      <c r="H147" s="59"/>
      <c r="I147" s="59"/>
      <c r="J147" s="59"/>
      <c r="K147" s="56">
        <v>30</v>
      </c>
      <c r="L147" s="66" t="s">
        <v>1049</v>
      </c>
      <c r="M147" s="68"/>
      <c r="N147" s="74">
        <v>0.88800000000000001</v>
      </c>
      <c r="O147" s="75">
        <v>0</v>
      </c>
      <c r="P147" s="62">
        <f t="shared" si="20"/>
        <v>0</v>
      </c>
      <c r="S147" s="73"/>
    </row>
    <row r="148" spans="2:31" ht="15" hidden="1" customHeight="1" x14ac:dyDescent="0.3">
      <c r="B148" s="56">
        <v>3</v>
      </c>
      <c r="C148" s="53" t="s">
        <v>1045</v>
      </c>
      <c r="D148" s="54" t="s">
        <v>1046</v>
      </c>
      <c r="E148" s="54"/>
      <c r="F148" s="54"/>
      <c r="G148" s="54"/>
      <c r="H148" s="59"/>
      <c r="I148" s="59"/>
      <c r="J148" s="59"/>
      <c r="K148" s="56">
        <v>30</v>
      </c>
      <c r="L148" s="66" t="s">
        <v>1050</v>
      </c>
      <c r="M148" s="68"/>
      <c r="N148" s="74">
        <v>0.88800000000000001</v>
      </c>
      <c r="O148" s="75">
        <v>0</v>
      </c>
      <c r="P148" s="62">
        <f t="shared" si="20"/>
        <v>0</v>
      </c>
      <c r="S148" s="73"/>
    </row>
    <row r="149" spans="2:31" ht="15" hidden="1" customHeight="1" x14ac:dyDescent="0.3">
      <c r="B149" s="56">
        <v>3</v>
      </c>
      <c r="C149" s="53" t="s">
        <v>1051</v>
      </c>
      <c r="D149" s="54" t="s">
        <v>1052</v>
      </c>
      <c r="E149" s="54"/>
      <c r="F149" s="54"/>
      <c r="G149" s="54"/>
      <c r="H149" s="59"/>
      <c r="I149" s="59"/>
      <c r="J149" s="59"/>
      <c r="K149" s="56">
        <v>30</v>
      </c>
      <c r="L149" s="66" t="s">
        <v>1053</v>
      </c>
      <c r="M149" s="68"/>
      <c r="N149" s="74">
        <v>0.88800000000000001</v>
      </c>
      <c r="O149" s="75">
        <v>0</v>
      </c>
      <c r="P149" s="62">
        <f t="shared" ref="P149:P151" si="21">+ROUND(PRODUCT(K149:O149)/1000,3)</f>
        <v>0</v>
      </c>
      <c r="S149" s="73"/>
    </row>
    <row r="150" spans="2:31" ht="15" hidden="1" customHeight="1" x14ac:dyDescent="0.3">
      <c r="B150" s="56">
        <v>3</v>
      </c>
      <c r="C150" s="53" t="s">
        <v>1051</v>
      </c>
      <c r="D150" s="54" t="s">
        <v>1052</v>
      </c>
      <c r="E150" s="54"/>
      <c r="F150" s="54"/>
      <c r="G150" s="54"/>
      <c r="H150" s="59"/>
      <c r="I150" s="59"/>
      <c r="J150" s="59"/>
      <c r="K150" s="56">
        <v>30</v>
      </c>
      <c r="L150" s="66" t="s">
        <v>1054</v>
      </c>
      <c r="M150" s="68"/>
      <c r="N150" s="74">
        <v>0.88800000000000001</v>
      </c>
      <c r="O150" s="75">
        <v>0</v>
      </c>
      <c r="P150" s="62">
        <f t="shared" si="21"/>
        <v>0</v>
      </c>
      <c r="S150" s="73"/>
    </row>
    <row r="151" spans="2:31" ht="15" hidden="1" customHeight="1" x14ac:dyDescent="0.3">
      <c r="B151" s="56">
        <v>3</v>
      </c>
      <c r="C151" s="53" t="s">
        <v>1051</v>
      </c>
      <c r="D151" s="54" t="s">
        <v>1052</v>
      </c>
      <c r="E151" s="54"/>
      <c r="F151" s="54"/>
      <c r="G151" s="54"/>
      <c r="H151" s="59"/>
      <c r="I151" s="59"/>
      <c r="J151" s="59"/>
      <c r="K151" s="56">
        <v>30</v>
      </c>
      <c r="L151" s="66" t="s">
        <v>1055</v>
      </c>
      <c r="M151" s="68"/>
      <c r="N151" s="74">
        <v>0.88800000000000001</v>
      </c>
      <c r="O151" s="75">
        <v>0</v>
      </c>
      <c r="P151" s="62">
        <f t="shared" si="21"/>
        <v>0</v>
      </c>
      <c r="S151" s="73"/>
    </row>
    <row r="152" spans="2:31" ht="4.95" hidden="1" customHeight="1" x14ac:dyDescent="0.3">
      <c r="B152" s="39"/>
      <c r="C152" s="42"/>
      <c r="D152" s="40"/>
      <c r="E152" s="40"/>
      <c r="F152" s="40"/>
      <c r="G152" s="40"/>
      <c r="H152" s="41"/>
      <c r="I152" s="41"/>
      <c r="J152" s="41"/>
      <c r="K152" s="41"/>
      <c r="L152" s="41"/>
      <c r="M152" s="41"/>
      <c r="N152" s="41"/>
      <c r="O152" s="42"/>
      <c r="P152" s="43"/>
    </row>
    <row r="153" spans="2:31" ht="15" customHeight="1" x14ac:dyDescent="0.3">
      <c r="C153" s="30"/>
      <c r="D153" s="33"/>
      <c r="E153" s="33"/>
      <c r="F153" s="33"/>
      <c r="G153" s="33"/>
      <c r="H153" s="12"/>
      <c r="I153" s="12"/>
      <c r="J153" s="12"/>
      <c r="K153" s="12"/>
      <c r="L153" s="12"/>
      <c r="M153" s="12"/>
      <c r="N153" s="12"/>
      <c r="O153" s="30"/>
    </row>
    <row r="154" spans="2:31" ht="30" customHeight="1" x14ac:dyDescent="0.3">
      <c r="B154" s="157" t="s">
        <v>7</v>
      </c>
      <c r="C154" s="169"/>
      <c r="D154" s="157" t="s">
        <v>8</v>
      </c>
      <c r="E154" s="158"/>
      <c r="F154" s="158"/>
      <c r="G154" s="158"/>
      <c r="H154" s="158"/>
      <c r="I154" s="158"/>
      <c r="J154" s="158"/>
      <c r="K154" s="158"/>
      <c r="L154" s="158"/>
      <c r="M154" s="34" t="s">
        <v>9</v>
      </c>
      <c r="N154" s="85" t="s">
        <v>1057</v>
      </c>
      <c r="O154" s="85" t="s">
        <v>1058</v>
      </c>
      <c r="P154" s="35" t="s">
        <v>1059</v>
      </c>
    </row>
    <row r="155" spans="2:31" ht="30" customHeight="1" x14ac:dyDescent="0.3">
      <c r="B155" s="170" t="s">
        <v>166</v>
      </c>
      <c r="C155" s="171"/>
      <c r="D155" s="159" t="str">
        <f>+VLOOKUP(B155,[2]Liste!B:E,2,FALSE)</f>
        <v>Çelik hasır (S500 )</v>
      </c>
      <c r="E155" s="160"/>
      <c r="F155" s="160"/>
      <c r="G155" s="160"/>
      <c r="H155" s="160"/>
      <c r="I155" s="160"/>
      <c r="J155" s="160"/>
      <c r="K155" s="160"/>
      <c r="L155" s="160"/>
      <c r="M155" s="36" t="str">
        <f>+VLOOKUP(B155,[2]Liste!B:E,3,FALSE)</f>
        <v>ton</v>
      </c>
      <c r="N155" s="60">
        <v>10.364000000000001</v>
      </c>
      <c r="O155" s="60">
        <f>+P155-N155</f>
        <v>1.0349999999999984</v>
      </c>
      <c r="P155" s="60">
        <f>+ROUND(SUM(P156:P164),3)</f>
        <v>11.398999999999999</v>
      </c>
      <c r="AA155" s="9">
        <f>+VLOOKUP(B155,[1]Liste!$B$2:$F$483,5,FALSE)</f>
        <v>97333</v>
      </c>
      <c r="AC155" s="9">
        <f>+AA155*N155</f>
        <v>1008759.2120000001</v>
      </c>
      <c r="AD155" s="9">
        <f>+AA155*O155</f>
        <v>100739.65499999984</v>
      </c>
      <c r="AE155" s="9">
        <f>+AA155*P155</f>
        <v>1109498.8669999999</v>
      </c>
    </row>
    <row r="156" spans="2:31" ht="15" customHeight="1" x14ac:dyDescent="0.3">
      <c r="B156" s="51" t="s">
        <v>1072</v>
      </c>
      <c r="C156" s="78"/>
      <c r="D156" s="45"/>
      <c r="E156" s="45"/>
      <c r="F156" s="45"/>
      <c r="G156" s="45"/>
      <c r="H156" s="46"/>
      <c r="I156" s="46"/>
      <c r="J156" s="46"/>
      <c r="K156" s="47"/>
      <c r="L156" s="47"/>
      <c r="M156" s="48"/>
      <c r="N156" s="48"/>
      <c r="O156" s="49"/>
      <c r="P156" s="50"/>
    </row>
    <row r="157" spans="2:31" ht="15" customHeight="1" x14ac:dyDescent="0.3">
      <c r="B157" s="91" t="s">
        <v>981</v>
      </c>
      <c r="C157" s="91" t="s">
        <v>991</v>
      </c>
      <c r="D157" s="92" t="s">
        <v>990</v>
      </c>
      <c r="E157" s="92"/>
      <c r="F157" s="92"/>
      <c r="G157" s="92"/>
      <c r="H157" s="91" t="s">
        <v>988</v>
      </c>
      <c r="I157" s="91" t="s">
        <v>987</v>
      </c>
      <c r="J157" s="91" t="s">
        <v>992</v>
      </c>
      <c r="K157" s="91" t="s">
        <v>989</v>
      </c>
      <c r="L157" s="124"/>
      <c r="M157" s="126" t="s">
        <v>985</v>
      </c>
      <c r="N157" s="127"/>
      <c r="O157" s="93" t="s">
        <v>1018</v>
      </c>
      <c r="P157" s="93" t="s">
        <v>14</v>
      </c>
    </row>
    <row r="158" spans="2:31" ht="15" customHeight="1" x14ac:dyDescent="0.3">
      <c r="B158" s="22">
        <v>5</v>
      </c>
      <c r="C158" s="131" t="s">
        <v>1061</v>
      </c>
      <c r="D158" s="132" t="s">
        <v>1062</v>
      </c>
      <c r="E158" s="132"/>
      <c r="F158" s="132"/>
      <c r="G158" s="132"/>
      <c r="H158" s="55">
        <v>1256.69</v>
      </c>
      <c r="I158" s="55">
        <v>1242.56</v>
      </c>
      <c r="J158" s="144" t="s">
        <v>993</v>
      </c>
      <c r="K158" s="22">
        <v>1</v>
      </c>
      <c r="L158" s="134"/>
      <c r="M158" s="145">
        <f>H158-I158</f>
        <v>14.130000000000109</v>
      </c>
      <c r="N158" s="146"/>
      <c r="O158" s="143">
        <f>115.022/0.75</f>
        <v>153.36266666666668</v>
      </c>
      <c r="P158" s="71">
        <f>+ROUND(PRODUCT(K158:O158)/1000,3)</f>
        <v>2.1669999999999998</v>
      </c>
    </row>
    <row r="159" spans="2:31" ht="15" customHeight="1" x14ac:dyDescent="0.3">
      <c r="B159" s="22">
        <v>5</v>
      </c>
      <c r="C159" s="131" t="s">
        <v>1063</v>
      </c>
      <c r="D159" s="132" t="s">
        <v>1064</v>
      </c>
      <c r="E159" s="132"/>
      <c r="F159" s="132"/>
      <c r="G159" s="132"/>
      <c r="H159" s="55">
        <v>1308.44</v>
      </c>
      <c r="I159" s="55">
        <v>1256.69</v>
      </c>
      <c r="J159" s="144" t="s">
        <v>993</v>
      </c>
      <c r="K159" s="22">
        <v>1</v>
      </c>
      <c r="L159" s="134"/>
      <c r="M159" s="145">
        <f>H159-I159</f>
        <v>51.75</v>
      </c>
      <c r="N159" s="146"/>
      <c r="O159" s="143">
        <f>115.022/0.75</f>
        <v>153.36266666666668</v>
      </c>
      <c r="P159" s="71">
        <f>+ROUND(PRODUCT(K159:O159)/1000,3)</f>
        <v>7.9370000000000003</v>
      </c>
    </row>
    <row r="160" spans="2:31" ht="15" customHeight="1" x14ac:dyDescent="0.3">
      <c r="B160" s="22">
        <v>6</v>
      </c>
      <c r="C160" s="131" t="s">
        <v>1073</v>
      </c>
      <c r="D160" s="132" t="s">
        <v>1074</v>
      </c>
      <c r="E160" s="132"/>
      <c r="F160" s="132"/>
      <c r="G160" s="132"/>
      <c r="H160" s="55">
        <v>1315.19</v>
      </c>
      <c r="I160" s="55">
        <v>1308.44</v>
      </c>
      <c r="J160" s="144" t="s">
        <v>993</v>
      </c>
      <c r="K160" s="22">
        <v>1</v>
      </c>
      <c r="L160" s="134"/>
      <c r="M160" s="145">
        <f>H160-I160</f>
        <v>6.75</v>
      </c>
      <c r="N160" s="146"/>
      <c r="O160" s="143">
        <f>115.022/0.75</f>
        <v>153.36266666666668</v>
      </c>
      <c r="P160" s="71">
        <f>+ROUND(PRODUCT(K160:O160)/1000,3)</f>
        <v>1.0349999999999999</v>
      </c>
    </row>
    <row r="161" spans="2:16" ht="15" customHeight="1" x14ac:dyDescent="0.3">
      <c r="B161" s="51" t="s">
        <v>1009</v>
      </c>
      <c r="C161" s="78"/>
      <c r="D161" s="45"/>
      <c r="E161" s="45"/>
      <c r="F161" s="45"/>
      <c r="G161" s="45"/>
      <c r="H161" s="46"/>
      <c r="I161" s="46"/>
      <c r="J161" s="46"/>
      <c r="K161" s="47"/>
      <c r="L161" s="47"/>
      <c r="M161" s="48"/>
      <c r="N161" s="48"/>
      <c r="O161" s="49"/>
      <c r="P161" s="50"/>
    </row>
    <row r="162" spans="2:16" ht="60" customHeight="1" x14ac:dyDescent="0.3">
      <c r="B162" s="91" t="s">
        <v>981</v>
      </c>
      <c r="C162" s="91" t="s">
        <v>991</v>
      </c>
      <c r="D162" s="92" t="s">
        <v>996</v>
      </c>
      <c r="E162" s="92"/>
      <c r="F162" s="92"/>
      <c r="G162" s="92"/>
      <c r="H162" s="117"/>
      <c r="I162" s="123"/>
      <c r="J162" s="91" t="s">
        <v>992</v>
      </c>
      <c r="K162" s="91" t="s">
        <v>989</v>
      </c>
      <c r="L162" s="91" t="s">
        <v>1008</v>
      </c>
      <c r="M162" s="93" t="s">
        <v>983</v>
      </c>
      <c r="N162" s="93" t="s">
        <v>1010</v>
      </c>
      <c r="O162" s="93" t="s">
        <v>1022</v>
      </c>
      <c r="P162" s="93" t="s">
        <v>14</v>
      </c>
    </row>
    <row r="163" spans="2:16" ht="30" customHeight="1" x14ac:dyDescent="0.3">
      <c r="B163" s="56">
        <v>5</v>
      </c>
      <c r="C163" s="131" t="s">
        <v>1061</v>
      </c>
      <c r="D163" s="165" t="s">
        <v>1007</v>
      </c>
      <c r="E163" s="166"/>
      <c r="F163" s="166"/>
      <c r="G163" s="166"/>
      <c r="H163" s="166"/>
      <c r="I163" s="167"/>
      <c r="J163" s="55" t="s">
        <v>993</v>
      </c>
      <c r="K163" s="56">
        <v>1</v>
      </c>
      <c r="L163" s="56" t="s">
        <v>1056</v>
      </c>
      <c r="M163" s="57"/>
      <c r="N163" s="72">
        <v>0.13</v>
      </c>
      <c r="O163" s="70">
        <v>1997.87</v>
      </c>
      <c r="P163" s="62">
        <f t="shared" ref="P163" si="22">+ROUND(PRODUCT(M163:O163)*K163/1000,3)</f>
        <v>0.26</v>
      </c>
    </row>
    <row r="164" spans="2:16" ht="4.95" customHeight="1" x14ac:dyDescent="0.3">
      <c r="B164" s="39"/>
      <c r="C164" s="42"/>
      <c r="D164" s="40"/>
      <c r="E164" s="40"/>
      <c r="F164" s="40"/>
      <c r="G164" s="40"/>
      <c r="H164" s="41"/>
      <c r="I164" s="41"/>
      <c r="J164" s="41"/>
      <c r="K164" s="41"/>
      <c r="L164" s="41"/>
      <c r="M164" s="41"/>
      <c r="N164" s="41"/>
      <c r="O164" s="42"/>
      <c r="P164" s="43"/>
    </row>
    <row r="165" spans="2:16" ht="15" customHeight="1" x14ac:dyDescent="0.3">
      <c r="C165" s="30"/>
      <c r="D165" s="33"/>
      <c r="E165" s="33"/>
      <c r="F165" s="33"/>
      <c r="G165" s="33"/>
      <c r="H165" s="12"/>
      <c r="I165" s="12"/>
      <c r="J165" s="12"/>
      <c r="K165" s="12"/>
      <c r="L165" s="12"/>
      <c r="M165" s="12"/>
      <c r="N165" s="12"/>
      <c r="O165" s="30"/>
    </row>
    <row r="166" spans="2:16" ht="15" customHeight="1" x14ac:dyDescent="0.3">
      <c r="C166" s="30"/>
      <c r="D166" s="33"/>
      <c r="E166" s="33"/>
      <c r="F166" s="33"/>
      <c r="G166" s="33"/>
      <c r="H166" s="12"/>
      <c r="I166" s="12"/>
      <c r="J166" s="12"/>
      <c r="K166" s="12"/>
      <c r="L166" s="12"/>
      <c r="M166" s="12"/>
      <c r="N166" s="12"/>
      <c r="O166" s="30"/>
    </row>
    <row r="167" spans="2:16" ht="15" customHeight="1" x14ac:dyDescent="0.3">
      <c r="C167" s="30"/>
      <c r="D167" s="33"/>
      <c r="E167" s="33"/>
      <c r="F167" s="33"/>
      <c r="G167" s="33"/>
      <c r="H167" s="12"/>
      <c r="I167" s="12"/>
      <c r="J167" s="12"/>
      <c r="K167" s="12"/>
      <c r="L167" s="12"/>
      <c r="M167" s="12"/>
      <c r="N167" s="12"/>
      <c r="O167" s="30"/>
    </row>
    <row r="168" spans="2:16" ht="15" customHeight="1" x14ac:dyDescent="0.3">
      <c r="C168" s="30"/>
      <c r="D168" s="33"/>
      <c r="E168" s="33"/>
      <c r="F168" s="33"/>
      <c r="G168" s="33"/>
      <c r="H168" s="12"/>
      <c r="I168" s="12"/>
      <c r="J168" s="12"/>
      <c r="K168" s="12"/>
      <c r="L168" s="12"/>
      <c r="M168" s="12"/>
      <c r="N168" s="12"/>
      <c r="O168" s="30"/>
    </row>
    <row r="169" spans="2:16" ht="15" customHeight="1" x14ac:dyDescent="0.3">
      <c r="C169" s="30"/>
      <c r="D169" s="33"/>
      <c r="E169" s="33"/>
      <c r="F169" s="33"/>
      <c r="G169" s="33"/>
      <c r="H169" s="12"/>
      <c r="I169" s="12"/>
      <c r="J169" s="12"/>
      <c r="K169" s="12"/>
      <c r="L169" s="12"/>
      <c r="M169" s="12"/>
      <c r="N169" s="12"/>
      <c r="O169" s="30"/>
    </row>
    <row r="170" spans="2:16" ht="15" customHeight="1" x14ac:dyDescent="0.3">
      <c r="C170" s="30"/>
      <c r="D170" s="33"/>
      <c r="E170" s="33"/>
      <c r="F170" s="33"/>
      <c r="G170" s="33"/>
      <c r="H170" s="12"/>
      <c r="I170" s="12"/>
      <c r="J170" s="12"/>
      <c r="K170" s="12"/>
      <c r="L170" s="12"/>
      <c r="M170" s="12"/>
      <c r="N170" s="12"/>
      <c r="O170" s="30"/>
    </row>
    <row r="171" spans="2:16" ht="15" customHeight="1" x14ac:dyDescent="0.3">
      <c r="C171" s="30"/>
      <c r="D171" s="33"/>
      <c r="E171" s="33"/>
      <c r="F171" s="33"/>
      <c r="G171" s="33"/>
      <c r="H171" s="12"/>
      <c r="I171" s="12"/>
      <c r="J171" s="12"/>
      <c r="K171" s="12"/>
      <c r="L171" s="12"/>
      <c r="M171" s="12"/>
      <c r="N171" s="12"/>
      <c r="O171" s="30"/>
    </row>
    <row r="172" spans="2:16" ht="15" customHeight="1" x14ac:dyDescent="0.3">
      <c r="C172" s="30"/>
      <c r="D172" s="33"/>
      <c r="E172" s="33"/>
      <c r="F172" s="33"/>
      <c r="G172" s="33"/>
      <c r="H172" s="12"/>
      <c r="I172" s="12"/>
      <c r="J172" s="12"/>
      <c r="K172" s="12"/>
      <c r="L172" s="12"/>
      <c r="M172" s="12"/>
      <c r="N172" s="12"/>
      <c r="O172" s="30"/>
    </row>
    <row r="173" spans="2:16" ht="15" customHeight="1" x14ac:dyDescent="0.3">
      <c r="C173" s="30"/>
      <c r="D173" s="33"/>
      <c r="E173" s="33"/>
      <c r="F173" s="33"/>
      <c r="G173" s="33"/>
      <c r="H173" s="12"/>
      <c r="I173" s="12"/>
      <c r="J173" s="12"/>
      <c r="K173" s="12"/>
      <c r="L173" s="12"/>
      <c r="M173" s="12"/>
      <c r="N173" s="12"/>
      <c r="O173" s="30"/>
    </row>
    <row r="175" spans="2:16" ht="15" customHeight="1" x14ac:dyDescent="0.3">
      <c r="B175" s="163"/>
      <c r="C175" s="163"/>
      <c r="D175" s="163"/>
      <c r="E175" s="163"/>
      <c r="F175" s="163"/>
      <c r="G175" s="163"/>
      <c r="H175" s="164"/>
      <c r="I175" s="164"/>
      <c r="J175" s="164"/>
      <c r="K175" s="164"/>
      <c r="L175" s="164"/>
      <c r="M175" s="163"/>
      <c r="N175" s="163"/>
      <c r="O175" s="163"/>
      <c r="P175" s="163"/>
    </row>
    <row r="176" spans="2:16" ht="15" customHeight="1" x14ac:dyDescent="0.3">
      <c r="B176" s="161"/>
      <c r="C176" s="161"/>
      <c r="D176" s="161"/>
      <c r="E176" s="161"/>
      <c r="F176" s="161"/>
      <c r="G176" s="161"/>
      <c r="H176" s="162"/>
      <c r="I176" s="162"/>
      <c r="J176" s="162"/>
      <c r="K176" s="162"/>
      <c r="L176" s="162"/>
      <c r="M176" s="162"/>
      <c r="N176" s="162"/>
      <c r="O176" s="162"/>
      <c r="P176" s="162"/>
    </row>
    <row r="177" spans="2:16" ht="15" customHeight="1" x14ac:dyDescent="0.3">
      <c r="B177" s="30"/>
      <c r="C177" s="30"/>
      <c r="D177" s="30"/>
      <c r="E177" s="30"/>
      <c r="F177" s="30"/>
      <c r="G177" s="30"/>
      <c r="H177" s="31"/>
      <c r="I177" s="31"/>
      <c r="J177" s="31"/>
      <c r="K177" s="32"/>
      <c r="L177" s="32"/>
      <c r="M177" s="162"/>
      <c r="N177" s="162"/>
      <c r="O177" s="162"/>
      <c r="P177" s="162"/>
    </row>
    <row r="178" spans="2:16" ht="15" customHeight="1" x14ac:dyDescent="0.3">
      <c r="M178" s="162"/>
      <c r="N178" s="162"/>
      <c r="O178" s="162"/>
      <c r="P178" s="162"/>
    </row>
    <row r="187" spans="2:16" ht="15" customHeight="1" x14ac:dyDescent="0.3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</row>
    <row r="188" spans="2:16" ht="15" customHeight="1" x14ac:dyDescent="0.3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</row>
  </sheetData>
  <mergeCells count="56">
    <mergeCell ref="A11:Q11"/>
    <mergeCell ref="D14:E14"/>
    <mergeCell ref="B16:C16"/>
    <mergeCell ref="B17:C17"/>
    <mergeCell ref="A2:Q2"/>
    <mergeCell ref="A3:Q3"/>
    <mergeCell ref="A4:Q4"/>
    <mergeCell ref="A7:Q7"/>
    <mergeCell ref="A9:Q9"/>
    <mergeCell ref="D16:L16"/>
    <mergeCell ref="D17:L17"/>
    <mergeCell ref="B46:C46"/>
    <mergeCell ref="B76:C76"/>
    <mergeCell ref="B77:C77"/>
    <mergeCell ref="B155:C155"/>
    <mergeCell ref="B119:C119"/>
    <mergeCell ref="B95:C95"/>
    <mergeCell ref="B96:C96"/>
    <mergeCell ref="B84:C84"/>
    <mergeCell ref="B85:C85"/>
    <mergeCell ref="B154:C154"/>
    <mergeCell ref="B120:C120"/>
    <mergeCell ref="B140:C140"/>
    <mergeCell ref="B139:C139"/>
    <mergeCell ref="B127:C127"/>
    <mergeCell ref="B126:C126"/>
    <mergeCell ref="B47:C47"/>
    <mergeCell ref="D120:L120"/>
    <mergeCell ref="D127:L127"/>
    <mergeCell ref="D155:L155"/>
    <mergeCell ref="D163:I163"/>
    <mergeCell ref="D154:L154"/>
    <mergeCell ref="D126:L126"/>
    <mergeCell ref="D139:L139"/>
    <mergeCell ref="D140:N140"/>
    <mergeCell ref="M188:P188"/>
    <mergeCell ref="M176:P178"/>
    <mergeCell ref="M187:P187"/>
    <mergeCell ref="M175:P175"/>
    <mergeCell ref="B188:G188"/>
    <mergeCell ref="H188:L188"/>
    <mergeCell ref="B175:G175"/>
    <mergeCell ref="H175:L175"/>
    <mergeCell ref="B176:G176"/>
    <mergeCell ref="H176:L176"/>
    <mergeCell ref="B187:G187"/>
    <mergeCell ref="H187:L187"/>
    <mergeCell ref="D119:L119"/>
    <mergeCell ref="D77:L77"/>
    <mergeCell ref="D85:L85"/>
    <mergeCell ref="D96:L96"/>
    <mergeCell ref="D46:L46"/>
    <mergeCell ref="D47:L47"/>
    <mergeCell ref="D76:L76"/>
    <mergeCell ref="D84:L84"/>
    <mergeCell ref="D95:L95"/>
  </mergeCells>
  <phoneticPr fontId="13" type="noConversion"/>
  <pageMargins left="0.43307086614173229" right="0.23622047244094491" top="0.35433070866141736" bottom="0.98425196850393704" header="0.31496062992125984" footer="0.31496062992125984"/>
  <pageSetup paperSize="9" scale="54" fitToHeight="0" orientation="portrait" r:id="rId1"/>
  <headerFooter>
    <oddFooter>&amp;C&amp;G</oddFooter>
  </headerFooter>
  <rowBreaks count="2" manualBreakCount="2">
    <brk id="94" max="16" man="1"/>
    <brk id="164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H485" sqref="H485"/>
    </sheetView>
  </sheetViews>
  <sheetFormatPr defaultColWidth="8.88671875"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664062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10</v>
      </c>
      <c r="B1" s="18" t="s">
        <v>11</v>
      </c>
      <c r="C1" s="18" t="s">
        <v>12</v>
      </c>
      <c r="D1" s="19" t="s">
        <v>13</v>
      </c>
      <c r="E1" s="19" t="s">
        <v>14</v>
      </c>
      <c r="F1" s="19" t="s">
        <v>15</v>
      </c>
      <c r="G1" s="19" t="s">
        <v>16</v>
      </c>
    </row>
    <row r="2" spans="1:7" hidden="1" x14ac:dyDescent="0.3">
      <c r="A2" s="20">
        <v>1</v>
      </c>
      <c r="B2" s="21" t="s">
        <v>17</v>
      </c>
      <c r="C2" s="20" t="s">
        <v>18</v>
      </c>
      <c r="D2" s="22" t="s">
        <v>19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20</v>
      </c>
      <c r="C3" s="20" t="s">
        <v>21</v>
      </c>
      <c r="D3" s="22" t="s">
        <v>22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23</v>
      </c>
      <c r="C4" s="20" t="s">
        <v>24</v>
      </c>
      <c r="D4" s="22" t="s">
        <v>22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25</v>
      </c>
      <c r="C5" s="20" t="s">
        <v>26</v>
      </c>
      <c r="D5" s="22" t="s">
        <v>22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27</v>
      </c>
      <c r="C6" s="20" t="s">
        <v>28</v>
      </c>
      <c r="D6" s="22" t="s">
        <v>22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29</v>
      </c>
      <c r="C7" s="20" t="s">
        <v>30</v>
      </c>
      <c r="D7" s="22" t="s">
        <v>22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31</v>
      </c>
      <c r="C8" s="20" t="s">
        <v>32</v>
      </c>
      <c r="D8" s="22" t="s">
        <v>22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33</v>
      </c>
      <c r="C9" s="20" t="s">
        <v>34</v>
      </c>
      <c r="D9" s="22" t="s">
        <v>22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35</v>
      </c>
      <c r="C10" s="20" t="s">
        <v>36</v>
      </c>
      <c r="D10" s="22" t="s">
        <v>37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38</v>
      </c>
      <c r="C11" s="20" t="s">
        <v>39</v>
      </c>
      <c r="D11" s="22" t="s">
        <v>37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40</v>
      </c>
      <c r="C12" s="20" t="s">
        <v>41</v>
      </c>
      <c r="D12" s="22" t="s">
        <v>42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43</v>
      </c>
      <c r="C13" s="20" t="s">
        <v>44</v>
      </c>
      <c r="D13" s="22" t="s">
        <v>42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45</v>
      </c>
      <c r="C14" s="20" t="s">
        <v>46</v>
      </c>
      <c r="D14" s="22" t="s">
        <v>42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47</v>
      </c>
      <c r="C15" s="20" t="s">
        <v>48</v>
      </c>
      <c r="D15" s="22" t="s">
        <v>42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49</v>
      </c>
      <c r="C16" s="20" t="s">
        <v>50</v>
      </c>
      <c r="D16" s="22" t="s">
        <v>19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51</v>
      </c>
      <c r="C17" s="20" t="s">
        <v>52</v>
      </c>
      <c r="D17" s="22" t="s">
        <v>22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53</v>
      </c>
      <c r="C18" s="20" t="s">
        <v>54</v>
      </c>
      <c r="D18" s="22" t="s">
        <v>22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55</v>
      </c>
      <c r="C19" s="20" t="s">
        <v>56</v>
      </c>
      <c r="D19" s="22" t="s">
        <v>57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58</v>
      </c>
      <c r="C20" s="20" t="s">
        <v>59</v>
      </c>
      <c r="D20" s="22" t="s">
        <v>57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60</v>
      </c>
      <c r="C21" s="20" t="s">
        <v>61</v>
      </c>
      <c r="D21" s="22" t="s">
        <v>19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62</v>
      </c>
      <c r="C22" s="20" t="s">
        <v>63</v>
      </c>
      <c r="D22" s="22" t="s">
        <v>19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64</v>
      </c>
      <c r="C23" s="20" t="s">
        <v>65</v>
      </c>
      <c r="D23" s="22" t="s">
        <v>19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66</v>
      </c>
      <c r="C24" s="20" t="s">
        <v>67</v>
      </c>
      <c r="D24" s="22" t="s">
        <v>37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68</v>
      </c>
      <c r="C25" s="20" t="s">
        <v>69</v>
      </c>
      <c r="D25" s="22" t="s">
        <v>19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70</v>
      </c>
      <c r="C26" s="20" t="s">
        <v>71</v>
      </c>
      <c r="D26" s="22" t="s">
        <v>19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72</v>
      </c>
      <c r="C27" s="20" t="s">
        <v>73</v>
      </c>
      <c r="D27" s="22" t="s">
        <v>19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74</v>
      </c>
      <c r="C28" s="20" t="s">
        <v>75</v>
      </c>
      <c r="D28" s="22" t="s">
        <v>19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76</v>
      </c>
      <c r="C29" s="20" t="s">
        <v>77</v>
      </c>
      <c r="D29" s="22" t="s">
        <v>19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78</v>
      </c>
      <c r="C30" s="20" t="s">
        <v>79</v>
      </c>
      <c r="D30" s="22" t="s">
        <v>19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80</v>
      </c>
      <c r="C31" s="20" t="s">
        <v>81</v>
      </c>
      <c r="D31" s="22" t="s">
        <v>82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83</v>
      </c>
      <c r="C32" s="20" t="s">
        <v>84</v>
      </c>
      <c r="D32" s="22" t="s">
        <v>82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85</v>
      </c>
      <c r="C33" s="20" t="s">
        <v>86</v>
      </c>
      <c r="D33" s="22" t="s">
        <v>82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87</v>
      </c>
      <c r="C34" s="20" t="s">
        <v>88</v>
      </c>
      <c r="D34" s="22" t="s">
        <v>82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89</v>
      </c>
      <c r="C35" s="20" t="s">
        <v>90</v>
      </c>
      <c r="D35" s="22" t="s">
        <v>19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91</v>
      </c>
      <c r="C36" s="20" t="s">
        <v>92</v>
      </c>
      <c r="D36" s="22" t="s">
        <v>19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93</v>
      </c>
      <c r="C37" s="20" t="s">
        <v>94</v>
      </c>
      <c r="D37" s="22" t="s">
        <v>19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95</v>
      </c>
      <c r="C38" s="20" t="s">
        <v>96</v>
      </c>
      <c r="D38" s="22" t="s">
        <v>19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97</v>
      </c>
      <c r="C39" s="20" t="s">
        <v>98</v>
      </c>
      <c r="D39" s="22" t="s">
        <v>82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99</v>
      </c>
      <c r="C40" s="20" t="s">
        <v>100</v>
      </c>
      <c r="D40" s="22" t="s">
        <v>82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101</v>
      </c>
      <c r="C41" s="20" t="s">
        <v>102</v>
      </c>
      <c r="D41" s="22" t="s">
        <v>82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103</v>
      </c>
      <c r="C42" s="20" t="s">
        <v>104</v>
      </c>
      <c r="D42" s="22" t="s">
        <v>82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105</v>
      </c>
      <c r="C43" s="20" t="s">
        <v>106</v>
      </c>
      <c r="D43" s="22" t="s">
        <v>82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107</v>
      </c>
      <c r="C44" s="20" t="s">
        <v>108</v>
      </c>
      <c r="D44" s="22" t="s">
        <v>82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109</v>
      </c>
      <c r="C45" s="20" t="s">
        <v>110</v>
      </c>
      <c r="D45" s="22" t="s">
        <v>82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111</v>
      </c>
      <c r="C46" s="20" t="s">
        <v>112</v>
      </c>
      <c r="D46" s="22" t="s">
        <v>82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113</v>
      </c>
      <c r="C47" s="20" t="s">
        <v>114</v>
      </c>
      <c r="D47" s="22" t="s">
        <v>82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115</v>
      </c>
      <c r="C48" s="20" t="s">
        <v>116</v>
      </c>
      <c r="D48" s="22" t="s">
        <v>82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117</v>
      </c>
      <c r="C49" s="20" t="s">
        <v>118</v>
      </c>
      <c r="D49" s="22" t="s">
        <v>82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119</v>
      </c>
      <c r="C50" s="20" t="s">
        <v>120</v>
      </c>
      <c r="D50" s="22" t="s">
        <v>22</v>
      </c>
      <c r="E50" s="26">
        <v>186392.65</v>
      </c>
      <c r="F50" s="24">
        <v>5075</v>
      </c>
      <c r="G50" s="25">
        <f t="shared" si="0"/>
        <v>945942698.75</v>
      </c>
      <c r="H50" s="9">
        <f>+İcmal!L20</f>
        <v>1034.5820000000001</v>
      </c>
    </row>
    <row r="51" spans="1:8" x14ac:dyDescent="0.3">
      <c r="A51" s="20">
        <v>50</v>
      </c>
      <c r="B51" s="20" t="s">
        <v>121</v>
      </c>
      <c r="C51" s="20" t="s">
        <v>122</v>
      </c>
      <c r="D51" s="22" t="s">
        <v>22</v>
      </c>
      <c r="E51" s="20">
        <v>910</v>
      </c>
      <c r="F51" s="24">
        <v>600</v>
      </c>
      <c r="G51" s="25">
        <f t="shared" si="0"/>
        <v>546000</v>
      </c>
      <c r="H51" s="9" t="str">
        <f>+İcmal!L21</f>
        <v/>
      </c>
    </row>
    <row r="52" spans="1:8" x14ac:dyDescent="0.3">
      <c r="A52" s="20">
        <v>51</v>
      </c>
      <c r="B52" s="20" t="s">
        <v>123</v>
      </c>
      <c r="C52" s="20" t="s">
        <v>32</v>
      </c>
      <c r="D52" s="22" t="s">
        <v>22</v>
      </c>
      <c r="E52" s="23">
        <v>1785</v>
      </c>
      <c r="F52" s="24">
        <v>1500</v>
      </c>
      <c r="G52" s="25">
        <f t="shared" si="0"/>
        <v>2677500</v>
      </c>
      <c r="H52" s="9" t="str">
        <f>+İcmal!L22</f>
        <v/>
      </c>
    </row>
    <row r="53" spans="1:8" x14ac:dyDescent="0.3">
      <c r="A53" s="20">
        <v>52</v>
      </c>
      <c r="B53" s="21" t="s">
        <v>124</v>
      </c>
      <c r="C53" s="20" t="s">
        <v>125</v>
      </c>
      <c r="D53" s="22" t="s">
        <v>22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+İcmal!L23</f>
        <v>153.6</v>
      </c>
    </row>
    <row r="54" spans="1:8" x14ac:dyDescent="0.3">
      <c r="A54" s="20">
        <v>53</v>
      </c>
      <c r="B54" s="20" t="s">
        <v>126</v>
      </c>
      <c r="C54" s="20" t="s">
        <v>127</v>
      </c>
      <c r="D54" s="22" t="s">
        <v>37</v>
      </c>
      <c r="E54" s="26">
        <v>19569.89</v>
      </c>
      <c r="F54" s="24">
        <v>248</v>
      </c>
      <c r="G54" s="25">
        <f t="shared" si="0"/>
        <v>4853332.72</v>
      </c>
      <c r="H54" s="9" t="str">
        <f>+İcmal!L24</f>
        <v/>
      </c>
    </row>
    <row r="55" spans="1:8" x14ac:dyDescent="0.3">
      <c r="A55" s="20">
        <v>54</v>
      </c>
      <c r="B55" s="20" t="s">
        <v>128</v>
      </c>
      <c r="C55" s="20" t="s">
        <v>129</v>
      </c>
      <c r="D55" s="22" t="s">
        <v>37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+İcmal!L25</f>
        <v/>
      </c>
    </row>
    <row r="56" spans="1:8" x14ac:dyDescent="0.3">
      <c r="A56" s="20">
        <v>55</v>
      </c>
      <c r="B56" s="20" t="s">
        <v>130</v>
      </c>
      <c r="C56" s="20" t="s">
        <v>41</v>
      </c>
      <c r="D56" s="22" t="s">
        <v>42</v>
      </c>
      <c r="E56" s="20">
        <v>800</v>
      </c>
      <c r="F56" s="24">
        <v>2250</v>
      </c>
      <c r="G56" s="25">
        <f t="shared" si="0"/>
        <v>1800000</v>
      </c>
      <c r="H56" s="9" t="str">
        <f>+İcmal!L26</f>
        <v/>
      </c>
    </row>
    <row r="57" spans="1:8" x14ac:dyDescent="0.3">
      <c r="A57" s="20">
        <v>56</v>
      </c>
      <c r="B57" s="20" t="s">
        <v>131</v>
      </c>
      <c r="C57" s="20" t="s">
        <v>44</v>
      </c>
      <c r="D57" s="22" t="s">
        <v>42</v>
      </c>
      <c r="E57" s="26">
        <v>2466.42</v>
      </c>
      <c r="F57" s="24">
        <v>8000</v>
      </c>
      <c r="G57" s="25">
        <f t="shared" si="0"/>
        <v>19731360</v>
      </c>
      <c r="H57" s="9">
        <f>+İcmal!L27</f>
        <v>0</v>
      </c>
    </row>
    <row r="58" spans="1:8" x14ac:dyDescent="0.3">
      <c r="A58" s="20">
        <v>57</v>
      </c>
      <c r="B58" s="20" t="s">
        <v>132</v>
      </c>
      <c r="C58" s="20" t="s">
        <v>46</v>
      </c>
      <c r="D58" s="22" t="s">
        <v>42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+İcmal!L28</f>
        <v/>
      </c>
    </row>
    <row r="59" spans="1:8" x14ac:dyDescent="0.3">
      <c r="A59" s="20">
        <v>58</v>
      </c>
      <c r="B59" s="20" t="s">
        <v>133</v>
      </c>
      <c r="C59" s="20" t="s">
        <v>48</v>
      </c>
      <c r="D59" s="22" t="s">
        <v>42</v>
      </c>
      <c r="E59" s="23">
        <v>2970</v>
      </c>
      <c r="F59" s="24">
        <v>12000</v>
      </c>
      <c r="G59" s="25">
        <f t="shared" si="0"/>
        <v>35640000</v>
      </c>
      <c r="H59" s="9" t="str">
        <f>+İcmal!L29</f>
        <v/>
      </c>
    </row>
    <row r="60" spans="1:8" x14ac:dyDescent="0.3">
      <c r="A60" s="20">
        <v>59</v>
      </c>
      <c r="B60" s="20" t="s">
        <v>134</v>
      </c>
      <c r="C60" s="20" t="s">
        <v>135</v>
      </c>
      <c r="D60" s="22" t="s">
        <v>42</v>
      </c>
      <c r="E60" s="26">
        <v>7008.23</v>
      </c>
      <c r="F60" s="24">
        <v>28000</v>
      </c>
      <c r="G60" s="25">
        <f t="shared" si="0"/>
        <v>196230440</v>
      </c>
      <c r="H60" s="9">
        <f>+İcmal!L30</f>
        <v>270</v>
      </c>
    </row>
    <row r="61" spans="1:8" x14ac:dyDescent="0.3">
      <c r="A61" s="20">
        <v>60</v>
      </c>
      <c r="B61" s="20" t="s">
        <v>136</v>
      </c>
      <c r="C61" s="20" t="s">
        <v>36</v>
      </c>
      <c r="D61" s="22" t="s">
        <v>37</v>
      </c>
      <c r="E61" s="26">
        <v>156606.89000000001</v>
      </c>
      <c r="F61" s="24">
        <v>375</v>
      </c>
      <c r="G61" s="25">
        <f t="shared" si="0"/>
        <v>58727583.750000007</v>
      </c>
      <c r="H61" s="9" t="str">
        <f>+İcmal!L31</f>
        <v>0</v>
      </c>
    </row>
    <row r="62" spans="1:8" x14ac:dyDescent="0.3">
      <c r="A62" s="20">
        <v>61</v>
      </c>
      <c r="B62" s="20" t="s">
        <v>137</v>
      </c>
      <c r="C62" s="20" t="s">
        <v>39</v>
      </c>
      <c r="D62" s="22" t="s">
        <v>37</v>
      </c>
      <c r="E62" s="23">
        <v>145635</v>
      </c>
      <c r="F62" s="24">
        <v>388</v>
      </c>
      <c r="G62" s="25">
        <f t="shared" si="0"/>
        <v>56506380</v>
      </c>
      <c r="H62" s="9" t="str">
        <f>+İcmal!L32</f>
        <v/>
      </c>
    </row>
    <row r="63" spans="1:8" x14ac:dyDescent="0.3">
      <c r="A63" s="20">
        <v>62</v>
      </c>
      <c r="B63" s="21" t="s">
        <v>138</v>
      </c>
      <c r="C63" s="20" t="s">
        <v>139</v>
      </c>
      <c r="D63" s="22" t="s">
        <v>57</v>
      </c>
      <c r="E63" s="23">
        <v>8410</v>
      </c>
      <c r="F63" s="24">
        <v>102000</v>
      </c>
      <c r="G63" s="25">
        <f t="shared" si="0"/>
        <v>857820000</v>
      </c>
      <c r="H63" s="9">
        <f>+İcmal!L33</f>
        <v>44.353000000000002</v>
      </c>
    </row>
    <row r="64" spans="1:8" x14ac:dyDescent="0.3">
      <c r="A64" s="20">
        <v>63</v>
      </c>
      <c r="B64" s="21" t="s">
        <v>140</v>
      </c>
      <c r="C64" s="20" t="s">
        <v>141</v>
      </c>
      <c r="D64" s="22" t="s">
        <v>37</v>
      </c>
      <c r="E64" s="26">
        <v>360205.7</v>
      </c>
      <c r="F64" s="24">
        <v>3400</v>
      </c>
      <c r="G64" s="25">
        <f t="shared" si="0"/>
        <v>1224699380</v>
      </c>
      <c r="H64" s="9">
        <f>+İcmal!L34</f>
        <v>0</v>
      </c>
    </row>
    <row r="65" spans="1:8" x14ac:dyDescent="0.3">
      <c r="A65" s="20">
        <v>64</v>
      </c>
      <c r="B65" s="20" t="s">
        <v>142</v>
      </c>
      <c r="C65" s="20" t="s">
        <v>143</v>
      </c>
      <c r="D65" s="22" t="s">
        <v>19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+İcmal!L35</f>
        <v/>
      </c>
    </row>
    <row r="66" spans="1:8" x14ac:dyDescent="0.3">
      <c r="A66" s="20">
        <v>65</v>
      </c>
      <c r="B66" s="20" t="s">
        <v>144</v>
      </c>
      <c r="C66" s="20" t="s">
        <v>145</v>
      </c>
      <c r="D66" s="22" t="s">
        <v>19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+İcmal!L36</f>
        <v/>
      </c>
    </row>
    <row r="67" spans="1:8" x14ac:dyDescent="0.3">
      <c r="A67" s="20">
        <v>66</v>
      </c>
      <c r="B67" s="21" t="s">
        <v>146</v>
      </c>
      <c r="C67" s="20" t="s">
        <v>147</v>
      </c>
      <c r="D67" s="22" t="s">
        <v>37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+İcmal!L37</f>
        <v/>
      </c>
    </row>
    <row r="68" spans="1:8" x14ac:dyDescent="0.3">
      <c r="A68" s="20">
        <v>67</v>
      </c>
      <c r="B68" s="20" t="s">
        <v>148</v>
      </c>
      <c r="C68" s="20" t="s">
        <v>149</v>
      </c>
      <c r="D68" s="22" t="s">
        <v>19</v>
      </c>
      <c r="E68" s="26">
        <v>24185.25</v>
      </c>
      <c r="F68" s="24">
        <v>4150</v>
      </c>
      <c r="G68" s="25">
        <f t="shared" si="1"/>
        <v>100368787.5</v>
      </c>
      <c r="H68" s="9" t="str">
        <f>+İcmal!L38</f>
        <v/>
      </c>
    </row>
    <row r="69" spans="1:8" x14ac:dyDescent="0.3">
      <c r="A69" s="20">
        <v>68</v>
      </c>
      <c r="B69" s="20" t="s">
        <v>150</v>
      </c>
      <c r="C69" s="20" t="s">
        <v>151</v>
      </c>
      <c r="D69" s="22" t="s">
        <v>19</v>
      </c>
      <c r="E69" s="26">
        <v>59207.42</v>
      </c>
      <c r="F69" s="24">
        <v>1500</v>
      </c>
      <c r="G69" s="25">
        <f t="shared" si="1"/>
        <v>88811130</v>
      </c>
      <c r="H69" s="9" t="str">
        <f>+İcmal!L39</f>
        <v/>
      </c>
    </row>
    <row r="70" spans="1:8" x14ac:dyDescent="0.3">
      <c r="A70" s="20">
        <v>69</v>
      </c>
      <c r="B70" s="20" t="s">
        <v>152</v>
      </c>
      <c r="C70" s="20" t="s">
        <v>153</v>
      </c>
      <c r="D70" s="22" t="s">
        <v>19</v>
      </c>
      <c r="E70" s="26">
        <v>36357.33</v>
      </c>
      <c r="F70" s="24">
        <v>500</v>
      </c>
      <c r="G70" s="25">
        <f t="shared" si="1"/>
        <v>18178665</v>
      </c>
      <c r="H70" s="9" t="str">
        <f>+İcmal!L40</f>
        <v/>
      </c>
    </row>
    <row r="71" spans="1:8" x14ac:dyDescent="0.3">
      <c r="A71" s="20">
        <v>70</v>
      </c>
      <c r="B71" s="20" t="s">
        <v>154</v>
      </c>
      <c r="C71" s="20" t="s">
        <v>155</v>
      </c>
      <c r="D71" s="22" t="s">
        <v>22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+İcmal!L41</f>
        <v/>
      </c>
    </row>
    <row r="72" spans="1:8" x14ac:dyDescent="0.3">
      <c r="A72" s="20">
        <v>71</v>
      </c>
      <c r="B72" s="20" t="s">
        <v>156</v>
      </c>
      <c r="C72" s="20" t="s">
        <v>157</v>
      </c>
      <c r="D72" s="22" t="s">
        <v>22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+İcmal!L42</f>
        <v/>
      </c>
    </row>
    <row r="73" spans="1:8" x14ac:dyDescent="0.3">
      <c r="A73" s="20">
        <v>72</v>
      </c>
      <c r="B73" s="20" t="s">
        <v>158</v>
      </c>
      <c r="C73" s="20" t="s">
        <v>159</v>
      </c>
      <c r="D73" s="22" t="s">
        <v>22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+İcmal!L43</f>
        <v/>
      </c>
    </row>
    <row r="74" spans="1:8" x14ac:dyDescent="0.3">
      <c r="A74" s="20">
        <v>73</v>
      </c>
      <c r="B74" s="20" t="s">
        <v>160</v>
      </c>
      <c r="C74" s="20" t="s">
        <v>161</v>
      </c>
      <c r="D74" s="22" t="s">
        <v>22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+İcmal!L44</f>
        <v/>
      </c>
    </row>
    <row r="75" spans="1:8" x14ac:dyDescent="0.3">
      <c r="A75" s="20">
        <v>74</v>
      </c>
      <c r="B75" s="20" t="s">
        <v>162</v>
      </c>
      <c r="C75" s="20" t="s">
        <v>163</v>
      </c>
      <c r="D75" s="22" t="s">
        <v>57</v>
      </c>
      <c r="E75" s="20">
        <v>62.29</v>
      </c>
      <c r="F75" s="24">
        <v>46250</v>
      </c>
      <c r="G75" s="25">
        <f t="shared" si="1"/>
        <v>2880912.5</v>
      </c>
      <c r="H75" s="9">
        <f>+İcmal!L45</f>
        <v>3.2450000000000001</v>
      </c>
    </row>
    <row r="76" spans="1:8" x14ac:dyDescent="0.3">
      <c r="A76" s="20">
        <v>75</v>
      </c>
      <c r="B76" s="20" t="s">
        <v>164</v>
      </c>
      <c r="C76" s="20" t="s">
        <v>165</v>
      </c>
      <c r="D76" s="22" t="s">
        <v>57</v>
      </c>
      <c r="E76" s="26">
        <v>4367.51</v>
      </c>
      <c r="F76" s="24">
        <v>92500</v>
      </c>
      <c r="G76" s="25">
        <f t="shared" si="1"/>
        <v>403994675</v>
      </c>
      <c r="H76" s="9">
        <f>+İcmal!L46</f>
        <v>0</v>
      </c>
    </row>
    <row r="77" spans="1:8" x14ac:dyDescent="0.3">
      <c r="A77" s="20">
        <v>76</v>
      </c>
      <c r="B77" s="20" t="s">
        <v>166</v>
      </c>
      <c r="C77" s="20" t="s">
        <v>167</v>
      </c>
      <c r="D77" s="22" t="s">
        <v>57</v>
      </c>
      <c r="E77" s="26">
        <v>2581.33</v>
      </c>
      <c r="F77" s="24">
        <v>97333</v>
      </c>
      <c r="G77" s="25">
        <f t="shared" si="1"/>
        <v>251248592.88999999</v>
      </c>
      <c r="H77" s="9">
        <f>+İcmal!L47</f>
        <v>11.398999999999999</v>
      </c>
    </row>
    <row r="78" spans="1:8" x14ac:dyDescent="0.3">
      <c r="A78" s="20">
        <v>77</v>
      </c>
      <c r="B78" s="20" t="s">
        <v>168</v>
      </c>
      <c r="C78" s="20" t="s">
        <v>169</v>
      </c>
      <c r="D78" s="22" t="s">
        <v>170</v>
      </c>
      <c r="E78" s="23">
        <v>3500</v>
      </c>
      <c r="F78" s="24">
        <v>150</v>
      </c>
      <c r="G78" s="25">
        <f t="shared" si="1"/>
        <v>525000</v>
      </c>
      <c r="H78" s="9" t="str">
        <f>+İcmal!L48</f>
        <v/>
      </c>
    </row>
    <row r="79" spans="1:8" x14ac:dyDescent="0.3">
      <c r="A79" s="20">
        <v>78</v>
      </c>
      <c r="B79" s="20" t="s">
        <v>171</v>
      </c>
      <c r="C79" s="20" t="s">
        <v>172</v>
      </c>
      <c r="D79" s="22" t="s">
        <v>170</v>
      </c>
      <c r="E79" s="23">
        <v>4500</v>
      </c>
      <c r="F79" s="24">
        <v>180</v>
      </c>
      <c r="G79" s="25">
        <f t="shared" si="1"/>
        <v>810000</v>
      </c>
      <c r="H79" s="9" t="str">
        <f>+İcmal!L49</f>
        <v/>
      </c>
    </row>
    <row r="80" spans="1:8" hidden="1" x14ac:dyDescent="0.3">
      <c r="A80" s="20">
        <v>79</v>
      </c>
      <c r="B80" s="21" t="s">
        <v>173</v>
      </c>
      <c r="C80" s="20" t="s">
        <v>4</v>
      </c>
      <c r="D80" s="22" t="s">
        <v>37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174</v>
      </c>
      <c r="C81" s="20" t="s">
        <v>175</v>
      </c>
      <c r="D81" s="22" t="s">
        <v>37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176</v>
      </c>
      <c r="C82" s="20" t="s">
        <v>177</v>
      </c>
      <c r="D82" s="22" t="s">
        <v>82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178</v>
      </c>
      <c r="C83" s="20" t="s">
        <v>179</v>
      </c>
      <c r="D83" s="22" t="s">
        <v>82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180</v>
      </c>
      <c r="C84" s="20" t="s">
        <v>181</v>
      </c>
      <c r="D84" s="22" t="s">
        <v>19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182</v>
      </c>
      <c r="C85" s="20" t="s">
        <v>183</v>
      </c>
      <c r="D85" s="22" t="s">
        <v>19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184</v>
      </c>
      <c r="C86" s="20" t="s">
        <v>185</v>
      </c>
      <c r="D86" s="22" t="s">
        <v>22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186</v>
      </c>
      <c r="C87" s="20" t="s">
        <v>187</v>
      </c>
      <c r="D87" s="22" t="s">
        <v>19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188</v>
      </c>
      <c r="C88" s="20" t="s">
        <v>189</v>
      </c>
      <c r="D88" s="22" t="s">
        <v>19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190</v>
      </c>
      <c r="C89" s="20" t="s">
        <v>191</v>
      </c>
      <c r="D89" s="22" t="s">
        <v>19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192</v>
      </c>
      <c r="C90" s="20" t="s">
        <v>193</v>
      </c>
      <c r="D90" s="22" t="s">
        <v>19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194</v>
      </c>
      <c r="C91" s="20" t="s">
        <v>195</v>
      </c>
      <c r="D91" s="22" t="s">
        <v>19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196</v>
      </c>
      <c r="C92" s="20" t="s">
        <v>197</v>
      </c>
      <c r="D92" s="22" t="s">
        <v>19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198</v>
      </c>
      <c r="C93" s="20" t="s">
        <v>199</v>
      </c>
      <c r="D93" s="22" t="s">
        <v>19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200</v>
      </c>
      <c r="C94" s="20" t="s">
        <v>201</v>
      </c>
      <c r="D94" s="22" t="s">
        <v>19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202</v>
      </c>
      <c r="C95" s="20" t="s">
        <v>203</v>
      </c>
      <c r="D95" s="22" t="s">
        <v>19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204</v>
      </c>
      <c r="C96" s="20" t="s">
        <v>205</v>
      </c>
      <c r="D96" s="22" t="s">
        <v>19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206</v>
      </c>
      <c r="C97" s="20" t="s">
        <v>207</v>
      </c>
      <c r="D97" s="22" t="s">
        <v>19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208</v>
      </c>
      <c r="C98" s="20" t="s">
        <v>209</v>
      </c>
      <c r="D98" s="22" t="s">
        <v>19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210</v>
      </c>
      <c r="C99" s="20" t="s">
        <v>211</v>
      </c>
      <c r="D99" s="22" t="s">
        <v>19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212</v>
      </c>
      <c r="C100" s="20" t="s">
        <v>213</v>
      </c>
      <c r="D100" s="22" t="s">
        <v>19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214</v>
      </c>
      <c r="C101" s="20" t="s">
        <v>215</v>
      </c>
      <c r="D101" s="22" t="s">
        <v>19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216</v>
      </c>
      <c r="C102" s="20" t="s">
        <v>217</v>
      </c>
      <c r="D102" s="22" t="s">
        <v>19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218</v>
      </c>
      <c r="C103" s="20" t="s">
        <v>219</v>
      </c>
      <c r="D103" s="22" t="s">
        <v>37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220</v>
      </c>
      <c r="C104" s="20" t="s">
        <v>221</v>
      </c>
      <c r="D104" s="22" t="s">
        <v>19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222</v>
      </c>
      <c r="C105" s="20" t="s">
        <v>223</v>
      </c>
      <c r="D105" s="22" t="s">
        <v>37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224</v>
      </c>
      <c r="C106" s="20" t="s">
        <v>225</v>
      </c>
      <c r="D106" s="22" t="s">
        <v>37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226</v>
      </c>
      <c r="C107" s="20" t="s">
        <v>227</v>
      </c>
      <c r="D107" s="22" t="s">
        <v>37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228</v>
      </c>
      <c r="C108" s="20" t="s">
        <v>229</v>
      </c>
      <c r="D108" s="22" t="s">
        <v>37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230</v>
      </c>
      <c r="C109" s="20" t="s">
        <v>231</v>
      </c>
      <c r="D109" s="22" t="s">
        <v>19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232</v>
      </c>
      <c r="C110" s="20" t="s">
        <v>233</v>
      </c>
      <c r="D110" s="22" t="s">
        <v>19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234</v>
      </c>
      <c r="C111" s="20" t="s">
        <v>235</v>
      </c>
      <c r="D111" s="22" t="s">
        <v>19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236</v>
      </c>
      <c r="C112" s="20" t="s">
        <v>237</v>
      </c>
      <c r="D112" s="22" t="s">
        <v>37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238</v>
      </c>
      <c r="C113" s="20" t="s">
        <v>239</v>
      </c>
      <c r="D113" s="22" t="s">
        <v>37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240</v>
      </c>
      <c r="C114" s="20" t="s">
        <v>241</v>
      </c>
      <c r="D114" s="22" t="s">
        <v>19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242</v>
      </c>
      <c r="C115" s="20" t="s">
        <v>243</v>
      </c>
      <c r="D115" s="22" t="s">
        <v>19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244</v>
      </c>
      <c r="C116" s="20" t="s">
        <v>245</v>
      </c>
      <c r="D116" s="22" t="s">
        <v>19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246</v>
      </c>
      <c r="C117" s="20" t="s">
        <v>247</v>
      </c>
      <c r="D117" s="22" t="s">
        <v>19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248</v>
      </c>
      <c r="C118" s="20" t="s">
        <v>249</v>
      </c>
      <c r="D118" s="22" t="s">
        <v>19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250</v>
      </c>
      <c r="C119" s="20" t="s">
        <v>251</v>
      </c>
      <c r="D119" s="22" t="s">
        <v>19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252</v>
      </c>
      <c r="C120" s="20" t="s">
        <v>253</v>
      </c>
      <c r="D120" s="22" t="s">
        <v>19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254</v>
      </c>
      <c r="C121" s="20" t="s">
        <v>255</v>
      </c>
      <c r="D121" s="22" t="s">
        <v>19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256</v>
      </c>
      <c r="C122" s="20" t="s">
        <v>257</v>
      </c>
      <c r="D122" s="22" t="s">
        <v>19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258</v>
      </c>
      <c r="C123" s="20" t="s">
        <v>259</v>
      </c>
      <c r="D123" s="22" t="s">
        <v>19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260</v>
      </c>
      <c r="C124" s="20" t="s">
        <v>261</v>
      </c>
      <c r="D124" s="22" t="s">
        <v>19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262</v>
      </c>
      <c r="C125" s="20" t="s">
        <v>263</v>
      </c>
      <c r="D125" s="22" t="s">
        <v>19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264</v>
      </c>
      <c r="C126" s="20" t="s">
        <v>265</v>
      </c>
      <c r="D126" s="22" t="s">
        <v>19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266</v>
      </c>
      <c r="C127" s="20" t="s">
        <v>267</v>
      </c>
      <c r="D127" s="22" t="s">
        <v>19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268</v>
      </c>
      <c r="C128" s="20" t="s">
        <v>269</v>
      </c>
      <c r="D128" s="22" t="s">
        <v>19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270</v>
      </c>
      <c r="C129" s="20" t="s">
        <v>271</v>
      </c>
      <c r="D129" s="22" t="s">
        <v>19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272</v>
      </c>
      <c r="C130" s="20" t="s">
        <v>273</v>
      </c>
      <c r="D130" s="22" t="s">
        <v>19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274</v>
      </c>
      <c r="C131" s="20" t="s">
        <v>275</v>
      </c>
      <c r="D131" s="22" t="s">
        <v>19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276</v>
      </c>
      <c r="C132" s="20" t="s">
        <v>277</v>
      </c>
      <c r="D132" s="22" t="s">
        <v>19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278</v>
      </c>
      <c r="C133" s="20" t="s">
        <v>279</v>
      </c>
      <c r="D133" s="22" t="s">
        <v>19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280</v>
      </c>
      <c r="C134" s="20" t="s">
        <v>281</v>
      </c>
      <c r="D134" s="22" t="s">
        <v>19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282</v>
      </c>
      <c r="C135" s="20" t="s">
        <v>283</v>
      </c>
      <c r="D135" s="22" t="s">
        <v>19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284</v>
      </c>
      <c r="C136" s="20" t="s">
        <v>285</v>
      </c>
      <c r="D136" s="22" t="s">
        <v>19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286</v>
      </c>
      <c r="C137" s="20" t="s">
        <v>287</v>
      </c>
      <c r="D137" s="22" t="s">
        <v>19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288</v>
      </c>
      <c r="C138" s="20" t="s">
        <v>289</v>
      </c>
      <c r="D138" s="22" t="s">
        <v>37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290</v>
      </c>
      <c r="C139" s="20" t="s">
        <v>291</v>
      </c>
      <c r="D139" s="22" t="s">
        <v>37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292</v>
      </c>
      <c r="C140" s="20" t="s">
        <v>293</v>
      </c>
      <c r="D140" s="22" t="s">
        <v>37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294</v>
      </c>
      <c r="C141" s="20" t="s">
        <v>295</v>
      </c>
      <c r="D141" s="22" t="s">
        <v>19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296</v>
      </c>
      <c r="C142" s="20" t="s">
        <v>297</v>
      </c>
      <c r="D142" s="22" t="s">
        <v>37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298</v>
      </c>
      <c r="C143" s="20" t="s">
        <v>299</v>
      </c>
      <c r="D143" s="22" t="s">
        <v>42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300</v>
      </c>
      <c r="C144" s="20" t="s">
        <v>301</v>
      </c>
      <c r="D144" s="22" t="s">
        <v>42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302</v>
      </c>
      <c r="C145" s="20" t="s">
        <v>303</v>
      </c>
      <c r="D145" s="22" t="s">
        <v>42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304</v>
      </c>
      <c r="C146" s="20" t="s">
        <v>305</v>
      </c>
      <c r="D146" s="22" t="s">
        <v>42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306</v>
      </c>
      <c r="C147" s="20" t="s">
        <v>307</v>
      </c>
      <c r="D147" s="22" t="s">
        <v>42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308</v>
      </c>
      <c r="C148" s="20" t="s">
        <v>309</v>
      </c>
      <c r="D148" s="22" t="s">
        <v>42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310</v>
      </c>
      <c r="C149" s="20" t="s">
        <v>311</v>
      </c>
      <c r="D149" s="22" t="s">
        <v>42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312</v>
      </c>
      <c r="C150" s="20" t="s">
        <v>313</v>
      </c>
      <c r="D150" s="22" t="s">
        <v>42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314</v>
      </c>
      <c r="C151" s="20" t="s">
        <v>315</v>
      </c>
      <c r="D151" s="22" t="s">
        <v>42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316</v>
      </c>
      <c r="C152" s="20" t="s">
        <v>317</v>
      </c>
      <c r="D152" s="22" t="s">
        <v>42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318</v>
      </c>
      <c r="C153" s="20" t="s">
        <v>319</v>
      </c>
      <c r="D153" s="22" t="s">
        <v>42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320</v>
      </c>
      <c r="C154" s="20" t="s">
        <v>321</v>
      </c>
      <c r="D154" s="22" t="s">
        <v>42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322</v>
      </c>
      <c r="C155" s="20" t="s">
        <v>323</v>
      </c>
      <c r="D155" s="22" t="s">
        <v>42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324</v>
      </c>
      <c r="C156" s="20" t="s">
        <v>325</v>
      </c>
      <c r="D156" s="22" t="s">
        <v>42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326</v>
      </c>
      <c r="C157" s="20" t="s">
        <v>327</v>
      </c>
      <c r="D157" s="22" t="s">
        <v>42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328</v>
      </c>
      <c r="C158" s="20" t="s">
        <v>329</v>
      </c>
      <c r="D158" s="22" t="s">
        <v>42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330</v>
      </c>
      <c r="C159" s="20" t="s">
        <v>331</v>
      </c>
      <c r="D159" s="22" t="s">
        <v>42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332</v>
      </c>
      <c r="C160" s="20" t="s">
        <v>333</v>
      </c>
      <c r="D160" s="22" t="s">
        <v>42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334</v>
      </c>
      <c r="C161" s="20" t="s">
        <v>335</v>
      </c>
      <c r="D161" s="22" t="s">
        <v>42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336</v>
      </c>
      <c r="C162" s="20" t="s">
        <v>337</v>
      </c>
      <c r="D162" s="22" t="s">
        <v>42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338</v>
      </c>
      <c r="C163" s="20" t="s">
        <v>339</v>
      </c>
      <c r="D163" s="22" t="s">
        <v>42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340</v>
      </c>
      <c r="C164" s="20" t="s">
        <v>341</v>
      </c>
      <c r="D164" s="22" t="s">
        <v>42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342</v>
      </c>
      <c r="C165" s="20" t="s">
        <v>343</v>
      </c>
      <c r="D165" s="22" t="s">
        <v>170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344</v>
      </c>
      <c r="C166" s="20" t="s">
        <v>345</v>
      </c>
      <c r="D166" s="22" t="s">
        <v>19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346</v>
      </c>
      <c r="C167" s="20" t="s">
        <v>347</v>
      </c>
      <c r="D167" s="22" t="s">
        <v>37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348</v>
      </c>
      <c r="C168" s="20" t="s">
        <v>349</v>
      </c>
      <c r="D168" s="22" t="s">
        <v>37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350</v>
      </c>
      <c r="C169" s="20" t="s">
        <v>351</v>
      </c>
      <c r="D169" s="22" t="s">
        <v>42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352</v>
      </c>
      <c r="C170" s="20" t="s">
        <v>353</v>
      </c>
      <c r="D170" s="22" t="s">
        <v>19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354</v>
      </c>
      <c r="C171" s="20" t="s">
        <v>355</v>
      </c>
      <c r="D171" s="22" t="s">
        <v>19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356</v>
      </c>
      <c r="C172" s="20" t="s">
        <v>357</v>
      </c>
      <c r="D172" s="22" t="s">
        <v>42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358</v>
      </c>
      <c r="C173" s="20" t="s">
        <v>359</v>
      </c>
      <c r="D173" s="22" t="s">
        <v>19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360</v>
      </c>
      <c r="C174" s="20" t="s">
        <v>361</v>
      </c>
      <c r="D174" s="22" t="s">
        <v>19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362</v>
      </c>
      <c r="C175" s="20" t="s">
        <v>363</v>
      </c>
      <c r="D175" s="22" t="s">
        <v>19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364</v>
      </c>
      <c r="C176" s="20" t="s">
        <v>365</v>
      </c>
      <c r="D176" s="22" t="s">
        <v>19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366</v>
      </c>
      <c r="C177" s="20" t="s">
        <v>367</v>
      </c>
      <c r="D177" s="22" t="s">
        <v>42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368</v>
      </c>
      <c r="C178" s="20" t="s">
        <v>369</v>
      </c>
      <c r="D178" s="22" t="s">
        <v>19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370</v>
      </c>
      <c r="C179" s="20" t="s">
        <v>371</v>
      </c>
      <c r="D179" s="22" t="s">
        <v>37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372</v>
      </c>
      <c r="C180" s="20" t="s">
        <v>373</v>
      </c>
      <c r="D180" s="22" t="s">
        <v>170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374</v>
      </c>
      <c r="C181" s="20" t="s">
        <v>375</v>
      </c>
      <c r="D181" s="22" t="s">
        <v>170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376</v>
      </c>
      <c r="C182" s="20" t="s">
        <v>377</v>
      </c>
      <c r="D182" s="22" t="s">
        <v>19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378</v>
      </c>
      <c r="C183" s="20" t="s">
        <v>379</v>
      </c>
      <c r="D183" s="22" t="s">
        <v>42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380</v>
      </c>
      <c r="C184" s="20" t="s">
        <v>381</v>
      </c>
      <c r="D184" s="22" t="s">
        <v>42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382</v>
      </c>
      <c r="C185" s="20" t="s">
        <v>383</v>
      </c>
      <c r="D185" s="22" t="s">
        <v>42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384</v>
      </c>
      <c r="C186" s="20" t="s">
        <v>385</v>
      </c>
      <c r="D186" s="22" t="s">
        <v>82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386</v>
      </c>
      <c r="C187" s="20" t="s">
        <v>387</v>
      </c>
      <c r="D187" s="22" t="s">
        <v>82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388</v>
      </c>
      <c r="C188" s="20" t="s">
        <v>389</v>
      </c>
      <c r="D188" s="22" t="s">
        <v>82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390</v>
      </c>
      <c r="C189" s="20" t="s">
        <v>391</v>
      </c>
      <c r="D189" s="22" t="s">
        <v>82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392</v>
      </c>
      <c r="C190" s="20" t="s">
        <v>393</v>
      </c>
      <c r="D190" s="22" t="s">
        <v>82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394</v>
      </c>
      <c r="C191" s="20" t="s">
        <v>395</v>
      </c>
      <c r="D191" s="22" t="s">
        <v>82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396</v>
      </c>
      <c r="C192" s="20" t="s">
        <v>397</v>
      </c>
      <c r="D192" s="22" t="s">
        <v>82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398</v>
      </c>
      <c r="C193" s="20" t="s">
        <v>399</v>
      </c>
      <c r="D193" s="22" t="s">
        <v>82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400</v>
      </c>
      <c r="C194" s="20" t="s">
        <v>401</v>
      </c>
      <c r="D194" s="22" t="s">
        <v>82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402</v>
      </c>
      <c r="C195" s="20" t="s">
        <v>403</v>
      </c>
      <c r="D195" s="22" t="s">
        <v>82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404</v>
      </c>
      <c r="C196" s="20" t="s">
        <v>405</v>
      </c>
      <c r="D196" s="22" t="s">
        <v>82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406</v>
      </c>
      <c r="C197" s="20" t="s">
        <v>407</v>
      </c>
      <c r="D197" s="22" t="s">
        <v>82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408</v>
      </c>
      <c r="C198" s="20" t="s">
        <v>409</v>
      </c>
      <c r="D198" s="22" t="s">
        <v>82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410</v>
      </c>
      <c r="C199" s="20" t="s">
        <v>411</v>
      </c>
      <c r="D199" s="22" t="s">
        <v>82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412</v>
      </c>
      <c r="C200" s="20" t="s">
        <v>413</v>
      </c>
      <c r="D200" s="22" t="s">
        <v>82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414</v>
      </c>
      <c r="C201" s="20" t="s">
        <v>415</v>
      </c>
      <c r="D201" s="22" t="s">
        <v>82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416</v>
      </c>
      <c r="C202" s="20" t="s">
        <v>417</v>
      </c>
      <c r="D202" s="22" t="s">
        <v>82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418</v>
      </c>
      <c r="C203" s="20" t="s">
        <v>419</v>
      </c>
      <c r="D203" s="22" t="s">
        <v>82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420</v>
      </c>
      <c r="C204" s="20" t="s">
        <v>421</v>
      </c>
      <c r="D204" s="22" t="s">
        <v>82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422</v>
      </c>
      <c r="C205" s="20" t="s">
        <v>423</v>
      </c>
      <c r="D205" s="22" t="s">
        <v>82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424</v>
      </c>
      <c r="C206" s="20" t="s">
        <v>425</v>
      </c>
      <c r="D206" s="22" t="s">
        <v>82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426</v>
      </c>
      <c r="C207" s="20" t="s">
        <v>427</v>
      </c>
      <c r="D207" s="22" t="s">
        <v>82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428</v>
      </c>
      <c r="C208" s="20" t="s">
        <v>429</v>
      </c>
      <c r="D208" s="22" t="s">
        <v>82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430</v>
      </c>
      <c r="C209" s="20" t="s">
        <v>431</v>
      </c>
      <c r="D209" s="22" t="s">
        <v>82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432</v>
      </c>
      <c r="C210" s="20" t="s">
        <v>433</v>
      </c>
      <c r="D210" s="22" t="s">
        <v>82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434</v>
      </c>
      <c r="C211" s="20" t="s">
        <v>435</v>
      </c>
      <c r="D211" s="22" t="s">
        <v>82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436</v>
      </c>
      <c r="C212" s="20" t="s">
        <v>437</v>
      </c>
      <c r="D212" s="22" t="s">
        <v>82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438</v>
      </c>
      <c r="C213" s="20" t="s">
        <v>439</v>
      </c>
      <c r="D213" s="22" t="s">
        <v>82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440</v>
      </c>
      <c r="C214" s="20" t="s">
        <v>441</v>
      </c>
      <c r="D214" s="22" t="s">
        <v>82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442</v>
      </c>
      <c r="C215" s="20" t="s">
        <v>443</v>
      </c>
      <c r="D215" s="22" t="s">
        <v>82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444</v>
      </c>
      <c r="C216" s="20" t="s">
        <v>445</v>
      </c>
      <c r="D216" s="22" t="s">
        <v>82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446</v>
      </c>
      <c r="C217" s="20" t="s">
        <v>447</v>
      </c>
      <c r="D217" s="22" t="s">
        <v>82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448</v>
      </c>
      <c r="C218" s="20" t="s">
        <v>449</v>
      </c>
      <c r="D218" s="22" t="s">
        <v>82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450</v>
      </c>
      <c r="C219" s="20" t="s">
        <v>451</v>
      </c>
      <c r="D219" s="22" t="s">
        <v>82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452</v>
      </c>
      <c r="C220" s="20" t="s">
        <v>453</v>
      </c>
      <c r="D220" s="22" t="s">
        <v>82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454</v>
      </c>
      <c r="C221" s="20" t="s">
        <v>455</v>
      </c>
      <c r="D221" s="22" t="s">
        <v>82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456</v>
      </c>
      <c r="C222" s="20" t="s">
        <v>457</v>
      </c>
      <c r="D222" s="22" t="s">
        <v>82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458</v>
      </c>
      <c r="C223" s="20" t="s">
        <v>459</v>
      </c>
      <c r="D223" s="22" t="s">
        <v>82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460</v>
      </c>
      <c r="C224" s="20" t="s">
        <v>461</v>
      </c>
      <c r="D224" s="22" t="s">
        <v>82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462</v>
      </c>
      <c r="C225" s="20" t="s">
        <v>463</v>
      </c>
      <c r="D225" s="22" t="s">
        <v>82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464</v>
      </c>
      <c r="C226" s="20" t="s">
        <v>465</v>
      </c>
      <c r="D226" s="22" t="s">
        <v>82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466</v>
      </c>
      <c r="C227" s="20" t="s">
        <v>467</v>
      </c>
      <c r="D227" s="22" t="s">
        <v>82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468</v>
      </c>
      <c r="C228" s="20" t="s">
        <v>469</v>
      </c>
      <c r="D228" s="22" t="s">
        <v>82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470</v>
      </c>
      <c r="C229" s="20" t="s">
        <v>471</v>
      </c>
      <c r="D229" s="22" t="s">
        <v>82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472</v>
      </c>
      <c r="C230" s="20" t="s">
        <v>473</v>
      </c>
      <c r="D230" s="22" t="s">
        <v>82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474</v>
      </c>
      <c r="C231" s="20" t="s">
        <v>475</v>
      </c>
      <c r="D231" s="22" t="s">
        <v>82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476</v>
      </c>
      <c r="C232" s="20" t="s">
        <v>477</v>
      </c>
      <c r="D232" s="22" t="s">
        <v>82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478</v>
      </c>
      <c r="C233" s="20" t="s">
        <v>479</v>
      </c>
      <c r="D233" s="22" t="s">
        <v>82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480</v>
      </c>
      <c r="C234" s="20" t="s">
        <v>481</v>
      </c>
      <c r="D234" s="22" t="s">
        <v>82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482</v>
      </c>
      <c r="C235" s="20" t="s">
        <v>483</v>
      </c>
      <c r="D235" s="22" t="s">
        <v>82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484</v>
      </c>
      <c r="C236" s="20" t="s">
        <v>485</v>
      </c>
      <c r="D236" s="22" t="s">
        <v>82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486</v>
      </c>
      <c r="C237" s="20" t="s">
        <v>487</v>
      </c>
      <c r="D237" s="22" t="s">
        <v>82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488</v>
      </c>
      <c r="C238" s="20" t="s">
        <v>489</v>
      </c>
      <c r="D238" s="22" t="s">
        <v>82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490</v>
      </c>
      <c r="C239" s="20" t="s">
        <v>491</v>
      </c>
      <c r="D239" s="22" t="s">
        <v>82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492</v>
      </c>
      <c r="C240" s="20" t="s">
        <v>493</v>
      </c>
      <c r="D240" s="22" t="s">
        <v>82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494</v>
      </c>
      <c r="C241" s="20" t="s">
        <v>495</v>
      </c>
      <c r="D241" s="22" t="s">
        <v>82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496</v>
      </c>
      <c r="C242" s="20" t="s">
        <v>497</v>
      </c>
      <c r="D242" s="22" t="s">
        <v>82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498</v>
      </c>
      <c r="C243" s="20" t="s">
        <v>499</v>
      </c>
      <c r="D243" s="22" t="s">
        <v>82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500</v>
      </c>
      <c r="C244" s="20" t="s">
        <v>501</v>
      </c>
      <c r="D244" s="22" t="s">
        <v>82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502</v>
      </c>
      <c r="C245" s="20" t="s">
        <v>503</v>
      </c>
      <c r="D245" s="22" t="s">
        <v>82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504</v>
      </c>
      <c r="C246" s="20" t="s">
        <v>505</v>
      </c>
      <c r="D246" s="22" t="s">
        <v>82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506</v>
      </c>
      <c r="C247" s="20" t="s">
        <v>507</v>
      </c>
      <c r="D247" s="22" t="s">
        <v>82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508</v>
      </c>
      <c r="C248" s="20" t="s">
        <v>509</v>
      </c>
      <c r="D248" s="22" t="s">
        <v>82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510</v>
      </c>
      <c r="C249" s="20" t="s">
        <v>511</v>
      </c>
      <c r="D249" s="22" t="s">
        <v>82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512</v>
      </c>
      <c r="C250" s="20" t="s">
        <v>513</v>
      </c>
      <c r="D250" s="22" t="s">
        <v>82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514</v>
      </c>
      <c r="C251" s="20" t="s">
        <v>515</v>
      </c>
      <c r="D251" s="22" t="s">
        <v>82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516</v>
      </c>
      <c r="C252" s="20" t="s">
        <v>517</v>
      </c>
      <c r="D252" s="22" t="s">
        <v>82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518</v>
      </c>
      <c r="C253" s="20" t="s">
        <v>519</v>
      </c>
      <c r="D253" s="22" t="s">
        <v>82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520</v>
      </c>
      <c r="C254" s="20" t="s">
        <v>521</v>
      </c>
      <c r="D254" s="22" t="s">
        <v>82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522</v>
      </c>
      <c r="C255" s="20" t="s">
        <v>523</v>
      </c>
      <c r="D255" s="22" t="s">
        <v>82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524</v>
      </c>
      <c r="C256" s="20" t="s">
        <v>525</v>
      </c>
      <c r="D256" s="22" t="s">
        <v>82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526</v>
      </c>
      <c r="C257" s="20" t="s">
        <v>527</v>
      </c>
      <c r="D257" s="22" t="s">
        <v>82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528</v>
      </c>
      <c r="C258" s="20" t="s">
        <v>529</v>
      </c>
      <c r="D258" s="22" t="s">
        <v>82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530</v>
      </c>
      <c r="C259" s="20" t="s">
        <v>531</v>
      </c>
      <c r="D259" s="22" t="s">
        <v>37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532</v>
      </c>
      <c r="C260" s="20" t="s">
        <v>533</v>
      </c>
      <c r="D260" s="22" t="s">
        <v>37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534</v>
      </c>
      <c r="C261" s="20" t="s">
        <v>535</v>
      </c>
      <c r="D261" s="22" t="s">
        <v>82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536</v>
      </c>
      <c r="C262" s="20" t="s">
        <v>537</v>
      </c>
      <c r="D262" s="22" t="s">
        <v>538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539</v>
      </c>
      <c r="C263" s="20" t="s">
        <v>540</v>
      </c>
      <c r="D263" s="22" t="s">
        <v>82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541</v>
      </c>
      <c r="C264" s="20" t="s">
        <v>542</v>
      </c>
      <c r="D264" s="22" t="s">
        <v>82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543</v>
      </c>
      <c r="C265" s="20" t="s">
        <v>544</v>
      </c>
      <c r="D265" s="22" t="s">
        <v>82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545</v>
      </c>
      <c r="C266" s="20" t="s">
        <v>546</v>
      </c>
      <c r="D266" s="22" t="s">
        <v>82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547</v>
      </c>
      <c r="C267" s="20" t="s">
        <v>548</v>
      </c>
      <c r="D267" s="22" t="s">
        <v>42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549</v>
      </c>
      <c r="C268" s="20" t="s">
        <v>550</v>
      </c>
      <c r="D268" s="22" t="s">
        <v>42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551</v>
      </c>
      <c r="C269" s="20" t="s">
        <v>552</v>
      </c>
      <c r="D269" s="22" t="s">
        <v>42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553</v>
      </c>
      <c r="C270" s="20" t="s">
        <v>554</v>
      </c>
      <c r="D270" s="22" t="s">
        <v>82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555</v>
      </c>
      <c r="C271" s="20" t="s">
        <v>556</v>
      </c>
      <c r="D271" s="22" t="s">
        <v>82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557</v>
      </c>
      <c r="C272" s="20" t="s">
        <v>558</v>
      </c>
      <c r="D272" s="22" t="s">
        <v>82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559</v>
      </c>
      <c r="C273" s="20" t="s">
        <v>560</v>
      </c>
      <c r="D273" s="22" t="s">
        <v>82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561</v>
      </c>
      <c r="C274" s="20" t="s">
        <v>562</v>
      </c>
      <c r="D274" s="22" t="s">
        <v>82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563</v>
      </c>
      <c r="C275" s="20" t="s">
        <v>564</v>
      </c>
      <c r="D275" s="22" t="s">
        <v>82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565</v>
      </c>
      <c r="C276" s="20" t="s">
        <v>566</v>
      </c>
      <c r="D276" s="22" t="s">
        <v>82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567</v>
      </c>
      <c r="C277" s="20" t="s">
        <v>568</v>
      </c>
      <c r="D277" s="22" t="s">
        <v>82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569</v>
      </c>
      <c r="C278" s="20" t="s">
        <v>570</v>
      </c>
      <c r="D278" s="22" t="s">
        <v>82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571</v>
      </c>
      <c r="C279" s="20" t="s">
        <v>572</v>
      </c>
      <c r="D279" s="22" t="s">
        <v>82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573</v>
      </c>
      <c r="C280" s="20" t="s">
        <v>574</v>
      </c>
      <c r="D280" s="22" t="s">
        <v>82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575</v>
      </c>
      <c r="C281" s="20" t="s">
        <v>576</v>
      </c>
      <c r="D281" s="22" t="s">
        <v>82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577</v>
      </c>
      <c r="C282" s="20" t="s">
        <v>578</v>
      </c>
      <c r="D282" s="22" t="s">
        <v>82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579</v>
      </c>
      <c r="C283" s="20" t="s">
        <v>580</v>
      </c>
      <c r="D283" s="22" t="s">
        <v>82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581</v>
      </c>
      <c r="C284" s="20" t="s">
        <v>582</v>
      </c>
      <c r="D284" s="22" t="s">
        <v>82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583</v>
      </c>
      <c r="C285" s="20" t="s">
        <v>584</v>
      </c>
      <c r="D285" s="22" t="s">
        <v>82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585</v>
      </c>
      <c r="C286" s="20" t="s">
        <v>586</v>
      </c>
      <c r="D286" s="22" t="s">
        <v>82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587</v>
      </c>
      <c r="C287" s="20" t="s">
        <v>588</v>
      </c>
      <c r="D287" s="22" t="s">
        <v>82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589</v>
      </c>
      <c r="C288" s="20" t="s">
        <v>590</v>
      </c>
      <c r="D288" s="22" t="s">
        <v>82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591</v>
      </c>
      <c r="C289" s="20" t="s">
        <v>592</v>
      </c>
      <c r="D289" s="22" t="s">
        <v>82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593</v>
      </c>
      <c r="C290" s="20" t="s">
        <v>594</v>
      </c>
      <c r="D290" s="22" t="s">
        <v>82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595</v>
      </c>
      <c r="C291" s="20" t="s">
        <v>596</v>
      </c>
      <c r="D291" s="22" t="s">
        <v>82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597</v>
      </c>
      <c r="C292" s="20" t="s">
        <v>598</v>
      </c>
      <c r="D292" s="22" t="s">
        <v>82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599</v>
      </c>
      <c r="C293" s="20" t="s">
        <v>600</v>
      </c>
      <c r="D293" s="22" t="s">
        <v>82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601</v>
      </c>
      <c r="C294" s="20" t="s">
        <v>602</v>
      </c>
      <c r="D294" s="22" t="s">
        <v>82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603</v>
      </c>
      <c r="C295" s="20" t="s">
        <v>604</v>
      </c>
      <c r="D295" s="22" t="s">
        <v>82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605</v>
      </c>
      <c r="C296" s="20" t="s">
        <v>606</v>
      </c>
      <c r="D296" s="22" t="s">
        <v>82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607</v>
      </c>
      <c r="C297" s="20" t="s">
        <v>608</v>
      </c>
      <c r="D297" s="22" t="s">
        <v>82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609</v>
      </c>
      <c r="C298" s="20" t="s">
        <v>610</v>
      </c>
      <c r="D298" s="22" t="s">
        <v>82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611</v>
      </c>
      <c r="C299" s="20" t="s">
        <v>612</v>
      </c>
      <c r="D299" s="22" t="s">
        <v>82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613</v>
      </c>
      <c r="C300" s="20" t="s">
        <v>614</v>
      </c>
      <c r="D300" s="22" t="s">
        <v>82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615</v>
      </c>
      <c r="C301" s="20" t="s">
        <v>616</v>
      </c>
      <c r="D301" s="22" t="s">
        <v>82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617</v>
      </c>
      <c r="C302" s="20" t="s">
        <v>618</v>
      </c>
      <c r="D302" s="22" t="s">
        <v>82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619</v>
      </c>
      <c r="C303" s="20" t="s">
        <v>620</v>
      </c>
      <c r="D303" s="22" t="s">
        <v>82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621</v>
      </c>
      <c r="C304" s="20" t="s">
        <v>622</v>
      </c>
      <c r="D304" s="22" t="s">
        <v>82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623</v>
      </c>
      <c r="C305" s="20" t="s">
        <v>624</v>
      </c>
      <c r="D305" s="22" t="s">
        <v>82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625</v>
      </c>
      <c r="C306" s="20" t="s">
        <v>626</v>
      </c>
      <c r="D306" s="22" t="s">
        <v>82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627</v>
      </c>
      <c r="C307" s="20" t="s">
        <v>628</v>
      </c>
      <c r="D307" s="22" t="s">
        <v>82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629</v>
      </c>
      <c r="C308" s="20" t="s">
        <v>630</v>
      </c>
      <c r="D308" s="22" t="s">
        <v>82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631</v>
      </c>
      <c r="C309" s="20" t="s">
        <v>632</v>
      </c>
      <c r="D309" s="22" t="s">
        <v>82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633</v>
      </c>
      <c r="C310" s="20" t="s">
        <v>634</v>
      </c>
      <c r="D310" s="22" t="s">
        <v>82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635</v>
      </c>
      <c r="C311" s="20" t="s">
        <v>636</v>
      </c>
      <c r="D311" s="22" t="s">
        <v>82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637</v>
      </c>
      <c r="C312" s="20" t="s">
        <v>638</v>
      </c>
      <c r="D312" s="22" t="s">
        <v>82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639</v>
      </c>
      <c r="C313" s="20" t="s">
        <v>640</v>
      </c>
      <c r="D313" s="22" t="s">
        <v>82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641</v>
      </c>
      <c r="C314" s="20" t="s">
        <v>642</v>
      </c>
      <c r="D314" s="22" t="s">
        <v>82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643</v>
      </c>
      <c r="C315" s="20" t="s">
        <v>644</v>
      </c>
      <c r="D315" s="22" t="s">
        <v>82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645</v>
      </c>
      <c r="C316" s="20" t="s">
        <v>646</v>
      </c>
      <c r="D316" s="22" t="s">
        <v>82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647</v>
      </c>
      <c r="C317" s="20" t="s">
        <v>648</v>
      </c>
      <c r="D317" s="22" t="s">
        <v>82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649</v>
      </c>
      <c r="C318" s="20" t="s">
        <v>650</v>
      </c>
      <c r="D318" s="22" t="s">
        <v>82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651</v>
      </c>
      <c r="C319" s="20" t="s">
        <v>652</v>
      </c>
      <c r="D319" s="22" t="s">
        <v>82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653</v>
      </c>
      <c r="C320" s="20" t="s">
        <v>654</v>
      </c>
      <c r="D320" s="22" t="s">
        <v>82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655</v>
      </c>
      <c r="C321" s="20" t="s">
        <v>656</v>
      </c>
      <c r="D321" s="22" t="s">
        <v>82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657</v>
      </c>
      <c r="C322" s="20" t="s">
        <v>658</v>
      </c>
      <c r="D322" s="22" t="s">
        <v>82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659</v>
      </c>
      <c r="C323" s="20" t="s">
        <v>660</v>
      </c>
      <c r="D323" s="22" t="s">
        <v>82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661</v>
      </c>
      <c r="C324" s="20" t="s">
        <v>662</v>
      </c>
      <c r="D324" s="22" t="s">
        <v>82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663</v>
      </c>
      <c r="C325" s="20" t="s">
        <v>664</v>
      </c>
      <c r="D325" s="22" t="s">
        <v>82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665</v>
      </c>
      <c r="C326" s="20" t="s">
        <v>666</v>
      </c>
      <c r="D326" s="22" t="s">
        <v>82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667</v>
      </c>
      <c r="C327" s="20" t="s">
        <v>668</v>
      </c>
      <c r="D327" s="22" t="s">
        <v>82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669</v>
      </c>
      <c r="C328" s="20" t="s">
        <v>670</v>
      </c>
      <c r="D328" s="22" t="s">
        <v>82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671</v>
      </c>
      <c r="C329" s="20" t="s">
        <v>672</v>
      </c>
      <c r="D329" s="22" t="s">
        <v>82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673</v>
      </c>
      <c r="C330" s="20" t="s">
        <v>674</v>
      </c>
      <c r="D330" s="22" t="s">
        <v>82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675</v>
      </c>
      <c r="C331" s="20" t="s">
        <v>676</v>
      </c>
      <c r="D331" s="22" t="s">
        <v>82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677</v>
      </c>
      <c r="C332" s="20" t="s">
        <v>678</v>
      </c>
      <c r="D332" s="22" t="s">
        <v>82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679</v>
      </c>
      <c r="C333" s="20" t="s">
        <v>680</v>
      </c>
      <c r="D333" s="22" t="s">
        <v>82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681</v>
      </c>
      <c r="C334" s="20" t="s">
        <v>682</v>
      </c>
      <c r="D334" s="22" t="s">
        <v>82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683</v>
      </c>
      <c r="C335" s="20" t="s">
        <v>684</v>
      </c>
      <c r="D335" s="22" t="s">
        <v>82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685</v>
      </c>
      <c r="C336" s="20" t="s">
        <v>686</v>
      </c>
      <c r="D336" s="22" t="s">
        <v>82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687</v>
      </c>
      <c r="C337" s="20" t="s">
        <v>688</v>
      </c>
      <c r="D337" s="22" t="s">
        <v>82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689</v>
      </c>
      <c r="C338" s="20" t="s">
        <v>690</v>
      </c>
      <c r="D338" s="22" t="s">
        <v>42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691</v>
      </c>
      <c r="C339" s="20" t="s">
        <v>692</v>
      </c>
      <c r="D339" s="22" t="s">
        <v>42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693</v>
      </c>
      <c r="C340" s="20" t="s">
        <v>694</v>
      </c>
      <c r="D340" s="22" t="s">
        <v>82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695</v>
      </c>
      <c r="C341" s="20" t="s">
        <v>696</v>
      </c>
      <c r="D341" s="22" t="s">
        <v>82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697</v>
      </c>
      <c r="C342" s="20" t="s">
        <v>698</v>
      </c>
      <c r="D342" s="22" t="s">
        <v>82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699</v>
      </c>
      <c r="C343" s="20" t="s">
        <v>700</v>
      </c>
      <c r="D343" s="22" t="s">
        <v>82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701</v>
      </c>
      <c r="C344" s="20" t="s">
        <v>702</v>
      </c>
      <c r="D344" s="22" t="s">
        <v>82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703</v>
      </c>
      <c r="C345" s="20" t="s">
        <v>704</v>
      </c>
      <c r="D345" s="22" t="s">
        <v>82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705</v>
      </c>
      <c r="C346" s="20" t="s">
        <v>706</v>
      </c>
      <c r="D346" s="22" t="s">
        <v>82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707</v>
      </c>
      <c r="C347" s="20" t="s">
        <v>708</v>
      </c>
      <c r="D347" s="22" t="s">
        <v>82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709</v>
      </c>
      <c r="C348" s="20" t="s">
        <v>710</v>
      </c>
      <c r="D348" s="22" t="s">
        <v>82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711</v>
      </c>
      <c r="C349" s="20" t="s">
        <v>712</v>
      </c>
      <c r="D349" s="22" t="s">
        <v>82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713</v>
      </c>
      <c r="C350" s="20" t="s">
        <v>714</v>
      </c>
      <c r="D350" s="22" t="s">
        <v>82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715</v>
      </c>
      <c r="C351" s="20" t="s">
        <v>716</v>
      </c>
      <c r="D351" s="22" t="s">
        <v>82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717</v>
      </c>
      <c r="C352" s="20" t="s">
        <v>718</v>
      </c>
      <c r="D352" s="22" t="s">
        <v>82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719</v>
      </c>
      <c r="C353" s="20" t="s">
        <v>720</v>
      </c>
      <c r="D353" s="22" t="s">
        <v>82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721</v>
      </c>
      <c r="C354" s="20" t="s">
        <v>722</v>
      </c>
      <c r="D354" s="22" t="s">
        <v>82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723</v>
      </c>
      <c r="C355" s="20" t="s">
        <v>724</v>
      </c>
      <c r="D355" s="22" t="s">
        <v>82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725</v>
      </c>
      <c r="C356" s="20" t="s">
        <v>726</v>
      </c>
      <c r="D356" s="22" t="s">
        <v>82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727</v>
      </c>
      <c r="C357" s="20" t="s">
        <v>728</v>
      </c>
      <c r="D357" s="22" t="s">
        <v>82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729</v>
      </c>
      <c r="C358" s="20" t="s">
        <v>730</v>
      </c>
      <c r="D358" s="22" t="s">
        <v>82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731</v>
      </c>
      <c r="C359" s="20" t="s">
        <v>732</v>
      </c>
      <c r="D359" s="22" t="s">
        <v>82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733</v>
      </c>
      <c r="C360" s="20" t="s">
        <v>734</v>
      </c>
      <c r="D360" s="22" t="s">
        <v>82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735</v>
      </c>
      <c r="C361" s="20" t="s">
        <v>736</v>
      </c>
      <c r="D361" s="22" t="s">
        <v>82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737</v>
      </c>
      <c r="C362" s="20" t="s">
        <v>738</v>
      </c>
      <c r="D362" s="22" t="s">
        <v>82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739</v>
      </c>
      <c r="C363" s="20" t="s">
        <v>740</v>
      </c>
      <c r="D363" s="22" t="s">
        <v>82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741</v>
      </c>
      <c r="C364" s="20" t="s">
        <v>742</v>
      </c>
      <c r="D364" s="22" t="s">
        <v>82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743</v>
      </c>
      <c r="C365" s="20" t="s">
        <v>744</v>
      </c>
      <c r="D365" s="22" t="s">
        <v>82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745</v>
      </c>
      <c r="C366" s="20" t="s">
        <v>746</v>
      </c>
      <c r="D366" s="22" t="s">
        <v>82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747</v>
      </c>
      <c r="C367" s="20" t="s">
        <v>748</v>
      </c>
      <c r="D367" s="22" t="s">
        <v>82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749</v>
      </c>
      <c r="C368" s="20" t="s">
        <v>750</v>
      </c>
      <c r="D368" s="22" t="s">
        <v>82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751</v>
      </c>
      <c r="C369" s="20" t="s">
        <v>752</v>
      </c>
      <c r="D369" s="22" t="s">
        <v>82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753</v>
      </c>
      <c r="C370" s="20" t="s">
        <v>754</v>
      </c>
      <c r="D370" s="22" t="s">
        <v>82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755</v>
      </c>
      <c r="C371" s="20" t="s">
        <v>756</v>
      </c>
      <c r="D371" s="22" t="s">
        <v>82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757</v>
      </c>
      <c r="C372" s="20" t="s">
        <v>758</v>
      </c>
      <c r="D372" s="22" t="s">
        <v>82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759</v>
      </c>
      <c r="C373" s="20" t="s">
        <v>760</v>
      </c>
      <c r="D373" s="22" t="s">
        <v>82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761</v>
      </c>
      <c r="C374" s="20" t="s">
        <v>762</v>
      </c>
      <c r="D374" s="22" t="s">
        <v>82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763</v>
      </c>
      <c r="C375" s="20" t="s">
        <v>764</v>
      </c>
      <c r="D375" s="22" t="s">
        <v>82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765</v>
      </c>
      <c r="C376" s="20" t="s">
        <v>766</v>
      </c>
      <c r="D376" s="22" t="s">
        <v>82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767</v>
      </c>
      <c r="C377" s="20" t="s">
        <v>768</v>
      </c>
      <c r="D377" s="22" t="s">
        <v>82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769</v>
      </c>
      <c r="C378" s="20" t="s">
        <v>770</v>
      </c>
      <c r="D378" s="22" t="s">
        <v>82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771</v>
      </c>
      <c r="C379" s="20" t="s">
        <v>772</v>
      </c>
      <c r="D379" s="22" t="s">
        <v>82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773</v>
      </c>
      <c r="C380" s="20" t="s">
        <v>774</v>
      </c>
      <c r="D380" s="22" t="s">
        <v>82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775</v>
      </c>
      <c r="C381" s="20" t="s">
        <v>776</v>
      </c>
      <c r="D381" s="22" t="s">
        <v>82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777</v>
      </c>
      <c r="C382" s="20" t="s">
        <v>778</v>
      </c>
      <c r="D382" s="22" t="s">
        <v>82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779</v>
      </c>
      <c r="C383" s="20" t="s">
        <v>780</v>
      </c>
      <c r="D383" s="22" t="s">
        <v>82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781</v>
      </c>
      <c r="C384" s="20" t="s">
        <v>782</v>
      </c>
      <c r="D384" s="22" t="s">
        <v>82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783</v>
      </c>
      <c r="C385" s="20" t="s">
        <v>784</v>
      </c>
      <c r="D385" s="22" t="s">
        <v>82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785</v>
      </c>
      <c r="C386" s="20" t="s">
        <v>786</v>
      </c>
      <c r="D386" s="22" t="s">
        <v>82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787</v>
      </c>
      <c r="C387" s="20" t="s">
        <v>788</v>
      </c>
      <c r="D387" s="22" t="s">
        <v>82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789</v>
      </c>
      <c r="C388" s="20" t="s">
        <v>790</v>
      </c>
      <c r="D388" s="22" t="s">
        <v>82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791</v>
      </c>
      <c r="C389" s="20" t="s">
        <v>792</v>
      </c>
      <c r="D389" s="22" t="s">
        <v>82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793</v>
      </c>
      <c r="C390" s="20" t="s">
        <v>794</v>
      </c>
      <c r="D390" s="22" t="s">
        <v>82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795</v>
      </c>
      <c r="C391" s="20" t="s">
        <v>796</v>
      </c>
      <c r="D391" s="22" t="s">
        <v>82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797</v>
      </c>
      <c r="C392" s="20" t="s">
        <v>798</v>
      </c>
      <c r="D392" s="22" t="s">
        <v>82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799</v>
      </c>
      <c r="C393" s="20" t="s">
        <v>800</v>
      </c>
      <c r="D393" s="22" t="s">
        <v>82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801</v>
      </c>
      <c r="C394" s="20" t="s">
        <v>802</v>
      </c>
      <c r="D394" s="22" t="s">
        <v>82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803</v>
      </c>
      <c r="C395" s="20" t="s">
        <v>804</v>
      </c>
      <c r="D395" s="22" t="s">
        <v>82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805</v>
      </c>
      <c r="C396" s="20" t="s">
        <v>806</v>
      </c>
      <c r="D396" s="22" t="s">
        <v>82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807</v>
      </c>
      <c r="C397" s="20" t="s">
        <v>808</v>
      </c>
      <c r="D397" s="22" t="s">
        <v>82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809</v>
      </c>
      <c r="C398" s="20" t="s">
        <v>810</v>
      </c>
      <c r="D398" s="22" t="s">
        <v>82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811</v>
      </c>
      <c r="C399" s="20" t="s">
        <v>812</v>
      </c>
      <c r="D399" s="22" t="s">
        <v>82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813</v>
      </c>
      <c r="C400" s="20" t="s">
        <v>814</v>
      </c>
      <c r="D400" s="22" t="s">
        <v>82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815</v>
      </c>
      <c r="C401" s="20" t="s">
        <v>816</v>
      </c>
      <c r="D401" s="22" t="s">
        <v>82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817</v>
      </c>
      <c r="C402" s="20" t="s">
        <v>818</v>
      </c>
      <c r="D402" s="22" t="s">
        <v>82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819</v>
      </c>
      <c r="C403" s="20" t="s">
        <v>820</v>
      </c>
      <c r="D403" s="22" t="s">
        <v>82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821</v>
      </c>
      <c r="C404" s="20" t="s">
        <v>822</v>
      </c>
      <c r="D404" s="22" t="s">
        <v>82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823</v>
      </c>
      <c r="C405" s="20" t="s">
        <v>824</v>
      </c>
      <c r="D405" s="22" t="s">
        <v>82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825</v>
      </c>
      <c r="C406" s="20" t="s">
        <v>826</v>
      </c>
      <c r="D406" s="22" t="s">
        <v>82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827</v>
      </c>
      <c r="C407" s="20" t="s">
        <v>828</v>
      </c>
      <c r="D407" s="22" t="s">
        <v>82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829</v>
      </c>
      <c r="C408" s="20" t="s">
        <v>830</v>
      </c>
      <c r="D408" s="22" t="s">
        <v>82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831</v>
      </c>
      <c r="C409" s="20" t="s">
        <v>832</v>
      </c>
      <c r="D409" s="22" t="s">
        <v>42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833</v>
      </c>
      <c r="C410" s="20" t="s">
        <v>834</v>
      </c>
      <c r="D410" s="22" t="s">
        <v>42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835</v>
      </c>
      <c r="C411" s="20" t="s">
        <v>836</v>
      </c>
      <c r="D411" s="22" t="s">
        <v>42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837</v>
      </c>
      <c r="C412" s="20" t="s">
        <v>838</v>
      </c>
      <c r="D412" s="22" t="s">
        <v>42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839</v>
      </c>
      <c r="C413" s="20" t="s">
        <v>840</v>
      </c>
      <c r="D413" s="22" t="s">
        <v>42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841</v>
      </c>
      <c r="C414" s="20" t="s">
        <v>842</v>
      </c>
      <c r="D414" s="22" t="s">
        <v>42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843</v>
      </c>
      <c r="C415" s="20" t="s">
        <v>844</v>
      </c>
      <c r="D415" s="22" t="s">
        <v>42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845</v>
      </c>
      <c r="C416" s="20" t="s">
        <v>846</v>
      </c>
      <c r="D416" s="22" t="s">
        <v>42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847</v>
      </c>
      <c r="C417" s="20" t="s">
        <v>848</v>
      </c>
      <c r="D417" s="22" t="s">
        <v>82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849</v>
      </c>
      <c r="C418" s="20" t="s">
        <v>850</v>
      </c>
      <c r="D418" s="22" t="s">
        <v>37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851</v>
      </c>
      <c r="C419" s="20" t="s">
        <v>852</v>
      </c>
      <c r="D419" s="22" t="s">
        <v>37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853</v>
      </c>
      <c r="C420" s="20" t="s">
        <v>854</v>
      </c>
      <c r="D420" s="22" t="s">
        <v>42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855</v>
      </c>
      <c r="C421" s="20" t="s">
        <v>856</v>
      </c>
      <c r="D421" s="22" t="s">
        <v>42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857</v>
      </c>
      <c r="C422" s="20" t="s">
        <v>858</v>
      </c>
      <c r="D422" s="22" t="s">
        <v>42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859</v>
      </c>
      <c r="C423" s="20" t="s">
        <v>860</v>
      </c>
      <c r="D423" s="22" t="s">
        <v>42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861</v>
      </c>
      <c r="C424" s="20" t="s">
        <v>862</v>
      </c>
      <c r="D424" s="22" t="s">
        <v>82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863</v>
      </c>
      <c r="C425" s="20" t="s">
        <v>864</v>
      </c>
      <c r="D425" s="22" t="s">
        <v>19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865</v>
      </c>
      <c r="C426" s="20" t="s">
        <v>866</v>
      </c>
      <c r="D426" s="22" t="s">
        <v>82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867</v>
      </c>
      <c r="C427" s="20" t="s">
        <v>868</v>
      </c>
      <c r="D427" s="22" t="s">
        <v>82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869</v>
      </c>
      <c r="C428" s="20" t="s">
        <v>870</v>
      </c>
      <c r="D428" s="22" t="s">
        <v>82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871</v>
      </c>
      <c r="C429" s="20" t="s">
        <v>872</v>
      </c>
      <c r="D429" s="22" t="s">
        <v>82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873</v>
      </c>
      <c r="C430" s="20" t="s">
        <v>874</v>
      </c>
      <c r="D430" s="22" t="s">
        <v>82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875</v>
      </c>
      <c r="C431" s="20" t="s">
        <v>876</v>
      </c>
      <c r="D431" s="22" t="s">
        <v>82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877</v>
      </c>
      <c r="C432" s="20" t="s">
        <v>878</v>
      </c>
      <c r="D432" s="22" t="s">
        <v>82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879</v>
      </c>
      <c r="C433" s="20" t="s">
        <v>880</v>
      </c>
      <c r="D433" s="22" t="s">
        <v>82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881</v>
      </c>
      <c r="C434" s="20" t="s">
        <v>882</v>
      </c>
      <c r="D434" s="22" t="s">
        <v>82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883</v>
      </c>
      <c r="C435" s="20" t="s">
        <v>884</v>
      </c>
      <c r="D435" s="22" t="s">
        <v>82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885</v>
      </c>
      <c r="C436" s="20" t="s">
        <v>886</v>
      </c>
      <c r="D436" s="22" t="s">
        <v>82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887</v>
      </c>
      <c r="C437" s="20" t="s">
        <v>888</v>
      </c>
      <c r="D437" s="22" t="s">
        <v>82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889</v>
      </c>
      <c r="C438" s="20" t="s">
        <v>890</v>
      </c>
      <c r="D438" s="22" t="s">
        <v>82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891</v>
      </c>
      <c r="C439" s="20" t="s">
        <v>892</v>
      </c>
      <c r="D439" s="22" t="s">
        <v>82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893</v>
      </c>
      <c r="C440" s="20" t="s">
        <v>894</v>
      </c>
      <c r="D440" s="22" t="s">
        <v>82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895</v>
      </c>
      <c r="C441" s="20" t="s">
        <v>896</v>
      </c>
      <c r="D441" s="22" t="s">
        <v>82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897</v>
      </c>
      <c r="C442" s="20" t="s">
        <v>898</v>
      </c>
      <c r="D442" s="22" t="s">
        <v>82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899</v>
      </c>
      <c r="C443" s="20" t="s">
        <v>900</v>
      </c>
      <c r="D443" s="22" t="s">
        <v>82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901</v>
      </c>
      <c r="C444" s="20" t="s">
        <v>902</v>
      </c>
      <c r="D444" s="22" t="s">
        <v>82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903</v>
      </c>
      <c r="C445" s="20" t="s">
        <v>904</v>
      </c>
      <c r="D445" s="22" t="s">
        <v>82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905</v>
      </c>
      <c r="C446" s="20" t="s">
        <v>906</v>
      </c>
      <c r="D446" s="22" t="s">
        <v>82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907</v>
      </c>
      <c r="C447" s="20" t="s">
        <v>908</v>
      </c>
      <c r="D447" s="22" t="s">
        <v>82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909</v>
      </c>
      <c r="C448" s="20" t="s">
        <v>910</v>
      </c>
      <c r="D448" s="22" t="s">
        <v>82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911</v>
      </c>
      <c r="C449" s="20" t="s">
        <v>912</v>
      </c>
      <c r="D449" s="22" t="s">
        <v>82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913</v>
      </c>
      <c r="C450" s="20" t="s">
        <v>914</v>
      </c>
      <c r="D450" s="22" t="s">
        <v>82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915</v>
      </c>
      <c r="C451" s="20" t="s">
        <v>916</v>
      </c>
      <c r="D451" s="22" t="s">
        <v>82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917</v>
      </c>
      <c r="C452" s="20" t="s">
        <v>918</v>
      </c>
      <c r="D452" s="22" t="s">
        <v>82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919</v>
      </c>
      <c r="C453" s="20" t="s">
        <v>920</v>
      </c>
      <c r="D453" s="22" t="s">
        <v>82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921</v>
      </c>
      <c r="C454" s="20" t="s">
        <v>922</v>
      </c>
      <c r="D454" s="22" t="s">
        <v>82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923</v>
      </c>
      <c r="C455" s="20" t="s">
        <v>924</v>
      </c>
      <c r="D455" s="22" t="s">
        <v>82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925</v>
      </c>
      <c r="C456" s="20" t="s">
        <v>926</v>
      </c>
      <c r="D456" s="22" t="s">
        <v>82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927</v>
      </c>
      <c r="C457" s="20" t="s">
        <v>928</v>
      </c>
      <c r="D457" s="22" t="s">
        <v>37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929</v>
      </c>
      <c r="C458" s="20" t="s">
        <v>930</v>
      </c>
      <c r="D458" s="22" t="s">
        <v>37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931</v>
      </c>
      <c r="C459" s="20" t="s">
        <v>932</v>
      </c>
      <c r="D459" s="22" t="s">
        <v>37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933</v>
      </c>
      <c r="C460" s="20" t="s">
        <v>934</v>
      </c>
      <c r="D460" s="22" t="s">
        <v>37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935</v>
      </c>
      <c r="C461" s="20" t="s">
        <v>936</v>
      </c>
      <c r="D461" s="22" t="s">
        <v>37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937</v>
      </c>
      <c r="C462" s="20" t="s">
        <v>938</v>
      </c>
      <c r="D462" s="22" t="s">
        <v>37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939</v>
      </c>
      <c r="C463" s="20" t="s">
        <v>940</v>
      </c>
      <c r="D463" s="22" t="s">
        <v>37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941</v>
      </c>
      <c r="C464" s="20" t="s">
        <v>942</v>
      </c>
      <c r="D464" s="22" t="s">
        <v>37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943</v>
      </c>
      <c r="C465" s="20" t="s">
        <v>944</v>
      </c>
      <c r="D465" s="22" t="s">
        <v>37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945</v>
      </c>
      <c r="C466" s="20" t="s">
        <v>946</v>
      </c>
      <c r="D466" s="22" t="s">
        <v>37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947</v>
      </c>
      <c r="C467" s="20" t="s">
        <v>948</v>
      </c>
      <c r="D467" s="22" t="s">
        <v>82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949</v>
      </c>
      <c r="C468" s="20" t="s">
        <v>950</v>
      </c>
      <c r="D468" s="22" t="s">
        <v>82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951</v>
      </c>
      <c r="C469" s="20" t="s">
        <v>952</v>
      </c>
      <c r="D469" s="22" t="s">
        <v>82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953</v>
      </c>
      <c r="C470" s="20" t="s">
        <v>954</v>
      </c>
      <c r="D470" s="22" t="s">
        <v>82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955</v>
      </c>
      <c r="C471" s="20" t="s">
        <v>956</v>
      </c>
      <c r="D471" s="22" t="s">
        <v>82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957</v>
      </c>
      <c r="C472" s="20" t="s">
        <v>958</v>
      </c>
      <c r="D472" s="22" t="s">
        <v>82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959</v>
      </c>
      <c r="C473" s="20" t="s">
        <v>960</v>
      </c>
      <c r="D473" s="22" t="s">
        <v>82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961</v>
      </c>
      <c r="C474" s="20" t="s">
        <v>962</v>
      </c>
      <c r="D474" s="22" t="s">
        <v>82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963</v>
      </c>
      <c r="C475" s="20" t="s">
        <v>964</v>
      </c>
      <c r="D475" s="22" t="s">
        <v>82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965</v>
      </c>
      <c r="C476" s="20" t="s">
        <v>966</v>
      </c>
      <c r="D476" s="22" t="s">
        <v>82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967</v>
      </c>
      <c r="C477" s="20" t="s">
        <v>968</v>
      </c>
      <c r="D477" s="22" t="s">
        <v>82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969</v>
      </c>
      <c r="C478" s="20" t="s">
        <v>970</v>
      </c>
      <c r="D478" s="22" t="s">
        <v>82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971</v>
      </c>
      <c r="C479" s="20" t="s">
        <v>972</v>
      </c>
      <c r="D479" s="22" t="s">
        <v>82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973</v>
      </c>
      <c r="C480" s="20" t="s">
        <v>974</v>
      </c>
      <c r="D480" s="22" t="s">
        <v>82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975</v>
      </c>
      <c r="C481" s="20" t="s">
        <v>976</v>
      </c>
      <c r="D481" s="22" t="s">
        <v>82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977</v>
      </c>
      <c r="C482" s="20" t="s">
        <v>978</v>
      </c>
      <c r="D482" s="22" t="s">
        <v>42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979</v>
      </c>
      <c r="C483" s="20" t="s">
        <v>980</v>
      </c>
      <c r="D483" s="22" t="s">
        <v>42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82">
        <f>+SUMPRODUCT(F50:F79,H50:H79)</f>
        <v>20949392.166999999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2026-05-16T12:36:01Z</cp:lastPrinted>
  <dcterms:created xsi:type="dcterms:W3CDTF">2015-06-05T18:19:34Z</dcterms:created>
  <dcterms:modified xsi:type="dcterms:W3CDTF">2026-05-16T12:36:03Z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2025-11-26T13:12:43Z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de5585fe-1685-40c3-bbec-bc583b80e788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